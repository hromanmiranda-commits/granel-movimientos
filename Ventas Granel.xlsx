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D7A1B184-AB5F-0049-80CB-3E4474C03D9E}" xr6:coauthVersionLast="47" xr6:coauthVersionMax="47" xr10:uidLastSave="{00000000-0000-0000-0000-000000000000}"/>
  <bookViews>
    <workbookView xWindow="0" yWindow="580" windowWidth="28800" windowHeight="16260" xr2:uid="{00000000-000D-0000-FFFF-FFFF00000000}"/>
  </bookViews>
  <sheets>
    <sheet name="Detalles movimientos" sheetId="1" r:id="rId1"/>
    <sheet name="ENAP" sheetId="2" r:id="rId2"/>
    <sheet name="Análisis de Negocio" sheetId="3" r:id="rId3"/>
    <sheet name="CJ" sheetId="4" r:id="rId4"/>
    <sheet name="Ignacio" sheetId="5" r:id="rId5"/>
    <sheet name="Tripulaci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6" l="1"/>
  <c r="B6" i="6"/>
  <c r="E6" i="5"/>
  <c r="C6" i="5"/>
  <c r="B6" i="5"/>
  <c r="J9" i="4"/>
  <c r="D9" i="4"/>
  <c r="B6" i="4"/>
  <c r="B9" i="3"/>
  <c r="B5" i="3"/>
  <c r="B4" i="3"/>
  <c r="F6" i="2"/>
  <c r="C6" i="2"/>
  <c r="B6" i="2"/>
  <c r="W1003" i="1"/>
  <c r="V1003" i="1"/>
  <c r="U1003" i="1"/>
  <c r="T1003" i="1"/>
  <c r="O1003" i="1"/>
  <c r="W1002" i="1"/>
  <c r="V1002" i="1"/>
  <c r="U1002" i="1"/>
  <c r="T1002" i="1"/>
  <c r="O1002" i="1"/>
  <c r="W1001" i="1"/>
  <c r="V1001" i="1"/>
  <c r="U1001" i="1"/>
  <c r="T1001" i="1"/>
  <c r="O1001" i="1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105" i="1"/>
  <c r="V105" i="1"/>
  <c r="U105" i="1"/>
  <c r="T105" i="1"/>
  <c r="O105" i="1"/>
  <c r="W104" i="1"/>
  <c r="V104" i="1"/>
  <c r="U104" i="1"/>
  <c r="T104" i="1"/>
  <c r="O104" i="1"/>
  <c r="W103" i="1"/>
  <c r="V103" i="1"/>
  <c r="U103" i="1"/>
  <c r="T103" i="1"/>
  <c r="O103" i="1"/>
  <c r="W102" i="1"/>
  <c r="V102" i="1"/>
  <c r="U102" i="1"/>
  <c r="T102" i="1"/>
  <c r="O102" i="1"/>
  <c r="W101" i="1"/>
  <c r="V101" i="1"/>
  <c r="U101" i="1"/>
  <c r="T101" i="1"/>
  <c r="O101" i="1"/>
  <c r="W100" i="1"/>
  <c r="V100" i="1"/>
  <c r="U100" i="1"/>
  <c r="T100" i="1"/>
  <c r="O100" i="1"/>
  <c r="W99" i="1"/>
  <c r="V99" i="1"/>
  <c r="U99" i="1"/>
  <c r="T99" i="1"/>
  <c r="O99" i="1"/>
  <c r="W98" i="1"/>
  <c r="V98" i="1"/>
  <c r="U98" i="1"/>
  <c r="T98" i="1"/>
  <c r="O98" i="1"/>
  <c r="W97" i="1"/>
  <c r="V97" i="1"/>
  <c r="U97" i="1"/>
  <c r="T97" i="1"/>
  <c r="O97" i="1"/>
  <c r="W96" i="1"/>
  <c r="V96" i="1"/>
  <c r="U96" i="1"/>
  <c r="T96" i="1"/>
  <c r="O96" i="1"/>
  <c r="W95" i="1"/>
  <c r="V95" i="1"/>
  <c r="U95" i="1"/>
  <c r="T95" i="1"/>
  <c r="O95" i="1"/>
  <c r="W94" i="1"/>
  <c r="V94" i="1"/>
  <c r="U94" i="1"/>
  <c r="T94" i="1"/>
  <c r="O94" i="1"/>
  <c r="W93" i="1"/>
  <c r="V93" i="1"/>
  <c r="U93" i="1"/>
  <c r="T93" i="1"/>
  <c r="O93" i="1"/>
  <c r="W92" i="1"/>
  <c r="V92" i="1"/>
  <c r="U92" i="1"/>
  <c r="T92" i="1"/>
  <c r="O92" i="1"/>
  <c r="W91" i="1"/>
  <c r="V91" i="1"/>
  <c r="U91" i="1"/>
  <c r="T91" i="1"/>
  <c r="O91" i="1"/>
  <c r="W90" i="1"/>
  <c r="V90" i="1"/>
  <c r="U90" i="1"/>
  <c r="T90" i="1"/>
  <c r="O90" i="1"/>
  <c r="W89" i="1"/>
  <c r="V89" i="1"/>
  <c r="U89" i="1"/>
  <c r="T89" i="1"/>
  <c r="O89" i="1"/>
  <c r="W88" i="1"/>
  <c r="V88" i="1"/>
  <c r="U88" i="1"/>
  <c r="T88" i="1"/>
  <c r="O88" i="1"/>
  <c r="W87" i="1"/>
  <c r="V87" i="1"/>
  <c r="U87" i="1"/>
  <c r="T87" i="1"/>
  <c r="O87" i="1"/>
  <c r="W86" i="1"/>
  <c r="V86" i="1"/>
  <c r="U86" i="1"/>
  <c r="T86" i="1"/>
  <c r="O86" i="1"/>
  <c r="W85" i="1"/>
  <c r="V85" i="1"/>
  <c r="U85" i="1"/>
  <c r="T85" i="1"/>
  <c r="O85" i="1"/>
  <c r="W84" i="1"/>
  <c r="V84" i="1"/>
  <c r="U84" i="1"/>
  <c r="T84" i="1"/>
  <c r="O84" i="1"/>
  <c r="W83" i="1"/>
  <c r="V83" i="1"/>
  <c r="U83" i="1"/>
  <c r="T83" i="1"/>
  <c r="O83" i="1"/>
  <c r="W82" i="1"/>
  <c r="V82" i="1"/>
  <c r="U82" i="1"/>
  <c r="T82" i="1"/>
  <c r="O82" i="1"/>
  <c r="W81" i="1"/>
  <c r="V81" i="1"/>
  <c r="U81" i="1"/>
  <c r="T81" i="1"/>
  <c r="O81" i="1"/>
  <c r="W80" i="1"/>
  <c r="V80" i="1"/>
  <c r="U80" i="1"/>
  <c r="T80" i="1"/>
  <c r="O80" i="1"/>
  <c r="W79" i="1"/>
  <c r="V79" i="1"/>
  <c r="U79" i="1"/>
  <c r="T79" i="1"/>
  <c r="O79" i="1"/>
  <c r="W78" i="1"/>
  <c r="V78" i="1"/>
  <c r="U78" i="1"/>
  <c r="T78" i="1"/>
  <c r="O78" i="1"/>
  <c r="W77" i="1"/>
  <c r="V77" i="1"/>
  <c r="U77" i="1"/>
  <c r="T77" i="1"/>
  <c r="O77" i="1"/>
  <c r="W76" i="1"/>
  <c r="V76" i="1"/>
  <c r="U76" i="1"/>
  <c r="T76" i="1"/>
  <c r="O76" i="1"/>
  <c r="W75" i="1"/>
  <c r="V75" i="1"/>
  <c r="U75" i="1"/>
  <c r="T75" i="1"/>
  <c r="O75" i="1"/>
  <c r="W74" i="1"/>
  <c r="V74" i="1"/>
  <c r="U74" i="1"/>
  <c r="T74" i="1"/>
  <c r="O74" i="1"/>
  <c r="W73" i="1"/>
  <c r="V73" i="1"/>
  <c r="U73" i="1"/>
  <c r="T73" i="1"/>
  <c r="O73" i="1"/>
  <c r="W72" i="1"/>
  <c r="V72" i="1"/>
  <c r="U72" i="1"/>
  <c r="T72" i="1"/>
  <c r="O72" i="1"/>
  <c r="W71" i="1"/>
  <c r="V71" i="1"/>
  <c r="U71" i="1"/>
  <c r="T71" i="1"/>
  <c r="O71" i="1"/>
  <c r="W70" i="1"/>
  <c r="V70" i="1"/>
  <c r="U70" i="1"/>
  <c r="T70" i="1"/>
  <c r="O70" i="1"/>
  <c r="W69" i="1"/>
  <c r="V69" i="1"/>
  <c r="U69" i="1"/>
  <c r="T69" i="1"/>
  <c r="O69" i="1"/>
  <c r="W68" i="1"/>
  <c r="V68" i="1"/>
  <c r="U68" i="1"/>
  <c r="T68" i="1"/>
  <c r="O68" i="1"/>
  <c r="W67" i="1"/>
  <c r="V67" i="1"/>
  <c r="U67" i="1"/>
  <c r="T67" i="1"/>
  <c r="O67" i="1"/>
  <c r="W66" i="1"/>
  <c r="V66" i="1"/>
  <c r="U66" i="1"/>
  <c r="T66" i="1"/>
  <c r="O66" i="1"/>
  <c r="W65" i="1"/>
  <c r="V65" i="1"/>
  <c r="U65" i="1"/>
  <c r="T65" i="1"/>
  <c r="O65" i="1"/>
  <c r="W64" i="1"/>
  <c r="V64" i="1"/>
  <c r="U64" i="1"/>
  <c r="T64" i="1"/>
  <c r="O64" i="1"/>
  <c r="W63" i="1"/>
  <c r="V63" i="1"/>
  <c r="U63" i="1"/>
  <c r="T63" i="1"/>
  <c r="O63" i="1"/>
  <c r="W62" i="1"/>
  <c r="V62" i="1"/>
  <c r="U62" i="1"/>
  <c r="T62" i="1"/>
  <c r="O62" i="1"/>
  <c r="W61" i="1"/>
  <c r="V61" i="1"/>
  <c r="U61" i="1"/>
  <c r="T61" i="1"/>
  <c r="O61" i="1"/>
  <c r="W60" i="1"/>
  <c r="V60" i="1"/>
  <c r="U60" i="1"/>
  <c r="T60" i="1"/>
  <c r="O60" i="1"/>
  <c r="W59" i="1"/>
  <c r="V59" i="1"/>
  <c r="U59" i="1"/>
  <c r="T59" i="1"/>
  <c r="O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1" i="1"/>
  <c r="V51" i="1"/>
  <c r="U51" i="1"/>
  <c r="T51" i="1"/>
  <c r="O51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O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O42" i="1"/>
  <c r="W41" i="1"/>
  <c r="V41" i="1"/>
  <c r="U41" i="1"/>
  <c r="T41" i="1"/>
  <c r="O41" i="1"/>
  <c r="W40" i="1"/>
  <c r="V40" i="1"/>
  <c r="U40" i="1"/>
  <c r="T40" i="1"/>
  <c r="O40" i="1"/>
  <c r="M40" i="1"/>
  <c r="J40" i="1"/>
  <c r="W39" i="1"/>
  <c r="V39" i="1"/>
  <c r="U39" i="1"/>
  <c r="T39" i="1"/>
  <c r="O39" i="1"/>
  <c r="M39" i="1"/>
  <c r="J39" i="1"/>
  <c r="W38" i="1"/>
  <c r="V38" i="1"/>
  <c r="U38" i="1"/>
  <c r="T38" i="1"/>
  <c r="O38" i="1"/>
  <c r="M38" i="1"/>
  <c r="J38" i="1"/>
  <c r="W37" i="1"/>
  <c r="V37" i="1"/>
  <c r="U37" i="1"/>
  <c r="T37" i="1"/>
  <c r="O37" i="1"/>
  <c r="M37" i="1"/>
  <c r="J37" i="1"/>
  <c r="W36" i="1"/>
  <c r="V36" i="1"/>
  <c r="U36" i="1"/>
  <c r="T36" i="1"/>
  <c r="O36" i="1"/>
  <c r="M36" i="1"/>
  <c r="J36" i="1"/>
  <c r="W33" i="1"/>
  <c r="V33" i="1"/>
  <c r="U33" i="1"/>
  <c r="T33" i="1"/>
  <c r="O33" i="1"/>
  <c r="W32" i="1"/>
  <c r="V32" i="1"/>
  <c r="U32" i="1"/>
  <c r="T32" i="1"/>
  <c r="O32" i="1"/>
  <c r="W30" i="1"/>
  <c r="V30" i="1"/>
  <c r="U30" i="1"/>
  <c r="T30" i="1"/>
  <c r="O30" i="1"/>
  <c r="W29" i="1"/>
  <c r="V29" i="1"/>
  <c r="U29" i="1"/>
  <c r="T29" i="1"/>
  <c r="O29" i="1"/>
  <c r="M29" i="1"/>
  <c r="W28" i="1"/>
  <c r="V28" i="1"/>
  <c r="U28" i="1"/>
  <c r="T28" i="1"/>
  <c r="O28" i="1"/>
  <c r="M28" i="1"/>
  <c r="W27" i="1"/>
  <c r="V27" i="1"/>
  <c r="U27" i="1"/>
  <c r="T27" i="1"/>
  <c r="O27" i="1"/>
  <c r="M27" i="1"/>
  <c r="D6" i="5" s="1"/>
  <c r="W26" i="1"/>
  <c r="V26" i="1"/>
  <c r="U26" i="1"/>
  <c r="T26" i="1"/>
  <c r="O26" i="1"/>
  <c r="M26" i="1"/>
  <c r="W25" i="1"/>
  <c r="V25" i="1"/>
  <c r="U25" i="1"/>
  <c r="T25" i="1"/>
  <c r="O25" i="1"/>
  <c r="M25" i="1"/>
  <c r="J25" i="1"/>
  <c r="W24" i="1"/>
  <c r="V24" i="1"/>
  <c r="U24" i="1"/>
  <c r="T24" i="1"/>
  <c r="O24" i="1"/>
  <c r="M24" i="1"/>
  <c r="J24" i="1"/>
  <c r="W23" i="1"/>
  <c r="V23" i="1"/>
  <c r="U23" i="1"/>
  <c r="T23" i="1"/>
  <c r="O23" i="1"/>
  <c r="W22" i="1"/>
  <c r="V22" i="1"/>
  <c r="U22" i="1"/>
  <c r="T22" i="1"/>
  <c r="O22" i="1"/>
  <c r="M22" i="1"/>
  <c r="J22" i="1"/>
  <c r="W21" i="1"/>
  <c r="V21" i="1"/>
  <c r="U21" i="1"/>
  <c r="T21" i="1"/>
  <c r="O21" i="1"/>
  <c r="M21" i="1"/>
  <c r="J21" i="1"/>
  <c r="W20" i="1"/>
  <c r="V20" i="1"/>
  <c r="U20" i="1"/>
  <c r="T20" i="1"/>
  <c r="O20" i="1"/>
  <c r="M20" i="1"/>
  <c r="J20" i="1"/>
  <c r="W19" i="1"/>
  <c r="V19" i="1"/>
  <c r="U19" i="1"/>
  <c r="T19" i="1"/>
  <c r="O19" i="1"/>
  <c r="W18" i="1"/>
  <c r="V18" i="1"/>
  <c r="U18" i="1"/>
  <c r="T18" i="1"/>
  <c r="O18" i="1"/>
  <c r="M18" i="1"/>
  <c r="J18" i="1"/>
  <c r="W17" i="1"/>
  <c r="V17" i="1"/>
  <c r="U17" i="1"/>
  <c r="T17" i="1"/>
  <c r="O17" i="1"/>
  <c r="M17" i="1"/>
  <c r="J17" i="1"/>
  <c r="W16" i="1"/>
  <c r="V16" i="1"/>
  <c r="U16" i="1"/>
  <c r="T16" i="1"/>
  <c r="O16" i="1"/>
  <c r="M16" i="1"/>
  <c r="J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V5" i="1"/>
  <c r="U5" i="1"/>
  <c r="T5" i="1"/>
  <c r="O5" i="1"/>
  <c r="D6" i="2" l="1"/>
  <c r="H108" i="4"/>
  <c r="I147" i="2"/>
  <c r="E6" i="2"/>
  <c r="K10" i="2"/>
  <c r="E12" i="2"/>
  <c r="J13" i="2"/>
  <c r="M14" i="2"/>
  <c r="G16" i="2"/>
  <c r="L17" i="2"/>
  <c r="C19" i="2"/>
  <c r="I20" i="2"/>
  <c r="B22" i="2"/>
  <c r="E23" i="2"/>
  <c r="K24" i="2"/>
  <c r="D26" i="2"/>
  <c r="G27" i="2"/>
  <c r="M28" i="2"/>
  <c r="F30" i="2"/>
  <c r="I31" i="2"/>
  <c r="C33" i="2"/>
  <c r="K34" i="2"/>
  <c r="G36" i="2"/>
  <c r="C38" i="2"/>
  <c r="K39" i="2"/>
  <c r="F41" i="2"/>
  <c r="B43" i="2"/>
  <c r="K44" i="2"/>
  <c r="I46" i="2"/>
  <c r="G48" i="2"/>
  <c r="E50" i="2"/>
  <c r="D52" i="2"/>
  <c r="B54" i="2"/>
  <c r="L55" i="2"/>
  <c r="J57" i="2"/>
  <c r="H59" i="2"/>
  <c r="G61" i="2"/>
  <c r="E63" i="2"/>
  <c r="C65" i="2"/>
  <c r="M66" i="2"/>
  <c r="L68" i="2"/>
  <c r="J70" i="2"/>
  <c r="H72" i="2"/>
  <c r="F74" i="2"/>
  <c r="D76" i="2"/>
  <c r="C78" i="2"/>
  <c r="D80" i="2"/>
  <c r="H83" i="2"/>
  <c r="J87" i="2"/>
  <c r="J91" i="2"/>
  <c r="B96" i="2"/>
  <c r="D102" i="2"/>
  <c r="C108" i="2"/>
  <c r="B114" i="2"/>
  <c r="M119" i="2"/>
  <c r="L125" i="2"/>
  <c r="K131" i="2"/>
  <c r="J137" i="2"/>
  <c r="L143" i="2"/>
  <c r="I151" i="2"/>
  <c r="E30" i="4"/>
  <c r="B11" i="3"/>
  <c r="E6" i="4"/>
  <c r="B10" i="3"/>
  <c r="I161" i="4"/>
  <c r="K160" i="4"/>
  <c r="M159" i="4"/>
  <c r="C159" i="4"/>
  <c r="E158" i="4"/>
  <c r="G157" i="4"/>
  <c r="I156" i="4"/>
  <c r="K155" i="4"/>
  <c r="M154" i="4"/>
  <c r="C154" i="4"/>
  <c r="E153" i="4"/>
  <c r="G152" i="4"/>
  <c r="I151" i="4"/>
  <c r="K150" i="4"/>
  <c r="M149" i="4"/>
  <c r="C149" i="4"/>
  <c r="E148" i="4"/>
  <c r="G147" i="4"/>
  <c r="I146" i="4"/>
  <c r="K145" i="4"/>
  <c r="M144" i="4"/>
  <c r="C144" i="4"/>
  <c r="E143" i="4"/>
  <c r="G142" i="4"/>
  <c r="I141" i="4"/>
  <c r="K140" i="4"/>
  <c r="M139" i="4"/>
  <c r="C139" i="4"/>
  <c r="E138" i="4"/>
  <c r="G137" i="4"/>
  <c r="I136" i="4"/>
  <c r="K135" i="4"/>
  <c r="M134" i="4"/>
  <c r="C134" i="4"/>
  <c r="E133" i="4"/>
  <c r="G132" i="4"/>
  <c r="I131" i="4"/>
  <c r="K130" i="4"/>
  <c r="M129" i="4"/>
  <c r="C129" i="4"/>
  <c r="E128" i="4"/>
  <c r="G127" i="4"/>
  <c r="I126" i="4"/>
  <c r="K125" i="4"/>
  <c r="M124" i="4"/>
  <c r="C124" i="4"/>
  <c r="E123" i="4"/>
  <c r="G122" i="4"/>
  <c r="I121" i="4"/>
  <c r="K120" i="4"/>
  <c r="M119" i="4"/>
  <c r="C119" i="4"/>
  <c r="E118" i="4"/>
  <c r="G117" i="4"/>
  <c r="I116" i="4"/>
  <c r="K115" i="4"/>
  <c r="M114" i="4"/>
  <c r="C114" i="4"/>
  <c r="E113" i="4"/>
  <c r="G112" i="4"/>
  <c r="I111" i="4"/>
  <c r="K110" i="4"/>
  <c r="M109" i="4"/>
  <c r="C109" i="4"/>
  <c r="E108" i="4"/>
  <c r="G107" i="4"/>
  <c r="I106" i="4"/>
  <c r="K105" i="4"/>
  <c r="M104" i="4"/>
  <c r="C104" i="4"/>
  <c r="E103" i="4"/>
  <c r="G102" i="4"/>
  <c r="I101" i="4"/>
  <c r="K100" i="4"/>
  <c r="M99" i="4"/>
  <c r="C99" i="4"/>
  <c r="H161" i="4"/>
  <c r="J160" i="4"/>
  <c r="L159" i="4"/>
  <c r="B159" i="4"/>
  <c r="D158" i="4"/>
  <c r="F157" i="4"/>
  <c r="H156" i="4"/>
  <c r="J155" i="4"/>
  <c r="L154" i="4"/>
  <c r="B154" i="4"/>
  <c r="D153" i="4"/>
  <c r="F152" i="4"/>
  <c r="H151" i="4"/>
  <c r="J150" i="4"/>
  <c r="L149" i="4"/>
  <c r="B149" i="4"/>
  <c r="D148" i="4"/>
  <c r="F147" i="4"/>
  <c r="H146" i="4"/>
  <c r="J145" i="4"/>
  <c r="L144" i="4"/>
  <c r="B144" i="4"/>
  <c r="D143" i="4"/>
  <c r="F142" i="4"/>
  <c r="H141" i="4"/>
  <c r="J140" i="4"/>
  <c r="L139" i="4"/>
  <c r="B139" i="4"/>
  <c r="D138" i="4"/>
  <c r="F137" i="4"/>
  <c r="H136" i="4"/>
  <c r="J135" i="4"/>
  <c r="L134" i="4"/>
  <c r="B134" i="4"/>
  <c r="D133" i="4"/>
  <c r="F132" i="4"/>
  <c r="H131" i="4"/>
  <c r="J130" i="4"/>
  <c r="L129" i="4"/>
  <c r="B129" i="4"/>
  <c r="D128" i="4"/>
  <c r="F127" i="4"/>
  <c r="H126" i="4"/>
  <c r="J125" i="4"/>
  <c r="L124" i="4"/>
  <c r="B124" i="4"/>
  <c r="D123" i="4"/>
  <c r="F122" i="4"/>
  <c r="H121" i="4"/>
  <c r="J120" i="4"/>
  <c r="L119" i="4"/>
  <c r="B119" i="4"/>
  <c r="D118" i="4"/>
  <c r="F117" i="4"/>
  <c r="H116" i="4"/>
  <c r="J115" i="4"/>
  <c r="L114" i="4"/>
  <c r="B114" i="4"/>
  <c r="D113" i="4"/>
  <c r="F112" i="4"/>
  <c r="H111" i="4"/>
  <c r="J110" i="4"/>
  <c r="L109" i="4"/>
  <c r="B109" i="4"/>
  <c r="D108" i="4"/>
  <c r="F107" i="4"/>
  <c r="H106" i="4"/>
  <c r="J105" i="4"/>
  <c r="L104" i="4"/>
  <c r="B104" i="4"/>
  <c r="D103" i="4"/>
  <c r="F102" i="4"/>
  <c r="H101" i="4"/>
  <c r="J100" i="4"/>
  <c r="L99" i="4"/>
  <c r="B99" i="4"/>
  <c r="G161" i="4"/>
  <c r="I160" i="4"/>
  <c r="K159" i="4"/>
  <c r="M158" i="4"/>
  <c r="C158" i="4"/>
  <c r="E157" i="4"/>
  <c r="G156" i="4"/>
  <c r="I155" i="4"/>
  <c r="K154" i="4"/>
  <c r="M153" i="4"/>
  <c r="C153" i="4"/>
  <c r="E152" i="4"/>
  <c r="G151" i="4"/>
  <c r="I150" i="4"/>
  <c r="K149" i="4"/>
  <c r="M148" i="4"/>
  <c r="C148" i="4"/>
  <c r="E147" i="4"/>
  <c r="G146" i="4"/>
  <c r="I145" i="4"/>
  <c r="K144" i="4"/>
  <c r="M143" i="4"/>
  <c r="C143" i="4"/>
  <c r="E142" i="4"/>
  <c r="G141" i="4"/>
  <c r="I140" i="4"/>
  <c r="K139" i="4"/>
  <c r="M138" i="4"/>
  <c r="C138" i="4"/>
  <c r="E137" i="4"/>
  <c r="G136" i="4"/>
  <c r="I135" i="4"/>
  <c r="K134" i="4"/>
  <c r="M133" i="4"/>
  <c r="C133" i="4"/>
  <c r="E132" i="4"/>
  <c r="G131" i="4"/>
  <c r="I130" i="4"/>
  <c r="K129" i="4"/>
  <c r="M128" i="4"/>
  <c r="C128" i="4"/>
  <c r="E127" i="4"/>
  <c r="G126" i="4"/>
  <c r="I125" i="4"/>
  <c r="K124" i="4"/>
  <c r="M123" i="4"/>
  <c r="C123" i="4"/>
  <c r="E122" i="4"/>
  <c r="G121" i="4"/>
  <c r="I120" i="4"/>
  <c r="K119" i="4"/>
  <c r="M118" i="4"/>
  <c r="C118" i="4"/>
  <c r="E117" i="4"/>
  <c r="G116" i="4"/>
  <c r="I115" i="4"/>
  <c r="K114" i="4"/>
  <c r="L161" i="4"/>
  <c r="B161" i="4"/>
  <c r="D160" i="4"/>
  <c r="F159" i="4"/>
  <c r="H158" i="4"/>
  <c r="J157" i="4"/>
  <c r="L156" i="4"/>
  <c r="B156" i="4"/>
  <c r="D155" i="4"/>
  <c r="F154" i="4"/>
  <c r="H153" i="4"/>
  <c r="J152" i="4"/>
  <c r="L151" i="4"/>
  <c r="B151" i="4"/>
  <c r="D150" i="4"/>
  <c r="F149" i="4"/>
  <c r="H148" i="4"/>
  <c r="J147" i="4"/>
  <c r="L146" i="4"/>
  <c r="B146" i="4"/>
  <c r="D145" i="4"/>
  <c r="F144" i="4"/>
  <c r="H143" i="4"/>
  <c r="J142" i="4"/>
  <c r="L141" i="4"/>
  <c r="B141" i="4"/>
  <c r="D140" i="4"/>
  <c r="F139" i="4"/>
  <c r="H138" i="4"/>
  <c r="J137" i="4"/>
  <c r="L136" i="4"/>
  <c r="B136" i="4"/>
  <c r="D135" i="4"/>
  <c r="F134" i="4"/>
  <c r="H133" i="4"/>
  <c r="J132" i="4"/>
  <c r="L131" i="4"/>
  <c r="B131" i="4"/>
  <c r="D130" i="4"/>
  <c r="F129" i="4"/>
  <c r="H128" i="4"/>
  <c r="J127" i="4"/>
  <c r="L126" i="4"/>
  <c r="B126" i="4"/>
  <c r="D125" i="4"/>
  <c r="F124" i="4"/>
  <c r="H123" i="4"/>
  <c r="J122" i="4"/>
  <c r="L121" i="4"/>
  <c r="B121" i="4"/>
  <c r="D120" i="4"/>
  <c r="F119" i="4"/>
  <c r="H118" i="4"/>
  <c r="J117" i="4"/>
  <c r="L116" i="4"/>
  <c r="B116" i="4"/>
  <c r="D115" i="4"/>
  <c r="F114" i="4"/>
  <c r="J161" i="4"/>
  <c r="L160" i="4"/>
  <c r="B160" i="4"/>
  <c r="D159" i="4"/>
  <c r="F158" i="4"/>
  <c r="H157" i="4"/>
  <c r="J156" i="4"/>
  <c r="L155" i="4"/>
  <c r="B155" i="4"/>
  <c r="D154" i="4"/>
  <c r="F153" i="4"/>
  <c r="H152" i="4"/>
  <c r="J151" i="4"/>
  <c r="L150" i="4"/>
  <c r="B150" i="4"/>
  <c r="D149" i="4"/>
  <c r="F148" i="4"/>
  <c r="H147" i="4"/>
  <c r="J146" i="4"/>
  <c r="L145" i="4"/>
  <c r="B145" i="4"/>
  <c r="D144" i="4"/>
  <c r="F143" i="4"/>
  <c r="H142" i="4"/>
  <c r="J141" i="4"/>
  <c r="L140" i="4"/>
  <c r="B140" i="4"/>
  <c r="F161" i="4"/>
  <c r="J159" i="4"/>
  <c r="B158" i="4"/>
  <c r="F156" i="4"/>
  <c r="J154" i="4"/>
  <c r="B153" i="4"/>
  <c r="F151" i="4"/>
  <c r="J149" i="4"/>
  <c r="B148" i="4"/>
  <c r="F146" i="4"/>
  <c r="J144" i="4"/>
  <c r="B143" i="4"/>
  <c r="F141" i="4"/>
  <c r="J139" i="4"/>
  <c r="G138" i="4"/>
  <c r="B137" i="4"/>
  <c r="H135" i="4"/>
  <c r="E134" i="4"/>
  <c r="L132" i="4"/>
  <c r="F131" i="4"/>
  <c r="C130" i="4"/>
  <c r="J128" i="4"/>
  <c r="D127" i="4"/>
  <c r="M125" i="4"/>
  <c r="H124" i="4"/>
  <c r="B123" i="4"/>
  <c r="K121" i="4"/>
  <c r="F120" i="4"/>
  <c r="L118" i="4"/>
  <c r="I117" i="4"/>
  <c r="D116" i="4"/>
  <c r="J114" i="4"/>
  <c r="I113" i="4"/>
  <c r="I112" i="4"/>
  <c r="G111" i="4"/>
  <c r="G110" i="4"/>
  <c r="G109" i="4"/>
  <c r="G108" i="4"/>
  <c r="E107" i="4"/>
  <c r="E106" i="4"/>
  <c r="E105" i="4"/>
  <c r="E104" i="4"/>
  <c r="C103" i="4"/>
  <c r="C102" i="4"/>
  <c r="C101" i="4"/>
  <c r="C100" i="4"/>
  <c r="M98" i="4"/>
  <c r="C98" i="4"/>
  <c r="E97" i="4"/>
  <c r="G96" i="4"/>
  <c r="I95" i="4"/>
  <c r="K94" i="4"/>
  <c r="M93" i="4"/>
  <c r="C93" i="4"/>
  <c r="E92" i="4"/>
  <c r="G91" i="4"/>
  <c r="I90" i="4"/>
  <c r="K89" i="4"/>
  <c r="M88" i="4"/>
  <c r="C88" i="4"/>
  <c r="E87" i="4"/>
  <c r="G86" i="4"/>
  <c r="I85" i="4"/>
  <c r="K84" i="4"/>
  <c r="M83" i="4"/>
  <c r="C83" i="4"/>
  <c r="E82" i="4"/>
  <c r="G81" i="4"/>
  <c r="I80" i="4"/>
  <c r="K79" i="4"/>
  <c r="M78" i="4"/>
  <c r="C78" i="4"/>
  <c r="E77" i="4"/>
  <c r="G76" i="4"/>
  <c r="I75" i="4"/>
  <c r="K74" i="4"/>
  <c r="M73" i="4"/>
  <c r="C73" i="4"/>
  <c r="E72" i="4"/>
  <c r="G71" i="4"/>
  <c r="I70" i="4"/>
  <c r="K69" i="4"/>
  <c r="M68" i="4"/>
  <c r="C68" i="4"/>
  <c r="E67" i="4"/>
  <c r="G66" i="4"/>
  <c r="I65" i="4"/>
  <c r="K64" i="4"/>
  <c r="M63" i="4"/>
  <c r="C63" i="4"/>
  <c r="E62" i="4"/>
  <c r="G61" i="4"/>
  <c r="I60" i="4"/>
  <c r="K59" i="4"/>
  <c r="M58" i="4"/>
  <c r="C58" i="4"/>
  <c r="E57" i="4"/>
  <c r="G56" i="4"/>
  <c r="I55" i="4"/>
  <c r="K54" i="4"/>
  <c r="M53" i="4"/>
  <c r="C53" i="4"/>
  <c r="E52" i="4"/>
  <c r="G51" i="4"/>
  <c r="I50" i="4"/>
  <c r="K49" i="4"/>
  <c r="M48" i="4"/>
  <c r="C48" i="4"/>
  <c r="E47" i="4"/>
  <c r="G46" i="4"/>
  <c r="I45" i="4"/>
  <c r="K44" i="4"/>
  <c r="M43" i="4"/>
  <c r="C43" i="4"/>
  <c r="E42" i="4"/>
  <c r="G41" i="4"/>
  <c r="I40" i="4"/>
  <c r="K39" i="4"/>
  <c r="M38" i="4"/>
  <c r="C38" i="4"/>
  <c r="E37" i="4"/>
  <c r="G36" i="4"/>
  <c r="I35" i="4"/>
  <c r="K34" i="4"/>
  <c r="M33" i="4"/>
  <c r="C33" i="4"/>
  <c r="E32" i="4"/>
  <c r="G31" i="4"/>
  <c r="I30" i="4"/>
  <c r="K29" i="4"/>
  <c r="M28" i="4"/>
  <c r="C28" i="4"/>
  <c r="E27" i="4"/>
  <c r="G26" i="4"/>
  <c r="I25" i="4"/>
  <c r="E161" i="4"/>
  <c r="I159" i="4"/>
  <c r="M157" i="4"/>
  <c r="E156" i="4"/>
  <c r="I154" i="4"/>
  <c r="M152" i="4"/>
  <c r="E151" i="4"/>
  <c r="I149" i="4"/>
  <c r="M147" i="4"/>
  <c r="E146" i="4"/>
  <c r="I144" i="4"/>
  <c r="M142" i="4"/>
  <c r="E141" i="4"/>
  <c r="I139" i="4"/>
  <c r="F138" i="4"/>
  <c r="M136" i="4"/>
  <c r="G135" i="4"/>
  <c r="D134" i="4"/>
  <c r="K132" i="4"/>
  <c r="E131" i="4"/>
  <c r="B130" i="4"/>
  <c r="I128" i="4"/>
  <c r="C127" i="4"/>
  <c r="L125" i="4"/>
  <c r="G124" i="4"/>
  <c r="M122" i="4"/>
  <c r="J121" i="4"/>
  <c r="E120" i="4"/>
  <c r="K118" i="4"/>
  <c r="H117" i="4"/>
  <c r="C116" i="4"/>
  <c r="I114" i="4"/>
  <c r="H113" i="4"/>
  <c r="H112" i="4"/>
  <c r="F111" i="4"/>
  <c r="F110" i="4"/>
  <c r="F109" i="4"/>
  <c r="F108" i="4"/>
  <c r="D107" i="4"/>
  <c r="D106" i="4"/>
  <c r="D105" i="4"/>
  <c r="D104" i="4"/>
  <c r="B103" i="4"/>
  <c r="B102" i="4"/>
  <c r="B101" i="4"/>
  <c r="B100" i="4"/>
  <c r="L98" i="4"/>
  <c r="B98" i="4"/>
  <c r="D97" i="4"/>
  <c r="F96" i="4"/>
  <c r="H95" i="4"/>
  <c r="J94" i="4"/>
  <c r="L93" i="4"/>
  <c r="B93" i="4"/>
  <c r="D92" i="4"/>
  <c r="F91" i="4"/>
  <c r="H90" i="4"/>
  <c r="J89" i="4"/>
  <c r="L88" i="4"/>
  <c r="B88" i="4"/>
  <c r="D87" i="4"/>
  <c r="F86" i="4"/>
  <c r="H85" i="4"/>
  <c r="J84" i="4"/>
  <c r="L83" i="4"/>
  <c r="B83" i="4"/>
  <c r="D82" i="4"/>
  <c r="F81" i="4"/>
  <c r="H80" i="4"/>
  <c r="J79" i="4"/>
  <c r="L78" i="4"/>
  <c r="B78" i="4"/>
  <c r="D77" i="4"/>
  <c r="F76" i="4"/>
  <c r="H75" i="4"/>
  <c r="J74" i="4"/>
  <c r="L73" i="4"/>
  <c r="B73" i="4"/>
  <c r="D72" i="4"/>
  <c r="F71" i="4"/>
  <c r="H70" i="4"/>
  <c r="J69" i="4"/>
  <c r="L68" i="4"/>
  <c r="B68" i="4"/>
  <c r="D67" i="4"/>
  <c r="F66" i="4"/>
  <c r="H65" i="4"/>
  <c r="J64" i="4"/>
  <c r="L63" i="4"/>
  <c r="B63" i="4"/>
  <c r="D62" i="4"/>
  <c r="F61" i="4"/>
  <c r="H60" i="4"/>
  <c r="J59" i="4"/>
  <c r="L58" i="4"/>
  <c r="B58" i="4"/>
  <c r="D57" i="4"/>
  <c r="F56" i="4"/>
  <c r="H55" i="4"/>
  <c r="J54" i="4"/>
  <c r="L53" i="4"/>
  <c r="B53" i="4"/>
  <c r="D52" i="4"/>
  <c r="F51" i="4"/>
  <c r="H50" i="4"/>
  <c r="J49" i="4"/>
  <c r="L48" i="4"/>
  <c r="B48" i="4"/>
  <c r="D47" i="4"/>
  <c r="F46" i="4"/>
  <c r="H45" i="4"/>
  <c r="J44" i="4"/>
  <c r="L43" i="4"/>
  <c r="B43" i="4"/>
  <c r="D42" i="4"/>
  <c r="F41" i="4"/>
  <c r="H40" i="4"/>
  <c r="J39" i="4"/>
  <c r="L38" i="4"/>
  <c r="B38" i="4"/>
  <c r="D37" i="4"/>
  <c r="F36" i="4"/>
  <c r="H35" i="4"/>
  <c r="J34" i="4"/>
  <c r="L33" i="4"/>
  <c r="B33" i="4"/>
  <c r="D32" i="4"/>
  <c r="F31" i="4"/>
  <c r="H30" i="4"/>
  <c r="J29" i="4"/>
  <c r="L28" i="4"/>
  <c r="B28" i="4"/>
  <c r="D27" i="4"/>
  <c r="F26" i="4"/>
  <c r="H25" i="4"/>
  <c r="J24" i="4"/>
  <c r="L23" i="4"/>
  <c r="B23" i="4"/>
  <c r="D22" i="4"/>
  <c r="F21" i="4"/>
  <c r="H20" i="4"/>
  <c r="J19" i="4"/>
  <c r="L18" i="4"/>
  <c r="B18" i="4"/>
  <c r="D17" i="4"/>
  <c r="F16" i="4"/>
  <c r="H15" i="4"/>
  <c r="J14" i="4"/>
  <c r="L13" i="4"/>
  <c r="B13" i="4"/>
  <c r="D161" i="4"/>
  <c r="H159" i="4"/>
  <c r="L157" i="4"/>
  <c r="D156" i="4"/>
  <c r="H154" i="4"/>
  <c r="L152" i="4"/>
  <c r="D151" i="4"/>
  <c r="H149" i="4"/>
  <c r="L147" i="4"/>
  <c r="D146" i="4"/>
  <c r="H144" i="4"/>
  <c r="L142" i="4"/>
  <c r="D141" i="4"/>
  <c r="H139" i="4"/>
  <c r="B138" i="4"/>
  <c r="K136" i="4"/>
  <c r="F135" i="4"/>
  <c r="L133" i="4"/>
  <c r="I132" i="4"/>
  <c r="D131" i="4"/>
  <c r="J129" i="4"/>
  <c r="G128" i="4"/>
  <c r="B127" i="4"/>
  <c r="H125" i="4"/>
  <c r="E124" i="4"/>
  <c r="L122" i="4"/>
  <c r="F121" i="4"/>
  <c r="C120" i="4"/>
  <c r="J118" i="4"/>
  <c r="D117" i="4"/>
  <c r="M115" i="4"/>
  <c r="H114" i="4"/>
  <c r="G113" i="4"/>
  <c r="E112" i="4"/>
  <c r="E111" i="4"/>
  <c r="E110" i="4"/>
  <c r="E109" i="4"/>
  <c r="C108" i="4"/>
  <c r="C107" i="4"/>
  <c r="C106" i="4"/>
  <c r="C105" i="4"/>
  <c r="M103" i="4"/>
  <c r="M102" i="4"/>
  <c r="M101" i="4"/>
  <c r="M100" i="4"/>
  <c r="K99" i="4"/>
  <c r="K98" i="4"/>
  <c r="M97" i="4"/>
  <c r="C97" i="4"/>
  <c r="E96" i="4"/>
  <c r="G95" i="4"/>
  <c r="I94" i="4"/>
  <c r="K93" i="4"/>
  <c r="M92" i="4"/>
  <c r="C92" i="4"/>
  <c r="E91" i="4"/>
  <c r="G90" i="4"/>
  <c r="I89" i="4"/>
  <c r="K88" i="4"/>
  <c r="M87" i="4"/>
  <c r="C87" i="4"/>
  <c r="E86" i="4"/>
  <c r="G85" i="4"/>
  <c r="I84" i="4"/>
  <c r="K83" i="4"/>
  <c r="M82" i="4"/>
  <c r="C82" i="4"/>
  <c r="E81" i="4"/>
  <c r="G80" i="4"/>
  <c r="I79" i="4"/>
  <c r="K78" i="4"/>
  <c r="M77" i="4"/>
  <c r="C77" i="4"/>
  <c r="E76" i="4"/>
  <c r="G75" i="4"/>
  <c r="I74" i="4"/>
  <c r="K73" i="4"/>
  <c r="M72" i="4"/>
  <c r="C72" i="4"/>
  <c r="E71" i="4"/>
  <c r="G70" i="4"/>
  <c r="I69" i="4"/>
  <c r="K68" i="4"/>
  <c r="M67" i="4"/>
  <c r="C67" i="4"/>
  <c r="E66" i="4"/>
  <c r="G65" i="4"/>
  <c r="I64" i="4"/>
  <c r="K63" i="4"/>
  <c r="M62" i="4"/>
  <c r="C62" i="4"/>
  <c r="E61" i="4"/>
  <c r="G60" i="4"/>
  <c r="I59" i="4"/>
  <c r="K58" i="4"/>
  <c r="M57" i="4"/>
  <c r="C57" i="4"/>
  <c r="E56" i="4"/>
  <c r="G55" i="4"/>
  <c r="I54" i="4"/>
  <c r="K53" i="4"/>
  <c r="M52" i="4"/>
  <c r="C52" i="4"/>
  <c r="E51" i="4"/>
  <c r="G50" i="4"/>
  <c r="I49" i="4"/>
  <c r="K48" i="4"/>
  <c r="M47" i="4"/>
  <c r="C47" i="4"/>
  <c r="E46" i="4"/>
  <c r="G45" i="4"/>
  <c r="I44" i="4"/>
  <c r="K43" i="4"/>
  <c r="M42" i="4"/>
  <c r="C42" i="4"/>
  <c r="E41" i="4"/>
  <c r="G40" i="4"/>
  <c r="I39" i="4"/>
  <c r="K38" i="4"/>
  <c r="M37" i="4"/>
  <c r="C37" i="4"/>
  <c r="E36" i="4"/>
  <c r="G35" i="4"/>
  <c r="I34" i="4"/>
  <c r="K33" i="4"/>
  <c r="M32" i="4"/>
  <c r="C32" i="4"/>
  <c r="E31" i="4"/>
  <c r="G30" i="4"/>
  <c r="I29" i="4"/>
  <c r="F160" i="4"/>
  <c r="J158" i="4"/>
  <c r="B157" i="4"/>
  <c r="F155" i="4"/>
  <c r="J153" i="4"/>
  <c r="B152" i="4"/>
  <c r="F150" i="4"/>
  <c r="J148" i="4"/>
  <c r="B147" i="4"/>
  <c r="F145" i="4"/>
  <c r="J143" i="4"/>
  <c r="B142" i="4"/>
  <c r="F140" i="4"/>
  <c r="K138" i="4"/>
  <c r="H137" i="4"/>
  <c r="C136" i="4"/>
  <c r="I134" i="4"/>
  <c r="F133" i="4"/>
  <c r="M131" i="4"/>
  <c r="G130" i="4"/>
  <c r="D129" i="4"/>
  <c r="K127" i="4"/>
  <c r="E126" i="4"/>
  <c r="B125" i="4"/>
  <c r="I123" i="4"/>
  <c r="C122" i="4"/>
  <c r="L120" i="4"/>
  <c r="G119" i="4"/>
  <c r="M117" i="4"/>
  <c r="J116" i="4"/>
  <c r="E115" i="4"/>
  <c r="L113" i="4"/>
  <c r="L112" i="4"/>
  <c r="L111" i="4"/>
  <c r="L110" i="4"/>
  <c r="J109" i="4"/>
  <c r="J108" i="4"/>
  <c r="J107" i="4"/>
  <c r="J106" i="4"/>
  <c r="H105" i="4"/>
  <c r="H104" i="4"/>
  <c r="H103" i="4"/>
  <c r="H102" i="4"/>
  <c r="F101" i="4"/>
  <c r="F100" i="4"/>
  <c r="F99" i="4"/>
  <c r="F98" i="4"/>
  <c r="H97" i="4"/>
  <c r="J96" i="4"/>
  <c r="L95" i="4"/>
  <c r="B95" i="4"/>
  <c r="D94" i="4"/>
  <c r="F93" i="4"/>
  <c r="H92" i="4"/>
  <c r="J91" i="4"/>
  <c r="L90" i="4"/>
  <c r="B90" i="4"/>
  <c r="D89" i="4"/>
  <c r="F88" i="4"/>
  <c r="H87" i="4"/>
  <c r="J86" i="4"/>
  <c r="L85" i="4"/>
  <c r="B85" i="4"/>
  <c r="D84" i="4"/>
  <c r="F83" i="4"/>
  <c r="H82" i="4"/>
  <c r="J81" i="4"/>
  <c r="L80" i="4"/>
  <c r="B80" i="4"/>
  <c r="D79" i="4"/>
  <c r="F78" i="4"/>
  <c r="H77" i="4"/>
  <c r="J76" i="4"/>
  <c r="L75" i="4"/>
  <c r="B75" i="4"/>
  <c r="D74" i="4"/>
  <c r="F73" i="4"/>
  <c r="H72" i="4"/>
  <c r="J71" i="4"/>
  <c r="L70" i="4"/>
  <c r="B70" i="4"/>
  <c r="D69" i="4"/>
  <c r="F68" i="4"/>
  <c r="H67" i="4"/>
  <c r="J66" i="4"/>
  <c r="L65" i="4"/>
  <c r="B65" i="4"/>
  <c r="D64" i="4"/>
  <c r="F63" i="4"/>
  <c r="H62" i="4"/>
  <c r="J61" i="4"/>
  <c r="L60" i="4"/>
  <c r="B60" i="4"/>
  <c r="D59" i="4"/>
  <c r="F58" i="4"/>
  <c r="H57" i="4"/>
  <c r="J56" i="4"/>
  <c r="L55" i="4"/>
  <c r="B55" i="4"/>
  <c r="D54" i="4"/>
  <c r="F53" i="4"/>
  <c r="H52" i="4"/>
  <c r="J51" i="4"/>
  <c r="L50" i="4"/>
  <c r="B50" i="4"/>
  <c r="D49" i="4"/>
  <c r="F48" i="4"/>
  <c r="H47" i="4"/>
  <c r="J46" i="4"/>
  <c r="L45" i="4"/>
  <c r="B45" i="4"/>
  <c r="D44" i="4"/>
  <c r="F43" i="4"/>
  <c r="H42" i="4"/>
  <c r="J41" i="4"/>
  <c r="L40" i="4"/>
  <c r="G160" i="4"/>
  <c r="I157" i="4"/>
  <c r="C155" i="4"/>
  <c r="C152" i="4"/>
  <c r="E149" i="4"/>
  <c r="K146" i="4"/>
  <c r="K143" i="4"/>
  <c r="M140" i="4"/>
  <c r="I138" i="4"/>
  <c r="D136" i="4"/>
  <c r="J133" i="4"/>
  <c r="J131" i="4"/>
  <c r="E129" i="4"/>
  <c r="K126" i="4"/>
  <c r="I124" i="4"/>
  <c r="D122" i="4"/>
  <c r="J119" i="4"/>
  <c r="K117" i="4"/>
  <c r="F115" i="4"/>
  <c r="C113" i="4"/>
  <c r="J111" i="4"/>
  <c r="K109" i="4"/>
  <c r="M107" i="4"/>
  <c r="F106" i="4"/>
  <c r="I104" i="4"/>
  <c r="K102" i="4"/>
  <c r="D101" i="4"/>
  <c r="G99" i="4"/>
  <c r="K97" i="4"/>
  <c r="H96" i="4"/>
  <c r="C95" i="4"/>
  <c r="I93" i="4"/>
  <c r="F92" i="4"/>
  <c r="M90" i="4"/>
  <c r="G89" i="4"/>
  <c r="D88" i="4"/>
  <c r="K86" i="4"/>
  <c r="E85" i="4"/>
  <c r="B84" i="4"/>
  <c r="I82" i="4"/>
  <c r="C81" i="4"/>
  <c r="L79" i="4"/>
  <c r="G78" i="4"/>
  <c r="M76" i="4"/>
  <c r="J75" i="4"/>
  <c r="E74" i="4"/>
  <c r="K72" i="4"/>
  <c r="H71" i="4"/>
  <c r="C70" i="4"/>
  <c r="I68" i="4"/>
  <c r="F67" i="4"/>
  <c r="M65" i="4"/>
  <c r="G64" i="4"/>
  <c r="D63" i="4"/>
  <c r="K61" i="4"/>
  <c r="E60" i="4"/>
  <c r="B59" i="4"/>
  <c r="I57" i="4"/>
  <c r="C56" i="4"/>
  <c r="L54" i="4"/>
  <c r="G53" i="4"/>
  <c r="M51" i="4"/>
  <c r="J50" i="4"/>
  <c r="E49" i="4"/>
  <c r="K47" i="4"/>
  <c r="H46" i="4"/>
  <c r="C45" i="4"/>
  <c r="I43" i="4"/>
  <c r="F42" i="4"/>
  <c r="M40" i="4"/>
  <c r="H39" i="4"/>
  <c r="G38" i="4"/>
  <c r="F37" i="4"/>
  <c r="B36" i="4"/>
  <c r="M34" i="4"/>
  <c r="I33" i="4"/>
  <c r="H32" i="4"/>
  <c r="D31" i="4"/>
  <c r="C30" i="4"/>
  <c r="B29" i="4"/>
  <c r="L27" i="4"/>
  <c r="L26" i="4"/>
  <c r="L25" i="4"/>
  <c r="L24" i="4"/>
  <c r="M23" i="4"/>
  <c r="M22" i="4"/>
  <c r="B22" i="4"/>
  <c r="C21" i="4"/>
  <c r="D20" i="4"/>
  <c r="E19" i="4"/>
  <c r="F18" i="4"/>
  <c r="G17" i="4"/>
  <c r="H16" i="4"/>
  <c r="I15" i="4"/>
  <c r="I14" i="4"/>
  <c r="J13" i="4"/>
  <c r="E160" i="4"/>
  <c r="D157" i="4"/>
  <c r="G154" i="4"/>
  <c r="M151" i="4"/>
  <c r="L148" i="4"/>
  <c r="C146" i="4"/>
  <c r="I143" i="4"/>
  <c r="H140" i="4"/>
  <c r="M137" i="4"/>
  <c r="M135" i="4"/>
  <c r="I133" i="4"/>
  <c r="C131" i="4"/>
  <c r="L128" i="4"/>
  <c r="J126" i="4"/>
  <c r="D124" i="4"/>
  <c r="B122" i="4"/>
  <c r="I119" i="4"/>
  <c r="C117" i="4"/>
  <c r="C115" i="4"/>
  <c r="B113" i="4"/>
  <c r="D111" i="4"/>
  <c r="I109" i="4"/>
  <c r="L107" i="4"/>
  <c r="B106" i="4"/>
  <c r="G104" i="4"/>
  <c r="J102" i="4"/>
  <c r="L100" i="4"/>
  <c r="E99" i="4"/>
  <c r="J97" i="4"/>
  <c r="D96" i="4"/>
  <c r="M94" i="4"/>
  <c r="H93" i="4"/>
  <c r="B92" i="4"/>
  <c r="K90" i="4"/>
  <c r="F89" i="4"/>
  <c r="L87" i="4"/>
  <c r="I86" i="4"/>
  <c r="D85" i="4"/>
  <c r="J83" i="4"/>
  <c r="G82" i="4"/>
  <c r="B81" i="4"/>
  <c r="H79" i="4"/>
  <c r="E78" i="4"/>
  <c r="L76" i="4"/>
  <c r="F75" i="4"/>
  <c r="C74" i="4"/>
  <c r="J72" i="4"/>
  <c r="D71" i="4"/>
  <c r="M69" i="4"/>
  <c r="H68" i="4"/>
  <c r="B67" i="4"/>
  <c r="K65" i="4"/>
  <c r="F64" i="4"/>
  <c r="L62" i="4"/>
  <c r="I61" i="4"/>
  <c r="D60" i="4"/>
  <c r="J58" i="4"/>
  <c r="G57" i="4"/>
  <c r="B56" i="4"/>
  <c r="H54" i="4"/>
  <c r="E53" i="4"/>
  <c r="L51" i="4"/>
  <c r="F50" i="4"/>
  <c r="C49" i="4"/>
  <c r="J47" i="4"/>
  <c r="D46" i="4"/>
  <c r="M44" i="4"/>
  <c r="H43" i="4"/>
  <c r="B42" i="4"/>
  <c r="K40" i="4"/>
  <c r="G39" i="4"/>
  <c r="F38" i="4"/>
  <c r="B37" i="4"/>
  <c r="M35" i="4"/>
  <c r="L34" i="4"/>
  <c r="H33" i="4"/>
  <c r="G32" i="4"/>
  <c r="C31" i="4"/>
  <c r="B30" i="4"/>
  <c r="K28" i="4"/>
  <c r="K27" i="4"/>
  <c r="K26" i="4"/>
  <c r="K25" i="4"/>
  <c r="K24" i="4"/>
  <c r="K23" i="4"/>
  <c r="L22" i="4"/>
  <c r="M21" i="4"/>
  <c r="B21" i="4"/>
  <c r="C20" i="4"/>
  <c r="D19" i="4"/>
  <c r="E18" i="4"/>
  <c r="F17" i="4"/>
  <c r="G16" i="4"/>
  <c r="G15" i="4"/>
  <c r="H14" i="4"/>
  <c r="I13" i="4"/>
  <c r="C160" i="4"/>
  <c r="C157" i="4"/>
  <c r="E154" i="4"/>
  <c r="K151" i="4"/>
  <c r="K148" i="4"/>
  <c r="M145" i="4"/>
  <c r="G143" i="4"/>
  <c r="G140" i="4"/>
  <c r="L137" i="4"/>
  <c r="L135" i="4"/>
  <c r="G133" i="4"/>
  <c r="M130" i="4"/>
  <c r="K128" i="4"/>
  <c r="F126" i="4"/>
  <c r="L123" i="4"/>
  <c r="M121" i="4"/>
  <c r="H119" i="4"/>
  <c r="B117" i="4"/>
  <c r="B115" i="4"/>
  <c r="M112" i="4"/>
  <c r="C111" i="4"/>
  <c r="H109" i="4"/>
  <c r="K107" i="4"/>
  <c r="M105" i="4"/>
  <c r="F104" i="4"/>
  <c r="I102" i="4"/>
  <c r="I100" i="4"/>
  <c r="D99" i="4"/>
  <c r="I97" i="4"/>
  <c r="C96" i="4"/>
  <c r="L94" i="4"/>
  <c r="G93" i="4"/>
  <c r="M91" i="4"/>
  <c r="J90" i="4"/>
  <c r="E89" i="4"/>
  <c r="K87" i="4"/>
  <c r="H86" i="4"/>
  <c r="C85" i="4"/>
  <c r="I83" i="4"/>
  <c r="F82" i="4"/>
  <c r="M80" i="4"/>
  <c r="G79" i="4"/>
  <c r="D78" i="4"/>
  <c r="K76" i="4"/>
  <c r="E75" i="4"/>
  <c r="B74" i="4"/>
  <c r="I72" i="4"/>
  <c r="C71" i="4"/>
  <c r="L69" i="4"/>
  <c r="G68" i="4"/>
  <c r="M66" i="4"/>
  <c r="J65" i="4"/>
  <c r="E64" i="4"/>
  <c r="K62" i="4"/>
  <c r="H61" i="4"/>
  <c r="C60" i="4"/>
  <c r="I58" i="4"/>
  <c r="F57" i="4"/>
  <c r="M55" i="4"/>
  <c r="G54" i="4"/>
  <c r="D53" i="4"/>
  <c r="K51" i="4"/>
  <c r="E50" i="4"/>
  <c r="B49" i="4"/>
  <c r="I47" i="4"/>
  <c r="C46" i="4"/>
  <c r="L44" i="4"/>
  <c r="G43" i="4"/>
  <c r="M41" i="4"/>
  <c r="J40" i="4"/>
  <c r="F39" i="4"/>
  <c r="E38" i="4"/>
  <c r="M36" i="4"/>
  <c r="L35" i="4"/>
  <c r="H34" i="4"/>
  <c r="G33" i="4"/>
  <c r="F32" i="4"/>
  <c r="B31" i="4"/>
  <c r="M29" i="4"/>
  <c r="J28" i="4"/>
  <c r="J27" i="4"/>
  <c r="J26" i="4"/>
  <c r="J25" i="4"/>
  <c r="I24" i="4"/>
  <c r="J23" i="4"/>
  <c r="K22" i="4"/>
  <c r="L21" i="4"/>
  <c r="M20" i="4"/>
  <c r="B20" i="4"/>
  <c r="C19" i="4"/>
  <c r="D18" i="4"/>
  <c r="E17" i="4"/>
  <c r="E16" i="4"/>
  <c r="F15" i="4"/>
  <c r="G14" i="4"/>
  <c r="H13" i="4"/>
  <c r="E159" i="4"/>
  <c r="K156" i="4"/>
  <c r="K153" i="4"/>
  <c r="M150" i="4"/>
  <c r="G148" i="4"/>
  <c r="G145" i="4"/>
  <c r="I142" i="4"/>
  <c r="C140" i="4"/>
  <c r="I137" i="4"/>
  <c r="C135" i="4"/>
  <c r="M132" i="4"/>
  <c r="H130" i="4"/>
  <c r="B128" i="4"/>
  <c r="C126" i="4"/>
  <c r="J123" i="4"/>
  <c r="D121" i="4"/>
  <c r="D119" i="4"/>
  <c r="K116" i="4"/>
  <c r="E114" i="4"/>
  <c r="J112" i="4"/>
  <c r="M110" i="4"/>
  <c r="M108" i="4"/>
  <c r="H107" i="4"/>
  <c r="I105" i="4"/>
  <c r="K103" i="4"/>
  <c r="D102" i="4"/>
  <c r="G100" i="4"/>
  <c r="I98" i="4"/>
  <c r="F97" i="4"/>
  <c r="M95" i="4"/>
  <c r="G94" i="4"/>
  <c r="D93" i="4"/>
  <c r="K91" i="4"/>
  <c r="E90" i="4"/>
  <c r="B89" i="4"/>
  <c r="I87" i="4"/>
  <c r="C86" i="4"/>
  <c r="L84" i="4"/>
  <c r="G83" i="4"/>
  <c r="M81" i="4"/>
  <c r="J80" i="4"/>
  <c r="E79" i="4"/>
  <c r="K77" i="4"/>
  <c r="H76" i="4"/>
  <c r="C75" i="4"/>
  <c r="I73" i="4"/>
  <c r="F72" i="4"/>
  <c r="M70" i="4"/>
  <c r="G69" i="4"/>
  <c r="D68" i="4"/>
  <c r="K66" i="4"/>
  <c r="E65" i="4"/>
  <c r="B64" i="4"/>
  <c r="I62" i="4"/>
  <c r="C61" i="4"/>
  <c r="L59" i="4"/>
  <c r="G58" i="4"/>
  <c r="M56" i="4"/>
  <c r="J55" i="4"/>
  <c r="E54" i="4"/>
  <c r="K52" i="4"/>
  <c r="H51" i="4"/>
  <c r="C50" i="4"/>
  <c r="I48" i="4"/>
  <c r="F47" i="4"/>
  <c r="M45" i="4"/>
  <c r="G44" i="4"/>
  <c r="D43" i="4"/>
  <c r="K41" i="4"/>
  <c r="E40" i="4"/>
  <c r="D39" i="4"/>
  <c r="L37" i="4"/>
  <c r="K36" i="4"/>
  <c r="J35" i="4"/>
  <c r="F34" i="4"/>
  <c r="E33" i="4"/>
  <c r="M161" i="4"/>
  <c r="L158" i="4"/>
  <c r="C156" i="4"/>
  <c r="I153" i="4"/>
  <c r="H150" i="4"/>
  <c r="K147" i="4"/>
  <c r="E145" i="4"/>
  <c r="D142" i="4"/>
  <c r="G139" i="4"/>
  <c r="D137" i="4"/>
  <c r="B135" i="4"/>
  <c r="H132" i="4"/>
  <c r="F130" i="4"/>
  <c r="M127" i="4"/>
  <c r="G125" i="4"/>
  <c r="G123" i="4"/>
  <c r="C121" i="4"/>
  <c r="I118" i="4"/>
  <c r="F116" i="4"/>
  <c r="D114" i="4"/>
  <c r="D112" i="4"/>
  <c r="I110" i="4"/>
  <c r="L108" i="4"/>
  <c r="B107" i="4"/>
  <c r="G105" i="4"/>
  <c r="J103" i="4"/>
  <c r="L101" i="4"/>
  <c r="E100" i="4"/>
  <c r="H98" i="4"/>
  <c r="B97" i="4"/>
  <c r="K95" i="4"/>
  <c r="F94" i="4"/>
  <c r="L92" i="4"/>
  <c r="I91" i="4"/>
  <c r="D90" i="4"/>
  <c r="J88" i="4"/>
  <c r="G87" i="4"/>
  <c r="B86" i="4"/>
  <c r="H84" i="4"/>
  <c r="E83" i="4"/>
  <c r="L81" i="4"/>
  <c r="F80" i="4"/>
  <c r="C79" i="4"/>
  <c r="J77" i="4"/>
  <c r="D76" i="4"/>
  <c r="M74" i="4"/>
  <c r="H73" i="4"/>
  <c r="B72" i="4"/>
  <c r="K70" i="4"/>
  <c r="F69" i="4"/>
  <c r="L67" i="4"/>
  <c r="I66" i="4"/>
  <c r="D65" i="4"/>
  <c r="J63" i="4"/>
  <c r="G62" i="4"/>
  <c r="B61" i="4"/>
  <c r="H59" i="4"/>
  <c r="E58" i="4"/>
  <c r="L56" i="4"/>
  <c r="F55" i="4"/>
  <c r="C54" i="4"/>
  <c r="J52" i="4"/>
  <c r="D51" i="4"/>
  <c r="M49" i="4"/>
  <c r="H48" i="4"/>
  <c r="B47" i="4"/>
  <c r="K45" i="4"/>
  <c r="F44" i="4"/>
  <c r="L42" i="4"/>
  <c r="I41" i="4"/>
  <c r="K161" i="4"/>
  <c r="K158" i="4"/>
  <c r="M155" i="4"/>
  <c r="G153" i="4"/>
  <c r="G150" i="4"/>
  <c r="I147" i="4"/>
  <c r="C145" i="4"/>
  <c r="C142" i="4"/>
  <c r="E139" i="4"/>
  <c r="C137" i="4"/>
  <c r="J134" i="4"/>
  <c r="D132" i="4"/>
  <c r="E130" i="4"/>
  <c r="L127" i="4"/>
  <c r="F125" i="4"/>
  <c r="F123" i="4"/>
  <c r="M120" i="4"/>
  <c r="G118" i="4"/>
  <c r="E116" i="4"/>
  <c r="M113" i="4"/>
  <c r="C112" i="4"/>
  <c r="H110" i="4"/>
  <c r="K108" i="4"/>
  <c r="M106" i="4"/>
  <c r="F105" i="4"/>
  <c r="I103" i="4"/>
  <c r="K101" i="4"/>
  <c r="D100" i="4"/>
  <c r="G98" i="4"/>
  <c r="M96" i="4"/>
  <c r="J95" i="4"/>
  <c r="E94" i="4"/>
  <c r="K92" i="4"/>
  <c r="H91" i="4"/>
  <c r="C90" i="4"/>
  <c r="I88" i="4"/>
  <c r="F87" i="4"/>
  <c r="M85" i="4"/>
  <c r="G84" i="4"/>
  <c r="D83" i="4"/>
  <c r="K81" i="4"/>
  <c r="E80" i="4"/>
  <c r="B79" i="4"/>
  <c r="I77" i="4"/>
  <c r="C76" i="4"/>
  <c r="L74" i="4"/>
  <c r="G73" i="4"/>
  <c r="M71" i="4"/>
  <c r="J70" i="4"/>
  <c r="E69" i="4"/>
  <c r="K67" i="4"/>
  <c r="H66" i="4"/>
  <c r="C65" i="4"/>
  <c r="I63" i="4"/>
  <c r="F62" i="4"/>
  <c r="M60" i="4"/>
  <c r="G59" i="4"/>
  <c r="D58" i="4"/>
  <c r="K56" i="4"/>
  <c r="E55" i="4"/>
  <c r="B54" i="4"/>
  <c r="I52" i="4"/>
  <c r="C51" i="4"/>
  <c r="L49" i="4"/>
  <c r="G48" i="4"/>
  <c r="M46" i="4"/>
  <c r="J45" i="4"/>
  <c r="E44" i="4"/>
  <c r="K42" i="4"/>
  <c r="H41" i="4"/>
  <c r="C161" i="4"/>
  <c r="I158" i="4"/>
  <c r="H155" i="4"/>
  <c r="K152" i="4"/>
  <c r="E150" i="4"/>
  <c r="D147" i="4"/>
  <c r="G144" i="4"/>
  <c r="M141" i="4"/>
  <c r="D139" i="4"/>
  <c r="J136" i="4"/>
  <c r="H134" i="4"/>
  <c r="C132" i="4"/>
  <c r="I129" i="4"/>
  <c r="I127" i="4"/>
  <c r="E125" i="4"/>
  <c r="K122" i="4"/>
  <c r="H120" i="4"/>
  <c r="F118" i="4"/>
  <c r="L115" i="4"/>
  <c r="K113" i="4"/>
  <c r="B112" i="4"/>
  <c r="D110" i="4"/>
  <c r="I108" i="4"/>
  <c r="L106" i="4"/>
  <c r="B105" i="4"/>
  <c r="G103" i="4"/>
  <c r="J101" i="4"/>
  <c r="J99" i="4"/>
  <c r="E98" i="4"/>
  <c r="L96" i="4"/>
  <c r="F95" i="4"/>
  <c r="C94" i="4"/>
  <c r="J92" i="4"/>
  <c r="D91" i="4"/>
  <c r="M89" i="4"/>
  <c r="H88" i="4"/>
  <c r="B87" i="4"/>
  <c r="K85" i="4"/>
  <c r="F84" i="4"/>
  <c r="L82" i="4"/>
  <c r="I81" i="4"/>
  <c r="D80" i="4"/>
  <c r="J78" i="4"/>
  <c r="G77" i="4"/>
  <c r="B76" i="4"/>
  <c r="H74" i="4"/>
  <c r="E73" i="4"/>
  <c r="L71" i="4"/>
  <c r="F70" i="4"/>
  <c r="C69" i="4"/>
  <c r="J67" i="4"/>
  <c r="D66" i="4"/>
  <c r="M64" i="4"/>
  <c r="H63" i="4"/>
  <c r="B62" i="4"/>
  <c r="K60" i="4"/>
  <c r="F59" i="4"/>
  <c r="L57" i="4"/>
  <c r="I56" i="4"/>
  <c r="D55" i="4"/>
  <c r="J53" i="4"/>
  <c r="G52" i="4"/>
  <c r="B51" i="4"/>
  <c r="H49" i="4"/>
  <c r="E48" i="4"/>
  <c r="L46" i="4"/>
  <c r="F45" i="4"/>
  <c r="C44" i="4"/>
  <c r="J42" i="4"/>
  <c r="D41" i="4"/>
  <c r="B40" i="4"/>
  <c r="J38" i="4"/>
  <c r="I37" i="4"/>
  <c r="H36" i="4"/>
  <c r="D35" i="4"/>
  <c r="C34" i="4"/>
  <c r="K32" i="4"/>
  <c r="J31" i="4"/>
  <c r="F30" i="4"/>
  <c r="E29" i="4"/>
  <c r="E28" i="4"/>
  <c r="C27" i="4"/>
  <c r="C26" i="4"/>
  <c r="C25" i="4"/>
  <c r="D24" i="4"/>
  <c r="E23" i="4"/>
  <c r="F22" i="4"/>
  <c r="G21" i="4"/>
  <c r="G20" i="4"/>
  <c r="H19" i="4"/>
  <c r="I18" i="4"/>
  <c r="J17" i="4"/>
  <c r="K16" i="4"/>
  <c r="L15" i="4"/>
  <c r="M14" i="4"/>
  <c r="B14" i="4"/>
  <c r="C13" i="4"/>
  <c r="E155" i="4"/>
  <c r="H145" i="4"/>
  <c r="F136" i="4"/>
  <c r="G129" i="4"/>
  <c r="E121" i="4"/>
  <c r="J113" i="4"/>
  <c r="B108" i="4"/>
  <c r="E102" i="4"/>
  <c r="K96" i="4"/>
  <c r="G92" i="4"/>
  <c r="J87" i="4"/>
  <c r="K82" i="4"/>
  <c r="H78" i="4"/>
  <c r="J73" i="4"/>
  <c r="B69" i="4"/>
  <c r="H64" i="4"/>
  <c r="M59" i="4"/>
  <c r="C55" i="4"/>
  <c r="K50" i="4"/>
  <c r="B46" i="4"/>
  <c r="C41" i="4"/>
  <c r="I38" i="4"/>
  <c r="D36" i="4"/>
  <c r="B34" i="4"/>
  <c r="K31" i="4"/>
  <c r="H29" i="4"/>
  <c r="M27" i="4"/>
  <c r="D26" i="4"/>
  <c r="G24" i="4"/>
  <c r="C23" i="4"/>
  <c r="H21" i="4"/>
  <c r="L19" i="4"/>
  <c r="G18" i="4"/>
  <c r="L16" i="4"/>
  <c r="D15" i="4"/>
  <c r="K13" i="4"/>
  <c r="L153" i="4"/>
  <c r="E144" i="4"/>
  <c r="E136" i="4"/>
  <c r="F128" i="4"/>
  <c r="G120" i="4"/>
  <c r="F113" i="4"/>
  <c r="I107" i="4"/>
  <c r="G101" i="4"/>
  <c r="I96" i="4"/>
  <c r="L91" i="4"/>
  <c r="M86" i="4"/>
  <c r="J82" i="4"/>
  <c r="L77" i="4"/>
  <c r="D73" i="4"/>
  <c r="J68" i="4"/>
  <c r="C64" i="4"/>
  <c r="E59" i="4"/>
  <c r="M54" i="4"/>
  <c r="D50" i="4"/>
  <c r="E45" i="4"/>
  <c r="B41" i="4"/>
  <c r="H38" i="4"/>
  <c r="C36" i="4"/>
  <c r="J33" i="4"/>
  <c r="I31" i="4"/>
  <c r="G29" i="4"/>
  <c r="I27" i="4"/>
  <c r="B26" i="4"/>
  <c r="F24" i="4"/>
  <c r="J22" i="4"/>
  <c r="E21" i="4"/>
  <c r="K19" i="4"/>
  <c r="C18" i="4"/>
  <c r="J16" i="4"/>
  <c r="C15" i="4"/>
  <c r="G13" i="4"/>
  <c r="I152" i="4"/>
  <c r="L143" i="4"/>
  <c r="E135" i="4"/>
  <c r="H127" i="4"/>
  <c r="B120" i="4"/>
  <c r="K112" i="4"/>
  <c r="K106" i="4"/>
  <c r="E101" i="4"/>
  <c r="B96" i="4"/>
  <c r="C91" i="4"/>
  <c r="L86" i="4"/>
  <c r="B82" i="4"/>
  <c r="F77" i="4"/>
  <c r="L72" i="4"/>
  <c r="E68" i="4"/>
  <c r="G63" i="4"/>
  <c r="C59" i="4"/>
  <c r="F54" i="4"/>
  <c r="G49" i="4"/>
  <c r="D45" i="4"/>
  <c r="F40" i="4"/>
  <c r="D38" i="4"/>
  <c r="K35" i="4"/>
  <c r="F33" i="4"/>
  <c r="H31" i="4"/>
  <c r="F29" i="4"/>
  <c r="H27" i="4"/>
  <c r="M25" i="4"/>
  <c r="E24" i="4"/>
  <c r="I22" i="4"/>
  <c r="D21" i="4"/>
  <c r="I19" i="4"/>
  <c r="M17" i="4"/>
  <c r="I16" i="4"/>
  <c r="B15" i="4"/>
  <c r="F13" i="4"/>
  <c r="M160" i="4"/>
  <c r="D152" i="4"/>
  <c r="K142" i="4"/>
  <c r="G134" i="4"/>
  <c r="M126" i="4"/>
  <c r="E119" i="4"/>
  <c r="M111" i="4"/>
  <c r="G106" i="4"/>
  <c r="H100" i="4"/>
  <c r="E95" i="4"/>
  <c r="B91" i="4"/>
  <c r="D86" i="4"/>
  <c r="H81" i="4"/>
  <c r="B77" i="4"/>
  <c r="G72" i="4"/>
  <c r="I67" i="4"/>
  <c r="E63" i="4"/>
  <c r="H58" i="4"/>
  <c r="I53" i="4"/>
  <c r="G158" i="4"/>
  <c r="G149" i="4"/>
  <c r="E140" i="4"/>
  <c r="B132" i="4"/>
  <c r="J124" i="4"/>
  <c r="M116" i="4"/>
  <c r="C110" i="4"/>
  <c r="J104" i="4"/>
  <c r="J98" i="4"/>
  <c r="B94" i="4"/>
  <c r="H89" i="4"/>
  <c r="M84" i="4"/>
  <c r="C80" i="4"/>
  <c r="K75" i="4"/>
  <c r="B71" i="4"/>
  <c r="C66" i="4"/>
  <c r="L61" i="4"/>
  <c r="B57" i="4"/>
  <c r="F52" i="4"/>
  <c r="L47" i="4"/>
  <c r="E43" i="4"/>
  <c r="L39" i="4"/>
  <c r="G37" i="4"/>
  <c r="B35" i="4"/>
  <c r="I32" i="4"/>
  <c r="J30" i="4"/>
  <c r="H28" i="4"/>
  <c r="M26" i="4"/>
  <c r="D25" i="4"/>
  <c r="H23" i="4"/>
  <c r="C22" i="4"/>
  <c r="I20" i="4"/>
  <c r="M18" i="4"/>
  <c r="H17" i="4"/>
  <c r="M15" i="4"/>
  <c r="E14" i="4"/>
  <c r="C151" i="4"/>
  <c r="K133" i="4"/>
  <c r="B118" i="4"/>
  <c r="L105" i="4"/>
  <c r="D95" i="4"/>
  <c r="J85" i="4"/>
  <c r="I76" i="4"/>
  <c r="G67" i="4"/>
  <c r="K57" i="4"/>
  <c r="F49" i="4"/>
  <c r="G42" i="4"/>
  <c r="H37" i="4"/>
  <c r="D33" i="4"/>
  <c r="D30" i="4"/>
  <c r="B27" i="4"/>
  <c r="C24" i="4"/>
  <c r="J21" i="4"/>
  <c r="B19" i="4"/>
  <c r="D16" i="4"/>
  <c r="C14" i="4"/>
  <c r="C150" i="4"/>
  <c r="B133" i="4"/>
  <c r="L117" i="4"/>
  <c r="K104" i="4"/>
  <c r="H94" i="4"/>
  <c r="F85" i="4"/>
  <c r="M75" i="4"/>
  <c r="L66" i="4"/>
  <c r="J57" i="4"/>
  <c r="J48" i="4"/>
  <c r="L41" i="4"/>
  <c r="L36" i="4"/>
  <c r="L32" i="4"/>
  <c r="L29" i="4"/>
  <c r="I26" i="4"/>
  <c r="B24" i="4"/>
  <c r="I21" i="4"/>
  <c r="K18" i="4"/>
  <c r="C16" i="4"/>
  <c r="M13" i="4"/>
  <c r="I148" i="4"/>
  <c r="K131" i="4"/>
  <c r="H115" i="4"/>
  <c r="L103" i="4"/>
  <c r="J93" i="4"/>
  <c r="E84" i="4"/>
  <c r="D75" i="4"/>
  <c r="B66" i="4"/>
  <c r="H56" i="4"/>
  <c r="D48" i="4"/>
  <c r="D40" i="4"/>
  <c r="J36" i="4"/>
  <c r="J32" i="4"/>
  <c r="D29" i="4"/>
  <c r="H26" i="4"/>
  <c r="I23" i="4"/>
  <c r="L20" i="4"/>
  <c r="J18" i="4"/>
  <c r="B16" i="4"/>
  <c r="E13" i="4"/>
  <c r="C147" i="4"/>
  <c r="L130" i="4"/>
  <c r="G115" i="4"/>
  <c r="F103" i="4"/>
  <c r="E93" i="4"/>
  <c r="C84" i="4"/>
  <c r="G74" i="4"/>
  <c r="F65" i="4"/>
  <c r="D56" i="4"/>
  <c r="G47" i="4"/>
  <c r="C40" i="4"/>
  <c r="I36" i="4"/>
  <c r="B32" i="4"/>
  <c r="C29" i="4"/>
  <c r="E26" i="4"/>
  <c r="G23" i="4"/>
  <c r="K20" i="4"/>
  <c r="H18" i="4"/>
  <c r="K15" i="4"/>
  <c r="D13" i="4"/>
  <c r="M146" i="4"/>
  <c r="H129" i="4"/>
  <c r="G114" i="4"/>
  <c r="L102" i="4"/>
  <c r="I92" i="4"/>
  <c r="H83" i="4"/>
  <c r="F74" i="4"/>
  <c r="L64" i="4"/>
  <c r="K55" i="4"/>
  <c r="K46" i="4"/>
  <c r="M39" i="4"/>
  <c r="F35" i="4"/>
  <c r="M31" i="4"/>
  <c r="I28" i="4"/>
  <c r="G25" i="4"/>
  <c r="F23" i="4"/>
  <c r="J20" i="4"/>
  <c r="L17" i="4"/>
  <c r="J15" i="4"/>
  <c r="H160" i="4"/>
  <c r="K141" i="4"/>
  <c r="D126" i="4"/>
  <c r="K111" i="4"/>
  <c r="I99" i="4"/>
  <c r="F90" i="4"/>
  <c r="D81" i="4"/>
  <c r="K71" i="4"/>
  <c r="J62" i="4"/>
  <c r="H53" i="4"/>
  <c r="I46" i="4"/>
  <c r="E39" i="4"/>
  <c r="E35" i="4"/>
  <c r="L31" i="4"/>
  <c r="G28" i="4"/>
  <c r="F25" i="4"/>
  <c r="D23" i="4"/>
  <c r="F20" i="4"/>
  <c r="K17" i="4"/>
  <c r="E15" i="4"/>
  <c r="G159" i="4"/>
  <c r="C141" i="4"/>
  <c r="C125" i="4"/>
  <c r="B111" i="4"/>
  <c r="H99" i="4"/>
  <c r="L89" i="4"/>
  <c r="K80" i="4"/>
  <c r="I71" i="4"/>
  <c r="M61" i="4"/>
  <c r="L52" i="4"/>
  <c r="H44" i="4"/>
  <c r="C39" i="4"/>
  <c r="C35" i="4"/>
  <c r="M30" i="4"/>
  <c r="F28" i="4"/>
  <c r="E25" i="4"/>
  <c r="H22" i="4"/>
  <c r="E20" i="4"/>
  <c r="I17" i="4"/>
  <c r="L14" i="4"/>
  <c r="K157" i="4"/>
  <c r="L138" i="4"/>
  <c r="K123" i="4"/>
  <c r="B110" i="4"/>
  <c r="D98" i="4"/>
  <c r="C89" i="4"/>
  <c r="M79" i="4"/>
  <c r="E70" i="4"/>
  <c r="D61" i="4"/>
  <c r="B52" i="4"/>
  <c r="B44" i="4"/>
  <c r="B39" i="4"/>
  <c r="G34" i="4"/>
  <c r="L30" i="4"/>
  <c r="D28" i="4"/>
  <c r="B25" i="4"/>
  <c r="G22" i="4"/>
  <c r="M19" i="4"/>
  <c r="C17" i="4"/>
  <c r="K14" i="4"/>
  <c r="M156" i="4"/>
  <c r="J138" i="4"/>
  <c r="I122" i="4"/>
  <c r="D109" i="4"/>
  <c r="L97" i="4"/>
  <c r="G88" i="4"/>
  <c r="F79" i="4"/>
  <c r="D70" i="4"/>
  <c r="J60" i="4"/>
  <c r="I51" i="4"/>
  <c r="J43" i="4"/>
  <c r="K37" i="4"/>
  <c r="E34" i="4"/>
  <c r="K30" i="4"/>
  <c r="G27" i="4"/>
  <c r="M24" i="4"/>
  <c r="E22" i="4"/>
  <c r="G19" i="4"/>
  <c r="B17" i="4"/>
  <c r="F14" i="4"/>
  <c r="H6" i="4"/>
  <c r="C11" i="2"/>
  <c r="F12" i="2"/>
  <c r="L13" i="2"/>
  <c r="E15" i="2"/>
  <c r="H16" i="2"/>
  <c r="B18" i="2"/>
  <c r="G19" i="2"/>
  <c r="J20" i="2"/>
  <c r="D22" i="2"/>
  <c r="I23" i="2"/>
  <c r="L24" i="2"/>
  <c r="F26" i="2"/>
  <c r="K27" i="2"/>
  <c r="B29" i="2"/>
  <c r="H30" i="2"/>
  <c r="M31" i="2"/>
  <c r="D33" i="2"/>
  <c r="L34" i="2"/>
  <c r="H36" i="2"/>
  <c r="D38" i="2"/>
  <c r="L39" i="2"/>
  <c r="G41" i="2"/>
  <c r="C43" i="2"/>
  <c r="L44" i="2"/>
  <c r="J46" i="2"/>
  <c r="H48" i="2"/>
  <c r="F50" i="2"/>
  <c r="E52" i="2"/>
  <c r="C54" i="2"/>
  <c r="M55" i="2"/>
  <c r="K57" i="2"/>
  <c r="J59" i="2"/>
  <c r="H61" i="2"/>
  <c r="F63" i="2"/>
  <c r="D65" i="2"/>
  <c r="B67" i="2"/>
  <c r="M68" i="2"/>
  <c r="K70" i="2"/>
  <c r="I72" i="2"/>
  <c r="G74" i="2"/>
  <c r="F76" i="2"/>
  <c r="D78" i="2"/>
  <c r="K80" i="2"/>
  <c r="D84" i="2"/>
  <c r="D88" i="2"/>
  <c r="L91" i="2"/>
  <c r="J96" i="2"/>
  <c r="I102" i="2"/>
  <c r="H108" i="2"/>
  <c r="J114" i="2"/>
  <c r="I120" i="2"/>
  <c r="H126" i="2"/>
  <c r="G132" i="2"/>
  <c r="F138" i="2"/>
  <c r="E144" i="2"/>
  <c r="C152" i="2"/>
  <c r="D34" i="4"/>
  <c r="H122" i="4"/>
  <c r="H158" i="5"/>
  <c r="J157" i="5"/>
  <c r="L156" i="5"/>
  <c r="B156" i="5"/>
  <c r="D155" i="5"/>
  <c r="F154" i="5"/>
  <c r="H153" i="5"/>
  <c r="J152" i="5"/>
  <c r="L151" i="5"/>
  <c r="B151" i="5"/>
  <c r="D150" i="5"/>
  <c r="F149" i="5"/>
  <c r="H148" i="5"/>
  <c r="J147" i="5"/>
  <c r="L146" i="5"/>
  <c r="B146" i="5"/>
  <c r="D145" i="5"/>
  <c r="F144" i="5"/>
  <c r="H143" i="5"/>
  <c r="J142" i="5"/>
  <c r="L141" i="5"/>
  <c r="B141" i="5"/>
  <c r="D140" i="5"/>
  <c r="F139" i="5"/>
  <c r="H138" i="5"/>
  <c r="J137" i="5"/>
  <c r="L136" i="5"/>
  <c r="B136" i="5"/>
  <c r="D135" i="5"/>
  <c r="D158" i="5"/>
  <c r="E157" i="5"/>
  <c r="F156" i="5"/>
  <c r="G155" i="5"/>
  <c r="H154" i="5"/>
  <c r="I153" i="5"/>
  <c r="I152" i="5"/>
  <c r="J151" i="5"/>
  <c r="K150" i="5"/>
  <c r="L149" i="5"/>
  <c r="M148" i="5"/>
  <c r="B148" i="5"/>
  <c r="C147" i="5"/>
  <c r="D146" i="5"/>
  <c r="E145" i="5"/>
  <c r="E144" i="5"/>
  <c r="F143" i="5"/>
  <c r="G142" i="5"/>
  <c r="H141" i="5"/>
  <c r="I140" i="5"/>
  <c r="J139" i="5"/>
  <c r="K138" i="5"/>
  <c r="L137" i="5"/>
  <c r="M136" i="5"/>
  <c r="M135" i="5"/>
  <c r="B135" i="5"/>
  <c r="D134" i="5"/>
  <c r="F133" i="5"/>
  <c r="H132" i="5"/>
  <c r="J131" i="5"/>
  <c r="L130" i="5"/>
  <c r="B130" i="5"/>
  <c r="D129" i="5"/>
  <c r="F128" i="5"/>
  <c r="H127" i="5"/>
  <c r="J126" i="5"/>
  <c r="L125" i="5"/>
  <c r="B125" i="5"/>
  <c r="D124" i="5"/>
  <c r="F123" i="5"/>
  <c r="H122" i="5"/>
  <c r="J121" i="5"/>
  <c r="L120" i="5"/>
  <c r="B120" i="5"/>
  <c r="D119" i="5"/>
  <c r="F118" i="5"/>
  <c r="H117" i="5"/>
  <c r="J116" i="5"/>
  <c r="L115" i="5"/>
  <c r="B115" i="5"/>
  <c r="D114" i="5"/>
  <c r="F113" i="5"/>
  <c r="H112" i="5"/>
  <c r="J111" i="5"/>
  <c r="L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C158" i="5"/>
  <c r="D157" i="5"/>
  <c r="E156" i="5"/>
  <c r="F155" i="5"/>
  <c r="G154" i="5"/>
  <c r="G153" i="5"/>
  <c r="H152" i="5"/>
  <c r="I151" i="5"/>
  <c r="J150" i="5"/>
  <c r="K149" i="5"/>
  <c r="L148" i="5"/>
  <c r="M147" i="5"/>
  <c r="B147" i="5"/>
  <c r="C146" i="5"/>
  <c r="C145" i="5"/>
  <c r="D144" i="5"/>
  <c r="E143" i="5"/>
  <c r="F142" i="5"/>
  <c r="G141" i="5"/>
  <c r="H140" i="5"/>
  <c r="I139" i="5"/>
  <c r="J138" i="5"/>
  <c r="K137" i="5"/>
  <c r="K136" i="5"/>
  <c r="L135" i="5"/>
  <c r="M134" i="5"/>
  <c r="C134" i="5"/>
  <c r="E133" i="5"/>
  <c r="G132" i="5"/>
  <c r="I131" i="5"/>
  <c r="K130" i="5"/>
  <c r="M129" i="5"/>
  <c r="C129" i="5"/>
  <c r="E128" i="5"/>
  <c r="G127" i="5"/>
  <c r="I126" i="5"/>
  <c r="K125" i="5"/>
  <c r="M124" i="5"/>
  <c r="C124" i="5"/>
  <c r="E123" i="5"/>
  <c r="G122" i="5"/>
  <c r="I121" i="5"/>
  <c r="K120" i="5"/>
  <c r="M119" i="5"/>
  <c r="C119" i="5"/>
  <c r="E118" i="5"/>
  <c r="G117" i="5"/>
  <c r="I116" i="5"/>
  <c r="K115" i="5"/>
  <c r="M114" i="5"/>
  <c r="C114" i="5"/>
  <c r="E113" i="5"/>
  <c r="G112" i="5"/>
  <c r="I111" i="5"/>
  <c r="M158" i="5"/>
  <c r="B158" i="5"/>
  <c r="C157" i="5"/>
  <c r="D156" i="5"/>
  <c r="E155" i="5"/>
  <c r="E154" i="5"/>
  <c r="F153" i="5"/>
  <c r="G152" i="5"/>
  <c r="H151" i="5"/>
  <c r="I150" i="5"/>
  <c r="J149" i="5"/>
  <c r="K148" i="5"/>
  <c r="L147" i="5"/>
  <c r="M146" i="5"/>
  <c r="M145" i="5"/>
  <c r="B145" i="5"/>
  <c r="C144" i="5"/>
  <c r="D143" i="5"/>
  <c r="E142" i="5"/>
  <c r="F141" i="5"/>
  <c r="G140" i="5"/>
  <c r="H139" i="5"/>
  <c r="I138" i="5"/>
  <c r="I137" i="5"/>
  <c r="J136" i="5"/>
  <c r="K135" i="5"/>
  <c r="L134" i="5"/>
  <c r="B134" i="5"/>
  <c r="D133" i="5"/>
  <c r="F132" i="5"/>
  <c r="H131" i="5"/>
  <c r="J130" i="5"/>
  <c r="L129" i="5"/>
  <c r="B129" i="5"/>
  <c r="D128" i="5"/>
  <c r="F127" i="5"/>
  <c r="H126" i="5"/>
  <c r="J125" i="5"/>
  <c r="L124" i="5"/>
  <c r="B124" i="5"/>
  <c r="D123" i="5"/>
  <c r="F122" i="5"/>
  <c r="H121" i="5"/>
  <c r="J120" i="5"/>
  <c r="L119" i="5"/>
  <c r="B119" i="5"/>
  <c r="D118" i="5"/>
  <c r="F117" i="5"/>
  <c r="H116" i="5"/>
  <c r="J115" i="5"/>
  <c r="L114" i="5"/>
  <c r="B114" i="5"/>
  <c r="D113" i="5"/>
  <c r="F112" i="5"/>
  <c r="H111" i="5"/>
  <c r="J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G158" i="5"/>
  <c r="H157" i="5"/>
  <c r="I156" i="5"/>
  <c r="J155" i="5"/>
  <c r="K154" i="5"/>
  <c r="L153" i="5"/>
  <c r="M152" i="5"/>
  <c r="B152" i="5"/>
  <c r="C151" i="5"/>
  <c r="C150" i="5"/>
  <c r="D149" i="5"/>
  <c r="E148" i="5"/>
  <c r="F147" i="5"/>
  <c r="G146" i="5"/>
  <c r="H145" i="5"/>
  <c r="I144" i="5"/>
  <c r="J143" i="5"/>
  <c r="K142" i="5"/>
  <c r="K141" i="5"/>
  <c r="L140" i="5"/>
  <c r="M139" i="5"/>
  <c r="B139" i="5"/>
  <c r="C138" i="5"/>
  <c r="D137" i="5"/>
  <c r="E136" i="5"/>
  <c r="F135" i="5"/>
  <c r="G134" i="5"/>
  <c r="I133" i="5"/>
  <c r="K132" i="5"/>
  <c r="M131" i="5"/>
  <c r="C131" i="5"/>
  <c r="E130" i="5"/>
  <c r="G129" i="5"/>
  <c r="I128" i="5"/>
  <c r="K127" i="5"/>
  <c r="M126" i="5"/>
  <c r="C126" i="5"/>
  <c r="E125" i="5"/>
  <c r="G124" i="5"/>
  <c r="I123" i="5"/>
  <c r="K122" i="5"/>
  <c r="M121" i="5"/>
  <c r="C121" i="5"/>
  <c r="E120" i="5"/>
  <c r="G119" i="5"/>
  <c r="I118" i="5"/>
  <c r="K117" i="5"/>
  <c r="M116" i="5"/>
  <c r="C116" i="5"/>
  <c r="E115" i="5"/>
  <c r="G114" i="5"/>
  <c r="I113" i="5"/>
  <c r="K112" i="5"/>
  <c r="M111" i="5"/>
  <c r="C111" i="5"/>
  <c r="E110" i="5"/>
  <c r="G109" i="5"/>
  <c r="I108" i="5"/>
  <c r="K107" i="5"/>
  <c r="M106" i="5"/>
  <c r="C106" i="5"/>
  <c r="E105" i="5"/>
  <c r="G104" i="5"/>
  <c r="I103" i="5"/>
  <c r="K102" i="5"/>
  <c r="M101" i="5"/>
  <c r="C101" i="5"/>
  <c r="E100" i="5"/>
  <c r="G99" i="5"/>
  <c r="I98" i="5"/>
  <c r="K97" i="5"/>
  <c r="M96" i="5"/>
  <c r="C96" i="5"/>
  <c r="E95" i="5"/>
  <c r="G94" i="5"/>
  <c r="I93" i="5"/>
  <c r="K92" i="5"/>
  <c r="M91" i="5"/>
  <c r="C91" i="5"/>
  <c r="E90" i="5"/>
  <c r="G89" i="5"/>
  <c r="I88" i="5"/>
  <c r="K87" i="5"/>
  <c r="M86" i="5"/>
  <c r="C86" i="5"/>
  <c r="E85" i="5"/>
  <c r="G84" i="5"/>
  <c r="I83" i="5"/>
  <c r="K82" i="5"/>
  <c r="M81" i="5"/>
  <c r="C81" i="5"/>
  <c r="E80" i="5"/>
  <c r="G79" i="5"/>
  <c r="I78" i="5"/>
  <c r="K77" i="5"/>
  <c r="M76" i="5"/>
  <c r="C76" i="5"/>
  <c r="E75" i="5"/>
  <c r="G74" i="5"/>
  <c r="I73" i="5"/>
  <c r="K72" i="5"/>
  <c r="M71" i="5"/>
  <c r="C71" i="5"/>
  <c r="E70" i="5"/>
  <c r="G69" i="5"/>
  <c r="I68" i="5"/>
  <c r="K67" i="5"/>
  <c r="I157" i="5"/>
  <c r="M155" i="5"/>
  <c r="I154" i="5"/>
  <c r="B153" i="5"/>
  <c r="F151" i="5"/>
  <c r="M149" i="5"/>
  <c r="F148" i="5"/>
  <c r="J146" i="5"/>
  <c r="F145" i="5"/>
  <c r="K143" i="5"/>
  <c r="C142" i="5"/>
  <c r="J140" i="5"/>
  <c r="C139" i="5"/>
  <c r="G137" i="5"/>
  <c r="C136" i="5"/>
  <c r="H134" i="5"/>
  <c r="B133" i="5"/>
  <c r="K131" i="5"/>
  <c r="F130" i="5"/>
  <c r="L128" i="5"/>
  <c r="I127" i="5"/>
  <c r="D126" i="5"/>
  <c r="J124" i="5"/>
  <c r="G123" i="5"/>
  <c r="B122" i="5"/>
  <c r="H120" i="5"/>
  <c r="E119" i="5"/>
  <c r="L117" i="5"/>
  <c r="F116" i="5"/>
  <c r="C115" i="5"/>
  <c r="J113" i="5"/>
  <c r="D112" i="5"/>
  <c r="M110" i="5"/>
  <c r="J109" i="5"/>
  <c r="H108" i="5"/>
  <c r="E107" i="5"/>
  <c r="D106" i="5"/>
  <c r="M104" i="5"/>
  <c r="K103" i="5"/>
  <c r="I102" i="5"/>
  <c r="F101" i="5"/>
  <c r="D100" i="5"/>
  <c r="M98" i="5"/>
  <c r="L97" i="5"/>
  <c r="I96" i="5"/>
  <c r="G95" i="5"/>
  <c r="E94" i="5"/>
  <c r="B93" i="5"/>
  <c r="L91" i="5"/>
  <c r="I90" i="5"/>
  <c r="H89" i="5"/>
  <c r="E88" i="5"/>
  <c r="C87" i="5"/>
  <c r="M85" i="5"/>
  <c r="J84" i="5"/>
  <c r="J83" i="5"/>
  <c r="I82" i="5"/>
  <c r="I81" i="5"/>
  <c r="H80" i="5"/>
  <c r="H79" i="5"/>
  <c r="G78" i="5"/>
  <c r="G77" i="5"/>
  <c r="F76" i="5"/>
  <c r="F75" i="5"/>
  <c r="E74" i="5"/>
  <c r="E73" i="5"/>
  <c r="D72" i="5"/>
  <c r="D71" i="5"/>
  <c r="C70" i="5"/>
  <c r="C69" i="5"/>
  <c r="B68" i="5"/>
  <c r="B67" i="5"/>
  <c r="C66" i="5"/>
  <c r="D65" i="5"/>
  <c r="E64" i="5"/>
  <c r="F63" i="5"/>
  <c r="G62" i="5"/>
  <c r="G61" i="5"/>
  <c r="I60" i="5"/>
  <c r="K59" i="5"/>
  <c r="M58" i="5"/>
  <c r="C58" i="5"/>
  <c r="E57" i="5"/>
  <c r="G56" i="5"/>
  <c r="I55" i="5"/>
  <c r="K54" i="5"/>
  <c r="M53" i="5"/>
  <c r="C53" i="5"/>
  <c r="E52" i="5"/>
  <c r="G51" i="5"/>
  <c r="I50" i="5"/>
  <c r="K49" i="5"/>
  <c r="M48" i="5"/>
  <c r="C48" i="5"/>
  <c r="E47" i="5"/>
  <c r="G46" i="5"/>
  <c r="I45" i="5"/>
  <c r="K44" i="5"/>
  <c r="M43" i="5"/>
  <c r="C43" i="5"/>
  <c r="E42" i="5"/>
  <c r="G41" i="5"/>
  <c r="I40" i="5"/>
  <c r="K39" i="5"/>
  <c r="M38" i="5"/>
  <c r="C38" i="5"/>
  <c r="E37" i="5"/>
  <c r="G36" i="5"/>
  <c r="I35" i="5"/>
  <c r="K34" i="5"/>
  <c r="M33" i="5"/>
  <c r="C33" i="5"/>
  <c r="E32" i="5"/>
  <c r="G31" i="5"/>
  <c r="I30" i="5"/>
  <c r="K29" i="5"/>
  <c r="M28" i="5"/>
  <c r="C28" i="5"/>
  <c r="E27" i="5"/>
  <c r="G26" i="5"/>
  <c r="I25" i="5"/>
  <c r="L158" i="5"/>
  <c r="G157" i="5"/>
  <c r="L155" i="5"/>
  <c r="D154" i="5"/>
  <c r="L152" i="5"/>
  <c r="E151" i="5"/>
  <c r="I149" i="5"/>
  <c r="D148" i="5"/>
  <c r="I146" i="5"/>
  <c r="M144" i="5"/>
  <c r="I143" i="5"/>
  <c r="B142" i="5"/>
  <c r="F140" i="5"/>
  <c r="M138" i="5"/>
  <c r="F137" i="5"/>
  <c r="J135" i="5"/>
  <c r="F134" i="5"/>
  <c r="M132" i="5"/>
  <c r="G131" i="5"/>
  <c r="D130" i="5"/>
  <c r="K128" i="5"/>
  <c r="E127" i="5"/>
  <c r="B126" i="5"/>
  <c r="I124" i="5"/>
  <c r="C123" i="5"/>
  <c r="L121" i="5"/>
  <c r="G120" i="5"/>
  <c r="M118" i="5"/>
  <c r="J117" i="5"/>
  <c r="E116" i="5"/>
  <c r="K114" i="5"/>
  <c r="H113" i="5"/>
  <c r="C112" i="5"/>
  <c r="K110" i="5"/>
  <c r="I109" i="5"/>
  <c r="G108" i="5"/>
  <c r="D107" i="5"/>
  <c r="B106" i="5"/>
  <c r="K104" i="5"/>
  <c r="J103" i="5"/>
  <c r="G102" i="5"/>
  <c r="E101" i="5"/>
  <c r="C100" i="5"/>
  <c r="L98" i="5"/>
  <c r="J97" i="5"/>
  <c r="G96" i="5"/>
  <c r="F95" i="5"/>
  <c r="C94" i="5"/>
  <c r="M92" i="5"/>
  <c r="K91" i="5"/>
  <c r="H90" i="5"/>
  <c r="F89" i="5"/>
  <c r="C88" i="5"/>
  <c r="B87" i="5"/>
  <c r="K85" i="5"/>
  <c r="I84" i="5"/>
  <c r="H83" i="5"/>
  <c r="H82" i="5"/>
  <c r="G81" i="5"/>
  <c r="G80" i="5"/>
  <c r="F79" i="5"/>
  <c r="F78" i="5"/>
  <c r="E77" i="5"/>
  <c r="E76" i="5"/>
  <c r="D75" i="5"/>
  <c r="D74" i="5"/>
  <c r="C73" i="5"/>
  <c r="C72" i="5"/>
  <c r="B71" i="5"/>
  <c r="B70" i="5"/>
  <c r="M68" i="5"/>
  <c r="M67" i="5"/>
  <c r="M66" i="5"/>
  <c r="B66" i="5"/>
  <c r="C65" i="5"/>
  <c r="D64" i="5"/>
  <c r="E63" i="5"/>
  <c r="E62" i="5"/>
  <c r="F61" i="5"/>
  <c r="H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K158" i="5"/>
  <c r="F157" i="5"/>
  <c r="K155" i="5"/>
  <c r="C154" i="5"/>
  <c r="K152" i="5"/>
  <c r="D151" i="5"/>
  <c r="H149" i="5"/>
  <c r="C148" i="5"/>
  <c r="H146" i="5"/>
  <c r="L144" i="5"/>
  <c r="G143" i="5"/>
  <c r="M141" i="5"/>
  <c r="E140" i="5"/>
  <c r="L138" i="5"/>
  <c r="E137" i="5"/>
  <c r="I135" i="5"/>
  <c r="E134" i="5"/>
  <c r="L132" i="5"/>
  <c r="F131" i="5"/>
  <c r="C130" i="5"/>
  <c r="J128" i="5"/>
  <c r="D127" i="5"/>
  <c r="M125" i="5"/>
  <c r="H124" i="5"/>
  <c r="B123" i="5"/>
  <c r="K121" i="5"/>
  <c r="F120" i="5"/>
  <c r="L118" i="5"/>
  <c r="I117" i="5"/>
  <c r="D116" i="5"/>
  <c r="J114" i="5"/>
  <c r="G113" i="5"/>
  <c r="B112" i="5"/>
  <c r="I110" i="5"/>
  <c r="H109" i="5"/>
  <c r="E108" i="5"/>
  <c r="C107" i="5"/>
  <c r="M105" i="5"/>
  <c r="J104" i="5"/>
  <c r="H103" i="5"/>
  <c r="E102" i="5"/>
  <c r="D101" i="5"/>
  <c r="M99" i="5"/>
  <c r="K98" i="5"/>
  <c r="I97" i="5"/>
  <c r="F96" i="5"/>
  <c r="D95" i="5"/>
  <c r="M93" i="5"/>
  <c r="L92" i="5"/>
  <c r="I91" i="5"/>
  <c r="G90" i="5"/>
  <c r="E89" i="5"/>
  <c r="B88" i="5"/>
  <c r="L86" i="5"/>
  <c r="I85" i="5"/>
  <c r="H84" i="5"/>
  <c r="G83" i="5"/>
  <c r="G82" i="5"/>
  <c r="F81" i="5"/>
  <c r="F80" i="5"/>
  <c r="E79" i="5"/>
  <c r="E78" i="5"/>
  <c r="D77" i="5"/>
  <c r="D76" i="5"/>
  <c r="C75" i="5"/>
  <c r="C74" i="5"/>
  <c r="B73" i="5"/>
  <c r="B72" i="5"/>
  <c r="M70" i="5"/>
  <c r="M69" i="5"/>
  <c r="L68" i="5"/>
  <c r="L67" i="5"/>
  <c r="L66" i="5"/>
  <c r="M65" i="5"/>
  <c r="B65" i="5"/>
  <c r="C64" i="5"/>
  <c r="C63" i="5"/>
  <c r="D62" i="5"/>
  <c r="E61" i="5"/>
  <c r="G60" i="5"/>
  <c r="I59" i="5"/>
  <c r="K58" i="5"/>
  <c r="M57" i="5"/>
  <c r="C57" i="5"/>
  <c r="E56" i="5"/>
  <c r="G55" i="5"/>
  <c r="I54" i="5"/>
  <c r="K53" i="5"/>
  <c r="M52" i="5"/>
  <c r="C52" i="5"/>
  <c r="E51" i="5"/>
  <c r="G50" i="5"/>
  <c r="I49" i="5"/>
  <c r="K48" i="5"/>
  <c r="M47" i="5"/>
  <c r="C47" i="5"/>
  <c r="E46" i="5"/>
  <c r="G45" i="5"/>
  <c r="I44" i="5"/>
  <c r="K43" i="5"/>
  <c r="M42" i="5"/>
  <c r="C42" i="5"/>
  <c r="E41" i="5"/>
  <c r="G40" i="5"/>
  <c r="I39" i="5"/>
  <c r="K38" i="5"/>
  <c r="M37" i="5"/>
  <c r="C37" i="5"/>
  <c r="E36" i="5"/>
  <c r="G35" i="5"/>
  <c r="I34" i="5"/>
  <c r="K33" i="5"/>
  <c r="M32" i="5"/>
  <c r="C32" i="5"/>
  <c r="E31" i="5"/>
  <c r="G30" i="5"/>
  <c r="I29" i="5"/>
  <c r="K28" i="5"/>
  <c r="M27" i="5"/>
  <c r="C27" i="5"/>
  <c r="E26" i="5"/>
  <c r="J158" i="5"/>
  <c r="B157" i="5"/>
  <c r="I155" i="5"/>
  <c r="B154" i="5"/>
  <c r="F152" i="5"/>
  <c r="M150" i="5"/>
  <c r="G149" i="5"/>
  <c r="K147" i="5"/>
  <c r="F146" i="5"/>
  <c r="K144" i="5"/>
  <c r="C143" i="5"/>
  <c r="J141" i="5"/>
  <c r="C140" i="5"/>
  <c r="G138" i="5"/>
  <c r="C137" i="5"/>
  <c r="H135" i="5"/>
  <c r="M133" i="5"/>
  <c r="J132" i="5"/>
  <c r="E131" i="5"/>
  <c r="K129" i="5"/>
  <c r="H128" i="5"/>
  <c r="C127" i="5"/>
  <c r="I125" i="5"/>
  <c r="F124" i="5"/>
  <c r="M122" i="5"/>
  <c r="G121" i="5"/>
  <c r="D120" i="5"/>
  <c r="K118" i="5"/>
  <c r="E117" i="5"/>
  <c r="B116" i="5"/>
  <c r="I114" i="5"/>
  <c r="C113" i="5"/>
  <c r="L111" i="5"/>
  <c r="H110" i="5"/>
  <c r="F109" i="5"/>
  <c r="C108" i="5"/>
  <c r="B107" i="5"/>
  <c r="K105" i="5"/>
  <c r="I104" i="5"/>
  <c r="G103" i="5"/>
  <c r="D102" i="5"/>
  <c r="B101" i="5"/>
  <c r="K99" i="5"/>
  <c r="J98" i="5"/>
  <c r="G97" i="5"/>
  <c r="E96" i="5"/>
  <c r="C95" i="5"/>
  <c r="L93" i="5"/>
  <c r="J92" i="5"/>
  <c r="G91" i="5"/>
  <c r="F90" i="5"/>
  <c r="C89" i="5"/>
  <c r="I158" i="5"/>
  <c r="M156" i="5"/>
  <c r="H155" i="5"/>
  <c r="M153" i="5"/>
  <c r="E152" i="5"/>
  <c r="L150" i="5"/>
  <c r="E149" i="5"/>
  <c r="I147" i="5"/>
  <c r="E146" i="5"/>
  <c r="J144" i="5"/>
  <c r="B143" i="5"/>
  <c r="I141" i="5"/>
  <c r="B140" i="5"/>
  <c r="F138" i="5"/>
  <c r="B137" i="5"/>
  <c r="G135" i="5"/>
  <c r="L133" i="5"/>
  <c r="I132" i="5"/>
  <c r="D131" i="5"/>
  <c r="J129" i="5"/>
  <c r="G128" i="5"/>
  <c r="B127" i="5"/>
  <c r="H125" i="5"/>
  <c r="E124" i="5"/>
  <c r="L122" i="5"/>
  <c r="F121" i="5"/>
  <c r="C120" i="5"/>
  <c r="J118" i="5"/>
  <c r="D117" i="5"/>
  <c r="M115" i="5"/>
  <c r="H114" i="5"/>
  <c r="B113" i="5"/>
  <c r="K111" i="5"/>
  <c r="G110" i="5"/>
  <c r="E109" i="5"/>
  <c r="B108" i="5"/>
  <c r="L106" i="5"/>
  <c r="M157" i="5"/>
  <c r="H156" i="5"/>
  <c r="M154" i="5"/>
  <c r="E153" i="5"/>
  <c r="M151" i="5"/>
  <c r="F150" i="5"/>
  <c r="J148" i="5"/>
  <c r="E147" i="5"/>
  <c r="J145" i="5"/>
  <c r="B144" i="5"/>
  <c r="I142" i="5"/>
  <c r="C141" i="5"/>
  <c r="G139" i="5"/>
  <c r="B138" i="5"/>
  <c r="G136" i="5"/>
  <c r="K134" i="5"/>
  <c r="H133" i="5"/>
  <c r="C132" i="5"/>
  <c r="I130" i="5"/>
  <c r="F129" i="5"/>
  <c r="M127" i="5"/>
  <c r="G126" i="5"/>
  <c r="D125" i="5"/>
  <c r="K123" i="5"/>
  <c r="E122" i="5"/>
  <c r="B121" i="5"/>
  <c r="I119" i="5"/>
  <c r="C118" i="5"/>
  <c r="L116" i="5"/>
  <c r="G115" i="5"/>
  <c r="M113" i="5"/>
  <c r="J112" i="5"/>
  <c r="E111" i="5"/>
  <c r="C110" i="5"/>
  <c r="L108" i="5"/>
  <c r="J107" i="5"/>
  <c r="G106" i="5"/>
  <c r="F105" i="5"/>
  <c r="C104" i="5"/>
  <c r="M102" i="5"/>
  <c r="K101" i="5"/>
  <c r="H100" i="5"/>
  <c r="F99" i="5"/>
  <c r="C98" i="5"/>
  <c r="B97" i="5"/>
  <c r="K95" i="5"/>
  <c r="I94" i="5"/>
  <c r="G93" i="5"/>
  <c r="D92" i="5"/>
  <c r="B91" i="5"/>
  <c r="K89" i="5"/>
  <c r="J88" i="5"/>
  <c r="G87" i="5"/>
  <c r="E86" i="5"/>
  <c r="C85" i="5"/>
  <c r="M83" i="5"/>
  <c r="M82" i="5"/>
  <c r="L81" i="5"/>
  <c r="L80" i="5"/>
  <c r="K79" i="5"/>
  <c r="K78" i="5"/>
  <c r="J77" i="5"/>
  <c r="J76" i="5"/>
  <c r="I75" i="5"/>
  <c r="I74" i="5"/>
  <c r="H73" i="5"/>
  <c r="H72" i="5"/>
  <c r="G71" i="5"/>
  <c r="G70" i="5"/>
  <c r="F69" i="5"/>
  <c r="F68" i="5"/>
  <c r="E67" i="5"/>
  <c r="F66" i="5"/>
  <c r="G65" i="5"/>
  <c r="H64" i="5"/>
  <c r="I63" i="5"/>
  <c r="J62" i="5"/>
  <c r="K61" i="5"/>
  <c r="L60" i="5"/>
  <c r="B60" i="5"/>
  <c r="D59" i="5"/>
  <c r="F58" i="5"/>
  <c r="H57" i="5"/>
  <c r="J56" i="5"/>
  <c r="L55" i="5"/>
  <c r="B55" i="5"/>
  <c r="D54" i="5"/>
  <c r="F53" i="5"/>
  <c r="H52" i="5"/>
  <c r="J51" i="5"/>
  <c r="L50" i="5"/>
  <c r="B50" i="5"/>
  <c r="D49" i="5"/>
  <c r="F48" i="5"/>
  <c r="H47" i="5"/>
  <c r="J46" i="5"/>
  <c r="L45" i="5"/>
  <c r="B45" i="5"/>
  <c r="D44" i="5"/>
  <c r="F43" i="5"/>
  <c r="H42" i="5"/>
  <c r="J41" i="5"/>
  <c r="L40" i="5"/>
  <c r="B40" i="5"/>
  <c r="D39" i="5"/>
  <c r="F38" i="5"/>
  <c r="H37" i="5"/>
  <c r="J36" i="5"/>
  <c r="L35" i="5"/>
  <c r="B35" i="5"/>
  <c r="D34" i="5"/>
  <c r="F33" i="5"/>
  <c r="H32" i="5"/>
  <c r="J31" i="5"/>
  <c r="L30" i="5"/>
  <c r="B30" i="5"/>
  <c r="D29" i="5"/>
  <c r="F28" i="5"/>
  <c r="H27" i="5"/>
  <c r="J26" i="5"/>
  <c r="L25" i="5"/>
  <c r="J156" i="5"/>
  <c r="C153" i="5"/>
  <c r="B149" i="5"/>
  <c r="G145" i="5"/>
  <c r="D141" i="5"/>
  <c r="H137" i="5"/>
  <c r="J133" i="5"/>
  <c r="G130" i="5"/>
  <c r="K126" i="5"/>
  <c r="H123" i="5"/>
  <c r="J119" i="5"/>
  <c r="G116" i="5"/>
  <c r="L112" i="5"/>
  <c r="K109" i="5"/>
  <c r="I106" i="5"/>
  <c r="E104" i="5"/>
  <c r="L101" i="5"/>
  <c r="H99" i="5"/>
  <c r="C97" i="5"/>
  <c r="J94" i="5"/>
  <c r="E92" i="5"/>
  <c r="M89" i="5"/>
  <c r="J87" i="5"/>
  <c r="H85" i="5"/>
  <c r="L83" i="5"/>
  <c r="C82" i="5"/>
  <c r="D80" i="5"/>
  <c r="J78" i="5"/>
  <c r="L76" i="5"/>
  <c r="B75" i="5"/>
  <c r="G73" i="5"/>
  <c r="J71" i="5"/>
  <c r="K69" i="5"/>
  <c r="E68" i="5"/>
  <c r="I66" i="5"/>
  <c r="M64" i="5"/>
  <c r="H63" i="5"/>
  <c r="M61" i="5"/>
  <c r="F60" i="5"/>
  <c r="C59" i="5"/>
  <c r="J57" i="5"/>
  <c r="D56" i="5"/>
  <c r="M54" i="5"/>
  <c r="H53" i="5"/>
  <c r="B52" i="5"/>
  <c r="K50" i="5"/>
  <c r="F49" i="5"/>
  <c r="L47" i="5"/>
  <c r="I46" i="5"/>
  <c r="D45" i="5"/>
  <c r="J43" i="5"/>
  <c r="G42" i="5"/>
  <c r="B41" i="5"/>
  <c r="H39" i="5"/>
  <c r="E38" i="5"/>
  <c r="L36" i="5"/>
  <c r="F35" i="5"/>
  <c r="C34" i="5"/>
  <c r="J32" i="5"/>
  <c r="D31" i="5"/>
  <c r="M29" i="5"/>
  <c r="H28" i="5"/>
  <c r="B27" i="5"/>
  <c r="M25" i="5"/>
  <c r="M24" i="5"/>
  <c r="C24" i="5"/>
  <c r="E23" i="5"/>
  <c r="G22" i="5"/>
  <c r="I21" i="5"/>
  <c r="K20" i="5"/>
  <c r="M19" i="5"/>
  <c r="C19" i="5"/>
  <c r="E18" i="5"/>
  <c r="G17" i="5"/>
  <c r="I16" i="5"/>
  <c r="K15" i="5"/>
  <c r="M14" i="5"/>
  <c r="G156" i="5"/>
  <c r="C156" i="5"/>
  <c r="C152" i="5"/>
  <c r="G148" i="5"/>
  <c r="G144" i="5"/>
  <c r="K140" i="5"/>
  <c r="H136" i="5"/>
  <c r="C133" i="5"/>
  <c r="H129" i="5"/>
  <c r="E126" i="5"/>
  <c r="I122" i="5"/>
  <c r="F119" i="5"/>
  <c r="H115" i="5"/>
  <c r="E112" i="5"/>
  <c r="M108" i="5"/>
  <c r="E106" i="5"/>
  <c r="L103" i="5"/>
  <c r="G101" i="5"/>
  <c r="C99" i="5"/>
  <c r="K96" i="5"/>
  <c r="F94" i="5"/>
  <c r="B92" i="5"/>
  <c r="I89" i="5"/>
  <c r="E87" i="5"/>
  <c r="F85" i="5"/>
  <c r="F83" i="5"/>
  <c r="K81" i="5"/>
  <c r="B80" i="5"/>
  <c r="C78" i="5"/>
  <c r="I76" i="5"/>
  <c r="K74" i="5"/>
  <c r="M72" i="5"/>
  <c r="F71" i="5"/>
  <c r="I69" i="5"/>
  <c r="J67" i="5"/>
  <c r="E66" i="5"/>
  <c r="J64" i="5"/>
  <c r="B63" i="5"/>
  <c r="J61" i="5"/>
  <c r="D60" i="5"/>
  <c r="J58" i="5"/>
  <c r="G57" i="5"/>
  <c r="B56" i="5"/>
  <c r="H54" i="5"/>
  <c r="E53" i="5"/>
  <c r="L51" i="5"/>
  <c r="F50" i="5"/>
  <c r="C49" i="5"/>
  <c r="J47" i="5"/>
  <c r="D46" i="5"/>
  <c r="M44" i="5"/>
  <c r="H43" i="5"/>
  <c r="B42" i="5"/>
  <c r="K40" i="5"/>
  <c r="F39" i="5"/>
  <c r="L37" i="5"/>
  <c r="I36" i="5"/>
  <c r="D35" i="5"/>
  <c r="J33" i="5"/>
  <c r="G32" i="5"/>
  <c r="B31" i="5"/>
  <c r="H29" i="5"/>
  <c r="E28" i="5"/>
  <c r="L26" i="5"/>
  <c r="J25" i="5"/>
  <c r="K24" i="5"/>
  <c r="M23" i="5"/>
  <c r="C23" i="5"/>
  <c r="E22" i="5"/>
  <c r="G21" i="5"/>
  <c r="I20" i="5"/>
  <c r="K19" i="5"/>
  <c r="M18" i="5"/>
  <c r="C18" i="5"/>
  <c r="E17" i="5"/>
  <c r="G16" i="5"/>
  <c r="I15" i="5"/>
  <c r="L157" i="5"/>
  <c r="K153" i="5"/>
  <c r="E150" i="5"/>
  <c r="L145" i="5"/>
  <c r="H142" i="5"/>
  <c r="E138" i="5"/>
  <c r="J134" i="5"/>
  <c r="B131" i="5"/>
  <c r="L127" i="5"/>
  <c r="M123" i="5"/>
  <c r="M120" i="5"/>
  <c r="C117" i="5"/>
  <c r="L113" i="5"/>
  <c r="F110" i="5"/>
  <c r="I107" i="5"/>
  <c r="C105" i="5"/>
  <c r="J102" i="5"/>
  <c r="F100" i="5"/>
  <c r="M97" i="5"/>
  <c r="H95" i="5"/>
  <c r="C93" i="5"/>
  <c r="K90" i="5"/>
  <c r="G88" i="5"/>
  <c r="F86" i="5"/>
  <c r="E84" i="5"/>
  <c r="J82" i="5"/>
  <c r="M80" i="5"/>
  <c r="C79" i="5"/>
  <c r="H77" i="5"/>
  <c r="K75" i="5"/>
  <c r="L73" i="5"/>
  <c r="E72" i="5"/>
  <c r="H70" i="5"/>
  <c r="J68" i="5"/>
  <c r="C67" i="5"/>
  <c r="H65" i="5"/>
  <c r="L63" i="5"/>
  <c r="H62" i="5"/>
  <c r="M60" i="5"/>
  <c r="G59" i="5"/>
  <c r="D58" i="5"/>
  <c r="K56" i="5"/>
  <c r="E55" i="5"/>
  <c r="B54" i="5"/>
  <c r="I52" i="5"/>
  <c r="C51" i="5"/>
  <c r="L49" i="5"/>
  <c r="G48" i="5"/>
  <c r="M46" i="5"/>
  <c r="J45" i="5"/>
  <c r="E44" i="5"/>
  <c r="K42" i="5"/>
  <c r="H41" i="5"/>
  <c r="C40" i="5"/>
  <c r="I38" i="5"/>
  <c r="F37" i="5"/>
  <c r="M35" i="5"/>
  <c r="G34" i="5"/>
  <c r="D33" i="5"/>
  <c r="K31" i="5"/>
  <c r="E30" i="5"/>
  <c r="B29" i="5"/>
  <c r="I27" i="5"/>
  <c r="D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K157" i="5"/>
  <c r="J153" i="5"/>
  <c r="B150" i="5"/>
  <c r="K145" i="5"/>
  <c r="D142" i="5"/>
  <c r="D138" i="5"/>
  <c r="I134" i="5"/>
  <c r="M130" i="5"/>
  <c r="J127" i="5"/>
  <c r="L123" i="5"/>
  <c r="I120" i="5"/>
  <c r="B117" i="5"/>
  <c r="K113" i="5"/>
  <c r="D110" i="5"/>
  <c r="G107" i="5"/>
  <c r="H104" i="5"/>
  <c r="C102" i="5"/>
  <c r="J99" i="5"/>
  <c r="E97" i="5"/>
  <c r="M94" i="5"/>
  <c r="I92" i="5"/>
  <c r="D90" i="5"/>
  <c r="M87" i="5"/>
  <c r="D86" i="5"/>
  <c r="D84" i="5"/>
  <c r="E82" i="5"/>
  <c r="K80" i="5"/>
  <c r="M78" i="5"/>
  <c r="C77" i="5"/>
  <c r="H75" i="5"/>
  <c r="K73" i="5"/>
  <c r="L71" i="5"/>
  <c r="F70" i="5"/>
  <c r="H68" i="5"/>
  <c r="K66" i="5"/>
  <c r="F65" i="5"/>
  <c r="K63" i="5"/>
  <c r="C62" i="5"/>
  <c r="K60" i="5"/>
  <c r="F59" i="5"/>
  <c r="L57" i="5"/>
  <c r="I56" i="5"/>
  <c r="D55" i="5"/>
  <c r="J53" i="5"/>
  <c r="G52" i="5"/>
  <c r="B51" i="5"/>
  <c r="H49" i="5"/>
  <c r="E48" i="5"/>
  <c r="L46" i="5"/>
  <c r="F45" i="5"/>
  <c r="C44" i="5"/>
  <c r="J42" i="5"/>
  <c r="D41" i="5"/>
  <c r="M39" i="5"/>
  <c r="H38" i="5"/>
  <c r="B37" i="5"/>
  <c r="K35" i="5"/>
  <c r="F34" i="5"/>
  <c r="L32" i="5"/>
  <c r="I31" i="5"/>
  <c r="D30" i="5"/>
  <c r="J28" i="5"/>
  <c r="G27" i="5"/>
  <c r="C26" i="5"/>
  <c r="C25" i="5"/>
  <c r="E24" i="5"/>
  <c r="G23" i="5"/>
  <c r="I22" i="5"/>
  <c r="K21" i="5"/>
  <c r="M20" i="5"/>
  <c r="C20" i="5"/>
  <c r="E19" i="5"/>
  <c r="G18" i="5"/>
  <c r="D152" i="5"/>
  <c r="K146" i="5"/>
  <c r="K139" i="5"/>
  <c r="G133" i="5"/>
  <c r="B128" i="5"/>
  <c r="C122" i="5"/>
  <c r="I115" i="5"/>
  <c r="B111" i="5"/>
  <c r="H105" i="5"/>
  <c r="I101" i="5"/>
  <c r="B98" i="5"/>
  <c r="J93" i="5"/>
  <c r="J89" i="5"/>
  <c r="G86" i="5"/>
  <c r="C83" i="5"/>
  <c r="C80" i="5"/>
  <c r="I77" i="5"/>
  <c r="H74" i="5"/>
  <c r="I71" i="5"/>
  <c r="K68" i="5"/>
  <c r="L65" i="5"/>
  <c r="G63" i="5"/>
  <c r="B61" i="5"/>
  <c r="H58" i="5"/>
  <c r="C56" i="5"/>
  <c r="C54" i="5"/>
  <c r="I51" i="5"/>
  <c r="E49" i="5"/>
  <c r="B47" i="5"/>
  <c r="H44" i="5"/>
  <c r="F42" i="5"/>
  <c r="D40" i="5"/>
  <c r="J37" i="5"/>
  <c r="E35" i="5"/>
  <c r="E33" i="5"/>
  <c r="K30" i="5"/>
  <c r="G28" i="5"/>
  <c r="F26" i="5"/>
  <c r="I24" i="5"/>
  <c r="D23" i="5"/>
  <c r="M21" i="5"/>
  <c r="G20" i="5"/>
  <c r="B19" i="5"/>
  <c r="K17" i="5"/>
  <c r="H16" i="5"/>
  <c r="F15" i="5"/>
  <c r="E14" i="5"/>
  <c r="G13" i="5"/>
  <c r="I12" i="5"/>
  <c r="K11" i="5"/>
  <c r="M10" i="5"/>
  <c r="C10" i="5"/>
  <c r="K151" i="5"/>
  <c r="I145" i="5"/>
  <c r="E139" i="5"/>
  <c r="E132" i="5"/>
  <c r="L126" i="5"/>
  <c r="E121" i="5"/>
  <c r="F115" i="5"/>
  <c r="M109" i="5"/>
  <c r="G105" i="5"/>
  <c r="M100" i="5"/>
  <c r="D97" i="5"/>
  <c r="H93" i="5"/>
  <c r="M88" i="5"/>
  <c r="B86" i="5"/>
  <c r="B83" i="5"/>
  <c r="M79" i="5"/>
  <c r="B77" i="5"/>
  <c r="F74" i="5"/>
  <c r="E71" i="5"/>
  <c r="G68" i="5"/>
  <c r="K65" i="5"/>
  <c r="M62" i="5"/>
  <c r="J60" i="5"/>
  <c r="G58" i="5"/>
  <c r="M55" i="5"/>
  <c r="I53" i="5"/>
  <c r="H51" i="5"/>
  <c r="B49" i="5"/>
  <c r="K46" i="5"/>
  <c r="G44" i="5"/>
  <c r="M41" i="5"/>
  <c r="L39" i="5"/>
  <c r="I37" i="5"/>
  <c r="C35" i="5"/>
  <c r="K32" i="5"/>
  <c r="J30" i="5"/>
  <c r="D28" i="5"/>
  <c r="B26" i="5"/>
  <c r="H24" i="5"/>
  <c r="B23" i="5"/>
  <c r="J21" i="5"/>
  <c r="F20" i="5"/>
  <c r="L18" i="5"/>
  <c r="I17" i="5"/>
  <c r="F16" i="5"/>
  <c r="E15" i="5"/>
  <c r="D14" i="5"/>
  <c r="F13" i="5"/>
  <c r="H12" i="5"/>
  <c r="J11" i="5"/>
  <c r="L10" i="5"/>
  <c r="B10" i="5"/>
  <c r="F158" i="5"/>
  <c r="G151" i="5"/>
  <c r="H144" i="5"/>
  <c r="D139" i="5"/>
  <c r="D132" i="5"/>
  <c r="F126" i="5"/>
  <c r="D121" i="5"/>
  <c r="D115" i="5"/>
  <c r="C109" i="5"/>
  <c r="D105" i="5"/>
  <c r="K100" i="5"/>
  <c r="L96" i="5"/>
  <c r="E93" i="5"/>
  <c r="L88" i="5"/>
  <c r="G85" i="5"/>
  <c r="L82" i="5"/>
  <c r="J79" i="5"/>
  <c r="K76" i="5"/>
  <c r="M73" i="5"/>
  <c r="L70" i="5"/>
  <c r="C68" i="5"/>
  <c r="I65" i="5"/>
  <c r="L62" i="5"/>
  <c r="E60" i="5"/>
  <c r="E58" i="5"/>
  <c r="K55" i="5"/>
  <c r="G53" i="5"/>
  <c r="D51" i="5"/>
  <c r="J48" i="5"/>
  <c r="H46" i="5"/>
  <c r="F44" i="5"/>
  <c r="L41" i="5"/>
  <c r="G39" i="5"/>
  <c r="G37" i="5"/>
  <c r="M34" i="5"/>
  <c r="I32" i="5"/>
  <c r="F30" i="5"/>
  <c r="L27" i="5"/>
  <c r="K25" i="5"/>
  <c r="G24" i="5"/>
  <c r="M22" i="5"/>
  <c r="H21" i="5"/>
  <c r="E20" i="5"/>
  <c r="K18" i="5"/>
  <c r="H17" i="5"/>
  <c r="E16" i="5"/>
  <c r="C15" i="5"/>
  <c r="C14" i="5"/>
  <c r="E13" i="5"/>
  <c r="G12" i="5"/>
  <c r="I11" i="5"/>
  <c r="K10" i="5"/>
  <c r="E158" i="5"/>
  <c r="H150" i="5"/>
  <c r="M143" i="5"/>
  <c r="M137" i="5"/>
  <c r="B132" i="5"/>
  <c r="G125" i="5"/>
  <c r="K119" i="5"/>
  <c r="F114" i="5"/>
  <c r="K108" i="5"/>
  <c r="F104" i="5"/>
  <c r="I100" i="5"/>
  <c r="D96" i="5"/>
  <c r="G92" i="5"/>
  <c r="K88" i="5"/>
  <c r="D85" i="5"/>
  <c r="D82" i="5"/>
  <c r="I79" i="5"/>
  <c r="G76" i="5"/>
  <c r="J73" i="5"/>
  <c r="K70" i="5"/>
  <c r="I67" i="5"/>
  <c r="E65" i="5"/>
  <c r="K62" i="5"/>
  <c r="C60" i="5"/>
  <c r="K57" i="5"/>
  <c r="J55" i="5"/>
  <c r="D53" i="5"/>
  <c r="M50" i="5"/>
  <c r="I48" i="5"/>
  <c r="C46" i="5"/>
  <c r="B44" i="5"/>
  <c r="K41" i="5"/>
  <c r="E39" i="5"/>
  <c r="M36" i="5"/>
  <c r="L34" i="5"/>
  <c r="K156" i="5"/>
  <c r="G150" i="5"/>
  <c r="L143" i="5"/>
  <c r="I136" i="5"/>
  <c r="L131" i="5"/>
  <c r="F125" i="5"/>
  <c r="H119" i="5"/>
  <c r="E114" i="5"/>
  <c r="J108" i="5"/>
  <c r="M103" i="5"/>
  <c r="G100" i="5"/>
  <c r="B96" i="5"/>
  <c r="C92" i="5"/>
  <c r="H88" i="5"/>
  <c r="M84" i="5"/>
  <c r="B82" i="5"/>
  <c r="D79" i="5"/>
  <c r="B76" i="5"/>
  <c r="F73" i="5"/>
  <c r="I70" i="5"/>
  <c r="H67" i="5"/>
  <c r="K64" i="5"/>
  <c r="I62" i="5"/>
  <c r="M59" i="5"/>
  <c r="I57" i="5"/>
  <c r="F55" i="5"/>
  <c r="L52" i="5"/>
  <c r="J50" i="5"/>
  <c r="H48" i="5"/>
  <c r="B46" i="5"/>
  <c r="I43" i="5"/>
  <c r="I41" i="5"/>
  <c r="C39" i="5"/>
  <c r="K36" i="5"/>
  <c r="H34" i="5"/>
  <c r="B32" i="5"/>
  <c r="L29" i="5"/>
  <c r="J27" i="5"/>
  <c r="G25" i="5"/>
  <c r="C155" i="5"/>
  <c r="B155" i="5"/>
  <c r="I148" i="5"/>
  <c r="L142" i="5"/>
  <c r="D136" i="5"/>
  <c r="I129" i="5"/>
  <c r="K124" i="5"/>
  <c r="G118" i="5"/>
  <c r="I112" i="5"/>
  <c r="L107" i="5"/>
  <c r="C103" i="5"/>
  <c r="E99" i="5"/>
  <c r="I95" i="5"/>
  <c r="E91" i="5"/>
  <c r="I87" i="5"/>
  <c r="F84" i="5"/>
  <c r="E81" i="5"/>
  <c r="H78" i="5"/>
  <c r="L75" i="5"/>
  <c r="J72" i="5"/>
  <c r="J69" i="5"/>
  <c r="D67" i="5"/>
  <c r="G64" i="5"/>
  <c r="L61" i="5"/>
  <c r="H59" i="5"/>
  <c r="B57" i="5"/>
  <c r="L54" i="5"/>
  <c r="J52" i="5"/>
  <c r="D50" i="5"/>
  <c r="K47" i="5"/>
  <c r="K45" i="5"/>
  <c r="E43" i="5"/>
  <c r="M40" i="5"/>
  <c r="J38" i="5"/>
  <c r="D36" i="5"/>
  <c r="B34" i="5"/>
  <c r="L31" i="5"/>
  <c r="F29" i="5"/>
  <c r="M26" i="5"/>
  <c r="L154" i="5"/>
  <c r="H147" i="5"/>
  <c r="E141" i="5"/>
  <c r="E135" i="5"/>
  <c r="E129" i="5"/>
  <c r="J123" i="5"/>
  <c r="B118" i="5"/>
  <c r="G111" i="5"/>
  <c r="K106" i="5"/>
  <c r="B103" i="5"/>
  <c r="H98" i="5"/>
  <c r="K94" i="5"/>
  <c r="D91" i="5"/>
  <c r="D87" i="5"/>
  <c r="C84" i="5"/>
  <c r="D81" i="5"/>
  <c r="B78" i="5"/>
  <c r="G75" i="5"/>
  <c r="I72" i="5"/>
  <c r="H69" i="5"/>
  <c r="J66" i="5"/>
  <c r="F64" i="5"/>
  <c r="I61" i="5"/>
  <c r="E59" i="5"/>
  <c r="M56" i="5"/>
  <c r="G54" i="5"/>
  <c r="F52" i="5"/>
  <c r="C50" i="5"/>
  <c r="I47" i="5"/>
  <c r="E45" i="5"/>
  <c r="D43" i="5"/>
  <c r="J40" i="5"/>
  <c r="G38" i="5"/>
  <c r="C36" i="5"/>
  <c r="I33" i="5"/>
  <c r="H31" i="5"/>
  <c r="E29" i="5"/>
  <c r="K26" i="5"/>
  <c r="B25" i="5"/>
  <c r="J23" i="5"/>
  <c r="D22" i="5"/>
  <c r="L20" i="5"/>
  <c r="H19" i="5"/>
  <c r="B18" i="5"/>
  <c r="M16" i="5"/>
  <c r="J15" i="5"/>
  <c r="I14" i="5"/>
  <c r="J13" i="5"/>
  <c r="L12" i="5"/>
  <c r="B12" i="5"/>
  <c r="D11" i="5"/>
  <c r="F10" i="5"/>
  <c r="D153" i="5"/>
  <c r="D147" i="5"/>
  <c r="L139" i="5"/>
  <c r="K133" i="5"/>
  <c r="C128" i="5"/>
  <c r="D122" i="5"/>
  <c r="K116" i="5"/>
  <c r="D111" i="5"/>
  <c r="I105" i="5"/>
  <c r="B102" i="5"/>
  <c r="E98" i="5"/>
  <c r="K93" i="5"/>
  <c r="C90" i="5"/>
  <c r="I86" i="5"/>
  <c r="E83" i="5"/>
  <c r="I80" i="5"/>
  <c r="L77" i="5"/>
  <c r="J74" i="5"/>
  <c r="K71" i="5"/>
  <c r="D69" i="5"/>
  <c r="D66" i="5"/>
  <c r="J63" i="5"/>
  <c r="C61" i="5"/>
  <c r="I58" i="5"/>
  <c r="H56" i="5"/>
  <c r="E54" i="5"/>
  <c r="K51" i="5"/>
  <c r="G49" i="5"/>
  <c r="F47" i="5"/>
  <c r="L44" i="5"/>
  <c r="I42" i="5"/>
  <c r="E40" i="5"/>
  <c r="K37" i="5"/>
  <c r="J35" i="5"/>
  <c r="G33" i="5"/>
  <c r="M30" i="5"/>
  <c r="I28" i="5"/>
  <c r="H26" i="5"/>
  <c r="J24" i="5"/>
  <c r="F23" i="5"/>
  <c r="B22" i="5"/>
  <c r="H20" i="5"/>
  <c r="D19" i="5"/>
  <c r="L17" i="5"/>
  <c r="J16" i="5"/>
  <c r="G15" i="5"/>
  <c r="G14" i="5"/>
  <c r="H13" i="5"/>
  <c r="J12" i="5"/>
  <c r="L11" i="5"/>
  <c r="B11" i="5"/>
  <c r="D10" i="5"/>
  <c r="M142" i="5"/>
  <c r="M112" i="5"/>
  <c r="F91" i="5"/>
  <c r="M75" i="5"/>
  <c r="B62" i="5"/>
  <c r="E50" i="5"/>
  <c r="B39" i="5"/>
  <c r="G29" i="5"/>
  <c r="B24" i="5"/>
  <c r="E21" i="5"/>
  <c r="I18" i="5"/>
  <c r="C16" i="5"/>
  <c r="M13" i="5"/>
  <c r="E12" i="5"/>
  <c r="I10" i="5"/>
  <c r="M140" i="5"/>
  <c r="F111" i="5"/>
  <c r="M90" i="5"/>
  <c r="M74" i="5"/>
  <c r="D61" i="5"/>
  <c r="M49" i="5"/>
  <c r="D38" i="5"/>
  <c r="C29" i="5"/>
  <c r="L23" i="5"/>
  <c r="D21" i="5"/>
  <c r="F18" i="5"/>
  <c r="M15" i="5"/>
  <c r="L13" i="5"/>
  <c r="D12" i="5"/>
  <c r="H10" i="5"/>
  <c r="F136" i="5"/>
  <c r="M107" i="5"/>
  <c r="L87" i="5"/>
  <c r="L72" i="5"/>
  <c r="L59" i="5"/>
  <c r="D48" i="5"/>
  <c r="H36" i="5"/>
  <c r="K27" i="5"/>
  <c r="K23" i="5"/>
  <c r="C21" i="5"/>
  <c r="D18" i="5"/>
  <c r="L15" i="5"/>
  <c r="K13" i="5"/>
  <c r="C12" i="5"/>
  <c r="G10" i="5"/>
  <c r="J154" i="5"/>
  <c r="J122" i="5"/>
  <c r="G98" i="5"/>
  <c r="B81" i="5"/>
  <c r="G66" i="5"/>
  <c r="F54" i="5"/>
  <c r="L42" i="5"/>
  <c r="M31" i="5"/>
  <c r="E25" i="5"/>
  <c r="F22" i="5"/>
  <c r="I19" i="5"/>
  <c r="B17" i="5"/>
  <c r="J14" i="5"/>
  <c r="M12" i="5"/>
  <c r="E11" i="5"/>
  <c r="H118" i="5"/>
  <c r="K83" i="5"/>
  <c r="B59" i="5"/>
  <c r="C41" i="5"/>
  <c r="H25" i="5"/>
  <c r="J20" i="5"/>
  <c r="K16" i="5"/>
  <c r="C13" i="5"/>
  <c r="E10" i="5"/>
  <c r="M117" i="5"/>
  <c r="J81" i="5"/>
  <c r="F57" i="5"/>
  <c r="F40" i="5"/>
  <c r="F25" i="5"/>
  <c r="B20" i="5"/>
  <c r="D16" i="5"/>
  <c r="B13" i="5"/>
  <c r="F106" i="5"/>
  <c r="L78" i="5"/>
  <c r="L56" i="5"/>
  <c r="B36" i="5"/>
  <c r="L24" i="5"/>
  <c r="L19" i="5"/>
  <c r="H15" i="5"/>
  <c r="K12" i="5"/>
  <c r="E103" i="5"/>
  <c r="M77" i="5"/>
  <c r="C55" i="5"/>
  <c r="E34" i="5"/>
  <c r="D24" i="5"/>
  <c r="J19" i="5"/>
  <c r="B15" i="5"/>
  <c r="F12" i="5"/>
  <c r="C149" i="5"/>
  <c r="L102" i="5"/>
  <c r="G72" i="5"/>
  <c r="K52" i="5"/>
  <c r="H33" i="5"/>
  <c r="I23" i="5"/>
  <c r="G19" i="5"/>
  <c r="L14" i="5"/>
  <c r="M11" i="5"/>
  <c r="G147" i="5"/>
  <c r="I99" i="5"/>
  <c r="D70" i="5"/>
  <c r="M51" i="5"/>
  <c r="F32" i="5"/>
  <c r="L22" i="5"/>
  <c r="J18" i="5"/>
  <c r="K14" i="5"/>
  <c r="H11" i="5"/>
  <c r="C135" i="5"/>
  <c r="M95" i="5"/>
  <c r="E69" i="5"/>
  <c r="G47" i="5"/>
  <c r="C31" i="5"/>
  <c r="K22" i="5"/>
  <c r="M17" i="5"/>
  <c r="H14" i="5"/>
  <c r="G11" i="5"/>
  <c r="H130" i="5"/>
  <c r="H94" i="5"/>
  <c r="G67" i="5"/>
  <c r="M45" i="5"/>
  <c r="C30" i="5"/>
  <c r="H22" i="5"/>
  <c r="F17" i="5"/>
  <c r="B14" i="5"/>
  <c r="F11" i="5"/>
  <c r="F27" i="5"/>
  <c r="I26" i="5"/>
  <c r="M128" i="5"/>
  <c r="C22" i="5"/>
  <c r="C125" i="5"/>
  <c r="F21" i="5"/>
  <c r="I64" i="5"/>
  <c r="I13" i="5"/>
  <c r="C11" i="5"/>
  <c r="J10" i="5"/>
  <c r="K86" i="5"/>
  <c r="K84" i="5"/>
  <c r="M63" i="5"/>
  <c r="C45" i="5"/>
  <c r="G43" i="5"/>
  <c r="D17" i="5"/>
  <c r="C17" i="5"/>
  <c r="D11" i="2"/>
  <c r="G12" i="2"/>
  <c r="M13" i="2"/>
  <c r="F15" i="2"/>
  <c r="I16" i="2"/>
  <c r="C18" i="2"/>
  <c r="H19" i="2"/>
  <c r="K20" i="2"/>
  <c r="E22" i="2"/>
  <c r="J23" i="2"/>
  <c r="M24" i="2"/>
  <c r="G26" i="2"/>
  <c r="L27" i="2"/>
  <c r="C29" i="2"/>
  <c r="I30" i="2"/>
  <c r="B32" i="2"/>
  <c r="I33" i="2"/>
  <c r="E35" i="2"/>
  <c r="M36" i="2"/>
  <c r="I38" i="2"/>
  <c r="E40" i="2"/>
  <c r="H41" i="2"/>
  <c r="D43" i="2"/>
  <c r="M44" i="2"/>
  <c r="K46" i="2"/>
  <c r="I48" i="2"/>
  <c r="H50" i="2"/>
  <c r="F52" i="2"/>
  <c r="D54" i="2"/>
  <c r="B56" i="2"/>
  <c r="L57" i="2"/>
  <c r="K59" i="2"/>
  <c r="I61" i="2"/>
  <c r="G63" i="2"/>
  <c r="E65" i="2"/>
  <c r="D67" i="2"/>
  <c r="B69" i="2"/>
  <c r="L70" i="2"/>
  <c r="J72" i="2"/>
  <c r="H74" i="2"/>
  <c r="G76" i="2"/>
  <c r="E78" i="2"/>
  <c r="L80" i="2"/>
  <c r="J84" i="2"/>
  <c r="F88" i="2"/>
  <c r="H92" i="2"/>
  <c r="F97" i="2"/>
  <c r="E103" i="2"/>
  <c r="D109" i="2"/>
  <c r="C115" i="2"/>
  <c r="B121" i="2"/>
  <c r="D127" i="2"/>
  <c r="C133" i="2"/>
  <c r="B139" i="2"/>
  <c r="M144" i="2"/>
  <c r="F153" i="2"/>
  <c r="J37" i="4"/>
  <c r="K13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F158" i="6"/>
  <c r="H157" i="6"/>
  <c r="J156" i="6"/>
  <c r="L155" i="6"/>
  <c r="B155" i="6"/>
  <c r="D154" i="6"/>
  <c r="F153" i="6"/>
  <c r="H152" i="6"/>
  <c r="J151" i="6"/>
  <c r="L150" i="6"/>
  <c r="B150" i="6"/>
  <c r="D149" i="6"/>
  <c r="F148" i="6"/>
  <c r="H147" i="6"/>
  <c r="J146" i="6"/>
  <c r="L145" i="6"/>
  <c r="B145" i="6"/>
  <c r="D144" i="6"/>
  <c r="F143" i="6"/>
  <c r="H142" i="6"/>
  <c r="J141" i="6"/>
  <c r="L140" i="6"/>
  <c r="B140" i="6"/>
  <c r="D139" i="6"/>
  <c r="F138" i="6"/>
  <c r="H137" i="6"/>
  <c r="J136" i="6"/>
  <c r="L135" i="6"/>
  <c r="B135" i="6"/>
  <c r="D134" i="6"/>
  <c r="F133" i="6"/>
  <c r="H132" i="6"/>
  <c r="J131" i="6"/>
  <c r="L130" i="6"/>
  <c r="B130" i="6"/>
  <c r="D129" i="6"/>
  <c r="F128" i="6"/>
  <c r="H127" i="6"/>
  <c r="J126" i="6"/>
  <c r="L125" i="6"/>
  <c r="B125" i="6"/>
  <c r="D124" i="6"/>
  <c r="F123" i="6"/>
  <c r="H122" i="6"/>
  <c r="J121" i="6"/>
  <c r="L120" i="6"/>
  <c r="B120" i="6"/>
  <c r="D119" i="6"/>
  <c r="F118" i="6"/>
  <c r="H117" i="6"/>
  <c r="J116" i="6"/>
  <c r="L115" i="6"/>
  <c r="B115" i="6"/>
  <c r="D114" i="6"/>
  <c r="F113" i="6"/>
  <c r="H112" i="6"/>
  <c r="J111" i="6"/>
  <c r="L110" i="6"/>
  <c r="B110" i="6"/>
  <c r="D109" i="6"/>
  <c r="F108" i="6"/>
  <c r="H107" i="6"/>
  <c r="J106" i="6"/>
  <c r="L105" i="6"/>
  <c r="B105" i="6"/>
  <c r="D104" i="6"/>
  <c r="F103" i="6"/>
  <c r="H102" i="6"/>
  <c r="J101" i="6"/>
  <c r="L100" i="6"/>
  <c r="B100" i="6"/>
  <c r="D99" i="6"/>
  <c r="F98" i="6"/>
  <c r="H97" i="6"/>
  <c r="J96" i="6"/>
  <c r="L95" i="6"/>
  <c r="B95" i="6"/>
  <c r="D94" i="6"/>
  <c r="F93" i="6"/>
  <c r="H92" i="6"/>
  <c r="J91" i="6"/>
  <c r="L90" i="6"/>
  <c r="B90" i="6"/>
  <c r="D89" i="6"/>
  <c r="F88" i="6"/>
  <c r="J158" i="6"/>
  <c r="G157" i="6"/>
  <c r="B156" i="6"/>
  <c r="H154" i="6"/>
  <c r="E153" i="6"/>
  <c r="L151" i="6"/>
  <c r="F150" i="6"/>
  <c r="C149" i="6"/>
  <c r="J147" i="6"/>
  <c r="D146" i="6"/>
  <c r="M144" i="6"/>
  <c r="H143" i="6"/>
  <c r="B142" i="6"/>
  <c r="K140" i="6"/>
  <c r="F139" i="6"/>
  <c r="L137" i="6"/>
  <c r="I136" i="6"/>
  <c r="D135" i="6"/>
  <c r="J133" i="6"/>
  <c r="G132" i="6"/>
  <c r="B131" i="6"/>
  <c r="H129" i="6"/>
  <c r="E128" i="6"/>
  <c r="L126" i="6"/>
  <c r="F125" i="6"/>
  <c r="C124" i="6"/>
  <c r="J122" i="6"/>
  <c r="D121" i="6"/>
  <c r="M119" i="6"/>
  <c r="I118" i="6"/>
  <c r="I117" i="6"/>
  <c r="H116" i="6"/>
  <c r="G115" i="6"/>
  <c r="G114" i="6"/>
  <c r="G113" i="6"/>
  <c r="F112" i="6"/>
  <c r="E111" i="6"/>
  <c r="E110" i="6"/>
  <c r="E109" i="6"/>
  <c r="D108" i="6"/>
  <c r="C107" i="6"/>
  <c r="C106" i="6"/>
  <c r="C105" i="6"/>
  <c r="B104" i="6"/>
  <c r="M102" i="6"/>
  <c r="M101" i="6"/>
  <c r="M100" i="6"/>
  <c r="L99" i="6"/>
  <c r="K98" i="6"/>
  <c r="K97" i="6"/>
  <c r="L96" i="6"/>
  <c r="M95" i="6"/>
  <c r="M94" i="6"/>
  <c r="B94" i="6"/>
  <c r="C93" i="6"/>
  <c r="D92" i="6"/>
  <c r="E91" i="6"/>
  <c r="F90" i="6"/>
  <c r="G89" i="6"/>
  <c r="H88" i="6"/>
  <c r="I87" i="6"/>
  <c r="K86" i="6"/>
  <c r="M85" i="6"/>
  <c r="C85" i="6"/>
  <c r="E84" i="6"/>
  <c r="G83" i="6"/>
  <c r="I82" i="6"/>
  <c r="K81" i="6"/>
  <c r="M80" i="6"/>
  <c r="C80" i="6"/>
  <c r="E79" i="6"/>
  <c r="G78" i="6"/>
  <c r="I77" i="6"/>
  <c r="K76" i="6"/>
  <c r="M75" i="6"/>
  <c r="C75" i="6"/>
  <c r="E74" i="6"/>
  <c r="G73" i="6"/>
  <c r="I72" i="6"/>
  <c r="K71" i="6"/>
  <c r="M70" i="6"/>
  <c r="C70" i="6"/>
  <c r="E69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H118" i="6"/>
  <c r="G117" i="6"/>
  <c r="G116" i="6"/>
  <c r="F115" i="6"/>
  <c r="F114" i="6"/>
  <c r="E113" i="6"/>
  <c r="E112" i="6"/>
  <c r="D111" i="6"/>
  <c r="D110" i="6"/>
  <c r="C109" i="6"/>
  <c r="C108" i="6"/>
  <c r="B107" i="6"/>
  <c r="B106" i="6"/>
  <c r="M104" i="6"/>
  <c r="M103" i="6"/>
  <c r="L102" i="6"/>
  <c r="L101" i="6"/>
  <c r="K100" i="6"/>
  <c r="K99" i="6"/>
  <c r="J98" i="6"/>
  <c r="J97" i="6"/>
  <c r="K96" i="6"/>
  <c r="K95" i="6"/>
  <c r="L94" i="6"/>
  <c r="M93" i="6"/>
  <c r="B93" i="6"/>
  <c r="C92" i="6"/>
  <c r="D91" i="6"/>
  <c r="E90" i="6"/>
  <c r="F89" i="6"/>
  <c r="G88" i="6"/>
  <c r="H87" i="6"/>
  <c r="J86" i="6"/>
  <c r="L85" i="6"/>
  <c r="B85" i="6"/>
  <c r="D84" i="6"/>
  <c r="F83" i="6"/>
  <c r="H82" i="6"/>
  <c r="J81" i="6"/>
  <c r="L80" i="6"/>
  <c r="B80" i="6"/>
  <c r="D79" i="6"/>
  <c r="F78" i="6"/>
  <c r="H77" i="6"/>
  <c r="J76" i="6"/>
  <c r="L75" i="6"/>
  <c r="B75" i="6"/>
  <c r="D74" i="6"/>
  <c r="F73" i="6"/>
  <c r="H72" i="6"/>
  <c r="J71" i="6"/>
  <c r="L70" i="6"/>
  <c r="B70" i="6"/>
  <c r="D69" i="6"/>
  <c r="F68" i="6"/>
  <c r="H67" i="6"/>
  <c r="H158" i="6"/>
  <c r="B157" i="6"/>
  <c r="K155" i="6"/>
  <c r="F154" i="6"/>
  <c r="L152" i="6"/>
  <c r="I151" i="6"/>
  <c r="D150" i="6"/>
  <c r="J148" i="6"/>
  <c r="G147" i="6"/>
  <c r="B146" i="6"/>
  <c r="H144" i="6"/>
  <c r="E143" i="6"/>
  <c r="L141" i="6"/>
  <c r="F140" i="6"/>
  <c r="C139" i="6"/>
  <c r="J137" i="6"/>
  <c r="D136" i="6"/>
  <c r="M134" i="6"/>
  <c r="H133" i="6"/>
  <c r="B132" i="6"/>
  <c r="K130" i="6"/>
  <c r="F129" i="6"/>
  <c r="L127" i="6"/>
  <c r="I126" i="6"/>
  <c r="D125" i="6"/>
  <c r="J123" i="6"/>
  <c r="G122" i="6"/>
  <c r="B121" i="6"/>
  <c r="H119" i="6"/>
  <c r="G118" i="6"/>
  <c r="F117" i="6"/>
  <c r="E116" i="6"/>
  <c r="E115" i="6"/>
  <c r="E114" i="6"/>
  <c r="D113" i="6"/>
  <c r="C112" i="6"/>
  <c r="C111" i="6"/>
  <c r="C110" i="6"/>
  <c r="B109" i="6"/>
  <c r="M107" i="6"/>
  <c r="M106" i="6"/>
  <c r="M105" i="6"/>
  <c r="L104" i="6"/>
  <c r="K103" i="6"/>
  <c r="K102" i="6"/>
  <c r="K101" i="6"/>
  <c r="J100" i="6"/>
  <c r="I99" i="6"/>
  <c r="I98" i="6"/>
  <c r="I97" i="6"/>
  <c r="I96" i="6"/>
  <c r="J95" i="6"/>
  <c r="K94" i="6"/>
  <c r="L93" i="6"/>
  <c r="M92" i="6"/>
  <c r="B92" i="6"/>
  <c r="C91" i="6"/>
  <c r="D90" i="6"/>
  <c r="E89" i="6"/>
  <c r="E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158" i="6"/>
  <c r="M156" i="6"/>
  <c r="J155" i="6"/>
  <c r="E154" i="6"/>
  <c r="K152" i="6"/>
  <c r="H151" i="6"/>
  <c r="C150" i="6"/>
  <c r="E158" i="6"/>
  <c r="D158" i="6"/>
  <c r="L157" i="6"/>
  <c r="I156" i="6"/>
  <c r="D155" i="6"/>
  <c r="J153" i="6"/>
  <c r="G152" i="6"/>
  <c r="B151" i="6"/>
  <c r="H149" i="6"/>
  <c r="E148" i="6"/>
  <c r="L146" i="6"/>
  <c r="K157" i="6"/>
  <c r="H156" i="6"/>
  <c r="C155" i="6"/>
  <c r="I153" i="6"/>
  <c r="F152" i="6"/>
  <c r="M150" i="6"/>
  <c r="G149" i="6"/>
  <c r="D148" i="6"/>
  <c r="K146" i="6"/>
  <c r="E145" i="6"/>
  <c r="B144" i="6"/>
  <c r="I142" i="6"/>
  <c r="C141" i="6"/>
  <c r="L139" i="6"/>
  <c r="G138" i="6"/>
  <c r="M136" i="6"/>
  <c r="J135" i="6"/>
  <c r="E134" i="6"/>
  <c r="K132" i="6"/>
  <c r="H131" i="6"/>
  <c r="C130" i="6"/>
  <c r="I128" i="6"/>
  <c r="F127" i="6"/>
  <c r="M125" i="6"/>
  <c r="G124" i="6"/>
  <c r="D123" i="6"/>
  <c r="K121" i="6"/>
  <c r="E120" i="6"/>
  <c r="B119" i="6"/>
  <c r="L117" i="6"/>
  <c r="L116" i="6"/>
  <c r="K115" i="6"/>
  <c r="K114" i="6"/>
  <c r="J113" i="6"/>
  <c r="J112" i="6"/>
  <c r="I111" i="6"/>
  <c r="I110" i="6"/>
  <c r="H109" i="6"/>
  <c r="H108" i="6"/>
  <c r="G107" i="6"/>
  <c r="G106" i="6"/>
  <c r="F105" i="6"/>
  <c r="F104" i="6"/>
  <c r="E103" i="6"/>
  <c r="E102" i="6"/>
  <c r="D101" i="6"/>
  <c r="D100" i="6"/>
  <c r="C99" i="6"/>
  <c r="C98" i="6"/>
  <c r="C97" i="6"/>
  <c r="D96" i="6"/>
  <c r="E95" i="6"/>
  <c r="F94" i="6"/>
  <c r="G93" i="6"/>
  <c r="G92" i="6"/>
  <c r="H91" i="6"/>
  <c r="I90" i="6"/>
  <c r="J89" i="6"/>
  <c r="K88" i="6"/>
  <c r="L87" i="6"/>
  <c r="B87" i="6"/>
  <c r="D86" i="6"/>
  <c r="F85" i="6"/>
  <c r="H84" i="6"/>
  <c r="J83" i="6"/>
  <c r="L82" i="6"/>
  <c r="B82" i="6"/>
  <c r="D81" i="6"/>
  <c r="F80" i="6"/>
  <c r="H79" i="6"/>
  <c r="J78" i="6"/>
  <c r="L77" i="6"/>
  <c r="B77" i="6"/>
  <c r="D76" i="6"/>
  <c r="F75" i="6"/>
  <c r="H74" i="6"/>
  <c r="J73" i="6"/>
  <c r="L72" i="6"/>
  <c r="B72" i="6"/>
  <c r="D71" i="6"/>
  <c r="F70" i="6"/>
  <c r="H69" i="6"/>
  <c r="J68" i="6"/>
  <c r="L67" i="6"/>
  <c r="B67" i="6"/>
  <c r="J157" i="6"/>
  <c r="D156" i="6"/>
  <c r="M154" i="6"/>
  <c r="H153" i="6"/>
  <c r="B152" i="6"/>
  <c r="K150" i="6"/>
  <c r="F149" i="6"/>
  <c r="L147" i="6"/>
  <c r="I146" i="6"/>
  <c r="D145" i="6"/>
  <c r="J143" i="6"/>
  <c r="I157" i="6"/>
  <c r="C156" i="6"/>
  <c r="L154" i="6"/>
  <c r="G153" i="6"/>
  <c r="M151" i="6"/>
  <c r="J150" i="6"/>
  <c r="E149" i="6"/>
  <c r="K147" i="6"/>
  <c r="H146" i="6"/>
  <c r="C145" i="6"/>
  <c r="I143" i="6"/>
  <c r="F142" i="6"/>
  <c r="L156" i="6"/>
  <c r="M149" i="6"/>
  <c r="J145" i="6"/>
  <c r="G142" i="6"/>
  <c r="M139" i="6"/>
  <c r="G137" i="6"/>
  <c r="E135" i="6"/>
  <c r="L132" i="6"/>
  <c r="F130" i="6"/>
  <c r="G128" i="6"/>
  <c r="B126" i="6"/>
  <c r="H123" i="6"/>
  <c r="H121" i="6"/>
  <c r="C119" i="6"/>
  <c r="C117" i="6"/>
  <c r="I115" i="6"/>
  <c r="K113" i="6"/>
  <c r="M111" i="6"/>
  <c r="F110" i="6"/>
  <c r="I108" i="6"/>
  <c r="K106" i="6"/>
  <c r="D105" i="6"/>
  <c r="G103" i="6"/>
  <c r="H101" i="6"/>
  <c r="M99" i="6"/>
  <c r="D98" i="6"/>
  <c r="G96" i="6"/>
  <c r="C95" i="6"/>
  <c r="H93" i="6"/>
  <c r="L91" i="6"/>
  <c r="G90" i="6"/>
  <c r="L88" i="6"/>
  <c r="E87" i="6"/>
  <c r="B86" i="6"/>
  <c r="I84" i="6"/>
  <c r="C83" i="6"/>
  <c r="L81" i="6"/>
  <c r="G80" i="6"/>
  <c r="M78" i="6"/>
  <c r="J77" i="6"/>
  <c r="E76" i="6"/>
  <c r="K74" i="6"/>
  <c r="H73" i="6"/>
  <c r="C72" i="6"/>
  <c r="I70" i="6"/>
  <c r="F69" i="6"/>
  <c r="B68" i="6"/>
  <c r="M66" i="6"/>
  <c r="C66" i="6"/>
  <c r="E65" i="6"/>
  <c r="G64" i="6"/>
  <c r="I63" i="6"/>
  <c r="K62" i="6"/>
  <c r="M61" i="6"/>
  <c r="C61" i="6"/>
  <c r="E60" i="6"/>
  <c r="G59" i="6"/>
  <c r="I58" i="6"/>
  <c r="K57" i="6"/>
  <c r="M56" i="6"/>
  <c r="C56" i="6"/>
  <c r="E55" i="6"/>
  <c r="G54" i="6"/>
  <c r="I53" i="6"/>
  <c r="K52" i="6"/>
  <c r="M51" i="6"/>
  <c r="C51" i="6"/>
  <c r="E50" i="6"/>
  <c r="G49" i="6"/>
  <c r="I48" i="6"/>
  <c r="K47" i="6"/>
  <c r="M46" i="6"/>
  <c r="C46" i="6"/>
  <c r="E45" i="6"/>
  <c r="G44" i="6"/>
  <c r="I43" i="6"/>
  <c r="K42" i="6"/>
  <c r="M41" i="6"/>
  <c r="C41" i="6"/>
  <c r="E40" i="6"/>
  <c r="G39" i="6"/>
  <c r="I38" i="6"/>
  <c r="K37" i="6"/>
  <c r="M36" i="6"/>
  <c r="C36" i="6"/>
  <c r="K156" i="6"/>
  <c r="L149" i="6"/>
  <c r="F145" i="6"/>
  <c r="K141" i="6"/>
  <c r="H139" i="6"/>
  <c r="F137" i="6"/>
  <c r="L134" i="6"/>
  <c r="J132" i="6"/>
  <c r="E130" i="6"/>
  <c r="K127" i="6"/>
  <c r="K125" i="6"/>
  <c r="G123" i="6"/>
  <c r="M120" i="6"/>
  <c r="K118" i="6"/>
  <c r="B117" i="6"/>
  <c r="D115" i="6"/>
  <c r="I113" i="6"/>
  <c r="L111" i="6"/>
  <c r="M109" i="6"/>
  <c r="G108" i="6"/>
  <c r="I106" i="6"/>
  <c r="K104" i="6"/>
  <c r="D103" i="6"/>
  <c r="G101" i="6"/>
  <c r="H99" i="6"/>
  <c r="M97" i="6"/>
  <c r="F96" i="6"/>
  <c r="J94" i="6"/>
  <c r="E93" i="6"/>
  <c r="K91" i="6"/>
  <c r="C90" i="6"/>
  <c r="J88" i="6"/>
  <c r="D87" i="6"/>
  <c r="J85" i="6"/>
  <c r="G84" i="6"/>
  <c r="B83" i="6"/>
  <c r="H81" i="6"/>
  <c r="E80" i="6"/>
  <c r="L78" i="6"/>
  <c r="F77" i="6"/>
  <c r="C76" i="6"/>
  <c r="J74" i="6"/>
  <c r="D73" i="6"/>
  <c r="M71" i="6"/>
  <c r="H70" i="6"/>
  <c r="B69" i="6"/>
  <c r="M67" i="6"/>
  <c r="L66" i="6"/>
  <c r="B66" i="6"/>
  <c r="D65" i="6"/>
  <c r="F64" i="6"/>
  <c r="H63" i="6"/>
  <c r="J62" i="6"/>
  <c r="F155" i="6"/>
  <c r="I148" i="6"/>
  <c r="G144" i="6"/>
  <c r="I141" i="6"/>
  <c r="G139" i="6"/>
  <c r="B137" i="6"/>
  <c r="H134" i="6"/>
  <c r="I132" i="6"/>
  <c r="D130" i="6"/>
  <c r="J127" i="6"/>
  <c r="J125" i="6"/>
  <c r="E123" i="6"/>
  <c r="K120" i="6"/>
  <c r="J118" i="6"/>
  <c r="M116" i="6"/>
  <c r="C115" i="6"/>
  <c r="H113" i="6"/>
  <c r="K111" i="6"/>
  <c r="L109" i="6"/>
  <c r="E108" i="6"/>
  <c r="H106" i="6"/>
  <c r="I104" i="6"/>
  <c r="C103" i="6"/>
  <c r="E101" i="6"/>
  <c r="G99" i="6"/>
  <c r="L97" i="6"/>
  <c r="E96" i="6"/>
  <c r="I94" i="6"/>
  <c r="D93" i="6"/>
  <c r="I91" i="6"/>
  <c r="M89" i="6"/>
  <c r="I88" i="6"/>
  <c r="C87" i="6"/>
  <c r="I85" i="6"/>
  <c r="F84" i="6"/>
  <c r="M82" i="6"/>
  <c r="G81" i="6"/>
  <c r="D80" i="6"/>
  <c r="K78" i="6"/>
  <c r="E77" i="6"/>
  <c r="B76" i="6"/>
  <c r="I74" i="6"/>
  <c r="C73" i="6"/>
  <c r="L71" i="6"/>
  <c r="G70" i="6"/>
  <c r="M68" i="6"/>
  <c r="K67" i="6"/>
  <c r="K66" i="6"/>
  <c r="M65" i="6"/>
  <c r="C65" i="6"/>
  <c r="E64" i="6"/>
  <c r="G63" i="6"/>
  <c r="I62" i="6"/>
  <c r="I152" i="6"/>
  <c r="M146" i="6"/>
  <c r="L142" i="6"/>
  <c r="E140" i="6"/>
  <c r="E138" i="6"/>
  <c r="M135" i="6"/>
  <c r="G133" i="6"/>
  <c r="D131" i="6"/>
  <c r="B129" i="6"/>
  <c r="H126" i="6"/>
  <c r="F124" i="6"/>
  <c r="M121" i="6"/>
  <c r="G119" i="6"/>
  <c r="K117" i="6"/>
  <c r="B116" i="6"/>
  <c r="C114" i="6"/>
  <c r="I112" i="6"/>
  <c r="K110" i="6"/>
  <c r="M108" i="6"/>
  <c r="F107" i="6"/>
  <c r="I105" i="6"/>
  <c r="J103" i="6"/>
  <c r="C102" i="6"/>
  <c r="F100" i="6"/>
  <c r="H98" i="6"/>
  <c r="B97" i="6"/>
  <c r="G95" i="6"/>
  <c r="K93" i="6"/>
  <c r="F92" i="6"/>
  <c r="K90" i="6"/>
  <c r="C89" i="6"/>
  <c r="K87" i="6"/>
  <c r="F86" i="6"/>
  <c r="L84" i="6"/>
  <c r="I83" i="6"/>
  <c r="D82" i="6"/>
  <c r="J80" i="6"/>
  <c r="G79" i="6"/>
  <c r="B78" i="6"/>
  <c r="H76" i="6"/>
  <c r="E75" i="6"/>
  <c r="L73" i="6"/>
  <c r="F72" i="6"/>
  <c r="C71" i="6"/>
  <c r="J69" i="6"/>
  <c r="G68" i="6"/>
  <c r="E67" i="6"/>
  <c r="F66" i="6"/>
  <c r="H65" i="6"/>
  <c r="J64" i="6"/>
  <c r="L63" i="6"/>
  <c r="B63" i="6"/>
  <c r="D62" i="6"/>
  <c r="F61" i="6"/>
  <c r="E155" i="6"/>
  <c r="M145" i="6"/>
  <c r="B141" i="6"/>
  <c r="L136" i="6"/>
  <c r="E133" i="6"/>
  <c r="E129" i="6"/>
  <c r="C125" i="6"/>
  <c r="L121" i="6"/>
  <c r="C118" i="6"/>
  <c r="M114" i="6"/>
  <c r="G112" i="6"/>
  <c r="G109" i="6"/>
  <c r="E106" i="6"/>
  <c r="I103" i="6"/>
  <c r="I100" i="6"/>
  <c r="G97" i="6"/>
  <c r="F95" i="6"/>
  <c r="J92" i="6"/>
  <c r="L89" i="6"/>
  <c r="J87" i="6"/>
  <c r="E85" i="6"/>
  <c r="K82" i="6"/>
  <c r="I80" i="6"/>
  <c r="D78" i="6"/>
  <c r="J75" i="6"/>
  <c r="K73" i="6"/>
  <c r="F71" i="6"/>
  <c r="L68" i="6"/>
  <c r="D67" i="6"/>
  <c r="J65" i="6"/>
  <c r="D64" i="6"/>
  <c r="M62" i="6"/>
  <c r="J61" i="6"/>
  <c r="J60" i="6"/>
  <c r="K59" i="6"/>
  <c r="L58" i="6"/>
  <c r="M57" i="6"/>
  <c r="B57" i="6"/>
  <c r="B56" i="6"/>
  <c r="C55" i="6"/>
  <c r="D54" i="6"/>
  <c r="E53" i="6"/>
  <c r="F52" i="6"/>
  <c r="G51" i="6"/>
  <c r="H50" i="6"/>
  <c r="I49" i="6"/>
  <c r="J48" i="6"/>
  <c r="J47" i="6"/>
  <c r="K46" i="6"/>
  <c r="L45" i="6"/>
  <c r="M44" i="6"/>
  <c r="B44" i="6"/>
  <c r="C43" i="6"/>
  <c r="D42" i="6"/>
  <c r="E41" i="6"/>
  <c r="F40" i="6"/>
  <c r="F39" i="6"/>
  <c r="G38" i="6"/>
  <c r="H37" i="6"/>
  <c r="I36" i="6"/>
  <c r="J35" i="6"/>
  <c r="L34" i="6"/>
  <c r="B34" i="6"/>
  <c r="D33" i="6"/>
  <c r="F32" i="6"/>
  <c r="H31" i="6"/>
  <c r="J30" i="6"/>
  <c r="L29" i="6"/>
  <c r="B29" i="6"/>
  <c r="D28" i="6"/>
  <c r="F27" i="6"/>
  <c r="H26" i="6"/>
  <c r="J25" i="6"/>
  <c r="L24" i="6"/>
  <c r="B24" i="6"/>
  <c r="D23" i="6"/>
  <c r="F22" i="6"/>
  <c r="H21" i="6"/>
  <c r="J20" i="6"/>
  <c r="L19" i="6"/>
  <c r="B19" i="6"/>
  <c r="D18" i="6"/>
  <c r="F17" i="6"/>
  <c r="H16" i="6"/>
  <c r="J15" i="6"/>
  <c r="C154" i="6"/>
  <c r="K145" i="6"/>
  <c r="M140" i="6"/>
  <c r="K136" i="6"/>
  <c r="D133" i="6"/>
  <c r="C129" i="6"/>
  <c r="M124" i="6"/>
  <c r="I121" i="6"/>
  <c r="M117" i="6"/>
  <c r="L114" i="6"/>
  <c r="B112" i="6"/>
  <c r="F109" i="6"/>
  <c r="D106" i="6"/>
  <c r="H103" i="6"/>
  <c r="G100" i="6"/>
  <c r="F97" i="6"/>
  <c r="D95" i="6"/>
  <c r="I92" i="6"/>
  <c r="K89" i="6"/>
  <c r="F87" i="6"/>
  <c r="D85" i="6"/>
  <c r="J82" i="6"/>
  <c r="H80" i="6"/>
  <c r="C78" i="6"/>
  <c r="I75" i="6"/>
  <c r="I73" i="6"/>
  <c r="E71" i="6"/>
  <c r="K68" i="6"/>
  <c r="C67" i="6"/>
  <c r="I65" i="6"/>
  <c r="C64" i="6"/>
  <c r="L62" i="6"/>
  <c r="I61" i="6"/>
  <c r="I60" i="6"/>
  <c r="J59" i="6"/>
  <c r="K58" i="6"/>
  <c r="L57" i="6"/>
  <c r="L56" i="6"/>
  <c r="M55" i="6"/>
  <c r="B55" i="6"/>
  <c r="C54" i="6"/>
  <c r="D53" i="6"/>
  <c r="E52" i="6"/>
  <c r="F51" i="6"/>
  <c r="G50" i="6"/>
  <c r="H49" i="6"/>
  <c r="H48" i="6"/>
  <c r="I47" i="6"/>
  <c r="J46" i="6"/>
  <c r="K45" i="6"/>
  <c r="L44" i="6"/>
  <c r="M43" i="6"/>
  <c r="B43" i="6"/>
  <c r="C42" i="6"/>
  <c r="D41" i="6"/>
  <c r="D40" i="6"/>
  <c r="E39" i="6"/>
  <c r="F38" i="6"/>
  <c r="G37" i="6"/>
  <c r="H36" i="6"/>
  <c r="I35" i="6"/>
  <c r="K34" i="6"/>
  <c r="M33" i="6"/>
  <c r="C33" i="6"/>
  <c r="E32" i="6"/>
  <c r="G31" i="6"/>
  <c r="I30" i="6"/>
  <c r="K29" i="6"/>
  <c r="M28" i="6"/>
  <c r="C28" i="6"/>
  <c r="E27" i="6"/>
  <c r="G26" i="6"/>
  <c r="I25" i="6"/>
  <c r="K24" i="6"/>
  <c r="M23" i="6"/>
  <c r="C23" i="6"/>
  <c r="E22" i="6"/>
  <c r="G21" i="6"/>
  <c r="I20" i="6"/>
  <c r="K19" i="6"/>
  <c r="M18" i="6"/>
  <c r="C18" i="6"/>
  <c r="E17" i="6"/>
  <c r="G16" i="6"/>
  <c r="I15" i="6"/>
  <c r="K14" i="6"/>
  <c r="B154" i="6"/>
  <c r="F144" i="6"/>
  <c r="D140" i="6"/>
  <c r="C136" i="6"/>
  <c r="M131" i="6"/>
  <c r="J128" i="6"/>
  <c r="L124" i="6"/>
  <c r="J120" i="6"/>
  <c r="J117" i="6"/>
  <c r="I114" i="6"/>
  <c r="H111" i="6"/>
  <c r="K108" i="6"/>
  <c r="K105" i="6"/>
  <c r="J102" i="6"/>
  <c r="E100" i="6"/>
  <c r="E97" i="6"/>
  <c r="H94" i="6"/>
  <c r="E92" i="6"/>
  <c r="I89" i="6"/>
  <c r="M86" i="6"/>
  <c r="K84" i="6"/>
  <c r="F82" i="6"/>
  <c r="L79" i="6"/>
  <c r="M77" i="6"/>
  <c r="H75" i="6"/>
  <c r="B73" i="6"/>
  <c r="B71" i="6"/>
  <c r="I68" i="6"/>
  <c r="J66" i="6"/>
  <c r="G65" i="6"/>
  <c r="B64" i="6"/>
  <c r="H62" i="6"/>
  <c r="H61" i="6"/>
  <c r="H60" i="6"/>
  <c r="I59" i="6"/>
  <c r="J58" i="6"/>
  <c r="J57" i="6"/>
  <c r="K56" i="6"/>
  <c r="L55" i="6"/>
  <c r="M54" i="6"/>
  <c r="B54" i="6"/>
  <c r="C53" i="6"/>
  <c r="D52" i="6"/>
  <c r="E51" i="6"/>
  <c r="F50" i="6"/>
  <c r="F49" i="6"/>
  <c r="G48" i="6"/>
  <c r="H47" i="6"/>
  <c r="I46" i="6"/>
  <c r="J45" i="6"/>
  <c r="K44" i="6"/>
  <c r="L43" i="6"/>
  <c r="M42" i="6"/>
  <c r="B42" i="6"/>
  <c r="B41" i="6"/>
  <c r="C40" i="6"/>
  <c r="D39" i="6"/>
  <c r="E38" i="6"/>
  <c r="F37" i="6"/>
  <c r="G36" i="6"/>
  <c r="H35" i="6"/>
  <c r="J34" i="6"/>
  <c r="L33" i="6"/>
  <c r="B33" i="6"/>
  <c r="D32" i="6"/>
  <c r="F31" i="6"/>
  <c r="H30" i="6"/>
  <c r="J29" i="6"/>
  <c r="L28" i="6"/>
  <c r="B28" i="6"/>
  <c r="D27" i="6"/>
  <c r="F26" i="6"/>
  <c r="H25" i="6"/>
  <c r="J24" i="6"/>
  <c r="L23" i="6"/>
  <c r="B23" i="6"/>
  <c r="D22" i="6"/>
  <c r="F21" i="6"/>
  <c r="H20" i="6"/>
  <c r="J19" i="6"/>
  <c r="L18" i="6"/>
  <c r="B18" i="6"/>
  <c r="D17" i="6"/>
  <c r="F16" i="6"/>
  <c r="H15" i="6"/>
  <c r="J152" i="6"/>
  <c r="E144" i="6"/>
  <c r="C140" i="6"/>
  <c r="B136" i="6"/>
  <c r="D151" i="6"/>
  <c r="C144" i="6"/>
  <c r="B139" i="6"/>
  <c r="K135" i="6"/>
  <c r="K131" i="6"/>
  <c r="C151" i="6"/>
  <c r="D143" i="6"/>
  <c r="H148" i="6"/>
  <c r="K142" i="6"/>
  <c r="G148" i="6"/>
  <c r="J142" i="6"/>
  <c r="H138" i="6"/>
  <c r="F134" i="6"/>
  <c r="J130" i="6"/>
  <c r="M126" i="6"/>
  <c r="K122" i="6"/>
  <c r="E119" i="6"/>
  <c r="C116" i="6"/>
  <c r="M112" i="6"/>
  <c r="G110" i="6"/>
  <c r="I107" i="6"/>
  <c r="G104" i="6"/>
  <c r="I101" i="6"/>
  <c r="M98" i="6"/>
  <c r="B96" i="6"/>
  <c r="I93" i="6"/>
  <c r="M90" i="6"/>
  <c r="C88" i="6"/>
  <c r="C86" i="6"/>
  <c r="K83" i="6"/>
  <c r="E81" i="6"/>
  <c r="B79" i="6"/>
  <c r="L76" i="6"/>
  <c r="F74" i="6"/>
  <c r="D72" i="6"/>
  <c r="K69" i="6"/>
  <c r="I67" i="6"/>
  <c r="D66" i="6"/>
  <c r="K64" i="6"/>
  <c r="E63" i="6"/>
  <c r="B62" i="6"/>
  <c r="M60" i="6"/>
  <c r="B60" i="6"/>
  <c r="C59" i="6"/>
  <c r="D58" i="6"/>
  <c r="E57" i="6"/>
  <c r="F56" i="6"/>
  <c r="G55" i="6"/>
  <c r="H54" i="6"/>
  <c r="H53" i="6"/>
  <c r="I52" i="6"/>
  <c r="J51" i="6"/>
  <c r="K50" i="6"/>
  <c r="L49" i="6"/>
  <c r="M48" i="6"/>
  <c r="B48" i="6"/>
  <c r="C47" i="6"/>
  <c r="D46" i="6"/>
  <c r="D45" i="6"/>
  <c r="E44" i="6"/>
  <c r="F43" i="6"/>
  <c r="G42" i="6"/>
  <c r="H41" i="6"/>
  <c r="I40" i="6"/>
  <c r="J39" i="6"/>
  <c r="K38" i="6"/>
  <c r="L37" i="6"/>
  <c r="L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F147" i="6"/>
  <c r="C134" i="6"/>
  <c r="B127" i="6"/>
  <c r="D120" i="6"/>
  <c r="J115" i="6"/>
  <c r="J110" i="6"/>
  <c r="G105" i="6"/>
  <c r="B101" i="6"/>
  <c r="C96" i="6"/>
  <c r="G91" i="6"/>
  <c r="M87" i="6"/>
  <c r="L83" i="6"/>
  <c r="J79" i="6"/>
  <c r="F76" i="6"/>
  <c r="E72" i="6"/>
  <c r="D68" i="6"/>
  <c r="K65" i="6"/>
  <c r="F63" i="6"/>
  <c r="E61" i="6"/>
  <c r="L59" i="6"/>
  <c r="E58" i="6"/>
  <c r="I56" i="6"/>
  <c r="D55" i="6"/>
  <c r="J53" i="6"/>
  <c r="B52" i="6"/>
  <c r="I50" i="6"/>
  <c r="B49" i="6"/>
  <c r="F47" i="6"/>
  <c r="M45" i="6"/>
  <c r="F44" i="6"/>
  <c r="J42" i="6"/>
  <c r="F41" i="6"/>
  <c r="K39" i="6"/>
  <c r="C38" i="6"/>
  <c r="J36" i="6"/>
  <c r="D35" i="6"/>
  <c r="J33" i="6"/>
  <c r="G32" i="6"/>
  <c r="B31" i="6"/>
  <c r="H29" i="6"/>
  <c r="E28" i="6"/>
  <c r="L26" i="6"/>
  <c r="F25" i="6"/>
  <c r="C24" i="6"/>
  <c r="J22" i="6"/>
  <c r="D21" i="6"/>
  <c r="M19" i="6"/>
  <c r="H18" i="6"/>
  <c r="B17" i="6"/>
  <c r="K15" i="6"/>
  <c r="H14" i="6"/>
  <c r="I13" i="6"/>
  <c r="J12" i="6"/>
  <c r="J11" i="6"/>
  <c r="K10" i="6"/>
  <c r="B147" i="6"/>
  <c r="B134" i="6"/>
  <c r="D126" i="6"/>
  <c r="C120" i="6"/>
  <c r="H114" i="6"/>
  <c r="K109" i="6"/>
  <c r="E105" i="6"/>
  <c r="C100" i="6"/>
  <c r="I95" i="6"/>
  <c r="F91" i="6"/>
  <c r="L86" i="6"/>
  <c r="H83" i="6"/>
  <c r="I79" i="6"/>
  <c r="G75" i="6"/>
  <c r="H71" i="6"/>
  <c r="C68" i="6"/>
  <c r="F65" i="6"/>
  <c r="D63" i="6"/>
  <c r="D61" i="6"/>
  <c r="H59" i="6"/>
  <c r="C58" i="6"/>
  <c r="H56" i="6"/>
  <c r="L54" i="6"/>
  <c r="G53" i="6"/>
  <c r="L51" i="6"/>
  <c r="D50" i="6"/>
  <c r="L48" i="6"/>
  <c r="E47" i="6"/>
  <c r="I45" i="6"/>
  <c r="D44" i="6"/>
  <c r="I42" i="6"/>
  <c r="M40" i="6"/>
  <c r="I39" i="6"/>
  <c r="B38" i="6"/>
  <c r="F36" i="6"/>
  <c r="B35" i="6"/>
  <c r="I33" i="6"/>
  <c r="C32" i="6"/>
  <c r="L30" i="6"/>
  <c r="G29" i="6"/>
  <c r="M27" i="6"/>
  <c r="J26" i="6"/>
  <c r="E25" i="6"/>
  <c r="K23" i="6"/>
  <c r="H22" i="6"/>
  <c r="C21" i="6"/>
  <c r="I19" i="6"/>
  <c r="F18" i="6"/>
  <c r="M16" i="6"/>
  <c r="G15" i="6"/>
  <c r="G14" i="6"/>
  <c r="H13" i="6"/>
  <c r="H12" i="6"/>
  <c r="I11" i="6"/>
  <c r="J10" i="6"/>
  <c r="H141" i="6"/>
  <c r="L131" i="6"/>
  <c r="C126" i="6"/>
  <c r="F119" i="6"/>
  <c r="B114" i="6"/>
  <c r="I109" i="6"/>
  <c r="H104" i="6"/>
  <c r="F99" i="6"/>
  <c r="H95" i="6"/>
  <c r="B91" i="6"/>
  <c r="H86" i="6"/>
  <c r="D83" i="6"/>
  <c r="F79" i="6"/>
  <c r="D75" i="6"/>
  <c r="G71" i="6"/>
  <c r="J67" i="6"/>
  <c r="B65" i="6"/>
  <c r="C63" i="6"/>
  <c r="B61" i="6"/>
  <c r="F59" i="6"/>
  <c r="B58" i="6"/>
  <c r="G56" i="6"/>
  <c r="K54" i="6"/>
  <c r="F53" i="6"/>
  <c r="K51" i="6"/>
  <c r="C50" i="6"/>
  <c r="K48" i="6"/>
  <c r="D47" i="6"/>
  <c r="H45" i="6"/>
  <c r="C44" i="6"/>
  <c r="H42" i="6"/>
  <c r="L40" i="6"/>
  <c r="H39" i="6"/>
  <c r="M37" i="6"/>
  <c r="E36" i="6"/>
  <c r="M34" i="6"/>
  <c r="H33" i="6"/>
  <c r="B32" i="6"/>
  <c r="K30" i="6"/>
  <c r="F29" i="6"/>
  <c r="L27" i="6"/>
  <c r="I26" i="6"/>
  <c r="D25" i="6"/>
  <c r="J23" i="6"/>
  <c r="G22" i="6"/>
  <c r="B21" i="6"/>
  <c r="H19" i="6"/>
  <c r="E18" i="6"/>
  <c r="L16" i="6"/>
  <c r="F15" i="6"/>
  <c r="F14" i="6"/>
  <c r="F13" i="6"/>
  <c r="G12" i="6"/>
  <c r="H11" i="6"/>
  <c r="I10" i="6"/>
  <c r="I137" i="6"/>
  <c r="H128" i="6"/>
  <c r="F122" i="6"/>
  <c r="I116" i="6"/>
  <c r="G111" i="6"/>
  <c r="E107" i="6"/>
  <c r="F102" i="6"/>
  <c r="D97" i="6"/>
  <c r="L92" i="6"/>
  <c r="M88" i="6"/>
  <c r="J84" i="6"/>
  <c r="C81" i="6"/>
  <c r="C77" i="6"/>
  <c r="M72" i="6"/>
  <c r="I69" i="6"/>
  <c r="G66" i="6"/>
  <c r="M63" i="6"/>
  <c r="L61" i="6"/>
  <c r="D60" i="6"/>
  <c r="H58" i="6"/>
  <c r="D57" i="6"/>
  <c r="I55" i="6"/>
  <c r="M53" i="6"/>
  <c r="H52" i="6"/>
  <c r="M50" i="6"/>
  <c r="E49" i="6"/>
  <c r="M47" i="6"/>
  <c r="F46" i="6"/>
  <c r="J44" i="6"/>
  <c r="E43" i="6"/>
  <c r="J41" i="6"/>
  <c r="B40" i="6"/>
  <c r="J38" i="6"/>
  <c r="C37" i="6"/>
  <c r="G35" i="6"/>
  <c r="D34" i="6"/>
  <c r="K32" i="6"/>
  <c r="E31" i="6"/>
  <c r="B30" i="6"/>
  <c r="I28" i="6"/>
  <c r="C27" i="6"/>
  <c r="L25" i="6"/>
  <c r="G24" i="6"/>
  <c r="M22" i="6"/>
  <c r="J21" i="6"/>
  <c r="E20" i="6"/>
  <c r="K18" i="6"/>
  <c r="H17" i="6"/>
  <c r="C16" i="6"/>
  <c r="L14" i="6"/>
  <c r="L13" i="6"/>
  <c r="M12" i="6"/>
  <c r="B12" i="6"/>
  <c r="C11" i="6"/>
  <c r="D10" i="6"/>
  <c r="D141" i="6"/>
  <c r="I127" i="6"/>
  <c r="E117" i="6"/>
  <c r="J108" i="6"/>
  <c r="B102" i="6"/>
  <c r="C94" i="6"/>
  <c r="G86" i="6"/>
  <c r="B81" i="6"/>
  <c r="B74" i="6"/>
  <c r="G67" i="6"/>
  <c r="K63" i="6"/>
  <c r="G60" i="6"/>
  <c r="I57" i="6"/>
  <c r="H55" i="6"/>
  <c r="L52" i="6"/>
  <c r="B50" i="6"/>
  <c r="L47" i="6"/>
  <c r="C45" i="6"/>
  <c r="F42" i="6"/>
  <c r="M39" i="6"/>
  <c r="E37" i="6"/>
  <c r="I34" i="6"/>
  <c r="J32" i="6"/>
  <c r="E30" i="6"/>
  <c r="K27" i="6"/>
  <c r="K25" i="6"/>
  <c r="F23" i="6"/>
  <c r="L20" i="6"/>
  <c r="J18" i="6"/>
  <c r="E16" i="6"/>
  <c r="D14" i="6"/>
  <c r="L12" i="6"/>
  <c r="E11" i="6"/>
  <c r="J138" i="6"/>
  <c r="G127" i="6"/>
  <c r="K116" i="6"/>
  <c r="L107" i="6"/>
  <c r="C101" i="6"/>
  <c r="J93" i="6"/>
  <c r="E86" i="6"/>
  <c r="K79" i="6"/>
  <c r="M73" i="6"/>
  <c r="F67" i="6"/>
  <c r="J63" i="6"/>
  <c r="F60" i="6"/>
  <c r="H57" i="6"/>
  <c r="F55" i="6"/>
  <c r="J52" i="6"/>
  <c r="M49" i="6"/>
  <c r="G47" i="6"/>
  <c r="B45" i="6"/>
  <c r="E42" i="6"/>
  <c r="L39" i="6"/>
  <c r="D37" i="6"/>
  <c r="H34" i="6"/>
  <c r="H32" i="6"/>
  <c r="D30" i="6"/>
  <c r="J27" i="6"/>
  <c r="G25" i="6"/>
  <c r="E23" i="6"/>
  <c r="K20" i="6"/>
  <c r="I18" i="6"/>
  <c r="D16" i="6"/>
  <c r="C14" i="6"/>
  <c r="K12" i="6"/>
  <c r="D11" i="6"/>
  <c r="I138" i="6"/>
  <c r="H124" i="6"/>
  <c r="D116" i="6"/>
  <c r="K107" i="6"/>
  <c r="E99" i="6"/>
  <c r="K92" i="6"/>
  <c r="H85" i="6"/>
  <c r="I78" i="6"/>
  <c r="K72" i="6"/>
  <c r="I66" i="6"/>
  <c r="G62" i="6"/>
  <c r="C60" i="6"/>
  <c r="G57" i="6"/>
  <c r="J54" i="6"/>
  <c r="G52" i="6"/>
  <c r="K49" i="6"/>
  <c r="B47" i="6"/>
  <c r="I44" i="6"/>
  <c r="L41" i="6"/>
  <c r="C39" i="6"/>
  <c r="B37" i="6"/>
  <c r="G34" i="6"/>
  <c r="M31" i="6"/>
  <c r="M29" i="6"/>
  <c r="H27" i="6"/>
  <c r="B25" i="6"/>
  <c r="L22" i="6"/>
  <c r="G20" i="6"/>
  <c r="M17" i="6"/>
  <c r="B16" i="6"/>
  <c r="B14" i="6"/>
  <c r="F12" i="6"/>
  <c r="B11" i="6"/>
  <c r="D138" i="6"/>
  <c r="E124" i="6"/>
  <c r="M115" i="6"/>
  <c r="J107" i="6"/>
  <c r="B99" i="6"/>
  <c r="M91" i="6"/>
  <c r="G85" i="6"/>
  <c r="H78" i="6"/>
  <c r="J72" i="6"/>
  <c r="H66" i="6"/>
  <c r="F62" i="6"/>
  <c r="M59" i="6"/>
  <c r="F57" i="6"/>
  <c r="I54" i="6"/>
  <c r="C52" i="6"/>
  <c r="J49" i="6"/>
  <c r="L46" i="6"/>
  <c r="H44" i="6"/>
  <c r="K41" i="6"/>
  <c r="B39" i="6"/>
  <c r="K36" i="6"/>
  <c r="F34" i="6"/>
  <c r="L31" i="6"/>
  <c r="I29" i="6"/>
  <c r="G27" i="6"/>
  <c r="M24" i="6"/>
  <c r="K22" i="6"/>
  <c r="F20" i="6"/>
  <c r="L17" i="6"/>
  <c r="L15" i="6"/>
  <c r="M13" i="6"/>
  <c r="E12" i="6"/>
  <c r="L10" i="6"/>
  <c r="F135" i="6"/>
  <c r="I123" i="6"/>
  <c r="M113" i="6"/>
  <c r="L106" i="6"/>
  <c r="G98" i="6"/>
  <c r="J90" i="6"/>
  <c r="B84" i="6"/>
  <c r="K77" i="6"/>
  <c r="J70" i="6"/>
  <c r="E66" i="6"/>
  <c r="E62" i="6"/>
  <c r="E59" i="6"/>
  <c r="C57" i="6"/>
  <c r="F54" i="6"/>
  <c r="I51" i="6"/>
  <c r="D49" i="6"/>
  <c r="H46" i="6"/>
  <c r="K43" i="6"/>
  <c r="I41" i="6"/>
  <c r="M38" i="6"/>
  <c r="D36" i="6"/>
  <c r="C34" i="6"/>
  <c r="J31" i="6"/>
  <c r="D29" i="6"/>
  <c r="B27" i="6"/>
  <c r="I24" i="6"/>
  <c r="C22" i="6"/>
  <c r="D20" i="6"/>
  <c r="K17" i="6"/>
  <c r="E15" i="6"/>
  <c r="K13" i="6"/>
  <c r="D12" i="6"/>
  <c r="H10" i="6"/>
  <c r="G134" i="6"/>
  <c r="L122" i="6"/>
  <c r="C113" i="6"/>
  <c r="J105" i="6"/>
  <c r="E98" i="6"/>
  <c r="H90" i="6"/>
  <c r="M83" i="6"/>
  <c r="I131" i="6"/>
  <c r="C131" i="6"/>
  <c r="F120" i="6"/>
  <c r="K112" i="6"/>
  <c r="C104" i="6"/>
  <c r="H96" i="6"/>
  <c r="B89" i="6"/>
  <c r="C82" i="6"/>
  <c r="G76" i="6"/>
  <c r="L69" i="6"/>
  <c r="L64" i="6"/>
  <c r="G61" i="6"/>
  <c r="M58" i="6"/>
  <c r="D56" i="6"/>
  <c r="K53" i="6"/>
  <c r="B51" i="6"/>
  <c r="E48" i="6"/>
  <c r="B46" i="6"/>
  <c r="G43" i="6"/>
  <c r="J40" i="6"/>
  <c r="D38" i="6"/>
  <c r="K35" i="6"/>
  <c r="E33" i="6"/>
  <c r="C31" i="6"/>
  <c r="J28" i="6"/>
  <c r="D26" i="6"/>
  <c r="D24" i="6"/>
  <c r="L21" i="6"/>
  <c r="F19" i="6"/>
  <c r="C17" i="6"/>
  <c r="M14" i="6"/>
  <c r="D13" i="6"/>
  <c r="L11" i="6"/>
  <c r="E10" i="6"/>
  <c r="M129" i="6"/>
  <c r="G102" i="6"/>
  <c r="D77" i="6"/>
  <c r="I64" i="6"/>
  <c r="J56" i="6"/>
  <c r="L50" i="6"/>
  <c r="J43" i="6"/>
  <c r="J37" i="6"/>
  <c r="I31" i="6"/>
  <c r="C26" i="6"/>
  <c r="B20" i="6"/>
  <c r="J14" i="6"/>
  <c r="G10" i="6"/>
  <c r="L129" i="6"/>
  <c r="M96" i="6"/>
  <c r="M76" i="6"/>
  <c r="H64" i="6"/>
  <c r="E56" i="6"/>
  <c r="J50" i="6"/>
  <c r="H43" i="6"/>
  <c r="I37" i="6"/>
  <c r="D31" i="6"/>
  <c r="B26" i="6"/>
  <c r="G19" i="6"/>
  <c r="I14" i="6"/>
  <c r="F10" i="6"/>
  <c r="B122" i="6"/>
  <c r="G94" i="6"/>
  <c r="L74" i="6"/>
  <c r="C62" i="6"/>
  <c r="K55" i="6"/>
  <c r="C49" i="6"/>
  <c r="D43" i="6"/>
  <c r="B36" i="6"/>
  <c r="G30" i="6"/>
  <c r="H24" i="6"/>
  <c r="D19" i="6"/>
  <c r="J13" i="6"/>
  <c r="B10" i="6"/>
  <c r="M110" i="6"/>
  <c r="E82" i="6"/>
  <c r="H68" i="6"/>
  <c r="B59" i="6"/>
  <c r="M52" i="6"/>
  <c r="E46" i="6"/>
  <c r="G40" i="6"/>
  <c r="F33" i="6"/>
  <c r="F28" i="6"/>
  <c r="M21" i="6"/>
  <c r="I16" i="6"/>
  <c r="M11" i="6"/>
  <c r="E104" i="6"/>
  <c r="M81" i="6"/>
  <c r="L65" i="6"/>
  <c r="G58" i="6"/>
  <c r="H51" i="6"/>
  <c r="G45" i="6"/>
  <c r="L38" i="6"/>
  <c r="M32" i="6"/>
  <c r="M26" i="6"/>
  <c r="I21" i="6"/>
  <c r="D15" i="6"/>
  <c r="G11" i="6"/>
  <c r="E118" i="6"/>
  <c r="G74" i="6"/>
  <c r="J55" i="6"/>
  <c r="L42" i="6"/>
  <c r="F30" i="6"/>
  <c r="C19" i="6"/>
  <c r="D118" i="6"/>
  <c r="E70" i="6"/>
  <c r="E54" i="6"/>
  <c r="G41" i="6"/>
  <c r="C29" i="6"/>
  <c r="J17" i="6"/>
  <c r="L112" i="6"/>
  <c r="D70" i="6"/>
  <c r="L53" i="6"/>
  <c r="K40" i="6"/>
  <c r="K28" i="6"/>
  <c r="G17" i="6"/>
  <c r="B111" i="6"/>
  <c r="G69" i="6"/>
  <c r="B53" i="6"/>
  <c r="H40" i="6"/>
  <c r="H28" i="6"/>
  <c r="J16" i="6"/>
  <c r="I102" i="6"/>
  <c r="M64" i="6"/>
  <c r="D51" i="6"/>
  <c r="H38" i="6"/>
  <c r="E26" i="6"/>
  <c r="B15" i="6"/>
  <c r="E94" i="6"/>
  <c r="K61" i="6"/>
  <c r="F48" i="6"/>
  <c r="L35" i="6"/>
  <c r="F24" i="6"/>
  <c r="E13" i="6"/>
  <c r="H89" i="6"/>
  <c r="L60" i="6"/>
  <c r="D48" i="6"/>
  <c r="F35" i="6"/>
  <c r="I23" i="6"/>
  <c r="C13" i="6"/>
  <c r="D88" i="6"/>
  <c r="K60" i="6"/>
  <c r="C48" i="6"/>
  <c r="E35" i="6"/>
  <c r="H23" i="6"/>
  <c r="B13" i="6"/>
  <c r="B88" i="6"/>
  <c r="F81" i="6"/>
  <c r="F58" i="6"/>
  <c r="F45" i="6"/>
  <c r="L32" i="6"/>
  <c r="E21" i="6"/>
  <c r="F11" i="6"/>
  <c r="D59" i="6"/>
  <c r="G46" i="6"/>
  <c r="K33" i="6"/>
  <c r="B22" i="6"/>
  <c r="C12" i="6"/>
  <c r="F11" i="2"/>
  <c r="K12" i="2"/>
  <c r="B14" i="2"/>
  <c r="H15" i="2"/>
  <c r="M16" i="2"/>
  <c r="D18" i="2"/>
  <c r="J19" i="2"/>
  <c r="C21" i="2"/>
  <c r="F22" i="2"/>
  <c r="L23" i="2"/>
  <c r="E25" i="2"/>
  <c r="H26" i="2"/>
  <c r="B28" i="2"/>
  <c r="G29" i="2"/>
  <c r="J30" i="2"/>
  <c r="D32" i="2"/>
  <c r="J33" i="2"/>
  <c r="F35" i="2"/>
  <c r="B37" i="2"/>
  <c r="J38" i="2"/>
  <c r="F40" i="2"/>
  <c r="M41" i="2"/>
  <c r="I43" i="2"/>
  <c r="F45" i="2"/>
  <c r="E47" i="2"/>
  <c r="C49" i="2"/>
  <c r="M50" i="2"/>
  <c r="K52" i="2"/>
  <c r="J54" i="2"/>
  <c r="H56" i="2"/>
  <c r="F58" i="2"/>
  <c r="D60" i="2"/>
  <c r="B62" i="2"/>
  <c r="M63" i="2"/>
  <c r="K65" i="2"/>
  <c r="I67" i="2"/>
  <c r="G69" i="2"/>
  <c r="F71" i="2"/>
  <c r="D73" i="2"/>
  <c r="B75" i="2"/>
  <c r="L76" i="2"/>
  <c r="J78" i="2"/>
  <c r="B81" i="2"/>
  <c r="L84" i="2"/>
  <c r="B89" i="2"/>
  <c r="B93" i="2"/>
  <c r="B98" i="2"/>
  <c r="M103" i="2"/>
  <c r="L109" i="2"/>
  <c r="K115" i="2"/>
  <c r="J121" i="2"/>
  <c r="I127" i="2"/>
  <c r="H133" i="2"/>
  <c r="J139" i="2"/>
  <c r="I145" i="2"/>
  <c r="G154" i="2"/>
  <c r="I42" i="4"/>
  <c r="G155" i="4"/>
  <c r="G11" i="2"/>
  <c r="L12" i="2"/>
  <c r="C14" i="2"/>
  <c r="I15" i="2"/>
  <c r="B17" i="2"/>
  <c r="E18" i="2"/>
  <c r="K19" i="2"/>
  <c r="D21" i="2"/>
  <c r="G22" i="2"/>
  <c r="M23" i="2"/>
  <c r="F25" i="2"/>
  <c r="I26" i="2"/>
  <c r="C28" i="2"/>
  <c r="H29" i="2"/>
  <c r="K30" i="2"/>
  <c r="E32" i="2"/>
  <c r="L33" i="2"/>
  <c r="H35" i="2"/>
  <c r="D37" i="2"/>
  <c r="L38" i="2"/>
  <c r="H40" i="2"/>
  <c r="B42" i="2"/>
  <c r="J43" i="2"/>
  <c r="H45" i="2"/>
  <c r="F47" i="2"/>
  <c r="D49" i="2"/>
  <c r="B51" i="2"/>
  <c r="L52" i="2"/>
  <c r="K54" i="2"/>
  <c r="I56" i="2"/>
  <c r="G58" i="2"/>
  <c r="E60" i="2"/>
  <c r="D62" i="2"/>
  <c r="B64" i="2"/>
  <c r="L65" i="2"/>
  <c r="J67" i="2"/>
  <c r="H69" i="2"/>
  <c r="G71" i="2"/>
  <c r="E73" i="2"/>
  <c r="C75" i="2"/>
  <c r="M76" i="2"/>
  <c r="L78" i="2"/>
  <c r="F81" i="2"/>
  <c r="H85" i="2"/>
  <c r="E89" i="2"/>
  <c r="D93" i="2"/>
  <c r="G98" i="2"/>
  <c r="F104" i="2"/>
  <c r="H110" i="2"/>
  <c r="G116" i="2"/>
  <c r="F122" i="2"/>
  <c r="E128" i="2"/>
  <c r="D134" i="2"/>
  <c r="C140" i="2"/>
  <c r="B146" i="2"/>
  <c r="G155" i="2"/>
  <c r="D14" i="4"/>
  <c r="M50" i="4"/>
  <c r="E10" i="2"/>
  <c r="B13" i="2"/>
  <c r="D17" i="2"/>
  <c r="I18" i="2"/>
  <c r="L19" i="2"/>
  <c r="F21" i="2"/>
  <c r="K22" i="2"/>
  <c r="B24" i="2"/>
  <c r="H25" i="2"/>
  <c r="M26" i="2"/>
  <c r="D28" i="2"/>
  <c r="J29" i="2"/>
  <c r="C31" i="2"/>
  <c r="F32" i="2"/>
  <c r="M33" i="2"/>
  <c r="I35" i="2"/>
  <c r="E37" i="2"/>
  <c r="M38" i="2"/>
  <c r="I40" i="2"/>
  <c r="D42" i="2"/>
  <c r="L43" i="2"/>
  <c r="J45" i="2"/>
  <c r="H47" i="2"/>
  <c r="F49" i="2"/>
  <c r="D51" i="2"/>
  <c r="C53" i="2"/>
  <c r="M54" i="2"/>
  <c r="K56" i="2"/>
  <c r="I58" i="2"/>
  <c r="H60" i="2"/>
  <c r="F62" i="2"/>
  <c r="D64" i="2"/>
  <c r="B66" i="2"/>
  <c r="L67" i="2"/>
  <c r="K69" i="2"/>
  <c r="I71" i="2"/>
  <c r="G73" i="2"/>
  <c r="E75" i="2"/>
  <c r="D77" i="2"/>
  <c r="B79" i="2"/>
  <c r="K81" i="2"/>
  <c r="K85" i="2"/>
  <c r="J89" i="2"/>
  <c r="L93" i="2"/>
  <c r="C99" i="2"/>
  <c r="B105" i="2"/>
  <c r="M110" i="2"/>
  <c r="L116" i="2"/>
  <c r="B123" i="2"/>
  <c r="M128" i="2"/>
  <c r="L134" i="2"/>
  <c r="K140" i="2"/>
  <c r="J146" i="2"/>
  <c r="D156" i="2"/>
  <c r="M16" i="4"/>
  <c r="F60" i="4"/>
  <c r="H11" i="2"/>
  <c r="G21" i="2"/>
  <c r="B68" i="2"/>
  <c r="K158" i="2"/>
  <c r="M157" i="2"/>
  <c r="C157" i="2"/>
  <c r="F158" i="2"/>
  <c r="G157" i="2"/>
  <c r="H156" i="2"/>
  <c r="J155" i="2"/>
  <c r="L154" i="2"/>
  <c r="B154" i="2"/>
  <c r="D153" i="2"/>
  <c r="F152" i="2"/>
  <c r="H151" i="2"/>
  <c r="J150" i="2"/>
  <c r="L149" i="2"/>
  <c r="B149" i="2"/>
  <c r="D148" i="2"/>
  <c r="F147" i="2"/>
  <c r="E158" i="2"/>
  <c r="F157" i="2"/>
  <c r="G156" i="2"/>
  <c r="I155" i="2"/>
  <c r="K154" i="2"/>
  <c r="M153" i="2"/>
  <c r="C153" i="2"/>
  <c r="E152" i="2"/>
  <c r="G151" i="2"/>
  <c r="I150" i="2"/>
  <c r="K149" i="2"/>
  <c r="M148" i="2"/>
  <c r="C148" i="2"/>
  <c r="E147" i="2"/>
  <c r="D158" i="2"/>
  <c r="E157" i="2"/>
  <c r="F156" i="2"/>
  <c r="H155" i="2"/>
  <c r="J154" i="2"/>
  <c r="L153" i="2"/>
  <c r="B153" i="2"/>
  <c r="D152" i="2"/>
  <c r="F151" i="2"/>
  <c r="H150" i="2"/>
  <c r="J149" i="2"/>
  <c r="L148" i="2"/>
  <c r="B148" i="2"/>
  <c r="D147" i="2"/>
  <c r="I158" i="2"/>
  <c r="J157" i="2"/>
  <c r="K156" i="2"/>
  <c r="M155" i="2"/>
  <c r="C155" i="2"/>
  <c r="E154" i="2"/>
  <c r="G153" i="2"/>
  <c r="I152" i="2"/>
  <c r="K151" i="2"/>
  <c r="M150" i="2"/>
  <c r="C150" i="2"/>
  <c r="E149" i="2"/>
  <c r="G148" i="2"/>
  <c r="G158" i="2"/>
  <c r="L156" i="2"/>
  <c r="F155" i="2"/>
  <c r="C154" i="2"/>
  <c r="J152" i="2"/>
  <c r="D151" i="2"/>
  <c r="M149" i="2"/>
  <c r="H148" i="2"/>
  <c r="C147" i="2"/>
  <c r="E146" i="2"/>
  <c r="G145" i="2"/>
  <c r="I144" i="2"/>
  <c r="K143" i="2"/>
  <c r="M142" i="2"/>
  <c r="C142" i="2"/>
  <c r="E141" i="2"/>
  <c r="G140" i="2"/>
  <c r="I139" i="2"/>
  <c r="K138" i="2"/>
  <c r="M137" i="2"/>
  <c r="C137" i="2"/>
  <c r="E136" i="2"/>
  <c r="G135" i="2"/>
  <c r="I134" i="2"/>
  <c r="K133" i="2"/>
  <c r="M132" i="2"/>
  <c r="C132" i="2"/>
  <c r="E131" i="2"/>
  <c r="G130" i="2"/>
  <c r="I129" i="2"/>
  <c r="K128" i="2"/>
  <c r="M127" i="2"/>
  <c r="C127" i="2"/>
  <c r="E126" i="2"/>
  <c r="G125" i="2"/>
  <c r="I124" i="2"/>
  <c r="K123" i="2"/>
  <c r="M122" i="2"/>
  <c r="C122" i="2"/>
  <c r="E121" i="2"/>
  <c r="G120" i="2"/>
  <c r="I119" i="2"/>
  <c r="K118" i="2"/>
  <c r="M117" i="2"/>
  <c r="C117" i="2"/>
  <c r="E116" i="2"/>
  <c r="G115" i="2"/>
  <c r="I114" i="2"/>
  <c r="K113" i="2"/>
  <c r="M112" i="2"/>
  <c r="C112" i="2"/>
  <c r="E111" i="2"/>
  <c r="G110" i="2"/>
  <c r="I109" i="2"/>
  <c r="K108" i="2"/>
  <c r="M107" i="2"/>
  <c r="C107" i="2"/>
  <c r="E106" i="2"/>
  <c r="G105" i="2"/>
  <c r="I104" i="2"/>
  <c r="K103" i="2"/>
  <c r="M102" i="2"/>
  <c r="C102" i="2"/>
  <c r="E101" i="2"/>
  <c r="G100" i="2"/>
  <c r="I99" i="2"/>
  <c r="K98" i="2"/>
  <c r="M97" i="2"/>
  <c r="C97" i="2"/>
  <c r="E96" i="2"/>
  <c r="G95" i="2"/>
  <c r="I94" i="2"/>
  <c r="K93" i="2"/>
  <c r="M92" i="2"/>
  <c r="C92" i="2"/>
  <c r="E91" i="2"/>
  <c r="G90" i="2"/>
  <c r="I89" i="2"/>
  <c r="K88" i="2"/>
  <c r="M87" i="2"/>
  <c r="C87" i="2"/>
  <c r="E86" i="2"/>
  <c r="G85" i="2"/>
  <c r="I84" i="2"/>
  <c r="K83" i="2"/>
  <c r="M82" i="2"/>
  <c r="C82" i="2"/>
  <c r="E81" i="2"/>
  <c r="G80" i="2"/>
  <c r="I79" i="2"/>
  <c r="K78" i="2"/>
  <c r="M77" i="2"/>
  <c r="C77" i="2"/>
  <c r="E76" i="2"/>
  <c r="G75" i="2"/>
  <c r="I74" i="2"/>
  <c r="K73" i="2"/>
  <c r="M72" i="2"/>
  <c r="C72" i="2"/>
  <c r="E71" i="2"/>
  <c r="G70" i="2"/>
  <c r="I69" i="2"/>
  <c r="K68" i="2"/>
  <c r="M67" i="2"/>
  <c r="C67" i="2"/>
  <c r="E66" i="2"/>
  <c r="G65" i="2"/>
  <c r="I64" i="2"/>
  <c r="K63" i="2"/>
  <c r="M62" i="2"/>
  <c r="C62" i="2"/>
  <c r="E61" i="2"/>
  <c r="G60" i="2"/>
  <c r="I59" i="2"/>
  <c r="K58" i="2"/>
  <c r="M57" i="2"/>
  <c r="C57" i="2"/>
  <c r="E56" i="2"/>
  <c r="G55" i="2"/>
  <c r="I54" i="2"/>
  <c r="K53" i="2"/>
  <c r="M52" i="2"/>
  <c r="C52" i="2"/>
  <c r="E51" i="2"/>
  <c r="G50" i="2"/>
  <c r="I49" i="2"/>
  <c r="K48" i="2"/>
  <c r="M47" i="2"/>
  <c r="C47" i="2"/>
  <c r="E46" i="2"/>
  <c r="G45" i="2"/>
  <c r="I44" i="2"/>
  <c r="C158" i="2"/>
  <c r="J156" i="2"/>
  <c r="E155" i="2"/>
  <c r="K153" i="2"/>
  <c r="H152" i="2"/>
  <c r="C151" i="2"/>
  <c r="I149" i="2"/>
  <c r="F148" i="2"/>
  <c r="B147" i="2"/>
  <c r="D146" i="2"/>
  <c r="F145" i="2"/>
  <c r="H144" i="2"/>
  <c r="J143" i="2"/>
  <c r="L142" i="2"/>
  <c r="B142" i="2"/>
  <c r="D141" i="2"/>
  <c r="F140" i="2"/>
  <c r="H139" i="2"/>
  <c r="J138" i="2"/>
  <c r="L137" i="2"/>
  <c r="B137" i="2"/>
  <c r="D136" i="2"/>
  <c r="F135" i="2"/>
  <c r="H134" i="2"/>
  <c r="J133" i="2"/>
  <c r="L132" i="2"/>
  <c r="B132" i="2"/>
  <c r="D131" i="2"/>
  <c r="F130" i="2"/>
  <c r="H129" i="2"/>
  <c r="J128" i="2"/>
  <c r="L127" i="2"/>
  <c r="B127" i="2"/>
  <c r="D126" i="2"/>
  <c r="F125" i="2"/>
  <c r="H124" i="2"/>
  <c r="J123" i="2"/>
  <c r="L122" i="2"/>
  <c r="B122" i="2"/>
  <c r="D121" i="2"/>
  <c r="F120" i="2"/>
  <c r="H119" i="2"/>
  <c r="J118" i="2"/>
  <c r="L117" i="2"/>
  <c r="B117" i="2"/>
  <c r="D116" i="2"/>
  <c r="F115" i="2"/>
  <c r="H114" i="2"/>
  <c r="J113" i="2"/>
  <c r="L112" i="2"/>
  <c r="B112" i="2"/>
  <c r="D111" i="2"/>
  <c r="F110" i="2"/>
  <c r="H109" i="2"/>
  <c r="J108" i="2"/>
  <c r="L107" i="2"/>
  <c r="B107" i="2"/>
  <c r="D106" i="2"/>
  <c r="F105" i="2"/>
  <c r="H104" i="2"/>
  <c r="J103" i="2"/>
  <c r="L102" i="2"/>
  <c r="B102" i="2"/>
  <c r="D101" i="2"/>
  <c r="F100" i="2"/>
  <c r="H99" i="2"/>
  <c r="J98" i="2"/>
  <c r="L97" i="2"/>
  <c r="B97" i="2"/>
  <c r="D96" i="2"/>
  <c r="F95" i="2"/>
  <c r="H94" i="2"/>
  <c r="J93" i="2"/>
  <c r="L92" i="2"/>
  <c r="B92" i="2"/>
  <c r="D91" i="2"/>
  <c r="F90" i="2"/>
  <c r="H89" i="2"/>
  <c r="J88" i="2"/>
  <c r="L87" i="2"/>
  <c r="B87" i="2"/>
  <c r="D86" i="2"/>
  <c r="F85" i="2"/>
  <c r="H84" i="2"/>
  <c r="J83" i="2"/>
  <c r="L82" i="2"/>
  <c r="B82" i="2"/>
  <c r="B158" i="2"/>
  <c r="I156" i="2"/>
  <c r="D155" i="2"/>
  <c r="J153" i="2"/>
  <c r="G152" i="2"/>
  <c r="B151" i="2"/>
  <c r="H149" i="2"/>
  <c r="E148" i="2"/>
  <c r="M146" i="2"/>
  <c r="C146" i="2"/>
  <c r="E145" i="2"/>
  <c r="G144" i="2"/>
  <c r="I143" i="2"/>
  <c r="K142" i="2"/>
  <c r="M141" i="2"/>
  <c r="C141" i="2"/>
  <c r="E140" i="2"/>
  <c r="G139" i="2"/>
  <c r="I138" i="2"/>
  <c r="K137" i="2"/>
  <c r="M136" i="2"/>
  <c r="C136" i="2"/>
  <c r="E135" i="2"/>
  <c r="G134" i="2"/>
  <c r="I133" i="2"/>
  <c r="K132" i="2"/>
  <c r="M131" i="2"/>
  <c r="C131" i="2"/>
  <c r="E130" i="2"/>
  <c r="G129" i="2"/>
  <c r="I128" i="2"/>
  <c r="K127" i="2"/>
  <c r="M126" i="2"/>
  <c r="C126" i="2"/>
  <c r="E125" i="2"/>
  <c r="G124" i="2"/>
  <c r="I123" i="2"/>
  <c r="K122" i="2"/>
  <c r="M121" i="2"/>
  <c r="C121" i="2"/>
  <c r="E120" i="2"/>
  <c r="G119" i="2"/>
  <c r="I118" i="2"/>
  <c r="K117" i="2"/>
  <c r="M116" i="2"/>
  <c r="C116" i="2"/>
  <c r="E115" i="2"/>
  <c r="G114" i="2"/>
  <c r="I113" i="2"/>
  <c r="K112" i="2"/>
  <c r="M111" i="2"/>
  <c r="C111" i="2"/>
  <c r="E110" i="2"/>
  <c r="G109" i="2"/>
  <c r="I108" i="2"/>
  <c r="K107" i="2"/>
  <c r="M106" i="2"/>
  <c r="C106" i="2"/>
  <c r="E105" i="2"/>
  <c r="G104" i="2"/>
  <c r="I103" i="2"/>
  <c r="K102" i="2"/>
  <c r="M101" i="2"/>
  <c r="C101" i="2"/>
  <c r="E100" i="2"/>
  <c r="G99" i="2"/>
  <c r="I98" i="2"/>
  <c r="K97" i="2"/>
  <c r="M96" i="2"/>
  <c r="C96" i="2"/>
  <c r="E95" i="2"/>
  <c r="G94" i="2"/>
  <c r="I93" i="2"/>
  <c r="K92" i="2"/>
  <c r="M91" i="2"/>
  <c r="C91" i="2"/>
  <c r="E90" i="2"/>
  <c r="G89" i="2"/>
  <c r="I88" i="2"/>
  <c r="K87" i="2"/>
  <c r="M86" i="2"/>
  <c r="C86" i="2"/>
  <c r="E85" i="2"/>
  <c r="G84" i="2"/>
  <c r="I83" i="2"/>
  <c r="K82" i="2"/>
  <c r="M81" i="2"/>
  <c r="C81" i="2"/>
  <c r="E80" i="2"/>
  <c r="G79" i="2"/>
  <c r="D157" i="2"/>
  <c r="B155" i="2"/>
  <c r="E153" i="2"/>
  <c r="E151" i="2"/>
  <c r="D149" i="2"/>
  <c r="H147" i="2"/>
  <c r="M145" i="2"/>
  <c r="L144" i="2"/>
  <c r="H143" i="2"/>
  <c r="G142" i="2"/>
  <c r="F141" i="2"/>
  <c r="B140" i="2"/>
  <c r="M138" i="2"/>
  <c r="I137" i="2"/>
  <c r="H136" i="2"/>
  <c r="D135" i="2"/>
  <c r="C134" i="2"/>
  <c r="B133" i="2"/>
  <c r="J131" i="2"/>
  <c r="I130" i="2"/>
  <c r="E129" i="2"/>
  <c r="D128" i="2"/>
  <c r="L126" i="2"/>
  <c r="K125" i="2"/>
  <c r="J124" i="2"/>
  <c r="F123" i="2"/>
  <c r="E122" i="2"/>
  <c r="M120" i="2"/>
  <c r="L119" i="2"/>
  <c r="H118" i="2"/>
  <c r="G117" i="2"/>
  <c r="F116" i="2"/>
  <c r="B115" i="2"/>
  <c r="M113" i="2"/>
  <c r="I112" i="2"/>
  <c r="H111" i="2"/>
  <c r="D110" i="2"/>
  <c r="C109" i="2"/>
  <c r="B108" i="2"/>
  <c r="J106" i="2"/>
  <c r="I105" i="2"/>
  <c r="E104" i="2"/>
  <c r="D103" i="2"/>
  <c r="L101" i="2"/>
  <c r="K100" i="2"/>
  <c r="J99" i="2"/>
  <c r="F98" i="2"/>
  <c r="E97" i="2"/>
  <c r="M95" i="2"/>
  <c r="L94" i="2"/>
  <c r="H93" i="2"/>
  <c r="G92" i="2"/>
  <c r="F91" i="2"/>
  <c r="B90" i="2"/>
  <c r="M88" i="2"/>
  <c r="I87" i="2"/>
  <c r="H86" i="2"/>
  <c r="D85" i="2"/>
  <c r="C84" i="2"/>
  <c r="B83" i="2"/>
  <c r="J81" i="2"/>
  <c r="J80" i="2"/>
  <c r="J79" i="2"/>
  <c r="I78" i="2"/>
  <c r="J77" i="2"/>
  <c r="K76" i="2"/>
  <c r="L75" i="2"/>
  <c r="M74" i="2"/>
  <c r="B74" i="2"/>
  <c r="C73" i="2"/>
  <c r="D72" i="2"/>
  <c r="D71" i="2"/>
  <c r="E70" i="2"/>
  <c r="F69" i="2"/>
  <c r="G68" i="2"/>
  <c r="H67" i="2"/>
  <c r="I66" i="2"/>
  <c r="J65" i="2"/>
  <c r="K64" i="2"/>
  <c r="L63" i="2"/>
  <c r="L62" i="2"/>
  <c r="M61" i="2"/>
  <c r="B61" i="2"/>
  <c r="C60" i="2"/>
  <c r="D59" i="2"/>
  <c r="E58" i="2"/>
  <c r="F57" i="2"/>
  <c r="G56" i="2"/>
  <c r="H55" i="2"/>
  <c r="H54" i="2"/>
  <c r="I53" i="2"/>
  <c r="J52" i="2"/>
  <c r="K51" i="2"/>
  <c r="L50" i="2"/>
  <c r="M49" i="2"/>
  <c r="B49" i="2"/>
  <c r="C48" i="2"/>
  <c r="D47" i="2"/>
  <c r="D46" i="2"/>
  <c r="E45" i="2"/>
  <c r="F44" i="2"/>
  <c r="H43" i="2"/>
  <c r="J42" i="2"/>
  <c r="L41" i="2"/>
  <c r="B41" i="2"/>
  <c r="D40" i="2"/>
  <c r="F39" i="2"/>
  <c r="H38" i="2"/>
  <c r="J37" i="2"/>
  <c r="L36" i="2"/>
  <c r="B36" i="2"/>
  <c r="D35" i="2"/>
  <c r="F34" i="2"/>
  <c r="H33" i="2"/>
  <c r="J32" i="2"/>
  <c r="L31" i="2"/>
  <c r="B31" i="2"/>
  <c r="D30" i="2"/>
  <c r="F29" i="2"/>
  <c r="H28" i="2"/>
  <c r="J27" i="2"/>
  <c r="L26" i="2"/>
  <c r="B26" i="2"/>
  <c r="D25" i="2"/>
  <c r="F24" i="2"/>
  <c r="H23" i="2"/>
  <c r="J22" i="2"/>
  <c r="L21" i="2"/>
  <c r="B21" i="2"/>
  <c r="D20" i="2"/>
  <c r="F19" i="2"/>
  <c r="H18" i="2"/>
  <c r="J17" i="2"/>
  <c r="L16" i="2"/>
  <c r="B16" i="2"/>
  <c r="D15" i="2"/>
  <c r="F14" i="2"/>
  <c r="H13" i="2"/>
  <c r="J12" i="2"/>
  <c r="L11" i="2"/>
  <c r="B11" i="2"/>
  <c r="D10" i="2"/>
  <c r="B157" i="2"/>
  <c r="M154" i="2"/>
  <c r="M152" i="2"/>
  <c r="L150" i="2"/>
  <c r="C149" i="2"/>
  <c r="G147" i="2"/>
  <c r="L145" i="2"/>
  <c r="K144" i="2"/>
  <c r="G143" i="2"/>
  <c r="F142" i="2"/>
  <c r="B141" i="2"/>
  <c r="M139" i="2"/>
  <c r="L138" i="2"/>
  <c r="H137" i="2"/>
  <c r="G136" i="2"/>
  <c r="C135" i="2"/>
  <c r="B134" i="2"/>
  <c r="J132" i="2"/>
  <c r="I131" i="2"/>
  <c r="H130" i="2"/>
  <c r="D129" i="2"/>
  <c r="C128" i="2"/>
  <c r="K126" i="2"/>
  <c r="J125" i="2"/>
  <c r="F124" i="2"/>
  <c r="E123" i="2"/>
  <c r="D122" i="2"/>
  <c r="L120" i="2"/>
  <c r="K119" i="2"/>
  <c r="G118" i="2"/>
  <c r="F117" i="2"/>
  <c r="B116" i="2"/>
  <c r="M114" i="2"/>
  <c r="L113" i="2"/>
  <c r="H112" i="2"/>
  <c r="G111" i="2"/>
  <c r="C110" i="2"/>
  <c r="B109" i="2"/>
  <c r="J107" i="2"/>
  <c r="I106" i="2"/>
  <c r="H105" i="2"/>
  <c r="D104" i="2"/>
  <c r="C103" i="2"/>
  <c r="K101" i="2"/>
  <c r="J100" i="2"/>
  <c r="F99" i="2"/>
  <c r="E98" i="2"/>
  <c r="D97" i="2"/>
  <c r="L95" i="2"/>
  <c r="K94" i="2"/>
  <c r="G93" i="2"/>
  <c r="F92" i="2"/>
  <c r="B91" i="2"/>
  <c r="M89" i="2"/>
  <c r="L88" i="2"/>
  <c r="H87" i="2"/>
  <c r="G86" i="2"/>
  <c r="C85" i="2"/>
  <c r="B84" i="2"/>
  <c r="J82" i="2"/>
  <c r="I81" i="2"/>
  <c r="I80" i="2"/>
  <c r="H79" i="2"/>
  <c r="H78" i="2"/>
  <c r="I77" i="2"/>
  <c r="J76" i="2"/>
  <c r="K75" i="2"/>
  <c r="L74" i="2"/>
  <c r="M73" i="2"/>
  <c r="B73" i="2"/>
  <c r="B72" i="2"/>
  <c r="C71" i="2"/>
  <c r="D70" i="2"/>
  <c r="E69" i="2"/>
  <c r="F68" i="2"/>
  <c r="G67" i="2"/>
  <c r="H66" i="2"/>
  <c r="I65" i="2"/>
  <c r="J64" i="2"/>
  <c r="J63" i="2"/>
  <c r="K62" i="2"/>
  <c r="L61" i="2"/>
  <c r="M60" i="2"/>
  <c r="B60" i="2"/>
  <c r="C59" i="2"/>
  <c r="D58" i="2"/>
  <c r="E57" i="2"/>
  <c r="F56" i="2"/>
  <c r="F55" i="2"/>
  <c r="G54" i="2"/>
  <c r="H53" i="2"/>
  <c r="I52" i="2"/>
  <c r="J51" i="2"/>
  <c r="K50" i="2"/>
  <c r="L49" i="2"/>
  <c r="M48" i="2"/>
  <c r="B48" i="2"/>
  <c r="B47" i="2"/>
  <c r="C46" i="2"/>
  <c r="D45" i="2"/>
  <c r="E44" i="2"/>
  <c r="G43" i="2"/>
  <c r="I42" i="2"/>
  <c r="K41" i="2"/>
  <c r="M40" i="2"/>
  <c r="C40" i="2"/>
  <c r="E39" i="2"/>
  <c r="G38" i="2"/>
  <c r="I37" i="2"/>
  <c r="K36" i="2"/>
  <c r="M35" i="2"/>
  <c r="C35" i="2"/>
  <c r="E34" i="2"/>
  <c r="G33" i="2"/>
  <c r="I32" i="2"/>
  <c r="K31" i="2"/>
  <c r="M30" i="2"/>
  <c r="C30" i="2"/>
  <c r="E29" i="2"/>
  <c r="G28" i="2"/>
  <c r="I27" i="2"/>
  <c r="K26" i="2"/>
  <c r="M25" i="2"/>
  <c r="C25" i="2"/>
  <c r="E24" i="2"/>
  <c r="G23" i="2"/>
  <c r="I22" i="2"/>
  <c r="K21" i="2"/>
  <c r="M20" i="2"/>
  <c r="C20" i="2"/>
  <c r="E19" i="2"/>
  <c r="G18" i="2"/>
  <c r="I17" i="2"/>
  <c r="K16" i="2"/>
  <c r="M15" i="2"/>
  <c r="C15" i="2"/>
  <c r="E14" i="2"/>
  <c r="G13" i="2"/>
  <c r="I12" i="2"/>
  <c r="K11" i="2"/>
  <c r="M10" i="2"/>
  <c r="C10" i="2"/>
  <c r="M158" i="2"/>
  <c r="M156" i="2"/>
  <c r="I154" i="2"/>
  <c r="L152" i="2"/>
  <c r="K150" i="2"/>
  <c r="K148" i="2"/>
  <c r="L146" i="2"/>
  <c r="K145" i="2"/>
  <c r="J144" i="2"/>
  <c r="F143" i="2"/>
  <c r="E142" i="2"/>
  <c r="M140" i="2"/>
  <c r="L139" i="2"/>
  <c r="H138" i="2"/>
  <c r="G137" i="2"/>
  <c r="F136" i="2"/>
  <c r="B135" i="2"/>
  <c r="M133" i="2"/>
  <c r="I132" i="2"/>
  <c r="H131" i="2"/>
  <c r="D130" i="2"/>
  <c r="C129" i="2"/>
  <c r="B128" i="2"/>
  <c r="J126" i="2"/>
  <c r="I125" i="2"/>
  <c r="E124" i="2"/>
  <c r="D123" i="2"/>
  <c r="L121" i="2"/>
  <c r="K120" i="2"/>
  <c r="J119" i="2"/>
  <c r="F118" i="2"/>
  <c r="E117" i="2"/>
  <c r="M115" i="2"/>
  <c r="L114" i="2"/>
  <c r="H113" i="2"/>
  <c r="G112" i="2"/>
  <c r="F111" i="2"/>
  <c r="B110" i="2"/>
  <c r="M108" i="2"/>
  <c r="I107" i="2"/>
  <c r="H106" i="2"/>
  <c r="D105" i="2"/>
  <c r="C104" i="2"/>
  <c r="B103" i="2"/>
  <c r="J101" i="2"/>
  <c r="I100" i="2"/>
  <c r="E99" i="2"/>
  <c r="D98" i="2"/>
  <c r="L96" i="2"/>
  <c r="K95" i="2"/>
  <c r="J94" i="2"/>
  <c r="F93" i="2"/>
  <c r="E92" i="2"/>
  <c r="M90" i="2"/>
  <c r="L89" i="2"/>
  <c r="H88" i="2"/>
  <c r="G87" i="2"/>
  <c r="F86" i="2"/>
  <c r="B85" i="2"/>
  <c r="M83" i="2"/>
  <c r="I82" i="2"/>
  <c r="H81" i="2"/>
  <c r="H80" i="2"/>
  <c r="F79" i="2"/>
  <c r="G78" i="2"/>
  <c r="H77" i="2"/>
  <c r="I76" i="2"/>
  <c r="J75" i="2"/>
  <c r="K74" i="2"/>
  <c r="L73" i="2"/>
  <c r="L72" i="2"/>
  <c r="M71" i="2"/>
  <c r="B71" i="2"/>
  <c r="C70" i="2"/>
  <c r="D69" i="2"/>
  <c r="E68" i="2"/>
  <c r="F67" i="2"/>
  <c r="G66" i="2"/>
  <c r="H65" i="2"/>
  <c r="H64" i="2"/>
  <c r="I63" i="2"/>
  <c r="J62" i="2"/>
  <c r="K61" i="2"/>
  <c r="L60" i="2"/>
  <c r="M59" i="2"/>
  <c r="B59" i="2"/>
  <c r="C58" i="2"/>
  <c r="D57" i="2"/>
  <c r="D56" i="2"/>
  <c r="E55" i="2"/>
  <c r="F54" i="2"/>
  <c r="G53" i="2"/>
  <c r="H52" i="2"/>
  <c r="I51" i="2"/>
  <c r="J50" i="2"/>
  <c r="K49" i="2"/>
  <c r="L48" i="2"/>
  <c r="L47" i="2"/>
  <c r="M46" i="2"/>
  <c r="B46" i="2"/>
  <c r="C45" i="2"/>
  <c r="D44" i="2"/>
  <c r="F43" i="2"/>
  <c r="H42" i="2"/>
  <c r="J41" i="2"/>
  <c r="L40" i="2"/>
  <c r="B40" i="2"/>
  <c r="D39" i="2"/>
  <c r="F38" i="2"/>
  <c r="H37" i="2"/>
  <c r="J36" i="2"/>
  <c r="L35" i="2"/>
  <c r="B35" i="2"/>
  <c r="D34" i="2"/>
  <c r="F33" i="2"/>
  <c r="H32" i="2"/>
  <c r="J31" i="2"/>
  <c r="L30" i="2"/>
  <c r="B30" i="2"/>
  <c r="D29" i="2"/>
  <c r="F28" i="2"/>
  <c r="H27" i="2"/>
  <c r="J26" i="2"/>
  <c r="L25" i="2"/>
  <c r="B25" i="2"/>
  <c r="D24" i="2"/>
  <c r="F23" i="2"/>
  <c r="H22" i="2"/>
  <c r="J21" i="2"/>
  <c r="L20" i="2"/>
  <c r="B20" i="2"/>
  <c r="D19" i="2"/>
  <c r="F18" i="2"/>
  <c r="H17" i="2"/>
  <c r="J16" i="2"/>
  <c r="L15" i="2"/>
  <c r="B15" i="2"/>
  <c r="D14" i="2"/>
  <c r="F13" i="2"/>
  <c r="H12" i="2"/>
  <c r="J11" i="2"/>
  <c r="L10" i="2"/>
  <c r="B10" i="2"/>
  <c r="L158" i="2"/>
  <c r="E156" i="2"/>
  <c r="H154" i="2"/>
  <c r="K152" i="2"/>
  <c r="G150" i="2"/>
  <c r="J148" i="2"/>
  <c r="K146" i="2"/>
  <c r="J145" i="2"/>
  <c r="F144" i="2"/>
  <c r="E143" i="2"/>
  <c r="D142" i="2"/>
  <c r="L140" i="2"/>
  <c r="K139" i="2"/>
  <c r="G138" i="2"/>
  <c r="F137" i="2"/>
  <c r="B136" i="2"/>
  <c r="M134" i="2"/>
  <c r="L133" i="2"/>
  <c r="H132" i="2"/>
  <c r="G131" i="2"/>
  <c r="C130" i="2"/>
  <c r="B129" i="2"/>
  <c r="J127" i="2"/>
  <c r="I126" i="2"/>
  <c r="H125" i="2"/>
  <c r="D124" i="2"/>
  <c r="C123" i="2"/>
  <c r="K121" i="2"/>
  <c r="J120" i="2"/>
  <c r="F119" i="2"/>
  <c r="E118" i="2"/>
  <c r="D117" i="2"/>
  <c r="L115" i="2"/>
  <c r="K114" i="2"/>
  <c r="G113" i="2"/>
  <c r="F112" i="2"/>
  <c r="B111" i="2"/>
  <c r="M109" i="2"/>
  <c r="L108" i="2"/>
  <c r="H107" i="2"/>
  <c r="G106" i="2"/>
  <c r="C105" i="2"/>
  <c r="B104" i="2"/>
  <c r="J102" i="2"/>
  <c r="I101" i="2"/>
  <c r="H100" i="2"/>
  <c r="D99" i="2"/>
  <c r="C98" i="2"/>
  <c r="K96" i="2"/>
  <c r="J95" i="2"/>
  <c r="F94" i="2"/>
  <c r="E93" i="2"/>
  <c r="D92" i="2"/>
  <c r="L90" i="2"/>
  <c r="K89" i="2"/>
  <c r="G88" i="2"/>
  <c r="F87" i="2"/>
  <c r="B86" i="2"/>
  <c r="M84" i="2"/>
  <c r="L83" i="2"/>
  <c r="H82" i="2"/>
  <c r="G81" i="2"/>
  <c r="F80" i="2"/>
  <c r="E79" i="2"/>
  <c r="F78" i="2"/>
  <c r="G77" i="2"/>
  <c r="H76" i="2"/>
  <c r="I75" i="2"/>
  <c r="J74" i="2"/>
  <c r="J73" i="2"/>
  <c r="K72" i="2"/>
  <c r="L71" i="2"/>
  <c r="M70" i="2"/>
  <c r="B70" i="2"/>
  <c r="C69" i="2"/>
  <c r="D68" i="2"/>
  <c r="E67" i="2"/>
  <c r="F66" i="2"/>
  <c r="F65" i="2"/>
  <c r="G64" i="2"/>
  <c r="H63" i="2"/>
  <c r="I62" i="2"/>
  <c r="J61" i="2"/>
  <c r="K60" i="2"/>
  <c r="L59" i="2"/>
  <c r="M58" i="2"/>
  <c r="B58" i="2"/>
  <c r="B57" i="2"/>
  <c r="C56" i="2"/>
  <c r="D55" i="2"/>
  <c r="E54" i="2"/>
  <c r="F53" i="2"/>
  <c r="G52" i="2"/>
  <c r="H51" i="2"/>
  <c r="I50" i="2"/>
  <c r="J49" i="2"/>
  <c r="J48" i="2"/>
  <c r="K47" i="2"/>
  <c r="L46" i="2"/>
  <c r="M45" i="2"/>
  <c r="B45" i="2"/>
  <c r="C44" i="2"/>
  <c r="E43" i="2"/>
  <c r="G42" i="2"/>
  <c r="I41" i="2"/>
  <c r="M39" i="2"/>
  <c r="C39" i="2"/>
  <c r="E38" i="2"/>
  <c r="G37" i="2"/>
  <c r="I36" i="2"/>
  <c r="K35" i="2"/>
  <c r="M34" i="2"/>
  <c r="C34" i="2"/>
  <c r="E33" i="2"/>
  <c r="H158" i="2"/>
  <c r="C156" i="2"/>
  <c r="F154" i="2"/>
  <c r="B152" i="2"/>
  <c r="E150" i="2"/>
  <c r="M147" i="2"/>
  <c r="I146" i="2"/>
  <c r="H145" i="2"/>
  <c r="D144" i="2"/>
  <c r="C143" i="2"/>
  <c r="K141" i="2"/>
  <c r="J140" i="2"/>
  <c r="F139" i="2"/>
  <c r="E138" i="2"/>
  <c r="D137" i="2"/>
  <c r="L135" i="2"/>
  <c r="K134" i="2"/>
  <c r="G133" i="2"/>
  <c r="F132" i="2"/>
  <c r="B131" i="2"/>
  <c r="M129" i="2"/>
  <c r="L128" i="2"/>
  <c r="H127" i="2"/>
  <c r="G126" i="2"/>
  <c r="C125" i="2"/>
  <c r="B124" i="2"/>
  <c r="J122" i="2"/>
  <c r="I121" i="2"/>
  <c r="H120" i="2"/>
  <c r="D119" i="2"/>
  <c r="C118" i="2"/>
  <c r="K116" i="2"/>
  <c r="J115" i="2"/>
  <c r="F114" i="2"/>
  <c r="E113" i="2"/>
  <c r="D112" i="2"/>
  <c r="L110" i="2"/>
  <c r="K109" i="2"/>
  <c r="G108" i="2"/>
  <c r="F107" i="2"/>
  <c r="B106" i="2"/>
  <c r="M104" i="2"/>
  <c r="L103" i="2"/>
  <c r="H102" i="2"/>
  <c r="G101" i="2"/>
  <c r="C100" i="2"/>
  <c r="B99" i="2"/>
  <c r="J97" i="2"/>
  <c r="I96" i="2"/>
  <c r="H95" i="2"/>
  <c r="D94" i="2"/>
  <c r="C93" i="2"/>
  <c r="K91" i="2"/>
  <c r="J90" i="2"/>
  <c r="F89" i="2"/>
  <c r="E88" i="2"/>
  <c r="D87" i="2"/>
  <c r="L85" i="2"/>
  <c r="K84" i="2"/>
  <c r="G83" i="2"/>
  <c r="F82" i="2"/>
  <c r="D81" i="2"/>
  <c r="C80" i="2"/>
  <c r="C79" i="2"/>
  <c r="L157" i="2"/>
  <c r="B156" i="2"/>
  <c r="D154" i="2"/>
  <c r="M151" i="2"/>
  <c r="D150" i="2"/>
  <c r="L147" i="2"/>
  <c r="H146" i="2"/>
  <c r="D145" i="2"/>
  <c r="C144" i="2"/>
  <c r="B143" i="2"/>
  <c r="J141" i="2"/>
  <c r="I140" i="2"/>
  <c r="E139" i="2"/>
  <c r="D138" i="2"/>
  <c r="L136" i="2"/>
  <c r="K135" i="2"/>
  <c r="J134" i="2"/>
  <c r="F133" i="2"/>
  <c r="E132" i="2"/>
  <c r="M130" i="2"/>
  <c r="L129" i="2"/>
  <c r="H128" i="2"/>
  <c r="G127" i="2"/>
  <c r="F126" i="2"/>
  <c r="B125" i="2"/>
  <c r="M123" i="2"/>
  <c r="I122" i="2"/>
  <c r="H121" i="2"/>
  <c r="D120" i="2"/>
  <c r="C119" i="2"/>
  <c r="B118" i="2"/>
  <c r="J116" i="2"/>
  <c r="I115" i="2"/>
  <c r="E114" i="2"/>
  <c r="D113" i="2"/>
  <c r="L111" i="2"/>
  <c r="K110" i="2"/>
  <c r="J109" i="2"/>
  <c r="F108" i="2"/>
  <c r="E107" i="2"/>
  <c r="M105" i="2"/>
  <c r="L104" i="2"/>
  <c r="H103" i="2"/>
  <c r="G102" i="2"/>
  <c r="F101" i="2"/>
  <c r="B100" i="2"/>
  <c r="M98" i="2"/>
  <c r="I97" i="2"/>
  <c r="H96" i="2"/>
  <c r="D95" i="2"/>
  <c r="K157" i="2"/>
  <c r="L155" i="2"/>
  <c r="I153" i="2"/>
  <c r="L151" i="2"/>
  <c r="B150" i="2"/>
  <c r="K147" i="2"/>
  <c r="G146" i="2"/>
  <c r="C145" i="2"/>
  <c r="B144" i="2"/>
  <c r="J142" i="2"/>
  <c r="I141" i="2"/>
  <c r="H140" i="2"/>
  <c r="D139" i="2"/>
  <c r="C138" i="2"/>
  <c r="K136" i="2"/>
  <c r="J135" i="2"/>
  <c r="F134" i="2"/>
  <c r="E133" i="2"/>
  <c r="D132" i="2"/>
  <c r="L130" i="2"/>
  <c r="K129" i="2"/>
  <c r="G128" i="2"/>
  <c r="F127" i="2"/>
  <c r="B126" i="2"/>
  <c r="M124" i="2"/>
  <c r="L123" i="2"/>
  <c r="H122" i="2"/>
  <c r="G121" i="2"/>
  <c r="C120" i="2"/>
  <c r="B119" i="2"/>
  <c r="J117" i="2"/>
  <c r="I116" i="2"/>
  <c r="H115" i="2"/>
  <c r="D114" i="2"/>
  <c r="C113" i="2"/>
  <c r="K111" i="2"/>
  <c r="J110" i="2"/>
  <c r="F109" i="2"/>
  <c r="E108" i="2"/>
  <c r="D107" i="2"/>
  <c r="L105" i="2"/>
  <c r="K104" i="2"/>
  <c r="G103" i="2"/>
  <c r="F102" i="2"/>
  <c r="B101" i="2"/>
  <c r="M99" i="2"/>
  <c r="L98" i="2"/>
  <c r="H97" i="2"/>
  <c r="G96" i="2"/>
  <c r="C95" i="2"/>
  <c r="B94" i="2"/>
  <c r="J92" i="2"/>
  <c r="I91" i="2"/>
  <c r="H90" i="2"/>
  <c r="D89" i="2"/>
  <c r="C88" i="2"/>
  <c r="K86" i="2"/>
  <c r="J85" i="2"/>
  <c r="F84" i="2"/>
  <c r="E83" i="2"/>
  <c r="D82" i="2"/>
  <c r="M80" i="2"/>
  <c r="M79" i="2"/>
  <c r="M78" i="2"/>
  <c r="B78" i="2"/>
  <c r="B77" i="2"/>
  <c r="C76" i="2"/>
  <c r="D75" i="2"/>
  <c r="E74" i="2"/>
  <c r="F73" i="2"/>
  <c r="G72" i="2"/>
  <c r="H71" i="2"/>
  <c r="I70" i="2"/>
  <c r="J69" i="2"/>
  <c r="J68" i="2"/>
  <c r="K67" i="2"/>
  <c r="L66" i="2"/>
  <c r="M65" i="2"/>
  <c r="B65" i="2"/>
  <c r="C64" i="2"/>
  <c r="D63" i="2"/>
  <c r="E62" i="2"/>
  <c r="F61" i="2"/>
  <c r="F60" i="2"/>
  <c r="G59" i="2"/>
  <c r="H58" i="2"/>
  <c r="I57" i="2"/>
  <c r="J56" i="2"/>
  <c r="K55" i="2"/>
  <c r="L54" i="2"/>
  <c r="M53" i="2"/>
  <c r="B53" i="2"/>
  <c r="B52" i="2"/>
  <c r="C51" i="2"/>
  <c r="D50" i="2"/>
  <c r="E49" i="2"/>
  <c r="F48" i="2"/>
  <c r="G47" i="2"/>
  <c r="H46" i="2"/>
  <c r="I45" i="2"/>
  <c r="J44" i="2"/>
  <c r="K43" i="2"/>
  <c r="M42" i="2"/>
  <c r="C42" i="2"/>
  <c r="E41" i="2"/>
  <c r="G40" i="2"/>
  <c r="I39" i="2"/>
  <c r="K38" i="2"/>
  <c r="M37" i="2"/>
  <c r="C37" i="2"/>
  <c r="E36" i="2"/>
  <c r="G35" i="2"/>
  <c r="I34" i="2"/>
  <c r="K33" i="2"/>
  <c r="M32" i="2"/>
  <c r="C32" i="2"/>
  <c r="E31" i="2"/>
  <c r="G30" i="2"/>
  <c r="I29" i="2"/>
  <c r="K28" i="2"/>
  <c r="M27" i="2"/>
  <c r="C27" i="2"/>
  <c r="E26" i="2"/>
  <c r="G25" i="2"/>
  <c r="I24" i="2"/>
  <c r="K23" i="2"/>
  <c r="M22" i="2"/>
  <c r="C22" i="2"/>
  <c r="E21" i="2"/>
  <c r="G20" i="2"/>
  <c r="I19" i="2"/>
  <c r="K18" i="2"/>
  <c r="M17" i="2"/>
  <c r="C17" i="2"/>
  <c r="E16" i="2"/>
  <c r="G15" i="2"/>
  <c r="I14" i="2"/>
  <c r="K13" i="2"/>
  <c r="M12" i="2"/>
  <c r="C12" i="2"/>
  <c r="E11" i="2"/>
  <c r="G10" i="2"/>
  <c r="I157" i="2"/>
  <c r="K155" i="2"/>
  <c r="H153" i="2"/>
  <c r="J151" i="2"/>
  <c r="G149" i="2"/>
  <c r="J147" i="2"/>
  <c r="F146" i="2"/>
  <c r="B145" i="2"/>
  <c r="M143" i="2"/>
  <c r="I142" i="2"/>
  <c r="H141" i="2"/>
  <c r="D140" i="2"/>
  <c r="C139" i="2"/>
  <c r="B138" i="2"/>
  <c r="J136" i="2"/>
  <c r="I135" i="2"/>
  <c r="E134" i="2"/>
  <c r="D133" i="2"/>
  <c r="L131" i="2"/>
  <c r="K130" i="2"/>
  <c r="J129" i="2"/>
  <c r="F128" i="2"/>
  <c r="E127" i="2"/>
  <c r="M125" i="2"/>
  <c r="L124" i="2"/>
  <c r="H123" i="2"/>
  <c r="G122" i="2"/>
  <c r="F121" i="2"/>
  <c r="B120" i="2"/>
  <c r="M118" i="2"/>
  <c r="I117" i="2"/>
  <c r="H116" i="2"/>
  <c r="D115" i="2"/>
  <c r="C114" i="2"/>
  <c r="B113" i="2"/>
  <c r="J111" i="2"/>
  <c r="I110" i="2"/>
  <c r="E109" i="2"/>
  <c r="D108" i="2"/>
  <c r="L106" i="2"/>
  <c r="K105" i="2"/>
  <c r="J104" i="2"/>
  <c r="F103" i="2"/>
  <c r="E102" i="2"/>
  <c r="M100" i="2"/>
  <c r="L99" i="2"/>
  <c r="H98" i="2"/>
  <c r="G97" i="2"/>
  <c r="F96" i="2"/>
  <c r="B95" i="2"/>
  <c r="M93" i="2"/>
  <c r="I92" i="2"/>
  <c r="H91" i="2"/>
  <c r="D90" i="2"/>
  <c r="C89" i="2"/>
  <c r="B88" i="2"/>
  <c r="J86" i="2"/>
  <c r="I85" i="2"/>
  <c r="E84" i="2"/>
  <c r="D83" i="2"/>
  <c r="L81" i="2"/>
  <c r="G14" i="2"/>
  <c r="F10" i="2"/>
  <c r="I11" i="2"/>
  <c r="C13" i="2"/>
  <c r="H14" i="2"/>
  <c r="K15" i="2"/>
  <c r="E17" i="2"/>
  <c r="J18" i="2"/>
  <c r="M19" i="2"/>
  <c r="L22" i="2"/>
  <c r="C24" i="2"/>
  <c r="I25" i="2"/>
  <c r="B27" i="2"/>
  <c r="E28" i="2"/>
  <c r="K29" i="2"/>
  <c r="D31" i="2"/>
  <c r="G32" i="2"/>
  <c r="B34" i="2"/>
  <c r="J35" i="2"/>
  <c r="F37" i="2"/>
  <c r="B39" i="2"/>
  <c r="J40" i="2"/>
  <c r="E42" i="2"/>
  <c r="M43" i="2"/>
  <c r="K45" i="2"/>
  <c r="I47" i="2"/>
  <c r="G49" i="2"/>
  <c r="F51" i="2"/>
  <c r="D53" i="2"/>
  <c r="B55" i="2"/>
  <c r="L56" i="2"/>
  <c r="J58" i="2"/>
  <c r="I60" i="2"/>
  <c r="G62" i="2"/>
  <c r="E64" i="2"/>
  <c r="C66" i="2"/>
  <c r="L69" i="2"/>
  <c r="J71" i="2"/>
  <c r="H73" i="2"/>
  <c r="F75" i="2"/>
  <c r="E77" i="2"/>
  <c r="D79" i="2"/>
  <c r="E82" i="2"/>
  <c r="M85" i="2"/>
  <c r="C90" i="2"/>
  <c r="C94" i="2"/>
  <c r="K99" i="2"/>
  <c r="J105" i="2"/>
  <c r="I111" i="2"/>
  <c r="H117" i="2"/>
  <c r="G123" i="2"/>
  <c r="F129" i="2"/>
  <c r="H135" i="2"/>
  <c r="G141" i="2"/>
  <c r="H157" i="2"/>
  <c r="F19" i="4"/>
  <c r="H69" i="4"/>
  <c r="H10" i="2"/>
  <c r="M11" i="2"/>
  <c r="D13" i="2"/>
  <c r="J14" i="2"/>
  <c r="C16" i="2"/>
  <c r="F17" i="2"/>
  <c r="L18" i="2"/>
  <c r="E20" i="2"/>
  <c r="H21" i="2"/>
  <c r="B23" i="2"/>
  <c r="G24" i="2"/>
  <c r="J25" i="2"/>
  <c r="D27" i="2"/>
  <c r="I28" i="2"/>
  <c r="L29" i="2"/>
  <c r="F31" i="2"/>
  <c r="K32" i="2"/>
  <c r="G34" i="2"/>
  <c r="C36" i="2"/>
  <c r="K37" i="2"/>
  <c r="G39" i="2"/>
  <c r="K40" i="2"/>
  <c r="F42" i="2"/>
  <c r="B44" i="2"/>
  <c r="L45" i="2"/>
  <c r="J47" i="2"/>
  <c r="H49" i="2"/>
  <c r="G51" i="2"/>
  <c r="E53" i="2"/>
  <c r="C55" i="2"/>
  <c r="M56" i="2"/>
  <c r="L58" i="2"/>
  <c r="J60" i="2"/>
  <c r="H62" i="2"/>
  <c r="F64" i="2"/>
  <c r="D66" i="2"/>
  <c r="C68" i="2"/>
  <c r="M69" i="2"/>
  <c r="K71" i="2"/>
  <c r="I73" i="2"/>
  <c r="H75" i="2"/>
  <c r="F77" i="2"/>
  <c r="K79" i="2"/>
  <c r="G82" i="2"/>
  <c r="I86" i="2"/>
  <c r="I90" i="2"/>
  <c r="E94" i="2"/>
  <c r="D100" i="2"/>
  <c r="F106" i="2"/>
  <c r="E112" i="2"/>
  <c r="D118" i="2"/>
  <c r="C124" i="2"/>
  <c r="B130" i="2"/>
  <c r="M135" i="2"/>
  <c r="L141" i="2"/>
  <c r="I148" i="2"/>
  <c r="J158" i="2"/>
  <c r="K21" i="4"/>
  <c r="I78" i="4"/>
  <c r="D13" i="5"/>
  <c r="J15" i="2"/>
  <c r="I10" i="2"/>
  <c r="B12" i="2"/>
  <c r="E13" i="2"/>
  <c r="K14" i="2"/>
  <c r="D16" i="2"/>
  <c r="G17" i="2"/>
  <c r="M18" i="2"/>
  <c r="F20" i="2"/>
  <c r="I21" i="2"/>
  <c r="C23" i="2"/>
  <c r="H24" i="2"/>
  <c r="K25" i="2"/>
  <c r="E27" i="2"/>
  <c r="J28" i="2"/>
  <c r="M29" i="2"/>
  <c r="G31" i="2"/>
  <c r="L32" i="2"/>
  <c r="H34" i="2"/>
  <c r="D36" i="2"/>
  <c r="L37" i="2"/>
  <c r="H39" i="2"/>
  <c r="C41" i="2"/>
  <c r="K42" i="2"/>
  <c r="G44" i="2"/>
  <c r="F46" i="2"/>
  <c r="D48" i="2"/>
  <c r="B50" i="2"/>
  <c r="L51" i="2"/>
  <c r="J53" i="2"/>
  <c r="I55" i="2"/>
  <c r="G57" i="2"/>
  <c r="E59" i="2"/>
  <c r="C61" i="2"/>
  <c r="B63" i="2"/>
  <c r="L64" i="2"/>
  <c r="J66" i="2"/>
  <c r="H68" i="2"/>
  <c r="F70" i="2"/>
  <c r="E72" i="2"/>
  <c r="C74" i="2"/>
  <c r="M75" i="2"/>
  <c r="K77" i="2"/>
  <c r="L79" i="2"/>
  <c r="C83" i="2"/>
  <c r="L86" i="2"/>
  <c r="K90" i="2"/>
  <c r="M94" i="2"/>
  <c r="L100" i="2"/>
  <c r="K106" i="2"/>
  <c r="J112" i="2"/>
  <c r="L118" i="2"/>
  <c r="K124" i="2"/>
  <c r="J130" i="2"/>
  <c r="I136" i="2"/>
  <c r="H142" i="2"/>
  <c r="F149" i="2"/>
  <c r="H24" i="4"/>
  <c r="E88" i="4"/>
  <c r="K6" i="4"/>
  <c r="E6" i="6"/>
  <c r="J10" i="2"/>
  <c r="D12" i="2"/>
  <c r="I13" i="2"/>
  <c r="L14" i="2"/>
  <c r="F16" i="2"/>
  <c r="K17" i="2"/>
  <c r="B19" i="2"/>
  <c r="H20" i="2"/>
  <c r="M21" i="2"/>
  <c r="D23" i="2"/>
  <c r="J24" i="2"/>
  <c r="C26" i="2"/>
  <c r="F27" i="2"/>
  <c r="L28" i="2"/>
  <c r="E30" i="2"/>
  <c r="H31" i="2"/>
  <c r="B33" i="2"/>
  <c r="J34" i="2"/>
  <c r="F36" i="2"/>
  <c r="B38" i="2"/>
  <c r="J39" i="2"/>
  <c r="D41" i="2"/>
  <c r="L42" i="2"/>
  <c r="H44" i="2"/>
  <c r="G46" i="2"/>
  <c r="E48" i="2"/>
  <c r="C50" i="2"/>
  <c r="M51" i="2"/>
  <c r="L53" i="2"/>
  <c r="J55" i="2"/>
  <c r="H57" i="2"/>
  <c r="F59" i="2"/>
  <c r="D61" i="2"/>
  <c r="C63" i="2"/>
  <c r="M64" i="2"/>
  <c r="K66" i="2"/>
  <c r="I68" i="2"/>
  <c r="H70" i="2"/>
  <c r="F72" i="2"/>
  <c r="D74" i="2"/>
  <c r="B76" i="2"/>
  <c r="L77" i="2"/>
  <c r="B80" i="2"/>
  <c r="F83" i="2"/>
  <c r="E87" i="2"/>
  <c r="G91" i="2"/>
  <c r="I95" i="2"/>
  <c r="H101" i="2"/>
  <c r="G107" i="2"/>
  <c r="F113" i="2"/>
  <c r="E119" i="2"/>
  <c r="D125" i="2"/>
  <c r="F131" i="2"/>
  <c r="E137" i="2"/>
  <c r="D143" i="2"/>
  <c r="F150" i="2"/>
  <c r="F27" i="4"/>
  <c r="G97" i="4"/>
  <c r="B6" i="3"/>
  <c r="B16" i="3"/>
  <c r="B12" i="3" l="1"/>
  <c r="B17" i="3"/>
  <c r="B13" i="3"/>
  <c r="B18" i="3" s="1"/>
</calcChain>
</file>

<file path=xl/sharedStrings.xml><?xml version="1.0" encoding="utf-8"?>
<sst xmlns="http://schemas.openxmlformats.org/spreadsheetml/2006/main" count="307" uniqueCount="119">
  <si>
    <t>VENTAS GRANEL ECOGAS SPA</t>
  </si>
  <si>
    <t>Fecha</t>
  </si>
  <si>
    <t>Nombre Cliente</t>
  </si>
  <si>
    <t>Camión</t>
  </si>
  <si>
    <t>Vende</t>
  </si>
  <si>
    <t>Dirección</t>
  </si>
  <si>
    <t>Precio</t>
  </si>
  <si>
    <t>Litros Vendidos</t>
  </si>
  <si>
    <t>Cuenta litros</t>
  </si>
  <si>
    <t>Extraccion</t>
  </si>
  <si>
    <t>Total Recaudado</t>
  </si>
  <si>
    <t>Medio de pago</t>
  </si>
  <si>
    <t>Comisiones</t>
  </si>
  <si>
    <t>Observación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</si>
  <si>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</si>
  <si>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</si>
  <si>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</si>
  <si>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</si>
  <si>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</si>
  <si>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</si>
  <si>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</si>
  <si>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</si>
  <si>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</si>
  <si>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</si>
  <si>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</si>
  <si>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</si>
  <si>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</si>
  <si>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</si>
  <si>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</si>
  <si>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</si>
  <si>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</si>
  <si>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</si>
  <si>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</si>
  <si>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</si>
  <si>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</si>
  <si>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</si>
  <si>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</si>
  <si>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</si>
  <si>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</si>
  <si>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</si>
  <si>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</si>
  <si>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</si>
  <si>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</si>
  <si>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</si>
  <si>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</si>
  <si>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</si>
  <si>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</si>
  <si>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</si>
  <si>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</si>
  <si>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</si>
  <si>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</si>
  <si>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</si>
  <si>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</si>
  <si>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</si>
  <si>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</si>
  <si>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</si>
  <si>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</si>
  <si>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</si>
  <si>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</si>
  <si>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</si>
  <si>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</si>
  <si>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</si>
  <si>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</si>
  <si>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</si>
  <si>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</si>
  <si>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</si>
  <si>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</si>
  <si>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</si>
  <si>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</si>
  <si>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</si>
  <si>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</si>
  <si>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</si>
  <si>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</si>
  <si>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Bar Barrio Alto</t>
  </si>
  <si>
    <t>El Peñón 335 Puente Alto</t>
  </si>
  <si>
    <t>Transferencia dos</t>
  </si>
  <si>
    <t>Centro de eventos Barrio Alto SpA - RUT 78.467.844-K - EL PENON CHICO 0335 PUENTE ALTO</t>
  </si>
  <si>
    <t>BAR Tirua</t>
  </si>
  <si>
    <t>Pirque</t>
  </si>
  <si>
    <t>Brasas y Sabor SpA</t>
  </si>
  <si>
    <t>Puente Alto</t>
  </si>
  <si>
    <t>Centro de Eventos Barrio Alto SpA</t>
  </si>
  <si>
    <t>RESUMEN Y MOVIMIENTOS INDIVIDUALES: ENAP CARGA</t>
  </si>
  <si>
    <t>Sincronización en tiempo real con la pestaña 'Detalles movimientos'</t>
  </si>
  <si>
    <t>LITROS VENDIDOS</t>
  </si>
  <si>
    <t>LITROS COMPRADOS</t>
  </si>
  <si>
    <t>STOCK ACTUAL</t>
  </si>
  <si>
    <t>TOTAL VENTAS ($)</t>
  </si>
  <si>
    <t>N° OPERACIONES</t>
  </si>
  <si>
    <t>Litros</t>
  </si>
  <si>
    <t>Total</t>
  </si>
  <si>
    <t>Facturación / Detalles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</si>
  <si>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</si>
  <si>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</si>
  <si>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</si>
  <si>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</si>
  <si>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</si>
  <si>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</si>
  <si>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</si>
  <si>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</si>
  <si>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</si>
  <si>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</si>
  <si>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</si>
  <si>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</si>
  <si>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</si>
  <si>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</si>
  <si>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</si>
  <si>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</si>
  <si>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</si>
  <si>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TOTAL LITROS</t>
  </si>
  <si>
    <t>COMISIONES PAGADAS ($)</t>
  </si>
  <si>
    <t>COMISIONES PENDIENTES ($)</t>
  </si>
  <si>
    <t>PERÍODO COMISIONES PAGADAS:</t>
  </si>
  <si>
    <t>PERÍODO COMISIONES PENDIENTES:</t>
  </si>
  <si>
    <t>RESUMEN Y MOVIMIENTOS INDIVIDUALES: IGNACIO</t>
  </si>
  <si>
    <t>EXTRACCIÓN (L)</t>
  </si>
  <si>
    <t>RESUMEN Y MOVIMIENTOS INDIVIDUALES: TRIPULACION</t>
  </si>
  <si>
    <t>Brasas y Sabor SpA - RUT 76.378-704-4 - Av Concha y Toro #11 Puente Alto</t>
  </si>
  <si>
    <t>Guía N° 2360214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</si>
</sst>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7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sz val="12"/>
      <name val="Aptos Narrow"/>
      <family val="2"/>
      <scheme val="minor"/>
    </font>
    <font>
      <sz val="12"/>
      <name val="Aptos Narrow"/>
    </font>
    <font>
      <b/>
      <sz val="12"/>
      <name val="Aptos Narrow"/>
    </font>
  </fonts>
  <fills count="11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65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8" borderId="1" xfId="0" applyFill="1" applyBorder="1"/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9" borderId="0" xfId="0" applyFill="1"/>
    <xf numFmtId="3" fontId="0" fillId="8" borderId="1" xfId="0" applyNumberFormat="1" applyFill="1" applyBorder="1" applyAlignment="1">
      <alignment horizontal="center"/>
    </xf>
    <xf numFmtId="3" fontId="0" fillId="0" borderId="1" xfId="0" applyNumberFormat="1" applyBorder="1"/>
    <xf numFmtId="0" fontId="16" fillId="10" borderId="5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5" fillId="0" borderId="0" xfId="0" applyFont="1"/>
    <xf numFmtId="165" fontId="15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3" fontId="14" fillId="8" borderId="1" xfId="0" applyNumberFormat="1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3" fontId="0" fillId="0" borderId="0" xfId="0" applyNumberFormat="1"/>
    <xf numFmtId="42" fontId="1" fillId="0" borderId="0" xfId="1"/>
    <xf numFmtId="0" fontId="0" fillId="0" borderId="4" xfId="0" applyBorder="1"/>
    <xf numFmtId="3" fontId="15" fillId="0" borderId="5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15" fillId="0" borderId="5" xfId="0" applyFont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9" fillId="3" borderId="5" xfId="0" applyNumberFormat="1" applyFont="1" applyFill="1" applyBorder="1" applyAlignment="1">
      <alignment horizontal="center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003"/>
  <sheetViews>
    <sheetView showGridLines="0" tabSelected="1" topLeftCell="C1" zoomScaleNormal="100" workbookViewId="0">
      <pane ySplit="4" topLeftCell="A20" activePane="bottomLeft" state="frozen"/>
      <selection pane="bottomLeft" activeCell="C41" sqref="C41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2" width="15.33203125" style="3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1" spans="3:23">
      <c r="L1"/>
    </row>
    <row r="2" spans="3:23" ht="23" customHeight="1">
      <c r="C2" s="45" t="s">
        <v>0</v>
      </c>
      <c r="D2" s="46"/>
      <c r="E2" s="46"/>
      <c r="F2" s="46"/>
      <c r="G2" s="46"/>
      <c r="H2" s="46"/>
      <c r="I2" s="46"/>
      <c r="J2" s="46"/>
      <c r="K2" s="47"/>
      <c r="L2" s="46"/>
      <c r="M2" s="46"/>
      <c r="N2" s="46"/>
      <c r="O2" s="46"/>
      <c r="P2" s="46"/>
      <c r="Q2" s="48"/>
      <c r="R2" s="49"/>
    </row>
    <row r="3" spans="3:23" ht="17" customHeight="1" thickBot="1">
      <c r="L3"/>
    </row>
    <row r="4" spans="3:23" ht="19" customHeight="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/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25" t="s">
        <v>13</v>
      </c>
      <c r="Q4" s="28" t="s">
        <v>14</v>
      </c>
      <c r="R4" s="28" t="s">
        <v>15</v>
      </c>
      <c r="T4" s="13" t="s">
        <v>16</v>
      </c>
      <c r="U4" s="13" t="s">
        <v>17</v>
      </c>
      <c r="V4" s="13" t="s">
        <v>18</v>
      </c>
      <c r="W4" s="13" t="s">
        <v>19</v>
      </c>
    </row>
    <row r="5" spans="3:23">
      <c r="C5" s="7">
        <v>46226</v>
      </c>
      <c r="D5" s="1" t="s">
        <v>20</v>
      </c>
      <c r="E5" s="5" t="s">
        <v>21</v>
      </c>
      <c r="F5" s="5" t="s">
        <v>20</v>
      </c>
      <c r="G5" s="1"/>
      <c r="H5" s="2"/>
      <c r="I5" s="5"/>
      <c r="J5" s="5"/>
      <c r="K5" s="34"/>
      <c r="L5" s="34"/>
      <c r="M5" s="6"/>
      <c r="N5" s="1" t="s">
        <v>20</v>
      </c>
      <c r="O5" s="6" t="str">
        <f>IF(F5="CJ", I5*200, "")</f>
        <v/>
      </c>
      <c r="P5" s="26" t="s">
        <v>22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23</v>
      </c>
      <c r="E6" s="5" t="s">
        <v>21</v>
      </c>
      <c r="F6" s="5" t="s">
        <v>24</v>
      </c>
      <c r="G6" s="1"/>
      <c r="H6" s="2"/>
      <c r="I6" s="5"/>
      <c r="J6" s="5"/>
      <c r="K6" s="34"/>
      <c r="L6" s="34">
        <v>1403</v>
      </c>
      <c r="M6" s="6"/>
      <c r="N6" s="33" t="s">
        <v>9</v>
      </c>
      <c r="O6" s="6" t="str">
        <f>IF(F6="CJ", I6*200, "")</f>
        <v/>
      </c>
      <c r="P6" s="26" t="s">
        <v>9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7">
        <v>46230</v>
      </c>
      <c r="D7" s="1" t="s">
        <v>25</v>
      </c>
      <c r="E7" s="5" t="s">
        <v>21</v>
      </c>
      <c r="F7" s="5" t="s">
        <v>26</v>
      </c>
      <c r="G7" s="1" t="s">
        <v>27</v>
      </c>
      <c r="H7" s="2">
        <v>1000</v>
      </c>
      <c r="I7" s="5">
        <v>179.2</v>
      </c>
      <c r="J7" s="5"/>
      <c r="K7" s="34"/>
      <c r="L7" s="34"/>
      <c r="M7" s="6">
        <f t="shared" ref="M7:M18" si="0">H7*I7</f>
        <v>179200</v>
      </c>
      <c r="N7" s="1" t="s">
        <v>28</v>
      </c>
      <c r="O7" s="12">
        <f t="shared" ref="O7:O13" si="1">I7*200</f>
        <v>35840</v>
      </c>
      <c r="P7" s="26" t="s">
        <v>29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7">
        <v>46230</v>
      </c>
      <c r="D8" s="1" t="s">
        <v>30</v>
      </c>
      <c r="E8" s="5" t="s">
        <v>21</v>
      </c>
      <c r="F8" s="5" t="s">
        <v>26</v>
      </c>
      <c r="G8" s="1"/>
      <c r="H8" s="2">
        <v>1000</v>
      </c>
      <c r="I8" s="5">
        <v>518.1</v>
      </c>
      <c r="J8" s="5"/>
      <c r="K8" s="34"/>
      <c r="L8" s="34"/>
      <c r="M8" s="6">
        <f t="shared" si="0"/>
        <v>518100</v>
      </c>
      <c r="N8" s="1" t="s">
        <v>31</v>
      </c>
      <c r="O8" s="12">
        <f t="shared" si="1"/>
        <v>103620</v>
      </c>
      <c r="P8" s="26" t="s">
        <v>29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7">
        <v>46230</v>
      </c>
      <c r="D9" s="1" t="s">
        <v>32</v>
      </c>
      <c r="E9" s="5" t="s">
        <v>21</v>
      </c>
      <c r="F9" s="5" t="s">
        <v>26</v>
      </c>
      <c r="G9" s="1"/>
      <c r="H9" s="2">
        <v>1000</v>
      </c>
      <c r="I9" s="5">
        <v>488.2</v>
      </c>
      <c r="J9" s="5"/>
      <c r="K9" s="34"/>
      <c r="L9" s="34"/>
      <c r="M9" s="6">
        <f t="shared" si="0"/>
        <v>488200</v>
      </c>
      <c r="N9" s="1" t="s">
        <v>31</v>
      </c>
      <c r="O9" s="12">
        <f t="shared" si="1"/>
        <v>97640</v>
      </c>
      <c r="P9" s="26" t="s">
        <v>29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7">
        <v>46230</v>
      </c>
      <c r="D10" s="1" t="s">
        <v>33</v>
      </c>
      <c r="E10" s="5" t="s">
        <v>21</v>
      </c>
      <c r="F10" s="5" t="s">
        <v>26</v>
      </c>
      <c r="G10" s="1"/>
      <c r="H10" s="2">
        <v>1000</v>
      </c>
      <c r="I10" s="5">
        <v>500.3</v>
      </c>
      <c r="J10" s="5"/>
      <c r="K10" s="34"/>
      <c r="L10" s="34"/>
      <c r="M10" s="6">
        <f t="shared" si="0"/>
        <v>500300</v>
      </c>
      <c r="N10" s="1" t="s">
        <v>31</v>
      </c>
      <c r="O10" s="12">
        <f t="shared" si="1"/>
        <v>100060</v>
      </c>
      <c r="P10" s="26" t="s">
        <v>29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7">
        <v>46230</v>
      </c>
      <c r="D11" s="1" t="s">
        <v>34</v>
      </c>
      <c r="E11" s="5" t="s">
        <v>21</v>
      </c>
      <c r="F11" s="5" t="s">
        <v>26</v>
      </c>
      <c r="G11" s="1"/>
      <c r="H11" s="2">
        <v>1000</v>
      </c>
      <c r="I11" s="5">
        <v>237.9</v>
      </c>
      <c r="J11" s="5"/>
      <c r="K11" s="34"/>
      <c r="L11" s="34"/>
      <c r="M11" s="6">
        <f t="shared" si="0"/>
        <v>237900</v>
      </c>
      <c r="N11" s="1" t="s">
        <v>31</v>
      </c>
      <c r="O11" s="12">
        <f t="shared" si="1"/>
        <v>47580</v>
      </c>
      <c r="P11" s="26" t="s">
        <v>29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7">
        <v>46230</v>
      </c>
      <c r="D12" s="1" t="s">
        <v>35</v>
      </c>
      <c r="E12" s="5" t="s">
        <v>21</v>
      </c>
      <c r="F12" s="5" t="s">
        <v>26</v>
      </c>
      <c r="G12" s="1"/>
      <c r="H12" s="2">
        <v>1000</v>
      </c>
      <c r="I12" s="5">
        <v>205.1</v>
      </c>
      <c r="J12" s="5"/>
      <c r="K12" s="34"/>
      <c r="L12" s="34"/>
      <c r="M12" s="6">
        <f t="shared" si="0"/>
        <v>205100</v>
      </c>
      <c r="N12" s="1" t="s">
        <v>31</v>
      </c>
      <c r="O12" s="12">
        <f t="shared" si="1"/>
        <v>41020</v>
      </c>
      <c r="P12" s="26" t="s">
        <v>29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7">
        <v>46230</v>
      </c>
      <c r="D13" s="1" t="s">
        <v>36</v>
      </c>
      <c r="E13" s="5" t="s">
        <v>21</v>
      </c>
      <c r="F13" s="5" t="s">
        <v>26</v>
      </c>
      <c r="G13" s="1"/>
      <c r="H13" s="2">
        <v>1000</v>
      </c>
      <c r="I13" s="5">
        <v>300</v>
      </c>
      <c r="J13" s="5"/>
      <c r="K13" s="34"/>
      <c r="L13" s="34"/>
      <c r="M13" s="6">
        <f t="shared" si="0"/>
        <v>300000</v>
      </c>
      <c r="N13" s="1" t="s">
        <v>37</v>
      </c>
      <c r="O13" s="12">
        <f t="shared" si="1"/>
        <v>60000</v>
      </c>
      <c r="P13" s="26" t="s">
        <v>29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38</v>
      </c>
      <c r="E14" s="5" t="s">
        <v>21</v>
      </c>
      <c r="F14" s="5" t="s">
        <v>26</v>
      </c>
      <c r="G14" s="1"/>
      <c r="H14" s="2">
        <v>1000</v>
      </c>
      <c r="I14" s="5">
        <v>200</v>
      </c>
      <c r="J14" s="5"/>
      <c r="K14" s="34"/>
      <c r="L14" s="34"/>
      <c r="M14" s="6">
        <f t="shared" si="0"/>
        <v>200000</v>
      </c>
      <c r="N14" s="1" t="s">
        <v>37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39</v>
      </c>
      <c r="E15" s="5" t="s">
        <v>21</v>
      </c>
      <c r="F15" s="5" t="s">
        <v>40</v>
      </c>
      <c r="G15" s="1" t="s">
        <v>41</v>
      </c>
      <c r="H15" s="2">
        <v>0</v>
      </c>
      <c r="I15" s="5">
        <v>912</v>
      </c>
      <c r="J15" s="5"/>
      <c r="K15" s="34">
        <v>13789</v>
      </c>
      <c r="L15" s="34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42</v>
      </c>
      <c r="E16" s="5" t="s">
        <v>21</v>
      </c>
      <c r="F16" s="5" t="s">
        <v>26</v>
      </c>
      <c r="G16" s="8" t="s">
        <v>43</v>
      </c>
      <c r="H16" s="9">
        <v>1000</v>
      </c>
      <c r="I16" s="5">
        <v>747</v>
      </c>
      <c r="J16" s="34">
        <f>K16-K15</f>
        <v>746</v>
      </c>
      <c r="K16" s="34">
        <v>14535</v>
      </c>
      <c r="L16" s="34"/>
      <c r="M16" s="10">
        <f t="shared" si="0"/>
        <v>747000</v>
      </c>
      <c r="N16" s="8" t="s">
        <v>37</v>
      </c>
      <c r="O16" s="10">
        <f>IF(F16="CJ", I16*200, "")</f>
        <v>149400</v>
      </c>
      <c r="P16" s="27" t="s">
        <v>44</v>
      </c>
      <c r="Q16" s="12"/>
      <c r="R16" s="29"/>
      <c r="S16" t="s">
        <v>45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46</v>
      </c>
      <c r="E17" s="5" t="s">
        <v>21</v>
      </c>
      <c r="F17" s="5" t="s">
        <v>26</v>
      </c>
      <c r="G17" s="1" t="s">
        <v>47</v>
      </c>
      <c r="H17" s="2">
        <v>1100</v>
      </c>
      <c r="I17" s="5">
        <v>200</v>
      </c>
      <c r="J17" s="34">
        <f>K17-K16</f>
        <v>200</v>
      </c>
      <c r="K17" s="34">
        <v>14735</v>
      </c>
      <c r="L17" s="34"/>
      <c r="M17" s="6">
        <f t="shared" si="0"/>
        <v>220000</v>
      </c>
      <c r="N17" s="1" t="s">
        <v>37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48</v>
      </c>
      <c r="E18" s="5" t="s">
        <v>21</v>
      </c>
      <c r="F18" s="5" t="s">
        <v>26</v>
      </c>
      <c r="G18" s="1" t="s">
        <v>49</v>
      </c>
      <c r="H18" s="2">
        <v>1100</v>
      </c>
      <c r="I18" s="5">
        <v>350</v>
      </c>
      <c r="J18" s="37">
        <f>K18-K17</f>
        <v>1755</v>
      </c>
      <c r="K18" s="34">
        <v>16490</v>
      </c>
      <c r="L18" s="34"/>
      <c r="M18" s="6">
        <f t="shared" si="0"/>
        <v>385000</v>
      </c>
      <c r="N18" s="1" t="s">
        <v>50</v>
      </c>
      <c r="O18" s="6">
        <f>IF(F18="CJ", I18*200, "")</f>
        <v>70000</v>
      </c>
      <c r="P18" s="26" t="s">
        <v>51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23</v>
      </c>
      <c r="E19" s="5" t="s">
        <v>21</v>
      </c>
      <c r="F19" s="5" t="s">
        <v>24</v>
      </c>
      <c r="G19" s="1"/>
      <c r="H19" s="2"/>
      <c r="I19" s="1"/>
      <c r="J19" s="1"/>
      <c r="K19" s="38"/>
      <c r="L19" s="44">
        <v>1403</v>
      </c>
      <c r="M19" s="6"/>
      <c r="N19" s="33" t="s">
        <v>9</v>
      </c>
      <c r="O19" s="6" t="str">
        <f>IF(F19="CJ", L19*200, "")</f>
        <v/>
      </c>
      <c r="P19" s="26" t="s">
        <v>9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52</v>
      </c>
      <c r="E20" s="5" t="s">
        <v>21</v>
      </c>
      <c r="F20" s="5" t="s">
        <v>26</v>
      </c>
      <c r="G20" s="1" t="s">
        <v>53</v>
      </c>
      <c r="H20" s="2">
        <v>1100</v>
      </c>
      <c r="I20" s="5">
        <v>270</v>
      </c>
      <c r="J20" s="34">
        <f>K20-K18</f>
        <v>270</v>
      </c>
      <c r="K20" s="34">
        <v>16760</v>
      </c>
      <c r="L20" s="34"/>
      <c r="M20" s="6">
        <f>H20*I20</f>
        <v>297000</v>
      </c>
      <c r="N20" s="1" t="s">
        <v>37</v>
      </c>
      <c r="O20" s="6">
        <f>IF(F20="CJ", I20*200, "")</f>
        <v>54000</v>
      </c>
      <c r="P20" s="26" t="s">
        <v>44</v>
      </c>
      <c r="Q20" s="12"/>
      <c r="R20" s="29"/>
      <c r="S20" t="s">
        <v>54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55</v>
      </c>
      <c r="E21" s="5" t="s">
        <v>21</v>
      </c>
      <c r="F21" s="5" t="s">
        <v>40</v>
      </c>
      <c r="G21" s="1" t="s">
        <v>56</v>
      </c>
      <c r="H21" s="2">
        <v>1000</v>
      </c>
      <c r="I21" s="5">
        <v>350</v>
      </c>
      <c r="J21" s="34">
        <f>K21-K20</f>
        <v>350</v>
      </c>
      <c r="K21" s="34">
        <v>17110</v>
      </c>
      <c r="L21" s="34"/>
      <c r="M21" s="6">
        <f>H21*I21</f>
        <v>350000</v>
      </c>
      <c r="N21" s="1" t="s">
        <v>37</v>
      </c>
      <c r="O21" s="6" t="str">
        <f>IF(F21="CJ", I21*200, "")</f>
        <v/>
      </c>
      <c r="P21" s="26" t="s">
        <v>44</v>
      </c>
      <c r="Q21" s="12"/>
      <c r="R21" s="29"/>
      <c r="S21" t="s">
        <v>57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58</v>
      </c>
      <c r="E22" s="5" t="s">
        <v>21</v>
      </c>
      <c r="F22" s="5" t="s">
        <v>40</v>
      </c>
      <c r="G22" s="1" t="s">
        <v>59</v>
      </c>
      <c r="H22" s="2">
        <v>1000</v>
      </c>
      <c r="I22" s="5">
        <v>109</v>
      </c>
      <c r="J22" s="34">
        <f>K22-K21</f>
        <v>109</v>
      </c>
      <c r="K22" s="5">
        <v>17219</v>
      </c>
      <c r="L22" s="34"/>
      <c r="M22" s="6">
        <f>H22*I22</f>
        <v>109000</v>
      </c>
      <c r="N22" s="1" t="s">
        <v>37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23</v>
      </c>
      <c r="E23" s="5" t="s">
        <v>21</v>
      </c>
      <c r="F23" s="5" t="s">
        <v>24</v>
      </c>
      <c r="G23" s="1"/>
      <c r="H23" s="2"/>
      <c r="I23" s="1"/>
      <c r="J23" s="1"/>
      <c r="K23" s="38"/>
      <c r="L23" s="37">
        <v>2219</v>
      </c>
      <c r="M23" s="6"/>
      <c r="N23" s="33" t="s">
        <v>9</v>
      </c>
      <c r="O23" s="6" t="str">
        <f>IF(F23="CJ", L23*200, "")</f>
        <v/>
      </c>
      <c r="P23" s="26" t="s">
        <v>9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60</v>
      </c>
      <c r="E24" s="5" t="s">
        <v>21</v>
      </c>
      <c r="F24" s="5" t="s">
        <v>26</v>
      </c>
      <c r="G24" s="1" t="s">
        <v>61</v>
      </c>
      <c r="H24" s="2">
        <v>1100</v>
      </c>
      <c r="I24" s="5">
        <v>404</v>
      </c>
      <c r="J24" s="37">
        <f>K24-K22</f>
        <v>2615</v>
      </c>
      <c r="K24" s="34">
        <v>19834</v>
      </c>
      <c r="L24" s="34"/>
      <c r="M24" s="6">
        <f t="shared" ref="M24:M29" si="2">H24*I24</f>
        <v>444400</v>
      </c>
      <c r="N24" s="1" t="s">
        <v>37</v>
      </c>
      <c r="O24" s="6">
        <f t="shared" ref="O24:O90" si="3"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62</v>
      </c>
      <c r="E25" s="5" t="s">
        <v>21</v>
      </c>
      <c r="F25" s="5" t="s">
        <v>26</v>
      </c>
      <c r="G25" s="1" t="s">
        <v>63</v>
      </c>
      <c r="H25" s="2">
        <v>1100</v>
      </c>
      <c r="I25" s="5">
        <v>509</v>
      </c>
      <c r="J25" s="34">
        <f>K25-K24</f>
        <v>509</v>
      </c>
      <c r="K25" s="34">
        <v>20343</v>
      </c>
      <c r="L25" s="34"/>
      <c r="M25" s="6">
        <f t="shared" si="2"/>
        <v>559900</v>
      </c>
      <c r="N25" s="1" t="s">
        <v>37</v>
      </c>
      <c r="O25" s="6">
        <f t="shared" si="3"/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20</v>
      </c>
      <c r="E26" s="5" t="s">
        <v>64</v>
      </c>
      <c r="F26" s="5" t="s">
        <v>20</v>
      </c>
      <c r="G26" s="1"/>
      <c r="H26" s="2"/>
      <c r="I26" s="5"/>
      <c r="J26" s="5"/>
      <c r="K26" s="34"/>
      <c r="L26" s="34"/>
      <c r="M26" s="6">
        <f t="shared" si="2"/>
        <v>0</v>
      </c>
      <c r="N26" s="1" t="s">
        <v>20</v>
      </c>
      <c r="O26" s="6" t="str">
        <f t="shared" si="3"/>
        <v/>
      </c>
      <c r="P26" s="26" t="s">
        <v>65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23</v>
      </c>
      <c r="E27" s="5" t="s">
        <v>64</v>
      </c>
      <c r="F27" s="5" t="s">
        <v>24</v>
      </c>
      <c r="G27" s="1"/>
      <c r="H27" s="2"/>
      <c r="I27" s="5"/>
      <c r="J27" s="34"/>
      <c r="K27" s="34"/>
      <c r="L27" s="34">
        <v>11539</v>
      </c>
      <c r="M27" s="6">
        <f t="shared" si="2"/>
        <v>0</v>
      </c>
      <c r="N27" s="33" t="s">
        <v>9</v>
      </c>
      <c r="O27" s="6" t="str">
        <f t="shared" si="3"/>
        <v/>
      </c>
      <c r="P27" s="26" t="s">
        <v>9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46247</v>
      </c>
      <c r="D28" s="1" t="s">
        <v>20</v>
      </c>
      <c r="E28" s="5" t="s">
        <v>21</v>
      </c>
      <c r="F28" s="5" t="s">
        <v>20</v>
      </c>
      <c r="G28" s="1"/>
      <c r="H28" s="2"/>
      <c r="I28" s="5"/>
      <c r="J28" s="5"/>
      <c r="K28" s="34"/>
      <c r="L28" s="34"/>
      <c r="M28" s="6">
        <f t="shared" si="2"/>
        <v>0</v>
      </c>
      <c r="N28" s="1" t="s">
        <v>20</v>
      </c>
      <c r="O28" s="6" t="str">
        <f t="shared" si="3"/>
        <v/>
      </c>
      <c r="P28" s="26" t="s">
        <v>66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67</v>
      </c>
      <c r="E29" s="5" t="s">
        <v>21</v>
      </c>
      <c r="F29" s="5" t="s">
        <v>40</v>
      </c>
      <c r="G29" s="1" t="s">
        <v>68</v>
      </c>
      <c r="H29" s="2">
        <v>1000</v>
      </c>
      <c r="I29" s="5">
        <v>256</v>
      </c>
      <c r="J29" s="37"/>
      <c r="K29" s="34">
        <v>22615</v>
      </c>
      <c r="L29" s="34"/>
      <c r="M29" s="6">
        <f t="shared" si="2"/>
        <v>256000</v>
      </c>
      <c r="N29" s="1" t="s">
        <v>37</v>
      </c>
      <c r="O29" s="6" t="str">
        <f t="shared" si="3"/>
        <v/>
      </c>
      <c r="P29" s="26" t="s">
        <v>44</v>
      </c>
      <c r="Q29" s="12"/>
      <c r="R29" s="29"/>
      <c r="S29" t="s">
        <v>69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20</v>
      </c>
      <c r="E30" s="5" t="s">
        <v>64</v>
      </c>
      <c r="F30" s="5" t="s">
        <v>20</v>
      </c>
      <c r="G30" s="1"/>
      <c r="H30" s="2"/>
      <c r="I30" s="5"/>
      <c r="J30" s="5"/>
      <c r="K30" s="34"/>
      <c r="L30" s="34"/>
      <c r="M30" s="6"/>
      <c r="N30" s="1" t="s">
        <v>20</v>
      </c>
      <c r="O30" s="6" t="str">
        <f t="shared" si="3"/>
        <v/>
      </c>
      <c r="P30" s="26" t="s">
        <v>70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46251</v>
      </c>
      <c r="D31" s="1" t="s">
        <v>23</v>
      </c>
      <c r="E31" s="5" t="s">
        <v>64</v>
      </c>
      <c r="F31" s="5" t="s">
        <v>24</v>
      </c>
      <c r="G31" s="1"/>
      <c r="H31" s="2"/>
      <c r="I31" s="5"/>
      <c r="J31" s="5"/>
      <c r="K31" s="34"/>
      <c r="L31" s="34">
        <v>11344</v>
      </c>
      <c r="M31" s="6"/>
      <c r="N31" s="33" t="s">
        <v>9</v>
      </c>
      <c r="O31" s="6"/>
      <c r="P31" s="26" t="s">
        <v>9</v>
      </c>
      <c r="Q31" s="12"/>
      <c r="R31" s="29"/>
    </row>
    <row r="32" spans="3:23">
      <c r="C32" s="7">
        <v>46252</v>
      </c>
      <c r="D32" s="1" t="s">
        <v>20</v>
      </c>
      <c r="E32" s="5" t="s">
        <v>64</v>
      </c>
      <c r="F32" s="5" t="s">
        <v>20</v>
      </c>
      <c r="G32" s="1"/>
      <c r="H32" s="2"/>
      <c r="I32" s="5"/>
      <c r="J32" s="5"/>
      <c r="K32" s="34"/>
      <c r="L32" s="34"/>
      <c r="M32" s="6"/>
      <c r="N32" s="1" t="s">
        <v>20</v>
      </c>
      <c r="O32" s="6" t="str">
        <f t="shared" si="3"/>
        <v/>
      </c>
      <c r="P32" s="26" t="s">
        <v>71</v>
      </c>
      <c r="Q32" s="12">
        <v>3889821</v>
      </c>
      <c r="R32" s="29">
        <v>11462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5</v>
      </c>
    </row>
    <row r="33" spans="3:23">
      <c r="C33" s="7">
        <v>46253</v>
      </c>
      <c r="D33" s="1" t="s">
        <v>20</v>
      </c>
      <c r="E33" s="5" t="s">
        <v>64</v>
      </c>
      <c r="F33" s="5" t="s">
        <v>20</v>
      </c>
      <c r="G33" s="1"/>
      <c r="H33" s="2"/>
      <c r="I33" s="5"/>
      <c r="J33" s="5"/>
      <c r="K33" s="34"/>
      <c r="L33" s="34"/>
      <c r="M33" s="6"/>
      <c r="N33" s="1" t="s">
        <v>20</v>
      </c>
      <c r="O33" s="6" t="str">
        <f t="shared" si="3"/>
        <v/>
      </c>
      <c r="P33" s="26" t="s">
        <v>72</v>
      </c>
      <c r="Q33" s="12">
        <v>3830686</v>
      </c>
      <c r="R33" s="29">
        <v>11288</v>
      </c>
      <c r="T33" t="str">
        <f>IF(F33="CJ", COUNTIF(F$5:F33, "CJ"), "")</f>
        <v/>
      </c>
      <c r="U33" t="str">
        <f>IF(F33="Ignacio", COUNTIF(F$5:F33, "Ignacio"), "")</f>
        <v/>
      </c>
      <c r="V33" t="str">
        <f>IF(F33="Tripulacion", COUNTIF(F$5:F33, "Tripulacion"), "")</f>
        <v/>
      </c>
      <c r="W33">
        <f>IF(F33="ENAP carga", COUNTIF(F$5:F33, "ENAP carga"), "")</f>
        <v>6</v>
      </c>
    </row>
    <row r="34" spans="3:23">
      <c r="C34" s="7">
        <v>46253</v>
      </c>
      <c r="D34" s="1" t="s">
        <v>23</v>
      </c>
      <c r="E34" s="5" t="s">
        <v>64</v>
      </c>
      <c r="F34" s="5" t="s">
        <v>24</v>
      </c>
      <c r="G34" s="1"/>
      <c r="H34" s="2"/>
      <c r="I34" s="5"/>
      <c r="J34" s="5"/>
      <c r="K34" s="34"/>
      <c r="L34" s="34">
        <v>11225</v>
      </c>
      <c r="M34" s="6"/>
      <c r="N34" s="33" t="s">
        <v>9</v>
      </c>
      <c r="O34" s="6"/>
      <c r="P34" s="26" t="s">
        <v>9</v>
      </c>
      <c r="Q34" s="12"/>
      <c r="R34" s="29"/>
    </row>
    <row r="35" spans="3:23">
      <c r="C35" s="7">
        <v>46254</v>
      </c>
      <c r="D35" s="1" t="s">
        <v>23</v>
      </c>
      <c r="E35" s="5" t="s">
        <v>64</v>
      </c>
      <c r="F35" s="5" t="s">
        <v>24</v>
      </c>
      <c r="G35" s="1"/>
      <c r="H35" s="2"/>
      <c r="I35" s="5"/>
      <c r="J35" s="5"/>
      <c r="K35" s="34"/>
      <c r="L35" s="34">
        <v>11088</v>
      </c>
      <c r="M35" s="6"/>
      <c r="N35" s="33" t="s">
        <v>9</v>
      </c>
      <c r="O35" s="6"/>
      <c r="P35" s="26" t="s">
        <v>9</v>
      </c>
      <c r="Q35" s="12"/>
      <c r="R35" s="29"/>
    </row>
    <row r="36" spans="3:23">
      <c r="C36" s="7">
        <v>46254</v>
      </c>
      <c r="D36" s="1" t="s">
        <v>73</v>
      </c>
      <c r="E36" s="5" t="s">
        <v>21</v>
      </c>
      <c r="F36" s="5" t="s">
        <v>26</v>
      </c>
      <c r="G36" s="1" t="s">
        <v>74</v>
      </c>
      <c r="H36" s="2">
        <v>1000</v>
      </c>
      <c r="I36" s="5">
        <v>294</v>
      </c>
      <c r="J36" s="34">
        <f>K36-K29</f>
        <v>294</v>
      </c>
      <c r="K36" s="34">
        <v>22909</v>
      </c>
      <c r="L36" s="34"/>
      <c r="M36" s="6">
        <f>H36*I36</f>
        <v>294000</v>
      </c>
      <c r="N36" s="1" t="s">
        <v>75</v>
      </c>
      <c r="O36" s="6">
        <f t="shared" si="3"/>
        <v>58800</v>
      </c>
      <c r="P36" s="26" t="s">
        <v>44</v>
      </c>
      <c r="Q36" s="12"/>
      <c r="R36" s="29"/>
      <c r="S36" s="36" t="s">
        <v>76</v>
      </c>
      <c r="T36">
        <f>IF(F36="CJ", COUNTIF(F$5:F36, "CJ"), "")</f>
        <v>15</v>
      </c>
      <c r="U36" t="str">
        <f>IF(F36="Ignacio", COUNTIF(F$5:F36, "Ignacio"), "")</f>
        <v/>
      </c>
      <c r="V36" t="str">
        <f>IF(F36="Tripulacion", COUNTIF(F$5:F36, "Tripulacion"), "")</f>
        <v/>
      </c>
      <c r="W36" t="str">
        <f>IF(F36="ENAP carga", COUNTIF(F$5:F36, "ENAP carga"), "")</f>
        <v/>
      </c>
    </row>
    <row r="37" spans="3:23">
      <c r="C37" s="7">
        <v>46254</v>
      </c>
      <c r="D37" s="1" t="s">
        <v>77</v>
      </c>
      <c r="E37" s="5" t="s">
        <v>21</v>
      </c>
      <c r="F37" s="5" t="s">
        <v>26</v>
      </c>
      <c r="G37" s="1" t="s">
        <v>78</v>
      </c>
      <c r="H37" s="2">
        <v>1100</v>
      </c>
      <c r="I37" s="5">
        <v>500</v>
      </c>
      <c r="J37" s="34">
        <f>K37-K36</f>
        <v>500</v>
      </c>
      <c r="K37" s="34">
        <v>23409</v>
      </c>
      <c r="L37" s="34"/>
      <c r="M37" s="6">
        <f>H37*I37</f>
        <v>550000</v>
      </c>
      <c r="N37" s="1" t="s">
        <v>31</v>
      </c>
      <c r="O37" s="6">
        <f t="shared" si="3"/>
        <v>100000</v>
      </c>
      <c r="P37" s="26"/>
      <c r="Q37" s="12"/>
      <c r="R37" s="29"/>
      <c r="T37">
        <f>IF(F37="CJ", COUNTIF(F$5:F37, "CJ"), "")</f>
        <v>16</v>
      </c>
      <c r="U37" t="str">
        <f>IF(F37="Ignacio", COUNTIF(F$5:F37, "Ignacio"), "")</f>
        <v/>
      </c>
      <c r="V37" t="str">
        <f>IF(F37="Tripulacion", COUNTIF(F$5:F37, "Tripulacion"), "")</f>
        <v/>
      </c>
      <c r="W37" t="str">
        <f>IF(F37="ENAP carga", COUNTIF(F$5:F37, "ENAP carga"), "")</f>
        <v/>
      </c>
    </row>
    <row r="38" spans="3:23">
      <c r="C38" s="7">
        <v>46254</v>
      </c>
      <c r="D38" s="1" t="s">
        <v>79</v>
      </c>
      <c r="E38" s="5" t="s">
        <v>21</v>
      </c>
      <c r="F38" s="5" t="s">
        <v>40</v>
      </c>
      <c r="G38" s="1" t="s">
        <v>80</v>
      </c>
      <c r="H38" s="2">
        <v>1100</v>
      </c>
      <c r="I38" s="5">
        <v>100</v>
      </c>
      <c r="J38" s="34">
        <f>K38-K37</f>
        <v>100</v>
      </c>
      <c r="K38" s="34">
        <v>23509</v>
      </c>
      <c r="L38" s="34"/>
      <c r="M38" s="6">
        <f>H38*I38</f>
        <v>110000</v>
      </c>
      <c r="N38" s="1" t="s">
        <v>37</v>
      </c>
      <c r="O38" s="6" t="str">
        <f t="shared" si="3"/>
        <v/>
      </c>
      <c r="P38" s="26" t="s">
        <v>44</v>
      </c>
      <c r="Q38" s="12"/>
      <c r="R38" s="29"/>
      <c r="S38" s="36" t="s">
        <v>117</v>
      </c>
      <c r="T38" t="str">
        <f>IF(F38="CJ", COUNTIF(F$5:F38, "CJ"), "")</f>
        <v/>
      </c>
      <c r="U38" t="str">
        <f>IF(F38="Ignacio", COUNTIF(F$5:F38, "Ignacio"), "")</f>
        <v/>
      </c>
      <c r="V38">
        <f>IF(F38="Tripulacion", COUNTIF(F$5:F38, "Tripulacion"), "")</f>
        <v>5</v>
      </c>
      <c r="W38" t="str">
        <f>IF(F38="ENAP carga", COUNTIF(F$5:F38, "ENAP carga"), "")</f>
        <v/>
      </c>
    </row>
    <row r="39" spans="3:23">
      <c r="C39" s="7">
        <v>46258</v>
      </c>
      <c r="D39" s="1" t="s">
        <v>39</v>
      </c>
      <c r="E39" s="5" t="s">
        <v>21</v>
      </c>
      <c r="F39" s="5" t="s">
        <v>40</v>
      </c>
      <c r="G39" s="1" t="s">
        <v>41</v>
      </c>
      <c r="H39" s="2">
        <v>0</v>
      </c>
      <c r="I39" s="5">
        <v>1120</v>
      </c>
      <c r="J39" s="34">
        <f>K39-K38</f>
        <v>1121</v>
      </c>
      <c r="K39" s="34">
        <v>24630</v>
      </c>
      <c r="L39" s="34"/>
      <c r="M39" s="6">
        <f>H39*I39</f>
        <v>0</v>
      </c>
      <c r="N39" s="1"/>
      <c r="O39" s="6" t="str">
        <f t="shared" si="3"/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>
        <f>IF(F39="Tripulacion", COUNTIF(F$5:F39, "Tripulacion"), "")</f>
        <v>6</v>
      </c>
      <c r="W39" t="str">
        <f>IF(F39="ENAP carga", COUNTIF(F$5:F39, "ENAP carga"), "")</f>
        <v/>
      </c>
    </row>
    <row r="40" spans="3:23">
      <c r="C40" s="7">
        <v>46258</v>
      </c>
      <c r="D40" s="1" t="s">
        <v>81</v>
      </c>
      <c r="E40" s="5" t="s">
        <v>21</v>
      </c>
      <c r="F40" s="5" t="s">
        <v>40</v>
      </c>
      <c r="G40" s="1" t="s">
        <v>74</v>
      </c>
      <c r="H40" s="2">
        <v>1000</v>
      </c>
      <c r="I40" s="5">
        <v>449</v>
      </c>
      <c r="J40" s="34">
        <f>K40-K39</f>
        <v>448</v>
      </c>
      <c r="K40" s="34">
        <v>25078</v>
      </c>
      <c r="L40" s="34"/>
      <c r="M40" s="6">
        <f>H40*I40</f>
        <v>449000</v>
      </c>
      <c r="N40" s="1" t="s">
        <v>37</v>
      </c>
      <c r="O40" s="6" t="str">
        <f t="shared" si="3"/>
        <v/>
      </c>
      <c r="P40" s="26" t="s">
        <v>44</v>
      </c>
      <c r="Q40" s="12"/>
      <c r="R40" s="29"/>
      <c r="S40" s="36" t="s">
        <v>76</v>
      </c>
      <c r="T40" t="str">
        <f>IF(F40="CJ", COUNTIF(F$5:F40, "CJ"), "")</f>
        <v/>
      </c>
      <c r="U40" t="str">
        <f>IF(F40="Ignacio", COUNTIF(F$5:F40, "Ignacio"), "")</f>
        <v/>
      </c>
      <c r="V40">
        <f>IF(F40="Tripulacion", COUNTIF(F$5:F40, "Tripulacion"), "")</f>
        <v>7</v>
      </c>
      <c r="W40" t="str">
        <f>IF(F40="ENAP carga", COUNTIF(F$5:F40, "ENAP carga"), "")</f>
        <v/>
      </c>
    </row>
    <row r="41" spans="3:23">
      <c r="C41" s="7">
        <v>46259</v>
      </c>
      <c r="D41" s="1" t="s">
        <v>20</v>
      </c>
      <c r="E41" s="5" t="s">
        <v>64</v>
      </c>
      <c r="F41" s="5" t="s">
        <v>20</v>
      </c>
      <c r="G41" s="1"/>
      <c r="H41" s="2"/>
      <c r="I41" s="5"/>
      <c r="J41" s="5"/>
      <c r="K41" s="34"/>
      <c r="L41" s="34"/>
      <c r="M41" s="6"/>
      <c r="N41" s="1" t="s">
        <v>20</v>
      </c>
      <c r="O41" s="6" t="str">
        <f t="shared" si="3"/>
        <v/>
      </c>
      <c r="P41" s="26" t="s">
        <v>118</v>
      </c>
      <c r="Q41" s="12">
        <v>3772187</v>
      </c>
      <c r="R41" s="29">
        <v>11288</v>
      </c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>
        <f>IF(F41="ENAP carga", COUNTIF(F$5:F41, "ENAP carga"), "")</f>
        <v>7</v>
      </c>
    </row>
    <row r="42" spans="3:23">
      <c r="C42" s="7"/>
      <c r="D42" s="1"/>
      <c r="E42" s="5"/>
      <c r="F42" s="5"/>
      <c r="G42" s="1"/>
      <c r="H42" s="2"/>
      <c r="I42" s="5"/>
      <c r="J42" s="5"/>
      <c r="K42" s="34"/>
      <c r="L42" s="34"/>
      <c r="M42" s="6"/>
      <c r="N42" s="1"/>
      <c r="O42" s="6" t="str">
        <f t="shared" si="3"/>
        <v/>
      </c>
      <c r="P42" s="26"/>
      <c r="Q42" s="12"/>
      <c r="R42" s="29"/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 t="str">
        <f>IF(F42="ENAP carga", COUNTIF(F$5:F42, "ENAP carga"), "")</f>
        <v/>
      </c>
    </row>
    <row r="43" spans="3:23">
      <c r="C43" s="7"/>
      <c r="D43" s="1"/>
      <c r="E43" s="5"/>
      <c r="F43" s="5"/>
      <c r="G43" s="1"/>
      <c r="H43" s="2"/>
      <c r="I43" s="5"/>
      <c r="J43" s="5"/>
      <c r="K43" s="34"/>
      <c r="L43" s="34"/>
      <c r="M43" s="6"/>
      <c r="N43" s="1"/>
      <c r="O43" s="6" t="str">
        <f t="shared" si="3"/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 t="str">
        <f>IF(F43="Tripulacion", COUNTIF(F$5:F43, "Tripulacion"), "")</f>
        <v/>
      </c>
      <c r="W43" t="str">
        <f>IF(F43="ENAP carga", COUNTIF(F$5:F43, "ENAP carga"), "")</f>
        <v/>
      </c>
    </row>
    <row r="44" spans="3:23">
      <c r="C44" s="7"/>
      <c r="D44" s="1"/>
      <c r="E44" s="5"/>
      <c r="F44" s="5"/>
      <c r="G44" s="1"/>
      <c r="H44" s="2"/>
      <c r="I44" s="5"/>
      <c r="J44" s="5"/>
      <c r="K44" s="34"/>
      <c r="L44" s="34"/>
      <c r="M44" s="6"/>
      <c r="N44" s="1"/>
      <c r="O44" s="6" t="str">
        <f t="shared" si="3"/>
        <v/>
      </c>
      <c r="P44" s="26"/>
      <c r="Q44" s="12"/>
      <c r="R44" s="29"/>
      <c r="T44" t="str">
        <f>IF(F44="CJ", COUNTIF(F$5:F44, "CJ"), "")</f>
        <v/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/>
      <c r="D45" s="1"/>
      <c r="E45" s="5"/>
      <c r="F45" s="5"/>
      <c r="G45" s="1"/>
      <c r="H45" s="2"/>
      <c r="I45" s="5"/>
      <c r="J45" s="5"/>
      <c r="K45" s="34"/>
      <c r="L45" s="34"/>
      <c r="M45" s="6"/>
      <c r="N45" s="1"/>
      <c r="O45" s="6" t="str">
        <f t="shared" si="3"/>
        <v/>
      </c>
      <c r="P45" s="26"/>
      <c r="Q45" s="12"/>
      <c r="R45" s="29"/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 t="str">
        <f>IF(F45="ENAP carga", COUNTIF(F$5:F45, "ENAP carga"), "")</f>
        <v/>
      </c>
    </row>
    <row r="46" spans="3:23">
      <c r="C46" s="7"/>
      <c r="D46" s="1"/>
      <c r="E46" s="5"/>
      <c r="F46" s="5"/>
      <c r="G46" s="1"/>
      <c r="H46" s="2"/>
      <c r="I46" s="5"/>
      <c r="J46" s="5"/>
      <c r="K46" s="34"/>
      <c r="L46" s="34"/>
      <c r="M46" s="6"/>
      <c r="N46" s="1"/>
      <c r="O46" s="6" t="str">
        <f t="shared" si="3"/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 t="str">
        <f>IF(F46="Tripulacion", COUNTIF(F$5:F46, "Tripulacion"), "")</f>
        <v/>
      </c>
      <c r="W46" t="str">
        <f>IF(F46="ENAP carga", COUNTIF(F$5:F46, "ENAP carga"), "")</f>
        <v/>
      </c>
    </row>
    <row r="47" spans="3:23">
      <c r="C47" s="7"/>
      <c r="D47" s="1"/>
      <c r="E47" s="5"/>
      <c r="F47" s="5"/>
      <c r="G47" s="1"/>
      <c r="H47" s="2"/>
      <c r="I47" s="5"/>
      <c r="J47" s="5"/>
      <c r="K47" s="34"/>
      <c r="L47" s="34"/>
      <c r="M47" s="6"/>
      <c r="N47" s="1"/>
      <c r="O47" s="6" t="str">
        <f t="shared" si="3"/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 t="str">
        <f>IF(F47="Tripulacion", COUNTIF(F$5:F47, "Tripulacion"), "")</f>
        <v/>
      </c>
      <c r="W47" t="str">
        <f>IF(F47="ENAP carga", COUNTIF(F$5:F47, "ENAP carga"), "")</f>
        <v/>
      </c>
    </row>
    <row r="48" spans="3:23">
      <c r="C48" s="7"/>
      <c r="D48" s="1"/>
      <c r="E48" s="5"/>
      <c r="F48" s="5"/>
      <c r="G48" s="1"/>
      <c r="H48" s="2"/>
      <c r="I48" s="5"/>
      <c r="J48" s="5"/>
      <c r="K48" s="34"/>
      <c r="L48" s="34"/>
      <c r="M48" s="6"/>
      <c r="N48" s="1"/>
      <c r="O48" s="6" t="str">
        <f t="shared" si="3"/>
        <v/>
      </c>
      <c r="P48" s="26"/>
      <c r="Q48" s="12"/>
      <c r="R48" s="29"/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 t="str">
        <f>IF(F48="ENAP carga", COUNTIF(F$5:F48, "ENAP carga"), "")</f>
        <v/>
      </c>
    </row>
    <row r="49" spans="3:23">
      <c r="C49" s="7"/>
      <c r="D49" s="1"/>
      <c r="E49" s="5"/>
      <c r="F49" s="5"/>
      <c r="G49" s="1"/>
      <c r="H49" s="2"/>
      <c r="I49" s="5"/>
      <c r="J49" s="5"/>
      <c r="K49" s="34"/>
      <c r="L49" s="34"/>
      <c r="M49" s="6"/>
      <c r="N49" s="1"/>
      <c r="O49" s="6" t="str">
        <f t="shared" si="3"/>
        <v/>
      </c>
      <c r="P49" s="26"/>
      <c r="Q49" s="12"/>
      <c r="R49" s="29"/>
      <c r="T49" t="str">
        <f>IF(F49="CJ", COUNTIF(F$5:F49, "CJ"), "")</f>
        <v/>
      </c>
      <c r="U49" t="str">
        <f>IF(F49="Ignacio", COUNTIF(F$5:F49, "Ignacio"), "")</f>
        <v/>
      </c>
      <c r="V49" t="str">
        <f>IF(F49="Tripulacion", COUNTIF(F$5:F49, "Tripulacion"), "")</f>
        <v/>
      </c>
      <c r="W49" t="str">
        <f>IF(F49="ENAP carga", COUNTIF(F$5:F49, "ENAP carga"), "")</f>
        <v/>
      </c>
    </row>
    <row r="50" spans="3:23">
      <c r="C50" s="7"/>
      <c r="D50" s="1"/>
      <c r="E50" s="5"/>
      <c r="F50" s="5"/>
      <c r="G50" s="1"/>
      <c r="H50" s="2"/>
      <c r="I50" s="5"/>
      <c r="J50" s="5"/>
      <c r="K50" s="34"/>
      <c r="L50" s="34"/>
      <c r="M50" s="6"/>
      <c r="N50" s="1"/>
      <c r="O50" s="6" t="str">
        <f t="shared" si="3"/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 t="str">
        <f>IF(F50="Tripulacion", COUNTIF(F$5:F50, "Tripulacion"), "")</f>
        <v/>
      </c>
      <c r="W50" t="str">
        <f>IF(F50="ENAP carga", COUNTIF(F$5:F50, "ENAP carga"), "")</f>
        <v/>
      </c>
    </row>
    <row r="51" spans="3:23">
      <c r="C51" s="7"/>
      <c r="D51" s="1"/>
      <c r="E51" s="5"/>
      <c r="F51" s="5"/>
      <c r="G51" s="1"/>
      <c r="H51" s="2"/>
      <c r="I51" s="5"/>
      <c r="J51" s="5"/>
      <c r="K51" s="34"/>
      <c r="L51" s="34"/>
      <c r="M51" s="6"/>
      <c r="N51" s="1"/>
      <c r="O51" s="6" t="str">
        <f t="shared" si="3"/>
        <v/>
      </c>
      <c r="P51" s="26"/>
      <c r="Q51" s="12"/>
      <c r="R51" s="29"/>
      <c r="T51" t="str">
        <f>IF(F51="CJ", COUNTIF(F$5:F51, "CJ"), "")</f>
        <v/>
      </c>
      <c r="U51" t="str">
        <f>IF(F51="Ignacio", COUNTIF(F$5:F51, "Ignacio"), "")</f>
        <v/>
      </c>
      <c r="V51" t="str">
        <f>IF(F51="Tripulacion", COUNTIF(F$5:F51, "Tripulacion"), "")</f>
        <v/>
      </c>
      <c r="W51" t="str">
        <f>IF(F51="ENAP carga", COUNTIF(F$5:F51, "ENAP carga"), "")</f>
        <v/>
      </c>
    </row>
    <row r="52" spans="3:23">
      <c r="C52" s="7"/>
      <c r="D52" s="1"/>
      <c r="E52" s="5"/>
      <c r="F52" s="5"/>
      <c r="G52" s="1"/>
      <c r="H52" s="2"/>
      <c r="I52" s="5"/>
      <c r="J52" s="5"/>
      <c r="K52" s="34"/>
      <c r="L52" s="34"/>
      <c r="M52" s="6"/>
      <c r="N52" s="1"/>
      <c r="O52" s="6" t="str">
        <f t="shared" si="3"/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 t="str">
        <f>IF(F52="Tripulacion", COUNTIF(F$5:F52, "Tripulacion"), "")</f>
        <v/>
      </c>
      <c r="W52" t="str">
        <f>IF(F52="ENAP carga", COUNTIF(F$5:F52, "ENAP carga"), "")</f>
        <v/>
      </c>
    </row>
    <row r="53" spans="3:23">
      <c r="C53" s="7"/>
      <c r="D53" s="1"/>
      <c r="E53" s="5"/>
      <c r="F53" s="5"/>
      <c r="G53" s="1"/>
      <c r="H53" s="2"/>
      <c r="I53" s="5"/>
      <c r="J53" s="5"/>
      <c r="K53" s="34"/>
      <c r="L53" s="34"/>
      <c r="M53" s="6"/>
      <c r="N53" s="1"/>
      <c r="O53" s="6" t="str">
        <f t="shared" si="3"/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 t="str">
        <f>IF(F53="Tripulacion", COUNTIF(F$5:F53, "Tripulacion"), "")</f>
        <v/>
      </c>
      <c r="W53" t="str">
        <f>IF(F53="ENAP carga", COUNTIF(F$5:F53, "ENAP carga"), "")</f>
        <v/>
      </c>
    </row>
    <row r="54" spans="3:23">
      <c r="C54" s="7"/>
      <c r="D54" s="1"/>
      <c r="E54" s="5"/>
      <c r="F54" s="5"/>
      <c r="G54" s="1"/>
      <c r="H54" s="2"/>
      <c r="I54" s="5"/>
      <c r="J54" s="5"/>
      <c r="K54" s="34"/>
      <c r="L54" s="34"/>
      <c r="M54" s="6"/>
      <c r="N54" s="1"/>
      <c r="O54" s="6" t="str">
        <f t="shared" si="3"/>
        <v/>
      </c>
      <c r="P54" s="26"/>
      <c r="Q54" s="12"/>
      <c r="R54" s="29"/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 t="str">
        <f>IF(F54="ENAP carga", COUNTIF(F$5:F54, "ENAP carga"), "")</f>
        <v/>
      </c>
    </row>
    <row r="55" spans="3:23">
      <c r="C55" s="7"/>
      <c r="D55" s="1"/>
      <c r="E55" s="5"/>
      <c r="F55" s="5"/>
      <c r="G55" s="1"/>
      <c r="H55" s="2"/>
      <c r="I55" s="5"/>
      <c r="J55" s="5"/>
      <c r="K55" s="34"/>
      <c r="L55" s="34"/>
      <c r="M55" s="6"/>
      <c r="N55" s="1"/>
      <c r="O55" s="6" t="str">
        <f t="shared" si="3"/>
        <v/>
      </c>
      <c r="P55" s="26"/>
      <c r="Q55" s="12"/>
      <c r="R55" s="29"/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 t="str">
        <f>IF(F55="ENAP carga", COUNTIF(F$5:F55, "ENAP carga"), "")</f>
        <v/>
      </c>
    </row>
    <row r="56" spans="3:23">
      <c r="C56" s="7"/>
      <c r="D56" s="1"/>
      <c r="E56" s="5"/>
      <c r="F56" s="5"/>
      <c r="G56" s="1"/>
      <c r="H56" s="2"/>
      <c r="I56" s="5"/>
      <c r="J56" s="5"/>
      <c r="K56" s="34"/>
      <c r="L56" s="34"/>
      <c r="M56" s="6"/>
      <c r="N56" s="1"/>
      <c r="O56" s="6" t="str">
        <f t="shared" si="3"/>
        <v/>
      </c>
      <c r="P56" s="26"/>
      <c r="Q56" s="12"/>
      <c r="R56" s="29"/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 t="str">
        <f>IF(F56="ENAP carga", COUNTIF(F$5:F56, "ENAP carga"), "")</f>
        <v/>
      </c>
    </row>
    <row r="57" spans="3:23">
      <c r="C57" s="7"/>
      <c r="D57" s="1"/>
      <c r="E57" s="5"/>
      <c r="F57" s="5"/>
      <c r="G57" s="1"/>
      <c r="H57" s="2"/>
      <c r="I57" s="5"/>
      <c r="J57" s="5"/>
      <c r="K57" s="34"/>
      <c r="L57" s="34"/>
      <c r="M57" s="6"/>
      <c r="N57" s="1"/>
      <c r="O57" s="6" t="str">
        <f t="shared" si="3"/>
        <v/>
      </c>
      <c r="P57" s="26"/>
      <c r="Q57" s="12"/>
      <c r="R57" s="29"/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 t="str">
        <f>IF(F57="ENAP carga", COUNTIF(F$5:F57, "ENAP carga"), "")</f>
        <v/>
      </c>
    </row>
    <row r="58" spans="3:23">
      <c r="C58" s="7"/>
      <c r="D58" s="1"/>
      <c r="E58" s="5"/>
      <c r="F58" s="5"/>
      <c r="G58" s="1"/>
      <c r="H58" s="2"/>
      <c r="I58" s="5"/>
      <c r="J58" s="5"/>
      <c r="K58" s="34"/>
      <c r="L58" s="34"/>
      <c r="M58" s="6"/>
      <c r="N58" s="1"/>
      <c r="O58" s="6" t="str">
        <f t="shared" si="3"/>
        <v/>
      </c>
      <c r="P58" s="26"/>
      <c r="Q58" s="12"/>
      <c r="R58" s="29"/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 t="str">
        <f>IF(F58="ENAP carga", COUNTIF(F$5:F58, "ENAP carga"), "")</f>
        <v/>
      </c>
    </row>
    <row r="59" spans="3:23">
      <c r="C59" s="7"/>
      <c r="D59" s="1"/>
      <c r="E59" s="5"/>
      <c r="F59" s="5"/>
      <c r="G59" s="1"/>
      <c r="H59" s="2"/>
      <c r="I59" s="5"/>
      <c r="J59" s="5"/>
      <c r="K59" s="34"/>
      <c r="L59" s="34"/>
      <c r="M59" s="6"/>
      <c r="N59" s="1"/>
      <c r="O59" s="6" t="str">
        <f t="shared" si="3"/>
        <v/>
      </c>
      <c r="P59" s="26"/>
      <c r="Q59" s="12"/>
      <c r="R59" s="29"/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 t="str">
        <f>IF(F59="ENAP carga", COUNTIF(F$5:F59, "ENAP carga"), "")</f>
        <v/>
      </c>
    </row>
    <row r="60" spans="3:23">
      <c r="C60" s="7"/>
      <c r="D60" s="1"/>
      <c r="E60" s="5"/>
      <c r="F60" s="5"/>
      <c r="G60" s="1"/>
      <c r="H60" s="2"/>
      <c r="I60" s="5"/>
      <c r="J60" s="5"/>
      <c r="K60" s="34"/>
      <c r="L60" s="34"/>
      <c r="M60" s="6"/>
      <c r="N60" s="1"/>
      <c r="O60" s="6" t="str">
        <f t="shared" si="3"/>
        <v/>
      </c>
      <c r="P60" s="26"/>
      <c r="Q60" s="12"/>
      <c r="R60" s="29"/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 t="str">
        <f>IF(F60="ENAP carga", COUNTIF(F$5:F60, "ENAP carga"), "")</f>
        <v/>
      </c>
    </row>
    <row r="61" spans="3:23">
      <c r="C61" s="7"/>
      <c r="D61" s="1"/>
      <c r="E61" s="5"/>
      <c r="F61" s="5"/>
      <c r="G61" s="1"/>
      <c r="H61" s="2"/>
      <c r="I61" s="5"/>
      <c r="J61" s="5"/>
      <c r="K61" s="34"/>
      <c r="L61" s="34"/>
      <c r="M61" s="6"/>
      <c r="N61" s="1"/>
      <c r="O61" s="6" t="str">
        <f t="shared" si="3"/>
        <v/>
      </c>
      <c r="P61" s="26"/>
      <c r="Q61" s="12"/>
      <c r="R61" s="29"/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 t="str">
        <f>IF(F61="ENAP carga", COUNTIF(F$5:F61, "ENAP carga"), "")</f>
        <v/>
      </c>
    </row>
    <row r="62" spans="3:23">
      <c r="C62" s="7"/>
      <c r="D62" s="1"/>
      <c r="E62" s="5"/>
      <c r="F62" s="5"/>
      <c r="G62" s="1"/>
      <c r="H62" s="2"/>
      <c r="I62" s="5"/>
      <c r="J62" s="5"/>
      <c r="K62" s="34"/>
      <c r="L62" s="34"/>
      <c r="M62" s="6"/>
      <c r="N62" s="1"/>
      <c r="O62" s="6" t="str">
        <f t="shared" si="3"/>
        <v/>
      </c>
      <c r="P62" s="26"/>
      <c r="Q62" s="12"/>
      <c r="R62" s="29"/>
      <c r="T62" t="str">
        <f>IF(F62="CJ", COUNTIF(F$5:F62, "CJ"), "")</f>
        <v/>
      </c>
      <c r="U62" t="str">
        <f>IF(F62="Ignacio", COUNTIF(F$5:F62, "Ignacio"), "")</f>
        <v/>
      </c>
      <c r="V62" t="str">
        <f>IF(F62="Tripulacion", COUNTIF(F$5:F62, "Tripulacion"), "")</f>
        <v/>
      </c>
      <c r="W62" t="str">
        <f>IF(F62="ENAP carga", COUNTIF(F$5:F62, "ENAP carga"), "")</f>
        <v/>
      </c>
    </row>
    <row r="63" spans="3:23">
      <c r="C63" s="7"/>
      <c r="D63" s="1"/>
      <c r="E63" s="5"/>
      <c r="F63" s="5"/>
      <c r="G63" s="1"/>
      <c r="H63" s="2"/>
      <c r="I63" s="5"/>
      <c r="J63" s="5"/>
      <c r="K63" s="34"/>
      <c r="L63" s="34"/>
      <c r="M63" s="6"/>
      <c r="N63" s="1"/>
      <c r="O63" s="6" t="str">
        <f t="shared" si="3"/>
        <v/>
      </c>
      <c r="P63" s="26"/>
      <c r="Q63" s="12"/>
      <c r="R63" s="29"/>
      <c r="T63" t="str">
        <f>IF(F63="CJ", COUNTIF(F$5:F63, "CJ"), "")</f>
        <v/>
      </c>
      <c r="U63" t="str">
        <f>IF(F63="Ignacio", COUNTIF(F$5:F63, "Ignacio"), "")</f>
        <v/>
      </c>
      <c r="V63" t="str">
        <f>IF(F63="Tripulacion", COUNTIF(F$5:F63, "Tripulacion"), "")</f>
        <v/>
      </c>
      <c r="W63" t="str">
        <f>IF(F63="ENAP carga", COUNTIF(F$5:F63, "ENAP carga"), "")</f>
        <v/>
      </c>
    </row>
    <row r="64" spans="3:23">
      <c r="C64" s="7"/>
      <c r="D64" s="1"/>
      <c r="E64" s="5"/>
      <c r="F64" s="5"/>
      <c r="G64" s="1"/>
      <c r="H64" s="2"/>
      <c r="I64" s="5"/>
      <c r="J64" s="5"/>
      <c r="K64" s="34"/>
      <c r="L64" s="34"/>
      <c r="M64" s="6"/>
      <c r="N64" s="1"/>
      <c r="O64" s="6" t="str">
        <f t="shared" si="3"/>
        <v/>
      </c>
      <c r="P64" s="26"/>
      <c r="Q64" s="12"/>
      <c r="R64" s="29"/>
      <c r="T64" t="str">
        <f>IF(F64="CJ", COUNTIF(F$5:F64, "CJ"), "")</f>
        <v/>
      </c>
      <c r="U64" t="str">
        <f>IF(F64="Ignacio", COUNTIF(F$5:F64, "Ignacio"), "")</f>
        <v/>
      </c>
      <c r="V64" t="str">
        <f>IF(F64="Tripulacion", COUNTIF(F$5:F64, "Tripulacion"), "")</f>
        <v/>
      </c>
      <c r="W64" t="str">
        <f>IF(F64="ENAP carga", COUNTIF(F$5:F64, "ENAP carga"), "")</f>
        <v/>
      </c>
    </row>
    <row r="65" spans="15:23">
      <c r="O65" s="22" t="str">
        <f t="shared" si="3"/>
        <v/>
      </c>
      <c r="T65" t="str">
        <f>IF(F65="CJ", COUNTIF(F$5:F65, "CJ"), "")</f>
        <v/>
      </c>
      <c r="U65" t="str">
        <f>IF(F65="Ignacio", COUNTIF(F$5:F65, "Ignacio"), "")</f>
        <v/>
      </c>
      <c r="V65" t="str">
        <f>IF(F65="Tripulacion", COUNTIF(F$5:F65, "Tripulacion"), "")</f>
        <v/>
      </c>
      <c r="W65" t="str">
        <f>IF(F65="ENAP carga", COUNTIF(F$5:F65, "ENAP carga"), "")</f>
        <v/>
      </c>
    </row>
    <row r="66" spans="15:23">
      <c r="O66" s="22" t="str">
        <f t="shared" si="3"/>
        <v/>
      </c>
      <c r="T66" t="str">
        <f>IF(F66="CJ", COUNTIF(F$5:F66, "CJ"), "")</f>
        <v/>
      </c>
      <c r="U66" t="str">
        <f>IF(F66="Ignacio", COUNTIF(F$5:F66, "Ignacio"), "")</f>
        <v/>
      </c>
      <c r="V66" t="str">
        <f>IF(F66="Tripulacion", COUNTIF(F$5:F66, "Tripulacion"), "")</f>
        <v/>
      </c>
      <c r="W66" t="str">
        <f>IF(F66="ENAP carga", COUNTIF(F$5:F66, "ENAP carga"), "")</f>
        <v/>
      </c>
    </row>
    <row r="67" spans="15:23">
      <c r="O67" s="22" t="str">
        <f t="shared" si="3"/>
        <v/>
      </c>
      <c r="T67" t="str">
        <f>IF(F67="CJ", COUNTIF(F$5:F67, "CJ"), "")</f>
        <v/>
      </c>
      <c r="U67" t="str">
        <f>IF(F67="Ignacio", COUNTIF(F$5:F67, "Ignacio"), "")</f>
        <v/>
      </c>
      <c r="V67" t="str">
        <f>IF(F67="Tripulacion", COUNTIF(F$5:F67, "Tripulacion"), "")</f>
        <v/>
      </c>
      <c r="W67" t="str">
        <f>IF(F67="ENAP carga", COUNTIF(F$5:F67, "ENAP carga"), "")</f>
        <v/>
      </c>
    </row>
    <row r="68" spans="15:23">
      <c r="O68" s="22" t="str">
        <f t="shared" si="3"/>
        <v/>
      </c>
      <c r="T68" t="str">
        <f>IF(F68="CJ", COUNTIF(F$5:F68, "CJ"), "")</f>
        <v/>
      </c>
      <c r="U68" t="str">
        <f>IF(F68="Ignacio", COUNTIF(F$5:F68, "Ignacio"), "")</f>
        <v/>
      </c>
      <c r="V68" t="str">
        <f>IF(F68="Tripulacion", COUNTIF(F$5:F68, "Tripulacion"), "")</f>
        <v/>
      </c>
      <c r="W68" t="str">
        <f>IF(F68="ENAP carga", COUNTIF(F$5:F68, "ENAP carga"), "")</f>
        <v/>
      </c>
    </row>
    <row r="69" spans="15:23">
      <c r="O69" s="22" t="str">
        <f t="shared" si="3"/>
        <v/>
      </c>
      <c r="T69" t="str">
        <f>IF(F69="CJ", COUNTIF(F$5:F69, "CJ"), "")</f>
        <v/>
      </c>
      <c r="U69" t="str">
        <f>IF(F69="Ignacio", COUNTIF(F$5:F69, "Ignacio"), "")</f>
        <v/>
      </c>
      <c r="V69" t="str">
        <f>IF(F69="Tripulacion", COUNTIF(F$5:F69, "Tripulacion"), "")</f>
        <v/>
      </c>
      <c r="W69" t="str">
        <f>IF(F69="ENAP carga", COUNTIF(F$5:F69, "ENAP carga"), "")</f>
        <v/>
      </c>
    </row>
    <row r="70" spans="15:23">
      <c r="O70" s="22" t="str">
        <f t="shared" si="3"/>
        <v/>
      </c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 t="str">
        <f>IF(F70="ENAP carga", COUNTIF(F$5:F70, "ENAP carga"), "")</f>
        <v/>
      </c>
    </row>
    <row r="71" spans="15:23">
      <c r="O71" s="22" t="str">
        <f t="shared" si="3"/>
        <v/>
      </c>
      <c r="T71" t="str">
        <f>IF(F71="CJ", COUNTIF(F$5:F71, "CJ"), "")</f>
        <v/>
      </c>
      <c r="U71" t="str">
        <f>IF(F71="Ignacio", COUNTIF(F$5:F71, "Ignacio"), "")</f>
        <v/>
      </c>
      <c r="V71" t="str">
        <f>IF(F71="Tripulacion", COUNTIF(F$5:F71, "Tripulacion"), "")</f>
        <v/>
      </c>
      <c r="W71" t="str">
        <f>IF(F71="ENAP carga", COUNTIF(F$5:F71, "ENAP carga"), "")</f>
        <v/>
      </c>
    </row>
    <row r="72" spans="15:23">
      <c r="O72" s="22" t="str">
        <f t="shared" si="3"/>
        <v/>
      </c>
      <c r="T72" t="str">
        <f>IF(F72="CJ", COUNTIF(F$5:F72, "CJ"), "")</f>
        <v/>
      </c>
      <c r="U72" t="str">
        <f>IF(F72="Ignacio", COUNTIF(F$5:F72, "Ignacio"), "")</f>
        <v/>
      </c>
      <c r="V72" t="str">
        <f>IF(F72="Tripulacion", COUNTIF(F$5:F72, "Tripulacion"), "")</f>
        <v/>
      </c>
      <c r="W72" t="str">
        <f>IF(F72="ENAP carga", COUNTIF(F$5:F72, "ENAP carga"), "")</f>
        <v/>
      </c>
    </row>
    <row r="73" spans="15:23">
      <c r="O73" s="22" t="str">
        <f t="shared" si="3"/>
        <v/>
      </c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15:23">
      <c r="O74" s="22" t="str">
        <f t="shared" si="3"/>
        <v/>
      </c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15:23">
      <c r="O75" s="22" t="str">
        <f t="shared" si="3"/>
        <v/>
      </c>
      <c r="T75" t="str">
        <f>IF(F75="CJ", COUNTIF(F$5:F75, "CJ"), "")</f>
        <v/>
      </c>
      <c r="U75" t="str">
        <f>IF(F75="Ignacio", COUNTIF(F$5:F75, "Ignacio"), "")</f>
        <v/>
      </c>
      <c r="V75" t="str">
        <f>IF(F75="Tripulacion", COUNTIF(F$5:F75, "Tripulacion"), "")</f>
        <v/>
      </c>
      <c r="W75" t="str">
        <f>IF(F75="ENAP carga", COUNTIF(F$5:F75, "ENAP carga"), "")</f>
        <v/>
      </c>
    </row>
    <row r="76" spans="15:23">
      <c r="O76" s="22" t="str">
        <f t="shared" si="3"/>
        <v/>
      </c>
      <c r="T76" t="str">
        <f>IF(F76="CJ", COUNTIF(F$5:F76, "CJ"), "")</f>
        <v/>
      </c>
      <c r="U76" t="str">
        <f>IF(F76="Ignacio", COUNTIF(F$5:F76, "Ignacio"), "")</f>
        <v/>
      </c>
      <c r="V76" t="str">
        <f>IF(F76="Tripulacion", COUNTIF(F$5:F76, "Tripulacion"), "")</f>
        <v/>
      </c>
      <c r="W76" t="str">
        <f>IF(F76="ENAP carga", COUNTIF(F$5:F76, "ENAP carga"), "")</f>
        <v/>
      </c>
    </row>
    <row r="77" spans="15:23">
      <c r="O77" s="22" t="str">
        <f t="shared" si="3"/>
        <v/>
      </c>
      <c r="T77" t="str">
        <f>IF(F77="CJ", COUNTIF(F$5:F77, "CJ"), "")</f>
        <v/>
      </c>
      <c r="U77" t="str">
        <f>IF(F77="Ignacio", COUNTIF(F$5:F77, "Ignacio"), "")</f>
        <v/>
      </c>
      <c r="V77" t="str">
        <f>IF(F77="Tripulacion", COUNTIF(F$5:F77, "Tripulacion"), "")</f>
        <v/>
      </c>
      <c r="W77" t="str">
        <f>IF(F77="ENAP carga", COUNTIF(F$5:F77, "ENAP carga"), "")</f>
        <v/>
      </c>
    </row>
    <row r="78" spans="15:23">
      <c r="O78" s="22" t="str">
        <f t="shared" si="3"/>
        <v/>
      </c>
      <c r="T78" t="str">
        <f>IF(F78="CJ", COUNTIF(F$5:F78, "CJ"), "")</f>
        <v/>
      </c>
      <c r="U78" t="str">
        <f>IF(F78="Ignacio", COUNTIF(F$5:F78, "Ignacio"), "")</f>
        <v/>
      </c>
      <c r="V78" t="str">
        <f>IF(F78="Tripulacion", COUNTIF(F$5:F78, "Tripulacion"), "")</f>
        <v/>
      </c>
      <c r="W78" t="str">
        <f>IF(F78="ENAP carga", COUNTIF(F$5:F78, "ENAP carga"), "")</f>
        <v/>
      </c>
    </row>
    <row r="79" spans="15:23">
      <c r="O79" s="22" t="str">
        <f t="shared" si="3"/>
        <v/>
      </c>
      <c r="T79" t="str">
        <f>IF(F79="CJ", COUNTIF(F$5:F79, "CJ"), "")</f>
        <v/>
      </c>
      <c r="U79" t="str">
        <f>IF(F79="Ignacio", COUNTIF(F$5:F79, "Ignacio"), "")</f>
        <v/>
      </c>
      <c r="V79" t="str">
        <f>IF(F79="Tripulacion", COUNTIF(F$5:F79, "Tripulacion"), "")</f>
        <v/>
      </c>
      <c r="W79" t="str">
        <f>IF(F79="ENAP carga", COUNTIF(F$5:F79, "ENAP carga"), "")</f>
        <v/>
      </c>
    </row>
    <row r="80" spans="15:23">
      <c r="O80" s="22" t="str">
        <f t="shared" si="3"/>
        <v/>
      </c>
      <c r="T80" t="str">
        <f>IF(F80="CJ", COUNTIF(F$5:F80, "CJ"), "")</f>
        <v/>
      </c>
      <c r="U80" t="str">
        <f>IF(F80="Ignacio", COUNTIF(F$5:F80, "Ignacio"), "")</f>
        <v/>
      </c>
      <c r="V80" t="str">
        <f>IF(F80="Tripulacion", COUNTIF(F$5:F80, "Tripulacion"), "")</f>
        <v/>
      </c>
      <c r="W80" t="str">
        <f>IF(F80="ENAP carga", COUNTIF(F$5:F80, "ENAP carga"), "")</f>
        <v/>
      </c>
    </row>
    <row r="81" spans="15:23">
      <c r="O81" s="22" t="str">
        <f t="shared" si="3"/>
        <v/>
      </c>
      <c r="T81" t="str">
        <f>IF(F81="CJ", COUNTIF(F$5:F81, "CJ"), "")</f>
        <v/>
      </c>
      <c r="U81" t="str">
        <f>IF(F81="Ignacio", COUNTIF(F$5:F81, "Ignacio"), "")</f>
        <v/>
      </c>
      <c r="V81" t="str">
        <f>IF(F81="Tripulacion", COUNTIF(F$5:F81, "Tripulacion"), "")</f>
        <v/>
      </c>
      <c r="W81" t="str">
        <f>IF(F81="ENAP carga", COUNTIF(F$5:F81, "ENAP carga"), "")</f>
        <v/>
      </c>
    </row>
    <row r="82" spans="15:23">
      <c r="O82" s="22" t="str">
        <f t="shared" si="3"/>
        <v/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 t="str">
        <f>IF(F82="ENAP carga", COUNTIF(F$5:F82, "ENAP carga"), "")</f>
        <v/>
      </c>
    </row>
    <row r="83" spans="15:23">
      <c r="O83" s="22" t="str">
        <f t="shared" si="3"/>
        <v/>
      </c>
      <c r="T83" t="str">
        <f>IF(F83="CJ", COUNTIF(F$5:F83, "CJ"), "")</f>
        <v/>
      </c>
      <c r="U83" t="str">
        <f>IF(F83="Ignacio", COUNTIF(F$5:F83, "Ignacio"), "")</f>
        <v/>
      </c>
      <c r="V83" t="str">
        <f>IF(F83="Tripulacion", COUNTIF(F$5:F83, "Tripulacion"), "")</f>
        <v/>
      </c>
      <c r="W83" t="str">
        <f>IF(F83="ENAP carga", COUNTIF(F$5:F83, "ENAP carga"), "")</f>
        <v/>
      </c>
    </row>
    <row r="84" spans="15:23">
      <c r="O84" s="22" t="str">
        <f t="shared" si="3"/>
        <v/>
      </c>
      <c r="T84" t="str">
        <f>IF(F84="CJ", COUNTIF(F$5:F84, "CJ"), "")</f>
        <v/>
      </c>
      <c r="U84" t="str">
        <f>IF(F84="Ignacio", COUNTIF(F$5:F84, "Ignacio"), "")</f>
        <v/>
      </c>
      <c r="V84" t="str">
        <f>IF(F84="Tripulacion", COUNTIF(F$5:F84, "Tripulacion"), "")</f>
        <v/>
      </c>
      <c r="W84" t="str">
        <f>IF(F84="ENAP carga", COUNTIF(F$5:F84, "ENAP carga"), "")</f>
        <v/>
      </c>
    </row>
    <row r="85" spans="15:23">
      <c r="O85" s="22" t="str">
        <f t="shared" si="3"/>
        <v/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 t="str">
        <f>IF(F85="ENAP carga", COUNTIF(F$5:F85, "ENAP carga"), "")</f>
        <v/>
      </c>
    </row>
    <row r="86" spans="15:23">
      <c r="O86" s="22" t="str">
        <f t="shared" si="3"/>
        <v/>
      </c>
      <c r="T86" t="str">
        <f>IF(F86="CJ", COUNTIF(F$5:F86, "CJ"), "")</f>
        <v/>
      </c>
      <c r="U86" t="str">
        <f>IF(F86="Ignacio", COUNTIF(F$5:F86, "Ignacio"), "")</f>
        <v/>
      </c>
      <c r="V86" t="str">
        <f>IF(F86="Tripulacion", COUNTIF(F$5:F86, "Tripulacion"), "")</f>
        <v/>
      </c>
      <c r="W86" t="str">
        <f>IF(F86="ENAP carga", COUNTIF(F$5:F86, "ENAP carga"), "")</f>
        <v/>
      </c>
    </row>
    <row r="87" spans="15:23">
      <c r="O87" s="22" t="str">
        <f t="shared" si="3"/>
        <v/>
      </c>
      <c r="T87" t="str">
        <f>IF(F87="CJ", COUNTIF(F$5:F87, "CJ"), "")</f>
        <v/>
      </c>
      <c r="U87" t="str">
        <f>IF(F87="Ignacio", COUNTIF(F$5:F87, "Ignacio"), "")</f>
        <v/>
      </c>
      <c r="V87" t="str">
        <f>IF(F87="Tripulacion", COUNTIF(F$5:F87, "Tripulacion"), "")</f>
        <v/>
      </c>
      <c r="W87" t="str">
        <f>IF(F87="ENAP carga", COUNTIF(F$5:F87, "ENAP carga"), "")</f>
        <v/>
      </c>
    </row>
    <row r="88" spans="15:23">
      <c r="O88" s="22" t="str">
        <f t="shared" si="3"/>
        <v/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 t="str">
        <f>IF(F88="ENAP carga", COUNTIF(F$5:F88, "ENAP carga"), "")</f>
        <v/>
      </c>
    </row>
    <row r="89" spans="15:23">
      <c r="O89" s="22" t="str">
        <f t="shared" si="3"/>
        <v/>
      </c>
      <c r="T89" t="str">
        <f>IF(F89="CJ", COUNTIF(F$5:F89, "CJ"), "")</f>
        <v/>
      </c>
      <c r="U89" t="str">
        <f>IF(F89="Ignacio", COUNTIF(F$5:F89, "Ignacio"), "")</f>
        <v/>
      </c>
      <c r="V89" t="str">
        <f>IF(F89="Tripulacion", COUNTIF(F$5:F89, "Tripulacion"), "")</f>
        <v/>
      </c>
      <c r="W89" t="str">
        <f>IF(F89="ENAP carga", COUNTIF(F$5:F89, "ENAP carga"), "")</f>
        <v/>
      </c>
    </row>
    <row r="90" spans="15:23">
      <c r="O90" s="22" t="str">
        <f t="shared" si="3"/>
        <v/>
      </c>
      <c r="T90" t="str">
        <f>IF(F90="CJ", COUNTIF(F$5:F90, "CJ"), "")</f>
        <v/>
      </c>
      <c r="U90" t="str">
        <f>IF(F90="Ignacio", COUNTIF(F$5:F90, "Ignacio"), "")</f>
        <v/>
      </c>
      <c r="V90" t="str">
        <f>IF(F90="Tripulacion", COUNTIF(F$5:F90, "Tripulacion"), "")</f>
        <v/>
      </c>
      <c r="W90" t="str">
        <f>IF(F90="ENAP carga", COUNTIF(F$5:F90, "ENAP carga"), "")</f>
        <v/>
      </c>
    </row>
    <row r="91" spans="15:23">
      <c r="O91" s="22" t="str">
        <f t="shared" ref="O91:O154" si="4">IF(F91="CJ", I91*200, "")</f>
        <v/>
      </c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 t="str">
        <f>IF(F91="ENAP carga", COUNTIF(F$5:F91, "ENAP carga"), "")</f>
        <v/>
      </c>
    </row>
    <row r="92" spans="15:23">
      <c r="O92" s="22" t="str">
        <f t="shared" si="4"/>
        <v/>
      </c>
      <c r="T92" t="str">
        <f>IF(F92="CJ", COUNTIF(F$5:F92, "CJ"), "")</f>
        <v/>
      </c>
      <c r="U92" t="str">
        <f>IF(F92="Ignacio", COUNTIF(F$5:F92, "Ignacio"), "")</f>
        <v/>
      </c>
      <c r="V92" t="str">
        <f>IF(F92="Tripulacion", COUNTIF(F$5:F92, "Tripulacion"), "")</f>
        <v/>
      </c>
      <c r="W92" t="str">
        <f>IF(F92="ENAP carga", COUNTIF(F$5:F92, "ENAP carga"), "")</f>
        <v/>
      </c>
    </row>
    <row r="93" spans="15:23">
      <c r="O93" s="22" t="str">
        <f t="shared" si="4"/>
        <v/>
      </c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 t="str">
        <f>IF(F93="ENAP carga", COUNTIF(F$5:F93, "ENAP carga"), "")</f>
        <v/>
      </c>
    </row>
    <row r="94" spans="15:23">
      <c r="O94" s="22" t="str">
        <f t="shared" si="4"/>
        <v/>
      </c>
      <c r="T94" t="str">
        <f>IF(F94="CJ", COUNTIF(F$5:F94, "CJ"), "")</f>
        <v/>
      </c>
      <c r="U94" t="str">
        <f>IF(F94="Ignacio", COUNTIF(F$5:F94, "Ignacio"), "")</f>
        <v/>
      </c>
      <c r="V94" t="str">
        <f>IF(F94="Tripulacion", COUNTIF(F$5:F94, "Tripulacion"), "")</f>
        <v/>
      </c>
      <c r="W94" t="str">
        <f>IF(F94="ENAP carga", COUNTIF(F$5:F94, "ENAP carga"), "")</f>
        <v/>
      </c>
    </row>
    <row r="95" spans="15:23">
      <c r="O95" s="22" t="str">
        <f t="shared" si="4"/>
        <v/>
      </c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 t="str">
        <f>IF(F95="ENAP carga", COUNTIF(F$5:F95, "ENAP carga"), "")</f>
        <v/>
      </c>
    </row>
    <row r="96" spans="15:23">
      <c r="O96" s="22" t="str">
        <f t="shared" si="4"/>
        <v/>
      </c>
      <c r="T96" t="str">
        <f>IF(F96="CJ", COUNTIF(F$5:F96, "CJ"), "")</f>
        <v/>
      </c>
      <c r="U96" t="str">
        <f>IF(F96="Ignacio", COUNTIF(F$5:F96, "Ignacio"), "")</f>
        <v/>
      </c>
      <c r="V96" t="str">
        <f>IF(F96="Tripulacion", COUNTIF(F$5:F96, "Tripulacion"), "")</f>
        <v/>
      </c>
      <c r="W96" t="str">
        <f>IF(F96="ENAP carga", COUNTIF(F$5:F96, "ENAP carga"), "")</f>
        <v/>
      </c>
    </row>
    <row r="97" spans="15:23">
      <c r="O97" s="22" t="str">
        <f t="shared" si="4"/>
        <v/>
      </c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 t="str">
        <f>IF(F97="ENAP carga", COUNTIF(F$5:F97, "ENAP carga"), "")</f>
        <v/>
      </c>
    </row>
    <row r="98" spans="15:23">
      <c r="O98" s="22" t="str">
        <f t="shared" si="4"/>
        <v/>
      </c>
      <c r="T98" t="str">
        <f>IF(F98="CJ", COUNTIF(F$5:F98, "CJ"), "")</f>
        <v/>
      </c>
      <c r="U98" t="str">
        <f>IF(F98="Ignacio", COUNTIF(F$5:F98, "Ignacio"), "")</f>
        <v/>
      </c>
      <c r="V98" t="str">
        <f>IF(F98="Tripulacion", COUNTIF(F$5:F98, "Tripulacion"), "")</f>
        <v/>
      </c>
      <c r="W98" t="str">
        <f>IF(F98="ENAP carga", COUNTIF(F$5:F98, "ENAP carga"), "")</f>
        <v/>
      </c>
    </row>
    <row r="99" spans="15:23">
      <c r="O99" s="22" t="str">
        <f t="shared" si="4"/>
        <v/>
      </c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15:23">
      <c r="O100" s="22" t="str">
        <f t="shared" si="4"/>
        <v/>
      </c>
      <c r="T100" t="str">
        <f>IF(F100="CJ", COUNTIF(F$5:F100, "CJ"), "")</f>
        <v/>
      </c>
      <c r="U100" t="str">
        <f>IF(F100="Ignacio", COUNTIF(F$5:F100, "Ignacio"), "")</f>
        <v/>
      </c>
      <c r="V100" t="str">
        <f>IF(F100="Tripulacion", COUNTIF(F$5:F100, "Tripulacion"), "")</f>
        <v/>
      </c>
      <c r="W100" t="str">
        <f>IF(F100="ENAP carga", COUNTIF(F$5:F100, "ENAP carga"), "")</f>
        <v/>
      </c>
    </row>
    <row r="101" spans="15:23">
      <c r="O101" s="22" t="str">
        <f t="shared" si="4"/>
        <v/>
      </c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15:23">
      <c r="O102" s="22" t="str">
        <f t="shared" si="4"/>
        <v/>
      </c>
      <c r="T102" t="str">
        <f>IF(F102="CJ", COUNTIF(F$5:F102, "CJ"), "")</f>
        <v/>
      </c>
      <c r="U102" t="str">
        <f>IF(F102="Ignacio", COUNTIF(F$5:F102, "Ignacio"), "")</f>
        <v/>
      </c>
      <c r="V102" t="str">
        <f>IF(F102="Tripulacion", COUNTIF(F$5:F102, "Tripulacion"), "")</f>
        <v/>
      </c>
      <c r="W102" t="str">
        <f>IF(F102="ENAP carga", COUNTIF(F$5:F102, "ENAP carga"), "")</f>
        <v/>
      </c>
    </row>
    <row r="103" spans="15:23">
      <c r="O103" s="22" t="str">
        <f t="shared" si="4"/>
        <v/>
      </c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15:23">
      <c r="O104" s="22" t="str">
        <f t="shared" si="4"/>
        <v/>
      </c>
      <c r="T104" t="str">
        <f>IF(F104="CJ", COUNTIF(F$5:F104, "CJ"), "")</f>
        <v/>
      </c>
      <c r="U104" t="str">
        <f>IF(F104="Ignacio", COUNTIF(F$5:F104, "Ignacio"), "")</f>
        <v/>
      </c>
      <c r="V104" t="str">
        <f>IF(F104="Tripulacion", COUNTIF(F$5:F104, "Tripulacion"), "")</f>
        <v/>
      </c>
      <c r="W104" t="str">
        <f>IF(F104="ENAP carga", COUNTIF(F$5:F104, "ENAP carga"), "")</f>
        <v/>
      </c>
    </row>
    <row r="105" spans="15:23">
      <c r="O105" s="22" t="str">
        <f t="shared" si="4"/>
        <v/>
      </c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15:23">
      <c r="O106" s="22" t="str">
        <f t="shared" si="4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15:23">
      <c r="O107" s="22" t="str">
        <f t="shared" si="4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15:23">
      <c r="O108" s="22" t="str">
        <f t="shared" si="4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15:23">
      <c r="O109" s="22" t="str">
        <f t="shared" si="4"/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15:23">
      <c r="O110" s="22" t="str">
        <f t="shared" si="4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15:23">
      <c r="O111" s="22" t="str">
        <f t="shared" si="4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15:23">
      <c r="O112" s="22" t="str">
        <f t="shared" si="4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4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4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4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4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4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4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4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4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4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4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4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4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4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4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4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4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4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4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4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4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4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4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4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4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4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4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4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4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4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4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4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4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4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4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4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4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4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4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4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si="4"/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4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4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ref="O155:O218" si="5">IF(F155="CJ", I155*200, "")</f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si="5"/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5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5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5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5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5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5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5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si="5"/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5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5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5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5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5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5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5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5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si="5"/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5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5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5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5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5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5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5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5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5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5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5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5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5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5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5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5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5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5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5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5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5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5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5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5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5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5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5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5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5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5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5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5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5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5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5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5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5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5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5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5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5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5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si="5"/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5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5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ref="O219:O282" si="6">IF(F219="CJ", I219*200, "")</f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si="6"/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6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6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6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6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6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6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6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si="6"/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6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6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6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6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6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6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6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6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si="6"/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6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6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6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6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6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6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6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6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6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6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6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6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6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6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6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6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6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6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6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6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6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6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6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6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6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6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6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6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6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6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6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6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6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6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6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6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6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6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6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6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6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6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si="6"/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6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6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ref="O283:O346" si="7">IF(F283="CJ", I283*200, "")</f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si="7"/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7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7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7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7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7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7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7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si="7"/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7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7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7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7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7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7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7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7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si="7"/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7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7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7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7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7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7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7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7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7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7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7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7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7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7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7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7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7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7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7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7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7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7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7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7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7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7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7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7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7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7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7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7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7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7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7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7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7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7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7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7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7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7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si="7"/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7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7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ref="O347:O410" si="8">IF(F347="CJ", I347*200, "")</f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si="8"/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8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8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8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8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8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8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8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si="8"/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8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8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8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8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8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8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8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8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si="8"/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8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8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8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8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8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8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8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8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8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8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8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8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8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8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8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8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8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8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8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8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8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8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8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8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8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8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8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8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8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8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8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8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8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8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8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8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8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8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8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8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8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8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si="8"/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8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8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ref="O411:O474" si="9">IF(F411="CJ", I411*200, "")</f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si="9"/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9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9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9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9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9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9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9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si="9"/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9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9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9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9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9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9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9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9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si="9"/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9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9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9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9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9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9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9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9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9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9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9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9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9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9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9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9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9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9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9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9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9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9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9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9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9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9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9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9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9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9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9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9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9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9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9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9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9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9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9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9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9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9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si="9"/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9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9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ref="O475:O538" si="10">IF(F475="CJ", I475*200, "")</f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si="10"/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0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0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0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0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0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0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0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si="10"/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0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0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0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0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0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0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0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0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si="10"/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0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0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0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0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0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0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0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0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0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0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0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0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0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0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0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0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0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0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0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0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0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0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0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0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0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0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0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0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0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0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0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0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0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0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0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0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0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0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0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0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0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0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si="10"/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0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0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ref="O539:O602" si="11">IF(F539="CJ", I539*200, "")</f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si="11"/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1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1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1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1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1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1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1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si="11"/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1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1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1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1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1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1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1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1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si="11"/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1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1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1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1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1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1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1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1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1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1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1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1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1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1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1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1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1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1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1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1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1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1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1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1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1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1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1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1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1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1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1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1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1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1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1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1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1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1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1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1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1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1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si="11"/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1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1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ref="O603:O666" si="12">IF(F603="CJ", I603*200, "")</f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si="12"/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2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2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2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2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2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2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2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si="12"/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2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2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2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2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2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2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2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2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si="12"/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2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2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2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2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2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2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2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2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2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2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2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2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2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2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2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2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2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2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2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2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2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2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2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2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2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2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2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2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2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2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2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2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2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2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2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2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2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2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2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2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2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2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si="12"/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2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2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ref="O667:O730" si="13">IF(F667="CJ", I667*200, "")</f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si="13"/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3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3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3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3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3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3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3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si="13"/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3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3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3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3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3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3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3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3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si="13"/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3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3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3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3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3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3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3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3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3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3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3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3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3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3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3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3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3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3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3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3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3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3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3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3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3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3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3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3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3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3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3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3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3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3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3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3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3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3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3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3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3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3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si="13"/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3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3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ref="O731:O794" si="14">IF(F731="CJ", I731*200, "")</f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si="14"/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4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4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4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4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4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4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4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si="14"/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4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4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4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4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4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4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4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4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si="14"/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4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4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4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4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4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4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4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4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4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4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4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4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4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4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4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4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4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4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4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4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4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4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4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4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4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4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4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4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4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4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4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4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4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4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4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4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4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4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4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4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4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4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si="14"/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4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4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ref="O795:O858" si="15">IF(F795="CJ", I795*200, "")</f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si="15"/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5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5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5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5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5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5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5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si="15"/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5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5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5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5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5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5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5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5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si="15"/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5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5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5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5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5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5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5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5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5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5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5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5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5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5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5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5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5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5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5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5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5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5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5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5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5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5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5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5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5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5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5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5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5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5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5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5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5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5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5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5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5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5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si="15"/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5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5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ref="O859:O922" si="16">IF(F859="CJ", I859*200, "")</f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si="16"/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6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6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6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6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6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6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6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si="16"/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6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6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6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6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6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6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6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6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si="16"/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6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6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6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6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6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6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6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6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6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6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6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6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6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6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6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6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6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6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6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6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6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6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6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6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6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6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6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6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6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6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6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6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6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6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6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6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6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6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6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6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6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6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si="16"/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6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6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ref="O923:O986" si="17">IF(F923="CJ", I923*200, "")</f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si="17"/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7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7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7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7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7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7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7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si="17"/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7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7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7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7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7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7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7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7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si="17"/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7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7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7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7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7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7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7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7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7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7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7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7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7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7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7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7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7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7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7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7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7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7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7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7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7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7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7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7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7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7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7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7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7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7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7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7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7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7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7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7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7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7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si="17"/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17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17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ref="O987:O1003" si="18">IF(F987="CJ", I987*200, "")</f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si="18"/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18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18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18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18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5:23">
      <c r="O993" s="22" t="str">
        <f t="shared" si="18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5:23">
      <c r="O994" s="22" t="str">
        <f t="shared" si="18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5:23">
      <c r="O995" s="22" t="str">
        <f t="shared" si="18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5:23">
      <c r="O996" s="22" t="str">
        <f t="shared" si="18"/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5:23">
      <c r="O997" s="22" t="str">
        <f t="shared" si="18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5:23">
      <c r="O998" s="22" t="str">
        <f t="shared" si="18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5:23">
      <c r="O999" s="22" t="str">
        <f t="shared" si="18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5:23">
      <c r="O1000" s="22" t="str">
        <f t="shared" si="18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  <row r="1001" spans="15:23">
      <c r="O1001" s="22" t="str">
        <f t="shared" si="18"/>
        <v/>
      </c>
      <c r="T1001" t="str">
        <f>IF(F1001="CJ", COUNTIF(F$5:F1001, "CJ"), "")</f>
        <v/>
      </c>
      <c r="U1001" t="str">
        <f>IF(F1001="Ignacio", COUNTIF(F$5:F1001, "Ignacio"), "")</f>
        <v/>
      </c>
      <c r="V1001" t="str">
        <f>IF(F1001="Tripulacion", COUNTIF(F$5:F1001, "Tripulacion"), "")</f>
        <v/>
      </c>
      <c r="W1001" t="str">
        <f>IF(F1001="ENAP carga", COUNTIF(F$5:F1001, "ENAP carga"), "")</f>
        <v/>
      </c>
    </row>
    <row r="1002" spans="15:23">
      <c r="O1002" s="22" t="str">
        <f t="shared" si="18"/>
        <v/>
      </c>
      <c r="T1002" t="str">
        <f>IF(F1002="CJ", COUNTIF(F$5:F1002, "CJ"), "")</f>
        <v/>
      </c>
      <c r="U1002" t="str">
        <f>IF(F1002="Ignacio", COUNTIF(F$5:F1002, "Ignacio"), "")</f>
        <v/>
      </c>
      <c r="V1002" t="str">
        <f>IF(F1002="Tripulacion", COUNTIF(F$5:F1002, "Tripulacion"), "")</f>
        <v/>
      </c>
      <c r="W1002" t="str">
        <f>IF(F1002="ENAP carga", COUNTIF(F$5:F1002, "ENAP carga"), "")</f>
        <v/>
      </c>
    </row>
    <row r="1003" spans="15:23">
      <c r="O1003" s="22" t="str">
        <f t="shared" si="18"/>
        <v/>
      </c>
      <c r="T1003" t="str">
        <f>IF(F1003="CJ", COUNTIF(F$5:F1003, "CJ"), "")</f>
        <v/>
      </c>
      <c r="U1003" t="str">
        <f>IF(F1003="Ignacio", COUNTIF(F$5:F1003, "Ignacio"), "")</f>
        <v/>
      </c>
      <c r="V1003" t="str">
        <f>IF(F1003="Tripulacion", COUNTIF(F$5:F1003, "Tripulacion"), "")</f>
        <v/>
      </c>
      <c r="W1003" t="str">
        <f>IF(F1003="ENAP carga", COUNTIF(F$5:F1003, "ENAP carga"), "")</f>
        <v/>
      </c>
    </row>
  </sheetData>
  <mergeCells count="1">
    <mergeCell ref="C2:R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6" width="18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82</v>
      </c>
    </row>
    <row r="3" spans="2:13">
      <c r="B3" s="15" t="s">
        <v>83</v>
      </c>
    </row>
    <row r="5" spans="2:13">
      <c r="B5" s="39" t="s">
        <v>84</v>
      </c>
      <c r="C5" s="40" t="s">
        <v>85</v>
      </c>
      <c r="D5" s="40" t="s">
        <v>86</v>
      </c>
      <c r="E5" s="40" t="s">
        <v>87</v>
      </c>
      <c r="F5" s="40" t="s">
        <v>88</v>
      </c>
      <c r="G5" s="41"/>
      <c r="H5" s="54"/>
      <c r="I5" s="55"/>
    </row>
    <row r="6" spans="2:13" ht="24" customHeight="1">
      <c r="B6" s="42">
        <f>SUMIFS('Detalles movimientos'!I$5:I$1003, 'Detalles movimientos'!F$5:F$1003, "ENAP carga")</f>
        <v>0</v>
      </c>
      <c r="C6" s="42">
        <f>SUMIFS('Detalles movimientos'!R$5:R$1003, 'Detalles movimientos'!F$5:F$1003, "ENAP carga")</f>
        <v>80273</v>
      </c>
      <c r="D6" s="42">
        <f>C6-B6</f>
        <v>80273</v>
      </c>
      <c r="E6" s="43">
        <f>SUMIFS('Detalles movimientos'!M$5:M$1003, 'Detalles movimientos'!F$5:F$1003, "ENAP carga")</f>
        <v>0</v>
      </c>
      <c r="F6" s="43">
        <f>COUNTIFS('Detalles movimientos'!F$5:F$1003, "ENAP carga")</f>
        <v>7</v>
      </c>
      <c r="G6" s="41"/>
      <c r="H6" s="50"/>
      <c r="I6" s="51"/>
    </row>
    <row r="7" spans="2:13">
      <c r="H7" s="52"/>
      <c r="I7" s="53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movimientos'!$W$5:$W$1003, 0)), "")</f>
        <v>46226</v>
      </c>
      <c r="C10" s="18" t="str">
        <f>IFERROR(INDEX('Detalles movimientos'!D$5:D$1003, MATCH(1, 'Detalles movimientos'!$W$5:$W$1003, 0)), "")</f>
        <v>ENAP carga</v>
      </c>
      <c r="D10" s="19" t="str">
        <f>IFERROR(INDEX('Detalles movimientos'!E$5:E$1003, MATCH(1, 'Detalles movimientos'!$W$5:$W$1003, 0)), "")</f>
        <v>VJYL61</v>
      </c>
      <c r="E10" s="19" t="str">
        <f>IFERROR(INDEX('Detalles movimientos'!F$5:F$1003, MATCH(1, 'Detalles movimientos'!$W$5:$W$1003, 0)), "")</f>
        <v>ENAP carga</v>
      </c>
      <c r="F10" s="18">
        <f>IFERROR(INDEX('Detalles movimientos'!G$5:G$1003, MATCH(1, 'Detalles movimientos'!$W$5:$W$1003, 0)), "")</f>
        <v>0</v>
      </c>
      <c r="G10" s="20">
        <f>IFERROR(INDEX('Detalles movimientos'!H$5:H$1003, MATCH(1, 'Detalles movimientos'!$W$5:$W$1003, 0)), "")</f>
        <v>0</v>
      </c>
      <c r="H10" s="21">
        <f>IFERROR(INDEX('Detalles movimientos'!I$5:I$1003, MATCH(1, 'Detalles movimientos'!$W$5:$W$1003, 0)), "")</f>
        <v>0</v>
      </c>
      <c r="I10" s="20">
        <f>IFERROR(INDEX('Detalles movimientos'!M$5:M$1003, MATCH(1, 'Detalles movimientos'!$W$5:$W$1003, 0)), "")</f>
        <v>0</v>
      </c>
      <c r="J10" s="19" t="str">
        <f>IFERROR(INDEX('Detalles movimientos'!N$5:N$1003, MATCH(1, 'Detalles movimientos'!$W$5:$W$1003, 0)), "")</f>
        <v>ENAP carga</v>
      </c>
      <c r="K10" s="20" t="str">
        <f>IFERROR(INDEX('Detalles movimientos'!O$5:O$1003, MATCH(1, 'Detalles movimientos'!$W$5:$W$1003, 0)), "")</f>
        <v/>
      </c>
      <c r="L10" s="18" t="str">
        <f>IFERROR(INDEX('Detalles movimientos'!P$5:P$1003, MATCH(1, 'Detalles movimientos'!$W$5:$W$1003, 0)), "")</f>
        <v>Guía N° xxxxx</v>
      </c>
      <c r="M10" s="18">
        <f>IFERROR(INDEX('Detalles movimientos'!S$5:S$1003, MATCH(1, 'Detalles movimientos'!$W$5:$W$1003, 0)), "")</f>
        <v>0</v>
      </c>
    </row>
    <row r="11" spans="2:13">
      <c r="B11" s="17">
        <f>IFERROR(INDEX('Detalles movimientos'!C$5:C$1003, MATCH(2, 'Detalles movimientos'!$W$5:$W$1003, 0)), "")</f>
        <v>46246</v>
      </c>
      <c r="C11" s="18" t="str">
        <f>IFERROR(INDEX('Detalles movimientos'!D$5:D$1003, MATCH(2, 'Detalles movimientos'!$W$5:$W$1003, 0)), "")</f>
        <v>ENAP carga</v>
      </c>
      <c r="D11" s="19" t="str">
        <f>IFERROR(INDEX('Detalles movimientos'!E$5:E$1003, MATCH(2, 'Detalles movimientos'!$W$5:$W$1003, 0)), "")</f>
        <v>VJYL42</v>
      </c>
      <c r="E11" s="19" t="str">
        <f>IFERROR(INDEX('Detalles movimientos'!F$5:F$1003, MATCH(2, 'Detalles movimientos'!$W$5:$W$1003, 0)), "")</f>
        <v>ENAP carga</v>
      </c>
      <c r="F11" s="18">
        <f>IFERROR(INDEX('Detalles movimientos'!G$5:G$1003, MATCH(2, 'Detalles movimientos'!$W$5:$W$1003, 0)), "")</f>
        <v>0</v>
      </c>
      <c r="G11" s="20">
        <f>IFERROR(INDEX('Detalles movimientos'!H$5:H$1003, MATCH(2, 'Detalles movimientos'!$W$5:$W$1003, 0)), "")</f>
        <v>0</v>
      </c>
      <c r="H11" s="21">
        <f>IFERROR(INDEX('Detalles movimientos'!I$5:I$1003, MATCH(2, 'Detalles movimientos'!$W$5:$W$1003, 0)), "")</f>
        <v>0</v>
      </c>
      <c r="I11" s="20">
        <f>IFERROR(INDEX('Detalles movimientos'!M$5:M$1003, MATCH(2, 'Detalles movimientos'!$W$5:$W$1003, 0)), "")</f>
        <v>0</v>
      </c>
      <c r="J11" s="19" t="str">
        <f>IFERROR(INDEX('Detalles movimientos'!N$5:N$1003, MATCH(2, 'Detalles movimientos'!$W$5:$W$1003, 0)), "")</f>
        <v>ENAP carga</v>
      </c>
      <c r="K11" s="20" t="str">
        <f>IFERROR(INDEX('Detalles movimientos'!O$5:O$1003, MATCH(2, 'Detalles movimientos'!$W$5:$W$1003, 0)), "")</f>
        <v/>
      </c>
      <c r="L11" s="18" t="str">
        <f>IFERROR(INDEX('Detalles movimientos'!P$5:P$1003, MATCH(2, 'Detalles movimientos'!$W$5:$W$1003, 0)), "")</f>
        <v>Guía N° 2356186</v>
      </c>
      <c r="M11" s="18">
        <f>IFERROR(INDEX('Detalles movimientos'!S$5:S$1003, MATCH(2, 'Detalles movimientos'!$W$5:$W$1003, 0)), "")</f>
        <v>0</v>
      </c>
    </row>
    <row r="12" spans="2:13">
      <c r="B12" s="17">
        <f>IFERROR(INDEX('Detalles movimientos'!C$5:C$1003, MATCH(3, 'Detalles movimientos'!$W$5:$W$1003, 0)), "")</f>
        <v>46247</v>
      </c>
      <c r="C12" s="18" t="str">
        <f>IFERROR(INDEX('Detalles movimientos'!D$5:D$1003, MATCH(3, 'Detalles movimientos'!$W$5:$W$1003, 0)), "")</f>
        <v>ENAP carga</v>
      </c>
      <c r="D12" s="19" t="str">
        <f>IFERROR(INDEX('Detalles movimientos'!E$5:E$1003, MATCH(3, 'Detalles movimientos'!$W$5:$W$1003, 0)), "")</f>
        <v>VJYL61</v>
      </c>
      <c r="E12" s="19" t="str">
        <f>IFERROR(INDEX('Detalles movimientos'!F$5:F$1003, MATCH(3, 'Detalles movimientos'!$W$5:$W$1003, 0)), "")</f>
        <v>ENAP carga</v>
      </c>
      <c r="F12" s="18">
        <f>IFERROR(INDEX('Detalles movimientos'!G$5:G$1003, MATCH(3, 'Detalles movimientos'!$W$5:$W$1003, 0)), "")</f>
        <v>0</v>
      </c>
      <c r="G12" s="20">
        <f>IFERROR(INDEX('Detalles movimientos'!H$5:H$1003, MATCH(3, 'Detalles movimientos'!$W$5:$W$1003, 0)), "")</f>
        <v>0</v>
      </c>
      <c r="H12" s="21">
        <f>IFERROR(INDEX('Detalles movimientos'!I$5:I$1003, MATCH(3, 'Detalles movimientos'!$W$5:$W$1003, 0)), "")</f>
        <v>0</v>
      </c>
      <c r="I12" s="20">
        <f>IFERROR(INDEX('Detalles movimientos'!M$5:M$1003, MATCH(3, 'Detalles movimientos'!$W$5:$W$1003, 0)), "")</f>
        <v>0</v>
      </c>
      <c r="J12" s="19" t="str">
        <f>IFERROR(INDEX('Detalles movimientos'!N$5:N$1003, MATCH(3, 'Detalles movimientos'!$W$5:$W$1003, 0)), "")</f>
        <v>ENAP carga</v>
      </c>
      <c r="K12" s="20" t="str">
        <f>IFERROR(INDEX('Detalles movimientos'!O$5:O$1003, MATCH(3, 'Detalles movimientos'!$W$5:$W$1003, 0)), "")</f>
        <v/>
      </c>
      <c r="L12" s="18" t="str">
        <f>IFERROR(INDEX('Detalles movimientos'!P$5:P$1003, MATCH(3, 'Detalles movimientos'!$W$5:$W$1003, 0)), "")</f>
        <v>Guía N° 2356453</v>
      </c>
      <c r="M12" s="18">
        <f>IFERROR(INDEX('Detalles movimientos'!S$5:S$1003, MATCH(3, 'Detalles movimientos'!$W$5:$W$1003, 0)), "")</f>
        <v>0</v>
      </c>
    </row>
    <row r="13" spans="2:13">
      <c r="B13" s="17">
        <f>IFERROR(INDEX('Detalles movimientos'!C$5:C$1003, MATCH(4, 'Detalles movimientos'!$W$5:$W$1003, 0)), "")</f>
        <v>46248</v>
      </c>
      <c r="C13" s="18" t="str">
        <f>IFERROR(INDEX('Detalles movimientos'!D$5:D$1003, MATCH(4, 'Detalles movimientos'!$W$5:$W$1003, 0)), "")</f>
        <v>ENAP carga</v>
      </c>
      <c r="D13" s="19" t="str">
        <f>IFERROR(INDEX('Detalles movimientos'!E$5:E$1003, MATCH(4, 'Detalles movimientos'!$W$5:$W$1003, 0)), "")</f>
        <v>VJYL42</v>
      </c>
      <c r="E13" s="19" t="str">
        <f>IFERROR(INDEX('Detalles movimientos'!F$5:F$1003, MATCH(4, 'Detalles movimientos'!$W$5:$W$1003, 0)), "")</f>
        <v>ENAP carga</v>
      </c>
      <c r="F13" s="18">
        <f>IFERROR(INDEX('Detalles movimientos'!G$5:G$1003, MATCH(4, 'Detalles movimientos'!$W$5:$W$1003, 0)), "")</f>
        <v>0</v>
      </c>
      <c r="G13" s="20">
        <f>IFERROR(INDEX('Detalles movimientos'!H$5:H$1003, MATCH(4, 'Detalles movimientos'!$W$5:$W$1003, 0)), "")</f>
        <v>0</v>
      </c>
      <c r="H13" s="21">
        <f>IFERROR(INDEX('Detalles movimientos'!I$5:I$1003, MATCH(4, 'Detalles movimientos'!$W$5:$W$1003, 0)), "")</f>
        <v>0</v>
      </c>
      <c r="I13" s="20">
        <f>IFERROR(INDEX('Detalles movimientos'!M$5:M$1003, MATCH(4, 'Detalles movimientos'!$W$5:$W$1003, 0)), "")</f>
        <v>0</v>
      </c>
      <c r="J13" s="19" t="str">
        <f>IFERROR(INDEX('Detalles movimientos'!N$5:N$1003, MATCH(4, 'Detalles movimientos'!$W$5:$W$1003, 0)), "")</f>
        <v>ENAP carga</v>
      </c>
      <c r="K13" s="20" t="str">
        <f>IFERROR(INDEX('Detalles movimientos'!O$5:O$1003, MATCH(4, 'Detalles movimientos'!$W$5:$W$1003, 0)), "")</f>
        <v/>
      </c>
      <c r="L13" s="18" t="str">
        <f>IFERROR(INDEX('Detalles movimientos'!P$5:P$1003, MATCH(4, 'Detalles movimientos'!$W$5:$W$1003, 0)), "")</f>
        <v>Guía N° 2356889</v>
      </c>
      <c r="M13" s="18">
        <f>IFERROR(INDEX('Detalles movimientos'!S$5:S$1003, MATCH(4, 'Detalles movimientos'!$W$5:$W$1003, 0)), "")</f>
        <v>0</v>
      </c>
    </row>
    <row r="14" spans="2:13">
      <c r="B14" s="17">
        <f>IFERROR(INDEX('Detalles movimientos'!C$5:C$1003, MATCH(5, 'Detalles movimientos'!$W$5:$W$1003, 0)), "")</f>
        <v>46252</v>
      </c>
      <c r="C14" s="18" t="str">
        <f>IFERROR(INDEX('Detalles movimientos'!D$5:D$1003, MATCH(5, 'Detalles movimientos'!$W$5:$W$1003, 0)), "")</f>
        <v>ENAP carga</v>
      </c>
      <c r="D14" s="19" t="str">
        <f>IFERROR(INDEX('Detalles movimientos'!E$5:E$1003, MATCH(5, 'Detalles movimientos'!$W$5:$W$1003, 0)), "")</f>
        <v>VJYL42</v>
      </c>
      <c r="E14" s="19" t="str">
        <f>IFERROR(INDEX('Detalles movimientos'!F$5:F$1003, MATCH(5, 'Detalles movimientos'!$W$5:$W$1003, 0)), "")</f>
        <v>ENAP carga</v>
      </c>
      <c r="F14" s="18">
        <f>IFERROR(INDEX('Detalles movimientos'!G$5:G$1003, MATCH(5, 'Detalles movimientos'!$W$5:$W$1003, 0)), "")</f>
        <v>0</v>
      </c>
      <c r="G14" s="20">
        <f>IFERROR(INDEX('Detalles movimientos'!H$5:H$1003, MATCH(5, 'Detalles movimientos'!$W$5:$W$1003, 0)), "")</f>
        <v>0</v>
      </c>
      <c r="H14" s="21">
        <f>IFERROR(INDEX('Detalles movimientos'!I$5:I$1003, MATCH(5, 'Detalles movimientos'!$W$5:$W$1003, 0)), "")</f>
        <v>0</v>
      </c>
      <c r="I14" s="20">
        <f>IFERROR(INDEX('Detalles movimientos'!M$5:M$1003, MATCH(5, 'Detalles movimientos'!$W$5:$W$1003, 0)), "")</f>
        <v>0</v>
      </c>
      <c r="J14" s="19" t="str">
        <f>IFERROR(INDEX('Detalles movimientos'!N$5:N$1003, MATCH(5, 'Detalles movimientos'!$W$5:$W$1003, 0)), "")</f>
        <v>ENAP carga</v>
      </c>
      <c r="K14" s="20" t="str">
        <f>IFERROR(INDEX('Detalles movimientos'!O$5:O$1003, MATCH(5, 'Detalles movimientos'!$W$5:$W$1003, 0)), "")</f>
        <v/>
      </c>
      <c r="L14" s="18" t="str">
        <f>IFERROR(INDEX('Detalles movimientos'!P$5:P$1003, MATCH(5, 'Detalles movimientos'!$W$5:$W$1003, 0)), "")</f>
        <v>Guía N° 2358078</v>
      </c>
      <c r="M14" s="18">
        <f>IFERROR(INDEX('Detalles movimientos'!S$5:S$1003, MATCH(5, 'Detalles movimientos'!$W$5:$W$1003, 0)), "")</f>
        <v>0</v>
      </c>
    </row>
    <row r="15" spans="2:13">
      <c r="B15" s="17">
        <f>IFERROR(INDEX('Detalles movimientos'!C$5:C$1003, MATCH(6, 'Detalles movimientos'!$W$5:$W$1003, 0)), "")</f>
        <v>46253</v>
      </c>
      <c r="C15" s="18" t="str">
        <f>IFERROR(INDEX('Detalles movimientos'!D$5:D$1003, MATCH(6, 'Detalles movimientos'!$W$5:$W$1003, 0)), "")</f>
        <v>ENAP carga</v>
      </c>
      <c r="D15" s="19" t="str">
        <f>IFERROR(INDEX('Detalles movimientos'!E$5:E$1003, MATCH(6, 'Detalles movimientos'!$W$5:$W$1003, 0)), "")</f>
        <v>VJYL42</v>
      </c>
      <c r="E15" s="19" t="str">
        <f>IFERROR(INDEX('Detalles movimientos'!F$5:F$1003, MATCH(6, 'Detalles movimientos'!$W$5:$W$1003, 0)), "")</f>
        <v>ENAP carga</v>
      </c>
      <c r="F15" s="18">
        <f>IFERROR(INDEX('Detalles movimientos'!G$5:G$1003, MATCH(6, 'Detalles movimientos'!$W$5:$W$1003, 0)), "")</f>
        <v>0</v>
      </c>
      <c r="G15" s="20">
        <f>IFERROR(INDEX('Detalles movimientos'!H$5:H$1003, MATCH(6, 'Detalles movimientos'!$W$5:$W$1003, 0)), "")</f>
        <v>0</v>
      </c>
      <c r="H15" s="21">
        <f>IFERROR(INDEX('Detalles movimientos'!I$5:I$1003, MATCH(6, 'Detalles movimientos'!$W$5:$W$1003, 0)), "")</f>
        <v>0</v>
      </c>
      <c r="I15" s="20">
        <f>IFERROR(INDEX('Detalles movimientos'!M$5:M$1003, MATCH(6, 'Detalles movimientos'!$W$5:$W$1003, 0)), "")</f>
        <v>0</v>
      </c>
      <c r="J15" s="19" t="str">
        <f>IFERROR(INDEX('Detalles movimientos'!N$5:N$1003, MATCH(6, 'Detalles movimientos'!$W$5:$W$1003, 0)), "")</f>
        <v>ENAP carga</v>
      </c>
      <c r="K15" s="20" t="str">
        <f>IFERROR(INDEX('Detalles movimientos'!O$5:O$1003, MATCH(6, 'Detalles movimientos'!$W$5:$W$1003, 0)), "")</f>
        <v/>
      </c>
      <c r="L15" s="18" t="str">
        <f>IFERROR(INDEX('Detalles movimientos'!P$5:P$1003, MATCH(6, 'Detalles movimientos'!$W$5:$W$1003, 0)), "")</f>
        <v>Guía N° 2358522</v>
      </c>
      <c r="M15" s="18">
        <f>IFERROR(INDEX('Detalles movimientos'!S$5:S$1003, MATCH(6, 'Detalles movimientos'!$W$5:$W$1003, 0)), "")</f>
        <v>0</v>
      </c>
    </row>
    <row r="16" spans="2:13">
      <c r="B16" s="17">
        <f>IFERROR(INDEX('Detalles movimientos'!C$5:C$1003, MATCH(7, 'Detalles movimientos'!$W$5:$W$1003, 0)), "")</f>
        <v>46259</v>
      </c>
      <c r="C16" s="18" t="str">
        <f>IFERROR(INDEX('Detalles movimientos'!D$5:D$1003, MATCH(7, 'Detalles movimientos'!$W$5:$W$1003, 0)), "")</f>
        <v>ENAP carga</v>
      </c>
      <c r="D16" s="19" t="str">
        <f>IFERROR(INDEX('Detalles movimientos'!E$5:E$1003, MATCH(7, 'Detalles movimientos'!$W$5:$W$1003, 0)), "")</f>
        <v>VJYL42</v>
      </c>
      <c r="E16" s="19" t="str">
        <f>IFERROR(INDEX('Detalles movimientos'!F$5:F$1003, MATCH(7, 'Detalles movimientos'!$W$5:$W$1003, 0)), "")</f>
        <v>ENAP carga</v>
      </c>
      <c r="F16" s="18">
        <f>IFERROR(INDEX('Detalles movimientos'!G$5:G$1003, MATCH(7, 'Detalles movimientos'!$W$5:$W$1003, 0)), "")</f>
        <v>0</v>
      </c>
      <c r="G16" s="20">
        <f>IFERROR(INDEX('Detalles movimientos'!H$5:H$1003, MATCH(7, 'Detalles movimientos'!$W$5:$W$1003, 0)), "")</f>
        <v>0</v>
      </c>
      <c r="H16" s="21">
        <f>IFERROR(INDEX('Detalles movimientos'!I$5:I$1003, MATCH(7, 'Detalles movimientos'!$W$5:$W$1003, 0)), "")</f>
        <v>0</v>
      </c>
      <c r="I16" s="20">
        <f>IFERROR(INDEX('Detalles movimientos'!M$5:M$1003, MATCH(7, 'Detalles movimientos'!$W$5:$W$1003, 0)), "")</f>
        <v>0</v>
      </c>
      <c r="J16" s="19" t="str">
        <f>IFERROR(INDEX('Detalles movimientos'!N$5:N$1003, MATCH(7, 'Detalles movimientos'!$W$5:$W$1003, 0)), "")</f>
        <v>ENAP carga</v>
      </c>
      <c r="K16" s="20" t="str">
        <f>IFERROR(INDEX('Detalles movimientos'!O$5:O$1003, MATCH(7, 'Detalles movimientos'!$W$5:$W$1003, 0)), "")</f>
        <v/>
      </c>
      <c r="L16" s="18" t="str">
        <f>IFERROR(INDEX('Detalles movimientos'!P$5:P$1003, MATCH(7, 'Detalles movimientos'!$W$5:$W$1003, 0)), "")</f>
        <v>Guía N° 2360214</v>
      </c>
      <c r="M16" s="18">
        <f>IFERROR(INDEX('Detalles movimientos'!S$5:S$1003, MATCH(7, 'Detalles movimientos'!$W$5:$W$1003, 0)), "")</f>
        <v>0</v>
      </c>
    </row>
    <row r="17" spans="2:13">
      <c r="B17" s="17" t="str">
        <f>IFERROR(INDEX('Detalles movimientos'!C$5:C$1003, MATCH(8, 'Detalles movimientos'!$W$5:$W$1003, 0)), "")</f>
        <v/>
      </c>
      <c r="C17" s="18" t="str">
        <f>IFERROR(INDEX('Detalles movimientos'!D$5:D$1003, MATCH(8, 'Detalles movimientos'!$W$5:$W$1003, 0)), "")</f>
        <v/>
      </c>
      <c r="D17" s="19" t="str">
        <f>IFERROR(INDEX('Detalles movimientos'!E$5:E$1003, MATCH(8, 'Detalles movimientos'!$W$5:$W$1003, 0)), "")</f>
        <v/>
      </c>
      <c r="E17" s="19" t="str">
        <f>IFERROR(INDEX('Detalles movimientos'!F$5:F$1003, MATCH(8, 'Detalles movimientos'!$W$5:$W$1003, 0)), "")</f>
        <v/>
      </c>
      <c r="F17" s="18" t="str">
        <f>IFERROR(INDEX('Detalles movimientos'!G$5:G$1003, MATCH(8, 'Detalles movimientos'!$W$5:$W$1003, 0)), "")</f>
        <v/>
      </c>
      <c r="G17" s="20" t="str">
        <f>IFERROR(INDEX('Detalles movimientos'!H$5:H$1003, MATCH(8, 'Detalles movimientos'!$W$5:$W$1003, 0)), "")</f>
        <v/>
      </c>
      <c r="H17" s="21" t="str">
        <f>IFERROR(INDEX('Detalles movimientos'!I$5:I$1003, MATCH(8, 'Detalles movimientos'!$W$5:$W$1003, 0)), "")</f>
        <v/>
      </c>
      <c r="I17" s="20" t="str">
        <f>IFERROR(INDEX('Detalles movimientos'!M$5:M$1003, MATCH(8, 'Detalles movimientos'!$W$5:$W$1003, 0)), "")</f>
        <v/>
      </c>
      <c r="J17" s="19" t="str">
        <f>IFERROR(INDEX('Detalles movimientos'!N$5:N$1003, MATCH(8, 'Detalles movimientos'!$W$5:$W$1003, 0)), "")</f>
        <v/>
      </c>
      <c r="K17" s="20" t="str">
        <f>IFERROR(INDEX('Detalles movimientos'!O$5:O$1003, MATCH(8, 'Detalles movimientos'!$W$5:$W$1003, 0)), "")</f>
        <v/>
      </c>
      <c r="L17" s="18" t="str">
        <f>IFERROR(INDEX('Detalles movimientos'!P$5:P$1003, MATCH(8, 'Detalles movimientos'!$W$5:$W$1003, 0)), "")</f>
        <v/>
      </c>
      <c r="M17" s="18" t="str">
        <f>IFERROR(INDEX('Detalles movimientos'!S$5:S$1003, MATCH(8, 'Detalles movimientos'!$W$5:$W$1003, 0)), "")</f>
        <v/>
      </c>
    </row>
    <row r="18" spans="2:13">
      <c r="B18" s="17" t="str">
        <f>IFERROR(INDEX('Detalles movimientos'!C$5:C$1003, MATCH(9, 'Detalles movimientos'!$W$5:$W$1003, 0)), "")</f>
        <v/>
      </c>
      <c r="C18" s="18" t="str">
        <f>IFERROR(INDEX('Detalles movimientos'!D$5:D$1003, MATCH(9, 'Detalles movimientos'!$W$5:$W$1003, 0)), "")</f>
        <v/>
      </c>
      <c r="D18" s="19" t="str">
        <f>IFERROR(INDEX('Detalles movimientos'!E$5:E$1003, MATCH(9, 'Detalles movimientos'!$W$5:$W$1003, 0)), "")</f>
        <v/>
      </c>
      <c r="E18" s="19" t="str">
        <f>IFERROR(INDEX('Detalles movimientos'!F$5:F$1003, MATCH(9, 'Detalles movimientos'!$W$5:$W$1003, 0)), "")</f>
        <v/>
      </c>
      <c r="F18" s="18" t="str">
        <f>IFERROR(INDEX('Detalles movimientos'!G$5:G$1003, MATCH(9, 'Detalles movimientos'!$W$5:$W$1003, 0)), "")</f>
        <v/>
      </c>
      <c r="G18" s="20" t="str">
        <f>IFERROR(INDEX('Detalles movimientos'!H$5:H$1003, MATCH(9, 'Detalles movimientos'!$W$5:$W$1003, 0)), "")</f>
        <v/>
      </c>
      <c r="H18" s="21" t="str">
        <f>IFERROR(INDEX('Detalles movimientos'!I$5:I$1003, MATCH(9, 'Detalles movimientos'!$W$5:$W$1003, 0)), "")</f>
        <v/>
      </c>
      <c r="I18" s="20" t="str">
        <f>IFERROR(INDEX('Detalles movimientos'!M$5:M$1003, MATCH(9, 'Detalles movimientos'!$W$5:$W$1003, 0)), "")</f>
        <v/>
      </c>
      <c r="J18" s="19" t="str">
        <f>IFERROR(INDEX('Detalles movimientos'!N$5:N$1003, MATCH(9, 'Detalles movimientos'!$W$5:$W$1003, 0)), "")</f>
        <v/>
      </c>
      <c r="K18" s="20" t="str">
        <f>IFERROR(INDEX('Detalles movimientos'!O$5:O$1003, MATCH(9, 'Detalles movimientos'!$W$5:$W$1003, 0)), "")</f>
        <v/>
      </c>
      <c r="L18" s="18" t="str">
        <f>IFERROR(INDEX('Detalles movimientos'!P$5:P$1003, MATCH(9, 'Detalles movimientos'!$W$5:$W$1003, 0)), "")</f>
        <v/>
      </c>
      <c r="M18" s="18" t="str">
        <f>IFERROR(INDEX('Detalles movimientos'!S$5:S$1003, MATCH(9, 'Detalles movimientos'!$W$5:$W$1003, 0)), "")</f>
        <v/>
      </c>
    </row>
    <row r="19" spans="2:13">
      <c r="B19" s="17" t="str">
        <f>IFERROR(INDEX('Detalles movimientos'!C$5:C$1003, MATCH(10, 'Detalles movimientos'!$W$5:$W$1003, 0)), "")</f>
        <v/>
      </c>
      <c r="C19" s="18" t="str">
        <f>IFERROR(INDEX('Detalles movimientos'!D$5:D$1003, MATCH(10, 'Detalles movimientos'!$W$5:$W$1003, 0)), "")</f>
        <v/>
      </c>
      <c r="D19" s="19" t="str">
        <f>IFERROR(INDEX('Detalles movimientos'!E$5:E$1003, MATCH(10, 'Detalles movimientos'!$W$5:$W$1003, 0)), "")</f>
        <v/>
      </c>
      <c r="E19" s="19" t="str">
        <f>IFERROR(INDEX('Detalles movimientos'!F$5:F$1003, MATCH(10, 'Detalles movimientos'!$W$5:$W$1003, 0)), "")</f>
        <v/>
      </c>
      <c r="F19" s="18" t="str">
        <f>IFERROR(INDEX('Detalles movimientos'!G$5:G$1003, MATCH(10, 'Detalles movimientos'!$W$5:$W$1003, 0)), "")</f>
        <v/>
      </c>
      <c r="G19" s="20" t="str">
        <f>IFERROR(INDEX('Detalles movimientos'!H$5:H$1003, MATCH(10, 'Detalles movimientos'!$W$5:$W$1003, 0)), "")</f>
        <v/>
      </c>
      <c r="H19" s="21" t="str">
        <f>IFERROR(INDEX('Detalles movimientos'!I$5:I$1003, MATCH(10, 'Detalles movimientos'!$W$5:$W$1003, 0)), "")</f>
        <v/>
      </c>
      <c r="I19" s="20" t="str">
        <f>IFERROR(INDEX('Detalles movimientos'!M$5:M$1003, MATCH(10, 'Detalles movimientos'!$W$5:$W$1003, 0)), "")</f>
        <v/>
      </c>
      <c r="J19" s="19" t="str">
        <f>IFERROR(INDEX('Detalles movimientos'!N$5:N$1003, MATCH(10, 'Detalles movimientos'!$W$5:$W$1003, 0)), "")</f>
        <v/>
      </c>
      <c r="K19" s="20" t="str">
        <f>IFERROR(INDEX('Detalles movimientos'!O$5:O$1003, MATCH(10, 'Detalles movimientos'!$W$5:$W$1003, 0)), "")</f>
        <v/>
      </c>
      <c r="L19" s="18" t="str">
        <f>IFERROR(INDEX('Detalles movimientos'!P$5:P$1003, MATCH(10, 'Detalles movimientos'!$W$5:$W$1003, 0)), "")</f>
        <v/>
      </c>
      <c r="M19" s="18" t="str">
        <f>IFERROR(INDEX('Detalles movimientos'!S$5:S$1003, MATCH(10, 'Detalles movimientos'!$W$5:$W$1003, 0)), "")</f>
        <v/>
      </c>
    </row>
    <row r="20" spans="2:13">
      <c r="B20" s="17" t="str">
        <f>IFERROR(INDEX('Detalles movimientos'!C$5:C$1003, MATCH(11, 'Detalles movimientos'!$W$5:$W$1003, 0)), "")</f>
        <v/>
      </c>
      <c r="C20" s="18" t="str">
        <f>IFERROR(INDEX('Detalles movimientos'!D$5:D$1003, MATCH(11, 'Detalles movimientos'!$W$5:$W$1003, 0)), "")</f>
        <v/>
      </c>
      <c r="D20" s="19" t="str">
        <f>IFERROR(INDEX('Detalles movimientos'!E$5:E$1003, MATCH(11, 'Detalles movimientos'!$W$5:$W$1003, 0)), "")</f>
        <v/>
      </c>
      <c r="E20" s="19" t="str">
        <f>IFERROR(INDEX('Detalles movimientos'!F$5:F$1003, MATCH(11, 'Detalles movimientos'!$W$5:$W$1003, 0)), "")</f>
        <v/>
      </c>
      <c r="F20" s="18" t="str">
        <f>IFERROR(INDEX('Detalles movimientos'!G$5:G$1003, MATCH(11, 'Detalles movimientos'!$W$5:$W$1003, 0)), "")</f>
        <v/>
      </c>
      <c r="G20" s="20" t="str">
        <f>IFERROR(INDEX('Detalles movimientos'!H$5:H$1003, MATCH(11, 'Detalles movimientos'!$W$5:$W$1003, 0)), "")</f>
        <v/>
      </c>
      <c r="H20" s="21" t="str">
        <f>IFERROR(INDEX('Detalles movimientos'!I$5:I$1003, MATCH(11, 'Detalles movimientos'!$W$5:$W$1003, 0)), "")</f>
        <v/>
      </c>
      <c r="I20" s="20" t="str">
        <f>IFERROR(INDEX('Detalles movimientos'!M$5:M$1003, MATCH(11, 'Detalles movimientos'!$W$5:$W$1003, 0)), "")</f>
        <v/>
      </c>
      <c r="J20" s="19" t="str">
        <f>IFERROR(INDEX('Detalles movimientos'!N$5:N$1003, MATCH(11, 'Detalles movimientos'!$W$5:$W$1003, 0)), "")</f>
        <v/>
      </c>
      <c r="K20" s="20" t="str">
        <f>IFERROR(INDEX('Detalles movimientos'!O$5:O$1003, MATCH(11, 'Detalles movimientos'!$W$5:$W$1003, 0)), "")</f>
        <v/>
      </c>
      <c r="L20" s="18" t="str">
        <f>IFERROR(INDEX('Detalles movimientos'!P$5:P$1003, MATCH(11, 'Detalles movimientos'!$W$5:$W$1003, 0)), "")</f>
        <v/>
      </c>
      <c r="M20" s="18" t="str">
        <f>IFERROR(INDEX('Detalles movimientos'!S$5:S$1003, MATCH(11, 'Detalles movimientos'!$W$5:$W$1003, 0)), "")</f>
        <v/>
      </c>
    </row>
    <row r="21" spans="2:13">
      <c r="B21" s="17" t="str">
        <f>IFERROR(INDEX('Detalles movimientos'!C$5:C$1003, MATCH(12, 'Detalles movimientos'!$W$5:$W$1003, 0)), "")</f>
        <v/>
      </c>
      <c r="C21" s="18" t="str">
        <f>IFERROR(INDEX('Detalles movimientos'!D$5:D$1003, MATCH(12, 'Detalles movimientos'!$W$5:$W$1003, 0)), "")</f>
        <v/>
      </c>
      <c r="D21" s="19" t="str">
        <f>IFERROR(INDEX('Detalles movimientos'!E$5:E$1003, MATCH(12, 'Detalles movimientos'!$W$5:$W$1003, 0)), "")</f>
        <v/>
      </c>
      <c r="E21" s="19" t="str">
        <f>IFERROR(INDEX('Detalles movimientos'!F$5:F$1003, MATCH(12, 'Detalles movimientos'!$W$5:$W$1003, 0)), "")</f>
        <v/>
      </c>
      <c r="F21" s="18" t="str">
        <f>IFERROR(INDEX('Detalles movimientos'!G$5:G$1003, MATCH(12, 'Detalles movimientos'!$W$5:$W$1003, 0)), "")</f>
        <v/>
      </c>
      <c r="G21" s="20" t="str">
        <f>IFERROR(INDEX('Detalles movimientos'!H$5:H$1003, MATCH(12, 'Detalles movimientos'!$W$5:$W$1003, 0)), "")</f>
        <v/>
      </c>
      <c r="H21" s="21" t="str">
        <f>IFERROR(INDEX('Detalles movimientos'!I$5:I$1003, MATCH(12, 'Detalles movimientos'!$W$5:$W$1003, 0)), "")</f>
        <v/>
      </c>
      <c r="I21" s="20" t="str">
        <f>IFERROR(INDEX('Detalles movimientos'!M$5:M$1003, MATCH(12, 'Detalles movimientos'!$W$5:$W$1003, 0)), "")</f>
        <v/>
      </c>
      <c r="J21" s="19" t="str">
        <f>IFERROR(INDEX('Detalles movimientos'!N$5:N$1003, MATCH(12, 'Detalles movimientos'!$W$5:$W$1003, 0)), "")</f>
        <v/>
      </c>
      <c r="K21" s="20" t="str">
        <f>IFERROR(INDEX('Detalles movimientos'!O$5:O$1003, MATCH(12, 'Detalles movimientos'!$W$5:$W$1003, 0)), "")</f>
        <v/>
      </c>
      <c r="L21" s="18" t="str">
        <f>IFERROR(INDEX('Detalles movimientos'!P$5:P$1003, MATCH(12, 'Detalles movimientos'!$W$5:$W$1003, 0)), "")</f>
        <v/>
      </c>
      <c r="M21" s="18" t="str">
        <f>IFERROR(INDEX('Detalles movimientos'!S$5:S$1003, MATCH(12, 'Detalles movimientos'!$W$5:$W$1003, 0)), "")</f>
        <v/>
      </c>
    </row>
    <row r="22" spans="2:13">
      <c r="B22" s="17" t="str">
        <f>IFERROR(INDEX('Detalles movimientos'!C$5:C$1003, MATCH(13, 'Detalles movimientos'!$W$5:$W$1003, 0)), "")</f>
        <v/>
      </c>
      <c r="C22" s="18" t="str">
        <f>IFERROR(INDEX('Detalles movimientos'!D$5:D$1003, MATCH(13, 'Detalles movimientos'!$W$5:$W$1003, 0)), "")</f>
        <v/>
      </c>
      <c r="D22" s="19" t="str">
        <f>IFERROR(INDEX('Detalles movimientos'!E$5:E$1003, MATCH(13, 'Detalles movimientos'!$W$5:$W$1003, 0)), "")</f>
        <v/>
      </c>
      <c r="E22" s="19" t="str">
        <f>IFERROR(INDEX('Detalles movimientos'!F$5:F$1003, MATCH(13, 'Detalles movimientos'!$W$5:$W$1003, 0)), "")</f>
        <v/>
      </c>
      <c r="F22" s="18" t="str">
        <f>IFERROR(INDEX('Detalles movimientos'!G$5:G$1003, MATCH(13, 'Detalles movimientos'!$W$5:$W$1003, 0)), "")</f>
        <v/>
      </c>
      <c r="G22" s="20" t="str">
        <f>IFERROR(INDEX('Detalles movimientos'!H$5:H$1003, MATCH(13, 'Detalles movimientos'!$W$5:$W$1003, 0)), "")</f>
        <v/>
      </c>
      <c r="H22" s="21" t="str">
        <f>IFERROR(INDEX('Detalles movimientos'!I$5:I$1003, MATCH(13, 'Detalles movimientos'!$W$5:$W$1003, 0)), "")</f>
        <v/>
      </c>
      <c r="I22" s="20" t="str">
        <f>IFERROR(INDEX('Detalles movimientos'!M$5:M$1003, MATCH(13, 'Detalles movimientos'!$W$5:$W$1003, 0)), "")</f>
        <v/>
      </c>
      <c r="J22" s="19" t="str">
        <f>IFERROR(INDEX('Detalles movimientos'!N$5:N$1003, MATCH(13, 'Detalles movimientos'!$W$5:$W$1003, 0)), "")</f>
        <v/>
      </c>
      <c r="K22" s="20" t="str">
        <f>IFERROR(INDEX('Detalles movimientos'!O$5:O$1003, MATCH(13, 'Detalles movimientos'!$W$5:$W$1003, 0)), "")</f>
        <v/>
      </c>
      <c r="L22" s="18" t="str">
        <f>IFERROR(INDEX('Detalles movimientos'!P$5:P$1003, MATCH(13, 'Detalles movimientos'!$W$5:$W$1003, 0)), "")</f>
        <v/>
      </c>
      <c r="M22" s="18" t="str">
        <f>IFERROR(INDEX('Detalles movimientos'!S$5:S$1003, MATCH(13, 'Detalles movimientos'!$W$5:$W$1003, 0)), "")</f>
        <v/>
      </c>
    </row>
    <row r="23" spans="2:13">
      <c r="B23" s="17" t="str">
        <f>IFERROR(INDEX('Detalles movimientos'!C$5:C$1003, MATCH(14, 'Detalles movimientos'!$W$5:$W$1003, 0)), "")</f>
        <v/>
      </c>
      <c r="C23" s="18" t="str">
        <f>IFERROR(INDEX('Detalles movimientos'!D$5:D$1003, MATCH(14, 'Detalles movimientos'!$W$5:$W$1003, 0)), "")</f>
        <v/>
      </c>
      <c r="D23" s="19" t="str">
        <f>IFERROR(INDEX('Detalles movimientos'!E$5:E$1003, MATCH(14, 'Detalles movimientos'!$W$5:$W$1003, 0)), "")</f>
        <v/>
      </c>
      <c r="E23" s="19" t="str">
        <f>IFERROR(INDEX('Detalles movimientos'!F$5:F$1003, MATCH(14, 'Detalles movimientos'!$W$5:$W$1003, 0)), "")</f>
        <v/>
      </c>
      <c r="F23" s="18" t="str">
        <f>IFERROR(INDEX('Detalles movimientos'!G$5:G$1003, MATCH(14, 'Detalles movimientos'!$W$5:$W$1003, 0)), "")</f>
        <v/>
      </c>
      <c r="G23" s="20" t="str">
        <f>IFERROR(INDEX('Detalles movimientos'!H$5:H$1003, MATCH(14, 'Detalles movimientos'!$W$5:$W$1003, 0)), "")</f>
        <v/>
      </c>
      <c r="H23" s="21" t="str">
        <f>IFERROR(INDEX('Detalles movimientos'!I$5:I$1003, MATCH(14, 'Detalles movimientos'!$W$5:$W$1003, 0)), "")</f>
        <v/>
      </c>
      <c r="I23" s="20" t="str">
        <f>IFERROR(INDEX('Detalles movimientos'!M$5:M$1003, MATCH(14, 'Detalles movimientos'!$W$5:$W$1003, 0)), "")</f>
        <v/>
      </c>
      <c r="J23" s="19" t="str">
        <f>IFERROR(INDEX('Detalles movimientos'!N$5:N$1003, MATCH(14, 'Detalles movimientos'!$W$5:$W$1003, 0)), "")</f>
        <v/>
      </c>
      <c r="K23" s="20" t="str">
        <f>IFERROR(INDEX('Detalles movimientos'!O$5:O$1003, MATCH(14, 'Detalles movimientos'!$W$5:$W$1003, 0)), "")</f>
        <v/>
      </c>
      <c r="L23" s="18" t="str">
        <f>IFERROR(INDEX('Detalles movimientos'!P$5:P$1003, MATCH(14, 'Detalles movimientos'!$W$5:$W$1003, 0)), "")</f>
        <v/>
      </c>
      <c r="M23" s="18" t="str">
        <f>IFERROR(INDEX('Detalles movimientos'!S$5:S$1003, MATCH(14, 'Detalles movimientos'!$W$5:$W$1003, 0)), "")</f>
        <v/>
      </c>
    </row>
    <row r="24" spans="2:13">
      <c r="B24" s="17" t="str">
        <f>IFERROR(INDEX('Detalles movimientos'!C$5:C$1003, MATCH(15, 'Detalles movimientos'!$W$5:$W$1003, 0)), "")</f>
        <v/>
      </c>
      <c r="C24" s="18" t="str">
        <f>IFERROR(INDEX('Detalles movimientos'!D$5:D$1003, MATCH(15, 'Detalles movimientos'!$W$5:$W$1003, 0)), "")</f>
        <v/>
      </c>
      <c r="D24" s="19" t="str">
        <f>IFERROR(INDEX('Detalles movimientos'!E$5:E$1003, MATCH(15, 'Detalles movimientos'!$W$5:$W$1003, 0)), "")</f>
        <v/>
      </c>
      <c r="E24" s="19" t="str">
        <f>IFERROR(INDEX('Detalles movimientos'!F$5:F$1003, MATCH(15, 'Detalles movimientos'!$W$5:$W$1003, 0)), "")</f>
        <v/>
      </c>
      <c r="F24" s="18" t="str">
        <f>IFERROR(INDEX('Detalles movimientos'!G$5:G$1003, MATCH(15, 'Detalles movimientos'!$W$5:$W$1003, 0)), "")</f>
        <v/>
      </c>
      <c r="G24" s="20" t="str">
        <f>IFERROR(INDEX('Detalles movimientos'!H$5:H$1003, MATCH(15, 'Detalles movimientos'!$W$5:$W$1003, 0)), "")</f>
        <v/>
      </c>
      <c r="H24" s="21" t="str">
        <f>IFERROR(INDEX('Detalles movimientos'!I$5:I$1003, MATCH(15, 'Detalles movimientos'!$W$5:$W$1003, 0)), "")</f>
        <v/>
      </c>
      <c r="I24" s="20" t="str">
        <f>IFERROR(INDEX('Detalles movimientos'!M$5:M$1003, MATCH(15, 'Detalles movimientos'!$W$5:$W$1003, 0)), "")</f>
        <v/>
      </c>
      <c r="J24" s="19" t="str">
        <f>IFERROR(INDEX('Detalles movimientos'!N$5:N$1003, MATCH(15, 'Detalles movimientos'!$W$5:$W$1003, 0)), "")</f>
        <v/>
      </c>
      <c r="K24" s="20" t="str">
        <f>IFERROR(INDEX('Detalles movimientos'!O$5:O$1003, MATCH(15, 'Detalles movimientos'!$W$5:$W$1003, 0)), "")</f>
        <v/>
      </c>
      <c r="L24" s="18" t="str">
        <f>IFERROR(INDEX('Detalles movimientos'!P$5:P$1003, MATCH(15, 'Detalles movimientos'!$W$5:$W$1003, 0)), "")</f>
        <v/>
      </c>
      <c r="M24" s="18" t="str">
        <f>IFERROR(INDEX('Detalles movimientos'!S$5:S$1003, MATCH(15, 'Detalles movimientos'!$W$5:$W$1003, 0)), "")</f>
        <v/>
      </c>
    </row>
    <row r="25" spans="2:13">
      <c r="B25" s="17" t="str">
        <f>IFERROR(INDEX('Detalles movimientos'!C$5:C$1003, MATCH(16, 'Detalles movimientos'!$W$5:$W$1003, 0)), "")</f>
        <v/>
      </c>
      <c r="C25" s="18" t="str">
        <f>IFERROR(INDEX('Detalles movimientos'!D$5:D$1003, MATCH(16, 'Detalles movimientos'!$W$5:$W$1003, 0)), "")</f>
        <v/>
      </c>
      <c r="D25" s="19" t="str">
        <f>IFERROR(INDEX('Detalles movimientos'!E$5:E$1003, MATCH(16, 'Detalles movimientos'!$W$5:$W$1003, 0)), "")</f>
        <v/>
      </c>
      <c r="E25" s="19" t="str">
        <f>IFERROR(INDEX('Detalles movimientos'!F$5:F$1003, MATCH(16, 'Detalles movimientos'!$W$5:$W$1003, 0)), "")</f>
        <v/>
      </c>
      <c r="F25" s="18" t="str">
        <f>IFERROR(INDEX('Detalles movimientos'!G$5:G$1003, MATCH(16, 'Detalles movimientos'!$W$5:$W$1003, 0)), "")</f>
        <v/>
      </c>
      <c r="G25" s="20" t="str">
        <f>IFERROR(INDEX('Detalles movimientos'!H$5:H$1003, MATCH(16, 'Detalles movimientos'!$W$5:$W$1003, 0)), "")</f>
        <v/>
      </c>
      <c r="H25" s="21" t="str">
        <f>IFERROR(INDEX('Detalles movimientos'!I$5:I$1003, MATCH(16, 'Detalles movimientos'!$W$5:$W$1003, 0)), "")</f>
        <v/>
      </c>
      <c r="I25" s="20" t="str">
        <f>IFERROR(INDEX('Detalles movimientos'!M$5:M$1003, MATCH(16, 'Detalles movimientos'!$W$5:$W$1003, 0)), "")</f>
        <v/>
      </c>
      <c r="J25" s="19" t="str">
        <f>IFERROR(INDEX('Detalles movimientos'!N$5:N$1003, MATCH(16, 'Detalles movimientos'!$W$5:$W$1003, 0)), "")</f>
        <v/>
      </c>
      <c r="K25" s="20" t="str">
        <f>IFERROR(INDEX('Detalles movimientos'!O$5:O$1003, MATCH(16, 'Detalles movimientos'!$W$5:$W$1003, 0)), "")</f>
        <v/>
      </c>
      <c r="L25" s="18" t="str">
        <f>IFERROR(INDEX('Detalles movimientos'!P$5:P$1003, MATCH(16, 'Detalles movimientos'!$W$5:$W$1003, 0)), "")</f>
        <v/>
      </c>
      <c r="M25" s="18" t="str">
        <f>IFERROR(INDEX('Detalles movimientos'!S$5:S$1003, MATCH(16, 'Detalles movimientos'!$W$5:$W$1003, 0)), "")</f>
        <v/>
      </c>
    </row>
    <row r="26" spans="2:13">
      <c r="B26" s="17" t="str">
        <f>IFERROR(INDEX('Detalles movimientos'!C$5:C$1003, MATCH(17, 'Detalles movimientos'!$W$5:$W$1003, 0)), "")</f>
        <v/>
      </c>
      <c r="C26" s="18" t="str">
        <f>IFERROR(INDEX('Detalles movimientos'!D$5:D$1003, MATCH(17, 'Detalles movimientos'!$W$5:$W$1003, 0)), "")</f>
        <v/>
      </c>
      <c r="D26" s="19" t="str">
        <f>IFERROR(INDEX('Detalles movimientos'!E$5:E$1003, MATCH(17, 'Detalles movimientos'!$W$5:$W$1003, 0)), "")</f>
        <v/>
      </c>
      <c r="E26" s="19" t="str">
        <f>IFERROR(INDEX('Detalles movimientos'!F$5:F$1003, MATCH(17, 'Detalles movimientos'!$W$5:$W$1003, 0)), "")</f>
        <v/>
      </c>
      <c r="F26" s="18" t="str">
        <f>IFERROR(INDEX('Detalles movimientos'!G$5:G$1003, MATCH(17, 'Detalles movimientos'!$W$5:$W$1003, 0)), "")</f>
        <v/>
      </c>
      <c r="G26" s="20" t="str">
        <f>IFERROR(INDEX('Detalles movimientos'!H$5:H$1003, MATCH(17, 'Detalles movimientos'!$W$5:$W$1003, 0)), "")</f>
        <v/>
      </c>
      <c r="H26" s="21" t="str">
        <f>IFERROR(INDEX('Detalles movimientos'!I$5:I$1003, MATCH(17, 'Detalles movimientos'!$W$5:$W$1003, 0)), "")</f>
        <v/>
      </c>
      <c r="I26" s="20" t="str">
        <f>IFERROR(INDEX('Detalles movimientos'!M$5:M$1003, MATCH(17, 'Detalles movimientos'!$W$5:$W$1003, 0)), "")</f>
        <v/>
      </c>
      <c r="J26" s="19" t="str">
        <f>IFERROR(INDEX('Detalles movimientos'!N$5:N$1003, MATCH(17, 'Detalles movimientos'!$W$5:$W$1003, 0)), "")</f>
        <v/>
      </c>
      <c r="K26" s="20" t="str">
        <f>IFERROR(INDEX('Detalles movimientos'!O$5:O$1003, MATCH(17, 'Detalles movimientos'!$W$5:$W$1003, 0)), "")</f>
        <v/>
      </c>
      <c r="L26" s="18" t="str">
        <f>IFERROR(INDEX('Detalles movimientos'!P$5:P$1003, MATCH(17, 'Detalles movimientos'!$W$5:$W$1003, 0)), "")</f>
        <v/>
      </c>
      <c r="M26" s="18" t="str">
        <f>IFERROR(INDEX('Detalles movimientos'!S$5:S$1003, MATCH(17, 'Detalles movimientos'!$W$5:$W$1003, 0)), "")</f>
        <v/>
      </c>
    </row>
    <row r="27" spans="2:13">
      <c r="B27" s="17" t="str">
        <f>IFERROR(INDEX('Detalles movimientos'!C$5:C$1003, MATCH(18, 'Detalles movimientos'!$W$5:$W$1003, 0)), "")</f>
        <v/>
      </c>
      <c r="C27" s="18" t="str">
        <f>IFERROR(INDEX('Detalles movimientos'!D$5:D$1003, MATCH(18, 'Detalles movimientos'!$W$5:$W$1003, 0)), "")</f>
        <v/>
      </c>
      <c r="D27" s="19" t="str">
        <f>IFERROR(INDEX('Detalles movimientos'!E$5:E$1003, MATCH(18, 'Detalles movimientos'!$W$5:$W$1003, 0)), "")</f>
        <v/>
      </c>
      <c r="E27" s="19" t="str">
        <f>IFERROR(INDEX('Detalles movimientos'!F$5:F$1003, MATCH(18, 'Detalles movimientos'!$W$5:$W$1003, 0)), "")</f>
        <v/>
      </c>
      <c r="F27" s="18" t="str">
        <f>IFERROR(INDEX('Detalles movimientos'!G$5:G$1003, MATCH(18, 'Detalles movimientos'!$W$5:$W$1003, 0)), "")</f>
        <v/>
      </c>
      <c r="G27" s="20" t="str">
        <f>IFERROR(INDEX('Detalles movimientos'!H$5:H$1003, MATCH(18, 'Detalles movimientos'!$W$5:$W$1003, 0)), "")</f>
        <v/>
      </c>
      <c r="H27" s="21" t="str">
        <f>IFERROR(INDEX('Detalles movimientos'!I$5:I$1003, MATCH(18, 'Detalles movimientos'!$W$5:$W$1003, 0)), "")</f>
        <v/>
      </c>
      <c r="I27" s="20" t="str">
        <f>IFERROR(INDEX('Detalles movimientos'!M$5:M$1003, MATCH(18, 'Detalles movimientos'!$W$5:$W$1003, 0)), "")</f>
        <v/>
      </c>
      <c r="J27" s="19" t="str">
        <f>IFERROR(INDEX('Detalles movimientos'!N$5:N$1003, MATCH(18, 'Detalles movimientos'!$W$5:$W$1003, 0)), "")</f>
        <v/>
      </c>
      <c r="K27" s="20" t="str">
        <f>IFERROR(INDEX('Detalles movimientos'!O$5:O$1003, MATCH(18, 'Detalles movimientos'!$W$5:$W$1003, 0)), "")</f>
        <v/>
      </c>
      <c r="L27" s="18" t="str">
        <f>IFERROR(INDEX('Detalles movimientos'!P$5:P$1003, MATCH(18, 'Detalles movimientos'!$W$5:$W$1003, 0)), "")</f>
        <v/>
      </c>
      <c r="M27" s="18" t="str">
        <f>IFERROR(INDEX('Detalles movimientos'!S$5:S$1003, MATCH(18, 'Detalles movimientos'!$W$5:$W$1003, 0)), "")</f>
        <v/>
      </c>
    </row>
    <row r="28" spans="2:13">
      <c r="B28" s="17" t="str">
        <f>IFERROR(INDEX('Detalles movimientos'!C$5:C$1003, MATCH(19, 'Detalles movimientos'!$W$5:$W$1003, 0)), "")</f>
        <v/>
      </c>
      <c r="C28" s="18" t="str">
        <f>IFERROR(INDEX('Detalles movimientos'!D$5:D$1003, MATCH(19, 'Detalles movimientos'!$W$5:$W$1003, 0)), "")</f>
        <v/>
      </c>
      <c r="D28" s="19" t="str">
        <f>IFERROR(INDEX('Detalles movimientos'!E$5:E$1003, MATCH(19, 'Detalles movimientos'!$W$5:$W$1003, 0)), "")</f>
        <v/>
      </c>
      <c r="E28" s="19" t="str">
        <f>IFERROR(INDEX('Detalles movimientos'!F$5:F$1003, MATCH(19, 'Detalles movimientos'!$W$5:$W$1003, 0)), "")</f>
        <v/>
      </c>
      <c r="F28" s="18" t="str">
        <f>IFERROR(INDEX('Detalles movimientos'!G$5:G$1003, MATCH(19, 'Detalles movimientos'!$W$5:$W$1003, 0)), "")</f>
        <v/>
      </c>
      <c r="G28" s="20" t="str">
        <f>IFERROR(INDEX('Detalles movimientos'!H$5:H$1003, MATCH(19, 'Detalles movimientos'!$W$5:$W$1003, 0)), "")</f>
        <v/>
      </c>
      <c r="H28" s="21" t="str">
        <f>IFERROR(INDEX('Detalles movimientos'!I$5:I$1003, MATCH(19, 'Detalles movimientos'!$W$5:$W$1003, 0)), "")</f>
        <v/>
      </c>
      <c r="I28" s="20" t="str">
        <f>IFERROR(INDEX('Detalles movimientos'!M$5:M$1003, MATCH(19, 'Detalles movimientos'!$W$5:$W$1003, 0)), "")</f>
        <v/>
      </c>
      <c r="J28" s="19" t="str">
        <f>IFERROR(INDEX('Detalles movimientos'!N$5:N$1003, MATCH(19, 'Detalles movimientos'!$W$5:$W$1003, 0)), "")</f>
        <v/>
      </c>
      <c r="K28" s="20" t="str">
        <f>IFERROR(INDEX('Detalles movimientos'!O$5:O$1003, MATCH(19, 'Detalles movimientos'!$W$5:$W$1003, 0)), "")</f>
        <v/>
      </c>
      <c r="L28" s="18" t="str">
        <f>IFERROR(INDEX('Detalles movimientos'!P$5:P$1003, MATCH(19, 'Detalles movimientos'!$W$5:$W$1003, 0)), "")</f>
        <v/>
      </c>
      <c r="M28" s="18" t="str">
        <f>IFERROR(INDEX('Detalles movimientos'!S$5:S$1003, MATCH(19, 'Detalles movimientos'!$W$5:$W$1003, 0)), "")</f>
        <v/>
      </c>
    </row>
    <row r="29" spans="2:13">
      <c r="B29" s="17" t="str">
        <f>IFERROR(INDEX('Detalles movimientos'!C$5:C$1003, MATCH(20, 'Detalles movimientos'!$W$5:$W$1003, 0)), "")</f>
        <v/>
      </c>
      <c r="C29" s="18" t="str">
        <f>IFERROR(INDEX('Detalles movimientos'!D$5:D$1003, MATCH(20, 'Detalles movimientos'!$W$5:$W$1003, 0)), "")</f>
        <v/>
      </c>
      <c r="D29" s="19" t="str">
        <f>IFERROR(INDEX('Detalles movimientos'!E$5:E$1003, MATCH(20, 'Detalles movimientos'!$W$5:$W$1003, 0)), "")</f>
        <v/>
      </c>
      <c r="E29" s="19" t="str">
        <f>IFERROR(INDEX('Detalles movimientos'!F$5:F$1003, MATCH(20, 'Detalles movimientos'!$W$5:$W$1003, 0)), "")</f>
        <v/>
      </c>
      <c r="F29" s="18" t="str">
        <f>IFERROR(INDEX('Detalles movimientos'!G$5:G$1003, MATCH(20, 'Detalles movimientos'!$W$5:$W$1003, 0)), "")</f>
        <v/>
      </c>
      <c r="G29" s="20" t="str">
        <f>IFERROR(INDEX('Detalles movimientos'!H$5:H$1003, MATCH(20, 'Detalles movimientos'!$W$5:$W$1003, 0)), "")</f>
        <v/>
      </c>
      <c r="H29" s="21" t="str">
        <f>IFERROR(INDEX('Detalles movimientos'!I$5:I$1003, MATCH(20, 'Detalles movimientos'!$W$5:$W$1003, 0)), "")</f>
        <v/>
      </c>
      <c r="I29" s="20" t="str">
        <f>IFERROR(INDEX('Detalles movimientos'!M$5:M$1003, MATCH(20, 'Detalles movimientos'!$W$5:$W$1003, 0)), "")</f>
        <v/>
      </c>
      <c r="J29" s="19" t="str">
        <f>IFERROR(INDEX('Detalles movimientos'!N$5:N$1003, MATCH(20, 'Detalles movimientos'!$W$5:$W$1003, 0)), "")</f>
        <v/>
      </c>
      <c r="K29" s="20" t="str">
        <f>IFERROR(INDEX('Detalles movimientos'!O$5:O$1003, MATCH(20, 'Detalles movimientos'!$W$5:$W$1003, 0)), "")</f>
        <v/>
      </c>
      <c r="L29" s="18" t="str">
        <f>IFERROR(INDEX('Detalles movimientos'!P$5:P$1003, MATCH(20, 'Detalles movimientos'!$W$5:$W$1003, 0)), "")</f>
        <v/>
      </c>
      <c r="M29" s="18" t="str">
        <f>IFERROR(INDEX('Detalles movimientos'!S$5:S$1003, MATCH(20, 'Detalles movimientos'!$W$5:$W$1003, 0)), "")</f>
        <v/>
      </c>
    </row>
    <row r="30" spans="2:13">
      <c r="B30" s="17" t="str">
        <f>IFERROR(INDEX('Detalles movimientos'!C$5:C$1003, MATCH(21, 'Detalles movimientos'!$W$5:$W$1003, 0)), "")</f>
        <v/>
      </c>
      <c r="C30" s="18" t="str">
        <f>IFERROR(INDEX('Detalles movimientos'!D$5:D$1003, MATCH(21, 'Detalles movimientos'!$W$5:$W$1003, 0)), "")</f>
        <v/>
      </c>
      <c r="D30" s="19" t="str">
        <f>IFERROR(INDEX('Detalles movimientos'!E$5:E$1003, MATCH(21, 'Detalles movimientos'!$W$5:$W$1003, 0)), "")</f>
        <v/>
      </c>
      <c r="E30" s="19" t="str">
        <f>IFERROR(INDEX('Detalles movimientos'!F$5:F$1003, MATCH(21, 'Detalles movimientos'!$W$5:$W$1003, 0)), "")</f>
        <v/>
      </c>
      <c r="F30" s="18" t="str">
        <f>IFERROR(INDEX('Detalles movimientos'!G$5:G$1003, MATCH(21, 'Detalles movimientos'!$W$5:$W$1003, 0)), "")</f>
        <v/>
      </c>
      <c r="G30" s="20" t="str">
        <f>IFERROR(INDEX('Detalles movimientos'!H$5:H$1003, MATCH(21, 'Detalles movimientos'!$W$5:$W$1003, 0)), "")</f>
        <v/>
      </c>
      <c r="H30" s="21" t="str">
        <f>IFERROR(INDEX('Detalles movimientos'!I$5:I$1003, MATCH(21, 'Detalles movimientos'!$W$5:$W$1003, 0)), "")</f>
        <v/>
      </c>
      <c r="I30" s="20" t="str">
        <f>IFERROR(INDEX('Detalles movimientos'!M$5:M$1003, MATCH(21, 'Detalles movimientos'!$W$5:$W$1003, 0)), "")</f>
        <v/>
      </c>
      <c r="J30" s="19" t="str">
        <f>IFERROR(INDEX('Detalles movimientos'!N$5:N$1003, MATCH(21, 'Detalles movimientos'!$W$5:$W$1003, 0)), "")</f>
        <v/>
      </c>
      <c r="K30" s="20" t="str">
        <f>IFERROR(INDEX('Detalles movimientos'!O$5:O$1003, MATCH(21, 'Detalles movimientos'!$W$5:$W$1003, 0)), "")</f>
        <v/>
      </c>
      <c r="L30" s="18" t="str">
        <f>IFERROR(INDEX('Detalles movimientos'!P$5:P$1003, MATCH(21, 'Detalles movimientos'!$W$5:$W$1003, 0)), "")</f>
        <v/>
      </c>
      <c r="M30" s="18" t="str">
        <f>IFERROR(INDEX('Detalles movimientos'!S$5:S$1003, MATCH(21, 'Detalles movimientos'!$W$5:$W$1003, 0)), "")</f>
        <v/>
      </c>
    </row>
    <row r="31" spans="2:13">
      <c r="B31" s="17" t="str">
        <f>IFERROR(INDEX('Detalles movimientos'!C$5:C$1003, MATCH(22, 'Detalles movimientos'!$W$5:$W$1003, 0)), "")</f>
        <v/>
      </c>
      <c r="C31" s="18" t="str">
        <f>IFERROR(INDEX('Detalles movimientos'!D$5:D$1003, MATCH(22, 'Detalles movimientos'!$W$5:$W$1003, 0)), "")</f>
        <v/>
      </c>
      <c r="D31" s="19" t="str">
        <f>IFERROR(INDEX('Detalles movimientos'!E$5:E$1003, MATCH(22, 'Detalles movimientos'!$W$5:$W$1003, 0)), "")</f>
        <v/>
      </c>
      <c r="E31" s="19" t="str">
        <f>IFERROR(INDEX('Detalles movimientos'!F$5:F$1003, MATCH(22, 'Detalles movimientos'!$W$5:$W$1003, 0)), "")</f>
        <v/>
      </c>
      <c r="F31" s="18" t="str">
        <f>IFERROR(INDEX('Detalles movimientos'!G$5:G$1003, MATCH(22, 'Detalles movimientos'!$W$5:$W$1003, 0)), "")</f>
        <v/>
      </c>
      <c r="G31" s="20" t="str">
        <f>IFERROR(INDEX('Detalles movimientos'!H$5:H$1003, MATCH(22, 'Detalles movimientos'!$W$5:$W$1003, 0)), "")</f>
        <v/>
      </c>
      <c r="H31" s="21" t="str">
        <f>IFERROR(INDEX('Detalles movimientos'!I$5:I$1003, MATCH(22, 'Detalles movimientos'!$W$5:$W$1003, 0)), "")</f>
        <v/>
      </c>
      <c r="I31" s="20" t="str">
        <f>IFERROR(INDEX('Detalles movimientos'!M$5:M$1003, MATCH(22, 'Detalles movimientos'!$W$5:$W$1003, 0)), "")</f>
        <v/>
      </c>
      <c r="J31" s="19" t="str">
        <f>IFERROR(INDEX('Detalles movimientos'!N$5:N$1003, MATCH(22, 'Detalles movimientos'!$W$5:$W$1003, 0)), "")</f>
        <v/>
      </c>
      <c r="K31" s="20" t="str">
        <f>IFERROR(INDEX('Detalles movimientos'!O$5:O$1003, MATCH(22, 'Detalles movimientos'!$W$5:$W$1003, 0)), "")</f>
        <v/>
      </c>
      <c r="L31" s="18" t="str">
        <f>IFERROR(INDEX('Detalles movimientos'!P$5:P$1003, MATCH(22, 'Detalles movimientos'!$W$5:$W$1003, 0)), "")</f>
        <v/>
      </c>
      <c r="M31" s="18" t="str">
        <f>IFERROR(INDEX('Detalles movimientos'!S$5:S$1003, MATCH(22, 'Detalles movimientos'!$W$5:$W$1003, 0)), "")</f>
        <v/>
      </c>
    </row>
    <row r="32" spans="2:13">
      <c r="B32" s="17" t="str">
        <f>IFERROR(INDEX('Detalles movimientos'!C$5:C$1003, MATCH(23, 'Detalles movimientos'!$W$5:$W$1003, 0)), "")</f>
        <v/>
      </c>
      <c r="C32" s="18" t="str">
        <f>IFERROR(INDEX('Detalles movimientos'!D$5:D$1003, MATCH(23, 'Detalles movimientos'!$W$5:$W$1003, 0)), "")</f>
        <v/>
      </c>
      <c r="D32" s="19" t="str">
        <f>IFERROR(INDEX('Detalles movimientos'!E$5:E$1003, MATCH(23, 'Detalles movimientos'!$W$5:$W$1003, 0)), "")</f>
        <v/>
      </c>
      <c r="E32" s="19" t="str">
        <f>IFERROR(INDEX('Detalles movimientos'!F$5:F$1003, MATCH(23, 'Detalles movimientos'!$W$5:$W$1003, 0)), "")</f>
        <v/>
      </c>
      <c r="F32" s="18" t="str">
        <f>IFERROR(INDEX('Detalles movimientos'!G$5:G$1003, MATCH(23, 'Detalles movimientos'!$W$5:$W$1003, 0)), "")</f>
        <v/>
      </c>
      <c r="G32" s="20" t="str">
        <f>IFERROR(INDEX('Detalles movimientos'!H$5:H$1003, MATCH(23, 'Detalles movimientos'!$W$5:$W$1003, 0)), "")</f>
        <v/>
      </c>
      <c r="H32" s="21" t="str">
        <f>IFERROR(INDEX('Detalles movimientos'!I$5:I$1003, MATCH(23, 'Detalles movimientos'!$W$5:$W$1003, 0)), "")</f>
        <v/>
      </c>
      <c r="I32" s="20" t="str">
        <f>IFERROR(INDEX('Detalles movimientos'!M$5:M$1003, MATCH(23, 'Detalles movimientos'!$W$5:$W$1003, 0)), "")</f>
        <v/>
      </c>
      <c r="J32" s="19" t="str">
        <f>IFERROR(INDEX('Detalles movimientos'!N$5:N$1003, MATCH(23, 'Detalles movimientos'!$W$5:$W$1003, 0)), "")</f>
        <v/>
      </c>
      <c r="K32" s="20" t="str">
        <f>IFERROR(INDEX('Detalles movimientos'!O$5:O$1003, MATCH(23, 'Detalles movimientos'!$W$5:$W$1003, 0)), "")</f>
        <v/>
      </c>
      <c r="L32" s="18" t="str">
        <f>IFERROR(INDEX('Detalles movimientos'!P$5:P$1003, MATCH(23, 'Detalles movimientos'!$W$5:$W$1003, 0)), "")</f>
        <v/>
      </c>
      <c r="M32" s="18" t="str">
        <f>IFERROR(INDEX('Detalles movimientos'!S$5:S$1003, MATCH(23, 'Detalles movimientos'!$W$5:$W$1003, 0)), "")</f>
        <v/>
      </c>
    </row>
    <row r="33" spans="2:13">
      <c r="B33" s="17" t="str">
        <f>IFERROR(INDEX('Detalles movimientos'!C$5:C$1003, MATCH(24, 'Detalles movimientos'!$W$5:$W$1003, 0)), "")</f>
        <v/>
      </c>
      <c r="C33" s="18" t="str">
        <f>IFERROR(INDEX('Detalles movimientos'!D$5:D$1003, MATCH(24, 'Detalles movimientos'!$W$5:$W$1003, 0)), "")</f>
        <v/>
      </c>
      <c r="D33" s="19" t="str">
        <f>IFERROR(INDEX('Detalles movimientos'!E$5:E$1003, MATCH(24, 'Detalles movimientos'!$W$5:$W$1003, 0)), "")</f>
        <v/>
      </c>
      <c r="E33" s="19" t="str">
        <f>IFERROR(INDEX('Detalles movimientos'!F$5:F$1003, MATCH(24, 'Detalles movimientos'!$W$5:$W$1003, 0)), "")</f>
        <v/>
      </c>
      <c r="F33" s="18" t="str">
        <f>IFERROR(INDEX('Detalles movimientos'!G$5:G$1003, MATCH(24, 'Detalles movimientos'!$W$5:$W$1003, 0)), "")</f>
        <v/>
      </c>
      <c r="G33" s="20" t="str">
        <f>IFERROR(INDEX('Detalles movimientos'!H$5:H$1003, MATCH(24, 'Detalles movimientos'!$W$5:$W$1003, 0)), "")</f>
        <v/>
      </c>
      <c r="H33" s="21" t="str">
        <f>IFERROR(INDEX('Detalles movimientos'!I$5:I$1003, MATCH(24, 'Detalles movimientos'!$W$5:$W$1003, 0)), "")</f>
        <v/>
      </c>
      <c r="I33" s="20" t="str">
        <f>IFERROR(INDEX('Detalles movimientos'!M$5:M$1003, MATCH(24, 'Detalles movimientos'!$W$5:$W$1003, 0)), "")</f>
        <v/>
      </c>
      <c r="J33" s="19" t="str">
        <f>IFERROR(INDEX('Detalles movimientos'!N$5:N$1003, MATCH(24, 'Detalles movimientos'!$W$5:$W$1003, 0)), "")</f>
        <v/>
      </c>
      <c r="K33" s="20" t="str">
        <f>IFERROR(INDEX('Detalles movimientos'!O$5:O$1003, MATCH(24, 'Detalles movimientos'!$W$5:$W$1003, 0)), "")</f>
        <v/>
      </c>
      <c r="L33" s="18" t="str">
        <f>IFERROR(INDEX('Detalles movimientos'!P$5:P$1003, MATCH(24, 'Detalles movimientos'!$W$5:$W$1003, 0)), "")</f>
        <v/>
      </c>
      <c r="M33" s="18" t="str">
        <f>IFERROR(INDEX('Detalles movimientos'!S$5:S$1003, MATCH(24, 'Detalles movimientos'!$W$5:$W$1003, 0)), "")</f>
        <v/>
      </c>
    </row>
    <row r="34" spans="2:13">
      <c r="B34" s="17" t="str">
        <f>IFERROR(INDEX('Detalles movimientos'!C$5:C$1003, MATCH(25, 'Detalles movimientos'!$W$5:$W$1003, 0)), "")</f>
        <v/>
      </c>
      <c r="C34" s="18" t="str">
        <f>IFERROR(INDEX('Detalles movimientos'!D$5:D$1003, MATCH(25, 'Detalles movimientos'!$W$5:$W$1003, 0)), "")</f>
        <v/>
      </c>
      <c r="D34" s="19" t="str">
        <f>IFERROR(INDEX('Detalles movimientos'!E$5:E$1003, MATCH(25, 'Detalles movimientos'!$W$5:$W$1003, 0)), "")</f>
        <v/>
      </c>
      <c r="E34" s="19" t="str">
        <f>IFERROR(INDEX('Detalles movimientos'!F$5:F$1003, MATCH(25, 'Detalles movimientos'!$W$5:$W$1003, 0)), "")</f>
        <v/>
      </c>
      <c r="F34" s="18" t="str">
        <f>IFERROR(INDEX('Detalles movimientos'!G$5:G$1003, MATCH(25, 'Detalles movimientos'!$W$5:$W$1003, 0)), "")</f>
        <v/>
      </c>
      <c r="G34" s="20" t="str">
        <f>IFERROR(INDEX('Detalles movimientos'!H$5:H$1003, MATCH(25, 'Detalles movimientos'!$W$5:$W$1003, 0)), "")</f>
        <v/>
      </c>
      <c r="H34" s="21" t="str">
        <f>IFERROR(INDEX('Detalles movimientos'!I$5:I$1003, MATCH(25, 'Detalles movimientos'!$W$5:$W$1003, 0)), "")</f>
        <v/>
      </c>
      <c r="I34" s="20" t="str">
        <f>IFERROR(INDEX('Detalles movimientos'!M$5:M$1003, MATCH(25, 'Detalles movimientos'!$W$5:$W$1003, 0)), "")</f>
        <v/>
      </c>
      <c r="J34" s="19" t="str">
        <f>IFERROR(INDEX('Detalles movimientos'!N$5:N$1003, MATCH(25, 'Detalles movimientos'!$W$5:$W$1003, 0)), "")</f>
        <v/>
      </c>
      <c r="K34" s="20" t="str">
        <f>IFERROR(INDEX('Detalles movimientos'!O$5:O$1003, MATCH(25, 'Detalles movimientos'!$W$5:$W$1003, 0)), "")</f>
        <v/>
      </c>
      <c r="L34" s="18" t="str">
        <f>IFERROR(INDEX('Detalles movimientos'!P$5:P$1003, MATCH(25, 'Detalles movimientos'!$W$5:$W$1003, 0)), "")</f>
        <v/>
      </c>
      <c r="M34" s="18" t="str">
        <f>IFERROR(INDEX('Detalles movimientos'!S$5:S$1003, MATCH(25, 'Detalles movimientos'!$W$5:$W$1003, 0)), "")</f>
        <v/>
      </c>
    </row>
    <row r="35" spans="2:13">
      <c r="B35" s="17" t="str">
        <f>IFERROR(INDEX('Detalles movimientos'!C$5:C$1003, MATCH(26, 'Detalles movimientos'!$W$5:$W$1003, 0)), "")</f>
        <v/>
      </c>
      <c r="C35" s="18" t="str">
        <f>IFERROR(INDEX('Detalles movimientos'!D$5:D$1003, MATCH(26, 'Detalles movimientos'!$W$5:$W$1003, 0)), "")</f>
        <v/>
      </c>
      <c r="D35" s="19" t="str">
        <f>IFERROR(INDEX('Detalles movimientos'!E$5:E$1003, MATCH(26, 'Detalles movimientos'!$W$5:$W$1003, 0)), "")</f>
        <v/>
      </c>
      <c r="E35" s="19" t="str">
        <f>IFERROR(INDEX('Detalles movimientos'!F$5:F$1003, MATCH(26, 'Detalles movimientos'!$W$5:$W$1003, 0)), "")</f>
        <v/>
      </c>
      <c r="F35" s="18" t="str">
        <f>IFERROR(INDEX('Detalles movimientos'!G$5:G$1003, MATCH(26, 'Detalles movimientos'!$W$5:$W$1003, 0)), "")</f>
        <v/>
      </c>
      <c r="G35" s="20" t="str">
        <f>IFERROR(INDEX('Detalles movimientos'!H$5:H$1003, MATCH(26, 'Detalles movimientos'!$W$5:$W$1003, 0)), "")</f>
        <v/>
      </c>
      <c r="H35" s="21" t="str">
        <f>IFERROR(INDEX('Detalles movimientos'!I$5:I$1003, MATCH(26, 'Detalles movimientos'!$W$5:$W$1003, 0)), "")</f>
        <v/>
      </c>
      <c r="I35" s="20" t="str">
        <f>IFERROR(INDEX('Detalles movimientos'!M$5:M$1003, MATCH(26, 'Detalles movimientos'!$W$5:$W$1003, 0)), "")</f>
        <v/>
      </c>
      <c r="J35" s="19" t="str">
        <f>IFERROR(INDEX('Detalles movimientos'!N$5:N$1003, MATCH(26, 'Detalles movimientos'!$W$5:$W$1003, 0)), "")</f>
        <v/>
      </c>
      <c r="K35" s="20" t="str">
        <f>IFERROR(INDEX('Detalles movimientos'!O$5:O$1003, MATCH(26, 'Detalles movimientos'!$W$5:$W$1003, 0)), "")</f>
        <v/>
      </c>
      <c r="L35" s="18" t="str">
        <f>IFERROR(INDEX('Detalles movimientos'!P$5:P$1003, MATCH(26, 'Detalles movimientos'!$W$5:$W$1003, 0)), "")</f>
        <v/>
      </c>
      <c r="M35" s="18" t="str">
        <f>IFERROR(INDEX('Detalles movimientos'!S$5:S$1003, MATCH(26, 'Detalles movimientos'!$W$5:$W$1003, 0)), "")</f>
        <v/>
      </c>
    </row>
    <row r="36" spans="2:13">
      <c r="B36" s="17" t="str">
        <f>IFERROR(INDEX('Detalles movimientos'!C$5:C$1003, MATCH(27, 'Detalles movimientos'!$W$5:$W$1003, 0)), "")</f>
        <v/>
      </c>
      <c r="C36" s="18" t="str">
        <f>IFERROR(INDEX('Detalles movimientos'!D$5:D$1003, MATCH(27, 'Detalles movimientos'!$W$5:$W$1003, 0)), "")</f>
        <v/>
      </c>
      <c r="D36" s="19" t="str">
        <f>IFERROR(INDEX('Detalles movimientos'!E$5:E$1003, MATCH(27, 'Detalles movimientos'!$W$5:$W$1003, 0)), "")</f>
        <v/>
      </c>
      <c r="E36" s="19" t="str">
        <f>IFERROR(INDEX('Detalles movimientos'!F$5:F$1003, MATCH(27, 'Detalles movimientos'!$W$5:$W$1003, 0)), "")</f>
        <v/>
      </c>
      <c r="F36" s="18" t="str">
        <f>IFERROR(INDEX('Detalles movimientos'!G$5:G$1003, MATCH(27, 'Detalles movimientos'!$W$5:$W$1003, 0)), "")</f>
        <v/>
      </c>
      <c r="G36" s="20" t="str">
        <f>IFERROR(INDEX('Detalles movimientos'!H$5:H$1003, MATCH(27, 'Detalles movimientos'!$W$5:$W$1003, 0)), "")</f>
        <v/>
      </c>
      <c r="H36" s="21" t="str">
        <f>IFERROR(INDEX('Detalles movimientos'!I$5:I$1003, MATCH(27, 'Detalles movimientos'!$W$5:$W$1003, 0)), "")</f>
        <v/>
      </c>
      <c r="I36" s="20" t="str">
        <f>IFERROR(INDEX('Detalles movimientos'!M$5:M$1003, MATCH(27, 'Detalles movimientos'!$W$5:$W$1003, 0)), "")</f>
        <v/>
      </c>
      <c r="J36" s="19" t="str">
        <f>IFERROR(INDEX('Detalles movimientos'!N$5:N$1003, MATCH(27, 'Detalles movimientos'!$W$5:$W$1003, 0)), "")</f>
        <v/>
      </c>
      <c r="K36" s="20" t="str">
        <f>IFERROR(INDEX('Detalles movimientos'!O$5:O$1003, MATCH(27, 'Detalles movimientos'!$W$5:$W$1003, 0)), "")</f>
        <v/>
      </c>
      <c r="L36" s="18" t="str">
        <f>IFERROR(INDEX('Detalles movimientos'!P$5:P$1003, MATCH(27, 'Detalles movimientos'!$W$5:$W$1003, 0)), "")</f>
        <v/>
      </c>
      <c r="M36" s="18" t="str">
        <f>IFERROR(INDEX('Detalles movimientos'!S$5:S$1003, MATCH(27, 'Detalles movimientos'!$W$5:$W$1003, 0)), "")</f>
        <v/>
      </c>
    </row>
    <row r="37" spans="2:13">
      <c r="B37" s="17" t="str">
        <f>IFERROR(INDEX('Detalles movimientos'!C$5:C$1003, MATCH(28, 'Detalles movimientos'!$W$5:$W$1003, 0)), "")</f>
        <v/>
      </c>
      <c r="C37" s="18" t="str">
        <f>IFERROR(INDEX('Detalles movimientos'!D$5:D$1003, MATCH(28, 'Detalles movimientos'!$W$5:$W$1003, 0)), "")</f>
        <v/>
      </c>
      <c r="D37" s="19" t="str">
        <f>IFERROR(INDEX('Detalles movimientos'!E$5:E$1003, MATCH(28, 'Detalles movimientos'!$W$5:$W$1003, 0)), "")</f>
        <v/>
      </c>
      <c r="E37" s="19" t="str">
        <f>IFERROR(INDEX('Detalles movimientos'!F$5:F$1003, MATCH(28, 'Detalles movimientos'!$W$5:$W$1003, 0)), "")</f>
        <v/>
      </c>
      <c r="F37" s="18" t="str">
        <f>IFERROR(INDEX('Detalles movimientos'!G$5:G$1003, MATCH(28, 'Detalles movimientos'!$W$5:$W$1003, 0)), "")</f>
        <v/>
      </c>
      <c r="G37" s="20" t="str">
        <f>IFERROR(INDEX('Detalles movimientos'!H$5:H$1003, MATCH(28, 'Detalles movimientos'!$W$5:$W$1003, 0)), "")</f>
        <v/>
      </c>
      <c r="H37" s="21" t="str">
        <f>IFERROR(INDEX('Detalles movimientos'!I$5:I$1003, MATCH(28, 'Detalles movimientos'!$W$5:$W$1003, 0)), "")</f>
        <v/>
      </c>
      <c r="I37" s="20" t="str">
        <f>IFERROR(INDEX('Detalles movimientos'!M$5:M$1003, MATCH(28, 'Detalles movimientos'!$W$5:$W$1003, 0)), "")</f>
        <v/>
      </c>
      <c r="J37" s="19" t="str">
        <f>IFERROR(INDEX('Detalles movimientos'!N$5:N$1003, MATCH(28, 'Detalles movimientos'!$W$5:$W$1003, 0)), "")</f>
        <v/>
      </c>
      <c r="K37" s="20" t="str">
        <f>IFERROR(INDEX('Detalles movimientos'!O$5:O$1003, MATCH(28, 'Detalles movimientos'!$W$5:$W$1003, 0)), "")</f>
        <v/>
      </c>
      <c r="L37" s="18" t="str">
        <f>IFERROR(INDEX('Detalles movimientos'!P$5:P$1003, MATCH(28, 'Detalles movimientos'!$W$5:$W$1003, 0)), "")</f>
        <v/>
      </c>
      <c r="M37" s="18" t="str">
        <f>IFERROR(INDEX('Detalles movimientos'!S$5:S$1003, MATCH(28, 'Detalles movimientos'!$W$5:$W$1003, 0)), "")</f>
        <v/>
      </c>
    </row>
    <row r="38" spans="2:13">
      <c r="B38" s="17" t="str">
        <f>IFERROR(INDEX('Detalles movimientos'!C$5:C$1003, MATCH(29, 'Detalles movimientos'!$W$5:$W$1003, 0)), "")</f>
        <v/>
      </c>
      <c r="C38" s="18" t="str">
        <f>IFERROR(INDEX('Detalles movimientos'!D$5:D$1003, MATCH(29, 'Detalles movimientos'!$W$5:$W$1003, 0)), "")</f>
        <v/>
      </c>
      <c r="D38" s="19" t="str">
        <f>IFERROR(INDEX('Detalles movimientos'!E$5:E$1003, MATCH(29, 'Detalles movimientos'!$W$5:$W$1003, 0)), "")</f>
        <v/>
      </c>
      <c r="E38" s="19" t="str">
        <f>IFERROR(INDEX('Detalles movimientos'!F$5:F$1003, MATCH(29, 'Detalles movimientos'!$W$5:$W$1003, 0)), "")</f>
        <v/>
      </c>
      <c r="F38" s="18" t="str">
        <f>IFERROR(INDEX('Detalles movimientos'!G$5:G$1003, MATCH(29, 'Detalles movimientos'!$W$5:$W$1003, 0)), "")</f>
        <v/>
      </c>
      <c r="G38" s="20" t="str">
        <f>IFERROR(INDEX('Detalles movimientos'!H$5:H$1003, MATCH(29, 'Detalles movimientos'!$W$5:$W$1003, 0)), "")</f>
        <v/>
      </c>
      <c r="H38" s="21" t="str">
        <f>IFERROR(INDEX('Detalles movimientos'!I$5:I$1003, MATCH(29, 'Detalles movimientos'!$W$5:$W$1003, 0)), "")</f>
        <v/>
      </c>
      <c r="I38" s="20" t="str">
        <f>IFERROR(INDEX('Detalles movimientos'!M$5:M$1003, MATCH(29, 'Detalles movimientos'!$W$5:$W$1003, 0)), "")</f>
        <v/>
      </c>
      <c r="J38" s="19" t="str">
        <f>IFERROR(INDEX('Detalles movimientos'!N$5:N$1003, MATCH(29, 'Detalles movimientos'!$W$5:$W$1003, 0)), "")</f>
        <v/>
      </c>
      <c r="K38" s="20" t="str">
        <f>IFERROR(INDEX('Detalles movimientos'!O$5:O$1003, MATCH(29, 'Detalles movimientos'!$W$5:$W$1003, 0)), "")</f>
        <v/>
      </c>
      <c r="L38" s="18" t="str">
        <f>IFERROR(INDEX('Detalles movimientos'!P$5:P$1003, MATCH(29, 'Detalles movimientos'!$W$5:$W$1003, 0)), "")</f>
        <v/>
      </c>
      <c r="M38" s="18" t="str">
        <f>IFERROR(INDEX('Detalles movimientos'!S$5:S$1003, MATCH(29, 'Detalles movimientos'!$W$5:$W$1003, 0)), "")</f>
        <v/>
      </c>
    </row>
    <row r="39" spans="2:13">
      <c r="B39" s="17" t="str">
        <f>IFERROR(INDEX('Detalles movimientos'!C$5:C$1003, MATCH(30, 'Detalles movimientos'!$W$5:$W$1003, 0)), "")</f>
        <v/>
      </c>
      <c r="C39" s="18" t="str">
        <f>IFERROR(INDEX('Detalles movimientos'!D$5:D$1003, MATCH(30, 'Detalles movimientos'!$W$5:$W$1003, 0)), "")</f>
        <v/>
      </c>
      <c r="D39" s="19" t="str">
        <f>IFERROR(INDEX('Detalles movimientos'!E$5:E$1003, MATCH(30, 'Detalles movimientos'!$W$5:$W$1003, 0)), "")</f>
        <v/>
      </c>
      <c r="E39" s="19" t="str">
        <f>IFERROR(INDEX('Detalles movimientos'!F$5:F$1003, MATCH(30, 'Detalles movimientos'!$W$5:$W$1003, 0)), "")</f>
        <v/>
      </c>
      <c r="F39" s="18" t="str">
        <f>IFERROR(INDEX('Detalles movimientos'!G$5:G$1003, MATCH(30, 'Detalles movimientos'!$W$5:$W$1003, 0)), "")</f>
        <v/>
      </c>
      <c r="G39" s="20" t="str">
        <f>IFERROR(INDEX('Detalles movimientos'!H$5:H$1003, MATCH(30, 'Detalles movimientos'!$W$5:$W$1003, 0)), "")</f>
        <v/>
      </c>
      <c r="H39" s="21" t="str">
        <f>IFERROR(INDEX('Detalles movimientos'!I$5:I$1003, MATCH(30, 'Detalles movimientos'!$W$5:$W$1003, 0)), "")</f>
        <v/>
      </c>
      <c r="I39" s="20" t="str">
        <f>IFERROR(INDEX('Detalles movimientos'!M$5:M$1003, MATCH(30, 'Detalles movimientos'!$W$5:$W$1003, 0)), "")</f>
        <v/>
      </c>
      <c r="J39" s="19" t="str">
        <f>IFERROR(INDEX('Detalles movimientos'!N$5:N$1003, MATCH(30, 'Detalles movimientos'!$W$5:$W$1003, 0)), "")</f>
        <v/>
      </c>
      <c r="K39" s="20" t="str">
        <f>IFERROR(INDEX('Detalles movimientos'!O$5:O$1003, MATCH(30, 'Detalles movimientos'!$W$5:$W$1003, 0)), "")</f>
        <v/>
      </c>
      <c r="L39" s="18" t="str">
        <f>IFERROR(INDEX('Detalles movimientos'!P$5:P$1003, MATCH(30, 'Detalles movimientos'!$W$5:$W$1003, 0)), "")</f>
        <v/>
      </c>
      <c r="M39" s="18" t="str">
        <f>IFERROR(INDEX('Detalles movimientos'!S$5:S$1003, MATCH(30, 'Detalles movimientos'!$W$5:$W$1003, 0)), "")</f>
        <v/>
      </c>
    </row>
    <row r="40" spans="2:13">
      <c r="B40" s="17" t="str">
        <f>IFERROR(INDEX('Detalles movimientos'!C$5:C$1003, MATCH(31, 'Detalles movimientos'!$W$5:$W$1003, 0)), "")</f>
        <v/>
      </c>
      <c r="C40" s="18" t="str">
        <f>IFERROR(INDEX('Detalles movimientos'!D$5:D$1003, MATCH(31, 'Detalles movimientos'!$W$5:$W$1003, 0)), "")</f>
        <v/>
      </c>
      <c r="D40" s="19" t="str">
        <f>IFERROR(INDEX('Detalles movimientos'!E$5:E$1003, MATCH(31, 'Detalles movimientos'!$W$5:$W$1003, 0)), "")</f>
        <v/>
      </c>
      <c r="E40" s="19" t="str">
        <f>IFERROR(INDEX('Detalles movimientos'!F$5:F$1003, MATCH(31, 'Detalles movimientos'!$W$5:$W$1003, 0)), "")</f>
        <v/>
      </c>
      <c r="F40" s="18" t="str">
        <f>IFERROR(INDEX('Detalles movimientos'!G$5:G$1003, MATCH(31, 'Detalles movimientos'!$W$5:$W$1003, 0)), "")</f>
        <v/>
      </c>
      <c r="G40" s="20" t="str">
        <f>IFERROR(INDEX('Detalles movimientos'!H$5:H$1003, MATCH(31, 'Detalles movimientos'!$W$5:$W$1003, 0)), "")</f>
        <v/>
      </c>
      <c r="H40" s="21" t="str">
        <f>IFERROR(INDEX('Detalles movimientos'!I$5:I$1003, MATCH(31, 'Detalles movimientos'!$W$5:$W$1003, 0)), "")</f>
        <v/>
      </c>
      <c r="I40" s="20" t="str">
        <f>IFERROR(INDEX('Detalles movimientos'!M$5:M$1003, MATCH(31, 'Detalles movimientos'!$W$5:$W$1003, 0)), "")</f>
        <v/>
      </c>
      <c r="J40" s="19" t="str">
        <f>IFERROR(INDEX('Detalles movimientos'!N$5:N$1003, MATCH(31, 'Detalles movimientos'!$W$5:$W$1003, 0)), "")</f>
        <v/>
      </c>
      <c r="K40" s="20" t="str">
        <f>IFERROR(INDEX('Detalles movimientos'!O$5:O$1003, MATCH(31, 'Detalles movimientos'!$W$5:$W$1003, 0)), "")</f>
        <v/>
      </c>
      <c r="L40" s="18" t="str">
        <f>IFERROR(INDEX('Detalles movimientos'!P$5:P$1003, MATCH(31, 'Detalles movimientos'!$W$5:$W$1003, 0)), "")</f>
        <v/>
      </c>
      <c r="M40" s="18" t="str">
        <f>IFERROR(INDEX('Detalles movimientos'!S$5:S$1003, MATCH(31, 'Detalles movimientos'!$W$5:$W$1003, 0)), "")</f>
        <v/>
      </c>
    </row>
    <row r="41" spans="2:13">
      <c r="B41" s="17" t="str">
        <f>IFERROR(INDEX('Detalles movimientos'!C$5:C$1003, MATCH(32, 'Detalles movimientos'!$W$5:$W$1003, 0)), "")</f>
        <v/>
      </c>
      <c r="C41" s="18" t="str">
        <f>IFERROR(INDEX('Detalles movimientos'!D$5:D$1003, MATCH(32, 'Detalles movimientos'!$W$5:$W$1003, 0)), "")</f>
        <v/>
      </c>
      <c r="D41" s="19" t="str">
        <f>IFERROR(INDEX('Detalles movimientos'!E$5:E$1003, MATCH(32, 'Detalles movimientos'!$W$5:$W$1003, 0)), "")</f>
        <v/>
      </c>
      <c r="E41" s="19" t="str">
        <f>IFERROR(INDEX('Detalles movimientos'!F$5:F$1003, MATCH(32, 'Detalles movimientos'!$W$5:$W$1003, 0)), "")</f>
        <v/>
      </c>
      <c r="F41" s="18" t="str">
        <f>IFERROR(INDEX('Detalles movimientos'!G$5:G$1003, MATCH(32, 'Detalles movimientos'!$W$5:$W$1003, 0)), "")</f>
        <v/>
      </c>
      <c r="G41" s="20" t="str">
        <f>IFERROR(INDEX('Detalles movimientos'!H$5:H$1003, MATCH(32, 'Detalles movimientos'!$W$5:$W$1003, 0)), "")</f>
        <v/>
      </c>
      <c r="H41" s="21" t="str">
        <f>IFERROR(INDEX('Detalles movimientos'!I$5:I$1003, MATCH(32, 'Detalles movimientos'!$W$5:$W$1003, 0)), "")</f>
        <v/>
      </c>
      <c r="I41" s="20" t="str">
        <f>IFERROR(INDEX('Detalles movimientos'!M$5:M$1003, MATCH(32, 'Detalles movimientos'!$W$5:$W$1003, 0)), "")</f>
        <v/>
      </c>
      <c r="J41" s="19" t="str">
        <f>IFERROR(INDEX('Detalles movimientos'!N$5:N$1003, MATCH(32, 'Detalles movimientos'!$W$5:$W$1003, 0)), "")</f>
        <v/>
      </c>
      <c r="K41" s="20" t="str">
        <f>IFERROR(INDEX('Detalles movimientos'!O$5:O$1003, MATCH(32, 'Detalles movimientos'!$W$5:$W$1003, 0)), "")</f>
        <v/>
      </c>
      <c r="L41" s="18" t="str">
        <f>IFERROR(INDEX('Detalles movimientos'!P$5:P$1003, MATCH(32, 'Detalles movimientos'!$W$5:$W$1003, 0)), "")</f>
        <v/>
      </c>
      <c r="M41" s="18" t="str">
        <f>IFERROR(INDEX('Detalles movimientos'!S$5:S$1003, MATCH(32, 'Detalles movimientos'!$W$5:$W$1003, 0)), "")</f>
        <v/>
      </c>
    </row>
    <row r="42" spans="2:13">
      <c r="B42" s="17" t="str">
        <f>IFERROR(INDEX('Detalles movimientos'!C$5:C$1003, MATCH(33, 'Detalles movimientos'!$W$5:$W$1003, 0)), "")</f>
        <v/>
      </c>
      <c r="C42" s="18" t="str">
        <f>IFERROR(INDEX('Detalles movimientos'!D$5:D$1003, MATCH(33, 'Detalles movimientos'!$W$5:$W$1003, 0)), "")</f>
        <v/>
      </c>
      <c r="D42" s="19" t="str">
        <f>IFERROR(INDEX('Detalles movimientos'!E$5:E$1003, MATCH(33, 'Detalles movimientos'!$W$5:$W$1003, 0)), "")</f>
        <v/>
      </c>
      <c r="E42" s="19" t="str">
        <f>IFERROR(INDEX('Detalles movimientos'!F$5:F$1003, MATCH(33, 'Detalles movimientos'!$W$5:$W$1003, 0)), "")</f>
        <v/>
      </c>
      <c r="F42" s="18" t="str">
        <f>IFERROR(INDEX('Detalles movimientos'!G$5:G$1003, MATCH(33, 'Detalles movimientos'!$W$5:$W$1003, 0)), "")</f>
        <v/>
      </c>
      <c r="G42" s="20" t="str">
        <f>IFERROR(INDEX('Detalles movimientos'!H$5:H$1003, MATCH(33, 'Detalles movimientos'!$W$5:$W$1003, 0)), "")</f>
        <v/>
      </c>
      <c r="H42" s="21" t="str">
        <f>IFERROR(INDEX('Detalles movimientos'!I$5:I$1003, MATCH(33, 'Detalles movimientos'!$W$5:$W$1003, 0)), "")</f>
        <v/>
      </c>
      <c r="I42" s="20" t="str">
        <f>IFERROR(INDEX('Detalles movimientos'!M$5:M$1003, MATCH(33, 'Detalles movimientos'!$W$5:$W$1003, 0)), "")</f>
        <v/>
      </c>
      <c r="J42" s="19" t="str">
        <f>IFERROR(INDEX('Detalles movimientos'!N$5:N$1003, MATCH(33, 'Detalles movimientos'!$W$5:$W$1003, 0)), "")</f>
        <v/>
      </c>
      <c r="K42" s="20" t="str">
        <f>IFERROR(INDEX('Detalles movimientos'!O$5:O$1003, MATCH(33, 'Detalles movimientos'!$W$5:$W$1003, 0)), "")</f>
        <v/>
      </c>
      <c r="L42" s="18" t="str">
        <f>IFERROR(INDEX('Detalles movimientos'!P$5:P$1003, MATCH(33, 'Detalles movimientos'!$W$5:$W$1003, 0)), "")</f>
        <v/>
      </c>
      <c r="M42" s="18" t="str">
        <f>IFERROR(INDEX('Detalles movimientos'!S$5:S$1003, MATCH(33, 'Detalles movimientos'!$W$5:$W$1003, 0)), "")</f>
        <v/>
      </c>
    </row>
    <row r="43" spans="2:13">
      <c r="B43" s="17" t="str">
        <f>IFERROR(INDEX('Detalles movimientos'!C$5:C$1003, MATCH(34, 'Detalles movimientos'!$W$5:$W$1003, 0)), "")</f>
        <v/>
      </c>
      <c r="C43" s="18" t="str">
        <f>IFERROR(INDEX('Detalles movimientos'!D$5:D$1003, MATCH(34, 'Detalles movimientos'!$W$5:$W$1003, 0)), "")</f>
        <v/>
      </c>
      <c r="D43" s="19" t="str">
        <f>IFERROR(INDEX('Detalles movimientos'!E$5:E$1003, MATCH(34, 'Detalles movimientos'!$W$5:$W$1003, 0)), "")</f>
        <v/>
      </c>
      <c r="E43" s="19" t="str">
        <f>IFERROR(INDEX('Detalles movimientos'!F$5:F$1003, MATCH(34, 'Detalles movimientos'!$W$5:$W$1003, 0)), "")</f>
        <v/>
      </c>
      <c r="F43" s="18" t="str">
        <f>IFERROR(INDEX('Detalles movimientos'!G$5:G$1003, MATCH(34, 'Detalles movimientos'!$W$5:$W$1003, 0)), "")</f>
        <v/>
      </c>
      <c r="G43" s="20" t="str">
        <f>IFERROR(INDEX('Detalles movimientos'!H$5:H$1003, MATCH(34, 'Detalles movimientos'!$W$5:$W$1003, 0)), "")</f>
        <v/>
      </c>
      <c r="H43" s="21" t="str">
        <f>IFERROR(INDEX('Detalles movimientos'!I$5:I$1003, MATCH(34, 'Detalles movimientos'!$W$5:$W$1003, 0)), "")</f>
        <v/>
      </c>
      <c r="I43" s="20" t="str">
        <f>IFERROR(INDEX('Detalles movimientos'!M$5:M$1003, MATCH(34, 'Detalles movimientos'!$W$5:$W$1003, 0)), "")</f>
        <v/>
      </c>
      <c r="J43" s="19" t="str">
        <f>IFERROR(INDEX('Detalles movimientos'!N$5:N$1003, MATCH(34, 'Detalles movimientos'!$W$5:$W$1003, 0)), "")</f>
        <v/>
      </c>
      <c r="K43" s="20" t="str">
        <f>IFERROR(INDEX('Detalles movimientos'!O$5:O$1003, MATCH(34, 'Detalles movimientos'!$W$5:$W$1003, 0)), "")</f>
        <v/>
      </c>
      <c r="L43" s="18" t="str">
        <f>IFERROR(INDEX('Detalles movimientos'!P$5:P$1003, MATCH(34, 'Detalles movimientos'!$W$5:$W$1003, 0)), "")</f>
        <v/>
      </c>
      <c r="M43" s="18" t="str">
        <f>IFERROR(INDEX('Detalles movimientos'!S$5:S$1003, MATCH(34, 'Detalles movimientos'!$W$5:$W$1003, 0)), "")</f>
        <v/>
      </c>
    </row>
    <row r="44" spans="2:13">
      <c r="B44" s="17" t="str">
        <f>IFERROR(INDEX('Detalles movimientos'!C$5:C$1003, MATCH(35, 'Detalles movimientos'!$W$5:$W$1003, 0)), "")</f>
        <v/>
      </c>
      <c r="C44" s="18" t="str">
        <f>IFERROR(INDEX('Detalles movimientos'!D$5:D$1003, MATCH(35, 'Detalles movimientos'!$W$5:$W$1003, 0)), "")</f>
        <v/>
      </c>
      <c r="D44" s="19" t="str">
        <f>IFERROR(INDEX('Detalles movimientos'!E$5:E$1003, MATCH(35, 'Detalles movimientos'!$W$5:$W$1003, 0)), "")</f>
        <v/>
      </c>
      <c r="E44" s="19" t="str">
        <f>IFERROR(INDEX('Detalles movimientos'!F$5:F$1003, MATCH(35, 'Detalles movimientos'!$W$5:$W$1003, 0)), "")</f>
        <v/>
      </c>
      <c r="F44" s="18" t="str">
        <f>IFERROR(INDEX('Detalles movimientos'!G$5:G$1003, MATCH(35, 'Detalles movimientos'!$W$5:$W$1003, 0)), "")</f>
        <v/>
      </c>
      <c r="G44" s="20" t="str">
        <f>IFERROR(INDEX('Detalles movimientos'!H$5:H$1003, MATCH(35, 'Detalles movimientos'!$W$5:$W$1003, 0)), "")</f>
        <v/>
      </c>
      <c r="H44" s="21" t="str">
        <f>IFERROR(INDEX('Detalles movimientos'!I$5:I$1003, MATCH(35, 'Detalles movimientos'!$W$5:$W$1003, 0)), "")</f>
        <v/>
      </c>
      <c r="I44" s="20" t="str">
        <f>IFERROR(INDEX('Detalles movimientos'!M$5:M$1003, MATCH(35, 'Detalles movimientos'!$W$5:$W$1003, 0)), "")</f>
        <v/>
      </c>
      <c r="J44" s="19" t="str">
        <f>IFERROR(INDEX('Detalles movimientos'!N$5:N$1003, MATCH(35, 'Detalles movimientos'!$W$5:$W$1003, 0)), "")</f>
        <v/>
      </c>
      <c r="K44" s="20" t="str">
        <f>IFERROR(INDEX('Detalles movimientos'!O$5:O$1003, MATCH(35, 'Detalles movimientos'!$W$5:$W$1003, 0)), "")</f>
        <v/>
      </c>
      <c r="L44" s="18" t="str">
        <f>IFERROR(INDEX('Detalles movimientos'!P$5:P$1003, MATCH(35, 'Detalles movimientos'!$W$5:$W$1003, 0)), "")</f>
        <v/>
      </c>
      <c r="M44" s="18" t="str">
        <f>IFERROR(INDEX('Detalles movimientos'!S$5:S$1003, MATCH(35, 'Detalles movimientos'!$W$5:$W$1003, 0)), "")</f>
        <v/>
      </c>
    </row>
    <row r="45" spans="2:13">
      <c r="B45" s="17" t="str">
        <f>IFERROR(INDEX('Detalles movimientos'!C$5:C$1003, MATCH(36, 'Detalles movimientos'!$W$5:$W$1003, 0)), "")</f>
        <v/>
      </c>
      <c r="C45" s="18" t="str">
        <f>IFERROR(INDEX('Detalles movimientos'!D$5:D$1003, MATCH(36, 'Detalles movimientos'!$W$5:$W$1003, 0)), "")</f>
        <v/>
      </c>
      <c r="D45" s="19" t="str">
        <f>IFERROR(INDEX('Detalles movimientos'!E$5:E$1003, MATCH(36, 'Detalles movimientos'!$W$5:$W$1003, 0)), "")</f>
        <v/>
      </c>
      <c r="E45" s="19" t="str">
        <f>IFERROR(INDEX('Detalles movimientos'!F$5:F$1003, MATCH(36, 'Detalles movimientos'!$W$5:$W$1003, 0)), "")</f>
        <v/>
      </c>
      <c r="F45" s="18" t="str">
        <f>IFERROR(INDEX('Detalles movimientos'!G$5:G$1003, MATCH(36, 'Detalles movimientos'!$W$5:$W$1003, 0)), "")</f>
        <v/>
      </c>
      <c r="G45" s="20" t="str">
        <f>IFERROR(INDEX('Detalles movimientos'!H$5:H$1003, MATCH(36, 'Detalles movimientos'!$W$5:$W$1003, 0)), "")</f>
        <v/>
      </c>
      <c r="H45" s="21" t="str">
        <f>IFERROR(INDEX('Detalles movimientos'!I$5:I$1003, MATCH(36, 'Detalles movimientos'!$W$5:$W$1003, 0)), "")</f>
        <v/>
      </c>
      <c r="I45" s="20" t="str">
        <f>IFERROR(INDEX('Detalles movimientos'!M$5:M$1003, MATCH(36, 'Detalles movimientos'!$W$5:$W$1003, 0)), "")</f>
        <v/>
      </c>
      <c r="J45" s="19" t="str">
        <f>IFERROR(INDEX('Detalles movimientos'!N$5:N$1003, MATCH(36, 'Detalles movimientos'!$W$5:$W$1003, 0)), "")</f>
        <v/>
      </c>
      <c r="K45" s="20" t="str">
        <f>IFERROR(INDEX('Detalles movimientos'!O$5:O$1003, MATCH(36, 'Detalles movimientos'!$W$5:$W$1003, 0)), "")</f>
        <v/>
      </c>
      <c r="L45" s="18" t="str">
        <f>IFERROR(INDEX('Detalles movimientos'!P$5:P$1003, MATCH(36, 'Detalles movimientos'!$W$5:$W$1003, 0)), "")</f>
        <v/>
      </c>
      <c r="M45" s="18" t="str">
        <f>IFERROR(INDEX('Detalles movimientos'!S$5:S$1003, MATCH(36, 'Detalles movimientos'!$W$5:$W$1003, 0)), "")</f>
        <v/>
      </c>
    </row>
    <row r="46" spans="2:13">
      <c r="B46" s="17" t="str">
        <f>IFERROR(INDEX('Detalles movimientos'!C$5:C$1003, MATCH(37, 'Detalles movimientos'!$W$5:$W$1003, 0)), "")</f>
        <v/>
      </c>
      <c r="C46" s="18" t="str">
        <f>IFERROR(INDEX('Detalles movimientos'!D$5:D$1003, MATCH(37, 'Detalles movimientos'!$W$5:$W$1003, 0)), "")</f>
        <v/>
      </c>
      <c r="D46" s="19" t="str">
        <f>IFERROR(INDEX('Detalles movimientos'!E$5:E$1003, MATCH(37, 'Detalles movimientos'!$W$5:$W$1003, 0)), "")</f>
        <v/>
      </c>
      <c r="E46" s="19" t="str">
        <f>IFERROR(INDEX('Detalles movimientos'!F$5:F$1003, MATCH(37, 'Detalles movimientos'!$W$5:$W$1003, 0)), "")</f>
        <v/>
      </c>
      <c r="F46" s="18" t="str">
        <f>IFERROR(INDEX('Detalles movimientos'!G$5:G$1003, MATCH(37, 'Detalles movimientos'!$W$5:$W$1003, 0)), "")</f>
        <v/>
      </c>
      <c r="G46" s="20" t="str">
        <f>IFERROR(INDEX('Detalles movimientos'!H$5:H$1003, MATCH(37, 'Detalles movimientos'!$W$5:$W$1003, 0)), "")</f>
        <v/>
      </c>
      <c r="H46" s="21" t="str">
        <f>IFERROR(INDEX('Detalles movimientos'!I$5:I$1003, MATCH(37, 'Detalles movimientos'!$W$5:$W$1003, 0)), "")</f>
        <v/>
      </c>
      <c r="I46" s="20" t="str">
        <f>IFERROR(INDEX('Detalles movimientos'!M$5:M$1003, MATCH(37, 'Detalles movimientos'!$W$5:$W$1003, 0)), "")</f>
        <v/>
      </c>
      <c r="J46" s="19" t="str">
        <f>IFERROR(INDEX('Detalles movimientos'!N$5:N$1003, MATCH(37, 'Detalles movimientos'!$W$5:$W$1003, 0)), "")</f>
        <v/>
      </c>
      <c r="K46" s="20" t="str">
        <f>IFERROR(INDEX('Detalles movimientos'!O$5:O$1003, MATCH(37, 'Detalles movimientos'!$W$5:$W$1003, 0)), "")</f>
        <v/>
      </c>
      <c r="L46" s="18" t="str">
        <f>IFERROR(INDEX('Detalles movimientos'!P$5:P$1003, MATCH(37, 'Detalles movimientos'!$W$5:$W$1003, 0)), "")</f>
        <v/>
      </c>
      <c r="M46" s="18" t="str">
        <f>IFERROR(INDEX('Detalles movimientos'!S$5:S$1003, MATCH(37, 'Detalles movimientos'!$W$5:$W$1003, 0)), "")</f>
        <v/>
      </c>
    </row>
    <row r="47" spans="2:13">
      <c r="B47" s="17" t="str">
        <f>IFERROR(INDEX('Detalles movimientos'!C$5:C$1003, MATCH(38, 'Detalles movimientos'!$W$5:$W$1003, 0)), "")</f>
        <v/>
      </c>
      <c r="C47" s="18" t="str">
        <f>IFERROR(INDEX('Detalles movimientos'!D$5:D$1003, MATCH(38, 'Detalles movimientos'!$W$5:$W$1003, 0)), "")</f>
        <v/>
      </c>
      <c r="D47" s="19" t="str">
        <f>IFERROR(INDEX('Detalles movimientos'!E$5:E$1003, MATCH(38, 'Detalles movimientos'!$W$5:$W$1003, 0)), "")</f>
        <v/>
      </c>
      <c r="E47" s="19" t="str">
        <f>IFERROR(INDEX('Detalles movimientos'!F$5:F$1003, MATCH(38, 'Detalles movimientos'!$W$5:$W$1003, 0)), "")</f>
        <v/>
      </c>
      <c r="F47" s="18" t="str">
        <f>IFERROR(INDEX('Detalles movimientos'!G$5:G$1003, MATCH(38, 'Detalles movimientos'!$W$5:$W$1003, 0)), "")</f>
        <v/>
      </c>
      <c r="G47" s="20" t="str">
        <f>IFERROR(INDEX('Detalles movimientos'!H$5:H$1003, MATCH(38, 'Detalles movimientos'!$W$5:$W$1003, 0)), "")</f>
        <v/>
      </c>
      <c r="H47" s="21" t="str">
        <f>IFERROR(INDEX('Detalles movimientos'!I$5:I$1003, MATCH(38, 'Detalles movimientos'!$W$5:$W$1003, 0)), "")</f>
        <v/>
      </c>
      <c r="I47" s="20" t="str">
        <f>IFERROR(INDEX('Detalles movimientos'!M$5:M$1003, MATCH(38, 'Detalles movimientos'!$W$5:$W$1003, 0)), "")</f>
        <v/>
      </c>
      <c r="J47" s="19" t="str">
        <f>IFERROR(INDEX('Detalles movimientos'!N$5:N$1003, MATCH(38, 'Detalles movimientos'!$W$5:$W$1003, 0)), "")</f>
        <v/>
      </c>
      <c r="K47" s="20" t="str">
        <f>IFERROR(INDEX('Detalles movimientos'!O$5:O$1003, MATCH(38, 'Detalles movimientos'!$W$5:$W$1003, 0)), "")</f>
        <v/>
      </c>
      <c r="L47" s="18" t="str">
        <f>IFERROR(INDEX('Detalles movimientos'!P$5:P$1003, MATCH(38, 'Detalles movimientos'!$W$5:$W$1003, 0)), "")</f>
        <v/>
      </c>
      <c r="M47" s="18" t="str">
        <f>IFERROR(INDEX('Detalles movimientos'!S$5:S$1003, MATCH(38, 'Detalles movimientos'!$W$5:$W$1003, 0)), "")</f>
        <v/>
      </c>
    </row>
    <row r="48" spans="2:13">
      <c r="B48" s="17" t="str">
        <f>IFERROR(INDEX('Detalles movimientos'!C$5:C$1003, MATCH(39, 'Detalles movimientos'!$W$5:$W$1003, 0)), "")</f>
        <v/>
      </c>
      <c r="C48" s="18" t="str">
        <f>IFERROR(INDEX('Detalles movimientos'!D$5:D$1003, MATCH(39, 'Detalles movimientos'!$W$5:$W$1003, 0)), "")</f>
        <v/>
      </c>
      <c r="D48" s="19" t="str">
        <f>IFERROR(INDEX('Detalles movimientos'!E$5:E$1003, MATCH(39, 'Detalles movimientos'!$W$5:$W$1003, 0)), "")</f>
        <v/>
      </c>
      <c r="E48" s="19" t="str">
        <f>IFERROR(INDEX('Detalles movimientos'!F$5:F$1003, MATCH(39, 'Detalles movimientos'!$W$5:$W$1003, 0)), "")</f>
        <v/>
      </c>
      <c r="F48" s="18" t="str">
        <f>IFERROR(INDEX('Detalles movimientos'!G$5:G$1003, MATCH(39, 'Detalles movimientos'!$W$5:$W$1003, 0)), "")</f>
        <v/>
      </c>
      <c r="G48" s="20" t="str">
        <f>IFERROR(INDEX('Detalles movimientos'!H$5:H$1003, MATCH(39, 'Detalles movimientos'!$W$5:$W$1003, 0)), "")</f>
        <v/>
      </c>
      <c r="H48" s="21" t="str">
        <f>IFERROR(INDEX('Detalles movimientos'!I$5:I$1003, MATCH(39, 'Detalles movimientos'!$W$5:$W$1003, 0)), "")</f>
        <v/>
      </c>
      <c r="I48" s="20" t="str">
        <f>IFERROR(INDEX('Detalles movimientos'!M$5:M$1003, MATCH(39, 'Detalles movimientos'!$W$5:$W$1003, 0)), "")</f>
        <v/>
      </c>
      <c r="J48" s="19" t="str">
        <f>IFERROR(INDEX('Detalles movimientos'!N$5:N$1003, MATCH(39, 'Detalles movimientos'!$W$5:$W$1003, 0)), "")</f>
        <v/>
      </c>
      <c r="K48" s="20" t="str">
        <f>IFERROR(INDEX('Detalles movimientos'!O$5:O$1003, MATCH(39, 'Detalles movimientos'!$W$5:$W$1003, 0)), "")</f>
        <v/>
      </c>
      <c r="L48" s="18" t="str">
        <f>IFERROR(INDEX('Detalles movimientos'!P$5:P$1003, MATCH(39, 'Detalles movimientos'!$W$5:$W$1003, 0)), "")</f>
        <v/>
      </c>
      <c r="M48" s="18" t="str">
        <f>IFERROR(INDEX('Detalles movimientos'!S$5:S$1003, MATCH(39, 'Detalles movimientos'!$W$5:$W$1003, 0)), "")</f>
        <v/>
      </c>
    </row>
    <row r="49" spans="2:13">
      <c r="B49" s="17" t="str">
        <f>IFERROR(INDEX('Detalles movimientos'!C$5:C$1003, MATCH(40, 'Detalles movimientos'!$W$5:$W$1003, 0)), "")</f>
        <v/>
      </c>
      <c r="C49" s="18" t="str">
        <f>IFERROR(INDEX('Detalles movimientos'!D$5:D$1003, MATCH(40, 'Detalles movimientos'!$W$5:$W$1003, 0)), "")</f>
        <v/>
      </c>
      <c r="D49" s="19" t="str">
        <f>IFERROR(INDEX('Detalles movimientos'!E$5:E$1003, MATCH(40, 'Detalles movimientos'!$W$5:$W$1003, 0)), "")</f>
        <v/>
      </c>
      <c r="E49" s="19" t="str">
        <f>IFERROR(INDEX('Detalles movimientos'!F$5:F$1003, MATCH(40, 'Detalles movimientos'!$W$5:$W$1003, 0)), "")</f>
        <v/>
      </c>
      <c r="F49" s="18" t="str">
        <f>IFERROR(INDEX('Detalles movimientos'!G$5:G$1003, MATCH(40, 'Detalles movimientos'!$W$5:$W$1003, 0)), "")</f>
        <v/>
      </c>
      <c r="G49" s="20" t="str">
        <f>IFERROR(INDEX('Detalles movimientos'!H$5:H$1003, MATCH(40, 'Detalles movimientos'!$W$5:$W$1003, 0)), "")</f>
        <v/>
      </c>
      <c r="H49" s="21" t="str">
        <f>IFERROR(INDEX('Detalles movimientos'!I$5:I$1003, MATCH(40, 'Detalles movimientos'!$W$5:$W$1003, 0)), "")</f>
        <v/>
      </c>
      <c r="I49" s="20" t="str">
        <f>IFERROR(INDEX('Detalles movimientos'!M$5:M$1003, MATCH(40, 'Detalles movimientos'!$W$5:$W$1003, 0)), "")</f>
        <v/>
      </c>
      <c r="J49" s="19" t="str">
        <f>IFERROR(INDEX('Detalles movimientos'!N$5:N$1003, MATCH(40, 'Detalles movimientos'!$W$5:$W$1003, 0)), "")</f>
        <v/>
      </c>
      <c r="K49" s="20" t="str">
        <f>IFERROR(INDEX('Detalles movimientos'!O$5:O$1003, MATCH(40, 'Detalles movimientos'!$W$5:$W$1003, 0)), "")</f>
        <v/>
      </c>
      <c r="L49" s="18" t="str">
        <f>IFERROR(INDEX('Detalles movimientos'!P$5:P$1003, MATCH(40, 'Detalles movimientos'!$W$5:$W$1003, 0)), "")</f>
        <v/>
      </c>
      <c r="M49" s="18" t="str">
        <f>IFERROR(INDEX('Detalles movimientos'!S$5:S$1003, MATCH(40, 'Detalles movimientos'!$W$5:$W$1003, 0)), "")</f>
        <v/>
      </c>
    </row>
    <row r="50" spans="2:13">
      <c r="B50" s="17" t="str">
        <f>IFERROR(INDEX('Detalles movimientos'!C$5:C$1003, MATCH(41, 'Detalles movimientos'!$W$5:$W$1003, 0)), "")</f>
        <v/>
      </c>
      <c r="C50" s="18" t="str">
        <f>IFERROR(INDEX('Detalles movimientos'!D$5:D$1003, MATCH(41, 'Detalles movimientos'!$W$5:$W$1003, 0)), "")</f>
        <v/>
      </c>
      <c r="D50" s="19" t="str">
        <f>IFERROR(INDEX('Detalles movimientos'!E$5:E$1003, MATCH(41, 'Detalles movimientos'!$W$5:$W$1003, 0)), "")</f>
        <v/>
      </c>
      <c r="E50" s="19" t="str">
        <f>IFERROR(INDEX('Detalles movimientos'!F$5:F$1003, MATCH(41, 'Detalles movimientos'!$W$5:$W$1003, 0)), "")</f>
        <v/>
      </c>
      <c r="F50" s="18" t="str">
        <f>IFERROR(INDEX('Detalles movimientos'!G$5:G$1003, MATCH(41, 'Detalles movimientos'!$W$5:$W$1003, 0)), "")</f>
        <v/>
      </c>
      <c r="G50" s="20" t="str">
        <f>IFERROR(INDEX('Detalles movimientos'!H$5:H$1003, MATCH(41, 'Detalles movimientos'!$W$5:$W$1003, 0)), "")</f>
        <v/>
      </c>
      <c r="H50" s="21" t="str">
        <f>IFERROR(INDEX('Detalles movimientos'!I$5:I$1003, MATCH(41, 'Detalles movimientos'!$W$5:$W$1003, 0)), "")</f>
        <v/>
      </c>
      <c r="I50" s="20" t="str">
        <f>IFERROR(INDEX('Detalles movimientos'!M$5:M$1003, MATCH(41, 'Detalles movimientos'!$W$5:$W$1003, 0)), "")</f>
        <v/>
      </c>
      <c r="J50" s="19" t="str">
        <f>IFERROR(INDEX('Detalles movimientos'!N$5:N$1003, MATCH(41, 'Detalles movimientos'!$W$5:$W$1003, 0)), "")</f>
        <v/>
      </c>
      <c r="K50" s="20" t="str">
        <f>IFERROR(INDEX('Detalles movimientos'!O$5:O$1003, MATCH(41, 'Detalles movimientos'!$W$5:$W$1003, 0)), "")</f>
        <v/>
      </c>
      <c r="L50" s="18" t="str">
        <f>IFERROR(INDEX('Detalles movimientos'!P$5:P$1003, MATCH(41, 'Detalles movimientos'!$W$5:$W$1003, 0)), "")</f>
        <v/>
      </c>
      <c r="M50" s="18" t="str">
        <f>IFERROR(INDEX('Detalles movimientos'!S$5:S$1003, MATCH(41, 'Detalles movimientos'!$W$5:$W$1003, 0)), "")</f>
        <v/>
      </c>
    </row>
    <row r="51" spans="2:13">
      <c r="B51" s="17" t="str">
        <f>IFERROR(INDEX('Detalles movimientos'!C$5:C$1003, MATCH(42, 'Detalles movimientos'!$W$5:$W$1003, 0)), "")</f>
        <v/>
      </c>
      <c r="C51" s="18" t="str">
        <f>IFERROR(INDEX('Detalles movimientos'!D$5:D$1003, MATCH(42, 'Detalles movimientos'!$W$5:$W$1003, 0)), "")</f>
        <v/>
      </c>
      <c r="D51" s="19" t="str">
        <f>IFERROR(INDEX('Detalles movimientos'!E$5:E$1003, MATCH(42, 'Detalles movimientos'!$W$5:$W$1003, 0)), "")</f>
        <v/>
      </c>
      <c r="E51" s="19" t="str">
        <f>IFERROR(INDEX('Detalles movimientos'!F$5:F$1003, MATCH(42, 'Detalles movimientos'!$W$5:$W$1003, 0)), "")</f>
        <v/>
      </c>
      <c r="F51" s="18" t="str">
        <f>IFERROR(INDEX('Detalles movimientos'!G$5:G$1003, MATCH(42, 'Detalles movimientos'!$W$5:$W$1003, 0)), "")</f>
        <v/>
      </c>
      <c r="G51" s="20" t="str">
        <f>IFERROR(INDEX('Detalles movimientos'!H$5:H$1003, MATCH(42, 'Detalles movimientos'!$W$5:$W$1003, 0)), "")</f>
        <v/>
      </c>
      <c r="H51" s="21" t="str">
        <f>IFERROR(INDEX('Detalles movimientos'!I$5:I$1003, MATCH(42, 'Detalles movimientos'!$W$5:$W$1003, 0)), "")</f>
        <v/>
      </c>
      <c r="I51" s="20" t="str">
        <f>IFERROR(INDEX('Detalles movimientos'!M$5:M$1003, MATCH(42, 'Detalles movimientos'!$W$5:$W$1003, 0)), "")</f>
        <v/>
      </c>
      <c r="J51" s="19" t="str">
        <f>IFERROR(INDEX('Detalles movimientos'!N$5:N$1003, MATCH(42, 'Detalles movimientos'!$W$5:$W$1003, 0)), "")</f>
        <v/>
      </c>
      <c r="K51" s="20" t="str">
        <f>IFERROR(INDEX('Detalles movimientos'!O$5:O$1003, MATCH(42, 'Detalles movimientos'!$W$5:$W$1003, 0)), "")</f>
        <v/>
      </c>
      <c r="L51" s="18" t="str">
        <f>IFERROR(INDEX('Detalles movimientos'!P$5:P$1003, MATCH(42, 'Detalles movimientos'!$W$5:$W$1003, 0)), "")</f>
        <v/>
      </c>
      <c r="M51" s="18" t="str">
        <f>IFERROR(INDEX('Detalles movimientos'!S$5:S$1003, MATCH(42, 'Detalles movimientos'!$W$5:$W$1003, 0)), "")</f>
        <v/>
      </c>
    </row>
    <row r="52" spans="2:13">
      <c r="B52" s="17" t="str">
        <f>IFERROR(INDEX('Detalles movimientos'!C$5:C$1003, MATCH(43, 'Detalles movimientos'!$W$5:$W$1003, 0)), "")</f>
        <v/>
      </c>
      <c r="C52" s="18" t="str">
        <f>IFERROR(INDEX('Detalles movimientos'!D$5:D$1003, MATCH(43, 'Detalles movimientos'!$W$5:$W$1003, 0)), "")</f>
        <v/>
      </c>
      <c r="D52" s="19" t="str">
        <f>IFERROR(INDEX('Detalles movimientos'!E$5:E$1003, MATCH(43, 'Detalles movimientos'!$W$5:$W$1003, 0)), "")</f>
        <v/>
      </c>
      <c r="E52" s="19" t="str">
        <f>IFERROR(INDEX('Detalles movimientos'!F$5:F$1003, MATCH(43, 'Detalles movimientos'!$W$5:$W$1003, 0)), "")</f>
        <v/>
      </c>
      <c r="F52" s="18" t="str">
        <f>IFERROR(INDEX('Detalles movimientos'!G$5:G$1003, MATCH(43, 'Detalles movimientos'!$W$5:$W$1003, 0)), "")</f>
        <v/>
      </c>
      <c r="G52" s="20" t="str">
        <f>IFERROR(INDEX('Detalles movimientos'!H$5:H$1003, MATCH(43, 'Detalles movimientos'!$W$5:$W$1003, 0)), "")</f>
        <v/>
      </c>
      <c r="H52" s="21" t="str">
        <f>IFERROR(INDEX('Detalles movimientos'!I$5:I$1003, MATCH(43, 'Detalles movimientos'!$W$5:$W$1003, 0)), "")</f>
        <v/>
      </c>
      <c r="I52" s="20" t="str">
        <f>IFERROR(INDEX('Detalles movimientos'!M$5:M$1003, MATCH(43, 'Detalles movimientos'!$W$5:$W$1003, 0)), "")</f>
        <v/>
      </c>
      <c r="J52" s="19" t="str">
        <f>IFERROR(INDEX('Detalles movimientos'!N$5:N$1003, MATCH(43, 'Detalles movimientos'!$W$5:$W$1003, 0)), "")</f>
        <v/>
      </c>
      <c r="K52" s="20" t="str">
        <f>IFERROR(INDEX('Detalles movimientos'!O$5:O$1003, MATCH(43, 'Detalles movimientos'!$W$5:$W$1003, 0)), "")</f>
        <v/>
      </c>
      <c r="L52" s="18" t="str">
        <f>IFERROR(INDEX('Detalles movimientos'!P$5:P$1003, MATCH(43, 'Detalles movimientos'!$W$5:$W$1003, 0)), "")</f>
        <v/>
      </c>
      <c r="M52" s="18" t="str">
        <f>IFERROR(INDEX('Detalles movimientos'!S$5:S$1003, MATCH(43, 'Detalles movimientos'!$W$5:$W$1003, 0)), "")</f>
        <v/>
      </c>
    </row>
    <row r="53" spans="2:13">
      <c r="B53" s="17" t="str">
        <f>IFERROR(INDEX('Detalles movimientos'!C$5:C$1003, MATCH(44, 'Detalles movimientos'!$W$5:$W$1003, 0)), "")</f>
        <v/>
      </c>
      <c r="C53" s="18" t="str">
        <f>IFERROR(INDEX('Detalles movimientos'!D$5:D$1003, MATCH(44, 'Detalles movimientos'!$W$5:$W$1003, 0)), "")</f>
        <v/>
      </c>
      <c r="D53" s="19" t="str">
        <f>IFERROR(INDEX('Detalles movimientos'!E$5:E$1003, MATCH(44, 'Detalles movimientos'!$W$5:$W$1003, 0)), "")</f>
        <v/>
      </c>
      <c r="E53" s="19" t="str">
        <f>IFERROR(INDEX('Detalles movimientos'!F$5:F$1003, MATCH(44, 'Detalles movimientos'!$W$5:$W$1003, 0)), "")</f>
        <v/>
      </c>
      <c r="F53" s="18" t="str">
        <f>IFERROR(INDEX('Detalles movimientos'!G$5:G$1003, MATCH(44, 'Detalles movimientos'!$W$5:$W$1003, 0)), "")</f>
        <v/>
      </c>
      <c r="G53" s="20" t="str">
        <f>IFERROR(INDEX('Detalles movimientos'!H$5:H$1003, MATCH(44, 'Detalles movimientos'!$W$5:$W$1003, 0)), "")</f>
        <v/>
      </c>
      <c r="H53" s="21" t="str">
        <f>IFERROR(INDEX('Detalles movimientos'!I$5:I$1003, MATCH(44, 'Detalles movimientos'!$W$5:$W$1003, 0)), "")</f>
        <v/>
      </c>
      <c r="I53" s="20" t="str">
        <f>IFERROR(INDEX('Detalles movimientos'!M$5:M$1003, MATCH(44, 'Detalles movimientos'!$W$5:$W$1003, 0)), "")</f>
        <v/>
      </c>
      <c r="J53" s="19" t="str">
        <f>IFERROR(INDEX('Detalles movimientos'!N$5:N$1003, MATCH(44, 'Detalles movimientos'!$W$5:$W$1003, 0)), "")</f>
        <v/>
      </c>
      <c r="K53" s="20" t="str">
        <f>IFERROR(INDEX('Detalles movimientos'!O$5:O$1003, MATCH(44, 'Detalles movimientos'!$W$5:$W$1003, 0)), "")</f>
        <v/>
      </c>
      <c r="L53" s="18" t="str">
        <f>IFERROR(INDEX('Detalles movimientos'!P$5:P$1003, MATCH(44, 'Detalles movimientos'!$W$5:$W$1003, 0)), "")</f>
        <v/>
      </c>
      <c r="M53" s="18" t="str">
        <f>IFERROR(INDEX('Detalles movimientos'!S$5:S$1003, MATCH(44, 'Detalles movimientos'!$W$5:$W$1003, 0)), "")</f>
        <v/>
      </c>
    </row>
    <row r="54" spans="2:13">
      <c r="B54" s="17" t="str">
        <f>IFERROR(INDEX('Detalles movimientos'!C$5:C$1003, MATCH(45, 'Detalles movimientos'!$W$5:$W$1003, 0)), "")</f>
        <v/>
      </c>
      <c r="C54" s="18" t="str">
        <f>IFERROR(INDEX('Detalles movimientos'!D$5:D$1003, MATCH(45, 'Detalles movimientos'!$W$5:$W$1003, 0)), "")</f>
        <v/>
      </c>
      <c r="D54" s="19" t="str">
        <f>IFERROR(INDEX('Detalles movimientos'!E$5:E$1003, MATCH(45, 'Detalles movimientos'!$W$5:$W$1003, 0)), "")</f>
        <v/>
      </c>
      <c r="E54" s="19" t="str">
        <f>IFERROR(INDEX('Detalles movimientos'!F$5:F$1003, MATCH(45, 'Detalles movimientos'!$W$5:$W$1003, 0)), "")</f>
        <v/>
      </c>
      <c r="F54" s="18" t="str">
        <f>IFERROR(INDEX('Detalles movimientos'!G$5:G$1003, MATCH(45, 'Detalles movimientos'!$W$5:$W$1003, 0)), "")</f>
        <v/>
      </c>
      <c r="G54" s="20" t="str">
        <f>IFERROR(INDEX('Detalles movimientos'!H$5:H$1003, MATCH(45, 'Detalles movimientos'!$W$5:$W$1003, 0)), "")</f>
        <v/>
      </c>
      <c r="H54" s="21" t="str">
        <f>IFERROR(INDEX('Detalles movimientos'!I$5:I$1003, MATCH(45, 'Detalles movimientos'!$W$5:$W$1003, 0)), "")</f>
        <v/>
      </c>
      <c r="I54" s="20" t="str">
        <f>IFERROR(INDEX('Detalles movimientos'!M$5:M$1003, MATCH(45, 'Detalles movimientos'!$W$5:$W$1003, 0)), "")</f>
        <v/>
      </c>
      <c r="J54" s="19" t="str">
        <f>IFERROR(INDEX('Detalles movimientos'!N$5:N$1003, MATCH(45, 'Detalles movimientos'!$W$5:$W$1003, 0)), "")</f>
        <v/>
      </c>
      <c r="K54" s="20" t="str">
        <f>IFERROR(INDEX('Detalles movimientos'!O$5:O$1003, MATCH(45, 'Detalles movimientos'!$W$5:$W$1003, 0)), "")</f>
        <v/>
      </c>
      <c r="L54" s="18" t="str">
        <f>IFERROR(INDEX('Detalles movimientos'!P$5:P$1003, MATCH(45, 'Detalles movimientos'!$W$5:$W$1003, 0)), "")</f>
        <v/>
      </c>
      <c r="M54" s="18" t="str">
        <f>IFERROR(INDEX('Detalles movimientos'!S$5:S$1003, MATCH(45, 'Detalles movimientos'!$W$5:$W$1003, 0)), "")</f>
        <v/>
      </c>
    </row>
    <row r="55" spans="2:13">
      <c r="B55" s="17" t="str">
        <f>IFERROR(INDEX('Detalles movimientos'!C$5:C$1003, MATCH(46, 'Detalles movimientos'!$W$5:$W$1003, 0)), "")</f>
        <v/>
      </c>
      <c r="C55" s="18" t="str">
        <f>IFERROR(INDEX('Detalles movimientos'!D$5:D$1003, MATCH(46, 'Detalles movimientos'!$W$5:$W$1003, 0)), "")</f>
        <v/>
      </c>
      <c r="D55" s="19" t="str">
        <f>IFERROR(INDEX('Detalles movimientos'!E$5:E$1003, MATCH(46, 'Detalles movimientos'!$W$5:$W$1003, 0)), "")</f>
        <v/>
      </c>
      <c r="E55" s="19" t="str">
        <f>IFERROR(INDEX('Detalles movimientos'!F$5:F$1003, MATCH(46, 'Detalles movimientos'!$W$5:$W$1003, 0)), "")</f>
        <v/>
      </c>
      <c r="F55" s="18" t="str">
        <f>IFERROR(INDEX('Detalles movimientos'!G$5:G$1003, MATCH(46, 'Detalles movimientos'!$W$5:$W$1003, 0)), "")</f>
        <v/>
      </c>
      <c r="G55" s="20" t="str">
        <f>IFERROR(INDEX('Detalles movimientos'!H$5:H$1003, MATCH(46, 'Detalles movimientos'!$W$5:$W$1003, 0)), "")</f>
        <v/>
      </c>
      <c r="H55" s="21" t="str">
        <f>IFERROR(INDEX('Detalles movimientos'!I$5:I$1003, MATCH(46, 'Detalles movimientos'!$W$5:$W$1003, 0)), "")</f>
        <v/>
      </c>
      <c r="I55" s="20" t="str">
        <f>IFERROR(INDEX('Detalles movimientos'!M$5:M$1003, MATCH(46, 'Detalles movimientos'!$W$5:$W$1003, 0)), "")</f>
        <v/>
      </c>
      <c r="J55" s="19" t="str">
        <f>IFERROR(INDEX('Detalles movimientos'!N$5:N$1003, MATCH(46, 'Detalles movimientos'!$W$5:$W$1003, 0)), "")</f>
        <v/>
      </c>
      <c r="K55" s="20" t="str">
        <f>IFERROR(INDEX('Detalles movimientos'!O$5:O$1003, MATCH(46, 'Detalles movimientos'!$W$5:$W$1003, 0)), "")</f>
        <v/>
      </c>
      <c r="L55" s="18" t="str">
        <f>IFERROR(INDEX('Detalles movimientos'!P$5:P$1003, MATCH(46, 'Detalles movimientos'!$W$5:$W$1003, 0)), "")</f>
        <v/>
      </c>
      <c r="M55" s="18" t="str">
        <f>IFERROR(INDEX('Detalles movimientos'!S$5:S$1003, MATCH(46, 'Detalles movimientos'!$W$5:$W$1003, 0)), "")</f>
        <v/>
      </c>
    </row>
    <row r="56" spans="2:13">
      <c r="B56" s="17" t="str">
        <f>IFERROR(INDEX('Detalles movimientos'!C$5:C$1003, MATCH(47, 'Detalles movimientos'!$W$5:$W$1003, 0)), "")</f>
        <v/>
      </c>
      <c r="C56" s="18" t="str">
        <f>IFERROR(INDEX('Detalles movimientos'!D$5:D$1003, MATCH(47, 'Detalles movimientos'!$W$5:$W$1003, 0)), "")</f>
        <v/>
      </c>
      <c r="D56" s="19" t="str">
        <f>IFERROR(INDEX('Detalles movimientos'!E$5:E$1003, MATCH(47, 'Detalles movimientos'!$W$5:$W$1003, 0)), "")</f>
        <v/>
      </c>
      <c r="E56" s="19" t="str">
        <f>IFERROR(INDEX('Detalles movimientos'!F$5:F$1003, MATCH(47, 'Detalles movimientos'!$W$5:$W$1003, 0)), "")</f>
        <v/>
      </c>
      <c r="F56" s="18" t="str">
        <f>IFERROR(INDEX('Detalles movimientos'!G$5:G$1003, MATCH(47, 'Detalles movimientos'!$W$5:$W$1003, 0)), "")</f>
        <v/>
      </c>
      <c r="G56" s="20" t="str">
        <f>IFERROR(INDEX('Detalles movimientos'!H$5:H$1003, MATCH(47, 'Detalles movimientos'!$W$5:$W$1003, 0)), "")</f>
        <v/>
      </c>
      <c r="H56" s="21" t="str">
        <f>IFERROR(INDEX('Detalles movimientos'!I$5:I$1003, MATCH(47, 'Detalles movimientos'!$W$5:$W$1003, 0)), "")</f>
        <v/>
      </c>
      <c r="I56" s="20" t="str">
        <f>IFERROR(INDEX('Detalles movimientos'!M$5:M$1003, MATCH(47, 'Detalles movimientos'!$W$5:$W$1003, 0)), "")</f>
        <v/>
      </c>
      <c r="J56" s="19" t="str">
        <f>IFERROR(INDEX('Detalles movimientos'!N$5:N$1003, MATCH(47, 'Detalles movimientos'!$W$5:$W$1003, 0)), "")</f>
        <v/>
      </c>
      <c r="K56" s="20" t="str">
        <f>IFERROR(INDEX('Detalles movimientos'!O$5:O$1003, MATCH(47, 'Detalles movimientos'!$W$5:$W$1003, 0)), "")</f>
        <v/>
      </c>
      <c r="L56" s="18" t="str">
        <f>IFERROR(INDEX('Detalles movimientos'!P$5:P$1003, MATCH(47, 'Detalles movimientos'!$W$5:$W$1003, 0)), "")</f>
        <v/>
      </c>
      <c r="M56" s="18" t="str">
        <f>IFERROR(INDEX('Detalles movimientos'!S$5:S$1003, MATCH(47, 'Detalles movimientos'!$W$5:$W$1003, 0)), "")</f>
        <v/>
      </c>
    </row>
    <row r="57" spans="2:13">
      <c r="B57" s="17" t="str">
        <f>IFERROR(INDEX('Detalles movimientos'!C$5:C$1003, MATCH(48, 'Detalles movimientos'!$W$5:$W$1003, 0)), "")</f>
        <v/>
      </c>
      <c r="C57" s="18" t="str">
        <f>IFERROR(INDEX('Detalles movimientos'!D$5:D$1003, MATCH(48, 'Detalles movimientos'!$W$5:$W$1003, 0)), "")</f>
        <v/>
      </c>
      <c r="D57" s="19" t="str">
        <f>IFERROR(INDEX('Detalles movimientos'!E$5:E$1003, MATCH(48, 'Detalles movimientos'!$W$5:$W$1003, 0)), "")</f>
        <v/>
      </c>
      <c r="E57" s="19" t="str">
        <f>IFERROR(INDEX('Detalles movimientos'!F$5:F$1003, MATCH(48, 'Detalles movimientos'!$W$5:$W$1003, 0)), "")</f>
        <v/>
      </c>
      <c r="F57" s="18" t="str">
        <f>IFERROR(INDEX('Detalles movimientos'!G$5:G$1003, MATCH(48, 'Detalles movimientos'!$W$5:$W$1003, 0)), "")</f>
        <v/>
      </c>
      <c r="G57" s="20" t="str">
        <f>IFERROR(INDEX('Detalles movimientos'!H$5:H$1003, MATCH(48, 'Detalles movimientos'!$W$5:$W$1003, 0)), "")</f>
        <v/>
      </c>
      <c r="H57" s="21" t="str">
        <f>IFERROR(INDEX('Detalles movimientos'!I$5:I$1003, MATCH(48, 'Detalles movimientos'!$W$5:$W$1003, 0)), "")</f>
        <v/>
      </c>
      <c r="I57" s="20" t="str">
        <f>IFERROR(INDEX('Detalles movimientos'!M$5:M$1003, MATCH(48, 'Detalles movimientos'!$W$5:$W$1003, 0)), "")</f>
        <v/>
      </c>
      <c r="J57" s="19" t="str">
        <f>IFERROR(INDEX('Detalles movimientos'!N$5:N$1003, MATCH(48, 'Detalles movimientos'!$W$5:$W$1003, 0)), "")</f>
        <v/>
      </c>
      <c r="K57" s="20" t="str">
        <f>IFERROR(INDEX('Detalles movimientos'!O$5:O$1003, MATCH(48, 'Detalles movimientos'!$W$5:$W$1003, 0)), "")</f>
        <v/>
      </c>
      <c r="L57" s="18" t="str">
        <f>IFERROR(INDEX('Detalles movimientos'!P$5:P$1003, MATCH(48, 'Detalles movimientos'!$W$5:$W$1003, 0)), "")</f>
        <v/>
      </c>
      <c r="M57" s="18" t="str">
        <f>IFERROR(INDEX('Detalles movimientos'!S$5:S$1003, MATCH(48, 'Detalles movimientos'!$W$5:$W$1003, 0)), "")</f>
        <v/>
      </c>
    </row>
    <row r="58" spans="2:13">
      <c r="B58" s="17" t="str">
        <f>IFERROR(INDEX('Detalles movimientos'!C$5:C$1003, MATCH(49, 'Detalles movimientos'!$W$5:$W$1003, 0)), "")</f>
        <v/>
      </c>
      <c r="C58" s="18" t="str">
        <f>IFERROR(INDEX('Detalles movimientos'!D$5:D$1003, MATCH(49, 'Detalles movimientos'!$W$5:$W$1003, 0)), "")</f>
        <v/>
      </c>
      <c r="D58" s="19" t="str">
        <f>IFERROR(INDEX('Detalles movimientos'!E$5:E$1003, MATCH(49, 'Detalles movimientos'!$W$5:$W$1003, 0)), "")</f>
        <v/>
      </c>
      <c r="E58" s="19" t="str">
        <f>IFERROR(INDEX('Detalles movimientos'!F$5:F$1003, MATCH(49, 'Detalles movimientos'!$W$5:$W$1003, 0)), "")</f>
        <v/>
      </c>
      <c r="F58" s="18" t="str">
        <f>IFERROR(INDEX('Detalles movimientos'!G$5:G$1003, MATCH(49, 'Detalles movimientos'!$W$5:$W$1003, 0)), "")</f>
        <v/>
      </c>
      <c r="G58" s="20" t="str">
        <f>IFERROR(INDEX('Detalles movimientos'!H$5:H$1003, MATCH(49, 'Detalles movimientos'!$W$5:$W$1003, 0)), "")</f>
        <v/>
      </c>
      <c r="H58" s="21" t="str">
        <f>IFERROR(INDEX('Detalles movimientos'!I$5:I$1003, MATCH(49, 'Detalles movimientos'!$W$5:$W$1003, 0)), "")</f>
        <v/>
      </c>
      <c r="I58" s="20" t="str">
        <f>IFERROR(INDEX('Detalles movimientos'!M$5:M$1003, MATCH(49, 'Detalles movimientos'!$W$5:$W$1003, 0)), "")</f>
        <v/>
      </c>
      <c r="J58" s="19" t="str">
        <f>IFERROR(INDEX('Detalles movimientos'!N$5:N$1003, MATCH(49, 'Detalles movimientos'!$W$5:$W$1003, 0)), "")</f>
        <v/>
      </c>
      <c r="K58" s="20" t="str">
        <f>IFERROR(INDEX('Detalles movimientos'!O$5:O$1003, MATCH(49, 'Detalles movimientos'!$W$5:$W$1003, 0)), "")</f>
        <v/>
      </c>
      <c r="L58" s="18" t="str">
        <f>IFERROR(INDEX('Detalles movimientos'!P$5:P$1003, MATCH(49, 'Detalles movimientos'!$W$5:$W$1003, 0)), "")</f>
        <v/>
      </c>
      <c r="M58" s="18" t="str">
        <f>IFERROR(INDEX('Detalles movimientos'!S$5:S$1003, MATCH(49, 'Detalles movimientos'!$W$5:$W$1003, 0)), "")</f>
        <v/>
      </c>
    </row>
    <row r="59" spans="2:13">
      <c r="B59" s="17" t="str">
        <f>IFERROR(INDEX('Detalles movimientos'!C$5:C$1003, MATCH(50, 'Detalles movimientos'!$W$5:$W$1003, 0)), "")</f>
        <v/>
      </c>
      <c r="C59" s="18" t="str">
        <f>IFERROR(INDEX('Detalles movimientos'!D$5:D$1003, MATCH(50, 'Detalles movimientos'!$W$5:$W$1003, 0)), "")</f>
        <v/>
      </c>
      <c r="D59" s="19" t="str">
        <f>IFERROR(INDEX('Detalles movimientos'!E$5:E$1003, MATCH(50, 'Detalles movimientos'!$W$5:$W$1003, 0)), "")</f>
        <v/>
      </c>
      <c r="E59" s="19" t="str">
        <f>IFERROR(INDEX('Detalles movimientos'!F$5:F$1003, MATCH(50, 'Detalles movimientos'!$W$5:$W$1003, 0)), "")</f>
        <v/>
      </c>
      <c r="F59" s="18" t="str">
        <f>IFERROR(INDEX('Detalles movimientos'!G$5:G$1003, MATCH(50, 'Detalles movimientos'!$W$5:$W$1003, 0)), "")</f>
        <v/>
      </c>
      <c r="G59" s="20" t="str">
        <f>IFERROR(INDEX('Detalles movimientos'!H$5:H$1003, MATCH(50, 'Detalles movimientos'!$W$5:$W$1003, 0)), "")</f>
        <v/>
      </c>
      <c r="H59" s="21" t="str">
        <f>IFERROR(INDEX('Detalles movimientos'!I$5:I$1003, MATCH(50, 'Detalles movimientos'!$W$5:$W$1003, 0)), "")</f>
        <v/>
      </c>
      <c r="I59" s="20" t="str">
        <f>IFERROR(INDEX('Detalles movimientos'!M$5:M$1003, MATCH(50, 'Detalles movimientos'!$W$5:$W$1003, 0)), "")</f>
        <v/>
      </c>
      <c r="J59" s="19" t="str">
        <f>IFERROR(INDEX('Detalles movimientos'!N$5:N$1003, MATCH(50, 'Detalles movimientos'!$W$5:$W$1003, 0)), "")</f>
        <v/>
      </c>
      <c r="K59" s="20" t="str">
        <f>IFERROR(INDEX('Detalles movimientos'!O$5:O$1003, MATCH(50, 'Detalles movimientos'!$W$5:$W$1003, 0)), "")</f>
        <v/>
      </c>
      <c r="L59" s="18" t="str">
        <f>IFERROR(INDEX('Detalles movimientos'!P$5:P$1003, MATCH(50, 'Detalles movimientos'!$W$5:$W$1003, 0)), "")</f>
        <v/>
      </c>
      <c r="M59" s="18" t="str">
        <f>IFERROR(INDEX('Detalles movimientos'!S$5:S$1003, MATCH(50, 'Detalles movimientos'!$W$5:$W$1003, 0)), "")</f>
        <v/>
      </c>
    </row>
    <row r="60" spans="2:13">
      <c r="B60" s="17" t="str">
        <f>IFERROR(INDEX('Detalles movimientos'!C$5:C$1003, MATCH(51, 'Detalles movimientos'!$W$5:$W$1003, 0)), "")</f>
        <v/>
      </c>
      <c r="C60" s="18" t="str">
        <f>IFERROR(INDEX('Detalles movimientos'!D$5:D$1003, MATCH(51, 'Detalles movimientos'!$W$5:$W$1003, 0)), "")</f>
        <v/>
      </c>
      <c r="D60" s="19" t="str">
        <f>IFERROR(INDEX('Detalles movimientos'!E$5:E$1003, MATCH(51, 'Detalles movimientos'!$W$5:$W$1003, 0)), "")</f>
        <v/>
      </c>
      <c r="E60" s="19" t="str">
        <f>IFERROR(INDEX('Detalles movimientos'!F$5:F$1003, MATCH(51, 'Detalles movimientos'!$W$5:$W$1003, 0)), "")</f>
        <v/>
      </c>
      <c r="F60" s="18" t="str">
        <f>IFERROR(INDEX('Detalles movimientos'!G$5:G$1003, MATCH(51, 'Detalles movimientos'!$W$5:$W$1003, 0)), "")</f>
        <v/>
      </c>
      <c r="G60" s="20" t="str">
        <f>IFERROR(INDEX('Detalles movimientos'!H$5:H$1003, MATCH(51, 'Detalles movimientos'!$W$5:$W$1003, 0)), "")</f>
        <v/>
      </c>
      <c r="H60" s="21" t="str">
        <f>IFERROR(INDEX('Detalles movimientos'!I$5:I$1003, MATCH(51, 'Detalles movimientos'!$W$5:$W$1003, 0)), "")</f>
        <v/>
      </c>
      <c r="I60" s="20" t="str">
        <f>IFERROR(INDEX('Detalles movimientos'!M$5:M$1003, MATCH(51, 'Detalles movimientos'!$W$5:$W$1003, 0)), "")</f>
        <v/>
      </c>
      <c r="J60" s="19" t="str">
        <f>IFERROR(INDEX('Detalles movimientos'!N$5:N$1003, MATCH(51, 'Detalles movimientos'!$W$5:$W$1003, 0)), "")</f>
        <v/>
      </c>
      <c r="K60" s="20" t="str">
        <f>IFERROR(INDEX('Detalles movimientos'!O$5:O$1003, MATCH(51, 'Detalles movimientos'!$W$5:$W$1003, 0)), "")</f>
        <v/>
      </c>
      <c r="L60" s="18" t="str">
        <f>IFERROR(INDEX('Detalles movimientos'!P$5:P$1003, MATCH(51, 'Detalles movimientos'!$W$5:$W$1003, 0)), "")</f>
        <v/>
      </c>
      <c r="M60" s="18" t="str">
        <f>IFERROR(INDEX('Detalles movimientos'!S$5:S$1003, MATCH(51, 'Detalles movimientos'!$W$5:$W$1003, 0)), "")</f>
        <v/>
      </c>
    </row>
    <row r="61" spans="2:13">
      <c r="B61" s="17" t="str">
        <f>IFERROR(INDEX('Detalles movimientos'!C$5:C$1003, MATCH(52, 'Detalles movimientos'!$W$5:$W$1003, 0)), "")</f>
        <v/>
      </c>
      <c r="C61" s="18" t="str">
        <f>IFERROR(INDEX('Detalles movimientos'!D$5:D$1003, MATCH(52, 'Detalles movimientos'!$W$5:$W$1003, 0)), "")</f>
        <v/>
      </c>
      <c r="D61" s="19" t="str">
        <f>IFERROR(INDEX('Detalles movimientos'!E$5:E$1003, MATCH(52, 'Detalles movimientos'!$W$5:$W$1003, 0)), "")</f>
        <v/>
      </c>
      <c r="E61" s="19" t="str">
        <f>IFERROR(INDEX('Detalles movimientos'!F$5:F$1003, MATCH(52, 'Detalles movimientos'!$W$5:$W$1003, 0)), "")</f>
        <v/>
      </c>
      <c r="F61" s="18" t="str">
        <f>IFERROR(INDEX('Detalles movimientos'!G$5:G$1003, MATCH(52, 'Detalles movimientos'!$W$5:$W$1003, 0)), "")</f>
        <v/>
      </c>
      <c r="G61" s="20" t="str">
        <f>IFERROR(INDEX('Detalles movimientos'!H$5:H$1003, MATCH(52, 'Detalles movimientos'!$W$5:$W$1003, 0)), "")</f>
        <v/>
      </c>
      <c r="H61" s="21" t="str">
        <f>IFERROR(INDEX('Detalles movimientos'!I$5:I$1003, MATCH(52, 'Detalles movimientos'!$W$5:$W$1003, 0)), "")</f>
        <v/>
      </c>
      <c r="I61" s="20" t="str">
        <f>IFERROR(INDEX('Detalles movimientos'!M$5:M$1003, MATCH(52, 'Detalles movimientos'!$W$5:$W$1003, 0)), "")</f>
        <v/>
      </c>
      <c r="J61" s="19" t="str">
        <f>IFERROR(INDEX('Detalles movimientos'!N$5:N$1003, MATCH(52, 'Detalles movimientos'!$W$5:$W$1003, 0)), "")</f>
        <v/>
      </c>
      <c r="K61" s="20" t="str">
        <f>IFERROR(INDEX('Detalles movimientos'!O$5:O$1003, MATCH(52, 'Detalles movimientos'!$W$5:$W$1003, 0)), "")</f>
        <v/>
      </c>
      <c r="L61" s="18" t="str">
        <f>IFERROR(INDEX('Detalles movimientos'!P$5:P$1003, MATCH(52, 'Detalles movimientos'!$W$5:$W$1003, 0)), "")</f>
        <v/>
      </c>
      <c r="M61" s="18" t="str">
        <f>IFERROR(INDEX('Detalles movimientos'!S$5:S$1003, MATCH(52, 'Detalles movimientos'!$W$5:$W$1003, 0)), "")</f>
        <v/>
      </c>
    </row>
    <row r="62" spans="2:13">
      <c r="B62" s="17" t="str">
        <f>IFERROR(INDEX('Detalles movimientos'!C$5:C$1003, MATCH(53, 'Detalles movimientos'!$W$5:$W$1003, 0)), "")</f>
        <v/>
      </c>
      <c r="C62" s="18" t="str">
        <f>IFERROR(INDEX('Detalles movimientos'!D$5:D$1003, MATCH(53, 'Detalles movimientos'!$W$5:$W$1003, 0)), "")</f>
        <v/>
      </c>
      <c r="D62" s="19" t="str">
        <f>IFERROR(INDEX('Detalles movimientos'!E$5:E$1003, MATCH(53, 'Detalles movimientos'!$W$5:$W$1003, 0)), "")</f>
        <v/>
      </c>
      <c r="E62" s="19" t="str">
        <f>IFERROR(INDEX('Detalles movimientos'!F$5:F$1003, MATCH(53, 'Detalles movimientos'!$W$5:$W$1003, 0)), "")</f>
        <v/>
      </c>
      <c r="F62" s="18" t="str">
        <f>IFERROR(INDEX('Detalles movimientos'!G$5:G$1003, MATCH(53, 'Detalles movimientos'!$W$5:$W$1003, 0)), "")</f>
        <v/>
      </c>
      <c r="G62" s="20" t="str">
        <f>IFERROR(INDEX('Detalles movimientos'!H$5:H$1003, MATCH(53, 'Detalles movimientos'!$W$5:$W$1003, 0)), "")</f>
        <v/>
      </c>
      <c r="H62" s="21" t="str">
        <f>IFERROR(INDEX('Detalles movimientos'!I$5:I$1003, MATCH(53, 'Detalles movimientos'!$W$5:$W$1003, 0)), "")</f>
        <v/>
      </c>
      <c r="I62" s="20" t="str">
        <f>IFERROR(INDEX('Detalles movimientos'!M$5:M$1003, MATCH(53, 'Detalles movimientos'!$W$5:$W$1003, 0)), "")</f>
        <v/>
      </c>
      <c r="J62" s="19" t="str">
        <f>IFERROR(INDEX('Detalles movimientos'!N$5:N$1003, MATCH(53, 'Detalles movimientos'!$W$5:$W$1003, 0)), "")</f>
        <v/>
      </c>
      <c r="K62" s="20" t="str">
        <f>IFERROR(INDEX('Detalles movimientos'!O$5:O$1003, MATCH(53, 'Detalles movimientos'!$W$5:$W$1003, 0)), "")</f>
        <v/>
      </c>
      <c r="L62" s="18" t="str">
        <f>IFERROR(INDEX('Detalles movimientos'!P$5:P$1003, MATCH(53, 'Detalles movimientos'!$W$5:$W$1003, 0)), "")</f>
        <v/>
      </c>
      <c r="M62" s="18" t="str">
        <f>IFERROR(INDEX('Detalles movimientos'!S$5:S$1003, MATCH(53, 'Detalles movimientos'!$W$5:$W$1003, 0)), "")</f>
        <v/>
      </c>
    </row>
    <row r="63" spans="2:13">
      <c r="B63" s="17" t="str">
        <f>IFERROR(INDEX('Detalles movimientos'!C$5:C$1003, MATCH(54, 'Detalles movimientos'!$W$5:$W$1003, 0)), "")</f>
        <v/>
      </c>
      <c r="C63" s="18" t="str">
        <f>IFERROR(INDEX('Detalles movimientos'!D$5:D$1003, MATCH(54, 'Detalles movimientos'!$W$5:$W$1003, 0)), "")</f>
        <v/>
      </c>
      <c r="D63" s="19" t="str">
        <f>IFERROR(INDEX('Detalles movimientos'!E$5:E$1003, MATCH(54, 'Detalles movimientos'!$W$5:$W$1003, 0)), "")</f>
        <v/>
      </c>
      <c r="E63" s="19" t="str">
        <f>IFERROR(INDEX('Detalles movimientos'!F$5:F$1003, MATCH(54, 'Detalles movimientos'!$W$5:$W$1003, 0)), "")</f>
        <v/>
      </c>
      <c r="F63" s="18" t="str">
        <f>IFERROR(INDEX('Detalles movimientos'!G$5:G$1003, MATCH(54, 'Detalles movimientos'!$W$5:$W$1003, 0)), "")</f>
        <v/>
      </c>
      <c r="G63" s="20" t="str">
        <f>IFERROR(INDEX('Detalles movimientos'!H$5:H$1003, MATCH(54, 'Detalles movimientos'!$W$5:$W$1003, 0)), "")</f>
        <v/>
      </c>
      <c r="H63" s="21" t="str">
        <f>IFERROR(INDEX('Detalles movimientos'!I$5:I$1003, MATCH(54, 'Detalles movimientos'!$W$5:$W$1003, 0)), "")</f>
        <v/>
      </c>
      <c r="I63" s="20" t="str">
        <f>IFERROR(INDEX('Detalles movimientos'!M$5:M$1003, MATCH(54, 'Detalles movimientos'!$W$5:$W$1003, 0)), "")</f>
        <v/>
      </c>
      <c r="J63" s="19" t="str">
        <f>IFERROR(INDEX('Detalles movimientos'!N$5:N$1003, MATCH(54, 'Detalles movimientos'!$W$5:$W$1003, 0)), "")</f>
        <v/>
      </c>
      <c r="K63" s="20" t="str">
        <f>IFERROR(INDEX('Detalles movimientos'!O$5:O$1003, MATCH(54, 'Detalles movimientos'!$W$5:$W$1003, 0)), "")</f>
        <v/>
      </c>
      <c r="L63" s="18" t="str">
        <f>IFERROR(INDEX('Detalles movimientos'!P$5:P$1003, MATCH(54, 'Detalles movimientos'!$W$5:$W$1003, 0)), "")</f>
        <v/>
      </c>
      <c r="M63" s="18" t="str">
        <f>IFERROR(INDEX('Detalles movimientos'!S$5:S$1003, MATCH(54, 'Detalles movimientos'!$W$5:$W$1003, 0)), "")</f>
        <v/>
      </c>
    </row>
    <row r="64" spans="2:13">
      <c r="B64" s="17" t="str">
        <f>IFERROR(INDEX('Detalles movimientos'!C$5:C$1003, MATCH(55, 'Detalles movimientos'!$W$5:$W$1003, 0)), "")</f>
        <v/>
      </c>
      <c r="C64" s="18" t="str">
        <f>IFERROR(INDEX('Detalles movimientos'!D$5:D$1003, MATCH(55, 'Detalles movimientos'!$W$5:$W$1003, 0)), "")</f>
        <v/>
      </c>
      <c r="D64" s="19" t="str">
        <f>IFERROR(INDEX('Detalles movimientos'!E$5:E$1003, MATCH(55, 'Detalles movimientos'!$W$5:$W$1003, 0)), "")</f>
        <v/>
      </c>
      <c r="E64" s="19" t="str">
        <f>IFERROR(INDEX('Detalles movimientos'!F$5:F$1003, MATCH(55, 'Detalles movimientos'!$W$5:$W$1003, 0)), "")</f>
        <v/>
      </c>
      <c r="F64" s="18" t="str">
        <f>IFERROR(INDEX('Detalles movimientos'!G$5:G$1003, MATCH(55, 'Detalles movimientos'!$W$5:$W$1003, 0)), "")</f>
        <v/>
      </c>
      <c r="G64" s="20" t="str">
        <f>IFERROR(INDEX('Detalles movimientos'!H$5:H$1003, MATCH(55, 'Detalles movimientos'!$W$5:$W$1003, 0)), "")</f>
        <v/>
      </c>
      <c r="H64" s="21" t="str">
        <f>IFERROR(INDEX('Detalles movimientos'!I$5:I$1003, MATCH(55, 'Detalles movimientos'!$W$5:$W$1003, 0)), "")</f>
        <v/>
      </c>
      <c r="I64" s="20" t="str">
        <f>IFERROR(INDEX('Detalles movimientos'!M$5:M$1003, MATCH(55, 'Detalles movimientos'!$W$5:$W$1003, 0)), "")</f>
        <v/>
      </c>
      <c r="J64" s="19" t="str">
        <f>IFERROR(INDEX('Detalles movimientos'!N$5:N$1003, MATCH(55, 'Detalles movimientos'!$W$5:$W$1003, 0)), "")</f>
        <v/>
      </c>
      <c r="K64" s="20" t="str">
        <f>IFERROR(INDEX('Detalles movimientos'!O$5:O$1003, MATCH(55, 'Detalles movimientos'!$W$5:$W$1003, 0)), "")</f>
        <v/>
      </c>
      <c r="L64" s="18" t="str">
        <f>IFERROR(INDEX('Detalles movimientos'!P$5:P$1003, MATCH(55, 'Detalles movimientos'!$W$5:$W$1003, 0)), "")</f>
        <v/>
      </c>
      <c r="M64" s="18" t="str">
        <f>IFERROR(INDEX('Detalles movimientos'!S$5:S$1003, MATCH(55, 'Detalles movimientos'!$W$5:$W$1003, 0)), "")</f>
        <v/>
      </c>
    </row>
    <row r="65" spans="2:13">
      <c r="B65" s="17" t="str">
        <f>IFERROR(INDEX('Detalles movimientos'!C$5:C$1003, MATCH(56, 'Detalles movimientos'!$W$5:$W$1003, 0)), "")</f>
        <v/>
      </c>
      <c r="C65" s="18" t="str">
        <f>IFERROR(INDEX('Detalles movimientos'!D$5:D$1003, MATCH(56, 'Detalles movimientos'!$W$5:$W$1003, 0)), "")</f>
        <v/>
      </c>
      <c r="D65" s="19" t="str">
        <f>IFERROR(INDEX('Detalles movimientos'!E$5:E$1003, MATCH(56, 'Detalles movimientos'!$W$5:$W$1003, 0)), "")</f>
        <v/>
      </c>
      <c r="E65" s="19" t="str">
        <f>IFERROR(INDEX('Detalles movimientos'!F$5:F$1003, MATCH(56, 'Detalles movimientos'!$W$5:$W$1003, 0)), "")</f>
        <v/>
      </c>
      <c r="F65" s="18" t="str">
        <f>IFERROR(INDEX('Detalles movimientos'!G$5:G$1003, MATCH(56, 'Detalles movimientos'!$W$5:$W$1003, 0)), "")</f>
        <v/>
      </c>
      <c r="G65" s="20" t="str">
        <f>IFERROR(INDEX('Detalles movimientos'!H$5:H$1003, MATCH(56, 'Detalles movimientos'!$W$5:$W$1003, 0)), "")</f>
        <v/>
      </c>
      <c r="H65" s="21" t="str">
        <f>IFERROR(INDEX('Detalles movimientos'!I$5:I$1003, MATCH(56, 'Detalles movimientos'!$W$5:$W$1003, 0)), "")</f>
        <v/>
      </c>
      <c r="I65" s="20" t="str">
        <f>IFERROR(INDEX('Detalles movimientos'!M$5:M$1003, MATCH(56, 'Detalles movimientos'!$W$5:$W$1003, 0)), "")</f>
        <v/>
      </c>
      <c r="J65" s="19" t="str">
        <f>IFERROR(INDEX('Detalles movimientos'!N$5:N$1003, MATCH(56, 'Detalles movimientos'!$W$5:$W$1003, 0)), "")</f>
        <v/>
      </c>
      <c r="K65" s="20" t="str">
        <f>IFERROR(INDEX('Detalles movimientos'!O$5:O$1003, MATCH(56, 'Detalles movimientos'!$W$5:$W$1003, 0)), "")</f>
        <v/>
      </c>
      <c r="L65" s="18" t="str">
        <f>IFERROR(INDEX('Detalles movimientos'!P$5:P$1003, MATCH(56, 'Detalles movimientos'!$W$5:$W$1003, 0)), "")</f>
        <v/>
      </c>
      <c r="M65" s="18" t="str">
        <f>IFERROR(INDEX('Detalles movimientos'!S$5:S$1003, MATCH(56, 'Detalles movimientos'!$W$5:$W$1003, 0)), "")</f>
        <v/>
      </c>
    </row>
    <row r="66" spans="2:13">
      <c r="B66" s="17" t="str">
        <f>IFERROR(INDEX('Detalles movimientos'!C$5:C$1003, MATCH(57, 'Detalles movimientos'!$W$5:$W$1003, 0)), "")</f>
        <v/>
      </c>
      <c r="C66" s="18" t="str">
        <f>IFERROR(INDEX('Detalles movimientos'!D$5:D$1003, MATCH(57, 'Detalles movimientos'!$W$5:$W$1003, 0)), "")</f>
        <v/>
      </c>
      <c r="D66" s="19" t="str">
        <f>IFERROR(INDEX('Detalles movimientos'!E$5:E$1003, MATCH(57, 'Detalles movimientos'!$W$5:$W$1003, 0)), "")</f>
        <v/>
      </c>
      <c r="E66" s="19" t="str">
        <f>IFERROR(INDEX('Detalles movimientos'!F$5:F$1003, MATCH(57, 'Detalles movimientos'!$W$5:$W$1003, 0)), "")</f>
        <v/>
      </c>
      <c r="F66" s="18" t="str">
        <f>IFERROR(INDEX('Detalles movimientos'!G$5:G$1003, MATCH(57, 'Detalles movimientos'!$W$5:$W$1003, 0)), "")</f>
        <v/>
      </c>
      <c r="G66" s="20" t="str">
        <f>IFERROR(INDEX('Detalles movimientos'!H$5:H$1003, MATCH(57, 'Detalles movimientos'!$W$5:$W$1003, 0)), "")</f>
        <v/>
      </c>
      <c r="H66" s="21" t="str">
        <f>IFERROR(INDEX('Detalles movimientos'!I$5:I$1003, MATCH(57, 'Detalles movimientos'!$W$5:$W$1003, 0)), "")</f>
        <v/>
      </c>
      <c r="I66" s="20" t="str">
        <f>IFERROR(INDEX('Detalles movimientos'!M$5:M$1003, MATCH(57, 'Detalles movimientos'!$W$5:$W$1003, 0)), "")</f>
        <v/>
      </c>
      <c r="J66" s="19" t="str">
        <f>IFERROR(INDEX('Detalles movimientos'!N$5:N$1003, MATCH(57, 'Detalles movimientos'!$W$5:$W$1003, 0)), "")</f>
        <v/>
      </c>
      <c r="K66" s="20" t="str">
        <f>IFERROR(INDEX('Detalles movimientos'!O$5:O$1003, MATCH(57, 'Detalles movimientos'!$W$5:$W$1003, 0)), "")</f>
        <v/>
      </c>
      <c r="L66" s="18" t="str">
        <f>IFERROR(INDEX('Detalles movimientos'!P$5:P$1003, MATCH(57, 'Detalles movimientos'!$W$5:$W$1003, 0)), "")</f>
        <v/>
      </c>
      <c r="M66" s="18" t="str">
        <f>IFERROR(INDEX('Detalles movimientos'!S$5:S$1003, MATCH(57, 'Detalles movimientos'!$W$5:$W$1003, 0)), "")</f>
        <v/>
      </c>
    </row>
    <row r="67" spans="2:13">
      <c r="B67" s="17" t="str">
        <f>IFERROR(INDEX('Detalles movimientos'!C$5:C$1003, MATCH(58, 'Detalles movimientos'!$W$5:$W$1003, 0)), "")</f>
        <v/>
      </c>
      <c r="C67" s="18" t="str">
        <f>IFERROR(INDEX('Detalles movimientos'!D$5:D$1003, MATCH(58, 'Detalles movimientos'!$W$5:$W$1003, 0)), "")</f>
        <v/>
      </c>
      <c r="D67" s="19" t="str">
        <f>IFERROR(INDEX('Detalles movimientos'!E$5:E$1003, MATCH(58, 'Detalles movimientos'!$W$5:$W$1003, 0)), "")</f>
        <v/>
      </c>
      <c r="E67" s="19" t="str">
        <f>IFERROR(INDEX('Detalles movimientos'!F$5:F$1003, MATCH(58, 'Detalles movimientos'!$W$5:$W$1003, 0)), "")</f>
        <v/>
      </c>
      <c r="F67" s="18" t="str">
        <f>IFERROR(INDEX('Detalles movimientos'!G$5:G$1003, MATCH(58, 'Detalles movimientos'!$W$5:$W$1003, 0)), "")</f>
        <v/>
      </c>
      <c r="G67" s="20" t="str">
        <f>IFERROR(INDEX('Detalles movimientos'!H$5:H$1003, MATCH(58, 'Detalles movimientos'!$W$5:$W$1003, 0)), "")</f>
        <v/>
      </c>
      <c r="H67" s="21" t="str">
        <f>IFERROR(INDEX('Detalles movimientos'!I$5:I$1003, MATCH(58, 'Detalles movimientos'!$W$5:$W$1003, 0)), "")</f>
        <v/>
      </c>
      <c r="I67" s="20" t="str">
        <f>IFERROR(INDEX('Detalles movimientos'!M$5:M$1003, MATCH(58, 'Detalles movimientos'!$W$5:$W$1003, 0)), "")</f>
        <v/>
      </c>
      <c r="J67" s="19" t="str">
        <f>IFERROR(INDEX('Detalles movimientos'!N$5:N$1003, MATCH(58, 'Detalles movimientos'!$W$5:$W$1003, 0)), "")</f>
        <v/>
      </c>
      <c r="K67" s="20" t="str">
        <f>IFERROR(INDEX('Detalles movimientos'!O$5:O$1003, MATCH(58, 'Detalles movimientos'!$W$5:$W$1003, 0)), "")</f>
        <v/>
      </c>
      <c r="L67" s="18" t="str">
        <f>IFERROR(INDEX('Detalles movimientos'!P$5:P$1003, MATCH(58, 'Detalles movimientos'!$W$5:$W$1003, 0)), "")</f>
        <v/>
      </c>
      <c r="M67" s="18" t="str">
        <f>IFERROR(INDEX('Detalles movimientos'!S$5:S$1003, MATCH(58, 'Detalles movimientos'!$W$5:$W$1003, 0)), "")</f>
        <v/>
      </c>
    </row>
    <row r="68" spans="2:13">
      <c r="B68" s="17" t="str">
        <f>IFERROR(INDEX('Detalles movimientos'!C$5:C$1003, MATCH(59, 'Detalles movimientos'!$W$5:$W$1003, 0)), "")</f>
        <v/>
      </c>
      <c r="C68" s="18" t="str">
        <f>IFERROR(INDEX('Detalles movimientos'!D$5:D$1003, MATCH(59, 'Detalles movimientos'!$W$5:$W$1003, 0)), "")</f>
        <v/>
      </c>
      <c r="D68" s="19" t="str">
        <f>IFERROR(INDEX('Detalles movimientos'!E$5:E$1003, MATCH(59, 'Detalles movimientos'!$W$5:$W$1003, 0)), "")</f>
        <v/>
      </c>
      <c r="E68" s="19" t="str">
        <f>IFERROR(INDEX('Detalles movimientos'!F$5:F$1003, MATCH(59, 'Detalles movimientos'!$W$5:$W$1003, 0)), "")</f>
        <v/>
      </c>
      <c r="F68" s="18" t="str">
        <f>IFERROR(INDEX('Detalles movimientos'!G$5:G$1003, MATCH(59, 'Detalles movimientos'!$W$5:$W$1003, 0)), "")</f>
        <v/>
      </c>
      <c r="G68" s="20" t="str">
        <f>IFERROR(INDEX('Detalles movimientos'!H$5:H$1003, MATCH(59, 'Detalles movimientos'!$W$5:$W$1003, 0)), "")</f>
        <v/>
      </c>
      <c r="H68" s="21" t="str">
        <f>IFERROR(INDEX('Detalles movimientos'!I$5:I$1003, MATCH(59, 'Detalles movimientos'!$W$5:$W$1003, 0)), "")</f>
        <v/>
      </c>
      <c r="I68" s="20" t="str">
        <f>IFERROR(INDEX('Detalles movimientos'!M$5:M$1003, MATCH(59, 'Detalles movimientos'!$W$5:$W$1003, 0)), "")</f>
        <v/>
      </c>
      <c r="J68" s="19" t="str">
        <f>IFERROR(INDEX('Detalles movimientos'!N$5:N$1003, MATCH(59, 'Detalles movimientos'!$W$5:$W$1003, 0)), "")</f>
        <v/>
      </c>
      <c r="K68" s="20" t="str">
        <f>IFERROR(INDEX('Detalles movimientos'!O$5:O$1003, MATCH(59, 'Detalles movimientos'!$W$5:$W$1003, 0)), "")</f>
        <v/>
      </c>
      <c r="L68" s="18" t="str">
        <f>IFERROR(INDEX('Detalles movimientos'!P$5:P$1003, MATCH(59, 'Detalles movimientos'!$W$5:$W$1003, 0)), "")</f>
        <v/>
      </c>
      <c r="M68" s="18" t="str">
        <f>IFERROR(INDEX('Detalles movimientos'!S$5:S$1003, MATCH(59, 'Detalles movimientos'!$W$5:$W$1003, 0)), "")</f>
        <v/>
      </c>
    </row>
    <row r="69" spans="2:13">
      <c r="B69" s="17" t="str">
        <f>IFERROR(INDEX('Detalles movimientos'!C$5:C$1003, MATCH(60, 'Detalles movimientos'!$W$5:$W$1003, 0)), "")</f>
        <v/>
      </c>
      <c r="C69" s="18" t="str">
        <f>IFERROR(INDEX('Detalles movimientos'!D$5:D$1003, MATCH(60, 'Detalles movimientos'!$W$5:$W$1003, 0)), "")</f>
        <v/>
      </c>
      <c r="D69" s="19" t="str">
        <f>IFERROR(INDEX('Detalles movimientos'!E$5:E$1003, MATCH(60, 'Detalles movimientos'!$W$5:$W$1003, 0)), "")</f>
        <v/>
      </c>
      <c r="E69" s="19" t="str">
        <f>IFERROR(INDEX('Detalles movimientos'!F$5:F$1003, MATCH(60, 'Detalles movimientos'!$W$5:$W$1003, 0)), "")</f>
        <v/>
      </c>
      <c r="F69" s="18" t="str">
        <f>IFERROR(INDEX('Detalles movimientos'!G$5:G$1003, MATCH(60, 'Detalles movimientos'!$W$5:$W$1003, 0)), "")</f>
        <v/>
      </c>
      <c r="G69" s="20" t="str">
        <f>IFERROR(INDEX('Detalles movimientos'!H$5:H$1003, MATCH(60, 'Detalles movimientos'!$W$5:$W$1003, 0)), "")</f>
        <v/>
      </c>
      <c r="H69" s="21" t="str">
        <f>IFERROR(INDEX('Detalles movimientos'!I$5:I$1003, MATCH(60, 'Detalles movimientos'!$W$5:$W$1003, 0)), "")</f>
        <v/>
      </c>
      <c r="I69" s="20" t="str">
        <f>IFERROR(INDEX('Detalles movimientos'!M$5:M$1003, MATCH(60, 'Detalles movimientos'!$W$5:$W$1003, 0)), "")</f>
        <v/>
      </c>
      <c r="J69" s="19" t="str">
        <f>IFERROR(INDEX('Detalles movimientos'!N$5:N$1003, MATCH(60, 'Detalles movimientos'!$W$5:$W$1003, 0)), "")</f>
        <v/>
      </c>
      <c r="K69" s="20" t="str">
        <f>IFERROR(INDEX('Detalles movimientos'!O$5:O$1003, MATCH(60, 'Detalles movimientos'!$W$5:$W$1003, 0)), "")</f>
        <v/>
      </c>
      <c r="L69" s="18" t="str">
        <f>IFERROR(INDEX('Detalles movimientos'!P$5:P$1003, MATCH(60, 'Detalles movimientos'!$W$5:$W$1003, 0)), "")</f>
        <v/>
      </c>
      <c r="M69" s="18" t="str">
        <f>IFERROR(INDEX('Detalles movimientos'!S$5:S$1003, MATCH(60, 'Detalles movimientos'!$W$5:$W$1003, 0)), "")</f>
        <v/>
      </c>
    </row>
    <row r="70" spans="2:13">
      <c r="B70" s="17" t="str">
        <f>IFERROR(INDEX('Detalles movimientos'!C$5:C$1003, MATCH(61, 'Detalles movimientos'!$W$5:$W$1003, 0)), "")</f>
        <v/>
      </c>
      <c r="C70" s="18" t="str">
        <f>IFERROR(INDEX('Detalles movimientos'!D$5:D$1003, MATCH(61, 'Detalles movimientos'!$W$5:$W$1003, 0)), "")</f>
        <v/>
      </c>
      <c r="D70" s="19" t="str">
        <f>IFERROR(INDEX('Detalles movimientos'!E$5:E$1003, MATCH(61, 'Detalles movimientos'!$W$5:$W$1003, 0)), "")</f>
        <v/>
      </c>
      <c r="E70" s="19" t="str">
        <f>IFERROR(INDEX('Detalles movimientos'!F$5:F$1003, MATCH(61, 'Detalles movimientos'!$W$5:$W$1003, 0)), "")</f>
        <v/>
      </c>
      <c r="F70" s="18" t="str">
        <f>IFERROR(INDEX('Detalles movimientos'!G$5:G$1003, MATCH(61, 'Detalles movimientos'!$W$5:$W$1003, 0)), "")</f>
        <v/>
      </c>
      <c r="G70" s="20" t="str">
        <f>IFERROR(INDEX('Detalles movimientos'!H$5:H$1003, MATCH(61, 'Detalles movimientos'!$W$5:$W$1003, 0)), "")</f>
        <v/>
      </c>
      <c r="H70" s="21" t="str">
        <f>IFERROR(INDEX('Detalles movimientos'!I$5:I$1003, MATCH(61, 'Detalles movimientos'!$W$5:$W$1003, 0)), "")</f>
        <v/>
      </c>
      <c r="I70" s="20" t="str">
        <f>IFERROR(INDEX('Detalles movimientos'!M$5:M$1003, MATCH(61, 'Detalles movimientos'!$W$5:$W$1003, 0)), "")</f>
        <v/>
      </c>
      <c r="J70" s="19" t="str">
        <f>IFERROR(INDEX('Detalles movimientos'!N$5:N$1003, MATCH(61, 'Detalles movimientos'!$W$5:$W$1003, 0)), "")</f>
        <v/>
      </c>
      <c r="K70" s="20" t="str">
        <f>IFERROR(INDEX('Detalles movimientos'!O$5:O$1003, MATCH(61, 'Detalles movimientos'!$W$5:$W$1003, 0)), "")</f>
        <v/>
      </c>
      <c r="L70" s="18" t="str">
        <f>IFERROR(INDEX('Detalles movimientos'!P$5:P$1003, MATCH(61, 'Detalles movimientos'!$W$5:$W$1003, 0)), "")</f>
        <v/>
      </c>
      <c r="M70" s="18" t="str">
        <f>IFERROR(INDEX('Detalles movimientos'!S$5:S$1003, MATCH(61, 'Detalles movimientos'!$W$5:$W$1003, 0)), "")</f>
        <v/>
      </c>
    </row>
    <row r="71" spans="2:13">
      <c r="B71" s="17" t="str">
        <f>IFERROR(INDEX('Detalles movimientos'!C$5:C$1003, MATCH(62, 'Detalles movimientos'!$W$5:$W$1003, 0)), "")</f>
        <v/>
      </c>
      <c r="C71" s="18" t="str">
        <f>IFERROR(INDEX('Detalles movimientos'!D$5:D$1003, MATCH(62, 'Detalles movimientos'!$W$5:$W$1003, 0)), "")</f>
        <v/>
      </c>
      <c r="D71" s="19" t="str">
        <f>IFERROR(INDEX('Detalles movimientos'!E$5:E$1003, MATCH(62, 'Detalles movimientos'!$W$5:$W$1003, 0)), "")</f>
        <v/>
      </c>
      <c r="E71" s="19" t="str">
        <f>IFERROR(INDEX('Detalles movimientos'!F$5:F$1003, MATCH(62, 'Detalles movimientos'!$W$5:$W$1003, 0)), "")</f>
        <v/>
      </c>
      <c r="F71" s="18" t="str">
        <f>IFERROR(INDEX('Detalles movimientos'!G$5:G$1003, MATCH(62, 'Detalles movimientos'!$W$5:$W$1003, 0)), "")</f>
        <v/>
      </c>
      <c r="G71" s="20" t="str">
        <f>IFERROR(INDEX('Detalles movimientos'!H$5:H$1003, MATCH(62, 'Detalles movimientos'!$W$5:$W$1003, 0)), "")</f>
        <v/>
      </c>
      <c r="H71" s="21" t="str">
        <f>IFERROR(INDEX('Detalles movimientos'!I$5:I$1003, MATCH(62, 'Detalles movimientos'!$W$5:$W$1003, 0)), "")</f>
        <v/>
      </c>
      <c r="I71" s="20" t="str">
        <f>IFERROR(INDEX('Detalles movimientos'!M$5:M$1003, MATCH(62, 'Detalles movimientos'!$W$5:$W$1003, 0)), "")</f>
        <v/>
      </c>
      <c r="J71" s="19" t="str">
        <f>IFERROR(INDEX('Detalles movimientos'!N$5:N$1003, MATCH(62, 'Detalles movimientos'!$W$5:$W$1003, 0)), "")</f>
        <v/>
      </c>
      <c r="K71" s="20" t="str">
        <f>IFERROR(INDEX('Detalles movimientos'!O$5:O$1003, MATCH(62, 'Detalles movimientos'!$W$5:$W$1003, 0)), "")</f>
        <v/>
      </c>
      <c r="L71" s="18" t="str">
        <f>IFERROR(INDEX('Detalles movimientos'!P$5:P$1003, MATCH(62, 'Detalles movimientos'!$W$5:$W$1003, 0)), "")</f>
        <v/>
      </c>
      <c r="M71" s="18" t="str">
        <f>IFERROR(INDEX('Detalles movimientos'!S$5:S$1003, MATCH(62, 'Detalles movimientos'!$W$5:$W$1003, 0)), "")</f>
        <v/>
      </c>
    </row>
    <row r="72" spans="2:13">
      <c r="B72" s="17" t="str">
        <f>IFERROR(INDEX('Detalles movimientos'!C$5:C$1003, MATCH(63, 'Detalles movimientos'!$W$5:$W$1003, 0)), "")</f>
        <v/>
      </c>
      <c r="C72" s="18" t="str">
        <f>IFERROR(INDEX('Detalles movimientos'!D$5:D$1003, MATCH(63, 'Detalles movimientos'!$W$5:$W$1003, 0)), "")</f>
        <v/>
      </c>
      <c r="D72" s="19" t="str">
        <f>IFERROR(INDEX('Detalles movimientos'!E$5:E$1003, MATCH(63, 'Detalles movimientos'!$W$5:$W$1003, 0)), "")</f>
        <v/>
      </c>
      <c r="E72" s="19" t="str">
        <f>IFERROR(INDEX('Detalles movimientos'!F$5:F$1003, MATCH(63, 'Detalles movimientos'!$W$5:$W$1003, 0)), "")</f>
        <v/>
      </c>
      <c r="F72" s="18" t="str">
        <f>IFERROR(INDEX('Detalles movimientos'!G$5:G$1003, MATCH(63, 'Detalles movimientos'!$W$5:$W$1003, 0)), "")</f>
        <v/>
      </c>
      <c r="G72" s="20" t="str">
        <f>IFERROR(INDEX('Detalles movimientos'!H$5:H$1003, MATCH(63, 'Detalles movimientos'!$W$5:$W$1003, 0)), "")</f>
        <v/>
      </c>
      <c r="H72" s="21" t="str">
        <f>IFERROR(INDEX('Detalles movimientos'!I$5:I$1003, MATCH(63, 'Detalles movimientos'!$W$5:$W$1003, 0)), "")</f>
        <v/>
      </c>
      <c r="I72" s="20" t="str">
        <f>IFERROR(INDEX('Detalles movimientos'!M$5:M$1003, MATCH(63, 'Detalles movimientos'!$W$5:$W$1003, 0)), "")</f>
        <v/>
      </c>
      <c r="J72" s="19" t="str">
        <f>IFERROR(INDEX('Detalles movimientos'!N$5:N$1003, MATCH(63, 'Detalles movimientos'!$W$5:$W$1003, 0)), "")</f>
        <v/>
      </c>
      <c r="K72" s="20" t="str">
        <f>IFERROR(INDEX('Detalles movimientos'!O$5:O$1003, MATCH(63, 'Detalles movimientos'!$W$5:$W$1003, 0)), "")</f>
        <v/>
      </c>
      <c r="L72" s="18" t="str">
        <f>IFERROR(INDEX('Detalles movimientos'!P$5:P$1003, MATCH(63, 'Detalles movimientos'!$W$5:$W$1003, 0)), "")</f>
        <v/>
      </c>
      <c r="M72" s="18" t="str">
        <f>IFERROR(INDEX('Detalles movimientos'!S$5:S$1003, MATCH(63, 'Detalles movimientos'!$W$5:$W$1003, 0)), "")</f>
        <v/>
      </c>
    </row>
    <row r="73" spans="2:13">
      <c r="B73" s="17" t="str">
        <f>IFERROR(INDEX('Detalles movimientos'!C$5:C$1003, MATCH(64, 'Detalles movimientos'!$W$5:$W$1003, 0)), "")</f>
        <v/>
      </c>
      <c r="C73" s="18" t="str">
        <f>IFERROR(INDEX('Detalles movimientos'!D$5:D$1003, MATCH(64, 'Detalles movimientos'!$W$5:$W$1003, 0)), "")</f>
        <v/>
      </c>
      <c r="D73" s="19" t="str">
        <f>IFERROR(INDEX('Detalles movimientos'!E$5:E$1003, MATCH(64, 'Detalles movimientos'!$W$5:$W$1003, 0)), "")</f>
        <v/>
      </c>
      <c r="E73" s="19" t="str">
        <f>IFERROR(INDEX('Detalles movimientos'!F$5:F$1003, MATCH(64, 'Detalles movimientos'!$W$5:$W$1003, 0)), "")</f>
        <v/>
      </c>
      <c r="F73" s="18" t="str">
        <f>IFERROR(INDEX('Detalles movimientos'!G$5:G$1003, MATCH(64, 'Detalles movimientos'!$W$5:$W$1003, 0)), "")</f>
        <v/>
      </c>
      <c r="G73" s="20" t="str">
        <f>IFERROR(INDEX('Detalles movimientos'!H$5:H$1003, MATCH(64, 'Detalles movimientos'!$W$5:$W$1003, 0)), "")</f>
        <v/>
      </c>
      <c r="H73" s="21" t="str">
        <f>IFERROR(INDEX('Detalles movimientos'!I$5:I$1003, MATCH(64, 'Detalles movimientos'!$W$5:$W$1003, 0)), "")</f>
        <v/>
      </c>
      <c r="I73" s="20" t="str">
        <f>IFERROR(INDEX('Detalles movimientos'!M$5:M$1003, MATCH(64, 'Detalles movimientos'!$W$5:$W$1003, 0)), "")</f>
        <v/>
      </c>
      <c r="J73" s="19" t="str">
        <f>IFERROR(INDEX('Detalles movimientos'!N$5:N$1003, MATCH(64, 'Detalles movimientos'!$W$5:$W$1003, 0)), "")</f>
        <v/>
      </c>
      <c r="K73" s="20" t="str">
        <f>IFERROR(INDEX('Detalles movimientos'!O$5:O$1003, MATCH(64, 'Detalles movimientos'!$W$5:$W$1003, 0)), "")</f>
        <v/>
      </c>
      <c r="L73" s="18" t="str">
        <f>IFERROR(INDEX('Detalles movimientos'!P$5:P$1003, MATCH(64, 'Detalles movimientos'!$W$5:$W$1003, 0)), "")</f>
        <v/>
      </c>
      <c r="M73" s="18" t="str">
        <f>IFERROR(INDEX('Detalles movimientos'!S$5:S$1003, MATCH(64, 'Detalles movimientos'!$W$5:$W$1003, 0)), "")</f>
        <v/>
      </c>
    </row>
    <row r="74" spans="2:13">
      <c r="B74" s="17" t="str">
        <f>IFERROR(INDEX('Detalles movimientos'!C$5:C$1003, MATCH(65, 'Detalles movimientos'!$W$5:$W$1003, 0)), "")</f>
        <v/>
      </c>
      <c r="C74" s="18" t="str">
        <f>IFERROR(INDEX('Detalles movimientos'!D$5:D$1003, MATCH(65, 'Detalles movimientos'!$W$5:$W$1003, 0)), "")</f>
        <v/>
      </c>
      <c r="D74" s="19" t="str">
        <f>IFERROR(INDEX('Detalles movimientos'!E$5:E$1003, MATCH(65, 'Detalles movimientos'!$W$5:$W$1003, 0)), "")</f>
        <v/>
      </c>
      <c r="E74" s="19" t="str">
        <f>IFERROR(INDEX('Detalles movimientos'!F$5:F$1003, MATCH(65, 'Detalles movimientos'!$W$5:$W$1003, 0)), "")</f>
        <v/>
      </c>
      <c r="F74" s="18" t="str">
        <f>IFERROR(INDEX('Detalles movimientos'!G$5:G$1003, MATCH(65, 'Detalles movimientos'!$W$5:$W$1003, 0)), "")</f>
        <v/>
      </c>
      <c r="G74" s="20" t="str">
        <f>IFERROR(INDEX('Detalles movimientos'!H$5:H$1003, MATCH(65, 'Detalles movimientos'!$W$5:$W$1003, 0)), "")</f>
        <v/>
      </c>
      <c r="H74" s="21" t="str">
        <f>IFERROR(INDEX('Detalles movimientos'!I$5:I$1003, MATCH(65, 'Detalles movimientos'!$W$5:$W$1003, 0)), "")</f>
        <v/>
      </c>
      <c r="I74" s="20" t="str">
        <f>IFERROR(INDEX('Detalles movimientos'!M$5:M$1003, MATCH(65, 'Detalles movimientos'!$W$5:$W$1003, 0)), "")</f>
        <v/>
      </c>
      <c r="J74" s="19" t="str">
        <f>IFERROR(INDEX('Detalles movimientos'!N$5:N$1003, MATCH(65, 'Detalles movimientos'!$W$5:$W$1003, 0)), "")</f>
        <v/>
      </c>
      <c r="K74" s="20" t="str">
        <f>IFERROR(INDEX('Detalles movimientos'!O$5:O$1003, MATCH(65, 'Detalles movimientos'!$W$5:$W$1003, 0)), "")</f>
        <v/>
      </c>
      <c r="L74" s="18" t="str">
        <f>IFERROR(INDEX('Detalles movimientos'!P$5:P$1003, MATCH(65, 'Detalles movimientos'!$W$5:$W$1003, 0)), "")</f>
        <v/>
      </c>
      <c r="M74" s="18" t="str">
        <f>IFERROR(INDEX('Detalles movimientos'!S$5:S$1003, MATCH(65, 'Detalles movimientos'!$W$5:$W$1003, 0)), "")</f>
        <v/>
      </c>
    </row>
    <row r="75" spans="2:13">
      <c r="B75" s="17" t="str">
        <f>IFERROR(INDEX('Detalles movimientos'!C$5:C$1003, MATCH(66, 'Detalles movimientos'!$W$5:$W$1003, 0)), "")</f>
        <v/>
      </c>
      <c r="C75" s="18" t="str">
        <f>IFERROR(INDEX('Detalles movimientos'!D$5:D$1003, MATCH(66, 'Detalles movimientos'!$W$5:$W$1003, 0)), "")</f>
        <v/>
      </c>
      <c r="D75" s="19" t="str">
        <f>IFERROR(INDEX('Detalles movimientos'!E$5:E$1003, MATCH(66, 'Detalles movimientos'!$W$5:$W$1003, 0)), "")</f>
        <v/>
      </c>
      <c r="E75" s="19" t="str">
        <f>IFERROR(INDEX('Detalles movimientos'!F$5:F$1003, MATCH(66, 'Detalles movimientos'!$W$5:$W$1003, 0)), "")</f>
        <v/>
      </c>
      <c r="F75" s="18" t="str">
        <f>IFERROR(INDEX('Detalles movimientos'!G$5:G$1003, MATCH(66, 'Detalles movimientos'!$W$5:$W$1003, 0)), "")</f>
        <v/>
      </c>
      <c r="G75" s="20" t="str">
        <f>IFERROR(INDEX('Detalles movimientos'!H$5:H$1003, MATCH(66, 'Detalles movimientos'!$W$5:$W$1003, 0)), "")</f>
        <v/>
      </c>
      <c r="H75" s="21" t="str">
        <f>IFERROR(INDEX('Detalles movimientos'!I$5:I$1003, MATCH(66, 'Detalles movimientos'!$W$5:$W$1003, 0)), "")</f>
        <v/>
      </c>
      <c r="I75" s="20" t="str">
        <f>IFERROR(INDEX('Detalles movimientos'!M$5:M$1003, MATCH(66, 'Detalles movimientos'!$W$5:$W$1003, 0)), "")</f>
        <v/>
      </c>
      <c r="J75" s="19" t="str">
        <f>IFERROR(INDEX('Detalles movimientos'!N$5:N$1003, MATCH(66, 'Detalles movimientos'!$W$5:$W$1003, 0)), "")</f>
        <v/>
      </c>
      <c r="K75" s="20" t="str">
        <f>IFERROR(INDEX('Detalles movimientos'!O$5:O$1003, MATCH(66, 'Detalles movimientos'!$W$5:$W$1003, 0)), "")</f>
        <v/>
      </c>
      <c r="L75" s="18" t="str">
        <f>IFERROR(INDEX('Detalles movimientos'!P$5:P$1003, MATCH(66, 'Detalles movimientos'!$W$5:$W$1003, 0)), "")</f>
        <v/>
      </c>
      <c r="M75" s="18" t="str">
        <f>IFERROR(INDEX('Detalles movimientos'!S$5:S$1003, MATCH(66, 'Detalles movimientos'!$W$5:$W$1003, 0)), "")</f>
        <v/>
      </c>
    </row>
    <row r="76" spans="2:13">
      <c r="B76" s="17" t="str">
        <f>IFERROR(INDEX('Detalles movimientos'!C$5:C$1003, MATCH(67, 'Detalles movimientos'!$W$5:$W$1003, 0)), "")</f>
        <v/>
      </c>
      <c r="C76" s="18" t="str">
        <f>IFERROR(INDEX('Detalles movimientos'!D$5:D$1003, MATCH(67, 'Detalles movimientos'!$W$5:$W$1003, 0)), "")</f>
        <v/>
      </c>
      <c r="D76" s="19" t="str">
        <f>IFERROR(INDEX('Detalles movimientos'!E$5:E$1003, MATCH(67, 'Detalles movimientos'!$W$5:$W$1003, 0)), "")</f>
        <v/>
      </c>
      <c r="E76" s="19" t="str">
        <f>IFERROR(INDEX('Detalles movimientos'!F$5:F$1003, MATCH(67, 'Detalles movimientos'!$W$5:$W$1003, 0)), "")</f>
        <v/>
      </c>
      <c r="F76" s="18" t="str">
        <f>IFERROR(INDEX('Detalles movimientos'!G$5:G$1003, MATCH(67, 'Detalles movimientos'!$W$5:$W$1003, 0)), "")</f>
        <v/>
      </c>
      <c r="G76" s="20" t="str">
        <f>IFERROR(INDEX('Detalles movimientos'!H$5:H$1003, MATCH(67, 'Detalles movimientos'!$W$5:$W$1003, 0)), "")</f>
        <v/>
      </c>
      <c r="H76" s="21" t="str">
        <f>IFERROR(INDEX('Detalles movimientos'!I$5:I$1003, MATCH(67, 'Detalles movimientos'!$W$5:$W$1003, 0)), "")</f>
        <v/>
      </c>
      <c r="I76" s="20" t="str">
        <f>IFERROR(INDEX('Detalles movimientos'!M$5:M$1003, MATCH(67, 'Detalles movimientos'!$W$5:$W$1003, 0)), "")</f>
        <v/>
      </c>
      <c r="J76" s="19" t="str">
        <f>IFERROR(INDEX('Detalles movimientos'!N$5:N$1003, MATCH(67, 'Detalles movimientos'!$W$5:$W$1003, 0)), "")</f>
        <v/>
      </c>
      <c r="K76" s="20" t="str">
        <f>IFERROR(INDEX('Detalles movimientos'!O$5:O$1003, MATCH(67, 'Detalles movimientos'!$W$5:$W$1003, 0)), "")</f>
        <v/>
      </c>
      <c r="L76" s="18" t="str">
        <f>IFERROR(INDEX('Detalles movimientos'!P$5:P$1003, MATCH(67, 'Detalles movimientos'!$W$5:$W$1003, 0)), "")</f>
        <v/>
      </c>
      <c r="M76" s="18" t="str">
        <f>IFERROR(INDEX('Detalles movimientos'!S$5:S$1003, MATCH(67, 'Detalles movimientos'!$W$5:$W$1003, 0)), "")</f>
        <v/>
      </c>
    </row>
    <row r="77" spans="2:13">
      <c r="B77" s="17" t="str">
        <f>IFERROR(INDEX('Detalles movimientos'!C$5:C$1003, MATCH(68, 'Detalles movimientos'!$W$5:$W$1003, 0)), "")</f>
        <v/>
      </c>
      <c r="C77" s="18" t="str">
        <f>IFERROR(INDEX('Detalles movimientos'!D$5:D$1003, MATCH(68, 'Detalles movimientos'!$W$5:$W$1003, 0)), "")</f>
        <v/>
      </c>
      <c r="D77" s="19" t="str">
        <f>IFERROR(INDEX('Detalles movimientos'!E$5:E$1003, MATCH(68, 'Detalles movimientos'!$W$5:$W$1003, 0)), "")</f>
        <v/>
      </c>
      <c r="E77" s="19" t="str">
        <f>IFERROR(INDEX('Detalles movimientos'!F$5:F$1003, MATCH(68, 'Detalles movimientos'!$W$5:$W$1003, 0)), "")</f>
        <v/>
      </c>
      <c r="F77" s="18" t="str">
        <f>IFERROR(INDEX('Detalles movimientos'!G$5:G$1003, MATCH(68, 'Detalles movimientos'!$W$5:$W$1003, 0)), "")</f>
        <v/>
      </c>
      <c r="G77" s="20" t="str">
        <f>IFERROR(INDEX('Detalles movimientos'!H$5:H$1003, MATCH(68, 'Detalles movimientos'!$W$5:$W$1003, 0)), "")</f>
        <v/>
      </c>
      <c r="H77" s="21" t="str">
        <f>IFERROR(INDEX('Detalles movimientos'!I$5:I$1003, MATCH(68, 'Detalles movimientos'!$W$5:$W$1003, 0)), "")</f>
        <v/>
      </c>
      <c r="I77" s="20" t="str">
        <f>IFERROR(INDEX('Detalles movimientos'!M$5:M$1003, MATCH(68, 'Detalles movimientos'!$W$5:$W$1003, 0)), "")</f>
        <v/>
      </c>
      <c r="J77" s="19" t="str">
        <f>IFERROR(INDEX('Detalles movimientos'!N$5:N$1003, MATCH(68, 'Detalles movimientos'!$W$5:$W$1003, 0)), "")</f>
        <v/>
      </c>
      <c r="K77" s="20" t="str">
        <f>IFERROR(INDEX('Detalles movimientos'!O$5:O$1003, MATCH(68, 'Detalles movimientos'!$W$5:$W$1003, 0)), "")</f>
        <v/>
      </c>
      <c r="L77" s="18" t="str">
        <f>IFERROR(INDEX('Detalles movimientos'!P$5:P$1003, MATCH(68, 'Detalles movimientos'!$W$5:$W$1003, 0)), "")</f>
        <v/>
      </c>
      <c r="M77" s="18" t="str">
        <f>IFERROR(INDEX('Detalles movimientos'!S$5:S$1003, MATCH(68, 'Detalles movimientos'!$W$5:$W$1003, 0)), "")</f>
        <v/>
      </c>
    </row>
    <row r="78" spans="2:13">
      <c r="B78" s="17" t="str">
        <f>IFERROR(INDEX('Detalles movimientos'!C$5:C$1003, MATCH(69, 'Detalles movimientos'!$W$5:$W$1003, 0)), "")</f>
        <v/>
      </c>
      <c r="C78" s="18" t="str">
        <f>IFERROR(INDEX('Detalles movimientos'!D$5:D$1003, MATCH(69, 'Detalles movimientos'!$W$5:$W$1003, 0)), "")</f>
        <v/>
      </c>
      <c r="D78" s="19" t="str">
        <f>IFERROR(INDEX('Detalles movimientos'!E$5:E$1003, MATCH(69, 'Detalles movimientos'!$W$5:$W$1003, 0)), "")</f>
        <v/>
      </c>
      <c r="E78" s="19" t="str">
        <f>IFERROR(INDEX('Detalles movimientos'!F$5:F$1003, MATCH(69, 'Detalles movimientos'!$W$5:$W$1003, 0)), "")</f>
        <v/>
      </c>
      <c r="F78" s="18" t="str">
        <f>IFERROR(INDEX('Detalles movimientos'!G$5:G$1003, MATCH(69, 'Detalles movimientos'!$W$5:$W$1003, 0)), "")</f>
        <v/>
      </c>
      <c r="G78" s="20" t="str">
        <f>IFERROR(INDEX('Detalles movimientos'!H$5:H$1003, MATCH(69, 'Detalles movimientos'!$W$5:$W$1003, 0)), "")</f>
        <v/>
      </c>
      <c r="H78" s="21" t="str">
        <f>IFERROR(INDEX('Detalles movimientos'!I$5:I$1003, MATCH(69, 'Detalles movimientos'!$W$5:$W$1003, 0)), "")</f>
        <v/>
      </c>
      <c r="I78" s="20" t="str">
        <f>IFERROR(INDEX('Detalles movimientos'!M$5:M$1003, MATCH(69, 'Detalles movimientos'!$W$5:$W$1003, 0)), "")</f>
        <v/>
      </c>
      <c r="J78" s="19" t="str">
        <f>IFERROR(INDEX('Detalles movimientos'!N$5:N$1003, MATCH(69, 'Detalles movimientos'!$W$5:$W$1003, 0)), "")</f>
        <v/>
      </c>
      <c r="K78" s="20" t="str">
        <f>IFERROR(INDEX('Detalles movimientos'!O$5:O$1003, MATCH(69, 'Detalles movimientos'!$W$5:$W$1003, 0)), "")</f>
        <v/>
      </c>
      <c r="L78" s="18" t="str">
        <f>IFERROR(INDEX('Detalles movimientos'!P$5:P$1003, MATCH(69, 'Detalles movimientos'!$W$5:$W$1003, 0)), "")</f>
        <v/>
      </c>
      <c r="M78" s="18" t="str">
        <f>IFERROR(INDEX('Detalles movimientos'!S$5:S$1003, MATCH(69, 'Detalles movimientos'!$W$5:$W$1003, 0)), "")</f>
        <v/>
      </c>
    </row>
    <row r="79" spans="2:13">
      <c r="B79" s="17" t="str">
        <f>IFERROR(INDEX('Detalles movimientos'!C$5:C$1003, MATCH(70, 'Detalles movimientos'!$W$5:$W$1003, 0)), "")</f>
        <v/>
      </c>
      <c r="C79" s="18" t="str">
        <f>IFERROR(INDEX('Detalles movimientos'!D$5:D$1003, MATCH(70, 'Detalles movimientos'!$W$5:$W$1003, 0)), "")</f>
        <v/>
      </c>
      <c r="D79" s="19" t="str">
        <f>IFERROR(INDEX('Detalles movimientos'!E$5:E$1003, MATCH(70, 'Detalles movimientos'!$W$5:$W$1003, 0)), "")</f>
        <v/>
      </c>
      <c r="E79" s="19" t="str">
        <f>IFERROR(INDEX('Detalles movimientos'!F$5:F$1003, MATCH(70, 'Detalles movimientos'!$W$5:$W$1003, 0)), "")</f>
        <v/>
      </c>
      <c r="F79" s="18" t="str">
        <f>IFERROR(INDEX('Detalles movimientos'!G$5:G$1003, MATCH(70, 'Detalles movimientos'!$W$5:$W$1003, 0)), "")</f>
        <v/>
      </c>
      <c r="G79" s="20" t="str">
        <f>IFERROR(INDEX('Detalles movimientos'!H$5:H$1003, MATCH(70, 'Detalles movimientos'!$W$5:$W$1003, 0)), "")</f>
        <v/>
      </c>
      <c r="H79" s="21" t="str">
        <f>IFERROR(INDEX('Detalles movimientos'!I$5:I$1003, MATCH(70, 'Detalles movimientos'!$W$5:$W$1003, 0)), "")</f>
        <v/>
      </c>
      <c r="I79" s="20" t="str">
        <f>IFERROR(INDEX('Detalles movimientos'!M$5:M$1003, MATCH(70, 'Detalles movimientos'!$W$5:$W$1003, 0)), "")</f>
        <v/>
      </c>
      <c r="J79" s="19" t="str">
        <f>IFERROR(INDEX('Detalles movimientos'!N$5:N$1003, MATCH(70, 'Detalles movimientos'!$W$5:$W$1003, 0)), "")</f>
        <v/>
      </c>
      <c r="K79" s="20" t="str">
        <f>IFERROR(INDEX('Detalles movimientos'!O$5:O$1003, MATCH(70, 'Detalles movimientos'!$W$5:$W$1003, 0)), "")</f>
        <v/>
      </c>
      <c r="L79" s="18" t="str">
        <f>IFERROR(INDEX('Detalles movimientos'!P$5:P$1003, MATCH(70, 'Detalles movimientos'!$W$5:$W$1003, 0)), "")</f>
        <v/>
      </c>
      <c r="M79" s="18" t="str">
        <f>IFERROR(INDEX('Detalles movimientos'!S$5:S$1003, MATCH(70, 'Detalles movimientos'!$W$5:$W$1003, 0)), "")</f>
        <v/>
      </c>
    </row>
    <row r="80" spans="2:13">
      <c r="B80" s="17" t="str">
        <f>IFERROR(INDEX('Detalles movimientos'!C$5:C$1003, MATCH(71, 'Detalles movimientos'!$W$5:$W$1003, 0)), "")</f>
        <v/>
      </c>
      <c r="C80" s="18" t="str">
        <f>IFERROR(INDEX('Detalles movimientos'!D$5:D$1003, MATCH(71, 'Detalles movimientos'!$W$5:$W$1003, 0)), "")</f>
        <v/>
      </c>
      <c r="D80" s="19" t="str">
        <f>IFERROR(INDEX('Detalles movimientos'!E$5:E$1003, MATCH(71, 'Detalles movimientos'!$W$5:$W$1003, 0)), "")</f>
        <v/>
      </c>
      <c r="E80" s="19" t="str">
        <f>IFERROR(INDEX('Detalles movimientos'!F$5:F$1003, MATCH(71, 'Detalles movimientos'!$W$5:$W$1003, 0)), "")</f>
        <v/>
      </c>
      <c r="F80" s="18" t="str">
        <f>IFERROR(INDEX('Detalles movimientos'!G$5:G$1003, MATCH(71, 'Detalles movimientos'!$W$5:$W$1003, 0)), "")</f>
        <v/>
      </c>
      <c r="G80" s="20" t="str">
        <f>IFERROR(INDEX('Detalles movimientos'!H$5:H$1003, MATCH(71, 'Detalles movimientos'!$W$5:$W$1003, 0)), "")</f>
        <v/>
      </c>
      <c r="H80" s="21" t="str">
        <f>IFERROR(INDEX('Detalles movimientos'!I$5:I$1003, MATCH(71, 'Detalles movimientos'!$W$5:$W$1003, 0)), "")</f>
        <v/>
      </c>
      <c r="I80" s="20" t="str">
        <f>IFERROR(INDEX('Detalles movimientos'!M$5:M$1003, MATCH(71, 'Detalles movimientos'!$W$5:$W$1003, 0)), "")</f>
        <v/>
      </c>
      <c r="J80" s="19" t="str">
        <f>IFERROR(INDEX('Detalles movimientos'!N$5:N$1003, MATCH(71, 'Detalles movimientos'!$W$5:$W$1003, 0)), "")</f>
        <v/>
      </c>
      <c r="K80" s="20" t="str">
        <f>IFERROR(INDEX('Detalles movimientos'!O$5:O$1003, MATCH(71, 'Detalles movimientos'!$W$5:$W$1003, 0)), "")</f>
        <v/>
      </c>
      <c r="L80" s="18" t="str">
        <f>IFERROR(INDEX('Detalles movimientos'!P$5:P$1003, MATCH(71, 'Detalles movimientos'!$W$5:$W$1003, 0)), "")</f>
        <v/>
      </c>
      <c r="M80" s="18" t="str">
        <f>IFERROR(INDEX('Detalles movimientos'!S$5:S$1003, MATCH(71, 'Detalles movimientos'!$W$5:$W$1003, 0)), "")</f>
        <v/>
      </c>
    </row>
    <row r="81" spans="2:13">
      <c r="B81" s="17" t="str">
        <f>IFERROR(INDEX('Detalles movimientos'!C$5:C$1003, MATCH(72, 'Detalles movimientos'!$W$5:$W$1003, 0)), "")</f>
        <v/>
      </c>
      <c r="C81" s="18" t="str">
        <f>IFERROR(INDEX('Detalles movimientos'!D$5:D$1003, MATCH(72, 'Detalles movimientos'!$W$5:$W$1003, 0)), "")</f>
        <v/>
      </c>
      <c r="D81" s="19" t="str">
        <f>IFERROR(INDEX('Detalles movimientos'!E$5:E$1003, MATCH(72, 'Detalles movimientos'!$W$5:$W$1003, 0)), "")</f>
        <v/>
      </c>
      <c r="E81" s="19" t="str">
        <f>IFERROR(INDEX('Detalles movimientos'!F$5:F$1003, MATCH(72, 'Detalles movimientos'!$W$5:$W$1003, 0)), "")</f>
        <v/>
      </c>
      <c r="F81" s="18" t="str">
        <f>IFERROR(INDEX('Detalles movimientos'!G$5:G$1003, MATCH(72, 'Detalles movimientos'!$W$5:$W$1003, 0)), "")</f>
        <v/>
      </c>
      <c r="G81" s="20" t="str">
        <f>IFERROR(INDEX('Detalles movimientos'!H$5:H$1003, MATCH(72, 'Detalles movimientos'!$W$5:$W$1003, 0)), "")</f>
        <v/>
      </c>
      <c r="H81" s="21" t="str">
        <f>IFERROR(INDEX('Detalles movimientos'!I$5:I$1003, MATCH(72, 'Detalles movimientos'!$W$5:$W$1003, 0)), "")</f>
        <v/>
      </c>
      <c r="I81" s="20" t="str">
        <f>IFERROR(INDEX('Detalles movimientos'!M$5:M$1003, MATCH(72, 'Detalles movimientos'!$W$5:$W$1003, 0)), "")</f>
        <v/>
      </c>
      <c r="J81" s="19" t="str">
        <f>IFERROR(INDEX('Detalles movimientos'!N$5:N$1003, MATCH(72, 'Detalles movimientos'!$W$5:$W$1003, 0)), "")</f>
        <v/>
      </c>
      <c r="K81" s="20" t="str">
        <f>IFERROR(INDEX('Detalles movimientos'!O$5:O$1003, MATCH(72, 'Detalles movimientos'!$W$5:$W$1003, 0)), "")</f>
        <v/>
      </c>
      <c r="L81" s="18" t="str">
        <f>IFERROR(INDEX('Detalles movimientos'!P$5:P$1003, MATCH(72, 'Detalles movimientos'!$W$5:$W$1003, 0)), "")</f>
        <v/>
      </c>
      <c r="M81" s="18" t="str">
        <f>IFERROR(INDEX('Detalles movimientos'!S$5:S$1003, MATCH(72, 'Detalles movimientos'!$W$5:$W$1003, 0)), "")</f>
        <v/>
      </c>
    </row>
    <row r="82" spans="2:13">
      <c r="B82" s="17" t="str">
        <f>IFERROR(INDEX('Detalles movimientos'!C$5:C$1003, MATCH(73, 'Detalles movimientos'!$W$5:$W$1003, 0)), "")</f>
        <v/>
      </c>
      <c r="C82" s="18" t="str">
        <f>IFERROR(INDEX('Detalles movimientos'!D$5:D$1003, MATCH(73, 'Detalles movimientos'!$W$5:$W$1003, 0)), "")</f>
        <v/>
      </c>
      <c r="D82" s="19" t="str">
        <f>IFERROR(INDEX('Detalles movimientos'!E$5:E$1003, MATCH(73, 'Detalles movimientos'!$W$5:$W$1003, 0)), "")</f>
        <v/>
      </c>
      <c r="E82" s="19" t="str">
        <f>IFERROR(INDEX('Detalles movimientos'!F$5:F$1003, MATCH(73, 'Detalles movimientos'!$W$5:$W$1003, 0)), "")</f>
        <v/>
      </c>
      <c r="F82" s="18" t="str">
        <f>IFERROR(INDEX('Detalles movimientos'!G$5:G$1003, MATCH(73, 'Detalles movimientos'!$W$5:$W$1003, 0)), "")</f>
        <v/>
      </c>
      <c r="G82" s="20" t="str">
        <f>IFERROR(INDEX('Detalles movimientos'!H$5:H$1003, MATCH(73, 'Detalles movimientos'!$W$5:$W$1003, 0)), "")</f>
        <v/>
      </c>
      <c r="H82" s="21" t="str">
        <f>IFERROR(INDEX('Detalles movimientos'!I$5:I$1003, MATCH(73, 'Detalles movimientos'!$W$5:$W$1003, 0)), "")</f>
        <v/>
      </c>
      <c r="I82" s="20" t="str">
        <f>IFERROR(INDEX('Detalles movimientos'!M$5:M$1003, MATCH(73, 'Detalles movimientos'!$W$5:$W$1003, 0)), "")</f>
        <v/>
      </c>
      <c r="J82" s="19" t="str">
        <f>IFERROR(INDEX('Detalles movimientos'!N$5:N$1003, MATCH(73, 'Detalles movimientos'!$W$5:$W$1003, 0)), "")</f>
        <v/>
      </c>
      <c r="K82" s="20" t="str">
        <f>IFERROR(INDEX('Detalles movimientos'!O$5:O$1003, MATCH(73, 'Detalles movimientos'!$W$5:$W$1003, 0)), "")</f>
        <v/>
      </c>
      <c r="L82" s="18" t="str">
        <f>IFERROR(INDEX('Detalles movimientos'!P$5:P$1003, MATCH(73, 'Detalles movimientos'!$W$5:$W$1003, 0)), "")</f>
        <v/>
      </c>
      <c r="M82" s="18" t="str">
        <f>IFERROR(INDEX('Detalles movimientos'!S$5:S$1003, MATCH(73, 'Detalles movimientos'!$W$5:$W$1003, 0)), "")</f>
        <v/>
      </c>
    </row>
    <row r="83" spans="2:13">
      <c r="B83" s="17" t="str">
        <f>IFERROR(INDEX('Detalles movimientos'!C$5:C$1003, MATCH(74, 'Detalles movimientos'!$W$5:$W$1003, 0)), "")</f>
        <v/>
      </c>
      <c r="C83" s="18" t="str">
        <f>IFERROR(INDEX('Detalles movimientos'!D$5:D$1003, MATCH(74, 'Detalles movimientos'!$W$5:$W$1003, 0)), "")</f>
        <v/>
      </c>
      <c r="D83" s="19" t="str">
        <f>IFERROR(INDEX('Detalles movimientos'!E$5:E$1003, MATCH(74, 'Detalles movimientos'!$W$5:$W$1003, 0)), "")</f>
        <v/>
      </c>
      <c r="E83" s="19" t="str">
        <f>IFERROR(INDEX('Detalles movimientos'!F$5:F$1003, MATCH(74, 'Detalles movimientos'!$W$5:$W$1003, 0)), "")</f>
        <v/>
      </c>
      <c r="F83" s="18" t="str">
        <f>IFERROR(INDEX('Detalles movimientos'!G$5:G$1003, MATCH(74, 'Detalles movimientos'!$W$5:$W$1003, 0)), "")</f>
        <v/>
      </c>
      <c r="G83" s="20" t="str">
        <f>IFERROR(INDEX('Detalles movimientos'!H$5:H$1003, MATCH(74, 'Detalles movimientos'!$W$5:$W$1003, 0)), "")</f>
        <v/>
      </c>
      <c r="H83" s="21" t="str">
        <f>IFERROR(INDEX('Detalles movimientos'!I$5:I$1003, MATCH(74, 'Detalles movimientos'!$W$5:$W$1003, 0)), "")</f>
        <v/>
      </c>
      <c r="I83" s="20" t="str">
        <f>IFERROR(INDEX('Detalles movimientos'!M$5:M$1003, MATCH(74, 'Detalles movimientos'!$W$5:$W$1003, 0)), "")</f>
        <v/>
      </c>
      <c r="J83" s="19" t="str">
        <f>IFERROR(INDEX('Detalles movimientos'!N$5:N$1003, MATCH(74, 'Detalles movimientos'!$W$5:$W$1003, 0)), "")</f>
        <v/>
      </c>
      <c r="K83" s="20" t="str">
        <f>IFERROR(INDEX('Detalles movimientos'!O$5:O$1003, MATCH(74, 'Detalles movimientos'!$W$5:$W$1003, 0)), "")</f>
        <v/>
      </c>
      <c r="L83" s="18" t="str">
        <f>IFERROR(INDEX('Detalles movimientos'!P$5:P$1003, MATCH(74, 'Detalles movimientos'!$W$5:$W$1003, 0)), "")</f>
        <v/>
      </c>
      <c r="M83" s="18" t="str">
        <f>IFERROR(INDEX('Detalles movimientos'!S$5:S$1003, MATCH(74, 'Detalles movimientos'!$W$5:$W$1003, 0)), "")</f>
        <v/>
      </c>
    </row>
    <row r="84" spans="2:13">
      <c r="B84" s="17" t="str">
        <f>IFERROR(INDEX('Detalles movimientos'!C$5:C$1003, MATCH(75, 'Detalles movimientos'!$W$5:$W$1003, 0)), "")</f>
        <v/>
      </c>
      <c r="C84" s="18" t="str">
        <f>IFERROR(INDEX('Detalles movimientos'!D$5:D$1003, MATCH(75, 'Detalles movimientos'!$W$5:$W$1003, 0)), "")</f>
        <v/>
      </c>
      <c r="D84" s="19" t="str">
        <f>IFERROR(INDEX('Detalles movimientos'!E$5:E$1003, MATCH(75, 'Detalles movimientos'!$W$5:$W$1003, 0)), "")</f>
        <v/>
      </c>
      <c r="E84" s="19" t="str">
        <f>IFERROR(INDEX('Detalles movimientos'!F$5:F$1003, MATCH(75, 'Detalles movimientos'!$W$5:$W$1003, 0)), "")</f>
        <v/>
      </c>
      <c r="F84" s="18" t="str">
        <f>IFERROR(INDEX('Detalles movimientos'!G$5:G$1003, MATCH(75, 'Detalles movimientos'!$W$5:$W$1003, 0)), "")</f>
        <v/>
      </c>
      <c r="G84" s="20" t="str">
        <f>IFERROR(INDEX('Detalles movimientos'!H$5:H$1003, MATCH(75, 'Detalles movimientos'!$W$5:$W$1003, 0)), "")</f>
        <v/>
      </c>
      <c r="H84" s="21" t="str">
        <f>IFERROR(INDEX('Detalles movimientos'!I$5:I$1003, MATCH(75, 'Detalles movimientos'!$W$5:$W$1003, 0)), "")</f>
        <v/>
      </c>
      <c r="I84" s="20" t="str">
        <f>IFERROR(INDEX('Detalles movimientos'!M$5:M$1003, MATCH(75, 'Detalles movimientos'!$W$5:$W$1003, 0)), "")</f>
        <v/>
      </c>
      <c r="J84" s="19" t="str">
        <f>IFERROR(INDEX('Detalles movimientos'!N$5:N$1003, MATCH(75, 'Detalles movimientos'!$W$5:$W$1003, 0)), "")</f>
        <v/>
      </c>
      <c r="K84" s="20" t="str">
        <f>IFERROR(INDEX('Detalles movimientos'!O$5:O$1003, MATCH(75, 'Detalles movimientos'!$W$5:$W$1003, 0)), "")</f>
        <v/>
      </c>
      <c r="L84" s="18" t="str">
        <f>IFERROR(INDEX('Detalles movimientos'!P$5:P$1003, MATCH(75, 'Detalles movimientos'!$W$5:$W$1003, 0)), "")</f>
        <v/>
      </c>
      <c r="M84" s="18" t="str">
        <f>IFERROR(INDEX('Detalles movimientos'!S$5:S$1003, MATCH(75, 'Detalles movimientos'!$W$5:$W$1003, 0)), "")</f>
        <v/>
      </c>
    </row>
    <row r="85" spans="2:13">
      <c r="B85" s="17" t="str">
        <f>IFERROR(INDEX('Detalles movimientos'!C$5:C$1003, MATCH(76, 'Detalles movimientos'!$W$5:$W$1003, 0)), "")</f>
        <v/>
      </c>
      <c r="C85" s="18" t="str">
        <f>IFERROR(INDEX('Detalles movimientos'!D$5:D$1003, MATCH(76, 'Detalles movimientos'!$W$5:$W$1003, 0)), "")</f>
        <v/>
      </c>
      <c r="D85" s="19" t="str">
        <f>IFERROR(INDEX('Detalles movimientos'!E$5:E$1003, MATCH(76, 'Detalles movimientos'!$W$5:$W$1003, 0)), "")</f>
        <v/>
      </c>
      <c r="E85" s="19" t="str">
        <f>IFERROR(INDEX('Detalles movimientos'!F$5:F$1003, MATCH(76, 'Detalles movimientos'!$W$5:$W$1003, 0)), "")</f>
        <v/>
      </c>
      <c r="F85" s="18" t="str">
        <f>IFERROR(INDEX('Detalles movimientos'!G$5:G$1003, MATCH(76, 'Detalles movimientos'!$W$5:$W$1003, 0)), "")</f>
        <v/>
      </c>
      <c r="G85" s="20" t="str">
        <f>IFERROR(INDEX('Detalles movimientos'!H$5:H$1003, MATCH(76, 'Detalles movimientos'!$W$5:$W$1003, 0)), "")</f>
        <v/>
      </c>
      <c r="H85" s="21" t="str">
        <f>IFERROR(INDEX('Detalles movimientos'!I$5:I$1003, MATCH(76, 'Detalles movimientos'!$W$5:$W$1003, 0)), "")</f>
        <v/>
      </c>
      <c r="I85" s="20" t="str">
        <f>IFERROR(INDEX('Detalles movimientos'!M$5:M$1003, MATCH(76, 'Detalles movimientos'!$W$5:$W$1003, 0)), "")</f>
        <v/>
      </c>
      <c r="J85" s="19" t="str">
        <f>IFERROR(INDEX('Detalles movimientos'!N$5:N$1003, MATCH(76, 'Detalles movimientos'!$W$5:$W$1003, 0)), "")</f>
        <v/>
      </c>
      <c r="K85" s="20" t="str">
        <f>IFERROR(INDEX('Detalles movimientos'!O$5:O$1003, MATCH(76, 'Detalles movimientos'!$W$5:$W$1003, 0)), "")</f>
        <v/>
      </c>
      <c r="L85" s="18" t="str">
        <f>IFERROR(INDEX('Detalles movimientos'!P$5:P$1003, MATCH(76, 'Detalles movimientos'!$W$5:$W$1003, 0)), "")</f>
        <v/>
      </c>
      <c r="M85" s="18" t="str">
        <f>IFERROR(INDEX('Detalles movimientos'!S$5:S$1003, MATCH(76, 'Detalles movimientos'!$W$5:$W$1003, 0)), "")</f>
        <v/>
      </c>
    </row>
    <row r="86" spans="2:13">
      <c r="B86" s="17" t="str">
        <f>IFERROR(INDEX('Detalles movimientos'!C$5:C$1003, MATCH(77, 'Detalles movimientos'!$W$5:$W$1003, 0)), "")</f>
        <v/>
      </c>
      <c r="C86" s="18" t="str">
        <f>IFERROR(INDEX('Detalles movimientos'!D$5:D$1003, MATCH(77, 'Detalles movimientos'!$W$5:$W$1003, 0)), "")</f>
        <v/>
      </c>
      <c r="D86" s="19" t="str">
        <f>IFERROR(INDEX('Detalles movimientos'!E$5:E$1003, MATCH(77, 'Detalles movimientos'!$W$5:$W$1003, 0)), "")</f>
        <v/>
      </c>
      <c r="E86" s="19" t="str">
        <f>IFERROR(INDEX('Detalles movimientos'!F$5:F$1003, MATCH(77, 'Detalles movimientos'!$W$5:$W$1003, 0)), "")</f>
        <v/>
      </c>
      <c r="F86" s="18" t="str">
        <f>IFERROR(INDEX('Detalles movimientos'!G$5:G$1003, MATCH(77, 'Detalles movimientos'!$W$5:$W$1003, 0)), "")</f>
        <v/>
      </c>
      <c r="G86" s="20" t="str">
        <f>IFERROR(INDEX('Detalles movimientos'!H$5:H$1003, MATCH(77, 'Detalles movimientos'!$W$5:$W$1003, 0)), "")</f>
        <v/>
      </c>
      <c r="H86" s="21" t="str">
        <f>IFERROR(INDEX('Detalles movimientos'!I$5:I$1003, MATCH(77, 'Detalles movimientos'!$W$5:$W$1003, 0)), "")</f>
        <v/>
      </c>
      <c r="I86" s="20" t="str">
        <f>IFERROR(INDEX('Detalles movimientos'!M$5:M$1003, MATCH(77, 'Detalles movimientos'!$W$5:$W$1003, 0)), "")</f>
        <v/>
      </c>
      <c r="J86" s="19" t="str">
        <f>IFERROR(INDEX('Detalles movimientos'!N$5:N$1003, MATCH(77, 'Detalles movimientos'!$W$5:$W$1003, 0)), "")</f>
        <v/>
      </c>
      <c r="K86" s="20" t="str">
        <f>IFERROR(INDEX('Detalles movimientos'!O$5:O$1003, MATCH(77, 'Detalles movimientos'!$W$5:$W$1003, 0)), "")</f>
        <v/>
      </c>
      <c r="L86" s="18" t="str">
        <f>IFERROR(INDEX('Detalles movimientos'!P$5:P$1003, MATCH(77, 'Detalles movimientos'!$W$5:$W$1003, 0)), "")</f>
        <v/>
      </c>
      <c r="M86" s="18" t="str">
        <f>IFERROR(INDEX('Detalles movimientos'!S$5:S$1003, MATCH(77, 'Detalles movimientos'!$W$5:$W$1003, 0)), "")</f>
        <v/>
      </c>
    </row>
    <row r="87" spans="2:13">
      <c r="B87" s="17" t="str">
        <f>IFERROR(INDEX('Detalles movimientos'!C$5:C$1003, MATCH(78, 'Detalles movimientos'!$W$5:$W$1003, 0)), "")</f>
        <v/>
      </c>
      <c r="C87" s="18" t="str">
        <f>IFERROR(INDEX('Detalles movimientos'!D$5:D$1003, MATCH(78, 'Detalles movimientos'!$W$5:$W$1003, 0)), "")</f>
        <v/>
      </c>
      <c r="D87" s="19" t="str">
        <f>IFERROR(INDEX('Detalles movimientos'!E$5:E$1003, MATCH(78, 'Detalles movimientos'!$W$5:$W$1003, 0)), "")</f>
        <v/>
      </c>
      <c r="E87" s="19" t="str">
        <f>IFERROR(INDEX('Detalles movimientos'!F$5:F$1003, MATCH(78, 'Detalles movimientos'!$W$5:$W$1003, 0)), "")</f>
        <v/>
      </c>
      <c r="F87" s="18" t="str">
        <f>IFERROR(INDEX('Detalles movimientos'!G$5:G$1003, MATCH(78, 'Detalles movimientos'!$W$5:$W$1003, 0)), "")</f>
        <v/>
      </c>
      <c r="G87" s="20" t="str">
        <f>IFERROR(INDEX('Detalles movimientos'!H$5:H$1003, MATCH(78, 'Detalles movimientos'!$W$5:$W$1003, 0)), "")</f>
        <v/>
      </c>
      <c r="H87" s="21" t="str">
        <f>IFERROR(INDEX('Detalles movimientos'!I$5:I$1003, MATCH(78, 'Detalles movimientos'!$W$5:$W$1003, 0)), "")</f>
        <v/>
      </c>
      <c r="I87" s="20" t="str">
        <f>IFERROR(INDEX('Detalles movimientos'!M$5:M$1003, MATCH(78, 'Detalles movimientos'!$W$5:$W$1003, 0)), "")</f>
        <v/>
      </c>
      <c r="J87" s="19" t="str">
        <f>IFERROR(INDEX('Detalles movimientos'!N$5:N$1003, MATCH(78, 'Detalles movimientos'!$W$5:$W$1003, 0)), "")</f>
        <v/>
      </c>
      <c r="K87" s="20" t="str">
        <f>IFERROR(INDEX('Detalles movimientos'!O$5:O$1003, MATCH(78, 'Detalles movimientos'!$W$5:$W$1003, 0)), "")</f>
        <v/>
      </c>
      <c r="L87" s="18" t="str">
        <f>IFERROR(INDEX('Detalles movimientos'!P$5:P$1003, MATCH(78, 'Detalles movimientos'!$W$5:$W$1003, 0)), "")</f>
        <v/>
      </c>
      <c r="M87" s="18" t="str">
        <f>IFERROR(INDEX('Detalles movimientos'!S$5:S$1003, MATCH(78, 'Detalles movimientos'!$W$5:$W$1003, 0)), "")</f>
        <v/>
      </c>
    </row>
    <row r="88" spans="2:13">
      <c r="B88" s="17" t="str">
        <f>IFERROR(INDEX('Detalles movimientos'!C$5:C$1003, MATCH(79, 'Detalles movimientos'!$W$5:$W$1003, 0)), "")</f>
        <v/>
      </c>
      <c r="C88" s="18" t="str">
        <f>IFERROR(INDEX('Detalles movimientos'!D$5:D$1003, MATCH(79, 'Detalles movimientos'!$W$5:$W$1003, 0)), "")</f>
        <v/>
      </c>
      <c r="D88" s="19" t="str">
        <f>IFERROR(INDEX('Detalles movimientos'!E$5:E$1003, MATCH(79, 'Detalles movimientos'!$W$5:$W$1003, 0)), "")</f>
        <v/>
      </c>
      <c r="E88" s="19" t="str">
        <f>IFERROR(INDEX('Detalles movimientos'!F$5:F$1003, MATCH(79, 'Detalles movimientos'!$W$5:$W$1003, 0)), "")</f>
        <v/>
      </c>
      <c r="F88" s="18" t="str">
        <f>IFERROR(INDEX('Detalles movimientos'!G$5:G$1003, MATCH(79, 'Detalles movimientos'!$W$5:$W$1003, 0)), "")</f>
        <v/>
      </c>
      <c r="G88" s="20" t="str">
        <f>IFERROR(INDEX('Detalles movimientos'!H$5:H$1003, MATCH(79, 'Detalles movimientos'!$W$5:$W$1003, 0)), "")</f>
        <v/>
      </c>
      <c r="H88" s="21" t="str">
        <f>IFERROR(INDEX('Detalles movimientos'!I$5:I$1003, MATCH(79, 'Detalles movimientos'!$W$5:$W$1003, 0)), "")</f>
        <v/>
      </c>
      <c r="I88" s="20" t="str">
        <f>IFERROR(INDEX('Detalles movimientos'!M$5:M$1003, MATCH(79, 'Detalles movimientos'!$W$5:$W$1003, 0)), "")</f>
        <v/>
      </c>
      <c r="J88" s="19" t="str">
        <f>IFERROR(INDEX('Detalles movimientos'!N$5:N$1003, MATCH(79, 'Detalles movimientos'!$W$5:$W$1003, 0)), "")</f>
        <v/>
      </c>
      <c r="K88" s="20" t="str">
        <f>IFERROR(INDEX('Detalles movimientos'!O$5:O$1003, MATCH(79, 'Detalles movimientos'!$W$5:$W$1003, 0)), "")</f>
        <v/>
      </c>
      <c r="L88" s="18" t="str">
        <f>IFERROR(INDEX('Detalles movimientos'!P$5:P$1003, MATCH(79, 'Detalles movimientos'!$W$5:$W$1003, 0)), "")</f>
        <v/>
      </c>
      <c r="M88" s="18" t="str">
        <f>IFERROR(INDEX('Detalles movimientos'!S$5:S$1003, MATCH(79, 'Detalles movimientos'!$W$5:$W$1003, 0)), "")</f>
        <v/>
      </c>
    </row>
    <row r="89" spans="2:13">
      <c r="B89" s="17" t="str">
        <f>IFERROR(INDEX('Detalles movimientos'!C$5:C$1003, MATCH(80, 'Detalles movimientos'!$W$5:$W$1003, 0)), "")</f>
        <v/>
      </c>
      <c r="C89" s="18" t="str">
        <f>IFERROR(INDEX('Detalles movimientos'!D$5:D$1003, MATCH(80, 'Detalles movimientos'!$W$5:$W$1003, 0)), "")</f>
        <v/>
      </c>
      <c r="D89" s="19" t="str">
        <f>IFERROR(INDEX('Detalles movimientos'!E$5:E$1003, MATCH(80, 'Detalles movimientos'!$W$5:$W$1003, 0)), "")</f>
        <v/>
      </c>
      <c r="E89" s="19" t="str">
        <f>IFERROR(INDEX('Detalles movimientos'!F$5:F$1003, MATCH(80, 'Detalles movimientos'!$W$5:$W$1003, 0)), "")</f>
        <v/>
      </c>
      <c r="F89" s="18" t="str">
        <f>IFERROR(INDEX('Detalles movimientos'!G$5:G$1003, MATCH(80, 'Detalles movimientos'!$W$5:$W$1003, 0)), "")</f>
        <v/>
      </c>
      <c r="G89" s="20" t="str">
        <f>IFERROR(INDEX('Detalles movimientos'!H$5:H$1003, MATCH(80, 'Detalles movimientos'!$W$5:$W$1003, 0)), "")</f>
        <v/>
      </c>
      <c r="H89" s="21" t="str">
        <f>IFERROR(INDEX('Detalles movimientos'!I$5:I$1003, MATCH(80, 'Detalles movimientos'!$W$5:$W$1003, 0)), "")</f>
        <v/>
      </c>
      <c r="I89" s="20" t="str">
        <f>IFERROR(INDEX('Detalles movimientos'!M$5:M$1003, MATCH(80, 'Detalles movimientos'!$W$5:$W$1003, 0)), "")</f>
        <v/>
      </c>
      <c r="J89" s="19" t="str">
        <f>IFERROR(INDEX('Detalles movimientos'!N$5:N$1003, MATCH(80, 'Detalles movimientos'!$W$5:$W$1003, 0)), "")</f>
        <v/>
      </c>
      <c r="K89" s="20" t="str">
        <f>IFERROR(INDEX('Detalles movimientos'!O$5:O$1003, MATCH(80, 'Detalles movimientos'!$W$5:$W$1003, 0)), "")</f>
        <v/>
      </c>
      <c r="L89" s="18" t="str">
        <f>IFERROR(INDEX('Detalles movimientos'!P$5:P$1003, MATCH(80, 'Detalles movimientos'!$W$5:$W$1003, 0)), "")</f>
        <v/>
      </c>
      <c r="M89" s="18" t="str">
        <f>IFERROR(INDEX('Detalles movimientos'!S$5:S$1003, MATCH(80, 'Detalles movimientos'!$W$5:$W$1003, 0)), "")</f>
        <v/>
      </c>
    </row>
    <row r="90" spans="2:13">
      <c r="B90" s="17" t="str">
        <f>IFERROR(INDEX('Detalles movimientos'!C$5:C$1003, MATCH(81, 'Detalles movimientos'!$W$5:$W$1003, 0)), "")</f>
        <v/>
      </c>
      <c r="C90" s="18" t="str">
        <f>IFERROR(INDEX('Detalles movimientos'!D$5:D$1003, MATCH(81, 'Detalles movimientos'!$W$5:$W$1003, 0)), "")</f>
        <v/>
      </c>
      <c r="D90" s="19" t="str">
        <f>IFERROR(INDEX('Detalles movimientos'!E$5:E$1003, MATCH(81, 'Detalles movimientos'!$W$5:$W$1003, 0)), "")</f>
        <v/>
      </c>
      <c r="E90" s="19" t="str">
        <f>IFERROR(INDEX('Detalles movimientos'!F$5:F$1003, MATCH(81, 'Detalles movimientos'!$W$5:$W$1003, 0)), "")</f>
        <v/>
      </c>
      <c r="F90" s="18" t="str">
        <f>IFERROR(INDEX('Detalles movimientos'!G$5:G$1003, MATCH(81, 'Detalles movimientos'!$W$5:$W$1003, 0)), "")</f>
        <v/>
      </c>
      <c r="G90" s="20" t="str">
        <f>IFERROR(INDEX('Detalles movimientos'!H$5:H$1003, MATCH(81, 'Detalles movimientos'!$W$5:$W$1003, 0)), "")</f>
        <v/>
      </c>
      <c r="H90" s="21" t="str">
        <f>IFERROR(INDEX('Detalles movimientos'!I$5:I$1003, MATCH(81, 'Detalles movimientos'!$W$5:$W$1003, 0)), "")</f>
        <v/>
      </c>
      <c r="I90" s="20" t="str">
        <f>IFERROR(INDEX('Detalles movimientos'!M$5:M$1003, MATCH(81, 'Detalles movimientos'!$W$5:$W$1003, 0)), "")</f>
        <v/>
      </c>
      <c r="J90" s="19" t="str">
        <f>IFERROR(INDEX('Detalles movimientos'!N$5:N$1003, MATCH(81, 'Detalles movimientos'!$W$5:$W$1003, 0)), "")</f>
        <v/>
      </c>
      <c r="K90" s="20" t="str">
        <f>IFERROR(INDEX('Detalles movimientos'!O$5:O$1003, MATCH(81, 'Detalles movimientos'!$W$5:$W$1003, 0)), "")</f>
        <v/>
      </c>
      <c r="L90" s="18" t="str">
        <f>IFERROR(INDEX('Detalles movimientos'!P$5:P$1003, MATCH(81, 'Detalles movimientos'!$W$5:$W$1003, 0)), "")</f>
        <v/>
      </c>
      <c r="M90" s="18" t="str">
        <f>IFERROR(INDEX('Detalles movimientos'!S$5:S$1003, MATCH(81, 'Detalles movimientos'!$W$5:$W$1003, 0)), "")</f>
        <v/>
      </c>
    </row>
    <row r="91" spans="2:13">
      <c r="B91" s="17" t="str">
        <f>IFERROR(INDEX('Detalles movimientos'!C$5:C$1003, MATCH(82, 'Detalles movimientos'!$W$5:$W$1003, 0)), "")</f>
        <v/>
      </c>
      <c r="C91" s="18" t="str">
        <f>IFERROR(INDEX('Detalles movimientos'!D$5:D$1003, MATCH(82, 'Detalles movimientos'!$W$5:$W$1003, 0)), "")</f>
        <v/>
      </c>
      <c r="D91" s="19" t="str">
        <f>IFERROR(INDEX('Detalles movimientos'!E$5:E$1003, MATCH(82, 'Detalles movimientos'!$W$5:$W$1003, 0)), "")</f>
        <v/>
      </c>
      <c r="E91" s="19" t="str">
        <f>IFERROR(INDEX('Detalles movimientos'!F$5:F$1003, MATCH(82, 'Detalles movimientos'!$W$5:$W$1003, 0)), "")</f>
        <v/>
      </c>
      <c r="F91" s="18" t="str">
        <f>IFERROR(INDEX('Detalles movimientos'!G$5:G$1003, MATCH(82, 'Detalles movimientos'!$W$5:$W$1003, 0)), "")</f>
        <v/>
      </c>
      <c r="G91" s="20" t="str">
        <f>IFERROR(INDEX('Detalles movimientos'!H$5:H$1003, MATCH(82, 'Detalles movimientos'!$W$5:$W$1003, 0)), "")</f>
        <v/>
      </c>
      <c r="H91" s="21" t="str">
        <f>IFERROR(INDEX('Detalles movimientos'!I$5:I$1003, MATCH(82, 'Detalles movimientos'!$W$5:$W$1003, 0)), "")</f>
        <v/>
      </c>
      <c r="I91" s="20" t="str">
        <f>IFERROR(INDEX('Detalles movimientos'!M$5:M$1003, MATCH(82, 'Detalles movimientos'!$W$5:$W$1003, 0)), "")</f>
        <v/>
      </c>
      <c r="J91" s="19" t="str">
        <f>IFERROR(INDEX('Detalles movimientos'!N$5:N$1003, MATCH(82, 'Detalles movimientos'!$W$5:$W$1003, 0)), "")</f>
        <v/>
      </c>
      <c r="K91" s="20" t="str">
        <f>IFERROR(INDEX('Detalles movimientos'!O$5:O$1003, MATCH(82, 'Detalles movimientos'!$W$5:$W$1003, 0)), "")</f>
        <v/>
      </c>
      <c r="L91" s="18" t="str">
        <f>IFERROR(INDEX('Detalles movimientos'!P$5:P$1003, MATCH(82, 'Detalles movimientos'!$W$5:$W$1003, 0)), "")</f>
        <v/>
      </c>
      <c r="M91" s="18" t="str">
        <f>IFERROR(INDEX('Detalles movimientos'!S$5:S$1003, MATCH(82, 'Detalles movimientos'!$W$5:$W$1003, 0)), "")</f>
        <v/>
      </c>
    </row>
    <row r="92" spans="2:13">
      <c r="B92" s="17" t="str">
        <f>IFERROR(INDEX('Detalles movimientos'!C$5:C$1003, MATCH(83, 'Detalles movimientos'!$W$5:$W$1003, 0)), "")</f>
        <v/>
      </c>
      <c r="C92" s="18" t="str">
        <f>IFERROR(INDEX('Detalles movimientos'!D$5:D$1003, MATCH(83, 'Detalles movimientos'!$W$5:$W$1003, 0)), "")</f>
        <v/>
      </c>
      <c r="D92" s="19" t="str">
        <f>IFERROR(INDEX('Detalles movimientos'!E$5:E$1003, MATCH(83, 'Detalles movimientos'!$W$5:$W$1003, 0)), "")</f>
        <v/>
      </c>
      <c r="E92" s="19" t="str">
        <f>IFERROR(INDEX('Detalles movimientos'!F$5:F$1003, MATCH(83, 'Detalles movimientos'!$W$5:$W$1003, 0)), "")</f>
        <v/>
      </c>
      <c r="F92" s="18" t="str">
        <f>IFERROR(INDEX('Detalles movimientos'!G$5:G$1003, MATCH(83, 'Detalles movimientos'!$W$5:$W$1003, 0)), "")</f>
        <v/>
      </c>
      <c r="G92" s="20" t="str">
        <f>IFERROR(INDEX('Detalles movimientos'!H$5:H$1003, MATCH(83, 'Detalles movimientos'!$W$5:$W$1003, 0)), "")</f>
        <v/>
      </c>
      <c r="H92" s="21" t="str">
        <f>IFERROR(INDEX('Detalles movimientos'!I$5:I$1003, MATCH(83, 'Detalles movimientos'!$W$5:$W$1003, 0)), "")</f>
        <v/>
      </c>
      <c r="I92" s="20" t="str">
        <f>IFERROR(INDEX('Detalles movimientos'!M$5:M$1003, MATCH(83, 'Detalles movimientos'!$W$5:$W$1003, 0)), "")</f>
        <v/>
      </c>
      <c r="J92" s="19" t="str">
        <f>IFERROR(INDEX('Detalles movimientos'!N$5:N$1003, MATCH(83, 'Detalles movimientos'!$W$5:$W$1003, 0)), "")</f>
        <v/>
      </c>
      <c r="K92" s="20" t="str">
        <f>IFERROR(INDEX('Detalles movimientos'!O$5:O$1003, MATCH(83, 'Detalles movimientos'!$W$5:$W$1003, 0)), "")</f>
        <v/>
      </c>
      <c r="L92" s="18" t="str">
        <f>IFERROR(INDEX('Detalles movimientos'!P$5:P$1003, MATCH(83, 'Detalles movimientos'!$W$5:$W$1003, 0)), "")</f>
        <v/>
      </c>
      <c r="M92" s="18" t="str">
        <f>IFERROR(INDEX('Detalles movimientos'!S$5:S$1003, MATCH(83, 'Detalles movimientos'!$W$5:$W$1003, 0)), "")</f>
        <v/>
      </c>
    </row>
    <row r="93" spans="2:13">
      <c r="B93" s="17" t="str">
        <f>IFERROR(INDEX('Detalles movimientos'!C$5:C$1003, MATCH(84, 'Detalles movimientos'!$W$5:$W$1003, 0)), "")</f>
        <v/>
      </c>
      <c r="C93" s="18" t="str">
        <f>IFERROR(INDEX('Detalles movimientos'!D$5:D$1003, MATCH(84, 'Detalles movimientos'!$W$5:$W$1003, 0)), "")</f>
        <v/>
      </c>
      <c r="D93" s="19" t="str">
        <f>IFERROR(INDEX('Detalles movimientos'!E$5:E$1003, MATCH(84, 'Detalles movimientos'!$W$5:$W$1003, 0)), "")</f>
        <v/>
      </c>
      <c r="E93" s="19" t="str">
        <f>IFERROR(INDEX('Detalles movimientos'!F$5:F$1003, MATCH(84, 'Detalles movimientos'!$W$5:$W$1003, 0)), "")</f>
        <v/>
      </c>
      <c r="F93" s="18" t="str">
        <f>IFERROR(INDEX('Detalles movimientos'!G$5:G$1003, MATCH(84, 'Detalles movimientos'!$W$5:$W$1003, 0)), "")</f>
        <v/>
      </c>
      <c r="G93" s="20" t="str">
        <f>IFERROR(INDEX('Detalles movimientos'!H$5:H$1003, MATCH(84, 'Detalles movimientos'!$W$5:$W$1003, 0)), "")</f>
        <v/>
      </c>
      <c r="H93" s="21" t="str">
        <f>IFERROR(INDEX('Detalles movimientos'!I$5:I$1003, MATCH(84, 'Detalles movimientos'!$W$5:$W$1003, 0)), "")</f>
        <v/>
      </c>
      <c r="I93" s="20" t="str">
        <f>IFERROR(INDEX('Detalles movimientos'!M$5:M$1003, MATCH(84, 'Detalles movimientos'!$W$5:$W$1003, 0)), "")</f>
        <v/>
      </c>
      <c r="J93" s="19" t="str">
        <f>IFERROR(INDEX('Detalles movimientos'!N$5:N$1003, MATCH(84, 'Detalles movimientos'!$W$5:$W$1003, 0)), "")</f>
        <v/>
      </c>
      <c r="K93" s="20" t="str">
        <f>IFERROR(INDEX('Detalles movimientos'!O$5:O$1003, MATCH(84, 'Detalles movimientos'!$W$5:$W$1003, 0)), "")</f>
        <v/>
      </c>
      <c r="L93" s="18" t="str">
        <f>IFERROR(INDEX('Detalles movimientos'!P$5:P$1003, MATCH(84, 'Detalles movimientos'!$W$5:$W$1003, 0)), "")</f>
        <v/>
      </c>
      <c r="M93" s="18" t="str">
        <f>IFERROR(INDEX('Detalles movimientos'!S$5:S$1003, MATCH(84, 'Detalles movimientos'!$W$5:$W$1003, 0)), "")</f>
        <v/>
      </c>
    </row>
    <row r="94" spans="2:13">
      <c r="B94" s="17" t="str">
        <f>IFERROR(INDEX('Detalles movimientos'!C$5:C$1003, MATCH(85, 'Detalles movimientos'!$W$5:$W$1003, 0)), "")</f>
        <v/>
      </c>
      <c r="C94" s="18" t="str">
        <f>IFERROR(INDEX('Detalles movimientos'!D$5:D$1003, MATCH(85, 'Detalles movimientos'!$W$5:$W$1003, 0)), "")</f>
        <v/>
      </c>
      <c r="D94" s="19" t="str">
        <f>IFERROR(INDEX('Detalles movimientos'!E$5:E$1003, MATCH(85, 'Detalles movimientos'!$W$5:$W$1003, 0)), "")</f>
        <v/>
      </c>
      <c r="E94" s="19" t="str">
        <f>IFERROR(INDEX('Detalles movimientos'!F$5:F$1003, MATCH(85, 'Detalles movimientos'!$W$5:$W$1003, 0)), "")</f>
        <v/>
      </c>
      <c r="F94" s="18" t="str">
        <f>IFERROR(INDEX('Detalles movimientos'!G$5:G$1003, MATCH(85, 'Detalles movimientos'!$W$5:$W$1003, 0)), "")</f>
        <v/>
      </c>
      <c r="G94" s="20" t="str">
        <f>IFERROR(INDEX('Detalles movimientos'!H$5:H$1003, MATCH(85, 'Detalles movimientos'!$W$5:$W$1003, 0)), "")</f>
        <v/>
      </c>
      <c r="H94" s="21" t="str">
        <f>IFERROR(INDEX('Detalles movimientos'!I$5:I$1003, MATCH(85, 'Detalles movimientos'!$W$5:$W$1003, 0)), "")</f>
        <v/>
      </c>
      <c r="I94" s="20" t="str">
        <f>IFERROR(INDEX('Detalles movimientos'!M$5:M$1003, MATCH(85, 'Detalles movimientos'!$W$5:$W$1003, 0)), "")</f>
        <v/>
      </c>
      <c r="J94" s="19" t="str">
        <f>IFERROR(INDEX('Detalles movimientos'!N$5:N$1003, MATCH(85, 'Detalles movimientos'!$W$5:$W$1003, 0)), "")</f>
        <v/>
      </c>
      <c r="K94" s="20" t="str">
        <f>IFERROR(INDEX('Detalles movimientos'!O$5:O$1003, MATCH(85, 'Detalles movimientos'!$W$5:$W$1003, 0)), "")</f>
        <v/>
      </c>
      <c r="L94" s="18" t="str">
        <f>IFERROR(INDEX('Detalles movimientos'!P$5:P$1003, MATCH(85, 'Detalles movimientos'!$W$5:$W$1003, 0)), "")</f>
        <v/>
      </c>
      <c r="M94" s="18" t="str">
        <f>IFERROR(INDEX('Detalles movimientos'!S$5:S$1003, MATCH(85, 'Detalles movimientos'!$W$5:$W$1003, 0)), "")</f>
        <v/>
      </c>
    </row>
    <row r="95" spans="2:13">
      <c r="B95" s="17" t="str">
        <f>IFERROR(INDEX('Detalles movimientos'!C$5:C$1003, MATCH(86, 'Detalles movimientos'!$W$5:$W$1003, 0)), "")</f>
        <v/>
      </c>
      <c r="C95" s="18" t="str">
        <f>IFERROR(INDEX('Detalles movimientos'!D$5:D$1003, MATCH(86, 'Detalles movimientos'!$W$5:$W$1003, 0)), "")</f>
        <v/>
      </c>
      <c r="D95" s="19" t="str">
        <f>IFERROR(INDEX('Detalles movimientos'!E$5:E$1003, MATCH(86, 'Detalles movimientos'!$W$5:$W$1003, 0)), "")</f>
        <v/>
      </c>
      <c r="E95" s="19" t="str">
        <f>IFERROR(INDEX('Detalles movimientos'!F$5:F$1003, MATCH(86, 'Detalles movimientos'!$W$5:$W$1003, 0)), "")</f>
        <v/>
      </c>
      <c r="F95" s="18" t="str">
        <f>IFERROR(INDEX('Detalles movimientos'!G$5:G$1003, MATCH(86, 'Detalles movimientos'!$W$5:$W$1003, 0)), "")</f>
        <v/>
      </c>
      <c r="G95" s="20" t="str">
        <f>IFERROR(INDEX('Detalles movimientos'!H$5:H$1003, MATCH(86, 'Detalles movimientos'!$W$5:$W$1003, 0)), "")</f>
        <v/>
      </c>
      <c r="H95" s="21" t="str">
        <f>IFERROR(INDEX('Detalles movimientos'!I$5:I$1003, MATCH(86, 'Detalles movimientos'!$W$5:$W$1003, 0)), "")</f>
        <v/>
      </c>
      <c r="I95" s="20" t="str">
        <f>IFERROR(INDEX('Detalles movimientos'!M$5:M$1003, MATCH(86, 'Detalles movimientos'!$W$5:$W$1003, 0)), "")</f>
        <v/>
      </c>
      <c r="J95" s="19" t="str">
        <f>IFERROR(INDEX('Detalles movimientos'!N$5:N$1003, MATCH(86, 'Detalles movimientos'!$W$5:$W$1003, 0)), "")</f>
        <v/>
      </c>
      <c r="K95" s="20" t="str">
        <f>IFERROR(INDEX('Detalles movimientos'!O$5:O$1003, MATCH(86, 'Detalles movimientos'!$W$5:$W$1003, 0)), "")</f>
        <v/>
      </c>
      <c r="L95" s="18" t="str">
        <f>IFERROR(INDEX('Detalles movimientos'!P$5:P$1003, MATCH(86, 'Detalles movimientos'!$W$5:$W$1003, 0)), "")</f>
        <v/>
      </c>
      <c r="M95" s="18" t="str">
        <f>IFERROR(INDEX('Detalles movimientos'!S$5:S$1003, MATCH(86, 'Detalles movimientos'!$W$5:$W$1003, 0)), "")</f>
        <v/>
      </c>
    </row>
    <row r="96" spans="2:13">
      <c r="B96" s="17" t="str">
        <f>IFERROR(INDEX('Detalles movimientos'!C$5:C$1003, MATCH(87, 'Detalles movimientos'!$W$5:$W$1003, 0)), "")</f>
        <v/>
      </c>
      <c r="C96" s="18" t="str">
        <f>IFERROR(INDEX('Detalles movimientos'!D$5:D$1003, MATCH(87, 'Detalles movimientos'!$W$5:$W$1003, 0)), "")</f>
        <v/>
      </c>
      <c r="D96" s="19" t="str">
        <f>IFERROR(INDEX('Detalles movimientos'!E$5:E$1003, MATCH(87, 'Detalles movimientos'!$W$5:$W$1003, 0)), "")</f>
        <v/>
      </c>
      <c r="E96" s="19" t="str">
        <f>IFERROR(INDEX('Detalles movimientos'!F$5:F$1003, MATCH(87, 'Detalles movimientos'!$W$5:$W$1003, 0)), "")</f>
        <v/>
      </c>
      <c r="F96" s="18" t="str">
        <f>IFERROR(INDEX('Detalles movimientos'!G$5:G$1003, MATCH(87, 'Detalles movimientos'!$W$5:$W$1003, 0)), "")</f>
        <v/>
      </c>
      <c r="G96" s="20" t="str">
        <f>IFERROR(INDEX('Detalles movimientos'!H$5:H$1003, MATCH(87, 'Detalles movimientos'!$W$5:$W$1003, 0)), "")</f>
        <v/>
      </c>
      <c r="H96" s="21" t="str">
        <f>IFERROR(INDEX('Detalles movimientos'!I$5:I$1003, MATCH(87, 'Detalles movimientos'!$W$5:$W$1003, 0)), "")</f>
        <v/>
      </c>
      <c r="I96" s="20" t="str">
        <f>IFERROR(INDEX('Detalles movimientos'!M$5:M$1003, MATCH(87, 'Detalles movimientos'!$W$5:$W$1003, 0)), "")</f>
        <v/>
      </c>
      <c r="J96" s="19" t="str">
        <f>IFERROR(INDEX('Detalles movimientos'!N$5:N$1003, MATCH(87, 'Detalles movimientos'!$W$5:$W$1003, 0)), "")</f>
        <v/>
      </c>
      <c r="K96" s="20" t="str">
        <f>IFERROR(INDEX('Detalles movimientos'!O$5:O$1003, MATCH(87, 'Detalles movimientos'!$W$5:$W$1003, 0)), "")</f>
        <v/>
      </c>
      <c r="L96" s="18" t="str">
        <f>IFERROR(INDEX('Detalles movimientos'!P$5:P$1003, MATCH(87, 'Detalles movimientos'!$W$5:$W$1003, 0)), "")</f>
        <v/>
      </c>
      <c r="M96" s="18" t="str">
        <f>IFERROR(INDEX('Detalles movimientos'!S$5:S$1003, MATCH(87, 'Detalles movimientos'!$W$5:$W$1003, 0)), "")</f>
        <v/>
      </c>
    </row>
    <row r="97" spans="2:13">
      <c r="B97" s="17" t="str">
        <f>IFERROR(INDEX('Detalles movimientos'!C$5:C$1003, MATCH(88, 'Detalles movimientos'!$W$5:$W$1003, 0)), "")</f>
        <v/>
      </c>
      <c r="C97" s="18" t="str">
        <f>IFERROR(INDEX('Detalles movimientos'!D$5:D$1003, MATCH(88, 'Detalles movimientos'!$W$5:$W$1003, 0)), "")</f>
        <v/>
      </c>
      <c r="D97" s="19" t="str">
        <f>IFERROR(INDEX('Detalles movimientos'!E$5:E$1003, MATCH(88, 'Detalles movimientos'!$W$5:$W$1003, 0)), "")</f>
        <v/>
      </c>
      <c r="E97" s="19" t="str">
        <f>IFERROR(INDEX('Detalles movimientos'!F$5:F$1003, MATCH(88, 'Detalles movimientos'!$W$5:$W$1003, 0)), "")</f>
        <v/>
      </c>
      <c r="F97" s="18" t="str">
        <f>IFERROR(INDEX('Detalles movimientos'!G$5:G$1003, MATCH(88, 'Detalles movimientos'!$W$5:$W$1003, 0)), "")</f>
        <v/>
      </c>
      <c r="G97" s="20" t="str">
        <f>IFERROR(INDEX('Detalles movimientos'!H$5:H$1003, MATCH(88, 'Detalles movimientos'!$W$5:$W$1003, 0)), "")</f>
        <v/>
      </c>
      <c r="H97" s="21" t="str">
        <f>IFERROR(INDEX('Detalles movimientos'!I$5:I$1003, MATCH(88, 'Detalles movimientos'!$W$5:$W$1003, 0)), "")</f>
        <v/>
      </c>
      <c r="I97" s="20" t="str">
        <f>IFERROR(INDEX('Detalles movimientos'!M$5:M$1003, MATCH(88, 'Detalles movimientos'!$W$5:$W$1003, 0)), "")</f>
        <v/>
      </c>
      <c r="J97" s="19" t="str">
        <f>IFERROR(INDEX('Detalles movimientos'!N$5:N$1003, MATCH(88, 'Detalles movimientos'!$W$5:$W$1003, 0)), "")</f>
        <v/>
      </c>
      <c r="K97" s="20" t="str">
        <f>IFERROR(INDEX('Detalles movimientos'!O$5:O$1003, MATCH(88, 'Detalles movimientos'!$W$5:$W$1003, 0)), "")</f>
        <v/>
      </c>
      <c r="L97" s="18" t="str">
        <f>IFERROR(INDEX('Detalles movimientos'!P$5:P$1003, MATCH(88, 'Detalles movimientos'!$W$5:$W$1003, 0)), "")</f>
        <v/>
      </c>
      <c r="M97" s="18" t="str">
        <f>IFERROR(INDEX('Detalles movimientos'!S$5:S$1003, MATCH(88, 'Detalles movimientos'!$W$5:$W$1003, 0)), "")</f>
        <v/>
      </c>
    </row>
    <row r="98" spans="2:13">
      <c r="B98" s="17" t="str">
        <f>IFERROR(INDEX('Detalles movimientos'!C$5:C$1003, MATCH(89, 'Detalles movimientos'!$W$5:$W$1003, 0)), "")</f>
        <v/>
      </c>
      <c r="C98" s="18" t="str">
        <f>IFERROR(INDEX('Detalles movimientos'!D$5:D$1003, MATCH(89, 'Detalles movimientos'!$W$5:$W$1003, 0)), "")</f>
        <v/>
      </c>
      <c r="D98" s="19" t="str">
        <f>IFERROR(INDEX('Detalles movimientos'!E$5:E$1003, MATCH(89, 'Detalles movimientos'!$W$5:$W$1003, 0)), "")</f>
        <v/>
      </c>
      <c r="E98" s="19" t="str">
        <f>IFERROR(INDEX('Detalles movimientos'!F$5:F$1003, MATCH(89, 'Detalles movimientos'!$W$5:$W$1003, 0)), "")</f>
        <v/>
      </c>
      <c r="F98" s="18" t="str">
        <f>IFERROR(INDEX('Detalles movimientos'!G$5:G$1003, MATCH(89, 'Detalles movimientos'!$W$5:$W$1003, 0)), "")</f>
        <v/>
      </c>
      <c r="G98" s="20" t="str">
        <f>IFERROR(INDEX('Detalles movimientos'!H$5:H$1003, MATCH(89, 'Detalles movimientos'!$W$5:$W$1003, 0)), "")</f>
        <v/>
      </c>
      <c r="H98" s="21" t="str">
        <f>IFERROR(INDEX('Detalles movimientos'!I$5:I$1003, MATCH(89, 'Detalles movimientos'!$W$5:$W$1003, 0)), "")</f>
        <v/>
      </c>
      <c r="I98" s="20" t="str">
        <f>IFERROR(INDEX('Detalles movimientos'!M$5:M$1003, MATCH(89, 'Detalles movimientos'!$W$5:$W$1003, 0)), "")</f>
        <v/>
      </c>
      <c r="J98" s="19" t="str">
        <f>IFERROR(INDEX('Detalles movimientos'!N$5:N$1003, MATCH(89, 'Detalles movimientos'!$W$5:$W$1003, 0)), "")</f>
        <v/>
      </c>
      <c r="K98" s="20" t="str">
        <f>IFERROR(INDEX('Detalles movimientos'!O$5:O$1003, MATCH(89, 'Detalles movimientos'!$W$5:$W$1003, 0)), "")</f>
        <v/>
      </c>
      <c r="L98" s="18" t="str">
        <f>IFERROR(INDEX('Detalles movimientos'!P$5:P$1003, MATCH(89, 'Detalles movimientos'!$W$5:$W$1003, 0)), "")</f>
        <v/>
      </c>
      <c r="M98" s="18" t="str">
        <f>IFERROR(INDEX('Detalles movimientos'!S$5:S$1003, MATCH(89, 'Detalles movimientos'!$W$5:$W$1003, 0)), "")</f>
        <v/>
      </c>
    </row>
    <row r="99" spans="2:13">
      <c r="B99" s="17" t="str">
        <f>IFERROR(INDEX('Detalles movimientos'!C$5:C$1003, MATCH(90, 'Detalles movimientos'!$W$5:$W$1003, 0)), "")</f>
        <v/>
      </c>
      <c r="C99" s="18" t="str">
        <f>IFERROR(INDEX('Detalles movimientos'!D$5:D$1003, MATCH(90, 'Detalles movimientos'!$W$5:$W$1003, 0)), "")</f>
        <v/>
      </c>
      <c r="D99" s="19" t="str">
        <f>IFERROR(INDEX('Detalles movimientos'!E$5:E$1003, MATCH(90, 'Detalles movimientos'!$W$5:$W$1003, 0)), "")</f>
        <v/>
      </c>
      <c r="E99" s="19" t="str">
        <f>IFERROR(INDEX('Detalles movimientos'!F$5:F$1003, MATCH(90, 'Detalles movimientos'!$W$5:$W$1003, 0)), "")</f>
        <v/>
      </c>
      <c r="F99" s="18" t="str">
        <f>IFERROR(INDEX('Detalles movimientos'!G$5:G$1003, MATCH(90, 'Detalles movimientos'!$W$5:$W$1003, 0)), "")</f>
        <v/>
      </c>
      <c r="G99" s="20" t="str">
        <f>IFERROR(INDEX('Detalles movimientos'!H$5:H$1003, MATCH(90, 'Detalles movimientos'!$W$5:$W$1003, 0)), "")</f>
        <v/>
      </c>
      <c r="H99" s="21" t="str">
        <f>IFERROR(INDEX('Detalles movimientos'!I$5:I$1003, MATCH(90, 'Detalles movimientos'!$W$5:$W$1003, 0)), "")</f>
        <v/>
      </c>
      <c r="I99" s="20" t="str">
        <f>IFERROR(INDEX('Detalles movimientos'!M$5:M$1003, MATCH(90, 'Detalles movimientos'!$W$5:$W$1003, 0)), "")</f>
        <v/>
      </c>
      <c r="J99" s="19" t="str">
        <f>IFERROR(INDEX('Detalles movimientos'!N$5:N$1003, MATCH(90, 'Detalles movimientos'!$W$5:$W$1003, 0)), "")</f>
        <v/>
      </c>
      <c r="K99" s="20" t="str">
        <f>IFERROR(INDEX('Detalles movimientos'!O$5:O$1003, MATCH(90, 'Detalles movimientos'!$W$5:$W$1003, 0)), "")</f>
        <v/>
      </c>
      <c r="L99" s="18" t="str">
        <f>IFERROR(INDEX('Detalles movimientos'!P$5:P$1003, MATCH(90, 'Detalles movimientos'!$W$5:$W$1003, 0)), "")</f>
        <v/>
      </c>
      <c r="M99" s="18" t="str">
        <f>IFERROR(INDEX('Detalles movimientos'!S$5:S$1003, MATCH(90, 'Detalles movimientos'!$W$5:$W$1003, 0)), "")</f>
        <v/>
      </c>
    </row>
    <row r="100" spans="2:13">
      <c r="B100" s="17" t="str">
        <f>IFERROR(INDEX('Detalles movimientos'!C$5:C$1003, MATCH(91, 'Detalles movimientos'!$W$5:$W$1003, 0)), "")</f>
        <v/>
      </c>
      <c r="C100" s="18" t="str">
        <f>IFERROR(INDEX('Detalles movimientos'!D$5:D$1003, MATCH(91, 'Detalles movimientos'!$W$5:$W$1003, 0)), "")</f>
        <v/>
      </c>
      <c r="D100" s="19" t="str">
        <f>IFERROR(INDEX('Detalles movimientos'!E$5:E$1003, MATCH(91, 'Detalles movimientos'!$W$5:$W$1003, 0)), "")</f>
        <v/>
      </c>
      <c r="E100" s="19" t="str">
        <f>IFERROR(INDEX('Detalles movimientos'!F$5:F$1003, MATCH(91, 'Detalles movimientos'!$W$5:$W$1003, 0)), "")</f>
        <v/>
      </c>
      <c r="F100" s="18" t="str">
        <f>IFERROR(INDEX('Detalles movimientos'!G$5:G$1003, MATCH(91, 'Detalles movimientos'!$W$5:$W$1003, 0)), "")</f>
        <v/>
      </c>
      <c r="G100" s="20" t="str">
        <f>IFERROR(INDEX('Detalles movimientos'!H$5:H$1003, MATCH(91, 'Detalles movimientos'!$W$5:$W$1003, 0)), "")</f>
        <v/>
      </c>
      <c r="H100" s="21" t="str">
        <f>IFERROR(INDEX('Detalles movimientos'!I$5:I$1003, MATCH(91, 'Detalles movimientos'!$W$5:$W$1003, 0)), "")</f>
        <v/>
      </c>
      <c r="I100" s="20" t="str">
        <f>IFERROR(INDEX('Detalles movimientos'!M$5:M$1003, MATCH(91, 'Detalles movimientos'!$W$5:$W$1003, 0)), "")</f>
        <v/>
      </c>
      <c r="J100" s="19" t="str">
        <f>IFERROR(INDEX('Detalles movimientos'!N$5:N$1003, MATCH(91, 'Detalles movimientos'!$W$5:$W$1003, 0)), "")</f>
        <v/>
      </c>
      <c r="K100" s="20" t="str">
        <f>IFERROR(INDEX('Detalles movimientos'!O$5:O$1003, MATCH(91, 'Detalles movimientos'!$W$5:$W$1003, 0)), "")</f>
        <v/>
      </c>
      <c r="L100" s="18" t="str">
        <f>IFERROR(INDEX('Detalles movimientos'!P$5:P$1003, MATCH(91, 'Detalles movimientos'!$W$5:$W$1003, 0)), "")</f>
        <v/>
      </c>
      <c r="M100" s="18" t="str">
        <f>IFERROR(INDEX('Detalles movimientos'!S$5:S$1003, MATCH(91, 'Detalles movimientos'!$W$5:$W$1003, 0)), "")</f>
        <v/>
      </c>
    </row>
    <row r="101" spans="2:13">
      <c r="B101" s="17" t="str">
        <f>IFERROR(INDEX('Detalles movimientos'!C$5:C$1003, MATCH(92, 'Detalles movimientos'!$W$5:$W$1003, 0)), "")</f>
        <v/>
      </c>
      <c r="C101" s="18" t="str">
        <f>IFERROR(INDEX('Detalles movimientos'!D$5:D$1003, MATCH(92, 'Detalles movimientos'!$W$5:$W$1003, 0)), "")</f>
        <v/>
      </c>
      <c r="D101" s="19" t="str">
        <f>IFERROR(INDEX('Detalles movimientos'!E$5:E$1003, MATCH(92, 'Detalles movimientos'!$W$5:$W$1003, 0)), "")</f>
        <v/>
      </c>
      <c r="E101" s="19" t="str">
        <f>IFERROR(INDEX('Detalles movimientos'!F$5:F$1003, MATCH(92, 'Detalles movimientos'!$W$5:$W$1003, 0)), "")</f>
        <v/>
      </c>
      <c r="F101" s="18" t="str">
        <f>IFERROR(INDEX('Detalles movimientos'!G$5:G$1003, MATCH(92, 'Detalles movimientos'!$W$5:$W$1003, 0)), "")</f>
        <v/>
      </c>
      <c r="G101" s="20" t="str">
        <f>IFERROR(INDEX('Detalles movimientos'!H$5:H$1003, MATCH(92, 'Detalles movimientos'!$W$5:$W$1003, 0)), "")</f>
        <v/>
      </c>
      <c r="H101" s="21" t="str">
        <f>IFERROR(INDEX('Detalles movimientos'!I$5:I$1003, MATCH(92, 'Detalles movimientos'!$W$5:$W$1003, 0)), "")</f>
        <v/>
      </c>
      <c r="I101" s="20" t="str">
        <f>IFERROR(INDEX('Detalles movimientos'!M$5:M$1003, MATCH(92, 'Detalles movimientos'!$W$5:$W$1003, 0)), "")</f>
        <v/>
      </c>
      <c r="J101" s="19" t="str">
        <f>IFERROR(INDEX('Detalles movimientos'!N$5:N$1003, MATCH(92, 'Detalles movimientos'!$W$5:$W$1003, 0)), "")</f>
        <v/>
      </c>
      <c r="K101" s="20" t="str">
        <f>IFERROR(INDEX('Detalles movimientos'!O$5:O$1003, MATCH(92, 'Detalles movimientos'!$W$5:$W$1003, 0)), "")</f>
        <v/>
      </c>
      <c r="L101" s="18" t="str">
        <f>IFERROR(INDEX('Detalles movimientos'!P$5:P$1003, MATCH(92, 'Detalles movimientos'!$W$5:$W$1003, 0)), "")</f>
        <v/>
      </c>
      <c r="M101" s="18" t="str">
        <f>IFERROR(INDEX('Detalles movimientos'!S$5:S$1003, MATCH(92, 'Detalles movimientos'!$W$5:$W$1003, 0)), "")</f>
        <v/>
      </c>
    </row>
    <row r="102" spans="2:13">
      <c r="B102" s="17" t="str">
        <f>IFERROR(INDEX('Detalles movimientos'!C$5:C$1003, MATCH(93, 'Detalles movimientos'!$W$5:$W$1003, 0)), "")</f>
        <v/>
      </c>
      <c r="C102" s="18" t="str">
        <f>IFERROR(INDEX('Detalles movimientos'!D$5:D$1003, MATCH(93, 'Detalles movimientos'!$W$5:$W$1003, 0)), "")</f>
        <v/>
      </c>
      <c r="D102" s="19" t="str">
        <f>IFERROR(INDEX('Detalles movimientos'!E$5:E$1003, MATCH(93, 'Detalles movimientos'!$W$5:$W$1003, 0)), "")</f>
        <v/>
      </c>
      <c r="E102" s="19" t="str">
        <f>IFERROR(INDEX('Detalles movimientos'!F$5:F$1003, MATCH(93, 'Detalles movimientos'!$W$5:$W$1003, 0)), "")</f>
        <v/>
      </c>
      <c r="F102" s="18" t="str">
        <f>IFERROR(INDEX('Detalles movimientos'!G$5:G$1003, MATCH(93, 'Detalles movimientos'!$W$5:$W$1003, 0)), "")</f>
        <v/>
      </c>
      <c r="G102" s="20" t="str">
        <f>IFERROR(INDEX('Detalles movimientos'!H$5:H$1003, MATCH(93, 'Detalles movimientos'!$W$5:$W$1003, 0)), "")</f>
        <v/>
      </c>
      <c r="H102" s="21" t="str">
        <f>IFERROR(INDEX('Detalles movimientos'!I$5:I$1003, MATCH(93, 'Detalles movimientos'!$W$5:$W$1003, 0)), "")</f>
        <v/>
      </c>
      <c r="I102" s="20" t="str">
        <f>IFERROR(INDEX('Detalles movimientos'!M$5:M$1003, MATCH(93, 'Detalles movimientos'!$W$5:$W$1003, 0)), "")</f>
        <v/>
      </c>
      <c r="J102" s="19" t="str">
        <f>IFERROR(INDEX('Detalles movimientos'!N$5:N$1003, MATCH(93, 'Detalles movimientos'!$W$5:$W$1003, 0)), "")</f>
        <v/>
      </c>
      <c r="K102" s="20" t="str">
        <f>IFERROR(INDEX('Detalles movimientos'!O$5:O$1003, MATCH(93, 'Detalles movimientos'!$W$5:$W$1003, 0)), "")</f>
        <v/>
      </c>
      <c r="L102" s="18" t="str">
        <f>IFERROR(INDEX('Detalles movimientos'!P$5:P$1003, MATCH(93, 'Detalles movimientos'!$W$5:$W$1003, 0)), "")</f>
        <v/>
      </c>
      <c r="M102" s="18" t="str">
        <f>IFERROR(INDEX('Detalles movimientos'!S$5:S$1003, MATCH(93, 'Detalles movimientos'!$W$5:$W$1003, 0)), "")</f>
        <v/>
      </c>
    </row>
    <row r="103" spans="2:13">
      <c r="B103" s="17" t="str">
        <f>IFERROR(INDEX('Detalles movimientos'!C$5:C$1003, MATCH(94, 'Detalles movimientos'!$W$5:$W$1003, 0)), "")</f>
        <v/>
      </c>
      <c r="C103" s="18" t="str">
        <f>IFERROR(INDEX('Detalles movimientos'!D$5:D$1003, MATCH(94, 'Detalles movimientos'!$W$5:$W$1003, 0)), "")</f>
        <v/>
      </c>
      <c r="D103" s="19" t="str">
        <f>IFERROR(INDEX('Detalles movimientos'!E$5:E$1003, MATCH(94, 'Detalles movimientos'!$W$5:$W$1003, 0)), "")</f>
        <v/>
      </c>
      <c r="E103" s="19" t="str">
        <f>IFERROR(INDEX('Detalles movimientos'!F$5:F$1003, MATCH(94, 'Detalles movimientos'!$W$5:$W$1003, 0)), "")</f>
        <v/>
      </c>
      <c r="F103" s="18" t="str">
        <f>IFERROR(INDEX('Detalles movimientos'!G$5:G$1003, MATCH(94, 'Detalles movimientos'!$W$5:$W$1003, 0)), "")</f>
        <v/>
      </c>
      <c r="G103" s="20" t="str">
        <f>IFERROR(INDEX('Detalles movimientos'!H$5:H$1003, MATCH(94, 'Detalles movimientos'!$W$5:$W$1003, 0)), "")</f>
        <v/>
      </c>
      <c r="H103" s="21" t="str">
        <f>IFERROR(INDEX('Detalles movimientos'!I$5:I$1003, MATCH(94, 'Detalles movimientos'!$W$5:$W$1003, 0)), "")</f>
        <v/>
      </c>
      <c r="I103" s="20" t="str">
        <f>IFERROR(INDEX('Detalles movimientos'!M$5:M$1003, MATCH(94, 'Detalles movimientos'!$W$5:$W$1003, 0)), "")</f>
        <v/>
      </c>
      <c r="J103" s="19" t="str">
        <f>IFERROR(INDEX('Detalles movimientos'!N$5:N$1003, MATCH(94, 'Detalles movimientos'!$W$5:$W$1003, 0)), "")</f>
        <v/>
      </c>
      <c r="K103" s="20" t="str">
        <f>IFERROR(INDEX('Detalles movimientos'!O$5:O$1003, MATCH(94, 'Detalles movimientos'!$W$5:$W$1003, 0)), "")</f>
        <v/>
      </c>
      <c r="L103" s="18" t="str">
        <f>IFERROR(INDEX('Detalles movimientos'!P$5:P$1003, MATCH(94, 'Detalles movimientos'!$W$5:$W$1003, 0)), "")</f>
        <v/>
      </c>
      <c r="M103" s="18" t="str">
        <f>IFERROR(INDEX('Detalles movimientos'!S$5:S$1003, MATCH(94, 'Detalles movimientos'!$W$5:$W$1003, 0)), "")</f>
        <v/>
      </c>
    </row>
    <row r="104" spans="2:13">
      <c r="B104" s="17" t="str">
        <f>IFERROR(INDEX('Detalles movimientos'!C$5:C$1003, MATCH(95, 'Detalles movimientos'!$W$5:$W$1003, 0)), "")</f>
        <v/>
      </c>
      <c r="C104" s="18" t="str">
        <f>IFERROR(INDEX('Detalles movimientos'!D$5:D$1003, MATCH(95, 'Detalles movimientos'!$W$5:$W$1003, 0)), "")</f>
        <v/>
      </c>
      <c r="D104" s="19" t="str">
        <f>IFERROR(INDEX('Detalles movimientos'!E$5:E$1003, MATCH(95, 'Detalles movimientos'!$W$5:$W$1003, 0)), "")</f>
        <v/>
      </c>
      <c r="E104" s="19" t="str">
        <f>IFERROR(INDEX('Detalles movimientos'!F$5:F$1003, MATCH(95, 'Detalles movimientos'!$W$5:$W$1003, 0)), "")</f>
        <v/>
      </c>
      <c r="F104" s="18" t="str">
        <f>IFERROR(INDEX('Detalles movimientos'!G$5:G$1003, MATCH(95, 'Detalles movimientos'!$W$5:$W$1003, 0)), "")</f>
        <v/>
      </c>
      <c r="G104" s="20" t="str">
        <f>IFERROR(INDEX('Detalles movimientos'!H$5:H$1003, MATCH(95, 'Detalles movimientos'!$W$5:$W$1003, 0)), "")</f>
        <v/>
      </c>
      <c r="H104" s="21" t="str">
        <f>IFERROR(INDEX('Detalles movimientos'!I$5:I$1003, MATCH(95, 'Detalles movimientos'!$W$5:$W$1003, 0)), "")</f>
        <v/>
      </c>
      <c r="I104" s="20" t="str">
        <f>IFERROR(INDEX('Detalles movimientos'!M$5:M$1003, MATCH(95, 'Detalles movimientos'!$W$5:$W$1003, 0)), "")</f>
        <v/>
      </c>
      <c r="J104" s="19" t="str">
        <f>IFERROR(INDEX('Detalles movimientos'!N$5:N$1003, MATCH(95, 'Detalles movimientos'!$W$5:$W$1003, 0)), "")</f>
        <v/>
      </c>
      <c r="K104" s="20" t="str">
        <f>IFERROR(INDEX('Detalles movimientos'!O$5:O$1003, MATCH(95, 'Detalles movimientos'!$W$5:$W$1003, 0)), "")</f>
        <v/>
      </c>
      <c r="L104" s="18" t="str">
        <f>IFERROR(INDEX('Detalles movimientos'!P$5:P$1003, MATCH(95, 'Detalles movimientos'!$W$5:$W$1003, 0)), "")</f>
        <v/>
      </c>
      <c r="M104" s="18" t="str">
        <f>IFERROR(INDEX('Detalles movimientos'!S$5:S$1003, MATCH(95, 'Detalles movimientos'!$W$5:$W$1003, 0)), "")</f>
        <v/>
      </c>
    </row>
    <row r="105" spans="2:13">
      <c r="B105" s="17" t="str">
        <f>IFERROR(INDEX('Detalles movimientos'!C$5:C$1003, MATCH(96, 'Detalles movimientos'!$W$5:$W$1003, 0)), "")</f>
        <v/>
      </c>
      <c r="C105" s="18" t="str">
        <f>IFERROR(INDEX('Detalles movimientos'!D$5:D$1003, MATCH(96, 'Detalles movimientos'!$W$5:$W$1003, 0)), "")</f>
        <v/>
      </c>
      <c r="D105" s="19" t="str">
        <f>IFERROR(INDEX('Detalles movimientos'!E$5:E$1003, MATCH(96, 'Detalles movimientos'!$W$5:$W$1003, 0)), "")</f>
        <v/>
      </c>
      <c r="E105" s="19" t="str">
        <f>IFERROR(INDEX('Detalles movimientos'!F$5:F$1003, MATCH(96, 'Detalles movimientos'!$W$5:$W$1003, 0)), "")</f>
        <v/>
      </c>
      <c r="F105" s="18" t="str">
        <f>IFERROR(INDEX('Detalles movimientos'!G$5:G$1003, MATCH(96, 'Detalles movimientos'!$W$5:$W$1003, 0)), "")</f>
        <v/>
      </c>
      <c r="G105" s="20" t="str">
        <f>IFERROR(INDEX('Detalles movimientos'!H$5:H$1003, MATCH(96, 'Detalles movimientos'!$W$5:$W$1003, 0)), "")</f>
        <v/>
      </c>
      <c r="H105" s="21" t="str">
        <f>IFERROR(INDEX('Detalles movimientos'!I$5:I$1003, MATCH(96, 'Detalles movimientos'!$W$5:$W$1003, 0)), "")</f>
        <v/>
      </c>
      <c r="I105" s="20" t="str">
        <f>IFERROR(INDEX('Detalles movimientos'!M$5:M$1003, MATCH(96, 'Detalles movimientos'!$W$5:$W$1003, 0)), "")</f>
        <v/>
      </c>
      <c r="J105" s="19" t="str">
        <f>IFERROR(INDEX('Detalles movimientos'!N$5:N$1003, MATCH(96, 'Detalles movimientos'!$W$5:$W$1003, 0)), "")</f>
        <v/>
      </c>
      <c r="K105" s="20" t="str">
        <f>IFERROR(INDEX('Detalles movimientos'!O$5:O$1003, MATCH(96, 'Detalles movimientos'!$W$5:$W$1003, 0)), "")</f>
        <v/>
      </c>
      <c r="L105" s="18" t="str">
        <f>IFERROR(INDEX('Detalles movimientos'!P$5:P$1003, MATCH(96, 'Detalles movimientos'!$W$5:$W$1003, 0)), "")</f>
        <v/>
      </c>
      <c r="M105" s="18" t="str">
        <f>IFERROR(INDEX('Detalles movimientos'!S$5:S$1003, MATCH(96, 'Detalles movimientos'!$W$5:$W$1003, 0)), "")</f>
        <v/>
      </c>
    </row>
    <row r="106" spans="2:13">
      <c r="B106" s="17" t="str">
        <f>IFERROR(INDEX('Detalles movimientos'!C$5:C$1003, MATCH(97, 'Detalles movimientos'!$W$5:$W$1003, 0)), "")</f>
        <v/>
      </c>
      <c r="C106" s="18" t="str">
        <f>IFERROR(INDEX('Detalles movimientos'!D$5:D$1003, MATCH(97, 'Detalles movimientos'!$W$5:$W$1003, 0)), "")</f>
        <v/>
      </c>
      <c r="D106" s="19" t="str">
        <f>IFERROR(INDEX('Detalles movimientos'!E$5:E$1003, MATCH(97, 'Detalles movimientos'!$W$5:$W$1003, 0)), "")</f>
        <v/>
      </c>
      <c r="E106" s="19" t="str">
        <f>IFERROR(INDEX('Detalles movimientos'!F$5:F$1003, MATCH(97, 'Detalles movimientos'!$W$5:$W$1003, 0)), "")</f>
        <v/>
      </c>
      <c r="F106" s="18" t="str">
        <f>IFERROR(INDEX('Detalles movimientos'!G$5:G$1003, MATCH(97, 'Detalles movimientos'!$W$5:$W$1003, 0)), "")</f>
        <v/>
      </c>
      <c r="G106" s="20" t="str">
        <f>IFERROR(INDEX('Detalles movimientos'!H$5:H$1003, MATCH(97, 'Detalles movimientos'!$W$5:$W$1003, 0)), "")</f>
        <v/>
      </c>
      <c r="H106" s="21" t="str">
        <f>IFERROR(INDEX('Detalles movimientos'!I$5:I$1003, MATCH(97, 'Detalles movimientos'!$W$5:$W$1003, 0)), "")</f>
        <v/>
      </c>
      <c r="I106" s="20" t="str">
        <f>IFERROR(INDEX('Detalles movimientos'!M$5:M$1003, MATCH(97, 'Detalles movimientos'!$W$5:$W$1003, 0)), "")</f>
        <v/>
      </c>
      <c r="J106" s="19" t="str">
        <f>IFERROR(INDEX('Detalles movimientos'!N$5:N$1003, MATCH(97, 'Detalles movimientos'!$W$5:$W$1003, 0)), "")</f>
        <v/>
      </c>
      <c r="K106" s="20" t="str">
        <f>IFERROR(INDEX('Detalles movimientos'!O$5:O$1003, MATCH(97, 'Detalles movimientos'!$W$5:$W$1003, 0)), "")</f>
        <v/>
      </c>
      <c r="L106" s="18" t="str">
        <f>IFERROR(INDEX('Detalles movimientos'!P$5:P$1003, MATCH(97, 'Detalles movimientos'!$W$5:$W$1003, 0)), "")</f>
        <v/>
      </c>
      <c r="M106" s="18" t="str">
        <f>IFERROR(INDEX('Detalles movimientos'!S$5:S$1003, MATCH(97, 'Detalles movimientos'!$W$5:$W$1003, 0)), "")</f>
        <v/>
      </c>
    </row>
    <row r="107" spans="2:13">
      <c r="B107" s="17" t="str">
        <f>IFERROR(INDEX('Detalles movimientos'!C$5:C$1003, MATCH(98, 'Detalles movimientos'!$W$5:$W$1003, 0)), "")</f>
        <v/>
      </c>
      <c r="C107" s="18" t="str">
        <f>IFERROR(INDEX('Detalles movimientos'!D$5:D$1003, MATCH(98, 'Detalles movimientos'!$W$5:$W$1003, 0)), "")</f>
        <v/>
      </c>
      <c r="D107" s="19" t="str">
        <f>IFERROR(INDEX('Detalles movimientos'!E$5:E$1003, MATCH(98, 'Detalles movimientos'!$W$5:$W$1003, 0)), "")</f>
        <v/>
      </c>
      <c r="E107" s="19" t="str">
        <f>IFERROR(INDEX('Detalles movimientos'!F$5:F$1003, MATCH(98, 'Detalles movimientos'!$W$5:$W$1003, 0)), "")</f>
        <v/>
      </c>
      <c r="F107" s="18" t="str">
        <f>IFERROR(INDEX('Detalles movimientos'!G$5:G$1003, MATCH(98, 'Detalles movimientos'!$W$5:$W$1003, 0)), "")</f>
        <v/>
      </c>
      <c r="G107" s="20" t="str">
        <f>IFERROR(INDEX('Detalles movimientos'!H$5:H$1003, MATCH(98, 'Detalles movimientos'!$W$5:$W$1003, 0)), "")</f>
        <v/>
      </c>
      <c r="H107" s="21" t="str">
        <f>IFERROR(INDEX('Detalles movimientos'!I$5:I$1003, MATCH(98, 'Detalles movimientos'!$W$5:$W$1003, 0)), "")</f>
        <v/>
      </c>
      <c r="I107" s="20" t="str">
        <f>IFERROR(INDEX('Detalles movimientos'!M$5:M$1003, MATCH(98, 'Detalles movimientos'!$W$5:$W$1003, 0)), "")</f>
        <v/>
      </c>
      <c r="J107" s="19" t="str">
        <f>IFERROR(INDEX('Detalles movimientos'!N$5:N$1003, MATCH(98, 'Detalles movimientos'!$W$5:$W$1003, 0)), "")</f>
        <v/>
      </c>
      <c r="K107" s="20" t="str">
        <f>IFERROR(INDEX('Detalles movimientos'!O$5:O$1003, MATCH(98, 'Detalles movimientos'!$W$5:$W$1003, 0)), "")</f>
        <v/>
      </c>
      <c r="L107" s="18" t="str">
        <f>IFERROR(INDEX('Detalles movimientos'!P$5:P$1003, MATCH(98, 'Detalles movimientos'!$W$5:$W$1003, 0)), "")</f>
        <v/>
      </c>
      <c r="M107" s="18" t="str">
        <f>IFERROR(INDEX('Detalles movimientos'!S$5:S$1003, MATCH(98, 'Detalles movimientos'!$W$5:$W$1003, 0)), "")</f>
        <v/>
      </c>
    </row>
    <row r="108" spans="2:13">
      <c r="B108" s="17" t="str">
        <f>IFERROR(INDEX('Detalles movimientos'!C$5:C$1003, MATCH(99, 'Detalles movimientos'!$W$5:$W$1003, 0)), "")</f>
        <v/>
      </c>
      <c r="C108" s="18" t="str">
        <f>IFERROR(INDEX('Detalles movimientos'!D$5:D$1003, MATCH(99, 'Detalles movimientos'!$W$5:$W$1003, 0)), "")</f>
        <v/>
      </c>
      <c r="D108" s="19" t="str">
        <f>IFERROR(INDEX('Detalles movimientos'!E$5:E$1003, MATCH(99, 'Detalles movimientos'!$W$5:$W$1003, 0)), "")</f>
        <v/>
      </c>
      <c r="E108" s="19" t="str">
        <f>IFERROR(INDEX('Detalles movimientos'!F$5:F$1003, MATCH(99, 'Detalles movimientos'!$W$5:$W$1003, 0)), "")</f>
        <v/>
      </c>
      <c r="F108" s="18" t="str">
        <f>IFERROR(INDEX('Detalles movimientos'!G$5:G$1003, MATCH(99, 'Detalles movimientos'!$W$5:$W$1003, 0)), "")</f>
        <v/>
      </c>
      <c r="G108" s="20" t="str">
        <f>IFERROR(INDEX('Detalles movimientos'!H$5:H$1003, MATCH(99, 'Detalles movimientos'!$W$5:$W$1003, 0)), "")</f>
        <v/>
      </c>
      <c r="H108" s="21" t="str">
        <f>IFERROR(INDEX('Detalles movimientos'!I$5:I$1003, MATCH(99, 'Detalles movimientos'!$W$5:$W$1003, 0)), "")</f>
        <v/>
      </c>
      <c r="I108" s="20" t="str">
        <f>IFERROR(INDEX('Detalles movimientos'!M$5:M$1003, MATCH(99, 'Detalles movimientos'!$W$5:$W$1003, 0)), "")</f>
        <v/>
      </c>
      <c r="J108" s="19" t="str">
        <f>IFERROR(INDEX('Detalles movimientos'!N$5:N$1003, MATCH(99, 'Detalles movimientos'!$W$5:$W$1003, 0)), "")</f>
        <v/>
      </c>
      <c r="K108" s="20" t="str">
        <f>IFERROR(INDEX('Detalles movimientos'!O$5:O$1003, MATCH(99, 'Detalles movimientos'!$W$5:$W$1003, 0)), "")</f>
        <v/>
      </c>
      <c r="L108" s="18" t="str">
        <f>IFERROR(INDEX('Detalles movimientos'!P$5:P$1003, MATCH(99, 'Detalles movimientos'!$W$5:$W$1003, 0)), "")</f>
        <v/>
      </c>
      <c r="M108" s="18" t="str">
        <f>IFERROR(INDEX('Detalles movimientos'!S$5:S$1003, MATCH(99, 'Detalles movimientos'!$W$5:$W$1003, 0)), "")</f>
        <v/>
      </c>
    </row>
    <row r="109" spans="2:13">
      <c r="B109" s="17" t="str">
        <f>IFERROR(INDEX('Detalles movimientos'!C$5:C$1003, MATCH(100, 'Detalles movimientos'!$W$5:$W$1003, 0)), "")</f>
        <v/>
      </c>
      <c r="C109" s="18" t="str">
        <f>IFERROR(INDEX('Detalles movimientos'!D$5:D$1003, MATCH(100, 'Detalles movimientos'!$W$5:$W$1003, 0)), "")</f>
        <v/>
      </c>
      <c r="D109" s="19" t="str">
        <f>IFERROR(INDEX('Detalles movimientos'!E$5:E$1003, MATCH(100, 'Detalles movimientos'!$W$5:$W$1003, 0)), "")</f>
        <v/>
      </c>
      <c r="E109" s="19" t="str">
        <f>IFERROR(INDEX('Detalles movimientos'!F$5:F$1003, MATCH(100, 'Detalles movimientos'!$W$5:$W$1003, 0)), "")</f>
        <v/>
      </c>
      <c r="F109" s="18" t="str">
        <f>IFERROR(INDEX('Detalles movimientos'!G$5:G$1003, MATCH(100, 'Detalles movimientos'!$W$5:$W$1003, 0)), "")</f>
        <v/>
      </c>
      <c r="G109" s="20" t="str">
        <f>IFERROR(INDEX('Detalles movimientos'!H$5:H$1003, MATCH(100, 'Detalles movimientos'!$W$5:$W$1003, 0)), "")</f>
        <v/>
      </c>
      <c r="H109" s="21" t="str">
        <f>IFERROR(INDEX('Detalles movimientos'!I$5:I$1003, MATCH(100, 'Detalles movimientos'!$W$5:$W$1003, 0)), "")</f>
        <v/>
      </c>
      <c r="I109" s="20" t="str">
        <f>IFERROR(INDEX('Detalles movimientos'!M$5:M$1003, MATCH(100, 'Detalles movimientos'!$W$5:$W$1003, 0)), "")</f>
        <v/>
      </c>
      <c r="J109" s="19" t="str">
        <f>IFERROR(INDEX('Detalles movimientos'!N$5:N$1003, MATCH(100, 'Detalles movimientos'!$W$5:$W$1003, 0)), "")</f>
        <v/>
      </c>
      <c r="K109" s="20" t="str">
        <f>IFERROR(INDEX('Detalles movimientos'!O$5:O$1003, MATCH(100, 'Detalles movimientos'!$W$5:$W$1003, 0)), "")</f>
        <v/>
      </c>
      <c r="L109" s="18" t="str">
        <f>IFERROR(INDEX('Detalles movimientos'!P$5:P$1003, MATCH(100, 'Detalles movimientos'!$W$5:$W$1003, 0)), "")</f>
        <v/>
      </c>
      <c r="M109" s="18" t="str">
        <f>IFERROR(INDEX('Detalles movimientos'!S$5:S$1003, MATCH(100, 'Detalles movimientos'!$W$5:$W$1003, 0)), "")</f>
        <v/>
      </c>
    </row>
    <row r="110" spans="2:13">
      <c r="B110" s="17" t="str">
        <f>IFERROR(INDEX('Detalles movimientos'!C$5:C$1003, MATCH(101, 'Detalles movimientos'!$W$5:$W$1003, 0)), "")</f>
        <v/>
      </c>
      <c r="C110" s="18" t="str">
        <f>IFERROR(INDEX('Detalles movimientos'!D$5:D$1003, MATCH(101, 'Detalles movimientos'!$W$5:$W$1003, 0)), "")</f>
        <v/>
      </c>
      <c r="D110" s="19" t="str">
        <f>IFERROR(INDEX('Detalles movimientos'!E$5:E$1003, MATCH(101, 'Detalles movimientos'!$W$5:$W$1003, 0)), "")</f>
        <v/>
      </c>
      <c r="E110" s="19" t="str">
        <f>IFERROR(INDEX('Detalles movimientos'!F$5:F$1003, MATCH(101, 'Detalles movimientos'!$W$5:$W$1003, 0)), "")</f>
        <v/>
      </c>
      <c r="F110" s="18" t="str">
        <f>IFERROR(INDEX('Detalles movimientos'!G$5:G$1003, MATCH(101, 'Detalles movimientos'!$W$5:$W$1003, 0)), "")</f>
        <v/>
      </c>
      <c r="G110" s="20" t="str">
        <f>IFERROR(INDEX('Detalles movimientos'!H$5:H$1003, MATCH(101, 'Detalles movimientos'!$W$5:$W$1003, 0)), "")</f>
        <v/>
      </c>
      <c r="H110" s="21" t="str">
        <f>IFERROR(INDEX('Detalles movimientos'!I$5:I$1003, MATCH(101, 'Detalles movimientos'!$W$5:$W$1003, 0)), "")</f>
        <v/>
      </c>
      <c r="I110" s="20" t="str">
        <f>IFERROR(INDEX('Detalles movimientos'!M$5:M$1003, MATCH(101, 'Detalles movimientos'!$W$5:$W$1003, 0)), "")</f>
        <v/>
      </c>
      <c r="J110" s="19" t="str">
        <f>IFERROR(INDEX('Detalles movimientos'!N$5:N$1003, MATCH(101, 'Detalles movimientos'!$W$5:$W$1003, 0)), "")</f>
        <v/>
      </c>
      <c r="K110" s="20" t="str">
        <f>IFERROR(INDEX('Detalles movimientos'!O$5:O$1003, MATCH(101, 'Detalles movimientos'!$W$5:$W$1003, 0)), "")</f>
        <v/>
      </c>
      <c r="L110" s="18" t="str">
        <f>IFERROR(INDEX('Detalles movimientos'!P$5:P$1003, MATCH(101, 'Detalles movimientos'!$W$5:$W$1003, 0)), "")</f>
        <v/>
      </c>
      <c r="M110" s="18" t="str">
        <f>IFERROR(INDEX('Detalles movimientos'!S$5:S$1003, MATCH(101, 'Detalles movimientos'!$W$5:$W$1003, 0)), "")</f>
        <v/>
      </c>
    </row>
    <row r="111" spans="2:13">
      <c r="B111" s="17" t="str">
        <f>IFERROR(INDEX('Detalles movimientos'!C$5:C$1003, MATCH(102, 'Detalles movimientos'!$W$5:$W$1003, 0)), "")</f>
        <v/>
      </c>
      <c r="C111" s="18" t="str">
        <f>IFERROR(INDEX('Detalles movimientos'!D$5:D$1003, MATCH(102, 'Detalles movimientos'!$W$5:$W$1003, 0)), "")</f>
        <v/>
      </c>
      <c r="D111" s="19" t="str">
        <f>IFERROR(INDEX('Detalles movimientos'!E$5:E$1003, MATCH(102, 'Detalles movimientos'!$W$5:$W$1003, 0)), "")</f>
        <v/>
      </c>
      <c r="E111" s="19" t="str">
        <f>IFERROR(INDEX('Detalles movimientos'!F$5:F$1003, MATCH(102, 'Detalles movimientos'!$W$5:$W$1003, 0)), "")</f>
        <v/>
      </c>
      <c r="F111" s="18" t="str">
        <f>IFERROR(INDEX('Detalles movimientos'!G$5:G$1003, MATCH(102, 'Detalles movimientos'!$W$5:$W$1003, 0)), "")</f>
        <v/>
      </c>
      <c r="G111" s="20" t="str">
        <f>IFERROR(INDEX('Detalles movimientos'!H$5:H$1003, MATCH(102, 'Detalles movimientos'!$W$5:$W$1003, 0)), "")</f>
        <v/>
      </c>
      <c r="H111" s="21" t="str">
        <f>IFERROR(INDEX('Detalles movimientos'!I$5:I$1003, MATCH(102, 'Detalles movimientos'!$W$5:$W$1003, 0)), "")</f>
        <v/>
      </c>
      <c r="I111" s="20" t="str">
        <f>IFERROR(INDEX('Detalles movimientos'!M$5:M$1003, MATCH(102, 'Detalles movimientos'!$W$5:$W$1003, 0)), "")</f>
        <v/>
      </c>
      <c r="J111" s="19" t="str">
        <f>IFERROR(INDEX('Detalles movimientos'!N$5:N$1003, MATCH(102, 'Detalles movimientos'!$W$5:$W$1003, 0)), "")</f>
        <v/>
      </c>
      <c r="K111" s="20" t="str">
        <f>IFERROR(INDEX('Detalles movimientos'!O$5:O$1003, MATCH(102, 'Detalles movimientos'!$W$5:$W$1003, 0)), "")</f>
        <v/>
      </c>
      <c r="L111" s="18" t="str">
        <f>IFERROR(INDEX('Detalles movimientos'!P$5:P$1003, MATCH(102, 'Detalles movimientos'!$W$5:$W$1003, 0)), "")</f>
        <v/>
      </c>
      <c r="M111" s="18" t="str">
        <f>IFERROR(INDEX('Detalles movimientos'!S$5:S$1003, MATCH(102, 'Detalles movimientos'!$W$5:$W$1003, 0)), "")</f>
        <v/>
      </c>
    </row>
    <row r="112" spans="2:13">
      <c r="B112" s="17" t="str">
        <f>IFERROR(INDEX('Detalles movimientos'!C$5:C$1003, MATCH(103, 'Detalles movimientos'!$W$5:$W$1003, 0)), "")</f>
        <v/>
      </c>
      <c r="C112" s="18" t="str">
        <f>IFERROR(INDEX('Detalles movimientos'!D$5:D$1003, MATCH(103, 'Detalles movimientos'!$W$5:$W$1003, 0)), "")</f>
        <v/>
      </c>
      <c r="D112" s="19" t="str">
        <f>IFERROR(INDEX('Detalles movimientos'!E$5:E$1003, MATCH(103, 'Detalles movimientos'!$W$5:$W$1003, 0)), "")</f>
        <v/>
      </c>
      <c r="E112" s="19" t="str">
        <f>IFERROR(INDEX('Detalles movimientos'!F$5:F$1003, MATCH(103, 'Detalles movimientos'!$W$5:$W$1003, 0)), "")</f>
        <v/>
      </c>
      <c r="F112" s="18" t="str">
        <f>IFERROR(INDEX('Detalles movimientos'!G$5:G$1003, MATCH(103, 'Detalles movimientos'!$W$5:$W$1003, 0)), "")</f>
        <v/>
      </c>
      <c r="G112" s="20" t="str">
        <f>IFERROR(INDEX('Detalles movimientos'!H$5:H$1003, MATCH(103, 'Detalles movimientos'!$W$5:$W$1003, 0)), "")</f>
        <v/>
      </c>
      <c r="H112" s="21" t="str">
        <f>IFERROR(INDEX('Detalles movimientos'!I$5:I$1003, MATCH(103, 'Detalles movimientos'!$W$5:$W$1003, 0)), "")</f>
        <v/>
      </c>
      <c r="I112" s="20" t="str">
        <f>IFERROR(INDEX('Detalles movimientos'!M$5:M$1003, MATCH(103, 'Detalles movimientos'!$W$5:$W$1003, 0)), "")</f>
        <v/>
      </c>
      <c r="J112" s="19" t="str">
        <f>IFERROR(INDEX('Detalles movimientos'!N$5:N$1003, MATCH(103, 'Detalles movimientos'!$W$5:$W$1003, 0)), "")</f>
        <v/>
      </c>
      <c r="K112" s="20" t="str">
        <f>IFERROR(INDEX('Detalles movimientos'!O$5:O$1003, MATCH(103, 'Detalles movimientos'!$W$5:$W$1003, 0)), "")</f>
        <v/>
      </c>
      <c r="L112" s="18" t="str">
        <f>IFERROR(INDEX('Detalles movimientos'!P$5:P$1003, MATCH(103, 'Detalles movimientos'!$W$5:$W$1003, 0)), "")</f>
        <v/>
      </c>
      <c r="M112" s="18" t="str">
        <f>IFERROR(INDEX('Detalles movimientos'!S$5:S$1003, MATCH(103, 'Detalles movimientos'!$W$5:$W$1003, 0)), "")</f>
        <v/>
      </c>
    </row>
    <row r="113" spans="2:13">
      <c r="B113" s="17" t="str">
        <f>IFERROR(INDEX('Detalles movimientos'!C$5:C$1003, MATCH(104, 'Detalles movimientos'!$W$5:$W$1003, 0)), "")</f>
        <v/>
      </c>
      <c r="C113" s="18" t="str">
        <f>IFERROR(INDEX('Detalles movimientos'!D$5:D$1003, MATCH(104, 'Detalles movimientos'!$W$5:$W$1003, 0)), "")</f>
        <v/>
      </c>
      <c r="D113" s="19" t="str">
        <f>IFERROR(INDEX('Detalles movimientos'!E$5:E$1003, MATCH(104, 'Detalles movimientos'!$W$5:$W$1003, 0)), "")</f>
        <v/>
      </c>
      <c r="E113" s="19" t="str">
        <f>IFERROR(INDEX('Detalles movimientos'!F$5:F$1003, MATCH(104, 'Detalles movimientos'!$W$5:$W$1003, 0)), "")</f>
        <v/>
      </c>
      <c r="F113" s="18" t="str">
        <f>IFERROR(INDEX('Detalles movimientos'!G$5:G$1003, MATCH(104, 'Detalles movimientos'!$W$5:$W$1003, 0)), "")</f>
        <v/>
      </c>
      <c r="G113" s="20" t="str">
        <f>IFERROR(INDEX('Detalles movimientos'!H$5:H$1003, MATCH(104, 'Detalles movimientos'!$W$5:$W$1003, 0)), "")</f>
        <v/>
      </c>
      <c r="H113" s="21" t="str">
        <f>IFERROR(INDEX('Detalles movimientos'!I$5:I$1003, MATCH(104, 'Detalles movimientos'!$W$5:$W$1003, 0)), "")</f>
        <v/>
      </c>
      <c r="I113" s="20" t="str">
        <f>IFERROR(INDEX('Detalles movimientos'!M$5:M$1003, MATCH(104, 'Detalles movimientos'!$W$5:$W$1003, 0)), "")</f>
        <v/>
      </c>
      <c r="J113" s="19" t="str">
        <f>IFERROR(INDEX('Detalles movimientos'!N$5:N$1003, MATCH(104, 'Detalles movimientos'!$W$5:$W$1003, 0)), "")</f>
        <v/>
      </c>
      <c r="K113" s="20" t="str">
        <f>IFERROR(INDEX('Detalles movimientos'!O$5:O$1003, MATCH(104, 'Detalles movimientos'!$W$5:$W$1003, 0)), "")</f>
        <v/>
      </c>
      <c r="L113" s="18" t="str">
        <f>IFERROR(INDEX('Detalles movimientos'!P$5:P$1003, MATCH(104, 'Detalles movimientos'!$W$5:$W$1003, 0)), "")</f>
        <v/>
      </c>
      <c r="M113" s="18" t="str">
        <f>IFERROR(INDEX('Detalles movimientos'!S$5:S$1003, MATCH(104, 'Detalles movimientos'!$W$5:$W$1003, 0)), "")</f>
        <v/>
      </c>
    </row>
    <row r="114" spans="2:13">
      <c r="B114" s="17" t="str">
        <f>IFERROR(INDEX('Detalles movimientos'!C$5:C$1003, MATCH(105, 'Detalles movimientos'!$W$5:$W$1003, 0)), "")</f>
        <v/>
      </c>
      <c r="C114" s="18" t="str">
        <f>IFERROR(INDEX('Detalles movimientos'!D$5:D$1003, MATCH(105, 'Detalles movimientos'!$W$5:$W$1003, 0)), "")</f>
        <v/>
      </c>
      <c r="D114" s="19" t="str">
        <f>IFERROR(INDEX('Detalles movimientos'!E$5:E$1003, MATCH(105, 'Detalles movimientos'!$W$5:$W$1003, 0)), "")</f>
        <v/>
      </c>
      <c r="E114" s="19" t="str">
        <f>IFERROR(INDEX('Detalles movimientos'!F$5:F$1003, MATCH(105, 'Detalles movimientos'!$W$5:$W$1003, 0)), "")</f>
        <v/>
      </c>
      <c r="F114" s="18" t="str">
        <f>IFERROR(INDEX('Detalles movimientos'!G$5:G$1003, MATCH(105, 'Detalles movimientos'!$W$5:$W$1003, 0)), "")</f>
        <v/>
      </c>
      <c r="G114" s="20" t="str">
        <f>IFERROR(INDEX('Detalles movimientos'!H$5:H$1003, MATCH(105, 'Detalles movimientos'!$W$5:$W$1003, 0)), "")</f>
        <v/>
      </c>
      <c r="H114" s="21" t="str">
        <f>IFERROR(INDEX('Detalles movimientos'!I$5:I$1003, MATCH(105, 'Detalles movimientos'!$W$5:$W$1003, 0)), "")</f>
        <v/>
      </c>
      <c r="I114" s="20" t="str">
        <f>IFERROR(INDEX('Detalles movimientos'!M$5:M$1003, MATCH(105, 'Detalles movimientos'!$W$5:$W$1003, 0)), "")</f>
        <v/>
      </c>
      <c r="J114" s="19" t="str">
        <f>IFERROR(INDEX('Detalles movimientos'!N$5:N$1003, MATCH(105, 'Detalles movimientos'!$W$5:$W$1003, 0)), "")</f>
        <v/>
      </c>
      <c r="K114" s="20" t="str">
        <f>IFERROR(INDEX('Detalles movimientos'!O$5:O$1003, MATCH(105, 'Detalles movimientos'!$W$5:$W$1003, 0)), "")</f>
        <v/>
      </c>
      <c r="L114" s="18" t="str">
        <f>IFERROR(INDEX('Detalles movimientos'!P$5:P$1003, MATCH(105, 'Detalles movimientos'!$W$5:$W$1003, 0)), "")</f>
        <v/>
      </c>
      <c r="M114" s="18" t="str">
        <f>IFERROR(INDEX('Detalles movimientos'!S$5:S$1003, MATCH(105, 'Detalles movimientos'!$W$5:$W$1003, 0)), "")</f>
        <v/>
      </c>
    </row>
    <row r="115" spans="2:13">
      <c r="B115" s="17" t="str">
        <f>IFERROR(INDEX('Detalles movimientos'!C$5:C$1003, MATCH(106, 'Detalles movimientos'!$W$5:$W$1003, 0)), "")</f>
        <v/>
      </c>
      <c r="C115" s="18" t="str">
        <f>IFERROR(INDEX('Detalles movimientos'!D$5:D$1003, MATCH(106, 'Detalles movimientos'!$W$5:$W$1003, 0)), "")</f>
        <v/>
      </c>
      <c r="D115" s="19" t="str">
        <f>IFERROR(INDEX('Detalles movimientos'!E$5:E$1003, MATCH(106, 'Detalles movimientos'!$W$5:$W$1003, 0)), "")</f>
        <v/>
      </c>
      <c r="E115" s="19" t="str">
        <f>IFERROR(INDEX('Detalles movimientos'!F$5:F$1003, MATCH(106, 'Detalles movimientos'!$W$5:$W$1003, 0)), "")</f>
        <v/>
      </c>
      <c r="F115" s="18" t="str">
        <f>IFERROR(INDEX('Detalles movimientos'!G$5:G$1003, MATCH(106, 'Detalles movimientos'!$W$5:$W$1003, 0)), "")</f>
        <v/>
      </c>
      <c r="G115" s="20" t="str">
        <f>IFERROR(INDEX('Detalles movimientos'!H$5:H$1003, MATCH(106, 'Detalles movimientos'!$W$5:$W$1003, 0)), "")</f>
        <v/>
      </c>
      <c r="H115" s="21" t="str">
        <f>IFERROR(INDEX('Detalles movimientos'!I$5:I$1003, MATCH(106, 'Detalles movimientos'!$W$5:$W$1003, 0)), "")</f>
        <v/>
      </c>
      <c r="I115" s="20" t="str">
        <f>IFERROR(INDEX('Detalles movimientos'!M$5:M$1003, MATCH(106, 'Detalles movimientos'!$W$5:$W$1003, 0)), "")</f>
        <v/>
      </c>
      <c r="J115" s="19" t="str">
        <f>IFERROR(INDEX('Detalles movimientos'!N$5:N$1003, MATCH(106, 'Detalles movimientos'!$W$5:$W$1003, 0)), "")</f>
        <v/>
      </c>
      <c r="K115" s="20" t="str">
        <f>IFERROR(INDEX('Detalles movimientos'!O$5:O$1003, MATCH(106, 'Detalles movimientos'!$W$5:$W$1003, 0)), "")</f>
        <v/>
      </c>
      <c r="L115" s="18" t="str">
        <f>IFERROR(INDEX('Detalles movimientos'!P$5:P$1003, MATCH(106, 'Detalles movimientos'!$W$5:$W$1003, 0)), "")</f>
        <v/>
      </c>
      <c r="M115" s="18" t="str">
        <f>IFERROR(INDEX('Detalles movimientos'!S$5:S$1003, MATCH(106, 'Detalles movimientos'!$W$5:$W$1003, 0)), "")</f>
        <v/>
      </c>
    </row>
    <row r="116" spans="2:13">
      <c r="B116" s="17" t="str">
        <f>IFERROR(INDEX('Detalles movimientos'!C$5:C$1003, MATCH(107, 'Detalles movimientos'!$W$5:$W$1003, 0)), "")</f>
        <v/>
      </c>
      <c r="C116" s="18" t="str">
        <f>IFERROR(INDEX('Detalles movimientos'!D$5:D$1003, MATCH(107, 'Detalles movimientos'!$W$5:$W$1003, 0)), "")</f>
        <v/>
      </c>
      <c r="D116" s="19" t="str">
        <f>IFERROR(INDEX('Detalles movimientos'!E$5:E$1003, MATCH(107, 'Detalles movimientos'!$W$5:$W$1003, 0)), "")</f>
        <v/>
      </c>
      <c r="E116" s="19" t="str">
        <f>IFERROR(INDEX('Detalles movimientos'!F$5:F$1003, MATCH(107, 'Detalles movimientos'!$W$5:$W$1003, 0)), "")</f>
        <v/>
      </c>
      <c r="F116" s="18" t="str">
        <f>IFERROR(INDEX('Detalles movimientos'!G$5:G$1003, MATCH(107, 'Detalles movimientos'!$W$5:$W$1003, 0)), "")</f>
        <v/>
      </c>
      <c r="G116" s="20" t="str">
        <f>IFERROR(INDEX('Detalles movimientos'!H$5:H$1003, MATCH(107, 'Detalles movimientos'!$W$5:$W$1003, 0)), "")</f>
        <v/>
      </c>
      <c r="H116" s="21" t="str">
        <f>IFERROR(INDEX('Detalles movimientos'!I$5:I$1003, MATCH(107, 'Detalles movimientos'!$W$5:$W$1003, 0)), "")</f>
        <v/>
      </c>
      <c r="I116" s="20" t="str">
        <f>IFERROR(INDEX('Detalles movimientos'!M$5:M$1003, MATCH(107, 'Detalles movimientos'!$W$5:$W$1003, 0)), "")</f>
        <v/>
      </c>
      <c r="J116" s="19" t="str">
        <f>IFERROR(INDEX('Detalles movimientos'!N$5:N$1003, MATCH(107, 'Detalles movimientos'!$W$5:$W$1003, 0)), "")</f>
        <v/>
      </c>
      <c r="K116" s="20" t="str">
        <f>IFERROR(INDEX('Detalles movimientos'!O$5:O$1003, MATCH(107, 'Detalles movimientos'!$W$5:$W$1003, 0)), "")</f>
        <v/>
      </c>
      <c r="L116" s="18" t="str">
        <f>IFERROR(INDEX('Detalles movimientos'!P$5:P$1003, MATCH(107, 'Detalles movimientos'!$W$5:$W$1003, 0)), "")</f>
        <v/>
      </c>
      <c r="M116" s="18" t="str">
        <f>IFERROR(INDEX('Detalles movimientos'!S$5:S$1003, MATCH(107, 'Detalles movimientos'!$W$5:$W$1003, 0)), "")</f>
        <v/>
      </c>
    </row>
    <row r="117" spans="2:13">
      <c r="B117" s="17" t="str">
        <f>IFERROR(INDEX('Detalles movimientos'!C$5:C$1003, MATCH(108, 'Detalles movimientos'!$W$5:$W$1003, 0)), "")</f>
        <v/>
      </c>
      <c r="C117" s="18" t="str">
        <f>IFERROR(INDEX('Detalles movimientos'!D$5:D$1003, MATCH(108, 'Detalles movimientos'!$W$5:$W$1003, 0)), "")</f>
        <v/>
      </c>
      <c r="D117" s="19" t="str">
        <f>IFERROR(INDEX('Detalles movimientos'!E$5:E$1003, MATCH(108, 'Detalles movimientos'!$W$5:$W$1003, 0)), "")</f>
        <v/>
      </c>
      <c r="E117" s="19" t="str">
        <f>IFERROR(INDEX('Detalles movimientos'!F$5:F$1003, MATCH(108, 'Detalles movimientos'!$W$5:$W$1003, 0)), "")</f>
        <v/>
      </c>
      <c r="F117" s="18" t="str">
        <f>IFERROR(INDEX('Detalles movimientos'!G$5:G$1003, MATCH(108, 'Detalles movimientos'!$W$5:$W$1003, 0)), "")</f>
        <v/>
      </c>
      <c r="G117" s="20" t="str">
        <f>IFERROR(INDEX('Detalles movimientos'!H$5:H$1003, MATCH(108, 'Detalles movimientos'!$W$5:$W$1003, 0)), "")</f>
        <v/>
      </c>
      <c r="H117" s="21" t="str">
        <f>IFERROR(INDEX('Detalles movimientos'!I$5:I$1003, MATCH(108, 'Detalles movimientos'!$W$5:$W$1003, 0)), "")</f>
        <v/>
      </c>
      <c r="I117" s="20" t="str">
        <f>IFERROR(INDEX('Detalles movimientos'!M$5:M$1003, MATCH(108, 'Detalles movimientos'!$W$5:$W$1003, 0)), "")</f>
        <v/>
      </c>
      <c r="J117" s="19" t="str">
        <f>IFERROR(INDEX('Detalles movimientos'!N$5:N$1003, MATCH(108, 'Detalles movimientos'!$W$5:$W$1003, 0)), "")</f>
        <v/>
      </c>
      <c r="K117" s="20" t="str">
        <f>IFERROR(INDEX('Detalles movimientos'!O$5:O$1003, MATCH(108, 'Detalles movimientos'!$W$5:$W$1003, 0)), "")</f>
        <v/>
      </c>
      <c r="L117" s="18" t="str">
        <f>IFERROR(INDEX('Detalles movimientos'!P$5:P$1003, MATCH(108, 'Detalles movimientos'!$W$5:$W$1003, 0)), "")</f>
        <v/>
      </c>
      <c r="M117" s="18" t="str">
        <f>IFERROR(INDEX('Detalles movimientos'!S$5:S$1003, MATCH(108, 'Detalles movimientos'!$W$5:$W$1003, 0)), "")</f>
        <v/>
      </c>
    </row>
    <row r="118" spans="2:13">
      <c r="B118" s="17" t="str">
        <f>IFERROR(INDEX('Detalles movimientos'!C$5:C$1003, MATCH(109, 'Detalles movimientos'!$W$5:$W$1003, 0)), "")</f>
        <v/>
      </c>
      <c r="C118" s="18" t="str">
        <f>IFERROR(INDEX('Detalles movimientos'!D$5:D$1003, MATCH(109, 'Detalles movimientos'!$W$5:$W$1003, 0)), "")</f>
        <v/>
      </c>
      <c r="D118" s="19" t="str">
        <f>IFERROR(INDEX('Detalles movimientos'!E$5:E$1003, MATCH(109, 'Detalles movimientos'!$W$5:$W$1003, 0)), "")</f>
        <v/>
      </c>
      <c r="E118" s="19" t="str">
        <f>IFERROR(INDEX('Detalles movimientos'!F$5:F$1003, MATCH(109, 'Detalles movimientos'!$W$5:$W$1003, 0)), "")</f>
        <v/>
      </c>
      <c r="F118" s="18" t="str">
        <f>IFERROR(INDEX('Detalles movimientos'!G$5:G$1003, MATCH(109, 'Detalles movimientos'!$W$5:$W$1003, 0)), "")</f>
        <v/>
      </c>
      <c r="G118" s="20" t="str">
        <f>IFERROR(INDEX('Detalles movimientos'!H$5:H$1003, MATCH(109, 'Detalles movimientos'!$W$5:$W$1003, 0)), "")</f>
        <v/>
      </c>
      <c r="H118" s="21" t="str">
        <f>IFERROR(INDEX('Detalles movimientos'!I$5:I$1003, MATCH(109, 'Detalles movimientos'!$W$5:$W$1003, 0)), "")</f>
        <v/>
      </c>
      <c r="I118" s="20" t="str">
        <f>IFERROR(INDEX('Detalles movimientos'!M$5:M$1003, MATCH(109, 'Detalles movimientos'!$W$5:$W$1003, 0)), "")</f>
        <v/>
      </c>
      <c r="J118" s="19" t="str">
        <f>IFERROR(INDEX('Detalles movimientos'!N$5:N$1003, MATCH(109, 'Detalles movimientos'!$W$5:$W$1003, 0)), "")</f>
        <v/>
      </c>
      <c r="K118" s="20" t="str">
        <f>IFERROR(INDEX('Detalles movimientos'!O$5:O$1003, MATCH(109, 'Detalles movimientos'!$W$5:$W$1003, 0)), "")</f>
        <v/>
      </c>
      <c r="L118" s="18" t="str">
        <f>IFERROR(INDEX('Detalles movimientos'!P$5:P$1003, MATCH(109, 'Detalles movimientos'!$W$5:$W$1003, 0)), "")</f>
        <v/>
      </c>
      <c r="M118" s="18" t="str">
        <f>IFERROR(INDEX('Detalles movimientos'!S$5:S$1003, MATCH(109, 'Detalles movimientos'!$W$5:$W$1003, 0)), "")</f>
        <v/>
      </c>
    </row>
    <row r="119" spans="2:13">
      <c r="B119" s="17" t="str">
        <f>IFERROR(INDEX('Detalles movimientos'!C$5:C$1003, MATCH(110, 'Detalles movimientos'!$W$5:$W$1003, 0)), "")</f>
        <v/>
      </c>
      <c r="C119" s="18" t="str">
        <f>IFERROR(INDEX('Detalles movimientos'!D$5:D$1003, MATCH(110, 'Detalles movimientos'!$W$5:$W$1003, 0)), "")</f>
        <v/>
      </c>
      <c r="D119" s="19" t="str">
        <f>IFERROR(INDEX('Detalles movimientos'!E$5:E$1003, MATCH(110, 'Detalles movimientos'!$W$5:$W$1003, 0)), "")</f>
        <v/>
      </c>
      <c r="E119" s="19" t="str">
        <f>IFERROR(INDEX('Detalles movimientos'!F$5:F$1003, MATCH(110, 'Detalles movimientos'!$W$5:$W$1003, 0)), "")</f>
        <v/>
      </c>
      <c r="F119" s="18" t="str">
        <f>IFERROR(INDEX('Detalles movimientos'!G$5:G$1003, MATCH(110, 'Detalles movimientos'!$W$5:$W$1003, 0)), "")</f>
        <v/>
      </c>
      <c r="G119" s="20" t="str">
        <f>IFERROR(INDEX('Detalles movimientos'!H$5:H$1003, MATCH(110, 'Detalles movimientos'!$W$5:$W$1003, 0)), "")</f>
        <v/>
      </c>
      <c r="H119" s="21" t="str">
        <f>IFERROR(INDEX('Detalles movimientos'!I$5:I$1003, MATCH(110, 'Detalles movimientos'!$W$5:$W$1003, 0)), "")</f>
        <v/>
      </c>
      <c r="I119" s="20" t="str">
        <f>IFERROR(INDEX('Detalles movimientos'!M$5:M$1003, MATCH(110, 'Detalles movimientos'!$W$5:$W$1003, 0)), "")</f>
        <v/>
      </c>
      <c r="J119" s="19" t="str">
        <f>IFERROR(INDEX('Detalles movimientos'!N$5:N$1003, MATCH(110, 'Detalles movimientos'!$W$5:$W$1003, 0)), "")</f>
        <v/>
      </c>
      <c r="K119" s="20" t="str">
        <f>IFERROR(INDEX('Detalles movimientos'!O$5:O$1003, MATCH(110, 'Detalles movimientos'!$W$5:$W$1003, 0)), "")</f>
        <v/>
      </c>
      <c r="L119" s="18" t="str">
        <f>IFERROR(INDEX('Detalles movimientos'!P$5:P$1003, MATCH(110, 'Detalles movimientos'!$W$5:$W$1003, 0)), "")</f>
        <v/>
      </c>
      <c r="M119" s="18" t="str">
        <f>IFERROR(INDEX('Detalles movimientos'!S$5:S$1003, MATCH(110, 'Detalles movimientos'!$W$5:$W$1003, 0)), "")</f>
        <v/>
      </c>
    </row>
    <row r="120" spans="2:13">
      <c r="B120" s="17" t="str">
        <f>IFERROR(INDEX('Detalles movimientos'!C$5:C$1003, MATCH(111, 'Detalles movimientos'!$W$5:$W$1003, 0)), "")</f>
        <v/>
      </c>
      <c r="C120" s="18" t="str">
        <f>IFERROR(INDEX('Detalles movimientos'!D$5:D$1003, MATCH(111, 'Detalles movimientos'!$W$5:$W$1003, 0)), "")</f>
        <v/>
      </c>
      <c r="D120" s="19" t="str">
        <f>IFERROR(INDEX('Detalles movimientos'!E$5:E$1003, MATCH(111, 'Detalles movimientos'!$W$5:$W$1003, 0)), "")</f>
        <v/>
      </c>
      <c r="E120" s="19" t="str">
        <f>IFERROR(INDEX('Detalles movimientos'!F$5:F$1003, MATCH(111, 'Detalles movimientos'!$W$5:$W$1003, 0)), "")</f>
        <v/>
      </c>
      <c r="F120" s="18" t="str">
        <f>IFERROR(INDEX('Detalles movimientos'!G$5:G$1003, MATCH(111, 'Detalles movimientos'!$W$5:$W$1003, 0)), "")</f>
        <v/>
      </c>
      <c r="G120" s="20" t="str">
        <f>IFERROR(INDEX('Detalles movimientos'!H$5:H$1003, MATCH(111, 'Detalles movimientos'!$W$5:$W$1003, 0)), "")</f>
        <v/>
      </c>
      <c r="H120" s="21" t="str">
        <f>IFERROR(INDEX('Detalles movimientos'!I$5:I$1003, MATCH(111, 'Detalles movimientos'!$W$5:$W$1003, 0)), "")</f>
        <v/>
      </c>
      <c r="I120" s="20" t="str">
        <f>IFERROR(INDEX('Detalles movimientos'!M$5:M$1003, MATCH(111, 'Detalles movimientos'!$W$5:$W$1003, 0)), "")</f>
        <v/>
      </c>
      <c r="J120" s="19" t="str">
        <f>IFERROR(INDEX('Detalles movimientos'!N$5:N$1003, MATCH(111, 'Detalles movimientos'!$W$5:$W$1003, 0)), "")</f>
        <v/>
      </c>
      <c r="K120" s="20" t="str">
        <f>IFERROR(INDEX('Detalles movimientos'!O$5:O$1003, MATCH(111, 'Detalles movimientos'!$W$5:$W$1003, 0)), "")</f>
        <v/>
      </c>
      <c r="L120" s="18" t="str">
        <f>IFERROR(INDEX('Detalles movimientos'!P$5:P$1003, MATCH(111, 'Detalles movimientos'!$W$5:$W$1003, 0)), "")</f>
        <v/>
      </c>
      <c r="M120" s="18" t="str">
        <f>IFERROR(INDEX('Detalles movimientos'!S$5:S$1003, MATCH(111, 'Detalles movimientos'!$W$5:$W$1003, 0)), "")</f>
        <v/>
      </c>
    </row>
    <row r="121" spans="2:13">
      <c r="B121" s="17" t="str">
        <f>IFERROR(INDEX('Detalles movimientos'!C$5:C$1003, MATCH(112, 'Detalles movimientos'!$W$5:$W$1003, 0)), "")</f>
        <v/>
      </c>
      <c r="C121" s="18" t="str">
        <f>IFERROR(INDEX('Detalles movimientos'!D$5:D$1003, MATCH(112, 'Detalles movimientos'!$W$5:$W$1003, 0)), "")</f>
        <v/>
      </c>
      <c r="D121" s="19" t="str">
        <f>IFERROR(INDEX('Detalles movimientos'!E$5:E$1003, MATCH(112, 'Detalles movimientos'!$W$5:$W$1003, 0)), "")</f>
        <v/>
      </c>
      <c r="E121" s="19" t="str">
        <f>IFERROR(INDEX('Detalles movimientos'!F$5:F$1003, MATCH(112, 'Detalles movimientos'!$W$5:$W$1003, 0)), "")</f>
        <v/>
      </c>
      <c r="F121" s="18" t="str">
        <f>IFERROR(INDEX('Detalles movimientos'!G$5:G$1003, MATCH(112, 'Detalles movimientos'!$W$5:$W$1003, 0)), "")</f>
        <v/>
      </c>
      <c r="G121" s="20" t="str">
        <f>IFERROR(INDEX('Detalles movimientos'!H$5:H$1003, MATCH(112, 'Detalles movimientos'!$W$5:$W$1003, 0)), "")</f>
        <v/>
      </c>
      <c r="H121" s="21" t="str">
        <f>IFERROR(INDEX('Detalles movimientos'!I$5:I$1003, MATCH(112, 'Detalles movimientos'!$W$5:$W$1003, 0)), "")</f>
        <v/>
      </c>
      <c r="I121" s="20" t="str">
        <f>IFERROR(INDEX('Detalles movimientos'!M$5:M$1003, MATCH(112, 'Detalles movimientos'!$W$5:$W$1003, 0)), "")</f>
        <v/>
      </c>
      <c r="J121" s="19" t="str">
        <f>IFERROR(INDEX('Detalles movimientos'!N$5:N$1003, MATCH(112, 'Detalles movimientos'!$W$5:$W$1003, 0)), "")</f>
        <v/>
      </c>
      <c r="K121" s="20" t="str">
        <f>IFERROR(INDEX('Detalles movimientos'!O$5:O$1003, MATCH(112, 'Detalles movimientos'!$W$5:$W$1003, 0)), "")</f>
        <v/>
      </c>
      <c r="L121" s="18" t="str">
        <f>IFERROR(INDEX('Detalles movimientos'!P$5:P$1003, MATCH(112, 'Detalles movimientos'!$W$5:$W$1003, 0)), "")</f>
        <v/>
      </c>
      <c r="M121" s="18" t="str">
        <f>IFERROR(INDEX('Detalles movimientos'!S$5:S$1003, MATCH(112, 'Detalles movimientos'!$W$5:$W$1003, 0)), "")</f>
        <v/>
      </c>
    </row>
    <row r="122" spans="2:13">
      <c r="B122" s="17" t="str">
        <f>IFERROR(INDEX('Detalles movimientos'!C$5:C$1003, MATCH(113, 'Detalles movimientos'!$W$5:$W$1003, 0)), "")</f>
        <v/>
      </c>
      <c r="C122" s="18" t="str">
        <f>IFERROR(INDEX('Detalles movimientos'!D$5:D$1003, MATCH(113, 'Detalles movimientos'!$W$5:$W$1003, 0)), "")</f>
        <v/>
      </c>
      <c r="D122" s="19" t="str">
        <f>IFERROR(INDEX('Detalles movimientos'!E$5:E$1003, MATCH(113, 'Detalles movimientos'!$W$5:$W$1003, 0)), "")</f>
        <v/>
      </c>
      <c r="E122" s="19" t="str">
        <f>IFERROR(INDEX('Detalles movimientos'!F$5:F$1003, MATCH(113, 'Detalles movimientos'!$W$5:$W$1003, 0)), "")</f>
        <v/>
      </c>
      <c r="F122" s="18" t="str">
        <f>IFERROR(INDEX('Detalles movimientos'!G$5:G$1003, MATCH(113, 'Detalles movimientos'!$W$5:$W$1003, 0)), "")</f>
        <v/>
      </c>
      <c r="G122" s="20" t="str">
        <f>IFERROR(INDEX('Detalles movimientos'!H$5:H$1003, MATCH(113, 'Detalles movimientos'!$W$5:$W$1003, 0)), "")</f>
        <v/>
      </c>
      <c r="H122" s="21" t="str">
        <f>IFERROR(INDEX('Detalles movimientos'!I$5:I$1003, MATCH(113, 'Detalles movimientos'!$W$5:$W$1003, 0)), "")</f>
        <v/>
      </c>
      <c r="I122" s="20" t="str">
        <f>IFERROR(INDEX('Detalles movimientos'!M$5:M$1003, MATCH(113, 'Detalles movimientos'!$W$5:$W$1003, 0)), "")</f>
        <v/>
      </c>
      <c r="J122" s="19" t="str">
        <f>IFERROR(INDEX('Detalles movimientos'!N$5:N$1003, MATCH(113, 'Detalles movimientos'!$W$5:$W$1003, 0)), "")</f>
        <v/>
      </c>
      <c r="K122" s="20" t="str">
        <f>IFERROR(INDEX('Detalles movimientos'!O$5:O$1003, MATCH(113, 'Detalles movimientos'!$W$5:$W$1003, 0)), "")</f>
        <v/>
      </c>
      <c r="L122" s="18" t="str">
        <f>IFERROR(INDEX('Detalles movimientos'!P$5:P$1003, MATCH(113, 'Detalles movimientos'!$W$5:$W$1003, 0)), "")</f>
        <v/>
      </c>
      <c r="M122" s="18" t="str">
        <f>IFERROR(INDEX('Detalles movimientos'!S$5:S$1003, MATCH(113, 'Detalles movimientos'!$W$5:$W$1003, 0)), "")</f>
        <v/>
      </c>
    </row>
    <row r="123" spans="2:13">
      <c r="B123" s="17" t="str">
        <f>IFERROR(INDEX('Detalles movimientos'!C$5:C$1003, MATCH(114, 'Detalles movimientos'!$W$5:$W$1003, 0)), "")</f>
        <v/>
      </c>
      <c r="C123" s="18" t="str">
        <f>IFERROR(INDEX('Detalles movimientos'!D$5:D$1003, MATCH(114, 'Detalles movimientos'!$W$5:$W$1003, 0)), "")</f>
        <v/>
      </c>
      <c r="D123" s="19" t="str">
        <f>IFERROR(INDEX('Detalles movimientos'!E$5:E$1003, MATCH(114, 'Detalles movimientos'!$W$5:$W$1003, 0)), "")</f>
        <v/>
      </c>
      <c r="E123" s="19" t="str">
        <f>IFERROR(INDEX('Detalles movimientos'!F$5:F$1003, MATCH(114, 'Detalles movimientos'!$W$5:$W$1003, 0)), "")</f>
        <v/>
      </c>
      <c r="F123" s="18" t="str">
        <f>IFERROR(INDEX('Detalles movimientos'!G$5:G$1003, MATCH(114, 'Detalles movimientos'!$W$5:$W$1003, 0)), "")</f>
        <v/>
      </c>
      <c r="G123" s="20" t="str">
        <f>IFERROR(INDEX('Detalles movimientos'!H$5:H$1003, MATCH(114, 'Detalles movimientos'!$W$5:$W$1003, 0)), "")</f>
        <v/>
      </c>
      <c r="H123" s="21" t="str">
        <f>IFERROR(INDEX('Detalles movimientos'!I$5:I$1003, MATCH(114, 'Detalles movimientos'!$W$5:$W$1003, 0)), "")</f>
        <v/>
      </c>
      <c r="I123" s="20" t="str">
        <f>IFERROR(INDEX('Detalles movimientos'!M$5:M$1003, MATCH(114, 'Detalles movimientos'!$W$5:$W$1003, 0)), "")</f>
        <v/>
      </c>
      <c r="J123" s="19" t="str">
        <f>IFERROR(INDEX('Detalles movimientos'!N$5:N$1003, MATCH(114, 'Detalles movimientos'!$W$5:$W$1003, 0)), "")</f>
        <v/>
      </c>
      <c r="K123" s="20" t="str">
        <f>IFERROR(INDEX('Detalles movimientos'!O$5:O$1003, MATCH(114, 'Detalles movimientos'!$W$5:$W$1003, 0)), "")</f>
        <v/>
      </c>
      <c r="L123" s="18" t="str">
        <f>IFERROR(INDEX('Detalles movimientos'!P$5:P$1003, MATCH(114, 'Detalles movimientos'!$W$5:$W$1003, 0)), "")</f>
        <v/>
      </c>
      <c r="M123" s="18" t="str">
        <f>IFERROR(INDEX('Detalles movimientos'!S$5:S$1003, MATCH(114, 'Detalles movimientos'!$W$5:$W$1003, 0)), "")</f>
        <v/>
      </c>
    </row>
    <row r="124" spans="2:13">
      <c r="B124" s="17" t="str">
        <f>IFERROR(INDEX('Detalles movimientos'!C$5:C$1003, MATCH(115, 'Detalles movimientos'!$W$5:$W$1003, 0)), "")</f>
        <v/>
      </c>
      <c r="C124" s="18" t="str">
        <f>IFERROR(INDEX('Detalles movimientos'!D$5:D$1003, MATCH(115, 'Detalles movimientos'!$W$5:$W$1003, 0)), "")</f>
        <v/>
      </c>
      <c r="D124" s="19" t="str">
        <f>IFERROR(INDEX('Detalles movimientos'!E$5:E$1003, MATCH(115, 'Detalles movimientos'!$W$5:$W$1003, 0)), "")</f>
        <v/>
      </c>
      <c r="E124" s="19" t="str">
        <f>IFERROR(INDEX('Detalles movimientos'!F$5:F$1003, MATCH(115, 'Detalles movimientos'!$W$5:$W$1003, 0)), "")</f>
        <v/>
      </c>
      <c r="F124" s="18" t="str">
        <f>IFERROR(INDEX('Detalles movimientos'!G$5:G$1003, MATCH(115, 'Detalles movimientos'!$W$5:$W$1003, 0)), "")</f>
        <v/>
      </c>
      <c r="G124" s="20" t="str">
        <f>IFERROR(INDEX('Detalles movimientos'!H$5:H$1003, MATCH(115, 'Detalles movimientos'!$W$5:$W$1003, 0)), "")</f>
        <v/>
      </c>
      <c r="H124" s="21" t="str">
        <f>IFERROR(INDEX('Detalles movimientos'!I$5:I$1003, MATCH(115, 'Detalles movimientos'!$W$5:$W$1003, 0)), "")</f>
        <v/>
      </c>
      <c r="I124" s="20" t="str">
        <f>IFERROR(INDEX('Detalles movimientos'!M$5:M$1003, MATCH(115, 'Detalles movimientos'!$W$5:$W$1003, 0)), "")</f>
        <v/>
      </c>
      <c r="J124" s="19" t="str">
        <f>IFERROR(INDEX('Detalles movimientos'!N$5:N$1003, MATCH(115, 'Detalles movimientos'!$W$5:$W$1003, 0)), "")</f>
        <v/>
      </c>
      <c r="K124" s="20" t="str">
        <f>IFERROR(INDEX('Detalles movimientos'!O$5:O$1003, MATCH(115, 'Detalles movimientos'!$W$5:$W$1003, 0)), "")</f>
        <v/>
      </c>
      <c r="L124" s="18" t="str">
        <f>IFERROR(INDEX('Detalles movimientos'!P$5:P$1003, MATCH(115, 'Detalles movimientos'!$W$5:$W$1003, 0)), "")</f>
        <v/>
      </c>
      <c r="M124" s="18" t="str">
        <f>IFERROR(INDEX('Detalles movimientos'!S$5:S$1003, MATCH(115, 'Detalles movimientos'!$W$5:$W$1003, 0)), "")</f>
        <v/>
      </c>
    </row>
    <row r="125" spans="2:13">
      <c r="B125" s="17" t="str">
        <f>IFERROR(INDEX('Detalles movimientos'!C$5:C$1003, MATCH(116, 'Detalles movimientos'!$W$5:$W$1003, 0)), "")</f>
        <v/>
      </c>
      <c r="C125" s="18" t="str">
        <f>IFERROR(INDEX('Detalles movimientos'!D$5:D$1003, MATCH(116, 'Detalles movimientos'!$W$5:$W$1003, 0)), "")</f>
        <v/>
      </c>
      <c r="D125" s="19" t="str">
        <f>IFERROR(INDEX('Detalles movimientos'!E$5:E$1003, MATCH(116, 'Detalles movimientos'!$W$5:$W$1003, 0)), "")</f>
        <v/>
      </c>
      <c r="E125" s="19" t="str">
        <f>IFERROR(INDEX('Detalles movimientos'!F$5:F$1003, MATCH(116, 'Detalles movimientos'!$W$5:$W$1003, 0)), "")</f>
        <v/>
      </c>
      <c r="F125" s="18" t="str">
        <f>IFERROR(INDEX('Detalles movimientos'!G$5:G$1003, MATCH(116, 'Detalles movimientos'!$W$5:$W$1003, 0)), "")</f>
        <v/>
      </c>
      <c r="G125" s="20" t="str">
        <f>IFERROR(INDEX('Detalles movimientos'!H$5:H$1003, MATCH(116, 'Detalles movimientos'!$W$5:$W$1003, 0)), "")</f>
        <v/>
      </c>
      <c r="H125" s="21" t="str">
        <f>IFERROR(INDEX('Detalles movimientos'!I$5:I$1003, MATCH(116, 'Detalles movimientos'!$W$5:$W$1003, 0)), "")</f>
        <v/>
      </c>
      <c r="I125" s="20" t="str">
        <f>IFERROR(INDEX('Detalles movimientos'!M$5:M$1003, MATCH(116, 'Detalles movimientos'!$W$5:$W$1003, 0)), "")</f>
        <v/>
      </c>
      <c r="J125" s="19" t="str">
        <f>IFERROR(INDEX('Detalles movimientos'!N$5:N$1003, MATCH(116, 'Detalles movimientos'!$W$5:$W$1003, 0)), "")</f>
        <v/>
      </c>
      <c r="K125" s="20" t="str">
        <f>IFERROR(INDEX('Detalles movimientos'!O$5:O$1003, MATCH(116, 'Detalles movimientos'!$W$5:$W$1003, 0)), "")</f>
        <v/>
      </c>
      <c r="L125" s="18" t="str">
        <f>IFERROR(INDEX('Detalles movimientos'!P$5:P$1003, MATCH(116, 'Detalles movimientos'!$W$5:$W$1003, 0)), "")</f>
        <v/>
      </c>
      <c r="M125" s="18" t="str">
        <f>IFERROR(INDEX('Detalles movimientos'!S$5:S$1003, MATCH(116, 'Detalles movimientos'!$W$5:$W$1003, 0)), "")</f>
        <v/>
      </c>
    </row>
    <row r="126" spans="2:13">
      <c r="B126" s="17" t="str">
        <f>IFERROR(INDEX('Detalles movimientos'!C$5:C$1003, MATCH(117, 'Detalles movimientos'!$W$5:$W$1003, 0)), "")</f>
        <v/>
      </c>
      <c r="C126" s="18" t="str">
        <f>IFERROR(INDEX('Detalles movimientos'!D$5:D$1003, MATCH(117, 'Detalles movimientos'!$W$5:$W$1003, 0)), "")</f>
        <v/>
      </c>
      <c r="D126" s="19" t="str">
        <f>IFERROR(INDEX('Detalles movimientos'!E$5:E$1003, MATCH(117, 'Detalles movimientos'!$W$5:$W$1003, 0)), "")</f>
        <v/>
      </c>
      <c r="E126" s="19" t="str">
        <f>IFERROR(INDEX('Detalles movimientos'!F$5:F$1003, MATCH(117, 'Detalles movimientos'!$W$5:$W$1003, 0)), "")</f>
        <v/>
      </c>
      <c r="F126" s="18" t="str">
        <f>IFERROR(INDEX('Detalles movimientos'!G$5:G$1003, MATCH(117, 'Detalles movimientos'!$W$5:$W$1003, 0)), "")</f>
        <v/>
      </c>
      <c r="G126" s="20" t="str">
        <f>IFERROR(INDEX('Detalles movimientos'!H$5:H$1003, MATCH(117, 'Detalles movimientos'!$W$5:$W$1003, 0)), "")</f>
        <v/>
      </c>
      <c r="H126" s="21" t="str">
        <f>IFERROR(INDEX('Detalles movimientos'!I$5:I$1003, MATCH(117, 'Detalles movimientos'!$W$5:$W$1003, 0)), "")</f>
        <v/>
      </c>
      <c r="I126" s="20" t="str">
        <f>IFERROR(INDEX('Detalles movimientos'!M$5:M$1003, MATCH(117, 'Detalles movimientos'!$W$5:$W$1003, 0)), "")</f>
        <v/>
      </c>
      <c r="J126" s="19" t="str">
        <f>IFERROR(INDEX('Detalles movimientos'!N$5:N$1003, MATCH(117, 'Detalles movimientos'!$W$5:$W$1003, 0)), "")</f>
        <v/>
      </c>
      <c r="K126" s="20" t="str">
        <f>IFERROR(INDEX('Detalles movimientos'!O$5:O$1003, MATCH(117, 'Detalles movimientos'!$W$5:$W$1003, 0)), "")</f>
        <v/>
      </c>
      <c r="L126" s="18" t="str">
        <f>IFERROR(INDEX('Detalles movimientos'!P$5:P$1003, MATCH(117, 'Detalles movimientos'!$W$5:$W$1003, 0)), "")</f>
        <v/>
      </c>
      <c r="M126" s="18" t="str">
        <f>IFERROR(INDEX('Detalles movimientos'!S$5:S$1003, MATCH(117, 'Detalles movimientos'!$W$5:$W$1003, 0)), "")</f>
        <v/>
      </c>
    </row>
    <row r="127" spans="2:13">
      <c r="B127" s="17" t="str">
        <f>IFERROR(INDEX('Detalles movimientos'!C$5:C$1003, MATCH(118, 'Detalles movimientos'!$W$5:$W$1003, 0)), "")</f>
        <v/>
      </c>
      <c r="C127" s="18" t="str">
        <f>IFERROR(INDEX('Detalles movimientos'!D$5:D$1003, MATCH(118, 'Detalles movimientos'!$W$5:$W$1003, 0)), "")</f>
        <v/>
      </c>
      <c r="D127" s="19" t="str">
        <f>IFERROR(INDEX('Detalles movimientos'!E$5:E$1003, MATCH(118, 'Detalles movimientos'!$W$5:$W$1003, 0)), "")</f>
        <v/>
      </c>
      <c r="E127" s="19" t="str">
        <f>IFERROR(INDEX('Detalles movimientos'!F$5:F$1003, MATCH(118, 'Detalles movimientos'!$W$5:$W$1003, 0)), "")</f>
        <v/>
      </c>
      <c r="F127" s="18" t="str">
        <f>IFERROR(INDEX('Detalles movimientos'!G$5:G$1003, MATCH(118, 'Detalles movimientos'!$W$5:$W$1003, 0)), "")</f>
        <v/>
      </c>
      <c r="G127" s="20" t="str">
        <f>IFERROR(INDEX('Detalles movimientos'!H$5:H$1003, MATCH(118, 'Detalles movimientos'!$W$5:$W$1003, 0)), "")</f>
        <v/>
      </c>
      <c r="H127" s="21" t="str">
        <f>IFERROR(INDEX('Detalles movimientos'!I$5:I$1003, MATCH(118, 'Detalles movimientos'!$W$5:$W$1003, 0)), "")</f>
        <v/>
      </c>
      <c r="I127" s="20" t="str">
        <f>IFERROR(INDEX('Detalles movimientos'!M$5:M$1003, MATCH(118, 'Detalles movimientos'!$W$5:$W$1003, 0)), "")</f>
        <v/>
      </c>
      <c r="J127" s="19" t="str">
        <f>IFERROR(INDEX('Detalles movimientos'!N$5:N$1003, MATCH(118, 'Detalles movimientos'!$W$5:$W$1003, 0)), "")</f>
        <v/>
      </c>
      <c r="K127" s="20" t="str">
        <f>IFERROR(INDEX('Detalles movimientos'!O$5:O$1003, MATCH(118, 'Detalles movimientos'!$W$5:$W$1003, 0)), "")</f>
        <v/>
      </c>
      <c r="L127" s="18" t="str">
        <f>IFERROR(INDEX('Detalles movimientos'!P$5:P$1003, MATCH(118, 'Detalles movimientos'!$W$5:$W$1003, 0)), "")</f>
        <v/>
      </c>
      <c r="M127" s="18" t="str">
        <f>IFERROR(INDEX('Detalles movimientos'!S$5:S$1003, MATCH(118, 'Detalles movimientos'!$W$5:$W$1003, 0)), "")</f>
        <v/>
      </c>
    </row>
    <row r="128" spans="2:13">
      <c r="B128" s="17" t="str">
        <f>IFERROR(INDEX('Detalles movimientos'!C$5:C$1003, MATCH(119, 'Detalles movimientos'!$W$5:$W$1003, 0)), "")</f>
        <v/>
      </c>
      <c r="C128" s="18" t="str">
        <f>IFERROR(INDEX('Detalles movimientos'!D$5:D$1003, MATCH(119, 'Detalles movimientos'!$W$5:$W$1003, 0)), "")</f>
        <v/>
      </c>
      <c r="D128" s="19" t="str">
        <f>IFERROR(INDEX('Detalles movimientos'!E$5:E$1003, MATCH(119, 'Detalles movimientos'!$W$5:$W$1003, 0)), "")</f>
        <v/>
      </c>
      <c r="E128" s="19" t="str">
        <f>IFERROR(INDEX('Detalles movimientos'!F$5:F$1003, MATCH(119, 'Detalles movimientos'!$W$5:$W$1003, 0)), "")</f>
        <v/>
      </c>
      <c r="F128" s="18" t="str">
        <f>IFERROR(INDEX('Detalles movimientos'!G$5:G$1003, MATCH(119, 'Detalles movimientos'!$W$5:$W$1003, 0)), "")</f>
        <v/>
      </c>
      <c r="G128" s="20" t="str">
        <f>IFERROR(INDEX('Detalles movimientos'!H$5:H$1003, MATCH(119, 'Detalles movimientos'!$W$5:$W$1003, 0)), "")</f>
        <v/>
      </c>
      <c r="H128" s="21" t="str">
        <f>IFERROR(INDEX('Detalles movimientos'!I$5:I$1003, MATCH(119, 'Detalles movimientos'!$W$5:$W$1003, 0)), "")</f>
        <v/>
      </c>
      <c r="I128" s="20" t="str">
        <f>IFERROR(INDEX('Detalles movimientos'!M$5:M$1003, MATCH(119, 'Detalles movimientos'!$W$5:$W$1003, 0)), "")</f>
        <v/>
      </c>
      <c r="J128" s="19" t="str">
        <f>IFERROR(INDEX('Detalles movimientos'!N$5:N$1003, MATCH(119, 'Detalles movimientos'!$W$5:$W$1003, 0)), "")</f>
        <v/>
      </c>
      <c r="K128" s="20" t="str">
        <f>IFERROR(INDEX('Detalles movimientos'!O$5:O$1003, MATCH(119, 'Detalles movimientos'!$W$5:$W$1003, 0)), "")</f>
        <v/>
      </c>
      <c r="L128" s="18" t="str">
        <f>IFERROR(INDEX('Detalles movimientos'!P$5:P$1003, MATCH(119, 'Detalles movimientos'!$W$5:$W$1003, 0)), "")</f>
        <v/>
      </c>
      <c r="M128" s="18" t="str">
        <f>IFERROR(INDEX('Detalles movimientos'!S$5:S$1003, MATCH(119, 'Detalles movimientos'!$W$5:$W$1003, 0)), "")</f>
        <v/>
      </c>
    </row>
    <row r="129" spans="2:13">
      <c r="B129" s="17" t="str">
        <f>IFERROR(INDEX('Detalles movimientos'!C$5:C$1003, MATCH(120, 'Detalles movimientos'!$W$5:$W$1003, 0)), "")</f>
        <v/>
      </c>
      <c r="C129" s="18" t="str">
        <f>IFERROR(INDEX('Detalles movimientos'!D$5:D$1003, MATCH(120, 'Detalles movimientos'!$W$5:$W$1003, 0)), "")</f>
        <v/>
      </c>
      <c r="D129" s="19" t="str">
        <f>IFERROR(INDEX('Detalles movimientos'!E$5:E$1003, MATCH(120, 'Detalles movimientos'!$W$5:$W$1003, 0)), "")</f>
        <v/>
      </c>
      <c r="E129" s="19" t="str">
        <f>IFERROR(INDEX('Detalles movimientos'!F$5:F$1003, MATCH(120, 'Detalles movimientos'!$W$5:$W$1003, 0)), "")</f>
        <v/>
      </c>
      <c r="F129" s="18" t="str">
        <f>IFERROR(INDEX('Detalles movimientos'!G$5:G$1003, MATCH(120, 'Detalles movimientos'!$W$5:$W$1003, 0)), "")</f>
        <v/>
      </c>
      <c r="G129" s="20" t="str">
        <f>IFERROR(INDEX('Detalles movimientos'!H$5:H$1003, MATCH(120, 'Detalles movimientos'!$W$5:$W$1003, 0)), "")</f>
        <v/>
      </c>
      <c r="H129" s="21" t="str">
        <f>IFERROR(INDEX('Detalles movimientos'!I$5:I$1003, MATCH(120, 'Detalles movimientos'!$W$5:$W$1003, 0)), "")</f>
        <v/>
      </c>
      <c r="I129" s="20" t="str">
        <f>IFERROR(INDEX('Detalles movimientos'!M$5:M$1003, MATCH(120, 'Detalles movimientos'!$W$5:$W$1003, 0)), "")</f>
        <v/>
      </c>
      <c r="J129" s="19" t="str">
        <f>IFERROR(INDEX('Detalles movimientos'!N$5:N$1003, MATCH(120, 'Detalles movimientos'!$W$5:$W$1003, 0)), "")</f>
        <v/>
      </c>
      <c r="K129" s="20" t="str">
        <f>IFERROR(INDEX('Detalles movimientos'!O$5:O$1003, MATCH(120, 'Detalles movimientos'!$W$5:$W$1003, 0)), "")</f>
        <v/>
      </c>
      <c r="L129" s="18" t="str">
        <f>IFERROR(INDEX('Detalles movimientos'!P$5:P$1003, MATCH(120, 'Detalles movimientos'!$W$5:$W$1003, 0)), "")</f>
        <v/>
      </c>
      <c r="M129" s="18" t="str">
        <f>IFERROR(INDEX('Detalles movimientos'!S$5:S$1003, MATCH(120, 'Detalles movimientos'!$W$5:$W$1003, 0)), "")</f>
        <v/>
      </c>
    </row>
    <row r="130" spans="2:13">
      <c r="B130" s="17" t="str">
        <f>IFERROR(INDEX('Detalles movimientos'!C$5:C$1003, MATCH(121, 'Detalles movimientos'!$W$5:$W$1003, 0)), "")</f>
        <v/>
      </c>
      <c r="C130" s="18" t="str">
        <f>IFERROR(INDEX('Detalles movimientos'!D$5:D$1003, MATCH(121, 'Detalles movimientos'!$W$5:$W$1003, 0)), "")</f>
        <v/>
      </c>
      <c r="D130" s="19" t="str">
        <f>IFERROR(INDEX('Detalles movimientos'!E$5:E$1003, MATCH(121, 'Detalles movimientos'!$W$5:$W$1003, 0)), "")</f>
        <v/>
      </c>
      <c r="E130" s="19" t="str">
        <f>IFERROR(INDEX('Detalles movimientos'!F$5:F$1003, MATCH(121, 'Detalles movimientos'!$W$5:$W$1003, 0)), "")</f>
        <v/>
      </c>
      <c r="F130" s="18" t="str">
        <f>IFERROR(INDEX('Detalles movimientos'!G$5:G$1003, MATCH(121, 'Detalles movimientos'!$W$5:$W$1003, 0)), "")</f>
        <v/>
      </c>
      <c r="G130" s="20" t="str">
        <f>IFERROR(INDEX('Detalles movimientos'!H$5:H$1003, MATCH(121, 'Detalles movimientos'!$W$5:$W$1003, 0)), "")</f>
        <v/>
      </c>
      <c r="H130" s="21" t="str">
        <f>IFERROR(INDEX('Detalles movimientos'!I$5:I$1003, MATCH(121, 'Detalles movimientos'!$W$5:$W$1003, 0)), "")</f>
        <v/>
      </c>
      <c r="I130" s="20" t="str">
        <f>IFERROR(INDEX('Detalles movimientos'!M$5:M$1003, MATCH(121, 'Detalles movimientos'!$W$5:$W$1003, 0)), "")</f>
        <v/>
      </c>
      <c r="J130" s="19" t="str">
        <f>IFERROR(INDEX('Detalles movimientos'!N$5:N$1003, MATCH(121, 'Detalles movimientos'!$W$5:$W$1003, 0)), "")</f>
        <v/>
      </c>
      <c r="K130" s="20" t="str">
        <f>IFERROR(INDEX('Detalles movimientos'!O$5:O$1003, MATCH(121, 'Detalles movimientos'!$W$5:$W$1003, 0)), "")</f>
        <v/>
      </c>
      <c r="L130" s="18" t="str">
        <f>IFERROR(INDEX('Detalles movimientos'!P$5:P$1003, MATCH(121, 'Detalles movimientos'!$W$5:$W$1003, 0)), "")</f>
        <v/>
      </c>
      <c r="M130" s="18" t="str">
        <f>IFERROR(INDEX('Detalles movimientos'!S$5:S$1003, MATCH(121, 'Detalles movimientos'!$W$5:$W$1003, 0)), "")</f>
        <v/>
      </c>
    </row>
    <row r="131" spans="2:13">
      <c r="B131" s="17" t="str">
        <f>IFERROR(INDEX('Detalles movimientos'!C$5:C$1003, MATCH(122, 'Detalles movimientos'!$W$5:$W$1003, 0)), "")</f>
        <v/>
      </c>
      <c r="C131" s="18" t="str">
        <f>IFERROR(INDEX('Detalles movimientos'!D$5:D$1003, MATCH(122, 'Detalles movimientos'!$W$5:$W$1003, 0)), "")</f>
        <v/>
      </c>
      <c r="D131" s="19" t="str">
        <f>IFERROR(INDEX('Detalles movimientos'!E$5:E$1003, MATCH(122, 'Detalles movimientos'!$W$5:$W$1003, 0)), "")</f>
        <v/>
      </c>
      <c r="E131" s="19" t="str">
        <f>IFERROR(INDEX('Detalles movimientos'!F$5:F$1003, MATCH(122, 'Detalles movimientos'!$W$5:$W$1003, 0)), "")</f>
        <v/>
      </c>
      <c r="F131" s="18" t="str">
        <f>IFERROR(INDEX('Detalles movimientos'!G$5:G$1003, MATCH(122, 'Detalles movimientos'!$W$5:$W$1003, 0)), "")</f>
        <v/>
      </c>
      <c r="G131" s="20" t="str">
        <f>IFERROR(INDEX('Detalles movimientos'!H$5:H$1003, MATCH(122, 'Detalles movimientos'!$W$5:$W$1003, 0)), "")</f>
        <v/>
      </c>
      <c r="H131" s="21" t="str">
        <f>IFERROR(INDEX('Detalles movimientos'!I$5:I$1003, MATCH(122, 'Detalles movimientos'!$W$5:$W$1003, 0)), "")</f>
        <v/>
      </c>
      <c r="I131" s="20" t="str">
        <f>IFERROR(INDEX('Detalles movimientos'!M$5:M$1003, MATCH(122, 'Detalles movimientos'!$W$5:$W$1003, 0)), "")</f>
        <v/>
      </c>
      <c r="J131" s="19" t="str">
        <f>IFERROR(INDEX('Detalles movimientos'!N$5:N$1003, MATCH(122, 'Detalles movimientos'!$W$5:$W$1003, 0)), "")</f>
        <v/>
      </c>
      <c r="K131" s="20" t="str">
        <f>IFERROR(INDEX('Detalles movimientos'!O$5:O$1003, MATCH(122, 'Detalles movimientos'!$W$5:$W$1003, 0)), "")</f>
        <v/>
      </c>
      <c r="L131" s="18" t="str">
        <f>IFERROR(INDEX('Detalles movimientos'!P$5:P$1003, MATCH(122, 'Detalles movimientos'!$W$5:$W$1003, 0)), "")</f>
        <v/>
      </c>
      <c r="M131" s="18" t="str">
        <f>IFERROR(INDEX('Detalles movimientos'!S$5:S$1003, MATCH(122, 'Detalles movimientos'!$W$5:$W$1003, 0)), "")</f>
        <v/>
      </c>
    </row>
    <row r="132" spans="2:13">
      <c r="B132" s="17" t="str">
        <f>IFERROR(INDEX('Detalles movimientos'!C$5:C$1003, MATCH(123, 'Detalles movimientos'!$W$5:$W$1003, 0)), "")</f>
        <v/>
      </c>
      <c r="C132" s="18" t="str">
        <f>IFERROR(INDEX('Detalles movimientos'!D$5:D$1003, MATCH(123, 'Detalles movimientos'!$W$5:$W$1003, 0)), "")</f>
        <v/>
      </c>
      <c r="D132" s="19" t="str">
        <f>IFERROR(INDEX('Detalles movimientos'!E$5:E$1003, MATCH(123, 'Detalles movimientos'!$W$5:$W$1003, 0)), "")</f>
        <v/>
      </c>
      <c r="E132" s="19" t="str">
        <f>IFERROR(INDEX('Detalles movimientos'!F$5:F$1003, MATCH(123, 'Detalles movimientos'!$W$5:$W$1003, 0)), "")</f>
        <v/>
      </c>
      <c r="F132" s="18" t="str">
        <f>IFERROR(INDEX('Detalles movimientos'!G$5:G$1003, MATCH(123, 'Detalles movimientos'!$W$5:$W$1003, 0)), "")</f>
        <v/>
      </c>
      <c r="G132" s="20" t="str">
        <f>IFERROR(INDEX('Detalles movimientos'!H$5:H$1003, MATCH(123, 'Detalles movimientos'!$W$5:$W$1003, 0)), "")</f>
        <v/>
      </c>
      <c r="H132" s="21" t="str">
        <f>IFERROR(INDEX('Detalles movimientos'!I$5:I$1003, MATCH(123, 'Detalles movimientos'!$W$5:$W$1003, 0)), "")</f>
        <v/>
      </c>
      <c r="I132" s="20" t="str">
        <f>IFERROR(INDEX('Detalles movimientos'!M$5:M$1003, MATCH(123, 'Detalles movimientos'!$W$5:$W$1003, 0)), "")</f>
        <v/>
      </c>
      <c r="J132" s="19" t="str">
        <f>IFERROR(INDEX('Detalles movimientos'!N$5:N$1003, MATCH(123, 'Detalles movimientos'!$W$5:$W$1003, 0)), "")</f>
        <v/>
      </c>
      <c r="K132" s="20" t="str">
        <f>IFERROR(INDEX('Detalles movimientos'!O$5:O$1003, MATCH(123, 'Detalles movimientos'!$W$5:$W$1003, 0)), "")</f>
        <v/>
      </c>
      <c r="L132" s="18" t="str">
        <f>IFERROR(INDEX('Detalles movimientos'!P$5:P$1003, MATCH(123, 'Detalles movimientos'!$W$5:$W$1003, 0)), "")</f>
        <v/>
      </c>
      <c r="M132" s="18" t="str">
        <f>IFERROR(INDEX('Detalles movimientos'!S$5:S$1003, MATCH(123, 'Detalles movimientos'!$W$5:$W$1003, 0)), "")</f>
        <v/>
      </c>
    </row>
    <row r="133" spans="2:13">
      <c r="B133" s="17" t="str">
        <f>IFERROR(INDEX('Detalles movimientos'!C$5:C$1003, MATCH(124, 'Detalles movimientos'!$W$5:$W$1003, 0)), "")</f>
        <v/>
      </c>
      <c r="C133" s="18" t="str">
        <f>IFERROR(INDEX('Detalles movimientos'!D$5:D$1003, MATCH(124, 'Detalles movimientos'!$W$5:$W$1003, 0)), "")</f>
        <v/>
      </c>
      <c r="D133" s="19" t="str">
        <f>IFERROR(INDEX('Detalles movimientos'!E$5:E$1003, MATCH(124, 'Detalles movimientos'!$W$5:$W$1003, 0)), "")</f>
        <v/>
      </c>
      <c r="E133" s="19" t="str">
        <f>IFERROR(INDEX('Detalles movimientos'!F$5:F$1003, MATCH(124, 'Detalles movimientos'!$W$5:$W$1003, 0)), "")</f>
        <v/>
      </c>
      <c r="F133" s="18" t="str">
        <f>IFERROR(INDEX('Detalles movimientos'!G$5:G$1003, MATCH(124, 'Detalles movimientos'!$W$5:$W$1003, 0)), "")</f>
        <v/>
      </c>
      <c r="G133" s="20" t="str">
        <f>IFERROR(INDEX('Detalles movimientos'!H$5:H$1003, MATCH(124, 'Detalles movimientos'!$W$5:$W$1003, 0)), "")</f>
        <v/>
      </c>
      <c r="H133" s="21" t="str">
        <f>IFERROR(INDEX('Detalles movimientos'!I$5:I$1003, MATCH(124, 'Detalles movimientos'!$W$5:$W$1003, 0)), "")</f>
        <v/>
      </c>
      <c r="I133" s="20" t="str">
        <f>IFERROR(INDEX('Detalles movimientos'!M$5:M$1003, MATCH(124, 'Detalles movimientos'!$W$5:$W$1003, 0)), "")</f>
        <v/>
      </c>
      <c r="J133" s="19" t="str">
        <f>IFERROR(INDEX('Detalles movimientos'!N$5:N$1003, MATCH(124, 'Detalles movimientos'!$W$5:$W$1003, 0)), "")</f>
        <v/>
      </c>
      <c r="K133" s="20" t="str">
        <f>IFERROR(INDEX('Detalles movimientos'!O$5:O$1003, MATCH(124, 'Detalles movimientos'!$W$5:$W$1003, 0)), "")</f>
        <v/>
      </c>
      <c r="L133" s="18" t="str">
        <f>IFERROR(INDEX('Detalles movimientos'!P$5:P$1003, MATCH(124, 'Detalles movimientos'!$W$5:$W$1003, 0)), "")</f>
        <v/>
      </c>
      <c r="M133" s="18" t="str">
        <f>IFERROR(INDEX('Detalles movimientos'!S$5:S$1003, MATCH(124, 'Detalles movimientos'!$W$5:$W$1003, 0)), "")</f>
        <v/>
      </c>
    </row>
    <row r="134" spans="2:13">
      <c r="B134" s="17" t="str">
        <f>IFERROR(INDEX('Detalles movimientos'!C$5:C$1003, MATCH(125, 'Detalles movimientos'!$W$5:$W$1003, 0)), "")</f>
        <v/>
      </c>
      <c r="C134" s="18" t="str">
        <f>IFERROR(INDEX('Detalles movimientos'!D$5:D$1003, MATCH(125, 'Detalles movimientos'!$W$5:$W$1003, 0)), "")</f>
        <v/>
      </c>
      <c r="D134" s="19" t="str">
        <f>IFERROR(INDEX('Detalles movimientos'!E$5:E$1003, MATCH(125, 'Detalles movimientos'!$W$5:$W$1003, 0)), "")</f>
        <v/>
      </c>
      <c r="E134" s="19" t="str">
        <f>IFERROR(INDEX('Detalles movimientos'!F$5:F$1003, MATCH(125, 'Detalles movimientos'!$W$5:$W$1003, 0)), "")</f>
        <v/>
      </c>
      <c r="F134" s="18" t="str">
        <f>IFERROR(INDEX('Detalles movimientos'!G$5:G$1003, MATCH(125, 'Detalles movimientos'!$W$5:$W$1003, 0)), "")</f>
        <v/>
      </c>
      <c r="G134" s="20" t="str">
        <f>IFERROR(INDEX('Detalles movimientos'!H$5:H$1003, MATCH(125, 'Detalles movimientos'!$W$5:$W$1003, 0)), "")</f>
        <v/>
      </c>
      <c r="H134" s="21" t="str">
        <f>IFERROR(INDEX('Detalles movimientos'!I$5:I$1003, MATCH(125, 'Detalles movimientos'!$W$5:$W$1003, 0)), "")</f>
        <v/>
      </c>
      <c r="I134" s="20" t="str">
        <f>IFERROR(INDEX('Detalles movimientos'!M$5:M$1003, MATCH(125, 'Detalles movimientos'!$W$5:$W$1003, 0)), "")</f>
        <v/>
      </c>
      <c r="J134" s="19" t="str">
        <f>IFERROR(INDEX('Detalles movimientos'!N$5:N$1003, MATCH(125, 'Detalles movimientos'!$W$5:$W$1003, 0)), "")</f>
        <v/>
      </c>
      <c r="K134" s="20" t="str">
        <f>IFERROR(INDEX('Detalles movimientos'!O$5:O$1003, MATCH(125, 'Detalles movimientos'!$W$5:$W$1003, 0)), "")</f>
        <v/>
      </c>
      <c r="L134" s="18" t="str">
        <f>IFERROR(INDEX('Detalles movimientos'!P$5:P$1003, MATCH(125, 'Detalles movimientos'!$W$5:$W$1003, 0)), "")</f>
        <v/>
      </c>
      <c r="M134" s="18" t="str">
        <f>IFERROR(INDEX('Detalles movimientos'!S$5:S$1003, MATCH(125, 'Detalles movimientos'!$W$5:$W$1003, 0)), "")</f>
        <v/>
      </c>
    </row>
    <row r="135" spans="2:13">
      <c r="B135" s="17" t="str">
        <f>IFERROR(INDEX('Detalles movimientos'!C$5:C$1003, MATCH(126, 'Detalles movimientos'!$W$5:$W$1003, 0)), "")</f>
        <v/>
      </c>
      <c r="C135" s="18" t="str">
        <f>IFERROR(INDEX('Detalles movimientos'!D$5:D$1003, MATCH(126, 'Detalles movimientos'!$W$5:$W$1003, 0)), "")</f>
        <v/>
      </c>
      <c r="D135" s="19" t="str">
        <f>IFERROR(INDEX('Detalles movimientos'!E$5:E$1003, MATCH(126, 'Detalles movimientos'!$W$5:$W$1003, 0)), "")</f>
        <v/>
      </c>
      <c r="E135" s="19" t="str">
        <f>IFERROR(INDEX('Detalles movimientos'!F$5:F$1003, MATCH(126, 'Detalles movimientos'!$W$5:$W$1003, 0)), "")</f>
        <v/>
      </c>
      <c r="F135" s="18" t="str">
        <f>IFERROR(INDEX('Detalles movimientos'!G$5:G$1003, MATCH(126, 'Detalles movimientos'!$W$5:$W$1003, 0)), "")</f>
        <v/>
      </c>
      <c r="G135" s="20" t="str">
        <f>IFERROR(INDEX('Detalles movimientos'!H$5:H$1003, MATCH(126, 'Detalles movimientos'!$W$5:$W$1003, 0)), "")</f>
        <v/>
      </c>
      <c r="H135" s="21" t="str">
        <f>IFERROR(INDEX('Detalles movimientos'!I$5:I$1003, MATCH(126, 'Detalles movimientos'!$W$5:$W$1003, 0)), "")</f>
        <v/>
      </c>
      <c r="I135" s="20" t="str">
        <f>IFERROR(INDEX('Detalles movimientos'!M$5:M$1003, MATCH(126, 'Detalles movimientos'!$W$5:$W$1003, 0)), "")</f>
        <v/>
      </c>
      <c r="J135" s="19" t="str">
        <f>IFERROR(INDEX('Detalles movimientos'!N$5:N$1003, MATCH(126, 'Detalles movimientos'!$W$5:$W$1003, 0)), "")</f>
        <v/>
      </c>
      <c r="K135" s="20" t="str">
        <f>IFERROR(INDEX('Detalles movimientos'!O$5:O$1003, MATCH(126, 'Detalles movimientos'!$W$5:$W$1003, 0)), "")</f>
        <v/>
      </c>
      <c r="L135" s="18" t="str">
        <f>IFERROR(INDEX('Detalles movimientos'!P$5:P$1003, MATCH(126, 'Detalles movimientos'!$W$5:$W$1003, 0)), "")</f>
        <v/>
      </c>
      <c r="M135" s="18" t="str">
        <f>IFERROR(INDEX('Detalles movimientos'!S$5:S$1003, MATCH(126, 'Detalles movimientos'!$W$5:$W$1003, 0)), "")</f>
        <v/>
      </c>
    </row>
    <row r="136" spans="2:13">
      <c r="B136" s="17" t="str">
        <f>IFERROR(INDEX('Detalles movimientos'!C$5:C$1003, MATCH(127, 'Detalles movimientos'!$W$5:$W$1003, 0)), "")</f>
        <v/>
      </c>
      <c r="C136" s="18" t="str">
        <f>IFERROR(INDEX('Detalles movimientos'!D$5:D$1003, MATCH(127, 'Detalles movimientos'!$W$5:$W$1003, 0)), "")</f>
        <v/>
      </c>
      <c r="D136" s="19" t="str">
        <f>IFERROR(INDEX('Detalles movimientos'!E$5:E$1003, MATCH(127, 'Detalles movimientos'!$W$5:$W$1003, 0)), "")</f>
        <v/>
      </c>
      <c r="E136" s="19" t="str">
        <f>IFERROR(INDEX('Detalles movimientos'!F$5:F$1003, MATCH(127, 'Detalles movimientos'!$W$5:$W$1003, 0)), "")</f>
        <v/>
      </c>
      <c r="F136" s="18" t="str">
        <f>IFERROR(INDEX('Detalles movimientos'!G$5:G$1003, MATCH(127, 'Detalles movimientos'!$W$5:$W$1003, 0)), "")</f>
        <v/>
      </c>
      <c r="G136" s="20" t="str">
        <f>IFERROR(INDEX('Detalles movimientos'!H$5:H$1003, MATCH(127, 'Detalles movimientos'!$W$5:$W$1003, 0)), "")</f>
        <v/>
      </c>
      <c r="H136" s="21" t="str">
        <f>IFERROR(INDEX('Detalles movimientos'!I$5:I$1003, MATCH(127, 'Detalles movimientos'!$W$5:$W$1003, 0)), "")</f>
        <v/>
      </c>
      <c r="I136" s="20" t="str">
        <f>IFERROR(INDEX('Detalles movimientos'!M$5:M$1003, MATCH(127, 'Detalles movimientos'!$W$5:$W$1003, 0)), "")</f>
        <v/>
      </c>
      <c r="J136" s="19" t="str">
        <f>IFERROR(INDEX('Detalles movimientos'!N$5:N$1003, MATCH(127, 'Detalles movimientos'!$W$5:$W$1003, 0)), "")</f>
        <v/>
      </c>
      <c r="K136" s="20" t="str">
        <f>IFERROR(INDEX('Detalles movimientos'!O$5:O$1003, MATCH(127, 'Detalles movimientos'!$W$5:$W$1003, 0)), "")</f>
        <v/>
      </c>
      <c r="L136" s="18" t="str">
        <f>IFERROR(INDEX('Detalles movimientos'!P$5:P$1003, MATCH(127, 'Detalles movimientos'!$W$5:$W$1003, 0)), "")</f>
        <v/>
      </c>
      <c r="M136" s="18" t="str">
        <f>IFERROR(INDEX('Detalles movimientos'!S$5:S$1003, MATCH(127, 'Detalles movimientos'!$W$5:$W$1003, 0)), "")</f>
        <v/>
      </c>
    </row>
    <row r="137" spans="2:13">
      <c r="B137" s="17" t="str">
        <f>IFERROR(INDEX('Detalles movimientos'!C$5:C$1003, MATCH(128, 'Detalles movimientos'!$W$5:$W$1003, 0)), "")</f>
        <v/>
      </c>
      <c r="C137" s="18" t="str">
        <f>IFERROR(INDEX('Detalles movimientos'!D$5:D$1003, MATCH(128, 'Detalles movimientos'!$W$5:$W$1003, 0)), "")</f>
        <v/>
      </c>
      <c r="D137" s="19" t="str">
        <f>IFERROR(INDEX('Detalles movimientos'!E$5:E$1003, MATCH(128, 'Detalles movimientos'!$W$5:$W$1003, 0)), "")</f>
        <v/>
      </c>
      <c r="E137" s="19" t="str">
        <f>IFERROR(INDEX('Detalles movimientos'!F$5:F$1003, MATCH(128, 'Detalles movimientos'!$W$5:$W$1003, 0)), "")</f>
        <v/>
      </c>
      <c r="F137" s="18" t="str">
        <f>IFERROR(INDEX('Detalles movimientos'!G$5:G$1003, MATCH(128, 'Detalles movimientos'!$W$5:$W$1003, 0)), "")</f>
        <v/>
      </c>
      <c r="G137" s="20" t="str">
        <f>IFERROR(INDEX('Detalles movimientos'!H$5:H$1003, MATCH(128, 'Detalles movimientos'!$W$5:$W$1003, 0)), "")</f>
        <v/>
      </c>
      <c r="H137" s="21" t="str">
        <f>IFERROR(INDEX('Detalles movimientos'!I$5:I$1003, MATCH(128, 'Detalles movimientos'!$W$5:$W$1003, 0)), "")</f>
        <v/>
      </c>
      <c r="I137" s="20" t="str">
        <f>IFERROR(INDEX('Detalles movimientos'!M$5:M$1003, MATCH(128, 'Detalles movimientos'!$W$5:$W$1003, 0)), "")</f>
        <v/>
      </c>
      <c r="J137" s="19" t="str">
        <f>IFERROR(INDEX('Detalles movimientos'!N$5:N$1003, MATCH(128, 'Detalles movimientos'!$W$5:$W$1003, 0)), "")</f>
        <v/>
      </c>
      <c r="K137" s="20" t="str">
        <f>IFERROR(INDEX('Detalles movimientos'!O$5:O$1003, MATCH(128, 'Detalles movimientos'!$W$5:$W$1003, 0)), "")</f>
        <v/>
      </c>
      <c r="L137" s="18" t="str">
        <f>IFERROR(INDEX('Detalles movimientos'!P$5:P$1003, MATCH(128, 'Detalles movimientos'!$W$5:$W$1003, 0)), "")</f>
        <v/>
      </c>
      <c r="M137" s="18" t="str">
        <f>IFERROR(INDEX('Detalles movimientos'!S$5:S$1003, MATCH(128, 'Detalles movimientos'!$W$5:$W$1003, 0)), "")</f>
        <v/>
      </c>
    </row>
    <row r="138" spans="2:13">
      <c r="B138" s="17" t="str">
        <f>IFERROR(INDEX('Detalles movimientos'!C$5:C$1003, MATCH(129, 'Detalles movimientos'!$W$5:$W$1003, 0)), "")</f>
        <v/>
      </c>
      <c r="C138" s="18" t="str">
        <f>IFERROR(INDEX('Detalles movimientos'!D$5:D$1003, MATCH(129, 'Detalles movimientos'!$W$5:$W$1003, 0)), "")</f>
        <v/>
      </c>
      <c r="D138" s="19" t="str">
        <f>IFERROR(INDEX('Detalles movimientos'!E$5:E$1003, MATCH(129, 'Detalles movimientos'!$W$5:$W$1003, 0)), "")</f>
        <v/>
      </c>
      <c r="E138" s="19" t="str">
        <f>IFERROR(INDEX('Detalles movimientos'!F$5:F$1003, MATCH(129, 'Detalles movimientos'!$W$5:$W$1003, 0)), "")</f>
        <v/>
      </c>
      <c r="F138" s="18" t="str">
        <f>IFERROR(INDEX('Detalles movimientos'!G$5:G$1003, MATCH(129, 'Detalles movimientos'!$W$5:$W$1003, 0)), "")</f>
        <v/>
      </c>
      <c r="G138" s="20" t="str">
        <f>IFERROR(INDEX('Detalles movimientos'!H$5:H$1003, MATCH(129, 'Detalles movimientos'!$W$5:$W$1003, 0)), "")</f>
        <v/>
      </c>
      <c r="H138" s="21" t="str">
        <f>IFERROR(INDEX('Detalles movimientos'!I$5:I$1003, MATCH(129, 'Detalles movimientos'!$W$5:$W$1003, 0)), "")</f>
        <v/>
      </c>
      <c r="I138" s="20" t="str">
        <f>IFERROR(INDEX('Detalles movimientos'!M$5:M$1003, MATCH(129, 'Detalles movimientos'!$W$5:$W$1003, 0)), "")</f>
        <v/>
      </c>
      <c r="J138" s="19" t="str">
        <f>IFERROR(INDEX('Detalles movimientos'!N$5:N$1003, MATCH(129, 'Detalles movimientos'!$W$5:$W$1003, 0)), "")</f>
        <v/>
      </c>
      <c r="K138" s="20" t="str">
        <f>IFERROR(INDEX('Detalles movimientos'!O$5:O$1003, MATCH(129, 'Detalles movimientos'!$W$5:$W$1003, 0)), "")</f>
        <v/>
      </c>
      <c r="L138" s="18" t="str">
        <f>IFERROR(INDEX('Detalles movimientos'!P$5:P$1003, MATCH(129, 'Detalles movimientos'!$W$5:$W$1003, 0)), "")</f>
        <v/>
      </c>
      <c r="M138" s="18" t="str">
        <f>IFERROR(INDEX('Detalles movimientos'!S$5:S$1003, MATCH(129, 'Detalles movimientos'!$W$5:$W$1003, 0)), "")</f>
        <v/>
      </c>
    </row>
    <row r="139" spans="2:13">
      <c r="B139" s="17" t="str">
        <f>IFERROR(INDEX('Detalles movimientos'!C$5:C$1003, MATCH(130, 'Detalles movimientos'!$W$5:$W$1003, 0)), "")</f>
        <v/>
      </c>
      <c r="C139" s="18" t="str">
        <f>IFERROR(INDEX('Detalles movimientos'!D$5:D$1003, MATCH(130, 'Detalles movimientos'!$W$5:$W$1003, 0)), "")</f>
        <v/>
      </c>
      <c r="D139" s="19" t="str">
        <f>IFERROR(INDEX('Detalles movimientos'!E$5:E$1003, MATCH(130, 'Detalles movimientos'!$W$5:$W$1003, 0)), "")</f>
        <v/>
      </c>
      <c r="E139" s="19" t="str">
        <f>IFERROR(INDEX('Detalles movimientos'!F$5:F$1003, MATCH(130, 'Detalles movimientos'!$W$5:$W$1003, 0)), "")</f>
        <v/>
      </c>
      <c r="F139" s="18" t="str">
        <f>IFERROR(INDEX('Detalles movimientos'!G$5:G$1003, MATCH(130, 'Detalles movimientos'!$W$5:$W$1003, 0)), "")</f>
        <v/>
      </c>
      <c r="G139" s="20" t="str">
        <f>IFERROR(INDEX('Detalles movimientos'!H$5:H$1003, MATCH(130, 'Detalles movimientos'!$W$5:$W$1003, 0)), "")</f>
        <v/>
      </c>
      <c r="H139" s="21" t="str">
        <f>IFERROR(INDEX('Detalles movimientos'!I$5:I$1003, MATCH(130, 'Detalles movimientos'!$W$5:$W$1003, 0)), "")</f>
        <v/>
      </c>
      <c r="I139" s="20" t="str">
        <f>IFERROR(INDEX('Detalles movimientos'!M$5:M$1003, MATCH(130, 'Detalles movimientos'!$W$5:$W$1003, 0)), "")</f>
        <v/>
      </c>
      <c r="J139" s="19" t="str">
        <f>IFERROR(INDEX('Detalles movimientos'!N$5:N$1003, MATCH(130, 'Detalles movimientos'!$W$5:$W$1003, 0)), "")</f>
        <v/>
      </c>
      <c r="K139" s="20" t="str">
        <f>IFERROR(INDEX('Detalles movimientos'!O$5:O$1003, MATCH(130, 'Detalles movimientos'!$W$5:$W$1003, 0)), "")</f>
        <v/>
      </c>
      <c r="L139" s="18" t="str">
        <f>IFERROR(INDEX('Detalles movimientos'!P$5:P$1003, MATCH(130, 'Detalles movimientos'!$W$5:$W$1003, 0)), "")</f>
        <v/>
      </c>
      <c r="M139" s="18" t="str">
        <f>IFERROR(INDEX('Detalles movimientos'!S$5:S$1003, MATCH(130, 'Detalles movimientos'!$W$5:$W$1003, 0)), "")</f>
        <v/>
      </c>
    </row>
    <row r="140" spans="2:13">
      <c r="B140" s="17" t="str">
        <f>IFERROR(INDEX('Detalles movimientos'!C$5:C$1003, MATCH(131, 'Detalles movimientos'!$W$5:$W$1003, 0)), "")</f>
        <v/>
      </c>
      <c r="C140" s="18" t="str">
        <f>IFERROR(INDEX('Detalles movimientos'!D$5:D$1003, MATCH(131, 'Detalles movimientos'!$W$5:$W$1003, 0)), "")</f>
        <v/>
      </c>
      <c r="D140" s="19" t="str">
        <f>IFERROR(INDEX('Detalles movimientos'!E$5:E$1003, MATCH(131, 'Detalles movimientos'!$W$5:$W$1003, 0)), "")</f>
        <v/>
      </c>
      <c r="E140" s="19" t="str">
        <f>IFERROR(INDEX('Detalles movimientos'!F$5:F$1003, MATCH(131, 'Detalles movimientos'!$W$5:$W$1003, 0)), "")</f>
        <v/>
      </c>
      <c r="F140" s="18" t="str">
        <f>IFERROR(INDEX('Detalles movimientos'!G$5:G$1003, MATCH(131, 'Detalles movimientos'!$W$5:$W$1003, 0)), "")</f>
        <v/>
      </c>
      <c r="G140" s="20" t="str">
        <f>IFERROR(INDEX('Detalles movimientos'!H$5:H$1003, MATCH(131, 'Detalles movimientos'!$W$5:$W$1003, 0)), "")</f>
        <v/>
      </c>
      <c r="H140" s="21" t="str">
        <f>IFERROR(INDEX('Detalles movimientos'!I$5:I$1003, MATCH(131, 'Detalles movimientos'!$W$5:$W$1003, 0)), "")</f>
        <v/>
      </c>
      <c r="I140" s="20" t="str">
        <f>IFERROR(INDEX('Detalles movimientos'!M$5:M$1003, MATCH(131, 'Detalles movimientos'!$W$5:$W$1003, 0)), "")</f>
        <v/>
      </c>
      <c r="J140" s="19" t="str">
        <f>IFERROR(INDEX('Detalles movimientos'!N$5:N$1003, MATCH(131, 'Detalles movimientos'!$W$5:$W$1003, 0)), "")</f>
        <v/>
      </c>
      <c r="K140" s="20" t="str">
        <f>IFERROR(INDEX('Detalles movimientos'!O$5:O$1003, MATCH(131, 'Detalles movimientos'!$W$5:$W$1003, 0)), "")</f>
        <v/>
      </c>
      <c r="L140" s="18" t="str">
        <f>IFERROR(INDEX('Detalles movimientos'!P$5:P$1003, MATCH(131, 'Detalles movimientos'!$W$5:$W$1003, 0)), "")</f>
        <v/>
      </c>
      <c r="M140" s="18" t="str">
        <f>IFERROR(INDEX('Detalles movimientos'!S$5:S$1003, MATCH(131, 'Detalles movimientos'!$W$5:$W$1003, 0)), "")</f>
        <v/>
      </c>
    </row>
    <row r="141" spans="2:13">
      <c r="B141" s="17" t="str">
        <f>IFERROR(INDEX('Detalles movimientos'!C$5:C$1003, MATCH(132, 'Detalles movimientos'!$W$5:$W$1003, 0)), "")</f>
        <v/>
      </c>
      <c r="C141" s="18" t="str">
        <f>IFERROR(INDEX('Detalles movimientos'!D$5:D$1003, MATCH(132, 'Detalles movimientos'!$W$5:$W$1003, 0)), "")</f>
        <v/>
      </c>
      <c r="D141" s="19" t="str">
        <f>IFERROR(INDEX('Detalles movimientos'!E$5:E$1003, MATCH(132, 'Detalles movimientos'!$W$5:$W$1003, 0)), "")</f>
        <v/>
      </c>
      <c r="E141" s="19" t="str">
        <f>IFERROR(INDEX('Detalles movimientos'!F$5:F$1003, MATCH(132, 'Detalles movimientos'!$W$5:$W$1003, 0)), "")</f>
        <v/>
      </c>
      <c r="F141" s="18" t="str">
        <f>IFERROR(INDEX('Detalles movimientos'!G$5:G$1003, MATCH(132, 'Detalles movimientos'!$W$5:$W$1003, 0)), "")</f>
        <v/>
      </c>
      <c r="G141" s="20" t="str">
        <f>IFERROR(INDEX('Detalles movimientos'!H$5:H$1003, MATCH(132, 'Detalles movimientos'!$W$5:$W$1003, 0)), "")</f>
        <v/>
      </c>
      <c r="H141" s="21" t="str">
        <f>IFERROR(INDEX('Detalles movimientos'!I$5:I$1003, MATCH(132, 'Detalles movimientos'!$W$5:$W$1003, 0)), "")</f>
        <v/>
      </c>
      <c r="I141" s="20" t="str">
        <f>IFERROR(INDEX('Detalles movimientos'!M$5:M$1003, MATCH(132, 'Detalles movimientos'!$W$5:$W$1003, 0)), "")</f>
        <v/>
      </c>
      <c r="J141" s="19" t="str">
        <f>IFERROR(INDEX('Detalles movimientos'!N$5:N$1003, MATCH(132, 'Detalles movimientos'!$W$5:$W$1003, 0)), "")</f>
        <v/>
      </c>
      <c r="K141" s="20" t="str">
        <f>IFERROR(INDEX('Detalles movimientos'!O$5:O$1003, MATCH(132, 'Detalles movimientos'!$W$5:$W$1003, 0)), "")</f>
        <v/>
      </c>
      <c r="L141" s="18" t="str">
        <f>IFERROR(INDEX('Detalles movimientos'!P$5:P$1003, MATCH(132, 'Detalles movimientos'!$W$5:$W$1003, 0)), "")</f>
        <v/>
      </c>
      <c r="M141" s="18" t="str">
        <f>IFERROR(INDEX('Detalles movimientos'!S$5:S$1003, MATCH(132, 'Detalles movimientos'!$W$5:$W$1003, 0)), "")</f>
        <v/>
      </c>
    </row>
    <row r="142" spans="2:13">
      <c r="B142" s="17" t="str">
        <f>IFERROR(INDEX('Detalles movimientos'!C$5:C$1003, MATCH(133, 'Detalles movimientos'!$W$5:$W$1003, 0)), "")</f>
        <v/>
      </c>
      <c r="C142" s="18" t="str">
        <f>IFERROR(INDEX('Detalles movimientos'!D$5:D$1003, MATCH(133, 'Detalles movimientos'!$W$5:$W$1003, 0)), "")</f>
        <v/>
      </c>
      <c r="D142" s="19" t="str">
        <f>IFERROR(INDEX('Detalles movimientos'!E$5:E$1003, MATCH(133, 'Detalles movimientos'!$W$5:$W$1003, 0)), "")</f>
        <v/>
      </c>
      <c r="E142" s="19" t="str">
        <f>IFERROR(INDEX('Detalles movimientos'!F$5:F$1003, MATCH(133, 'Detalles movimientos'!$W$5:$W$1003, 0)), "")</f>
        <v/>
      </c>
      <c r="F142" s="18" t="str">
        <f>IFERROR(INDEX('Detalles movimientos'!G$5:G$1003, MATCH(133, 'Detalles movimientos'!$W$5:$W$1003, 0)), "")</f>
        <v/>
      </c>
      <c r="G142" s="20" t="str">
        <f>IFERROR(INDEX('Detalles movimientos'!H$5:H$1003, MATCH(133, 'Detalles movimientos'!$W$5:$W$1003, 0)), "")</f>
        <v/>
      </c>
      <c r="H142" s="21" t="str">
        <f>IFERROR(INDEX('Detalles movimientos'!I$5:I$1003, MATCH(133, 'Detalles movimientos'!$W$5:$W$1003, 0)), "")</f>
        <v/>
      </c>
      <c r="I142" s="20" t="str">
        <f>IFERROR(INDEX('Detalles movimientos'!M$5:M$1003, MATCH(133, 'Detalles movimientos'!$W$5:$W$1003, 0)), "")</f>
        <v/>
      </c>
      <c r="J142" s="19" t="str">
        <f>IFERROR(INDEX('Detalles movimientos'!N$5:N$1003, MATCH(133, 'Detalles movimientos'!$W$5:$W$1003, 0)), "")</f>
        <v/>
      </c>
      <c r="K142" s="20" t="str">
        <f>IFERROR(INDEX('Detalles movimientos'!O$5:O$1003, MATCH(133, 'Detalles movimientos'!$W$5:$W$1003, 0)), "")</f>
        <v/>
      </c>
      <c r="L142" s="18" t="str">
        <f>IFERROR(INDEX('Detalles movimientos'!P$5:P$1003, MATCH(133, 'Detalles movimientos'!$W$5:$W$1003, 0)), "")</f>
        <v/>
      </c>
      <c r="M142" s="18" t="str">
        <f>IFERROR(INDEX('Detalles movimientos'!S$5:S$1003, MATCH(133, 'Detalles movimientos'!$W$5:$W$1003, 0)), "")</f>
        <v/>
      </c>
    </row>
    <row r="143" spans="2:13">
      <c r="B143" s="17" t="str">
        <f>IFERROR(INDEX('Detalles movimientos'!C$5:C$1003, MATCH(134, 'Detalles movimientos'!$W$5:$W$1003, 0)), "")</f>
        <v/>
      </c>
      <c r="C143" s="18" t="str">
        <f>IFERROR(INDEX('Detalles movimientos'!D$5:D$1003, MATCH(134, 'Detalles movimientos'!$W$5:$W$1003, 0)), "")</f>
        <v/>
      </c>
      <c r="D143" s="19" t="str">
        <f>IFERROR(INDEX('Detalles movimientos'!E$5:E$1003, MATCH(134, 'Detalles movimientos'!$W$5:$W$1003, 0)), "")</f>
        <v/>
      </c>
      <c r="E143" s="19" t="str">
        <f>IFERROR(INDEX('Detalles movimientos'!F$5:F$1003, MATCH(134, 'Detalles movimientos'!$W$5:$W$1003, 0)), "")</f>
        <v/>
      </c>
      <c r="F143" s="18" t="str">
        <f>IFERROR(INDEX('Detalles movimientos'!G$5:G$1003, MATCH(134, 'Detalles movimientos'!$W$5:$W$1003, 0)), "")</f>
        <v/>
      </c>
      <c r="G143" s="20" t="str">
        <f>IFERROR(INDEX('Detalles movimientos'!H$5:H$1003, MATCH(134, 'Detalles movimientos'!$W$5:$W$1003, 0)), "")</f>
        <v/>
      </c>
      <c r="H143" s="21" t="str">
        <f>IFERROR(INDEX('Detalles movimientos'!I$5:I$1003, MATCH(134, 'Detalles movimientos'!$W$5:$W$1003, 0)), "")</f>
        <v/>
      </c>
      <c r="I143" s="20" t="str">
        <f>IFERROR(INDEX('Detalles movimientos'!M$5:M$1003, MATCH(134, 'Detalles movimientos'!$W$5:$W$1003, 0)), "")</f>
        <v/>
      </c>
      <c r="J143" s="19" t="str">
        <f>IFERROR(INDEX('Detalles movimientos'!N$5:N$1003, MATCH(134, 'Detalles movimientos'!$W$5:$W$1003, 0)), "")</f>
        <v/>
      </c>
      <c r="K143" s="20" t="str">
        <f>IFERROR(INDEX('Detalles movimientos'!O$5:O$1003, MATCH(134, 'Detalles movimientos'!$W$5:$W$1003, 0)), "")</f>
        <v/>
      </c>
      <c r="L143" s="18" t="str">
        <f>IFERROR(INDEX('Detalles movimientos'!P$5:P$1003, MATCH(134, 'Detalles movimientos'!$W$5:$W$1003, 0)), "")</f>
        <v/>
      </c>
      <c r="M143" s="18" t="str">
        <f>IFERROR(INDEX('Detalles movimientos'!S$5:S$1003, MATCH(134, 'Detalles movimientos'!$W$5:$W$1003, 0)), "")</f>
        <v/>
      </c>
    </row>
    <row r="144" spans="2:13">
      <c r="B144" s="17" t="str">
        <f>IFERROR(INDEX('Detalles movimientos'!C$5:C$1003, MATCH(135, 'Detalles movimientos'!$W$5:$W$1003, 0)), "")</f>
        <v/>
      </c>
      <c r="C144" s="18" t="str">
        <f>IFERROR(INDEX('Detalles movimientos'!D$5:D$1003, MATCH(135, 'Detalles movimientos'!$W$5:$W$1003, 0)), "")</f>
        <v/>
      </c>
      <c r="D144" s="19" t="str">
        <f>IFERROR(INDEX('Detalles movimientos'!E$5:E$1003, MATCH(135, 'Detalles movimientos'!$W$5:$W$1003, 0)), "")</f>
        <v/>
      </c>
      <c r="E144" s="19" t="str">
        <f>IFERROR(INDEX('Detalles movimientos'!F$5:F$1003, MATCH(135, 'Detalles movimientos'!$W$5:$W$1003, 0)), "")</f>
        <v/>
      </c>
      <c r="F144" s="18" t="str">
        <f>IFERROR(INDEX('Detalles movimientos'!G$5:G$1003, MATCH(135, 'Detalles movimientos'!$W$5:$W$1003, 0)), "")</f>
        <v/>
      </c>
      <c r="G144" s="20" t="str">
        <f>IFERROR(INDEX('Detalles movimientos'!H$5:H$1003, MATCH(135, 'Detalles movimientos'!$W$5:$W$1003, 0)), "")</f>
        <v/>
      </c>
      <c r="H144" s="21" t="str">
        <f>IFERROR(INDEX('Detalles movimientos'!I$5:I$1003, MATCH(135, 'Detalles movimientos'!$W$5:$W$1003, 0)), "")</f>
        <v/>
      </c>
      <c r="I144" s="20" t="str">
        <f>IFERROR(INDEX('Detalles movimientos'!M$5:M$1003, MATCH(135, 'Detalles movimientos'!$W$5:$W$1003, 0)), "")</f>
        <v/>
      </c>
      <c r="J144" s="19" t="str">
        <f>IFERROR(INDEX('Detalles movimientos'!N$5:N$1003, MATCH(135, 'Detalles movimientos'!$W$5:$W$1003, 0)), "")</f>
        <v/>
      </c>
      <c r="K144" s="20" t="str">
        <f>IFERROR(INDEX('Detalles movimientos'!O$5:O$1003, MATCH(135, 'Detalles movimientos'!$W$5:$W$1003, 0)), "")</f>
        <v/>
      </c>
      <c r="L144" s="18" t="str">
        <f>IFERROR(INDEX('Detalles movimientos'!P$5:P$1003, MATCH(135, 'Detalles movimientos'!$W$5:$W$1003, 0)), "")</f>
        <v/>
      </c>
      <c r="M144" s="18" t="str">
        <f>IFERROR(INDEX('Detalles movimientos'!S$5:S$1003, MATCH(135, 'Detalles movimientos'!$W$5:$W$1003, 0)), "")</f>
        <v/>
      </c>
    </row>
    <row r="145" spans="2:13">
      <c r="B145" s="17" t="str">
        <f>IFERROR(INDEX('Detalles movimientos'!C$5:C$1003, MATCH(136, 'Detalles movimientos'!$W$5:$W$1003, 0)), "")</f>
        <v/>
      </c>
      <c r="C145" s="18" t="str">
        <f>IFERROR(INDEX('Detalles movimientos'!D$5:D$1003, MATCH(136, 'Detalles movimientos'!$W$5:$W$1003, 0)), "")</f>
        <v/>
      </c>
      <c r="D145" s="19" t="str">
        <f>IFERROR(INDEX('Detalles movimientos'!E$5:E$1003, MATCH(136, 'Detalles movimientos'!$W$5:$W$1003, 0)), "")</f>
        <v/>
      </c>
      <c r="E145" s="19" t="str">
        <f>IFERROR(INDEX('Detalles movimientos'!F$5:F$1003, MATCH(136, 'Detalles movimientos'!$W$5:$W$1003, 0)), "")</f>
        <v/>
      </c>
      <c r="F145" s="18" t="str">
        <f>IFERROR(INDEX('Detalles movimientos'!G$5:G$1003, MATCH(136, 'Detalles movimientos'!$W$5:$W$1003, 0)), "")</f>
        <v/>
      </c>
      <c r="G145" s="20" t="str">
        <f>IFERROR(INDEX('Detalles movimientos'!H$5:H$1003, MATCH(136, 'Detalles movimientos'!$W$5:$W$1003, 0)), "")</f>
        <v/>
      </c>
      <c r="H145" s="21" t="str">
        <f>IFERROR(INDEX('Detalles movimientos'!I$5:I$1003, MATCH(136, 'Detalles movimientos'!$W$5:$W$1003, 0)), "")</f>
        <v/>
      </c>
      <c r="I145" s="20" t="str">
        <f>IFERROR(INDEX('Detalles movimientos'!M$5:M$1003, MATCH(136, 'Detalles movimientos'!$W$5:$W$1003, 0)), "")</f>
        <v/>
      </c>
      <c r="J145" s="19" t="str">
        <f>IFERROR(INDEX('Detalles movimientos'!N$5:N$1003, MATCH(136, 'Detalles movimientos'!$W$5:$W$1003, 0)), "")</f>
        <v/>
      </c>
      <c r="K145" s="20" t="str">
        <f>IFERROR(INDEX('Detalles movimientos'!O$5:O$1003, MATCH(136, 'Detalles movimientos'!$W$5:$W$1003, 0)), "")</f>
        <v/>
      </c>
      <c r="L145" s="18" t="str">
        <f>IFERROR(INDEX('Detalles movimientos'!P$5:P$1003, MATCH(136, 'Detalles movimientos'!$W$5:$W$1003, 0)), "")</f>
        <v/>
      </c>
      <c r="M145" s="18" t="str">
        <f>IFERROR(INDEX('Detalles movimientos'!S$5:S$1003, MATCH(136, 'Detalles movimientos'!$W$5:$W$1003, 0)), "")</f>
        <v/>
      </c>
    </row>
    <row r="146" spans="2:13">
      <c r="B146" s="17" t="str">
        <f>IFERROR(INDEX('Detalles movimientos'!C$5:C$1003, MATCH(137, 'Detalles movimientos'!$W$5:$W$1003, 0)), "")</f>
        <v/>
      </c>
      <c r="C146" s="18" t="str">
        <f>IFERROR(INDEX('Detalles movimientos'!D$5:D$1003, MATCH(137, 'Detalles movimientos'!$W$5:$W$1003, 0)), "")</f>
        <v/>
      </c>
      <c r="D146" s="19" t="str">
        <f>IFERROR(INDEX('Detalles movimientos'!E$5:E$1003, MATCH(137, 'Detalles movimientos'!$W$5:$W$1003, 0)), "")</f>
        <v/>
      </c>
      <c r="E146" s="19" t="str">
        <f>IFERROR(INDEX('Detalles movimientos'!F$5:F$1003, MATCH(137, 'Detalles movimientos'!$W$5:$W$1003, 0)), "")</f>
        <v/>
      </c>
      <c r="F146" s="18" t="str">
        <f>IFERROR(INDEX('Detalles movimientos'!G$5:G$1003, MATCH(137, 'Detalles movimientos'!$W$5:$W$1003, 0)), "")</f>
        <v/>
      </c>
      <c r="G146" s="20" t="str">
        <f>IFERROR(INDEX('Detalles movimientos'!H$5:H$1003, MATCH(137, 'Detalles movimientos'!$W$5:$W$1003, 0)), "")</f>
        <v/>
      </c>
      <c r="H146" s="21" t="str">
        <f>IFERROR(INDEX('Detalles movimientos'!I$5:I$1003, MATCH(137, 'Detalles movimientos'!$W$5:$W$1003, 0)), "")</f>
        <v/>
      </c>
      <c r="I146" s="20" t="str">
        <f>IFERROR(INDEX('Detalles movimientos'!M$5:M$1003, MATCH(137, 'Detalles movimientos'!$W$5:$W$1003, 0)), "")</f>
        <v/>
      </c>
      <c r="J146" s="19" t="str">
        <f>IFERROR(INDEX('Detalles movimientos'!N$5:N$1003, MATCH(137, 'Detalles movimientos'!$W$5:$W$1003, 0)), "")</f>
        <v/>
      </c>
      <c r="K146" s="20" t="str">
        <f>IFERROR(INDEX('Detalles movimientos'!O$5:O$1003, MATCH(137, 'Detalles movimientos'!$W$5:$W$1003, 0)), "")</f>
        <v/>
      </c>
      <c r="L146" s="18" t="str">
        <f>IFERROR(INDEX('Detalles movimientos'!P$5:P$1003, MATCH(137, 'Detalles movimientos'!$W$5:$W$1003, 0)), "")</f>
        <v/>
      </c>
      <c r="M146" s="18" t="str">
        <f>IFERROR(INDEX('Detalles movimientos'!S$5:S$1003, MATCH(137, 'Detalles movimientos'!$W$5:$W$1003, 0)), "")</f>
        <v/>
      </c>
    </row>
    <row r="147" spans="2:13">
      <c r="B147" s="17" t="str">
        <f>IFERROR(INDEX('Detalles movimientos'!C$5:C$1003, MATCH(138, 'Detalles movimientos'!$W$5:$W$1003, 0)), "")</f>
        <v/>
      </c>
      <c r="C147" s="18" t="str">
        <f>IFERROR(INDEX('Detalles movimientos'!D$5:D$1003, MATCH(138, 'Detalles movimientos'!$W$5:$W$1003, 0)), "")</f>
        <v/>
      </c>
      <c r="D147" s="19" t="str">
        <f>IFERROR(INDEX('Detalles movimientos'!E$5:E$1003, MATCH(138, 'Detalles movimientos'!$W$5:$W$1003, 0)), "")</f>
        <v/>
      </c>
      <c r="E147" s="19" t="str">
        <f>IFERROR(INDEX('Detalles movimientos'!F$5:F$1003, MATCH(138, 'Detalles movimientos'!$W$5:$W$1003, 0)), "")</f>
        <v/>
      </c>
      <c r="F147" s="18" t="str">
        <f>IFERROR(INDEX('Detalles movimientos'!G$5:G$1003, MATCH(138, 'Detalles movimientos'!$W$5:$W$1003, 0)), "")</f>
        <v/>
      </c>
      <c r="G147" s="20" t="str">
        <f>IFERROR(INDEX('Detalles movimientos'!H$5:H$1003, MATCH(138, 'Detalles movimientos'!$W$5:$W$1003, 0)), "")</f>
        <v/>
      </c>
      <c r="H147" s="21" t="str">
        <f>IFERROR(INDEX('Detalles movimientos'!I$5:I$1003, MATCH(138, 'Detalles movimientos'!$W$5:$W$1003, 0)), "")</f>
        <v/>
      </c>
      <c r="I147" s="20" t="str">
        <f>IFERROR(INDEX('Detalles movimientos'!M$5:M$1003, MATCH(138, 'Detalles movimientos'!$W$5:$W$1003, 0)), "")</f>
        <v/>
      </c>
      <c r="J147" s="19" t="str">
        <f>IFERROR(INDEX('Detalles movimientos'!N$5:N$1003, MATCH(138, 'Detalles movimientos'!$W$5:$W$1003, 0)), "")</f>
        <v/>
      </c>
      <c r="K147" s="20" t="str">
        <f>IFERROR(INDEX('Detalles movimientos'!O$5:O$1003, MATCH(138, 'Detalles movimientos'!$W$5:$W$1003, 0)), "")</f>
        <v/>
      </c>
      <c r="L147" s="18" t="str">
        <f>IFERROR(INDEX('Detalles movimientos'!P$5:P$1003, MATCH(138, 'Detalles movimientos'!$W$5:$W$1003, 0)), "")</f>
        <v/>
      </c>
      <c r="M147" s="18" t="str">
        <f>IFERROR(INDEX('Detalles movimientos'!S$5:S$1003, MATCH(138, 'Detalles movimientos'!$W$5:$W$1003, 0)), "")</f>
        <v/>
      </c>
    </row>
    <row r="148" spans="2:13">
      <c r="B148" s="17" t="str">
        <f>IFERROR(INDEX('Detalles movimientos'!C$5:C$1003, MATCH(139, 'Detalles movimientos'!$W$5:$W$1003, 0)), "")</f>
        <v/>
      </c>
      <c r="C148" s="18" t="str">
        <f>IFERROR(INDEX('Detalles movimientos'!D$5:D$1003, MATCH(139, 'Detalles movimientos'!$W$5:$W$1003, 0)), "")</f>
        <v/>
      </c>
      <c r="D148" s="19" t="str">
        <f>IFERROR(INDEX('Detalles movimientos'!E$5:E$1003, MATCH(139, 'Detalles movimientos'!$W$5:$W$1003, 0)), "")</f>
        <v/>
      </c>
      <c r="E148" s="19" t="str">
        <f>IFERROR(INDEX('Detalles movimientos'!F$5:F$1003, MATCH(139, 'Detalles movimientos'!$W$5:$W$1003, 0)), "")</f>
        <v/>
      </c>
      <c r="F148" s="18" t="str">
        <f>IFERROR(INDEX('Detalles movimientos'!G$5:G$1003, MATCH(139, 'Detalles movimientos'!$W$5:$W$1003, 0)), "")</f>
        <v/>
      </c>
      <c r="G148" s="20" t="str">
        <f>IFERROR(INDEX('Detalles movimientos'!H$5:H$1003, MATCH(139, 'Detalles movimientos'!$W$5:$W$1003, 0)), "")</f>
        <v/>
      </c>
      <c r="H148" s="21" t="str">
        <f>IFERROR(INDEX('Detalles movimientos'!I$5:I$1003, MATCH(139, 'Detalles movimientos'!$W$5:$W$1003, 0)), "")</f>
        <v/>
      </c>
      <c r="I148" s="20" t="str">
        <f>IFERROR(INDEX('Detalles movimientos'!M$5:M$1003, MATCH(139, 'Detalles movimientos'!$W$5:$W$1003, 0)), "")</f>
        <v/>
      </c>
      <c r="J148" s="19" t="str">
        <f>IFERROR(INDEX('Detalles movimientos'!N$5:N$1003, MATCH(139, 'Detalles movimientos'!$W$5:$W$1003, 0)), "")</f>
        <v/>
      </c>
      <c r="K148" s="20" t="str">
        <f>IFERROR(INDEX('Detalles movimientos'!O$5:O$1003, MATCH(139, 'Detalles movimientos'!$W$5:$W$1003, 0)), "")</f>
        <v/>
      </c>
      <c r="L148" s="18" t="str">
        <f>IFERROR(INDEX('Detalles movimientos'!P$5:P$1003, MATCH(139, 'Detalles movimientos'!$W$5:$W$1003, 0)), "")</f>
        <v/>
      </c>
      <c r="M148" s="18" t="str">
        <f>IFERROR(INDEX('Detalles movimientos'!S$5:S$1003, MATCH(139, 'Detalles movimientos'!$W$5:$W$1003, 0)), "")</f>
        <v/>
      </c>
    </row>
    <row r="149" spans="2:13">
      <c r="B149" s="17" t="str">
        <f>IFERROR(INDEX('Detalles movimientos'!C$5:C$1003, MATCH(140, 'Detalles movimientos'!$W$5:$W$1003, 0)), "")</f>
        <v/>
      </c>
      <c r="C149" s="18" t="str">
        <f>IFERROR(INDEX('Detalles movimientos'!D$5:D$1003, MATCH(140, 'Detalles movimientos'!$W$5:$W$1003, 0)), "")</f>
        <v/>
      </c>
      <c r="D149" s="19" t="str">
        <f>IFERROR(INDEX('Detalles movimientos'!E$5:E$1003, MATCH(140, 'Detalles movimientos'!$W$5:$W$1003, 0)), "")</f>
        <v/>
      </c>
      <c r="E149" s="19" t="str">
        <f>IFERROR(INDEX('Detalles movimientos'!F$5:F$1003, MATCH(140, 'Detalles movimientos'!$W$5:$W$1003, 0)), "")</f>
        <v/>
      </c>
      <c r="F149" s="18" t="str">
        <f>IFERROR(INDEX('Detalles movimientos'!G$5:G$1003, MATCH(140, 'Detalles movimientos'!$W$5:$W$1003, 0)), "")</f>
        <v/>
      </c>
      <c r="G149" s="20" t="str">
        <f>IFERROR(INDEX('Detalles movimientos'!H$5:H$1003, MATCH(140, 'Detalles movimientos'!$W$5:$W$1003, 0)), "")</f>
        <v/>
      </c>
      <c r="H149" s="21" t="str">
        <f>IFERROR(INDEX('Detalles movimientos'!I$5:I$1003, MATCH(140, 'Detalles movimientos'!$W$5:$W$1003, 0)), "")</f>
        <v/>
      </c>
      <c r="I149" s="20" t="str">
        <f>IFERROR(INDEX('Detalles movimientos'!M$5:M$1003, MATCH(140, 'Detalles movimientos'!$W$5:$W$1003, 0)), "")</f>
        <v/>
      </c>
      <c r="J149" s="19" t="str">
        <f>IFERROR(INDEX('Detalles movimientos'!N$5:N$1003, MATCH(140, 'Detalles movimientos'!$W$5:$W$1003, 0)), "")</f>
        <v/>
      </c>
      <c r="K149" s="20" t="str">
        <f>IFERROR(INDEX('Detalles movimientos'!O$5:O$1003, MATCH(140, 'Detalles movimientos'!$W$5:$W$1003, 0)), "")</f>
        <v/>
      </c>
      <c r="L149" s="18" t="str">
        <f>IFERROR(INDEX('Detalles movimientos'!P$5:P$1003, MATCH(140, 'Detalles movimientos'!$W$5:$W$1003, 0)), "")</f>
        <v/>
      </c>
      <c r="M149" s="18" t="str">
        <f>IFERROR(INDEX('Detalles movimientos'!S$5:S$1003, MATCH(140, 'Detalles movimientos'!$W$5:$W$1003, 0)), "")</f>
        <v/>
      </c>
    </row>
    <row r="150" spans="2:13">
      <c r="B150" s="17" t="str">
        <f>IFERROR(INDEX('Detalles movimientos'!C$5:C$1003, MATCH(141, 'Detalles movimientos'!$W$5:$W$1003, 0)), "")</f>
        <v/>
      </c>
      <c r="C150" s="18" t="str">
        <f>IFERROR(INDEX('Detalles movimientos'!D$5:D$1003, MATCH(141, 'Detalles movimientos'!$W$5:$W$1003, 0)), "")</f>
        <v/>
      </c>
      <c r="D150" s="19" t="str">
        <f>IFERROR(INDEX('Detalles movimientos'!E$5:E$1003, MATCH(141, 'Detalles movimientos'!$W$5:$W$1003, 0)), "")</f>
        <v/>
      </c>
      <c r="E150" s="19" t="str">
        <f>IFERROR(INDEX('Detalles movimientos'!F$5:F$1003, MATCH(141, 'Detalles movimientos'!$W$5:$W$1003, 0)), "")</f>
        <v/>
      </c>
      <c r="F150" s="18" t="str">
        <f>IFERROR(INDEX('Detalles movimientos'!G$5:G$1003, MATCH(141, 'Detalles movimientos'!$W$5:$W$1003, 0)), "")</f>
        <v/>
      </c>
      <c r="G150" s="20" t="str">
        <f>IFERROR(INDEX('Detalles movimientos'!H$5:H$1003, MATCH(141, 'Detalles movimientos'!$W$5:$W$1003, 0)), "")</f>
        <v/>
      </c>
      <c r="H150" s="21" t="str">
        <f>IFERROR(INDEX('Detalles movimientos'!I$5:I$1003, MATCH(141, 'Detalles movimientos'!$W$5:$W$1003, 0)), "")</f>
        <v/>
      </c>
      <c r="I150" s="20" t="str">
        <f>IFERROR(INDEX('Detalles movimientos'!M$5:M$1003, MATCH(141, 'Detalles movimientos'!$W$5:$W$1003, 0)), "")</f>
        <v/>
      </c>
      <c r="J150" s="19" t="str">
        <f>IFERROR(INDEX('Detalles movimientos'!N$5:N$1003, MATCH(141, 'Detalles movimientos'!$W$5:$W$1003, 0)), "")</f>
        <v/>
      </c>
      <c r="K150" s="20" t="str">
        <f>IFERROR(INDEX('Detalles movimientos'!O$5:O$1003, MATCH(141, 'Detalles movimientos'!$W$5:$W$1003, 0)), "")</f>
        <v/>
      </c>
      <c r="L150" s="18" t="str">
        <f>IFERROR(INDEX('Detalles movimientos'!P$5:P$1003, MATCH(141, 'Detalles movimientos'!$W$5:$W$1003, 0)), "")</f>
        <v/>
      </c>
      <c r="M150" s="18" t="str">
        <f>IFERROR(INDEX('Detalles movimientos'!S$5:S$1003, MATCH(141, 'Detalles movimientos'!$W$5:$W$1003, 0)), "")</f>
        <v/>
      </c>
    </row>
    <row r="151" spans="2:13">
      <c r="B151" s="17" t="str">
        <f>IFERROR(INDEX('Detalles movimientos'!C$5:C$1003, MATCH(142, 'Detalles movimientos'!$W$5:$W$1003, 0)), "")</f>
        <v/>
      </c>
      <c r="C151" s="18" t="str">
        <f>IFERROR(INDEX('Detalles movimientos'!D$5:D$1003, MATCH(142, 'Detalles movimientos'!$W$5:$W$1003, 0)), "")</f>
        <v/>
      </c>
      <c r="D151" s="19" t="str">
        <f>IFERROR(INDEX('Detalles movimientos'!E$5:E$1003, MATCH(142, 'Detalles movimientos'!$W$5:$W$1003, 0)), "")</f>
        <v/>
      </c>
      <c r="E151" s="19" t="str">
        <f>IFERROR(INDEX('Detalles movimientos'!F$5:F$1003, MATCH(142, 'Detalles movimientos'!$W$5:$W$1003, 0)), "")</f>
        <v/>
      </c>
      <c r="F151" s="18" t="str">
        <f>IFERROR(INDEX('Detalles movimientos'!G$5:G$1003, MATCH(142, 'Detalles movimientos'!$W$5:$W$1003, 0)), "")</f>
        <v/>
      </c>
      <c r="G151" s="20" t="str">
        <f>IFERROR(INDEX('Detalles movimientos'!H$5:H$1003, MATCH(142, 'Detalles movimientos'!$W$5:$W$1003, 0)), "")</f>
        <v/>
      </c>
      <c r="H151" s="21" t="str">
        <f>IFERROR(INDEX('Detalles movimientos'!I$5:I$1003, MATCH(142, 'Detalles movimientos'!$W$5:$W$1003, 0)), "")</f>
        <v/>
      </c>
      <c r="I151" s="20" t="str">
        <f>IFERROR(INDEX('Detalles movimientos'!M$5:M$1003, MATCH(142, 'Detalles movimientos'!$W$5:$W$1003, 0)), "")</f>
        <v/>
      </c>
      <c r="J151" s="19" t="str">
        <f>IFERROR(INDEX('Detalles movimientos'!N$5:N$1003, MATCH(142, 'Detalles movimientos'!$W$5:$W$1003, 0)), "")</f>
        <v/>
      </c>
      <c r="K151" s="20" t="str">
        <f>IFERROR(INDEX('Detalles movimientos'!O$5:O$1003, MATCH(142, 'Detalles movimientos'!$W$5:$W$1003, 0)), "")</f>
        <v/>
      </c>
      <c r="L151" s="18" t="str">
        <f>IFERROR(INDEX('Detalles movimientos'!P$5:P$1003, MATCH(142, 'Detalles movimientos'!$W$5:$W$1003, 0)), "")</f>
        <v/>
      </c>
      <c r="M151" s="18" t="str">
        <f>IFERROR(INDEX('Detalles movimientos'!S$5:S$1003, MATCH(142, 'Detalles movimientos'!$W$5:$W$1003, 0)), "")</f>
        <v/>
      </c>
    </row>
    <row r="152" spans="2:13">
      <c r="B152" s="17" t="str">
        <f>IFERROR(INDEX('Detalles movimientos'!C$5:C$1003, MATCH(143, 'Detalles movimientos'!$W$5:$W$1003, 0)), "")</f>
        <v/>
      </c>
      <c r="C152" s="18" t="str">
        <f>IFERROR(INDEX('Detalles movimientos'!D$5:D$1003, MATCH(143, 'Detalles movimientos'!$W$5:$W$1003, 0)), "")</f>
        <v/>
      </c>
      <c r="D152" s="19" t="str">
        <f>IFERROR(INDEX('Detalles movimientos'!E$5:E$1003, MATCH(143, 'Detalles movimientos'!$W$5:$W$1003, 0)), "")</f>
        <v/>
      </c>
      <c r="E152" s="19" t="str">
        <f>IFERROR(INDEX('Detalles movimientos'!F$5:F$1003, MATCH(143, 'Detalles movimientos'!$W$5:$W$1003, 0)), "")</f>
        <v/>
      </c>
      <c r="F152" s="18" t="str">
        <f>IFERROR(INDEX('Detalles movimientos'!G$5:G$1003, MATCH(143, 'Detalles movimientos'!$W$5:$W$1003, 0)), "")</f>
        <v/>
      </c>
      <c r="G152" s="20" t="str">
        <f>IFERROR(INDEX('Detalles movimientos'!H$5:H$1003, MATCH(143, 'Detalles movimientos'!$W$5:$W$1003, 0)), "")</f>
        <v/>
      </c>
      <c r="H152" s="21" t="str">
        <f>IFERROR(INDEX('Detalles movimientos'!I$5:I$1003, MATCH(143, 'Detalles movimientos'!$W$5:$W$1003, 0)), "")</f>
        <v/>
      </c>
      <c r="I152" s="20" t="str">
        <f>IFERROR(INDEX('Detalles movimientos'!M$5:M$1003, MATCH(143, 'Detalles movimientos'!$W$5:$W$1003, 0)), "")</f>
        <v/>
      </c>
      <c r="J152" s="19" t="str">
        <f>IFERROR(INDEX('Detalles movimientos'!N$5:N$1003, MATCH(143, 'Detalles movimientos'!$W$5:$W$1003, 0)), "")</f>
        <v/>
      </c>
      <c r="K152" s="20" t="str">
        <f>IFERROR(INDEX('Detalles movimientos'!O$5:O$1003, MATCH(143, 'Detalles movimientos'!$W$5:$W$1003, 0)), "")</f>
        <v/>
      </c>
      <c r="L152" s="18" t="str">
        <f>IFERROR(INDEX('Detalles movimientos'!P$5:P$1003, MATCH(143, 'Detalles movimientos'!$W$5:$W$1003, 0)), "")</f>
        <v/>
      </c>
      <c r="M152" s="18" t="str">
        <f>IFERROR(INDEX('Detalles movimientos'!S$5:S$1003, MATCH(143, 'Detalles movimientos'!$W$5:$W$1003, 0)), "")</f>
        <v/>
      </c>
    </row>
    <row r="153" spans="2:13">
      <c r="B153" s="17" t="str">
        <f>IFERROR(INDEX('Detalles movimientos'!C$5:C$1003, MATCH(144, 'Detalles movimientos'!$W$5:$W$1003, 0)), "")</f>
        <v/>
      </c>
      <c r="C153" s="18" t="str">
        <f>IFERROR(INDEX('Detalles movimientos'!D$5:D$1003, MATCH(144, 'Detalles movimientos'!$W$5:$W$1003, 0)), "")</f>
        <v/>
      </c>
      <c r="D153" s="19" t="str">
        <f>IFERROR(INDEX('Detalles movimientos'!E$5:E$1003, MATCH(144, 'Detalles movimientos'!$W$5:$W$1003, 0)), "")</f>
        <v/>
      </c>
      <c r="E153" s="19" t="str">
        <f>IFERROR(INDEX('Detalles movimientos'!F$5:F$1003, MATCH(144, 'Detalles movimientos'!$W$5:$W$1003, 0)), "")</f>
        <v/>
      </c>
      <c r="F153" s="18" t="str">
        <f>IFERROR(INDEX('Detalles movimientos'!G$5:G$1003, MATCH(144, 'Detalles movimientos'!$W$5:$W$1003, 0)), "")</f>
        <v/>
      </c>
      <c r="G153" s="20" t="str">
        <f>IFERROR(INDEX('Detalles movimientos'!H$5:H$1003, MATCH(144, 'Detalles movimientos'!$W$5:$W$1003, 0)), "")</f>
        <v/>
      </c>
      <c r="H153" s="21" t="str">
        <f>IFERROR(INDEX('Detalles movimientos'!I$5:I$1003, MATCH(144, 'Detalles movimientos'!$W$5:$W$1003, 0)), "")</f>
        <v/>
      </c>
      <c r="I153" s="20" t="str">
        <f>IFERROR(INDEX('Detalles movimientos'!M$5:M$1003, MATCH(144, 'Detalles movimientos'!$W$5:$W$1003, 0)), "")</f>
        <v/>
      </c>
      <c r="J153" s="19" t="str">
        <f>IFERROR(INDEX('Detalles movimientos'!N$5:N$1003, MATCH(144, 'Detalles movimientos'!$W$5:$W$1003, 0)), "")</f>
        <v/>
      </c>
      <c r="K153" s="20" t="str">
        <f>IFERROR(INDEX('Detalles movimientos'!O$5:O$1003, MATCH(144, 'Detalles movimientos'!$W$5:$W$1003, 0)), "")</f>
        <v/>
      </c>
      <c r="L153" s="18" t="str">
        <f>IFERROR(INDEX('Detalles movimientos'!P$5:P$1003, MATCH(144, 'Detalles movimientos'!$W$5:$W$1003, 0)), "")</f>
        <v/>
      </c>
      <c r="M153" s="18" t="str">
        <f>IFERROR(INDEX('Detalles movimientos'!S$5:S$1003, MATCH(144, 'Detalles movimientos'!$W$5:$W$1003, 0)), "")</f>
        <v/>
      </c>
    </row>
    <row r="154" spans="2:13">
      <c r="B154" s="17" t="str">
        <f>IFERROR(INDEX('Detalles movimientos'!C$5:C$1003, MATCH(145, 'Detalles movimientos'!$W$5:$W$1003, 0)), "")</f>
        <v/>
      </c>
      <c r="C154" s="18" t="str">
        <f>IFERROR(INDEX('Detalles movimientos'!D$5:D$1003, MATCH(145, 'Detalles movimientos'!$W$5:$W$1003, 0)), "")</f>
        <v/>
      </c>
      <c r="D154" s="19" t="str">
        <f>IFERROR(INDEX('Detalles movimientos'!E$5:E$1003, MATCH(145, 'Detalles movimientos'!$W$5:$W$1003, 0)), "")</f>
        <v/>
      </c>
      <c r="E154" s="19" t="str">
        <f>IFERROR(INDEX('Detalles movimientos'!F$5:F$1003, MATCH(145, 'Detalles movimientos'!$W$5:$W$1003, 0)), "")</f>
        <v/>
      </c>
      <c r="F154" s="18" t="str">
        <f>IFERROR(INDEX('Detalles movimientos'!G$5:G$1003, MATCH(145, 'Detalles movimientos'!$W$5:$W$1003, 0)), "")</f>
        <v/>
      </c>
      <c r="G154" s="20" t="str">
        <f>IFERROR(INDEX('Detalles movimientos'!H$5:H$1003, MATCH(145, 'Detalles movimientos'!$W$5:$W$1003, 0)), "")</f>
        <v/>
      </c>
      <c r="H154" s="21" t="str">
        <f>IFERROR(INDEX('Detalles movimientos'!I$5:I$1003, MATCH(145, 'Detalles movimientos'!$W$5:$W$1003, 0)), "")</f>
        <v/>
      </c>
      <c r="I154" s="20" t="str">
        <f>IFERROR(INDEX('Detalles movimientos'!M$5:M$1003, MATCH(145, 'Detalles movimientos'!$W$5:$W$1003, 0)), "")</f>
        <v/>
      </c>
      <c r="J154" s="19" t="str">
        <f>IFERROR(INDEX('Detalles movimientos'!N$5:N$1003, MATCH(145, 'Detalles movimientos'!$W$5:$W$1003, 0)), "")</f>
        <v/>
      </c>
      <c r="K154" s="20" t="str">
        <f>IFERROR(INDEX('Detalles movimientos'!O$5:O$1003, MATCH(145, 'Detalles movimientos'!$W$5:$W$1003, 0)), "")</f>
        <v/>
      </c>
      <c r="L154" s="18" t="str">
        <f>IFERROR(INDEX('Detalles movimientos'!P$5:P$1003, MATCH(145, 'Detalles movimientos'!$W$5:$W$1003, 0)), "")</f>
        <v/>
      </c>
      <c r="M154" s="18" t="str">
        <f>IFERROR(INDEX('Detalles movimientos'!S$5:S$1003, MATCH(145, 'Detalles movimientos'!$W$5:$W$1003, 0)), "")</f>
        <v/>
      </c>
    </row>
    <row r="155" spans="2:13">
      <c r="B155" s="17" t="str">
        <f>IFERROR(INDEX('Detalles movimientos'!C$5:C$1003, MATCH(146, 'Detalles movimientos'!$W$5:$W$1003, 0)), "")</f>
        <v/>
      </c>
      <c r="C155" s="18" t="str">
        <f>IFERROR(INDEX('Detalles movimientos'!D$5:D$1003, MATCH(146, 'Detalles movimientos'!$W$5:$W$1003, 0)), "")</f>
        <v/>
      </c>
      <c r="D155" s="19" t="str">
        <f>IFERROR(INDEX('Detalles movimientos'!E$5:E$1003, MATCH(146, 'Detalles movimientos'!$W$5:$W$1003, 0)), "")</f>
        <v/>
      </c>
      <c r="E155" s="19" t="str">
        <f>IFERROR(INDEX('Detalles movimientos'!F$5:F$1003, MATCH(146, 'Detalles movimientos'!$W$5:$W$1003, 0)), "")</f>
        <v/>
      </c>
      <c r="F155" s="18" t="str">
        <f>IFERROR(INDEX('Detalles movimientos'!G$5:G$1003, MATCH(146, 'Detalles movimientos'!$W$5:$W$1003, 0)), "")</f>
        <v/>
      </c>
      <c r="G155" s="20" t="str">
        <f>IFERROR(INDEX('Detalles movimientos'!H$5:H$1003, MATCH(146, 'Detalles movimientos'!$W$5:$W$1003, 0)), "")</f>
        <v/>
      </c>
      <c r="H155" s="21" t="str">
        <f>IFERROR(INDEX('Detalles movimientos'!I$5:I$1003, MATCH(146, 'Detalles movimientos'!$W$5:$W$1003, 0)), "")</f>
        <v/>
      </c>
      <c r="I155" s="20" t="str">
        <f>IFERROR(INDEX('Detalles movimientos'!M$5:M$1003, MATCH(146, 'Detalles movimientos'!$W$5:$W$1003, 0)), "")</f>
        <v/>
      </c>
      <c r="J155" s="19" t="str">
        <f>IFERROR(INDEX('Detalles movimientos'!N$5:N$1003, MATCH(146, 'Detalles movimientos'!$W$5:$W$1003, 0)), "")</f>
        <v/>
      </c>
      <c r="K155" s="20" t="str">
        <f>IFERROR(INDEX('Detalles movimientos'!O$5:O$1003, MATCH(146, 'Detalles movimientos'!$W$5:$W$1003, 0)), "")</f>
        <v/>
      </c>
      <c r="L155" s="18" t="str">
        <f>IFERROR(INDEX('Detalles movimientos'!P$5:P$1003, MATCH(146, 'Detalles movimientos'!$W$5:$W$1003, 0)), "")</f>
        <v/>
      </c>
      <c r="M155" s="18" t="str">
        <f>IFERROR(INDEX('Detalles movimientos'!S$5:S$1003, MATCH(146, 'Detalles movimientos'!$W$5:$W$1003, 0)), "")</f>
        <v/>
      </c>
    </row>
    <row r="156" spans="2:13">
      <c r="B156" s="17" t="str">
        <f>IFERROR(INDEX('Detalles movimientos'!C$5:C$1003, MATCH(147, 'Detalles movimientos'!$W$5:$W$1003, 0)), "")</f>
        <v/>
      </c>
      <c r="C156" s="18" t="str">
        <f>IFERROR(INDEX('Detalles movimientos'!D$5:D$1003, MATCH(147, 'Detalles movimientos'!$W$5:$W$1003, 0)), "")</f>
        <v/>
      </c>
      <c r="D156" s="19" t="str">
        <f>IFERROR(INDEX('Detalles movimientos'!E$5:E$1003, MATCH(147, 'Detalles movimientos'!$W$5:$W$1003, 0)), "")</f>
        <v/>
      </c>
      <c r="E156" s="19" t="str">
        <f>IFERROR(INDEX('Detalles movimientos'!F$5:F$1003, MATCH(147, 'Detalles movimientos'!$W$5:$W$1003, 0)), "")</f>
        <v/>
      </c>
      <c r="F156" s="18" t="str">
        <f>IFERROR(INDEX('Detalles movimientos'!G$5:G$1003, MATCH(147, 'Detalles movimientos'!$W$5:$W$1003, 0)), "")</f>
        <v/>
      </c>
      <c r="G156" s="20" t="str">
        <f>IFERROR(INDEX('Detalles movimientos'!H$5:H$1003, MATCH(147, 'Detalles movimientos'!$W$5:$W$1003, 0)), "")</f>
        <v/>
      </c>
      <c r="H156" s="21" t="str">
        <f>IFERROR(INDEX('Detalles movimientos'!I$5:I$1003, MATCH(147, 'Detalles movimientos'!$W$5:$W$1003, 0)), "")</f>
        <v/>
      </c>
      <c r="I156" s="20" t="str">
        <f>IFERROR(INDEX('Detalles movimientos'!M$5:M$1003, MATCH(147, 'Detalles movimientos'!$W$5:$W$1003, 0)), "")</f>
        <v/>
      </c>
      <c r="J156" s="19" t="str">
        <f>IFERROR(INDEX('Detalles movimientos'!N$5:N$1003, MATCH(147, 'Detalles movimientos'!$W$5:$W$1003, 0)), "")</f>
        <v/>
      </c>
      <c r="K156" s="20" t="str">
        <f>IFERROR(INDEX('Detalles movimientos'!O$5:O$1003, MATCH(147, 'Detalles movimientos'!$W$5:$W$1003, 0)), "")</f>
        <v/>
      </c>
      <c r="L156" s="18" t="str">
        <f>IFERROR(INDEX('Detalles movimientos'!P$5:P$1003, MATCH(147, 'Detalles movimientos'!$W$5:$W$1003, 0)), "")</f>
        <v/>
      </c>
      <c r="M156" s="18" t="str">
        <f>IFERROR(INDEX('Detalles movimientos'!S$5:S$1003, MATCH(147, 'Detalles movimientos'!$W$5:$W$1003, 0)), "")</f>
        <v/>
      </c>
    </row>
    <row r="157" spans="2:13">
      <c r="B157" s="17" t="str">
        <f>IFERROR(INDEX('Detalles movimientos'!C$5:C$1003, MATCH(148, 'Detalles movimientos'!$W$5:$W$1003, 0)), "")</f>
        <v/>
      </c>
      <c r="C157" s="18" t="str">
        <f>IFERROR(INDEX('Detalles movimientos'!D$5:D$1003, MATCH(148, 'Detalles movimientos'!$W$5:$W$1003, 0)), "")</f>
        <v/>
      </c>
      <c r="D157" s="19" t="str">
        <f>IFERROR(INDEX('Detalles movimientos'!E$5:E$1003, MATCH(148, 'Detalles movimientos'!$W$5:$W$1003, 0)), "")</f>
        <v/>
      </c>
      <c r="E157" s="19" t="str">
        <f>IFERROR(INDEX('Detalles movimientos'!F$5:F$1003, MATCH(148, 'Detalles movimientos'!$W$5:$W$1003, 0)), "")</f>
        <v/>
      </c>
      <c r="F157" s="18" t="str">
        <f>IFERROR(INDEX('Detalles movimientos'!G$5:G$1003, MATCH(148, 'Detalles movimientos'!$W$5:$W$1003, 0)), "")</f>
        <v/>
      </c>
      <c r="G157" s="20" t="str">
        <f>IFERROR(INDEX('Detalles movimientos'!H$5:H$1003, MATCH(148, 'Detalles movimientos'!$W$5:$W$1003, 0)), "")</f>
        <v/>
      </c>
      <c r="H157" s="21" t="str">
        <f>IFERROR(INDEX('Detalles movimientos'!I$5:I$1003, MATCH(148, 'Detalles movimientos'!$W$5:$W$1003, 0)), "")</f>
        <v/>
      </c>
      <c r="I157" s="20" t="str">
        <f>IFERROR(INDEX('Detalles movimientos'!M$5:M$1003, MATCH(148, 'Detalles movimientos'!$W$5:$W$1003, 0)), "")</f>
        <v/>
      </c>
      <c r="J157" s="19" t="str">
        <f>IFERROR(INDEX('Detalles movimientos'!N$5:N$1003, MATCH(148, 'Detalles movimientos'!$W$5:$W$1003, 0)), "")</f>
        <v/>
      </c>
      <c r="K157" s="20" t="str">
        <f>IFERROR(INDEX('Detalles movimientos'!O$5:O$1003, MATCH(148, 'Detalles movimientos'!$W$5:$W$1003, 0)), "")</f>
        <v/>
      </c>
      <c r="L157" s="18" t="str">
        <f>IFERROR(INDEX('Detalles movimientos'!P$5:P$1003, MATCH(148, 'Detalles movimientos'!$W$5:$W$1003, 0)), "")</f>
        <v/>
      </c>
      <c r="M157" s="18" t="str">
        <f>IFERROR(INDEX('Detalles movimientos'!S$5:S$1003, MATCH(148, 'Detalles movimientos'!$W$5:$W$1003, 0)), "")</f>
        <v/>
      </c>
    </row>
    <row r="158" spans="2:13">
      <c r="B158" s="17" t="str">
        <f>IFERROR(INDEX('Detalles movimientos'!C$5:C$1003, MATCH(149, 'Detalles movimientos'!$W$5:$W$1003, 0)), "")</f>
        <v/>
      </c>
      <c r="C158" s="18" t="str">
        <f>IFERROR(INDEX('Detalles movimientos'!D$5:D$1003, MATCH(149, 'Detalles movimientos'!$W$5:$W$1003, 0)), "")</f>
        <v/>
      </c>
      <c r="D158" s="19" t="str">
        <f>IFERROR(INDEX('Detalles movimientos'!E$5:E$1003, MATCH(149, 'Detalles movimientos'!$W$5:$W$1003, 0)), "")</f>
        <v/>
      </c>
      <c r="E158" s="19" t="str">
        <f>IFERROR(INDEX('Detalles movimientos'!F$5:F$1003, MATCH(149, 'Detalles movimientos'!$W$5:$W$1003, 0)), "")</f>
        <v/>
      </c>
      <c r="F158" s="18" t="str">
        <f>IFERROR(INDEX('Detalles movimientos'!G$5:G$1003, MATCH(149, 'Detalles movimientos'!$W$5:$W$1003, 0)), "")</f>
        <v/>
      </c>
      <c r="G158" s="20" t="str">
        <f>IFERROR(INDEX('Detalles movimientos'!H$5:H$1003, MATCH(149, 'Detalles movimientos'!$W$5:$W$1003, 0)), "")</f>
        <v/>
      </c>
      <c r="H158" s="21" t="str">
        <f>IFERROR(INDEX('Detalles movimientos'!I$5:I$1003, MATCH(149, 'Detalles movimientos'!$W$5:$W$1003, 0)), "")</f>
        <v/>
      </c>
      <c r="I158" s="20" t="str">
        <f>IFERROR(INDEX('Detalles movimientos'!M$5:M$1003, MATCH(149, 'Detalles movimientos'!$W$5:$W$1003, 0)), "")</f>
        <v/>
      </c>
      <c r="J158" s="19" t="str">
        <f>IFERROR(INDEX('Detalles movimientos'!N$5:N$1003, MATCH(149, 'Detalles movimientos'!$W$5:$W$1003, 0)), "")</f>
        <v/>
      </c>
      <c r="K158" s="20" t="str">
        <f>IFERROR(INDEX('Detalles movimientos'!O$5:O$1003, MATCH(149, 'Detalles movimientos'!$W$5:$W$1003, 0)), "")</f>
        <v/>
      </c>
      <c r="L158" s="18" t="str">
        <f>IFERROR(INDEX('Detalles movimientos'!P$5:P$1003, MATCH(149, 'Detalles movimientos'!$W$5:$W$1003, 0)), "")</f>
        <v/>
      </c>
      <c r="M158" s="18" t="str">
        <f>IFERROR(INDEX('Detalles movimientos'!S$5:S$1003, MATCH(149, 'Detalles movimientos'!$W$5:$W$1003,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57" t="s">
        <v>92</v>
      </c>
      <c r="B1" s="46"/>
    </row>
    <row r="3" spans="1:2">
      <c r="A3" s="56" t="s">
        <v>93</v>
      </c>
      <c r="B3" s="46"/>
    </row>
    <row r="4" spans="1:2">
      <c r="A4" t="s">
        <v>94</v>
      </c>
      <c r="B4" s="30">
        <f>SUM('Detalles movimientos'!R:R)</f>
        <v>80273</v>
      </c>
    </row>
    <row r="5" spans="1:2">
      <c r="A5" t="s">
        <v>95</v>
      </c>
      <c r="B5" s="30">
        <f>SUM('Detalles movimientos'!I:I)</f>
        <v>9198.7999999999993</v>
      </c>
    </row>
    <row r="6" spans="1:2">
      <c r="A6" t="s">
        <v>96</v>
      </c>
      <c r="B6" s="30">
        <f>B4-B5</f>
        <v>71074.2</v>
      </c>
    </row>
    <row r="7" spans="1:2">
      <c r="A7" s="56"/>
      <c r="B7" s="46"/>
    </row>
    <row r="8" spans="1:2">
      <c r="A8" s="56" t="s">
        <v>97</v>
      </c>
      <c r="B8" s="46"/>
    </row>
    <row r="9" spans="1:2">
      <c r="A9" t="s">
        <v>98</v>
      </c>
      <c r="B9" s="31">
        <f>SUM('Detalles movimientos'!Q:Q)</f>
        <v>27004182</v>
      </c>
    </row>
    <row r="10" spans="1:2">
      <c r="A10" t="s">
        <v>99</v>
      </c>
      <c r="B10" s="31">
        <f>SUM('Detalles movimientos'!M:M)</f>
        <v>7400100</v>
      </c>
    </row>
    <row r="11" spans="1:2">
      <c r="A11" t="s">
        <v>100</v>
      </c>
      <c r="B11" s="31">
        <f>SUM('Detalles movimientos'!O:O)</f>
        <v>1180560</v>
      </c>
    </row>
    <row r="12" spans="1:2">
      <c r="A12" t="s">
        <v>101</v>
      </c>
      <c r="B12" s="31">
        <f>B10-B9</f>
        <v>-19604082</v>
      </c>
    </row>
    <row r="13" spans="1:2">
      <c r="A13" t="s">
        <v>102</v>
      </c>
      <c r="B13" s="31">
        <f>B11-B10</f>
        <v>-6219540</v>
      </c>
    </row>
    <row r="14" spans="1:2">
      <c r="A14" s="56"/>
      <c r="B14" s="46"/>
    </row>
    <row r="15" spans="1:2">
      <c r="A15" s="56" t="s">
        <v>103</v>
      </c>
      <c r="B15" s="46"/>
    </row>
    <row r="16" spans="1:2">
      <c r="A16" t="s">
        <v>104</v>
      </c>
      <c r="B16" s="31">
        <f>IF(B4&gt;0, B9/B4, 0)</f>
        <v>336.40429534214491</v>
      </c>
    </row>
    <row r="17" spans="1:2">
      <c r="A17" t="s">
        <v>105</v>
      </c>
      <c r="B17" s="31">
        <f>IF(B5&gt;0, B10/B5, 0)</f>
        <v>804.46362569030748</v>
      </c>
    </row>
    <row r="18" spans="1:2">
      <c r="A18" t="s">
        <v>106</v>
      </c>
      <c r="B18" s="32">
        <f>IF(B10&gt;0, B13/B10, 0)</f>
        <v>-0.84046702071593626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107</v>
      </c>
    </row>
    <row r="3" spans="2:13">
      <c r="B3" s="15" t="s">
        <v>108</v>
      </c>
    </row>
    <row r="5" spans="2:13">
      <c r="B5" s="61" t="s">
        <v>109</v>
      </c>
      <c r="C5" s="55"/>
      <c r="E5" s="61" t="s">
        <v>87</v>
      </c>
      <c r="F5" s="55"/>
      <c r="H5" s="61" t="s">
        <v>110</v>
      </c>
      <c r="I5" s="55"/>
      <c r="K5" s="61" t="s">
        <v>111</v>
      </c>
      <c r="L5" s="55"/>
    </row>
    <row r="6" spans="2:13">
      <c r="B6" s="60">
        <f>SUMIFS('Detalles movimientos'!I$5:I$1003, 'Detalles movimientos'!F$5:F$1003, "CJ")</f>
        <v>5902.8</v>
      </c>
      <c r="C6" s="51"/>
      <c r="E6" s="63">
        <f>SUMIFS('Detalles movimientos'!M$5:M$1003, 'Detalles movimientos'!F$5:F$1003, "CJ")</f>
        <v>6126100</v>
      </c>
      <c r="F6" s="51"/>
      <c r="H6" s="63">
        <f>SUMIFS('Detalles movimientos'!O$5:O$1003, 'Detalles movimientos'!F$5:F$1003, "CJ", 'Detalles movimientos'!P$5:P$1003, "*Comision Pagada*")</f>
        <v>485760</v>
      </c>
      <c r="I6" s="51"/>
      <c r="K6" s="63">
        <f>SUMIFS('Detalles movimientos'!O$5:O$1003, 'Detalles movimientos'!F$5:F$1003, "CJ", 'Detalles movimientos'!P$5:P$1003, "&lt;&gt;*Comision Pagada*")</f>
        <v>694800</v>
      </c>
      <c r="L6" s="51"/>
    </row>
    <row r="7" spans="2:13">
      <c r="B7" s="52"/>
      <c r="C7" s="53"/>
      <c r="E7" s="52"/>
      <c r="F7" s="53"/>
      <c r="H7" s="52"/>
      <c r="I7" s="53"/>
      <c r="K7" s="52"/>
      <c r="L7" s="53"/>
    </row>
    <row r="9" spans="2:13">
      <c r="B9" s="62" t="s">
        <v>112</v>
      </c>
      <c r="C9" s="55"/>
      <c r="D9" s="58" t="str">
        <f>"Del " &amp; TEXT(_xlfn.MINIFS('Detalles movimientos'!C$5:C$1003, 'Detalles movimientos'!F$5:F$1003, "CJ", 'Detalles movimientos'!P$5:P$1003, "*Comision Pagada*"), "dd/mm/yyyy") &amp; " al " &amp; TEXT(_xlfn.MAXIFS('Detalles movimientos'!C$5:C$1003, 'Detalles movimientos'!F$5:F$1003, "CJ", 'Detalles movimientos'!P$5:P$1003, "*Comision Pagada*"), "dd/mm/yyyy")</f>
        <v>Del 27/07/2026 al 27/07/2026</v>
      </c>
      <c r="E9" s="59"/>
      <c r="F9" s="55"/>
      <c r="H9" s="62" t="s">
        <v>113</v>
      </c>
      <c r="I9" s="55"/>
      <c r="J9" s="58" t="str">
        <f>"Del " &amp; TEXT(_xlfn.MINIFS('Detalles movimientos'!C$5:C$1003, 'Detalles movimientos'!F$5:F$1003, "CJ", 'Detalles movimientos'!P$5:P$1003, "&lt;&gt;*Comision Pagada*", 'Detalles movimientos'!C$5:C$1003, "&gt;0"), "dd/mm/yyyy") &amp; " al " &amp; TEXT(_xlfn.MAXIFS('Detalles movimientos'!C$5:C$1003, 'Detalles movimientos'!F$5:F$1003, "CJ", 'Detalles movimientos'!P$5:P$1003, "&lt;&gt;*Comision Pagada*"), "dd/mm/yyyy")</f>
        <v>Del 28/07/2026 al 20/08/2026</v>
      </c>
      <c r="K9" s="59"/>
      <c r="L9" s="55"/>
    </row>
    <row r="12" spans="2:13" ht="25" customHeight="1">
      <c r="B12" s="16" t="s">
        <v>1</v>
      </c>
      <c r="C12" s="16" t="s">
        <v>2</v>
      </c>
      <c r="D12" s="16" t="s">
        <v>3</v>
      </c>
      <c r="E12" s="16" t="s">
        <v>4</v>
      </c>
      <c r="F12" s="16" t="s">
        <v>5</v>
      </c>
      <c r="G12" s="16" t="s">
        <v>6</v>
      </c>
      <c r="H12" s="16" t="s">
        <v>89</v>
      </c>
      <c r="I12" s="16" t="s">
        <v>90</v>
      </c>
      <c r="J12" s="16" t="s">
        <v>11</v>
      </c>
      <c r="K12" s="16" t="s">
        <v>12</v>
      </c>
      <c r="L12" s="16" t="s">
        <v>13</v>
      </c>
      <c r="M12" s="16" t="s">
        <v>91</v>
      </c>
    </row>
    <row r="13" spans="2:13">
      <c r="B13" s="17">
        <f>IFERROR(INDEX('Detalles movimientos'!C$5:C$1003, MATCH(1, 'Detalles movimientos'!$T$5:$T$1003, 0)), "")</f>
        <v>46230</v>
      </c>
      <c r="C13" s="18" t="str">
        <f>IFERROR(INDEX('Detalles movimientos'!D$5:D$1003, MATCH(1, 'Detalles movimientos'!$T$5:$T$1003, 0)), "")</f>
        <v>Ricardo Brisas del Raco</v>
      </c>
      <c r="D13" s="19" t="str">
        <f>IFERROR(INDEX('Detalles movimientos'!E$5:E$1003, MATCH(1, 'Detalles movimientos'!$T$5:$T$1003, 0)), "")</f>
        <v>VJYL61</v>
      </c>
      <c r="E13" s="19" t="str">
        <f>IFERROR(INDEX('Detalles movimientos'!F$5:F$1003, MATCH(1, 'Detalles movimientos'!$T$5:$T$1003, 0)), "")</f>
        <v>CJ</v>
      </c>
      <c r="F13" s="18" t="str">
        <f>IFERROR(INDEX('Detalles movimientos'!G$5:G$1003, MATCH(1, 'Detalles movimientos'!$T$5:$T$1003, 0)), "")</f>
        <v>Brisas del Raco</v>
      </c>
      <c r="G13" s="20">
        <f>IFERROR(INDEX('Detalles movimientos'!H$5:H$1003, MATCH(1, 'Detalles movimientos'!$T$5:$T$1003, 0)), "")</f>
        <v>1000</v>
      </c>
      <c r="H13" s="21">
        <f>IFERROR(INDEX('Detalles movimientos'!I$5:I$1003, MATCH(1, 'Detalles movimientos'!$T$5:$T$1003, 0)), "")</f>
        <v>179.2</v>
      </c>
      <c r="I13" s="20">
        <f>IFERROR(INDEX('Detalles movimientos'!M$5:M$1003, MATCH(1, 'Detalles movimientos'!$T$5:$T$1003, 0)), "")</f>
        <v>179200</v>
      </c>
      <c r="J13" s="19" t="str">
        <f>IFERROR(INDEX('Detalles movimientos'!N$5:N$1003, MATCH(1, 'Detalles movimientos'!$T$5:$T$1003, 0)), "")</f>
        <v>Tarjeta</v>
      </c>
      <c r="K13" s="20">
        <f>IFERROR(INDEX('Detalles movimientos'!O$5:O$1003, MATCH(1, 'Detalles movimientos'!$T$5:$T$1003, 0)), "")</f>
        <v>35840</v>
      </c>
      <c r="L13" s="18" t="str">
        <f>IFERROR(INDEX('Detalles movimientos'!P$5:P$1003, MATCH(1, 'Detalles movimientos'!$T$5:$T$1003, 0)), "")</f>
        <v>Comision Pagada</v>
      </c>
      <c r="M13" s="18">
        <f>IFERROR(INDEX('Detalles movimientos'!S$5:S$1003, MATCH(1, 'Detalles movimientos'!$T$5:$T$1003, 0)), "")</f>
        <v>0</v>
      </c>
    </row>
    <row r="14" spans="2:13">
      <c r="B14" s="17">
        <f>IFERROR(INDEX('Detalles movimientos'!C$5:C$1003, MATCH(2, 'Detalles movimientos'!$T$5:$T$1003, 0)), "")</f>
        <v>46230</v>
      </c>
      <c r="C14" s="18" t="str">
        <f>IFERROR(INDEX('Detalles movimientos'!D$5:D$1003, MATCH(2, 'Detalles movimientos'!$T$5:$T$1003, 0)), "")</f>
        <v>Ale Turko</v>
      </c>
      <c r="D14" s="19" t="str">
        <f>IFERROR(INDEX('Detalles movimientos'!E$5:E$1003, MATCH(2, 'Detalles movimientos'!$T$5:$T$1003, 0)), "")</f>
        <v>VJYL61</v>
      </c>
      <c r="E14" s="19" t="str">
        <f>IFERROR(INDEX('Detalles movimientos'!F$5:F$1003, MATCH(2, 'Detalles movimientos'!$T$5:$T$1003, 0)), "")</f>
        <v>CJ</v>
      </c>
      <c r="F14" s="18">
        <f>IFERROR(INDEX('Detalles movimientos'!G$5:G$1003, MATCH(2, 'Detalles movimientos'!$T$5:$T$1003, 0)), "")</f>
        <v>0</v>
      </c>
      <c r="G14" s="20">
        <f>IFERROR(INDEX('Detalles movimientos'!H$5:H$1003, MATCH(2, 'Detalles movimientos'!$T$5:$T$1003, 0)), "")</f>
        <v>1000</v>
      </c>
      <c r="H14" s="21">
        <f>IFERROR(INDEX('Detalles movimientos'!I$5:I$1003, MATCH(2, 'Detalles movimientos'!$T$5:$T$1003, 0)), "")</f>
        <v>518.1</v>
      </c>
      <c r="I14" s="20">
        <f>IFERROR(INDEX('Detalles movimientos'!M$5:M$1003, MATCH(2, 'Detalles movimientos'!$T$5:$T$1003, 0)), "")</f>
        <v>518100</v>
      </c>
      <c r="J14" s="19" t="str">
        <f>IFERROR(INDEX('Detalles movimientos'!N$5:N$1003, MATCH(2, 'Detalles movimientos'!$T$5:$T$1003, 0)), "")</f>
        <v>Pendiente de pago</v>
      </c>
      <c r="K14" s="20">
        <f>IFERROR(INDEX('Detalles movimientos'!O$5:O$1003, MATCH(2, 'Detalles movimientos'!$T$5:$T$1003, 0)), "")</f>
        <v>103620</v>
      </c>
      <c r="L14" s="18" t="str">
        <f>IFERROR(INDEX('Detalles movimientos'!P$5:P$1003, MATCH(2, 'Detalles movimientos'!$T$5:$T$1003, 0)), "")</f>
        <v>Comision Pagada</v>
      </c>
      <c r="M14" s="18">
        <f>IFERROR(INDEX('Detalles movimientos'!S$5:S$1003, MATCH(2, 'Detalles movimientos'!$T$5:$T$1003, 0)), "")</f>
        <v>0</v>
      </c>
    </row>
    <row r="15" spans="2:13">
      <c r="B15" s="17">
        <f>IFERROR(INDEX('Detalles movimientos'!C$5:C$1003, MATCH(3, 'Detalles movimientos'!$T$5:$T$1003, 0)), "")</f>
        <v>46230</v>
      </c>
      <c r="C15" s="18" t="str">
        <f>IFERROR(INDEX('Detalles movimientos'!D$5:D$1003, MATCH(3, 'Detalles movimientos'!$T$5:$T$1003, 0)), "")</f>
        <v xml:space="preserve">Tirua </v>
      </c>
      <c r="D15" s="19" t="str">
        <f>IFERROR(INDEX('Detalles movimientos'!E$5:E$1003, MATCH(3, 'Detalles movimientos'!$T$5:$T$1003, 0)), "")</f>
        <v>VJYL61</v>
      </c>
      <c r="E15" s="19" t="str">
        <f>IFERROR(INDEX('Detalles movimientos'!F$5:F$1003, MATCH(3, 'Detalles movimientos'!$T$5:$T$1003, 0)), "")</f>
        <v>CJ</v>
      </c>
      <c r="F15" s="18">
        <f>IFERROR(INDEX('Detalles movimientos'!G$5:G$1003, MATCH(3, 'Detalles movimientos'!$T$5:$T$1003, 0)), "")</f>
        <v>0</v>
      </c>
      <c r="G15" s="20">
        <f>IFERROR(INDEX('Detalles movimientos'!H$5:H$1003, MATCH(3, 'Detalles movimientos'!$T$5:$T$1003, 0)), "")</f>
        <v>1000</v>
      </c>
      <c r="H15" s="21">
        <f>IFERROR(INDEX('Detalles movimientos'!I$5:I$1003, MATCH(3, 'Detalles movimientos'!$T$5:$T$1003, 0)), "")</f>
        <v>488.2</v>
      </c>
      <c r="I15" s="20">
        <f>IFERROR(INDEX('Detalles movimientos'!M$5:M$1003, MATCH(3, 'Detalles movimientos'!$T$5:$T$1003, 0)), "")</f>
        <v>488200</v>
      </c>
      <c r="J15" s="19" t="str">
        <f>IFERROR(INDEX('Detalles movimientos'!N$5:N$1003, MATCH(3, 'Detalles movimientos'!$T$5:$T$1003, 0)), "")</f>
        <v>Pendiente de pago</v>
      </c>
      <c r="K15" s="20">
        <f>IFERROR(INDEX('Detalles movimientos'!O$5:O$1003, MATCH(3, 'Detalles movimientos'!$T$5:$T$1003, 0)), "")</f>
        <v>97640</v>
      </c>
      <c r="L15" s="18" t="str">
        <f>IFERROR(INDEX('Detalles movimientos'!P$5:P$1003, MATCH(3, 'Detalles movimientos'!$T$5:$T$1003, 0)), "")</f>
        <v>Comision Pagada</v>
      </c>
      <c r="M15" s="18">
        <f>IFERROR(INDEX('Detalles movimientos'!S$5:S$1003, MATCH(3, 'Detalles movimientos'!$T$5:$T$1003, 0)), "")</f>
        <v>0</v>
      </c>
    </row>
    <row r="16" spans="2:13">
      <c r="B16" s="17">
        <f>IFERROR(INDEX('Detalles movimientos'!C$5:C$1003, MATCH(4, 'Detalles movimientos'!$T$5:$T$1003, 0)), "")</f>
        <v>46230</v>
      </c>
      <c r="C16" s="18" t="str">
        <f>IFERROR(INDEX('Detalles movimientos'!D$5:D$1003, MATCH(4, 'Detalles movimientos'!$T$5:$T$1003, 0)), "")</f>
        <v xml:space="preserve">Ciao Italia </v>
      </c>
      <c r="D16" s="19" t="str">
        <f>IFERROR(INDEX('Detalles movimientos'!E$5:E$1003, MATCH(4, 'Detalles movimientos'!$T$5:$T$1003, 0)), "")</f>
        <v>VJYL61</v>
      </c>
      <c r="E16" s="19" t="str">
        <f>IFERROR(INDEX('Detalles movimientos'!F$5:F$1003, MATCH(4, 'Detalles movimientos'!$T$5:$T$1003, 0)), "")</f>
        <v>CJ</v>
      </c>
      <c r="F16" s="18">
        <f>IFERROR(INDEX('Detalles movimientos'!G$5:G$1003, MATCH(4, 'Detalles movimientos'!$T$5:$T$1003, 0)), "")</f>
        <v>0</v>
      </c>
      <c r="G16" s="20">
        <f>IFERROR(INDEX('Detalles movimientos'!H$5:H$1003, MATCH(4, 'Detalles movimientos'!$T$5:$T$1003, 0)), "")</f>
        <v>1000</v>
      </c>
      <c r="H16" s="21">
        <f>IFERROR(INDEX('Detalles movimientos'!I$5:I$1003, MATCH(4, 'Detalles movimientos'!$T$5:$T$1003, 0)), "")</f>
        <v>500.3</v>
      </c>
      <c r="I16" s="20">
        <f>IFERROR(INDEX('Detalles movimientos'!M$5:M$1003, MATCH(4, 'Detalles movimientos'!$T$5:$T$1003, 0)), "")</f>
        <v>500300</v>
      </c>
      <c r="J16" s="19" t="str">
        <f>IFERROR(INDEX('Detalles movimientos'!N$5:N$1003, MATCH(4, 'Detalles movimientos'!$T$5:$T$1003, 0)), "")</f>
        <v>Pendiente de pago</v>
      </c>
      <c r="K16" s="20">
        <f>IFERROR(INDEX('Detalles movimientos'!O$5:O$1003, MATCH(4, 'Detalles movimientos'!$T$5:$T$1003, 0)), "")</f>
        <v>100060</v>
      </c>
      <c r="L16" s="18" t="str">
        <f>IFERROR(INDEX('Detalles movimientos'!P$5:P$1003, MATCH(4, 'Detalles movimientos'!$T$5:$T$1003, 0)), "")</f>
        <v>Comision Pagada</v>
      </c>
      <c r="M16" s="18">
        <f>IFERROR(INDEX('Detalles movimientos'!S$5:S$1003, MATCH(4, 'Detalles movimientos'!$T$5:$T$1003, 0)), "")</f>
        <v>0</v>
      </c>
    </row>
    <row r="17" spans="2:13">
      <c r="B17" s="17">
        <f>IFERROR(INDEX('Detalles movimientos'!C$5:C$1003, MATCH(5, 'Detalles movimientos'!$T$5:$T$1003, 0)), "")</f>
        <v>46230</v>
      </c>
      <c r="C17" s="18" t="str">
        <f>IFERROR(INDEX('Detalles movimientos'!D$5:D$1003, MATCH(5, 'Detalles movimientos'!$T$5:$T$1003, 0)), "")</f>
        <v xml:space="preserve">Claudio Ulloa </v>
      </c>
      <c r="D17" s="19" t="str">
        <f>IFERROR(INDEX('Detalles movimientos'!E$5:E$1003, MATCH(5, 'Detalles movimientos'!$T$5:$T$1003, 0)), "")</f>
        <v>VJYL61</v>
      </c>
      <c r="E17" s="19" t="str">
        <f>IFERROR(INDEX('Detalles movimientos'!F$5:F$1003, MATCH(5, 'Detalles movimientos'!$T$5:$T$1003, 0)), "")</f>
        <v>CJ</v>
      </c>
      <c r="F17" s="18">
        <f>IFERROR(INDEX('Detalles movimientos'!G$5:G$1003, MATCH(5, 'Detalles movimientos'!$T$5:$T$1003, 0)), "")</f>
        <v>0</v>
      </c>
      <c r="G17" s="20">
        <f>IFERROR(INDEX('Detalles movimientos'!H$5:H$1003, MATCH(5, 'Detalles movimientos'!$T$5:$T$1003, 0)), "")</f>
        <v>1000</v>
      </c>
      <c r="H17" s="21">
        <f>IFERROR(INDEX('Detalles movimientos'!I$5:I$1003, MATCH(5, 'Detalles movimientos'!$T$5:$T$1003, 0)), "")</f>
        <v>237.9</v>
      </c>
      <c r="I17" s="20">
        <f>IFERROR(INDEX('Detalles movimientos'!M$5:M$1003, MATCH(5, 'Detalles movimientos'!$T$5:$T$1003, 0)), "")</f>
        <v>237900</v>
      </c>
      <c r="J17" s="19" t="str">
        <f>IFERROR(INDEX('Detalles movimientos'!N$5:N$1003, MATCH(5, 'Detalles movimientos'!$T$5:$T$1003, 0)), "")</f>
        <v>Pendiente de pago</v>
      </c>
      <c r="K17" s="20">
        <f>IFERROR(INDEX('Detalles movimientos'!O$5:O$1003, MATCH(5, 'Detalles movimientos'!$T$5:$T$1003, 0)), "")</f>
        <v>47580</v>
      </c>
      <c r="L17" s="18" t="str">
        <f>IFERROR(INDEX('Detalles movimientos'!P$5:P$1003, MATCH(5, 'Detalles movimientos'!$T$5:$T$1003, 0)), "")</f>
        <v>Comision Pagada</v>
      </c>
      <c r="M17" s="18">
        <f>IFERROR(INDEX('Detalles movimientos'!S$5:S$1003, MATCH(5, 'Detalles movimientos'!$T$5:$T$1003, 0)), "")</f>
        <v>0</v>
      </c>
    </row>
    <row r="18" spans="2:13">
      <c r="B18" s="17">
        <f>IFERROR(INDEX('Detalles movimientos'!C$5:C$1003, MATCH(6, 'Detalles movimientos'!$T$5:$T$1003, 0)), "")</f>
        <v>46230</v>
      </c>
      <c r="C18" s="18" t="str">
        <f>IFERROR(INDEX('Detalles movimientos'!D$5:D$1003, MATCH(6, 'Detalles movimientos'!$T$5:$T$1003, 0)), "")</f>
        <v>Francisco Ulloa</v>
      </c>
      <c r="D18" s="19" t="str">
        <f>IFERROR(INDEX('Detalles movimientos'!E$5:E$1003, MATCH(6, 'Detalles movimientos'!$T$5:$T$1003, 0)), "")</f>
        <v>VJYL61</v>
      </c>
      <c r="E18" s="19" t="str">
        <f>IFERROR(INDEX('Detalles movimientos'!F$5:F$1003, MATCH(6, 'Detalles movimientos'!$T$5:$T$1003, 0)), "")</f>
        <v>CJ</v>
      </c>
      <c r="F18" s="18">
        <f>IFERROR(INDEX('Detalles movimientos'!G$5:G$1003, MATCH(6, 'Detalles movimientos'!$T$5:$T$1003, 0)), "")</f>
        <v>0</v>
      </c>
      <c r="G18" s="20">
        <f>IFERROR(INDEX('Detalles movimientos'!H$5:H$1003, MATCH(6, 'Detalles movimientos'!$T$5:$T$1003, 0)), "")</f>
        <v>1000</v>
      </c>
      <c r="H18" s="21">
        <f>IFERROR(INDEX('Detalles movimientos'!I$5:I$1003, MATCH(6, 'Detalles movimientos'!$T$5:$T$1003, 0)), "")</f>
        <v>205.1</v>
      </c>
      <c r="I18" s="20">
        <f>IFERROR(INDEX('Detalles movimientos'!M$5:M$1003, MATCH(6, 'Detalles movimientos'!$T$5:$T$1003, 0)), "")</f>
        <v>205100</v>
      </c>
      <c r="J18" s="19" t="str">
        <f>IFERROR(INDEX('Detalles movimientos'!N$5:N$1003, MATCH(6, 'Detalles movimientos'!$T$5:$T$1003, 0)), "")</f>
        <v>Pendiente de pago</v>
      </c>
      <c r="K18" s="20">
        <f>IFERROR(INDEX('Detalles movimientos'!O$5:O$1003, MATCH(6, 'Detalles movimientos'!$T$5:$T$1003, 0)), "")</f>
        <v>41020</v>
      </c>
      <c r="L18" s="18" t="str">
        <f>IFERROR(INDEX('Detalles movimientos'!P$5:P$1003, MATCH(6, 'Detalles movimientos'!$T$5:$T$1003, 0)), "")</f>
        <v>Comision Pagada</v>
      </c>
      <c r="M18" s="18">
        <f>IFERROR(INDEX('Detalles movimientos'!S$5:S$1003, MATCH(6, 'Detalles movimientos'!$T$5:$T$1003, 0)), "")</f>
        <v>0</v>
      </c>
    </row>
    <row r="19" spans="2:13">
      <c r="B19" s="17">
        <f>IFERROR(INDEX('Detalles movimientos'!C$5:C$1003, MATCH(7, 'Detalles movimientos'!$T$5:$T$1003, 0)), "")</f>
        <v>46230</v>
      </c>
      <c r="C19" s="18" t="str">
        <f>IFERROR(INDEX('Detalles movimientos'!D$5:D$1003, MATCH(7, 'Detalles movimientos'!$T$5:$T$1003, 0)), "")</f>
        <v>Alicia Pavez</v>
      </c>
      <c r="D19" s="19" t="str">
        <f>IFERROR(INDEX('Detalles movimientos'!E$5:E$1003, MATCH(7, 'Detalles movimientos'!$T$5:$T$1003, 0)), "")</f>
        <v>VJYL61</v>
      </c>
      <c r="E19" s="19" t="str">
        <f>IFERROR(INDEX('Detalles movimientos'!F$5:F$1003, MATCH(7, 'Detalles movimientos'!$T$5:$T$1003, 0)), "")</f>
        <v>CJ</v>
      </c>
      <c r="F19" s="18">
        <f>IFERROR(INDEX('Detalles movimientos'!G$5:G$1003, MATCH(7, 'Detalles movimientos'!$T$5:$T$1003, 0)), "")</f>
        <v>0</v>
      </c>
      <c r="G19" s="20">
        <f>IFERROR(INDEX('Detalles movimientos'!H$5:H$1003, MATCH(7, 'Detalles movimientos'!$T$5:$T$1003, 0)), "")</f>
        <v>1000</v>
      </c>
      <c r="H19" s="21">
        <f>IFERROR(INDEX('Detalles movimientos'!I$5:I$1003, MATCH(7, 'Detalles movimientos'!$T$5:$T$1003, 0)), "")</f>
        <v>300</v>
      </c>
      <c r="I19" s="20">
        <f>IFERROR(INDEX('Detalles movimientos'!M$5:M$1003, MATCH(7, 'Detalles movimientos'!$T$5:$T$1003, 0)), "")</f>
        <v>300000</v>
      </c>
      <c r="J19" s="19" t="str">
        <f>IFERROR(INDEX('Detalles movimientos'!N$5:N$1003, MATCH(7, 'Detalles movimientos'!$T$5:$T$1003, 0)), "")</f>
        <v>Transferencia</v>
      </c>
      <c r="K19" s="20">
        <f>IFERROR(INDEX('Detalles movimientos'!O$5:O$1003, MATCH(7, 'Detalles movimientos'!$T$5:$T$1003, 0)), "")</f>
        <v>60000</v>
      </c>
      <c r="L19" s="18" t="str">
        <f>IFERROR(INDEX('Detalles movimientos'!P$5:P$1003, MATCH(7, 'Detalles movimientos'!$T$5:$T$1003, 0)), "")</f>
        <v>Comision Pagada</v>
      </c>
      <c r="M19" s="18">
        <f>IFERROR(INDEX('Detalles movimientos'!S$5:S$1003, MATCH(7, 'Detalles movimientos'!$T$5:$T$1003, 0)), "")</f>
        <v>2428.8000000000002</v>
      </c>
    </row>
    <row r="20" spans="2:13">
      <c r="B20" s="17">
        <f>IFERROR(INDEX('Detalles movimientos'!C$5:C$1003, MATCH(8, 'Detalles movimientos'!$T$5:$T$1003, 0)), "")</f>
        <v>46231</v>
      </c>
      <c r="C20" s="18" t="str">
        <f>IFERROR(INDEX('Detalles movimientos'!D$5:D$1003, MATCH(8, 'Detalles movimientos'!$T$5:$T$1003, 0)), "")</f>
        <v xml:space="preserve">Vanessa </v>
      </c>
      <c r="D20" s="19" t="str">
        <f>IFERROR(INDEX('Detalles movimientos'!E$5:E$1003, MATCH(8, 'Detalles movimientos'!$T$5:$T$1003, 0)), "")</f>
        <v>VJYL61</v>
      </c>
      <c r="E20" s="19" t="str">
        <f>IFERROR(INDEX('Detalles movimientos'!F$5:F$1003, MATCH(8, 'Detalles movimientos'!$T$5:$T$1003, 0)), "")</f>
        <v>CJ</v>
      </c>
      <c r="F20" s="18">
        <f>IFERROR(INDEX('Detalles movimientos'!G$5:G$1003, MATCH(8, 'Detalles movimientos'!$T$5:$T$1003, 0)), "")</f>
        <v>0</v>
      </c>
      <c r="G20" s="20">
        <f>IFERROR(INDEX('Detalles movimientos'!H$5:H$1003, MATCH(8, 'Detalles movimientos'!$T$5:$T$1003, 0)), "")</f>
        <v>1000</v>
      </c>
      <c r="H20" s="21">
        <f>IFERROR(INDEX('Detalles movimientos'!I$5:I$1003, MATCH(8, 'Detalles movimientos'!$T$5:$T$1003, 0)), "")</f>
        <v>200</v>
      </c>
      <c r="I20" s="20">
        <f>IFERROR(INDEX('Detalles movimientos'!M$5:M$1003, MATCH(8, 'Detalles movimientos'!$T$5:$T$1003, 0)), "")</f>
        <v>200000</v>
      </c>
      <c r="J20" s="19" t="str">
        <f>IFERROR(INDEX('Detalles movimientos'!N$5:N$1003, MATCH(8, 'Detalles movimientos'!$T$5:$T$1003, 0)), "")</f>
        <v>Transferencia</v>
      </c>
      <c r="K20" s="20">
        <f>IFERROR(INDEX('Detalles movimientos'!O$5:O$1003, MATCH(8, 'Detalles movimientos'!$T$5:$T$1003, 0)), "")</f>
        <v>40000</v>
      </c>
      <c r="L20" s="18">
        <f>IFERROR(INDEX('Detalles movimientos'!P$5:P$1003, MATCH(8, 'Detalles movimientos'!$T$5:$T$1003, 0)), "")</f>
        <v>0</v>
      </c>
      <c r="M20" s="18">
        <f>IFERROR(INDEX('Detalles movimientos'!S$5:S$1003, MATCH(8, 'Detalles movimientos'!$T$5:$T$1003, 0)), "")</f>
        <v>0</v>
      </c>
    </row>
    <row r="21" spans="2:13">
      <c r="B21" s="17">
        <f>IFERROR(INDEX('Detalles movimientos'!C$5:C$1003, MATCH(9, 'Detalles movimientos'!$T$5:$T$1003, 0)), "")</f>
        <v>46233</v>
      </c>
      <c r="C21" s="18" t="str">
        <f>IFERROR(INDEX('Detalles movimientos'!D$5:D$1003, MATCH(9, 'Detalles movimientos'!$T$5:$T$1003, 0)), "")</f>
        <v>Simon</v>
      </c>
      <c r="D21" s="19" t="str">
        <f>IFERROR(INDEX('Detalles movimientos'!E$5:E$1003, MATCH(9, 'Detalles movimientos'!$T$5:$T$1003, 0)), "")</f>
        <v>VJYL61</v>
      </c>
      <c r="E21" s="19" t="str">
        <f>IFERROR(INDEX('Detalles movimientos'!F$5:F$1003, MATCH(9, 'Detalles movimientos'!$T$5:$T$1003, 0)), "")</f>
        <v>CJ</v>
      </c>
      <c r="F21" s="18" t="str">
        <f>IFERROR(INDEX('Detalles movimientos'!G$5:G$1003, MATCH(9, 'Detalles movimientos'!$T$5:$T$1003, 0)), "")</f>
        <v>Camino el Chalaco 66B</v>
      </c>
      <c r="G21" s="20">
        <f>IFERROR(INDEX('Detalles movimientos'!H$5:H$1003, MATCH(9, 'Detalles movimientos'!$T$5:$T$1003, 0)), "")</f>
        <v>1000</v>
      </c>
      <c r="H21" s="21">
        <f>IFERROR(INDEX('Detalles movimientos'!I$5:I$1003, MATCH(9, 'Detalles movimientos'!$T$5:$T$1003, 0)), "")</f>
        <v>747</v>
      </c>
      <c r="I21" s="20">
        <f>IFERROR(INDEX('Detalles movimientos'!M$5:M$1003, MATCH(9, 'Detalles movimientos'!$T$5:$T$1003, 0)), "")</f>
        <v>747000</v>
      </c>
      <c r="J21" s="19" t="str">
        <f>IFERROR(INDEX('Detalles movimientos'!N$5:N$1003, MATCH(9, 'Detalles movimientos'!$T$5:$T$1003, 0)), "")</f>
        <v>Transferencia</v>
      </c>
      <c r="K21" s="20">
        <f>IFERROR(INDEX('Detalles movimientos'!O$5:O$1003, MATCH(9, 'Detalles movimientos'!$T$5:$T$1003, 0)), "")</f>
        <v>149400</v>
      </c>
      <c r="L21" s="18" t="str">
        <f>IFERROR(INDEX('Detalles movimientos'!P$5:P$1003, MATCH(9, 'Detalles movimientos'!$T$5:$T$1003, 0)), "")</f>
        <v>Factura</v>
      </c>
      <c r="M21" s="18" t="str">
        <f>IFERROR(INDEX('Detalles movimientos'!S$5:S$1003, MATCH(9, 'Detalles movimientos'!$T$5:$T$1003, 0)), "")</f>
        <v>Ebal spa - RUT: 77.625.623-4 - Av Gabriela 3264 La Pintana - Giro Construccion</v>
      </c>
    </row>
    <row r="22" spans="2:13">
      <c r="B22" s="17">
        <f>IFERROR(INDEX('Detalles movimientos'!C$5:C$1003, MATCH(10, 'Detalles movimientos'!$T$5:$T$1003, 0)), "")</f>
        <v>46237</v>
      </c>
      <c r="C22" s="18" t="str">
        <f>IFERROR(INDEX('Detalles movimientos'!D$5:D$1003, MATCH(10, 'Detalles movimientos'!$T$5:$T$1003, 0)), "")</f>
        <v>Manuel Vergara Ricci</v>
      </c>
      <c r="D22" s="19" t="str">
        <f>IFERROR(INDEX('Detalles movimientos'!E$5:E$1003, MATCH(10, 'Detalles movimientos'!$T$5:$T$1003, 0)), "")</f>
        <v>VJYL61</v>
      </c>
      <c r="E22" s="19" t="str">
        <f>IFERROR(INDEX('Detalles movimientos'!F$5:F$1003, MATCH(10, 'Detalles movimientos'!$T$5:$T$1003, 0)), "")</f>
        <v>CJ</v>
      </c>
      <c r="F22" s="18" t="str">
        <f>IFERROR(INDEX('Detalles movimientos'!G$5:G$1003, MATCH(10, 'Detalles movimientos'!$T$5:$T$1003, 0)), "")</f>
        <v>Avenida Virginia subercaseaux 4175 (parcela 15)</v>
      </c>
      <c r="G22" s="20">
        <f>IFERROR(INDEX('Detalles movimientos'!H$5:H$1003, MATCH(10, 'Detalles movimientos'!$T$5:$T$1003, 0)), "")</f>
        <v>1100</v>
      </c>
      <c r="H22" s="21">
        <f>IFERROR(INDEX('Detalles movimientos'!I$5:I$1003, MATCH(10, 'Detalles movimientos'!$T$5:$T$1003, 0)), "")</f>
        <v>200</v>
      </c>
      <c r="I22" s="20">
        <f>IFERROR(INDEX('Detalles movimientos'!M$5:M$1003, MATCH(10, 'Detalles movimientos'!$T$5:$T$1003, 0)), "")</f>
        <v>220000</v>
      </c>
      <c r="J22" s="19" t="str">
        <f>IFERROR(INDEX('Detalles movimientos'!N$5:N$1003, MATCH(10, 'Detalles movimientos'!$T$5:$T$1003, 0)), "")</f>
        <v>Transferencia</v>
      </c>
      <c r="K22" s="20">
        <f>IFERROR(INDEX('Detalles movimientos'!O$5:O$1003, MATCH(10, 'Detalles movimientos'!$T$5:$T$1003, 0)), "")</f>
        <v>40000</v>
      </c>
      <c r="L22" s="18">
        <f>IFERROR(INDEX('Detalles movimientos'!P$5:P$1003, MATCH(10, 'Detalles movimientos'!$T$5:$T$1003, 0)), "")</f>
        <v>0</v>
      </c>
      <c r="M22" s="18">
        <f>IFERROR(INDEX('Detalles movimientos'!S$5:S$1003, MATCH(10, 'Detalles movimientos'!$T$5:$T$1003, 0)), "")</f>
        <v>0</v>
      </c>
    </row>
    <row r="23" spans="2:13">
      <c r="B23" s="17">
        <f>IFERROR(INDEX('Detalles movimientos'!C$5:C$1003, MATCH(11, 'Detalles movimientos'!$T$5:$T$1003, 0)), "")</f>
        <v>46237</v>
      </c>
      <c r="C23" s="18" t="str">
        <f>IFERROR(INDEX('Detalles movimientos'!D$5:D$1003, MATCH(11, 'Detalles movimientos'!$T$5:$T$1003, 0)), "")</f>
        <v>Gabriela Rojas</v>
      </c>
      <c r="D23" s="19" t="str">
        <f>IFERROR(INDEX('Detalles movimientos'!E$5:E$1003, MATCH(11, 'Detalles movimientos'!$T$5:$T$1003, 0)), "")</f>
        <v>VJYL61</v>
      </c>
      <c r="E23" s="19" t="str">
        <f>IFERROR(INDEX('Detalles movimientos'!F$5:F$1003, MATCH(11, 'Detalles movimientos'!$T$5:$T$1003, 0)), "")</f>
        <v>CJ</v>
      </c>
      <c r="F23" s="18" t="str">
        <f>IFERROR(INDEX('Detalles movimientos'!G$5:G$1003, MATCH(11, 'Detalles movimientos'!$T$5:$T$1003, 0)), "")</f>
        <v>Camino de las flores 1262 Pirque</v>
      </c>
      <c r="G23" s="20">
        <f>IFERROR(INDEX('Detalles movimientos'!H$5:H$1003, MATCH(11, 'Detalles movimientos'!$T$5:$T$1003, 0)), "")</f>
        <v>1100</v>
      </c>
      <c r="H23" s="21">
        <f>IFERROR(INDEX('Detalles movimientos'!I$5:I$1003, MATCH(11, 'Detalles movimientos'!$T$5:$T$1003, 0)), "")</f>
        <v>350</v>
      </c>
      <c r="I23" s="20">
        <f>IFERROR(INDEX('Detalles movimientos'!M$5:M$1003, MATCH(11, 'Detalles movimientos'!$T$5:$T$1003, 0)), "")</f>
        <v>385000</v>
      </c>
      <c r="J23" s="19" t="str">
        <f>IFERROR(INDEX('Detalles movimientos'!N$5:N$1003, MATCH(11, 'Detalles movimientos'!$T$5:$T$1003, 0)), "")</f>
        <v>Transferencia en dos</v>
      </c>
      <c r="K23" s="20">
        <f>IFERROR(INDEX('Detalles movimientos'!O$5:O$1003, MATCH(11, 'Detalles movimientos'!$T$5:$T$1003, 0)), "")</f>
        <v>70000</v>
      </c>
      <c r="L23" s="18" t="str">
        <f>IFERROR(INDEX('Detalles movimientos'!P$5:P$1003, MATCH(11, 'Detalles movimientos'!$T$5:$T$1003, 0)), "")</f>
        <v>Quedó saldo de $35 mil para mañana</v>
      </c>
      <c r="M23" s="18">
        <f>IFERROR(INDEX('Detalles movimientos'!S$5:S$1003, MATCH(11, 'Detalles movimientos'!$T$5:$T$1003, 0)), "")</f>
        <v>0</v>
      </c>
    </row>
    <row r="24" spans="2:13">
      <c r="B24" s="17">
        <f>IFERROR(INDEX('Detalles movimientos'!C$5:C$1003, MATCH(12, 'Detalles movimientos'!$T$5:$T$1003, 0)), "")</f>
        <v>46239</v>
      </c>
      <c r="C24" s="18" t="str">
        <f>IFERROR(INDEX('Detalles movimientos'!D$5:D$1003, MATCH(12, 'Detalles movimientos'!$T$5:$T$1003, 0)), "")</f>
        <v>Casa de Reposo Brisas</v>
      </c>
      <c r="D24" s="19" t="str">
        <f>IFERROR(INDEX('Detalles movimientos'!E$5:E$1003, MATCH(12, 'Detalles movimientos'!$T$5:$T$1003, 0)), "")</f>
        <v>VJYL61</v>
      </c>
      <c r="E24" s="19" t="str">
        <f>IFERROR(INDEX('Detalles movimientos'!F$5:F$1003, MATCH(12, 'Detalles movimientos'!$T$5:$T$1003, 0)), "")</f>
        <v>CJ</v>
      </c>
      <c r="F24" s="18" t="str">
        <f>IFERROR(INDEX('Detalles movimientos'!G$5:G$1003, MATCH(12, 'Detalles movimientos'!$T$5:$T$1003, 0)), "")</f>
        <v>Brisas del raco parcela 36 Pirque</v>
      </c>
      <c r="G24" s="20">
        <f>IFERROR(INDEX('Detalles movimientos'!H$5:H$1003, MATCH(12, 'Detalles movimientos'!$T$5:$T$1003, 0)), "")</f>
        <v>1100</v>
      </c>
      <c r="H24" s="21">
        <f>IFERROR(INDEX('Detalles movimientos'!I$5:I$1003, MATCH(12, 'Detalles movimientos'!$T$5:$T$1003, 0)), "")</f>
        <v>270</v>
      </c>
      <c r="I24" s="20">
        <f>IFERROR(INDEX('Detalles movimientos'!M$5:M$1003, MATCH(12, 'Detalles movimientos'!$T$5:$T$1003, 0)), "")</f>
        <v>297000</v>
      </c>
      <c r="J24" s="19" t="str">
        <f>IFERROR(INDEX('Detalles movimientos'!N$5:N$1003, MATCH(12, 'Detalles movimientos'!$T$5:$T$1003, 0)), "")</f>
        <v>Transferencia</v>
      </c>
      <c r="K24" s="20">
        <f>IFERROR(INDEX('Detalles movimientos'!O$5:O$1003, MATCH(12, 'Detalles movimientos'!$T$5:$T$1003, 0)), "")</f>
        <v>54000</v>
      </c>
      <c r="L24" s="18" t="str">
        <f>IFERROR(INDEX('Detalles movimientos'!P$5:P$1003, MATCH(12, 'Detalles movimientos'!$T$5:$T$1003, 0)), "")</f>
        <v>Factura</v>
      </c>
      <c r="M24" s="18" t="str">
        <f>IFERROR(INDEX('Detalles movimientos'!S$5:S$1003, MATCH(12, 'Detalles movimientos'!$T$5:$T$1003, 0)), "")</f>
        <v>Residencia Adulto Mayor Amor Eterno SpA - Rut 76.699.397-4 - Los Almendros Parcela2B Pirque</v>
      </c>
    </row>
    <row r="25" spans="2:13">
      <c r="B25" s="17">
        <f>IFERROR(INDEX('Detalles movimientos'!C$5:C$1003, MATCH(13, 'Detalles movimientos'!$T$5:$T$1003, 0)), "")</f>
        <v>46245</v>
      </c>
      <c r="C25" s="18" t="str">
        <f>IFERROR(INDEX('Detalles movimientos'!D$5:D$1003, MATCH(13, 'Detalles movimientos'!$T$5:$T$1003, 0)), "")</f>
        <v>Eli Ciao Italia</v>
      </c>
      <c r="D25" s="19" t="str">
        <f>IFERROR(INDEX('Detalles movimientos'!E$5:E$1003, MATCH(13, 'Detalles movimientos'!$T$5:$T$1003, 0)), "")</f>
        <v>VJYL61</v>
      </c>
      <c r="E25" s="19" t="str">
        <f>IFERROR(INDEX('Detalles movimientos'!F$5:F$1003, MATCH(13, 'Detalles movimientos'!$T$5:$T$1003, 0)), "")</f>
        <v>CJ</v>
      </c>
      <c r="F25" s="18" t="str">
        <f>IFERROR(INDEX('Detalles movimientos'!G$5:G$1003, MATCH(13, 'Detalles movimientos'!$T$5:$T$1003, 0)), "")</f>
        <v>Camino rinconada san Vicente parcela 38</v>
      </c>
      <c r="G25" s="20">
        <f>IFERROR(INDEX('Detalles movimientos'!H$5:H$1003, MATCH(13, 'Detalles movimientos'!$T$5:$T$1003, 0)), "")</f>
        <v>1100</v>
      </c>
      <c r="H25" s="21">
        <f>IFERROR(INDEX('Detalles movimientos'!I$5:I$1003, MATCH(13, 'Detalles movimientos'!$T$5:$T$1003, 0)), "")</f>
        <v>404</v>
      </c>
      <c r="I25" s="20">
        <f>IFERROR(INDEX('Detalles movimientos'!M$5:M$1003, MATCH(13, 'Detalles movimientos'!$T$5:$T$1003, 0)), "")</f>
        <v>444400</v>
      </c>
      <c r="J25" s="19" t="str">
        <f>IFERROR(INDEX('Detalles movimientos'!N$5:N$1003, MATCH(13, 'Detalles movimientos'!$T$5:$T$1003, 0)), "")</f>
        <v>Transferencia</v>
      </c>
      <c r="K25" s="20">
        <f>IFERROR(INDEX('Detalles movimientos'!O$5:O$1003, MATCH(13, 'Detalles movimientos'!$T$5:$T$1003, 0)), "")</f>
        <v>80800</v>
      </c>
      <c r="L25" s="18">
        <f>IFERROR(INDEX('Detalles movimientos'!P$5:P$1003, MATCH(13, 'Detalles movimientos'!$T$5:$T$1003, 0)), "")</f>
        <v>0</v>
      </c>
      <c r="M25" s="18">
        <f>IFERROR(INDEX('Detalles movimientos'!S$5:S$1003, MATCH(13, 'Detalles movimientos'!$T$5:$T$1003, 0)), "")</f>
        <v>0</v>
      </c>
    </row>
    <row r="26" spans="2:13">
      <c r="B26" s="17">
        <f>IFERROR(INDEX('Detalles movimientos'!C$5:C$1003, MATCH(14, 'Detalles movimientos'!$T$5:$T$1003, 0)), "")</f>
        <v>46245</v>
      </c>
      <c r="C26" s="18" t="str">
        <f>IFERROR(INDEX('Detalles movimientos'!D$5:D$1003, MATCH(14, 'Detalles movimientos'!$T$5:$T$1003, 0)), "")</f>
        <v>Javier Quiroz</v>
      </c>
      <c r="D26" s="19" t="str">
        <f>IFERROR(INDEX('Detalles movimientos'!E$5:E$1003, MATCH(14, 'Detalles movimientos'!$T$5:$T$1003, 0)), "")</f>
        <v>VJYL61</v>
      </c>
      <c r="E26" s="19" t="str">
        <f>IFERROR(INDEX('Detalles movimientos'!F$5:F$1003, MATCH(14, 'Detalles movimientos'!$T$5:$T$1003, 0)), "")</f>
        <v>CJ</v>
      </c>
      <c r="F26" s="18" t="str">
        <f>IFERROR(INDEX('Detalles movimientos'!G$5:G$1003, MATCH(14, 'Detalles movimientos'!$T$5:$T$1003, 0)), "")</f>
        <v>Condominio majadas C parcela 5</v>
      </c>
      <c r="G26" s="20">
        <f>IFERROR(INDEX('Detalles movimientos'!H$5:H$1003, MATCH(14, 'Detalles movimientos'!$T$5:$T$1003, 0)), "")</f>
        <v>1100</v>
      </c>
      <c r="H26" s="21">
        <f>IFERROR(INDEX('Detalles movimientos'!I$5:I$1003, MATCH(14, 'Detalles movimientos'!$T$5:$T$1003, 0)), "")</f>
        <v>509</v>
      </c>
      <c r="I26" s="20">
        <f>IFERROR(INDEX('Detalles movimientos'!M$5:M$1003, MATCH(14, 'Detalles movimientos'!$T$5:$T$1003, 0)), "")</f>
        <v>559900</v>
      </c>
      <c r="J26" s="19" t="str">
        <f>IFERROR(INDEX('Detalles movimientos'!N$5:N$1003, MATCH(14, 'Detalles movimientos'!$T$5:$T$1003, 0)), "")</f>
        <v>Transferencia</v>
      </c>
      <c r="K26" s="20">
        <f>IFERROR(INDEX('Detalles movimientos'!O$5:O$1003, MATCH(14, 'Detalles movimientos'!$T$5:$T$1003, 0)), "")</f>
        <v>101800</v>
      </c>
      <c r="L26" s="18">
        <f>IFERROR(INDEX('Detalles movimientos'!P$5:P$1003, MATCH(14, 'Detalles movimientos'!$T$5:$T$1003, 0)), "")</f>
        <v>0</v>
      </c>
      <c r="M26" s="18">
        <f>IFERROR(INDEX('Detalles movimientos'!S$5:S$1003, MATCH(14, 'Detalles movimientos'!$T$5:$T$1003, 0)), "")</f>
        <v>0</v>
      </c>
    </row>
    <row r="27" spans="2:13">
      <c r="B27" s="17">
        <f>IFERROR(INDEX('Detalles movimientos'!C$5:C$1003, MATCH(15, 'Detalles movimientos'!$T$5:$T$1003, 0)), "")</f>
        <v>46254</v>
      </c>
      <c r="C27" s="18" t="str">
        <f>IFERROR(INDEX('Detalles movimientos'!D$5:D$1003, MATCH(15, 'Detalles movimientos'!$T$5:$T$1003, 0)), "")</f>
        <v>Bar Barrio Alto</v>
      </c>
      <c r="D27" s="19" t="str">
        <f>IFERROR(INDEX('Detalles movimientos'!E$5:E$1003, MATCH(15, 'Detalles movimientos'!$T$5:$T$1003, 0)), "")</f>
        <v>VJYL61</v>
      </c>
      <c r="E27" s="19" t="str">
        <f>IFERROR(INDEX('Detalles movimientos'!F$5:F$1003, MATCH(15, 'Detalles movimientos'!$T$5:$T$1003, 0)), "")</f>
        <v>CJ</v>
      </c>
      <c r="F27" s="18" t="str">
        <f>IFERROR(INDEX('Detalles movimientos'!G$5:G$1003, MATCH(15, 'Detalles movimientos'!$T$5:$T$1003, 0)), "")</f>
        <v>El Peñón 335 Puente Alto</v>
      </c>
      <c r="G27" s="20">
        <f>IFERROR(INDEX('Detalles movimientos'!H$5:H$1003, MATCH(15, 'Detalles movimientos'!$T$5:$T$1003, 0)), "")</f>
        <v>1000</v>
      </c>
      <c r="H27" s="21">
        <f>IFERROR(INDEX('Detalles movimientos'!I$5:I$1003, MATCH(15, 'Detalles movimientos'!$T$5:$T$1003, 0)), "")</f>
        <v>294</v>
      </c>
      <c r="I27" s="20">
        <f>IFERROR(INDEX('Detalles movimientos'!M$5:M$1003, MATCH(15, 'Detalles movimientos'!$T$5:$T$1003, 0)), "")</f>
        <v>294000</v>
      </c>
      <c r="J27" s="19" t="str">
        <f>IFERROR(INDEX('Detalles movimientos'!N$5:N$1003, MATCH(15, 'Detalles movimientos'!$T$5:$T$1003, 0)), "")</f>
        <v>Transferencia dos</v>
      </c>
      <c r="K27" s="20">
        <f>IFERROR(INDEX('Detalles movimientos'!O$5:O$1003, MATCH(15, 'Detalles movimientos'!$T$5:$T$1003, 0)), "")</f>
        <v>58800</v>
      </c>
      <c r="L27" s="18" t="str">
        <f>IFERROR(INDEX('Detalles movimientos'!P$5:P$1003, MATCH(15, 'Detalles movimientos'!$T$5:$T$1003, 0)), "")</f>
        <v>Factura</v>
      </c>
      <c r="M27" s="18" t="str">
        <f>IFERROR(INDEX('Detalles movimientos'!S$5:S$1003, MATCH(15, 'Detalles movimientos'!$T$5:$T$1003, 0)), "")</f>
        <v>Centro de eventos Barrio Alto SpA - RUT 78.467.844-K - EL PENON CHICO 0335 PUENTE ALTO</v>
      </c>
    </row>
    <row r="28" spans="2:13">
      <c r="B28" s="17">
        <f>IFERROR(INDEX('Detalles movimientos'!C$5:C$1003, MATCH(16, 'Detalles movimientos'!$T$5:$T$1003, 0)), "")</f>
        <v>46254</v>
      </c>
      <c r="C28" s="18" t="str">
        <f>IFERROR(INDEX('Detalles movimientos'!D$5:D$1003, MATCH(16, 'Detalles movimientos'!$T$5:$T$1003, 0)), "")</f>
        <v>BAR Tirua</v>
      </c>
      <c r="D28" s="19" t="str">
        <f>IFERROR(INDEX('Detalles movimientos'!E$5:E$1003, MATCH(16, 'Detalles movimientos'!$T$5:$T$1003, 0)), "")</f>
        <v>VJYL61</v>
      </c>
      <c r="E28" s="19" t="str">
        <f>IFERROR(INDEX('Detalles movimientos'!F$5:F$1003, MATCH(16, 'Detalles movimientos'!$T$5:$T$1003, 0)), "")</f>
        <v>CJ</v>
      </c>
      <c r="F28" s="18" t="str">
        <f>IFERROR(INDEX('Detalles movimientos'!G$5:G$1003, MATCH(16, 'Detalles movimientos'!$T$5:$T$1003, 0)), "")</f>
        <v>Pirque</v>
      </c>
      <c r="G28" s="20">
        <f>IFERROR(INDEX('Detalles movimientos'!H$5:H$1003, MATCH(16, 'Detalles movimientos'!$T$5:$T$1003, 0)), "")</f>
        <v>1100</v>
      </c>
      <c r="H28" s="21">
        <f>IFERROR(INDEX('Detalles movimientos'!I$5:I$1003, MATCH(16, 'Detalles movimientos'!$T$5:$T$1003, 0)), "")</f>
        <v>500</v>
      </c>
      <c r="I28" s="20">
        <f>IFERROR(INDEX('Detalles movimientos'!M$5:M$1003, MATCH(16, 'Detalles movimientos'!$T$5:$T$1003, 0)), "")</f>
        <v>550000</v>
      </c>
      <c r="J28" s="19" t="str">
        <f>IFERROR(INDEX('Detalles movimientos'!N$5:N$1003, MATCH(16, 'Detalles movimientos'!$T$5:$T$1003, 0)), "")</f>
        <v>Pendiente de pago</v>
      </c>
      <c r="K28" s="20">
        <f>IFERROR(INDEX('Detalles movimientos'!O$5:O$1003, MATCH(16, 'Detalles movimientos'!$T$5:$T$1003, 0)), "")</f>
        <v>100000</v>
      </c>
      <c r="L28" s="18">
        <f>IFERROR(INDEX('Detalles movimientos'!P$5:P$1003, MATCH(16, 'Detalles movimientos'!$T$5:$T$1003, 0)), "")</f>
        <v>0</v>
      </c>
      <c r="M28" s="18">
        <f>IFERROR(INDEX('Detalles movimientos'!S$5:S$1003, MATCH(16, 'Detalles movimientos'!$T$5:$T$1003, 0)), "")</f>
        <v>0</v>
      </c>
    </row>
    <row r="29" spans="2:13">
      <c r="B29" s="17" t="str">
        <f>IFERROR(INDEX('Detalles movimientos'!C$5:C$1003, MATCH(17, 'Detalles movimientos'!$T$5:$T$1003, 0)), "")</f>
        <v/>
      </c>
      <c r="C29" s="18" t="str">
        <f>IFERROR(INDEX('Detalles movimientos'!D$5:D$1003, MATCH(17, 'Detalles movimientos'!$T$5:$T$1003, 0)), "")</f>
        <v/>
      </c>
      <c r="D29" s="19" t="str">
        <f>IFERROR(INDEX('Detalles movimientos'!E$5:E$1003, MATCH(17, 'Detalles movimientos'!$T$5:$T$1003, 0)), "")</f>
        <v/>
      </c>
      <c r="E29" s="19" t="str">
        <f>IFERROR(INDEX('Detalles movimientos'!F$5:F$1003, MATCH(17, 'Detalles movimientos'!$T$5:$T$1003, 0)), "")</f>
        <v/>
      </c>
      <c r="F29" s="18" t="str">
        <f>IFERROR(INDEX('Detalles movimientos'!G$5:G$1003, MATCH(17, 'Detalles movimientos'!$T$5:$T$1003, 0)), "")</f>
        <v/>
      </c>
      <c r="G29" s="20" t="str">
        <f>IFERROR(INDEX('Detalles movimientos'!H$5:H$1003, MATCH(17, 'Detalles movimientos'!$T$5:$T$1003, 0)), "")</f>
        <v/>
      </c>
      <c r="H29" s="21" t="str">
        <f>IFERROR(INDEX('Detalles movimientos'!I$5:I$1003, MATCH(17, 'Detalles movimientos'!$T$5:$T$1003, 0)), "")</f>
        <v/>
      </c>
      <c r="I29" s="20" t="str">
        <f>IFERROR(INDEX('Detalles movimientos'!M$5:M$1003, MATCH(17, 'Detalles movimientos'!$T$5:$T$1003, 0)), "")</f>
        <v/>
      </c>
      <c r="J29" s="19" t="str">
        <f>IFERROR(INDEX('Detalles movimientos'!N$5:N$1003, MATCH(17, 'Detalles movimientos'!$T$5:$T$1003, 0)), "")</f>
        <v/>
      </c>
      <c r="K29" s="20" t="str">
        <f>IFERROR(INDEX('Detalles movimientos'!O$5:O$1003, MATCH(17, 'Detalles movimientos'!$T$5:$T$1003, 0)), "")</f>
        <v/>
      </c>
      <c r="L29" s="18" t="str">
        <f>IFERROR(INDEX('Detalles movimientos'!P$5:P$1003, MATCH(17, 'Detalles movimientos'!$T$5:$T$1003, 0)), "")</f>
        <v/>
      </c>
      <c r="M29" s="18" t="str">
        <f>IFERROR(INDEX('Detalles movimientos'!S$5:S$1003, MATCH(17, 'Detalles movimientos'!$T$5:$T$1003, 0)), "")</f>
        <v/>
      </c>
    </row>
    <row r="30" spans="2:13">
      <c r="B30" s="17" t="str">
        <f>IFERROR(INDEX('Detalles movimientos'!C$5:C$1003, MATCH(18, 'Detalles movimientos'!$T$5:$T$1003, 0)), "")</f>
        <v/>
      </c>
      <c r="C30" s="18" t="str">
        <f>IFERROR(INDEX('Detalles movimientos'!D$5:D$1003, MATCH(18, 'Detalles movimientos'!$T$5:$T$1003, 0)), "")</f>
        <v/>
      </c>
      <c r="D30" s="19" t="str">
        <f>IFERROR(INDEX('Detalles movimientos'!E$5:E$1003, MATCH(18, 'Detalles movimientos'!$T$5:$T$1003, 0)), "")</f>
        <v/>
      </c>
      <c r="E30" s="19" t="str">
        <f>IFERROR(INDEX('Detalles movimientos'!F$5:F$1003, MATCH(18, 'Detalles movimientos'!$T$5:$T$1003, 0)), "")</f>
        <v/>
      </c>
      <c r="F30" s="18" t="str">
        <f>IFERROR(INDEX('Detalles movimientos'!G$5:G$1003, MATCH(18, 'Detalles movimientos'!$T$5:$T$1003, 0)), "")</f>
        <v/>
      </c>
      <c r="G30" s="20" t="str">
        <f>IFERROR(INDEX('Detalles movimientos'!H$5:H$1003, MATCH(18, 'Detalles movimientos'!$T$5:$T$1003, 0)), "")</f>
        <v/>
      </c>
      <c r="H30" s="21" t="str">
        <f>IFERROR(INDEX('Detalles movimientos'!I$5:I$1003, MATCH(18, 'Detalles movimientos'!$T$5:$T$1003, 0)), "")</f>
        <v/>
      </c>
      <c r="I30" s="20" t="str">
        <f>IFERROR(INDEX('Detalles movimientos'!M$5:M$1003, MATCH(18, 'Detalles movimientos'!$T$5:$T$1003, 0)), "")</f>
        <v/>
      </c>
      <c r="J30" s="19" t="str">
        <f>IFERROR(INDEX('Detalles movimientos'!N$5:N$1003, MATCH(18, 'Detalles movimientos'!$T$5:$T$1003, 0)), "")</f>
        <v/>
      </c>
      <c r="K30" s="20" t="str">
        <f>IFERROR(INDEX('Detalles movimientos'!O$5:O$1003, MATCH(18, 'Detalles movimientos'!$T$5:$T$1003, 0)), "")</f>
        <v/>
      </c>
      <c r="L30" s="18" t="str">
        <f>IFERROR(INDEX('Detalles movimientos'!P$5:P$1003, MATCH(18, 'Detalles movimientos'!$T$5:$T$1003, 0)), "")</f>
        <v/>
      </c>
      <c r="M30" s="18" t="str">
        <f>IFERROR(INDEX('Detalles movimientos'!S$5:S$1003, MATCH(18, 'Detalles movimientos'!$T$5:$T$1003, 0)), "")</f>
        <v/>
      </c>
    </row>
    <row r="31" spans="2:13">
      <c r="B31" s="17" t="str">
        <f>IFERROR(INDEX('Detalles movimientos'!C$5:C$1003, MATCH(19, 'Detalles movimientos'!$T$5:$T$1003, 0)), "")</f>
        <v/>
      </c>
      <c r="C31" s="18" t="str">
        <f>IFERROR(INDEX('Detalles movimientos'!D$5:D$1003, MATCH(19, 'Detalles movimientos'!$T$5:$T$1003, 0)), "")</f>
        <v/>
      </c>
      <c r="D31" s="19" t="str">
        <f>IFERROR(INDEX('Detalles movimientos'!E$5:E$1003, MATCH(19, 'Detalles movimientos'!$T$5:$T$1003, 0)), "")</f>
        <v/>
      </c>
      <c r="E31" s="19" t="str">
        <f>IFERROR(INDEX('Detalles movimientos'!F$5:F$1003, MATCH(19, 'Detalles movimientos'!$T$5:$T$1003, 0)), "")</f>
        <v/>
      </c>
      <c r="F31" s="18" t="str">
        <f>IFERROR(INDEX('Detalles movimientos'!G$5:G$1003, MATCH(19, 'Detalles movimientos'!$T$5:$T$1003, 0)), "")</f>
        <v/>
      </c>
      <c r="G31" s="20" t="str">
        <f>IFERROR(INDEX('Detalles movimientos'!H$5:H$1003, MATCH(19, 'Detalles movimientos'!$T$5:$T$1003, 0)), "")</f>
        <v/>
      </c>
      <c r="H31" s="21" t="str">
        <f>IFERROR(INDEX('Detalles movimientos'!I$5:I$1003, MATCH(19, 'Detalles movimientos'!$T$5:$T$1003, 0)), "")</f>
        <v/>
      </c>
      <c r="I31" s="20" t="str">
        <f>IFERROR(INDEX('Detalles movimientos'!M$5:M$1003, MATCH(19, 'Detalles movimientos'!$T$5:$T$1003, 0)), "")</f>
        <v/>
      </c>
      <c r="J31" s="19" t="str">
        <f>IFERROR(INDEX('Detalles movimientos'!N$5:N$1003, MATCH(19, 'Detalles movimientos'!$T$5:$T$1003, 0)), "")</f>
        <v/>
      </c>
      <c r="K31" s="20" t="str">
        <f>IFERROR(INDEX('Detalles movimientos'!O$5:O$1003, MATCH(19, 'Detalles movimientos'!$T$5:$T$1003, 0)), "")</f>
        <v/>
      </c>
      <c r="L31" s="18" t="str">
        <f>IFERROR(INDEX('Detalles movimientos'!P$5:P$1003, MATCH(19, 'Detalles movimientos'!$T$5:$T$1003, 0)), "")</f>
        <v/>
      </c>
      <c r="M31" s="18" t="str">
        <f>IFERROR(INDEX('Detalles movimientos'!S$5:S$1003, MATCH(19, 'Detalles movimientos'!$T$5:$T$1003, 0)), "")</f>
        <v/>
      </c>
    </row>
    <row r="32" spans="2:13">
      <c r="B32" s="17" t="str">
        <f>IFERROR(INDEX('Detalles movimientos'!C$5:C$1003, MATCH(20, 'Detalles movimientos'!$T$5:$T$1003, 0)), "")</f>
        <v/>
      </c>
      <c r="C32" s="18" t="str">
        <f>IFERROR(INDEX('Detalles movimientos'!D$5:D$1003, MATCH(20, 'Detalles movimientos'!$T$5:$T$1003, 0)), "")</f>
        <v/>
      </c>
      <c r="D32" s="19" t="str">
        <f>IFERROR(INDEX('Detalles movimientos'!E$5:E$1003, MATCH(20, 'Detalles movimientos'!$T$5:$T$1003, 0)), "")</f>
        <v/>
      </c>
      <c r="E32" s="19" t="str">
        <f>IFERROR(INDEX('Detalles movimientos'!F$5:F$1003, MATCH(20, 'Detalles movimientos'!$T$5:$T$1003, 0)), "")</f>
        <v/>
      </c>
      <c r="F32" s="18" t="str">
        <f>IFERROR(INDEX('Detalles movimientos'!G$5:G$1003, MATCH(20, 'Detalles movimientos'!$T$5:$T$1003, 0)), "")</f>
        <v/>
      </c>
      <c r="G32" s="20" t="str">
        <f>IFERROR(INDEX('Detalles movimientos'!H$5:H$1003, MATCH(20, 'Detalles movimientos'!$T$5:$T$1003, 0)), "")</f>
        <v/>
      </c>
      <c r="H32" s="21" t="str">
        <f>IFERROR(INDEX('Detalles movimientos'!I$5:I$1003, MATCH(20, 'Detalles movimientos'!$T$5:$T$1003, 0)), "")</f>
        <v/>
      </c>
      <c r="I32" s="20" t="str">
        <f>IFERROR(INDEX('Detalles movimientos'!M$5:M$1003, MATCH(20, 'Detalles movimientos'!$T$5:$T$1003, 0)), "")</f>
        <v/>
      </c>
      <c r="J32" s="19" t="str">
        <f>IFERROR(INDEX('Detalles movimientos'!N$5:N$1003, MATCH(20, 'Detalles movimientos'!$T$5:$T$1003, 0)), "")</f>
        <v/>
      </c>
      <c r="K32" s="20" t="str">
        <f>IFERROR(INDEX('Detalles movimientos'!O$5:O$1003, MATCH(20, 'Detalles movimientos'!$T$5:$T$1003, 0)), "")</f>
        <v/>
      </c>
      <c r="L32" s="18" t="str">
        <f>IFERROR(INDEX('Detalles movimientos'!P$5:P$1003, MATCH(20, 'Detalles movimientos'!$T$5:$T$1003, 0)), "")</f>
        <v/>
      </c>
      <c r="M32" s="18" t="str">
        <f>IFERROR(INDEX('Detalles movimientos'!S$5:S$1003, MATCH(20, 'Detalles movimientos'!$T$5:$T$1003, 0)), "")</f>
        <v/>
      </c>
    </row>
    <row r="33" spans="2:13">
      <c r="B33" s="17" t="str">
        <f>IFERROR(INDEX('Detalles movimientos'!C$5:C$1003, MATCH(21, 'Detalles movimientos'!$T$5:$T$1003, 0)), "")</f>
        <v/>
      </c>
      <c r="C33" s="18" t="str">
        <f>IFERROR(INDEX('Detalles movimientos'!D$5:D$1003, MATCH(21, 'Detalles movimientos'!$T$5:$T$1003, 0)), "")</f>
        <v/>
      </c>
      <c r="D33" s="19" t="str">
        <f>IFERROR(INDEX('Detalles movimientos'!E$5:E$1003, MATCH(21, 'Detalles movimientos'!$T$5:$T$1003, 0)), "")</f>
        <v/>
      </c>
      <c r="E33" s="19" t="str">
        <f>IFERROR(INDEX('Detalles movimientos'!F$5:F$1003, MATCH(21, 'Detalles movimientos'!$T$5:$T$1003, 0)), "")</f>
        <v/>
      </c>
      <c r="F33" s="18" t="str">
        <f>IFERROR(INDEX('Detalles movimientos'!G$5:G$1003, MATCH(21, 'Detalles movimientos'!$T$5:$T$1003, 0)), "")</f>
        <v/>
      </c>
      <c r="G33" s="20" t="str">
        <f>IFERROR(INDEX('Detalles movimientos'!H$5:H$1003, MATCH(21, 'Detalles movimientos'!$T$5:$T$1003, 0)), "")</f>
        <v/>
      </c>
      <c r="H33" s="21" t="str">
        <f>IFERROR(INDEX('Detalles movimientos'!I$5:I$1003, MATCH(21, 'Detalles movimientos'!$T$5:$T$1003, 0)), "")</f>
        <v/>
      </c>
      <c r="I33" s="20" t="str">
        <f>IFERROR(INDEX('Detalles movimientos'!M$5:M$1003, MATCH(21, 'Detalles movimientos'!$T$5:$T$1003, 0)), "")</f>
        <v/>
      </c>
      <c r="J33" s="19" t="str">
        <f>IFERROR(INDEX('Detalles movimientos'!N$5:N$1003, MATCH(21, 'Detalles movimientos'!$T$5:$T$1003, 0)), "")</f>
        <v/>
      </c>
      <c r="K33" s="20" t="str">
        <f>IFERROR(INDEX('Detalles movimientos'!O$5:O$1003, MATCH(21, 'Detalles movimientos'!$T$5:$T$1003, 0)), "")</f>
        <v/>
      </c>
      <c r="L33" s="18" t="str">
        <f>IFERROR(INDEX('Detalles movimientos'!P$5:P$1003, MATCH(21, 'Detalles movimientos'!$T$5:$T$1003, 0)), "")</f>
        <v/>
      </c>
      <c r="M33" s="18" t="str">
        <f>IFERROR(INDEX('Detalles movimientos'!S$5:S$1003, MATCH(21, 'Detalles movimientos'!$T$5:$T$1003, 0)), "")</f>
        <v/>
      </c>
    </row>
    <row r="34" spans="2:13">
      <c r="B34" s="17" t="str">
        <f>IFERROR(INDEX('Detalles movimientos'!C$5:C$1003, MATCH(22, 'Detalles movimientos'!$T$5:$T$1003, 0)), "")</f>
        <v/>
      </c>
      <c r="C34" s="18" t="str">
        <f>IFERROR(INDEX('Detalles movimientos'!D$5:D$1003, MATCH(22, 'Detalles movimientos'!$T$5:$T$1003, 0)), "")</f>
        <v/>
      </c>
      <c r="D34" s="19" t="str">
        <f>IFERROR(INDEX('Detalles movimientos'!E$5:E$1003, MATCH(22, 'Detalles movimientos'!$T$5:$T$1003, 0)), "")</f>
        <v/>
      </c>
      <c r="E34" s="19" t="str">
        <f>IFERROR(INDEX('Detalles movimientos'!F$5:F$1003, MATCH(22, 'Detalles movimientos'!$T$5:$T$1003, 0)), "")</f>
        <v/>
      </c>
      <c r="F34" s="18" t="str">
        <f>IFERROR(INDEX('Detalles movimientos'!G$5:G$1003, MATCH(22, 'Detalles movimientos'!$T$5:$T$1003, 0)), "")</f>
        <v/>
      </c>
      <c r="G34" s="20" t="str">
        <f>IFERROR(INDEX('Detalles movimientos'!H$5:H$1003, MATCH(22, 'Detalles movimientos'!$T$5:$T$1003, 0)), "")</f>
        <v/>
      </c>
      <c r="H34" s="21" t="str">
        <f>IFERROR(INDEX('Detalles movimientos'!I$5:I$1003, MATCH(22, 'Detalles movimientos'!$T$5:$T$1003, 0)), "")</f>
        <v/>
      </c>
      <c r="I34" s="20" t="str">
        <f>IFERROR(INDEX('Detalles movimientos'!M$5:M$1003, MATCH(22, 'Detalles movimientos'!$T$5:$T$1003, 0)), "")</f>
        <v/>
      </c>
      <c r="J34" s="19" t="str">
        <f>IFERROR(INDEX('Detalles movimientos'!N$5:N$1003, MATCH(22, 'Detalles movimientos'!$T$5:$T$1003, 0)), "")</f>
        <v/>
      </c>
      <c r="K34" s="20" t="str">
        <f>IFERROR(INDEX('Detalles movimientos'!O$5:O$1003, MATCH(22, 'Detalles movimientos'!$T$5:$T$1003, 0)), "")</f>
        <v/>
      </c>
      <c r="L34" s="18" t="str">
        <f>IFERROR(INDEX('Detalles movimientos'!P$5:P$1003, MATCH(22, 'Detalles movimientos'!$T$5:$T$1003, 0)), "")</f>
        <v/>
      </c>
      <c r="M34" s="18" t="str">
        <f>IFERROR(INDEX('Detalles movimientos'!S$5:S$1003, MATCH(22, 'Detalles movimientos'!$T$5:$T$1003, 0)), "")</f>
        <v/>
      </c>
    </row>
    <row r="35" spans="2:13">
      <c r="B35" s="17" t="str">
        <f>IFERROR(INDEX('Detalles movimientos'!C$5:C$1003, MATCH(23, 'Detalles movimientos'!$T$5:$T$1003, 0)), "")</f>
        <v/>
      </c>
      <c r="C35" s="18" t="str">
        <f>IFERROR(INDEX('Detalles movimientos'!D$5:D$1003, MATCH(23, 'Detalles movimientos'!$T$5:$T$1003, 0)), "")</f>
        <v/>
      </c>
      <c r="D35" s="19" t="str">
        <f>IFERROR(INDEX('Detalles movimientos'!E$5:E$1003, MATCH(23, 'Detalles movimientos'!$T$5:$T$1003, 0)), "")</f>
        <v/>
      </c>
      <c r="E35" s="19" t="str">
        <f>IFERROR(INDEX('Detalles movimientos'!F$5:F$1003, MATCH(23, 'Detalles movimientos'!$T$5:$T$1003, 0)), "")</f>
        <v/>
      </c>
      <c r="F35" s="18" t="str">
        <f>IFERROR(INDEX('Detalles movimientos'!G$5:G$1003, MATCH(23, 'Detalles movimientos'!$T$5:$T$1003, 0)), "")</f>
        <v/>
      </c>
      <c r="G35" s="20" t="str">
        <f>IFERROR(INDEX('Detalles movimientos'!H$5:H$1003, MATCH(23, 'Detalles movimientos'!$T$5:$T$1003, 0)), "")</f>
        <v/>
      </c>
      <c r="H35" s="21" t="str">
        <f>IFERROR(INDEX('Detalles movimientos'!I$5:I$1003, MATCH(23, 'Detalles movimientos'!$T$5:$T$1003, 0)), "")</f>
        <v/>
      </c>
      <c r="I35" s="20" t="str">
        <f>IFERROR(INDEX('Detalles movimientos'!M$5:M$1003, MATCH(23, 'Detalles movimientos'!$T$5:$T$1003, 0)), "")</f>
        <v/>
      </c>
      <c r="J35" s="19" t="str">
        <f>IFERROR(INDEX('Detalles movimientos'!N$5:N$1003, MATCH(23, 'Detalles movimientos'!$T$5:$T$1003, 0)), "")</f>
        <v/>
      </c>
      <c r="K35" s="20" t="str">
        <f>IFERROR(INDEX('Detalles movimientos'!O$5:O$1003, MATCH(23, 'Detalles movimientos'!$T$5:$T$1003, 0)), "")</f>
        <v/>
      </c>
      <c r="L35" s="18" t="str">
        <f>IFERROR(INDEX('Detalles movimientos'!P$5:P$1003, MATCH(23, 'Detalles movimientos'!$T$5:$T$1003, 0)), "")</f>
        <v/>
      </c>
      <c r="M35" s="18" t="str">
        <f>IFERROR(INDEX('Detalles movimientos'!S$5:S$1003, MATCH(23, 'Detalles movimientos'!$T$5:$T$1003, 0)), "")</f>
        <v/>
      </c>
    </row>
    <row r="36" spans="2:13">
      <c r="B36" s="17" t="str">
        <f>IFERROR(INDEX('Detalles movimientos'!C$5:C$1003, MATCH(24, 'Detalles movimientos'!$T$5:$T$1003, 0)), "")</f>
        <v/>
      </c>
      <c r="C36" s="18" t="str">
        <f>IFERROR(INDEX('Detalles movimientos'!D$5:D$1003, MATCH(24, 'Detalles movimientos'!$T$5:$T$1003, 0)), "")</f>
        <v/>
      </c>
      <c r="D36" s="19" t="str">
        <f>IFERROR(INDEX('Detalles movimientos'!E$5:E$1003, MATCH(24, 'Detalles movimientos'!$T$5:$T$1003, 0)), "")</f>
        <v/>
      </c>
      <c r="E36" s="19" t="str">
        <f>IFERROR(INDEX('Detalles movimientos'!F$5:F$1003, MATCH(24, 'Detalles movimientos'!$T$5:$T$1003, 0)), "")</f>
        <v/>
      </c>
      <c r="F36" s="18" t="str">
        <f>IFERROR(INDEX('Detalles movimientos'!G$5:G$1003, MATCH(24, 'Detalles movimientos'!$T$5:$T$1003, 0)), "")</f>
        <v/>
      </c>
      <c r="G36" s="20" t="str">
        <f>IFERROR(INDEX('Detalles movimientos'!H$5:H$1003, MATCH(24, 'Detalles movimientos'!$T$5:$T$1003, 0)), "")</f>
        <v/>
      </c>
      <c r="H36" s="21" t="str">
        <f>IFERROR(INDEX('Detalles movimientos'!I$5:I$1003, MATCH(24, 'Detalles movimientos'!$T$5:$T$1003, 0)), "")</f>
        <v/>
      </c>
      <c r="I36" s="20" t="str">
        <f>IFERROR(INDEX('Detalles movimientos'!M$5:M$1003, MATCH(24, 'Detalles movimientos'!$T$5:$T$1003, 0)), "")</f>
        <v/>
      </c>
      <c r="J36" s="19" t="str">
        <f>IFERROR(INDEX('Detalles movimientos'!N$5:N$1003, MATCH(24, 'Detalles movimientos'!$T$5:$T$1003, 0)), "")</f>
        <v/>
      </c>
      <c r="K36" s="20" t="str">
        <f>IFERROR(INDEX('Detalles movimientos'!O$5:O$1003, MATCH(24, 'Detalles movimientos'!$T$5:$T$1003, 0)), "")</f>
        <v/>
      </c>
      <c r="L36" s="18" t="str">
        <f>IFERROR(INDEX('Detalles movimientos'!P$5:P$1003, MATCH(24, 'Detalles movimientos'!$T$5:$T$1003, 0)), "")</f>
        <v/>
      </c>
      <c r="M36" s="18" t="str">
        <f>IFERROR(INDEX('Detalles movimientos'!S$5:S$1003, MATCH(24, 'Detalles movimientos'!$T$5:$T$1003, 0)), "")</f>
        <v/>
      </c>
    </row>
    <row r="37" spans="2:13">
      <c r="B37" s="17" t="str">
        <f>IFERROR(INDEX('Detalles movimientos'!C$5:C$1003, MATCH(25, 'Detalles movimientos'!$T$5:$T$1003, 0)), "")</f>
        <v/>
      </c>
      <c r="C37" s="18" t="str">
        <f>IFERROR(INDEX('Detalles movimientos'!D$5:D$1003, MATCH(25, 'Detalles movimientos'!$T$5:$T$1003, 0)), "")</f>
        <v/>
      </c>
      <c r="D37" s="19" t="str">
        <f>IFERROR(INDEX('Detalles movimientos'!E$5:E$1003, MATCH(25, 'Detalles movimientos'!$T$5:$T$1003, 0)), "")</f>
        <v/>
      </c>
      <c r="E37" s="19" t="str">
        <f>IFERROR(INDEX('Detalles movimientos'!F$5:F$1003, MATCH(25, 'Detalles movimientos'!$T$5:$T$1003, 0)), "")</f>
        <v/>
      </c>
      <c r="F37" s="18" t="str">
        <f>IFERROR(INDEX('Detalles movimientos'!G$5:G$1003, MATCH(25, 'Detalles movimientos'!$T$5:$T$1003, 0)), "")</f>
        <v/>
      </c>
      <c r="G37" s="20" t="str">
        <f>IFERROR(INDEX('Detalles movimientos'!H$5:H$1003, MATCH(25, 'Detalles movimientos'!$T$5:$T$1003, 0)), "")</f>
        <v/>
      </c>
      <c r="H37" s="21" t="str">
        <f>IFERROR(INDEX('Detalles movimientos'!I$5:I$1003, MATCH(25, 'Detalles movimientos'!$T$5:$T$1003, 0)), "")</f>
        <v/>
      </c>
      <c r="I37" s="20" t="str">
        <f>IFERROR(INDEX('Detalles movimientos'!M$5:M$1003, MATCH(25, 'Detalles movimientos'!$T$5:$T$1003, 0)), "")</f>
        <v/>
      </c>
      <c r="J37" s="19" t="str">
        <f>IFERROR(INDEX('Detalles movimientos'!N$5:N$1003, MATCH(25, 'Detalles movimientos'!$T$5:$T$1003, 0)), "")</f>
        <v/>
      </c>
      <c r="K37" s="20" t="str">
        <f>IFERROR(INDEX('Detalles movimientos'!O$5:O$1003, MATCH(25, 'Detalles movimientos'!$T$5:$T$1003, 0)), "")</f>
        <v/>
      </c>
      <c r="L37" s="18" t="str">
        <f>IFERROR(INDEX('Detalles movimientos'!P$5:P$1003, MATCH(25, 'Detalles movimientos'!$T$5:$T$1003, 0)), "")</f>
        <v/>
      </c>
      <c r="M37" s="18" t="str">
        <f>IFERROR(INDEX('Detalles movimientos'!S$5:S$1003, MATCH(25, 'Detalles movimientos'!$T$5:$T$1003, 0)), "")</f>
        <v/>
      </c>
    </row>
    <row r="38" spans="2:13">
      <c r="B38" s="17" t="str">
        <f>IFERROR(INDEX('Detalles movimientos'!C$5:C$1003, MATCH(26, 'Detalles movimientos'!$T$5:$T$1003, 0)), "")</f>
        <v/>
      </c>
      <c r="C38" s="18" t="str">
        <f>IFERROR(INDEX('Detalles movimientos'!D$5:D$1003, MATCH(26, 'Detalles movimientos'!$T$5:$T$1003, 0)), "")</f>
        <v/>
      </c>
      <c r="D38" s="19" t="str">
        <f>IFERROR(INDEX('Detalles movimientos'!E$5:E$1003, MATCH(26, 'Detalles movimientos'!$T$5:$T$1003, 0)), "")</f>
        <v/>
      </c>
      <c r="E38" s="19" t="str">
        <f>IFERROR(INDEX('Detalles movimientos'!F$5:F$1003, MATCH(26, 'Detalles movimientos'!$T$5:$T$1003, 0)), "")</f>
        <v/>
      </c>
      <c r="F38" s="18" t="str">
        <f>IFERROR(INDEX('Detalles movimientos'!G$5:G$1003, MATCH(26, 'Detalles movimientos'!$T$5:$T$1003, 0)), "")</f>
        <v/>
      </c>
      <c r="G38" s="20" t="str">
        <f>IFERROR(INDEX('Detalles movimientos'!H$5:H$1003, MATCH(26, 'Detalles movimientos'!$T$5:$T$1003, 0)), "")</f>
        <v/>
      </c>
      <c r="H38" s="21" t="str">
        <f>IFERROR(INDEX('Detalles movimientos'!I$5:I$1003, MATCH(26, 'Detalles movimientos'!$T$5:$T$1003, 0)), "")</f>
        <v/>
      </c>
      <c r="I38" s="20" t="str">
        <f>IFERROR(INDEX('Detalles movimientos'!M$5:M$1003, MATCH(26, 'Detalles movimientos'!$T$5:$T$1003, 0)), "")</f>
        <v/>
      </c>
      <c r="J38" s="19" t="str">
        <f>IFERROR(INDEX('Detalles movimientos'!N$5:N$1003, MATCH(26, 'Detalles movimientos'!$T$5:$T$1003, 0)), "")</f>
        <v/>
      </c>
      <c r="K38" s="20" t="str">
        <f>IFERROR(INDEX('Detalles movimientos'!O$5:O$1003, MATCH(26, 'Detalles movimientos'!$T$5:$T$1003, 0)), "")</f>
        <v/>
      </c>
      <c r="L38" s="18" t="str">
        <f>IFERROR(INDEX('Detalles movimientos'!P$5:P$1003, MATCH(26, 'Detalles movimientos'!$T$5:$T$1003, 0)), "")</f>
        <v/>
      </c>
      <c r="M38" s="18" t="str">
        <f>IFERROR(INDEX('Detalles movimientos'!S$5:S$1003, MATCH(26, 'Detalles movimientos'!$T$5:$T$1003, 0)), "")</f>
        <v/>
      </c>
    </row>
    <row r="39" spans="2:13">
      <c r="B39" s="17" t="str">
        <f>IFERROR(INDEX('Detalles movimientos'!C$5:C$1003, MATCH(27, 'Detalles movimientos'!$T$5:$T$1003, 0)), "")</f>
        <v/>
      </c>
      <c r="C39" s="18" t="str">
        <f>IFERROR(INDEX('Detalles movimientos'!D$5:D$1003, MATCH(27, 'Detalles movimientos'!$T$5:$T$1003, 0)), "")</f>
        <v/>
      </c>
      <c r="D39" s="19" t="str">
        <f>IFERROR(INDEX('Detalles movimientos'!E$5:E$1003, MATCH(27, 'Detalles movimientos'!$T$5:$T$1003, 0)), "")</f>
        <v/>
      </c>
      <c r="E39" s="19" t="str">
        <f>IFERROR(INDEX('Detalles movimientos'!F$5:F$1003, MATCH(27, 'Detalles movimientos'!$T$5:$T$1003, 0)), "")</f>
        <v/>
      </c>
      <c r="F39" s="18" t="str">
        <f>IFERROR(INDEX('Detalles movimientos'!G$5:G$1003, MATCH(27, 'Detalles movimientos'!$T$5:$T$1003, 0)), "")</f>
        <v/>
      </c>
      <c r="G39" s="20" t="str">
        <f>IFERROR(INDEX('Detalles movimientos'!H$5:H$1003, MATCH(27, 'Detalles movimientos'!$T$5:$T$1003, 0)), "")</f>
        <v/>
      </c>
      <c r="H39" s="21" t="str">
        <f>IFERROR(INDEX('Detalles movimientos'!I$5:I$1003, MATCH(27, 'Detalles movimientos'!$T$5:$T$1003, 0)), "")</f>
        <v/>
      </c>
      <c r="I39" s="20" t="str">
        <f>IFERROR(INDEX('Detalles movimientos'!M$5:M$1003, MATCH(27, 'Detalles movimientos'!$T$5:$T$1003, 0)), "")</f>
        <v/>
      </c>
      <c r="J39" s="19" t="str">
        <f>IFERROR(INDEX('Detalles movimientos'!N$5:N$1003, MATCH(27, 'Detalles movimientos'!$T$5:$T$1003, 0)), "")</f>
        <v/>
      </c>
      <c r="K39" s="20" t="str">
        <f>IFERROR(INDEX('Detalles movimientos'!O$5:O$1003, MATCH(27, 'Detalles movimientos'!$T$5:$T$1003, 0)), "")</f>
        <v/>
      </c>
      <c r="L39" s="18" t="str">
        <f>IFERROR(INDEX('Detalles movimientos'!P$5:P$1003, MATCH(27, 'Detalles movimientos'!$T$5:$T$1003, 0)), "")</f>
        <v/>
      </c>
      <c r="M39" s="18" t="str">
        <f>IFERROR(INDEX('Detalles movimientos'!S$5:S$1003, MATCH(27, 'Detalles movimientos'!$T$5:$T$1003, 0)), "")</f>
        <v/>
      </c>
    </row>
    <row r="40" spans="2:13">
      <c r="B40" s="17" t="str">
        <f>IFERROR(INDEX('Detalles movimientos'!C$5:C$1003, MATCH(28, 'Detalles movimientos'!$T$5:$T$1003, 0)), "")</f>
        <v/>
      </c>
      <c r="C40" s="18" t="str">
        <f>IFERROR(INDEX('Detalles movimientos'!D$5:D$1003, MATCH(28, 'Detalles movimientos'!$T$5:$T$1003, 0)), "")</f>
        <v/>
      </c>
      <c r="D40" s="19" t="str">
        <f>IFERROR(INDEX('Detalles movimientos'!E$5:E$1003, MATCH(28, 'Detalles movimientos'!$T$5:$T$1003, 0)), "")</f>
        <v/>
      </c>
      <c r="E40" s="19" t="str">
        <f>IFERROR(INDEX('Detalles movimientos'!F$5:F$1003, MATCH(28, 'Detalles movimientos'!$T$5:$T$1003, 0)), "")</f>
        <v/>
      </c>
      <c r="F40" s="18" t="str">
        <f>IFERROR(INDEX('Detalles movimientos'!G$5:G$1003, MATCH(28, 'Detalles movimientos'!$T$5:$T$1003, 0)), "")</f>
        <v/>
      </c>
      <c r="G40" s="20" t="str">
        <f>IFERROR(INDEX('Detalles movimientos'!H$5:H$1003, MATCH(28, 'Detalles movimientos'!$T$5:$T$1003, 0)), "")</f>
        <v/>
      </c>
      <c r="H40" s="21" t="str">
        <f>IFERROR(INDEX('Detalles movimientos'!I$5:I$1003, MATCH(28, 'Detalles movimientos'!$T$5:$T$1003, 0)), "")</f>
        <v/>
      </c>
      <c r="I40" s="20" t="str">
        <f>IFERROR(INDEX('Detalles movimientos'!M$5:M$1003, MATCH(28, 'Detalles movimientos'!$T$5:$T$1003, 0)), "")</f>
        <v/>
      </c>
      <c r="J40" s="19" t="str">
        <f>IFERROR(INDEX('Detalles movimientos'!N$5:N$1003, MATCH(28, 'Detalles movimientos'!$T$5:$T$1003, 0)), "")</f>
        <v/>
      </c>
      <c r="K40" s="20" t="str">
        <f>IFERROR(INDEX('Detalles movimientos'!O$5:O$1003, MATCH(28, 'Detalles movimientos'!$T$5:$T$1003, 0)), "")</f>
        <v/>
      </c>
      <c r="L40" s="18" t="str">
        <f>IFERROR(INDEX('Detalles movimientos'!P$5:P$1003, MATCH(28, 'Detalles movimientos'!$T$5:$T$1003, 0)), "")</f>
        <v/>
      </c>
      <c r="M40" s="18" t="str">
        <f>IFERROR(INDEX('Detalles movimientos'!S$5:S$1003, MATCH(28, 'Detalles movimientos'!$T$5:$T$1003, 0)), "")</f>
        <v/>
      </c>
    </row>
    <row r="41" spans="2:13">
      <c r="B41" s="17" t="str">
        <f>IFERROR(INDEX('Detalles movimientos'!C$5:C$1003, MATCH(29, 'Detalles movimientos'!$T$5:$T$1003, 0)), "")</f>
        <v/>
      </c>
      <c r="C41" s="18" t="str">
        <f>IFERROR(INDEX('Detalles movimientos'!D$5:D$1003, MATCH(29, 'Detalles movimientos'!$T$5:$T$1003, 0)), "")</f>
        <v/>
      </c>
      <c r="D41" s="19" t="str">
        <f>IFERROR(INDEX('Detalles movimientos'!E$5:E$1003, MATCH(29, 'Detalles movimientos'!$T$5:$T$1003, 0)), "")</f>
        <v/>
      </c>
      <c r="E41" s="19" t="str">
        <f>IFERROR(INDEX('Detalles movimientos'!F$5:F$1003, MATCH(29, 'Detalles movimientos'!$T$5:$T$1003, 0)), "")</f>
        <v/>
      </c>
      <c r="F41" s="18" t="str">
        <f>IFERROR(INDEX('Detalles movimientos'!G$5:G$1003, MATCH(29, 'Detalles movimientos'!$T$5:$T$1003, 0)), "")</f>
        <v/>
      </c>
      <c r="G41" s="20" t="str">
        <f>IFERROR(INDEX('Detalles movimientos'!H$5:H$1003, MATCH(29, 'Detalles movimientos'!$T$5:$T$1003, 0)), "")</f>
        <v/>
      </c>
      <c r="H41" s="21" t="str">
        <f>IFERROR(INDEX('Detalles movimientos'!I$5:I$1003, MATCH(29, 'Detalles movimientos'!$T$5:$T$1003, 0)), "")</f>
        <v/>
      </c>
      <c r="I41" s="20" t="str">
        <f>IFERROR(INDEX('Detalles movimientos'!M$5:M$1003, MATCH(29, 'Detalles movimientos'!$T$5:$T$1003, 0)), "")</f>
        <v/>
      </c>
      <c r="J41" s="19" t="str">
        <f>IFERROR(INDEX('Detalles movimientos'!N$5:N$1003, MATCH(29, 'Detalles movimientos'!$T$5:$T$1003, 0)), "")</f>
        <v/>
      </c>
      <c r="K41" s="20" t="str">
        <f>IFERROR(INDEX('Detalles movimientos'!O$5:O$1003, MATCH(29, 'Detalles movimientos'!$T$5:$T$1003, 0)), "")</f>
        <v/>
      </c>
      <c r="L41" s="18" t="str">
        <f>IFERROR(INDEX('Detalles movimientos'!P$5:P$1003, MATCH(29, 'Detalles movimientos'!$T$5:$T$1003, 0)), "")</f>
        <v/>
      </c>
      <c r="M41" s="18" t="str">
        <f>IFERROR(INDEX('Detalles movimientos'!S$5:S$1003, MATCH(29, 'Detalles movimientos'!$T$5:$T$1003, 0)), "")</f>
        <v/>
      </c>
    </row>
    <row r="42" spans="2:13">
      <c r="B42" s="17" t="str">
        <f>IFERROR(INDEX('Detalles movimientos'!C$5:C$1003, MATCH(30, 'Detalles movimientos'!$T$5:$T$1003, 0)), "")</f>
        <v/>
      </c>
      <c r="C42" s="18" t="str">
        <f>IFERROR(INDEX('Detalles movimientos'!D$5:D$1003, MATCH(30, 'Detalles movimientos'!$T$5:$T$1003, 0)), "")</f>
        <v/>
      </c>
      <c r="D42" s="19" t="str">
        <f>IFERROR(INDEX('Detalles movimientos'!E$5:E$1003, MATCH(30, 'Detalles movimientos'!$T$5:$T$1003, 0)), "")</f>
        <v/>
      </c>
      <c r="E42" s="19" t="str">
        <f>IFERROR(INDEX('Detalles movimientos'!F$5:F$1003, MATCH(30, 'Detalles movimientos'!$T$5:$T$1003, 0)), "")</f>
        <v/>
      </c>
      <c r="F42" s="18" t="str">
        <f>IFERROR(INDEX('Detalles movimientos'!G$5:G$1003, MATCH(30, 'Detalles movimientos'!$T$5:$T$1003, 0)), "")</f>
        <v/>
      </c>
      <c r="G42" s="20" t="str">
        <f>IFERROR(INDEX('Detalles movimientos'!H$5:H$1003, MATCH(30, 'Detalles movimientos'!$T$5:$T$1003, 0)), "")</f>
        <v/>
      </c>
      <c r="H42" s="21" t="str">
        <f>IFERROR(INDEX('Detalles movimientos'!I$5:I$1003, MATCH(30, 'Detalles movimientos'!$T$5:$T$1003, 0)), "")</f>
        <v/>
      </c>
      <c r="I42" s="20" t="str">
        <f>IFERROR(INDEX('Detalles movimientos'!M$5:M$1003, MATCH(30, 'Detalles movimientos'!$T$5:$T$1003, 0)), "")</f>
        <v/>
      </c>
      <c r="J42" s="19" t="str">
        <f>IFERROR(INDEX('Detalles movimientos'!N$5:N$1003, MATCH(30, 'Detalles movimientos'!$T$5:$T$1003, 0)), "")</f>
        <v/>
      </c>
      <c r="K42" s="20" t="str">
        <f>IFERROR(INDEX('Detalles movimientos'!O$5:O$1003, MATCH(30, 'Detalles movimientos'!$T$5:$T$1003, 0)), "")</f>
        <v/>
      </c>
      <c r="L42" s="18" t="str">
        <f>IFERROR(INDEX('Detalles movimientos'!P$5:P$1003, MATCH(30, 'Detalles movimientos'!$T$5:$T$1003, 0)), "")</f>
        <v/>
      </c>
      <c r="M42" s="18" t="str">
        <f>IFERROR(INDEX('Detalles movimientos'!S$5:S$1003, MATCH(30, 'Detalles movimientos'!$T$5:$T$1003, 0)), "")</f>
        <v/>
      </c>
    </row>
    <row r="43" spans="2:13">
      <c r="B43" s="17" t="str">
        <f>IFERROR(INDEX('Detalles movimientos'!C$5:C$1003, MATCH(31, 'Detalles movimientos'!$T$5:$T$1003, 0)), "")</f>
        <v/>
      </c>
      <c r="C43" s="18" t="str">
        <f>IFERROR(INDEX('Detalles movimientos'!D$5:D$1003, MATCH(31, 'Detalles movimientos'!$T$5:$T$1003, 0)), "")</f>
        <v/>
      </c>
      <c r="D43" s="19" t="str">
        <f>IFERROR(INDEX('Detalles movimientos'!E$5:E$1003, MATCH(31, 'Detalles movimientos'!$T$5:$T$1003, 0)), "")</f>
        <v/>
      </c>
      <c r="E43" s="19" t="str">
        <f>IFERROR(INDEX('Detalles movimientos'!F$5:F$1003, MATCH(31, 'Detalles movimientos'!$T$5:$T$1003, 0)), "")</f>
        <v/>
      </c>
      <c r="F43" s="18" t="str">
        <f>IFERROR(INDEX('Detalles movimientos'!G$5:G$1003, MATCH(31, 'Detalles movimientos'!$T$5:$T$1003, 0)), "")</f>
        <v/>
      </c>
      <c r="G43" s="20" t="str">
        <f>IFERROR(INDEX('Detalles movimientos'!H$5:H$1003, MATCH(31, 'Detalles movimientos'!$T$5:$T$1003, 0)), "")</f>
        <v/>
      </c>
      <c r="H43" s="21" t="str">
        <f>IFERROR(INDEX('Detalles movimientos'!I$5:I$1003, MATCH(31, 'Detalles movimientos'!$T$5:$T$1003, 0)), "")</f>
        <v/>
      </c>
      <c r="I43" s="20" t="str">
        <f>IFERROR(INDEX('Detalles movimientos'!M$5:M$1003, MATCH(31, 'Detalles movimientos'!$T$5:$T$1003, 0)), "")</f>
        <v/>
      </c>
      <c r="J43" s="19" t="str">
        <f>IFERROR(INDEX('Detalles movimientos'!N$5:N$1003, MATCH(31, 'Detalles movimientos'!$T$5:$T$1003, 0)), "")</f>
        <v/>
      </c>
      <c r="K43" s="20" t="str">
        <f>IFERROR(INDEX('Detalles movimientos'!O$5:O$1003, MATCH(31, 'Detalles movimientos'!$T$5:$T$1003, 0)), "")</f>
        <v/>
      </c>
      <c r="L43" s="18" t="str">
        <f>IFERROR(INDEX('Detalles movimientos'!P$5:P$1003, MATCH(31, 'Detalles movimientos'!$T$5:$T$1003, 0)), "")</f>
        <v/>
      </c>
      <c r="M43" s="18" t="str">
        <f>IFERROR(INDEX('Detalles movimientos'!S$5:S$1003, MATCH(31, 'Detalles movimientos'!$T$5:$T$1003, 0)), "")</f>
        <v/>
      </c>
    </row>
    <row r="44" spans="2:13">
      <c r="B44" s="17" t="str">
        <f>IFERROR(INDEX('Detalles movimientos'!C$5:C$1003, MATCH(32, 'Detalles movimientos'!$T$5:$T$1003, 0)), "")</f>
        <v/>
      </c>
      <c r="C44" s="18" t="str">
        <f>IFERROR(INDEX('Detalles movimientos'!D$5:D$1003, MATCH(32, 'Detalles movimientos'!$T$5:$T$1003, 0)), "")</f>
        <v/>
      </c>
      <c r="D44" s="19" t="str">
        <f>IFERROR(INDEX('Detalles movimientos'!E$5:E$1003, MATCH(32, 'Detalles movimientos'!$T$5:$T$1003, 0)), "")</f>
        <v/>
      </c>
      <c r="E44" s="19" t="str">
        <f>IFERROR(INDEX('Detalles movimientos'!F$5:F$1003, MATCH(32, 'Detalles movimientos'!$T$5:$T$1003, 0)), "")</f>
        <v/>
      </c>
      <c r="F44" s="18" t="str">
        <f>IFERROR(INDEX('Detalles movimientos'!G$5:G$1003, MATCH(32, 'Detalles movimientos'!$T$5:$T$1003, 0)), "")</f>
        <v/>
      </c>
      <c r="G44" s="20" t="str">
        <f>IFERROR(INDEX('Detalles movimientos'!H$5:H$1003, MATCH(32, 'Detalles movimientos'!$T$5:$T$1003, 0)), "")</f>
        <v/>
      </c>
      <c r="H44" s="21" t="str">
        <f>IFERROR(INDEX('Detalles movimientos'!I$5:I$1003, MATCH(32, 'Detalles movimientos'!$T$5:$T$1003, 0)), "")</f>
        <v/>
      </c>
      <c r="I44" s="20" t="str">
        <f>IFERROR(INDEX('Detalles movimientos'!M$5:M$1003, MATCH(32, 'Detalles movimientos'!$T$5:$T$1003, 0)), "")</f>
        <v/>
      </c>
      <c r="J44" s="19" t="str">
        <f>IFERROR(INDEX('Detalles movimientos'!N$5:N$1003, MATCH(32, 'Detalles movimientos'!$T$5:$T$1003, 0)), "")</f>
        <v/>
      </c>
      <c r="K44" s="20" t="str">
        <f>IFERROR(INDEX('Detalles movimientos'!O$5:O$1003, MATCH(32, 'Detalles movimientos'!$T$5:$T$1003, 0)), "")</f>
        <v/>
      </c>
      <c r="L44" s="18" t="str">
        <f>IFERROR(INDEX('Detalles movimientos'!P$5:P$1003, MATCH(32, 'Detalles movimientos'!$T$5:$T$1003, 0)), "")</f>
        <v/>
      </c>
      <c r="M44" s="18" t="str">
        <f>IFERROR(INDEX('Detalles movimientos'!S$5:S$1003, MATCH(32, 'Detalles movimientos'!$T$5:$T$1003, 0)), "")</f>
        <v/>
      </c>
    </row>
    <row r="45" spans="2:13">
      <c r="B45" s="17" t="str">
        <f>IFERROR(INDEX('Detalles movimientos'!C$5:C$1003, MATCH(33, 'Detalles movimientos'!$T$5:$T$1003, 0)), "")</f>
        <v/>
      </c>
      <c r="C45" s="18" t="str">
        <f>IFERROR(INDEX('Detalles movimientos'!D$5:D$1003, MATCH(33, 'Detalles movimientos'!$T$5:$T$1003, 0)), "")</f>
        <v/>
      </c>
      <c r="D45" s="19" t="str">
        <f>IFERROR(INDEX('Detalles movimientos'!E$5:E$1003, MATCH(33, 'Detalles movimientos'!$T$5:$T$1003, 0)), "")</f>
        <v/>
      </c>
      <c r="E45" s="19" t="str">
        <f>IFERROR(INDEX('Detalles movimientos'!F$5:F$1003, MATCH(33, 'Detalles movimientos'!$T$5:$T$1003, 0)), "")</f>
        <v/>
      </c>
      <c r="F45" s="18" t="str">
        <f>IFERROR(INDEX('Detalles movimientos'!G$5:G$1003, MATCH(33, 'Detalles movimientos'!$T$5:$T$1003, 0)), "")</f>
        <v/>
      </c>
      <c r="G45" s="20" t="str">
        <f>IFERROR(INDEX('Detalles movimientos'!H$5:H$1003, MATCH(33, 'Detalles movimientos'!$T$5:$T$1003, 0)), "")</f>
        <v/>
      </c>
      <c r="H45" s="21" t="str">
        <f>IFERROR(INDEX('Detalles movimientos'!I$5:I$1003, MATCH(33, 'Detalles movimientos'!$T$5:$T$1003, 0)), "")</f>
        <v/>
      </c>
      <c r="I45" s="20" t="str">
        <f>IFERROR(INDEX('Detalles movimientos'!M$5:M$1003, MATCH(33, 'Detalles movimientos'!$T$5:$T$1003, 0)), "")</f>
        <v/>
      </c>
      <c r="J45" s="19" t="str">
        <f>IFERROR(INDEX('Detalles movimientos'!N$5:N$1003, MATCH(33, 'Detalles movimientos'!$T$5:$T$1003, 0)), "")</f>
        <v/>
      </c>
      <c r="K45" s="20" t="str">
        <f>IFERROR(INDEX('Detalles movimientos'!O$5:O$1003, MATCH(33, 'Detalles movimientos'!$T$5:$T$1003, 0)), "")</f>
        <v/>
      </c>
      <c r="L45" s="18" t="str">
        <f>IFERROR(INDEX('Detalles movimientos'!P$5:P$1003, MATCH(33, 'Detalles movimientos'!$T$5:$T$1003, 0)), "")</f>
        <v/>
      </c>
      <c r="M45" s="18" t="str">
        <f>IFERROR(INDEX('Detalles movimientos'!S$5:S$1003, MATCH(33, 'Detalles movimientos'!$T$5:$T$1003, 0)), "")</f>
        <v/>
      </c>
    </row>
    <row r="46" spans="2:13">
      <c r="B46" s="17" t="str">
        <f>IFERROR(INDEX('Detalles movimientos'!C$5:C$1003, MATCH(34, 'Detalles movimientos'!$T$5:$T$1003, 0)), "")</f>
        <v/>
      </c>
      <c r="C46" s="18" t="str">
        <f>IFERROR(INDEX('Detalles movimientos'!D$5:D$1003, MATCH(34, 'Detalles movimientos'!$T$5:$T$1003, 0)), "")</f>
        <v/>
      </c>
      <c r="D46" s="19" t="str">
        <f>IFERROR(INDEX('Detalles movimientos'!E$5:E$1003, MATCH(34, 'Detalles movimientos'!$T$5:$T$1003, 0)), "")</f>
        <v/>
      </c>
      <c r="E46" s="19" t="str">
        <f>IFERROR(INDEX('Detalles movimientos'!F$5:F$1003, MATCH(34, 'Detalles movimientos'!$T$5:$T$1003, 0)), "")</f>
        <v/>
      </c>
      <c r="F46" s="18" t="str">
        <f>IFERROR(INDEX('Detalles movimientos'!G$5:G$1003, MATCH(34, 'Detalles movimientos'!$T$5:$T$1003, 0)), "")</f>
        <v/>
      </c>
      <c r="G46" s="20" t="str">
        <f>IFERROR(INDEX('Detalles movimientos'!H$5:H$1003, MATCH(34, 'Detalles movimientos'!$T$5:$T$1003, 0)), "")</f>
        <v/>
      </c>
      <c r="H46" s="21" t="str">
        <f>IFERROR(INDEX('Detalles movimientos'!I$5:I$1003, MATCH(34, 'Detalles movimientos'!$T$5:$T$1003, 0)), "")</f>
        <v/>
      </c>
      <c r="I46" s="20" t="str">
        <f>IFERROR(INDEX('Detalles movimientos'!M$5:M$1003, MATCH(34, 'Detalles movimientos'!$T$5:$T$1003, 0)), "")</f>
        <v/>
      </c>
      <c r="J46" s="19" t="str">
        <f>IFERROR(INDEX('Detalles movimientos'!N$5:N$1003, MATCH(34, 'Detalles movimientos'!$T$5:$T$1003, 0)), "")</f>
        <v/>
      </c>
      <c r="K46" s="20" t="str">
        <f>IFERROR(INDEX('Detalles movimientos'!O$5:O$1003, MATCH(34, 'Detalles movimientos'!$T$5:$T$1003, 0)), "")</f>
        <v/>
      </c>
      <c r="L46" s="18" t="str">
        <f>IFERROR(INDEX('Detalles movimientos'!P$5:P$1003, MATCH(34, 'Detalles movimientos'!$T$5:$T$1003, 0)), "")</f>
        <v/>
      </c>
      <c r="M46" s="18" t="str">
        <f>IFERROR(INDEX('Detalles movimientos'!S$5:S$1003, MATCH(34, 'Detalles movimientos'!$T$5:$T$1003, 0)), "")</f>
        <v/>
      </c>
    </row>
    <row r="47" spans="2:13">
      <c r="B47" s="17" t="str">
        <f>IFERROR(INDEX('Detalles movimientos'!C$5:C$1003, MATCH(35, 'Detalles movimientos'!$T$5:$T$1003, 0)), "")</f>
        <v/>
      </c>
      <c r="C47" s="18" t="str">
        <f>IFERROR(INDEX('Detalles movimientos'!D$5:D$1003, MATCH(35, 'Detalles movimientos'!$T$5:$T$1003, 0)), "")</f>
        <v/>
      </c>
      <c r="D47" s="19" t="str">
        <f>IFERROR(INDEX('Detalles movimientos'!E$5:E$1003, MATCH(35, 'Detalles movimientos'!$T$5:$T$1003, 0)), "")</f>
        <v/>
      </c>
      <c r="E47" s="19" t="str">
        <f>IFERROR(INDEX('Detalles movimientos'!F$5:F$1003, MATCH(35, 'Detalles movimientos'!$T$5:$T$1003, 0)), "")</f>
        <v/>
      </c>
      <c r="F47" s="18" t="str">
        <f>IFERROR(INDEX('Detalles movimientos'!G$5:G$1003, MATCH(35, 'Detalles movimientos'!$T$5:$T$1003, 0)), "")</f>
        <v/>
      </c>
      <c r="G47" s="20" t="str">
        <f>IFERROR(INDEX('Detalles movimientos'!H$5:H$1003, MATCH(35, 'Detalles movimientos'!$T$5:$T$1003, 0)), "")</f>
        <v/>
      </c>
      <c r="H47" s="21" t="str">
        <f>IFERROR(INDEX('Detalles movimientos'!I$5:I$1003, MATCH(35, 'Detalles movimientos'!$T$5:$T$1003, 0)), "")</f>
        <v/>
      </c>
      <c r="I47" s="20" t="str">
        <f>IFERROR(INDEX('Detalles movimientos'!M$5:M$1003, MATCH(35, 'Detalles movimientos'!$T$5:$T$1003, 0)), "")</f>
        <v/>
      </c>
      <c r="J47" s="19" t="str">
        <f>IFERROR(INDEX('Detalles movimientos'!N$5:N$1003, MATCH(35, 'Detalles movimientos'!$T$5:$T$1003, 0)), "")</f>
        <v/>
      </c>
      <c r="K47" s="20" t="str">
        <f>IFERROR(INDEX('Detalles movimientos'!O$5:O$1003, MATCH(35, 'Detalles movimientos'!$T$5:$T$1003, 0)), "")</f>
        <v/>
      </c>
      <c r="L47" s="18" t="str">
        <f>IFERROR(INDEX('Detalles movimientos'!P$5:P$1003, MATCH(35, 'Detalles movimientos'!$T$5:$T$1003, 0)), "")</f>
        <v/>
      </c>
      <c r="M47" s="18" t="str">
        <f>IFERROR(INDEX('Detalles movimientos'!S$5:S$1003, MATCH(35, 'Detalles movimientos'!$T$5:$T$1003, 0)), "")</f>
        <v/>
      </c>
    </row>
    <row r="48" spans="2:13">
      <c r="B48" s="17" t="str">
        <f>IFERROR(INDEX('Detalles movimientos'!C$5:C$1003, MATCH(36, 'Detalles movimientos'!$T$5:$T$1003, 0)), "")</f>
        <v/>
      </c>
      <c r="C48" s="18" t="str">
        <f>IFERROR(INDEX('Detalles movimientos'!D$5:D$1003, MATCH(36, 'Detalles movimientos'!$T$5:$T$1003, 0)), "")</f>
        <v/>
      </c>
      <c r="D48" s="19" t="str">
        <f>IFERROR(INDEX('Detalles movimientos'!E$5:E$1003, MATCH(36, 'Detalles movimientos'!$T$5:$T$1003, 0)), "")</f>
        <v/>
      </c>
      <c r="E48" s="19" t="str">
        <f>IFERROR(INDEX('Detalles movimientos'!F$5:F$1003, MATCH(36, 'Detalles movimientos'!$T$5:$T$1003, 0)), "")</f>
        <v/>
      </c>
      <c r="F48" s="18" t="str">
        <f>IFERROR(INDEX('Detalles movimientos'!G$5:G$1003, MATCH(36, 'Detalles movimientos'!$T$5:$T$1003, 0)), "")</f>
        <v/>
      </c>
      <c r="G48" s="20" t="str">
        <f>IFERROR(INDEX('Detalles movimientos'!H$5:H$1003, MATCH(36, 'Detalles movimientos'!$T$5:$T$1003, 0)), "")</f>
        <v/>
      </c>
      <c r="H48" s="21" t="str">
        <f>IFERROR(INDEX('Detalles movimientos'!I$5:I$1003, MATCH(36, 'Detalles movimientos'!$T$5:$T$1003, 0)), "")</f>
        <v/>
      </c>
      <c r="I48" s="20" t="str">
        <f>IFERROR(INDEX('Detalles movimientos'!M$5:M$1003, MATCH(36, 'Detalles movimientos'!$T$5:$T$1003, 0)), "")</f>
        <v/>
      </c>
      <c r="J48" s="19" t="str">
        <f>IFERROR(INDEX('Detalles movimientos'!N$5:N$1003, MATCH(36, 'Detalles movimientos'!$T$5:$T$1003, 0)), "")</f>
        <v/>
      </c>
      <c r="K48" s="20" t="str">
        <f>IFERROR(INDEX('Detalles movimientos'!O$5:O$1003, MATCH(36, 'Detalles movimientos'!$T$5:$T$1003, 0)), "")</f>
        <v/>
      </c>
      <c r="L48" s="18" t="str">
        <f>IFERROR(INDEX('Detalles movimientos'!P$5:P$1003, MATCH(36, 'Detalles movimientos'!$T$5:$T$1003, 0)), "")</f>
        <v/>
      </c>
      <c r="M48" s="18" t="str">
        <f>IFERROR(INDEX('Detalles movimientos'!S$5:S$1003, MATCH(36, 'Detalles movimientos'!$T$5:$T$1003, 0)), "")</f>
        <v/>
      </c>
    </row>
    <row r="49" spans="2:13">
      <c r="B49" s="17" t="str">
        <f>IFERROR(INDEX('Detalles movimientos'!C$5:C$1003, MATCH(37, 'Detalles movimientos'!$T$5:$T$1003, 0)), "")</f>
        <v/>
      </c>
      <c r="C49" s="18" t="str">
        <f>IFERROR(INDEX('Detalles movimientos'!D$5:D$1003, MATCH(37, 'Detalles movimientos'!$T$5:$T$1003, 0)), "")</f>
        <v/>
      </c>
      <c r="D49" s="19" t="str">
        <f>IFERROR(INDEX('Detalles movimientos'!E$5:E$1003, MATCH(37, 'Detalles movimientos'!$T$5:$T$1003, 0)), "")</f>
        <v/>
      </c>
      <c r="E49" s="19" t="str">
        <f>IFERROR(INDEX('Detalles movimientos'!F$5:F$1003, MATCH(37, 'Detalles movimientos'!$T$5:$T$1003, 0)), "")</f>
        <v/>
      </c>
      <c r="F49" s="18" t="str">
        <f>IFERROR(INDEX('Detalles movimientos'!G$5:G$1003, MATCH(37, 'Detalles movimientos'!$T$5:$T$1003, 0)), "")</f>
        <v/>
      </c>
      <c r="G49" s="20" t="str">
        <f>IFERROR(INDEX('Detalles movimientos'!H$5:H$1003, MATCH(37, 'Detalles movimientos'!$T$5:$T$1003, 0)), "")</f>
        <v/>
      </c>
      <c r="H49" s="21" t="str">
        <f>IFERROR(INDEX('Detalles movimientos'!I$5:I$1003, MATCH(37, 'Detalles movimientos'!$T$5:$T$1003, 0)), "")</f>
        <v/>
      </c>
      <c r="I49" s="20" t="str">
        <f>IFERROR(INDEX('Detalles movimientos'!M$5:M$1003, MATCH(37, 'Detalles movimientos'!$T$5:$T$1003, 0)), "")</f>
        <v/>
      </c>
      <c r="J49" s="19" t="str">
        <f>IFERROR(INDEX('Detalles movimientos'!N$5:N$1003, MATCH(37, 'Detalles movimientos'!$T$5:$T$1003, 0)), "")</f>
        <v/>
      </c>
      <c r="K49" s="20" t="str">
        <f>IFERROR(INDEX('Detalles movimientos'!O$5:O$1003, MATCH(37, 'Detalles movimientos'!$T$5:$T$1003, 0)), "")</f>
        <v/>
      </c>
      <c r="L49" s="18" t="str">
        <f>IFERROR(INDEX('Detalles movimientos'!P$5:P$1003, MATCH(37, 'Detalles movimientos'!$T$5:$T$1003, 0)), "")</f>
        <v/>
      </c>
      <c r="M49" s="18" t="str">
        <f>IFERROR(INDEX('Detalles movimientos'!S$5:S$1003, MATCH(37, 'Detalles movimientos'!$T$5:$T$1003, 0)), "")</f>
        <v/>
      </c>
    </row>
    <row r="50" spans="2:13">
      <c r="B50" s="17" t="str">
        <f>IFERROR(INDEX('Detalles movimientos'!C$5:C$1003, MATCH(38, 'Detalles movimientos'!$T$5:$T$1003, 0)), "")</f>
        <v/>
      </c>
      <c r="C50" s="18" t="str">
        <f>IFERROR(INDEX('Detalles movimientos'!D$5:D$1003, MATCH(38, 'Detalles movimientos'!$T$5:$T$1003, 0)), "")</f>
        <v/>
      </c>
      <c r="D50" s="19" t="str">
        <f>IFERROR(INDEX('Detalles movimientos'!E$5:E$1003, MATCH(38, 'Detalles movimientos'!$T$5:$T$1003, 0)), "")</f>
        <v/>
      </c>
      <c r="E50" s="19" t="str">
        <f>IFERROR(INDEX('Detalles movimientos'!F$5:F$1003, MATCH(38, 'Detalles movimientos'!$T$5:$T$1003, 0)), "")</f>
        <v/>
      </c>
      <c r="F50" s="18" t="str">
        <f>IFERROR(INDEX('Detalles movimientos'!G$5:G$1003, MATCH(38, 'Detalles movimientos'!$T$5:$T$1003, 0)), "")</f>
        <v/>
      </c>
      <c r="G50" s="20" t="str">
        <f>IFERROR(INDEX('Detalles movimientos'!H$5:H$1003, MATCH(38, 'Detalles movimientos'!$T$5:$T$1003, 0)), "")</f>
        <v/>
      </c>
      <c r="H50" s="21" t="str">
        <f>IFERROR(INDEX('Detalles movimientos'!I$5:I$1003, MATCH(38, 'Detalles movimientos'!$T$5:$T$1003, 0)), "")</f>
        <v/>
      </c>
      <c r="I50" s="20" t="str">
        <f>IFERROR(INDEX('Detalles movimientos'!M$5:M$1003, MATCH(38, 'Detalles movimientos'!$T$5:$T$1003, 0)), "")</f>
        <v/>
      </c>
      <c r="J50" s="19" t="str">
        <f>IFERROR(INDEX('Detalles movimientos'!N$5:N$1003, MATCH(38, 'Detalles movimientos'!$T$5:$T$1003, 0)), "")</f>
        <v/>
      </c>
      <c r="K50" s="20" t="str">
        <f>IFERROR(INDEX('Detalles movimientos'!O$5:O$1003, MATCH(38, 'Detalles movimientos'!$T$5:$T$1003, 0)), "")</f>
        <v/>
      </c>
      <c r="L50" s="18" t="str">
        <f>IFERROR(INDEX('Detalles movimientos'!P$5:P$1003, MATCH(38, 'Detalles movimientos'!$T$5:$T$1003, 0)), "")</f>
        <v/>
      </c>
      <c r="M50" s="18" t="str">
        <f>IFERROR(INDEX('Detalles movimientos'!S$5:S$1003, MATCH(38, 'Detalles movimientos'!$T$5:$T$1003, 0)), "")</f>
        <v/>
      </c>
    </row>
    <row r="51" spans="2:13">
      <c r="B51" s="17" t="str">
        <f>IFERROR(INDEX('Detalles movimientos'!C$5:C$1003, MATCH(39, 'Detalles movimientos'!$T$5:$T$1003, 0)), "")</f>
        <v/>
      </c>
      <c r="C51" s="18" t="str">
        <f>IFERROR(INDEX('Detalles movimientos'!D$5:D$1003, MATCH(39, 'Detalles movimientos'!$T$5:$T$1003, 0)), "")</f>
        <v/>
      </c>
      <c r="D51" s="19" t="str">
        <f>IFERROR(INDEX('Detalles movimientos'!E$5:E$1003, MATCH(39, 'Detalles movimientos'!$T$5:$T$1003, 0)), "")</f>
        <v/>
      </c>
      <c r="E51" s="19" t="str">
        <f>IFERROR(INDEX('Detalles movimientos'!F$5:F$1003, MATCH(39, 'Detalles movimientos'!$T$5:$T$1003, 0)), "")</f>
        <v/>
      </c>
      <c r="F51" s="18" t="str">
        <f>IFERROR(INDEX('Detalles movimientos'!G$5:G$1003, MATCH(39, 'Detalles movimientos'!$T$5:$T$1003, 0)), "")</f>
        <v/>
      </c>
      <c r="G51" s="20" t="str">
        <f>IFERROR(INDEX('Detalles movimientos'!H$5:H$1003, MATCH(39, 'Detalles movimientos'!$T$5:$T$1003, 0)), "")</f>
        <v/>
      </c>
      <c r="H51" s="21" t="str">
        <f>IFERROR(INDEX('Detalles movimientos'!I$5:I$1003, MATCH(39, 'Detalles movimientos'!$T$5:$T$1003, 0)), "")</f>
        <v/>
      </c>
      <c r="I51" s="20" t="str">
        <f>IFERROR(INDEX('Detalles movimientos'!M$5:M$1003, MATCH(39, 'Detalles movimientos'!$T$5:$T$1003, 0)), "")</f>
        <v/>
      </c>
      <c r="J51" s="19" t="str">
        <f>IFERROR(INDEX('Detalles movimientos'!N$5:N$1003, MATCH(39, 'Detalles movimientos'!$T$5:$T$1003, 0)), "")</f>
        <v/>
      </c>
      <c r="K51" s="20" t="str">
        <f>IFERROR(INDEX('Detalles movimientos'!O$5:O$1003, MATCH(39, 'Detalles movimientos'!$T$5:$T$1003, 0)), "")</f>
        <v/>
      </c>
      <c r="L51" s="18" t="str">
        <f>IFERROR(INDEX('Detalles movimientos'!P$5:P$1003, MATCH(39, 'Detalles movimientos'!$T$5:$T$1003, 0)), "")</f>
        <v/>
      </c>
      <c r="M51" s="18" t="str">
        <f>IFERROR(INDEX('Detalles movimientos'!S$5:S$1003, MATCH(39, 'Detalles movimientos'!$T$5:$T$1003, 0)), "")</f>
        <v/>
      </c>
    </row>
    <row r="52" spans="2:13">
      <c r="B52" s="17" t="str">
        <f>IFERROR(INDEX('Detalles movimientos'!C$5:C$1003, MATCH(40, 'Detalles movimientos'!$T$5:$T$1003, 0)), "")</f>
        <v/>
      </c>
      <c r="C52" s="18" t="str">
        <f>IFERROR(INDEX('Detalles movimientos'!D$5:D$1003, MATCH(40, 'Detalles movimientos'!$T$5:$T$1003, 0)), "")</f>
        <v/>
      </c>
      <c r="D52" s="19" t="str">
        <f>IFERROR(INDEX('Detalles movimientos'!E$5:E$1003, MATCH(40, 'Detalles movimientos'!$T$5:$T$1003, 0)), "")</f>
        <v/>
      </c>
      <c r="E52" s="19" t="str">
        <f>IFERROR(INDEX('Detalles movimientos'!F$5:F$1003, MATCH(40, 'Detalles movimientos'!$T$5:$T$1003, 0)), "")</f>
        <v/>
      </c>
      <c r="F52" s="18" t="str">
        <f>IFERROR(INDEX('Detalles movimientos'!G$5:G$1003, MATCH(40, 'Detalles movimientos'!$T$5:$T$1003, 0)), "")</f>
        <v/>
      </c>
      <c r="G52" s="20" t="str">
        <f>IFERROR(INDEX('Detalles movimientos'!H$5:H$1003, MATCH(40, 'Detalles movimientos'!$T$5:$T$1003, 0)), "")</f>
        <v/>
      </c>
      <c r="H52" s="21" t="str">
        <f>IFERROR(INDEX('Detalles movimientos'!I$5:I$1003, MATCH(40, 'Detalles movimientos'!$T$5:$T$1003, 0)), "")</f>
        <v/>
      </c>
      <c r="I52" s="20" t="str">
        <f>IFERROR(INDEX('Detalles movimientos'!M$5:M$1003, MATCH(40, 'Detalles movimientos'!$T$5:$T$1003, 0)), "")</f>
        <v/>
      </c>
      <c r="J52" s="19" t="str">
        <f>IFERROR(INDEX('Detalles movimientos'!N$5:N$1003, MATCH(40, 'Detalles movimientos'!$T$5:$T$1003, 0)), "")</f>
        <v/>
      </c>
      <c r="K52" s="20" t="str">
        <f>IFERROR(INDEX('Detalles movimientos'!O$5:O$1003, MATCH(40, 'Detalles movimientos'!$T$5:$T$1003, 0)), "")</f>
        <v/>
      </c>
      <c r="L52" s="18" t="str">
        <f>IFERROR(INDEX('Detalles movimientos'!P$5:P$1003, MATCH(40, 'Detalles movimientos'!$T$5:$T$1003, 0)), "")</f>
        <v/>
      </c>
      <c r="M52" s="18" t="str">
        <f>IFERROR(INDEX('Detalles movimientos'!S$5:S$1003, MATCH(40, 'Detalles movimientos'!$T$5:$T$1003, 0)), "")</f>
        <v/>
      </c>
    </row>
    <row r="53" spans="2:13">
      <c r="B53" s="17" t="str">
        <f>IFERROR(INDEX('Detalles movimientos'!C$5:C$1003, MATCH(41, 'Detalles movimientos'!$T$5:$T$1003, 0)), "")</f>
        <v/>
      </c>
      <c r="C53" s="18" t="str">
        <f>IFERROR(INDEX('Detalles movimientos'!D$5:D$1003, MATCH(41, 'Detalles movimientos'!$T$5:$T$1003, 0)), "")</f>
        <v/>
      </c>
      <c r="D53" s="19" t="str">
        <f>IFERROR(INDEX('Detalles movimientos'!E$5:E$1003, MATCH(41, 'Detalles movimientos'!$T$5:$T$1003, 0)), "")</f>
        <v/>
      </c>
      <c r="E53" s="19" t="str">
        <f>IFERROR(INDEX('Detalles movimientos'!F$5:F$1003, MATCH(41, 'Detalles movimientos'!$T$5:$T$1003, 0)), "")</f>
        <v/>
      </c>
      <c r="F53" s="18" t="str">
        <f>IFERROR(INDEX('Detalles movimientos'!G$5:G$1003, MATCH(41, 'Detalles movimientos'!$T$5:$T$1003, 0)), "")</f>
        <v/>
      </c>
      <c r="G53" s="20" t="str">
        <f>IFERROR(INDEX('Detalles movimientos'!H$5:H$1003, MATCH(41, 'Detalles movimientos'!$T$5:$T$1003, 0)), "")</f>
        <v/>
      </c>
      <c r="H53" s="21" t="str">
        <f>IFERROR(INDEX('Detalles movimientos'!I$5:I$1003, MATCH(41, 'Detalles movimientos'!$T$5:$T$1003, 0)), "")</f>
        <v/>
      </c>
      <c r="I53" s="20" t="str">
        <f>IFERROR(INDEX('Detalles movimientos'!M$5:M$1003, MATCH(41, 'Detalles movimientos'!$T$5:$T$1003, 0)), "")</f>
        <v/>
      </c>
      <c r="J53" s="19" t="str">
        <f>IFERROR(INDEX('Detalles movimientos'!N$5:N$1003, MATCH(41, 'Detalles movimientos'!$T$5:$T$1003, 0)), "")</f>
        <v/>
      </c>
      <c r="K53" s="20" t="str">
        <f>IFERROR(INDEX('Detalles movimientos'!O$5:O$1003, MATCH(41, 'Detalles movimientos'!$T$5:$T$1003, 0)), "")</f>
        <v/>
      </c>
      <c r="L53" s="18" t="str">
        <f>IFERROR(INDEX('Detalles movimientos'!P$5:P$1003, MATCH(41, 'Detalles movimientos'!$T$5:$T$1003, 0)), "")</f>
        <v/>
      </c>
      <c r="M53" s="18" t="str">
        <f>IFERROR(INDEX('Detalles movimientos'!S$5:S$1003, MATCH(41, 'Detalles movimientos'!$T$5:$T$1003, 0)), "")</f>
        <v/>
      </c>
    </row>
    <row r="54" spans="2:13">
      <c r="B54" s="17" t="str">
        <f>IFERROR(INDEX('Detalles movimientos'!C$5:C$1003, MATCH(42, 'Detalles movimientos'!$T$5:$T$1003, 0)), "")</f>
        <v/>
      </c>
      <c r="C54" s="18" t="str">
        <f>IFERROR(INDEX('Detalles movimientos'!D$5:D$1003, MATCH(42, 'Detalles movimientos'!$T$5:$T$1003, 0)), "")</f>
        <v/>
      </c>
      <c r="D54" s="19" t="str">
        <f>IFERROR(INDEX('Detalles movimientos'!E$5:E$1003, MATCH(42, 'Detalles movimientos'!$T$5:$T$1003, 0)), "")</f>
        <v/>
      </c>
      <c r="E54" s="19" t="str">
        <f>IFERROR(INDEX('Detalles movimientos'!F$5:F$1003, MATCH(42, 'Detalles movimientos'!$T$5:$T$1003, 0)), "")</f>
        <v/>
      </c>
      <c r="F54" s="18" t="str">
        <f>IFERROR(INDEX('Detalles movimientos'!G$5:G$1003, MATCH(42, 'Detalles movimientos'!$T$5:$T$1003, 0)), "")</f>
        <v/>
      </c>
      <c r="G54" s="20" t="str">
        <f>IFERROR(INDEX('Detalles movimientos'!H$5:H$1003, MATCH(42, 'Detalles movimientos'!$T$5:$T$1003, 0)), "")</f>
        <v/>
      </c>
      <c r="H54" s="21" t="str">
        <f>IFERROR(INDEX('Detalles movimientos'!I$5:I$1003, MATCH(42, 'Detalles movimientos'!$T$5:$T$1003, 0)), "")</f>
        <v/>
      </c>
      <c r="I54" s="20" t="str">
        <f>IFERROR(INDEX('Detalles movimientos'!M$5:M$1003, MATCH(42, 'Detalles movimientos'!$T$5:$T$1003, 0)), "")</f>
        <v/>
      </c>
      <c r="J54" s="19" t="str">
        <f>IFERROR(INDEX('Detalles movimientos'!N$5:N$1003, MATCH(42, 'Detalles movimientos'!$T$5:$T$1003, 0)), "")</f>
        <v/>
      </c>
      <c r="K54" s="20" t="str">
        <f>IFERROR(INDEX('Detalles movimientos'!O$5:O$1003, MATCH(42, 'Detalles movimientos'!$T$5:$T$1003, 0)), "")</f>
        <v/>
      </c>
      <c r="L54" s="18" t="str">
        <f>IFERROR(INDEX('Detalles movimientos'!P$5:P$1003, MATCH(42, 'Detalles movimientos'!$T$5:$T$1003, 0)), "")</f>
        <v/>
      </c>
      <c r="M54" s="18" t="str">
        <f>IFERROR(INDEX('Detalles movimientos'!S$5:S$1003, MATCH(42, 'Detalles movimientos'!$T$5:$T$1003, 0)), "")</f>
        <v/>
      </c>
    </row>
    <row r="55" spans="2:13">
      <c r="B55" s="17" t="str">
        <f>IFERROR(INDEX('Detalles movimientos'!C$5:C$1003, MATCH(43, 'Detalles movimientos'!$T$5:$T$1003, 0)), "")</f>
        <v/>
      </c>
      <c r="C55" s="18" t="str">
        <f>IFERROR(INDEX('Detalles movimientos'!D$5:D$1003, MATCH(43, 'Detalles movimientos'!$T$5:$T$1003, 0)), "")</f>
        <v/>
      </c>
      <c r="D55" s="19" t="str">
        <f>IFERROR(INDEX('Detalles movimientos'!E$5:E$1003, MATCH(43, 'Detalles movimientos'!$T$5:$T$1003, 0)), "")</f>
        <v/>
      </c>
      <c r="E55" s="19" t="str">
        <f>IFERROR(INDEX('Detalles movimientos'!F$5:F$1003, MATCH(43, 'Detalles movimientos'!$T$5:$T$1003, 0)), "")</f>
        <v/>
      </c>
      <c r="F55" s="18" t="str">
        <f>IFERROR(INDEX('Detalles movimientos'!G$5:G$1003, MATCH(43, 'Detalles movimientos'!$T$5:$T$1003, 0)), "")</f>
        <v/>
      </c>
      <c r="G55" s="20" t="str">
        <f>IFERROR(INDEX('Detalles movimientos'!H$5:H$1003, MATCH(43, 'Detalles movimientos'!$T$5:$T$1003, 0)), "")</f>
        <v/>
      </c>
      <c r="H55" s="21" t="str">
        <f>IFERROR(INDEX('Detalles movimientos'!I$5:I$1003, MATCH(43, 'Detalles movimientos'!$T$5:$T$1003, 0)), "")</f>
        <v/>
      </c>
      <c r="I55" s="20" t="str">
        <f>IFERROR(INDEX('Detalles movimientos'!M$5:M$1003, MATCH(43, 'Detalles movimientos'!$T$5:$T$1003, 0)), "")</f>
        <v/>
      </c>
      <c r="J55" s="19" t="str">
        <f>IFERROR(INDEX('Detalles movimientos'!N$5:N$1003, MATCH(43, 'Detalles movimientos'!$T$5:$T$1003, 0)), "")</f>
        <v/>
      </c>
      <c r="K55" s="20" t="str">
        <f>IFERROR(INDEX('Detalles movimientos'!O$5:O$1003, MATCH(43, 'Detalles movimientos'!$T$5:$T$1003, 0)), "")</f>
        <v/>
      </c>
      <c r="L55" s="18" t="str">
        <f>IFERROR(INDEX('Detalles movimientos'!P$5:P$1003, MATCH(43, 'Detalles movimientos'!$T$5:$T$1003, 0)), "")</f>
        <v/>
      </c>
      <c r="M55" s="18" t="str">
        <f>IFERROR(INDEX('Detalles movimientos'!S$5:S$1003, MATCH(43, 'Detalles movimientos'!$T$5:$T$1003, 0)), "")</f>
        <v/>
      </c>
    </row>
    <row r="56" spans="2:13">
      <c r="B56" s="17" t="str">
        <f>IFERROR(INDEX('Detalles movimientos'!C$5:C$1003, MATCH(44, 'Detalles movimientos'!$T$5:$T$1003, 0)), "")</f>
        <v/>
      </c>
      <c r="C56" s="18" t="str">
        <f>IFERROR(INDEX('Detalles movimientos'!D$5:D$1003, MATCH(44, 'Detalles movimientos'!$T$5:$T$1003, 0)), "")</f>
        <v/>
      </c>
      <c r="D56" s="19" t="str">
        <f>IFERROR(INDEX('Detalles movimientos'!E$5:E$1003, MATCH(44, 'Detalles movimientos'!$T$5:$T$1003, 0)), "")</f>
        <v/>
      </c>
      <c r="E56" s="19" t="str">
        <f>IFERROR(INDEX('Detalles movimientos'!F$5:F$1003, MATCH(44, 'Detalles movimientos'!$T$5:$T$1003, 0)), "")</f>
        <v/>
      </c>
      <c r="F56" s="18" t="str">
        <f>IFERROR(INDEX('Detalles movimientos'!G$5:G$1003, MATCH(44, 'Detalles movimientos'!$T$5:$T$1003, 0)), "")</f>
        <v/>
      </c>
      <c r="G56" s="20" t="str">
        <f>IFERROR(INDEX('Detalles movimientos'!H$5:H$1003, MATCH(44, 'Detalles movimientos'!$T$5:$T$1003, 0)), "")</f>
        <v/>
      </c>
      <c r="H56" s="21" t="str">
        <f>IFERROR(INDEX('Detalles movimientos'!I$5:I$1003, MATCH(44, 'Detalles movimientos'!$T$5:$T$1003, 0)), "")</f>
        <v/>
      </c>
      <c r="I56" s="20" t="str">
        <f>IFERROR(INDEX('Detalles movimientos'!M$5:M$1003, MATCH(44, 'Detalles movimientos'!$T$5:$T$1003, 0)), "")</f>
        <v/>
      </c>
      <c r="J56" s="19" t="str">
        <f>IFERROR(INDEX('Detalles movimientos'!N$5:N$1003, MATCH(44, 'Detalles movimientos'!$T$5:$T$1003, 0)), "")</f>
        <v/>
      </c>
      <c r="K56" s="20" t="str">
        <f>IFERROR(INDEX('Detalles movimientos'!O$5:O$1003, MATCH(44, 'Detalles movimientos'!$T$5:$T$1003, 0)), "")</f>
        <v/>
      </c>
      <c r="L56" s="18" t="str">
        <f>IFERROR(INDEX('Detalles movimientos'!P$5:P$1003, MATCH(44, 'Detalles movimientos'!$T$5:$T$1003, 0)), "")</f>
        <v/>
      </c>
      <c r="M56" s="18" t="str">
        <f>IFERROR(INDEX('Detalles movimientos'!S$5:S$1003, MATCH(44, 'Detalles movimientos'!$T$5:$T$1003, 0)), "")</f>
        <v/>
      </c>
    </row>
    <row r="57" spans="2:13">
      <c r="B57" s="17" t="str">
        <f>IFERROR(INDEX('Detalles movimientos'!C$5:C$1003, MATCH(45, 'Detalles movimientos'!$T$5:$T$1003, 0)), "")</f>
        <v/>
      </c>
      <c r="C57" s="18" t="str">
        <f>IFERROR(INDEX('Detalles movimientos'!D$5:D$1003, MATCH(45, 'Detalles movimientos'!$T$5:$T$1003, 0)), "")</f>
        <v/>
      </c>
      <c r="D57" s="19" t="str">
        <f>IFERROR(INDEX('Detalles movimientos'!E$5:E$1003, MATCH(45, 'Detalles movimientos'!$T$5:$T$1003, 0)), "")</f>
        <v/>
      </c>
      <c r="E57" s="19" t="str">
        <f>IFERROR(INDEX('Detalles movimientos'!F$5:F$1003, MATCH(45, 'Detalles movimientos'!$T$5:$T$1003, 0)), "")</f>
        <v/>
      </c>
      <c r="F57" s="18" t="str">
        <f>IFERROR(INDEX('Detalles movimientos'!G$5:G$1003, MATCH(45, 'Detalles movimientos'!$T$5:$T$1003, 0)), "")</f>
        <v/>
      </c>
      <c r="G57" s="20" t="str">
        <f>IFERROR(INDEX('Detalles movimientos'!H$5:H$1003, MATCH(45, 'Detalles movimientos'!$T$5:$T$1003, 0)), "")</f>
        <v/>
      </c>
      <c r="H57" s="21" t="str">
        <f>IFERROR(INDEX('Detalles movimientos'!I$5:I$1003, MATCH(45, 'Detalles movimientos'!$T$5:$T$1003, 0)), "")</f>
        <v/>
      </c>
      <c r="I57" s="20" t="str">
        <f>IFERROR(INDEX('Detalles movimientos'!M$5:M$1003, MATCH(45, 'Detalles movimientos'!$T$5:$T$1003, 0)), "")</f>
        <v/>
      </c>
      <c r="J57" s="19" t="str">
        <f>IFERROR(INDEX('Detalles movimientos'!N$5:N$1003, MATCH(45, 'Detalles movimientos'!$T$5:$T$1003, 0)), "")</f>
        <v/>
      </c>
      <c r="K57" s="20" t="str">
        <f>IFERROR(INDEX('Detalles movimientos'!O$5:O$1003, MATCH(45, 'Detalles movimientos'!$T$5:$T$1003, 0)), "")</f>
        <v/>
      </c>
      <c r="L57" s="18" t="str">
        <f>IFERROR(INDEX('Detalles movimientos'!P$5:P$1003, MATCH(45, 'Detalles movimientos'!$T$5:$T$1003, 0)), "")</f>
        <v/>
      </c>
      <c r="M57" s="18" t="str">
        <f>IFERROR(INDEX('Detalles movimientos'!S$5:S$1003, MATCH(45, 'Detalles movimientos'!$T$5:$T$1003, 0)), "")</f>
        <v/>
      </c>
    </row>
    <row r="58" spans="2:13">
      <c r="B58" s="17" t="str">
        <f>IFERROR(INDEX('Detalles movimientos'!C$5:C$1003, MATCH(46, 'Detalles movimientos'!$T$5:$T$1003, 0)), "")</f>
        <v/>
      </c>
      <c r="C58" s="18" t="str">
        <f>IFERROR(INDEX('Detalles movimientos'!D$5:D$1003, MATCH(46, 'Detalles movimientos'!$T$5:$T$1003, 0)), "")</f>
        <v/>
      </c>
      <c r="D58" s="19" t="str">
        <f>IFERROR(INDEX('Detalles movimientos'!E$5:E$1003, MATCH(46, 'Detalles movimientos'!$T$5:$T$1003, 0)), "")</f>
        <v/>
      </c>
      <c r="E58" s="19" t="str">
        <f>IFERROR(INDEX('Detalles movimientos'!F$5:F$1003, MATCH(46, 'Detalles movimientos'!$T$5:$T$1003, 0)), "")</f>
        <v/>
      </c>
      <c r="F58" s="18" t="str">
        <f>IFERROR(INDEX('Detalles movimientos'!G$5:G$1003, MATCH(46, 'Detalles movimientos'!$T$5:$T$1003, 0)), "")</f>
        <v/>
      </c>
      <c r="G58" s="20" t="str">
        <f>IFERROR(INDEX('Detalles movimientos'!H$5:H$1003, MATCH(46, 'Detalles movimientos'!$T$5:$T$1003, 0)), "")</f>
        <v/>
      </c>
      <c r="H58" s="21" t="str">
        <f>IFERROR(INDEX('Detalles movimientos'!I$5:I$1003, MATCH(46, 'Detalles movimientos'!$T$5:$T$1003, 0)), "")</f>
        <v/>
      </c>
      <c r="I58" s="20" t="str">
        <f>IFERROR(INDEX('Detalles movimientos'!M$5:M$1003, MATCH(46, 'Detalles movimientos'!$T$5:$T$1003, 0)), "")</f>
        <v/>
      </c>
      <c r="J58" s="19" t="str">
        <f>IFERROR(INDEX('Detalles movimientos'!N$5:N$1003, MATCH(46, 'Detalles movimientos'!$T$5:$T$1003, 0)), "")</f>
        <v/>
      </c>
      <c r="K58" s="20" t="str">
        <f>IFERROR(INDEX('Detalles movimientos'!O$5:O$1003, MATCH(46, 'Detalles movimientos'!$T$5:$T$1003, 0)), "")</f>
        <v/>
      </c>
      <c r="L58" s="18" t="str">
        <f>IFERROR(INDEX('Detalles movimientos'!P$5:P$1003, MATCH(46, 'Detalles movimientos'!$T$5:$T$1003, 0)), "")</f>
        <v/>
      </c>
      <c r="M58" s="18" t="str">
        <f>IFERROR(INDEX('Detalles movimientos'!S$5:S$1003, MATCH(46, 'Detalles movimientos'!$T$5:$T$1003, 0)), "")</f>
        <v/>
      </c>
    </row>
    <row r="59" spans="2:13">
      <c r="B59" s="17" t="str">
        <f>IFERROR(INDEX('Detalles movimientos'!C$5:C$1003, MATCH(47, 'Detalles movimientos'!$T$5:$T$1003, 0)), "")</f>
        <v/>
      </c>
      <c r="C59" s="18" t="str">
        <f>IFERROR(INDEX('Detalles movimientos'!D$5:D$1003, MATCH(47, 'Detalles movimientos'!$T$5:$T$1003, 0)), "")</f>
        <v/>
      </c>
      <c r="D59" s="19" t="str">
        <f>IFERROR(INDEX('Detalles movimientos'!E$5:E$1003, MATCH(47, 'Detalles movimientos'!$T$5:$T$1003, 0)), "")</f>
        <v/>
      </c>
      <c r="E59" s="19" t="str">
        <f>IFERROR(INDEX('Detalles movimientos'!F$5:F$1003, MATCH(47, 'Detalles movimientos'!$T$5:$T$1003, 0)), "")</f>
        <v/>
      </c>
      <c r="F59" s="18" t="str">
        <f>IFERROR(INDEX('Detalles movimientos'!G$5:G$1003, MATCH(47, 'Detalles movimientos'!$T$5:$T$1003, 0)), "")</f>
        <v/>
      </c>
      <c r="G59" s="20" t="str">
        <f>IFERROR(INDEX('Detalles movimientos'!H$5:H$1003, MATCH(47, 'Detalles movimientos'!$T$5:$T$1003, 0)), "")</f>
        <v/>
      </c>
      <c r="H59" s="21" t="str">
        <f>IFERROR(INDEX('Detalles movimientos'!I$5:I$1003, MATCH(47, 'Detalles movimientos'!$T$5:$T$1003, 0)), "")</f>
        <v/>
      </c>
      <c r="I59" s="20" t="str">
        <f>IFERROR(INDEX('Detalles movimientos'!M$5:M$1003, MATCH(47, 'Detalles movimientos'!$T$5:$T$1003, 0)), "")</f>
        <v/>
      </c>
      <c r="J59" s="19" t="str">
        <f>IFERROR(INDEX('Detalles movimientos'!N$5:N$1003, MATCH(47, 'Detalles movimientos'!$T$5:$T$1003, 0)), "")</f>
        <v/>
      </c>
      <c r="K59" s="20" t="str">
        <f>IFERROR(INDEX('Detalles movimientos'!O$5:O$1003, MATCH(47, 'Detalles movimientos'!$T$5:$T$1003, 0)), "")</f>
        <v/>
      </c>
      <c r="L59" s="18" t="str">
        <f>IFERROR(INDEX('Detalles movimientos'!P$5:P$1003, MATCH(47, 'Detalles movimientos'!$T$5:$T$1003, 0)), "")</f>
        <v/>
      </c>
      <c r="M59" s="18" t="str">
        <f>IFERROR(INDEX('Detalles movimientos'!S$5:S$1003, MATCH(47, 'Detalles movimientos'!$T$5:$T$1003, 0)), "")</f>
        <v/>
      </c>
    </row>
    <row r="60" spans="2:13">
      <c r="B60" s="17" t="str">
        <f>IFERROR(INDEX('Detalles movimientos'!C$5:C$1003, MATCH(48, 'Detalles movimientos'!$T$5:$T$1003, 0)), "")</f>
        <v/>
      </c>
      <c r="C60" s="18" t="str">
        <f>IFERROR(INDEX('Detalles movimientos'!D$5:D$1003, MATCH(48, 'Detalles movimientos'!$T$5:$T$1003, 0)), "")</f>
        <v/>
      </c>
      <c r="D60" s="19" t="str">
        <f>IFERROR(INDEX('Detalles movimientos'!E$5:E$1003, MATCH(48, 'Detalles movimientos'!$T$5:$T$1003, 0)), "")</f>
        <v/>
      </c>
      <c r="E60" s="19" t="str">
        <f>IFERROR(INDEX('Detalles movimientos'!F$5:F$1003, MATCH(48, 'Detalles movimientos'!$T$5:$T$1003, 0)), "")</f>
        <v/>
      </c>
      <c r="F60" s="18" t="str">
        <f>IFERROR(INDEX('Detalles movimientos'!G$5:G$1003, MATCH(48, 'Detalles movimientos'!$T$5:$T$1003, 0)), "")</f>
        <v/>
      </c>
      <c r="G60" s="20" t="str">
        <f>IFERROR(INDEX('Detalles movimientos'!H$5:H$1003, MATCH(48, 'Detalles movimientos'!$T$5:$T$1003, 0)), "")</f>
        <v/>
      </c>
      <c r="H60" s="21" t="str">
        <f>IFERROR(INDEX('Detalles movimientos'!I$5:I$1003, MATCH(48, 'Detalles movimientos'!$T$5:$T$1003, 0)), "")</f>
        <v/>
      </c>
      <c r="I60" s="20" t="str">
        <f>IFERROR(INDEX('Detalles movimientos'!M$5:M$1003, MATCH(48, 'Detalles movimientos'!$T$5:$T$1003, 0)), "")</f>
        <v/>
      </c>
      <c r="J60" s="19" t="str">
        <f>IFERROR(INDEX('Detalles movimientos'!N$5:N$1003, MATCH(48, 'Detalles movimientos'!$T$5:$T$1003, 0)), "")</f>
        <v/>
      </c>
      <c r="K60" s="20" t="str">
        <f>IFERROR(INDEX('Detalles movimientos'!O$5:O$1003, MATCH(48, 'Detalles movimientos'!$T$5:$T$1003, 0)), "")</f>
        <v/>
      </c>
      <c r="L60" s="18" t="str">
        <f>IFERROR(INDEX('Detalles movimientos'!P$5:P$1003, MATCH(48, 'Detalles movimientos'!$T$5:$T$1003, 0)), "")</f>
        <v/>
      </c>
      <c r="M60" s="18" t="str">
        <f>IFERROR(INDEX('Detalles movimientos'!S$5:S$1003, MATCH(48, 'Detalles movimientos'!$T$5:$T$1003, 0)), "")</f>
        <v/>
      </c>
    </row>
    <row r="61" spans="2:13">
      <c r="B61" s="17" t="str">
        <f>IFERROR(INDEX('Detalles movimientos'!C$5:C$1003, MATCH(49, 'Detalles movimientos'!$T$5:$T$1003, 0)), "")</f>
        <v/>
      </c>
      <c r="C61" s="18" t="str">
        <f>IFERROR(INDEX('Detalles movimientos'!D$5:D$1003, MATCH(49, 'Detalles movimientos'!$T$5:$T$1003, 0)), "")</f>
        <v/>
      </c>
      <c r="D61" s="19" t="str">
        <f>IFERROR(INDEX('Detalles movimientos'!E$5:E$1003, MATCH(49, 'Detalles movimientos'!$T$5:$T$1003, 0)), "")</f>
        <v/>
      </c>
      <c r="E61" s="19" t="str">
        <f>IFERROR(INDEX('Detalles movimientos'!F$5:F$1003, MATCH(49, 'Detalles movimientos'!$T$5:$T$1003, 0)), "")</f>
        <v/>
      </c>
      <c r="F61" s="18" t="str">
        <f>IFERROR(INDEX('Detalles movimientos'!G$5:G$1003, MATCH(49, 'Detalles movimientos'!$T$5:$T$1003, 0)), "")</f>
        <v/>
      </c>
      <c r="G61" s="20" t="str">
        <f>IFERROR(INDEX('Detalles movimientos'!H$5:H$1003, MATCH(49, 'Detalles movimientos'!$T$5:$T$1003, 0)), "")</f>
        <v/>
      </c>
      <c r="H61" s="21" t="str">
        <f>IFERROR(INDEX('Detalles movimientos'!I$5:I$1003, MATCH(49, 'Detalles movimientos'!$T$5:$T$1003, 0)), "")</f>
        <v/>
      </c>
      <c r="I61" s="20" t="str">
        <f>IFERROR(INDEX('Detalles movimientos'!M$5:M$1003, MATCH(49, 'Detalles movimientos'!$T$5:$T$1003, 0)), "")</f>
        <v/>
      </c>
      <c r="J61" s="19" t="str">
        <f>IFERROR(INDEX('Detalles movimientos'!N$5:N$1003, MATCH(49, 'Detalles movimientos'!$T$5:$T$1003, 0)), "")</f>
        <v/>
      </c>
      <c r="K61" s="20" t="str">
        <f>IFERROR(INDEX('Detalles movimientos'!O$5:O$1003, MATCH(49, 'Detalles movimientos'!$T$5:$T$1003, 0)), "")</f>
        <v/>
      </c>
      <c r="L61" s="18" t="str">
        <f>IFERROR(INDEX('Detalles movimientos'!P$5:P$1003, MATCH(49, 'Detalles movimientos'!$T$5:$T$1003, 0)), "")</f>
        <v/>
      </c>
      <c r="M61" s="18" t="str">
        <f>IFERROR(INDEX('Detalles movimientos'!S$5:S$1003, MATCH(49, 'Detalles movimientos'!$T$5:$T$1003, 0)), "")</f>
        <v/>
      </c>
    </row>
    <row r="62" spans="2:13">
      <c r="B62" s="17" t="str">
        <f>IFERROR(INDEX('Detalles movimientos'!C$5:C$1003, MATCH(50, 'Detalles movimientos'!$T$5:$T$1003, 0)), "")</f>
        <v/>
      </c>
      <c r="C62" s="18" t="str">
        <f>IFERROR(INDEX('Detalles movimientos'!D$5:D$1003, MATCH(50, 'Detalles movimientos'!$T$5:$T$1003, 0)), "")</f>
        <v/>
      </c>
      <c r="D62" s="19" t="str">
        <f>IFERROR(INDEX('Detalles movimientos'!E$5:E$1003, MATCH(50, 'Detalles movimientos'!$T$5:$T$1003, 0)), "")</f>
        <v/>
      </c>
      <c r="E62" s="19" t="str">
        <f>IFERROR(INDEX('Detalles movimientos'!F$5:F$1003, MATCH(50, 'Detalles movimientos'!$T$5:$T$1003, 0)), "")</f>
        <v/>
      </c>
      <c r="F62" s="18" t="str">
        <f>IFERROR(INDEX('Detalles movimientos'!G$5:G$1003, MATCH(50, 'Detalles movimientos'!$T$5:$T$1003, 0)), "")</f>
        <v/>
      </c>
      <c r="G62" s="20" t="str">
        <f>IFERROR(INDEX('Detalles movimientos'!H$5:H$1003, MATCH(50, 'Detalles movimientos'!$T$5:$T$1003, 0)), "")</f>
        <v/>
      </c>
      <c r="H62" s="21" t="str">
        <f>IFERROR(INDEX('Detalles movimientos'!I$5:I$1003, MATCH(50, 'Detalles movimientos'!$T$5:$T$1003, 0)), "")</f>
        <v/>
      </c>
      <c r="I62" s="20" t="str">
        <f>IFERROR(INDEX('Detalles movimientos'!M$5:M$1003, MATCH(50, 'Detalles movimientos'!$T$5:$T$1003, 0)), "")</f>
        <v/>
      </c>
      <c r="J62" s="19" t="str">
        <f>IFERROR(INDEX('Detalles movimientos'!N$5:N$1003, MATCH(50, 'Detalles movimientos'!$T$5:$T$1003, 0)), "")</f>
        <v/>
      </c>
      <c r="K62" s="20" t="str">
        <f>IFERROR(INDEX('Detalles movimientos'!O$5:O$1003, MATCH(50, 'Detalles movimientos'!$T$5:$T$1003, 0)), "")</f>
        <v/>
      </c>
      <c r="L62" s="18" t="str">
        <f>IFERROR(INDEX('Detalles movimientos'!P$5:P$1003, MATCH(50, 'Detalles movimientos'!$T$5:$T$1003, 0)), "")</f>
        <v/>
      </c>
      <c r="M62" s="18" t="str">
        <f>IFERROR(INDEX('Detalles movimientos'!S$5:S$1003, MATCH(50, 'Detalles movimientos'!$T$5:$T$1003, 0)), "")</f>
        <v/>
      </c>
    </row>
    <row r="63" spans="2:13">
      <c r="B63" s="17" t="str">
        <f>IFERROR(INDEX('Detalles movimientos'!C$5:C$1003, MATCH(51, 'Detalles movimientos'!$T$5:$T$1003, 0)), "")</f>
        <v/>
      </c>
      <c r="C63" s="18" t="str">
        <f>IFERROR(INDEX('Detalles movimientos'!D$5:D$1003, MATCH(51, 'Detalles movimientos'!$T$5:$T$1003, 0)), "")</f>
        <v/>
      </c>
      <c r="D63" s="19" t="str">
        <f>IFERROR(INDEX('Detalles movimientos'!E$5:E$1003, MATCH(51, 'Detalles movimientos'!$T$5:$T$1003, 0)), "")</f>
        <v/>
      </c>
      <c r="E63" s="19" t="str">
        <f>IFERROR(INDEX('Detalles movimientos'!F$5:F$1003, MATCH(51, 'Detalles movimientos'!$T$5:$T$1003, 0)), "")</f>
        <v/>
      </c>
      <c r="F63" s="18" t="str">
        <f>IFERROR(INDEX('Detalles movimientos'!G$5:G$1003, MATCH(51, 'Detalles movimientos'!$T$5:$T$1003, 0)), "")</f>
        <v/>
      </c>
      <c r="G63" s="20" t="str">
        <f>IFERROR(INDEX('Detalles movimientos'!H$5:H$1003, MATCH(51, 'Detalles movimientos'!$T$5:$T$1003, 0)), "")</f>
        <v/>
      </c>
      <c r="H63" s="21" t="str">
        <f>IFERROR(INDEX('Detalles movimientos'!I$5:I$1003, MATCH(51, 'Detalles movimientos'!$T$5:$T$1003, 0)), "")</f>
        <v/>
      </c>
      <c r="I63" s="20" t="str">
        <f>IFERROR(INDEX('Detalles movimientos'!M$5:M$1003, MATCH(51, 'Detalles movimientos'!$T$5:$T$1003, 0)), "")</f>
        <v/>
      </c>
      <c r="J63" s="19" t="str">
        <f>IFERROR(INDEX('Detalles movimientos'!N$5:N$1003, MATCH(51, 'Detalles movimientos'!$T$5:$T$1003, 0)), "")</f>
        <v/>
      </c>
      <c r="K63" s="20" t="str">
        <f>IFERROR(INDEX('Detalles movimientos'!O$5:O$1003, MATCH(51, 'Detalles movimientos'!$T$5:$T$1003, 0)), "")</f>
        <v/>
      </c>
      <c r="L63" s="18" t="str">
        <f>IFERROR(INDEX('Detalles movimientos'!P$5:P$1003, MATCH(51, 'Detalles movimientos'!$T$5:$T$1003, 0)), "")</f>
        <v/>
      </c>
      <c r="M63" s="18" t="str">
        <f>IFERROR(INDEX('Detalles movimientos'!S$5:S$1003, MATCH(51, 'Detalles movimientos'!$T$5:$T$1003, 0)), "")</f>
        <v/>
      </c>
    </row>
    <row r="64" spans="2:13">
      <c r="B64" s="17" t="str">
        <f>IFERROR(INDEX('Detalles movimientos'!C$5:C$1003, MATCH(52, 'Detalles movimientos'!$T$5:$T$1003, 0)), "")</f>
        <v/>
      </c>
      <c r="C64" s="18" t="str">
        <f>IFERROR(INDEX('Detalles movimientos'!D$5:D$1003, MATCH(52, 'Detalles movimientos'!$T$5:$T$1003, 0)), "")</f>
        <v/>
      </c>
      <c r="D64" s="19" t="str">
        <f>IFERROR(INDEX('Detalles movimientos'!E$5:E$1003, MATCH(52, 'Detalles movimientos'!$T$5:$T$1003, 0)), "")</f>
        <v/>
      </c>
      <c r="E64" s="19" t="str">
        <f>IFERROR(INDEX('Detalles movimientos'!F$5:F$1003, MATCH(52, 'Detalles movimientos'!$T$5:$T$1003, 0)), "")</f>
        <v/>
      </c>
      <c r="F64" s="18" t="str">
        <f>IFERROR(INDEX('Detalles movimientos'!G$5:G$1003, MATCH(52, 'Detalles movimientos'!$T$5:$T$1003, 0)), "")</f>
        <v/>
      </c>
      <c r="G64" s="20" t="str">
        <f>IFERROR(INDEX('Detalles movimientos'!H$5:H$1003, MATCH(52, 'Detalles movimientos'!$T$5:$T$1003, 0)), "")</f>
        <v/>
      </c>
      <c r="H64" s="21" t="str">
        <f>IFERROR(INDEX('Detalles movimientos'!I$5:I$1003, MATCH(52, 'Detalles movimientos'!$T$5:$T$1003, 0)), "")</f>
        <v/>
      </c>
      <c r="I64" s="20" t="str">
        <f>IFERROR(INDEX('Detalles movimientos'!M$5:M$1003, MATCH(52, 'Detalles movimientos'!$T$5:$T$1003, 0)), "")</f>
        <v/>
      </c>
      <c r="J64" s="19" t="str">
        <f>IFERROR(INDEX('Detalles movimientos'!N$5:N$1003, MATCH(52, 'Detalles movimientos'!$T$5:$T$1003, 0)), "")</f>
        <v/>
      </c>
      <c r="K64" s="20" t="str">
        <f>IFERROR(INDEX('Detalles movimientos'!O$5:O$1003, MATCH(52, 'Detalles movimientos'!$T$5:$T$1003, 0)), "")</f>
        <v/>
      </c>
      <c r="L64" s="18" t="str">
        <f>IFERROR(INDEX('Detalles movimientos'!P$5:P$1003, MATCH(52, 'Detalles movimientos'!$T$5:$T$1003, 0)), "")</f>
        <v/>
      </c>
      <c r="M64" s="18" t="str">
        <f>IFERROR(INDEX('Detalles movimientos'!S$5:S$1003, MATCH(52, 'Detalles movimientos'!$T$5:$T$1003, 0)), "")</f>
        <v/>
      </c>
    </row>
    <row r="65" spans="2:13">
      <c r="B65" s="17" t="str">
        <f>IFERROR(INDEX('Detalles movimientos'!C$5:C$1003, MATCH(53, 'Detalles movimientos'!$T$5:$T$1003, 0)), "")</f>
        <v/>
      </c>
      <c r="C65" s="18" t="str">
        <f>IFERROR(INDEX('Detalles movimientos'!D$5:D$1003, MATCH(53, 'Detalles movimientos'!$T$5:$T$1003, 0)), "")</f>
        <v/>
      </c>
      <c r="D65" s="19" t="str">
        <f>IFERROR(INDEX('Detalles movimientos'!E$5:E$1003, MATCH(53, 'Detalles movimientos'!$T$5:$T$1003, 0)), "")</f>
        <v/>
      </c>
      <c r="E65" s="19" t="str">
        <f>IFERROR(INDEX('Detalles movimientos'!F$5:F$1003, MATCH(53, 'Detalles movimientos'!$T$5:$T$1003, 0)), "")</f>
        <v/>
      </c>
      <c r="F65" s="18" t="str">
        <f>IFERROR(INDEX('Detalles movimientos'!G$5:G$1003, MATCH(53, 'Detalles movimientos'!$T$5:$T$1003, 0)), "")</f>
        <v/>
      </c>
      <c r="G65" s="20" t="str">
        <f>IFERROR(INDEX('Detalles movimientos'!H$5:H$1003, MATCH(53, 'Detalles movimientos'!$T$5:$T$1003, 0)), "")</f>
        <v/>
      </c>
      <c r="H65" s="21" t="str">
        <f>IFERROR(INDEX('Detalles movimientos'!I$5:I$1003, MATCH(53, 'Detalles movimientos'!$T$5:$T$1003, 0)), "")</f>
        <v/>
      </c>
      <c r="I65" s="20" t="str">
        <f>IFERROR(INDEX('Detalles movimientos'!M$5:M$1003, MATCH(53, 'Detalles movimientos'!$T$5:$T$1003, 0)), "")</f>
        <v/>
      </c>
      <c r="J65" s="19" t="str">
        <f>IFERROR(INDEX('Detalles movimientos'!N$5:N$1003, MATCH(53, 'Detalles movimientos'!$T$5:$T$1003, 0)), "")</f>
        <v/>
      </c>
      <c r="K65" s="20" t="str">
        <f>IFERROR(INDEX('Detalles movimientos'!O$5:O$1003, MATCH(53, 'Detalles movimientos'!$T$5:$T$1003, 0)), "")</f>
        <v/>
      </c>
      <c r="L65" s="18" t="str">
        <f>IFERROR(INDEX('Detalles movimientos'!P$5:P$1003, MATCH(53, 'Detalles movimientos'!$T$5:$T$1003, 0)), "")</f>
        <v/>
      </c>
      <c r="M65" s="18" t="str">
        <f>IFERROR(INDEX('Detalles movimientos'!S$5:S$1003, MATCH(53, 'Detalles movimientos'!$T$5:$T$1003, 0)), "")</f>
        <v/>
      </c>
    </row>
    <row r="66" spans="2:13">
      <c r="B66" s="17" t="str">
        <f>IFERROR(INDEX('Detalles movimientos'!C$5:C$1003, MATCH(54, 'Detalles movimientos'!$T$5:$T$1003, 0)), "")</f>
        <v/>
      </c>
      <c r="C66" s="18" t="str">
        <f>IFERROR(INDEX('Detalles movimientos'!D$5:D$1003, MATCH(54, 'Detalles movimientos'!$T$5:$T$1003, 0)), "")</f>
        <v/>
      </c>
      <c r="D66" s="19" t="str">
        <f>IFERROR(INDEX('Detalles movimientos'!E$5:E$1003, MATCH(54, 'Detalles movimientos'!$T$5:$T$1003, 0)), "")</f>
        <v/>
      </c>
      <c r="E66" s="19" t="str">
        <f>IFERROR(INDEX('Detalles movimientos'!F$5:F$1003, MATCH(54, 'Detalles movimientos'!$T$5:$T$1003, 0)), "")</f>
        <v/>
      </c>
      <c r="F66" s="18" t="str">
        <f>IFERROR(INDEX('Detalles movimientos'!G$5:G$1003, MATCH(54, 'Detalles movimientos'!$T$5:$T$1003, 0)), "")</f>
        <v/>
      </c>
      <c r="G66" s="20" t="str">
        <f>IFERROR(INDEX('Detalles movimientos'!H$5:H$1003, MATCH(54, 'Detalles movimientos'!$T$5:$T$1003, 0)), "")</f>
        <v/>
      </c>
      <c r="H66" s="21" t="str">
        <f>IFERROR(INDEX('Detalles movimientos'!I$5:I$1003, MATCH(54, 'Detalles movimientos'!$T$5:$T$1003, 0)), "")</f>
        <v/>
      </c>
      <c r="I66" s="20" t="str">
        <f>IFERROR(INDEX('Detalles movimientos'!M$5:M$1003, MATCH(54, 'Detalles movimientos'!$T$5:$T$1003, 0)), "")</f>
        <v/>
      </c>
      <c r="J66" s="19" t="str">
        <f>IFERROR(INDEX('Detalles movimientos'!N$5:N$1003, MATCH(54, 'Detalles movimientos'!$T$5:$T$1003, 0)), "")</f>
        <v/>
      </c>
      <c r="K66" s="20" t="str">
        <f>IFERROR(INDEX('Detalles movimientos'!O$5:O$1003, MATCH(54, 'Detalles movimientos'!$T$5:$T$1003, 0)), "")</f>
        <v/>
      </c>
      <c r="L66" s="18" t="str">
        <f>IFERROR(INDEX('Detalles movimientos'!P$5:P$1003, MATCH(54, 'Detalles movimientos'!$T$5:$T$1003, 0)), "")</f>
        <v/>
      </c>
      <c r="M66" s="18" t="str">
        <f>IFERROR(INDEX('Detalles movimientos'!S$5:S$1003, MATCH(54, 'Detalles movimientos'!$T$5:$T$1003, 0)), "")</f>
        <v/>
      </c>
    </row>
    <row r="67" spans="2:13">
      <c r="B67" s="17" t="str">
        <f>IFERROR(INDEX('Detalles movimientos'!C$5:C$1003, MATCH(55, 'Detalles movimientos'!$T$5:$T$1003, 0)), "")</f>
        <v/>
      </c>
      <c r="C67" s="18" t="str">
        <f>IFERROR(INDEX('Detalles movimientos'!D$5:D$1003, MATCH(55, 'Detalles movimientos'!$T$5:$T$1003, 0)), "")</f>
        <v/>
      </c>
      <c r="D67" s="19" t="str">
        <f>IFERROR(INDEX('Detalles movimientos'!E$5:E$1003, MATCH(55, 'Detalles movimientos'!$T$5:$T$1003, 0)), "")</f>
        <v/>
      </c>
      <c r="E67" s="19" t="str">
        <f>IFERROR(INDEX('Detalles movimientos'!F$5:F$1003, MATCH(55, 'Detalles movimientos'!$T$5:$T$1003, 0)), "")</f>
        <v/>
      </c>
      <c r="F67" s="18" t="str">
        <f>IFERROR(INDEX('Detalles movimientos'!G$5:G$1003, MATCH(55, 'Detalles movimientos'!$T$5:$T$1003, 0)), "")</f>
        <v/>
      </c>
      <c r="G67" s="20" t="str">
        <f>IFERROR(INDEX('Detalles movimientos'!H$5:H$1003, MATCH(55, 'Detalles movimientos'!$T$5:$T$1003, 0)), "")</f>
        <v/>
      </c>
      <c r="H67" s="21" t="str">
        <f>IFERROR(INDEX('Detalles movimientos'!I$5:I$1003, MATCH(55, 'Detalles movimientos'!$T$5:$T$1003, 0)), "")</f>
        <v/>
      </c>
      <c r="I67" s="20" t="str">
        <f>IFERROR(INDEX('Detalles movimientos'!M$5:M$1003, MATCH(55, 'Detalles movimientos'!$T$5:$T$1003, 0)), "")</f>
        <v/>
      </c>
      <c r="J67" s="19" t="str">
        <f>IFERROR(INDEX('Detalles movimientos'!N$5:N$1003, MATCH(55, 'Detalles movimientos'!$T$5:$T$1003, 0)), "")</f>
        <v/>
      </c>
      <c r="K67" s="20" t="str">
        <f>IFERROR(INDEX('Detalles movimientos'!O$5:O$1003, MATCH(55, 'Detalles movimientos'!$T$5:$T$1003, 0)), "")</f>
        <v/>
      </c>
      <c r="L67" s="18" t="str">
        <f>IFERROR(INDEX('Detalles movimientos'!P$5:P$1003, MATCH(55, 'Detalles movimientos'!$T$5:$T$1003, 0)), "")</f>
        <v/>
      </c>
      <c r="M67" s="18" t="str">
        <f>IFERROR(INDEX('Detalles movimientos'!S$5:S$1003, MATCH(55, 'Detalles movimientos'!$T$5:$T$1003, 0)), "")</f>
        <v/>
      </c>
    </row>
    <row r="68" spans="2:13">
      <c r="B68" s="17" t="str">
        <f>IFERROR(INDEX('Detalles movimientos'!C$5:C$1003, MATCH(56, 'Detalles movimientos'!$T$5:$T$1003, 0)), "")</f>
        <v/>
      </c>
      <c r="C68" s="18" t="str">
        <f>IFERROR(INDEX('Detalles movimientos'!D$5:D$1003, MATCH(56, 'Detalles movimientos'!$T$5:$T$1003, 0)), "")</f>
        <v/>
      </c>
      <c r="D68" s="19" t="str">
        <f>IFERROR(INDEX('Detalles movimientos'!E$5:E$1003, MATCH(56, 'Detalles movimientos'!$T$5:$T$1003, 0)), "")</f>
        <v/>
      </c>
      <c r="E68" s="19" t="str">
        <f>IFERROR(INDEX('Detalles movimientos'!F$5:F$1003, MATCH(56, 'Detalles movimientos'!$T$5:$T$1003, 0)), "")</f>
        <v/>
      </c>
      <c r="F68" s="18" t="str">
        <f>IFERROR(INDEX('Detalles movimientos'!G$5:G$1003, MATCH(56, 'Detalles movimientos'!$T$5:$T$1003, 0)), "")</f>
        <v/>
      </c>
      <c r="G68" s="20" t="str">
        <f>IFERROR(INDEX('Detalles movimientos'!H$5:H$1003, MATCH(56, 'Detalles movimientos'!$T$5:$T$1003, 0)), "")</f>
        <v/>
      </c>
      <c r="H68" s="21" t="str">
        <f>IFERROR(INDEX('Detalles movimientos'!I$5:I$1003, MATCH(56, 'Detalles movimientos'!$T$5:$T$1003, 0)), "")</f>
        <v/>
      </c>
      <c r="I68" s="20" t="str">
        <f>IFERROR(INDEX('Detalles movimientos'!M$5:M$1003, MATCH(56, 'Detalles movimientos'!$T$5:$T$1003, 0)), "")</f>
        <v/>
      </c>
      <c r="J68" s="19" t="str">
        <f>IFERROR(INDEX('Detalles movimientos'!N$5:N$1003, MATCH(56, 'Detalles movimientos'!$T$5:$T$1003, 0)), "")</f>
        <v/>
      </c>
      <c r="K68" s="20" t="str">
        <f>IFERROR(INDEX('Detalles movimientos'!O$5:O$1003, MATCH(56, 'Detalles movimientos'!$T$5:$T$1003, 0)), "")</f>
        <v/>
      </c>
      <c r="L68" s="18" t="str">
        <f>IFERROR(INDEX('Detalles movimientos'!P$5:P$1003, MATCH(56, 'Detalles movimientos'!$T$5:$T$1003, 0)), "")</f>
        <v/>
      </c>
      <c r="M68" s="18" t="str">
        <f>IFERROR(INDEX('Detalles movimientos'!S$5:S$1003, MATCH(56, 'Detalles movimientos'!$T$5:$T$1003, 0)), "")</f>
        <v/>
      </c>
    </row>
    <row r="69" spans="2:13">
      <c r="B69" s="17" t="str">
        <f>IFERROR(INDEX('Detalles movimientos'!C$5:C$1003, MATCH(57, 'Detalles movimientos'!$T$5:$T$1003, 0)), "")</f>
        <v/>
      </c>
      <c r="C69" s="18" t="str">
        <f>IFERROR(INDEX('Detalles movimientos'!D$5:D$1003, MATCH(57, 'Detalles movimientos'!$T$5:$T$1003, 0)), "")</f>
        <v/>
      </c>
      <c r="D69" s="19" t="str">
        <f>IFERROR(INDEX('Detalles movimientos'!E$5:E$1003, MATCH(57, 'Detalles movimientos'!$T$5:$T$1003, 0)), "")</f>
        <v/>
      </c>
      <c r="E69" s="19" t="str">
        <f>IFERROR(INDEX('Detalles movimientos'!F$5:F$1003, MATCH(57, 'Detalles movimientos'!$T$5:$T$1003, 0)), "")</f>
        <v/>
      </c>
      <c r="F69" s="18" t="str">
        <f>IFERROR(INDEX('Detalles movimientos'!G$5:G$1003, MATCH(57, 'Detalles movimientos'!$T$5:$T$1003, 0)), "")</f>
        <v/>
      </c>
      <c r="G69" s="20" t="str">
        <f>IFERROR(INDEX('Detalles movimientos'!H$5:H$1003, MATCH(57, 'Detalles movimientos'!$T$5:$T$1003, 0)), "")</f>
        <v/>
      </c>
      <c r="H69" s="21" t="str">
        <f>IFERROR(INDEX('Detalles movimientos'!I$5:I$1003, MATCH(57, 'Detalles movimientos'!$T$5:$T$1003, 0)), "")</f>
        <v/>
      </c>
      <c r="I69" s="20" t="str">
        <f>IFERROR(INDEX('Detalles movimientos'!M$5:M$1003, MATCH(57, 'Detalles movimientos'!$T$5:$T$1003, 0)), "")</f>
        <v/>
      </c>
      <c r="J69" s="19" t="str">
        <f>IFERROR(INDEX('Detalles movimientos'!N$5:N$1003, MATCH(57, 'Detalles movimientos'!$T$5:$T$1003, 0)), "")</f>
        <v/>
      </c>
      <c r="K69" s="20" t="str">
        <f>IFERROR(INDEX('Detalles movimientos'!O$5:O$1003, MATCH(57, 'Detalles movimientos'!$T$5:$T$1003, 0)), "")</f>
        <v/>
      </c>
      <c r="L69" s="18" t="str">
        <f>IFERROR(INDEX('Detalles movimientos'!P$5:P$1003, MATCH(57, 'Detalles movimientos'!$T$5:$T$1003, 0)), "")</f>
        <v/>
      </c>
      <c r="M69" s="18" t="str">
        <f>IFERROR(INDEX('Detalles movimientos'!S$5:S$1003, MATCH(57, 'Detalles movimientos'!$T$5:$T$1003, 0)), "")</f>
        <v/>
      </c>
    </row>
    <row r="70" spans="2:13">
      <c r="B70" s="17" t="str">
        <f>IFERROR(INDEX('Detalles movimientos'!C$5:C$1003, MATCH(58, 'Detalles movimientos'!$T$5:$T$1003, 0)), "")</f>
        <v/>
      </c>
      <c r="C70" s="18" t="str">
        <f>IFERROR(INDEX('Detalles movimientos'!D$5:D$1003, MATCH(58, 'Detalles movimientos'!$T$5:$T$1003, 0)), "")</f>
        <v/>
      </c>
      <c r="D70" s="19" t="str">
        <f>IFERROR(INDEX('Detalles movimientos'!E$5:E$1003, MATCH(58, 'Detalles movimientos'!$T$5:$T$1003, 0)), "")</f>
        <v/>
      </c>
      <c r="E70" s="19" t="str">
        <f>IFERROR(INDEX('Detalles movimientos'!F$5:F$1003, MATCH(58, 'Detalles movimientos'!$T$5:$T$1003, 0)), "")</f>
        <v/>
      </c>
      <c r="F70" s="18" t="str">
        <f>IFERROR(INDEX('Detalles movimientos'!G$5:G$1003, MATCH(58, 'Detalles movimientos'!$T$5:$T$1003, 0)), "")</f>
        <v/>
      </c>
      <c r="G70" s="20" t="str">
        <f>IFERROR(INDEX('Detalles movimientos'!H$5:H$1003, MATCH(58, 'Detalles movimientos'!$T$5:$T$1003, 0)), "")</f>
        <v/>
      </c>
      <c r="H70" s="21" t="str">
        <f>IFERROR(INDEX('Detalles movimientos'!I$5:I$1003, MATCH(58, 'Detalles movimientos'!$T$5:$T$1003, 0)), "")</f>
        <v/>
      </c>
      <c r="I70" s="20" t="str">
        <f>IFERROR(INDEX('Detalles movimientos'!M$5:M$1003, MATCH(58, 'Detalles movimientos'!$T$5:$T$1003, 0)), "")</f>
        <v/>
      </c>
      <c r="J70" s="19" t="str">
        <f>IFERROR(INDEX('Detalles movimientos'!N$5:N$1003, MATCH(58, 'Detalles movimientos'!$T$5:$T$1003, 0)), "")</f>
        <v/>
      </c>
      <c r="K70" s="20" t="str">
        <f>IFERROR(INDEX('Detalles movimientos'!O$5:O$1003, MATCH(58, 'Detalles movimientos'!$T$5:$T$1003, 0)), "")</f>
        <v/>
      </c>
      <c r="L70" s="18" t="str">
        <f>IFERROR(INDEX('Detalles movimientos'!P$5:P$1003, MATCH(58, 'Detalles movimientos'!$T$5:$T$1003, 0)), "")</f>
        <v/>
      </c>
      <c r="M70" s="18" t="str">
        <f>IFERROR(INDEX('Detalles movimientos'!S$5:S$1003, MATCH(58, 'Detalles movimientos'!$T$5:$T$1003, 0)), "")</f>
        <v/>
      </c>
    </row>
    <row r="71" spans="2:13">
      <c r="B71" s="17" t="str">
        <f>IFERROR(INDEX('Detalles movimientos'!C$5:C$1003, MATCH(59, 'Detalles movimientos'!$T$5:$T$1003, 0)), "")</f>
        <v/>
      </c>
      <c r="C71" s="18" t="str">
        <f>IFERROR(INDEX('Detalles movimientos'!D$5:D$1003, MATCH(59, 'Detalles movimientos'!$T$5:$T$1003, 0)), "")</f>
        <v/>
      </c>
      <c r="D71" s="19" t="str">
        <f>IFERROR(INDEX('Detalles movimientos'!E$5:E$1003, MATCH(59, 'Detalles movimientos'!$T$5:$T$1003, 0)), "")</f>
        <v/>
      </c>
      <c r="E71" s="19" t="str">
        <f>IFERROR(INDEX('Detalles movimientos'!F$5:F$1003, MATCH(59, 'Detalles movimientos'!$T$5:$T$1003, 0)), "")</f>
        <v/>
      </c>
      <c r="F71" s="18" t="str">
        <f>IFERROR(INDEX('Detalles movimientos'!G$5:G$1003, MATCH(59, 'Detalles movimientos'!$T$5:$T$1003, 0)), "")</f>
        <v/>
      </c>
      <c r="G71" s="20" t="str">
        <f>IFERROR(INDEX('Detalles movimientos'!H$5:H$1003, MATCH(59, 'Detalles movimientos'!$T$5:$T$1003, 0)), "")</f>
        <v/>
      </c>
      <c r="H71" s="21" t="str">
        <f>IFERROR(INDEX('Detalles movimientos'!I$5:I$1003, MATCH(59, 'Detalles movimientos'!$T$5:$T$1003, 0)), "")</f>
        <v/>
      </c>
      <c r="I71" s="20" t="str">
        <f>IFERROR(INDEX('Detalles movimientos'!M$5:M$1003, MATCH(59, 'Detalles movimientos'!$T$5:$T$1003, 0)), "")</f>
        <v/>
      </c>
      <c r="J71" s="19" t="str">
        <f>IFERROR(INDEX('Detalles movimientos'!N$5:N$1003, MATCH(59, 'Detalles movimientos'!$T$5:$T$1003, 0)), "")</f>
        <v/>
      </c>
      <c r="K71" s="20" t="str">
        <f>IFERROR(INDEX('Detalles movimientos'!O$5:O$1003, MATCH(59, 'Detalles movimientos'!$T$5:$T$1003, 0)), "")</f>
        <v/>
      </c>
      <c r="L71" s="18" t="str">
        <f>IFERROR(INDEX('Detalles movimientos'!P$5:P$1003, MATCH(59, 'Detalles movimientos'!$T$5:$T$1003, 0)), "")</f>
        <v/>
      </c>
      <c r="M71" s="18" t="str">
        <f>IFERROR(INDEX('Detalles movimientos'!S$5:S$1003, MATCH(59, 'Detalles movimientos'!$T$5:$T$1003, 0)), "")</f>
        <v/>
      </c>
    </row>
    <row r="72" spans="2:13">
      <c r="B72" s="17" t="str">
        <f>IFERROR(INDEX('Detalles movimientos'!C$5:C$1003, MATCH(60, 'Detalles movimientos'!$T$5:$T$1003, 0)), "")</f>
        <v/>
      </c>
      <c r="C72" s="18" t="str">
        <f>IFERROR(INDEX('Detalles movimientos'!D$5:D$1003, MATCH(60, 'Detalles movimientos'!$T$5:$T$1003, 0)), "")</f>
        <v/>
      </c>
      <c r="D72" s="19" t="str">
        <f>IFERROR(INDEX('Detalles movimientos'!E$5:E$1003, MATCH(60, 'Detalles movimientos'!$T$5:$T$1003, 0)), "")</f>
        <v/>
      </c>
      <c r="E72" s="19" t="str">
        <f>IFERROR(INDEX('Detalles movimientos'!F$5:F$1003, MATCH(60, 'Detalles movimientos'!$T$5:$T$1003, 0)), "")</f>
        <v/>
      </c>
      <c r="F72" s="18" t="str">
        <f>IFERROR(INDEX('Detalles movimientos'!G$5:G$1003, MATCH(60, 'Detalles movimientos'!$T$5:$T$1003, 0)), "")</f>
        <v/>
      </c>
      <c r="G72" s="20" t="str">
        <f>IFERROR(INDEX('Detalles movimientos'!H$5:H$1003, MATCH(60, 'Detalles movimientos'!$T$5:$T$1003, 0)), "")</f>
        <v/>
      </c>
      <c r="H72" s="21" t="str">
        <f>IFERROR(INDEX('Detalles movimientos'!I$5:I$1003, MATCH(60, 'Detalles movimientos'!$T$5:$T$1003, 0)), "")</f>
        <v/>
      </c>
      <c r="I72" s="20" t="str">
        <f>IFERROR(INDEX('Detalles movimientos'!M$5:M$1003, MATCH(60, 'Detalles movimientos'!$T$5:$T$1003, 0)), "")</f>
        <v/>
      </c>
      <c r="J72" s="19" t="str">
        <f>IFERROR(INDEX('Detalles movimientos'!N$5:N$1003, MATCH(60, 'Detalles movimientos'!$T$5:$T$1003, 0)), "")</f>
        <v/>
      </c>
      <c r="K72" s="20" t="str">
        <f>IFERROR(INDEX('Detalles movimientos'!O$5:O$1003, MATCH(60, 'Detalles movimientos'!$T$5:$T$1003, 0)), "")</f>
        <v/>
      </c>
      <c r="L72" s="18" t="str">
        <f>IFERROR(INDEX('Detalles movimientos'!P$5:P$1003, MATCH(60, 'Detalles movimientos'!$T$5:$T$1003, 0)), "")</f>
        <v/>
      </c>
      <c r="M72" s="18" t="str">
        <f>IFERROR(INDEX('Detalles movimientos'!S$5:S$1003, MATCH(60, 'Detalles movimientos'!$T$5:$T$1003, 0)), "")</f>
        <v/>
      </c>
    </row>
    <row r="73" spans="2:13">
      <c r="B73" s="17" t="str">
        <f>IFERROR(INDEX('Detalles movimientos'!C$5:C$1003, MATCH(61, 'Detalles movimientos'!$T$5:$T$1003, 0)), "")</f>
        <v/>
      </c>
      <c r="C73" s="18" t="str">
        <f>IFERROR(INDEX('Detalles movimientos'!D$5:D$1003, MATCH(61, 'Detalles movimientos'!$T$5:$T$1003, 0)), "")</f>
        <v/>
      </c>
      <c r="D73" s="19" t="str">
        <f>IFERROR(INDEX('Detalles movimientos'!E$5:E$1003, MATCH(61, 'Detalles movimientos'!$T$5:$T$1003, 0)), "")</f>
        <v/>
      </c>
      <c r="E73" s="19" t="str">
        <f>IFERROR(INDEX('Detalles movimientos'!F$5:F$1003, MATCH(61, 'Detalles movimientos'!$T$5:$T$1003, 0)), "")</f>
        <v/>
      </c>
      <c r="F73" s="18" t="str">
        <f>IFERROR(INDEX('Detalles movimientos'!G$5:G$1003, MATCH(61, 'Detalles movimientos'!$T$5:$T$1003, 0)), "")</f>
        <v/>
      </c>
      <c r="G73" s="20" t="str">
        <f>IFERROR(INDEX('Detalles movimientos'!H$5:H$1003, MATCH(61, 'Detalles movimientos'!$T$5:$T$1003, 0)), "")</f>
        <v/>
      </c>
      <c r="H73" s="21" t="str">
        <f>IFERROR(INDEX('Detalles movimientos'!I$5:I$1003, MATCH(61, 'Detalles movimientos'!$T$5:$T$1003, 0)), "")</f>
        <v/>
      </c>
      <c r="I73" s="20" t="str">
        <f>IFERROR(INDEX('Detalles movimientos'!M$5:M$1003, MATCH(61, 'Detalles movimientos'!$T$5:$T$1003, 0)), "")</f>
        <v/>
      </c>
      <c r="J73" s="19" t="str">
        <f>IFERROR(INDEX('Detalles movimientos'!N$5:N$1003, MATCH(61, 'Detalles movimientos'!$T$5:$T$1003, 0)), "")</f>
        <v/>
      </c>
      <c r="K73" s="20" t="str">
        <f>IFERROR(INDEX('Detalles movimientos'!O$5:O$1003, MATCH(61, 'Detalles movimientos'!$T$5:$T$1003, 0)), "")</f>
        <v/>
      </c>
      <c r="L73" s="18" t="str">
        <f>IFERROR(INDEX('Detalles movimientos'!P$5:P$1003, MATCH(61, 'Detalles movimientos'!$T$5:$T$1003, 0)), "")</f>
        <v/>
      </c>
      <c r="M73" s="18" t="str">
        <f>IFERROR(INDEX('Detalles movimientos'!S$5:S$1003, MATCH(61, 'Detalles movimientos'!$T$5:$T$1003, 0)), "")</f>
        <v/>
      </c>
    </row>
    <row r="74" spans="2:13">
      <c r="B74" s="17" t="str">
        <f>IFERROR(INDEX('Detalles movimientos'!C$5:C$1003, MATCH(62, 'Detalles movimientos'!$T$5:$T$1003, 0)), "")</f>
        <v/>
      </c>
      <c r="C74" s="18" t="str">
        <f>IFERROR(INDEX('Detalles movimientos'!D$5:D$1003, MATCH(62, 'Detalles movimientos'!$T$5:$T$1003, 0)), "")</f>
        <v/>
      </c>
      <c r="D74" s="19" t="str">
        <f>IFERROR(INDEX('Detalles movimientos'!E$5:E$1003, MATCH(62, 'Detalles movimientos'!$T$5:$T$1003, 0)), "")</f>
        <v/>
      </c>
      <c r="E74" s="19" t="str">
        <f>IFERROR(INDEX('Detalles movimientos'!F$5:F$1003, MATCH(62, 'Detalles movimientos'!$T$5:$T$1003, 0)), "")</f>
        <v/>
      </c>
      <c r="F74" s="18" t="str">
        <f>IFERROR(INDEX('Detalles movimientos'!G$5:G$1003, MATCH(62, 'Detalles movimientos'!$T$5:$T$1003, 0)), "")</f>
        <v/>
      </c>
      <c r="G74" s="20" t="str">
        <f>IFERROR(INDEX('Detalles movimientos'!H$5:H$1003, MATCH(62, 'Detalles movimientos'!$T$5:$T$1003, 0)), "")</f>
        <v/>
      </c>
      <c r="H74" s="21" t="str">
        <f>IFERROR(INDEX('Detalles movimientos'!I$5:I$1003, MATCH(62, 'Detalles movimientos'!$T$5:$T$1003, 0)), "")</f>
        <v/>
      </c>
      <c r="I74" s="20" t="str">
        <f>IFERROR(INDEX('Detalles movimientos'!M$5:M$1003, MATCH(62, 'Detalles movimientos'!$T$5:$T$1003, 0)), "")</f>
        <v/>
      </c>
      <c r="J74" s="19" t="str">
        <f>IFERROR(INDEX('Detalles movimientos'!N$5:N$1003, MATCH(62, 'Detalles movimientos'!$T$5:$T$1003, 0)), "")</f>
        <v/>
      </c>
      <c r="K74" s="20" t="str">
        <f>IFERROR(INDEX('Detalles movimientos'!O$5:O$1003, MATCH(62, 'Detalles movimientos'!$T$5:$T$1003, 0)), "")</f>
        <v/>
      </c>
      <c r="L74" s="18" t="str">
        <f>IFERROR(INDEX('Detalles movimientos'!P$5:P$1003, MATCH(62, 'Detalles movimientos'!$T$5:$T$1003, 0)), "")</f>
        <v/>
      </c>
      <c r="M74" s="18" t="str">
        <f>IFERROR(INDEX('Detalles movimientos'!S$5:S$1003, MATCH(62, 'Detalles movimientos'!$T$5:$T$1003, 0)), "")</f>
        <v/>
      </c>
    </row>
    <row r="75" spans="2:13">
      <c r="B75" s="17" t="str">
        <f>IFERROR(INDEX('Detalles movimientos'!C$5:C$1003, MATCH(63, 'Detalles movimientos'!$T$5:$T$1003, 0)), "")</f>
        <v/>
      </c>
      <c r="C75" s="18" t="str">
        <f>IFERROR(INDEX('Detalles movimientos'!D$5:D$1003, MATCH(63, 'Detalles movimientos'!$T$5:$T$1003, 0)), "")</f>
        <v/>
      </c>
      <c r="D75" s="19" t="str">
        <f>IFERROR(INDEX('Detalles movimientos'!E$5:E$1003, MATCH(63, 'Detalles movimientos'!$T$5:$T$1003, 0)), "")</f>
        <v/>
      </c>
      <c r="E75" s="19" t="str">
        <f>IFERROR(INDEX('Detalles movimientos'!F$5:F$1003, MATCH(63, 'Detalles movimientos'!$T$5:$T$1003, 0)), "")</f>
        <v/>
      </c>
      <c r="F75" s="18" t="str">
        <f>IFERROR(INDEX('Detalles movimientos'!G$5:G$1003, MATCH(63, 'Detalles movimientos'!$T$5:$T$1003, 0)), "")</f>
        <v/>
      </c>
      <c r="G75" s="20" t="str">
        <f>IFERROR(INDEX('Detalles movimientos'!H$5:H$1003, MATCH(63, 'Detalles movimientos'!$T$5:$T$1003, 0)), "")</f>
        <v/>
      </c>
      <c r="H75" s="21" t="str">
        <f>IFERROR(INDEX('Detalles movimientos'!I$5:I$1003, MATCH(63, 'Detalles movimientos'!$T$5:$T$1003, 0)), "")</f>
        <v/>
      </c>
      <c r="I75" s="20" t="str">
        <f>IFERROR(INDEX('Detalles movimientos'!M$5:M$1003, MATCH(63, 'Detalles movimientos'!$T$5:$T$1003, 0)), "")</f>
        <v/>
      </c>
      <c r="J75" s="19" t="str">
        <f>IFERROR(INDEX('Detalles movimientos'!N$5:N$1003, MATCH(63, 'Detalles movimientos'!$T$5:$T$1003, 0)), "")</f>
        <v/>
      </c>
      <c r="K75" s="20" t="str">
        <f>IFERROR(INDEX('Detalles movimientos'!O$5:O$1003, MATCH(63, 'Detalles movimientos'!$T$5:$T$1003, 0)), "")</f>
        <v/>
      </c>
      <c r="L75" s="18" t="str">
        <f>IFERROR(INDEX('Detalles movimientos'!P$5:P$1003, MATCH(63, 'Detalles movimientos'!$T$5:$T$1003, 0)), "")</f>
        <v/>
      </c>
      <c r="M75" s="18" t="str">
        <f>IFERROR(INDEX('Detalles movimientos'!S$5:S$1003, MATCH(63, 'Detalles movimientos'!$T$5:$T$1003, 0)), "")</f>
        <v/>
      </c>
    </row>
    <row r="76" spans="2:13">
      <c r="B76" s="17" t="str">
        <f>IFERROR(INDEX('Detalles movimientos'!C$5:C$1003, MATCH(64, 'Detalles movimientos'!$T$5:$T$1003, 0)), "")</f>
        <v/>
      </c>
      <c r="C76" s="18" t="str">
        <f>IFERROR(INDEX('Detalles movimientos'!D$5:D$1003, MATCH(64, 'Detalles movimientos'!$T$5:$T$1003, 0)), "")</f>
        <v/>
      </c>
      <c r="D76" s="19" t="str">
        <f>IFERROR(INDEX('Detalles movimientos'!E$5:E$1003, MATCH(64, 'Detalles movimientos'!$T$5:$T$1003, 0)), "")</f>
        <v/>
      </c>
      <c r="E76" s="19" t="str">
        <f>IFERROR(INDEX('Detalles movimientos'!F$5:F$1003, MATCH(64, 'Detalles movimientos'!$T$5:$T$1003, 0)), "")</f>
        <v/>
      </c>
      <c r="F76" s="18" t="str">
        <f>IFERROR(INDEX('Detalles movimientos'!G$5:G$1003, MATCH(64, 'Detalles movimientos'!$T$5:$T$1003, 0)), "")</f>
        <v/>
      </c>
      <c r="G76" s="20" t="str">
        <f>IFERROR(INDEX('Detalles movimientos'!H$5:H$1003, MATCH(64, 'Detalles movimientos'!$T$5:$T$1003, 0)), "")</f>
        <v/>
      </c>
      <c r="H76" s="21" t="str">
        <f>IFERROR(INDEX('Detalles movimientos'!I$5:I$1003, MATCH(64, 'Detalles movimientos'!$T$5:$T$1003, 0)), "")</f>
        <v/>
      </c>
      <c r="I76" s="20" t="str">
        <f>IFERROR(INDEX('Detalles movimientos'!M$5:M$1003, MATCH(64, 'Detalles movimientos'!$T$5:$T$1003, 0)), "")</f>
        <v/>
      </c>
      <c r="J76" s="19" t="str">
        <f>IFERROR(INDEX('Detalles movimientos'!N$5:N$1003, MATCH(64, 'Detalles movimientos'!$T$5:$T$1003, 0)), "")</f>
        <v/>
      </c>
      <c r="K76" s="20" t="str">
        <f>IFERROR(INDEX('Detalles movimientos'!O$5:O$1003, MATCH(64, 'Detalles movimientos'!$T$5:$T$1003, 0)), "")</f>
        <v/>
      </c>
      <c r="L76" s="18" t="str">
        <f>IFERROR(INDEX('Detalles movimientos'!P$5:P$1003, MATCH(64, 'Detalles movimientos'!$T$5:$T$1003, 0)), "")</f>
        <v/>
      </c>
      <c r="M76" s="18" t="str">
        <f>IFERROR(INDEX('Detalles movimientos'!S$5:S$1003, MATCH(64, 'Detalles movimientos'!$T$5:$T$1003, 0)), "")</f>
        <v/>
      </c>
    </row>
    <row r="77" spans="2:13">
      <c r="B77" s="17" t="str">
        <f>IFERROR(INDEX('Detalles movimientos'!C$5:C$1003, MATCH(65, 'Detalles movimientos'!$T$5:$T$1003, 0)), "")</f>
        <v/>
      </c>
      <c r="C77" s="18" t="str">
        <f>IFERROR(INDEX('Detalles movimientos'!D$5:D$1003, MATCH(65, 'Detalles movimientos'!$T$5:$T$1003, 0)), "")</f>
        <v/>
      </c>
      <c r="D77" s="19" t="str">
        <f>IFERROR(INDEX('Detalles movimientos'!E$5:E$1003, MATCH(65, 'Detalles movimientos'!$T$5:$T$1003, 0)), "")</f>
        <v/>
      </c>
      <c r="E77" s="19" t="str">
        <f>IFERROR(INDEX('Detalles movimientos'!F$5:F$1003, MATCH(65, 'Detalles movimientos'!$T$5:$T$1003, 0)), "")</f>
        <v/>
      </c>
      <c r="F77" s="18" t="str">
        <f>IFERROR(INDEX('Detalles movimientos'!G$5:G$1003, MATCH(65, 'Detalles movimientos'!$T$5:$T$1003, 0)), "")</f>
        <v/>
      </c>
      <c r="G77" s="20" t="str">
        <f>IFERROR(INDEX('Detalles movimientos'!H$5:H$1003, MATCH(65, 'Detalles movimientos'!$T$5:$T$1003, 0)), "")</f>
        <v/>
      </c>
      <c r="H77" s="21" t="str">
        <f>IFERROR(INDEX('Detalles movimientos'!I$5:I$1003, MATCH(65, 'Detalles movimientos'!$T$5:$T$1003, 0)), "")</f>
        <v/>
      </c>
      <c r="I77" s="20" t="str">
        <f>IFERROR(INDEX('Detalles movimientos'!M$5:M$1003, MATCH(65, 'Detalles movimientos'!$T$5:$T$1003, 0)), "")</f>
        <v/>
      </c>
      <c r="J77" s="19" t="str">
        <f>IFERROR(INDEX('Detalles movimientos'!N$5:N$1003, MATCH(65, 'Detalles movimientos'!$T$5:$T$1003, 0)), "")</f>
        <v/>
      </c>
      <c r="K77" s="20" t="str">
        <f>IFERROR(INDEX('Detalles movimientos'!O$5:O$1003, MATCH(65, 'Detalles movimientos'!$T$5:$T$1003, 0)), "")</f>
        <v/>
      </c>
      <c r="L77" s="18" t="str">
        <f>IFERROR(INDEX('Detalles movimientos'!P$5:P$1003, MATCH(65, 'Detalles movimientos'!$T$5:$T$1003, 0)), "")</f>
        <v/>
      </c>
      <c r="M77" s="18" t="str">
        <f>IFERROR(INDEX('Detalles movimientos'!S$5:S$1003, MATCH(65, 'Detalles movimientos'!$T$5:$T$1003, 0)), "")</f>
        <v/>
      </c>
    </row>
    <row r="78" spans="2:13">
      <c r="B78" s="17" t="str">
        <f>IFERROR(INDEX('Detalles movimientos'!C$5:C$1003, MATCH(66, 'Detalles movimientos'!$T$5:$T$1003, 0)), "")</f>
        <v/>
      </c>
      <c r="C78" s="18" t="str">
        <f>IFERROR(INDEX('Detalles movimientos'!D$5:D$1003, MATCH(66, 'Detalles movimientos'!$T$5:$T$1003, 0)), "")</f>
        <v/>
      </c>
      <c r="D78" s="19" t="str">
        <f>IFERROR(INDEX('Detalles movimientos'!E$5:E$1003, MATCH(66, 'Detalles movimientos'!$T$5:$T$1003, 0)), "")</f>
        <v/>
      </c>
      <c r="E78" s="19" t="str">
        <f>IFERROR(INDEX('Detalles movimientos'!F$5:F$1003, MATCH(66, 'Detalles movimientos'!$T$5:$T$1003, 0)), "")</f>
        <v/>
      </c>
      <c r="F78" s="18" t="str">
        <f>IFERROR(INDEX('Detalles movimientos'!G$5:G$1003, MATCH(66, 'Detalles movimientos'!$T$5:$T$1003, 0)), "")</f>
        <v/>
      </c>
      <c r="G78" s="20" t="str">
        <f>IFERROR(INDEX('Detalles movimientos'!H$5:H$1003, MATCH(66, 'Detalles movimientos'!$T$5:$T$1003, 0)), "")</f>
        <v/>
      </c>
      <c r="H78" s="21" t="str">
        <f>IFERROR(INDEX('Detalles movimientos'!I$5:I$1003, MATCH(66, 'Detalles movimientos'!$T$5:$T$1003, 0)), "")</f>
        <v/>
      </c>
      <c r="I78" s="20" t="str">
        <f>IFERROR(INDEX('Detalles movimientos'!M$5:M$1003, MATCH(66, 'Detalles movimientos'!$T$5:$T$1003, 0)), "")</f>
        <v/>
      </c>
      <c r="J78" s="19" t="str">
        <f>IFERROR(INDEX('Detalles movimientos'!N$5:N$1003, MATCH(66, 'Detalles movimientos'!$T$5:$T$1003, 0)), "")</f>
        <v/>
      </c>
      <c r="K78" s="20" t="str">
        <f>IFERROR(INDEX('Detalles movimientos'!O$5:O$1003, MATCH(66, 'Detalles movimientos'!$T$5:$T$1003, 0)), "")</f>
        <v/>
      </c>
      <c r="L78" s="18" t="str">
        <f>IFERROR(INDEX('Detalles movimientos'!P$5:P$1003, MATCH(66, 'Detalles movimientos'!$T$5:$T$1003, 0)), "")</f>
        <v/>
      </c>
      <c r="M78" s="18" t="str">
        <f>IFERROR(INDEX('Detalles movimientos'!S$5:S$1003, MATCH(66, 'Detalles movimientos'!$T$5:$T$1003, 0)), "")</f>
        <v/>
      </c>
    </row>
    <row r="79" spans="2:13">
      <c r="B79" s="17" t="str">
        <f>IFERROR(INDEX('Detalles movimientos'!C$5:C$1003, MATCH(67, 'Detalles movimientos'!$T$5:$T$1003, 0)), "")</f>
        <v/>
      </c>
      <c r="C79" s="18" t="str">
        <f>IFERROR(INDEX('Detalles movimientos'!D$5:D$1003, MATCH(67, 'Detalles movimientos'!$T$5:$T$1003, 0)), "")</f>
        <v/>
      </c>
      <c r="D79" s="19" t="str">
        <f>IFERROR(INDEX('Detalles movimientos'!E$5:E$1003, MATCH(67, 'Detalles movimientos'!$T$5:$T$1003, 0)), "")</f>
        <v/>
      </c>
      <c r="E79" s="19" t="str">
        <f>IFERROR(INDEX('Detalles movimientos'!F$5:F$1003, MATCH(67, 'Detalles movimientos'!$T$5:$T$1003, 0)), "")</f>
        <v/>
      </c>
      <c r="F79" s="18" t="str">
        <f>IFERROR(INDEX('Detalles movimientos'!G$5:G$1003, MATCH(67, 'Detalles movimientos'!$T$5:$T$1003, 0)), "")</f>
        <v/>
      </c>
      <c r="G79" s="20" t="str">
        <f>IFERROR(INDEX('Detalles movimientos'!H$5:H$1003, MATCH(67, 'Detalles movimientos'!$T$5:$T$1003, 0)), "")</f>
        <v/>
      </c>
      <c r="H79" s="21" t="str">
        <f>IFERROR(INDEX('Detalles movimientos'!I$5:I$1003, MATCH(67, 'Detalles movimientos'!$T$5:$T$1003, 0)), "")</f>
        <v/>
      </c>
      <c r="I79" s="20" t="str">
        <f>IFERROR(INDEX('Detalles movimientos'!M$5:M$1003, MATCH(67, 'Detalles movimientos'!$T$5:$T$1003, 0)), "")</f>
        <v/>
      </c>
      <c r="J79" s="19" t="str">
        <f>IFERROR(INDEX('Detalles movimientos'!N$5:N$1003, MATCH(67, 'Detalles movimientos'!$T$5:$T$1003, 0)), "")</f>
        <v/>
      </c>
      <c r="K79" s="20" t="str">
        <f>IFERROR(INDEX('Detalles movimientos'!O$5:O$1003, MATCH(67, 'Detalles movimientos'!$T$5:$T$1003, 0)), "")</f>
        <v/>
      </c>
      <c r="L79" s="18" t="str">
        <f>IFERROR(INDEX('Detalles movimientos'!P$5:P$1003, MATCH(67, 'Detalles movimientos'!$T$5:$T$1003, 0)), "")</f>
        <v/>
      </c>
      <c r="M79" s="18" t="str">
        <f>IFERROR(INDEX('Detalles movimientos'!S$5:S$1003, MATCH(67, 'Detalles movimientos'!$T$5:$T$1003, 0)), "")</f>
        <v/>
      </c>
    </row>
    <row r="80" spans="2:13">
      <c r="B80" s="17" t="str">
        <f>IFERROR(INDEX('Detalles movimientos'!C$5:C$1003, MATCH(68, 'Detalles movimientos'!$T$5:$T$1003, 0)), "")</f>
        <v/>
      </c>
      <c r="C80" s="18" t="str">
        <f>IFERROR(INDEX('Detalles movimientos'!D$5:D$1003, MATCH(68, 'Detalles movimientos'!$T$5:$T$1003, 0)), "")</f>
        <v/>
      </c>
      <c r="D80" s="19" t="str">
        <f>IFERROR(INDEX('Detalles movimientos'!E$5:E$1003, MATCH(68, 'Detalles movimientos'!$T$5:$T$1003, 0)), "")</f>
        <v/>
      </c>
      <c r="E80" s="19" t="str">
        <f>IFERROR(INDEX('Detalles movimientos'!F$5:F$1003, MATCH(68, 'Detalles movimientos'!$T$5:$T$1003, 0)), "")</f>
        <v/>
      </c>
      <c r="F80" s="18" t="str">
        <f>IFERROR(INDEX('Detalles movimientos'!G$5:G$1003, MATCH(68, 'Detalles movimientos'!$T$5:$T$1003, 0)), "")</f>
        <v/>
      </c>
      <c r="G80" s="20" t="str">
        <f>IFERROR(INDEX('Detalles movimientos'!H$5:H$1003, MATCH(68, 'Detalles movimientos'!$T$5:$T$1003, 0)), "")</f>
        <v/>
      </c>
      <c r="H80" s="21" t="str">
        <f>IFERROR(INDEX('Detalles movimientos'!I$5:I$1003, MATCH(68, 'Detalles movimientos'!$T$5:$T$1003, 0)), "")</f>
        <v/>
      </c>
      <c r="I80" s="20" t="str">
        <f>IFERROR(INDEX('Detalles movimientos'!M$5:M$1003, MATCH(68, 'Detalles movimientos'!$T$5:$T$1003, 0)), "")</f>
        <v/>
      </c>
      <c r="J80" s="19" t="str">
        <f>IFERROR(INDEX('Detalles movimientos'!N$5:N$1003, MATCH(68, 'Detalles movimientos'!$T$5:$T$1003, 0)), "")</f>
        <v/>
      </c>
      <c r="K80" s="20" t="str">
        <f>IFERROR(INDEX('Detalles movimientos'!O$5:O$1003, MATCH(68, 'Detalles movimientos'!$T$5:$T$1003, 0)), "")</f>
        <v/>
      </c>
      <c r="L80" s="18" t="str">
        <f>IFERROR(INDEX('Detalles movimientos'!P$5:P$1003, MATCH(68, 'Detalles movimientos'!$T$5:$T$1003, 0)), "")</f>
        <v/>
      </c>
      <c r="M80" s="18" t="str">
        <f>IFERROR(INDEX('Detalles movimientos'!S$5:S$1003, MATCH(68, 'Detalles movimientos'!$T$5:$T$1003, 0)), "")</f>
        <v/>
      </c>
    </row>
    <row r="81" spans="2:13">
      <c r="B81" s="17" t="str">
        <f>IFERROR(INDEX('Detalles movimientos'!C$5:C$1003, MATCH(69, 'Detalles movimientos'!$T$5:$T$1003, 0)), "")</f>
        <v/>
      </c>
      <c r="C81" s="18" t="str">
        <f>IFERROR(INDEX('Detalles movimientos'!D$5:D$1003, MATCH(69, 'Detalles movimientos'!$T$5:$T$1003, 0)), "")</f>
        <v/>
      </c>
      <c r="D81" s="19" t="str">
        <f>IFERROR(INDEX('Detalles movimientos'!E$5:E$1003, MATCH(69, 'Detalles movimientos'!$T$5:$T$1003, 0)), "")</f>
        <v/>
      </c>
      <c r="E81" s="19" t="str">
        <f>IFERROR(INDEX('Detalles movimientos'!F$5:F$1003, MATCH(69, 'Detalles movimientos'!$T$5:$T$1003, 0)), "")</f>
        <v/>
      </c>
      <c r="F81" s="18" t="str">
        <f>IFERROR(INDEX('Detalles movimientos'!G$5:G$1003, MATCH(69, 'Detalles movimientos'!$T$5:$T$1003, 0)), "")</f>
        <v/>
      </c>
      <c r="G81" s="20" t="str">
        <f>IFERROR(INDEX('Detalles movimientos'!H$5:H$1003, MATCH(69, 'Detalles movimientos'!$T$5:$T$1003, 0)), "")</f>
        <v/>
      </c>
      <c r="H81" s="21" t="str">
        <f>IFERROR(INDEX('Detalles movimientos'!I$5:I$1003, MATCH(69, 'Detalles movimientos'!$T$5:$T$1003, 0)), "")</f>
        <v/>
      </c>
      <c r="I81" s="20" t="str">
        <f>IFERROR(INDEX('Detalles movimientos'!M$5:M$1003, MATCH(69, 'Detalles movimientos'!$T$5:$T$1003, 0)), "")</f>
        <v/>
      </c>
      <c r="J81" s="19" t="str">
        <f>IFERROR(INDEX('Detalles movimientos'!N$5:N$1003, MATCH(69, 'Detalles movimientos'!$T$5:$T$1003, 0)), "")</f>
        <v/>
      </c>
      <c r="K81" s="20" t="str">
        <f>IFERROR(INDEX('Detalles movimientos'!O$5:O$1003, MATCH(69, 'Detalles movimientos'!$T$5:$T$1003, 0)), "")</f>
        <v/>
      </c>
      <c r="L81" s="18" t="str">
        <f>IFERROR(INDEX('Detalles movimientos'!P$5:P$1003, MATCH(69, 'Detalles movimientos'!$T$5:$T$1003, 0)), "")</f>
        <v/>
      </c>
      <c r="M81" s="18" t="str">
        <f>IFERROR(INDEX('Detalles movimientos'!S$5:S$1003, MATCH(69, 'Detalles movimientos'!$T$5:$T$1003, 0)), "")</f>
        <v/>
      </c>
    </row>
    <row r="82" spans="2:13">
      <c r="B82" s="17" t="str">
        <f>IFERROR(INDEX('Detalles movimientos'!C$5:C$1003, MATCH(70, 'Detalles movimientos'!$T$5:$T$1003, 0)), "")</f>
        <v/>
      </c>
      <c r="C82" s="18" t="str">
        <f>IFERROR(INDEX('Detalles movimientos'!D$5:D$1003, MATCH(70, 'Detalles movimientos'!$T$5:$T$1003, 0)), "")</f>
        <v/>
      </c>
      <c r="D82" s="19" t="str">
        <f>IFERROR(INDEX('Detalles movimientos'!E$5:E$1003, MATCH(70, 'Detalles movimientos'!$T$5:$T$1003, 0)), "")</f>
        <v/>
      </c>
      <c r="E82" s="19" t="str">
        <f>IFERROR(INDEX('Detalles movimientos'!F$5:F$1003, MATCH(70, 'Detalles movimientos'!$T$5:$T$1003, 0)), "")</f>
        <v/>
      </c>
      <c r="F82" s="18" t="str">
        <f>IFERROR(INDEX('Detalles movimientos'!G$5:G$1003, MATCH(70, 'Detalles movimientos'!$T$5:$T$1003, 0)), "")</f>
        <v/>
      </c>
      <c r="G82" s="20" t="str">
        <f>IFERROR(INDEX('Detalles movimientos'!H$5:H$1003, MATCH(70, 'Detalles movimientos'!$T$5:$T$1003, 0)), "")</f>
        <v/>
      </c>
      <c r="H82" s="21" t="str">
        <f>IFERROR(INDEX('Detalles movimientos'!I$5:I$1003, MATCH(70, 'Detalles movimientos'!$T$5:$T$1003, 0)), "")</f>
        <v/>
      </c>
      <c r="I82" s="20" t="str">
        <f>IFERROR(INDEX('Detalles movimientos'!M$5:M$1003, MATCH(70, 'Detalles movimientos'!$T$5:$T$1003, 0)), "")</f>
        <v/>
      </c>
      <c r="J82" s="19" t="str">
        <f>IFERROR(INDEX('Detalles movimientos'!N$5:N$1003, MATCH(70, 'Detalles movimientos'!$T$5:$T$1003, 0)), "")</f>
        <v/>
      </c>
      <c r="K82" s="20" t="str">
        <f>IFERROR(INDEX('Detalles movimientos'!O$5:O$1003, MATCH(70, 'Detalles movimientos'!$T$5:$T$1003, 0)), "")</f>
        <v/>
      </c>
      <c r="L82" s="18" t="str">
        <f>IFERROR(INDEX('Detalles movimientos'!P$5:P$1003, MATCH(70, 'Detalles movimientos'!$T$5:$T$1003, 0)), "")</f>
        <v/>
      </c>
      <c r="M82" s="18" t="str">
        <f>IFERROR(INDEX('Detalles movimientos'!S$5:S$1003, MATCH(70, 'Detalles movimientos'!$T$5:$T$1003, 0)), "")</f>
        <v/>
      </c>
    </row>
    <row r="83" spans="2:13">
      <c r="B83" s="17" t="str">
        <f>IFERROR(INDEX('Detalles movimientos'!C$5:C$1003, MATCH(71, 'Detalles movimientos'!$T$5:$T$1003, 0)), "")</f>
        <v/>
      </c>
      <c r="C83" s="18" t="str">
        <f>IFERROR(INDEX('Detalles movimientos'!D$5:D$1003, MATCH(71, 'Detalles movimientos'!$T$5:$T$1003, 0)), "")</f>
        <v/>
      </c>
      <c r="D83" s="19" t="str">
        <f>IFERROR(INDEX('Detalles movimientos'!E$5:E$1003, MATCH(71, 'Detalles movimientos'!$T$5:$T$1003, 0)), "")</f>
        <v/>
      </c>
      <c r="E83" s="19" t="str">
        <f>IFERROR(INDEX('Detalles movimientos'!F$5:F$1003, MATCH(71, 'Detalles movimientos'!$T$5:$T$1003, 0)), "")</f>
        <v/>
      </c>
      <c r="F83" s="18" t="str">
        <f>IFERROR(INDEX('Detalles movimientos'!G$5:G$1003, MATCH(71, 'Detalles movimientos'!$T$5:$T$1003, 0)), "")</f>
        <v/>
      </c>
      <c r="G83" s="20" t="str">
        <f>IFERROR(INDEX('Detalles movimientos'!H$5:H$1003, MATCH(71, 'Detalles movimientos'!$T$5:$T$1003, 0)), "")</f>
        <v/>
      </c>
      <c r="H83" s="21" t="str">
        <f>IFERROR(INDEX('Detalles movimientos'!I$5:I$1003, MATCH(71, 'Detalles movimientos'!$T$5:$T$1003, 0)), "")</f>
        <v/>
      </c>
      <c r="I83" s="20" t="str">
        <f>IFERROR(INDEX('Detalles movimientos'!M$5:M$1003, MATCH(71, 'Detalles movimientos'!$T$5:$T$1003, 0)), "")</f>
        <v/>
      </c>
      <c r="J83" s="19" t="str">
        <f>IFERROR(INDEX('Detalles movimientos'!N$5:N$1003, MATCH(71, 'Detalles movimientos'!$T$5:$T$1003, 0)), "")</f>
        <v/>
      </c>
      <c r="K83" s="20" t="str">
        <f>IFERROR(INDEX('Detalles movimientos'!O$5:O$1003, MATCH(71, 'Detalles movimientos'!$T$5:$T$1003, 0)), "")</f>
        <v/>
      </c>
      <c r="L83" s="18" t="str">
        <f>IFERROR(INDEX('Detalles movimientos'!P$5:P$1003, MATCH(71, 'Detalles movimientos'!$T$5:$T$1003, 0)), "")</f>
        <v/>
      </c>
      <c r="M83" s="18" t="str">
        <f>IFERROR(INDEX('Detalles movimientos'!S$5:S$1003, MATCH(71, 'Detalles movimientos'!$T$5:$T$1003, 0)), "")</f>
        <v/>
      </c>
    </row>
    <row r="84" spans="2:13">
      <c r="B84" s="17" t="str">
        <f>IFERROR(INDEX('Detalles movimientos'!C$5:C$1003, MATCH(72, 'Detalles movimientos'!$T$5:$T$1003, 0)), "")</f>
        <v/>
      </c>
      <c r="C84" s="18" t="str">
        <f>IFERROR(INDEX('Detalles movimientos'!D$5:D$1003, MATCH(72, 'Detalles movimientos'!$T$5:$T$1003, 0)), "")</f>
        <v/>
      </c>
      <c r="D84" s="19" t="str">
        <f>IFERROR(INDEX('Detalles movimientos'!E$5:E$1003, MATCH(72, 'Detalles movimientos'!$T$5:$T$1003, 0)), "")</f>
        <v/>
      </c>
      <c r="E84" s="19" t="str">
        <f>IFERROR(INDEX('Detalles movimientos'!F$5:F$1003, MATCH(72, 'Detalles movimientos'!$T$5:$T$1003, 0)), "")</f>
        <v/>
      </c>
      <c r="F84" s="18" t="str">
        <f>IFERROR(INDEX('Detalles movimientos'!G$5:G$1003, MATCH(72, 'Detalles movimientos'!$T$5:$T$1003, 0)), "")</f>
        <v/>
      </c>
      <c r="G84" s="20" t="str">
        <f>IFERROR(INDEX('Detalles movimientos'!H$5:H$1003, MATCH(72, 'Detalles movimientos'!$T$5:$T$1003, 0)), "")</f>
        <v/>
      </c>
      <c r="H84" s="21" t="str">
        <f>IFERROR(INDEX('Detalles movimientos'!I$5:I$1003, MATCH(72, 'Detalles movimientos'!$T$5:$T$1003, 0)), "")</f>
        <v/>
      </c>
      <c r="I84" s="20" t="str">
        <f>IFERROR(INDEX('Detalles movimientos'!M$5:M$1003, MATCH(72, 'Detalles movimientos'!$T$5:$T$1003, 0)), "")</f>
        <v/>
      </c>
      <c r="J84" s="19" t="str">
        <f>IFERROR(INDEX('Detalles movimientos'!N$5:N$1003, MATCH(72, 'Detalles movimientos'!$T$5:$T$1003, 0)), "")</f>
        <v/>
      </c>
      <c r="K84" s="20" t="str">
        <f>IFERROR(INDEX('Detalles movimientos'!O$5:O$1003, MATCH(72, 'Detalles movimientos'!$T$5:$T$1003, 0)), "")</f>
        <v/>
      </c>
      <c r="L84" s="18" t="str">
        <f>IFERROR(INDEX('Detalles movimientos'!P$5:P$1003, MATCH(72, 'Detalles movimientos'!$T$5:$T$1003, 0)), "")</f>
        <v/>
      </c>
      <c r="M84" s="18" t="str">
        <f>IFERROR(INDEX('Detalles movimientos'!S$5:S$1003, MATCH(72, 'Detalles movimientos'!$T$5:$T$1003, 0)), "")</f>
        <v/>
      </c>
    </row>
    <row r="85" spans="2:13">
      <c r="B85" s="17" t="str">
        <f>IFERROR(INDEX('Detalles movimientos'!C$5:C$1003, MATCH(73, 'Detalles movimientos'!$T$5:$T$1003, 0)), "")</f>
        <v/>
      </c>
      <c r="C85" s="18" t="str">
        <f>IFERROR(INDEX('Detalles movimientos'!D$5:D$1003, MATCH(73, 'Detalles movimientos'!$T$5:$T$1003, 0)), "")</f>
        <v/>
      </c>
      <c r="D85" s="19" t="str">
        <f>IFERROR(INDEX('Detalles movimientos'!E$5:E$1003, MATCH(73, 'Detalles movimientos'!$T$5:$T$1003, 0)), "")</f>
        <v/>
      </c>
      <c r="E85" s="19" t="str">
        <f>IFERROR(INDEX('Detalles movimientos'!F$5:F$1003, MATCH(73, 'Detalles movimientos'!$T$5:$T$1003, 0)), "")</f>
        <v/>
      </c>
      <c r="F85" s="18" t="str">
        <f>IFERROR(INDEX('Detalles movimientos'!G$5:G$1003, MATCH(73, 'Detalles movimientos'!$T$5:$T$1003, 0)), "")</f>
        <v/>
      </c>
      <c r="G85" s="20" t="str">
        <f>IFERROR(INDEX('Detalles movimientos'!H$5:H$1003, MATCH(73, 'Detalles movimientos'!$T$5:$T$1003, 0)), "")</f>
        <v/>
      </c>
      <c r="H85" s="21" t="str">
        <f>IFERROR(INDEX('Detalles movimientos'!I$5:I$1003, MATCH(73, 'Detalles movimientos'!$T$5:$T$1003, 0)), "")</f>
        <v/>
      </c>
      <c r="I85" s="20" t="str">
        <f>IFERROR(INDEX('Detalles movimientos'!M$5:M$1003, MATCH(73, 'Detalles movimientos'!$T$5:$T$1003, 0)), "")</f>
        <v/>
      </c>
      <c r="J85" s="19" t="str">
        <f>IFERROR(INDEX('Detalles movimientos'!N$5:N$1003, MATCH(73, 'Detalles movimientos'!$T$5:$T$1003, 0)), "")</f>
        <v/>
      </c>
      <c r="K85" s="20" t="str">
        <f>IFERROR(INDEX('Detalles movimientos'!O$5:O$1003, MATCH(73, 'Detalles movimientos'!$T$5:$T$1003, 0)), "")</f>
        <v/>
      </c>
      <c r="L85" s="18" t="str">
        <f>IFERROR(INDEX('Detalles movimientos'!P$5:P$1003, MATCH(73, 'Detalles movimientos'!$T$5:$T$1003, 0)), "")</f>
        <v/>
      </c>
      <c r="M85" s="18" t="str">
        <f>IFERROR(INDEX('Detalles movimientos'!S$5:S$1003, MATCH(73, 'Detalles movimientos'!$T$5:$T$1003, 0)), "")</f>
        <v/>
      </c>
    </row>
    <row r="86" spans="2:13">
      <c r="B86" s="17" t="str">
        <f>IFERROR(INDEX('Detalles movimientos'!C$5:C$1003, MATCH(74, 'Detalles movimientos'!$T$5:$T$1003, 0)), "")</f>
        <v/>
      </c>
      <c r="C86" s="18" t="str">
        <f>IFERROR(INDEX('Detalles movimientos'!D$5:D$1003, MATCH(74, 'Detalles movimientos'!$T$5:$T$1003, 0)), "")</f>
        <v/>
      </c>
      <c r="D86" s="19" t="str">
        <f>IFERROR(INDEX('Detalles movimientos'!E$5:E$1003, MATCH(74, 'Detalles movimientos'!$T$5:$T$1003, 0)), "")</f>
        <v/>
      </c>
      <c r="E86" s="19" t="str">
        <f>IFERROR(INDEX('Detalles movimientos'!F$5:F$1003, MATCH(74, 'Detalles movimientos'!$T$5:$T$1003, 0)), "")</f>
        <v/>
      </c>
      <c r="F86" s="18" t="str">
        <f>IFERROR(INDEX('Detalles movimientos'!G$5:G$1003, MATCH(74, 'Detalles movimientos'!$T$5:$T$1003, 0)), "")</f>
        <v/>
      </c>
      <c r="G86" s="20" t="str">
        <f>IFERROR(INDEX('Detalles movimientos'!H$5:H$1003, MATCH(74, 'Detalles movimientos'!$T$5:$T$1003, 0)), "")</f>
        <v/>
      </c>
      <c r="H86" s="21" t="str">
        <f>IFERROR(INDEX('Detalles movimientos'!I$5:I$1003, MATCH(74, 'Detalles movimientos'!$T$5:$T$1003, 0)), "")</f>
        <v/>
      </c>
      <c r="I86" s="20" t="str">
        <f>IFERROR(INDEX('Detalles movimientos'!M$5:M$1003, MATCH(74, 'Detalles movimientos'!$T$5:$T$1003, 0)), "")</f>
        <v/>
      </c>
      <c r="J86" s="19" t="str">
        <f>IFERROR(INDEX('Detalles movimientos'!N$5:N$1003, MATCH(74, 'Detalles movimientos'!$T$5:$T$1003, 0)), "")</f>
        <v/>
      </c>
      <c r="K86" s="20" t="str">
        <f>IFERROR(INDEX('Detalles movimientos'!O$5:O$1003, MATCH(74, 'Detalles movimientos'!$T$5:$T$1003, 0)), "")</f>
        <v/>
      </c>
      <c r="L86" s="18" t="str">
        <f>IFERROR(INDEX('Detalles movimientos'!P$5:P$1003, MATCH(74, 'Detalles movimientos'!$T$5:$T$1003, 0)), "")</f>
        <v/>
      </c>
      <c r="M86" s="18" t="str">
        <f>IFERROR(INDEX('Detalles movimientos'!S$5:S$1003, MATCH(74, 'Detalles movimientos'!$T$5:$T$1003, 0)), "")</f>
        <v/>
      </c>
    </row>
    <row r="87" spans="2:13">
      <c r="B87" s="17" t="str">
        <f>IFERROR(INDEX('Detalles movimientos'!C$5:C$1003, MATCH(75, 'Detalles movimientos'!$T$5:$T$1003, 0)), "")</f>
        <v/>
      </c>
      <c r="C87" s="18" t="str">
        <f>IFERROR(INDEX('Detalles movimientos'!D$5:D$1003, MATCH(75, 'Detalles movimientos'!$T$5:$T$1003, 0)), "")</f>
        <v/>
      </c>
      <c r="D87" s="19" t="str">
        <f>IFERROR(INDEX('Detalles movimientos'!E$5:E$1003, MATCH(75, 'Detalles movimientos'!$T$5:$T$1003, 0)), "")</f>
        <v/>
      </c>
      <c r="E87" s="19" t="str">
        <f>IFERROR(INDEX('Detalles movimientos'!F$5:F$1003, MATCH(75, 'Detalles movimientos'!$T$5:$T$1003, 0)), "")</f>
        <v/>
      </c>
      <c r="F87" s="18" t="str">
        <f>IFERROR(INDEX('Detalles movimientos'!G$5:G$1003, MATCH(75, 'Detalles movimientos'!$T$5:$T$1003, 0)), "")</f>
        <v/>
      </c>
      <c r="G87" s="20" t="str">
        <f>IFERROR(INDEX('Detalles movimientos'!H$5:H$1003, MATCH(75, 'Detalles movimientos'!$T$5:$T$1003, 0)), "")</f>
        <v/>
      </c>
      <c r="H87" s="21" t="str">
        <f>IFERROR(INDEX('Detalles movimientos'!I$5:I$1003, MATCH(75, 'Detalles movimientos'!$T$5:$T$1003, 0)), "")</f>
        <v/>
      </c>
      <c r="I87" s="20" t="str">
        <f>IFERROR(INDEX('Detalles movimientos'!M$5:M$1003, MATCH(75, 'Detalles movimientos'!$T$5:$T$1003, 0)), "")</f>
        <v/>
      </c>
      <c r="J87" s="19" t="str">
        <f>IFERROR(INDEX('Detalles movimientos'!N$5:N$1003, MATCH(75, 'Detalles movimientos'!$T$5:$T$1003, 0)), "")</f>
        <v/>
      </c>
      <c r="K87" s="20" t="str">
        <f>IFERROR(INDEX('Detalles movimientos'!O$5:O$1003, MATCH(75, 'Detalles movimientos'!$T$5:$T$1003, 0)), "")</f>
        <v/>
      </c>
      <c r="L87" s="18" t="str">
        <f>IFERROR(INDEX('Detalles movimientos'!P$5:P$1003, MATCH(75, 'Detalles movimientos'!$T$5:$T$1003, 0)), "")</f>
        <v/>
      </c>
      <c r="M87" s="18" t="str">
        <f>IFERROR(INDEX('Detalles movimientos'!S$5:S$1003, MATCH(75, 'Detalles movimientos'!$T$5:$T$1003, 0)), "")</f>
        <v/>
      </c>
    </row>
    <row r="88" spans="2:13">
      <c r="B88" s="17" t="str">
        <f>IFERROR(INDEX('Detalles movimientos'!C$5:C$1003, MATCH(76, 'Detalles movimientos'!$T$5:$T$1003, 0)), "")</f>
        <v/>
      </c>
      <c r="C88" s="18" t="str">
        <f>IFERROR(INDEX('Detalles movimientos'!D$5:D$1003, MATCH(76, 'Detalles movimientos'!$T$5:$T$1003, 0)), "")</f>
        <v/>
      </c>
      <c r="D88" s="19" t="str">
        <f>IFERROR(INDEX('Detalles movimientos'!E$5:E$1003, MATCH(76, 'Detalles movimientos'!$T$5:$T$1003, 0)), "")</f>
        <v/>
      </c>
      <c r="E88" s="19" t="str">
        <f>IFERROR(INDEX('Detalles movimientos'!F$5:F$1003, MATCH(76, 'Detalles movimientos'!$T$5:$T$1003, 0)), "")</f>
        <v/>
      </c>
      <c r="F88" s="18" t="str">
        <f>IFERROR(INDEX('Detalles movimientos'!G$5:G$1003, MATCH(76, 'Detalles movimientos'!$T$5:$T$1003, 0)), "")</f>
        <v/>
      </c>
      <c r="G88" s="20" t="str">
        <f>IFERROR(INDEX('Detalles movimientos'!H$5:H$1003, MATCH(76, 'Detalles movimientos'!$T$5:$T$1003, 0)), "")</f>
        <v/>
      </c>
      <c r="H88" s="21" t="str">
        <f>IFERROR(INDEX('Detalles movimientos'!I$5:I$1003, MATCH(76, 'Detalles movimientos'!$T$5:$T$1003, 0)), "")</f>
        <v/>
      </c>
      <c r="I88" s="20" t="str">
        <f>IFERROR(INDEX('Detalles movimientos'!M$5:M$1003, MATCH(76, 'Detalles movimientos'!$T$5:$T$1003, 0)), "")</f>
        <v/>
      </c>
      <c r="J88" s="19" t="str">
        <f>IFERROR(INDEX('Detalles movimientos'!N$5:N$1003, MATCH(76, 'Detalles movimientos'!$T$5:$T$1003, 0)), "")</f>
        <v/>
      </c>
      <c r="K88" s="20" t="str">
        <f>IFERROR(INDEX('Detalles movimientos'!O$5:O$1003, MATCH(76, 'Detalles movimientos'!$T$5:$T$1003, 0)), "")</f>
        <v/>
      </c>
      <c r="L88" s="18" t="str">
        <f>IFERROR(INDEX('Detalles movimientos'!P$5:P$1003, MATCH(76, 'Detalles movimientos'!$T$5:$T$1003, 0)), "")</f>
        <v/>
      </c>
      <c r="M88" s="18" t="str">
        <f>IFERROR(INDEX('Detalles movimientos'!S$5:S$1003, MATCH(76, 'Detalles movimientos'!$T$5:$T$1003, 0)), "")</f>
        <v/>
      </c>
    </row>
    <row r="89" spans="2:13">
      <c r="B89" s="17" t="str">
        <f>IFERROR(INDEX('Detalles movimientos'!C$5:C$1003, MATCH(77, 'Detalles movimientos'!$T$5:$T$1003, 0)), "")</f>
        <v/>
      </c>
      <c r="C89" s="18" t="str">
        <f>IFERROR(INDEX('Detalles movimientos'!D$5:D$1003, MATCH(77, 'Detalles movimientos'!$T$5:$T$1003, 0)), "")</f>
        <v/>
      </c>
      <c r="D89" s="19" t="str">
        <f>IFERROR(INDEX('Detalles movimientos'!E$5:E$1003, MATCH(77, 'Detalles movimientos'!$T$5:$T$1003, 0)), "")</f>
        <v/>
      </c>
      <c r="E89" s="19" t="str">
        <f>IFERROR(INDEX('Detalles movimientos'!F$5:F$1003, MATCH(77, 'Detalles movimientos'!$T$5:$T$1003, 0)), "")</f>
        <v/>
      </c>
      <c r="F89" s="18" t="str">
        <f>IFERROR(INDEX('Detalles movimientos'!G$5:G$1003, MATCH(77, 'Detalles movimientos'!$T$5:$T$1003, 0)), "")</f>
        <v/>
      </c>
      <c r="G89" s="20" t="str">
        <f>IFERROR(INDEX('Detalles movimientos'!H$5:H$1003, MATCH(77, 'Detalles movimientos'!$T$5:$T$1003, 0)), "")</f>
        <v/>
      </c>
      <c r="H89" s="21" t="str">
        <f>IFERROR(INDEX('Detalles movimientos'!I$5:I$1003, MATCH(77, 'Detalles movimientos'!$T$5:$T$1003, 0)), "")</f>
        <v/>
      </c>
      <c r="I89" s="20" t="str">
        <f>IFERROR(INDEX('Detalles movimientos'!M$5:M$1003, MATCH(77, 'Detalles movimientos'!$T$5:$T$1003, 0)), "")</f>
        <v/>
      </c>
      <c r="J89" s="19" t="str">
        <f>IFERROR(INDEX('Detalles movimientos'!N$5:N$1003, MATCH(77, 'Detalles movimientos'!$T$5:$T$1003, 0)), "")</f>
        <v/>
      </c>
      <c r="K89" s="20" t="str">
        <f>IFERROR(INDEX('Detalles movimientos'!O$5:O$1003, MATCH(77, 'Detalles movimientos'!$T$5:$T$1003, 0)), "")</f>
        <v/>
      </c>
      <c r="L89" s="18" t="str">
        <f>IFERROR(INDEX('Detalles movimientos'!P$5:P$1003, MATCH(77, 'Detalles movimientos'!$T$5:$T$1003, 0)), "")</f>
        <v/>
      </c>
      <c r="M89" s="18" t="str">
        <f>IFERROR(INDEX('Detalles movimientos'!S$5:S$1003, MATCH(77, 'Detalles movimientos'!$T$5:$T$1003, 0)), "")</f>
        <v/>
      </c>
    </row>
    <row r="90" spans="2:13">
      <c r="B90" s="17" t="str">
        <f>IFERROR(INDEX('Detalles movimientos'!C$5:C$1003, MATCH(78, 'Detalles movimientos'!$T$5:$T$1003, 0)), "")</f>
        <v/>
      </c>
      <c r="C90" s="18" t="str">
        <f>IFERROR(INDEX('Detalles movimientos'!D$5:D$1003, MATCH(78, 'Detalles movimientos'!$T$5:$T$1003, 0)), "")</f>
        <v/>
      </c>
      <c r="D90" s="19" t="str">
        <f>IFERROR(INDEX('Detalles movimientos'!E$5:E$1003, MATCH(78, 'Detalles movimientos'!$T$5:$T$1003, 0)), "")</f>
        <v/>
      </c>
      <c r="E90" s="19" t="str">
        <f>IFERROR(INDEX('Detalles movimientos'!F$5:F$1003, MATCH(78, 'Detalles movimientos'!$T$5:$T$1003, 0)), "")</f>
        <v/>
      </c>
      <c r="F90" s="18" t="str">
        <f>IFERROR(INDEX('Detalles movimientos'!G$5:G$1003, MATCH(78, 'Detalles movimientos'!$T$5:$T$1003, 0)), "")</f>
        <v/>
      </c>
      <c r="G90" s="20" t="str">
        <f>IFERROR(INDEX('Detalles movimientos'!H$5:H$1003, MATCH(78, 'Detalles movimientos'!$T$5:$T$1003, 0)), "")</f>
        <v/>
      </c>
      <c r="H90" s="21" t="str">
        <f>IFERROR(INDEX('Detalles movimientos'!I$5:I$1003, MATCH(78, 'Detalles movimientos'!$T$5:$T$1003, 0)), "")</f>
        <v/>
      </c>
      <c r="I90" s="20" t="str">
        <f>IFERROR(INDEX('Detalles movimientos'!M$5:M$1003, MATCH(78, 'Detalles movimientos'!$T$5:$T$1003, 0)), "")</f>
        <v/>
      </c>
      <c r="J90" s="19" t="str">
        <f>IFERROR(INDEX('Detalles movimientos'!N$5:N$1003, MATCH(78, 'Detalles movimientos'!$T$5:$T$1003, 0)), "")</f>
        <v/>
      </c>
      <c r="K90" s="20" t="str">
        <f>IFERROR(INDEX('Detalles movimientos'!O$5:O$1003, MATCH(78, 'Detalles movimientos'!$T$5:$T$1003, 0)), "")</f>
        <v/>
      </c>
      <c r="L90" s="18" t="str">
        <f>IFERROR(INDEX('Detalles movimientos'!P$5:P$1003, MATCH(78, 'Detalles movimientos'!$T$5:$T$1003, 0)), "")</f>
        <v/>
      </c>
      <c r="M90" s="18" t="str">
        <f>IFERROR(INDEX('Detalles movimientos'!S$5:S$1003, MATCH(78, 'Detalles movimientos'!$T$5:$T$1003, 0)), "")</f>
        <v/>
      </c>
    </row>
    <row r="91" spans="2:13">
      <c r="B91" s="17" t="str">
        <f>IFERROR(INDEX('Detalles movimientos'!C$5:C$1003, MATCH(79, 'Detalles movimientos'!$T$5:$T$1003, 0)), "")</f>
        <v/>
      </c>
      <c r="C91" s="18" t="str">
        <f>IFERROR(INDEX('Detalles movimientos'!D$5:D$1003, MATCH(79, 'Detalles movimientos'!$T$5:$T$1003, 0)), "")</f>
        <v/>
      </c>
      <c r="D91" s="19" t="str">
        <f>IFERROR(INDEX('Detalles movimientos'!E$5:E$1003, MATCH(79, 'Detalles movimientos'!$T$5:$T$1003, 0)), "")</f>
        <v/>
      </c>
      <c r="E91" s="19" t="str">
        <f>IFERROR(INDEX('Detalles movimientos'!F$5:F$1003, MATCH(79, 'Detalles movimientos'!$T$5:$T$1003, 0)), "")</f>
        <v/>
      </c>
      <c r="F91" s="18" t="str">
        <f>IFERROR(INDEX('Detalles movimientos'!G$5:G$1003, MATCH(79, 'Detalles movimientos'!$T$5:$T$1003, 0)), "")</f>
        <v/>
      </c>
      <c r="G91" s="20" t="str">
        <f>IFERROR(INDEX('Detalles movimientos'!H$5:H$1003, MATCH(79, 'Detalles movimientos'!$T$5:$T$1003, 0)), "")</f>
        <v/>
      </c>
      <c r="H91" s="21" t="str">
        <f>IFERROR(INDEX('Detalles movimientos'!I$5:I$1003, MATCH(79, 'Detalles movimientos'!$T$5:$T$1003, 0)), "")</f>
        <v/>
      </c>
      <c r="I91" s="20" t="str">
        <f>IFERROR(INDEX('Detalles movimientos'!M$5:M$1003, MATCH(79, 'Detalles movimientos'!$T$5:$T$1003, 0)), "")</f>
        <v/>
      </c>
      <c r="J91" s="19" t="str">
        <f>IFERROR(INDEX('Detalles movimientos'!N$5:N$1003, MATCH(79, 'Detalles movimientos'!$T$5:$T$1003, 0)), "")</f>
        <v/>
      </c>
      <c r="K91" s="20" t="str">
        <f>IFERROR(INDEX('Detalles movimientos'!O$5:O$1003, MATCH(79, 'Detalles movimientos'!$T$5:$T$1003, 0)), "")</f>
        <v/>
      </c>
      <c r="L91" s="18" t="str">
        <f>IFERROR(INDEX('Detalles movimientos'!P$5:P$1003, MATCH(79, 'Detalles movimientos'!$T$5:$T$1003, 0)), "")</f>
        <v/>
      </c>
      <c r="M91" s="18" t="str">
        <f>IFERROR(INDEX('Detalles movimientos'!S$5:S$1003, MATCH(79, 'Detalles movimientos'!$T$5:$T$1003, 0)), "")</f>
        <v/>
      </c>
    </row>
    <row r="92" spans="2:13">
      <c r="B92" s="17" t="str">
        <f>IFERROR(INDEX('Detalles movimientos'!C$5:C$1003, MATCH(80, 'Detalles movimientos'!$T$5:$T$1003, 0)), "")</f>
        <v/>
      </c>
      <c r="C92" s="18" t="str">
        <f>IFERROR(INDEX('Detalles movimientos'!D$5:D$1003, MATCH(80, 'Detalles movimientos'!$T$5:$T$1003, 0)), "")</f>
        <v/>
      </c>
      <c r="D92" s="19" t="str">
        <f>IFERROR(INDEX('Detalles movimientos'!E$5:E$1003, MATCH(80, 'Detalles movimientos'!$T$5:$T$1003, 0)), "")</f>
        <v/>
      </c>
      <c r="E92" s="19" t="str">
        <f>IFERROR(INDEX('Detalles movimientos'!F$5:F$1003, MATCH(80, 'Detalles movimientos'!$T$5:$T$1003, 0)), "")</f>
        <v/>
      </c>
      <c r="F92" s="18" t="str">
        <f>IFERROR(INDEX('Detalles movimientos'!G$5:G$1003, MATCH(80, 'Detalles movimientos'!$T$5:$T$1003, 0)), "")</f>
        <v/>
      </c>
      <c r="G92" s="20" t="str">
        <f>IFERROR(INDEX('Detalles movimientos'!H$5:H$1003, MATCH(80, 'Detalles movimientos'!$T$5:$T$1003, 0)), "")</f>
        <v/>
      </c>
      <c r="H92" s="21" t="str">
        <f>IFERROR(INDEX('Detalles movimientos'!I$5:I$1003, MATCH(80, 'Detalles movimientos'!$T$5:$T$1003, 0)), "")</f>
        <v/>
      </c>
      <c r="I92" s="20" t="str">
        <f>IFERROR(INDEX('Detalles movimientos'!M$5:M$1003, MATCH(80, 'Detalles movimientos'!$T$5:$T$1003, 0)), "")</f>
        <v/>
      </c>
      <c r="J92" s="19" t="str">
        <f>IFERROR(INDEX('Detalles movimientos'!N$5:N$1003, MATCH(80, 'Detalles movimientos'!$T$5:$T$1003, 0)), "")</f>
        <v/>
      </c>
      <c r="K92" s="20" t="str">
        <f>IFERROR(INDEX('Detalles movimientos'!O$5:O$1003, MATCH(80, 'Detalles movimientos'!$T$5:$T$1003, 0)), "")</f>
        <v/>
      </c>
      <c r="L92" s="18" t="str">
        <f>IFERROR(INDEX('Detalles movimientos'!P$5:P$1003, MATCH(80, 'Detalles movimientos'!$T$5:$T$1003, 0)), "")</f>
        <v/>
      </c>
      <c r="M92" s="18" t="str">
        <f>IFERROR(INDEX('Detalles movimientos'!S$5:S$1003, MATCH(80, 'Detalles movimientos'!$T$5:$T$1003, 0)), "")</f>
        <v/>
      </c>
    </row>
    <row r="93" spans="2:13">
      <c r="B93" s="17" t="str">
        <f>IFERROR(INDEX('Detalles movimientos'!C$5:C$1003, MATCH(81, 'Detalles movimientos'!$T$5:$T$1003, 0)), "")</f>
        <v/>
      </c>
      <c r="C93" s="18" t="str">
        <f>IFERROR(INDEX('Detalles movimientos'!D$5:D$1003, MATCH(81, 'Detalles movimientos'!$T$5:$T$1003, 0)), "")</f>
        <v/>
      </c>
      <c r="D93" s="19" t="str">
        <f>IFERROR(INDEX('Detalles movimientos'!E$5:E$1003, MATCH(81, 'Detalles movimientos'!$T$5:$T$1003, 0)), "")</f>
        <v/>
      </c>
      <c r="E93" s="19" t="str">
        <f>IFERROR(INDEX('Detalles movimientos'!F$5:F$1003, MATCH(81, 'Detalles movimientos'!$T$5:$T$1003, 0)), "")</f>
        <v/>
      </c>
      <c r="F93" s="18" t="str">
        <f>IFERROR(INDEX('Detalles movimientos'!G$5:G$1003, MATCH(81, 'Detalles movimientos'!$T$5:$T$1003, 0)), "")</f>
        <v/>
      </c>
      <c r="G93" s="20" t="str">
        <f>IFERROR(INDEX('Detalles movimientos'!H$5:H$1003, MATCH(81, 'Detalles movimientos'!$T$5:$T$1003, 0)), "")</f>
        <v/>
      </c>
      <c r="H93" s="21" t="str">
        <f>IFERROR(INDEX('Detalles movimientos'!I$5:I$1003, MATCH(81, 'Detalles movimientos'!$T$5:$T$1003, 0)), "")</f>
        <v/>
      </c>
      <c r="I93" s="20" t="str">
        <f>IFERROR(INDEX('Detalles movimientos'!M$5:M$1003, MATCH(81, 'Detalles movimientos'!$T$5:$T$1003, 0)), "")</f>
        <v/>
      </c>
      <c r="J93" s="19" t="str">
        <f>IFERROR(INDEX('Detalles movimientos'!N$5:N$1003, MATCH(81, 'Detalles movimientos'!$T$5:$T$1003, 0)), "")</f>
        <v/>
      </c>
      <c r="K93" s="20" t="str">
        <f>IFERROR(INDEX('Detalles movimientos'!O$5:O$1003, MATCH(81, 'Detalles movimientos'!$T$5:$T$1003, 0)), "")</f>
        <v/>
      </c>
      <c r="L93" s="18" t="str">
        <f>IFERROR(INDEX('Detalles movimientos'!P$5:P$1003, MATCH(81, 'Detalles movimientos'!$T$5:$T$1003, 0)), "")</f>
        <v/>
      </c>
      <c r="M93" s="18" t="str">
        <f>IFERROR(INDEX('Detalles movimientos'!S$5:S$1003, MATCH(81, 'Detalles movimientos'!$T$5:$T$1003, 0)), "")</f>
        <v/>
      </c>
    </row>
    <row r="94" spans="2:13">
      <c r="B94" s="17" t="str">
        <f>IFERROR(INDEX('Detalles movimientos'!C$5:C$1003, MATCH(82, 'Detalles movimientos'!$T$5:$T$1003, 0)), "")</f>
        <v/>
      </c>
      <c r="C94" s="18" t="str">
        <f>IFERROR(INDEX('Detalles movimientos'!D$5:D$1003, MATCH(82, 'Detalles movimientos'!$T$5:$T$1003, 0)), "")</f>
        <v/>
      </c>
      <c r="D94" s="19" t="str">
        <f>IFERROR(INDEX('Detalles movimientos'!E$5:E$1003, MATCH(82, 'Detalles movimientos'!$T$5:$T$1003, 0)), "")</f>
        <v/>
      </c>
      <c r="E94" s="19" t="str">
        <f>IFERROR(INDEX('Detalles movimientos'!F$5:F$1003, MATCH(82, 'Detalles movimientos'!$T$5:$T$1003, 0)), "")</f>
        <v/>
      </c>
      <c r="F94" s="18" t="str">
        <f>IFERROR(INDEX('Detalles movimientos'!G$5:G$1003, MATCH(82, 'Detalles movimientos'!$T$5:$T$1003, 0)), "")</f>
        <v/>
      </c>
      <c r="G94" s="20" t="str">
        <f>IFERROR(INDEX('Detalles movimientos'!H$5:H$1003, MATCH(82, 'Detalles movimientos'!$T$5:$T$1003, 0)), "")</f>
        <v/>
      </c>
      <c r="H94" s="21" t="str">
        <f>IFERROR(INDEX('Detalles movimientos'!I$5:I$1003, MATCH(82, 'Detalles movimientos'!$T$5:$T$1003, 0)), "")</f>
        <v/>
      </c>
      <c r="I94" s="20" t="str">
        <f>IFERROR(INDEX('Detalles movimientos'!M$5:M$1003, MATCH(82, 'Detalles movimientos'!$T$5:$T$1003, 0)), "")</f>
        <v/>
      </c>
      <c r="J94" s="19" t="str">
        <f>IFERROR(INDEX('Detalles movimientos'!N$5:N$1003, MATCH(82, 'Detalles movimientos'!$T$5:$T$1003, 0)), "")</f>
        <v/>
      </c>
      <c r="K94" s="20" t="str">
        <f>IFERROR(INDEX('Detalles movimientos'!O$5:O$1003, MATCH(82, 'Detalles movimientos'!$T$5:$T$1003, 0)), "")</f>
        <v/>
      </c>
      <c r="L94" s="18" t="str">
        <f>IFERROR(INDEX('Detalles movimientos'!P$5:P$1003, MATCH(82, 'Detalles movimientos'!$T$5:$T$1003, 0)), "")</f>
        <v/>
      </c>
      <c r="M94" s="18" t="str">
        <f>IFERROR(INDEX('Detalles movimientos'!S$5:S$1003, MATCH(82, 'Detalles movimientos'!$T$5:$T$1003, 0)), "")</f>
        <v/>
      </c>
    </row>
    <row r="95" spans="2:13">
      <c r="B95" s="17" t="str">
        <f>IFERROR(INDEX('Detalles movimientos'!C$5:C$1003, MATCH(83, 'Detalles movimientos'!$T$5:$T$1003, 0)), "")</f>
        <v/>
      </c>
      <c r="C95" s="18" t="str">
        <f>IFERROR(INDEX('Detalles movimientos'!D$5:D$1003, MATCH(83, 'Detalles movimientos'!$T$5:$T$1003, 0)), "")</f>
        <v/>
      </c>
      <c r="D95" s="19" t="str">
        <f>IFERROR(INDEX('Detalles movimientos'!E$5:E$1003, MATCH(83, 'Detalles movimientos'!$T$5:$T$1003, 0)), "")</f>
        <v/>
      </c>
      <c r="E95" s="19" t="str">
        <f>IFERROR(INDEX('Detalles movimientos'!F$5:F$1003, MATCH(83, 'Detalles movimientos'!$T$5:$T$1003, 0)), "")</f>
        <v/>
      </c>
      <c r="F95" s="18" t="str">
        <f>IFERROR(INDEX('Detalles movimientos'!G$5:G$1003, MATCH(83, 'Detalles movimientos'!$T$5:$T$1003, 0)), "")</f>
        <v/>
      </c>
      <c r="G95" s="20" t="str">
        <f>IFERROR(INDEX('Detalles movimientos'!H$5:H$1003, MATCH(83, 'Detalles movimientos'!$T$5:$T$1003, 0)), "")</f>
        <v/>
      </c>
      <c r="H95" s="21" t="str">
        <f>IFERROR(INDEX('Detalles movimientos'!I$5:I$1003, MATCH(83, 'Detalles movimientos'!$T$5:$T$1003, 0)), "")</f>
        <v/>
      </c>
      <c r="I95" s="20" t="str">
        <f>IFERROR(INDEX('Detalles movimientos'!M$5:M$1003, MATCH(83, 'Detalles movimientos'!$T$5:$T$1003, 0)), "")</f>
        <v/>
      </c>
      <c r="J95" s="19" t="str">
        <f>IFERROR(INDEX('Detalles movimientos'!N$5:N$1003, MATCH(83, 'Detalles movimientos'!$T$5:$T$1003, 0)), "")</f>
        <v/>
      </c>
      <c r="K95" s="20" t="str">
        <f>IFERROR(INDEX('Detalles movimientos'!O$5:O$1003, MATCH(83, 'Detalles movimientos'!$T$5:$T$1003, 0)), "")</f>
        <v/>
      </c>
      <c r="L95" s="18" t="str">
        <f>IFERROR(INDEX('Detalles movimientos'!P$5:P$1003, MATCH(83, 'Detalles movimientos'!$T$5:$T$1003, 0)), "")</f>
        <v/>
      </c>
      <c r="M95" s="18" t="str">
        <f>IFERROR(INDEX('Detalles movimientos'!S$5:S$1003, MATCH(83, 'Detalles movimientos'!$T$5:$T$1003, 0)), "")</f>
        <v/>
      </c>
    </row>
    <row r="96" spans="2:13">
      <c r="B96" s="17" t="str">
        <f>IFERROR(INDEX('Detalles movimientos'!C$5:C$1003, MATCH(84, 'Detalles movimientos'!$T$5:$T$1003, 0)), "")</f>
        <v/>
      </c>
      <c r="C96" s="18" t="str">
        <f>IFERROR(INDEX('Detalles movimientos'!D$5:D$1003, MATCH(84, 'Detalles movimientos'!$T$5:$T$1003, 0)), "")</f>
        <v/>
      </c>
      <c r="D96" s="19" t="str">
        <f>IFERROR(INDEX('Detalles movimientos'!E$5:E$1003, MATCH(84, 'Detalles movimientos'!$T$5:$T$1003, 0)), "")</f>
        <v/>
      </c>
      <c r="E96" s="19" t="str">
        <f>IFERROR(INDEX('Detalles movimientos'!F$5:F$1003, MATCH(84, 'Detalles movimientos'!$T$5:$T$1003, 0)), "")</f>
        <v/>
      </c>
      <c r="F96" s="18" t="str">
        <f>IFERROR(INDEX('Detalles movimientos'!G$5:G$1003, MATCH(84, 'Detalles movimientos'!$T$5:$T$1003, 0)), "")</f>
        <v/>
      </c>
      <c r="G96" s="20" t="str">
        <f>IFERROR(INDEX('Detalles movimientos'!H$5:H$1003, MATCH(84, 'Detalles movimientos'!$T$5:$T$1003, 0)), "")</f>
        <v/>
      </c>
      <c r="H96" s="21" t="str">
        <f>IFERROR(INDEX('Detalles movimientos'!I$5:I$1003, MATCH(84, 'Detalles movimientos'!$T$5:$T$1003, 0)), "")</f>
        <v/>
      </c>
      <c r="I96" s="20" t="str">
        <f>IFERROR(INDEX('Detalles movimientos'!M$5:M$1003, MATCH(84, 'Detalles movimientos'!$T$5:$T$1003, 0)), "")</f>
        <v/>
      </c>
      <c r="J96" s="19" t="str">
        <f>IFERROR(INDEX('Detalles movimientos'!N$5:N$1003, MATCH(84, 'Detalles movimientos'!$T$5:$T$1003, 0)), "")</f>
        <v/>
      </c>
      <c r="K96" s="20" t="str">
        <f>IFERROR(INDEX('Detalles movimientos'!O$5:O$1003, MATCH(84, 'Detalles movimientos'!$T$5:$T$1003, 0)), "")</f>
        <v/>
      </c>
      <c r="L96" s="18" t="str">
        <f>IFERROR(INDEX('Detalles movimientos'!P$5:P$1003, MATCH(84, 'Detalles movimientos'!$T$5:$T$1003, 0)), "")</f>
        <v/>
      </c>
      <c r="M96" s="18" t="str">
        <f>IFERROR(INDEX('Detalles movimientos'!S$5:S$1003, MATCH(84, 'Detalles movimientos'!$T$5:$T$1003, 0)), "")</f>
        <v/>
      </c>
    </row>
    <row r="97" spans="2:13">
      <c r="B97" s="17" t="str">
        <f>IFERROR(INDEX('Detalles movimientos'!C$5:C$1003, MATCH(85, 'Detalles movimientos'!$T$5:$T$1003, 0)), "")</f>
        <v/>
      </c>
      <c r="C97" s="18" t="str">
        <f>IFERROR(INDEX('Detalles movimientos'!D$5:D$1003, MATCH(85, 'Detalles movimientos'!$T$5:$T$1003, 0)), "")</f>
        <v/>
      </c>
      <c r="D97" s="19" t="str">
        <f>IFERROR(INDEX('Detalles movimientos'!E$5:E$1003, MATCH(85, 'Detalles movimientos'!$T$5:$T$1003, 0)), "")</f>
        <v/>
      </c>
      <c r="E97" s="19" t="str">
        <f>IFERROR(INDEX('Detalles movimientos'!F$5:F$1003, MATCH(85, 'Detalles movimientos'!$T$5:$T$1003, 0)), "")</f>
        <v/>
      </c>
      <c r="F97" s="18" t="str">
        <f>IFERROR(INDEX('Detalles movimientos'!G$5:G$1003, MATCH(85, 'Detalles movimientos'!$T$5:$T$1003, 0)), "")</f>
        <v/>
      </c>
      <c r="G97" s="20" t="str">
        <f>IFERROR(INDEX('Detalles movimientos'!H$5:H$1003, MATCH(85, 'Detalles movimientos'!$T$5:$T$1003, 0)), "")</f>
        <v/>
      </c>
      <c r="H97" s="21" t="str">
        <f>IFERROR(INDEX('Detalles movimientos'!I$5:I$1003, MATCH(85, 'Detalles movimientos'!$T$5:$T$1003, 0)), "")</f>
        <v/>
      </c>
      <c r="I97" s="20" t="str">
        <f>IFERROR(INDEX('Detalles movimientos'!M$5:M$1003, MATCH(85, 'Detalles movimientos'!$T$5:$T$1003, 0)), "")</f>
        <v/>
      </c>
      <c r="J97" s="19" t="str">
        <f>IFERROR(INDEX('Detalles movimientos'!N$5:N$1003, MATCH(85, 'Detalles movimientos'!$T$5:$T$1003, 0)), "")</f>
        <v/>
      </c>
      <c r="K97" s="20" t="str">
        <f>IFERROR(INDEX('Detalles movimientos'!O$5:O$1003, MATCH(85, 'Detalles movimientos'!$T$5:$T$1003, 0)), "")</f>
        <v/>
      </c>
      <c r="L97" s="18" t="str">
        <f>IFERROR(INDEX('Detalles movimientos'!P$5:P$1003, MATCH(85, 'Detalles movimientos'!$T$5:$T$1003, 0)), "")</f>
        <v/>
      </c>
      <c r="M97" s="18" t="str">
        <f>IFERROR(INDEX('Detalles movimientos'!S$5:S$1003, MATCH(85, 'Detalles movimientos'!$T$5:$T$1003, 0)), "")</f>
        <v/>
      </c>
    </row>
    <row r="98" spans="2:13">
      <c r="B98" s="17" t="str">
        <f>IFERROR(INDEX('Detalles movimientos'!C$5:C$1003, MATCH(86, 'Detalles movimientos'!$T$5:$T$1003, 0)), "")</f>
        <v/>
      </c>
      <c r="C98" s="18" t="str">
        <f>IFERROR(INDEX('Detalles movimientos'!D$5:D$1003, MATCH(86, 'Detalles movimientos'!$T$5:$T$1003, 0)), "")</f>
        <v/>
      </c>
      <c r="D98" s="19" t="str">
        <f>IFERROR(INDEX('Detalles movimientos'!E$5:E$1003, MATCH(86, 'Detalles movimientos'!$T$5:$T$1003, 0)), "")</f>
        <v/>
      </c>
      <c r="E98" s="19" t="str">
        <f>IFERROR(INDEX('Detalles movimientos'!F$5:F$1003, MATCH(86, 'Detalles movimientos'!$T$5:$T$1003, 0)), "")</f>
        <v/>
      </c>
      <c r="F98" s="18" t="str">
        <f>IFERROR(INDEX('Detalles movimientos'!G$5:G$1003, MATCH(86, 'Detalles movimientos'!$T$5:$T$1003, 0)), "")</f>
        <v/>
      </c>
      <c r="G98" s="20" t="str">
        <f>IFERROR(INDEX('Detalles movimientos'!H$5:H$1003, MATCH(86, 'Detalles movimientos'!$T$5:$T$1003, 0)), "")</f>
        <v/>
      </c>
      <c r="H98" s="21" t="str">
        <f>IFERROR(INDEX('Detalles movimientos'!I$5:I$1003, MATCH(86, 'Detalles movimientos'!$T$5:$T$1003, 0)), "")</f>
        <v/>
      </c>
      <c r="I98" s="20" t="str">
        <f>IFERROR(INDEX('Detalles movimientos'!M$5:M$1003, MATCH(86, 'Detalles movimientos'!$T$5:$T$1003, 0)), "")</f>
        <v/>
      </c>
      <c r="J98" s="19" t="str">
        <f>IFERROR(INDEX('Detalles movimientos'!N$5:N$1003, MATCH(86, 'Detalles movimientos'!$T$5:$T$1003, 0)), "")</f>
        <v/>
      </c>
      <c r="K98" s="20" t="str">
        <f>IFERROR(INDEX('Detalles movimientos'!O$5:O$1003, MATCH(86, 'Detalles movimientos'!$T$5:$T$1003, 0)), "")</f>
        <v/>
      </c>
      <c r="L98" s="18" t="str">
        <f>IFERROR(INDEX('Detalles movimientos'!P$5:P$1003, MATCH(86, 'Detalles movimientos'!$T$5:$T$1003, 0)), "")</f>
        <v/>
      </c>
      <c r="M98" s="18" t="str">
        <f>IFERROR(INDEX('Detalles movimientos'!S$5:S$1003, MATCH(86, 'Detalles movimientos'!$T$5:$T$1003, 0)), "")</f>
        <v/>
      </c>
    </row>
    <row r="99" spans="2:13">
      <c r="B99" s="17" t="str">
        <f>IFERROR(INDEX('Detalles movimientos'!C$5:C$1003, MATCH(87, 'Detalles movimientos'!$T$5:$T$1003, 0)), "")</f>
        <v/>
      </c>
      <c r="C99" s="18" t="str">
        <f>IFERROR(INDEX('Detalles movimientos'!D$5:D$1003, MATCH(87, 'Detalles movimientos'!$T$5:$T$1003, 0)), "")</f>
        <v/>
      </c>
      <c r="D99" s="19" t="str">
        <f>IFERROR(INDEX('Detalles movimientos'!E$5:E$1003, MATCH(87, 'Detalles movimientos'!$T$5:$T$1003, 0)), "")</f>
        <v/>
      </c>
      <c r="E99" s="19" t="str">
        <f>IFERROR(INDEX('Detalles movimientos'!F$5:F$1003, MATCH(87, 'Detalles movimientos'!$T$5:$T$1003, 0)), "")</f>
        <v/>
      </c>
      <c r="F99" s="18" t="str">
        <f>IFERROR(INDEX('Detalles movimientos'!G$5:G$1003, MATCH(87, 'Detalles movimientos'!$T$5:$T$1003, 0)), "")</f>
        <v/>
      </c>
      <c r="G99" s="20" t="str">
        <f>IFERROR(INDEX('Detalles movimientos'!H$5:H$1003, MATCH(87, 'Detalles movimientos'!$T$5:$T$1003, 0)), "")</f>
        <v/>
      </c>
      <c r="H99" s="21" t="str">
        <f>IFERROR(INDEX('Detalles movimientos'!I$5:I$1003, MATCH(87, 'Detalles movimientos'!$T$5:$T$1003, 0)), "")</f>
        <v/>
      </c>
      <c r="I99" s="20" t="str">
        <f>IFERROR(INDEX('Detalles movimientos'!M$5:M$1003, MATCH(87, 'Detalles movimientos'!$T$5:$T$1003, 0)), "")</f>
        <v/>
      </c>
      <c r="J99" s="19" t="str">
        <f>IFERROR(INDEX('Detalles movimientos'!N$5:N$1003, MATCH(87, 'Detalles movimientos'!$T$5:$T$1003, 0)), "")</f>
        <v/>
      </c>
      <c r="K99" s="20" t="str">
        <f>IFERROR(INDEX('Detalles movimientos'!O$5:O$1003, MATCH(87, 'Detalles movimientos'!$T$5:$T$1003, 0)), "")</f>
        <v/>
      </c>
      <c r="L99" s="18" t="str">
        <f>IFERROR(INDEX('Detalles movimientos'!P$5:P$1003, MATCH(87, 'Detalles movimientos'!$T$5:$T$1003, 0)), "")</f>
        <v/>
      </c>
      <c r="M99" s="18" t="str">
        <f>IFERROR(INDEX('Detalles movimientos'!S$5:S$1003, MATCH(87, 'Detalles movimientos'!$T$5:$T$1003, 0)), "")</f>
        <v/>
      </c>
    </row>
    <row r="100" spans="2:13">
      <c r="B100" s="17" t="str">
        <f>IFERROR(INDEX('Detalles movimientos'!C$5:C$1003, MATCH(88, 'Detalles movimientos'!$T$5:$T$1003, 0)), "")</f>
        <v/>
      </c>
      <c r="C100" s="18" t="str">
        <f>IFERROR(INDEX('Detalles movimientos'!D$5:D$1003, MATCH(88, 'Detalles movimientos'!$T$5:$T$1003, 0)), "")</f>
        <v/>
      </c>
      <c r="D100" s="19" t="str">
        <f>IFERROR(INDEX('Detalles movimientos'!E$5:E$1003, MATCH(88, 'Detalles movimientos'!$T$5:$T$1003, 0)), "")</f>
        <v/>
      </c>
      <c r="E100" s="19" t="str">
        <f>IFERROR(INDEX('Detalles movimientos'!F$5:F$1003, MATCH(88, 'Detalles movimientos'!$T$5:$T$1003, 0)), "")</f>
        <v/>
      </c>
      <c r="F100" s="18" t="str">
        <f>IFERROR(INDEX('Detalles movimientos'!G$5:G$1003, MATCH(88, 'Detalles movimientos'!$T$5:$T$1003, 0)), "")</f>
        <v/>
      </c>
      <c r="G100" s="20" t="str">
        <f>IFERROR(INDEX('Detalles movimientos'!H$5:H$1003, MATCH(88, 'Detalles movimientos'!$T$5:$T$1003, 0)), "")</f>
        <v/>
      </c>
      <c r="H100" s="21" t="str">
        <f>IFERROR(INDEX('Detalles movimientos'!I$5:I$1003, MATCH(88, 'Detalles movimientos'!$T$5:$T$1003, 0)), "")</f>
        <v/>
      </c>
      <c r="I100" s="20" t="str">
        <f>IFERROR(INDEX('Detalles movimientos'!M$5:M$1003, MATCH(88, 'Detalles movimientos'!$T$5:$T$1003, 0)), "")</f>
        <v/>
      </c>
      <c r="J100" s="19" t="str">
        <f>IFERROR(INDEX('Detalles movimientos'!N$5:N$1003, MATCH(88, 'Detalles movimientos'!$T$5:$T$1003, 0)), "")</f>
        <v/>
      </c>
      <c r="K100" s="20" t="str">
        <f>IFERROR(INDEX('Detalles movimientos'!O$5:O$1003, MATCH(88, 'Detalles movimientos'!$T$5:$T$1003, 0)), "")</f>
        <v/>
      </c>
      <c r="L100" s="18" t="str">
        <f>IFERROR(INDEX('Detalles movimientos'!P$5:P$1003, MATCH(88, 'Detalles movimientos'!$T$5:$T$1003, 0)), "")</f>
        <v/>
      </c>
      <c r="M100" s="18" t="str">
        <f>IFERROR(INDEX('Detalles movimientos'!S$5:S$1003, MATCH(88, 'Detalles movimientos'!$T$5:$T$1003, 0)), "")</f>
        <v/>
      </c>
    </row>
    <row r="101" spans="2:13">
      <c r="B101" s="17" t="str">
        <f>IFERROR(INDEX('Detalles movimientos'!C$5:C$1003, MATCH(89, 'Detalles movimientos'!$T$5:$T$1003, 0)), "")</f>
        <v/>
      </c>
      <c r="C101" s="18" t="str">
        <f>IFERROR(INDEX('Detalles movimientos'!D$5:D$1003, MATCH(89, 'Detalles movimientos'!$T$5:$T$1003, 0)), "")</f>
        <v/>
      </c>
      <c r="D101" s="19" t="str">
        <f>IFERROR(INDEX('Detalles movimientos'!E$5:E$1003, MATCH(89, 'Detalles movimientos'!$T$5:$T$1003, 0)), "")</f>
        <v/>
      </c>
      <c r="E101" s="19" t="str">
        <f>IFERROR(INDEX('Detalles movimientos'!F$5:F$1003, MATCH(89, 'Detalles movimientos'!$T$5:$T$1003, 0)), "")</f>
        <v/>
      </c>
      <c r="F101" s="18" t="str">
        <f>IFERROR(INDEX('Detalles movimientos'!G$5:G$1003, MATCH(89, 'Detalles movimientos'!$T$5:$T$1003, 0)), "")</f>
        <v/>
      </c>
      <c r="G101" s="20" t="str">
        <f>IFERROR(INDEX('Detalles movimientos'!H$5:H$1003, MATCH(89, 'Detalles movimientos'!$T$5:$T$1003, 0)), "")</f>
        <v/>
      </c>
      <c r="H101" s="21" t="str">
        <f>IFERROR(INDEX('Detalles movimientos'!I$5:I$1003, MATCH(89, 'Detalles movimientos'!$T$5:$T$1003, 0)), "")</f>
        <v/>
      </c>
      <c r="I101" s="20" t="str">
        <f>IFERROR(INDEX('Detalles movimientos'!M$5:M$1003, MATCH(89, 'Detalles movimientos'!$T$5:$T$1003, 0)), "")</f>
        <v/>
      </c>
      <c r="J101" s="19" t="str">
        <f>IFERROR(INDEX('Detalles movimientos'!N$5:N$1003, MATCH(89, 'Detalles movimientos'!$T$5:$T$1003, 0)), "")</f>
        <v/>
      </c>
      <c r="K101" s="20" t="str">
        <f>IFERROR(INDEX('Detalles movimientos'!O$5:O$1003, MATCH(89, 'Detalles movimientos'!$T$5:$T$1003, 0)), "")</f>
        <v/>
      </c>
      <c r="L101" s="18" t="str">
        <f>IFERROR(INDEX('Detalles movimientos'!P$5:P$1003, MATCH(89, 'Detalles movimientos'!$T$5:$T$1003, 0)), "")</f>
        <v/>
      </c>
      <c r="M101" s="18" t="str">
        <f>IFERROR(INDEX('Detalles movimientos'!S$5:S$1003, MATCH(89, 'Detalles movimientos'!$T$5:$T$1003, 0)), "")</f>
        <v/>
      </c>
    </row>
    <row r="102" spans="2:13">
      <c r="B102" s="17" t="str">
        <f>IFERROR(INDEX('Detalles movimientos'!C$5:C$1003, MATCH(90, 'Detalles movimientos'!$T$5:$T$1003, 0)), "")</f>
        <v/>
      </c>
      <c r="C102" s="18" t="str">
        <f>IFERROR(INDEX('Detalles movimientos'!D$5:D$1003, MATCH(90, 'Detalles movimientos'!$T$5:$T$1003, 0)), "")</f>
        <v/>
      </c>
      <c r="D102" s="19" t="str">
        <f>IFERROR(INDEX('Detalles movimientos'!E$5:E$1003, MATCH(90, 'Detalles movimientos'!$T$5:$T$1003, 0)), "")</f>
        <v/>
      </c>
      <c r="E102" s="19" t="str">
        <f>IFERROR(INDEX('Detalles movimientos'!F$5:F$1003, MATCH(90, 'Detalles movimientos'!$T$5:$T$1003, 0)), "")</f>
        <v/>
      </c>
      <c r="F102" s="18" t="str">
        <f>IFERROR(INDEX('Detalles movimientos'!G$5:G$1003, MATCH(90, 'Detalles movimientos'!$T$5:$T$1003, 0)), "")</f>
        <v/>
      </c>
      <c r="G102" s="20" t="str">
        <f>IFERROR(INDEX('Detalles movimientos'!H$5:H$1003, MATCH(90, 'Detalles movimientos'!$T$5:$T$1003, 0)), "")</f>
        <v/>
      </c>
      <c r="H102" s="21" t="str">
        <f>IFERROR(INDEX('Detalles movimientos'!I$5:I$1003, MATCH(90, 'Detalles movimientos'!$T$5:$T$1003, 0)), "")</f>
        <v/>
      </c>
      <c r="I102" s="20" t="str">
        <f>IFERROR(INDEX('Detalles movimientos'!M$5:M$1003, MATCH(90, 'Detalles movimientos'!$T$5:$T$1003, 0)), "")</f>
        <v/>
      </c>
      <c r="J102" s="19" t="str">
        <f>IFERROR(INDEX('Detalles movimientos'!N$5:N$1003, MATCH(90, 'Detalles movimientos'!$T$5:$T$1003, 0)), "")</f>
        <v/>
      </c>
      <c r="K102" s="20" t="str">
        <f>IFERROR(INDEX('Detalles movimientos'!O$5:O$1003, MATCH(90, 'Detalles movimientos'!$T$5:$T$1003, 0)), "")</f>
        <v/>
      </c>
      <c r="L102" s="18" t="str">
        <f>IFERROR(INDEX('Detalles movimientos'!P$5:P$1003, MATCH(90, 'Detalles movimientos'!$T$5:$T$1003, 0)), "")</f>
        <v/>
      </c>
      <c r="M102" s="18" t="str">
        <f>IFERROR(INDEX('Detalles movimientos'!S$5:S$1003, MATCH(90, 'Detalles movimientos'!$T$5:$T$1003, 0)), "")</f>
        <v/>
      </c>
    </row>
    <row r="103" spans="2:13">
      <c r="B103" s="17" t="str">
        <f>IFERROR(INDEX('Detalles movimientos'!C$5:C$1003, MATCH(91, 'Detalles movimientos'!$T$5:$T$1003, 0)), "")</f>
        <v/>
      </c>
      <c r="C103" s="18" t="str">
        <f>IFERROR(INDEX('Detalles movimientos'!D$5:D$1003, MATCH(91, 'Detalles movimientos'!$T$5:$T$1003, 0)), "")</f>
        <v/>
      </c>
      <c r="D103" s="19" t="str">
        <f>IFERROR(INDEX('Detalles movimientos'!E$5:E$1003, MATCH(91, 'Detalles movimientos'!$T$5:$T$1003, 0)), "")</f>
        <v/>
      </c>
      <c r="E103" s="19" t="str">
        <f>IFERROR(INDEX('Detalles movimientos'!F$5:F$1003, MATCH(91, 'Detalles movimientos'!$T$5:$T$1003, 0)), "")</f>
        <v/>
      </c>
      <c r="F103" s="18" t="str">
        <f>IFERROR(INDEX('Detalles movimientos'!G$5:G$1003, MATCH(91, 'Detalles movimientos'!$T$5:$T$1003, 0)), "")</f>
        <v/>
      </c>
      <c r="G103" s="20" t="str">
        <f>IFERROR(INDEX('Detalles movimientos'!H$5:H$1003, MATCH(91, 'Detalles movimientos'!$T$5:$T$1003, 0)), "")</f>
        <v/>
      </c>
      <c r="H103" s="21" t="str">
        <f>IFERROR(INDEX('Detalles movimientos'!I$5:I$1003, MATCH(91, 'Detalles movimientos'!$T$5:$T$1003, 0)), "")</f>
        <v/>
      </c>
      <c r="I103" s="20" t="str">
        <f>IFERROR(INDEX('Detalles movimientos'!M$5:M$1003, MATCH(91, 'Detalles movimientos'!$T$5:$T$1003, 0)), "")</f>
        <v/>
      </c>
      <c r="J103" s="19" t="str">
        <f>IFERROR(INDEX('Detalles movimientos'!N$5:N$1003, MATCH(91, 'Detalles movimientos'!$T$5:$T$1003, 0)), "")</f>
        <v/>
      </c>
      <c r="K103" s="20" t="str">
        <f>IFERROR(INDEX('Detalles movimientos'!O$5:O$1003, MATCH(91, 'Detalles movimientos'!$T$5:$T$1003, 0)), "")</f>
        <v/>
      </c>
      <c r="L103" s="18" t="str">
        <f>IFERROR(INDEX('Detalles movimientos'!P$5:P$1003, MATCH(91, 'Detalles movimientos'!$T$5:$T$1003, 0)), "")</f>
        <v/>
      </c>
      <c r="M103" s="18" t="str">
        <f>IFERROR(INDEX('Detalles movimientos'!S$5:S$1003, MATCH(91, 'Detalles movimientos'!$T$5:$T$1003, 0)), "")</f>
        <v/>
      </c>
    </row>
    <row r="104" spans="2:13">
      <c r="B104" s="17" t="str">
        <f>IFERROR(INDEX('Detalles movimientos'!C$5:C$1003, MATCH(92, 'Detalles movimientos'!$T$5:$T$1003, 0)), "")</f>
        <v/>
      </c>
      <c r="C104" s="18" t="str">
        <f>IFERROR(INDEX('Detalles movimientos'!D$5:D$1003, MATCH(92, 'Detalles movimientos'!$T$5:$T$1003, 0)), "")</f>
        <v/>
      </c>
      <c r="D104" s="19" t="str">
        <f>IFERROR(INDEX('Detalles movimientos'!E$5:E$1003, MATCH(92, 'Detalles movimientos'!$T$5:$T$1003, 0)), "")</f>
        <v/>
      </c>
      <c r="E104" s="19" t="str">
        <f>IFERROR(INDEX('Detalles movimientos'!F$5:F$1003, MATCH(92, 'Detalles movimientos'!$T$5:$T$1003, 0)), "")</f>
        <v/>
      </c>
      <c r="F104" s="18" t="str">
        <f>IFERROR(INDEX('Detalles movimientos'!G$5:G$1003, MATCH(92, 'Detalles movimientos'!$T$5:$T$1003, 0)), "")</f>
        <v/>
      </c>
      <c r="G104" s="20" t="str">
        <f>IFERROR(INDEX('Detalles movimientos'!H$5:H$1003, MATCH(92, 'Detalles movimientos'!$T$5:$T$1003, 0)), "")</f>
        <v/>
      </c>
      <c r="H104" s="21" t="str">
        <f>IFERROR(INDEX('Detalles movimientos'!I$5:I$1003, MATCH(92, 'Detalles movimientos'!$T$5:$T$1003, 0)), "")</f>
        <v/>
      </c>
      <c r="I104" s="20" t="str">
        <f>IFERROR(INDEX('Detalles movimientos'!M$5:M$1003, MATCH(92, 'Detalles movimientos'!$T$5:$T$1003, 0)), "")</f>
        <v/>
      </c>
      <c r="J104" s="19" t="str">
        <f>IFERROR(INDEX('Detalles movimientos'!N$5:N$1003, MATCH(92, 'Detalles movimientos'!$T$5:$T$1003, 0)), "")</f>
        <v/>
      </c>
      <c r="K104" s="20" t="str">
        <f>IFERROR(INDEX('Detalles movimientos'!O$5:O$1003, MATCH(92, 'Detalles movimientos'!$T$5:$T$1003, 0)), "")</f>
        <v/>
      </c>
      <c r="L104" s="18" t="str">
        <f>IFERROR(INDEX('Detalles movimientos'!P$5:P$1003, MATCH(92, 'Detalles movimientos'!$T$5:$T$1003, 0)), "")</f>
        <v/>
      </c>
      <c r="M104" s="18" t="str">
        <f>IFERROR(INDEX('Detalles movimientos'!S$5:S$1003, MATCH(92, 'Detalles movimientos'!$T$5:$T$1003, 0)), "")</f>
        <v/>
      </c>
    </row>
    <row r="105" spans="2:13">
      <c r="B105" s="17" t="str">
        <f>IFERROR(INDEX('Detalles movimientos'!C$5:C$1003, MATCH(93, 'Detalles movimientos'!$T$5:$T$1003, 0)), "")</f>
        <v/>
      </c>
      <c r="C105" s="18" t="str">
        <f>IFERROR(INDEX('Detalles movimientos'!D$5:D$1003, MATCH(93, 'Detalles movimientos'!$T$5:$T$1003, 0)), "")</f>
        <v/>
      </c>
      <c r="D105" s="19" t="str">
        <f>IFERROR(INDEX('Detalles movimientos'!E$5:E$1003, MATCH(93, 'Detalles movimientos'!$T$5:$T$1003, 0)), "")</f>
        <v/>
      </c>
      <c r="E105" s="19" t="str">
        <f>IFERROR(INDEX('Detalles movimientos'!F$5:F$1003, MATCH(93, 'Detalles movimientos'!$T$5:$T$1003, 0)), "")</f>
        <v/>
      </c>
      <c r="F105" s="18" t="str">
        <f>IFERROR(INDEX('Detalles movimientos'!G$5:G$1003, MATCH(93, 'Detalles movimientos'!$T$5:$T$1003, 0)), "")</f>
        <v/>
      </c>
      <c r="G105" s="20" t="str">
        <f>IFERROR(INDEX('Detalles movimientos'!H$5:H$1003, MATCH(93, 'Detalles movimientos'!$T$5:$T$1003, 0)), "")</f>
        <v/>
      </c>
      <c r="H105" s="21" t="str">
        <f>IFERROR(INDEX('Detalles movimientos'!I$5:I$1003, MATCH(93, 'Detalles movimientos'!$T$5:$T$1003, 0)), "")</f>
        <v/>
      </c>
      <c r="I105" s="20" t="str">
        <f>IFERROR(INDEX('Detalles movimientos'!M$5:M$1003, MATCH(93, 'Detalles movimientos'!$T$5:$T$1003, 0)), "")</f>
        <v/>
      </c>
      <c r="J105" s="19" t="str">
        <f>IFERROR(INDEX('Detalles movimientos'!N$5:N$1003, MATCH(93, 'Detalles movimientos'!$T$5:$T$1003, 0)), "")</f>
        <v/>
      </c>
      <c r="K105" s="20" t="str">
        <f>IFERROR(INDEX('Detalles movimientos'!O$5:O$1003, MATCH(93, 'Detalles movimientos'!$T$5:$T$1003, 0)), "")</f>
        <v/>
      </c>
      <c r="L105" s="18" t="str">
        <f>IFERROR(INDEX('Detalles movimientos'!P$5:P$1003, MATCH(93, 'Detalles movimientos'!$T$5:$T$1003, 0)), "")</f>
        <v/>
      </c>
      <c r="M105" s="18" t="str">
        <f>IFERROR(INDEX('Detalles movimientos'!S$5:S$1003, MATCH(93, 'Detalles movimientos'!$T$5:$T$1003, 0)), "")</f>
        <v/>
      </c>
    </row>
    <row r="106" spans="2:13">
      <c r="B106" s="17" t="str">
        <f>IFERROR(INDEX('Detalles movimientos'!C$5:C$1003, MATCH(94, 'Detalles movimientos'!$T$5:$T$1003, 0)), "")</f>
        <v/>
      </c>
      <c r="C106" s="18" t="str">
        <f>IFERROR(INDEX('Detalles movimientos'!D$5:D$1003, MATCH(94, 'Detalles movimientos'!$T$5:$T$1003, 0)), "")</f>
        <v/>
      </c>
      <c r="D106" s="19" t="str">
        <f>IFERROR(INDEX('Detalles movimientos'!E$5:E$1003, MATCH(94, 'Detalles movimientos'!$T$5:$T$1003, 0)), "")</f>
        <v/>
      </c>
      <c r="E106" s="19" t="str">
        <f>IFERROR(INDEX('Detalles movimientos'!F$5:F$1003, MATCH(94, 'Detalles movimientos'!$T$5:$T$1003, 0)), "")</f>
        <v/>
      </c>
      <c r="F106" s="18" t="str">
        <f>IFERROR(INDEX('Detalles movimientos'!G$5:G$1003, MATCH(94, 'Detalles movimientos'!$T$5:$T$1003, 0)), "")</f>
        <v/>
      </c>
      <c r="G106" s="20" t="str">
        <f>IFERROR(INDEX('Detalles movimientos'!H$5:H$1003, MATCH(94, 'Detalles movimientos'!$T$5:$T$1003, 0)), "")</f>
        <v/>
      </c>
      <c r="H106" s="21" t="str">
        <f>IFERROR(INDEX('Detalles movimientos'!I$5:I$1003, MATCH(94, 'Detalles movimientos'!$T$5:$T$1003, 0)), "")</f>
        <v/>
      </c>
      <c r="I106" s="20" t="str">
        <f>IFERROR(INDEX('Detalles movimientos'!M$5:M$1003, MATCH(94, 'Detalles movimientos'!$T$5:$T$1003, 0)), "")</f>
        <v/>
      </c>
      <c r="J106" s="19" t="str">
        <f>IFERROR(INDEX('Detalles movimientos'!N$5:N$1003, MATCH(94, 'Detalles movimientos'!$T$5:$T$1003, 0)), "")</f>
        <v/>
      </c>
      <c r="K106" s="20" t="str">
        <f>IFERROR(INDEX('Detalles movimientos'!O$5:O$1003, MATCH(94, 'Detalles movimientos'!$T$5:$T$1003, 0)), "")</f>
        <v/>
      </c>
      <c r="L106" s="18" t="str">
        <f>IFERROR(INDEX('Detalles movimientos'!P$5:P$1003, MATCH(94, 'Detalles movimientos'!$T$5:$T$1003, 0)), "")</f>
        <v/>
      </c>
      <c r="M106" s="18" t="str">
        <f>IFERROR(INDEX('Detalles movimientos'!S$5:S$1003, MATCH(94, 'Detalles movimientos'!$T$5:$T$1003, 0)), "")</f>
        <v/>
      </c>
    </row>
    <row r="107" spans="2:13">
      <c r="B107" s="17" t="str">
        <f>IFERROR(INDEX('Detalles movimientos'!C$5:C$1003, MATCH(95, 'Detalles movimientos'!$T$5:$T$1003, 0)), "")</f>
        <v/>
      </c>
      <c r="C107" s="18" t="str">
        <f>IFERROR(INDEX('Detalles movimientos'!D$5:D$1003, MATCH(95, 'Detalles movimientos'!$T$5:$T$1003, 0)), "")</f>
        <v/>
      </c>
      <c r="D107" s="19" t="str">
        <f>IFERROR(INDEX('Detalles movimientos'!E$5:E$1003, MATCH(95, 'Detalles movimientos'!$T$5:$T$1003, 0)), "")</f>
        <v/>
      </c>
      <c r="E107" s="19" t="str">
        <f>IFERROR(INDEX('Detalles movimientos'!F$5:F$1003, MATCH(95, 'Detalles movimientos'!$T$5:$T$1003, 0)), "")</f>
        <v/>
      </c>
      <c r="F107" s="18" t="str">
        <f>IFERROR(INDEX('Detalles movimientos'!G$5:G$1003, MATCH(95, 'Detalles movimientos'!$T$5:$T$1003, 0)), "")</f>
        <v/>
      </c>
      <c r="G107" s="20" t="str">
        <f>IFERROR(INDEX('Detalles movimientos'!H$5:H$1003, MATCH(95, 'Detalles movimientos'!$T$5:$T$1003, 0)), "")</f>
        <v/>
      </c>
      <c r="H107" s="21" t="str">
        <f>IFERROR(INDEX('Detalles movimientos'!I$5:I$1003, MATCH(95, 'Detalles movimientos'!$T$5:$T$1003, 0)), "")</f>
        <v/>
      </c>
      <c r="I107" s="20" t="str">
        <f>IFERROR(INDEX('Detalles movimientos'!M$5:M$1003, MATCH(95, 'Detalles movimientos'!$T$5:$T$1003, 0)), "")</f>
        <v/>
      </c>
      <c r="J107" s="19" t="str">
        <f>IFERROR(INDEX('Detalles movimientos'!N$5:N$1003, MATCH(95, 'Detalles movimientos'!$T$5:$T$1003, 0)), "")</f>
        <v/>
      </c>
      <c r="K107" s="20" t="str">
        <f>IFERROR(INDEX('Detalles movimientos'!O$5:O$1003, MATCH(95, 'Detalles movimientos'!$T$5:$T$1003, 0)), "")</f>
        <v/>
      </c>
      <c r="L107" s="18" t="str">
        <f>IFERROR(INDEX('Detalles movimientos'!P$5:P$1003, MATCH(95, 'Detalles movimientos'!$T$5:$T$1003, 0)), "")</f>
        <v/>
      </c>
      <c r="M107" s="18" t="str">
        <f>IFERROR(INDEX('Detalles movimientos'!S$5:S$1003, MATCH(95, 'Detalles movimientos'!$T$5:$T$1003, 0)), "")</f>
        <v/>
      </c>
    </row>
    <row r="108" spans="2:13">
      <c r="B108" s="17" t="str">
        <f>IFERROR(INDEX('Detalles movimientos'!C$5:C$1003, MATCH(96, 'Detalles movimientos'!$T$5:$T$1003, 0)), "")</f>
        <v/>
      </c>
      <c r="C108" s="18" t="str">
        <f>IFERROR(INDEX('Detalles movimientos'!D$5:D$1003, MATCH(96, 'Detalles movimientos'!$T$5:$T$1003, 0)), "")</f>
        <v/>
      </c>
      <c r="D108" s="19" t="str">
        <f>IFERROR(INDEX('Detalles movimientos'!E$5:E$1003, MATCH(96, 'Detalles movimientos'!$T$5:$T$1003, 0)), "")</f>
        <v/>
      </c>
      <c r="E108" s="19" t="str">
        <f>IFERROR(INDEX('Detalles movimientos'!F$5:F$1003, MATCH(96, 'Detalles movimientos'!$T$5:$T$1003, 0)), "")</f>
        <v/>
      </c>
      <c r="F108" s="18" t="str">
        <f>IFERROR(INDEX('Detalles movimientos'!G$5:G$1003, MATCH(96, 'Detalles movimientos'!$T$5:$T$1003, 0)), "")</f>
        <v/>
      </c>
      <c r="G108" s="20" t="str">
        <f>IFERROR(INDEX('Detalles movimientos'!H$5:H$1003, MATCH(96, 'Detalles movimientos'!$T$5:$T$1003, 0)), "")</f>
        <v/>
      </c>
      <c r="H108" s="21" t="str">
        <f>IFERROR(INDEX('Detalles movimientos'!I$5:I$1003, MATCH(96, 'Detalles movimientos'!$T$5:$T$1003, 0)), "")</f>
        <v/>
      </c>
      <c r="I108" s="20" t="str">
        <f>IFERROR(INDEX('Detalles movimientos'!M$5:M$1003, MATCH(96, 'Detalles movimientos'!$T$5:$T$1003, 0)), "")</f>
        <v/>
      </c>
      <c r="J108" s="19" t="str">
        <f>IFERROR(INDEX('Detalles movimientos'!N$5:N$1003, MATCH(96, 'Detalles movimientos'!$T$5:$T$1003, 0)), "")</f>
        <v/>
      </c>
      <c r="K108" s="20" t="str">
        <f>IFERROR(INDEX('Detalles movimientos'!O$5:O$1003, MATCH(96, 'Detalles movimientos'!$T$5:$T$1003, 0)), "")</f>
        <v/>
      </c>
      <c r="L108" s="18" t="str">
        <f>IFERROR(INDEX('Detalles movimientos'!P$5:P$1003, MATCH(96, 'Detalles movimientos'!$T$5:$T$1003, 0)), "")</f>
        <v/>
      </c>
      <c r="M108" s="18" t="str">
        <f>IFERROR(INDEX('Detalles movimientos'!S$5:S$1003, MATCH(96, 'Detalles movimientos'!$T$5:$T$1003, 0)), "")</f>
        <v/>
      </c>
    </row>
    <row r="109" spans="2:13">
      <c r="B109" s="17" t="str">
        <f>IFERROR(INDEX('Detalles movimientos'!C$5:C$1003, MATCH(97, 'Detalles movimientos'!$T$5:$T$1003, 0)), "")</f>
        <v/>
      </c>
      <c r="C109" s="18" t="str">
        <f>IFERROR(INDEX('Detalles movimientos'!D$5:D$1003, MATCH(97, 'Detalles movimientos'!$T$5:$T$1003, 0)), "")</f>
        <v/>
      </c>
      <c r="D109" s="19" t="str">
        <f>IFERROR(INDEX('Detalles movimientos'!E$5:E$1003, MATCH(97, 'Detalles movimientos'!$T$5:$T$1003, 0)), "")</f>
        <v/>
      </c>
      <c r="E109" s="19" t="str">
        <f>IFERROR(INDEX('Detalles movimientos'!F$5:F$1003, MATCH(97, 'Detalles movimientos'!$T$5:$T$1003, 0)), "")</f>
        <v/>
      </c>
      <c r="F109" s="18" t="str">
        <f>IFERROR(INDEX('Detalles movimientos'!G$5:G$1003, MATCH(97, 'Detalles movimientos'!$T$5:$T$1003, 0)), "")</f>
        <v/>
      </c>
      <c r="G109" s="20" t="str">
        <f>IFERROR(INDEX('Detalles movimientos'!H$5:H$1003, MATCH(97, 'Detalles movimientos'!$T$5:$T$1003, 0)), "")</f>
        <v/>
      </c>
      <c r="H109" s="21" t="str">
        <f>IFERROR(INDEX('Detalles movimientos'!I$5:I$1003, MATCH(97, 'Detalles movimientos'!$T$5:$T$1003, 0)), "")</f>
        <v/>
      </c>
      <c r="I109" s="20" t="str">
        <f>IFERROR(INDEX('Detalles movimientos'!M$5:M$1003, MATCH(97, 'Detalles movimientos'!$T$5:$T$1003, 0)), "")</f>
        <v/>
      </c>
      <c r="J109" s="19" t="str">
        <f>IFERROR(INDEX('Detalles movimientos'!N$5:N$1003, MATCH(97, 'Detalles movimientos'!$T$5:$T$1003, 0)), "")</f>
        <v/>
      </c>
      <c r="K109" s="20" t="str">
        <f>IFERROR(INDEX('Detalles movimientos'!O$5:O$1003, MATCH(97, 'Detalles movimientos'!$T$5:$T$1003, 0)), "")</f>
        <v/>
      </c>
      <c r="L109" s="18" t="str">
        <f>IFERROR(INDEX('Detalles movimientos'!P$5:P$1003, MATCH(97, 'Detalles movimientos'!$T$5:$T$1003, 0)), "")</f>
        <v/>
      </c>
      <c r="M109" s="18" t="str">
        <f>IFERROR(INDEX('Detalles movimientos'!S$5:S$1003, MATCH(97, 'Detalles movimientos'!$T$5:$T$1003, 0)), "")</f>
        <v/>
      </c>
    </row>
    <row r="110" spans="2:13">
      <c r="B110" s="17" t="str">
        <f>IFERROR(INDEX('Detalles movimientos'!C$5:C$1003, MATCH(98, 'Detalles movimientos'!$T$5:$T$1003, 0)), "")</f>
        <v/>
      </c>
      <c r="C110" s="18" t="str">
        <f>IFERROR(INDEX('Detalles movimientos'!D$5:D$1003, MATCH(98, 'Detalles movimientos'!$T$5:$T$1003, 0)), "")</f>
        <v/>
      </c>
      <c r="D110" s="19" t="str">
        <f>IFERROR(INDEX('Detalles movimientos'!E$5:E$1003, MATCH(98, 'Detalles movimientos'!$T$5:$T$1003, 0)), "")</f>
        <v/>
      </c>
      <c r="E110" s="19" t="str">
        <f>IFERROR(INDEX('Detalles movimientos'!F$5:F$1003, MATCH(98, 'Detalles movimientos'!$T$5:$T$1003, 0)), "")</f>
        <v/>
      </c>
      <c r="F110" s="18" t="str">
        <f>IFERROR(INDEX('Detalles movimientos'!G$5:G$1003, MATCH(98, 'Detalles movimientos'!$T$5:$T$1003, 0)), "")</f>
        <v/>
      </c>
      <c r="G110" s="20" t="str">
        <f>IFERROR(INDEX('Detalles movimientos'!H$5:H$1003, MATCH(98, 'Detalles movimientos'!$T$5:$T$1003, 0)), "")</f>
        <v/>
      </c>
      <c r="H110" s="21" t="str">
        <f>IFERROR(INDEX('Detalles movimientos'!I$5:I$1003, MATCH(98, 'Detalles movimientos'!$T$5:$T$1003, 0)), "")</f>
        <v/>
      </c>
      <c r="I110" s="20" t="str">
        <f>IFERROR(INDEX('Detalles movimientos'!M$5:M$1003, MATCH(98, 'Detalles movimientos'!$T$5:$T$1003, 0)), "")</f>
        <v/>
      </c>
      <c r="J110" s="19" t="str">
        <f>IFERROR(INDEX('Detalles movimientos'!N$5:N$1003, MATCH(98, 'Detalles movimientos'!$T$5:$T$1003, 0)), "")</f>
        <v/>
      </c>
      <c r="K110" s="20" t="str">
        <f>IFERROR(INDEX('Detalles movimientos'!O$5:O$1003, MATCH(98, 'Detalles movimientos'!$T$5:$T$1003, 0)), "")</f>
        <v/>
      </c>
      <c r="L110" s="18" t="str">
        <f>IFERROR(INDEX('Detalles movimientos'!P$5:P$1003, MATCH(98, 'Detalles movimientos'!$T$5:$T$1003, 0)), "")</f>
        <v/>
      </c>
      <c r="M110" s="18" t="str">
        <f>IFERROR(INDEX('Detalles movimientos'!S$5:S$1003, MATCH(98, 'Detalles movimientos'!$T$5:$T$1003, 0)), "")</f>
        <v/>
      </c>
    </row>
    <row r="111" spans="2:13">
      <c r="B111" s="17" t="str">
        <f>IFERROR(INDEX('Detalles movimientos'!C$5:C$1003, MATCH(99, 'Detalles movimientos'!$T$5:$T$1003, 0)), "")</f>
        <v/>
      </c>
      <c r="C111" s="18" t="str">
        <f>IFERROR(INDEX('Detalles movimientos'!D$5:D$1003, MATCH(99, 'Detalles movimientos'!$T$5:$T$1003, 0)), "")</f>
        <v/>
      </c>
      <c r="D111" s="19" t="str">
        <f>IFERROR(INDEX('Detalles movimientos'!E$5:E$1003, MATCH(99, 'Detalles movimientos'!$T$5:$T$1003, 0)), "")</f>
        <v/>
      </c>
      <c r="E111" s="19" t="str">
        <f>IFERROR(INDEX('Detalles movimientos'!F$5:F$1003, MATCH(99, 'Detalles movimientos'!$T$5:$T$1003, 0)), "")</f>
        <v/>
      </c>
      <c r="F111" s="18" t="str">
        <f>IFERROR(INDEX('Detalles movimientos'!G$5:G$1003, MATCH(99, 'Detalles movimientos'!$T$5:$T$1003, 0)), "")</f>
        <v/>
      </c>
      <c r="G111" s="20" t="str">
        <f>IFERROR(INDEX('Detalles movimientos'!H$5:H$1003, MATCH(99, 'Detalles movimientos'!$T$5:$T$1003, 0)), "")</f>
        <v/>
      </c>
      <c r="H111" s="21" t="str">
        <f>IFERROR(INDEX('Detalles movimientos'!I$5:I$1003, MATCH(99, 'Detalles movimientos'!$T$5:$T$1003, 0)), "")</f>
        <v/>
      </c>
      <c r="I111" s="20" t="str">
        <f>IFERROR(INDEX('Detalles movimientos'!M$5:M$1003, MATCH(99, 'Detalles movimientos'!$T$5:$T$1003, 0)), "")</f>
        <v/>
      </c>
      <c r="J111" s="19" t="str">
        <f>IFERROR(INDEX('Detalles movimientos'!N$5:N$1003, MATCH(99, 'Detalles movimientos'!$T$5:$T$1003, 0)), "")</f>
        <v/>
      </c>
      <c r="K111" s="20" t="str">
        <f>IFERROR(INDEX('Detalles movimientos'!O$5:O$1003, MATCH(99, 'Detalles movimientos'!$T$5:$T$1003, 0)), "")</f>
        <v/>
      </c>
      <c r="L111" s="18" t="str">
        <f>IFERROR(INDEX('Detalles movimientos'!P$5:P$1003, MATCH(99, 'Detalles movimientos'!$T$5:$T$1003, 0)), "")</f>
        <v/>
      </c>
      <c r="M111" s="18" t="str">
        <f>IFERROR(INDEX('Detalles movimientos'!S$5:S$1003, MATCH(99, 'Detalles movimientos'!$T$5:$T$1003, 0)), "")</f>
        <v/>
      </c>
    </row>
    <row r="112" spans="2:13">
      <c r="B112" s="17" t="str">
        <f>IFERROR(INDEX('Detalles movimientos'!C$5:C$1003, MATCH(100, 'Detalles movimientos'!$T$5:$T$1003, 0)), "")</f>
        <v/>
      </c>
      <c r="C112" s="18" t="str">
        <f>IFERROR(INDEX('Detalles movimientos'!D$5:D$1003, MATCH(100, 'Detalles movimientos'!$T$5:$T$1003, 0)), "")</f>
        <v/>
      </c>
      <c r="D112" s="19" t="str">
        <f>IFERROR(INDEX('Detalles movimientos'!E$5:E$1003, MATCH(100, 'Detalles movimientos'!$T$5:$T$1003, 0)), "")</f>
        <v/>
      </c>
      <c r="E112" s="19" t="str">
        <f>IFERROR(INDEX('Detalles movimientos'!F$5:F$1003, MATCH(100, 'Detalles movimientos'!$T$5:$T$1003, 0)), "")</f>
        <v/>
      </c>
      <c r="F112" s="18" t="str">
        <f>IFERROR(INDEX('Detalles movimientos'!G$5:G$1003, MATCH(100, 'Detalles movimientos'!$T$5:$T$1003, 0)), "")</f>
        <v/>
      </c>
      <c r="G112" s="20" t="str">
        <f>IFERROR(INDEX('Detalles movimientos'!H$5:H$1003, MATCH(100, 'Detalles movimientos'!$T$5:$T$1003, 0)), "")</f>
        <v/>
      </c>
      <c r="H112" s="21" t="str">
        <f>IFERROR(INDEX('Detalles movimientos'!I$5:I$1003, MATCH(100, 'Detalles movimientos'!$T$5:$T$1003, 0)), "")</f>
        <v/>
      </c>
      <c r="I112" s="20" t="str">
        <f>IFERROR(INDEX('Detalles movimientos'!M$5:M$1003, MATCH(100, 'Detalles movimientos'!$T$5:$T$1003, 0)), "")</f>
        <v/>
      </c>
      <c r="J112" s="19" t="str">
        <f>IFERROR(INDEX('Detalles movimientos'!N$5:N$1003, MATCH(100, 'Detalles movimientos'!$T$5:$T$1003, 0)), "")</f>
        <v/>
      </c>
      <c r="K112" s="20" t="str">
        <f>IFERROR(INDEX('Detalles movimientos'!O$5:O$1003, MATCH(100, 'Detalles movimientos'!$T$5:$T$1003, 0)), "")</f>
        <v/>
      </c>
      <c r="L112" s="18" t="str">
        <f>IFERROR(INDEX('Detalles movimientos'!P$5:P$1003, MATCH(100, 'Detalles movimientos'!$T$5:$T$1003, 0)), "")</f>
        <v/>
      </c>
      <c r="M112" s="18" t="str">
        <f>IFERROR(INDEX('Detalles movimientos'!S$5:S$1003, MATCH(100, 'Detalles movimientos'!$T$5:$T$1003, 0)), "")</f>
        <v/>
      </c>
    </row>
    <row r="113" spans="2:13">
      <c r="B113" s="17" t="str">
        <f>IFERROR(INDEX('Detalles movimientos'!C$5:C$1003, MATCH(101, 'Detalles movimientos'!$T$5:$T$1003, 0)), "")</f>
        <v/>
      </c>
      <c r="C113" s="18" t="str">
        <f>IFERROR(INDEX('Detalles movimientos'!D$5:D$1003, MATCH(101, 'Detalles movimientos'!$T$5:$T$1003, 0)), "")</f>
        <v/>
      </c>
      <c r="D113" s="19" t="str">
        <f>IFERROR(INDEX('Detalles movimientos'!E$5:E$1003, MATCH(101, 'Detalles movimientos'!$T$5:$T$1003, 0)), "")</f>
        <v/>
      </c>
      <c r="E113" s="19" t="str">
        <f>IFERROR(INDEX('Detalles movimientos'!F$5:F$1003, MATCH(101, 'Detalles movimientos'!$T$5:$T$1003, 0)), "")</f>
        <v/>
      </c>
      <c r="F113" s="18" t="str">
        <f>IFERROR(INDEX('Detalles movimientos'!G$5:G$1003, MATCH(101, 'Detalles movimientos'!$T$5:$T$1003, 0)), "")</f>
        <v/>
      </c>
      <c r="G113" s="20" t="str">
        <f>IFERROR(INDEX('Detalles movimientos'!H$5:H$1003, MATCH(101, 'Detalles movimientos'!$T$5:$T$1003, 0)), "")</f>
        <v/>
      </c>
      <c r="H113" s="21" t="str">
        <f>IFERROR(INDEX('Detalles movimientos'!I$5:I$1003, MATCH(101, 'Detalles movimientos'!$T$5:$T$1003, 0)), "")</f>
        <v/>
      </c>
      <c r="I113" s="20" t="str">
        <f>IFERROR(INDEX('Detalles movimientos'!M$5:M$1003, MATCH(101, 'Detalles movimientos'!$T$5:$T$1003, 0)), "")</f>
        <v/>
      </c>
      <c r="J113" s="19" t="str">
        <f>IFERROR(INDEX('Detalles movimientos'!N$5:N$1003, MATCH(101, 'Detalles movimientos'!$T$5:$T$1003, 0)), "")</f>
        <v/>
      </c>
      <c r="K113" s="20" t="str">
        <f>IFERROR(INDEX('Detalles movimientos'!O$5:O$1003, MATCH(101, 'Detalles movimientos'!$T$5:$T$1003, 0)), "")</f>
        <v/>
      </c>
      <c r="L113" s="18" t="str">
        <f>IFERROR(INDEX('Detalles movimientos'!P$5:P$1003, MATCH(101, 'Detalles movimientos'!$T$5:$T$1003, 0)), "")</f>
        <v/>
      </c>
      <c r="M113" s="18" t="str">
        <f>IFERROR(INDEX('Detalles movimientos'!S$5:S$1003, MATCH(101, 'Detalles movimientos'!$T$5:$T$1003, 0)), "")</f>
        <v/>
      </c>
    </row>
    <row r="114" spans="2:13">
      <c r="B114" s="17" t="str">
        <f>IFERROR(INDEX('Detalles movimientos'!C$5:C$1003, MATCH(102, 'Detalles movimientos'!$T$5:$T$1003, 0)), "")</f>
        <v/>
      </c>
      <c r="C114" s="18" t="str">
        <f>IFERROR(INDEX('Detalles movimientos'!D$5:D$1003, MATCH(102, 'Detalles movimientos'!$T$5:$T$1003, 0)), "")</f>
        <v/>
      </c>
      <c r="D114" s="19" t="str">
        <f>IFERROR(INDEX('Detalles movimientos'!E$5:E$1003, MATCH(102, 'Detalles movimientos'!$T$5:$T$1003, 0)), "")</f>
        <v/>
      </c>
      <c r="E114" s="19" t="str">
        <f>IFERROR(INDEX('Detalles movimientos'!F$5:F$1003, MATCH(102, 'Detalles movimientos'!$T$5:$T$1003, 0)), "")</f>
        <v/>
      </c>
      <c r="F114" s="18" t="str">
        <f>IFERROR(INDEX('Detalles movimientos'!G$5:G$1003, MATCH(102, 'Detalles movimientos'!$T$5:$T$1003, 0)), "")</f>
        <v/>
      </c>
      <c r="G114" s="20" t="str">
        <f>IFERROR(INDEX('Detalles movimientos'!H$5:H$1003, MATCH(102, 'Detalles movimientos'!$T$5:$T$1003, 0)), "")</f>
        <v/>
      </c>
      <c r="H114" s="21" t="str">
        <f>IFERROR(INDEX('Detalles movimientos'!I$5:I$1003, MATCH(102, 'Detalles movimientos'!$T$5:$T$1003, 0)), "")</f>
        <v/>
      </c>
      <c r="I114" s="20" t="str">
        <f>IFERROR(INDEX('Detalles movimientos'!M$5:M$1003, MATCH(102, 'Detalles movimientos'!$T$5:$T$1003, 0)), "")</f>
        <v/>
      </c>
      <c r="J114" s="19" t="str">
        <f>IFERROR(INDEX('Detalles movimientos'!N$5:N$1003, MATCH(102, 'Detalles movimientos'!$T$5:$T$1003, 0)), "")</f>
        <v/>
      </c>
      <c r="K114" s="20" t="str">
        <f>IFERROR(INDEX('Detalles movimientos'!O$5:O$1003, MATCH(102, 'Detalles movimientos'!$T$5:$T$1003, 0)), "")</f>
        <v/>
      </c>
      <c r="L114" s="18" t="str">
        <f>IFERROR(INDEX('Detalles movimientos'!P$5:P$1003, MATCH(102, 'Detalles movimientos'!$T$5:$T$1003, 0)), "")</f>
        <v/>
      </c>
      <c r="M114" s="18" t="str">
        <f>IFERROR(INDEX('Detalles movimientos'!S$5:S$1003, MATCH(102, 'Detalles movimientos'!$T$5:$T$1003, 0)), "")</f>
        <v/>
      </c>
    </row>
    <row r="115" spans="2:13">
      <c r="B115" s="17" t="str">
        <f>IFERROR(INDEX('Detalles movimientos'!C$5:C$1003, MATCH(103, 'Detalles movimientos'!$T$5:$T$1003, 0)), "")</f>
        <v/>
      </c>
      <c r="C115" s="18" t="str">
        <f>IFERROR(INDEX('Detalles movimientos'!D$5:D$1003, MATCH(103, 'Detalles movimientos'!$T$5:$T$1003, 0)), "")</f>
        <v/>
      </c>
      <c r="D115" s="19" t="str">
        <f>IFERROR(INDEX('Detalles movimientos'!E$5:E$1003, MATCH(103, 'Detalles movimientos'!$T$5:$T$1003, 0)), "")</f>
        <v/>
      </c>
      <c r="E115" s="19" t="str">
        <f>IFERROR(INDEX('Detalles movimientos'!F$5:F$1003, MATCH(103, 'Detalles movimientos'!$T$5:$T$1003, 0)), "")</f>
        <v/>
      </c>
      <c r="F115" s="18" t="str">
        <f>IFERROR(INDEX('Detalles movimientos'!G$5:G$1003, MATCH(103, 'Detalles movimientos'!$T$5:$T$1003, 0)), "")</f>
        <v/>
      </c>
      <c r="G115" s="20" t="str">
        <f>IFERROR(INDEX('Detalles movimientos'!H$5:H$1003, MATCH(103, 'Detalles movimientos'!$T$5:$T$1003, 0)), "")</f>
        <v/>
      </c>
      <c r="H115" s="21" t="str">
        <f>IFERROR(INDEX('Detalles movimientos'!I$5:I$1003, MATCH(103, 'Detalles movimientos'!$T$5:$T$1003, 0)), "")</f>
        <v/>
      </c>
      <c r="I115" s="20" t="str">
        <f>IFERROR(INDEX('Detalles movimientos'!M$5:M$1003, MATCH(103, 'Detalles movimientos'!$T$5:$T$1003, 0)), "")</f>
        <v/>
      </c>
      <c r="J115" s="19" t="str">
        <f>IFERROR(INDEX('Detalles movimientos'!N$5:N$1003, MATCH(103, 'Detalles movimientos'!$T$5:$T$1003, 0)), "")</f>
        <v/>
      </c>
      <c r="K115" s="20" t="str">
        <f>IFERROR(INDEX('Detalles movimientos'!O$5:O$1003, MATCH(103, 'Detalles movimientos'!$T$5:$T$1003, 0)), "")</f>
        <v/>
      </c>
      <c r="L115" s="18" t="str">
        <f>IFERROR(INDEX('Detalles movimientos'!P$5:P$1003, MATCH(103, 'Detalles movimientos'!$T$5:$T$1003, 0)), "")</f>
        <v/>
      </c>
      <c r="M115" s="18" t="str">
        <f>IFERROR(INDEX('Detalles movimientos'!S$5:S$1003, MATCH(103, 'Detalles movimientos'!$T$5:$T$1003, 0)), "")</f>
        <v/>
      </c>
    </row>
    <row r="116" spans="2:13">
      <c r="B116" s="17" t="str">
        <f>IFERROR(INDEX('Detalles movimientos'!C$5:C$1003, MATCH(104, 'Detalles movimientos'!$T$5:$T$1003, 0)), "")</f>
        <v/>
      </c>
      <c r="C116" s="18" t="str">
        <f>IFERROR(INDEX('Detalles movimientos'!D$5:D$1003, MATCH(104, 'Detalles movimientos'!$T$5:$T$1003, 0)), "")</f>
        <v/>
      </c>
      <c r="D116" s="19" t="str">
        <f>IFERROR(INDEX('Detalles movimientos'!E$5:E$1003, MATCH(104, 'Detalles movimientos'!$T$5:$T$1003, 0)), "")</f>
        <v/>
      </c>
      <c r="E116" s="19" t="str">
        <f>IFERROR(INDEX('Detalles movimientos'!F$5:F$1003, MATCH(104, 'Detalles movimientos'!$T$5:$T$1003, 0)), "")</f>
        <v/>
      </c>
      <c r="F116" s="18" t="str">
        <f>IFERROR(INDEX('Detalles movimientos'!G$5:G$1003, MATCH(104, 'Detalles movimientos'!$T$5:$T$1003, 0)), "")</f>
        <v/>
      </c>
      <c r="G116" s="20" t="str">
        <f>IFERROR(INDEX('Detalles movimientos'!H$5:H$1003, MATCH(104, 'Detalles movimientos'!$T$5:$T$1003, 0)), "")</f>
        <v/>
      </c>
      <c r="H116" s="21" t="str">
        <f>IFERROR(INDEX('Detalles movimientos'!I$5:I$1003, MATCH(104, 'Detalles movimientos'!$T$5:$T$1003, 0)), "")</f>
        <v/>
      </c>
      <c r="I116" s="20" t="str">
        <f>IFERROR(INDEX('Detalles movimientos'!M$5:M$1003, MATCH(104, 'Detalles movimientos'!$T$5:$T$1003, 0)), "")</f>
        <v/>
      </c>
      <c r="J116" s="19" t="str">
        <f>IFERROR(INDEX('Detalles movimientos'!N$5:N$1003, MATCH(104, 'Detalles movimientos'!$T$5:$T$1003, 0)), "")</f>
        <v/>
      </c>
      <c r="K116" s="20" t="str">
        <f>IFERROR(INDEX('Detalles movimientos'!O$5:O$1003, MATCH(104, 'Detalles movimientos'!$T$5:$T$1003, 0)), "")</f>
        <v/>
      </c>
      <c r="L116" s="18" t="str">
        <f>IFERROR(INDEX('Detalles movimientos'!P$5:P$1003, MATCH(104, 'Detalles movimientos'!$T$5:$T$1003, 0)), "")</f>
        <v/>
      </c>
      <c r="M116" s="18" t="str">
        <f>IFERROR(INDEX('Detalles movimientos'!S$5:S$1003, MATCH(104, 'Detalles movimientos'!$T$5:$T$1003, 0)), "")</f>
        <v/>
      </c>
    </row>
    <row r="117" spans="2:13">
      <c r="B117" s="17" t="str">
        <f>IFERROR(INDEX('Detalles movimientos'!C$5:C$1003, MATCH(105, 'Detalles movimientos'!$T$5:$T$1003, 0)), "")</f>
        <v/>
      </c>
      <c r="C117" s="18" t="str">
        <f>IFERROR(INDEX('Detalles movimientos'!D$5:D$1003, MATCH(105, 'Detalles movimientos'!$T$5:$T$1003, 0)), "")</f>
        <v/>
      </c>
      <c r="D117" s="19" t="str">
        <f>IFERROR(INDEX('Detalles movimientos'!E$5:E$1003, MATCH(105, 'Detalles movimientos'!$T$5:$T$1003, 0)), "")</f>
        <v/>
      </c>
      <c r="E117" s="19" t="str">
        <f>IFERROR(INDEX('Detalles movimientos'!F$5:F$1003, MATCH(105, 'Detalles movimientos'!$T$5:$T$1003, 0)), "")</f>
        <v/>
      </c>
      <c r="F117" s="18" t="str">
        <f>IFERROR(INDEX('Detalles movimientos'!G$5:G$1003, MATCH(105, 'Detalles movimientos'!$T$5:$T$1003, 0)), "")</f>
        <v/>
      </c>
      <c r="G117" s="20" t="str">
        <f>IFERROR(INDEX('Detalles movimientos'!H$5:H$1003, MATCH(105, 'Detalles movimientos'!$T$5:$T$1003, 0)), "")</f>
        <v/>
      </c>
      <c r="H117" s="21" t="str">
        <f>IFERROR(INDEX('Detalles movimientos'!I$5:I$1003, MATCH(105, 'Detalles movimientos'!$T$5:$T$1003, 0)), "")</f>
        <v/>
      </c>
      <c r="I117" s="20" t="str">
        <f>IFERROR(INDEX('Detalles movimientos'!M$5:M$1003, MATCH(105, 'Detalles movimientos'!$T$5:$T$1003, 0)), "")</f>
        <v/>
      </c>
      <c r="J117" s="19" t="str">
        <f>IFERROR(INDEX('Detalles movimientos'!N$5:N$1003, MATCH(105, 'Detalles movimientos'!$T$5:$T$1003, 0)), "")</f>
        <v/>
      </c>
      <c r="K117" s="20" t="str">
        <f>IFERROR(INDEX('Detalles movimientos'!O$5:O$1003, MATCH(105, 'Detalles movimientos'!$T$5:$T$1003, 0)), "")</f>
        <v/>
      </c>
      <c r="L117" s="18" t="str">
        <f>IFERROR(INDEX('Detalles movimientos'!P$5:P$1003, MATCH(105, 'Detalles movimientos'!$T$5:$T$1003, 0)), "")</f>
        <v/>
      </c>
      <c r="M117" s="18" t="str">
        <f>IFERROR(INDEX('Detalles movimientos'!S$5:S$1003, MATCH(105, 'Detalles movimientos'!$T$5:$T$1003, 0)), "")</f>
        <v/>
      </c>
    </row>
    <row r="118" spans="2:13">
      <c r="B118" s="17" t="str">
        <f>IFERROR(INDEX('Detalles movimientos'!C$5:C$1003, MATCH(106, 'Detalles movimientos'!$T$5:$T$1003, 0)), "")</f>
        <v/>
      </c>
      <c r="C118" s="18" t="str">
        <f>IFERROR(INDEX('Detalles movimientos'!D$5:D$1003, MATCH(106, 'Detalles movimientos'!$T$5:$T$1003, 0)), "")</f>
        <v/>
      </c>
      <c r="D118" s="19" t="str">
        <f>IFERROR(INDEX('Detalles movimientos'!E$5:E$1003, MATCH(106, 'Detalles movimientos'!$T$5:$T$1003, 0)), "")</f>
        <v/>
      </c>
      <c r="E118" s="19" t="str">
        <f>IFERROR(INDEX('Detalles movimientos'!F$5:F$1003, MATCH(106, 'Detalles movimientos'!$T$5:$T$1003, 0)), "")</f>
        <v/>
      </c>
      <c r="F118" s="18" t="str">
        <f>IFERROR(INDEX('Detalles movimientos'!G$5:G$1003, MATCH(106, 'Detalles movimientos'!$T$5:$T$1003, 0)), "")</f>
        <v/>
      </c>
      <c r="G118" s="20" t="str">
        <f>IFERROR(INDEX('Detalles movimientos'!H$5:H$1003, MATCH(106, 'Detalles movimientos'!$T$5:$T$1003, 0)), "")</f>
        <v/>
      </c>
      <c r="H118" s="21" t="str">
        <f>IFERROR(INDEX('Detalles movimientos'!I$5:I$1003, MATCH(106, 'Detalles movimientos'!$T$5:$T$1003, 0)), "")</f>
        <v/>
      </c>
      <c r="I118" s="20" t="str">
        <f>IFERROR(INDEX('Detalles movimientos'!M$5:M$1003, MATCH(106, 'Detalles movimientos'!$T$5:$T$1003, 0)), "")</f>
        <v/>
      </c>
      <c r="J118" s="19" t="str">
        <f>IFERROR(INDEX('Detalles movimientos'!N$5:N$1003, MATCH(106, 'Detalles movimientos'!$T$5:$T$1003, 0)), "")</f>
        <v/>
      </c>
      <c r="K118" s="20" t="str">
        <f>IFERROR(INDEX('Detalles movimientos'!O$5:O$1003, MATCH(106, 'Detalles movimientos'!$T$5:$T$1003, 0)), "")</f>
        <v/>
      </c>
      <c r="L118" s="18" t="str">
        <f>IFERROR(INDEX('Detalles movimientos'!P$5:P$1003, MATCH(106, 'Detalles movimientos'!$T$5:$T$1003, 0)), "")</f>
        <v/>
      </c>
      <c r="M118" s="18" t="str">
        <f>IFERROR(INDEX('Detalles movimientos'!S$5:S$1003, MATCH(106, 'Detalles movimientos'!$T$5:$T$1003, 0)), "")</f>
        <v/>
      </c>
    </row>
    <row r="119" spans="2:13">
      <c r="B119" s="17" t="str">
        <f>IFERROR(INDEX('Detalles movimientos'!C$5:C$1003, MATCH(107, 'Detalles movimientos'!$T$5:$T$1003, 0)), "")</f>
        <v/>
      </c>
      <c r="C119" s="18" t="str">
        <f>IFERROR(INDEX('Detalles movimientos'!D$5:D$1003, MATCH(107, 'Detalles movimientos'!$T$5:$T$1003, 0)), "")</f>
        <v/>
      </c>
      <c r="D119" s="19" t="str">
        <f>IFERROR(INDEX('Detalles movimientos'!E$5:E$1003, MATCH(107, 'Detalles movimientos'!$T$5:$T$1003, 0)), "")</f>
        <v/>
      </c>
      <c r="E119" s="19" t="str">
        <f>IFERROR(INDEX('Detalles movimientos'!F$5:F$1003, MATCH(107, 'Detalles movimientos'!$T$5:$T$1003, 0)), "")</f>
        <v/>
      </c>
      <c r="F119" s="18" t="str">
        <f>IFERROR(INDEX('Detalles movimientos'!G$5:G$1003, MATCH(107, 'Detalles movimientos'!$T$5:$T$1003, 0)), "")</f>
        <v/>
      </c>
      <c r="G119" s="20" t="str">
        <f>IFERROR(INDEX('Detalles movimientos'!H$5:H$1003, MATCH(107, 'Detalles movimientos'!$T$5:$T$1003, 0)), "")</f>
        <v/>
      </c>
      <c r="H119" s="21" t="str">
        <f>IFERROR(INDEX('Detalles movimientos'!I$5:I$1003, MATCH(107, 'Detalles movimientos'!$T$5:$T$1003, 0)), "")</f>
        <v/>
      </c>
      <c r="I119" s="20" t="str">
        <f>IFERROR(INDEX('Detalles movimientos'!M$5:M$1003, MATCH(107, 'Detalles movimientos'!$T$5:$T$1003, 0)), "")</f>
        <v/>
      </c>
      <c r="J119" s="19" t="str">
        <f>IFERROR(INDEX('Detalles movimientos'!N$5:N$1003, MATCH(107, 'Detalles movimientos'!$T$5:$T$1003, 0)), "")</f>
        <v/>
      </c>
      <c r="K119" s="20" t="str">
        <f>IFERROR(INDEX('Detalles movimientos'!O$5:O$1003, MATCH(107, 'Detalles movimientos'!$T$5:$T$1003, 0)), "")</f>
        <v/>
      </c>
      <c r="L119" s="18" t="str">
        <f>IFERROR(INDEX('Detalles movimientos'!P$5:P$1003, MATCH(107, 'Detalles movimientos'!$T$5:$T$1003, 0)), "")</f>
        <v/>
      </c>
      <c r="M119" s="18" t="str">
        <f>IFERROR(INDEX('Detalles movimientos'!S$5:S$1003, MATCH(107, 'Detalles movimientos'!$T$5:$T$1003, 0)), "")</f>
        <v/>
      </c>
    </row>
    <row r="120" spans="2:13">
      <c r="B120" s="17" t="str">
        <f>IFERROR(INDEX('Detalles movimientos'!C$5:C$1003, MATCH(108, 'Detalles movimientos'!$T$5:$T$1003, 0)), "")</f>
        <v/>
      </c>
      <c r="C120" s="18" t="str">
        <f>IFERROR(INDEX('Detalles movimientos'!D$5:D$1003, MATCH(108, 'Detalles movimientos'!$T$5:$T$1003, 0)), "")</f>
        <v/>
      </c>
      <c r="D120" s="19" t="str">
        <f>IFERROR(INDEX('Detalles movimientos'!E$5:E$1003, MATCH(108, 'Detalles movimientos'!$T$5:$T$1003, 0)), "")</f>
        <v/>
      </c>
      <c r="E120" s="19" t="str">
        <f>IFERROR(INDEX('Detalles movimientos'!F$5:F$1003, MATCH(108, 'Detalles movimientos'!$T$5:$T$1003, 0)), "")</f>
        <v/>
      </c>
      <c r="F120" s="18" t="str">
        <f>IFERROR(INDEX('Detalles movimientos'!G$5:G$1003, MATCH(108, 'Detalles movimientos'!$T$5:$T$1003, 0)), "")</f>
        <v/>
      </c>
      <c r="G120" s="20" t="str">
        <f>IFERROR(INDEX('Detalles movimientos'!H$5:H$1003, MATCH(108, 'Detalles movimientos'!$T$5:$T$1003, 0)), "")</f>
        <v/>
      </c>
      <c r="H120" s="21" t="str">
        <f>IFERROR(INDEX('Detalles movimientos'!I$5:I$1003, MATCH(108, 'Detalles movimientos'!$T$5:$T$1003, 0)), "")</f>
        <v/>
      </c>
      <c r="I120" s="20" t="str">
        <f>IFERROR(INDEX('Detalles movimientos'!M$5:M$1003, MATCH(108, 'Detalles movimientos'!$T$5:$T$1003, 0)), "")</f>
        <v/>
      </c>
      <c r="J120" s="19" t="str">
        <f>IFERROR(INDEX('Detalles movimientos'!N$5:N$1003, MATCH(108, 'Detalles movimientos'!$T$5:$T$1003, 0)), "")</f>
        <v/>
      </c>
      <c r="K120" s="20" t="str">
        <f>IFERROR(INDEX('Detalles movimientos'!O$5:O$1003, MATCH(108, 'Detalles movimientos'!$T$5:$T$1003, 0)), "")</f>
        <v/>
      </c>
      <c r="L120" s="18" t="str">
        <f>IFERROR(INDEX('Detalles movimientos'!P$5:P$1003, MATCH(108, 'Detalles movimientos'!$T$5:$T$1003, 0)), "")</f>
        <v/>
      </c>
      <c r="M120" s="18" t="str">
        <f>IFERROR(INDEX('Detalles movimientos'!S$5:S$1003, MATCH(108, 'Detalles movimientos'!$T$5:$T$1003, 0)), "")</f>
        <v/>
      </c>
    </row>
    <row r="121" spans="2:13">
      <c r="B121" s="17" t="str">
        <f>IFERROR(INDEX('Detalles movimientos'!C$5:C$1003, MATCH(109, 'Detalles movimientos'!$T$5:$T$1003, 0)), "")</f>
        <v/>
      </c>
      <c r="C121" s="18" t="str">
        <f>IFERROR(INDEX('Detalles movimientos'!D$5:D$1003, MATCH(109, 'Detalles movimientos'!$T$5:$T$1003, 0)), "")</f>
        <v/>
      </c>
      <c r="D121" s="19" t="str">
        <f>IFERROR(INDEX('Detalles movimientos'!E$5:E$1003, MATCH(109, 'Detalles movimientos'!$T$5:$T$1003, 0)), "")</f>
        <v/>
      </c>
      <c r="E121" s="19" t="str">
        <f>IFERROR(INDEX('Detalles movimientos'!F$5:F$1003, MATCH(109, 'Detalles movimientos'!$T$5:$T$1003, 0)), "")</f>
        <v/>
      </c>
      <c r="F121" s="18" t="str">
        <f>IFERROR(INDEX('Detalles movimientos'!G$5:G$1003, MATCH(109, 'Detalles movimientos'!$T$5:$T$1003, 0)), "")</f>
        <v/>
      </c>
      <c r="G121" s="20" t="str">
        <f>IFERROR(INDEX('Detalles movimientos'!H$5:H$1003, MATCH(109, 'Detalles movimientos'!$T$5:$T$1003, 0)), "")</f>
        <v/>
      </c>
      <c r="H121" s="21" t="str">
        <f>IFERROR(INDEX('Detalles movimientos'!I$5:I$1003, MATCH(109, 'Detalles movimientos'!$T$5:$T$1003, 0)), "")</f>
        <v/>
      </c>
      <c r="I121" s="20" t="str">
        <f>IFERROR(INDEX('Detalles movimientos'!M$5:M$1003, MATCH(109, 'Detalles movimientos'!$T$5:$T$1003, 0)), "")</f>
        <v/>
      </c>
      <c r="J121" s="19" t="str">
        <f>IFERROR(INDEX('Detalles movimientos'!N$5:N$1003, MATCH(109, 'Detalles movimientos'!$T$5:$T$1003, 0)), "")</f>
        <v/>
      </c>
      <c r="K121" s="20" t="str">
        <f>IFERROR(INDEX('Detalles movimientos'!O$5:O$1003, MATCH(109, 'Detalles movimientos'!$T$5:$T$1003, 0)), "")</f>
        <v/>
      </c>
      <c r="L121" s="18" t="str">
        <f>IFERROR(INDEX('Detalles movimientos'!P$5:P$1003, MATCH(109, 'Detalles movimientos'!$T$5:$T$1003, 0)), "")</f>
        <v/>
      </c>
      <c r="M121" s="18" t="str">
        <f>IFERROR(INDEX('Detalles movimientos'!S$5:S$1003, MATCH(109, 'Detalles movimientos'!$T$5:$T$1003, 0)), "")</f>
        <v/>
      </c>
    </row>
    <row r="122" spans="2:13">
      <c r="B122" s="17" t="str">
        <f>IFERROR(INDEX('Detalles movimientos'!C$5:C$1003, MATCH(110, 'Detalles movimientos'!$T$5:$T$1003, 0)), "")</f>
        <v/>
      </c>
      <c r="C122" s="18" t="str">
        <f>IFERROR(INDEX('Detalles movimientos'!D$5:D$1003, MATCH(110, 'Detalles movimientos'!$T$5:$T$1003, 0)), "")</f>
        <v/>
      </c>
      <c r="D122" s="19" t="str">
        <f>IFERROR(INDEX('Detalles movimientos'!E$5:E$1003, MATCH(110, 'Detalles movimientos'!$T$5:$T$1003, 0)), "")</f>
        <v/>
      </c>
      <c r="E122" s="19" t="str">
        <f>IFERROR(INDEX('Detalles movimientos'!F$5:F$1003, MATCH(110, 'Detalles movimientos'!$T$5:$T$1003, 0)), "")</f>
        <v/>
      </c>
      <c r="F122" s="18" t="str">
        <f>IFERROR(INDEX('Detalles movimientos'!G$5:G$1003, MATCH(110, 'Detalles movimientos'!$T$5:$T$1003, 0)), "")</f>
        <v/>
      </c>
      <c r="G122" s="20" t="str">
        <f>IFERROR(INDEX('Detalles movimientos'!H$5:H$1003, MATCH(110, 'Detalles movimientos'!$T$5:$T$1003, 0)), "")</f>
        <v/>
      </c>
      <c r="H122" s="21" t="str">
        <f>IFERROR(INDEX('Detalles movimientos'!I$5:I$1003, MATCH(110, 'Detalles movimientos'!$T$5:$T$1003, 0)), "")</f>
        <v/>
      </c>
      <c r="I122" s="20" t="str">
        <f>IFERROR(INDEX('Detalles movimientos'!M$5:M$1003, MATCH(110, 'Detalles movimientos'!$T$5:$T$1003, 0)), "")</f>
        <v/>
      </c>
      <c r="J122" s="19" t="str">
        <f>IFERROR(INDEX('Detalles movimientos'!N$5:N$1003, MATCH(110, 'Detalles movimientos'!$T$5:$T$1003, 0)), "")</f>
        <v/>
      </c>
      <c r="K122" s="20" t="str">
        <f>IFERROR(INDEX('Detalles movimientos'!O$5:O$1003, MATCH(110, 'Detalles movimientos'!$T$5:$T$1003, 0)), "")</f>
        <v/>
      </c>
      <c r="L122" s="18" t="str">
        <f>IFERROR(INDEX('Detalles movimientos'!P$5:P$1003, MATCH(110, 'Detalles movimientos'!$T$5:$T$1003, 0)), "")</f>
        <v/>
      </c>
      <c r="M122" s="18" t="str">
        <f>IFERROR(INDEX('Detalles movimientos'!S$5:S$1003, MATCH(110, 'Detalles movimientos'!$T$5:$T$1003, 0)), "")</f>
        <v/>
      </c>
    </row>
    <row r="123" spans="2:13">
      <c r="B123" s="17" t="str">
        <f>IFERROR(INDEX('Detalles movimientos'!C$5:C$1003, MATCH(111, 'Detalles movimientos'!$T$5:$T$1003, 0)), "")</f>
        <v/>
      </c>
      <c r="C123" s="18" t="str">
        <f>IFERROR(INDEX('Detalles movimientos'!D$5:D$1003, MATCH(111, 'Detalles movimientos'!$T$5:$T$1003, 0)), "")</f>
        <v/>
      </c>
      <c r="D123" s="19" t="str">
        <f>IFERROR(INDEX('Detalles movimientos'!E$5:E$1003, MATCH(111, 'Detalles movimientos'!$T$5:$T$1003, 0)), "")</f>
        <v/>
      </c>
      <c r="E123" s="19" t="str">
        <f>IFERROR(INDEX('Detalles movimientos'!F$5:F$1003, MATCH(111, 'Detalles movimientos'!$T$5:$T$1003, 0)), "")</f>
        <v/>
      </c>
      <c r="F123" s="18" t="str">
        <f>IFERROR(INDEX('Detalles movimientos'!G$5:G$1003, MATCH(111, 'Detalles movimientos'!$T$5:$T$1003, 0)), "")</f>
        <v/>
      </c>
      <c r="G123" s="20" t="str">
        <f>IFERROR(INDEX('Detalles movimientos'!H$5:H$1003, MATCH(111, 'Detalles movimientos'!$T$5:$T$1003, 0)), "")</f>
        <v/>
      </c>
      <c r="H123" s="21" t="str">
        <f>IFERROR(INDEX('Detalles movimientos'!I$5:I$1003, MATCH(111, 'Detalles movimientos'!$T$5:$T$1003, 0)), "")</f>
        <v/>
      </c>
      <c r="I123" s="20" t="str">
        <f>IFERROR(INDEX('Detalles movimientos'!M$5:M$1003, MATCH(111, 'Detalles movimientos'!$T$5:$T$1003, 0)), "")</f>
        <v/>
      </c>
      <c r="J123" s="19" t="str">
        <f>IFERROR(INDEX('Detalles movimientos'!N$5:N$1003, MATCH(111, 'Detalles movimientos'!$T$5:$T$1003, 0)), "")</f>
        <v/>
      </c>
      <c r="K123" s="20" t="str">
        <f>IFERROR(INDEX('Detalles movimientos'!O$5:O$1003, MATCH(111, 'Detalles movimientos'!$T$5:$T$1003, 0)), "")</f>
        <v/>
      </c>
      <c r="L123" s="18" t="str">
        <f>IFERROR(INDEX('Detalles movimientos'!P$5:P$1003, MATCH(111, 'Detalles movimientos'!$T$5:$T$1003, 0)), "")</f>
        <v/>
      </c>
      <c r="M123" s="18" t="str">
        <f>IFERROR(INDEX('Detalles movimientos'!S$5:S$1003, MATCH(111, 'Detalles movimientos'!$T$5:$T$1003, 0)), "")</f>
        <v/>
      </c>
    </row>
    <row r="124" spans="2:13">
      <c r="B124" s="17" t="str">
        <f>IFERROR(INDEX('Detalles movimientos'!C$5:C$1003, MATCH(112, 'Detalles movimientos'!$T$5:$T$1003, 0)), "")</f>
        <v/>
      </c>
      <c r="C124" s="18" t="str">
        <f>IFERROR(INDEX('Detalles movimientos'!D$5:D$1003, MATCH(112, 'Detalles movimientos'!$T$5:$T$1003, 0)), "")</f>
        <v/>
      </c>
      <c r="D124" s="19" t="str">
        <f>IFERROR(INDEX('Detalles movimientos'!E$5:E$1003, MATCH(112, 'Detalles movimientos'!$T$5:$T$1003, 0)), "")</f>
        <v/>
      </c>
      <c r="E124" s="19" t="str">
        <f>IFERROR(INDEX('Detalles movimientos'!F$5:F$1003, MATCH(112, 'Detalles movimientos'!$T$5:$T$1003, 0)), "")</f>
        <v/>
      </c>
      <c r="F124" s="18" t="str">
        <f>IFERROR(INDEX('Detalles movimientos'!G$5:G$1003, MATCH(112, 'Detalles movimientos'!$T$5:$T$1003, 0)), "")</f>
        <v/>
      </c>
      <c r="G124" s="20" t="str">
        <f>IFERROR(INDEX('Detalles movimientos'!H$5:H$1003, MATCH(112, 'Detalles movimientos'!$T$5:$T$1003, 0)), "")</f>
        <v/>
      </c>
      <c r="H124" s="21" t="str">
        <f>IFERROR(INDEX('Detalles movimientos'!I$5:I$1003, MATCH(112, 'Detalles movimientos'!$T$5:$T$1003, 0)), "")</f>
        <v/>
      </c>
      <c r="I124" s="20" t="str">
        <f>IFERROR(INDEX('Detalles movimientos'!M$5:M$1003, MATCH(112, 'Detalles movimientos'!$T$5:$T$1003, 0)), "")</f>
        <v/>
      </c>
      <c r="J124" s="19" t="str">
        <f>IFERROR(INDEX('Detalles movimientos'!N$5:N$1003, MATCH(112, 'Detalles movimientos'!$T$5:$T$1003, 0)), "")</f>
        <v/>
      </c>
      <c r="K124" s="20" t="str">
        <f>IFERROR(INDEX('Detalles movimientos'!O$5:O$1003, MATCH(112, 'Detalles movimientos'!$T$5:$T$1003, 0)), "")</f>
        <v/>
      </c>
      <c r="L124" s="18" t="str">
        <f>IFERROR(INDEX('Detalles movimientos'!P$5:P$1003, MATCH(112, 'Detalles movimientos'!$T$5:$T$1003, 0)), "")</f>
        <v/>
      </c>
      <c r="M124" s="18" t="str">
        <f>IFERROR(INDEX('Detalles movimientos'!S$5:S$1003, MATCH(112, 'Detalles movimientos'!$T$5:$T$1003, 0)), "")</f>
        <v/>
      </c>
    </row>
    <row r="125" spans="2:13">
      <c r="B125" s="17" t="str">
        <f>IFERROR(INDEX('Detalles movimientos'!C$5:C$1003, MATCH(113, 'Detalles movimientos'!$T$5:$T$1003, 0)), "")</f>
        <v/>
      </c>
      <c r="C125" s="18" t="str">
        <f>IFERROR(INDEX('Detalles movimientos'!D$5:D$1003, MATCH(113, 'Detalles movimientos'!$T$5:$T$1003, 0)), "")</f>
        <v/>
      </c>
      <c r="D125" s="19" t="str">
        <f>IFERROR(INDEX('Detalles movimientos'!E$5:E$1003, MATCH(113, 'Detalles movimientos'!$T$5:$T$1003, 0)), "")</f>
        <v/>
      </c>
      <c r="E125" s="19" t="str">
        <f>IFERROR(INDEX('Detalles movimientos'!F$5:F$1003, MATCH(113, 'Detalles movimientos'!$T$5:$T$1003, 0)), "")</f>
        <v/>
      </c>
      <c r="F125" s="18" t="str">
        <f>IFERROR(INDEX('Detalles movimientos'!G$5:G$1003, MATCH(113, 'Detalles movimientos'!$T$5:$T$1003, 0)), "")</f>
        <v/>
      </c>
      <c r="G125" s="20" t="str">
        <f>IFERROR(INDEX('Detalles movimientos'!H$5:H$1003, MATCH(113, 'Detalles movimientos'!$T$5:$T$1003, 0)), "")</f>
        <v/>
      </c>
      <c r="H125" s="21" t="str">
        <f>IFERROR(INDEX('Detalles movimientos'!I$5:I$1003, MATCH(113, 'Detalles movimientos'!$T$5:$T$1003, 0)), "")</f>
        <v/>
      </c>
      <c r="I125" s="20" t="str">
        <f>IFERROR(INDEX('Detalles movimientos'!M$5:M$1003, MATCH(113, 'Detalles movimientos'!$T$5:$T$1003, 0)), "")</f>
        <v/>
      </c>
      <c r="J125" s="19" t="str">
        <f>IFERROR(INDEX('Detalles movimientos'!N$5:N$1003, MATCH(113, 'Detalles movimientos'!$T$5:$T$1003, 0)), "")</f>
        <v/>
      </c>
      <c r="K125" s="20" t="str">
        <f>IFERROR(INDEX('Detalles movimientos'!O$5:O$1003, MATCH(113, 'Detalles movimientos'!$T$5:$T$1003, 0)), "")</f>
        <v/>
      </c>
      <c r="L125" s="18" t="str">
        <f>IFERROR(INDEX('Detalles movimientos'!P$5:P$1003, MATCH(113, 'Detalles movimientos'!$T$5:$T$1003, 0)), "")</f>
        <v/>
      </c>
      <c r="M125" s="18" t="str">
        <f>IFERROR(INDEX('Detalles movimientos'!S$5:S$1003, MATCH(113, 'Detalles movimientos'!$T$5:$T$1003, 0)), "")</f>
        <v/>
      </c>
    </row>
    <row r="126" spans="2:13">
      <c r="B126" s="17" t="str">
        <f>IFERROR(INDEX('Detalles movimientos'!C$5:C$1003, MATCH(114, 'Detalles movimientos'!$T$5:$T$1003, 0)), "")</f>
        <v/>
      </c>
      <c r="C126" s="18" t="str">
        <f>IFERROR(INDEX('Detalles movimientos'!D$5:D$1003, MATCH(114, 'Detalles movimientos'!$T$5:$T$1003, 0)), "")</f>
        <v/>
      </c>
      <c r="D126" s="19" t="str">
        <f>IFERROR(INDEX('Detalles movimientos'!E$5:E$1003, MATCH(114, 'Detalles movimientos'!$T$5:$T$1003, 0)), "")</f>
        <v/>
      </c>
      <c r="E126" s="19" t="str">
        <f>IFERROR(INDEX('Detalles movimientos'!F$5:F$1003, MATCH(114, 'Detalles movimientos'!$T$5:$T$1003, 0)), "")</f>
        <v/>
      </c>
      <c r="F126" s="18" t="str">
        <f>IFERROR(INDEX('Detalles movimientos'!G$5:G$1003, MATCH(114, 'Detalles movimientos'!$T$5:$T$1003, 0)), "")</f>
        <v/>
      </c>
      <c r="G126" s="20" t="str">
        <f>IFERROR(INDEX('Detalles movimientos'!H$5:H$1003, MATCH(114, 'Detalles movimientos'!$T$5:$T$1003, 0)), "")</f>
        <v/>
      </c>
      <c r="H126" s="21" t="str">
        <f>IFERROR(INDEX('Detalles movimientos'!I$5:I$1003, MATCH(114, 'Detalles movimientos'!$T$5:$T$1003, 0)), "")</f>
        <v/>
      </c>
      <c r="I126" s="20" t="str">
        <f>IFERROR(INDEX('Detalles movimientos'!M$5:M$1003, MATCH(114, 'Detalles movimientos'!$T$5:$T$1003, 0)), "")</f>
        <v/>
      </c>
      <c r="J126" s="19" t="str">
        <f>IFERROR(INDEX('Detalles movimientos'!N$5:N$1003, MATCH(114, 'Detalles movimientos'!$T$5:$T$1003, 0)), "")</f>
        <v/>
      </c>
      <c r="K126" s="20" t="str">
        <f>IFERROR(INDEX('Detalles movimientos'!O$5:O$1003, MATCH(114, 'Detalles movimientos'!$T$5:$T$1003, 0)), "")</f>
        <v/>
      </c>
      <c r="L126" s="18" t="str">
        <f>IFERROR(INDEX('Detalles movimientos'!P$5:P$1003, MATCH(114, 'Detalles movimientos'!$T$5:$T$1003, 0)), "")</f>
        <v/>
      </c>
      <c r="M126" s="18" t="str">
        <f>IFERROR(INDEX('Detalles movimientos'!S$5:S$1003, MATCH(114, 'Detalles movimientos'!$T$5:$T$1003, 0)), "")</f>
        <v/>
      </c>
    </row>
    <row r="127" spans="2:13">
      <c r="B127" s="17" t="str">
        <f>IFERROR(INDEX('Detalles movimientos'!C$5:C$1003, MATCH(115, 'Detalles movimientos'!$T$5:$T$1003, 0)), "")</f>
        <v/>
      </c>
      <c r="C127" s="18" t="str">
        <f>IFERROR(INDEX('Detalles movimientos'!D$5:D$1003, MATCH(115, 'Detalles movimientos'!$T$5:$T$1003, 0)), "")</f>
        <v/>
      </c>
      <c r="D127" s="19" t="str">
        <f>IFERROR(INDEX('Detalles movimientos'!E$5:E$1003, MATCH(115, 'Detalles movimientos'!$T$5:$T$1003, 0)), "")</f>
        <v/>
      </c>
      <c r="E127" s="19" t="str">
        <f>IFERROR(INDEX('Detalles movimientos'!F$5:F$1003, MATCH(115, 'Detalles movimientos'!$T$5:$T$1003, 0)), "")</f>
        <v/>
      </c>
      <c r="F127" s="18" t="str">
        <f>IFERROR(INDEX('Detalles movimientos'!G$5:G$1003, MATCH(115, 'Detalles movimientos'!$T$5:$T$1003, 0)), "")</f>
        <v/>
      </c>
      <c r="G127" s="20" t="str">
        <f>IFERROR(INDEX('Detalles movimientos'!H$5:H$1003, MATCH(115, 'Detalles movimientos'!$T$5:$T$1003, 0)), "")</f>
        <v/>
      </c>
      <c r="H127" s="21" t="str">
        <f>IFERROR(INDEX('Detalles movimientos'!I$5:I$1003, MATCH(115, 'Detalles movimientos'!$T$5:$T$1003, 0)), "")</f>
        <v/>
      </c>
      <c r="I127" s="20" t="str">
        <f>IFERROR(INDEX('Detalles movimientos'!M$5:M$1003, MATCH(115, 'Detalles movimientos'!$T$5:$T$1003, 0)), "")</f>
        <v/>
      </c>
      <c r="J127" s="19" t="str">
        <f>IFERROR(INDEX('Detalles movimientos'!N$5:N$1003, MATCH(115, 'Detalles movimientos'!$T$5:$T$1003, 0)), "")</f>
        <v/>
      </c>
      <c r="K127" s="20" t="str">
        <f>IFERROR(INDEX('Detalles movimientos'!O$5:O$1003, MATCH(115, 'Detalles movimientos'!$T$5:$T$1003, 0)), "")</f>
        <v/>
      </c>
      <c r="L127" s="18" t="str">
        <f>IFERROR(INDEX('Detalles movimientos'!P$5:P$1003, MATCH(115, 'Detalles movimientos'!$T$5:$T$1003, 0)), "")</f>
        <v/>
      </c>
      <c r="M127" s="18" t="str">
        <f>IFERROR(INDEX('Detalles movimientos'!S$5:S$1003, MATCH(115, 'Detalles movimientos'!$T$5:$T$1003, 0)), "")</f>
        <v/>
      </c>
    </row>
    <row r="128" spans="2:13">
      <c r="B128" s="17" t="str">
        <f>IFERROR(INDEX('Detalles movimientos'!C$5:C$1003, MATCH(116, 'Detalles movimientos'!$T$5:$T$1003, 0)), "")</f>
        <v/>
      </c>
      <c r="C128" s="18" t="str">
        <f>IFERROR(INDEX('Detalles movimientos'!D$5:D$1003, MATCH(116, 'Detalles movimientos'!$T$5:$T$1003, 0)), "")</f>
        <v/>
      </c>
      <c r="D128" s="19" t="str">
        <f>IFERROR(INDEX('Detalles movimientos'!E$5:E$1003, MATCH(116, 'Detalles movimientos'!$T$5:$T$1003, 0)), "")</f>
        <v/>
      </c>
      <c r="E128" s="19" t="str">
        <f>IFERROR(INDEX('Detalles movimientos'!F$5:F$1003, MATCH(116, 'Detalles movimientos'!$T$5:$T$1003, 0)), "")</f>
        <v/>
      </c>
      <c r="F128" s="18" t="str">
        <f>IFERROR(INDEX('Detalles movimientos'!G$5:G$1003, MATCH(116, 'Detalles movimientos'!$T$5:$T$1003, 0)), "")</f>
        <v/>
      </c>
      <c r="G128" s="20" t="str">
        <f>IFERROR(INDEX('Detalles movimientos'!H$5:H$1003, MATCH(116, 'Detalles movimientos'!$T$5:$T$1003, 0)), "")</f>
        <v/>
      </c>
      <c r="H128" s="21" t="str">
        <f>IFERROR(INDEX('Detalles movimientos'!I$5:I$1003, MATCH(116, 'Detalles movimientos'!$T$5:$T$1003, 0)), "")</f>
        <v/>
      </c>
      <c r="I128" s="20" t="str">
        <f>IFERROR(INDEX('Detalles movimientos'!M$5:M$1003, MATCH(116, 'Detalles movimientos'!$T$5:$T$1003, 0)), "")</f>
        <v/>
      </c>
      <c r="J128" s="19" t="str">
        <f>IFERROR(INDEX('Detalles movimientos'!N$5:N$1003, MATCH(116, 'Detalles movimientos'!$T$5:$T$1003, 0)), "")</f>
        <v/>
      </c>
      <c r="K128" s="20" t="str">
        <f>IFERROR(INDEX('Detalles movimientos'!O$5:O$1003, MATCH(116, 'Detalles movimientos'!$T$5:$T$1003, 0)), "")</f>
        <v/>
      </c>
      <c r="L128" s="18" t="str">
        <f>IFERROR(INDEX('Detalles movimientos'!P$5:P$1003, MATCH(116, 'Detalles movimientos'!$T$5:$T$1003, 0)), "")</f>
        <v/>
      </c>
      <c r="M128" s="18" t="str">
        <f>IFERROR(INDEX('Detalles movimientos'!S$5:S$1003, MATCH(116, 'Detalles movimientos'!$T$5:$T$1003, 0)), "")</f>
        <v/>
      </c>
    </row>
    <row r="129" spans="2:13">
      <c r="B129" s="17" t="str">
        <f>IFERROR(INDEX('Detalles movimientos'!C$5:C$1003, MATCH(117, 'Detalles movimientos'!$T$5:$T$1003, 0)), "")</f>
        <v/>
      </c>
      <c r="C129" s="18" t="str">
        <f>IFERROR(INDEX('Detalles movimientos'!D$5:D$1003, MATCH(117, 'Detalles movimientos'!$T$5:$T$1003, 0)), "")</f>
        <v/>
      </c>
      <c r="D129" s="19" t="str">
        <f>IFERROR(INDEX('Detalles movimientos'!E$5:E$1003, MATCH(117, 'Detalles movimientos'!$T$5:$T$1003, 0)), "")</f>
        <v/>
      </c>
      <c r="E129" s="19" t="str">
        <f>IFERROR(INDEX('Detalles movimientos'!F$5:F$1003, MATCH(117, 'Detalles movimientos'!$T$5:$T$1003, 0)), "")</f>
        <v/>
      </c>
      <c r="F129" s="18" t="str">
        <f>IFERROR(INDEX('Detalles movimientos'!G$5:G$1003, MATCH(117, 'Detalles movimientos'!$T$5:$T$1003, 0)), "")</f>
        <v/>
      </c>
      <c r="G129" s="20" t="str">
        <f>IFERROR(INDEX('Detalles movimientos'!H$5:H$1003, MATCH(117, 'Detalles movimientos'!$T$5:$T$1003, 0)), "")</f>
        <v/>
      </c>
      <c r="H129" s="21" t="str">
        <f>IFERROR(INDEX('Detalles movimientos'!I$5:I$1003, MATCH(117, 'Detalles movimientos'!$T$5:$T$1003, 0)), "")</f>
        <v/>
      </c>
      <c r="I129" s="20" t="str">
        <f>IFERROR(INDEX('Detalles movimientos'!M$5:M$1003, MATCH(117, 'Detalles movimientos'!$T$5:$T$1003, 0)), "")</f>
        <v/>
      </c>
      <c r="J129" s="19" t="str">
        <f>IFERROR(INDEX('Detalles movimientos'!N$5:N$1003, MATCH(117, 'Detalles movimientos'!$T$5:$T$1003, 0)), "")</f>
        <v/>
      </c>
      <c r="K129" s="20" t="str">
        <f>IFERROR(INDEX('Detalles movimientos'!O$5:O$1003, MATCH(117, 'Detalles movimientos'!$T$5:$T$1003, 0)), "")</f>
        <v/>
      </c>
      <c r="L129" s="18" t="str">
        <f>IFERROR(INDEX('Detalles movimientos'!P$5:P$1003, MATCH(117, 'Detalles movimientos'!$T$5:$T$1003, 0)), "")</f>
        <v/>
      </c>
      <c r="M129" s="18" t="str">
        <f>IFERROR(INDEX('Detalles movimientos'!S$5:S$1003, MATCH(117, 'Detalles movimientos'!$T$5:$T$1003, 0)), "")</f>
        <v/>
      </c>
    </row>
    <row r="130" spans="2:13">
      <c r="B130" s="17" t="str">
        <f>IFERROR(INDEX('Detalles movimientos'!C$5:C$1003, MATCH(118, 'Detalles movimientos'!$T$5:$T$1003, 0)), "")</f>
        <v/>
      </c>
      <c r="C130" s="18" t="str">
        <f>IFERROR(INDEX('Detalles movimientos'!D$5:D$1003, MATCH(118, 'Detalles movimientos'!$T$5:$T$1003, 0)), "")</f>
        <v/>
      </c>
      <c r="D130" s="19" t="str">
        <f>IFERROR(INDEX('Detalles movimientos'!E$5:E$1003, MATCH(118, 'Detalles movimientos'!$T$5:$T$1003, 0)), "")</f>
        <v/>
      </c>
      <c r="E130" s="19" t="str">
        <f>IFERROR(INDEX('Detalles movimientos'!F$5:F$1003, MATCH(118, 'Detalles movimientos'!$T$5:$T$1003, 0)), "")</f>
        <v/>
      </c>
      <c r="F130" s="18" t="str">
        <f>IFERROR(INDEX('Detalles movimientos'!G$5:G$1003, MATCH(118, 'Detalles movimientos'!$T$5:$T$1003, 0)), "")</f>
        <v/>
      </c>
      <c r="G130" s="20" t="str">
        <f>IFERROR(INDEX('Detalles movimientos'!H$5:H$1003, MATCH(118, 'Detalles movimientos'!$T$5:$T$1003, 0)), "")</f>
        <v/>
      </c>
      <c r="H130" s="21" t="str">
        <f>IFERROR(INDEX('Detalles movimientos'!I$5:I$1003, MATCH(118, 'Detalles movimientos'!$T$5:$T$1003, 0)), "")</f>
        <v/>
      </c>
      <c r="I130" s="20" t="str">
        <f>IFERROR(INDEX('Detalles movimientos'!M$5:M$1003, MATCH(118, 'Detalles movimientos'!$T$5:$T$1003, 0)), "")</f>
        <v/>
      </c>
      <c r="J130" s="19" t="str">
        <f>IFERROR(INDEX('Detalles movimientos'!N$5:N$1003, MATCH(118, 'Detalles movimientos'!$T$5:$T$1003, 0)), "")</f>
        <v/>
      </c>
      <c r="K130" s="20" t="str">
        <f>IFERROR(INDEX('Detalles movimientos'!O$5:O$1003, MATCH(118, 'Detalles movimientos'!$T$5:$T$1003, 0)), "")</f>
        <v/>
      </c>
      <c r="L130" s="18" t="str">
        <f>IFERROR(INDEX('Detalles movimientos'!P$5:P$1003, MATCH(118, 'Detalles movimientos'!$T$5:$T$1003, 0)), "")</f>
        <v/>
      </c>
      <c r="M130" s="18" t="str">
        <f>IFERROR(INDEX('Detalles movimientos'!S$5:S$1003, MATCH(118, 'Detalles movimientos'!$T$5:$T$1003, 0)), "")</f>
        <v/>
      </c>
    </row>
    <row r="131" spans="2:13">
      <c r="B131" s="17" t="str">
        <f>IFERROR(INDEX('Detalles movimientos'!C$5:C$1003, MATCH(119, 'Detalles movimientos'!$T$5:$T$1003, 0)), "")</f>
        <v/>
      </c>
      <c r="C131" s="18" t="str">
        <f>IFERROR(INDEX('Detalles movimientos'!D$5:D$1003, MATCH(119, 'Detalles movimientos'!$T$5:$T$1003, 0)), "")</f>
        <v/>
      </c>
      <c r="D131" s="19" t="str">
        <f>IFERROR(INDEX('Detalles movimientos'!E$5:E$1003, MATCH(119, 'Detalles movimientos'!$T$5:$T$1003, 0)), "")</f>
        <v/>
      </c>
      <c r="E131" s="19" t="str">
        <f>IFERROR(INDEX('Detalles movimientos'!F$5:F$1003, MATCH(119, 'Detalles movimientos'!$T$5:$T$1003, 0)), "")</f>
        <v/>
      </c>
      <c r="F131" s="18" t="str">
        <f>IFERROR(INDEX('Detalles movimientos'!G$5:G$1003, MATCH(119, 'Detalles movimientos'!$T$5:$T$1003, 0)), "")</f>
        <v/>
      </c>
      <c r="G131" s="20" t="str">
        <f>IFERROR(INDEX('Detalles movimientos'!H$5:H$1003, MATCH(119, 'Detalles movimientos'!$T$5:$T$1003, 0)), "")</f>
        <v/>
      </c>
      <c r="H131" s="21" t="str">
        <f>IFERROR(INDEX('Detalles movimientos'!I$5:I$1003, MATCH(119, 'Detalles movimientos'!$T$5:$T$1003, 0)), "")</f>
        <v/>
      </c>
      <c r="I131" s="20" t="str">
        <f>IFERROR(INDEX('Detalles movimientos'!M$5:M$1003, MATCH(119, 'Detalles movimientos'!$T$5:$T$1003, 0)), "")</f>
        <v/>
      </c>
      <c r="J131" s="19" t="str">
        <f>IFERROR(INDEX('Detalles movimientos'!N$5:N$1003, MATCH(119, 'Detalles movimientos'!$T$5:$T$1003, 0)), "")</f>
        <v/>
      </c>
      <c r="K131" s="20" t="str">
        <f>IFERROR(INDEX('Detalles movimientos'!O$5:O$1003, MATCH(119, 'Detalles movimientos'!$T$5:$T$1003, 0)), "")</f>
        <v/>
      </c>
      <c r="L131" s="18" t="str">
        <f>IFERROR(INDEX('Detalles movimientos'!P$5:P$1003, MATCH(119, 'Detalles movimientos'!$T$5:$T$1003, 0)), "")</f>
        <v/>
      </c>
      <c r="M131" s="18" t="str">
        <f>IFERROR(INDEX('Detalles movimientos'!S$5:S$1003, MATCH(119, 'Detalles movimientos'!$T$5:$T$1003, 0)), "")</f>
        <v/>
      </c>
    </row>
    <row r="132" spans="2:13">
      <c r="B132" s="17" t="str">
        <f>IFERROR(INDEX('Detalles movimientos'!C$5:C$1003, MATCH(120, 'Detalles movimientos'!$T$5:$T$1003, 0)), "")</f>
        <v/>
      </c>
      <c r="C132" s="18" t="str">
        <f>IFERROR(INDEX('Detalles movimientos'!D$5:D$1003, MATCH(120, 'Detalles movimientos'!$T$5:$T$1003, 0)), "")</f>
        <v/>
      </c>
      <c r="D132" s="19" t="str">
        <f>IFERROR(INDEX('Detalles movimientos'!E$5:E$1003, MATCH(120, 'Detalles movimientos'!$T$5:$T$1003, 0)), "")</f>
        <v/>
      </c>
      <c r="E132" s="19" t="str">
        <f>IFERROR(INDEX('Detalles movimientos'!F$5:F$1003, MATCH(120, 'Detalles movimientos'!$T$5:$T$1003, 0)), "")</f>
        <v/>
      </c>
      <c r="F132" s="18" t="str">
        <f>IFERROR(INDEX('Detalles movimientos'!G$5:G$1003, MATCH(120, 'Detalles movimientos'!$T$5:$T$1003, 0)), "")</f>
        <v/>
      </c>
      <c r="G132" s="20" t="str">
        <f>IFERROR(INDEX('Detalles movimientos'!H$5:H$1003, MATCH(120, 'Detalles movimientos'!$T$5:$T$1003, 0)), "")</f>
        <v/>
      </c>
      <c r="H132" s="21" t="str">
        <f>IFERROR(INDEX('Detalles movimientos'!I$5:I$1003, MATCH(120, 'Detalles movimientos'!$T$5:$T$1003, 0)), "")</f>
        <v/>
      </c>
      <c r="I132" s="20" t="str">
        <f>IFERROR(INDEX('Detalles movimientos'!M$5:M$1003, MATCH(120, 'Detalles movimientos'!$T$5:$T$1003, 0)), "")</f>
        <v/>
      </c>
      <c r="J132" s="19" t="str">
        <f>IFERROR(INDEX('Detalles movimientos'!N$5:N$1003, MATCH(120, 'Detalles movimientos'!$T$5:$T$1003, 0)), "")</f>
        <v/>
      </c>
      <c r="K132" s="20" t="str">
        <f>IFERROR(INDEX('Detalles movimientos'!O$5:O$1003, MATCH(120, 'Detalles movimientos'!$T$5:$T$1003, 0)), "")</f>
        <v/>
      </c>
      <c r="L132" s="18" t="str">
        <f>IFERROR(INDEX('Detalles movimientos'!P$5:P$1003, MATCH(120, 'Detalles movimientos'!$T$5:$T$1003, 0)), "")</f>
        <v/>
      </c>
      <c r="M132" s="18" t="str">
        <f>IFERROR(INDEX('Detalles movimientos'!S$5:S$1003, MATCH(120, 'Detalles movimientos'!$T$5:$T$1003, 0)), "")</f>
        <v/>
      </c>
    </row>
    <row r="133" spans="2:13">
      <c r="B133" s="17" t="str">
        <f>IFERROR(INDEX('Detalles movimientos'!C$5:C$1003, MATCH(121, 'Detalles movimientos'!$T$5:$T$1003, 0)), "")</f>
        <v/>
      </c>
      <c r="C133" s="18" t="str">
        <f>IFERROR(INDEX('Detalles movimientos'!D$5:D$1003, MATCH(121, 'Detalles movimientos'!$T$5:$T$1003, 0)), "")</f>
        <v/>
      </c>
      <c r="D133" s="19" t="str">
        <f>IFERROR(INDEX('Detalles movimientos'!E$5:E$1003, MATCH(121, 'Detalles movimientos'!$T$5:$T$1003, 0)), "")</f>
        <v/>
      </c>
      <c r="E133" s="19" t="str">
        <f>IFERROR(INDEX('Detalles movimientos'!F$5:F$1003, MATCH(121, 'Detalles movimientos'!$T$5:$T$1003, 0)), "")</f>
        <v/>
      </c>
      <c r="F133" s="18" t="str">
        <f>IFERROR(INDEX('Detalles movimientos'!G$5:G$1003, MATCH(121, 'Detalles movimientos'!$T$5:$T$1003, 0)), "")</f>
        <v/>
      </c>
      <c r="G133" s="20" t="str">
        <f>IFERROR(INDEX('Detalles movimientos'!H$5:H$1003, MATCH(121, 'Detalles movimientos'!$T$5:$T$1003, 0)), "")</f>
        <v/>
      </c>
      <c r="H133" s="21" t="str">
        <f>IFERROR(INDEX('Detalles movimientos'!I$5:I$1003, MATCH(121, 'Detalles movimientos'!$T$5:$T$1003, 0)), "")</f>
        <v/>
      </c>
      <c r="I133" s="20" t="str">
        <f>IFERROR(INDEX('Detalles movimientos'!M$5:M$1003, MATCH(121, 'Detalles movimientos'!$T$5:$T$1003, 0)), "")</f>
        <v/>
      </c>
      <c r="J133" s="19" t="str">
        <f>IFERROR(INDEX('Detalles movimientos'!N$5:N$1003, MATCH(121, 'Detalles movimientos'!$T$5:$T$1003, 0)), "")</f>
        <v/>
      </c>
      <c r="K133" s="20" t="str">
        <f>IFERROR(INDEX('Detalles movimientos'!O$5:O$1003, MATCH(121, 'Detalles movimientos'!$T$5:$T$1003, 0)), "")</f>
        <v/>
      </c>
      <c r="L133" s="18" t="str">
        <f>IFERROR(INDEX('Detalles movimientos'!P$5:P$1003, MATCH(121, 'Detalles movimientos'!$T$5:$T$1003, 0)), "")</f>
        <v/>
      </c>
      <c r="M133" s="18" t="str">
        <f>IFERROR(INDEX('Detalles movimientos'!S$5:S$1003, MATCH(121, 'Detalles movimientos'!$T$5:$T$1003, 0)), "")</f>
        <v/>
      </c>
    </row>
    <row r="134" spans="2:13">
      <c r="B134" s="17" t="str">
        <f>IFERROR(INDEX('Detalles movimientos'!C$5:C$1003, MATCH(122, 'Detalles movimientos'!$T$5:$T$1003, 0)), "")</f>
        <v/>
      </c>
      <c r="C134" s="18" t="str">
        <f>IFERROR(INDEX('Detalles movimientos'!D$5:D$1003, MATCH(122, 'Detalles movimientos'!$T$5:$T$1003, 0)), "")</f>
        <v/>
      </c>
      <c r="D134" s="19" t="str">
        <f>IFERROR(INDEX('Detalles movimientos'!E$5:E$1003, MATCH(122, 'Detalles movimientos'!$T$5:$T$1003, 0)), "")</f>
        <v/>
      </c>
      <c r="E134" s="19" t="str">
        <f>IFERROR(INDEX('Detalles movimientos'!F$5:F$1003, MATCH(122, 'Detalles movimientos'!$T$5:$T$1003, 0)), "")</f>
        <v/>
      </c>
      <c r="F134" s="18" t="str">
        <f>IFERROR(INDEX('Detalles movimientos'!G$5:G$1003, MATCH(122, 'Detalles movimientos'!$T$5:$T$1003, 0)), "")</f>
        <v/>
      </c>
      <c r="G134" s="20" t="str">
        <f>IFERROR(INDEX('Detalles movimientos'!H$5:H$1003, MATCH(122, 'Detalles movimientos'!$T$5:$T$1003, 0)), "")</f>
        <v/>
      </c>
      <c r="H134" s="21" t="str">
        <f>IFERROR(INDEX('Detalles movimientos'!I$5:I$1003, MATCH(122, 'Detalles movimientos'!$T$5:$T$1003, 0)), "")</f>
        <v/>
      </c>
      <c r="I134" s="20" t="str">
        <f>IFERROR(INDEX('Detalles movimientos'!M$5:M$1003, MATCH(122, 'Detalles movimientos'!$T$5:$T$1003, 0)), "")</f>
        <v/>
      </c>
      <c r="J134" s="19" t="str">
        <f>IFERROR(INDEX('Detalles movimientos'!N$5:N$1003, MATCH(122, 'Detalles movimientos'!$T$5:$T$1003, 0)), "")</f>
        <v/>
      </c>
      <c r="K134" s="20" t="str">
        <f>IFERROR(INDEX('Detalles movimientos'!O$5:O$1003, MATCH(122, 'Detalles movimientos'!$T$5:$T$1003, 0)), "")</f>
        <v/>
      </c>
      <c r="L134" s="18" t="str">
        <f>IFERROR(INDEX('Detalles movimientos'!P$5:P$1003, MATCH(122, 'Detalles movimientos'!$T$5:$T$1003, 0)), "")</f>
        <v/>
      </c>
      <c r="M134" s="18" t="str">
        <f>IFERROR(INDEX('Detalles movimientos'!S$5:S$1003, MATCH(122, 'Detalles movimientos'!$T$5:$T$1003, 0)), "")</f>
        <v/>
      </c>
    </row>
    <row r="135" spans="2:13">
      <c r="B135" s="17" t="str">
        <f>IFERROR(INDEX('Detalles movimientos'!C$5:C$1003, MATCH(123, 'Detalles movimientos'!$T$5:$T$1003, 0)), "")</f>
        <v/>
      </c>
      <c r="C135" s="18" t="str">
        <f>IFERROR(INDEX('Detalles movimientos'!D$5:D$1003, MATCH(123, 'Detalles movimientos'!$T$5:$T$1003, 0)), "")</f>
        <v/>
      </c>
      <c r="D135" s="19" t="str">
        <f>IFERROR(INDEX('Detalles movimientos'!E$5:E$1003, MATCH(123, 'Detalles movimientos'!$T$5:$T$1003, 0)), "")</f>
        <v/>
      </c>
      <c r="E135" s="19" t="str">
        <f>IFERROR(INDEX('Detalles movimientos'!F$5:F$1003, MATCH(123, 'Detalles movimientos'!$T$5:$T$1003, 0)), "")</f>
        <v/>
      </c>
      <c r="F135" s="18" t="str">
        <f>IFERROR(INDEX('Detalles movimientos'!G$5:G$1003, MATCH(123, 'Detalles movimientos'!$T$5:$T$1003, 0)), "")</f>
        <v/>
      </c>
      <c r="G135" s="20" t="str">
        <f>IFERROR(INDEX('Detalles movimientos'!H$5:H$1003, MATCH(123, 'Detalles movimientos'!$T$5:$T$1003, 0)), "")</f>
        <v/>
      </c>
      <c r="H135" s="21" t="str">
        <f>IFERROR(INDEX('Detalles movimientos'!I$5:I$1003, MATCH(123, 'Detalles movimientos'!$T$5:$T$1003, 0)), "")</f>
        <v/>
      </c>
      <c r="I135" s="20" t="str">
        <f>IFERROR(INDEX('Detalles movimientos'!M$5:M$1003, MATCH(123, 'Detalles movimientos'!$T$5:$T$1003, 0)), "")</f>
        <v/>
      </c>
      <c r="J135" s="19" t="str">
        <f>IFERROR(INDEX('Detalles movimientos'!N$5:N$1003, MATCH(123, 'Detalles movimientos'!$T$5:$T$1003, 0)), "")</f>
        <v/>
      </c>
      <c r="K135" s="20" t="str">
        <f>IFERROR(INDEX('Detalles movimientos'!O$5:O$1003, MATCH(123, 'Detalles movimientos'!$T$5:$T$1003, 0)), "")</f>
        <v/>
      </c>
      <c r="L135" s="18" t="str">
        <f>IFERROR(INDEX('Detalles movimientos'!P$5:P$1003, MATCH(123, 'Detalles movimientos'!$T$5:$T$1003, 0)), "")</f>
        <v/>
      </c>
      <c r="M135" s="18" t="str">
        <f>IFERROR(INDEX('Detalles movimientos'!S$5:S$1003, MATCH(123, 'Detalles movimientos'!$T$5:$T$1003, 0)), "")</f>
        <v/>
      </c>
    </row>
    <row r="136" spans="2:13">
      <c r="B136" s="17" t="str">
        <f>IFERROR(INDEX('Detalles movimientos'!C$5:C$1003, MATCH(124, 'Detalles movimientos'!$T$5:$T$1003, 0)), "")</f>
        <v/>
      </c>
      <c r="C136" s="18" t="str">
        <f>IFERROR(INDEX('Detalles movimientos'!D$5:D$1003, MATCH(124, 'Detalles movimientos'!$T$5:$T$1003, 0)), "")</f>
        <v/>
      </c>
      <c r="D136" s="19" t="str">
        <f>IFERROR(INDEX('Detalles movimientos'!E$5:E$1003, MATCH(124, 'Detalles movimientos'!$T$5:$T$1003, 0)), "")</f>
        <v/>
      </c>
      <c r="E136" s="19" t="str">
        <f>IFERROR(INDEX('Detalles movimientos'!F$5:F$1003, MATCH(124, 'Detalles movimientos'!$T$5:$T$1003, 0)), "")</f>
        <v/>
      </c>
      <c r="F136" s="18" t="str">
        <f>IFERROR(INDEX('Detalles movimientos'!G$5:G$1003, MATCH(124, 'Detalles movimientos'!$T$5:$T$1003, 0)), "")</f>
        <v/>
      </c>
      <c r="G136" s="20" t="str">
        <f>IFERROR(INDEX('Detalles movimientos'!H$5:H$1003, MATCH(124, 'Detalles movimientos'!$T$5:$T$1003, 0)), "")</f>
        <v/>
      </c>
      <c r="H136" s="21" t="str">
        <f>IFERROR(INDEX('Detalles movimientos'!I$5:I$1003, MATCH(124, 'Detalles movimientos'!$T$5:$T$1003, 0)), "")</f>
        <v/>
      </c>
      <c r="I136" s="20" t="str">
        <f>IFERROR(INDEX('Detalles movimientos'!M$5:M$1003, MATCH(124, 'Detalles movimientos'!$T$5:$T$1003, 0)), "")</f>
        <v/>
      </c>
      <c r="J136" s="19" t="str">
        <f>IFERROR(INDEX('Detalles movimientos'!N$5:N$1003, MATCH(124, 'Detalles movimientos'!$T$5:$T$1003, 0)), "")</f>
        <v/>
      </c>
      <c r="K136" s="20" t="str">
        <f>IFERROR(INDEX('Detalles movimientos'!O$5:O$1003, MATCH(124, 'Detalles movimientos'!$T$5:$T$1003, 0)), "")</f>
        <v/>
      </c>
      <c r="L136" s="18" t="str">
        <f>IFERROR(INDEX('Detalles movimientos'!P$5:P$1003, MATCH(124, 'Detalles movimientos'!$T$5:$T$1003, 0)), "")</f>
        <v/>
      </c>
      <c r="M136" s="18" t="str">
        <f>IFERROR(INDEX('Detalles movimientos'!S$5:S$1003, MATCH(124, 'Detalles movimientos'!$T$5:$T$1003, 0)), "")</f>
        <v/>
      </c>
    </row>
    <row r="137" spans="2:13">
      <c r="B137" s="17" t="str">
        <f>IFERROR(INDEX('Detalles movimientos'!C$5:C$1003, MATCH(125, 'Detalles movimientos'!$T$5:$T$1003, 0)), "")</f>
        <v/>
      </c>
      <c r="C137" s="18" t="str">
        <f>IFERROR(INDEX('Detalles movimientos'!D$5:D$1003, MATCH(125, 'Detalles movimientos'!$T$5:$T$1003, 0)), "")</f>
        <v/>
      </c>
      <c r="D137" s="19" t="str">
        <f>IFERROR(INDEX('Detalles movimientos'!E$5:E$1003, MATCH(125, 'Detalles movimientos'!$T$5:$T$1003, 0)), "")</f>
        <v/>
      </c>
      <c r="E137" s="19" t="str">
        <f>IFERROR(INDEX('Detalles movimientos'!F$5:F$1003, MATCH(125, 'Detalles movimientos'!$T$5:$T$1003, 0)), "")</f>
        <v/>
      </c>
      <c r="F137" s="18" t="str">
        <f>IFERROR(INDEX('Detalles movimientos'!G$5:G$1003, MATCH(125, 'Detalles movimientos'!$T$5:$T$1003, 0)), "")</f>
        <v/>
      </c>
      <c r="G137" s="20" t="str">
        <f>IFERROR(INDEX('Detalles movimientos'!H$5:H$1003, MATCH(125, 'Detalles movimientos'!$T$5:$T$1003, 0)), "")</f>
        <v/>
      </c>
      <c r="H137" s="21" t="str">
        <f>IFERROR(INDEX('Detalles movimientos'!I$5:I$1003, MATCH(125, 'Detalles movimientos'!$T$5:$T$1003, 0)), "")</f>
        <v/>
      </c>
      <c r="I137" s="20" t="str">
        <f>IFERROR(INDEX('Detalles movimientos'!M$5:M$1003, MATCH(125, 'Detalles movimientos'!$T$5:$T$1003, 0)), "")</f>
        <v/>
      </c>
      <c r="J137" s="19" t="str">
        <f>IFERROR(INDEX('Detalles movimientos'!N$5:N$1003, MATCH(125, 'Detalles movimientos'!$T$5:$T$1003, 0)), "")</f>
        <v/>
      </c>
      <c r="K137" s="20" t="str">
        <f>IFERROR(INDEX('Detalles movimientos'!O$5:O$1003, MATCH(125, 'Detalles movimientos'!$T$5:$T$1003, 0)), "")</f>
        <v/>
      </c>
      <c r="L137" s="18" t="str">
        <f>IFERROR(INDEX('Detalles movimientos'!P$5:P$1003, MATCH(125, 'Detalles movimientos'!$T$5:$T$1003, 0)), "")</f>
        <v/>
      </c>
      <c r="M137" s="18" t="str">
        <f>IFERROR(INDEX('Detalles movimientos'!S$5:S$1003, MATCH(125, 'Detalles movimientos'!$T$5:$T$1003, 0)), "")</f>
        <v/>
      </c>
    </row>
    <row r="138" spans="2:13">
      <c r="B138" s="17" t="str">
        <f>IFERROR(INDEX('Detalles movimientos'!C$5:C$1003, MATCH(126, 'Detalles movimientos'!$T$5:$T$1003, 0)), "")</f>
        <v/>
      </c>
      <c r="C138" s="18" t="str">
        <f>IFERROR(INDEX('Detalles movimientos'!D$5:D$1003, MATCH(126, 'Detalles movimientos'!$T$5:$T$1003, 0)), "")</f>
        <v/>
      </c>
      <c r="D138" s="19" t="str">
        <f>IFERROR(INDEX('Detalles movimientos'!E$5:E$1003, MATCH(126, 'Detalles movimientos'!$T$5:$T$1003, 0)), "")</f>
        <v/>
      </c>
      <c r="E138" s="19" t="str">
        <f>IFERROR(INDEX('Detalles movimientos'!F$5:F$1003, MATCH(126, 'Detalles movimientos'!$T$5:$T$1003, 0)), "")</f>
        <v/>
      </c>
      <c r="F138" s="18" t="str">
        <f>IFERROR(INDEX('Detalles movimientos'!G$5:G$1003, MATCH(126, 'Detalles movimientos'!$T$5:$T$1003, 0)), "")</f>
        <v/>
      </c>
      <c r="G138" s="20" t="str">
        <f>IFERROR(INDEX('Detalles movimientos'!H$5:H$1003, MATCH(126, 'Detalles movimientos'!$T$5:$T$1003, 0)), "")</f>
        <v/>
      </c>
      <c r="H138" s="21" t="str">
        <f>IFERROR(INDEX('Detalles movimientos'!I$5:I$1003, MATCH(126, 'Detalles movimientos'!$T$5:$T$1003, 0)), "")</f>
        <v/>
      </c>
      <c r="I138" s="20" t="str">
        <f>IFERROR(INDEX('Detalles movimientos'!M$5:M$1003, MATCH(126, 'Detalles movimientos'!$T$5:$T$1003, 0)), "")</f>
        <v/>
      </c>
      <c r="J138" s="19" t="str">
        <f>IFERROR(INDEX('Detalles movimientos'!N$5:N$1003, MATCH(126, 'Detalles movimientos'!$T$5:$T$1003, 0)), "")</f>
        <v/>
      </c>
      <c r="K138" s="20" t="str">
        <f>IFERROR(INDEX('Detalles movimientos'!O$5:O$1003, MATCH(126, 'Detalles movimientos'!$T$5:$T$1003, 0)), "")</f>
        <v/>
      </c>
      <c r="L138" s="18" t="str">
        <f>IFERROR(INDEX('Detalles movimientos'!P$5:P$1003, MATCH(126, 'Detalles movimientos'!$T$5:$T$1003, 0)), "")</f>
        <v/>
      </c>
      <c r="M138" s="18" t="str">
        <f>IFERROR(INDEX('Detalles movimientos'!S$5:S$1003, MATCH(126, 'Detalles movimientos'!$T$5:$T$1003, 0)), "")</f>
        <v/>
      </c>
    </row>
    <row r="139" spans="2:13">
      <c r="B139" s="17" t="str">
        <f>IFERROR(INDEX('Detalles movimientos'!C$5:C$1003, MATCH(127, 'Detalles movimientos'!$T$5:$T$1003, 0)), "")</f>
        <v/>
      </c>
      <c r="C139" s="18" t="str">
        <f>IFERROR(INDEX('Detalles movimientos'!D$5:D$1003, MATCH(127, 'Detalles movimientos'!$T$5:$T$1003, 0)), "")</f>
        <v/>
      </c>
      <c r="D139" s="19" t="str">
        <f>IFERROR(INDEX('Detalles movimientos'!E$5:E$1003, MATCH(127, 'Detalles movimientos'!$T$5:$T$1003, 0)), "")</f>
        <v/>
      </c>
      <c r="E139" s="19" t="str">
        <f>IFERROR(INDEX('Detalles movimientos'!F$5:F$1003, MATCH(127, 'Detalles movimientos'!$T$5:$T$1003, 0)), "")</f>
        <v/>
      </c>
      <c r="F139" s="18" t="str">
        <f>IFERROR(INDEX('Detalles movimientos'!G$5:G$1003, MATCH(127, 'Detalles movimientos'!$T$5:$T$1003, 0)), "")</f>
        <v/>
      </c>
      <c r="G139" s="20" t="str">
        <f>IFERROR(INDEX('Detalles movimientos'!H$5:H$1003, MATCH(127, 'Detalles movimientos'!$T$5:$T$1003, 0)), "")</f>
        <v/>
      </c>
      <c r="H139" s="21" t="str">
        <f>IFERROR(INDEX('Detalles movimientos'!I$5:I$1003, MATCH(127, 'Detalles movimientos'!$T$5:$T$1003, 0)), "")</f>
        <v/>
      </c>
      <c r="I139" s="20" t="str">
        <f>IFERROR(INDEX('Detalles movimientos'!M$5:M$1003, MATCH(127, 'Detalles movimientos'!$T$5:$T$1003, 0)), "")</f>
        <v/>
      </c>
      <c r="J139" s="19" t="str">
        <f>IFERROR(INDEX('Detalles movimientos'!N$5:N$1003, MATCH(127, 'Detalles movimientos'!$T$5:$T$1003, 0)), "")</f>
        <v/>
      </c>
      <c r="K139" s="20" t="str">
        <f>IFERROR(INDEX('Detalles movimientos'!O$5:O$1003, MATCH(127, 'Detalles movimientos'!$T$5:$T$1003, 0)), "")</f>
        <v/>
      </c>
      <c r="L139" s="18" t="str">
        <f>IFERROR(INDEX('Detalles movimientos'!P$5:P$1003, MATCH(127, 'Detalles movimientos'!$T$5:$T$1003, 0)), "")</f>
        <v/>
      </c>
      <c r="M139" s="18" t="str">
        <f>IFERROR(INDEX('Detalles movimientos'!S$5:S$1003, MATCH(127, 'Detalles movimientos'!$T$5:$T$1003, 0)), "")</f>
        <v/>
      </c>
    </row>
    <row r="140" spans="2:13">
      <c r="B140" s="17" t="str">
        <f>IFERROR(INDEX('Detalles movimientos'!C$5:C$1003, MATCH(128, 'Detalles movimientos'!$T$5:$T$1003, 0)), "")</f>
        <v/>
      </c>
      <c r="C140" s="18" t="str">
        <f>IFERROR(INDEX('Detalles movimientos'!D$5:D$1003, MATCH(128, 'Detalles movimientos'!$T$5:$T$1003, 0)), "")</f>
        <v/>
      </c>
      <c r="D140" s="19" t="str">
        <f>IFERROR(INDEX('Detalles movimientos'!E$5:E$1003, MATCH(128, 'Detalles movimientos'!$T$5:$T$1003, 0)), "")</f>
        <v/>
      </c>
      <c r="E140" s="19" t="str">
        <f>IFERROR(INDEX('Detalles movimientos'!F$5:F$1003, MATCH(128, 'Detalles movimientos'!$T$5:$T$1003, 0)), "")</f>
        <v/>
      </c>
      <c r="F140" s="18" t="str">
        <f>IFERROR(INDEX('Detalles movimientos'!G$5:G$1003, MATCH(128, 'Detalles movimientos'!$T$5:$T$1003, 0)), "")</f>
        <v/>
      </c>
      <c r="G140" s="20" t="str">
        <f>IFERROR(INDEX('Detalles movimientos'!H$5:H$1003, MATCH(128, 'Detalles movimientos'!$T$5:$T$1003, 0)), "")</f>
        <v/>
      </c>
      <c r="H140" s="21" t="str">
        <f>IFERROR(INDEX('Detalles movimientos'!I$5:I$1003, MATCH(128, 'Detalles movimientos'!$T$5:$T$1003, 0)), "")</f>
        <v/>
      </c>
      <c r="I140" s="20" t="str">
        <f>IFERROR(INDEX('Detalles movimientos'!M$5:M$1003, MATCH(128, 'Detalles movimientos'!$T$5:$T$1003, 0)), "")</f>
        <v/>
      </c>
      <c r="J140" s="19" t="str">
        <f>IFERROR(INDEX('Detalles movimientos'!N$5:N$1003, MATCH(128, 'Detalles movimientos'!$T$5:$T$1003, 0)), "")</f>
        <v/>
      </c>
      <c r="K140" s="20" t="str">
        <f>IFERROR(INDEX('Detalles movimientos'!O$5:O$1003, MATCH(128, 'Detalles movimientos'!$T$5:$T$1003, 0)), "")</f>
        <v/>
      </c>
      <c r="L140" s="18" t="str">
        <f>IFERROR(INDEX('Detalles movimientos'!P$5:P$1003, MATCH(128, 'Detalles movimientos'!$T$5:$T$1003, 0)), "")</f>
        <v/>
      </c>
      <c r="M140" s="18" t="str">
        <f>IFERROR(INDEX('Detalles movimientos'!S$5:S$1003, MATCH(128, 'Detalles movimientos'!$T$5:$T$1003, 0)), "")</f>
        <v/>
      </c>
    </row>
    <row r="141" spans="2:13">
      <c r="B141" s="17" t="str">
        <f>IFERROR(INDEX('Detalles movimientos'!C$5:C$1003, MATCH(129, 'Detalles movimientos'!$T$5:$T$1003, 0)), "")</f>
        <v/>
      </c>
      <c r="C141" s="18" t="str">
        <f>IFERROR(INDEX('Detalles movimientos'!D$5:D$1003, MATCH(129, 'Detalles movimientos'!$T$5:$T$1003, 0)), "")</f>
        <v/>
      </c>
      <c r="D141" s="19" t="str">
        <f>IFERROR(INDEX('Detalles movimientos'!E$5:E$1003, MATCH(129, 'Detalles movimientos'!$T$5:$T$1003, 0)), "")</f>
        <v/>
      </c>
      <c r="E141" s="19" t="str">
        <f>IFERROR(INDEX('Detalles movimientos'!F$5:F$1003, MATCH(129, 'Detalles movimientos'!$T$5:$T$1003, 0)), "")</f>
        <v/>
      </c>
      <c r="F141" s="18" t="str">
        <f>IFERROR(INDEX('Detalles movimientos'!G$5:G$1003, MATCH(129, 'Detalles movimientos'!$T$5:$T$1003, 0)), "")</f>
        <v/>
      </c>
      <c r="G141" s="20" t="str">
        <f>IFERROR(INDEX('Detalles movimientos'!H$5:H$1003, MATCH(129, 'Detalles movimientos'!$T$5:$T$1003, 0)), "")</f>
        <v/>
      </c>
      <c r="H141" s="21" t="str">
        <f>IFERROR(INDEX('Detalles movimientos'!I$5:I$1003, MATCH(129, 'Detalles movimientos'!$T$5:$T$1003, 0)), "")</f>
        <v/>
      </c>
      <c r="I141" s="20" t="str">
        <f>IFERROR(INDEX('Detalles movimientos'!M$5:M$1003, MATCH(129, 'Detalles movimientos'!$T$5:$T$1003, 0)), "")</f>
        <v/>
      </c>
      <c r="J141" s="19" t="str">
        <f>IFERROR(INDEX('Detalles movimientos'!N$5:N$1003, MATCH(129, 'Detalles movimientos'!$T$5:$T$1003, 0)), "")</f>
        <v/>
      </c>
      <c r="K141" s="20" t="str">
        <f>IFERROR(INDEX('Detalles movimientos'!O$5:O$1003, MATCH(129, 'Detalles movimientos'!$T$5:$T$1003, 0)), "")</f>
        <v/>
      </c>
      <c r="L141" s="18" t="str">
        <f>IFERROR(INDEX('Detalles movimientos'!P$5:P$1003, MATCH(129, 'Detalles movimientos'!$T$5:$T$1003, 0)), "")</f>
        <v/>
      </c>
      <c r="M141" s="18" t="str">
        <f>IFERROR(INDEX('Detalles movimientos'!S$5:S$1003, MATCH(129, 'Detalles movimientos'!$T$5:$T$1003, 0)), "")</f>
        <v/>
      </c>
    </row>
    <row r="142" spans="2:13">
      <c r="B142" s="17" t="str">
        <f>IFERROR(INDEX('Detalles movimientos'!C$5:C$1003, MATCH(130, 'Detalles movimientos'!$T$5:$T$1003, 0)), "")</f>
        <v/>
      </c>
      <c r="C142" s="18" t="str">
        <f>IFERROR(INDEX('Detalles movimientos'!D$5:D$1003, MATCH(130, 'Detalles movimientos'!$T$5:$T$1003, 0)), "")</f>
        <v/>
      </c>
      <c r="D142" s="19" t="str">
        <f>IFERROR(INDEX('Detalles movimientos'!E$5:E$1003, MATCH(130, 'Detalles movimientos'!$T$5:$T$1003, 0)), "")</f>
        <v/>
      </c>
      <c r="E142" s="19" t="str">
        <f>IFERROR(INDEX('Detalles movimientos'!F$5:F$1003, MATCH(130, 'Detalles movimientos'!$T$5:$T$1003, 0)), "")</f>
        <v/>
      </c>
      <c r="F142" s="18" t="str">
        <f>IFERROR(INDEX('Detalles movimientos'!G$5:G$1003, MATCH(130, 'Detalles movimientos'!$T$5:$T$1003, 0)), "")</f>
        <v/>
      </c>
      <c r="G142" s="20" t="str">
        <f>IFERROR(INDEX('Detalles movimientos'!H$5:H$1003, MATCH(130, 'Detalles movimientos'!$T$5:$T$1003, 0)), "")</f>
        <v/>
      </c>
      <c r="H142" s="21" t="str">
        <f>IFERROR(INDEX('Detalles movimientos'!I$5:I$1003, MATCH(130, 'Detalles movimientos'!$T$5:$T$1003, 0)), "")</f>
        <v/>
      </c>
      <c r="I142" s="20" t="str">
        <f>IFERROR(INDEX('Detalles movimientos'!M$5:M$1003, MATCH(130, 'Detalles movimientos'!$T$5:$T$1003, 0)), "")</f>
        <v/>
      </c>
      <c r="J142" s="19" t="str">
        <f>IFERROR(INDEX('Detalles movimientos'!N$5:N$1003, MATCH(130, 'Detalles movimientos'!$T$5:$T$1003, 0)), "")</f>
        <v/>
      </c>
      <c r="K142" s="20" t="str">
        <f>IFERROR(INDEX('Detalles movimientos'!O$5:O$1003, MATCH(130, 'Detalles movimientos'!$T$5:$T$1003, 0)), "")</f>
        <v/>
      </c>
      <c r="L142" s="18" t="str">
        <f>IFERROR(INDEX('Detalles movimientos'!P$5:P$1003, MATCH(130, 'Detalles movimientos'!$T$5:$T$1003, 0)), "")</f>
        <v/>
      </c>
      <c r="M142" s="18" t="str">
        <f>IFERROR(INDEX('Detalles movimientos'!S$5:S$1003, MATCH(130, 'Detalles movimientos'!$T$5:$T$1003, 0)), "")</f>
        <v/>
      </c>
    </row>
    <row r="143" spans="2:13">
      <c r="B143" s="17" t="str">
        <f>IFERROR(INDEX('Detalles movimientos'!C$5:C$1003, MATCH(131, 'Detalles movimientos'!$T$5:$T$1003, 0)), "")</f>
        <v/>
      </c>
      <c r="C143" s="18" t="str">
        <f>IFERROR(INDEX('Detalles movimientos'!D$5:D$1003, MATCH(131, 'Detalles movimientos'!$T$5:$T$1003, 0)), "")</f>
        <v/>
      </c>
      <c r="D143" s="19" t="str">
        <f>IFERROR(INDEX('Detalles movimientos'!E$5:E$1003, MATCH(131, 'Detalles movimientos'!$T$5:$T$1003, 0)), "")</f>
        <v/>
      </c>
      <c r="E143" s="19" t="str">
        <f>IFERROR(INDEX('Detalles movimientos'!F$5:F$1003, MATCH(131, 'Detalles movimientos'!$T$5:$T$1003, 0)), "")</f>
        <v/>
      </c>
      <c r="F143" s="18" t="str">
        <f>IFERROR(INDEX('Detalles movimientos'!G$5:G$1003, MATCH(131, 'Detalles movimientos'!$T$5:$T$1003, 0)), "")</f>
        <v/>
      </c>
      <c r="G143" s="20" t="str">
        <f>IFERROR(INDEX('Detalles movimientos'!H$5:H$1003, MATCH(131, 'Detalles movimientos'!$T$5:$T$1003, 0)), "")</f>
        <v/>
      </c>
      <c r="H143" s="21" t="str">
        <f>IFERROR(INDEX('Detalles movimientos'!I$5:I$1003, MATCH(131, 'Detalles movimientos'!$T$5:$T$1003, 0)), "")</f>
        <v/>
      </c>
      <c r="I143" s="20" t="str">
        <f>IFERROR(INDEX('Detalles movimientos'!M$5:M$1003, MATCH(131, 'Detalles movimientos'!$T$5:$T$1003, 0)), "")</f>
        <v/>
      </c>
      <c r="J143" s="19" t="str">
        <f>IFERROR(INDEX('Detalles movimientos'!N$5:N$1003, MATCH(131, 'Detalles movimientos'!$T$5:$T$1003, 0)), "")</f>
        <v/>
      </c>
      <c r="K143" s="20" t="str">
        <f>IFERROR(INDEX('Detalles movimientos'!O$5:O$1003, MATCH(131, 'Detalles movimientos'!$T$5:$T$1003, 0)), "")</f>
        <v/>
      </c>
      <c r="L143" s="18" t="str">
        <f>IFERROR(INDEX('Detalles movimientos'!P$5:P$1003, MATCH(131, 'Detalles movimientos'!$T$5:$T$1003, 0)), "")</f>
        <v/>
      </c>
      <c r="M143" s="18" t="str">
        <f>IFERROR(INDEX('Detalles movimientos'!S$5:S$1003, MATCH(131, 'Detalles movimientos'!$T$5:$T$1003, 0)), "")</f>
        <v/>
      </c>
    </row>
    <row r="144" spans="2:13">
      <c r="B144" s="17" t="str">
        <f>IFERROR(INDEX('Detalles movimientos'!C$5:C$1003, MATCH(132, 'Detalles movimientos'!$T$5:$T$1003, 0)), "")</f>
        <v/>
      </c>
      <c r="C144" s="18" t="str">
        <f>IFERROR(INDEX('Detalles movimientos'!D$5:D$1003, MATCH(132, 'Detalles movimientos'!$T$5:$T$1003, 0)), "")</f>
        <v/>
      </c>
      <c r="D144" s="19" t="str">
        <f>IFERROR(INDEX('Detalles movimientos'!E$5:E$1003, MATCH(132, 'Detalles movimientos'!$T$5:$T$1003, 0)), "")</f>
        <v/>
      </c>
      <c r="E144" s="19" t="str">
        <f>IFERROR(INDEX('Detalles movimientos'!F$5:F$1003, MATCH(132, 'Detalles movimientos'!$T$5:$T$1003, 0)), "")</f>
        <v/>
      </c>
      <c r="F144" s="18" t="str">
        <f>IFERROR(INDEX('Detalles movimientos'!G$5:G$1003, MATCH(132, 'Detalles movimientos'!$T$5:$T$1003, 0)), "")</f>
        <v/>
      </c>
      <c r="G144" s="20" t="str">
        <f>IFERROR(INDEX('Detalles movimientos'!H$5:H$1003, MATCH(132, 'Detalles movimientos'!$T$5:$T$1003, 0)), "")</f>
        <v/>
      </c>
      <c r="H144" s="21" t="str">
        <f>IFERROR(INDEX('Detalles movimientos'!I$5:I$1003, MATCH(132, 'Detalles movimientos'!$T$5:$T$1003, 0)), "")</f>
        <v/>
      </c>
      <c r="I144" s="20" t="str">
        <f>IFERROR(INDEX('Detalles movimientos'!M$5:M$1003, MATCH(132, 'Detalles movimientos'!$T$5:$T$1003, 0)), "")</f>
        <v/>
      </c>
      <c r="J144" s="19" t="str">
        <f>IFERROR(INDEX('Detalles movimientos'!N$5:N$1003, MATCH(132, 'Detalles movimientos'!$T$5:$T$1003, 0)), "")</f>
        <v/>
      </c>
      <c r="K144" s="20" t="str">
        <f>IFERROR(INDEX('Detalles movimientos'!O$5:O$1003, MATCH(132, 'Detalles movimientos'!$T$5:$T$1003, 0)), "")</f>
        <v/>
      </c>
      <c r="L144" s="18" t="str">
        <f>IFERROR(INDEX('Detalles movimientos'!P$5:P$1003, MATCH(132, 'Detalles movimientos'!$T$5:$T$1003, 0)), "")</f>
        <v/>
      </c>
      <c r="M144" s="18" t="str">
        <f>IFERROR(INDEX('Detalles movimientos'!S$5:S$1003, MATCH(132, 'Detalles movimientos'!$T$5:$T$1003, 0)), "")</f>
        <v/>
      </c>
    </row>
    <row r="145" spans="2:13">
      <c r="B145" s="17" t="str">
        <f>IFERROR(INDEX('Detalles movimientos'!C$5:C$1003, MATCH(133, 'Detalles movimientos'!$T$5:$T$1003, 0)), "")</f>
        <v/>
      </c>
      <c r="C145" s="18" t="str">
        <f>IFERROR(INDEX('Detalles movimientos'!D$5:D$1003, MATCH(133, 'Detalles movimientos'!$T$5:$T$1003, 0)), "")</f>
        <v/>
      </c>
      <c r="D145" s="19" t="str">
        <f>IFERROR(INDEX('Detalles movimientos'!E$5:E$1003, MATCH(133, 'Detalles movimientos'!$T$5:$T$1003, 0)), "")</f>
        <v/>
      </c>
      <c r="E145" s="19" t="str">
        <f>IFERROR(INDEX('Detalles movimientos'!F$5:F$1003, MATCH(133, 'Detalles movimientos'!$T$5:$T$1003, 0)), "")</f>
        <v/>
      </c>
      <c r="F145" s="18" t="str">
        <f>IFERROR(INDEX('Detalles movimientos'!G$5:G$1003, MATCH(133, 'Detalles movimientos'!$T$5:$T$1003, 0)), "")</f>
        <v/>
      </c>
      <c r="G145" s="20" t="str">
        <f>IFERROR(INDEX('Detalles movimientos'!H$5:H$1003, MATCH(133, 'Detalles movimientos'!$T$5:$T$1003, 0)), "")</f>
        <v/>
      </c>
      <c r="H145" s="21" t="str">
        <f>IFERROR(INDEX('Detalles movimientos'!I$5:I$1003, MATCH(133, 'Detalles movimientos'!$T$5:$T$1003, 0)), "")</f>
        <v/>
      </c>
      <c r="I145" s="20" t="str">
        <f>IFERROR(INDEX('Detalles movimientos'!M$5:M$1003, MATCH(133, 'Detalles movimientos'!$T$5:$T$1003, 0)), "")</f>
        <v/>
      </c>
      <c r="J145" s="19" t="str">
        <f>IFERROR(INDEX('Detalles movimientos'!N$5:N$1003, MATCH(133, 'Detalles movimientos'!$T$5:$T$1003, 0)), "")</f>
        <v/>
      </c>
      <c r="K145" s="20" t="str">
        <f>IFERROR(INDEX('Detalles movimientos'!O$5:O$1003, MATCH(133, 'Detalles movimientos'!$T$5:$T$1003, 0)), "")</f>
        <v/>
      </c>
      <c r="L145" s="18" t="str">
        <f>IFERROR(INDEX('Detalles movimientos'!P$5:P$1003, MATCH(133, 'Detalles movimientos'!$T$5:$T$1003, 0)), "")</f>
        <v/>
      </c>
      <c r="M145" s="18" t="str">
        <f>IFERROR(INDEX('Detalles movimientos'!S$5:S$1003, MATCH(133, 'Detalles movimientos'!$T$5:$T$1003, 0)), "")</f>
        <v/>
      </c>
    </row>
    <row r="146" spans="2:13">
      <c r="B146" s="17" t="str">
        <f>IFERROR(INDEX('Detalles movimientos'!C$5:C$1003, MATCH(134, 'Detalles movimientos'!$T$5:$T$1003, 0)), "")</f>
        <v/>
      </c>
      <c r="C146" s="18" t="str">
        <f>IFERROR(INDEX('Detalles movimientos'!D$5:D$1003, MATCH(134, 'Detalles movimientos'!$T$5:$T$1003, 0)), "")</f>
        <v/>
      </c>
      <c r="D146" s="19" t="str">
        <f>IFERROR(INDEX('Detalles movimientos'!E$5:E$1003, MATCH(134, 'Detalles movimientos'!$T$5:$T$1003, 0)), "")</f>
        <v/>
      </c>
      <c r="E146" s="19" t="str">
        <f>IFERROR(INDEX('Detalles movimientos'!F$5:F$1003, MATCH(134, 'Detalles movimientos'!$T$5:$T$1003, 0)), "")</f>
        <v/>
      </c>
      <c r="F146" s="18" t="str">
        <f>IFERROR(INDEX('Detalles movimientos'!G$5:G$1003, MATCH(134, 'Detalles movimientos'!$T$5:$T$1003, 0)), "")</f>
        <v/>
      </c>
      <c r="G146" s="20" t="str">
        <f>IFERROR(INDEX('Detalles movimientos'!H$5:H$1003, MATCH(134, 'Detalles movimientos'!$T$5:$T$1003, 0)), "")</f>
        <v/>
      </c>
      <c r="H146" s="21" t="str">
        <f>IFERROR(INDEX('Detalles movimientos'!I$5:I$1003, MATCH(134, 'Detalles movimientos'!$T$5:$T$1003, 0)), "")</f>
        <v/>
      </c>
      <c r="I146" s="20" t="str">
        <f>IFERROR(INDEX('Detalles movimientos'!M$5:M$1003, MATCH(134, 'Detalles movimientos'!$T$5:$T$1003, 0)), "")</f>
        <v/>
      </c>
      <c r="J146" s="19" t="str">
        <f>IFERROR(INDEX('Detalles movimientos'!N$5:N$1003, MATCH(134, 'Detalles movimientos'!$T$5:$T$1003, 0)), "")</f>
        <v/>
      </c>
      <c r="K146" s="20" t="str">
        <f>IFERROR(INDEX('Detalles movimientos'!O$5:O$1003, MATCH(134, 'Detalles movimientos'!$T$5:$T$1003, 0)), "")</f>
        <v/>
      </c>
      <c r="L146" s="18" t="str">
        <f>IFERROR(INDEX('Detalles movimientos'!P$5:P$1003, MATCH(134, 'Detalles movimientos'!$T$5:$T$1003, 0)), "")</f>
        <v/>
      </c>
      <c r="M146" s="18" t="str">
        <f>IFERROR(INDEX('Detalles movimientos'!S$5:S$1003, MATCH(134, 'Detalles movimientos'!$T$5:$T$1003, 0)), "")</f>
        <v/>
      </c>
    </row>
    <row r="147" spans="2:13">
      <c r="B147" s="17" t="str">
        <f>IFERROR(INDEX('Detalles movimientos'!C$5:C$1003, MATCH(135, 'Detalles movimientos'!$T$5:$T$1003, 0)), "")</f>
        <v/>
      </c>
      <c r="C147" s="18" t="str">
        <f>IFERROR(INDEX('Detalles movimientos'!D$5:D$1003, MATCH(135, 'Detalles movimientos'!$T$5:$T$1003, 0)), "")</f>
        <v/>
      </c>
      <c r="D147" s="19" t="str">
        <f>IFERROR(INDEX('Detalles movimientos'!E$5:E$1003, MATCH(135, 'Detalles movimientos'!$T$5:$T$1003, 0)), "")</f>
        <v/>
      </c>
      <c r="E147" s="19" t="str">
        <f>IFERROR(INDEX('Detalles movimientos'!F$5:F$1003, MATCH(135, 'Detalles movimientos'!$T$5:$T$1003, 0)), "")</f>
        <v/>
      </c>
      <c r="F147" s="18" t="str">
        <f>IFERROR(INDEX('Detalles movimientos'!G$5:G$1003, MATCH(135, 'Detalles movimientos'!$T$5:$T$1003, 0)), "")</f>
        <v/>
      </c>
      <c r="G147" s="20" t="str">
        <f>IFERROR(INDEX('Detalles movimientos'!H$5:H$1003, MATCH(135, 'Detalles movimientos'!$T$5:$T$1003, 0)), "")</f>
        <v/>
      </c>
      <c r="H147" s="21" t="str">
        <f>IFERROR(INDEX('Detalles movimientos'!I$5:I$1003, MATCH(135, 'Detalles movimientos'!$T$5:$T$1003, 0)), "")</f>
        <v/>
      </c>
      <c r="I147" s="20" t="str">
        <f>IFERROR(INDEX('Detalles movimientos'!M$5:M$1003, MATCH(135, 'Detalles movimientos'!$T$5:$T$1003, 0)), "")</f>
        <v/>
      </c>
      <c r="J147" s="19" t="str">
        <f>IFERROR(INDEX('Detalles movimientos'!N$5:N$1003, MATCH(135, 'Detalles movimientos'!$T$5:$T$1003, 0)), "")</f>
        <v/>
      </c>
      <c r="K147" s="20" t="str">
        <f>IFERROR(INDEX('Detalles movimientos'!O$5:O$1003, MATCH(135, 'Detalles movimientos'!$T$5:$T$1003, 0)), "")</f>
        <v/>
      </c>
      <c r="L147" s="18" t="str">
        <f>IFERROR(INDEX('Detalles movimientos'!P$5:P$1003, MATCH(135, 'Detalles movimientos'!$T$5:$T$1003, 0)), "")</f>
        <v/>
      </c>
      <c r="M147" s="18" t="str">
        <f>IFERROR(INDEX('Detalles movimientos'!S$5:S$1003, MATCH(135, 'Detalles movimientos'!$T$5:$T$1003, 0)), "")</f>
        <v/>
      </c>
    </row>
    <row r="148" spans="2:13">
      <c r="B148" s="17" t="str">
        <f>IFERROR(INDEX('Detalles movimientos'!C$5:C$1003, MATCH(136, 'Detalles movimientos'!$T$5:$T$1003, 0)), "")</f>
        <v/>
      </c>
      <c r="C148" s="18" t="str">
        <f>IFERROR(INDEX('Detalles movimientos'!D$5:D$1003, MATCH(136, 'Detalles movimientos'!$T$5:$T$1003, 0)), "")</f>
        <v/>
      </c>
      <c r="D148" s="19" t="str">
        <f>IFERROR(INDEX('Detalles movimientos'!E$5:E$1003, MATCH(136, 'Detalles movimientos'!$T$5:$T$1003, 0)), "")</f>
        <v/>
      </c>
      <c r="E148" s="19" t="str">
        <f>IFERROR(INDEX('Detalles movimientos'!F$5:F$1003, MATCH(136, 'Detalles movimientos'!$T$5:$T$1003, 0)), "")</f>
        <v/>
      </c>
      <c r="F148" s="18" t="str">
        <f>IFERROR(INDEX('Detalles movimientos'!G$5:G$1003, MATCH(136, 'Detalles movimientos'!$T$5:$T$1003, 0)), "")</f>
        <v/>
      </c>
      <c r="G148" s="20" t="str">
        <f>IFERROR(INDEX('Detalles movimientos'!H$5:H$1003, MATCH(136, 'Detalles movimientos'!$T$5:$T$1003, 0)), "")</f>
        <v/>
      </c>
      <c r="H148" s="21" t="str">
        <f>IFERROR(INDEX('Detalles movimientos'!I$5:I$1003, MATCH(136, 'Detalles movimientos'!$T$5:$T$1003, 0)), "")</f>
        <v/>
      </c>
      <c r="I148" s="20" t="str">
        <f>IFERROR(INDEX('Detalles movimientos'!M$5:M$1003, MATCH(136, 'Detalles movimientos'!$T$5:$T$1003, 0)), "")</f>
        <v/>
      </c>
      <c r="J148" s="19" t="str">
        <f>IFERROR(INDEX('Detalles movimientos'!N$5:N$1003, MATCH(136, 'Detalles movimientos'!$T$5:$T$1003, 0)), "")</f>
        <v/>
      </c>
      <c r="K148" s="20" t="str">
        <f>IFERROR(INDEX('Detalles movimientos'!O$5:O$1003, MATCH(136, 'Detalles movimientos'!$T$5:$T$1003, 0)), "")</f>
        <v/>
      </c>
      <c r="L148" s="18" t="str">
        <f>IFERROR(INDEX('Detalles movimientos'!P$5:P$1003, MATCH(136, 'Detalles movimientos'!$T$5:$T$1003, 0)), "")</f>
        <v/>
      </c>
      <c r="M148" s="18" t="str">
        <f>IFERROR(INDEX('Detalles movimientos'!S$5:S$1003, MATCH(136, 'Detalles movimientos'!$T$5:$T$1003, 0)), "")</f>
        <v/>
      </c>
    </row>
    <row r="149" spans="2:13">
      <c r="B149" s="17" t="str">
        <f>IFERROR(INDEX('Detalles movimientos'!C$5:C$1003, MATCH(137, 'Detalles movimientos'!$T$5:$T$1003, 0)), "")</f>
        <v/>
      </c>
      <c r="C149" s="18" t="str">
        <f>IFERROR(INDEX('Detalles movimientos'!D$5:D$1003, MATCH(137, 'Detalles movimientos'!$T$5:$T$1003, 0)), "")</f>
        <v/>
      </c>
      <c r="D149" s="19" t="str">
        <f>IFERROR(INDEX('Detalles movimientos'!E$5:E$1003, MATCH(137, 'Detalles movimientos'!$T$5:$T$1003, 0)), "")</f>
        <v/>
      </c>
      <c r="E149" s="19" t="str">
        <f>IFERROR(INDEX('Detalles movimientos'!F$5:F$1003, MATCH(137, 'Detalles movimientos'!$T$5:$T$1003, 0)), "")</f>
        <v/>
      </c>
      <c r="F149" s="18" t="str">
        <f>IFERROR(INDEX('Detalles movimientos'!G$5:G$1003, MATCH(137, 'Detalles movimientos'!$T$5:$T$1003, 0)), "")</f>
        <v/>
      </c>
      <c r="G149" s="20" t="str">
        <f>IFERROR(INDEX('Detalles movimientos'!H$5:H$1003, MATCH(137, 'Detalles movimientos'!$T$5:$T$1003, 0)), "")</f>
        <v/>
      </c>
      <c r="H149" s="21" t="str">
        <f>IFERROR(INDEX('Detalles movimientos'!I$5:I$1003, MATCH(137, 'Detalles movimientos'!$T$5:$T$1003, 0)), "")</f>
        <v/>
      </c>
      <c r="I149" s="20" t="str">
        <f>IFERROR(INDEX('Detalles movimientos'!M$5:M$1003, MATCH(137, 'Detalles movimientos'!$T$5:$T$1003, 0)), "")</f>
        <v/>
      </c>
      <c r="J149" s="19" t="str">
        <f>IFERROR(INDEX('Detalles movimientos'!N$5:N$1003, MATCH(137, 'Detalles movimientos'!$T$5:$T$1003, 0)), "")</f>
        <v/>
      </c>
      <c r="K149" s="20" t="str">
        <f>IFERROR(INDEX('Detalles movimientos'!O$5:O$1003, MATCH(137, 'Detalles movimientos'!$T$5:$T$1003, 0)), "")</f>
        <v/>
      </c>
      <c r="L149" s="18" t="str">
        <f>IFERROR(INDEX('Detalles movimientos'!P$5:P$1003, MATCH(137, 'Detalles movimientos'!$T$5:$T$1003, 0)), "")</f>
        <v/>
      </c>
      <c r="M149" s="18" t="str">
        <f>IFERROR(INDEX('Detalles movimientos'!S$5:S$1003, MATCH(137, 'Detalles movimientos'!$T$5:$T$1003, 0)), "")</f>
        <v/>
      </c>
    </row>
    <row r="150" spans="2:13">
      <c r="B150" s="17" t="str">
        <f>IFERROR(INDEX('Detalles movimientos'!C$5:C$1003, MATCH(138, 'Detalles movimientos'!$T$5:$T$1003, 0)), "")</f>
        <v/>
      </c>
      <c r="C150" s="18" t="str">
        <f>IFERROR(INDEX('Detalles movimientos'!D$5:D$1003, MATCH(138, 'Detalles movimientos'!$T$5:$T$1003, 0)), "")</f>
        <v/>
      </c>
      <c r="D150" s="19" t="str">
        <f>IFERROR(INDEX('Detalles movimientos'!E$5:E$1003, MATCH(138, 'Detalles movimientos'!$T$5:$T$1003, 0)), "")</f>
        <v/>
      </c>
      <c r="E150" s="19" t="str">
        <f>IFERROR(INDEX('Detalles movimientos'!F$5:F$1003, MATCH(138, 'Detalles movimientos'!$T$5:$T$1003, 0)), "")</f>
        <v/>
      </c>
      <c r="F150" s="18" t="str">
        <f>IFERROR(INDEX('Detalles movimientos'!G$5:G$1003, MATCH(138, 'Detalles movimientos'!$T$5:$T$1003, 0)), "")</f>
        <v/>
      </c>
      <c r="G150" s="20" t="str">
        <f>IFERROR(INDEX('Detalles movimientos'!H$5:H$1003, MATCH(138, 'Detalles movimientos'!$T$5:$T$1003, 0)), "")</f>
        <v/>
      </c>
      <c r="H150" s="21" t="str">
        <f>IFERROR(INDEX('Detalles movimientos'!I$5:I$1003, MATCH(138, 'Detalles movimientos'!$T$5:$T$1003, 0)), "")</f>
        <v/>
      </c>
      <c r="I150" s="20" t="str">
        <f>IFERROR(INDEX('Detalles movimientos'!M$5:M$1003, MATCH(138, 'Detalles movimientos'!$T$5:$T$1003, 0)), "")</f>
        <v/>
      </c>
      <c r="J150" s="19" t="str">
        <f>IFERROR(INDEX('Detalles movimientos'!N$5:N$1003, MATCH(138, 'Detalles movimientos'!$T$5:$T$1003, 0)), "")</f>
        <v/>
      </c>
      <c r="K150" s="20" t="str">
        <f>IFERROR(INDEX('Detalles movimientos'!O$5:O$1003, MATCH(138, 'Detalles movimientos'!$T$5:$T$1003, 0)), "")</f>
        <v/>
      </c>
      <c r="L150" s="18" t="str">
        <f>IFERROR(INDEX('Detalles movimientos'!P$5:P$1003, MATCH(138, 'Detalles movimientos'!$T$5:$T$1003, 0)), "")</f>
        <v/>
      </c>
      <c r="M150" s="18" t="str">
        <f>IFERROR(INDEX('Detalles movimientos'!S$5:S$1003, MATCH(138, 'Detalles movimientos'!$T$5:$T$1003, 0)), "")</f>
        <v/>
      </c>
    </row>
    <row r="151" spans="2:13">
      <c r="B151" s="17" t="str">
        <f>IFERROR(INDEX('Detalles movimientos'!C$5:C$1003, MATCH(139, 'Detalles movimientos'!$T$5:$T$1003, 0)), "")</f>
        <v/>
      </c>
      <c r="C151" s="18" t="str">
        <f>IFERROR(INDEX('Detalles movimientos'!D$5:D$1003, MATCH(139, 'Detalles movimientos'!$T$5:$T$1003, 0)), "")</f>
        <v/>
      </c>
      <c r="D151" s="19" t="str">
        <f>IFERROR(INDEX('Detalles movimientos'!E$5:E$1003, MATCH(139, 'Detalles movimientos'!$T$5:$T$1003, 0)), "")</f>
        <v/>
      </c>
      <c r="E151" s="19" t="str">
        <f>IFERROR(INDEX('Detalles movimientos'!F$5:F$1003, MATCH(139, 'Detalles movimientos'!$T$5:$T$1003, 0)), "")</f>
        <v/>
      </c>
      <c r="F151" s="18" t="str">
        <f>IFERROR(INDEX('Detalles movimientos'!G$5:G$1003, MATCH(139, 'Detalles movimientos'!$T$5:$T$1003, 0)), "")</f>
        <v/>
      </c>
      <c r="G151" s="20" t="str">
        <f>IFERROR(INDEX('Detalles movimientos'!H$5:H$1003, MATCH(139, 'Detalles movimientos'!$T$5:$T$1003, 0)), "")</f>
        <v/>
      </c>
      <c r="H151" s="21" t="str">
        <f>IFERROR(INDEX('Detalles movimientos'!I$5:I$1003, MATCH(139, 'Detalles movimientos'!$T$5:$T$1003, 0)), "")</f>
        <v/>
      </c>
      <c r="I151" s="20" t="str">
        <f>IFERROR(INDEX('Detalles movimientos'!M$5:M$1003, MATCH(139, 'Detalles movimientos'!$T$5:$T$1003, 0)), "")</f>
        <v/>
      </c>
      <c r="J151" s="19" t="str">
        <f>IFERROR(INDEX('Detalles movimientos'!N$5:N$1003, MATCH(139, 'Detalles movimientos'!$T$5:$T$1003, 0)), "")</f>
        <v/>
      </c>
      <c r="K151" s="20" t="str">
        <f>IFERROR(INDEX('Detalles movimientos'!O$5:O$1003, MATCH(139, 'Detalles movimientos'!$T$5:$T$1003, 0)), "")</f>
        <v/>
      </c>
      <c r="L151" s="18" t="str">
        <f>IFERROR(INDEX('Detalles movimientos'!P$5:P$1003, MATCH(139, 'Detalles movimientos'!$T$5:$T$1003, 0)), "")</f>
        <v/>
      </c>
      <c r="M151" s="18" t="str">
        <f>IFERROR(INDEX('Detalles movimientos'!S$5:S$1003, MATCH(139, 'Detalles movimientos'!$T$5:$T$1003, 0)), "")</f>
        <v/>
      </c>
    </row>
    <row r="152" spans="2:13">
      <c r="B152" s="17" t="str">
        <f>IFERROR(INDEX('Detalles movimientos'!C$5:C$1003, MATCH(140, 'Detalles movimientos'!$T$5:$T$1003, 0)), "")</f>
        <v/>
      </c>
      <c r="C152" s="18" t="str">
        <f>IFERROR(INDEX('Detalles movimientos'!D$5:D$1003, MATCH(140, 'Detalles movimientos'!$T$5:$T$1003, 0)), "")</f>
        <v/>
      </c>
      <c r="D152" s="19" t="str">
        <f>IFERROR(INDEX('Detalles movimientos'!E$5:E$1003, MATCH(140, 'Detalles movimientos'!$T$5:$T$1003, 0)), "")</f>
        <v/>
      </c>
      <c r="E152" s="19" t="str">
        <f>IFERROR(INDEX('Detalles movimientos'!F$5:F$1003, MATCH(140, 'Detalles movimientos'!$T$5:$T$1003, 0)), "")</f>
        <v/>
      </c>
      <c r="F152" s="18" t="str">
        <f>IFERROR(INDEX('Detalles movimientos'!G$5:G$1003, MATCH(140, 'Detalles movimientos'!$T$5:$T$1003, 0)), "")</f>
        <v/>
      </c>
      <c r="G152" s="20" t="str">
        <f>IFERROR(INDEX('Detalles movimientos'!H$5:H$1003, MATCH(140, 'Detalles movimientos'!$T$5:$T$1003, 0)), "")</f>
        <v/>
      </c>
      <c r="H152" s="21" t="str">
        <f>IFERROR(INDEX('Detalles movimientos'!I$5:I$1003, MATCH(140, 'Detalles movimientos'!$T$5:$T$1003, 0)), "")</f>
        <v/>
      </c>
      <c r="I152" s="20" t="str">
        <f>IFERROR(INDEX('Detalles movimientos'!M$5:M$1003, MATCH(140, 'Detalles movimientos'!$T$5:$T$1003, 0)), "")</f>
        <v/>
      </c>
      <c r="J152" s="19" t="str">
        <f>IFERROR(INDEX('Detalles movimientos'!N$5:N$1003, MATCH(140, 'Detalles movimientos'!$T$5:$T$1003, 0)), "")</f>
        <v/>
      </c>
      <c r="K152" s="20" t="str">
        <f>IFERROR(INDEX('Detalles movimientos'!O$5:O$1003, MATCH(140, 'Detalles movimientos'!$T$5:$T$1003, 0)), "")</f>
        <v/>
      </c>
      <c r="L152" s="18" t="str">
        <f>IFERROR(INDEX('Detalles movimientos'!P$5:P$1003, MATCH(140, 'Detalles movimientos'!$T$5:$T$1003, 0)), "")</f>
        <v/>
      </c>
      <c r="M152" s="18" t="str">
        <f>IFERROR(INDEX('Detalles movimientos'!S$5:S$1003, MATCH(140, 'Detalles movimientos'!$T$5:$T$1003, 0)), "")</f>
        <v/>
      </c>
    </row>
    <row r="153" spans="2:13">
      <c r="B153" s="17" t="str">
        <f>IFERROR(INDEX('Detalles movimientos'!C$5:C$1003, MATCH(141, 'Detalles movimientos'!$T$5:$T$1003, 0)), "")</f>
        <v/>
      </c>
      <c r="C153" s="18" t="str">
        <f>IFERROR(INDEX('Detalles movimientos'!D$5:D$1003, MATCH(141, 'Detalles movimientos'!$T$5:$T$1003, 0)), "")</f>
        <v/>
      </c>
      <c r="D153" s="19" t="str">
        <f>IFERROR(INDEX('Detalles movimientos'!E$5:E$1003, MATCH(141, 'Detalles movimientos'!$T$5:$T$1003, 0)), "")</f>
        <v/>
      </c>
      <c r="E153" s="19" t="str">
        <f>IFERROR(INDEX('Detalles movimientos'!F$5:F$1003, MATCH(141, 'Detalles movimientos'!$T$5:$T$1003, 0)), "")</f>
        <v/>
      </c>
      <c r="F153" s="18" t="str">
        <f>IFERROR(INDEX('Detalles movimientos'!G$5:G$1003, MATCH(141, 'Detalles movimientos'!$T$5:$T$1003, 0)), "")</f>
        <v/>
      </c>
      <c r="G153" s="20" t="str">
        <f>IFERROR(INDEX('Detalles movimientos'!H$5:H$1003, MATCH(141, 'Detalles movimientos'!$T$5:$T$1003, 0)), "")</f>
        <v/>
      </c>
      <c r="H153" s="21" t="str">
        <f>IFERROR(INDEX('Detalles movimientos'!I$5:I$1003, MATCH(141, 'Detalles movimientos'!$T$5:$T$1003, 0)), "")</f>
        <v/>
      </c>
      <c r="I153" s="20" t="str">
        <f>IFERROR(INDEX('Detalles movimientos'!M$5:M$1003, MATCH(141, 'Detalles movimientos'!$T$5:$T$1003, 0)), "")</f>
        <v/>
      </c>
      <c r="J153" s="19" t="str">
        <f>IFERROR(INDEX('Detalles movimientos'!N$5:N$1003, MATCH(141, 'Detalles movimientos'!$T$5:$T$1003, 0)), "")</f>
        <v/>
      </c>
      <c r="K153" s="20" t="str">
        <f>IFERROR(INDEX('Detalles movimientos'!O$5:O$1003, MATCH(141, 'Detalles movimientos'!$T$5:$T$1003, 0)), "")</f>
        <v/>
      </c>
      <c r="L153" s="18" t="str">
        <f>IFERROR(INDEX('Detalles movimientos'!P$5:P$1003, MATCH(141, 'Detalles movimientos'!$T$5:$T$1003, 0)), "")</f>
        <v/>
      </c>
      <c r="M153" s="18" t="str">
        <f>IFERROR(INDEX('Detalles movimientos'!S$5:S$1003, MATCH(141, 'Detalles movimientos'!$T$5:$T$1003, 0)), "")</f>
        <v/>
      </c>
    </row>
    <row r="154" spans="2:13">
      <c r="B154" s="17" t="str">
        <f>IFERROR(INDEX('Detalles movimientos'!C$5:C$1003, MATCH(142, 'Detalles movimientos'!$T$5:$T$1003, 0)), "")</f>
        <v/>
      </c>
      <c r="C154" s="18" t="str">
        <f>IFERROR(INDEX('Detalles movimientos'!D$5:D$1003, MATCH(142, 'Detalles movimientos'!$T$5:$T$1003, 0)), "")</f>
        <v/>
      </c>
      <c r="D154" s="19" t="str">
        <f>IFERROR(INDEX('Detalles movimientos'!E$5:E$1003, MATCH(142, 'Detalles movimientos'!$T$5:$T$1003, 0)), "")</f>
        <v/>
      </c>
      <c r="E154" s="19" t="str">
        <f>IFERROR(INDEX('Detalles movimientos'!F$5:F$1003, MATCH(142, 'Detalles movimientos'!$T$5:$T$1003, 0)), "")</f>
        <v/>
      </c>
      <c r="F154" s="18" t="str">
        <f>IFERROR(INDEX('Detalles movimientos'!G$5:G$1003, MATCH(142, 'Detalles movimientos'!$T$5:$T$1003, 0)), "")</f>
        <v/>
      </c>
      <c r="G154" s="20" t="str">
        <f>IFERROR(INDEX('Detalles movimientos'!H$5:H$1003, MATCH(142, 'Detalles movimientos'!$T$5:$T$1003, 0)), "")</f>
        <v/>
      </c>
      <c r="H154" s="21" t="str">
        <f>IFERROR(INDEX('Detalles movimientos'!I$5:I$1003, MATCH(142, 'Detalles movimientos'!$T$5:$T$1003, 0)), "")</f>
        <v/>
      </c>
      <c r="I154" s="20" t="str">
        <f>IFERROR(INDEX('Detalles movimientos'!M$5:M$1003, MATCH(142, 'Detalles movimientos'!$T$5:$T$1003, 0)), "")</f>
        <v/>
      </c>
      <c r="J154" s="19" t="str">
        <f>IFERROR(INDEX('Detalles movimientos'!N$5:N$1003, MATCH(142, 'Detalles movimientos'!$T$5:$T$1003, 0)), "")</f>
        <v/>
      </c>
      <c r="K154" s="20" t="str">
        <f>IFERROR(INDEX('Detalles movimientos'!O$5:O$1003, MATCH(142, 'Detalles movimientos'!$T$5:$T$1003, 0)), "")</f>
        <v/>
      </c>
      <c r="L154" s="18" t="str">
        <f>IFERROR(INDEX('Detalles movimientos'!P$5:P$1003, MATCH(142, 'Detalles movimientos'!$T$5:$T$1003, 0)), "")</f>
        <v/>
      </c>
      <c r="M154" s="18" t="str">
        <f>IFERROR(INDEX('Detalles movimientos'!S$5:S$1003, MATCH(142, 'Detalles movimientos'!$T$5:$T$1003, 0)), "")</f>
        <v/>
      </c>
    </row>
    <row r="155" spans="2:13">
      <c r="B155" s="17" t="str">
        <f>IFERROR(INDEX('Detalles movimientos'!C$5:C$1003, MATCH(143, 'Detalles movimientos'!$T$5:$T$1003, 0)), "")</f>
        <v/>
      </c>
      <c r="C155" s="18" t="str">
        <f>IFERROR(INDEX('Detalles movimientos'!D$5:D$1003, MATCH(143, 'Detalles movimientos'!$T$5:$T$1003, 0)), "")</f>
        <v/>
      </c>
      <c r="D155" s="19" t="str">
        <f>IFERROR(INDEX('Detalles movimientos'!E$5:E$1003, MATCH(143, 'Detalles movimientos'!$T$5:$T$1003, 0)), "")</f>
        <v/>
      </c>
      <c r="E155" s="19" t="str">
        <f>IFERROR(INDEX('Detalles movimientos'!F$5:F$1003, MATCH(143, 'Detalles movimientos'!$T$5:$T$1003, 0)), "")</f>
        <v/>
      </c>
      <c r="F155" s="18" t="str">
        <f>IFERROR(INDEX('Detalles movimientos'!G$5:G$1003, MATCH(143, 'Detalles movimientos'!$T$5:$T$1003, 0)), "")</f>
        <v/>
      </c>
      <c r="G155" s="20" t="str">
        <f>IFERROR(INDEX('Detalles movimientos'!H$5:H$1003, MATCH(143, 'Detalles movimientos'!$T$5:$T$1003, 0)), "")</f>
        <v/>
      </c>
      <c r="H155" s="21" t="str">
        <f>IFERROR(INDEX('Detalles movimientos'!I$5:I$1003, MATCH(143, 'Detalles movimientos'!$T$5:$T$1003, 0)), "")</f>
        <v/>
      </c>
      <c r="I155" s="20" t="str">
        <f>IFERROR(INDEX('Detalles movimientos'!M$5:M$1003, MATCH(143, 'Detalles movimientos'!$T$5:$T$1003, 0)), "")</f>
        <v/>
      </c>
      <c r="J155" s="19" t="str">
        <f>IFERROR(INDEX('Detalles movimientos'!N$5:N$1003, MATCH(143, 'Detalles movimientos'!$T$5:$T$1003, 0)), "")</f>
        <v/>
      </c>
      <c r="K155" s="20" t="str">
        <f>IFERROR(INDEX('Detalles movimientos'!O$5:O$1003, MATCH(143, 'Detalles movimientos'!$T$5:$T$1003, 0)), "")</f>
        <v/>
      </c>
      <c r="L155" s="18" t="str">
        <f>IFERROR(INDEX('Detalles movimientos'!P$5:P$1003, MATCH(143, 'Detalles movimientos'!$T$5:$T$1003, 0)), "")</f>
        <v/>
      </c>
      <c r="M155" s="18" t="str">
        <f>IFERROR(INDEX('Detalles movimientos'!S$5:S$1003, MATCH(143, 'Detalles movimientos'!$T$5:$T$1003, 0)), "")</f>
        <v/>
      </c>
    </row>
    <row r="156" spans="2:13">
      <c r="B156" s="17" t="str">
        <f>IFERROR(INDEX('Detalles movimientos'!C$5:C$1003, MATCH(144, 'Detalles movimientos'!$T$5:$T$1003, 0)), "")</f>
        <v/>
      </c>
      <c r="C156" s="18" t="str">
        <f>IFERROR(INDEX('Detalles movimientos'!D$5:D$1003, MATCH(144, 'Detalles movimientos'!$T$5:$T$1003, 0)), "")</f>
        <v/>
      </c>
      <c r="D156" s="19" t="str">
        <f>IFERROR(INDEX('Detalles movimientos'!E$5:E$1003, MATCH(144, 'Detalles movimientos'!$T$5:$T$1003, 0)), "")</f>
        <v/>
      </c>
      <c r="E156" s="19" t="str">
        <f>IFERROR(INDEX('Detalles movimientos'!F$5:F$1003, MATCH(144, 'Detalles movimientos'!$T$5:$T$1003, 0)), "")</f>
        <v/>
      </c>
      <c r="F156" s="18" t="str">
        <f>IFERROR(INDEX('Detalles movimientos'!G$5:G$1003, MATCH(144, 'Detalles movimientos'!$T$5:$T$1003, 0)), "")</f>
        <v/>
      </c>
      <c r="G156" s="20" t="str">
        <f>IFERROR(INDEX('Detalles movimientos'!H$5:H$1003, MATCH(144, 'Detalles movimientos'!$T$5:$T$1003, 0)), "")</f>
        <v/>
      </c>
      <c r="H156" s="21" t="str">
        <f>IFERROR(INDEX('Detalles movimientos'!I$5:I$1003, MATCH(144, 'Detalles movimientos'!$T$5:$T$1003, 0)), "")</f>
        <v/>
      </c>
      <c r="I156" s="20" t="str">
        <f>IFERROR(INDEX('Detalles movimientos'!M$5:M$1003, MATCH(144, 'Detalles movimientos'!$T$5:$T$1003, 0)), "")</f>
        <v/>
      </c>
      <c r="J156" s="19" t="str">
        <f>IFERROR(INDEX('Detalles movimientos'!N$5:N$1003, MATCH(144, 'Detalles movimientos'!$T$5:$T$1003, 0)), "")</f>
        <v/>
      </c>
      <c r="K156" s="20" t="str">
        <f>IFERROR(INDEX('Detalles movimientos'!O$5:O$1003, MATCH(144, 'Detalles movimientos'!$T$5:$T$1003, 0)), "")</f>
        <v/>
      </c>
      <c r="L156" s="18" t="str">
        <f>IFERROR(INDEX('Detalles movimientos'!P$5:P$1003, MATCH(144, 'Detalles movimientos'!$T$5:$T$1003, 0)), "")</f>
        <v/>
      </c>
      <c r="M156" s="18" t="str">
        <f>IFERROR(INDEX('Detalles movimientos'!S$5:S$1003, MATCH(144, 'Detalles movimientos'!$T$5:$T$1003, 0)), "")</f>
        <v/>
      </c>
    </row>
    <row r="157" spans="2:13">
      <c r="B157" s="17" t="str">
        <f>IFERROR(INDEX('Detalles movimientos'!C$5:C$1003, MATCH(145, 'Detalles movimientos'!$T$5:$T$1003, 0)), "")</f>
        <v/>
      </c>
      <c r="C157" s="18" t="str">
        <f>IFERROR(INDEX('Detalles movimientos'!D$5:D$1003, MATCH(145, 'Detalles movimientos'!$T$5:$T$1003, 0)), "")</f>
        <v/>
      </c>
      <c r="D157" s="19" t="str">
        <f>IFERROR(INDEX('Detalles movimientos'!E$5:E$1003, MATCH(145, 'Detalles movimientos'!$T$5:$T$1003, 0)), "")</f>
        <v/>
      </c>
      <c r="E157" s="19" t="str">
        <f>IFERROR(INDEX('Detalles movimientos'!F$5:F$1003, MATCH(145, 'Detalles movimientos'!$T$5:$T$1003, 0)), "")</f>
        <v/>
      </c>
      <c r="F157" s="18" t="str">
        <f>IFERROR(INDEX('Detalles movimientos'!G$5:G$1003, MATCH(145, 'Detalles movimientos'!$T$5:$T$1003, 0)), "")</f>
        <v/>
      </c>
      <c r="G157" s="20" t="str">
        <f>IFERROR(INDEX('Detalles movimientos'!H$5:H$1003, MATCH(145, 'Detalles movimientos'!$T$5:$T$1003, 0)), "")</f>
        <v/>
      </c>
      <c r="H157" s="21" t="str">
        <f>IFERROR(INDEX('Detalles movimientos'!I$5:I$1003, MATCH(145, 'Detalles movimientos'!$T$5:$T$1003, 0)), "")</f>
        <v/>
      </c>
      <c r="I157" s="20" t="str">
        <f>IFERROR(INDEX('Detalles movimientos'!M$5:M$1003, MATCH(145, 'Detalles movimientos'!$T$5:$T$1003, 0)), "")</f>
        <v/>
      </c>
      <c r="J157" s="19" t="str">
        <f>IFERROR(INDEX('Detalles movimientos'!N$5:N$1003, MATCH(145, 'Detalles movimientos'!$T$5:$T$1003, 0)), "")</f>
        <v/>
      </c>
      <c r="K157" s="20" t="str">
        <f>IFERROR(INDEX('Detalles movimientos'!O$5:O$1003, MATCH(145, 'Detalles movimientos'!$T$5:$T$1003, 0)), "")</f>
        <v/>
      </c>
      <c r="L157" s="18" t="str">
        <f>IFERROR(INDEX('Detalles movimientos'!P$5:P$1003, MATCH(145, 'Detalles movimientos'!$T$5:$T$1003, 0)), "")</f>
        <v/>
      </c>
      <c r="M157" s="18" t="str">
        <f>IFERROR(INDEX('Detalles movimientos'!S$5:S$1003, MATCH(145, 'Detalles movimientos'!$T$5:$T$1003, 0)), "")</f>
        <v/>
      </c>
    </row>
    <row r="158" spans="2:13">
      <c r="B158" s="17" t="str">
        <f>IFERROR(INDEX('Detalles movimientos'!C$5:C$1003, MATCH(146, 'Detalles movimientos'!$T$5:$T$1003, 0)), "")</f>
        <v/>
      </c>
      <c r="C158" s="18" t="str">
        <f>IFERROR(INDEX('Detalles movimientos'!D$5:D$1003, MATCH(146, 'Detalles movimientos'!$T$5:$T$1003, 0)), "")</f>
        <v/>
      </c>
      <c r="D158" s="19" t="str">
        <f>IFERROR(INDEX('Detalles movimientos'!E$5:E$1003, MATCH(146, 'Detalles movimientos'!$T$5:$T$1003, 0)), "")</f>
        <v/>
      </c>
      <c r="E158" s="19" t="str">
        <f>IFERROR(INDEX('Detalles movimientos'!F$5:F$1003, MATCH(146, 'Detalles movimientos'!$T$5:$T$1003, 0)), "")</f>
        <v/>
      </c>
      <c r="F158" s="18" t="str">
        <f>IFERROR(INDEX('Detalles movimientos'!G$5:G$1003, MATCH(146, 'Detalles movimientos'!$T$5:$T$1003, 0)), "")</f>
        <v/>
      </c>
      <c r="G158" s="20" t="str">
        <f>IFERROR(INDEX('Detalles movimientos'!H$5:H$1003, MATCH(146, 'Detalles movimientos'!$T$5:$T$1003, 0)), "")</f>
        <v/>
      </c>
      <c r="H158" s="21" t="str">
        <f>IFERROR(INDEX('Detalles movimientos'!I$5:I$1003, MATCH(146, 'Detalles movimientos'!$T$5:$T$1003, 0)), "")</f>
        <v/>
      </c>
      <c r="I158" s="20" t="str">
        <f>IFERROR(INDEX('Detalles movimientos'!M$5:M$1003, MATCH(146, 'Detalles movimientos'!$T$5:$T$1003, 0)), "")</f>
        <v/>
      </c>
      <c r="J158" s="19" t="str">
        <f>IFERROR(INDEX('Detalles movimientos'!N$5:N$1003, MATCH(146, 'Detalles movimientos'!$T$5:$T$1003, 0)), "")</f>
        <v/>
      </c>
      <c r="K158" s="20" t="str">
        <f>IFERROR(INDEX('Detalles movimientos'!O$5:O$1003, MATCH(146, 'Detalles movimientos'!$T$5:$T$1003, 0)), "")</f>
        <v/>
      </c>
      <c r="L158" s="18" t="str">
        <f>IFERROR(INDEX('Detalles movimientos'!P$5:P$1003, MATCH(146, 'Detalles movimientos'!$T$5:$T$1003, 0)), "")</f>
        <v/>
      </c>
      <c r="M158" s="18" t="str">
        <f>IFERROR(INDEX('Detalles movimientos'!S$5:S$1003, MATCH(146, 'Detalles movimientos'!$T$5:$T$1003, 0)), "")</f>
        <v/>
      </c>
    </row>
    <row r="159" spans="2:13">
      <c r="B159" s="17" t="str">
        <f>IFERROR(INDEX('Detalles movimientos'!C$5:C$1003, MATCH(147, 'Detalles movimientos'!$T$5:$T$1003, 0)), "")</f>
        <v/>
      </c>
      <c r="C159" s="18" t="str">
        <f>IFERROR(INDEX('Detalles movimientos'!D$5:D$1003, MATCH(147, 'Detalles movimientos'!$T$5:$T$1003, 0)), "")</f>
        <v/>
      </c>
      <c r="D159" s="19" t="str">
        <f>IFERROR(INDEX('Detalles movimientos'!E$5:E$1003, MATCH(147, 'Detalles movimientos'!$T$5:$T$1003, 0)), "")</f>
        <v/>
      </c>
      <c r="E159" s="19" t="str">
        <f>IFERROR(INDEX('Detalles movimientos'!F$5:F$1003, MATCH(147, 'Detalles movimientos'!$T$5:$T$1003, 0)), "")</f>
        <v/>
      </c>
      <c r="F159" s="18" t="str">
        <f>IFERROR(INDEX('Detalles movimientos'!G$5:G$1003, MATCH(147, 'Detalles movimientos'!$T$5:$T$1003, 0)), "")</f>
        <v/>
      </c>
      <c r="G159" s="20" t="str">
        <f>IFERROR(INDEX('Detalles movimientos'!H$5:H$1003, MATCH(147, 'Detalles movimientos'!$T$5:$T$1003, 0)), "")</f>
        <v/>
      </c>
      <c r="H159" s="21" t="str">
        <f>IFERROR(INDEX('Detalles movimientos'!I$5:I$1003, MATCH(147, 'Detalles movimientos'!$T$5:$T$1003, 0)), "")</f>
        <v/>
      </c>
      <c r="I159" s="20" t="str">
        <f>IFERROR(INDEX('Detalles movimientos'!M$5:M$1003, MATCH(147, 'Detalles movimientos'!$T$5:$T$1003, 0)), "")</f>
        <v/>
      </c>
      <c r="J159" s="19" t="str">
        <f>IFERROR(INDEX('Detalles movimientos'!N$5:N$1003, MATCH(147, 'Detalles movimientos'!$T$5:$T$1003, 0)), "")</f>
        <v/>
      </c>
      <c r="K159" s="20" t="str">
        <f>IFERROR(INDEX('Detalles movimientos'!O$5:O$1003, MATCH(147, 'Detalles movimientos'!$T$5:$T$1003, 0)), "")</f>
        <v/>
      </c>
      <c r="L159" s="18" t="str">
        <f>IFERROR(INDEX('Detalles movimientos'!P$5:P$1003, MATCH(147, 'Detalles movimientos'!$T$5:$T$1003, 0)), "")</f>
        <v/>
      </c>
      <c r="M159" s="18" t="str">
        <f>IFERROR(INDEX('Detalles movimientos'!S$5:S$1003, MATCH(147, 'Detalles movimientos'!$T$5:$T$1003, 0)), "")</f>
        <v/>
      </c>
    </row>
    <row r="160" spans="2:13">
      <c r="B160" s="17" t="str">
        <f>IFERROR(INDEX('Detalles movimientos'!C$5:C$1003, MATCH(148, 'Detalles movimientos'!$T$5:$T$1003, 0)), "")</f>
        <v/>
      </c>
      <c r="C160" s="18" t="str">
        <f>IFERROR(INDEX('Detalles movimientos'!D$5:D$1003, MATCH(148, 'Detalles movimientos'!$T$5:$T$1003, 0)), "")</f>
        <v/>
      </c>
      <c r="D160" s="19" t="str">
        <f>IFERROR(INDEX('Detalles movimientos'!E$5:E$1003, MATCH(148, 'Detalles movimientos'!$T$5:$T$1003, 0)), "")</f>
        <v/>
      </c>
      <c r="E160" s="19" t="str">
        <f>IFERROR(INDEX('Detalles movimientos'!F$5:F$1003, MATCH(148, 'Detalles movimientos'!$T$5:$T$1003, 0)), "")</f>
        <v/>
      </c>
      <c r="F160" s="18" t="str">
        <f>IFERROR(INDEX('Detalles movimientos'!G$5:G$1003, MATCH(148, 'Detalles movimientos'!$T$5:$T$1003, 0)), "")</f>
        <v/>
      </c>
      <c r="G160" s="20" t="str">
        <f>IFERROR(INDEX('Detalles movimientos'!H$5:H$1003, MATCH(148, 'Detalles movimientos'!$T$5:$T$1003, 0)), "")</f>
        <v/>
      </c>
      <c r="H160" s="21" t="str">
        <f>IFERROR(INDEX('Detalles movimientos'!I$5:I$1003, MATCH(148, 'Detalles movimientos'!$T$5:$T$1003, 0)), "")</f>
        <v/>
      </c>
      <c r="I160" s="20" t="str">
        <f>IFERROR(INDEX('Detalles movimientos'!M$5:M$1003, MATCH(148, 'Detalles movimientos'!$T$5:$T$1003, 0)), "")</f>
        <v/>
      </c>
      <c r="J160" s="19" t="str">
        <f>IFERROR(INDEX('Detalles movimientos'!N$5:N$1003, MATCH(148, 'Detalles movimientos'!$T$5:$T$1003, 0)), "")</f>
        <v/>
      </c>
      <c r="K160" s="20" t="str">
        <f>IFERROR(INDEX('Detalles movimientos'!O$5:O$1003, MATCH(148, 'Detalles movimientos'!$T$5:$T$1003, 0)), "")</f>
        <v/>
      </c>
      <c r="L160" s="18" t="str">
        <f>IFERROR(INDEX('Detalles movimientos'!P$5:P$1003, MATCH(148, 'Detalles movimientos'!$T$5:$T$1003, 0)), "")</f>
        <v/>
      </c>
      <c r="M160" s="18" t="str">
        <f>IFERROR(INDEX('Detalles movimientos'!S$5:S$1003, MATCH(148, 'Detalles movimientos'!$T$5:$T$1003, 0)), "")</f>
        <v/>
      </c>
    </row>
    <row r="161" spans="2:13">
      <c r="B161" s="17" t="str">
        <f>IFERROR(INDEX('Detalles movimientos'!C$5:C$1003, MATCH(149, 'Detalles movimientos'!$T$5:$T$1003, 0)), "")</f>
        <v/>
      </c>
      <c r="C161" s="18" t="str">
        <f>IFERROR(INDEX('Detalles movimientos'!D$5:D$1003, MATCH(149, 'Detalles movimientos'!$T$5:$T$1003, 0)), "")</f>
        <v/>
      </c>
      <c r="D161" s="19" t="str">
        <f>IFERROR(INDEX('Detalles movimientos'!E$5:E$1003, MATCH(149, 'Detalles movimientos'!$T$5:$T$1003, 0)), "")</f>
        <v/>
      </c>
      <c r="E161" s="19" t="str">
        <f>IFERROR(INDEX('Detalles movimientos'!F$5:F$1003, MATCH(149, 'Detalles movimientos'!$T$5:$T$1003, 0)), "")</f>
        <v/>
      </c>
      <c r="F161" s="18" t="str">
        <f>IFERROR(INDEX('Detalles movimientos'!G$5:G$1003, MATCH(149, 'Detalles movimientos'!$T$5:$T$1003, 0)), "")</f>
        <v/>
      </c>
      <c r="G161" s="20" t="str">
        <f>IFERROR(INDEX('Detalles movimientos'!H$5:H$1003, MATCH(149, 'Detalles movimientos'!$T$5:$T$1003, 0)), "")</f>
        <v/>
      </c>
      <c r="H161" s="21" t="str">
        <f>IFERROR(INDEX('Detalles movimientos'!I$5:I$1003, MATCH(149, 'Detalles movimientos'!$T$5:$T$1003, 0)), "")</f>
        <v/>
      </c>
      <c r="I161" s="20" t="str">
        <f>IFERROR(INDEX('Detalles movimientos'!M$5:M$1003, MATCH(149, 'Detalles movimientos'!$T$5:$T$1003, 0)), "")</f>
        <v/>
      </c>
      <c r="J161" s="19" t="str">
        <f>IFERROR(INDEX('Detalles movimientos'!N$5:N$1003, MATCH(149, 'Detalles movimientos'!$T$5:$T$1003, 0)), "")</f>
        <v/>
      </c>
      <c r="K161" s="20" t="str">
        <f>IFERROR(INDEX('Detalles movimientos'!O$5:O$1003, MATCH(149, 'Detalles movimientos'!$T$5:$T$1003, 0)), "")</f>
        <v/>
      </c>
      <c r="L161" s="18" t="str">
        <f>IFERROR(INDEX('Detalles movimientos'!P$5:P$1003, MATCH(149, 'Detalles movimientos'!$T$5:$T$1003, 0)), "")</f>
        <v/>
      </c>
      <c r="M161" s="18" t="str">
        <f>IFERROR(INDEX('Detalles movimientos'!S$5:S$1003, MATCH(149, 'Detalles movimientos'!$T$5:$T$1003,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5" width="18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114</v>
      </c>
    </row>
    <row r="3" spans="2:13">
      <c r="B3" s="15" t="s">
        <v>83</v>
      </c>
    </row>
    <row r="5" spans="2:13">
      <c r="B5" s="40" t="s">
        <v>84</v>
      </c>
      <c r="C5" s="40" t="s">
        <v>115</v>
      </c>
      <c r="D5" s="40" t="s">
        <v>87</v>
      </c>
      <c r="E5" s="40" t="s">
        <v>88</v>
      </c>
      <c r="F5" s="41"/>
      <c r="G5" s="41"/>
      <c r="H5" s="54"/>
      <c r="I5" s="55"/>
    </row>
    <row r="6" spans="2:13" ht="24" customHeight="1">
      <c r="B6" s="43">
        <f>SUMIFS('Detalles movimientos'!I$5:I$1003, 'Detalles movimientos'!F$5:F$1003, "Ignacio")</f>
        <v>0</v>
      </c>
      <c r="C6" s="42">
        <f>SUMIFS('Detalles movimientos'!L$5:L$1003, 'Detalles movimientos'!F$5:F$1003, "Ignacio")</f>
        <v>50221</v>
      </c>
      <c r="D6" s="43">
        <f>SUMIFS('Detalles movimientos'!M$5:M$1003, 'Detalles movimientos'!F$5:F$1003, "Ignacio")</f>
        <v>0</v>
      </c>
      <c r="E6" s="43">
        <f>COUNTIFS('Detalles movimientos'!F$5:F$1003, "Ignacio")</f>
        <v>7</v>
      </c>
      <c r="F6" s="41"/>
      <c r="G6" s="41"/>
      <c r="H6" s="50"/>
      <c r="I6" s="51"/>
    </row>
    <row r="7" spans="2:13">
      <c r="H7" s="52"/>
      <c r="I7" s="53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movimientos'!$U$5:$U$1003, 0)), "")</f>
        <v>46230</v>
      </c>
      <c r="C10" s="18" t="str">
        <f>IFERROR(INDEX('Detalles movimientos'!D$5:D$1003, MATCH(1, 'Detalles movimientos'!$U$5:$U$1003, 0)), "")</f>
        <v>Ignacio Guerrero</v>
      </c>
      <c r="D10" s="19" t="str">
        <f>IFERROR(INDEX('Detalles movimientos'!E$5:E$1003, MATCH(1, 'Detalles movimientos'!$U$5:$U$1003, 0)), "")</f>
        <v>VJYL61</v>
      </c>
      <c r="E10" s="19" t="str">
        <f>IFERROR(INDEX('Detalles movimientos'!F$5:F$1003, MATCH(1, 'Detalles movimientos'!$U$5:$U$1003, 0)), "")</f>
        <v>Ignacio</v>
      </c>
      <c r="F10" s="18">
        <f>IFERROR(INDEX('Detalles movimientos'!G$5:G$1003, MATCH(1, 'Detalles movimientos'!$U$5:$U$1003, 0)), "")</f>
        <v>0</v>
      </c>
      <c r="G10" s="20">
        <f>IFERROR(INDEX('Detalles movimientos'!H$5:H$1003, MATCH(1, 'Detalles movimientos'!$U$5:$U$1003, 0)), "")</f>
        <v>0</v>
      </c>
      <c r="H10" s="21">
        <f>IFERROR(INDEX('Detalles movimientos'!I$5:I$1003, MATCH(1, 'Detalles movimientos'!$U$5:$U$1003, 0)), "")</f>
        <v>0</v>
      </c>
      <c r="I10" s="20">
        <f>IFERROR(INDEX('Detalles movimientos'!M$5:M$1003, MATCH(1, 'Detalles movimientos'!$U$5:$U$1003, 0)), "")</f>
        <v>0</v>
      </c>
      <c r="J10" s="19" t="str">
        <f>IFERROR(INDEX('Detalles movimientos'!N$5:N$1003, MATCH(1, 'Detalles movimientos'!$U$5:$U$1003, 0)), "")</f>
        <v>Extraccion</v>
      </c>
      <c r="K10" s="20" t="str">
        <f>IFERROR(INDEX('Detalles movimientos'!O$5:O$1003, MATCH(1, 'Detalles movimientos'!$U$5:$U$1003, 0)), "")</f>
        <v/>
      </c>
      <c r="L10" s="18" t="str">
        <f>IFERROR(INDEX('Detalles movimientos'!P$5:P$1003, MATCH(1, 'Detalles movimientos'!$U$5:$U$1003, 0)), "")</f>
        <v>Extraccion</v>
      </c>
      <c r="M10" s="18">
        <f>IFERROR(INDEX('Detalles movimientos'!S$5:S$1003, MATCH(1, 'Detalles movimientos'!$U$5:$U$1003, 0)), "")</f>
        <v>0</v>
      </c>
    </row>
    <row r="11" spans="2:13">
      <c r="B11" s="17">
        <f>IFERROR(INDEX('Detalles movimientos'!C$5:C$1003, MATCH(2, 'Detalles movimientos'!$U$5:$U$1003, 0)), "")</f>
        <v>46238</v>
      </c>
      <c r="C11" s="18" t="str">
        <f>IFERROR(INDEX('Detalles movimientos'!D$5:D$1003, MATCH(2, 'Detalles movimientos'!$U$5:$U$1003, 0)), "")</f>
        <v>Ignacio Guerrero</v>
      </c>
      <c r="D11" s="19" t="str">
        <f>IFERROR(INDEX('Detalles movimientos'!E$5:E$1003, MATCH(2, 'Detalles movimientos'!$U$5:$U$1003, 0)), "")</f>
        <v>VJYL61</v>
      </c>
      <c r="E11" s="19" t="str">
        <f>IFERROR(INDEX('Detalles movimientos'!F$5:F$1003, MATCH(2, 'Detalles movimientos'!$U$5:$U$1003, 0)), "")</f>
        <v>Ignacio</v>
      </c>
      <c r="F11" s="18">
        <f>IFERROR(INDEX('Detalles movimientos'!G$5:G$1003, MATCH(2, 'Detalles movimientos'!$U$5:$U$1003, 0)), "")</f>
        <v>0</v>
      </c>
      <c r="G11" s="20">
        <f>IFERROR(INDEX('Detalles movimientos'!H$5:H$1003, MATCH(2, 'Detalles movimientos'!$U$5:$U$1003, 0)), "")</f>
        <v>0</v>
      </c>
      <c r="H11" s="21">
        <f>IFERROR(INDEX('Detalles movimientos'!I$5:I$1003, MATCH(2, 'Detalles movimientos'!$U$5:$U$1003, 0)), "")</f>
        <v>0</v>
      </c>
      <c r="I11" s="20">
        <f>IFERROR(INDEX('Detalles movimientos'!M$5:M$1003, MATCH(2, 'Detalles movimientos'!$U$5:$U$1003, 0)), "")</f>
        <v>0</v>
      </c>
      <c r="J11" s="19" t="str">
        <f>IFERROR(INDEX('Detalles movimientos'!N$5:N$1003, MATCH(2, 'Detalles movimientos'!$U$5:$U$1003, 0)), "")</f>
        <v>Extraccion</v>
      </c>
      <c r="K11" s="20" t="str">
        <f>IFERROR(INDEX('Detalles movimientos'!O$5:O$1003, MATCH(2, 'Detalles movimientos'!$U$5:$U$1003, 0)), "")</f>
        <v/>
      </c>
      <c r="L11" s="18" t="str">
        <f>IFERROR(INDEX('Detalles movimientos'!P$5:P$1003, MATCH(2, 'Detalles movimientos'!$U$5:$U$1003, 0)), "")</f>
        <v>Extraccion</v>
      </c>
      <c r="M11" s="18">
        <f>IFERROR(INDEX('Detalles movimientos'!S$5:S$1003, MATCH(2, 'Detalles movimientos'!$U$5:$U$1003, 0)), "")</f>
        <v>0</v>
      </c>
    </row>
    <row r="12" spans="2:13">
      <c r="B12" s="17">
        <f>IFERROR(INDEX('Detalles movimientos'!C$5:C$1003, MATCH(3, 'Detalles movimientos'!$U$5:$U$1003, 0)), "")</f>
        <v>46242</v>
      </c>
      <c r="C12" s="18" t="str">
        <f>IFERROR(INDEX('Detalles movimientos'!D$5:D$1003, MATCH(3, 'Detalles movimientos'!$U$5:$U$1003, 0)), "")</f>
        <v>Ignacio Guerrero</v>
      </c>
      <c r="D12" s="19" t="str">
        <f>IFERROR(INDEX('Detalles movimientos'!E$5:E$1003, MATCH(3, 'Detalles movimientos'!$U$5:$U$1003, 0)), "")</f>
        <v>VJYL61</v>
      </c>
      <c r="E12" s="19" t="str">
        <f>IFERROR(INDEX('Detalles movimientos'!F$5:F$1003, MATCH(3, 'Detalles movimientos'!$U$5:$U$1003, 0)), "")</f>
        <v>Ignacio</v>
      </c>
      <c r="F12" s="18">
        <f>IFERROR(INDEX('Detalles movimientos'!G$5:G$1003, MATCH(3, 'Detalles movimientos'!$U$5:$U$1003, 0)), "")</f>
        <v>0</v>
      </c>
      <c r="G12" s="20">
        <f>IFERROR(INDEX('Detalles movimientos'!H$5:H$1003, MATCH(3, 'Detalles movimientos'!$U$5:$U$1003, 0)), "")</f>
        <v>0</v>
      </c>
      <c r="H12" s="21">
        <f>IFERROR(INDEX('Detalles movimientos'!I$5:I$1003, MATCH(3, 'Detalles movimientos'!$U$5:$U$1003, 0)), "")</f>
        <v>0</v>
      </c>
      <c r="I12" s="20">
        <f>IFERROR(INDEX('Detalles movimientos'!M$5:M$1003, MATCH(3, 'Detalles movimientos'!$U$5:$U$1003, 0)), "")</f>
        <v>0</v>
      </c>
      <c r="J12" s="19" t="str">
        <f>IFERROR(INDEX('Detalles movimientos'!N$5:N$1003, MATCH(3, 'Detalles movimientos'!$U$5:$U$1003, 0)), "")</f>
        <v>Extraccion</v>
      </c>
      <c r="K12" s="20" t="str">
        <f>IFERROR(INDEX('Detalles movimientos'!O$5:O$1003, MATCH(3, 'Detalles movimientos'!$U$5:$U$1003, 0)), "")</f>
        <v/>
      </c>
      <c r="L12" s="18" t="str">
        <f>IFERROR(INDEX('Detalles movimientos'!P$5:P$1003, MATCH(3, 'Detalles movimientos'!$U$5:$U$1003, 0)), "")</f>
        <v>Extraccion</v>
      </c>
      <c r="M12" s="18">
        <f>IFERROR(INDEX('Detalles movimientos'!S$5:S$1003, MATCH(3, 'Detalles movimientos'!$U$5:$U$1003, 0)), "")</f>
        <v>0</v>
      </c>
    </row>
    <row r="13" spans="2:13">
      <c r="B13" s="17">
        <f>IFERROR(INDEX('Detalles movimientos'!C$5:C$1003, MATCH(4, 'Detalles movimientos'!$U$5:$U$1003, 0)), "")</f>
        <v>46247</v>
      </c>
      <c r="C13" s="18" t="str">
        <f>IFERROR(INDEX('Detalles movimientos'!D$5:D$1003, MATCH(4, 'Detalles movimientos'!$U$5:$U$1003, 0)), "")</f>
        <v>Ignacio Guerrero</v>
      </c>
      <c r="D13" s="19" t="str">
        <f>IFERROR(INDEX('Detalles movimientos'!E$5:E$1003, MATCH(4, 'Detalles movimientos'!$U$5:$U$1003, 0)), "")</f>
        <v>VJYL42</v>
      </c>
      <c r="E13" s="19" t="str">
        <f>IFERROR(INDEX('Detalles movimientos'!F$5:F$1003, MATCH(4, 'Detalles movimientos'!$U$5:$U$1003, 0)), "")</f>
        <v>Ignacio</v>
      </c>
      <c r="F13" s="18">
        <f>IFERROR(INDEX('Detalles movimientos'!G$5:G$1003, MATCH(4, 'Detalles movimientos'!$U$5:$U$1003, 0)), "")</f>
        <v>0</v>
      </c>
      <c r="G13" s="20">
        <f>IFERROR(INDEX('Detalles movimientos'!H$5:H$1003, MATCH(4, 'Detalles movimientos'!$U$5:$U$1003, 0)), "")</f>
        <v>0</v>
      </c>
      <c r="H13" s="21">
        <f>IFERROR(INDEX('Detalles movimientos'!I$5:I$1003, MATCH(4, 'Detalles movimientos'!$U$5:$U$1003, 0)), "")</f>
        <v>0</v>
      </c>
      <c r="I13" s="20">
        <f>IFERROR(INDEX('Detalles movimientos'!M$5:M$1003, MATCH(4, 'Detalles movimientos'!$U$5:$U$1003, 0)), "")</f>
        <v>0</v>
      </c>
      <c r="J13" s="19" t="str">
        <f>IFERROR(INDEX('Detalles movimientos'!N$5:N$1003, MATCH(4, 'Detalles movimientos'!$U$5:$U$1003, 0)), "")</f>
        <v>Extraccion</v>
      </c>
      <c r="K13" s="20" t="str">
        <f>IFERROR(INDEX('Detalles movimientos'!O$5:O$1003, MATCH(4, 'Detalles movimientos'!$U$5:$U$1003, 0)), "")</f>
        <v/>
      </c>
      <c r="L13" s="18" t="str">
        <f>IFERROR(INDEX('Detalles movimientos'!P$5:P$1003, MATCH(4, 'Detalles movimientos'!$U$5:$U$1003, 0)), "")</f>
        <v>Extraccion</v>
      </c>
      <c r="M13" s="18">
        <f>IFERROR(INDEX('Detalles movimientos'!S$5:S$1003, MATCH(4, 'Detalles movimientos'!$U$5:$U$1003, 0)), "")</f>
        <v>0</v>
      </c>
    </row>
    <row r="14" spans="2:13">
      <c r="B14" s="17" t="str">
        <f>IFERROR(INDEX('Detalles movimientos'!C$5:C$1003, MATCH(5, 'Detalles movimientos'!$U$5:$U$1003, 0)), "")</f>
        <v/>
      </c>
      <c r="C14" s="18" t="str">
        <f>IFERROR(INDEX('Detalles movimientos'!D$5:D$1003, MATCH(5, 'Detalles movimientos'!$U$5:$U$1003, 0)), "")</f>
        <v/>
      </c>
      <c r="D14" s="19" t="str">
        <f>IFERROR(INDEX('Detalles movimientos'!E$5:E$1003, MATCH(5, 'Detalles movimientos'!$U$5:$U$1003, 0)), "")</f>
        <v/>
      </c>
      <c r="E14" s="19" t="str">
        <f>IFERROR(INDEX('Detalles movimientos'!F$5:F$1003, MATCH(5, 'Detalles movimientos'!$U$5:$U$1003, 0)), "")</f>
        <v/>
      </c>
      <c r="F14" s="18" t="str">
        <f>IFERROR(INDEX('Detalles movimientos'!G$5:G$1003, MATCH(5, 'Detalles movimientos'!$U$5:$U$1003, 0)), "")</f>
        <v/>
      </c>
      <c r="G14" s="20" t="str">
        <f>IFERROR(INDEX('Detalles movimientos'!H$5:H$1003, MATCH(5, 'Detalles movimientos'!$U$5:$U$1003, 0)), "")</f>
        <v/>
      </c>
      <c r="H14" s="21" t="str">
        <f>IFERROR(INDEX('Detalles movimientos'!I$5:I$1003, MATCH(5, 'Detalles movimientos'!$U$5:$U$1003, 0)), "")</f>
        <v/>
      </c>
      <c r="I14" s="20" t="str">
        <f>IFERROR(INDEX('Detalles movimientos'!M$5:M$1003, MATCH(5, 'Detalles movimientos'!$U$5:$U$1003, 0)), "")</f>
        <v/>
      </c>
      <c r="J14" s="19" t="str">
        <f>IFERROR(INDEX('Detalles movimientos'!N$5:N$1003, MATCH(5, 'Detalles movimientos'!$U$5:$U$1003, 0)), "")</f>
        <v/>
      </c>
      <c r="K14" s="20" t="str">
        <f>IFERROR(INDEX('Detalles movimientos'!O$5:O$1003, MATCH(5, 'Detalles movimientos'!$U$5:$U$1003, 0)), "")</f>
        <v/>
      </c>
      <c r="L14" s="18" t="str">
        <f>IFERROR(INDEX('Detalles movimientos'!P$5:P$1003, MATCH(5, 'Detalles movimientos'!$U$5:$U$1003, 0)), "")</f>
        <v/>
      </c>
      <c r="M14" s="18" t="str">
        <f>IFERROR(INDEX('Detalles movimientos'!S$5:S$1003, MATCH(5, 'Detalles movimientos'!$U$5:$U$1003, 0)), "")</f>
        <v/>
      </c>
    </row>
    <row r="15" spans="2:13">
      <c r="B15" s="17" t="str">
        <f>IFERROR(INDEX('Detalles movimientos'!C$5:C$1003, MATCH(6, 'Detalles movimientos'!$U$5:$U$1003, 0)), "")</f>
        <v/>
      </c>
      <c r="C15" s="18" t="str">
        <f>IFERROR(INDEX('Detalles movimientos'!D$5:D$1003, MATCH(6, 'Detalles movimientos'!$U$5:$U$1003, 0)), "")</f>
        <v/>
      </c>
      <c r="D15" s="19" t="str">
        <f>IFERROR(INDEX('Detalles movimientos'!E$5:E$1003, MATCH(6, 'Detalles movimientos'!$U$5:$U$1003, 0)), "")</f>
        <v/>
      </c>
      <c r="E15" s="19" t="str">
        <f>IFERROR(INDEX('Detalles movimientos'!F$5:F$1003, MATCH(6, 'Detalles movimientos'!$U$5:$U$1003, 0)), "")</f>
        <v/>
      </c>
      <c r="F15" s="18" t="str">
        <f>IFERROR(INDEX('Detalles movimientos'!G$5:G$1003, MATCH(6, 'Detalles movimientos'!$U$5:$U$1003, 0)), "")</f>
        <v/>
      </c>
      <c r="G15" s="20" t="str">
        <f>IFERROR(INDEX('Detalles movimientos'!H$5:H$1003, MATCH(6, 'Detalles movimientos'!$U$5:$U$1003, 0)), "")</f>
        <v/>
      </c>
      <c r="H15" s="21" t="str">
        <f>IFERROR(INDEX('Detalles movimientos'!I$5:I$1003, MATCH(6, 'Detalles movimientos'!$U$5:$U$1003, 0)), "")</f>
        <v/>
      </c>
      <c r="I15" s="20" t="str">
        <f>IFERROR(INDEX('Detalles movimientos'!M$5:M$1003, MATCH(6, 'Detalles movimientos'!$U$5:$U$1003, 0)), "")</f>
        <v/>
      </c>
      <c r="J15" s="19" t="str">
        <f>IFERROR(INDEX('Detalles movimientos'!N$5:N$1003, MATCH(6, 'Detalles movimientos'!$U$5:$U$1003, 0)), "")</f>
        <v/>
      </c>
      <c r="K15" s="20" t="str">
        <f>IFERROR(INDEX('Detalles movimientos'!O$5:O$1003, MATCH(6, 'Detalles movimientos'!$U$5:$U$1003, 0)), "")</f>
        <v/>
      </c>
      <c r="L15" s="18" t="str">
        <f>IFERROR(INDEX('Detalles movimientos'!P$5:P$1003, MATCH(6, 'Detalles movimientos'!$U$5:$U$1003, 0)), "")</f>
        <v/>
      </c>
      <c r="M15" s="18" t="str">
        <f>IFERROR(INDEX('Detalles movimientos'!S$5:S$1003, MATCH(6, 'Detalles movimientos'!$U$5:$U$1003, 0)), "")</f>
        <v/>
      </c>
    </row>
    <row r="16" spans="2:13">
      <c r="B16" s="17" t="str">
        <f>IFERROR(INDEX('Detalles movimientos'!C$5:C$1003, MATCH(7, 'Detalles movimientos'!$U$5:$U$1003, 0)), "")</f>
        <v/>
      </c>
      <c r="C16" s="18" t="str">
        <f>IFERROR(INDEX('Detalles movimientos'!D$5:D$1003, MATCH(7, 'Detalles movimientos'!$U$5:$U$1003, 0)), "")</f>
        <v/>
      </c>
      <c r="D16" s="19" t="str">
        <f>IFERROR(INDEX('Detalles movimientos'!E$5:E$1003, MATCH(7, 'Detalles movimientos'!$U$5:$U$1003, 0)), "")</f>
        <v/>
      </c>
      <c r="E16" s="19" t="str">
        <f>IFERROR(INDEX('Detalles movimientos'!F$5:F$1003, MATCH(7, 'Detalles movimientos'!$U$5:$U$1003, 0)), "")</f>
        <v/>
      </c>
      <c r="F16" s="18" t="str">
        <f>IFERROR(INDEX('Detalles movimientos'!G$5:G$1003, MATCH(7, 'Detalles movimientos'!$U$5:$U$1003, 0)), "")</f>
        <v/>
      </c>
      <c r="G16" s="20" t="str">
        <f>IFERROR(INDEX('Detalles movimientos'!H$5:H$1003, MATCH(7, 'Detalles movimientos'!$U$5:$U$1003, 0)), "")</f>
        <v/>
      </c>
      <c r="H16" s="21" t="str">
        <f>IFERROR(INDEX('Detalles movimientos'!I$5:I$1003, MATCH(7, 'Detalles movimientos'!$U$5:$U$1003, 0)), "")</f>
        <v/>
      </c>
      <c r="I16" s="20" t="str">
        <f>IFERROR(INDEX('Detalles movimientos'!M$5:M$1003, MATCH(7, 'Detalles movimientos'!$U$5:$U$1003, 0)), "")</f>
        <v/>
      </c>
      <c r="J16" s="19" t="str">
        <f>IFERROR(INDEX('Detalles movimientos'!N$5:N$1003, MATCH(7, 'Detalles movimientos'!$U$5:$U$1003, 0)), "")</f>
        <v/>
      </c>
      <c r="K16" s="20" t="str">
        <f>IFERROR(INDEX('Detalles movimientos'!O$5:O$1003, MATCH(7, 'Detalles movimientos'!$U$5:$U$1003, 0)), "")</f>
        <v/>
      </c>
      <c r="L16" s="18" t="str">
        <f>IFERROR(INDEX('Detalles movimientos'!P$5:P$1003, MATCH(7, 'Detalles movimientos'!$U$5:$U$1003, 0)), "")</f>
        <v/>
      </c>
      <c r="M16" s="18" t="str">
        <f>IFERROR(INDEX('Detalles movimientos'!S$5:S$1003, MATCH(7, 'Detalles movimientos'!$U$5:$U$1003, 0)), "")</f>
        <v/>
      </c>
    </row>
    <row r="17" spans="2:13">
      <c r="B17" s="17" t="str">
        <f>IFERROR(INDEX('Detalles movimientos'!C$5:C$1003, MATCH(8, 'Detalles movimientos'!$U$5:$U$1003, 0)), "")</f>
        <v/>
      </c>
      <c r="C17" s="18" t="str">
        <f>IFERROR(INDEX('Detalles movimientos'!D$5:D$1003, MATCH(8, 'Detalles movimientos'!$U$5:$U$1003, 0)), "")</f>
        <v/>
      </c>
      <c r="D17" s="19" t="str">
        <f>IFERROR(INDEX('Detalles movimientos'!E$5:E$1003, MATCH(8, 'Detalles movimientos'!$U$5:$U$1003, 0)), "")</f>
        <v/>
      </c>
      <c r="E17" s="19" t="str">
        <f>IFERROR(INDEX('Detalles movimientos'!F$5:F$1003, MATCH(8, 'Detalles movimientos'!$U$5:$U$1003, 0)), "")</f>
        <v/>
      </c>
      <c r="F17" s="18" t="str">
        <f>IFERROR(INDEX('Detalles movimientos'!G$5:G$1003, MATCH(8, 'Detalles movimientos'!$U$5:$U$1003, 0)), "")</f>
        <v/>
      </c>
      <c r="G17" s="20" t="str">
        <f>IFERROR(INDEX('Detalles movimientos'!H$5:H$1003, MATCH(8, 'Detalles movimientos'!$U$5:$U$1003, 0)), "")</f>
        <v/>
      </c>
      <c r="H17" s="21" t="str">
        <f>IFERROR(INDEX('Detalles movimientos'!I$5:I$1003, MATCH(8, 'Detalles movimientos'!$U$5:$U$1003, 0)), "")</f>
        <v/>
      </c>
      <c r="I17" s="20" t="str">
        <f>IFERROR(INDEX('Detalles movimientos'!M$5:M$1003, MATCH(8, 'Detalles movimientos'!$U$5:$U$1003, 0)), "")</f>
        <v/>
      </c>
      <c r="J17" s="19" t="str">
        <f>IFERROR(INDEX('Detalles movimientos'!N$5:N$1003, MATCH(8, 'Detalles movimientos'!$U$5:$U$1003, 0)), "")</f>
        <v/>
      </c>
      <c r="K17" s="20" t="str">
        <f>IFERROR(INDEX('Detalles movimientos'!O$5:O$1003, MATCH(8, 'Detalles movimientos'!$U$5:$U$1003, 0)), "")</f>
        <v/>
      </c>
      <c r="L17" s="18" t="str">
        <f>IFERROR(INDEX('Detalles movimientos'!P$5:P$1003, MATCH(8, 'Detalles movimientos'!$U$5:$U$1003, 0)), "")</f>
        <v/>
      </c>
      <c r="M17" s="18" t="str">
        <f>IFERROR(INDEX('Detalles movimientos'!S$5:S$1003, MATCH(8, 'Detalles movimientos'!$U$5:$U$1003, 0)), "")</f>
        <v/>
      </c>
    </row>
    <row r="18" spans="2:13">
      <c r="B18" s="17" t="str">
        <f>IFERROR(INDEX('Detalles movimientos'!C$5:C$1003, MATCH(9, 'Detalles movimientos'!$U$5:$U$1003, 0)), "")</f>
        <v/>
      </c>
      <c r="C18" s="18" t="str">
        <f>IFERROR(INDEX('Detalles movimientos'!D$5:D$1003, MATCH(9, 'Detalles movimientos'!$U$5:$U$1003, 0)), "")</f>
        <v/>
      </c>
      <c r="D18" s="19" t="str">
        <f>IFERROR(INDEX('Detalles movimientos'!E$5:E$1003, MATCH(9, 'Detalles movimientos'!$U$5:$U$1003, 0)), "")</f>
        <v/>
      </c>
      <c r="E18" s="19" t="str">
        <f>IFERROR(INDEX('Detalles movimientos'!F$5:F$1003, MATCH(9, 'Detalles movimientos'!$U$5:$U$1003, 0)), "")</f>
        <v/>
      </c>
      <c r="F18" s="18" t="str">
        <f>IFERROR(INDEX('Detalles movimientos'!G$5:G$1003, MATCH(9, 'Detalles movimientos'!$U$5:$U$1003, 0)), "")</f>
        <v/>
      </c>
      <c r="G18" s="20" t="str">
        <f>IFERROR(INDEX('Detalles movimientos'!H$5:H$1003, MATCH(9, 'Detalles movimientos'!$U$5:$U$1003, 0)), "")</f>
        <v/>
      </c>
      <c r="H18" s="21" t="str">
        <f>IFERROR(INDEX('Detalles movimientos'!I$5:I$1003, MATCH(9, 'Detalles movimientos'!$U$5:$U$1003, 0)), "")</f>
        <v/>
      </c>
      <c r="I18" s="20" t="str">
        <f>IFERROR(INDEX('Detalles movimientos'!M$5:M$1003, MATCH(9, 'Detalles movimientos'!$U$5:$U$1003, 0)), "")</f>
        <v/>
      </c>
      <c r="J18" s="19" t="str">
        <f>IFERROR(INDEX('Detalles movimientos'!N$5:N$1003, MATCH(9, 'Detalles movimientos'!$U$5:$U$1003, 0)), "")</f>
        <v/>
      </c>
      <c r="K18" s="20" t="str">
        <f>IFERROR(INDEX('Detalles movimientos'!O$5:O$1003, MATCH(9, 'Detalles movimientos'!$U$5:$U$1003, 0)), "")</f>
        <v/>
      </c>
      <c r="L18" s="18" t="str">
        <f>IFERROR(INDEX('Detalles movimientos'!P$5:P$1003, MATCH(9, 'Detalles movimientos'!$U$5:$U$1003, 0)), "")</f>
        <v/>
      </c>
      <c r="M18" s="18" t="str">
        <f>IFERROR(INDEX('Detalles movimientos'!S$5:S$1003, MATCH(9, 'Detalles movimientos'!$U$5:$U$1003, 0)), "")</f>
        <v/>
      </c>
    </row>
    <row r="19" spans="2:13">
      <c r="B19" s="17" t="str">
        <f>IFERROR(INDEX('Detalles movimientos'!C$5:C$1003, MATCH(10, 'Detalles movimientos'!$U$5:$U$1003, 0)), "")</f>
        <v/>
      </c>
      <c r="C19" s="18" t="str">
        <f>IFERROR(INDEX('Detalles movimientos'!D$5:D$1003, MATCH(10, 'Detalles movimientos'!$U$5:$U$1003, 0)), "")</f>
        <v/>
      </c>
      <c r="D19" s="19" t="str">
        <f>IFERROR(INDEX('Detalles movimientos'!E$5:E$1003, MATCH(10, 'Detalles movimientos'!$U$5:$U$1003, 0)), "")</f>
        <v/>
      </c>
      <c r="E19" s="19" t="str">
        <f>IFERROR(INDEX('Detalles movimientos'!F$5:F$1003, MATCH(10, 'Detalles movimientos'!$U$5:$U$1003, 0)), "")</f>
        <v/>
      </c>
      <c r="F19" s="18" t="str">
        <f>IFERROR(INDEX('Detalles movimientos'!G$5:G$1003, MATCH(10, 'Detalles movimientos'!$U$5:$U$1003, 0)), "")</f>
        <v/>
      </c>
      <c r="G19" s="20" t="str">
        <f>IFERROR(INDEX('Detalles movimientos'!H$5:H$1003, MATCH(10, 'Detalles movimientos'!$U$5:$U$1003, 0)), "")</f>
        <v/>
      </c>
      <c r="H19" s="21" t="str">
        <f>IFERROR(INDEX('Detalles movimientos'!I$5:I$1003, MATCH(10, 'Detalles movimientos'!$U$5:$U$1003, 0)), "")</f>
        <v/>
      </c>
      <c r="I19" s="20" t="str">
        <f>IFERROR(INDEX('Detalles movimientos'!M$5:M$1003, MATCH(10, 'Detalles movimientos'!$U$5:$U$1003, 0)), "")</f>
        <v/>
      </c>
      <c r="J19" s="19" t="str">
        <f>IFERROR(INDEX('Detalles movimientos'!N$5:N$1003, MATCH(10, 'Detalles movimientos'!$U$5:$U$1003, 0)), "")</f>
        <v/>
      </c>
      <c r="K19" s="20" t="str">
        <f>IFERROR(INDEX('Detalles movimientos'!O$5:O$1003, MATCH(10, 'Detalles movimientos'!$U$5:$U$1003, 0)), "")</f>
        <v/>
      </c>
      <c r="L19" s="18" t="str">
        <f>IFERROR(INDEX('Detalles movimientos'!P$5:P$1003, MATCH(10, 'Detalles movimientos'!$U$5:$U$1003, 0)), "")</f>
        <v/>
      </c>
      <c r="M19" s="18" t="str">
        <f>IFERROR(INDEX('Detalles movimientos'!S$5:S$1003, MATCH(10, 'Detalles movimientos'!$U$5:$U$1003, 0)), "")</f>
        <v/>
      </c>
    </row>
    <row r="20" spans="2:13">
      <c r="B20" s="17" t="str">
        <f>IFERROR(INDEX('Detalles movimientos'!C$5:C$1003, MATCH(11, 'Detalles movimientos'!$U$5:$U$1003, 0)), "")</f>
        <v/>
      </c>
      <c r="C20" s="18" t="str">
        <f>IFERROR(INDEX('Detalles movimientos'!D$5:D$1003, MATCH(11, 'Detalles movimientos'!$U$5:$U$1003, 0)), "")</f>
        <v/>
      </c>
      <c r="D20" s="19" t="str">
        <f>IFERROR(INDEX('Detalles movimientos'!E$5:E$1003, MATCH(11, 'Detalles movimientos'!$U$5:$U$1003, 0)), "")</f>
        <v/>
      </c>
      <c r="E20" s="19" t="str">
        <f>IFERROR(INDEX('Detalles movimientos'!F$5:F$1003, MATCH(11, 'Detalles movimientos'!$U$5:$U$1003, 0)), "")</f>
        <v/>
      </c>
      <c r="F20" s="18" t="str">
        <f>IFERROR(INDEX('Detalles movimientos'!G$5:G$1003, MATCH(11, 'Detalles movimientos'!$U$5:$U$1003, 0)), "")</f>
        <v/>
      </c>
      <c r="G20" s="20" t="str">
        <f>IFERROR(INDEX('Detalles movimientos'!H$5:H$1003, MATCH(11, 'Detalles movimientos'!$U$5:$U$1003, 0)), "")</f>
        <v/>
      </c>
      <c r="H20" s="21" t="str">
        <f>IFERROR(INDEX('Detalles movimientos'!I$5:I$1003, MATCH(11, 'Detalles movimientos'!$U$5:$U$1003, 0)), "")</f>
        <v/>
      </c>
      <c r="I20" s="20" t="str">
        <f>IFERROR(INDEX('Detalles movimientos'!M$5:M$1003, MATCH(11, 'Detalles movimientos'!$U$5:$U$1003, 0)), "")</f>
        <v/>
      </c>
      <c r="J20" s="19" t="str">
        <f>IFERROR(INDEX('Detalles movimientos'!N$5:N$1003, MATCH(11, 'Detalles movimientos'!$U$5:$U$1003, 0)), "")</f>
        <v/>
      </c>
      <c r="K20" s="20" t="str">
        <f>IFERROR(INDEX('Detalles movimientos'!O$5:O$1003, MATCH(11, 'Detalles movimientos'!$U$5:$U$1003, 0)), "")</f>
        <v/>
      </c>
      <c r="L20" s="18" t="str">
        <f>IFERROR(INDEX('Detalles movimientos'!P$5:P$1003, MATCH(11, 'Detalles movimientos'!$U$5:$U$1003, 0)), "")</f>
        <v/>
      </c>
      <c r="M20" s="18" t="str">
        <f>IFERROR(INDEX('Detalles movimientos'!S$5:S$1003, MATCH(11, 'Detalles movimientos'!$U$5:$U$1003, 0)), "")</f>
        <v/>
      </c>
    </row>
    <row r="21" spans="2:13">
      <c r="B21" s="17" t="str">
        <f>IFERROR(INDEX('Detalles movimientos'!C$5:C$1003, MATCH(12, 'Detalles movimientos'!$U$5:$U$1003, 0)), "")</f>
        <v/>
      </c>
      <c r="C21" s="18" t="str">
        <f>IFERROR(INDEX('Detalles movimientos'!D$5:D$1003, MATCH(12, 'Detalles movimientos'!$U$5:$U$1003, 0)), "")</f>
        <v/>
      </c>
      <c r="D21" s="19" t="str">
        <f>IFERROR(INDEX('Detalles movimientos'!E$5:E$1003, MATCH(12, 'Detalles movimientos'!$U$5:$U$1003, 0)), "")</f>
        <v/>
      </c>
      <c r="E21" s="19" t="str">
        <f>IFERROR(INDEX('Detalles movimientos'!F$5:F$1003, MATCH(12, 'Detalles movimientos'!$U$5:$U$1003, 0)), "")</f>
        <v/>
      </c>
      <c r="F21" s="18" t="str">
        <f>IFERROR(INDEX('Detalles movimientos'!G$5:G$1003, MATCH(12, 'Detalles movimientos'!$U$5:$U$1003, 0)), "")</f>
        <v/>
      </c>
      <c r="G21" s="20" t="str">
        <f>IFERROR(INDEX('Detalles movimientos'!H$5:H$1003, MATCH(12, 'Detalles movimientos'!$U$5:$U$1003, 0)), "")</f>
        <v/>
      </c>
      <c r="H21" s="21" t="str">
        <f>IFERROR(INDEX('Detalles movimientos'!I$5:I$1003, MATCH(12, 'Detalles movimientos'!$U$5:$U$1003, 0)), "")</f>
        <v/>
      </c>
      <c r="I21" s="20" t="str">
        <f>IFERROR(INDEX('Detalles movimientos'!M$5:M$1003, MATCH(12, 'Detalles movimientos'!$U$5:$U$1003, 0)), "")</f>
        <v/>
      </c>
      <c r="J21" s="19" t="str">
        <f>IFERROR(INDEX('Detalles movimientos'!N$5:N$1003, MATCH(12, 'Detalles movimientos'!$U$5:$U$1003, 0)), "")</f>
        <v/>
      </c>
      <c r="K21" s="20" t="str">
        <f>IFERROR(INDEX('Detalles movimientos'!O$5:O$1003, MATCH(12, 'Detalles movimientos'!$U$5:$U$1003, 0)), "")</f>
        <v/>
      </c>
      <c r="L21" s="18" t="str">
        <f>IFERROR(INDEX('Detalles movimientos'!P$5:P$1003, MATCH(12, 'Detalles movimientos'!$U$5:$U$1003, 0)), "")</f>
        <v/>
      </c>
      <c r="M21" s="18" t="str">
        <f>IFERROR(INDEX('Detalles movimientos'!S$5:S$1003, MATCH(12, 'Detalles movimientos'!$U$5:$U$1003, 0)), "")</f>
        <v/>
      </c>
    </row>
    <row r="22" spans="2:13">
      <c r="B22" s="17" t="str">
        <f>IFERROR(INDEX('Detalles movimientos'!C$5:C$1003, MATCH(13, 'Detalles movimientos'!$U$5:$U$1003, 0)), "")</f>
        <v/>
      </c>
      <c r="C22" s="18" t="str">
        <f>IFERROR(INDEX('Detalles movimientos'!D$5:D$1003, MATCH(13, 'Detalles movimientos'!$U$5:$U$1003, 0)), "")</f>
        <v/>
      </c>
      <c r="D22" s="19" t="str">
        <f>IFERROR(INDEX('Detalles movimientos'!E$5:E$1003, MATCH(13, 'Detalles movimientos'!$U$5:$U$1003, 0)), "")</f>
        <v/>
      </c>
      <c r="E22" s="19" t="str">
        <f>IFERROR(INDEX('Detalles movimientos'!F$5:F$1003, MATCH(13, 'Detalles movimientos'!$U$5:$U$1003, 0)), "")</f>
        <v/>
      </c>
      <c r="F22" s="18" t="str">
        <f>IFERROR(INDEX('Detalles movimientos'!G$5:G$1003, MATCH(13, 'Detalles movimientos'!$U$5:$U$1003, 0)), "")</f>
        <v/>
      </c>
      <c r="G22" s="20" t="str">
        <f>IFERROR(INDEX('Detalles movimientos'!H$5:H$1003, MATCH(13, 'Detalles movimientos'!$U$5:$U$1003, 0)), "")</f>
        <v/>
      </c>
      <c r="H22" s="21" t="str">
        <f>IFERROR(INDEX('Detalles movimientos'!I$5:I$1003, MATCH(13, 'Detalles movimientos'!$U$5:$U$1003, 0)), "")</f>
        <v/>
      </c>
      <c r="I22" s="20" t="str">
        <f>IFERROR(INDEX('Detalles movimientos'!M$5:M$1003, MATCH(13, 'Detalles movimientos'!$U$5:$U$1003, 0)), "")</f>
        <v/>
      </c>
      <c r="J22" s="19" t="str">
        <f>IFERROR(INDEX('Detalles movimientos'!N$5:N$1003, MATCH(13, 'Detalles movimientos'!$U$5:$U$1003, 0)), "")</f>
        <v/>
      </c>
      <c r="K22" s="20" t="str">
        <f>IFERROR(INDEX('Detalles movimientos'!O$5:O$1003, MATCH(13, 'Detalles movimientos'!$U$5:$U$1003, 0)), "")</f>
        <v/>
      </c>
      <c r="L22" s="18" t="str">
        <f>IFERROR(INDEX('Detalles movimientos'!P$5:P$1003, MATCH(13, 'Detalles movimientos'!$U$5:$U$1003, 0)), "")</f>
        <v/>
      </c>
      <c r="M22" s="18" t="str">
        <f>IFERROR(INDEX('Detalles movimientos'!S$5:S$1003, MATCH(13, 'Detalles movimientos'!$U$5:$U$1003, 0)), "")</f>
        <v/>
      </c>
    </row>
    <row r="23" spans="2:13">
      <c r="B23" s="17" t="str">
        <f>IFERROR(INDEX('Detalles movimientos'!C$5:C$1003, MATCH(14, 'Detalles movimientos'!$U$5:$U$1003, 0)), "")</f>
        <v/>
      </c>
      <c r="C23" s="18" t="str">
        <f>IFERROR(INDEX('Detalles movimientos'!D$5:D$1003, MATCH(14, 'Detalles movimientos'!$U$5:$U$1003, 0)), "")</f>
        <v/>
      </c>
      <c r="D23" s="19" t="str">
        <f>IFERROR(INDEX('Detalles movimientos'!E$5:E$1003, MATCH(14, 'Detalles movimientos'!$U$5:$U$1003, 0)), "")</f>
        <v/>
      </c>
      <c r="E23" s="19" t="str">
        <f>IFERROR(INDEX('Detalles movimientos'!F$5:F$1003, MATCH(14, 'Detalles movimientos'!$U$5:$U$1003, 0)), "")</f>
        <v/>
      </c>
      <c r="F23" s="18" t="str">
        <f>IFERROR(INDEX('Detalles movimientos'!G$5:G$1003, MATCH(14, 'Detalles movimientos'!$U$5:$U$1003, 0)), "")</f>
        <v/>
      </c>
      <c r="G23" s="20" t="str">
        <f>IFERROR(INDEX('Detalles movimientos'!H$5:H$1003, MATCH(14, 'Detalles movimientos'!$U$5:$U$1003, 0)), "")</f>
        <v/>
      </c>
      <c r="H23" s="21" t="str">
        <f>IFERROR(INDEX('Detalles movimientos'!I$5:I$1003, MATCH(14, 'Detalles movimientos'!$U$5:$U$1003, 0)), "")</f>
        <v/>
      </c>
      <c r="I23" s="20" t="str">
        <f>IFERROR(INDEX('Detalles movimientos'!M$5:M$1003, MATCH(14, 'Detalles movimientos'!$U$5:$U$1003, 0)), "")</f>
        <v/>
      </c>
      <c r="J23" s="19" t="str">
        <f>IFERROR(INDEX('Detalles movimientos'!N$5:N$1003, MATCH(14, 'Detalles movimientos'!$U$5:$U$1003, 0)), "")</f>
        <v/>
      </c>
      <c r="K23" s="20" t="str">
        <f>IFERROR(INDEX('Detalles movimientos'!O$5:O$1003, MATCH(14, 'Detalles movimientos'!$U$5:$U$1003, 0)), "")</f>
        <v/>
      </c>
      <c r="L23" s="18" t="str">
        <f>IFERROR(INDEX('Detalles movimientos'!P$5:P$1003, MATCH(14, 'Detalles movimientos'!$U$5:$U$1003, 0)), "")</f>
        <v/>
      </c>
      <c r="M23" s="18" t="str">
        <f>IFERROR(INDEX('Detalles movimientos'!S$5:S$1003, MATCH(14, 'Detalles movimientos'!$U$5:$U$1003, 0)), "")</f>
        <v/>
      </c>
    </row>
    <row r="24" spans="2:13">
      <c r="B24" s="17" t="str">
        <f>IFERROR(INDEX('Detalles movimientos'!C$5:C$1003, MATCH(15, 'Detalles movimientos'!$U$5:$U$1003, 0)), "")</f>
        <v/>
      </c>
      <c r="C24" s="18" t="str">
        <f>IFERROR(INDEX('Detalles movimientos'!D$5:D$1003, MATCH(15, 'Detalles movimientos'!$U$5:$U$1003, 0)), "")</f>
        <v/>
      </c>
      <c r="D24" s="19" t="str">
        <f>IFERROR(INDEX('Detalles movimientos'!E$5:E$1003, MATCH(15, 'Detalles movimientos'!$U$5:$U$1003, 0)), "")</f>
        <v/>
      </c>
      <c r="E24" s="19" t="str">
        <f>IFERROR(INDEX('Detalles movimientos'!F$5:F$1003, MATCH(15, 'Detalles movimientos'!$U$5:$U$1003, 0)), "")</f>
        <v/>
      </c>
      <c r="F24" s="18" t="str">
        <f>IFERROR(INDEX('Detalles movimientos'!G$5:G$1003, MATCH(15, 'Detalles movimientos'!$U$5:$U$1003, 0)), "")</f>
        <v/>
      </c>
      <c r="G24" s="20" t="str">
        <f>IFERROR(INDEX('Detalles movimientos'!H$5:H$1003, MATCH(15, 'Detalles movimientos'!$U$5:$U$1003, 0)), "")</f>
        <v/>
      </c>
      <c r="H24" s="21" t="str">
        <f>IFERROR(INDEX('Detalles movimientos'!I$5:I$1003, MATCH(15, 'Detalles movimientos'!$U$5:$U$1003, 0)), "")</f>
        <v/>
      </c>
      <c r="I24" s="20" t="str">
        <f>IFERROR(INDEX('Detalles movimientos'!M$5:M$1003, MATCH(15, 'Detalles movimientos'!$U$5:$U$1003, 0)), "")</f>
        <v/>
      </c>
      <c r="J24" s="19" t="str">
        <f>IFERROR(INDEX('Detalles movimientos'!N$5:N$1003, MATCH(15, 'Detalles movimientos'!$U$5:$U$1003, 0)), "")</f>
        <v/>
      </c>
      <c r="K24" s="20" t="str">
        <f>IFERROR(INDEX('Detalles movimientos'!O$5:O$1003, MATCH(15, 'Detalles movimientos'!$U$5:$U$1003, 0)), "")</f>
        <v/>
      </c>
      <c r="L24" s="18" t="str">
        <f>IFERROR(INDEX('Detalles movimientos'!P$5:P$1003, MATCH(15, 'Detalles movimientos'!$U$5:$U$1003, 0)), "")</f>
        <v/>
      </c>
      <c r="M24" s="18" t="str">
        <f>IFERROR(INDEX('Detalles movimientos'!S$5:S$1003, MATCH(15, 'Detalles movimientos'!$U$5:$U$1003, 0)), "")</f>
        <v/>
      </c>
    </row>
    <row r="25" spans="2:13">
      <c r="B25" s="17" t="str">
        <f>IFERROR(INDEX('Detalles movimientos'!C$5:C$1003, MATCH(16, 'Detalles movimientos'!$U$5:$U$1003, 0)), "")</f>
        <v/>
      </c>
      <c r="C25" s="18" t="str">
        <f>IFERROR(INDEX('Detalles movimientos'!D$5:D$1003, MATCH(16, 'Detalles movimientos'!$U$5:$U$1003, 0)), "")</f>
        <v/>
      </c>
      <c r="D25" s="19" t="str">
        <f>IFERROR(INDEX('Detalles movimientos'!E$5:E$1003, MATCH(16, 'Detalles movimientos'!$U$5:$U$1003, 0)), "")</f>
        <v/>
      </c>
      <c r="E25" s="19" t="str">
        <f>IFERROR(INDEX('Detalles movimientos'!F$5:F$1003, MATCH(16, 'Detalles movimientos'!$U$5:$U$1003, 0)), "")</f>
        <v/>
      </c>
      <c r="F25" s="18" t="str">
        <f>IFERROR(INDEX('Detalles movimientos'!G$5:G$1003, MATCH(16, 'Detalles movimientos'!$U$5:$U$1003, 0)), "")</f>
        <v/>
      </c>
      <c r="G25" s="20" t="str">
        <f>IFERROR(INDEX('Detalles movimientos'!H$5:H$1003, MATCH(16, 'Detalles movimientos'!$U$5:$U$1003, 0)), "")</f>
        <v/>
      </c>
      <c r="H25" s="21" t="str">
        <f>IFERROR(INDEX('Detalles movimientos'!I$5:I$1003, MATCH(16, 'Detalles movimientos'!$U$5:$U$1003, 0)), "")</f>
        <v/>
      </c>
      <c r="I25" s="20" t="str">
        <f>IFERROR(INDEX('Detalles movimientos'!M$5:M$1003, MATCH(16, 'Detalles movimientos'!$U$5:$U$1003, 0)), "")</f>
        <v/>
      </c>
      <c r="J25" s="19" t="str">
        <f>IFERROR(INDEX('Detalles movimientos'!N$5:N$1003, MATCH(16, 'Detalles movimientos'!$U$5:$U$1003, 0)), "")</f>
        <v/>
      </c>
      <c r="K25" s="20" t="str">
        <f>IFERROR(INDEX('Detalles movimientos'!O$5:O$1003, MATCH(16, 'Detalles movimientos'!$U$5:$U$1003, 0)), "")</f>
        <v/>
      </c>
      <c r="L25" s="18" t="str">
        <f>IFERROR(INDEX('Detalles movimientos'!P$5:P$1003, MATCH(16, 'Detalles movimientos'!$U$5:$U$1003, 0)), "")</f>
        <v/>
      </c>
      <c r="M25" s="18" t="str">
        <f>IFERROR(INDEX('Detalles movimientos'!S$5:S$1003, MATCH(16, 'Detalles movimientos'!$U$5:$U$1003, 0)), "")</f>
        <v/>
      </c>
    </row>
    <row r="26" spans="2:13">
      <c r="B26" s="17" t="str">
        <f>IFERROR(INDEX('Detalles movimientos'!C$5:C$1003, MATCH(17, 'Detalles movimientos'!$U$5:$U$1003, 0)), "")</f>
        <v/>
      </c>
      <c r="C26" s="18" t="str">
        <f>IFERROR(INDEX('Detalles movimientos'!D$5:D$1003, MATCH(17, 'Detalles movimientos'!$U$5:$U$1003, 0)), "")</f>
        <v/>
      </c>
      <c r="D26" s="19" t="str">
        <f>IFERROR(INDEX('Detalles movimientos'!E$5:E$1003, MATCH(17, 'Detalles movimientos'!$U$5:$U$1003, 0)), "")</f>
        <v/>
      </c>
      <c r="E26" s="19" t="str">
        <f>IFERROR(INDEX('Detalles movimientos'!F$5:F$1003, MATCH(17, 'Detalles movimientos'!$U$5:$U$1003, 0)), "")</f>
        <v/>
      </c>
      <c r="F26" s="18" t="str">
        <f>IFERROR(INDEX('Detalles movimientos'!G$5:G$1003, MATCH(17, 'Detalles movimientos'!$U$5:$U$1003, 0)), "")</f>
        <v/>
      </c>
      <c r="G26" s="20" t="str">
        <f>IFERROR(INDEX('Detalles movimientos'!H$5:H$1003, MATCH(17, 'Detalles movimientos'!$U$5:$U$1003, 0)), "")</f>
        <v/>
      </c>
      <c r="H26" s="21" t="str">
        <f>IFERROR(INDEX('Detalles movimientos'!I$5:I$1003, MATCH(17, 'Detalles movimientos'!$U$5:$U$1003, 0)), "")</f>
        <v/>
      </c>
      <c r="I26" s="20" t="str">
        <f>IFERROR(INDEX('Detalles movimientos'!M$5:M$1003, MATCH(17, 'Detalles movimientos'!$U$5:$U$1003, 0)), "")</f>
        <v/>
      </c>
      <c r="J26" s="19" t="str">
        <f>IFERROR(INDEX('Detalles movimientos'!N$5:N$1003, MATCH(17, 'Detalles movimientos'!$U$5:$U$1003, 0)), "")</f>
        <v/>
      </c>
      <c r="K26" s="20" t="str">
        <f>IFERROR(INDEX('Detalles movimientos'!O$5:O$1003, MATCH(17, 'Detalles movimientos'!$U$5:$U$1003, 0)), "")</f>
        <v/>
      </c>
      <c r="L26" s="18" t="str">
        <f>IFERROR(INDEX('Detalles movimientos'!P$5:P$1003, MATCH(17, 'Detalles movimientos'!$U$5:$U$1003, 0)), "")</f>
        <v/>
      </c>
      <c r="M26" s="18" t="str">
        <f>IFERROR(INDEX('Detalles movimientos'!S$5:S$1003, MATCH(17, 'Detalles movimientos'!$U$5:$U$1003, 0)), "")</f>
        <v/>
      </c>
    </row>
    <row r="27" spans="2:13">
      <c r="B27" s="17" t="str">
        <f>IFERROR(INDEX('Detalles movimientos'!C$5:C$1003, MATCH(18, 'Detalles movimientos'!$U$5:$U$1003, 0)), "")</f>
        <v/>
      </c>
      <c r="C27" s="18" t="str">
        <f>IFERROR(INDEX('Detalles movimientos'!D$5:D$1003, MATCH(18, 'Detalles movimientos'!$U$5:$U$1003, 0)), "")</f>
        <v/>
      </c>
      <c r="D27" s="19" t="str">
        <f>IFERROR(INDEX('Detalles movimientos'!E$5:E$1003, MATCH(18, 'Detalles movimientos'!$U$5:$U$1003, 0)), "")</f>
        <v/>
      </c>
      <c r="E27" s="19" t="str">
        <f>IFERROR(INDEX('Detalles movimientos'!F$5:F$1003, MATCH(18, 'Detalles movimientos'!$U$5:$U$1003, 0)), "")</f>
        <v/>
      </c>
      <c r="F27" s="18" t="str">
        <f>IFERROR(INDEX('Detalles movimientos'!G$5:G$1003, MATCH(18, 'Detalles movimientos'!$U$5:$U$1003, 0)), "")</f>
        <v/>
      </c>
      <c r="G27" s="20" t="str">
        <f>IFERROR(INDEX('Detalles movimientos'!H$5:H$1003, MATCH(18, 'Detalles movimientos'!$U$5:$U$1003, 0)), "")</f>
        <v/>
      </c>
      <c r="H27" s="21" t="str">
        <f>IFERROR(INDEX('Detalles movimientos'!I$5:I$1003, MATCH(18, 'Detalles movimientos'!$U$5:$U$1003, 0)), "")</f>
        <v/>
      </c>
      <c r="I27" s="20" t="str">
        <f>IFERROR(INDEX('Detalles movimientos'!M$5:M$1003, MATCH(18, 'Detalles movimientos'!$U$5:$U$1003, 0)), "")</f>
        <v/>
      </c>
      <c r="J27" s="19" t="str">
        <f>IFERROR(INDEX('Detalles movimientos'!N$5:N$1003, MATCH(18, 'Detalles movimientos'!$U$5:$U$1003, 0)), "")</f>
        <v/>
      </c>
      <c r="K27" s="20" t="str">
        <f>IFERROR(INDEX('Detalles movimientos'!O$5:O$1003, MATCH(18, 'Detalles movimientos'!$U$5:$U$1003, 0)), "")</f>
        <v/>
      </c>
      <c r="L27" s="18" t="str">
        <f>IFERROR(INDEX('Detalles movimientos'!P$5:P$1003, MATCH(18, 'Detalles movimientos'!$U$5:$U$1003, 0)), "")</f>
        <v/>
      </c>
      <c r="M27" s="18" t="str">
        <f>IFERROR(INDEX('Detalles movimientos'!S$5:S$1003, MATCH(18, 'Detalles movimientos'!$U$5:$U$1003, 0)), "")</f>
        <v/>
      </c>
    </row>
    <row r="28" spans="2:13">
      <c r="B28" s="17" t="str">
        <f>IFERROR(INDEX('Detalles movimientos'!C$5:C$1003, MATCH(19, 'Detalles movimientos'!$U$5:$U$1003, 0)), "")</f>
        <v/>
      </c>
      <c r="C28" s="18" t="str">
        <f>IFERROR(INDEX('Detalles movimientos'!D$5:D$1003, MATCH(19, 'Detalles movimientos'!$U$5:$U$1003, 0)), "")</f>
        <v/>
      </c>
      <c r="D28" s="19" t="str">
        <f>IFERROR(INDEX('Detalles movimientos'!E$5:E$1003, MATCH(19, 'Detalles movimientos'!$U$5:$U$1003, 0)), "")</f>
        <v/>
      </c>
      <c r="E28" s="19" t="str">
        <f>IFERROR(INDEX('Detalles movimientos'!F$5:F$1003, MATCH(19, 'Detalles movimientos'!$U$5:$U$1003, 0)), "")</f>
        <v/>
      </c>
      <c r="F28" s="18" t="str">
        <f>IFERROR(INDEX('Detalles movimientos'!G$5:G$1003, MATCH(19, 'Detalles movimientos'!$U$5:$U$1003, 0)), "")</f>
        <v/>
      </c>
      <c r="G28" s="20" t="str">
        <f>IFERROR(INDEX('Detalles movimientos'!H$5:H$1003, MATCH(19, 'Detalles movimientos'!$U$5:$U$1003, 0)), "")</f>
        <v/>
      </c>
      <c r="H28" s="21" t="str">
        <f>IFERROR(INDEX('Detalles movimientos'!I$5:I$1003, MATCH(19, 'Detalles movimientos'!$U$5:$U$1003, 0)), "")</f>
        <v/>
      </c>
      <c r="I28" s="20" t="str">
        <f>IFERROR(INDEX('Detalles movimientos'!M$5:M$1003, MATCH(19, 'Detalles movimientos'!$U$5:$U$1003, 0)), "")</f>
        <v/>
      </c>
      <c r="J28" s="19" t="str">
        <f>IFERROR(INDEX('Detalles movimientos'!N$5:N$1003, MATCH(19, 'Detalles movimientos'!$U$5:$U$1003, 0)), "")</f>
        <v/>
      </c>
      <c r="K28" s="20" t="str">
        <f>IFERROR(INDEX('Detalles movimientos'!O$5:O$1003, MATCH(19, 'Detalles movimientos'!$U$5:$U$1003, 0)), "")</f>
        <v/>
      </c>
      <c r="L28" s="18" t="str">
        <f>IFERROR(INDEX('Detalles movimientos'!P$5:P$1003, MATCH(19, 'Detalles movimientos'!$U$5:$U$1003, 0)), "")</f>
        <v/>
      </c>
      <c r="M28" s="18" t="str">
        <f>IFERROR(INDEX('Detalles movimientos'!S$5:S$1003, MATCH(19, 'Detalles movimientos'!$U$5:$U$1003, 0)), "")</f>
        <v/>
      </c>
    </row>
    <row r="29" spans="2:13">
      <c r="B29" s="17" t="str">
        <f>IFERROR(INDEX('Detalles movimientos'!C$5:C$1003, MATCH(20, 'Detalles movimientos'!$U$5:$U$1003, 0)), "")</f>
        <v/>
      </c>
      <c r="C29" s="18" t="str">
        <f>IFERROR(INDEX('Detalles movimientos'!D$5:D$1003, MATCH(20, 'Detalles movimientos'!$U$5:$U$1003, 0)), "")</f>
        <v/>
      </c>
      <c r="D29" s="19" t="str">
        <f>IFERROR(INDEX('Detalles movimientos'!E$5:E$1003, MATCH(20, 'Detalles movimientos'!$U$5:$U$1003, 0)), "")</f>
        <v/>
      </c>
      <c r="E29" s="19" t="str">
        <f>IFERROR(INDEX('Detalles movimientos'!F$5:F$1003, MATCH(20, 'Detalles movimientos'!$U$5:$U$1003, 0)), "")</f>
        <v/>
      </c>
      <c r="F29" s="18" t="str">
        <f>IFERROR(INDEX('Detalles movimientos'!G$5:G$1003, MATCH(20, 'Detalles movimientos'!$U$5:$U$1003, 0)), "")</f>
        <v/>
      </c>
      <c r="G29" s="20" t="str">
        <f>IFERROR(INDEX('Detalles movimientos'!H$5:H$1003, MATCH(20, 'Detalles movimientos'!$U$5:$U$1003, 0)), "")</f>
        <v/>
      </c>
      <c r="H29" s="21" t="str">
        <f>IFERROR(INDEX('Detalles movimientos'!I$5:I$1003, MATCH(20, 'Detalles movimientos'!$U$5:$U$1003, 0)), "")</f>
        <v/>
      </c>
      <c r="I29" s="20" t="str">
        <f>IFERROR(INDEX('Detalles movimientos'!M$5:M$1003, MATCH(20, 'Detalles movimientos'!$U$5:$U$1003, 0)), "")</f>
        <v/>
      </c>
      <c r="J29" s="19" t="str">
        <f>IFERROR(INDEX('Detalles movimientos'!N$5:N$1003, MATCH(20, 'Detalles movimientos'!$U$5:$U$1003, 0)), "")</f>
        <v/>
      </c>
      <c r="K29" s="20" t="str">
        <f>IFERROR(INDEX('Detalles movimientos'!O$5:O$1003, MATCH(20, 'Detalles movimientos'!$U$5:$U$1003, 0)), "")</f>
        <v/>
      </c>
      <c r="L29" s="18" t="str">
        <f>IFERROR(INDEX('Detalles movimientos'!P$5:P$1003, MATCH(20, 'Detalles movimientos'!$U$5:$U$1003, 0)), "")</f>
        <v/>
      </c>
      <c r="M29" s="18" t="str">
        <f>IFERROR(INDEX('Detalles movimientos'!S$5:S$1003, MATCH(20, 'Detalles movimientos'!$U$5:$U$1003, 0)), "")</f>
        <v/>
      </c>
    </row>
    <row r="30" spans="2:13">
      <c r="B30" s="17" t="str">
        <f>IFERROR(INDEX('Detalles movimientos'!C$5:C$1003, MATCH(21, 'Detalles movimientos'!$U$5:$U$1003, 0)), "")</f>
        <v/>
      </c>
      <c r="C30" s="18" t="str">
        <f>IFERROR(INDEX('Detalles movimientos'!D$5:D$1003, MATCH(21, 'Detalles movimientos'!$U$5:$U$1003, 0)), "")</f>
        <v/>
      </c>
      <c r="D30" s="19" t="str">
        <f>IFERROR(INDEX('Detalles movimientos'!E$5:E$1003, MATCH(21, 'Detalles movimientos'!$U$5:$U$1003, 0)), "")</f>
        <v/>
      </c>
      <c r="E30" s="19" t="str">
        <f>IFERROR(INDEX('Detalles movimientos'!F$5:F$1003, MATCH(21, 'Detalles movimientos'!$U$5:$U$1003, 0)), "")</f>
        <v/>
      </c>
      <c r="F30" s="18" t="str">
        <f>IFERROR(INDEX('Detalles movimientos'!G$5:G$1003, MATCH(21, 'Detalles movimientos'!$U$5:$U$1003, 0)), "")</f>
        <v/>
      </c>
      <c r="G30" s="20" t="str">
        <f>IFERROR(INDEX('Detalles movimientos'!H$5:H$1003, MATCH(21, 'Detalles movimientos'!$U$5:$U$1003, 0)), "")</f>
        <v/>
      </c>
      <c r="H30" s="21" t="str">
        <f>IFERROR(INDEX('Detalles movimientos'!I$5:I$1003, MATCH(21, 'Detalles movimientos'!$U$5:$U$1003, 0)), "")</f>
        <v/>
      </c>
      <c r="I30" s="20" t="str">
        <f>IFERROR(INDEX('Detalles movimientos'!M$5:M$1003, MATCH(21, 'Detalles movimientos'!$U$5:$U$1003, 0)), "")</f>
        <v/>
      </c>
      <c r="J30" s="19" t="str">
        <f>IFERROR(INDEX('Detalles movimientos'!N$5:N$1003, MATCH(21, 'Detalles movimientos'!$U$5:$U$1003, 0)), "")</f>
        <v/>
      </c>
      <c r="K30" s="20" t="str">
        <f>IFERROR(INDEX('Detalles movimientos'!O$5:O$1003, MATCH(21, 'Detalles movimientos'!$U$5:$U$1003, 0)), "")</f>
        <v/>
      </c>
      <c r="L30" s="18" t="str">
        <f>IFERROR(INDEX('Detalles movimientos'!P$5:P$1003, MATCH(21, 'Detalles movimientos'!$U$5:$U$1003, 0)), "")</f>
        <v/>
      </c>
      <c r="M30" s="18" t="str">
        <f>IFERROR(INDEX('Detalles movimientos'!S$5:S$1003, MATCH(21, 'Detalles movimientos'!$U$5:$U$1003, 0)), "")</f>
        <v/>
      </c>
    </row>
    <row r="31" spans="2:13">
      <c r="B31" s="17" t="str">
        <f>IFERROR(INDEX('Detalles movimientos'!C$5:C$1003, MATCH(22, 'Detalles movimientos'!$U$5:$U$1003, 0)), "")</f>
        <v/>
      </c>
      <c r="C31" s="18" t="str">
        <f>IFERROR(INDEX('Detalles movimientos'!D$5:D$1003, MATCH(22, 'Detalles movimientos'!$U$5:$U$1003, 0)), "")</f>
        <v/>
      </c>
      <c r="D31" s="19" t="str">
        <f>IFERROR(INDEX('Detalles movimientos'!E$5:E$1003, MATCH(22, 'Detalles movimientos'!$U$5:$U$1003, 0)), "")</f>
        <v/>
      </c>
      <c r="E31" s="19" t="str">
        <f>IFERROR(INDEX('Detalles movimientos'!F$5:F$1003, MATCH(22, 'Detalles movimientos'!$U$5:$U$1003, 0)), "")</f>
        <v/>
      </c>
      <c r="F31" s="18" t="str">
        <f>IFERROR(INDEX('Detalles movimientos'!G$5:G$1003, MATCH(22, 'Detalles movimientos'!$U$5:$U$1003, 0)), "")</f>
        <v/>
      </c>
      <c r="G31" s="20" t="str">
        <f>IFERROR(INDEX('Detalles movimientos'!H$5:H$1003, MATCH(22, 'Detalles movimientos'!$U$5:$U$1003, 0)), "")</f>
        <v/>
      </c>
      <c r="H31" s="21" t="str">
        <f>IFERROR(INDEX('Detalles movimientos'!I$5:I$1003, MATCH(22, 'Detalles movimientos'!$U$5:$U$1003, 0)), "")</f>
        <v/>
      </c>
      <c r="I31" s="20" t="str">
        <f>IFERROR(INDEX('Detalles movimientos'!M$5:M$1003, MATCH(22, 'Detalles movimientos'!$U$5:$U$1003, 0)), "")</f>
        <v/>
      </c>
      <c r="J31" s="19" t="str">
        <f>IFERROR(INDEX('Detalles movimientos'!N$5:N$1003, MATCH(22, 'Detalles movimientos'!$U$5:$U$1003, 0)), "")</f>
        <v/>
      </c>
      <c r="K31" s="20" t="str">
        <f>IFERROR(INDEX('Detalles movimientos'!O$5:O$1003, MATCH(22, 'Detalles movimientos'!$U$5:$U$1003, 0)), "")</f>
        <v/>
      </c>
      <c r="L31" s="18" t="str">
        <f>IFERROR(INDEX('Detalles movimientos'!P$5:P$1003, MATCH(22, 'Detalles movimientos'!$U$5:$U$1003, 0)), "")</f>
        <v/>
      </c>
      <c r="M31" s="18" t="str">
        <f>IFERROR(INDEX('Detalles movimientos'!S$5:S$1003, MATCH(22, 'Detalles movimientos'!$U$5:$U$1003, 0)), "")</f>
        <v/>
      </c>
    </row>
    <row r="32" spans="2:13">
      <c r="B32" s="17" t="str">
        <f>IFERROR(INDEX('Detalles movimientos'!C$5:C$1003, MATCH(23, 'Detalles movimientos'!$U$5:$U$1003, 0)), "")</f>
        <v/>
      </c>
      <c r="C32" s="18" t="str">
        <f>IFERROR(INDEX('Detalles movimientos'!D$5:D$1003, MATCH(23, 'Detalles movimientos'!$U$5:$U$1003, 0)), "")</f>
        <v/>
      </c>
      <c r="D32" s="19" t="str">
        <f>IFERROR(INDEX('Detalles movimientos'!E$5:E$1003, MATCH(23, 'Detalles movimientos'!$U$5:$U$1003, 0)), "")</f>
        <v/>
      </c>
      <c r="E32" s="19" t="str">
        <f>IFERROR(INDEX('Detalles movimientos'!F$5:F$1003, MATCH(23, 'Detalles movimientos'!$U$5:$U$1003, 0)), "")</f>
        <v/>
      </c>
      <c r="F32" s="18" t="str">
        <f>IFERROR(INDEX('Detalles movimientos'!G$5:G$1003, MATCH(23, 'Detalles movimientos'!$U$5:$U$1003, 0)), "")</f>
        <v/>
      </c>
      <c r="G32" s="20" t="str">
        <f>IFERROR(INDEX('Detalles movimientos'!H$5:H$1003, MATCH(23, 'Detalles movimientos'!$U$5:$U$1003, 0)), "")</f>
        <v/>
      </c>
      <c r="H32" s="21" t="str">
        <f>IFERROR(INDEX('Detalles movimientos'!I$5:I$1003, MATCH(23, 'Detalles movimientos'!$U$5:$U$1003, 0)), "")</f>
        <v/>
      </c>
      <c r="I32" s="20" t="str">
        <f>IFERROR(INDEX('Detalles movimientos'!M$5:M$1003, MATCH(23, 'Detalles movimientos'!$U$5:$U$1003, 0)), "")</f>
        <v/>
      </c>
      <c r="J32" s="19" t="str">
        <f>IFERROR(INDEX('Detalles movimientos'!N$5:N$1003, MATCH(23, 'Detalles movimientos'!$U$5:$U$1003, 0)), "")</f>
        <v/>
      </c>
      <c r="K32" s="20" t="str">
        <f>IFERROR(INDEX('Detalles movimientos'!O$5:O$1003, MATCH(23, 'Detalles movimientos'!$U$5:$U$1003, 0)), "")</f>
        <v/>
      </c>
      <c r="L32" s="18" t="str">
        <f>IFERROR(INDEX('Detalles movimientos'!P$5:P$1003, MATCH(23, 'Detalles movimientos'!$U$5:$U$1003, 0)), "")</f>
        <v/>
      </c>
      <c r="M32" s="18" t="str">
        <f>IFERROR(INDEX('Detalles movimientos'!S$5:S$1003, MATCH(23, 'Detalles movimientos'!$U$5:$U$1003, 0)), "")</f>
        <v/>
      </c>
    </row>
    <row r="33" spans="2:13">
      <c r="B33" s="17" t="str">
        <f>IFERROR(INDEX('Detalles movimientos'!C$5:C$1003, MATCH(24, 'Detalles movimientos'!$U$5:$U$1003, 0)), "")</f>
        <v/>
      </c>
      <c r="C33" s="18" t="str">
        <f>IFERROR(INDEX('Detalles movimientos'!D$5:D$1003, MATCH(24, 'Detalles movimientos'!$U$5:$U$1003, 0)), "")</f>
        <v/>
      </c>
      <c r="D33" s="19" t="str">
        <f>IFERROR(INDEX('Detalles movimientos'!E$5:E$1003, MATCH(24, 'Detalles movimientos'!$U$5:$U$1003, 0)), "")</f>
        <v/>
      </c>
      <c r="E33" s="19" t="str">
        <f>IFERROR(INDEX('Detalles movimientos'!F$5:F$1003, MATCH(24, 'Detalles movimientos'!$U$5:$U$1003, 0)), "")</f>
        <v/>
      </c>
      <c r="F33" s="18" t="str">
        <f>IFERROR(INDEX('Detalles movimientos'!G$5:G$1003, MATCH(24, 'Detalles movimientos'!$U$5:$U$1003, 0)), "")</f>
        <v/>
      </c>
      <c r="G33" s="20" t="str">
        <f>IFERROR(INDEX('Detalles movimientos'!H$5:H$1003, MATCH(24, 'Detalles movimientos'!$U$5:$U$1003, 0)), "")</f>
        <v/>
      </c>
      <c r="H33" s="21" t="str">
        <f>IFERROR(INDEX('Detalles movimientos'!I$5:I$1003, MATCH(24, 'Detalles movimientos'!$U$5:$U$1003, 0)), "")</f>
        <v/>
      </c>
      <c r="I33" s="20" t="str">
        <f>IFERROR(INDEX('Detalles movimientos'!M$5:M$1003, MATCH(24, 'Detalles movimientos'!$U$5:$U$1003, 0)), "")</f>
        <v/>
      </c>
      <c r="J33" s="19" t="str">
        <f>IFERROR(INDEX('Detalles movimientos'!N$5:N$1003, MATCH(24, 'Detalles movimientos'!$U$5:$U$1003, 0)), "")</f>
        <v/>
      </c>
      <c r="K33" s="20" t="str">
        <f>IFERROR(INDEX('Detalles movimientos'!O$5:O$1003, MATCH(24, 'Detalles movimientos'!$U$5:$U$1003, 0)), "")</f>
        <v/>
      </c>
      <c r="L33" s="18" t="str">
        <f>IFERROR(INDEX('Detalles movimientos'!P$5:P$1003, MATCH(24, 'Detalles movimientos'!$U$5:$U$1003, 0)), "")</f>
        <v/>
      </c>
      <c r="M33" s="18" t="str">
        <f>IFERROR(INDEX('Detalles movimientos'!S$5:S$1003, MATCH(24, 'Detalles movimientos'!$U$5:$U$1003, 0)), "")</f>
        <v/>
      </c>
    </row>
    <row r="34" spans="2:13">
      <c r="B34" s="17" t="str">
        <f>IFERROR(INDEX('Detalles movimientos'!C$5:C$1003, MATCH(25, 'Detalles movimientos'!$U$5:$U$1003, 0)), "")</f>
        <v/>
      </c>
      <c r="C34" s="18" t="str">
        <f>IFERROR(INDEX('Detalles movimientos'!D$5:D$1003, MATCH(25, 'Detalles movimientos'!$U$5:$U$1003, 0)), "")</f>
        <v/>
      </c>
      <c r="D34" s="19" t="str">
        <f>IFERROR(INDEX('Detalles movimientos'!E$5:E$1003, MATCH(25, 'Detalles movimientos'!$U$5:$U$1003, 0)), "")</f>
        <v/>
      </c>
      <c r="E34" s="19" t="str">
        <f>IFERROR(INDEX('Detalles movimientos'!F$5:F$1003, MATCH(25, 'Detalles movimientos'!$U$5:$U$1003, 0)), "")</f>
        <v/>
      </c>
      <c r="F34" s="18" t="str">
        <f>IFERROR(INDEX('Detalles movimientos'!G$5:G$1003, MATCH(25, 'Detalles movimientos'!$U$5:$U$1003, 0)), "")</f>
        <v/>
      </c>
      <c r="G34" s="20" t="str">
        <f>IFERROR(INDEX('Detalles movimientos'!H$5:H$1003, MATCH(25, 'Detalles movimientos'!$U$5:$U$1003, 0)), "")</f>
        <v/>
      </c>
      <c r="H34" s="21" t="str">
        <f>IFERROR(INDEX('Detalles movimientos'!I$5:I$1003, MATCH(25, 'Detalles movimientos'!$U$5:$U$1003, 0)), "")</f>
        <v/>
      </c>
      <c r="I34" s="20" t="str">
        <f>IFERROR(INDEX('Detalles movimientos'!M$5:M$1003, MATCH(25, 'Detalles movimientos'!$U$5:$U$1003, 0)), "")</f>
        <v/>
      </c>
      <c r="J34" s="19" t="str">
        <f>IFERROR(INDEX('Detalles movimientos'!N$5:N$1003, MATCH(25, 'Detalles movimientos'!$U$5:$U$1003, 0)), "")</f>
        <v/>
      </c>
      <c r="K34" s="20" t="str">
        <f>IFERROR(INDEX('Detalles movimientos'!O$5:O$1003, MATCH(25, 'Detalles movimientos'!$U$5:$U$1003, 0)), "")</f>
        <v/>
      </c>
      <c r="L34" s="18" t="str">
        <f>IFERROR(INDEX('Detalles movimientos'!P$5:P$1003, MATCH(25, 'Detalles movimientos'!$U$5:$U$1003, 0)), "")</f>
        <v/>
      </c>
      <c r="M34" s="18" t="str">
        <f>IFERROR(INDEX('Detalles movimientos'!S$5:S$1003, MATCH(25, 'Detalles movimientos'!$U$5:$U$1003, 0)), "")</f>
        <v/>
      </c>
    </row>
    <row r="35" spans="2:13">
      <c r="B35" s="17" t="str">
        <f>IFERROR(INDEX('Detalles movimientos'!C$5:C$1003, MATCH(26, 'Detalles movimientos'!$U$5:$U$1003, 0)), "")</f>
        <v/>
      </c>
      <c r="C35" s="18" t="str">
        <f>IFERROR(INDEX('Detalles movimientos'!D$5:D$1003, MATCH(26, 'Detalles movimientos'!$U$5:$U$1003, 0)), "")</f>
        <v/>
      </c>
      <c r="D35" s="19" t="str">
        <f>IFERROR(INDEX('Detalles movimientos'!E$5:E$1003, MATCH(26, 'Detalles movimientos'!$U$5:$U$1003, 0)), "")</f>
        <v/>
      </c>
      <c r="E35" s="19" t="str">
        <f>IFERROR(INDEX('Detalles movimientos'!F$5:F$1003, MATCH(26, 'Detalles movimientos'!$U$5:$U$1003, 0)), "")</f>
        <v/>
      </c>
      <c r="F35" s="18" t="str">
        <f>IFERROR(INDEX('Detalles movimientos'!G$5:G$1003, MATCH(26, 'Detalles movimientos'!$U$5:$U$1003, 0)), "")</f>
        <v/>
      </c>
      <c r="G35" s="20" t="str">
        <f>IFERROR(INDEX('Detalles movimientos'!H$5:H$1003, MATCH(26, 'Detalles movimientos'!$U$5:$U$1003, 0)), "")</f>
        <v/>
      </c>
      <c r="H35" s="21" t="str">
        <f>IFERROR(INDEX('Detalles movimientos'!I$5:I$1003, MATCH(26, 'Detalles movimientos'!$U$5:$U$1003, 0)), "")</f>
        <v/>
      </c>
      <c r="I35" s="20" t="str">
        <f>IFERROR(INDEX('Detalles movimientos'!M$5:M$1003, MATCH(26, 'Detalles movimientos'!$U$5:$U$1003, 0)), "")</f>
        <v/>
      </c>
      <c r="J35" s="19" t="str">
        <f>IFERROR(INDEX('Detalles movimientos'!N$5:N$1003, MATCH(26, 'Detalles movimientos'!$U$5:$U$1003, 0)), "")</f>
        <v/>
      </c>
      <c r="K35" s="20" t="str">
        <f>IFERROR(INDEX('Detalles movimientos'!O$5:O$1003, MATCH(26, 'Detalles movimientos'!$U$5:$U$1003, 0)), "")</f>
        <v/>
      </c>
      <c r="L35" s="18" t="str">
        <f>IFERROR(INDEX('Detalles movimientos'!P$5:P$1003, MATCH(26, 'Detalles movimientos'!$U$5:$U$1003, 0)), "")</f>
        <v/>
      </c>
      <c r="M35" s="18" t="str">
        <f>IFERROR(INDEX('Detalles movimientos'!S$5:S$1003, MATCH(26, 'Detalles movimientos'!$U$5:$U$1003, 0)), "")</f>
        <v/>
      </c>
    </row>
    <row r="36" spans="2:13">
      <c r="B36" s="17" t="str">
        <f>IFERROR(INDEX('Detalles movimientos'!C$5:C$1003, MATCH(27, 'Detalles movimientos'!$U$5:$U$1003, 0)), "")</f>
        <v/>
      </c>
      <c r="C36" s="18" t="str">
        <f>IFERROR(INDEX('Detalles movimientos'!D$5:D$1003, MATCH(27, 'Detalles movimientos'!$U$5:$U$1003, 0)), "")</f>
        <v/>
      </c>
      <c r="D36" s="19" t="str">
        <f>IFERROR(INDEX('Detalles movimientos'!E$5:E$1003, MATCH(27, 'Detalles movimientos'!$U$5:$U$1003, 0)), "")</f>
        <v/>
      </c>
      <c r="E36" s="19" t="str">
        <f>IFERROR(INDEX('Detalles movimientos'!F$5:F$1003, MATCH(27, 'Detalles movimientos'!$U$5:$U$1003, 0)), "")</f>
        <v/>
      </c>
      <c r="F36" s="18" t="str">
        <f>IFERROR(INDEX('Detalles movimientos'!G$5:G$1003, MATCH(27, 'Detalles movimientos'!$U$5:$U$1003, 0)), "")</f>
        <v/>
      </c>
      <c r="G36" s="20" t="str">
        <f>IFERROR(INDEX('Detalles movimientos'!H$5:H$1003, MATCH(27, 'Detalles movimientos'!$U$5:$U$1003, 0)), "")</f>
        <v/>
      </c>
      <c r="H36" s="21" t="str">
        <f>IFERROR(INDEX('Detalles movimientos'!I$5:I$1003, MATCH(27, 'Detalles movimientos'!$U$5:$U$1003, 0)), "")</f>
        <v/>
      </c>
      <c r="I36" s="20" t="str">
        <f>IFERROR(INDEX('Detalles movimientos'!M$5:M$1003, MATCH(27, 'Detalles movimientos'!$U$5:$U$1003, 0)), "")</f>
        <v/>
      </c>
      <c r="J36" s="19" t="str">
        <f>IFERROR(INDEX('Detalles movimientos'!N$5:N$1003, MATCH(27, 'Detalles movimientos'!$U$5:$U$1003, 0)), "")</f>
        <v/>
      </c>
      <c r="K36" s="20" t="str">
        <f>IFERROR(INDEX('Detalles movimientos'!O$5:O$1003, MATCH(27, 'Detalles movimientos'!$U$5:$U$1003, 0)), "")</f>
        <v/>
      </c>
      <c r="L36" s="18" t="str">
        <f>IFERROR(INDEX('Detalles movimientos'!P$5:P$1003, MATCH(27, 'Detalles movimientos'!$U$5:$U$1003, 0)), "")</f>
        <v/>
      </c>
      <c r="M36" s="18" t="str">
        <f>IFERROR(INDEX('Detalles movimientos'!S$5:S$1003, MATCH(27, 'Detalles movimientos'!$U$5:$U$1003, 0)), "")</f>
        <v/>
      </c>
    </row>
    <row r="37" spans="2:13">
      <c r="B37" s="17" t="str">
        <f>IFERROR(INDEX('Detalles movimientos'!C$5:C$1003, MATCH(28, 'Detalles movimientos'!$U$5:$U$1003, 0)), "")</f>
        <v/>
      </c>
      <c r="C37" s="18" t="str">
        <f>IFERROR(INDEX('Detalles movimientos'!D$5:D$1003, MATCH(28, 'Detalles movimientos'!$U$5:$U$1003, 0)), "")</f>
        <v/>
      </c>
      <c r="D37" s="19" t="str">
        <f>IFERROR(INDEX('Detalles movimientos'!E$5:E$1003, MATCH(28, 'Detalles movimientos'!$U$5:$U$1003, 0)), "")</f>
        <v/>
      </c>
      <c r="E37" s="19" t="str">
        <f>IFERROR(INDEX('Detalles movimientos'!F$5:F$1003, MATCH(28, 'Detalles movimientos'!$U$5:$U$1003, 0)), "")</f>
        <v/>
      </c>
      <c r="F37" s="18" t="str">
        <f>IFERROR(INDEX('Detalles movimientos'!G$5:G$1003, MATCH(28, 'Detalles movimientos'!$U$5:$U$1003, 0)), "")</f>
        <v/>
      </c>
      <c r="G37" s="20" t="str">
        <f>IFERROR(INDEX('Detalles movimientos'!H$5:H$1003, MATCH(28, 'Detalles movimientos'!$U$5:$U$1003, 0)), "")</f>
        <v/>
      </c>
      <c r="H37" s="21" t="str">
        <f>IFERROR(INDEX('Detalles movimientos'!I$5:I$1003, MATCH(28, 'Detalles movimientos'!$U$5:$U$1003, 0)), "")</f>
        <v/>
      </c>
      <c r="I37" s="20" t="str">
        <f>IFERROR(INDEX('Detalles movimientos'!M$5:M$1003, MATCH(28, 'Detalles movimientos'!$U$5:$U$1003, 0)), "")</f>
        <v/>
      </c>
      <c r="J37" s="19" t="str">
        <f>IFERROR(INDEX('Detalles movimientos'!N$5:N$1003, MATCH(28, 'Detalles movimientos'!$U$5:$U$1003, 0)), "")</f>
        <v/>
      </c>
      <c r="K37" s="20" t="str">
        <f>IFERROR(INDEX('Detalles movimientos'!O$5:O$1003, MATCH(28, 'Detalles movimientos'!$U$5:$U$1003, 0)), "")</f>
        <v/>
      </c>
      <c r="L37" s="18" t="str">
        <f>IFERROR(INDEX('Detalles movimientos'!P$5:P$1003, MATCH(28, 'Detalles movimientos'!$U$5:$U$1003, 0)), "")</f>
        <v/>
      </c>
      <c r="M37" s="18" t="str">
        <f>IFERROR(INDEX('Detalles movimientos'!S$5:S$1003, MATCH(28, 'Detalles movimientos'!$U$5:$U$1003, 0)), "")</f>
        <v/>
      </c>
    </row>
    <row r="38" spans="2:13">
      <c r="B38" s="17" t="str">
        <f>IFERROR(INDEX('Detalles movimientos'!C$5:C$1003, MATCH(29, 'Detalles movimientos'!$U$5:$U$1003, 0)), "")</f>
        <v/>
      </c>
      <c r="C38" s="18" t="str">
        <f>IFERROR(INDEX('Detalles movimientos'!D$5:D$1003, MATCH(29, 'Detalles movimientos'!$U$5:$U$1003, 0)), "")</f>
        <v/>
      </c>
      <c r="D38" s="19" t="str">
        <f>IFERROR(INDEX('Detalles movimientos'!E$5:E$1003, MATCH(29, 'Detalles movimientos'!$U$5:$U$1003, 0)), "")</f>
        <v/>
      </c>
      <c r="E38" s="19" t="str">
        <f>IFERROR(INDEX('Detalles movimientos'!F$5:F$1003, MATCH(29, 'Detalles movimientos'!$U$5:$U$1003, 0)), "")</f>
        <v/>
      </c>
      <c r="F38" s="18" t="str">
        <f>IFERROR(INDEX('Detalles movimientos'!G$5:G$1003, MATCH(29, 'Detalles movimientos'!$U$5:$U$1003, 0)), "")</f>
        <v/>
      </c>
      <c r="G38" s="20" t="str">
        <f>IFERROR(INDEX('Detalles movimientos'!H$5:H$1003, MATCH(29, 'Detalles movimientos'!$U$5:$U$1003, 0)), "")</f>
        <v/>
      </c>
      <c r="H38" s="21" t="str">
        <f>IFERROR(INDEX('Detalles movimientos'!I$5:I$1003, MATCH(29, 'Detalles movimientos'!$U$5:$U$1003, 0)), "")</f>
        <v/>
      </c>
      <c r="I38" s="20" t="str">
        <f>IFERROR(INDEX('Detalles movimientos'!M$5:M$1003, MATCH(29, 'Detalles movimientos'!$U$5:$U$1003, 0)), "")</f>
        <v/>
      </c>
      <c r="J38" s="19" t="str">
        <f>IFERROR(INDEX('Detalles movimientos'!N$5:N$1003, MATCH(29, 'Detalles movimientos'!$U$5:$U$1003, 0)), "")</f>
        <v/>
      </c>
      <c r="K38" s="20" t="str">
        <f>IFERROR(INDEX('Detalles movimientos'!O$5:O$1003, MATCH(29, 'Detalles movimientos'!$U$5:$U$1003, 0)), "")</f>
        <v/>
      </c>
      <c r="L38" s="18" t="str">
        <f>IFERROR(INDEX('Detalles movimientos'!P$5:P$1003, MATCH(29, 'Detalles movimientos'!$U$5:$U$1003, 0)), "")</f>
        <v/>
      </c>
      <c r="M38" s="18" t="str">
        <f>IFERROR(INDEX('Detalles movimientos'!S$5:S$1003, MATCH(29, 'Detalles movimientos'!$U$5:$U$1003, 0)), "")</f>
        <v/>
      </c>
    </row>
    <row r="39" spans="2:13">
      <c r="B39" s="17" t="str">
        <f>IFERROR(INDEX('Detalles movimientos'!C$5:C$1003, MATCH(30, 'Detalles movimientos'!$U$5:$U$1003, 0)), "")</f>
        <v/>
      </c>
      <c r="C39" s="18" t="str">
        <f>IFERROR(INDEX('Detalles movimientos'!D$5:D$1003, MATCH(30, 'Detalles movimientos'!$U$5:$U$1003, 0)), "")</f>
        <v/>
      </c>
      <c r="D39" s="19" t="str">
        <f>IFERROR(INDEX('Detalles movimientos'!E$5:E$1003, MATCH(30, 'Detalles movimientos'!$U$5:$U$1003, 0)), "")</f>
        <v/>
      </c>
      <c r="E39" s="19" t="str">
        <f>IFERROR(INDEX('Detalles movimientos'!F$5:F$1003, MATCH(30, 'Detalles movimientos'!$U$5:$U$1003, 0)), "")</f>
        <v/>
      </c>
      <c r="F39" s="18" t="str">
        <f>IFERROR(INDEX('Detalles movimientos'!G$5:G$1003, MATCH(30, 'Detalles movimientos'!$U$5:$U$1003, 0)), "")</f>
        <v/>
      </c>
      <c r="G39" s="20" t="str">
        <f>IFERROR(INDEX('Detalles movimientos'!H$5:H$1003, MATCH(30, 'Detalles movimientos'!$U$5:$U$1003, 0)), "")</f>
        <v/>
      </c>
      <c r="H39" s="21" t="str">
        <f>IFERROR(INDEX('Detalles movimientos'!I$5:I$1003, MATCH(30, 'Detalles movimientos'!$U$5:$U$1003, 0)), "")</f>
        <v/>
      </c>
      <c r="I39" s="20" t="str">
        <f>IFERROR(INDEX('Detalles movimientos'!M$5:M$1003, MATCH(30, 'Detalles movimientos'!$U$5:$U$1003, 0)), "")</f>
        <v/>
      </c>
      <c r="J39" s="19" t="str">
        <f>IFERROR(INDEX('Detalles movimientos'!N$5:N$1003, MATCH(30, 'Detalles movimientos'!$U$5:$U$1003, 0)), "")</f>
        <v/>
      </c>
      <c r="K39" s="20" t="str">
        <f>IFERROR(INDEX('Detalles movimientos'!O$5:O$1003, MATCH(30, 'Detalles movimientos'!$U$5:$U$1003, 0)), "")</f>
        <v/>
      </c>
      <c r="L39" s="18" t="str">
        <f>IFERROR(INDEX('Detalles movimientos'!P$5:P$1003, MATCH(30, 'Detalles movimientos'!$U$5:$U$1003, 0)), "")</f>
        <v/>
      </c>
      <c r="M39" s="18" t="str">
        <f>IFERROR(INDEX('Detalles movimientos'!S$5:S$1003, MATCH(30, 'Detalles movimientos'!$U$5:$U$1003, 0)), "")</f>
        <v/>
      </c>
    </row>
    <row r="40" spans="2:13">
      <c r="B40" s="17" t="str">
        <f>IFERROR(INDEX('Detalles movimientos'!C$5:C$1003, MATCH(31, 'Detalles movimientos'!$U$5:$U$1003, 0)), "")</f>
        <v/>
      </c>
      <c r="C40" s="18" t="str">
        <f>IFERROR(INDEX('Detalles movimientos'!D$5:D$1003, MATCH(31, 'Detalles movimientos'!$U$5:$U$1003, 0)), "")</f>
        <v/>
      </c>
      <c r="D40" s="19" t="str">
        <f>IFERROR(INDEX('Detalles movimientos'!E$5:E$1003, MATCH(31, 'Detalles movimientos'!$U$5:$U$1003, 0)), "")</f>
        <v/>
      </c>
      <c r="E40" s="19" t="str">
        <f>IFERROR(INDEX('Detalles movimientos'!F$5:F$1003, MATCH(31, 'Detalles movimientos'!$U$5:$U$1003, 0)), "")</f>
        <v/>
      </c>
      <c r="F40" s="18" t="str">
        <f>IFERROR(INDEX('Detalles movimientos'!G$5:G$1003, MATCH(31, 'Detalles movimientos'!$U$5:$U$1003, 0)), "")</f>
        <v/>
      </c>
      <c r="G40" s="20" t="str">
        <f>IFERROR(INDEX('Detalles movimientos'!H$5:H$1003, MATCH(31, 'Detalles movimientos'!$U$5:$U$1003, 0)), "")</f>
        <v/>
      </c>
      <c r="H40" s="21" t="str">
        <f>IFERROR(INDEX('Detalles movimientos'!I$5:I$1003, MATCH(31, 'Detalles movimientos'!$U$5:$U$1003, 0)), "")</f>
        <v/>
      </c>
      <c r="I40" s="20" t="str">
        <f>IFERROR(INDEX('Detalles movimientos'!M$5:M$1003, MATCH(31, 'Detalles movimientos'!$U$5:$U$1003, 0)), "")</f>
        <v/>
      </c>
      <c r="J40" s="19" t="str">
        <f>IFERROR(INDEX('Detalles movimientos'!N$5:N$1003, MATCH(31, 'Detalles movimientos'!$U$5:$U$1003, 0)), "")</f>
        <v/>
      </c>
      <c r="K40" s="20" t="str">
        <f>IFERROR(INDEX('Detalles movimientos'!O$5:O$1003, MATCH(31, 'Detalles movimientos'!$U$5:$U$1003, 0)), "")</f>
        <v/>
      </c>
      <c r="L40" s="18" t="str">
        <f>IFERROR(INDEX('Detalles movimientos'!P$5:P$1003, MATCH(31, 'Detalles movimientos'!$U$5:$U$1003, 0)), "")</f>
        <v/>
      </c>
      <c r="M40" s="18" t="str">
        <f>IFERROR(INDEX('Detalles movimientos'!S$5:S$1003, MATCH(31, 'Detalles movimientos'!$U$5:$U$1003, 0)), "")</f>
        <v/>
      </c>
    </row>
    <row r="41" spans="2:13">
      <c r="B41" s="17" t="str">
        <f>IFERROR(INDEX('Detalles movimientos'!C$5:C$1003, MATCH(32, 'Detalles movimientos'!$U$5:$U$1003, 0)), "")</f>
        <v/>
      </c>
      <c r="C41" s="18" t="str">
        <f>IFERROR(INDEX('Detalles movimientos'!D$5:D$1003, MATCH(32, 'Detalles movimientos'!$U$5:$U$1003, 0)), "")</f>
        <v/>
      </c>
      <c r="D41" s="19" t="str">
        <f>IFERROR(INDEX('Detalles movimientos'!E$5:E$1003, MATCH(32, 'Detalles movimientos'!$U$5:$U$1003, 0)), "")</f>
        <v/>
      </c>
      <c r="E41" s="19" t="str">
        <f>IFERROR(INDEX('Detalles movimientos'!F$5:F$1003, MATCH(32, 'Detalles movimientos'!$U$5:$U$1003, 0)), "")</f>
        <v/>
      </c>
      <c r="F41" s="18" t="str">
        <f>IFERROR(INDEX('Detalles movimientos'!G$5:G$1003, MATCH(32, 'Detalles movimientos'!$U$5:$U$1003, 0)), "")</f>
        <v/>
      </c>
      <c r="G41" s="20" t="str">
        <f>IFERROR(INDEX('Detalles movimientos'!H$5:H$1003, MATCH(32, 'Detalles movimientos'!$U$5:$U$1003, 0)), "")</f>
        <v/>
      </c>
      <c r="H41" s="21" t="str">
        <f>IFERROR(INDEX('Detalles movimientos'!I$5:I$1003, MATCH(32, 'Detalles movimientos'!$U$5:$U$1003, 0)), "")</f>
        <v/>
      </c>
      <c r="I41" s="20" t="str">
        <f>IFERROR(INDEX('Detalles movimientos'!M$5:M$1003, MATCH(32, 'Detalles movimientos'!$U$5:$U$1003, 0)), "")</f>
        <v/>
      </c>
      <c r="J41" s="19" t="str">
        <f>IFERROR(INDEX('Detalles movimientos'!N$5:N$1003, MATCH(32, 'Detalles movimientos'!$U$5:$U$1003, 0)), "")</f>
        <v/>
      </c>
      <c r="K41" s="20" t="str">
        <f>IFERROR(INDEX('Detalles movimientos'!O$5:O$1003, MATCH(32, 'Detalles movimientos'!$U$5:$U$1003, 0)), "")</f>
        <v/>
      </c>
      <c r="L41" s="18" t="str">
        <f>IFERROR(INDEX('Detalles movimientos'!P$5:P$1003, MATCH(32, 'Detalles movimientos'!$U$5:$U$1003, 0)), "")</f>
        <v/>
      </c>
      <c r="M41" s="18" t="str">
        <f>IFERROR(INDEX('Detalles movimientos'!S$5:S$1003, MATCH(32, 'Detalles movimientos'!$U$5:$U$1003, 0)), "")</f>
        <v/>
      </c>
    </row>
    <row r="42" spans="2:13">
      <c r="B42" s="17" t="str">
        <f>IFERROR(INDEX('Detalles movimientos'!C$5:C$1003, MATCH(33, 'Detalles movimientos'!$U$5:$U$1003, 0)), "")</f>
        <v/>
      </c>
      <c r="C42" s="18" t="str">
        <f>IFERROR(INDEX('Detalles movimientos'!D$5:D$1003, MATCH(33, 'Detalles movimientos'!$U$5:$U$1003, 0)), "")</f>
        <v/>
      </c>
      <c r="D42" s="19" t="str">
        <f>IFERROR(INDEX('Detalles movimientos'!E$5:E$1003, MATCH(33, 'Detalles movimientos'!$U$5:$U$1003, 0)), "")</f>
        <v/>
      </c>
      <c r="E42" s="19" t="str">
        <f>IFERROR(INDEX('Detalles movimientos'!F$5:F$1003, MATCH(33, 'Detalles movimientos'!$U$5:$U$1003, 0)), "")</f>
        <v/>
      </c>
      <c r="F42" s="18" t="str">
        <f>IFERROR(INDEX('Detalles movimientos'!G$5:G$1003, MATCH(33, 'Detalles movimientos'!$U$5:$U$1003, 0)), "")</f>
        <v/>
      </c>
      <c r="G42" s="20" t="str">
        <f>IFERROR(INDEX('Detalles movimientos'!H$5:H$1003, MATCH(33, 'Detalles movimientos'!$U$5:$U$1003, 0)), "")</f>
        <v/>
      </c>
      <c r="H42" s="21" t="str">
        <f>IFERROR(INDEX('Detalles movimientos'!I$5:I$1003, MATCH(33, 'Detalles movimientos'!$U$5:$U$1003, 0)), "")</f>
        <v/>
      </c>
      <c r="I42" s="20" t="str">
        <f>IFERROR(INDEX('Detalles movimientos'!M$5:M$1003, MATCH(33, 'Detalles movimientos'!$U$5:$U$1003, 0)), "")</f>
        <v/>
      </c>
      <c r="J42" s="19" t="str">
        <f>IFERROR(INDEX('Detalles movimientos'!N$5:N$1003, MATCH(33, 'Detalles movimientos'!$U$5:$U$1003, 0)), "")</f>
        <v/>
      </c>
      <c r="K42" s="20" t="str">
        <f>IFERROR(INDEX('Detalles movimientos'!O$5:O$1003, MATCH(33, 'Detalles movimientos'!$U$5:$U$1003, 0)), "")</f>
        <v/>
      </c>
      <c r="L42" s="18" t="str">
        <f>IFERROR(INDEX('Detalles movimientos'!P$5:P$1003, MATCH(33, 'Detalles movimientos'!$U$5:$U$1003, 0)), "")</f>
        <v/>
      </c>
      <c r="M42" s="18" t="str">
        <f>IFERROR(INDEX('Detalles movimientos'!S$5:S$1003, MATCH(33, 'Detalles movimientos'!$U$5:$U$1003, 0)), "")</f>
        <v/>
      </c>
    </row>
    <row r="43" spans="2:13">
      <c r="B43" s="17" t="str">
        <f>IFERROR(INDEX('Detalles movimientos'!C$5:C$1003, MATCH(34, 'Detalles movimientos'!$U$5:$U$1003, 0)), "")</f>
        <v/>
      </c>
      <c r="C43" s="18" t="str">
        <f>IFERROR(INDEX('Detalles movimientos'!D$5:D$1003, MATCH(34, 'Detalles movimientos'!$U$5:$U$1003, 0)), "")</f>
        <v/>
      </c>
      <c r="D43" s="19" t="str">
        <f>IFERROR(INDEX('Detalles movimientos'!E$5:E$1003, MATCH(34, 'Detalles movimientos'!$U$5:$U$1003, 0)), "")</f>
        <v/>
      </c>
      <c r="E43" s="19" t="str">
        <f>IFERROR(INDEX('Detalles movimientos'!F$5:F$1003, MATCH(34, 'Detalles movimientos'!$U$5:$U$1003, 0)), "")</f>
        <v/>
      </c>
      <c r="F43" s="18" t="str">
        <f>IFERROR(INDEX('Detalles movimientos'!G$5:G$1003, MATCH(34, 'Detalles movimientos'!$U$5:$U$1003, 0)), "")</f>
        <v/>
      </c>
      <c r="G43" s="20" t="str">
        <f>IFERROR(INDEX('Detalles movimientos'!H$5:H$1003, MATCH(34, 'Detalles movimientos'!$U$5:$U$1003, 0)), "")</f>
        <v/>
      </c>
      <c r="H43" s="21" t="str">
        <f>IFERROR(INDEX('Detalles movimientos'!I$5:I$1003, MATCH(34, 'Detalles movimientos'!$U$5:$U$1003, 0)), "")</f>
        <v/>
      </c>
      <c r="I43" s="20" t="str">
        <f>IFERROR(INDEX('Detalles movimientos'!M$5:M$1003, MATCH(34, 'Detalles movimientos'!$U$5:$U$1003, 0)), "")</f>
        <v/>
      </c>
      <c r="J43" s="19" t="str">
        <f>IFERROR(INDEX('Detalles movimientos'!N$5:N$1003, MATCH(34, 'Detalles movimientos'!$U$5:$U$1003, 0)), "")</f>
        <v/>
      </c>
      <c r="K43" s="20" t="str">
        <f>IFERROR(INDEX('Detalles movimientos'!O$5:O$1003, MATCH(34, 'Detalles movimientos'!$U$5:$U$1003, 0)), "")</f>
        <v/>
      </c>
      <c r="L43" s="18" t="str">
        <f>IFERROR(INDEX('Detalles movimientos'!P$5:P$1003, MATCH(34, 'Detalles movimientos'!$U$5:$U$1003, 0)), "")</f>
        <v/>
      </c>
      <c r="M43" s="18" t="str">
        <f>IFERROR(INDEX('Detalles movimientos'!S$5:S$1003, MATCH(34, 'Detalles movimientos'!$U$5:$U$1003, 0)), "")</f>
        <v/>
      </c>
    </row>
    <row r="44" spans="2:13">
      <c r="B44" s="17" t="str">
        <f>IFERROR(INDEX('Detalles movimientos'!C$5:C$1003, MATCH(35, 'Detalles movimientos'!$U$5:$U$1003, 0)), "")</f>
        <v/>
      </c>
      <c r="C44" s="18" t="str">
        <f>IFERROR(INDEX('Detalles movimientos'!D$5:D$1003, MATCH(35, 'Detalles movimientos'!$U$5:$U$1003, 0)), "")</f>
        <v/>
      </c>
      <c r="D44" s="19" t="str">
        <f>IFERROR(INDEX('Detalles movimientos'!E$5:E$1003, MATCH(35, 'Detalles movimientos'!$U$5:$U$1003, 0)), "")</f>
        <v/>
      </c>
      <c r="E44" s="19" t="str">
        <f>IFERROR(INDEX('Detalles movimientos'!F$5:F$1003, MATCH(35, 'Detalles movimientos'!$U$5:$U$1003, 0)), "")</f>
        <v/>
      </c>
      <c r="F44" s="18" t="str">
        <f>IFERROR(INDEX('Detalles movimientos'!G$5:G$1003, MATCH(35, 'Detalles movimientos'!$U$5:$U$1003, 0)), "")</f>
        <v/>
      </c>
      <c r="G44" s="20" t="str">
        <f>IFERROR(INDEX('Detalles movimientos'!H$5:H$1003, MATCH(35, 'Detalles movimientos'!$U$5:$U$1003, 0)), "")</f>
        <v/>
      </c>
      <c r="H44" s="21" t="str">
        <f>IFERROR(INDEX('Detalles movimientos'!I$5:I$1003, MATCH(35, 'Detalles movimientos'!$U$5:$U$1003, 0)), "")</f>
        <v/>
      </c>
      <c r="I44" s="20" t="str">
        <f>IFERROR(INDEX('Detalles movimientos'!M$5:M$1003, MATCH(35, 'Detalles movimientos'!$U$5:$U$1003, 0)), "")</f>
        <v/>
      </c>
      <c r="J44" s="19" t="str">
        <f>IFERROR(INDEX('Detalles movimientos'!N$5:N$1003, MATCH(35, 'Detalles movimientos'!$U$5:$U$1003, 0)), "")</f>
        <v/>
      </c>
      <c r="K44" s="20" t="str">
        <f>IFERROR(INDEX('Detalles movimientos'!O$5:O$1003, MATCH(35, 'Detalles movimientos'!$U$5:$U$1003, 0)), "")</f>
        <v/>
      </c>
      <c r="L44" s="18" t="str">
        <f>IFERROR(INDEX('Detalles movimientos'!P$5:P$1003, MATCH(35, 'Detalles movimientos'!$U$5:$U$1003, 0)), "")</f>
        <v/>
      </c>
      <c r="M44" s="18" t="str">
        <f>IFERROR(INDEX('Detalles movimientos'!S$5:S$1003, MATCH(35, 'Detalles movimientos'!$U$5:$U$1003, 0)), "")</f>
        <v/>
      </c>
    </row>
    <row r="45" spans="2:13">
      <c r="B45" s="17" t="str">
        <f>IFERROR(INDEX('Detalles movimientos'!C$5:C$1003, MATCH(36, 'Detalles movimientos'!$U$5:$U$1003, 0)), "")</f>
        <v/>
      </c>
      <c r="C45" s="18" t="str">
        <f>IFERROR(INDEX('Detalles movimientos'!D$5:D$1003, MATCH(36, 'Detalles movimientos'!$U$5:$U$1003, 0)), "")</f>
        <v/>
      </c>
      <c r="D45" s="19" t="str">
        <f>IFERROR(INDEX('Detalles movimientos'!E$5:E$1003, MATCH(36, 'Detalles movimientos'!$U$5:$U$1003, 0)), "")</f>
        <v/>
      </c>
      <c r="E45" s="19" t="str">
        <f>IFERROR(INDEX('Detalles movimientos'!F$5:F$1003, MATCH(36, 'Detalles movimientos'!$U$5:$U$1003, 0)), "")</f>
        <v/>
      </c>
      <c r="F45" s="18" t="str">
        <f>IFERROR(INDEX('Detalles movimientos'!G$5:G$1003, MATCH(36, 'Detalles movimientos'!$U$5:$U$1003, 0)), "")</f>
        <v/>
      </c>
      <c r="G45" s="20" t="str">
        <f>IFERROR(INDEX('Detalles movimientos'!H$5:H$1003, MATCH(36, 'Detalles movimientos'!$U$5:$U$1003, 0)), "")</f>
        <v/>
      </c>
      <c r="H45" s="21" t="str">
        <f>IFERROR(INDEX('Detalles movimientos'!I$5:I$1003, MATCH(36, 'Detalles movimientos'!$U$5:$U$1003, 0)), "")</f>
        <v/>
      </c>
      <c r="I45" s="20" t="str">
        <f>IFERROR(INDEX('Detalles movimientos'!M$5:M$1003, MATCH(36, 'Detalles movimientos'!$U$5:$U$1003, 0)), "")</f>
        <v/>
      </c>
      <c r="J45" s="19" t="str">
        <f>IFERROR(INDEX('Detalles movimientos'!N$5:N$1003, MATCH(36, 'Detalles movimientos'!$U$5:$U$1003, 0)), "")</f>
        <v/>
      </c>
      <c r="K45" s="20" t="str">
        <f>IFERROR(INDEX('Detalles movimientos'!O$5:O$1003, MATCH(36, 'Detalles movimientos'!$U$5:$U$1003, 0)), "")</f>
        <v/>
      </c>
      <c r="L45" s="18" t="str">
        <f>IFERROR(INDEX('Detalles movimientos'!P$5:P$1003, MATCH(36, 'Detalles movimientos'!$U$5:$U$1003, 0)), "")</f>
        <v/>
      </c>
      <c r="M45" s="18" t="str">
        <f>IFERROR(INDEX('Detalles movimientos'!S$5:S$1003, MATCH(36, 'Detalles movimientos'!$U$5:$U$1003, 0)), "")</f>
        <v/>
      </c>
    </row>
    <row r="46" spans="2:13">
      <c r="B46" s="17" t="str">
        <f>IFERROR(INDEX('Detalles movimientos'!C$5:C$1003, MATCH(37, 'Detalles movimientos'!$U$5:$U$1003, 0)), "")</f>
        <v/>
      </c>
      <c r="C46" s="18" t="str">
        <f>IFERROR(INDEX('Detalles movimientos'!D$5:D$1003, MATCH(37, 'Detalles movimientos'!$U$5:$U$1003, 0)), "")</f>
        <v/>
      </c>
      <c r="D46" s="19" t="str">
        <f>IFERROR(INDEX('Detalles movimientos'!E$5:E$1003, MATCH(37, 'Detalles movimientos'!$U$5:$U$1003, 0)), "")</f>
        <v/>
      </c>
      <c r="E46" s="19" t="str">
        <f>IFERROR(INDEX('Detalles movimientos'!F$5:F$1003, MATCH(37, 'Detalles movimientos'!$U$5:$U$1003, 0)), "")</f>
        <v/>
      </c>
      <c r="F46" s="18" t="str">
        <f>IFERROR(INDEX('Detalles movimientos'!G$5:G$1003, MATCH(37, 'Detalles movimientos'!$U$5:$U$1003, 0)), "")</f>
        <v/>
      </c>
      <c r="G46" s="20" t="str">
        <f>IFERROR(INDEX('Detalles movimientos'!H$5:H$1003, MATCH(37, 'Detalles movimientos'!$U$5:$U$1003, 0)), "")</f>
        <v/>
      </c>
      <c r="H46" s="21" t="str">
        <f>IFERROR(INDEX('Detalles movimientos'!I$5:I$1003, MATCH(37, 'Detalles movimientos'!$U$5:$U$1003, 0)), "")</f>
        <v/>
      </c>
      <c r="I46" s="20" t="str">
        <f>IFERROR(INDEX('Detalles movimientos'!M$5:M$1003, MATCH(37, 'Detalles movimientos'!$U$5:$U$1003, 0)), "")</f>
        <v/>
      </c>
      <c r="J46" s="19" t="str">
        <f>IFERROR(INDEX('Detalles movimientos'!N$5:N$1003, MATCH(37, 'Detalles movimientos'!$U$5:$U$1003, 0)), "")</f>
        <v/>
      </c>
      <c r="K46" s="20" t="str">
        <f>IFERROR(INDEX('Detalles movimientos'!O$5:O$1003, MATCH(37, 'Detalles movimientos'!$U$5:$U$1003, 0)), "")</f>
        <v/>
      </c>
      <c r="L46" s="18" t="str">
        <f>IFERROR(INDEX('Detalles movimientos'!P$5:P$1003, MATCH(37, 'Detalles movimientos'!$U$5:$U$1003, 0)), "")</f>
        <v/>
      </c>
      <c r="M46" s="18" t="str">
        <f>IFERROR(INDEX('Detalles movimientos'!S$5:S$1003, MATCH(37, 'Detalles movimientos'!$U$5:$U$1003, 0)), "")</f>
        <v/>
      </c>
    </row>
    <row r="47" spans="2:13">
      <c r="B47" s="17" t="str">
        <f>IFERROR(INDEX('Detalles movimientos'!C$5:C$1003, MATCH(38, 'Detalles movimientos'!$U$5:$U$1003, 0)), "")</f>
        <v/>
      </c>
      <c r="C47" s="18" t="str">
        <f>IFERROR(INDEX('Detalles movimientos'!D$5:D$1003, MATCH(38, 'Detalles movimientos'!$U$5:$U$1003, 0)), "")</f>
        <v/>
      </c>
      <c r="D47" s="19" t="str">
        <f>IFERROR(INDEX('Detalles movimientos'!E$5:E$1003, MATCH(38, 'Detalles movimientos'!$U$5:$U$1003, 0)), "")</f>
        <v/>
      </c>
      <c r="E47" s="19" t="str">
        <f>IFERROR(INDEX('Detalles movimientos'!F$5:F$1003, MATCH(38, 'Detalles movimientos'!$U$5:$U$1003, 0)), "")</f>
        <v/>
      </c>
      <c r="F47" s="18" t="str">
        <f>IFERROR(INDEX('Detalles movimientos'!G$5:G$1003, MATCH(38, 'Detalles movimientos'!$U$5:$U$1003, 0)), "")</f>
        <v/>
      </c>
      <c r="G47" s="20" t="str">
        <f>IFERROR(INDEX('Detalles movimientos'!H$5:H$1003, MATCH(38, 'Detalles movimientos'!$U$5:$U$1003, 0)), "")</f>
        <v/>
      </c>
      <c r="H47" s="21" t="str">
        <f>IFERROR(INDEX('Detalles movimientos'!I$5:I$1003, MATCH(38, 'Detalles movimientos'!$U$5:$U$1003, 0)), "")</f>
        <v/>
      </c>
      <c r="I47" s="20" t="str">
        <f>IFERROR(INDEX('Detalles movimientos'!M$5:M$1003, MATCH(38, 'Detalles movimientos'!$U$5:$U$1003, 0)), "")</f>
        <v/>
      </c>
      <c r="J47" s="19" t="str">
        <f>IFERROR(INDEX('Detalles movimientos'!N$5:N$1003, MATCH(38, 'Detalles movimientos'!$U$5:$U$1003, 0)), "")</f>
        <v/>
      </c>
      <c r="K47" s="20" t="str">
        <f>IFERROR(INDEX('Detalles movimientos'!O$5:O$1003, MATCH(38, 'Detalles movimientos'!$U$5:$U$1003, 0)), "")</f>
        <v/>
      </c>
      <c r="L47" s="18" t="str">
        <f>IFERROR(INDEX('Detalles movimientos'!P$5:P$1003, MATCH(38, 'Detalles movimientos'!$U$5:$U$1003, 0)), "")</f>
        <v/>
      </c>
      <c r="M47" s="18" t="str">
        <f>IFERROR(INDEX('Detalles movimientos'!S$5:S$1003, MATCH(38, 'Detalles movimientos'!$U$5:$U$1003, 0)), "")</f>
        <v/>
      </c>
    </row>
    <row r="48" spans="2:13">
      <c r="B48" s="17" t="str">
        <f>IFERROR(INDEX('Detalles movimientos'!C$5:C$1003, MATCH(39, 'Detalles movimientos'!$U$5:$U$1003, 0)), "")</f>
        <v/>
      </c>
      <c r="C48" s="18" t="str">
        <f>IFERROR(INDEX('Detalles movimientos'!D$5:D$1003, MATCH(39, 'Detalles movimientos'!$U$5:$U$1003, 0)), "")</f>
        <v/>
      </c>
      <c r="D48" s="19" t="str">
        <f>IFERROR(INDEX('Detalles movimientos'!E$5:E$1003, MATCH(39, 'Detalles movimientos'!$U$5:$U$1003, 0)), "")</f>
        <v/>
      </c>
      <c r="E48" s="19" t="str">
        <f>IFERROR(INDEX('Detalles movimientos'!F$5:F$1003, MATCH(39, 'Detalles movimientos'!$U$5:$U$1003, 0)), "")</f>
        <v/>
      </c>
      <c r="F48" s="18" t="str">
        <f>IFERROR(INDEX('Detalles movimientos'!G$5:G$1003, MATCH(39, 'Detalles movimientos'!$U$5:$U$1003, 0)), "")</f>
        <v/>
      </c>
      <c r="G48" s="20" t="str">
        <f>IFERROR(INDEX('Detalles movimientos'!H$5:H$1003, MATCH(39, 'Detalles movimientos'!$U$5:$U$1003, 0)), "")</f>
        <v/>
      </c>
      <c r="H48" s="21" t="str">
        <f>IFERROR(INDEX('Detalles movimientos'!I$5:I$1003, MATCH(39, 'Detalles movimientos'!$U$5:$U$1003, 0)), "")</f>
        <v/>
      </c>
      <c r="I48" s="20" t="str">
        <f>IFERROR(INDEX('Detalles movimientos'!M$5:M$1003, MATCH(39, 'Detalles movimientos'!$U$5:$U$1003, 0)), "")</f>
        <v/>
      </c>
      <c r="J48" s="19" t="str">
        <f>IFERROR(INDEX('Detalles movimientos'!N$5:N$1003, MATCH(39, 'Detalles movimientos'!$U$5:$U$1003, 0)), "")</f>
        <v/>
      </c>
      <c r="K48" s="20" t="str">
        <f>IFERROR(INDEX('Detalles movimientos'!O$5:O$1003, MATCH(39, 'Detalles movimientos'!$U$5:$U$1003, 0)), "")</f>
        <v/>
      </c>
      <c r="L48" s="18" t="str">
        <f>IFERROR(INDEX('Detalles movimientos'!P$5:P$1003, MATCH(39, 'Detalles movimientos'!$U$5:$U$1003, 0)), "")</f>
        <v/>
      </c>
      <c r="M48" s="18" t="str">
        <f>IFERROR(INDEX('Detalles movimientos'!S$5:S$1003, MATCH(39, 'Detalles movimientos'!$U$5:$U$1003, 0)), "")</f>
        <v/>
      </c>
    </row>
    <row r="49" spans="2:13">
      <c r="B49" s="17" t="str">
        <f>IFERROR(INDEX('Detalles movimientos'!C$5:C$1003, MATCH(40, 'Detalles movimientos'!$U$5:$U$1003, 0)), "")</f>
        <v/>
      </c>
      <c r="C49" s="18" t="str">
        <f>IFERROR(INDEX('Detalles movimientos'!D$5:D$1003, MATCH(40, 'Detalles movimientos'!$U$5:$U$1003, 0)), "")</f>
        <v/>
      </c>
      <c r="D49" s="19" t="str">
        <f>IFERROR(INDEX('Detalles movimientos'!E$5:E$1003, MATCH(40, 'Detalles movimientos'!$U$5:$U$1003, 0)), "")</f>
        <v/>
      </c>
      <c r="E49" s="19" t="str">
        <f>IFERROR(INDEX('Detalles movimientos'!F$5:F$1003, MATCH(40, 'Detalles movimientos'!$U$5:$U$1003, 0)), "")</f>
        <v/>
      </c>
      <c r="F49" s="18" t="str">
        <f>IFERROR(INDEX('Detalles movimientos'!G$5:G$1003, MATCH(40, 'Detalles movimientos'!$U$5:$U$1003, 0)), "")</f>
        <v/>
      </c>
      <c r="G49" s="20" t="str">
        <f>IFERROR(INDEX('Detalles movimientos'!H$5:H$1003, MATCH(40, 'Detalles movimientos'!$U$5:$U$1003, 0)), "")</f>
        <v/>
      </c>
      <c r="H49" s="21" t="str">
        <f>IFERROR(INDEX('Detalles movimientos'!I$5:I$1003, MATCH(40, 'Detalles movimientos'!$U$5:$U$1003, 0)), "")</f>
        <v/>
      </c>
      <c r="I49" s="20" t="str">
        <f>IFERROR(INDEX('Detalles movimientos'!M$5:M$1003, MATCH(40, 'Detalles movimientos'!$U$5:$U$1003, 0)), "")</f>
        <v/>
      </c>
      <c r="J49" s="19" t="str">
        <f>IFERROR(INDEX('Detalles movimientos'!N$5:N$1003, MATCH(40, 'Detalles movimientos'!$U$5:$U$1003, 0)), "")</f>
        <v/>
      </c>
      <c r="K49" s="20" t="str">
        <f>IFERROR(INDEX('Detalles movimientos'!O$5:O$1003, MATCH(40, 'Detalles movimientos'!$U$5:$U$1003, 0)), "")</f>
        <v/>
      </c>
      <c r="L49" s="18" t="str">
        <f>IFERROR(INDEX('Detalles movimientos'!P$5:P$1003, MATCH(40, 'Detalles movimientos'!$U$5:$U$1003, 0)), "")</f>
        <v/>
      </c>
      <c r="M49" s="18" t="str">
        <f>IFERROR(INDEX('Detalles movimientos'!S$5:S$1003, MATCH(40, 'Detalles movimientos'!$U$5:$U$1003, 0)), "")</f>
        <v/>
      </c>
    </row>
    <row r="50" spans="2:13">
      <c r="B50" s="17" t="str">
        <f>IFERROR(INDEX('Detalles movimientos'!C$5:C$1003, MATCH(41, 'Detalles movimientos'!$U$5:$U$1003, 0)), "")</f>
        <v/>
      </c>
      <c r="C50" s="18" t="str">
        <f>IFERROR(INDEX('Detalles movimientos'!D$5:D$1003, MATCH(41, 'Detalles movimientos'!$U$5:$U$1003, 0)), "")</f>
        <v/>
      </c>
      <c r="D50" s="19" t="str">
        <f>IFERROR(INDEX('Detalles movimientos'!E$5:E$1003, MATCH(41, 'Detalles movimientos'!$U$5:$U$1003, 0)), "")</f>
        <v/>
      </c>
      <c r="E50" s="19" t="str">
        <f>IFERROR(INDEX('Detalles movimientos'!F$5:F$1003, MATCH(41, 'Detalles movimientos'!$U$5:$U$1003, 0)), "")</f>
        <v/>
      </c>
      <c r="F50" s="18" t="str">
        <f>IFERROR(INDEX('Detalles movimientos'!G$5:G$1003, MATCH(41, 'Detalles movimientos'!$U$5:$U$1003, 0)), "")</f>
        <v/>
      </c>
      <c r="G50" s="20" t="str">
        <f>IFERROR(INDEX('Detalles movimientos'!H$5:H$1003, MATCH(41, 'Detalles movimientos'!$U$5:$U$1003, 0)), "")</f>
        <v/>
      </c>
      <c r="H50" s="21" t="str">
        <f>IFERROR(INDEX('Detalles movimientos'!I$5:I$1003, MATCH(41, 'Detalles movimientos'!$U$5:$U$1003, 0)), "")</f>
        <v/>
      </c>
      <c r="I50" s="20" t="str">
        <f>IFERROR(INDEX('Detalles movimientos'!M$5:M$1003, MATCH(41, 'Detalles movimientos'!$U$5:$U$1003, 0)), "")</f>
        <v/>
      </c>
      <c r="J50" s="19" t="str">
        <f>IFERROR(INDEX('Detalles movimientos'!N$5:N$1003, MATCH(41, 'Detalles movimientos'!$U$5:$U$1003, 0)), "")</f>
        <v/>
      </c>
      <c r="K50" s="20" t="str">
        <f>IFERROR(INDEX('Detalles movimientos'!O$5:O$1003, MATCH(41, 'Detalles movimientos'!$U$5:$U$1003, 0)), "")</f>
        <v/>
      </c>
      <c r="L50" s="18" t="str">
        <f>IFERROR(INDEX('Detalles movimientos'!P$5:P$1003, MATCH(41, 'Detalles movimientos'!$U$5:$U$1003, 0)), "")</f>
        <v/>
      </c>
      <c r="M50" s="18" t="str">
        <f>IFERROR(INDEX('Detalles movimientos'!S$5:S$1003, MATCH(41, 'Detalles movimientos'!$U$5:$U$1003, 0)), "")</f>
        <v/>
      </c>
    </row>
    <row r="51" spans="2:13">
      <c r="B51" s="17" t="str">
        <f>IFERROR(INDEX('Detalles movimientos'!C$5:C$1003, MATCH(42, 'Detalles movimientos'!$U$5:$U$1003, 0)), "")</f>
        <v/>
      </c>
      <c r="C51" s="18" t="str">
        <f>IFERROR(INDEX('Detalles movimientos'!D$5:D$1003, MATCH(42, 'Detalles movimientos'!$U$5:$U$1003, 0)), "")</f>
        <v/>
      </c>
      <c r="D51" s="19" t="str">
        <f>IFERROR(INDEX('Detalles movimientos'!E$5:E$1003, MATCH(42, 'Detalles movimientos'!$U$5:$U$1003, 0)), "")</f>
        <v/>
      </c>
      <c r="E51" s="19" t="str">
        <f>IFERROR(INDEX('Detalles movimientos'!F$5:F$1003, MATCH(42, 'Detalles movimientos'!$U$5:$U$1003, 0)), "")</f>
        <v/>
      </c>
      <c r="F51" s="18" t="str">
        <f>IFERROR(INDEX('Detalles movimientos'!G$5:G$1003, MATCH(42, 'Detalles movimientos'!$U$5:$U$1003, 0)), "")</f>
        <v/>
      </c>
      <c r="G51" s="20" t="str">
        <f>IFERROR(INDEX('Detalles movimientos'!H$5:H$1003, MATCH(42, 'Detalles movimientos'!$U$5:$U$1003, 0)), "")</f>
        <v/>
      </c>
      <c r="H51" s="21" t="str">
        <f>IFERROR(INDEX('Detalles movimientos'!I$5:I$1003, MATCH(42, 'Detalles movimientos'!$U$5:$U$1003, 0)), "")</f>
        <v/>
      </c>
      <c r="I51" s="20" t="str">
        <f>IFERROR(INDEX('Detalles movimientos'!M$5:M$1003, MATCH(42, 'Detalles movimientos'!$U$5:$U$1003, 0)), "")</f>
        <v/>
      </c>
      <c r="J51" s="19" t="str">
        <f>IFERROR(INDEX('Detalles movimientos'!N$5:N$1003, MATCH(42, 'Detalles movimientos'!$U$5:$U$1003, 0)), "")</f>
        <v/>
      </c>
      <c r="K51" s="20" t="str">
        <f>IFERROR(INDEX('Detalles movimientos'!O$5:O$1003, MATCH(42, 'Detalles movimientos'!$U$5:$U$1003, 0)), "")</f>
        <v/>
      </c>
      <c r="L51" s="18" t="str">
        <f>IFERROR(INDEX('Detalles movimientos'!P$5:P$1003, MATCH(42, 'Detalles movimientos'!$U$5:$U$1003, 0)), "")</f>
        <v/>
      </c>
      <c r="M51" s="18" t="str">
        <f>IFERROR(INDEX('Detalles movimientos'!S$5:S$1003, MATCH(42, 'Detalles movimientos'!$U$5:$U$1003, 0)), "")</f>
        <v/>
      </c>
    </row>
    <row r="52" spans="2:13">
      <c r="B52" s="17" t="str">
        <f>IFERROR(INDEX('Detalles movimientos'!C$5:C$1003, MATCH(43, 'Detalles movimientos'!$U$5:$U$1003, 0)), "")</f>
        <v/>
      </c>
      <c r="C52" s="18" t="str">
        <f>IFERROR(INDEX('Detalles movimientos'!D$5:D$1003, MATCH(43, 'Detalles movimientos'!$U$5:$U$1003, 0)), "")</f>
        <v/>
      </c>
      <c r="D52" s="19" t="str">
        <f>IFERROR(INDEX('Detalles movimientos'!E$5:E$1003, MATCH(43, 'Detalles movimientos'!$U$5:$U$1003, 0)), "")</f>
        <v/>
      </c>
      <c r="E52" s="19" t="str">
        <f>IFERROR(INDEX('Detalles movimientos'!F$5:F$1003, MATCH(43, 'Detalles movimientos'!$U$5:$U$1003, 0)), "")</f>
        <v/>
      </c>
      <c r="F52" s="18" t="str">
        <f>IFERROR(INDEX('Detalles movimientos'!G$5:G$1003, MATCH(43, 'Detalles movimientos'!$U$5:$U$1003, 0)), "")</f>
        <v/>
      </c>
      <c r="G52" s="20" t="str">
        <f>IFERROR(INDEX('Detalles movimientos'!H$5:H$1003, MATCH(43, 'Detalles movimientos'!$U$5:$U$1003, 0)), "")</f>
        <v/>
      </c>
      <c r="H52" s="21" t="str">
        <f>IFERROR(INDEX('Detalles movimientos'!I$5:I$1003, MATCH(43, 'Detalles movimientos'!$U$5:$U$1003, 0)), "")</f>
        <v/>
      </c>
      <c r="I52" s="20" t="str">
        <f>IFERROR(INDEX('Detalles movimientos'!M$5:M$1003, MATCH(43, 'Detalles movimientos'!$U$5:$U$1003, 0)), "")</f>
        <v/>
      </c>
      <c r="J52" s="19" t="str">
        <f>IFERROR(INDEX('Detalles movimientos'!N$5:N$1003, MATCH(43, 'Detalles movimientos'!$U$5:$U$1003, 0)), "")</f>
        <v/>
      </c>
      <c r="K52" s="20" t="str">
        <f>IFERROR(INDEX('Detalles movimientos'!O$5:O$1003, MATCH(43, 'Detalles movimientos'!$U$5:$U$1003, 0)), "")</f>
        <v/>
      </c>
      <c r="L52" s="18" t="str">
        <f>IFERROR(INDEX('Detalles movimientos'!P$5:P$1003, MATCH(43, 'Detalles movimientos'!$U$5:$U$1003, 0)), "")</f>
        <v/>
      </c>
      <c r="M52" s="18" t="str">
        <f>IFERROR(INDEX('Detalles movimientos'!S$5:S$1003, MATCH(43, 'Detalles movimientos'!$U$5:$U$1003, 0)), "")</f>
        <v/>
      </c>
    </row>
    <row r="53" spans="2:13">
      <c r="B53" s="17" t="str">
        <f>IFERROR(INDEX('Detalles movimientos'!C$5:C$1003, MATCH(44, 'Detalles movimientos'!$U$5:$U$1003, 0)), "")</f>
        <v/>
      </c>
      <c r="C53" s="18" t="str">
        <f>IFERROR(INDEX('Detalles movimientos'!D$5:D$1003, MATCH(44, 'Detalles movimientos'!$U$5:$U$1003, 0)), "")</f>
        <v/>
      </c>
      <c r="D53" s="19" t="str">
        <f>IFERROR(INDEX('Detalles movimientos'!E$5:E$1003, MATCH(44, 'Detalles movimientos'!$U$5:$U$1003, 0)), "")</f>
        <v/>
      </c>
      <c r="E53" s="19" t="str">
        <f>IFERROR(INDEX('Detalles movimientos'!F$5:F$1003, MATCH(44, 'Detalles movimientos'!$U$5:$U$1003, 0)), "")</f>
        <v/>
      </c>
      <c r="F53" s="18" t="str">
        <f>IFERROR(INDEX('Detalles movimientos'!G$5:G$1003, MATCH(44, 'Detalles movimientos'!$U$5:$U$1003, 0)), "")</f>
        <v/>
      </c>
      <c r="G53" s="20" t="str">
        <f>IFERROR(INDEX('Detalles movimientos'!H$5:H$1003, MATCH(44, 'Detalles movimientos'!$U$5:$U$1003, 0)), "")</f>
        <v/>
      </c>
      <c r="H53" s="21" t="str">
        <f>IFERROR(INDEX('Detalles movimientos'!I$5:I$1003, MATCH(44, 'Detalles movimientos'!$U$5:$U$1003, 0)), "")</f>
        <v/>
      </c>
      <c r="I53" s="20" t="str">
        <f>IFERROR(INDEX('Detalles movimientos'!M$5:M$1003, MATCH(44, 'Detalles movimientos'!$U$5:$U$1003, 0)), "")</f>
        <v/>
      </c>
      <c r="J53" s="19" t="str">
        <f>IFERROR(INDEX('Detalles movimientos'!N$5:N$1003, MATCH(44, 'Detalles movimientos'!$U$5:$U$1003, 0)), "")</f>
        <v/>
      </c>
      <c r="K53" s="20" t="str">
        <f>IFERROR(INDEX('Detalles movimientos'!O$5:O$1003, MATCH(44, 'Detalles movimientos'!$U$5:$U$1003, 0)), "")</f>
        <v/>
      </c>
      <c r="L53" s="18" t="str">
        <f>IFERROR(INDEX('Detalles movimientos'!P$5:P$1003, MATCH(44, 'Detalles movimientos'!$U$5:$U$1003, 0)), "")</f>
        <v/>
      </c>
      <c r="M53" s="18" t="str">
        <f>IFERROR(INDEX('Detalles movimientos'!S$5:S$1003, MATCH(44, 'Detalles movimientos'!$U$5:$U$1003, 0)), "")</f>
        <v/>
      </c>
    </row>
    <row r="54" spans="2:13">
      <c r="B54" s="17" t="str">
        <f>IFERROR(INDEX('Detalles movimientos'!C$5:C$1003, MATCH(45, 'Detalles movimientos'!$U$5:$U$1003, 0)), "")</f>
        <v/>
      </c>
      <c r="C54" s="18" t="str">
        <f>IFERROR(INDEX('Detalles movimientos'!D$5:D$1003, MATCH(45, 'Detalles movimientos'!$U$5:$U$1003, 0)), "")</f>
        <v/>
      </c>
      <c r="D54" s="19" t="str">
        <f>IFERROR(INDEX('Detalles movimientos'!E$5:E$1003, MATCH(45, 'Detalles movimientos'!$U$5:$U$1003, 0)), "")</f>
        <v/>
      </c>
      <c r="E54" s="19" t="str">
        <f>IFERROR(INDEX('Detalles movimientos'!F$5:F$1003, MATCH(45, 'Detalles movimientos'!$U$5:$U$1003, 0)), "")</f>
        <v/>
      </c>
      <c r="F54" s="18" t="str">
        <f>IFERROR(INDEX('Detalles movimientos'!G$5:G$1003, MATCH(45, 'Detalles movimientos'!$U$5:$U$1003, 0)), "")</f>
        <v/>
      </c>
      <c r="G54" s="20" t="str">
        <f>IFERROR(INDEX('Detalles movimientos'!H$5:H$1003, MATCH(45, 'Detalles movimientos'!$U$5:$U$1003, 0)), "")</f>
        <v/>
      </c>
      <c r="H54" s="21" t="str">
        <f>IFERROR(INDEX('Detalles movimientos'!I$5:I$1003, MATCH(45, 'Detalles movimientos'!$U$5:$U$1003, 0)), "")</f>
        <v/>
      </c>
      <c r="I54" s="20" t="str">
        <f>IFERROR(INDEX('Detalles movimientos'!M$5:M$1003, MATCH(45, 'Detalles movimientos'!$U$5:$U$1003, 0)), "")</f>
        <v/>
      </c>
      <c r="J54" s="19" t="str">
        <f>IFERROR(INDEX('Detalles movimientos'!N$5:N$1003, MATCH(45, 'Detalles movimientos'!$U$5:$U$1003, 0)), "")</f>
        <v/>
      </c>
      <c r="K54" s="20" t="str">
        <f>IFERROR(INDEX('Detalles movimientos'!O$5:O$1003, MATCH(45, 'Detalles movimientos'!$U$5:$U$1003, 0)), "")</f>
        <v/>
      </c>
      <c r="L54" s="18" t="str">
        <f>IFERROR(INDEX('Detalles movimientos'!P$5:P$1003, MATCH(45, 'Detalles movimientos'!$U$5:$U$1003, 0)), "")</f>
        <v/>
      </c>
      <c r="M54" s="18" t="str">
        <f>IFERROR(INDEX('Detalles movimientos'!S$5:S$1003, MATCH(45, 'Detalles movimientos'!$U$5:$U$1003, 0)), "")</f>
        <v/>
      </c>
    </row>
    <row r="55" spans="2:13">
      <c r="B55" s="17" t="str">
        <f>IFERROR(INDEX('Detalles movimientos'!C$5:C$1003, MATCH(46, 'Detalles movimientos'!$U$5:$U$1003, 0)), "")</f>
        <v/>
      </c>
      <c r="C55" s="18" t="str">
        <f>IFERROR(INDEX('Detalles movimientos'!D$5:D$1003, MATCH(46, 'Detalles movimientos'!$U$5:$U$1003, 0)), "")</f>
        <v/>
      </c>
      <c r="D55" s="19" t="str">
        <f>IFERROR(INDEX('Detalles movimientos'!E$5:E$1003, MATCH(46, 'Detalles movimientos'!$U$5:$U$1003, 0)), "")</f>
        <v/>
      </c>
      <c r="E55" s="19" t="str">
        <f>IFERROR(INDEX('Detalles movimientos'!F$5:F$1003, MATCH(46, 'Detalles movimientos'!$U$5:$U$1003, 0)), "")</f>
        <v/>
      </c>
      <c r="F55" s="18" t="str">
        <f>IFERROR(INDEX('Detalles movimientos'!G$5:G$1003, MATCH(46, 'Detalles movimientos'!$U$5:$U$1003, 0)), "")</f>
        <v/>
      </c>
      <c r="G55" s="20" t="str">
        <f>IFERROR(INDEX('Detalles movimientos'!H$5:H$1003, MATCH(46, 'Detalles movimientos'!$U$5:$U$1003, 0)), "")</f>
        <v/>
      </c>
      <c r="H55" s="21" t="str">
        <f>IFERROR(INDEX('Detalles movimientos'!I$5:I$1003, MATCH(46, 'Detalles movimientos'!$U$5:$U$1003, 0)), "")</f>
        <v/>
      </c>
      <c r="I55" s="20" t="str">
        <f>IFERROR(INDEX('Detalles movimientos'!M$5:M$1003, MATCH(46, 'Detalles movimientos'!$U$5:$U$1003, 0)), "")</f>
        <v/>
      </c>
      <c r="J55" s="19" t="str">
        <f>IFERROR(INDEX('Detalles movimientos'!N$5:N$1003, MATCH(46, 'Detalles movimientos'!$U$5:$U$1003, 0)), "")</f>
        <v/>
      </c>
      <c r="K55" s="20" t="str">
        <f>IFERROR(INDEX('Detalles movimientos'!O$5:O$1003, MATCH(46, 'Detalles movimientos'!$U$5:$U$1003, 0)), "")</f>
        <v/>
      </c>
      <c r="L55" s="18" t="str">
        <f>IFERROR(INDEX('Detalles movimientos'!P$5:P$1003, MATCH(46, 'Detalles movimientos'!$U$5:$U$1003, 0)), "")</f>
        <v/>
      </c>
      <c r="M55" s="18" t="str">
        <f>IFERROR(INDEX('Detalles movimientos'!S$5:S$1003, MATCH(46, 'Detalles movimientos'!$U$5:$U$1003, 0)), "")</f>
        <v/>
      </c>
    </row>
    <row r="56" spans="2:13">
      <c r="B56" s="17" t="str">
        <f>IFERROR(INDEX('Detalles movimientos'!C$5:C$1003, MATCH(47, 'Detalles movimientos'!$U$5:$U$1003, 0)), "")</f>
        <v/>
      </c>
      <c r="C56" s="18" t="str">
        <f>IFERROR(INDEX('Detalles movimientos'!D$5:D$1003, MATCH(47, 'Detalles movimientos'!$U$5:$U$1003, 0)), "")</f>
        <v/>
      </c>
      <c r="D56" s="19" t="str">
        <f>IFERROR(INDEX('Detalles movimientos'!E$5:E$1003, MATCH(47, 'Detalles movimientos'!$U$5:$U$1003, 0)), "")</f>
        <v/>
      </c>
      <c r="E56" s="19" t="str">
        <f>IFERROR(INDEX('Detalles movimientos'!F$5:F$1003, MATCH(47, 'Detalles movimientos'!$U$5:$U$1003, 0)), "")</f>
        <v/>
      </c>
      <c r="F56" s="18" t="str">
        <f>IFERROR(INDEX('Detalles movimientos'!G$5:G$1003, MATCH(47, 'Detalles movimientos'!$U$5:$U$1003, 0)), "")</f>
        <v/>
      </c>
      <c r="G56" s="20" t="str">
        <f>IFERROR(INDEX('Detalles movimientos'!H$5:H$1003, MATCH(47, 'Detalles movimientos'!$U$5:$U$1003, 0)), "")</f>
        <v/>
      </c>
      <c r="H56" s="21" t="str">
        <f>IFERROR(INDEX('Detalles movimientos'!I$5:I$1003, MATCH(47, 'Detalles movimientos'!$U$5:$U$1003, 0)), "")</f>
        <v/>
      </c>
      <c r="I56" s="20" t="str">
        <f>IFERROR(INDEX('Detalles movimientos'!M$5:M$1003, MATCH(47, 'Detalles movimientos'!$U$5:$U$1003, 0)), "")</f>
        <v/>
      </c>
      <c r="J56" s="19" t="str">
        <f>IFERROR(INDEX('Detalles movimientos'!N$5:N$1003, MATCH(47, 'Detalles movimientos'!$U$5:$U$1003, 0)), "")</f>
        <v/>
      </c>
      <c r="K56" s="20" t="str">
        <f>IFERROR(INDEX('Detalles movimientos'!O$5:O$1003, MATCH(47, 'Detalles movimientos'!$U$5:$U$1003, 0)), "")</f>
        <v/>
      </c>
      <c r="L56" s="18" t="str">
        <f>IFERROR(INDEX('Detalles movimientos'!P$5:P$1003, MATCH(47, 'Detalles movimientos'!$U$5:$U$1003, 0)), "")</f>
        <v/>
      </c>
      <c r="M56" s="18" t="str">
        <f>IFERROR(INDEX('Detalles movimientos'!S$5:S$1003, MATCH(47, 'Detalles movimientos'!$U$5:$U$1003, 0)), "")</f>
        <v/>
      </c>
    </row>
    <row r="57" spans="2:13">
      <c r="B57" s="17" t="str">
        <f>IFERROR(INDEX('Detalles movimientos'!C$5:C$1003, MATCH(48, 'Detalles movimientos'!$U$5:$U$1003, 0)), "")</f>
        <v/>
      </c>
      <c r="C57" s="18" t="str">
        <f>IFERROR(INDEX('Detalles movimientos'!D$5:D$1003, MATCH(48, 'Detalles movimientos'!$U$5:$U$1003, 0)), "")</f>
        <v/>
      </c>
      <c r="D57" s="19" t="str">
        <f>IFERROR(INDEX('Detalles movimientos'!E$5:E$1003, MATCH(48, 'Detalles movimientos'!$U$5:$U$1003, 0)), "")</f>
        <v/>
      </c>
      <c r="E57" s="19" t="str">
        <f>IFERROR(INDEX('Detalles movimientos'!F$5:F$1003, MATCH(48, 'Detalles movimientos'!$U$5:$U$1003, 0)), "")</f>
        <v/>
      </c>
      <c r="F57" s="18" t="str">
        <f>IFERROR(INDEX('Detalles movimientos'!G$5:G$1003, MATCH(48, 'Detalles movimientos'!$U$5:$U$1003, 0)), "")</f>
        <v/>
      </c>
      <c r="G57" s="20" t="str">
        <f>IFERROR(INDEX('Detalles movimientos'!H$5:H$1003, MATCH(48, 'Detalles movimientos'!$U$5:$U$1003, 0)), "")</f>
        <v/>
      </c>
      <c r="H57" s="21" t="str">
        <f>IFERROR(INDEX('Detalles movimientos'!I$5:I$1003, MATCH(48, 'Detalles movimientos'!$U$5:$U$1003, 0)), "")</f>
        <v/>
      </c>
      <c r="I57" s="20" t="str">
        <f>IFERROR(INDEX('Detalles movimientos'!M$5:M$1003, MATCH(48, 'Detalles movimientos'!$U$5:$U$1003, 0)), "")</f>
        <v/>
      </c>
      <c r="J57" s="19" t="str">
        <f>IFERROR(INDEX('Detalles movimientos'!N$5:N$1003, MATCH(48, 'Detalles movimientos'!$U$5:$U$1003, 0)), "")</f>
        <v/>
      </c>
      <c r="K57" s="20" t="str">
        <f>IFERROR(INDEX('Detalles movimientos'!O$5:O$1003, MATCH(48, 'Detalles movimientos'!$U$5:$U$1003, 0)), "")</f>
        <v/>
      </c>
      <c r="L57" s="18" t="str">
        <f>IFERROR(INDEX('Detalles movimientos'!P$5:P$1003, MATCH(48, 'Detalles movimientos'!$U$5:$U$1003, 0)), "")</f>
        <v/>
      </c>
      <c r="M57" s="18" t="str">
        <f>IFERROR(INDEX('Detalles movimientos'!S$5:S$1003, MATCH(48, 'Detalles movimientos'!$U$5:$U$1003, 0)), "")</f>
        <v/>
      </c>
    </row>
    <row r="58" spans="2:13">
      <c r="B58" s="17" t="str">
        <f>IFERROR(INDEX('Detalles movimientos'!C$5:C$1003, MATCH(49, 'Detalles movimientos'!$U$5:$U$1003, 0)), "")</f>
        <v/>
      </c>
      <c r="C58" s="18" t="str">
        <f>IFERROR(INDEX('Detalles movimientos'!D$5:D$1003, MATCH(49, 'Detalles movimientos'!$U$5:$U$1003, 0)), "")</f>
        <v/>
      </c>
      <c r="D58" s="19" t="str">
        <f>IFERROR(INDEX('Detalles movimientos'!E$5:E$1003, MATCH(49, 'Detalles movimientos'!$U$5:$U$1003, 0)), "")</f>
        <v/>
      </c>
      <c r="E58" s="19" t="str">
        <f>IFERROR(INDEX('Detalles movimientos'!F$5:F$1003, MATCH(49, 'Detalles movimientos'!$U$5:$U$1003, 0)), "")</f>
        <v/>
      </c>
      <c r="F58" s="18" t="str">
        <f>IFERROR(INDEX('Detalles movimientos'!G$5:G$1003, MATCH(49, 'Detalles movimientos'!$U$5:$U$1003, 0)), "")</f>
        <v/>
      </c>
      <c r="G58" s="20" t="str">
        <f>IFERROR(INDEX('Detalles movimientos'!H$5:H$1003, MATCH(49, 'Detalles movimientos'!$U$5:$U$1003, 0)), "")</f>
        <v/>
      </c>
      <c r="H58" s="21" t="str">
        <f>IFERROR(INDEX('Detalles movimientos'!I$5:I$1003, MATCH(49, 'Detalles movimientos'!$U$5:$U$1003, 0)), "")</f>
        <v/>
      </c>
      <c r="I58" s="20" t="str">
        <f>IFERROR(INDEX('Detalles movimientos'!M$5:M$1003, MATCH(49, 'Detalles movimientos'!$U$5:$U$1003, 0)), "")</f>
        <v/>
      </c>
      <c r="J58" s="19" t="str">
        <f>IFERROR(INDEX('Detalles movimientos'!N$5:N$1003, MATCH(49, 'Detalles movimientos'!$U$5:$U$1003, 0)), "")</f>
        <v/>
      </c>
      <c r="K58" s="20" t="str">
        <f>IFERROR(INDEX('Detalles movimientos'!O$5:O$1003, MATCH(49, 'Detalles movimientos'!$U$5:$U$1003, 0)), "")</f>
        <v/>
      </c>
      <c r="L58" s="18" t="str">
        <f>IFERROR(INDEX('Detalles movimientos'!P$5:P$1003, MATCH(49, 'Detalles movimientos'!$U$5:$U$1003, 0)), "")</f>
        <v/>
      </c>
      <c r="M58" s="18" t="str">
        <f>IFERROR(INDEX('Detalles movimientos'!S$5:S$1003, MATCH(49, 'Detalles movimientos'!$U$5:$U$1003, 0)), "")</f>
        <v/>
      </c>
    </row>
    <row r="59" spans="2:13">
      <c r="B59" s="17" t="str">
        <f>IFERROR(INDEX('Detalles movimientos'!C$5:C$1003, MATCH(50, 'Detalles movimientos'!$U$5:$U$1003, 0)), "")</f>
        <v/>
      </c>
      <c r="C59" s="18" t="str">
        <f>IFERROR(INDEX('Detalles movimientos'!D$5:D$1003, MATCH(50, 'Detalles movimientos'!$U$5:$U$1003, 0)), "")</f>
        <v/>
      </c>
      <c r="D59" s="19" t="str">
        <f>IFERROR(INDEX('Detalles movimientos'!E$5:E$1003, MATCH(50, 'Detalles movimientos'!$U$5:$U$1003, 0)), "")</f>
        <v/>
      </c>
      <c r="E59" s="19" t="str">
        <f>IFERROR(INDEX('Detalles movimientos'!F$5:F$1003, MATCH(50, 'Detalles movimientos'!$U$5:$U$1003, 0)), "")</f>
        <v/>
      </c>
      <c r="F59" s="18" t="str">
        <f>IFERROR(INDEX('Detalles movimientos'!G$5:G$1003, MATCH(50, 'Detalles movimientos'!$U$5:$U$1003, 0)), "")</f>
        <v/>
      </c>
      <c r="G59" s="20" t="str">
        <f>IFERROR(INDEX('Detalles movimientos'!H$5:H$1003, MATCH(50, 'Detalles movimientos'!$U$5:$U$1003, 0)), "")</f>
        <v/>
      </c>
      <c r="H59" s="21" t="str">
        <f>IFERROR(INDEX('Detalles movimientos'!I$5:I$1003, MATCH(50, 'Detalles movimientos'!$U$5:$U$1003, 0)), "")</f>
        <v/>
      </c>
      <c r="I59" s="20" t="str">
        <f>IFERROR(INDEX('Detalles movimientos'!M$5:M$1003, MATCH(50, 'Detalles movimientos'!$U$5:$U$1003, 0)), "")</f>
        <v/>
      </c>
      <c r="J59" s="19" t="str">
        <f>IFERROR(INDEX('Detalles movimientos'!N$5:N$1003, MATCH(50, 'Detalles movimientos'!$U$5:$U$1003, 0)), "")</f>
        <v/>
      </c>
      <c r="K59" s="20" t="str">
        <f>IFERROR(INDEX('Detalles movimientos'!O$5:O$1003, MATCH(50, 'Detalles movimientos'!$U$5:$U$1003, 0)), "")</f>
        <v/>
      </c>
      <c r="L59" s="18" t="str">
        <f>IFERROR(INDEX('Detalles movimientos'!P$5:P$1003, MATCH(50, 'Detalles movimientos'!$U$5:$U$1003, 0)), "")</f>
        <v/>
      </c>
      <c r="M59" s="18" t="str">
        <f>IFERROR(INDEX('Detalles movimientos'!S$5:S$1003, MATCH(50, 'Detalles movimientos'!$U$5:$U$1003, 0)), "")</f>
        <v/>
      </c>
    </row>
    <row r="60" spans="2:13">
      <c r="B60" s="17" t="str">
        <f>IFERROR(INDEX('Detalles movimientos'!C$5:C$1003, MATCH(51, 'Detalles movimientos'!$U$5:$U$1003, 0)), "")</f>
        <v/>
      </c>
      <c r="C60" s="18" t="str">
        <f>IFERROR(INDEX('Detalles movimientos'!D$5:D$1003, MATCH(51, 'Detalles movimientos'!$U$5:$U$1003, 0)), "")</f>
        <v/>
      </c>
      <c r="D60" s="19" t="str">
        <f>IFERROR(INDEX('Detalles movimientos'!E$5:E$1003, MATCH(51, 'Detalles movimientos'!$U$5:$U$1003, 0)), "")</f>
        <v/>
      </c>
      <c r="E60" s="19" t="str">
        <f>IFERROR(INDEX('Detalles movimientos'!F$5:F$1003, MATCH(51, 'Detalles movimientos'!$U$5:$U$1003, 0)), "")</f>
        <v/>
      </c>
      <c r="F60" s="18" t="str">
        <f>IFERROR(INDEX('Detalles movimientos'!G$5:G$1003, MATCH(51, 'Detalles movimientos'!$U$5:$U$1003, 0)), "")</f>
        <v/>
      </c>
      <c r="G60" s="20" t="str">
        <f>IFERROR(INDEX('Detalles movimientos'!H$5:H$1003, MATCH(51, 'Detalles movimientos'!$U$5:$U$1003, 0)), "")</f>
        <v/>
      </c>
      <c r="H60" s="21" t="str">
        <f>IFERROR(INDEX('Detalles movimientos'!I$5:I$1003, MATCH(51, 'Detalles movimientos'!$U$5:$U$1003, 0)), "")</f>
        <v/>
      </c>
      <c r="I60" s="20" t="str">
        <f>IFERROR(INDEX('Detalles movimientos'!M$5:M$1003, MATCH(51, 'Detalles movimientos'!$U$5:$U$1003, 0)), "")</f>
        <v/>
      </c>
      <c r="J60" s="19" t="str">
        <f>IFERROR(INDEX('Detalles movimientos'!N$5:N$1003, MATCH(51, 'Detalles movimientos'!$U$5:$U$1003, 0)), "")</f>
        <v/>
      </c>
      <c r="K60" s="20" t="str">
        <f>IFERROR(INDEX('Detalles movimientos'!O$5:O$1003, MATCH(51, 'Detalles movimientos'!$U$5:$U$1003, 0)), "")</f>
        <v/>
      </c>
      <c r="L60" s="18" t="str">
        <f>IFERROR(INDEX('Detalles movimientos'!P$5:P$1003, MATCH(51, 'Detalles movimientos'!$U$5:$U$1003, 0)), "")</f>
        <v/>
      </c>
      <c r="M60" s="18" t="str">
        <f>IFERROR(INDEX('Detalles movimientos'!S$5:S$1003, MATCH(51, 'Detalles movimientos'!$U$5:$U$1003, 0)), "")</f>
        <v/>
      </c>
    </row>
    <row r="61" spans="2:13">
      <c r="B61" s="17" t="str">
        <f>IFERROR(INDEX('Detalles movimientos'!C$5:C$1003, MATCH(52, 'Detalles movimientos'!$U$5:$U$1003, 0)), "")</f>
        <v/>
      </c>
      <c r="C61" s="18" t="str">
        <f>IFERROR(INDEX('Detalles movimientos'!D$5:D$1003, MATCH(52, 'Detalles movimientos'!$U$5:$U$1003, 0)), "")</f>
        <v/>
      </c>
      <c r="D61" s="19" t="str">
        <f>IFERROR(INDEX('Detalles movimientos'!E$5:E$1003, MATCH(52, 'Detalles movimientos'!$U$5:$U$1003, 0)), "")</f>
        <v/>
      </c>
      <c r="E61" s="19" t="str">
        <f>IFERROR(INDEX('Detalles movimientos'!F$5:F$1003, MATCH(52, 'Detalles movimientos'!$U$5:$U$1003, 0)), "")</f>
        <v/>
      </c>
      <c r="F61" s="18" t="str">
        <f>IFERROR(INDEX('Detalles movimientos'!G$5:G$1003, MATCH(52, 'Detalles movimientos'!$U$5:$U$1003, 0)), "")</f>
        <v/>
      </c>
      <c r="G61" s="20" t="str">
        <f>IFERROR(INDEX('Detalles movimientos'!H$5:H$1003, MATCH(52, 'Detalles movimientos'!$U$5:$U$1003, 0)), "")</f>
        <v/>
      </c>
      <c r="H61" s="21" t="str">
        <f>IFERROR(INDEX('Detalles movimientos'!I$5:I$1003, MATCH(52, 'Detalles movimientos'!$U$5:$U$1003, 0)), "")</f>
        <v/>
      </c>
      <c r="I61" s="20" t="str">
        <f>IFERROR(INDEX('Detalles movimientos'!M$5:M$1003, MATCH(52, 'Detalles movimientos'!$U$5:$U$1003, 0)), "")</f>
        <v/>
      </c>
      <c r="J61" s="19" t="str">
        <f>IFERROR(INDEX('Detalles movimientos'!N$5:N$1003, MATCH(52, 'Detalles movimientos'!$U$5:$U$1003, 0)), "")</f>
        <v/>
      </c>
      <c r="K61" s="20" t="str">
        <f>IFERROR(INDEX('Detalles movimientos'!O$5:O$1003, MATCH(52, 'Detalles movimientos'!$U$5:$U$1003, 0)), "")</f>
        <v/>
      </c>
      <c r="L61" s="18" t="str">
        <f>IFERROR(INDEX('Detalles movimientos'!P$5:P$1003, MATCH(52, 'Detalles movimientos'!$U$5:$U$1003, 0)), "")</f>
        <v/>
      </c>
      <c r="M61" s="18" t="str">
        <f>IFERROR(INDEX('Detalles movimientos'!S$5:S$1003, MATCH(52, 'Detalles movimientos'!$U$5:$U$1003, 0)), "")</f>
        <v/>
      </c>
    </row>
    <row r="62" spans="2:13">
      <c r="B62" s="17" t="str">
        <f>IFERROR(INDEX('Detalles movimientos'!C$5:C$1003, MATCH(53, 'Detalles movimientos'!$U$5:$U$1003, 0)), "")</f>
        <v/>
      </c>
      <c r="C62" s="18" t="str">
        <f>IFERROR(INDEX('Detalles movimientos'!D$5:D$1003, MATCH(53, 'Detalles movimientos'!$U$5:$U$1003, 0)), "")</f>
        <v/>
      </c>
      <c r="D62" s="19" t="str">
        <f>IFERROR(INDEX('Detalles movimientos'!E$5:E$1003, MATCH(53, 'Detalles movimientos'!$U$5:$U$1003, 0)), "")</f>
        <v/>
      </c>
      <c r="E62" s="19" t="str">
        <f>IFERROR(INDEX('Detalles movimientos'!F$5:F$1003, MATCH(53, 'Detalles movimientos'!$U$5:$U$1003, 0)), "")</f>
        <v/>
      </c>
      <c r="F62" s="18" t="str">
        <f>IFERROR(INDEX('Detalles movimientos'!G$5:G$1003, MATCH(53, 'Detalles movimientos'!$U$5:$U$1003, 0)), "")</f>
        <v/>
      </c>
      <c r="G62" s="20" t="str">
        <f>IFERROR(INDEX('Detalles movimientos'!H$5:H$1003, MATCH(53, 'Detalles movimientos'!$U$5:$U$1003, 0)), "")</f>
        <v/>
      </c>
      <c r="H62" s="21" t="str">
        <f>IFERROR(INDEX('Detalles movimientos'!I$5:I$1003, MATCH(53, 'Detalles movimientos'!$U$5:$U$1003, 0)), "")</f>
        <v/>
      </c>
      <c r="I62" s="20" t="str">
        <f>IFERROR(INDEX('Detalles movimientos'!M$5:M$1003, MATCH(53, 'Detalles movimientos'!$U$5:$U$1003, 0)), "")</f>
        <v/>
      </c>
      <c r="J62" s="19" t="str">
        <f>IFERROR(INDEX('Detalles movimientos'!N$5:N$1003, MATCH(53, 'Detalles movimientos'!$U$5:$U$1003, 0)), "")</f>
        <v/>
      </c>
      <c r="K62" s="20" t="str">
        <f>IFERROR(INDEX('Detalles movimientos'!O$5:O$1003, MATCH(53, 'Detalles movimientos'!$U$5:$U$1003, 0)), "")</f>
        <v/>
      </c>
      <c r="L62" s="18" t="str">
        <f>IFERROR(INDEX('Detalles movimientos'!P$5:P$1003, MATCH(53, 'Detalles movimientos'!$U$5:$U$1003, 0)), "")</f>
        <v/>
      </c>
      <c r="M62" s="18" t="str">
        <f>IFERROR(INDEX('Detalles movimientos'!S$5:S$1003, MATCH(53, 'Detalles movimientos'!$U$5:$U$1003, 0)), "")</f>
        <v/>
      </c>
    </row>
    <row r="63" spans="2:13">
      <c r="B63" s="17" t="str">
        <f>IFERROR(INDEX('Detalles movimientos'!C$5:C$1003, MATCH(54, 'Detalles movimientos'!$U$5:$U$1003, 0)), "")</f>
        <v/>
      </c>
      <c r="C63" s="18" t="str">
        <f>IFERROR(INDEX('Detalles movimientos'!D$5:D$1003, MATCH(54, 'Detalles movimientos'!$U$5:$U$1003, 0)), "")</f>
        <v/>
      </c>
      <c r="D63" s="19" t="str">
        <f>IFERROR(INDEX('Detalles movimientos'!E$5:E$1003, MATCH(54, 'Detalles movimientos'!$U$5:$U$1003, 0)), "")</f>
        <v/>
      </c>
      <c r="E63" s="19" t="str">
        <f>IFERROR(INDEX('Detalles movimientos'!F$5:F$1003, MATCH(54, 'Detalles movimientos'!$U$5:$U$1003, 0)), "")</f>
        <v/>
      </c>
      <c r="F63" s="18" t="str">
        <f>IFERROR(INDEX('Detalles movimientos'!G$5:G$1003, MATCH(54, 'Detalles movimientos'!$U$5:$U$1003, 0)), "")</f>
        <v/>
      </c>
      <c r="G63" s="20" t="str">
        <f>IFERROR(INDEX('Detalles movimientos'!H$5:H$1003, MATCH(54, 'Detalles movimientos'!$U$5:$U$1003, 0)), "")</f>
        <v/>
      </c>
      <c r="H63" s="21" t="str">
        <f>IFERROR(INDEX('Detalles movimientos'!I$5:I$1003, MATCH(54, 'Detalles movimientos'!$U$5:$U$1003, 0)), "")</f>
        <v/>
      </c>
      <c r="I63" s="20" t="str">
        <f>IFERROR(INDEX('Detalles movimientos'!M$5:M$1003, MATCH(54, 'Detalles movimientos'!$U$5:$U$1003, 0)), "")</f>
        <v/>
      </c>
      <c r="J63" s="19" t="str">
        <f>IFERROR(INDEX('Detalles movimientos'!N$5:N$1003, MATCH(54, 'Detalles movimientos'!$U$5:$U$1003, 0)), "")</f>
        <v/>
      </c>
      <c r="K63" s="20" t="str">
        <f>IFERROR(INDEX('Detalles movimientos'!O$5:O$1003, MATCH(54, 'Detalles movimientos'!$U$5:$U$1003, 0)), "")</f>
        <v/>
      </c>
      <c r="L63" s="18" t="str">
        <f>IFERROR(INDEX('Detalles movimientos'!P$5:P$1003, MATCH(54, 'Detalles movimientos'!$U$5:$U$1003, 0)), "")</f>
        <v/>
      </c>
      <c r="M63" s="18" t="str">
        <f>IFERROR(INDEX('Detalles movimientos'!S$5:S$1003, MATCH(54, 'Detalles movimientos'!$U$5:$U$1003, 0)), "")</f>
        <v/>
      </c>
    </row>
    <row r="64" spans="2:13">
      <c r="B64" s="17" t="str">
        <f>IFERROR(INDEX('Detalles movimientos'!C$5:C$1003, MATCH(55, 'Detalles movimientos'!$U$5:$U$1003, 0)), "")</f>
        <v/>
      </c>
      <c r="C64" s="18" t="str">
        <f>IFERROR(INDEX('Detalles movimientos'!D$5:D$1003, MATCH(55, 'Detalles movimientos'!$U$5:$U$1003, 0)), "")</f>
        <v/>
      </c>
      <c r="D64" s="19" t="str">
        <f>IFERROR(INDEX('Detalles movimientos'!E$5:E$1003, MATCH(55, 'Detalles movimientos'!$U$5:$U$1003, 0)), "")</f>
        <v/>
      </c>
      <c r="E64" s="19" t="str">
        <f>IFERROR(INDEX('Detalles movimientos'!F$5:F$1003, MATCH(55, 'Detalles movimientos'!$U$5:$U$1003, 0)), "")</f>
        <v/>
      </c>
      <c r="F64" s="18" t="str">
        <f>IFERROR(INDEX('Detalles movimientos'!G$5:G$1003, MATCH(55, 'Detalles movimientos'!$U$5:$U$1003, 0)), "")</f>
        <v/>
      </c>
      <c r="G64" s="20" t="str">
        <f>IFERROR(INDEX('Detalles movimientos'!H$5:H$1003, MATCH(55, 'Detalles movimientos'!$U$5:$U$1003, 0)), "")</f>
        <v/>
      </c>
      <c r="H64" s="21" t="str">
        <f>IFERROR(INDEX('Detalles movimientos'!I$5:I$1003, MATCH(55, 'Detalles movimientos'!$U$5:$U$1003, 0)), "")</f>
        <v/>
      </c>
      <c r="I64" s="20" t="str">
        <f>IFERROR(INDEX('Detalles movimientos'!M$5:M$1003, MATCH(55, 'Detalles movimientos'!$U$5:$U$1003, 0)), "")</f>
        <v/>
      </c>
      <c r="J64" s="19" t="str">
        <f>IFERROR(INDEX('Detalles movimientos'!N$5:N$1003, MATCH(55, 'Detalles movimientos'!$U$5:$U$1003, 0)), "")</f>
        <v/>
      </c>
      <c r="K64" s="20" t="str">
        <f>IFERROR(INDEX('Detalles movimientos'!O$5:O$1003, MATCH(55, 'Detalles movimientos'!$U$5:$U$1003, 0)), "")</f>
        <v/>
      </c>
      <c r="L64" s="18" t="str">
        <f>IFERROR(INDEX('Detalles movimientos'!P$5:P$1003, MATCH(55, 'Detalles movimientos'!$U$5:$U$1003, 0)), "")</f>
        <v/>
      </c>
      <c r="M64" s="18" t="str">
        <f>IFERROR(INDEX('Detalles movimientos'!S$5:S$1003, MATCH(55, 'Detalles movimientos'!$U$5:$U$1003, 0)), "")</f>
        <v/>
      </c>
    </row>
    <row r="65" spans="2:13">
      <c r="B65" s="17" t="str">
        <f>IFERROR(INDEX('Detalles movimientos'!C$5:C$1003, MATCH(56, 'Detalles movimientos'!$U$5:$U$1003, 0)), "")</f>
        <v/>
      </c>
      <c r="C65" s="18" t="str">
        <f>IFERROR(INDEX('Detalles movimientos'!D$5:D$1003, MATCH(56, 'Detalles movimientos'!$U$5:$U$1003, 0)), "")</f>
        <v/>
      </c>
      <c r="D65" s="19" t="str">
        <f>IFERROR(INDEX('Detalles movimientos'!E$5:E$1003, MATCH(56, 'Detalles movimientos'!$U$5:$U$1003, 0)), "")</f>
        <v/>
      </c>
      <c r="E65" s="19" t="str">
        <f>IFERROR(INDEX('Detalles movimientos'!F$5:F$1003, MATCH(56, 'Detalles movimientos'!$U$5:$U$1003, 0)), "")</f>
        <v/>
      </c>
      <c r="F65" s="18" t="str">
        <f>IFERROR(INDEX('Detalles movimientos'!G$5:G$1003, MATCH(56, 'Detalles movimientos'!$U$5:$U$1003, 0)), "")</f>
        <v/>
      </c>
      <c r="G65" s="20" t="str">
        <f>IFERROR(INDEX('Detalles movimientos'!H$5:H$1003, MATCH(56, 'Detalles movimientos'!$U$5:$U$1003, 0)), "")</f>
        <v/>
      </c>
      <c r="H65" s="21" t="str">
        <f>IFERROR(INDEX('Detalles movimientos'!I$5:I$1003, MATCH(56, 'Detalles movimientos'!$U$5:$U$1003, 0)), "")</f>
        <v/>
      </c>
      <c r="I65" s="20" t="str">
        <f>IFERROR(INDEX('Detalles movimientos'!M$5:M$1003, MATCH(56, 'Detalles movimientos'!$U$5:$U$1003, 0)), "")</f>
        <v/>
      </c>
      <c r="J65" s="19" t="str">
        <f>IFERROR(INDEX('Detalles movimientos'!N$5:N$1003, MATCH(56, 'Detalles movimientos'!$U$5:$U$1003, 0)), "")</f>
        <v/>
      </c>
      <c r="K65" s="20" t="str">
        <f>IFERROR(INDEX('Detalles movimientos'!O$5:O$1003, MATCH(56, 'Detalles movimientos'!$U$5:$U$1003, 0)), "")</f>
        <v/>
      </c>
      <c r="L65" s="18" t="str">
        <f>IFERROR(INDEX('Detalles movimientos'!P$5:P$1003, MATCH(56, 'Detalles movimientos'!$U$5:$U$1003, 0)), "")</f>
        <v/>
      </c>
      <c r="M65" s="18" t="str">
        <f>IFERROR(INDEX('Detalles movimientos'!S$5:S$1003, MATCH(56, 'Detalles movimientos'!$U$5:$U$1003, 0)), "")</f>
        <v/>
      </c>
    </row>
    <row r="66" spans="2:13">
      <c r="B66" s="17" t="str">
        <f>IFERROR(INDEX('Detalles movimientos'!C$5:C$1003, MATCH(57, 'Detalles movimientos'!$U$5:$U$1003, 0)), "")</f>
        <v/>
      </c>
      <c r="C66" s="18" t="str">
        <f>IFERROR(INDEX('Detalles movimientos'!D$5:D$1003, MATCH(57, 'Detalles movimientos'!$U$5:$U$1003, 0)), "")</f>
        <v/>
      </c>
      <c r="D66" s="19" t="str">
        <f>IFERROR(INDEX('Detalles movimientos'!E$5:E$1003, MATCH(57, 'Detalles movimientos'!$U$5:$U$1003, 0)), "")</f>
        <v/>
      </c>
      <c r="E66" s="19" t="str">
        <f>IFERROR(INDEX('Detalles movimientos'!F$5:F$1003, MATCH(57, 'Detalles movimientos'!$U$5:$U$1003, 0)), "")</f>
        <v/>
      </c>
      <c r="F66" s="18" t="str">
        <f>IFERROR(INDEX('Detalles movimientos'!G$5:G$1003, MATCH(57, 'Detalles movimientos'!$U$5:$U$1003, 0)), "")</f>
        <v/>
      </c>
      <c r="G66" s="20" t="str">
        <f>IFERROR(INDEX('Detalles movimientos'!H$5:H$1003, MATCH(57, 'Detalles movimientos'!$U$5:$U$1003, 0)), "")</f>
        <v/>
      </c>
      <c r="H66" s="21" t="str">
        <f>IFERROR(INDEX('Detalles movimientos'!I$5:I$1003, MATCH(57, 'Detalles movimientos'!$U$5:$U$1003, 0)), "")</f>
        <v/>
      </c>
      <c r="I66" s="20" t="str">
        <f>IFERROR(INDEX('Detalles movimientos'!M$5:M$1003, MATCH(57, 'Detalles movimientos'!$U$5:$U$1003, 0)), "")</f>
        <v/>
      </c>
      <c r="J66" s="19" t="str">
        <f>IFERROR(INDEX('Detalles movimientos'!N$5:N$1003, MATCH(57, 'Detalles movimientos'!$U$5:$U$1003, 0)), "")</f>
        <v/>
      </c>
      <c r="K66" s="20" t="str">
        <f>IFERROR(INDEX('Detalles movimientos'!O$5:O$1003, MATCH(57, 'Detalles movimientos'!$U$5:$U$1003, 0)), "")</f>
        <v/>
      </c>
      <c r="L66" s="18" t="str">
        <f>IFERROR(INDEX('Detalles movimientos'!P$5:P$1003, MATCH(57, 'Detalles movimientos'!$U$5:$U$1003, 0)), "")</f>
        <v/>
      </c>
      <c r="M66" s="18" t="str">
        <f>IFERROR(INDEX('Detalles movimientos'!S$5:S$1003, MATCH(57, 'Detalles movimientos'!$U$5:$U$1003, 0)), "")</f>
        <v/>
      </c>
    </row>
    <row r="67" spans="2:13">
      <c r="B67" s="17" t="str">
        <f>IFERROR(INDEX('Detalles movimientos'!C$5:C$1003, MATCH(58, 'Detalles movimientos'!$U$5:$U$1003, 0)), "")</f>
        <v/>
      </c>
      <c r="C67" s="18" t="str">
        <f>IFERROR(INDEX('Detalles movimientos'!D$5:D$1003, MATCH(58, 'Detalles movimientos'!$U$5:$U$1003, 0)), "")</f>
        <v/>
      </c>
      <c r="D67" s="19" t="str">
        <f>IFERROR(INDEX('Detalles movimientos'!E$5:E$1003, MATCH(58, 'Detalles movimientos'!$U$5:$U$1003, 0)), "")</f>
        <v/>
      </c>
      <c r="E67" s="19" t="str">
        <f>IFERROR(INDEX('Detalles movimientos'!F$5:F$1003, MATCH(58, 'Detalles movimientos'!$U$5:$U$1003, 0)), "")</f>
        <v/>
      </c>
      <c r="F67" s="18" t="str">
        <f>IFERROR(INDEX('Detalles movimientos'!G$5:G$1003, MATCH(58, 'Detalles movimientos'!$U$5:$U$1003, 0)), "")</f>
        <v/>
      </c>
      <c r="G67" s="20" t="str">
        <f>IFERROR(INDEX('Detalles movimientos'!H$5:H$1003, MATCH(58, 'Detalles movimientos'!$U$5:$U$1003, 0)), "")</f>
        <v/>
      </c>
      <c r="H67" s="21" t="str">
        <f>IFERROR(INDEX('Detalles movimientos'!I$5:I$1003, MATCH(58, 'Detalles movimientos'!$U$5:$U$1003, 0)), "")</f>
        <v/>
      </c>
      <c r="I67" s="20" t="str">
        <f>IFERROR(INDEX('Detalles movimientos'!M$5:M$1003, MATCH(58, 'Detalles movimientos'!$U$5:$U$1003, 0)), "")</f>
        <v/>
      </c>
      <c r="J67" s="19" t="str">
        <f>IFERROR(INDEX('Detalles movimientos'!N$5:N$1003, MATCH(58, 'Detalles movimientos'!$U$5:$U$1003, 0)), "")</f>
        <v/>
      </c>
      <c r="K67" s="20" t="str">
        <f>IFERROR(INDEX('Detalles movimientos'!O$5:O$1003, MATCH(58, 'Detalles movimientos'!$U$5:$U$1003, 0)), "")</f>
        <v/>
      </c>
      <c r="L67" s="18" t="str">
        <f>IFERROR(INDEX('Detalles movimientos'!P$5:P$1003, MATCH(58, 'Detalles movimientos'!$U$5:$U$1003, 0)), "")</f>
        <v/>
      </c>
      <c r="M67" s="18" t="str">
        <f>IFERROR(INDEX('Detalles movimientos'!S$5:S$1003, MATCH(58, 'Detalles movimientos'!$U$5:$U$1003, 0)), "")</f>
        <v/>
      </c>
    </row>
    <row r="68" spans="2:13">
      <c r="B68" s="17" t="str">
        <f>IFERROR(INDEX('Detalles movimientos'!C$5:C$1003, MATCH(59, 'Detalles movimientos'!$U$5:$U$1003, 0)), "")</f>
        <v/>
      </c>
      <c r="C68" s="18" t="str">
        <f>IFERROR(INDEX('Detalles movimientos'!D$5:D$1003, MATCH(59, 'Detalles movimientos'!$U$5:$U$1003, 0)), "")</f>
        <v/>
      </c>
      <c r="D68" s="19" t="str">
        <f>IFERROR(INDEX('Detalles movimientos'!E$5:E$1003, MATCH(59, 'Detalles movimientos'!$U$5:$U$1003, 0)), "")</f>
        <v/>
      </c>
      <c r="E68" s="19" t="str">
        <f>IFERROR(INDEX('Detalles movimientos'!F$5:F$1003, MATCH(59, 'Detalles movimientos'!$U$5:$U$1003, 0)), "")</f>
        <v/>
      </c>
      <c r="F68" s="18" t="str">
        <f>IFERROR(INDEX('Detalles movimientos'!G$5:G$1003, MATCH(59, 'Detalles movimientos'!$U$5:$U$1003, 0)), "")</f>
        <v/>
      </c>
      <c r="G68" s="20" t="str">
        <f>IFERROR(INDEX('Detalles movimientos'!H$5:H$1003, MATCH(59, 'Detalles movimientos'!$U$5:$U$1003, 0)), "")</f>
        <v/>
      </c>
      <c r="H68" s="21" t="str">
        <f>IFERROR(INDEX('Detalles movimientos'!I$5:I$1003, MATCH(59, 'Detalles movimientos'!$U$5:$U$1003, 0)), "")</f>
        <v/>
      </c>
      <c r="I68" s="20" t="str">
        <f>IFERROR(INDEX('Detalles movimientos'!M$5:M$1003, MATCH(59, 'Detalles movimientos'!$U$5:$U$1003, 0)), "")</f>
        <v/>
      </c>
      <c r="J68" s="19" t="str">
        <f>IFERROR(INDEX('Detalles movimientos'!N$5:N$1003, MATCH(59, 'Detalles movimientos'!$U$5:$U$1003, 0)), "")</f>
        <v/>
      </c>
      <c r="K68" s="20" t="str">
        <f>IFERROR(INDEX('Detalles movimientos'!O$5:O$1003, MATCH(59, 'Detalles movimientos'!$U$5:$U$1003, 0)), "")</f>
        <v/>
      </c>
      <c r="L68" s="18" t="str">
        <f>IFERROR(INDEX('Detalles movimientos'!P$5:P$1003, MATCH(59, 'Detalles movimientos'!$U$5:$U$1003, 0)), "")</f>
        <v/>
      </c>
      <c r="M68" s="18" t="str">
        <f>IFERROR(INDEX('Detalles movimientos'!S$5:S$1003, MATCH(59, 'Detalles movimientos'!$U$5:$U$1003, 0)), "")</f>
        <v/>
      </c>
    </row>
    <row r="69" spans="2:13">
      <c r="B69" s="17" t="str">
        <f>IFERROR(INDEX('Detalles movimientos'!C$5:C$1003, MATCH(60, 'Detalles movimientos'!$U$5:$U$1003, 0)), "")</f>
        <v/>
      </c>
      <c r="C69" s="18" t="str">
        <f>IFERROR(INDEX('Detalles movimientos'!D$5:D$1003, MATCH(60, 'Detalles movimientos'!$U$5:$U$1003, 0)), "")</f>
        <v/>
      </c>
      <c r="D69" s="19" t="str">
        <f>IFERROR(INDEX('Detalles movimientos'!E$5:E$1003, MATCH(60, 'Detalles movimientos'!$U$5:$U$1003, 0)), "")</f>
        <v/>
      </c>
      <c r="E69" s="19" t="str">
        <f>IFERROR(INDEX('Detalles movimientos'!F$5:F$1003, MATCH(60, 'Detalles movimientos'!$U$5:$U$1003, 0)), "")</f>
        <v/>
      </c>
      <c r="F69" s="18" t="str">
        <f>IFERROR(INDEX('Detalles movimientos'!G$5:G$1003, MATCH(60, 'Detalles movimientos'!$U$5:$U$1003, 0)), "")</f>
        <v/>
      </c>
      <c r="G69" s="20" t="str">
        <f>IFERROR(INDEX('Detalles movimientos'!H$5:H$1003, MATCH(60, 'Detalles movimientos'!$U$5:$U$1003, 0)), "")</f>
        <v/>
      </c>
      <c r="H69" s="21" t="str">
        <f>IFERROR(INDEX('Detalles movimientos'!I$5:I$1003, MATCH(60, 'Detalles movimientos'!$U$5:$U$1003, 0)), "")</f>
        <v/>
      </c>
      <c r="I69" s="20" t="str">
        <f>IFERROR(INDEX('Detalles movimientos'!M$5:M$1003, MATCH(60, 'Detalles movimientos'!$U$5:$U$1003, 0)), "")</f>
        <v/>
      </c>
      <c r="J69" s="19" t="str">
        <f>IFERROR(INDEX('Detalles movimientos'!N$5:N$1003, MATCH(60, 'Detalles movimientos'!$U$5:$U$1003, 0)), "")</f>
        <v/>
      </c>
      <c r="K69" s="20" t="str">
        <f>IFERROR(INDEX('Detalles movimientos'!O$5:O$1003, MATCH(60, 'Detalles movimientos'!$U$5:$U$1003, 0)), "")</f>
        <v/>
      </c>
      <c r="L69" s="18" t="str">
        <f>IFERROR(INDEX('Detalles movimientos'!P$5:P$1003, MATCH(60, 'Detalles movimientos'!$U$5:$U$1003, 0)), "")</f>
        <v/>
      </c>
      <c r="M69" s="18" t="str">
        <f>IFERROR(INDEX('Detalles movimientos'!S$5:S$1003, MATCH(60, 'Detalles movimientos'!$U$5:$U$1003, 0)), "")</f>
        <v/>
      </c>
    </row>
    <row r="70" spans="2:13">
      <c r="B70" s="17" t="str">
        <f>IFERROR(INDEX('Detalles movimientos'!C$5:C$1003, MATCH(61, 'Detalles movimientos'!$U$5:$U$1003, 0)), "")</f>
        <v/>
      </c>
      <c r="C70" s="18" t="str">
        <f>IFERROR(INDEX('Detalles movimientos'!D$5:D$1003, MATCH(61, 'Detalles movimientos'!$U$5:$U$1003, 0)), "")</f>
        <v/>
      </c>
      <c r="D70" s="19" t="str">
        <f>IFERROR(INDEX('Detalles movimientos'!E$5:E$1003, MATCH(61, 'Detalles movimientos'!$U$5:$U$1003, 0)), "")</f>
        <v/>
      </c>
      <c r="E70" s="19" t="str">
        <f>IFERROR(INDEX('Detalles movimientos'!F$5:F$1003, MATCH(61, 'Detalles movimientos'!$U$5:$U$1003, 0)), "")</f>
        <v/>
      </c>
      <c r="F70" s="18" t="str">
        <f>IFERROR(INDEX('Detalles movimientos'!G$5:G$1003, MATCH(61, 'Detalles movimientos'!$U$5:$U$1003, 0)), "")</f>
        <v/>
      </c>
      <c r="G70" s="20" t="str">
        <f>IFERROR(INDEX('Detalles movimientos'!H$5:H$1003, MATCH(61, 'Detalles movimientos'!$U$5:$U$1003, 0)), "")</f>
        <v/>
      </c>
      <c r="H70" s="21" t="str">
        <f>IFERROR(INDEX('Detalles movimientos'!I$5:I$1003, MATCH(61, 'Detalles movimientos'!$U$5:$U$1003, 0)), "")</f>
        <v/>
      </c>
      <c r="I70" s="20" t="str">
        <f>IFERROR(INDEX('Detalles movimientos'!M$5:M$1003, MATCH(61, 'Detalles movimientos'!$U$5:$U$1003, 0)), "")</f>
        <v/>
      </c>
      <c r="J70" s="19" t="str">
        <f>IFERROR(INDEX('Detalles movimientos'!N$5:N$1003, MATCH(61, 'Detalles movimientos'!$U$5:$U$1003, 0)), "")</f>
        <v/>
      </c>
      <c r="K70" s="20" t="str">
        <f>IFERROR(INDEX('Detalles movimientos'!O$5:O$1003, MATCH(61, 'Detalles movimientos'!$U$5:$U$1003, 0)), "")</f>
        <v/>
      </c>
      <c r="L70" s="18" t="str">
        <f>IFERROR(INDEX('Detalles movimientos'!P$5:P$1003, MATCH(61, 'Detalles movimientos'!$U$5:$U$1003, 0)), "")</f>
        <v/>
      </c>
      <c r="M70" s="18" t="str">
        <f>IFERROR(INDEX('Detalles movimientos'!S$5:S$1003, MATCH(61, 'Detalles movimientos'!$U$5:$U$1003, 0)), "")</f>
        <v/>
      </c>
    </row>
    <row r="71" spans="2:13">
      <c r="B71" s="17" t="str">
        <f>IFERROR(INDEX('Detalles movimientos'!C$5:C$1003, MATCH(62, 'Detalles movimientos'!$U$5:$U$1003, 0)), "")</f>
        <v/>
      </c>
      <c r="C71" s="18" t="str">
        <f>IFERROR(INDEX('Detalles movimientos'!D$5:D$1003, MATCH(62, 'Detalles movimientos'!$U$5:$U$1003, 0)), "")</f>
        <v/>
      </c>
      <c r="D71" s="19" t="str">
        <f>IFERROR(INDEX('Detalles movimientos'!E$5:E$1003, MATCH(62, 'Detalles movimientos'!$U$5:$U$1003, 0)), "")</f>
        <v/>
      </c>
      <c r="E71" s="19" t="str">
        <f>IFERROR(INDEX('Detalles movimientos'!F$5:F$1003, MATCH(62, 'Detalles movimientos'!$U$5:$U$1003, 0)), "")</f>
        <v/>
      </c>
      <c r="F71" s="18" t="str">
        <f>IFERROR(INDEX('Detalles movimientos'!G$5:G$1003, MATCH(62, 'Detalles movimientos'!$U$5:$U$1003, 0)), "")</f>
        <v/>
      </c>
      <c r="G71" s="20" t="str">
        <f>IFERROR(INDEX('Detalles movimientos'!H$5:H$1003, MATCH(62, 'Detalles movimientos'!$U$5:$U$1003, 0)), "")</f>
        <v/>
      </c>
      <c r="H71" s="21" t="str">
        <f>IFERROR(INDEX('Detalles movimientos'!I$5:I$1003, MATCH(62, 'Detalles movimientos'!$U$5:$U$1003, 0)), "")</f>
        <v/>
      </c>
      <c r="I71" s="20" t="str">
        <f>IFERROR(INDEX('Detalles movimientos'!M$5:M$1003, MATCH(62, 'Detalles movimientos'!$U$5:$U$1003, 0)), "")</f>
        <v/>
      </c>
      <c r="J71" s="19" t="str">
        <f>IFERROR(INDEX('Detalles movimientos'!N$5:N$1003, MATCH(62, 'Detalles movimientos'!$U$5:$U$1003, 0)), "")</f>
        <v/>
      </c>
      <c r="K71" s="20" t="str">
        <f>IFERROR(INDEX('Detalles movimientos'!O$5:O$1003, MATCH(62, 'Detalles movimientos'!$U$5:$U$1003, 0)), "")</f>
        <v/>
      </c>
      <c r="L71" s="18" t="str">
        <f>IFERROR(INDEX('Detalles movimientos'!P$5:P$1003, MATCH(62, 'Detalles movimientos'!$U$5:$U$1003, 0)), "")</f>
        <v/>
      </c>
      <c r="M71" s="18" t="str">
        <f>IFERROR(INDEX('Detalles movimientos'!S$5:S$1003, MATCH(62, 'Detalles movimientos'!$U$5:$U$1003, 0)), "")</f>
        <v/>
      </c>
    </row>
    <row r="72" spans="2:13">
      <c r="B72" s="17" t="str">
        <f>IFERROR(INDEX('Detalles movimientos'!C$5:C$1003, MATCH(63, 'Detalles movimientos'!$U$5:$U$1003, 0)), "")</f>
        <v/>
      </c>
      <c r="C72" s="18" t="str">
        <f>IFERROR(INDEX('Detalles movimientos'!D$5:D$1003, MATCH(63, 'Detalles movimientos'!$U$5:$U$1003, 0)), "")</f>
        <v/>
      </c>
      <c r="D72" s="19" t="str">
        <f>IFERROR(INDEX('Detalles movimientos'!E$5:E$1003, MATCH(63, 'Detalles movimientos'!$U$5:$U$1003, 0)), "")</f>
        <v/>
      </c>
      <c r="E72" s="19" t="str">
        <f>IFERROR(INDEX('Detalles movimientos'!F$5:F$1003, MATCH(63, 'Detalles movimientos'!$U$5:$U$1003, 0)), "")</f>
        <v/>
      </c>
      <c r="F72" s="18" t="str">
        <f>IFERROR(INDEX('Detalles movimientos'!G$5:G$1003, MATCH(63, 'Detalles movimientos'!$U$5:$U$1003, 0)), "")</f>
        <v/>
      </c>
      <c r="G72" s="20" t="str">
        <f>IFERROR(INDEX('Detalles movimientos'!H$5:H$1003, MATCH(63, 'Detalles movimientos'!$U$5:$U$1003, 0)), "")</f>
        <v/>
      </c>
      <c r="H72" s="21" t="str">
        <f>IFERROR(INDEX('Detalles movimientos'!I$5:I$1003, MATCH(63, 'Detalles movimientos'!$U$5:$U$1003, 0)), "")</f>
        <v/>
      </c>
      <c r="I72" s="20" t="str">
        <f>IFERROR(INDEX('Detalles movimientos'!M$5:M$1003, MATCH(63, 'Detalles movimientos'!$U$5:$U$1003, 0)), "")</f>
        <v/>
      </c>
      <c r="J72" s="19" t="str">
        <f>IFERROR(INDEX('Detalles movimientos'!N$5:N$1003, MATCH(63, 'Detalles movimientos'!$U$5:$U$1003, 0)), "")</f>
        <v/>
      </c>
      <c r="K72" s="20" t="str">
        <f>IFERROR(INDEX('Detalles movimientos'!O$5:O$1003, MATCH(63, 'Detalles movimientos'!$U$5:$U$1003, 0)), "")</f>
        <v/>
      </c>
      <c r="L72" s="18" t="str">
        <f>IFERROR(INDEX('Detalles movimientos'!P$5:P$1003, MATCH(63, 'Detalles movimientos'!$U$5:$U$1003, 0)), "")</f>
        <v/>
      </c>
      <c r="M72" s="18" t="str">
        <f>IFERROR(INDEX('Detalles movimientos'!S$5:S$1003, MATCH(63, 'Detalles movimientos'!$U$5:$U$1003, 0)), "")</f>
        <v/>
      </c>
    </row>
    <row r="73" spans="2:13">
      <c r="B73" s="17" t="str">
        <f>IFERROR(INDEX('Detalles movimientos'!C$5:C$1003, MATCH(64, 'Detalles movimientos'!$U$5:$U$1003, 0)), "")</f>
        <v/>
      </c>
      <c r="C73" s="18" t="str">
        <f>IFERROR(INDEX('Detalles movimientos'!D$5:D$1003, MATCH(64, 'Detalles movimientos'!$U$5:$U$1003, 0)), "")</f>
        <v/>
      </c>
      <c r="D73" s="19" t="str">
        <f>IFERROR(INDEX('Detalles movimientos'!E$5:E$1003, MATCH(64, 'Detalles movimientos'!$U$5:$U$1003, 0)), "")</f>
        <v/>
      </c>
      <c r="E73" s="19" t="str">
        <f>IFERROR(INDEX('Detalles movimientos'!F$5:F$1003, MATCH(64, 'Detalles movimientos'!$U$5:$U$1003, 0)), "")</f>
        <v/>
      </c>
      <c r="F73" s="18" t="str">
        <f>IFERROR(INDEX('Detalles movimientos'!G$5:G$1003, MATCH(64, 'Detalles movimientos'!$U$5:$U$1003, 0)), "")</f>
        <v/>
      </c>
      <c r="G73" s="20" t="str">
        <f>IFERROR(INDEX('Detalles movimientos'!H$5:H$1003, MATCH(64, 'Detalles movimientos'!$U$5:$U$1003, 0)), "")</f>
        <v/>
      </c>
      <c r="H73" s="21" t="str">
        <f>IFERROR(INDEX('Detalles movimientos'!I$5:I$1003, MATCH(64, 'Detalles movimientos'!$U$5:$U$1003, 0)), "")</f>
        <v/>
      </c>
      <c r="I73" s="20" t="str">
        <f>IFERROR(INDEX('Detalles movimientos'!M$5:M$1003, MATCH(64, 'Detalles movimientos'!$U$5:$U$1003, 0)), "")</f>
        <v/>
      </c>
      <c r="J73" s="19" t="str">
        <f>IFERROR(INDEX('Detalles movimientos'!N$5:N$1003, MATCH(64, 'Detalles movimientos'!$U$5:$U$1003, 0)), "")</f>
        <v/>
      </c>
      <c r="K73" s="20" t="str">
        <f>IFERROR(INDEX('Detalles movimientos'!O$5:O$1003, MATCH(64, 'Detalles movimientos'!$U$5:$U$1003, 0)), "")</f>
        <v/>
      </c>
      <c r="L73" s="18" t="str">
        <f>IFERROR(INDEX('Detalles movimientos'!P$5:P$1003, MATCH(64, 'Detalles movimientos'!$U$5:$U$1003, 0)), "")</f>
        <v/>
      </c>
      <c r="M73" s="18" t="str">
        <f>IFERROR(INDEX('Detalles movimientos'!S$5:S$1003, MATCH(64, 'Detalles movimientos'!$U$5:$U$1003, 0)), "")</f>
        <v/>
      </c>
    </row>
    <row r="74" spans="2:13">
      <c r="B74" s="17" t="str">
        <f>IFERROR(INDEX('Detalles movimientos'!C$5:C$1003, MATCH(65, 'Detalles movimientos'!$U$5:$U$1003, 0)), "")</f>
        <v/>
      </c>
      <c r="C74" s="18" t="str">
        <f>IFERROR(INDEX('Detalles movimientos'!D$5:D$1003, MATCH(65, 'Detalles movimientos'!$U$5:$U$1003, 0)), "")</f>
        <v/>
      </c>
      <c r="D74" s="19" t="str">
        <f>IFERROR(INDEX('Detalles movimientos'!E$5:E$1003, MATCH(65, 'Detalles movimientos'!$U$5:$U$1003, 0)), "")</f>
        <v/>
      </c>
      <c r="E74" s="19" t="str">
        <f>IFERROR(INDEX('Detalles movimientos'!F$5:F$1003, MATCH(65, 'Detalles movimientos'!$U$5:$U$1003, 0)), "")</f>
        <v/>
      </c>
      <c r="F74" s="18" t="str">
        <f>IFERROR(INDEX('Detalles movimientos'!G$5:G$1003, MATCH(65, 'Detalles movimientos'!$U$5:$U$1003, 0)), "")</f>
        <v/>
      </c>
      <c r="G74" s="20" t="str">
        <f>IFERROR(INDEX('Detalles movimientos'!H$5:H$1003, MATCH(65, 'Detalles movimientos'!$U$5:$U$1003, 0)), "")</f>
        <v/>
      </c>
      <c r="H74" s="21" t="str">
        <f>IFERROR(INDEX('Detalles movimientos'!I$5:I$1003, MATCH(65, 'Detalles movimientos'!$U$5:$U$1003, 0)), "")</f>
        <v/>
      </c>
      <c r="I74" s="20" t="str">
        <f>IFERROR(INDEX('Detalles movimientos'!M$5:M$1003, MATCH(65, 'Detalles movimientos'!$U$5:$U$1003, 0)), "")</f>
        <v/>
      </c>
      <c r="J74" s="19" t="str">
        <f>IFERROR(INDEX('Detalles movimientos'!N$5:N$1003, MATCH(65, 'Detalles movimientos'!$U$5:$U$1003, 0)), "")</f>
        <v/>
      </c>
      <c r="K74" s="20" t="str">
        <f>IFERROR(INDEX('Detalles movimientos'!O$5:O$1003, MATCH(65, 'Detalles movimientos'!$U$5:$U$1003, 0)), "")</f>
        <v/>
      </c>
      <c r="L74" s="18" t="str">
        <f>IFERROR(INDEX('Detalles movimientos'!P$5:P$1003, MATCH(65, 'Detalles movimientos'!$U$5:$U$1003, 0)), "")</f>
        <v/>
      </c>
      <c r="M74" s="18" t="str">
        <f>IFERROR(INDEX('Detalles movimientos'!S$5:S$1003, MATCH(65, 'Detalles movimientos'!$U$5:$U$1003, 0)), "")</f>
        <v/>
      </c>
    </row>
    <row r="75" spans="2:13">
      <c r="B75" s="17" t="str">
        <f>IFERROR(INDEX('Detalles movimientos'!C$5:C$1003, MATCH(66, 'Detalles movimientos'!$U$5:$U$1003, 0)), "")</f>
        <v/>
      </c>
      <c r="C75" s="18" t="str">
        <f>IFERROR(INDEX('Detalles movimientos'!D$5:D$1003, MATCH(66, 'Detalles movimientos'!$U$5:$U$1003, 0)), "")</f>
        <v/>
      </c>
      <c r="D75" s="19" t="str">
        <f>IFERROR(INDEX('Detalles movimientos'!E$5:E$1003, MATCH(66, 'Detalles movimientos'!$U$5:$U$1003, 0)), "")</f>
        <v/>
      </c>
      <c r="E75" s="19" t="str">
        <f>IFERROR(INDEX('Detalles movimientos'!F$5:F$1003, MATCH(66, 'Detalles movimientos'!$U$5:$U$1003, 0)), "")</f>
        <v/>
      </c>
      <c r="F75" s="18" t="str">
        <f>IFERROR(INDEX('Detalles movimientos'!G$5:G$1003, MATCH(66, 'Detalles movimientos'!$U$5:$U$1003, 0)), "")</f>
        <v/>
      </c>
      <c r="G75" s="20" t="str">
        <f>IFERROR(INDEX('Detalles movimientos'!H$5:H$1003, MATCH(66, 'Detalles movimientos'!$U$5:$U$1003, 0)), "")</f>
        <v/>
      </c>
      <c r="H75" s="21" t="str">
        <f>IFERROR(INDEX('Detalles movimientos'!I$5:I$1003, MATCH(66, 'Detalles movimientos'!$U$5:$U$1003, 0)), "")</f>
        <v/>
      </c>
      <c r="I75" s="20" t="str">
        <f>IFERROR(INDEX('Detalles movimientos'!M$5:M$1003, MATCH(66, 'Detalles movimientos'!$U$5:$U$1003, 0)), "")</f>
        <v/>
      </c>
      <c r="J75" s="19" t="str">
        <f>IFERROR(INDEX('Detalles movimientos'!N$5:N$1003, MATCH(66, 'Detalles movimientos'!$U$5:$U$1003, 0)), "")</f>
        <v/>
      </c>
      <c r="K75" s="20" t="str">
        <f>IFERROR(INDEX('Detalles movimientos'!O$5:O$1003, MATCH(66, 'Detalles movimientos'!$U$5:$U$1003, 0)), "")</f>
        <v/>
      </c>
      <c r="L75" s="18" t="str">
        <f>IFERROR(INDEX('Detalles movimientos'!P$5:P$1003, MATCH(66, 'Detalles movimientos'!$U$5:$U$1003, 0)), "")</f>
        <v/>
      </c>
      <c r="M75" s="18" t="str">
        <f>IFERROR(INDEX('Detalles movimientos'!S$5:S$1003, MATCH(66, 'Detalles movimientos'!$U$5:$U$1003, 0)), "")</f>
        <v/>
      </c>
    </row>
    <row r="76" spans="2:13">
      <c r="B76" s="17" t="str">
        <f>IFERROR(INDEX('Detalles movimientos'!C$5:C$1003, MATCH(67, 'Detalles movimientos'!$U$5:$U$1003, 0)), "")</f>
        <v/>
      </c>
      <c r="C76" s="18" t="str">
        <f>IFERROR(INDEX('Detalles movimientos'!D$5:D$1003, MATCH(67, 'Detalles movimientos'!$U$5:$U$1003, 0)), "")</f>
        <v/>
      </c>
      <c r="D76" s="19" t="str">
        <f>IFERROR(INDEX('Detalles movimientos'!E$5:E$1003, MATCH(67, 'Detalles movimientos'!$U$5:$U$1003, 0)), "")</f>
        <v/>
      </c>
      <c r="E76" s="19" t="str">
        <f>IFERROR(INDEX('Detalles movimientos'!F$5:F$1003, MATCH(67, 'Detalles movimientos'!$U$5:$U$1003, 0)), "")</f>
        <v/>
      </c>
      <c r="F76" s="18" t="str">
        <f>IFERROR(INDEX('Detalles movimientos'!G$5:G$1003, MATCH(67, 'Detalles movimientos'!$U$5:$U$1003, 0)), "")</f>
        <v/>
      </c>
      <c r="G76" s="20" t="str">
        <f>IFERROR(INDEX('Detalles movimientos'!H$5:H$1003, MATCH(67, 'Detalles movimientos'!$U$5:$U$1003, 0)), "")</f>
        <v/>
      </c>
      <c r="H76" s="21" t="str">
        <f>IFERROR(INDEX('Detalles movimientos'!I$5:I$1003, MATCH(67, 'Detalles movimientos'!$U$5:$U$1003, 0)), "")</f>
        <v/>
      </c>
      <c r="I76" s="20" t="str">
        <f>IFERROR(INDEX('Detalles movimientos'!M$5:M$1003, MATCH(67, 'Detalles movimientos'!$U$5:$U$1003, 0)), "")</f>
        <v/>
      </c>
      <c r="J76" s="19" t="str">
        <f>IFERROR(INDEX('Detalles movimientos'!N$5:N$1003, MATCH(67, 'Detalles movimientos'!$U$5:$U$1003, 0)), "")</f>
        <v/>
      </c>
      <c r="K76" s="20" t="str">
        <f>IFERROR(INDEX('Detalles movimientos'!O$5:O$1003, MATCH(67, 'Detalles movimientos'!$U$5:$U$1003, 0)), "")</f>
        <v/>
      </c>
      <c r="L76" s="18" t="str">
        <f>IFERROR(INDEX('Detalles movimientos'!P$5:P$1003, MATCH(67, 'Detalles movimientos'!$U$5:$U$1003, 0)), "")</f>
        <v/>
      </c>
      <c r="M76" s="18" t="str">
        <f>IFERROR(INDEX('Detalles movimientos'!S$5:S$1003, MATCH(67, 'Detalles movimientos'!$U$5:$U$1003, 0)), "")</f>
        <v/>
      </c>
    </row>
    <row r="77" spans="2:13">
      <c r="B77" s="17" t="str">
        <f>IFERROR(INDEX('Detalles movimientos'!C$5:C$1003, MATCH(68, 'Detalles movimientos'!$U$5:$U$1003, 0)), "")</f>
        <v/>
      </c>
      <c r="C77" s="18" t="str">
        <f>IFERROR(INDEX('Detalles movimientos'!D$5:D$1003, MATCH(68, 'Detalles movimientos'!$U$5:$U$1003, 0)), "")</f>
        <v/>
      </c>
      <c r="D77" s="19" t="str">
        <f>IFERROR(INDEX('Detalles movimientos'!E$5:E$1003, MATCH(68, 'Detalles movimientos'!$U$5:$U$1003, 0)), "")</f>
        <v/>
      </c>
      <c r="E77" s="19" t="str">
        <f>IFERROR(INDEX('Detalles movimientos'!F$5:F$1003, MATCH(68, 'Detalles movimientos'!$U$5:$U$1003, 0)), "")</f>
        <v/>
      </c>
      <c r="F77" s="18" t="str">
        <f>IFERROR(INDEX('Detalles movimientos'!G$5:G$1003, MATCH(68, 'Detalles movimientos'!$U$5:$U$1003, 0)), "")</f>
        <v/>
      </c>
      <c r="G77" s="20" t="str">
        <f>IFERROR(INDEX('Detalles movimientos'!H$5:H$1003, MATCH(68, 'Detalles movimientos'!$U$5:$U$1003, 0)), "")</f>
        <v/>
      </c>
      <c r="H77" s="21" t="str">
        <f>IFERROR(INDEX('Detalles movimientos'!I$5:I$1003, MATCH(68, 'Detalles movimientos'!$U$5:$U$1003, 0)), "")</f>
        <v/>
      </c>
      <c r="I77" s="20" t="str">
        <f>IFERROR(INDEX('Detalles movimientos'!M$5:M$1003, MATCH(68, 'Detalles movimientos'!$U$5:$U$1003, 0)), "")</f>
        <v/>
      </c>
      <c r="J77" s="19" t="str">
        <f>IFERROR(INDEX('Detalles movimientos'!N$5:N$1003, MATCH(68, 'Detalles movimientos'!$U$5:$U$1003, 0)), "")</f>
        <v/>
      </c>
      <c r="K77" s="20" t="str">
        <f>IFERROR(INDEX('Detalles movimientos'!O$5:O$1003, MATCH(68, 'Detalles movimientos'!$U$5:$U$1003, 0)), "")</f>
        <v/>
      </c>
      <c r="L77" s="18" t="str">
        <f>IFERROR(INDEX('Detalles movimientos'!P$5:P$1003, MATCH(68, 'Detalles movimientos'!$U$5:$U$1003, 0)), "")</f>
        <v/>
      </c>
      <c r="M77" s="18" t="str">
        <f>IFERROR(INDEX('Detalles movimientos'!S$5:S$1003, MATCH(68, 'Detalles movimientos'!$U$5:$U$1003, 0)), "")</f>
        <v/>
      </c>
    </row>
    <row r="78" spans="2:13">
      <c r="B78" s="17" t="str">
        <f>IFERROR(INDEX('Detalles movimientos'!C$5:C$1003, MATCH(69, 'Detalles movimientos'!$U$5:$U$1003, 0)), "")</f>
        <v/>
      </c>
      <c r="C78" s="18" t="str">
        <f>IFERROR(INDEX('Detalles movimientos'!D$5:D$1003, MATCH(69, 'Detalles movimientos'!$U$5:$U$1003, 0)), "")</f>
        <v/>
      </c>
      <c r="D78" s="19" t="str">
        <f>IFERROR(INDEX('Detalles movimientos'!E$5:E$1003, MATCH(69, 'Detalles movimientos'!$U$5:$U$1003, 0)), "")</f>
        <v/>
      </c>
      <c r="E78" s="19" t="str">
        <f>IFERROR(INDEX('Detalles movimientos'!F$5:F$1003, MATCH(69, 'Detalles movimientos'!$U$5:$U$1003, 0)), "")</f>
        <v/>
      </c>
      <c r="F78" s="18" t="str">
        <f>IFERROR(INDEX('Detalles movimientos'!G$5:G$1003, MATCH(69, 'Detalles movimientos'!$U$5:$U$1003, 0)), "")</f>
        <v/>
      </c>
      <c r="G78" s="20" t="str">
        <f>IFERROR(INDEX('Detalles movimientos'!H$5:H$1003, MATCH(69, 'Detalles movimientos'!$U$5:$U$1003, 0)), "")</f>
        <v/>
      </c>
      <c r="H78" s="21" t="str">
        <f>IFERROR(INDEX('Detalles movimientos'!I$5:I$1003, MATCH(69, 'Detalles movimientos'!$U$5:$U$1003, 0)), "")</f>
        <v/>
      </c>
      <c r="I78" s="20" t="str">
        <f>IFERROR(INDEX('Detalles movimientos'!M$5:M$1003, MATCH(69, 'Detalles movimientos'!$U$5:$U$1003, 0)), "")</f>
        <v/>
      </c>
      <c r="J78" s="19" t="str">
        <f>IFERROR(INDEX('Detalles movimientos'!N$5:N$1003, MATCH(69, 'Detalles movimientos'!$U$5:$U$1003, 0)), "")</f>
        <v/>
      </c>
      <c r="K78" s="20" t="str">
        <f>IFERROR(INDEX('Detalles movimientos'!O$5:O$1003, MATCH(69, 'Detalles movimientos'!$U$5:$U$1003, 0)), "")</f>
        <v/>
      </c>
      <c r="L78" s="18" t="str">
        <f>IFERROR(INDEX('Detalles movimientos'!P$5:P$1003, MATCH(69, 'Detalles movimientos'!$U$5:$U$1003, 0)), "")</f>
        <v/>
      </c>
      <c r="M78" s="18" t="str">
        <f>IFERROR(INDEX('Detalles movimientos'!S$5:S$1003, MATCH(69, 'Detalles movimientos'!$U$5:$U$1003, 0)), "")</f>
        <v/>
      </c>
    </row>
    <row r="79" spans="2:13">
      <c r="B79" s="17" t="str">
        <f>IFERROR(INDEX('Detalles movimientos'!C$5:C$1003, MATCH(70, 'Detalles movimientos'!$U$5:$U$1003, 0)), "")</f>
        <v/>
      </c>
      <c r="C79" s="18" t="str">
        <f>IFERROR(INDEX('Detalles movimientos'!D$5:D$1003, MATCH(70, 'Detalles movimientos'!$U$5:$U$1003, 0)), "")</f>
        <v/>
      </c>
      <c r="D79" s="19" t="str">
        <f>IFERROR(INDEX('Detalles movimientos'!E$5:E$1003, MATCH(70, 'Detalles movimientos'!$U$5:$U$1003, 0)), "")</f>
        <v/>
      </c>
      <c r="E79" s="19" t="str">
        <f>IFERROR(INDEX('Detalles movimientos'!F$5:F$1003, MATCH(70, 'Detalles movimientos'!$U$5:$U$1003, 0)), "")</f>
        <v/>
      </c>
      <c r="F79" s="18" t="str">
        <f>IFERROR(INDEX('Detalles movimientos'!G$5:G$1003, MATCH(70, 'Detalles movimientos'!$U$5:$U$1003, 0)), "")</f>
        <v/>
      </c>
      <c r="G79" s="20" t="str">
        <f>IFERROR(INDEX('Detalles movimientos'!H$5:H$1003, MATCH(70, 'Detalles movimientos'!$U$5:$U$1003, 0)), "")</f>
        <v/>
      </c>
      <c r="H79" s="21" t="str">
        <f>IFERROR(INDEX('Detalles movimientos'!I$5:I$1003, MATCH(70, 'Detalles movimientos'!$U$5:$U$1003, 0)), "")</f>
        <v/>
      </c>
      <c r="I79" s="20" t="str">
        <f>IFERROR(INDEX('Detalles movimientos'!M$5:M$1003, MATCH(70, 'Detalles movimientos'!$U$5:$U$1003, 0)), "")</f>
        <v/>
      </c>
      <c r="J79" s="19" t="str">
        <f>IFERROR(INDEX('Detalles movimientos'!N$5:N$1003, MATCH(70, 'Detalles movimientos'!$U$5:$U$1003, 0)), "")</f>
        <v/>
      </c>
      <c r="K79" s="20" t="str">
        <f>IFERROR(INDEX('Detalles movimientos'!O$5:O$1003, MATCH(70, 'Detalles movimientos'!$U$5:$U$1003, 0)), "")</f>
        <v/>
      </c>
      <c r="L79" s="18" t="str">
        <f>IFERROR(INDEX('Detalles movimientos'!P$5:P$1003, MATCH(70, 'Detalles movimientos'!$U$5:$U$1003, 0)), "")</f>
        <v/>
      </c>
      <c r="M79" s="18" t="str">
        <f>IFERROR(INDEX('Detalles movimientos'!S$5:S$1003, MATCH(70, 'Detalles movimientos'!$U$5:$U$1003, 0)), "")</f>
        <v/>
      </c>
    </row>
    <row r="80" spans="2:13">
      <c r="B80" s="17" t="str">
        <f>IFERROR(INDEX('Detalles movimientos'!C$5:C$1003, MATCH(71, 'Detalles movimientos'!$U$5:$U$1003, 0)), "")</f>
        <v/>
      </c>
      <c r="C80" s="18" t="str">
        <f>IFERROR(INDEX('Detalles movimientos'!D$5:D$1003, MATCH(71, 'Detalles movimientos'!$U$5:$U$1003, 0)), "")</f>
        <v/>
      </c>
      <c r="D80" s="19" t="str">
        <f>IFERROR(INDEX('Detalles movimientos'!E$5:E$1003, MATCH(71, 'Detalles movimientos'!$U$5:$U$1003, 0)), "")</f>
        <v/>
      </c>
      <c r="E80" s="19" t="str">
        <f>IFERROR(INDEX('Detalles movimientos'!F$5:F$1003, MATCH(71, 'Detalles movimientos'!$U$5:$U$1003, 0)), "")</f>
        <v/>
      </c>
      <c r="F80" s="18" t="str">
        <f>IFERROR(INDEX('Detalles movimientos'!G$5:G$1003, MATCH(71, 'Detalles movimientos'!$U$5:$U$1003, 0)), "")</f>
        <v/>
      </c>
      <c r="G80" s="20" t="str">
        <f>IFERROR(INDEX('Detalles movimientos'!H$5:H$1003, MATCH(71, 'Detalles movimientos'!$U$5:$U$1003, 0)), "")</f>
        <v/>
      </c>
      <c r="H80" s="21" t="str">
        <f>IFERROR(INDEX('Detalles movimientos'!I$5:I$1003, MATCH(71, 'Detalles movimientos'!$U$5:$U$1003, 0)), "")</f>
        <v/>
      </c>
      <c r="I80" s="20" t="str">
        <f>IFERROR(INDEX('Detalles movimientos'!M$5:M$1003, MATCH(71, 'Detalles movimientos'!$U$5:$U$1003, 0)), "")</f>
        <v/>
      </c>
      <c r="J80" s="19" t="str">
        <f>IFERROR(INDEX('Detalles movimientos'!N$5:N$1003, MATCH(71, 'Detalles movimientos'!$U$5:$U$1003, 0)), "")</f>
        <v/>
      </c>
      <c r="K80" s="20" t="str">
        <f>IFERROR(INDEX('Detalles movimientos'!O$5:O$1003, MATCH(71, 'Detalles movimientos'!$U$5:$U$1003, 0)), "")</f>
        <v/>
      </c>
      <c r="L80" s="18" t="str">
        <f>IFERROR(INDEX('Detalles movimientos'!P$5:P$1003, MATCH(71, 'Detalles movimientos'!$U$5:$U$1003, 0)), "")</f>
        <v/>
      </c>
      <c r="M80" s="18" t="str">
        <f>IFERROR(INDEX('Detalles movimientos'!S$5:S$1003, MATCH(71, 'Detalles movimientos'!$U$5:$U$1003, 0)), "")</f>
        <v/>
      </c>
    </row>
    <row r="81" spans="2:13">
      <c r="B81" s="17" t="str">
        <f>IFERROR(INDEX('Detalles movimientos'!C$5:C$1003, MATCH(72, 'Detalles movimientos'!$U$5:$U$1003, 0)), "")</f>
        <v/>
      </c>
      <c r="C81" s="18" t="str">
        <f>IFERROR(INDEX('Detalles movimientos'!D$5:D$1003, MATCH(72, 'Detalles movimientos'!$U$5:$U$1003, 0)), "")</f>
        <v/>
      </c>
      <c r="D81" s="19" t="str">
        <f>IFERROR(INDEX('Detalles movimientos'!E$5:E$1003, MATCH(72, 'Detalles movimientos'!$U$5:$U$1003, 0)), "")</f>
        <v/>
      </c>
      <c r="E81" s="19" t="str">
        <f>IFERROR(INDEX('Detalles movimientos'!F$5:F$1003, MATCH(72, 'Detalles movimientos'!$U$5:$U$1003, 0)), "")</f>
        <v/>
      </c>
      <c r="F81" s="18" t="str">
        <f>IFERROR(INDEX('Detalles movimientos'!G$5:G$1003, MATCH(72, 'Detalles movimientos'!$U$5:$U$1003, 0)), "")</f>
        <v/>
      </c>
      <c r="G81" s="20" t="str">
        <f>IFERROR(INDEX('Detalles movimientos'!H$5:H$1003, MATCH(72, 'Detalles movimientos'!$U$5:$U$1003, 0)), "")</f>
        <v/>
      </c>
      <c r="H81" s="21" t="str">
        <f>IFERROR(INDEX('Detalles movimientos'!I$5:I$1003, MATCH(72, 'Detalles movimientos'!$U$5:$U$1003, 0)), "")</f>
        <v/>
      </c>
      <c r="I81" s="20" t="str">
        <f>IFERROR(INDEX('Detalles movimientos'!M$5:M$1003, MATCH(72, 'Detalles movimientos'!$U$5:$U$1003, 0)), "")</f>
        <v/>
      </c>
      <c r="J81" s="19" t="str">
        <f>IFERROR(INDEX('Detalles movimientos'!N$5:N$1003, MATCH(72, 'Detalles movimientos'!$U$5:$U$1003, 0)), "")</f>
        <v/>
      </c>
      <c r="K81" s="20" t="str">
        <f>IFERROR(INDEX('Detalles movimientos'!O$5:O$1003, MATCH(72, 'Detalles movimientos'!$U$5:$U$1003, 0)), "")</f>
        <v/>
      </c>
      <c r="L81" s="18" t="str">
        <f>IFERROR(INDEX('Detalles movimientos'!P$5:P$1003, MATCH(72, 'Detalles movimientos'!$U$5:$U$1003, 0)), "")</f>
        <v/>
      </c>
      <c r="M81" s="18" t="str">
        <f>IFERROR(INDEX('Detalles movimientos'!S$5:S$1003, MATCH(72, 'Detalles movimientos'!$U$5:$U$1003, 0)), "")</f>
        <v/>
      </c>
    </row>
    <row r="82" spans="2:13">
      <c r="B82" s="17" t="str">
        <f>IFERROR(INDEX('Detalles movimientos'!C$5:C$1003, MATCH(73, 'Detalles movimientos'!$U$5:$U$1003, 0)), "")</f>
        <v/>
      </c>
      <c r="C82" s="18" t="str">
        <f>IFERROR(INDEX('Detalles movimientos'!D$5:D$1003, MATCH(73, 'Detalles movimientos'!$U$5:$U$1003, 0)), "")</f>
        <v/>
      </c>
      <c r="D82" s="19" t="str">
        <f>IFERROR(INDEX('Detalles movimientos'!E$5:E$1003, MATCH(73, 'Detalles movimientos'!$U$5:$U$1003, 0)), "")</f>
        <v/>
      </c>
      <c r="E82" s="19" t="str">
        <f>IFERROR(INDEX('Detalles movimientos'!F$5:F$1003, MATCH(73, 'Detalles movimientos'!$U$5:$U$1003, 0)), "")</f>
        <v/>
      </c>
      <c r="F82" s="18" t="str">
        <f>IFERROR(INDEX('Detalles movimientos'!G$5:G$1003, MATCH(73, 'Detalles movimientos'!$U$5:$U$1003, 0)), "")</f>
        <v/>
      </c>
      <c r="G82" s="20" t="str">
        <f>IFERROR(INDEX('Detalles movimientos'!H$5:H$1003, MATCH(73, 'Detalles movimientos'!$U$5:$U$1003, 0)), "")</f>
        <v/>
      </c>
      <c r="H82" s="21" t="str">
        <f>IFERROR(INDEX('Detalles movimientos'!I$5:I$1003, MATCH(73, 'Detalles movimientos'!$U$5:$U$1003, 0)), "")</f>
        <v/>
      </c>
      <c r="I82" s="20" t="str">
        <f>IFERROR(INDEX('Detalles movimientos'!M$5:M$1003, MATCH(73, 'Detalles movimientos'!$U$5:$U$1003, 0)), "")</f>
        <v/>
      </c>
      <c r="J82" s="19" t="str">
        <f>IFERROR(INDEX('Detalles movimientos'!N$5:N$1003, MATCH(73, 'Detalles movimientos'!$U$5:$U$1003, 0)), "")</f>
        <v/>
      </c>
      <c r="K82" s="20" t="str">
        <f>IFERROR(INDEX('Detalles movimientos'!O$5:O$1003, MATCH(73, 'Detalles movimientos'!$U$5:$U$1003, 0)), "")</f>
        <v/>
      </c>
      <c r="L82" s="18" t="str">
        <f>IFERROR(INDEX('Detalles movimientos'!P$5:P$1003, MATCH(73, 'Detalles movimientos'!$U$5:$U$1003, 0)), "")</f>
        <v/>
      </c>
      <c r="M82" s="18" t="str">
        <f>IFERROR(INDEX('Detalles movimientos'!S$5:S$1003, MATCH(73, 'Detalles movimientos'!$U$5:$U$1003, 0)), "")</f>
        <v/>
      </c>
    </row>
    <row r="83" spans="2:13">
      <c r="B83" s="17" t="str">
        <f>IFERROR(INDEX('Detalles movimientos'!C$5:C$1003, MATCH(74, 'Detalles movimientos'!$U$5:$U$1003, 0)), "")</f>
        <v/>
      </c>
      <c r="C83" s="18" t="str">
        <f>IFERROR(INDEX('Detalles movimientos'!D$5:D$1003, MATCH(74, 'Detalles movimientos'!$U$5:$U$1003, 0)), "")</f>
        <v/>
      </c>
      <c r="D83" s="19" t="str">
        <f>IFERROR(INDEX('Detalles movimientos'!E$5:E$1003, MATCH(74, 'Detalles movimientos'!$U$5:$U$1003, 0)), "")</f>
        <v/>
      </c>
      <c r="E83" s="19" t="str">
        <f>IFERROR(INDEX('Detalles movimientos'!F$5:F$1003, MATCH(74, 'Detalles movimientos'!$U$5:$U$1003, 0)), "")</f>
        <v/>
      </c>
      <c r="F83" s="18" t="str">
        <f>IFERROR(INDEX('Detalles movimientos'!G$5:G$1003, MATCH(74, 'Detalles movimientos'!$U$5:$U$1003, 0)), "")</f>
        <v/>
      </c>
      <c r="G83" s="20" t="str">
        <f>IFERROR(INDEX('Detalles movimientos'!H$5:H$1003, MATCH(74, 'Detalles movimientos'!$U$5:$U$1003, 0)), "")</f>
        <v/>
      </c>
      <c r="H83" s="21" t="str">
        <f>IFERROR(INDEX('Detalles movimientos'!I$5:I$1003, MATCH(74, 'Detalles movimientos'!$U$5:$U$1003, 0)), "")</f>
        <v/>
      </c>
      <c r="I83" s="20" t="str">
        <f>IFERROR(INDEX('Detalles movimientos'!M$5:M$1003, MATCH(74, 'Detalles movimientos'!$U$5:$U$1003, 0)), "")</f>
        <v/>
      </c>
      <c r="J83" s="19" t="str">
        <f>IFERROR(INDEX('Detalles movimientos'!N$5:N$1003, MATCH(74, 'Detalles movimientos'!$U$5:$U$1003, 0)), "")</f>
        <v/>
      </c>
      <c r="K83" s="20" t="str">
        <f>IFERROR(INDEX('Detalles movimientos'!O$5:O$1003, MATCH(74, 'Detalles movimientos'!$U$5:$U$1003, 0)), "")</f>
        <v/>
      </c>
      <c r="L83" s="18" t="str">
        <f>IFERROR(INDEX('Detalles movimientos'!P$5:P$1003, MATCH(74, 'Detalles movimientos'!$U$5:$U$1003, 0)), "")</f>
        <v/>
      </c>
      <c r="M83" s="18" t="str">
        <f>IFERROR(INDEX('Detalles movimientos'!S$5:S$1003, MATCH(74, 'Detalles movimientos'!$U$5:$U$1003, 0)), "")</f>
        <v/>
      </c>
    </row>
    <row r="84" spans="2:13">
      <c r="B84" s="17" t="str">
        <f>IFERROR(INDEX('Detalles movimientos'!C$5:C$1003, MATCH(75, 'Detalles movimientos'!$U$5:$U$1003, 0)), "")</f>
        <v/>
      </c>
      <c r="C84" s="18" t="str">
        <f>IFERROR(INDEX('Detalles movimientos'!D$5:D$1003, MATCH(75, 'Detalles movimientos'!$U$5:$U$1003, 0)), "")</f>
        <v/>
      </c>
      <c r="D84" s="19" t="str">
        <f>IFERROR(INDEX('Detalles movimientos'!E$5:E$1003, MATCH(75, 'Detalles movimientos'!$U$5:$U$1003, 0)), "")</f>
        <v/>
      </c>
      <c r="E84" s="19" t="str">
        <f>IFERROR(INDEX('Detalles movimientos'!F$5:F$1003, MATCH(75, 'Detalles movimientos'!$U$5:$U$1003, 0)), "")</f>
        <v/>
      </c>
      <c r="F84" s="18" t="str">
        <f>IFERROR(INDEX('Detalles movimientos'!G$5:G$1003, MATCH(75, 'Detalles movimientos'!$U$5:$U$1003, 0)), "")</f>
        <v/>
      </c>
      <c r="G84" s="20" t="str">
        <f>IFERROR(INDEX('Detalles movimientos'!H$5:H$1003, MATCH(75, 'Detalles movimientos'!$U$5:$U$1003, 0)), "")</f>
        <v/>
      </c>
      <c r="H84" s="21" t="str">
        <f>IFERROR(INDEX('Detalles movimientos'!I$5:I$1003, MATCH(75, 'Detalles movimientos'!$U$5:$U$1003, 0)), "")</f>
        <v/>
      </c>
      <c r="I84" s="20" t="str">
        <f>IFERROR(INDEX('Detalles movimientos'!M$5:M$1003, MATCH(75, 'Detalles movimientos'!$U$5:$U$1003, 0)), "")</f>
        <v/>
      </c>
      <c r="J84" s="19" t="str">
        <f>IFERROR(INDEX('Detalles movimientos'!N$5:N$1003, MATCH(75, 'Detalles movimientos'!$U$5:$U$1003, 0)), "")</f>
        <v/>
      </c>
      <c r="K84" s="20" t="str">
        <f>IFERROR(INDEX('Detalles movimientos'!O$5:O$1003, MATCH(75, 'Detalles movimientos'!$U$5:$U$1003, 0)), "")</f>
        <v/>
      </c>
      <c r="L84" s="18" t="str">
        <f>IFERROR(INDEX('Detalles movimientos'!P$5:P$1003, MATCH(75, 'Detalles movimientos'!$U$5:$U$1003, 0)), "")</f>
        <v/>
      </c>
      <c r="M84" s="18" t="str">
        <f>IFERROR(INDEX('Detalles movimientos'!S$5:S$1003, MATCH(75, 'Detalles movimientos'!$U$5:$U$1003, 0)), "")</f>
        <v/>
      </c>
    </row>
    <row r="85" spans="2:13">
      <c r="B85" s="17" t="str">
        <f>IFERROR(INDEX('Detalles movimientos'!C$5:C$1003, MATCH(76, 'Detalles movimientos'!$U$5:$U$1003, 0)), "")</f>
        <v/>
      </c>
      <c r="C85" s="18" t="str">
        <f>IFERROR(INDEX('Detalles movimientos'!D$5:D$1003, MATCH(76, 'Detalles movimientos'!$U$5:$U$1003, 0)), "")</f>
        <v/>
      </c>
      <c r="D85" s="19" t="str">
        <f>IFERROR(INDEX('Detalles movimientos'!E$5:E$1003, MATCH(76, 'Detalles movimientos'!$U$5:$U$1003, 0)), "")</f>
        <v/>
      </c>
      <c r="E85" s="19" t="str">
        <f>IFERROR(INDEX('Detalles movimientos'!F$5:F$1003, MATCH(76, 'Detalles movimientos'!$U$5:$U$1003, 0)), "")</f>
        <v/>
      </c>
      <c r="F85" s="18" t="str">
        <f>IFERROR(INDEX('Detalles movimientos'!G$5:G$1003, MATCH(76, 'Detalles movimientos'!$U$5:$U$1003, 0)), "")</f>
        <v/>
      </c>
      <c r="G85" s="20" t="str">
        <f>IFERROR(INDEX('Detalles movimientos'!H$5:H$1003, MATCH(76, 'Detalles movimientos'!$U$5:$U$1003, 0)), "")</f>
        <v/>
      </c>
      <c r="H85" s="21" t="str">
        <f>IFERROR(INDEX('Detalles movimientos'!I$5:I$1003, MATCH(76, 'Detalles movimientos'!$U$5:$U$1003, 0)), "")</f>
        <v/>
      </c>
      <c r="I85" s="20" t="str">
        <f>IFERROR(INDEX('Detalles movimientos'!M$5:M$1003, MATCH(76, 'Detalles movimientos'!$U$5:$U$1003, 0)), "")</f>
        <v/>
      </c>
      <c r="J85" s="19" t="str">
        <f>IFERROR(INDEX('Detalles movimientos'!N$5:N$1003, MATCH(76, 'Detalles movimientos'!$U$5:$U$1003, 0)), "")</f>
        <v/>
      </c>
      <c r="K85" s="20" t="str">
        <f>IFERROR(INDEX('Detalles movimientos'!O$5:O$1003, MATCH(76, 'Detalles movimientos'!$U$5:$U$1003, 0)), "")</f>
        <v/>
      </c>
      <c r="L85" s="18" t="str">
        <f>IFERROR(INDEX('Detalles movimientos'!P$5:P$1003, MATCH(76, 'Detalles movimientos'!$U$5:$U$1003, 0)), "")</f>
        <v/>
      </c>
      <c r="M85" s="18" t="str">
        <f>IFERROR(INDEX('Detalles movimientos'!S$5:S$1003, MATCH(76, 'Detalles movimientos'!$U$5:$U$1003, 0)), "")</f>
        <v/>
      </c>
    </row>
    <row r="86" spans="2:13">
      <c r="B86" s="17" t="str">
        <f>IFERROR(INDEX('Detalles movimientos'!C$5:C$1003, MATCH(77, 'Detalles movimientos'!$U$5:$U$1003, 0)), "")</f>
        <v/>
      </c>
      <c r="C86" s="18" t="str">
        <f>IFERROR(INDEX('Detalles movimientos'!D$5:D$1003, MATCH(77, 'Detalles movimientos'!$U$5:$U$1003, 0)), "")</f>
        <v/>
      </c>
      <c r="D86" s="19" t="str">
        <f>IFERROR(INDEX('Detalles movimientos'!E$5:E$1003, MATCH(77, 'Detalles movimientos'!$U$5:$U$1003, 0)), "")</f>
        <v/>
      </c>
      <c r="E86" s="19" t="str">
        <f>IFERROR(INDEX('Detalles movimientos'!F$5:F$1003, MATCH(77, 'Detalles movimientos'!$U$5:$U$1003, 0)), "")</f>
        <v/>
      </c>
      <c r="F86" s="18" t="str">
        <f>IFERROR(INDEX('Detalles movimientos'!G$5:G$1003, MATCH(77, 'Detalles movimientos'!$U$5:$U$1003, 0)), "")</f>
        <v/>
      </c>
      <c r="G86" s="20" t="str">
        <f>IFERROR(INDEX('Detalles movimientos'!H$5:H$1003, MATCH(77, 'Detalles movimientos'!$U$5:$U$1003, 0)), "")</f>
        <v/>
      </c>
      <c r="H86" s="21" t="str">
        <f>IFERROR(INDEX('Detalles movimientos'!I$5:I$1003, MATCH(77, 'Detalles movimientos'!$U$5:$U$1003, 0)), "")</f>
        <v/>
      </c>
      <c r="I86" s="20" t="str">
        <f>IFERROR(INDEX('Detalles movimientos'!M$5:M$1003, MATCH(77, 'Detalles movimientos'!$U$5:$U$1003, 0)), "")</f>
        <v/>
      </c>
      <c r="J86" s="19" t="str">
        <f>IFERROR(INDEX('Detalles movimientos'!N$5:N$1003, MATCH(77, 'Detalles movimientos'!$U$5:$U$1003, 0)), "")</f>
        <v/>
      </c>
      <c r="K86" s="20" t="str">
        <f>IFERROR(INDEX('Detalles movimientos'!O$5:O$1003, MATCH(77, 'Detalles movimientos'!$U$5:$U$1003, 0)), "")</f>
        <v/>
      </c>
      <c r="L86" s="18" t="str">
        <f>IFERROR(INDEX('Detalles movimientos'!P$5:P$1003, MATCH(77, 'Detalles movimientos'!$U$5:$U$1003, 0)), "")</f>
        <v/>
      </c>
      <c r="M86" s="18" t="str">
        <f>IFERROR(INDEX('Detalles movimientos'!S$5:S$1003, MATCH(77, 'Detalles movimientos'!$U$5:$U$1003, 0)), "")</f>
        <v/>
      </c>
    </row>
    <row r="87" spans="2:13">
      <c r="B87" s="17" t="str">
        <f>IFERROR(INDEX('Detalles movimientos'!C$5:C$1003, MATCH(78, 'Detalles movimientos'!$U$5:$U$1003, 0)), "")</f>
        <v/>
      </c>
      <c r="C87" s="18" t="str">
        <f>IFERROR(INDEX('Detalles movimientos'!D$5:D$1003, MATCH(78, 'Detalles movimientos'!$U$5:$U$1003, 0)), "")</f>
        <v/>
      </c>
      <c r="D87" s="19" t="str">
        <f>IFERROR(INDEX('Detalles movimientos'!E$5:E$1003, MATCH(78, 'Detalles movimientos'!$U$5:$U$1003, 0)), "")</f>
        <v/>
      </c>
      <c r="E87" s="19" t="str">
        <f>IFERROR(INDEX('Detalles movimientos'!F$5:F$1003, MATCH(78, 'Detalles movimientos'!$U$5:$U$1003, 0)), "")</f>
        <v/>
      </c>
      <c r="F87" s="18" t="str">
        <f>IFERROR(INDEX('Detalles movimientos'!G$5:G$1003, MATCH(78, 'Detalles movimientos'!$U$5:$U$1003, 0)), "")</f>
        <v/>
      </c>
      <c r="G87" s="20" t="str">
        <f>IFERROR(INDEX('Detalles movimientos'!H$5:H$1003, MATCH(78, 'Detalles movimientos'!$U$5:$U$1003, 0)), "")</f>
        <v/>
      </c>
      <c r="H87" s="21" t="str">
        <f>IFERROR(INDEX('Detalles movimientos'!I$5:I$1003, MATCH(78, 'Detalles movimientos'!$U$5:$U$1003, 0)), "")</f>
        <v/>
      </c>
      <c r="I87" s="20" t="str">
        <f>IFERROR(INDEX('Detalles movimientos'!M$5:M$1003, MATCH(78, 'Detalles movimientos'!$U$5:$U$1003, 0)), "")</f>
        <v/>
      </c>
      <c r="J87" s="19" t="str">
        <f>IFERROR(INDEX('Detalles movimientos'!N$5:N$1003, MATCH(78, 'Detalles movimientos'!$U$5:$U$1003, 0)), "")</f>
        <v/>
      </c>
      <c r="K87" s="20" t="str">
        <f>IFERROR(INDEX('Detalles movimientos'!O$5:O$1003, MATCH(78, 'Detalles movimientos'!$U$5:$U$1003, 0)), "")</f>
        <v/>
      </c>
      <c r="L87" s="18" t="str">
        <f>IFERROR(INDEX('Detalles movimientos'!P$5:P$1003, MATCH(78, 'Detalles movimientos'!$U$5:$U$1003, 0)), "")</f>
        <v/>
      </c>
      <c r="M87" s="18" t="str">
        <f>IFERROR(INDEX('Detalles movimientos'!S$5:S$1003, MATCH(78, 'Detalles movimientos'!$U$5:$U$1003, 0)), "")</f>
        <v/>
      </c>
    </row>
    <row r="88" spans="2:13">
      <c r="B88" s="17" t="str">
        <f>IFERROR(INDEX('Detalles movimientos'!C$5:C$1003, MATCH(79, 'Detalles movimientos'!$U$5:$U$1003, 0)), "")</f>
        <v/>
      </c>
      <c r="C88" s="18" t="str">
        <f>IFERROR(INDEX('Detalles movimientos'!D$5:D$1003, MATCH(79, 'Detalles movimientos'!$U$5:$U$1003, 0)), "")</f>
        <v/>
      </c>
      <c r="D88" s="19" t="str">
        <f>IFERROR(INDEX('Detalles movimientos'!E$5:E$1003, MATCH(79, 'Detalles movimientos'!$U$5:$U$1003, 0)), "")</f>
        <v/>
      </c>
      <c r="E88" s="19" t="str">
        <f>IFERROR(INDEX('Detalles movimientos'!F$5:F$1003, MATCH(79, 'Detalles movimientos'!$U$5:$U$1003, 0)), "")</f>
        <v/>
      </c>
      <c r="F88" s="18" t="str">
        <f>IFERROR(INDEX('Detalles movimientos'!G$5:G$1003, MATCH(79, 'Detalles movimientos'!$U$5:$U$1003, 0)), "")</f>
        <v/>
      </c>
      <c r="G88" s="20" t="str">
        <f>IFERROR(INDEX('Detalles movimientos'!H$5:H$1003, MATCH(79, 'Detalles movimientos'!$U$5:$U$1003, 0)), "")</f>
        <v/>
      </c>
      <c r="H88" s="21" t="str">
        <f>IFERROR(INDEX('Detalles movimientos'!I$5:I$1003, MATCH(79, 'Detalles movimientos'!$U$5:$U$1003, 0)), "")</f>
        <v/>
      </c>
      <c r="I88" s="20" t="str">
        <f>IFERROR(INDEX('Detalles movimientos'!M$5:M$1003, MATCH(79, 'Detalles movimientos'!$U$5:$U$1003, 0)), "")</f>
        <v/>
      </c>
      <c r="J88" s="19" t="str">
        <f>IFERROR(INDEX('Detalles movimientos'!N$5:N$1003, MATCH(79, 'Detalles movimientos'!$U$5:$U$1003, 0)), "")</f>
        <v/>
      </c>
      <c r="K88" s="20" t="str">
        <f>IFERROR(INDEX('Detalles movimientos'!O$5:O$1003, MATCH(79, 'Detalles movimientos'!$U$5:$U$1003, 0)), "")</f>
        <v/>
      </c>
      <c r="L88" s="18" t="str">
        <f>IFERROR(INDEX('Detalles movimientos'!P$5:P$1003, MATCH(79, 'Detalles movimientos'!$U$5:$U$1003, 0)), "")</f>
        <v/>
      </c>
      <c r="M88" s="18" t="str">
        <f>IFERROR(INDEX('Detalles movimientos'!S$5:S$1003, MATCH(79, 'Detalles movimientos'!$U$5:$U$1003, 0)), "")</f>
        <v/>
      </c>
    </row>
    <row r="89" spans="2:13">
      <c r="B89" s="17" t="str">
        <f>IFERROR(INDEX('Detalles movimientos'!C$5:C$1003, MATCH(80, 'Detalles movimientos'!$U$5:$U$1003, 0)), "")</f>
        <v/>
      </c>
      <c r="C89" s="18" t="str">
        <f>IFERROR(INDEX('Detalles movimientos'!D$5:D$1003, MATCH(80, 'Detalles movimientos'!$U$5:$U$1003, 0)), "")</f>
        <v/>
      </c>
      <c r="D89" s="19" t="str">
        <f>IFERROR(INDEX('Detalles movimientos'!E$5:E$1003, MATCH(80, 'Detalles movimientos'!$U$5:$U$1003, 0)), "")</f>
        <v/>
      </c>
      <c r="E89" s="19" t="str">
        <f>IFERROR(INDEX('Detalles movimientos'!F$5:F$1003, MATCH(80, 'Detalles movimientos'!$U$5:$U$1003, 0)), "")</f>
        <v/>
      </c>
      <c r="F89" s="18" t="str">
        <f>IFERROR(INDEX('Detalles movimientos'!G$5:G$1003, MATCH(80, 'Detalles movimientos'!$U$5:$U$1003, 0)), "")</f>
        <v/>
      </c>
      <c r="G89" s="20" t="str">
        <f>IFERROR(INDEX('Detalles movimientos'!H$5:H$1003, MATCH(80, 'Detalles movimientos'!$U$5:$U$1003, 0)), "")</f>
        <v/>
      </c>
      <c r="H89" s="21" t="str">
        <f>IFERROR(INDEX('Detalles movimientos'!I$5:I$1003, MATCH(80, 'Detalles movimientos'!$U$5:$U$1003, 0)), "")</f>
        <v/>
      </c>
      <c r="I89" s="20" t="str">
        <f>IFERROR(INDEX('Detalles movimientos'!M$5:M$1003, MATCH(80, 'Detalles movimientos'!$U$5:$U$1003, 0)), "")</f>
        <v/>
      </c>
      <c r="J89" s="19" t="str">
        <f>IFERROR(INDEX('Detalles movimientos'!N$5:N$1003, MATCH(80, 'Detalles movimientos'!$U$5:$U$1003, 0)), "")</f>
        <v/>
      </c>
      <c r="K89" s="20" t="str">
        <f>IFERROR(INDEX('Detalles movimientos'!O$5:O$1003, MATCH(80, 'Detalles movimientos'!$U$5:$U$1003, 0)), "")</f>
        <v/>
      </c>
      <c r="L89" s="18" t="str">
        <f>IFERROR(INDEX('Detalles movimientos'!P$5:P$1003, MATCH(80, 'Detalles movimientos'!$U$5:$U$1003, 0)), "")</f>
        <v/>
      </c>
      <c r="M89" s="18" t="str">
        <f>IFERROR(INDEX('Detalles movimientos'!S$5:S$1003, MATCH(80, 'Detalles movimientos'!$U$5:$U$1003, 0)), "")</f>
        <v/>
      </c>
    </row>
    <row r="90" spans="2:13">
      <c r="B90" s="17" t="str">
        <f>IFERROR(INDEX('Detalles movimientos'!C$5:C$1003, MATCH(81, 'Detalles movimientos'!$U$5:$U$1003, 0)), "")</f>
        <v/>
      </c>
      <c r="C90" s="18" t="str">
        <f>IFERROR(INDEX('Detalles movimientos'!D$5:D$1003, MATCH(81, 'Detalles movimientos'!$U$5:$U$1003, 0)), "")</f>
        <v/>
      </c>
      <c r="D90" s="19" t="str">
        <f>IFERROR(INDEX('Detalles movimientos'!E$5:E$1003, MATCH(81, 'Detalles movimientos'!$U$5:$U$1003, 0)), "")</f>
        <v/>
      </c>
      <c r="E90" s="19" t="str">
        <f>IFERROR(INDEX('Detalles movimientos'!F$5:F$1003, MATCH(81, 'Detalles movimientos'!$U$5:$U$1003, 0)), "")</f>
        <v/>
      </c>
      <c r="F90" s="18" t="str">
        <f>IFERROR(INDEX('Detalles movimientos'!G$5:G$1003, MATCH(81, 'Detalles movimientos'!$U$5:$U$1003, 0)), "")</f>
        <v/>
      </c>
      <c r="G90" s="20" t="str">
        <f>IFERROR(INDEX('Detalles movimientos'!H$5:H$1003, MATCH(81, 'Detalles movimientos'!$U$5:$U$1003, 0)), "")</f>
        <v/>
      </c>
      <c r="H90" s="21" t="str">
        <f>IFERROR(INDEX('Detalles movimientos'!I$5:I$1003, MATCH(81, 'Detalles movimientos'!$U$5:$U$1003, 0)), "")</f>
        <v/>
      </c>
      <c r="I90" s="20" t="str">
        <f>IFERROR(INDEX('Detalles movimientos'!M$5:M$1003, MATCH(81, 'Detalles movimientos'!$U$5:$U$1003, 0)), "")</f>
        <v/>
      </c>
      <c r="J90" s="19" t="str">
        <f>IFERROR(INDEX('Detalles movimientos'!N$5:N$1003, MATCH(81, 'Detalles movimientos'!$U$5:$U$1003, 0)), "")</f>
        <v/>
      </c>
      <c r="K90" s="20" t="str">
        <f>IFERROR(INDEX('Detalles movimientos'!O$5:O$1003, MATCH(81, 'Detalles movimientos'!$U$5:$U$1003, 0)), "")</f>
        <v/>
      </c>
      <c r="L90" s="18" t="str">
        <f>IFERROR(INDEX('Detalles movimientos'!P$5:P$1003, MATCH(81, 'Detalles movimientos'!$U$5:$U$1003, 0)), "")</f>
        <v/>
      </c>
      <c r="M90" s="18" t="str">
        <f>IFERROR(INDEX('Detalles movimientos'!S$5:S$1003, MATCH(81, 'Detalles movimientos'!$U$5:$U$1003, 0)), "")</f>
        <v/>
      </c>
    </row>
    <row r="91" spans="2:13">
      <c r="B91" s="17" t="str">
        <f>IFERROR(INDEX('Detalles movimientos'!C$5:C$1003, MATCH(82, 'Detalles movimientos'!$U$5:$U$1003, 0)), "")</f>
        <v/>
      </c>
      <c r="C91" s="18" t="str">
        <f>IFERROR(INDEX('Detalles movimientos'!D$5:D$1003, MATCH(82, 'Detalles movimientos'!$U$5:$U$1003, 0)), "")</f>
        <v/>
      </c>
      <c r="D91" s="19" t="str">
        <f>IFERROR(INDEX('Detalles movimientos'!E$5:E$1003, MATCH(82, 'Detalles movimientos'!$U$5:$U$1003, 0)), "")</f>
        <v/>
      </c>
      <c r="E91" s="19" t="str">
        <f>IFERROR(INDEX('Detalles movimientos'!F$5:F$1003, MATCH(82, 'Detalles movimientos'!$U$5:$U$1003, 0)), "")</f>
        <v/>
      </c>
      <c r="F91" s="18" t="str">
        <f>IFERROR(INDEX('Detalles movimientos'!G$5:G$1003, MATCH(82, 'Detalles movimientos'!$U$5:$U$1003, 0)), "")</f>
        <v/>
      </c>
      <c r="G91" s="20" t="str">
        <f>IFERROR(INDEX('Detalles movimientos'!H$5:H$1003, MATCH(82, 'Detalles movimientos'!$U$5:$U$1003, 0)), "")</f>
        <v/>
      </c>
      <c r="H91" s="21" t="str">
        <f>IFERROR(INDEX('Detalles movimientos'!I$5:I$1003, MATCH(82, 'Detalles movimientos'!$U$5:$U$1003, 0)), "")</f>
        <v/>
      </c>
      <c r="I91" s="20" t="str">
        <f>IFERROR(INDEX('Detalles movimientos'!M$5:M$1003, MATCH(82, 'Detalles movimientos'!$U$5:$U$1003, 0)), "")</f>
        <v/>
      </c>
      <c r="J91" s="19" t="str">
        <f>IFERROR(INDEX('Detalles movimientos'!N$5:N$1003, MATCH(82, 'Detalles movimientos'!$U$5:$U$1003, 0)), "")</f>
        <v/>
      </c>
      <c r="K91" s="20" t="str">
        <f>IFERROR(INDEX('Detalles movimientos'!O$5:O$1003, MATCH(82, 'Detalles movimientos'!$U$5:$U$1003, 0)), "")</f>
        <v/>
      </c>
      <c r="L91" s="18" t="str">
        <f>IFERROR(INDEX('Detalles movimientos'!P$5:P$1003, MATCH(82, 'Detalles movimientos'!$U$5:$U$1003, 0)), "")</f>
        <v/>
      </c>
      <c r="M91" s="18" t="str">
        <f>IFERROR(INDEX('Detalles movimientos'!S$5:S$1003, MATCH(82, 'Detalles movimientos'!$U$5:$U$1003, 0)), "")</f>
        <v/>
      </c>
    </row>
    <row r="92" spans="2:13">
      <c r="B92" s="17" t="str">
        <f>IFERROR(INDEX('Detalles movimientos'!C$5:C$1003, MATCH(83, 'Detalles movimientos'!$U$5:$U$1003, 0)), "")</f>
        <v/>
      </c>
      <c r="C92" s="18" t="str">
        <f>IFERROR(INDEX('Detalles movimientos'!D$5:D$1003, MATCH(83, 'Detalles movimientos'!$U$5:$U$1003, 0)), "")</f>
        <v/>
      </c>
      <c r="D92" s="19" t="str">
        <f>IFERROR(INDEX('Detalles movimientos'!E$5:E$1003, MATCH(83, 'Detalles movimientos'!$U$5:$U$1003, 0)), "")</f>
        <v/>
      </c>
      <c r="E92" s="19" t="str">
        <f>IFERROR(INDEX('Detalles movimientos'!F$5:F$1003, MATCH(83, 'Detalles movimientos'!$U$5:$U$1003, 0)), "")</f>
        <v/>
      </c>
      <c r="F92" s="18" t="str">
        <f>IFERROR(INDEX('Detalles movimientos'!G$5:G$1003, MATCH(83, 'Detalles movimientos'!$U$5:$U$1003, 0)), "")</f>
        <v/>
      </c>
      <c r="G92" s="20" t="str">
        <f>IFERROR(INDEX('Detalles movimientos'!H$5:H$1003, MATCH(83, 'Detalles movimientos'!$U$5:$U$1003, 0)), "")</f>
        <v/>
      </c>
      <c r="H92" s="21" t="str">
        <f>IFERROR(INDEX('Detalles movimientos'!I$5:I$1003, MATCH(83, 'Detalles movimientos'!$U$5:$U$1003, 0)), "")</f>
        <v/>
      </c>
      <c r="I92" s="20" t="str">
        <f>IFERROR(INDEX('Detalles movimientos'!M$5:M$1003, MATCH(83, 'Detalles movimientos'!$U$5:$U$1003, 0)), "")</f>
        <v/>
      </c>
      <c r="J92" s="19" t="str">
        <f>IFERROR(INDEX('Detalles movimientos'!N$5:N$1003, MATCH(83, 'Detalles movimientos'!$U$5:$U$1003, 0)), "")</f>
        <v/>
      </c>
      <c r="K92" s="20" t="str">
        <f>IFERROR(INDEX('Detalles movimientos'!O$5:O$1003, MATCH(83, 'Detalles movimientos'!$U$5:$U$1003, 0)), "")</f>
        <v/>
      </c>
      <c r="L92" s="18" t="str">
        <f>IFERROR(INDEX('Detalles movimientos'!P$5:P$1003, MATCH(83, 'Detalles movimientos'!$U$5:$U$1003, 0)), "")</f>
        <v/>
      </c>
      <c r="M92" s="18" t="str">
        <f>IFERROR(INDEX('Detalles movimientos'!S$5:S$1003, MATCH(83, 'Detalles movimientos'!$U$5:$U$1003, 0)), "")</f>
        <v/>
      </c>
    </row>
    <row r="93" spans="2:13">
      <c r="B93" s="17" t="str">
        <f>IFERROR(INDEX('Detalles movimientos'!C$5:C$1003, MATCH(84, 'Detalles movimientos'!$U$5:$U$1003, 0)), "")</f>
        <v/>
      </c>
      <c r="C93" s="18" t="str">
        <f>IFERROR(INDEX('Detalles movimientos'!D$5:D$1003, MATCH(84, 'Detalles movimientos'!$U$5:$U$1003, 0)), "")</f>
        <v/>
      </c>
      <c r="D93" s="19" t="str">
        <f>IFERROR(INDEX('Detalles movimientos'!E$5:E$1003, MATCH(84, 'Detalles movimientos'!$U$5:$U$1003, 0)), "")</f>
        <v/>
      </c>
      <c r="E93" s="19" t="str">
        <f>IFERROR(INDEX('Detalles movimientos'!F$5:F$1003, MATCH(84, 'Detalles movimientos'!$U$5:$U$1003, 0)), "")</f>
        <v/>
      </c>
      <c r="F93" s="18" t="str">
        <f>IFERROR(INDEX('Detalles movimientos'!G$5:G$1003, MATCH(84, 'Detalles movimientos'!$U$5:$U$1003, 0)), "")</f>
        <v/>
      </c>
      <c r="G93" s="20" t="str">
        <f>IFERROR(INDEX('Detalles movimientos'!H$5:H$1003, MATCH(84, 'Detalles movimientos'!$U$5:$U$1003, 0)), "")</f>
        <v/>
      </c>
      <c r="H93" s="21" t="str">
        <f>IFERROR(INDEX('Detalles movimientos'!I$5:I$1003, MATCH(84, 'Detalles movimientos'!$U$5:$U$1003, 0)), "")</f>
        <v/>
      </c>
      <c r="I93" s="20" t="str">
        <f>IFERROR(INDEX('Detalles movimientos'!M$5:M$1003, MATCH(84, 'Detalles movimientos'!$U$5:$U$1003, 0)), "")</f>
        <v/>
      </c>
      <c r="J93" s="19" t="str">
        <f>IFERROR(INDEX('Detalles movimientos'!N$5:N$1003, MATCH(84, 'Detalles movimientos'!$U$5:$U$1003, 0)), "")</f>
        <v/>
      </c>
      <c r="K93" s="20" t="str">
        <f>IFERROR(INDEX('Detalles movimientos'!O$5:O$1003, MATCH(84, 'Detalles movimientos'!$U$5:$U$1003, 0)), "")</f>
        <v/>
      </c>
      <c r="L93" s="18" t="str">
        <f>IFERROR(INDEX('Detalles movimientos'!P$5:P$1003, MATCH(84, 'Detalles movimientos'!$U$5:$U$1003, 0)), "")</f>
        <v/>
      </c>
      <c r="M93" s="18" t="str">
        <f>IFERROR(INDEX('Detalles movimientos'!S$5:S$1003, MATCH(84, 'Detalles movimientos'!$U$5:$U$1003, 0)), "")</f>
        <v/>
      </c>
    </row>
    <row r="94" spans="2:13">
      <c r="B94" s="17" t="str">
        <f>IFERROR(INDEX('Detalles movimientos'!C$5:C$1003, MATCH(85, 'Detalles movimientos'!$U$5:$U$1003, 0)), "")</f>
        <v/>
      </c>
      <c r="C94" s="18" t="str">
        <f>IFERROR(INDEX('Detalles movimientos'!D$5:D$1003, MATCH(85, 'Detalles movimientos'!$U$5:$U$1003, 0)), "")</f>
        <v/>
      </c>
      <c r="D94" s="19" t="str">
        <f>IFERROR(INDEX('Detalles movimientos'!E$5:E$1003, MATCH(85, 'Detalles movimientos'!$U$5:$U$1003, 0)), "")</f>
        <v/>
      </c>
      <c r="E94" s="19" t="str">
        <f>IFERROR(INDEX('Detalles movimientos'!F$5:F$1003, MATCH(85, 'Detalles movimientos'!$U$5:$U$1003, 0)), "")</f>
        <v/>
      </c>
      <c r="F94" s="18" t="str">
        <f>IFERROR(INDEX('Detalles movimientos'!G$5:G$1003, MATCH(85, 'Detalles movimientos'!$U$5:$U$1003, 0)), "")</f>
        <v/>
      </c>
      <c r="G94" s="20" t="str">
        <f>IFERROR(INDEX('Detalles movimientos'!H$5:H$1003, MATCH(85, 'Detalles movimientos'!$U$5:$U$1003, 0)), "")</f>
        <v/>
      </c>
      <c r="H94" s="21" t="str">
        <f>IFERROR(INDEX('Detalles movimientos'!I$5:I$1003, MATCH(85, 'Detalles movimientos'!$U$5:$U$1003, 0)), "")</f>
        <v/>
      </c>
      <c r="I94" s="20" t="str">
        <f>IFERROR(INDEX('Detalles movimientos'!M$5:M$1003, MATCH(85, 'Detalles movimientos'!$U$5:$U$1003, 0)), "")</f>
        <v/>
      </c>
      <c r="J94" s="19" t="str">
        <f>IFERROR(INDEX('Detalles movimientos'!N$5:N$1003, MATCH(85, 'Detalles movimientos'!$U$5:$U$1003, 0)), "")</f>
        <v/>
      </c>
      <c r="K94" s="20" t="str">
        <f>IFERROR(INDEX('Detalles movimientos'!O$5:O$1003, MATCH(85, 'Detalles movimientos'!$U$5:$U$1003, 0)), "")</f>
        <v/>
      </c>
      <c r="L94" s="18" t="str">
        <f>IFERROR(INDEX('Detalles movimientos'!P$5:P$1003, MATCH(85, 'Detalles movimientos'!$U$5:$U$1003, 0)), "")</f>
        <v/>
      </c>
      <c r="M94" s="18" t="str">
        <f>IFERROR(INDEX('Detalles movimientos'!S$5:S$1003, MATCH(85, 'Detalles movimientos'!$U$5:$U$1003, 0)), "")</f>
        <v/>
      </c>
    </row>
    <row r="95" spans="2:13">
      <c r="B95" s="17" t="str">
        <f>IFERROR(INDEX('Detalles movimientos'!C$5:C$1003, MATCH(86, 'Detalles movimientos'!$U$5:$U$1003, 0)), "")</f>
        <v/>
      </c>
      <c r="C95" s="18" t="str">
        <f>IFERROR(INDEX('Detalles movimientos'!D$5:D$1003, MATCH(86, 'Detalles movimientos'!$U$5:$U$1003, 0)), "")</f>
        <v/>
      </c>
      <c r="D95" s="19" t="str">
        <f>IFERROR(INDEX('Detalles movimientos'!E$5:E$1003, MATCH(86, 'Detalles movimientos'!$U$5:$U$1003, 0)), "")</f>
        <v/>
      </c>
      <c r="E95" s="19" t="str">
        <f>IFERROR(INDEX('Detalles movimientos'!F$5:F$1003, MATCH(86, 'Detalles movimientos'!$U$5:$U$1003, 0)), "")</f>
        <v/>
      </c>
      <c r="F95" s="18" t="str">
        <f>IFERROR(INDEX('Detalles movimientos'!G$5:G$1003, MATCH(86, 'Detalles movimientos'!$U$5:$U$1003, 0)), "")</f>
        <v/>
      </c>
      <c r="G95" s="20" t="str">
        <f>IFERROR(INDEX('Detalles movimientos'!H$5:H$1003, MATCH(86, 'Detalles movimientos'!$U$5:$U$1003, 0)), "")</f>
        <v/>
      </c>
      <c r="H95" s="21" t="str">
        <f>IFERROR(INDEX('Detalles movimientos'!I$5:I$1003, MATCH(86, 'Detalles movimientos'!$U$5:$U$1003, 0)), "")</f>
        <v/>
      </c>
      <c r="I95" s="20" t="str">
        <f>IFERROR(INDEX('Detalles movimientos'!M$5:M$1003, MATCH(86, 'Detalles movimientos'!$U$5:$U$1003, 0)), "")</f>
        <v/>
      </c>
      <c r="J95" s="19" t="str">
        <f>IFERROR(INDEX('Detalles movimientos'!N$5:N$1003, MATCH(86, 'Detalles movimientos'!$U$5:$U$1003, 0)), "")</f>
        <v/>
      </c>
      <c r="K95" s="20" t="str">
        <f>IFERROR(INDEX('Detalles movimientos'!O$5:O$1003, MATCH(86, 'Detalles movimientos'!$U$5:$U$1003, 0)), "")</f>
        <v/>
      </c>
      <c r="L95" s="18" t="str">
        <f>IFERROR(INDEX('Detalles movimientos'!P$5:P$1003, MATCH(86, 'Detalles movimientos'!$U$5:$U$1003, 0)), "")</f>
        <v/>
      </c>
      <c r="M95" s="18" t="str">
        <f>IFERROR(INDEX('Detalles movimientos'!S$5:S$1003, MATCH(86, 'Detalles movimientos'!$U$5:$U$1003, 0)), "")</f>
        <v/>
      </c>
    </row>
    <row r="96" spans="2:13">
      <c r="B96" s="17" t="str">
        <f>IFERROR(INDEX('Detalles movimientos'!C$5:C$1003, MATCH(87, 'Detalles movimientos'!$U$5:$U$1003, 0)), "")</f>
        <v/>
      </c>
      <c r="C96" s="18" t="str">
        <f>IFERROR(INDEX('Detalles movimientos'!D$5:D$1003, MATCH(87, 'Detalles movimientos'!$U$5:$U$1003, 0)), "")</f>
        <v/>
      </c>
      <c r="D96" s="19" t="str">
        <f>IFERROR(INDEX('Detalles movimientos'!E$5:E$1003, MATCH(87, 'Detalles movimientos'!$U$5:$U$1003, 0)), "")</f>
        <v/>
      </c>
      <c r="E96" s="19" t="str">
        <f>IFERROR(INDEX('Detalles movimientos'!F$5:F$1003, MATCH(87, 'Detalles movimientos'!$U$5:$U$1003, 0)), "")</f>
        <v/>
      </c>
      <c r="F96" s="18" t="str">
        <f>IFERROR(INDEX('Detalles movimientos'!G$5:G$1003, MATCH(87, 'Detalles movimientos'!$U$5:$U$1003, 0)), "")</f>
        <v/>
      </c>
      <c r="G96" s="20" t="str">
        <f>IFERROR(INDEX('Detalles movimientos'!H$5:H$1003, MATCH(87, 'Detalles movimientos'!$U$5:$U$1003, 0)), "")</f>
        <v/>
      </c>
      <c r="H96" s="21" t="str">
        <f>IFERROR(INDEX('Detalles movimientos'!I$5:I$1003, MATCH(87, 'Detalles movimientos'!$U$5:$U$1003, 0)), "")</f>
        <v/>
      </c>
      <c r="I96" s="20" t="str">
        <f>IFERROR(INDEX('Detalles movimientos'!M$5:M$1003, MATCH(87, 'Detalles movimientos'!$U$5:$U$1003, 0)), "")</f>
        <v/>
      </c>
      <c r="J96" s="19" t="str">
        <f>IFERROR(INDEX('Detalles movimientos'!N$5:N$1003, MATCH(87, 'Detalles movimientos'!$U$5:$U$1003, 0)), "")</f>
        <v/>
      </c>
      <c r="K96" s="20" t="str">
        <f>IFERROR(INDEX('Detalles movimientos'!O$5:O$1003, MATCH(87, 'Detalles movimientos'!$U$5:$U$1003, 0)), "")</f>
        <v/>
      </c>
      <c r="L96" s="18" t="str">
        <f>IFERROR(INDEX('Detalles movimientos'!P$5:P$1003, MATCH(87, 'Detalles movimientos'!$U$5:$U$1003, 0)), "")</f>
        <v/>
      </c>
      <c r="M96" s="18" t="str">
        <f>IFERROR(INDEX('Detalles movimientos'!S$5:S$1003, MATCH(87, 'Detalles movimientos'!$U$5:$U$1003, 0)), "")</f>
        <v/>
      </c>
    </row>
    <row r="97" spans="2:13">
      <c r="B97" s="17" t="str">
        <f>IFERROR(INDEX('Detalles movimientos'!C$5:C$1003, MATCH(88, 'Detalles movimientos'!$U$5:$U$1003, 0)), "")</f>
        <v/>
      </c>
      <c r="C97" s="18" t="str">
        <f>IFERROR(INDEX('Detalles movimientos'!D$5:D$1003, MATCH(88, 'Detalles movimientos'!$U$5:$U$1003, 0)), "")</f>
        <v/>
      </c>
      <c r="D97" s="19" t="str">
        <f>IFERROR(INDEX('Detalles movimientos'!E$5:E$1003, MATCH(88, 'Detalles movimientos'!$U$5:$U$1003, 0)), "")</f>
        <v/>
      </c>
      <c r="E97" s="19" t="str">
        <f>IFERROR(INDEX('Detalles movimientos'!F$5:F$1003, MATCH(88, 'Detalles movimientos'!$U$5:$U$1003, 0)), "")</f>
        <v/>
      </c>
      <c r="F97" s="18" t="str">
        <f>IFERROR(INDEX('Detalles movimientos'!G$5:G$1003, MATCH(88, 'Detalles movimientos'!$U$5:$U$1003, 0)), "")</f>
        <v/>
      </c>
      <c r="G97" s="20" t="str">
        <f>IFERROR(INDEX('Detalles movimientos'!H$5:H$1003, MATCH(88, 'Detalles movimientos'!$U$5:$U$1003, 0)), "")</f>
        <v/>
      </c>
      <c r="H97" s="21" t="str">
        <f>IFERROR(INDEX('Detalles movimientos'!I$5:I$1003, MATCH(88, 'Detalles movimientos'!$U$5:$U$1003, 0)), "")</f>
        <v/>
      </c>
      <c r="I97" s="20" t="str">
        <f>IFERROR(INDEX('Detalles movimientos'!M$5:M$1003, MATCH(88, 'Detalles movimientos'!$U$5:$U$1003, 0)), "")</f>
        <v/>
      </c>
      <c r="J97" s="19" t="str">
        <f>IFERROR(INDEX('Detalles movimientos'!N$5:N$1003, MATCH(88, 'Detalles movimientos'!$U$5:$U$1003, 0)), "")</f>
        <v/>
      </c>
      <c r="K97" s="20" t="str">
        <f>IFERROR(INDEX('Detalles movimientos'!O$5:O$1003, MATCH(88, 'Detalles movimientos'!$U$5:$U$1003, 0)), "")</f>
        <v/>
      </c>
      <c r="L97" s="18" t="str">
        <f>IFERROR(INDEX('Detalles movimientos'!P$5:P$1003, MATCH(88, 'Detalles movimientos'!$U$5:$U$1003, 0)), "")</f>
        <v/>
      </c>
      <c r="M97" s="18" t="str">
        <f>IFERROR(INDEX('Detalles movimientos'!S$5:S$1003, MATCH(88, 'Detalles movimientos'!$U$5:$U$1003, 0)), "")</f>
        <v/>
      </c>
    </row>
    <row r="98" spans="2:13">
      <c r="B98" s="17" t="str">
        <f>IFERROR(INDEX('Detalles movimientos'!C$5:C$1003, MATCH(89, 'Detalles movimientos'!$U$5:$U$1003, 0)), "")</f>
        <v/>
      </c>
      <c r="C98" s="18" t="str">
        <f>IFERROR(INDEX('Detalles movimientos'!D$5:D$1003, MATCH(89, 'Detalles movimientos'!$U$5:$U$1003, 0)), "")</f>
        <v/>
      </c>
      <c r="D98" s="19" t="str">
        <f>IFERROR(INDEX('Detalles movimientos'!E$5:E$1003, MATCH(89, 'Detalles movimientos'!$U$5:$U$1003, 0)), "")</f>
        <v/>
      </c>
      <c r="E98" s="19" t="str">
        <f>IFERROR(INDEX('Detalles movimientos'!F$5:F$1003, MATCH(89, 'Detalles movimientos'!$U$5:$U$1003, 0)), "")</f>
        <v/>
      </c>
      <c r="F98" s="18" t="str">
        <f>IFERROR(INDEX('Detalles movimientos'!G$5:G$1003, MATCH(89, 'Detalles movimientos'!$U$5:$U$1003, 0)), "")</f>
        <v/>
      </c>
      <c r="G98" s="20" t="str">
        <f>IFERROR(INDEX('Detalles movimientos'!H$5:H$1003, MATCH(89, 'Detalles movimientos'!$U$5:$U$1003, 0)), "")</f>
        <v/>
      </c>
      <c r="H98" s="21" t="str">
        <f>IFERROR(INDEX('Detalles movimientos'!I$5:I$1003, MATCH(89, 'Detalles movimientos'!$U$5:$U$1003, 0)), "")</f>
        <v/>
      </c>
      <c r="I98" s="20" t="str">
        <f>IFERROR(INDEX('Detalles movimientos'!M$5:M$1003, MATCH(89, 'Detalles movimientos'!$U$5:$U$1003, 0)), "")</f>
        <v/>
      </c>
      <c r="J98" s="19" t="str">
        <f>IFERROR(INDEX('Detalles movimientos'!N$5:N$1003, MATCH(89, 'Detalles movimientos'!$U$5:$U$1003, 0)), "")</f>
        <v/>
      </c>
      <c r="K98" s="20" t="str">
        <f>IFERROR(INDEX('Detalles movimientos'!O$5:O$1003, MATCH(89, 'Detalles movimientos'!$U$5:$U$1003, 0)), "")</f>
        <v/>
      </c>
      <c r="L98" s="18" t="str">
        <f>IFERROR(INDEX('Detalles movimientos'!P$5:P$1003, MATCH(89, 'Detalles movimientos'!$U$5:$U$1003, 0)), "")</f>
        <v/>
      </c>
      <c r="M98" s="18" t="str">
        <f>IFERROR(INDEX('Detalles movimientos'!S$5:S$1003, MATCH(89, 'Detalles movimientos'!$U$5:$U$1003, 0)), "")</f>
        <v/>
      </c>
    </row>
    <row r="99" spans="2:13">
      <c r="B99" s="17" t="str">
        <f>IFERROR(INDEX('Detalles movimientos'!C$5:C$1003, MATCH(90, 'Detalles movimientos'!$U$5:$U$1003, 0)), "")</f>
        <v/>
      </c>
      <c r="C99" s="18" t="str">
        <f>IFERROR(INDEX('Detalles movimientos'!D$5:D$1003, MATCH(90, 'Detalles movimientos'!$U$5:$U$1003, 0)), "")</f>
        <v/>
      </c>
      <c r="D99" s="19" t="str">
        <f>IFERROR(INDEX('Detalles movimientos'!E$5:E$1003, MATCH(90, 'Detalles movimientos'!$U$5:$U$1003, 0)), "")</f>
        <v/>
      </c>
      <c r="E99" s="19" t="str">
        <f>IFERROR(INDEX('Detalles movimientos'!F$5:F$1003, MATCH(90, 'Detalles movimientos'!$U$5:$U$1003, 0)), "")</f>
        <v/>
      </c>
      <c r="F99" s="18" t="str">
        <f>IFERROR(INDEX('Detalles movimientos'!G$5:G$1003, MATCH(90, 'Detalles movimientos'!$U$5:$U$1003, 0)), "")</f>
        <v/>
      </c>
      <c r="G99" s="20" t="str">
        <f>IFERROR(INDEX('Detalles movimientos'!H$5:H$1003, MATCH(90, 'Detalles movimientos'!$U$5:$U$1003, 0)), "")</f>
        <v/>
      </c>
      <c r="H99" s="21" t="str">
        <f>IFERROR(INDEX('Detalles movimientos'!I$5:I$1003, MATCH(90, 'Detalles movimientos'!$U$5:$U$1003, 0)), "")</f>
        <v/>
      </c>
      <c r="I99" s="20" t="str">
        <f>IFERROR(INDEX('Detalles movimientos'!M$5:M$1003, MATCH(90, 'Detalles movimientos'!$U$5:$U$1003, 0)), "")</f>
        <v/>
      </c>
      <c r="J99" s="19" t="str">
        <f>IFERROR(INDEX('Detalles movimientos'!N$5:N$1003, MATCH(90, 'Detalles movimientos'!$U$5:$U$1003, 0)), "")</f>
        <v/>
      </c>
      <c r="K99" s="20" t="str">
        <f>IFERROR(INDEX('Detalles movimientos'!O$5:O$1003, MATCH(90, 'Detalles movimientos'!$U$5:$U$1003, 0)), "")</f>
        <v/>
      </c>
      <c r="L99" s="18" t="str">
        <f>IFERROR(INDEX('Detalles movimientos'!P$5:P$1003, MATCH(90, 'Detalles movimientos'!$U$5:$U$1003, 0)), "")</f>
        <v/>
      </c>
      <c r="M99" s="18" t="str">
        <f>IFERROR(INDEX('Detalles movimientos'!S$5:S$1003, MATCH(90, 'Detalles movimientos'!$U$5:$U$1003, 0)), "")</f>
        <v/>
      </c>
    </row>
    <row r="100" spans="2:13">
      <c r="B100" s="17" t="str">
        <f>IFERROR(INDEX('Detalles movimientos'!C$5:C$1003, MATCH(91, 'Detalles movimientos'!$U$5:$U$1003, 0)), "")</f>
        <v/>
      </c>
      <c r="C100" s="18" t="str">
        <f>IFERROR(INDEX('Detalles movimientos'!D$5:D$1003, MATCH(91, 'Detalles movimientos'!$U$5:$U$1003, 0)), "")</f>
        <v/>
      </c>
      <c r="D100" s="19" t="str">
        <f>IFERROR(INDEX('Detalles movimientos'!E$5:E$1003, MATCH(91, 'Detalles movimientos'!$U$5:$U$1003, 0)), "")</f>
        <v/>
      </c>
      <c r="E100" s="19" t="str">
        <f>IFERROR(INDEX('Detalles movimientos'!F$5:F$1003, MATCH(91, 'Detalles movimientos'!$U$5:$U$1003, 0)), "")</f>
        <v/>
      </c>
      <c r="F100" s="18" t="str">
        <f>IFERROR(INDEX('Detalles movimientos'!G$5:G$1003, MATCH(91, 'Detalles movimientos'!$U$5:$U$1003, 0)), "")</f>
        <v/>
      </c>
      <c r="G100" s="20" t="str">
        <f>IFERROR(INDEX('Detalles movimientos'!H$5:H$1003, MATCH(91, 'Detalles movimientos'!$U$5:$U$1003, 0)), "")</f>
        <v/>
      </c>
      <c r="H100" s="21" t="str">
        <f>IFERROR(INDEX('Detalles movimientos'!I$5:I$1003, MATCH(91, 'Detalles movimientos'!$U$5:$U$1003, 0)), "")</f>
        <v/>
      </c>
      <c r="I100" s="20" t="str">
        <f>IFERROR(INDEX('Detalles movimientos'!M$5:M$1003, MATCH(91, 'Detalles movimientos'!$U$5:$U$1003, 0)), "")</f>
        <v/>
      </c>
      <c r="J100" s="19" t="str">
        <f>IFERROR(INDEX('Detalles movimientos'!N$5:N$1003, MATCH(91, 'Detalles movimientos'!$U$5:$U$1003, 0)), "")</f>
        <v/>
      </c>
      <c r="K100" s="20" t="str">
        <f>IFERROR(INDEX('Detalles movimientos'!O$5:O$1003, MATCH(91, 'Detalles movimientos'!$U$5:$U$1003, 0)), "")</f>
        <v/>
      </c>
      <c r="L100" s="18" t="str">
        <f>IFERROR(INDEX('Detalles movimientos'!P$5:P$1003, MATCH(91, 'Detalles movimientos'!$U$5:$U$1003, 0)), "")</f>
        <v/>
      </c>
      <c r="M100" s="18" t="str">
        <f>IFERROR(INDEX('Detalles movimientos'!S$5:S$1003, MATCH(91, 'Detalles movimientos'!$U$5:$U$1003, 0)), "")</f>
        <v/>
      </c>
    </row>
    <row r="101" spans="2:13">
      <c r="B101" s="17" t="str">
        <f>IFERROR(INDEX('Detalles movimientos'!C$5:C$1003, MATCH(92, 'Detalles movimientos'!$U$5:$U$1003, 0)), "")</f>
        <v/>
      </c>
      <c r="C101" s="18" t="str">
        <f>IFERROR(INDEX('Detalles movimientos'!D$5:D$1003, MATCH(92, 'Detalles movimientos'!$U$5:$U$1003, 0)), "")</f>
        <v/>
      </c>
      <c r="D101" s="19" t="str">
        <f>IFERROR(INDEX('Detalles movimientos'!E$5:E$1003, MATCH(92, 'Detalles movimientos'!$U$5:$U$1003, 0)), "")</f>
        <v/>
      </c>
      <c r="E101" s="19" t="str">
        <f>IFERROR(INDEX('Detalles movimientos'!F$5:F$1003, MATCH(92, 'Detalles movimientos'!$U$5:$U$1003, 0)), "")</f>
        <v/>
      </c>
      <c r="F101" s="18" t="str">
        <f>IFERROR(INDEX('Detalles movimientos'!G$5:G$1003, MATCH(92, 'Detalles movimientos'!$U$5:$U$1003, 0)), "")</f>
        <v/>
      </c>
      <c r="G101" s="20" t="str">
        <f>IFERROR(INDEX('Detalles movimientos'!H$5:H$1003, MATCH(92, 'Detalles movimientos'!$U$5:$U$1003, 0)), "")</f>
        <v/>
      </c>
      <c r="H101" s="21" t="str">
        <f>IFERROR(INDEX('Detalles movimientos'!I$5:I$1003, MATCH(92, 'Detalles movimientos'!$U$5:$U$1003, 0)), "")</f>
        <v/>
      </c>
      <c r="I101" s="20" t="str">
        <f>IFERROR(INDEX('Detalles movimientos'!M$5:M$1003, MATCH(92, 'Detalles movimientos'!$U$5:$U$1003, 0)), "")</f>
        <v/>
      </c>
      <c r="J101" s="19" t="str">
        <f>IFERROR(INDEX('Detalles movimientos'!N$5:N$1003, MATCH(92, 'Detalles movimientos'!$U$5:$U$1003, 0)), "")</f>
        <v/>
      </c>
      <c r="K101" s="20" t="str">
        <f>IFERROR(INDEX('Detalles movimientos'!O$5:O$1003, MATCH(92, 'Detalles movimientos'!$U$5:$U$1003, 0)), "")</f>
        <v/>
      </c>
      <c r="L101" s="18" t="str">
        <f>IFERROR(INDEX('Detalles movimientos'!P$5:P$1003, MATCH(92, 'Detalles movimientos'!$U$5:$U$1003, 0)), "")</f>
        <v/>
      </c>
      <c r="M101" s="18" t="str">
        <f>IFERROR(INDEX('Detalles movimientos'!S$5:S$1003, MATCH(92, 'Detalles movimientos'!$U$5:$U$1003, 0)), "")</f>
        <v/>
      </c>
    </row>
    <row r="102" spans="2:13">
      <c r="B102" s="17" t="str">
        <f>IFERROR(INDEX('Detalles movimientos'!C$5:C$1003, MATCH(93, 'Detalles movimientos'!$U$5:$U$1003, 0)), "")</f>
        <v/>
      </c>
      <c r="C102" s="18" t="str">
        <f>IFERROR(INDEX('Detalles movimientos'!D$5:D$1003, MATCH(93, 'Detalles movimientos'!$U$5:$U$1003, 0)), "")</f>
        <v/>
      </c>
      <c r="D102" s="19" t="str">
        <f>IFERROR(INDEX('Detalles movimientos'!E$5:E$1003, MATCH(93, 'Detalles movimientos'!$U$5:$U$1003, 0)), "")</f>
        <v/>
      </c>
      <c r="E102" s="19" t="str">
        <f>IFERROR(INDEX('Detalles movimientos'!F$5:F$1003, MATCH(93, 'Detalles movimientos'!$U$5:$U$1003, 0)), "")</f>
        <v/>
      </c>
      <c r="F102" s="18" t="str">
        <f>IFERROR(INDEX('Detalles movimientos'!G$5:G$1003, MATCH(93, 'Detalles movimientos'!$U$5:$U$1003, 0)), "")</f>
        <v/>
      </c>
      <c r="G102" s="20" t="str">
        <f>IFERROR(INDEX('Detalles movimientos'!H$5:H$1003, MATCH(93, 'Detalles movimientos'!$U$5:$U$1003, 0)), "")</f>
        <v/>
      </c>
      <c r="H102" s="21" t="str">
        <f>IFERROR(INDEX('Detalles movimientos'!I$5:I$1003, MATCH(93, 'Detalles movimientos'!$U$5:$U$1003, 0)), "")</f>
        <v/>
      </c>
      <c r="I102" s="20" t="str">
        <f>IFERROR(INDEX('Detalles movimientos'!M$5:M$1003, MATCH(93, 'Detalles movimientos'!$U$5:$U$1003, 0)), "")</f>
        <v/>
      </c>
      <c r="J102" s="19" t="str">
        <f>IFERROR(INDEX('Detalles movimientos'!N$5:N$1003, MATCH(93, 'Detalles movimientos'!$U$5:$U$1003, 0)), "")</f>
        <v/>
      </c>
      <c r="K102" s="20" t="str">
        <f>IFERROR(INDEX('Detalles movimientos'!O$5:O$1003, MATCH(93, 'Detalles movimientos'!$U$5:$U$1003, 0)), "")</f>
        <v/>
      </c>
      <c r="L102" s="18" t="str">
        <f>IFERROR(INDEX('Detalles movimientos'!P$5:P$1003, MATCH(93, 'Detalles movimientos'!$U$5:$U$1003, 0)), "")</f>
        <v/>
      </c>
      <c r="M102" s="18" t="str">
        <f>IFERROR(INDEX('Detalles movimientos'!S$5:S$1003, MATCH(93, 'Detalles movimientos'!$U$5:$U$1003, 0)), "")</f>
        <v/>
      </c>
    </row>
    <row r="103" spans="2:13">
      <c r="B103" s="17" t="str">
        <f>IFERROR(INDEX('Detalles movimientos'!C$5:C$1003, MATCH(94, 'Detalles movimientos'!$U$5:$U$1003, 0)), "")</f>
        <v/>
      </c>
      <c r="C103" s="18" t="str">
        <f>IFERROR(INDEX('Detalles movimientos'!D$5:D$1003, MATCH(94, 'Detalles movimientos'!$U$5:$U$1003, 0)), "")</f>
        <v/>
      </c>
      <c r="D103" s="19" t="str">
        <f>IFERROR(INDEX('Detalles movimientos'!E$5:E$1003, MATCH(94, 'Detalles movimientos'!$U$5:$U$1003, 0)), "")</f>
        <v/>
      </c>
      <c r="E103" s="19" t="str">
        <f>IFERROR(INDEX('Detalles movimientos'!F$5:F$1003, MATCH(94, 'Detalles movimientos'!$U$5:$U$1003, 0)), "")</f>
        <v/>
      </c>
      <c r="F103" s="18" t="str">
        <f>IFERROR(INDEX('Detalles movimientos'!G$5:G$1003, MATCH(94, 'Detalles movimientos'!$U$5:$U$1003, 0)), "")</f>
        <v/>
      </c>
      <c r="G103" s="20" t="str">
        <f>IFERROR(INDEX('Detalles movimientos'!H$5:H$1003, MATCH(94, 'Detalles movimientos'!$U$5:$U$1003, 0)), "")</f>
        <v/>
      </c>
      <c r="H103" s="21" t="str">
        <f>IFERROR(INDEX('Detalles movimientos'!I$5:I$1003, MATCH(94, 'Detalles movimientos'!$U$5:$U$1003, 0)), "")</f>
        <v/>
      </c>
      <c r="I103" s="20" t="str">
        <f>IFERROR(INDEX('Detalles movimientos'!M$5:M$1003, MATCH(94, 'Detalles movimientos'!$U$5:$U$1003, 0)), "")</f>
        <v/>
      </c>
      <c r="J103" s="19" t="str">
        <f>IFERROR(INDEX('Detalles movimientos'!N$5:N$1003, MATCH(94, 'Detalles movimientos'!$U$5:$U$1003, 0)), "")</f>
        <v/>
      </c>
      <c r="K103" s="20" t="str">
        <f>IFERROR(INDEX('Detalles movimientos'!O$5:O$1003, MATCH(94, 'Detalles movimientos'!$U$5:$U$1003, 0)), "")</f>
        <v/>
      </c>
      <c r="L103" s="18" t="str">
        <f>IFERROR(INDEX('Detalles movimientos'!P$5:P$1003, MATCH(94, 'Detalles movimientos'!$U$5:$U$1003, 0)), "")</f>
        <v/>
      </c>
      <c r="M103" s="18" t="str">
        <f>IFERROR(INDEX('Detalles movimientos'!S$5:S$1003, MATCH(94, 'Detalles movimientos'!$U$5:$U$1003, 0)), "")</f>
        <v/>
      </c>
    </row>
    <row r="104" spans="2:13">
      <c r="B104" s="17" t="str">
        <f>IFERROR(INDEX('Detalles movimientos'!C$5:C$1003, MATCH(95, 'Detalles movimientos'!$U$5:$U$1003, 0)), "")</f>
        <v/>
      </c>
      <c r="C104" s="18" t="str">
        <f>IFERROR(INDEX('Detalles movimientos'!D$5:D$1003, MATCH(95, 'Detalles movimientos'!$U$5:$U$1003, 0)), "")</f>
        <v/>
      </c>
      <c r="D104" s="19" t="str">
        <f>IFERROR(INDEX('Detalles movimientos'!E$5:E$1003, MATCH(95, 'Detalles movimientos'!$U$5:$U$1003, 0)), "")</f>
        <v/>
      </c>
      <c r="E104" s="19" t="str">
        <f>IFERROR(INDEX('Detalles movimientos'!F$5:F$1003, MATCH(95, 'Detalles movimientos'!$U$5:$U$1003, 0)), "")</f>
        <v/>
      </c>
      <c r="F104" s="18" t="str">
        <f>IFERROR(INDEX('Detalles movimientos'!G$5:G$1003, MATCH(95, 'Detalles movimientos'!$U$5:$U$1003, 0)), "")</f>
        <v/>
      </c>
      <c r="G104" s="20" t="str">
        <f>IFERROR(INDEX('Detalles movimientos'!H$5:H$1003, MATCH(95, 'Detalles movimientos'!$U$5:$U$1003, 0)), "")</f>
        <v/>
      </c>
      <c r="H104" s="21" t="str">
        <f>IFERROR(INDEX('Detalles movimientos'!I$5:I$1003, MATCH(95, 'Detalles movimientos'!$U$5:$U$1003, 0)), "")</f>
        <v/>
      </c>
      <c r="I104" s="20" t="str">
        <f>IFERROR(INDEX('Detalles movimientos'!M$5:M$1003, MATCH(95, 'Detalles movimientos'!$U$5:$U$1003, 0)), "")</f>
        <v/>
      </c>
      <c r="J104" s="19" t="str">
        <f>IFERROR(INDEX('Detalles movimientos'!N$5:N$1003, MATCH(95, 'Detalles movimientos'!$U$5:$U$1003, 0)), "")</f>
        <v/>
      </c>
      <c r="K104" s="20" t="str">
        <f>IFERROR(INDEX('Detalles movimientos'!O$5:O$1003, MATCH(95, 'Detalles movimientos'!$U$5:$U$1003, 0)), "")</f>
        <v/>
      </c>
      <c r="L104" s="18" t="str">
        <f>IFERROR(INDEX('Detalles movimientos'!P$5:P$1003, MATCH(95, 'Detalles movimientos'!$U$5:$U$1003, 0)), "")</f>
        <v/>
      </c>
      <c r="M104" s="18" t="str">
        <f>IFERROR(INDEX('Detalles movimientos'!S$5:S$1003, MATCH(95, 'Detalles movimientos'!$U$5:$U$1003, 0)), "")</f>
        <v/>
      </c>
    </row>
    <row r="105" spans="2:13">
      <c r="B105" s="17" t="str">
        <f>IFERROR(INDEX('Detalles movimientos'!C$5:C$1003, MATCH(96, 'Detalles movimientos'!$U$5:$U$1003, 0)), "")</f>
        <v/>
      </c>
      <c r="C105" s="18" t="str">
        <f>IFERROR(INDEX('Detalles movimientos'!D$5:D$1003, MATCH(96, 'Detalles movimientos'!$U$5:$U$1003, 0)), "")</f>
        <v/>
      </c>
      <c r="D105" s="19" t="str">
        <f>IFERROR(INDEX('Detalles movimientos'!E$5:E$1003, MATCH(96, 'Detalles movimientos'!$U$5:$U$1003, 0)), "")</f>
        <v/>
      </c>
      <c r="E105" s="19" t="str">
        <f>IFERROR(INDEX('Detalles movimientos'!F$5:F$1003, MATCH(96, 'Detalles movimientos'!$U$5:$U$1003, 0)), "")</f>
        <v/>
      </c>
      <c r="F105" s="18" t="str">
        <f>IFERROR(INDEX('Detalles movimientos'!G$5:G$1003, MATCH(96, 'Detalles movimientos'!$U$5:$U$1003, 0)), "")</f>
        <v/>
      </c>
      <c r="G105" s="20" t="str">
        <f>IFERROR(INDEX('Detalles movimientos'!H$5:H$1003, MATCH(96, 'Detalles movimientos'!$U$5:$U$1003, 0)), "")</f>
        <v/>
      </c>
      <c r="H105" s="21" t="str">
        <f>IFERROR(INDEX('Detalles movimientos'!I$5:I$1003, MATCH(96, 'Detalles movimientos'!$U$5:$U$1003, 0)), "")</f>
        <v/>
      </c>
      <c r="I105" s="20" t="str">
        <f>IFERROR(INDEX('Detalles movimientos'!M$5:M$1003, MATCH(96, 'Detalles movimientos'!$U$5:$U$1003, 0)), "")</f>
        <v/>
      </c>
      <c r="J105" s="19" t="str">
        <f>IFERROR(INDEX('Detalles movimientos'!N$5:N$1003, MATCH(96, 'Detalles movimientos'!$U$5:$U$1003, 0)), "")</f>
        <v/>
      </c>
      <c r="K105" s="20" t="str">
        <f>IFERROR(INDEX('Detalles movimientos'!O$5:O$1003, MATCH(96, 'Detalles movimientos'!$U$5:$U$1003, 0)), "")</f>
        <v/>
      </c>
      <c r="L105" s="18" t="str">
        <f>IFERROR(INDEX('Detalles movimientos'!P$5:P$1003, MATCH(96, 'Detalles movimientos'!$U$5:$U$1003, 0)), "")</f>
        <v/>
      </c>
      <c r="M105" s="18" t="str">
        <f>IFERROR(INDEX('Detalles movimientos'!S$5:S$1003, MATCH(96, 'Detalles movimientos'!$U$5:$U$1003, 0)), "")</f>
        <v/>
      </c>
    </row>
    <row r="106" spans="2:13">
      <c r="B106" s="17" t="str">
        <f>IFERROR(INDEX('Detalles movimientos'!C$5:C$1003, MATCH(97, 'Detalles movimientos'!$U$5:$U$1003, 0)), "")</f>
        <v/>
      </c>
      <c r="C106" s="18" t="str">
        <f>IFERROR(INDEX('Detalles movimientos'!D$5:D$1003, MATCH(97, 'Detalles movimientos'!$U$5:$U$1003, 0)), "")</f>
        <v/>
      </c>
      <c r="D106" s="19" t="str">
        <f>IFERROR(INDEX('Detalles movimientos'!E$5:E$1003, MATCH(97, 'Detalles movimientos'!$U$5:$U$1003, 0)), "")</f>
        <v/>
      </c>
      <c r="E106" s="19" t="str">
        <f>IFERROR(INDEX('Detalles movimientos'!F$5:F$1003, MATCH(97, 'Detalles movimientos'!$U$5:$U$1003, 0)), "")</f>
        <v/>
      </c>
      <c r="F106" s="18" t="str">
        <f>IFERROR(INDEX('Detalles movimientos'!G$5:G$1003, MATCH(97, 'Detalles movimientos'!$U$5:$U$1003, 0)), "")</f>
        <v/>
      </c>
      <c r="G106" s="20" t="str">
        <f>IFERROR(INDEX('Detalles movimientos'!H$5:H$1003, MATCH(97, 'Detalles movimientos'!$U$5:$U$1003, 0)), "")</f>
        <v/>
      </c>
      <c r="H106" s="21" t="str">
        <f>IFERROR(INDEX('Detalles movimientos'!I$5:I$1003, MATCH(97, 'Detalles movimientos'!$U$5:$U$1003, 0)), "")</f>
        <v/>
      </c>
      <c r="I106" s="20" t="str">
        <f>IFERROR(INDEX('Detalles movimientos'!M$5:M$1003, MATCH(97, 'Detalles movimientos'!$U$5:$U$1003, 0)), "")</f>
        <v/>
      </c>
      <c r="J106" s="19" t="str">
        <f>IFERROR(INDEX('Detalles movimientos'!N$5:N$1003, MATCH(97, 'Detalles movimientos'!$U$5:$U$1003, 0)), "")</f>
        <v/>
      </c>
      <c r="K106" s="20" t="str">
        <f>IFERROR(INDEX('Detalles movimientos'!O$5:O$1003, MATCH(97, 'Detalles movimientos'!$U$5:$U$1003, 0)), "")</f>
        <v/>
      </c>
      <c r="L106" s="18" t="str">
        <f>IFERROR(INDEX('Detalles movimientos'!P$5:P$1003, MATCH(97, 'Detalles movimientos'!$U$5:$U$1003, 0)), "")</f>
        <v/>
      </c>
      <c r="M106" s="18" t="str">
        <f>IFERROR(INDEX('Detalles movimientos'!S$5:S$1003, MATCH(97, 'Detalles movimientos'!$U$5:$U$1003, 0)), "")</f>
        <v/>
      </c>
    </row>
    <row r="107" spans="2:13">
      <c r="B107" s="17" t="str">
        <f>IFERROR(INDEX('Detalles movimientos'!C$5:C$1003, MATCH(98, 'Detalles movimientos'!$U$5:$U$1003, 0)), "")</f>
        <v/>
      </c>
      <c r="C107" s="18" t="str">
        <f>IFERROR(INDEX('Detalles movimientos'!D$5:D$1003, MATCH(98, 'Detalles movimientos'!$U$5:$U$1003, 0)), "")</f>
        <v/>
      </c>
      <c r="D107" s="19" t="str">
        <f>IFERROR(INDEX('Detalles movimientos'!E$5:E$1003, MATCH(98, 'Detalles movimientos'!$U$5:$U$1003, 0)), "")</f>
        <v/>
      </c>
      <c r="E107" s="19" t="str">
        <f>IFERROR(INDEX('Detalles movimientos'!F$5:F$1003, MATCH(98, 'Detalles movimientos'!$U$5:$U$1003, 0)), "")</f>
        <v/>
      </c>
      <c r="F107" s="18" t="str">
        <f>IFERROR(INDEX('Detalles movimientos'!G$5:G$1003, MATCH(98, 'Detalles movimientos'!$U$5:$U$1003, 0)), "")</f>
        <v/>
      </c>
      <c r="G107" s="20" t="str">
        <f>IFERROR(INDEX('Detalles movimientos'!H$5:H$1003, MATCH(98, 'Detalles movimientos'!$U$5:$U$1003, 0)), "")</f>
        <v/>
      </c>
      <c r="H107" s="21" t="str">
        <f>IFERROR(INDEX('Detalles movimientos'!I$5:I$1003, MATCH(98, 'Detalles movimientos'!$U$5:$U$1003, 0)), "")</f>
        <v/>
      </c>
      <c r="I107" s="20" t="str">
        <f>IFERROR(INDEX('Detalles movimientos'!M$5:M$1003, MATCH(98, 'Detalles movimientos'!$U$5:$U$1003, 0)), "")</f>
        <v/>
      </c>
      <c r="J107" s="19" t="str">
        <f>IFERROR(INDEX('Detalles movimientos'!N$5:N$1003, MATCH(98, 'Detalles movimientos'!$U$5:$U$1003, 0)), "")</f>
        <v/>
      </c>
      <c r="K107" s="20" t="str">
        <f>IFERROR(INDEX('Detalles movimientos'!O$5:O$1003, MATCH(98, 'Detalles movimientos'!$U$5:$U$1003, 0)), "")</f>
        <v/>
      </c>
      <c r="L107" s="18" t="str">
        <f>IFERROR(INDEX('Detalles movimientos'!P$5:P$1003, MATCH(98, 'Detalles movimientos'!$U$5:$U$1003, 0)), "")</f>
        <v/>
      </c>
      <c r="M107" s="18" t="str">
        <f>IFERROR(INDEX('Detalles movimientos'!S$5:S$1003, MATCH(98, 'Detalles movimientos'!$U$5:$U$1003, 0)), "")</f>
        <v/>
      </c>
    </row>
    <row r="108" spans="2:13">
      <c r="B108" s="17" t="str">
        <f>IFERROR(INDEX('Detalles movimientos'!C$5:C$1003, MATCH(99, 'Detalles movimientos'!$U$5:$U$1003, 0)), "")</f>
        <v/>
      </c>
      <c r="C108" s="18" t="str">
        <f>IFERROR(INDEX('Detalles movimientos'!D$5:D$1003, MATCH(99, 'Detalles movimientos'!$U$5:$U$1003, 0)), "")</f>
        <v/>
      </c>
      <c r="D108" s="19" t="str">
        <f>IFERROR(INDEX('Detalles movimientos'!E$5:E$1003, MATCH(99, 'Detalles movimientos'!$U$5:$U$1003, 0)), "")</f>
        <v/>
      </c>
      <c r="E108" s="19" t="str">
        <f>IFERROR(INDEX('Detalles movimientos'!F$5:F$1003, MATCH(99, 'Detalles movimientos'!$U$5:$U$1003, 0)), "")</f>
        <v/>
      </c>
      <c r="F108" s="18" t="str">
        <f>IFERROR(INDEX('Detalles movimientos'!G$5:G$1003, MATCH(99, 'Detalles movimientos'!$U$5:$U$1003, 0)), "")</f>
        <v/>
      </c>
      <c r="G108" s="20" t="str">
        <f>IFERROR(INDEX('Detalles movimientos'!H$5:H$1003, MATCH(99, 'Detalles movimientos'!$U$5:$U$1003, 0)), "")</f>
        <v/>
      </c>
      <c r="H108" s="21" t="str">
        <f>IFERROR(INDEX('Detalles movimientos'!I$5:I$1003, MATCH(99, 'Detalles movimientos'!$U$5:$U$1003, 0)), "")</f>
        <v/>
      </c>
      <c r="I108" s="20" t="str">
        <f>IFERROR(INDEX('Detalles movimientos'!M$5:M$1003, MATCH(99, 'Detalles movimientos'!$U$5:$U$1003, 0)), "")</f>
        <v/>
      </c>
      <c r="J108" s="19" t="str">
        <f>IFERROR(INDEX('Detalles movimientos'!N$5:N$1003, MATCH(99, 'Detalles movimientos'!$U$5:$U$1003, 0)), "")</f>
        <v/>
      </c>
      <c r="K108" s="20" t="str">
        <f>IFERROR(INDEX('Detalles movimientos'!O$5:O$1003, MATCH(99, 'Detalles movimientos'!$U$5:$U$1003, 0)), "")</f>
        <v/>
      </c>
      <c r="L108" s="18" t="str">
        <f>IFERROR(INDEX('Detalles movimientos'!P$5:P$1003, MATCH(99, 'Detalles movimientos'!$U$5:$U$1003, 0)), "")</f>
        <v/>
      </c>
      <c r="M108" s="18" t="str">
        <f>IFERROR(INDEX('Detalles movimientos'!S$5:S$1003, MATCH(99, 'Detalles movimientos'!$U$5:$U$1003, 0)), "")</f>
        <v/>
      </c>
    </row>
    <row r="109" spans="2:13">
      <c r="B109" s="17" t="str">
        <f>IFERROR(INDEX('Detalles movimientos'!C$5:C$1003, MATCH(100, 'Detalles movimientos'!$U$5:$U$1003, 0)), "")</f>
        <v/>
      </c>
      <c r="C109" s="18" t="str">
        <f>IFERROR(INDEX('Detalles movimientos'!D$5:D$1003, MATCH(100, 'Detalles movimientos'!$U$5:$U$1003, 0)), "")</f>
        <v/>
      </c>
      <c r="D109" s="19" t="str">
        <f>IFERROR(INDEX('Detalles movimientos'!E$5:E$1003, MATCH(100, 'Detalles movimientos'!$U$5:$U$1003, 0)), "")</f>
        <v/>
      </c>
      <c r="E109" s="19" t="str">
        <f>IFERROR(INDEX('Detalles movimientos'!F$5:F$1003, MATCH(100, 'Detalles movimientos'!$U$5:$U$1003, 0)), "")</f>
        <v/>
      </c>
      <c r="F109" s="18" t="str">
        <f>IFERROR(INDEX('Detalles movimientos'!G$5:G$1003, MATCH(100, 'Detalles movimientos'!$U$5:$U$1003, 0)), "")</f>
        <v/>
      </c>
      <c r="G109" s="20" t="str">
        <f>IFERROR(INDEX('Detalles movimientos'!H$5:H$1003, MATCH(100, 'Detalles movimientos'!$U$5:$U$1003, 0)), "")</f>
        <v/>
      </c>
      <c r="H109" s="21" t="str">
        <f>IFERROR(INDEX('Detalles movimientos'!I$5:I$1003, MATCH(100, 'Detalles movimientos'!$U$5:$U$1003, 0)), "")</f>
        <v/>
      </c>
      <c r="I109" s="20" t="str">
        <f>IFERROR(INDEX('Detalles movimientos'!M$5:M$1003, MATCH(100, 'Detalles movimientos'!$U$5:$U$1003, 0)), "")</f>
        <v/>
      </c>
      <c r="J109" s="19" t="str">
        <f>IFERROR(INDEX('Detalles movimientos'!N$5:N$1003, MATCH(100, 'Detalles movimientos'!$U$5:$U$1003, 0)), "")</f>
        <v/>
      </c>
      <c r="K109" s="20" t="str">
        <f>IFERROR(INDEX('Detalles movimientos'!O$5:O$1003, MATCH(100, 'Detalles movimientos'!$U$5:$U$1003, 0)), "")</f>
        <v/>
      </c>
      <c r="L109" s="18" t="str">
        <f>IFERROR(INDEX('Detalles movimientos'!P$5:P$1003, MATCH(100, 'Detalles movimientos'!$U$5:$U$1003, 0)), "")</f>
        <v/>
      </c>
      <c r="M109" s="18" t="str">
        <f>IFERROR(INDEX('Detalles movimientos'!S$5:S$1003, MATCH(100, 'Detalles movimientos'!$U$5:$U$1003, 0)), "")</f>
        <v/>
      </c>
    </row>
    <row r="110" spans="2:13">
      <c r="B110" s="17" t="str">
        <f>IFERROR(INDEX('Detalles movimientos'!C$5:C$1003, MATCH(101, 'Detalles movimientos'!$U$5:$U$1003, 0)), "")</f>
        <v/>
      </c>
      <c r="C110" s="18" t="str">
        <f>IFERROR(INDEX('Detalles movimientos'!D$5:D$1003, MATCH(101, 'Detalles movimientos'!$U$5:$U$1003, 0)), "")</f>
        <v/>
      </c>
      <c r="D110" s="19" t="str">
        <f>IFERROR(INDEX('Detalles movimientos'!E$5:E$1003, MATCH(101, 'Detalles movimientos'!$U$5:$U$1003, 0)), "")</f>
        <v/>
      </c>
      <c r="E110" s="19" t="str">
        <f>IFERROR(INDEX('Detalles movimientos'!F$5:F$1003, MATCH(101, 'Detalles movimientos'!$U$5:$U$1003, 0)), "")</f>
        <v/>
      </c>
      <c r="F110" s="18" t="str">
        <f>IFERROR(INDEX('Detalles movimientos'!G$5:G$1003, MATCH(101, 'Detalles movimientos'!$U$5:$U$1003, 0)), "")</f>
        <v/>
      </c>
      <c r="G110" s="20" t="str">
        <f>IFERROR(INDEX('Detalles movimientos'!H$5:H$1003, MATCH(101, 'Detalles movimientos'!$U$5:$U$1003, 0)), "")</f>
        <v/>
      </c>
      <c r="H110" s="21" t="str">
        <f>IFERROR(INDEX('Detalles movimientos'!I$5:I$1003, MATCH(101, 'Detalles movimientos'!$U$5:$U$1003, 0)), "")</f>
        <v/>
      </c>
      <c r="I110" s="20" t="str">
        <f>IFERROR(INDEX('Detalles movimientos'!M$5:M$1003, MATCH(101, 'Detalles movimientos'!$U$5:$U$1003, 0)), "")</f>
        <v/>
      </c>
      <c r="J110" s="19" t="str">
        <f>IFERROR(INDEX('Detalles movimientos'!N$5:N$1003, MATCH(101, 'Detalles movimientos'!$U$5:$U$1003, 0)), "")</f>
        <v/>
      </c>
      <c r="K110" s="20" t="str">
        <f>IFERROR(INDEX('Detalles movimientos'!O$5:O$1003, MATCH(101, 'Detalles movimientos'!$U$5:$U$1003, 0)), "")</f>
        <v/>
      </c>
      <c r="L110" s="18" t="str">
        <f>IFERROR(INDEX('Detalles movimientos'!P$5:P$1003, MATCH(101, 'Detalles movimientos'!$U$5:$U$1003, 0)), "")</f>
        <v/>
      </c>
      <c r="M110" s="18" t="str">
        <f>IFERROR(INDEX('Detalles movimientos'!S$5:S$1003, MATCH(101, 'Detalles movimientos'!$U$5:$U$1003, 0)), "")</f>
        <v/>
      </c>
    </row>
    <row r="111" spans="2:13">
      <c r="B111" s="17" t="str">
        <f>IFERROR(INDEX('Detalles movimientos'!C$5:C$1003, MATCH(102, 'Detalles movimientos'!$U$5:$U$1003, 0)), "")</f>
        <v/>
      </c>
      <c r="C111" s="18" t="str">
        <f>IFERROR(INDEX('Detalles movimientos'!D$5:D$1003, MATCH(102, 'Detalles movimientos'!$U$5:$U$1003, 0)), "")</f>
        <v/>
      </c>
      <c r="D111" s="19" t="str">
        <f>IFERROR(INDEX('Detalles movimientos'!E$5:E$1003, MATCH(102, 'Detalles movimientos'!$U$5:$U$1003, 0)), "")</f>
        <v/>
      </c>
      <c r="E111" s="19" t="str">
        <f>IFERROR(INDEX('Detalles movimientos'!F$5:F$1003, MATCH(102, 'Detalles movimientos'!$U$5:$U$1003, 0)), "")</f>
        <v/>
      </c>
      <c r="F111" s="18" t="str">
        <f>IFERROR(INDEX('Detalles movimientos'!G$5:G$1003, MATCH(102, 'Detalles movimientos'!$U$5:$U$1003, 0)), "")</f>
        <v/>
      </c>
      <c r="G111" s="20" t="str">
        <f>IFERROR(INDEX('Detalles movimientos'!H$5:H$1003, MATCH(102, 'Detalles movimientos'!$U$5:$U$1003, 0)), "")</f>
        <v/>
      </c>
      <c r="H111" s="21" t="str">
        <f>IFERROR(INDEX('Detalles movimientos'!I$5:I$1003, MATCH(102, 'Detalles movimientos'!$U$5:$U$1003, 0)), "")</f>
        <v/>
      </c>
      <c r="I111" s="20" t="str">
        <f>IFERROR(INDEX('Detalles movimientos'!M$5:M$1003, MATCH(102, 'Detalles movimientos'!$U$5:$U$1003, 0)), "")</f>
        <v/>
      </c>
      <c r="J111" s="19" t="str">
        <f>IFERROR(INDEX('Detalles movimientos'!N$5:N$1003, MATCH(102, 'Detalles movimientos'!$U$5:$U$1003, 0)), "")</f>
        <v/>
      </c>
      <c r="K111" s="20" t="str">
        <f>IFERROR(INDEX('Detalles movimientos'!O$5:O$1003, MATCH(102, 'Detalles movimientos'!$U$5:$U$1003, 0)), "")</f>
        <v/>
      </c>
      <c r="L111" s="18" t="str">
        <f>IFERROR(INDEX('Detalles movimientos'!P$5:P$1003, MATCH(102, 'Detalles movimientos'!$U$5:$U$1003, 0)), "")</f>
        <v/>
      </c>
      <c r="M111" s="18" t="str">
        <f>IFERROR(INDEX('Detalles movimientos'!S$5:S$1003, MATCH(102, 'Detalles movimientos'!$U$5:$U$1003, 0)), "")</f>
        <v/>
      </c>
    </row>
    <row r="112" spans="2:13">
      <c r="B112" s="17" t="str">
        <f>IFERROR(INDEX('Detalles movimientos'!C$5:C$1003, MATCH(103, 'Detalles movimientos'!$U$5:$U$1003, 0)), "")</f>
        <v/>
      </c>
      <c r="C112" s="18" t="str">
        <f>IFERROR(INDEX('Detalles movimientos'!D$5:D$1003, MATCH(103, 'Detalles movimientos'!$U$5:$U$1003, 0)), "")</f>
        <v/>
      </c>
      <c r="D112" s="19" t="str">
        <f>IFERROR(INDEX('Detalles movimientos'!E$5:E$1003, MATCH(103, 'Detalles movimientos'!$U$5:$U$1003, 0)), "")</f>
        <v/>
      </c>
      <c r="E112" s="19" t="str">
        <f>IFERROR(INDEX('Detalles movimientos'!F$5:F$1003, MATCH(103, 'Detalles movimientos'!$U$5:$U$1003, 0)), "")</f>
        <v/>
      </c>
      <c r="F112" s="18" t="str">
        <f>IFERROR(INDEX('Detalles movimientos'!G$5:G$1003, MATCH(103, 'Detalles movimientos'!$U$5:$U$1003, 0)), "")</f>
        <v/>
      </c>
      <c r="G112" s="20" t="str">
        <f>IFERROR(INDEX('Detalles movimientos'!H$5:H$1003, MATCH(103, 'Detalles movimientos'!$U$5:$U$1003, 0)), "")</f>
        <v/>
      </c>
      <c r="H112" s="21" t="str">
        <f>IFERROR(INDEX('Detalles movimientos'!I$5:I$1003, MATCH(103, 'Detalles movimientos'!$U$5:$U$1003, 0)), "")</f>
        <v/>
      </c>
      <c r="I112" s="20" t="str">
        <f>IFERROR(INDEX('Detalles movimientos'!M$5:M$1003, MATCH(103, 'Detalles movimientos'!$U$5:$U$1003, 0)), "")</f>
        <v/>
      </c>
      <c r="J112" s="19" t="str">
        <f>IFERROR(INDEX('Detalles movimientos'!N$5:N$1003, MATCH(103, 'Detalles movimientos'!$U$5:$U$1003, 0)), "")</f>
        <v/>
      </c>
      <c r="K112" s="20" t="str">
        <f>IFERROR(INDEX('Detalles movimientos'!O$5:O$1003, MATCH(103, 'Detalles movimientos'!$U$5:$U$1003, 0)), "")</f>
        <v/>
      </c>
      <c r="L112" s="18" t="str">
        <f>IFERROR(INDEX('Detalles movimientos'!P$5:P$1003, MATCH(103, 'Detalles movimientos'!$U$5:$U$1003, 0)), "")</f>
        <v/>
      </c>
      <c r="M112" s="18" t="str">
        <f>IFERROR(INDEX('Detalles movimientos'!S$5:S$1003, MATCH(103, 'Detalles movimientos'!$U$5:$U$1003, 0)), "")</f>
        <v/>
      </c>
    </row>
    <row r="113" spans="2:13">
      <c r="B113" s="17" t="str">
        <f>IFERROR(INDEX('Detalles movimientos'!C$5:C$1003, MATCH(104, 'Detalles movimientos'!$U$5:$U$1003, 0)), "")</f>
        <v/>
      </c>
      <c r="C113" s="18" t="str">
        <f>IFERROR(INDEX('Detalles movimientos'!D$5:D$1003, MATCH(104, 'Detalles movimientos'!$U$5:$U$1003, 0)), "")</f>
        <v/>
      </c>
      <c r="D113" s="19" t="str">
        <f>IFERROR(INDEX('Detalles movimientos'!E$5:E$1003, MATCH(104, 'Detalles movimientos'!$U$5:$U$1003, 0)), "")</f>
        <v/>
      </c>
      <c r="E113" s="19" t="str">
        <f>IFERROR(INDEX('Detalles movimientos'!F$5:F$1003, MATCH(104, 'Detalles movimientos'!$U$5:$U$1003, 0)), "")</f>
        <v/>
      </c>
      <c r="F113" s="18" t="str">
        <f>IFERROR(INDEX('Detalles movimientos'!G$5:G$1003, MATCH(104, 'Detalles movimientos'!$U$5:$U$1003, 0)), "")</f>
        <v/>
      </c>
      <c r="G113" s="20" t="str">
        <f>IFERROR(INDEX('Detalles movimientos'!H$5:H$1003, MATCH(104, 'Detalles movimientos'!$U$5:$U$1003, 0)), "")</f>
        <v/>
      </c>
      <c r="H113" s="21" t="str">
        <f>IFERROR(INDEX('Detalles movimientos'!I$5:I$1003, MATCH(104, 'Detalles movimientos'!$U$5:$U$1003, 0)), "")</f>
        <v/>
      </c>
      <c r="I113" s="20" t="str">
        <f>IFERROR(INDEX('Detalles movimientos'!M$5:M$1003, MATCH(104, 'Detalles movimientos'!$U$5:$U$1003, 0)), "")</f>
        <v/>
      </c>
      <c r="J113" s="19" t="str">
        <f>IFERROR(INDEX('Detalles movimientos'!N$5:N$1003, MATCH(104, 'Detalles movimientos'!$U$5:$U$1003, 0)), "")</f>
        <v/>
      </c>
      <c r="K113" s="20" t="str">
        <f>IFERROR(INDEX('Detalles movimientos'!O$5:O$1003, MATCH(104, 'Detalles movimientos'!$U$5:$U$1003, 0)), "")</f>
        <v/>
      </c>
      <c r="L113" s="18" t="str">
        <f>IFERROR(INDEX('Detalles movimientos'!P$5:P$1003, MATCH(104, 'Detalles movimientos'!$U$5:$U$1003, 0)), "")</f>
        <v/>
      </c>
      <c r="M113" s="18" t="str">
        <f>IFERROR(INDEX('Detalles movimientos'!S$5:S$1003, MATCH(104, 'Detalles movimientos'!$U$5:$U$1003, 0)), "")</f>
        <v/>
      </c>
    </row>
    <row r="114" spans="2:13">
      <c r="B114" s="17" t="str">
        <f>IFERROR(INDEX('Detalles movimientos'!C$5:C$1003, MATCH(105, 'Detalles movimientos'!$U$5:$U$1003, 0)), "")</f>
        <v/>
      </c>
      <c r="C114" s="18" t="str">
        <f>IFERROR(INDEX('Detalles movimientos'!D$5:D$1003, MATCH(105, 'Detalles movimientos'!$U$5:$U$1003, 0)), "")</f>
        <v/>
      </c>
      <c r="D114" s="19" t="str">
        <f>IFERROR(INDEX('Detalles movimientos'!E$5:E$1003, MATCH(105, 'Detalles movimientos'!$U$5:$U$1003, 0)), "")</f>
        <v/>
      </c>
      <c r="E114" s="19" t="str">
        <f>IFERROR(INDEX('Detalles movimientos'!F$5:F$1003, MATCH(105, 'Detalles movimientos'!$U$5:$U$1003, 0)), "")</f>
        <v/>
      </c>
      <c r="F114" s="18" t="str">
        <f>IFERROR(INDEX('Detalles movimientos'!G$5:G$1003, MATCH(105, 'Detalles movimientos'!$U$5:$U$1003, 0)), "")</f>
        <v/>
      </c>
      <c r="G114" s="20" t="str">
        <f>IFERROR(INDEX('Detalles movimientos'!H$5:H$1003, MATCH(105, 'Detalles movimientos'!$U$5:$U$1003, 0)), "")</f>
        <v/>
      </c>
      <c r="H114" s="21" t="str">
        <f>IFERROR(INDEX('Detalles movimientos'!I$5:I$1003, MATCH(105, 'Detalles movimientos'!$U$5:$U$1003, 0)), "")</f>
        <v/>
      </c>
      <c r="I114" s="20" t="str">
        <f>IFERROR(INDEX('Detalles movimientos'!M$5:M$1003, MATCH(105, 'Detalles movimientos'!$U$5:$U$1003, 0)), "")</f>
        <v/>
      </c>
      <c r="J114" s="19" t="str">
        <f>IFERROR(INDEX('Detalles movimientos'!N$5:N$1003, MATCH(105, 'Detalles movimientos'!$U$5:$U$1003, 0)), "")</f>
        <v/>
      </c>
      <c r="K114" s="20" t="str">
        <f>IFERROR(INDEX('Detalles movimientos'!O$5:O$1003, MATCH(105, 'Detalles movimientos'!$U$5:$U$1003, 0)), "")</f>
        <v/>
      </c>
      <c r="L114" s="18" t="str">
        <f>IFERROR(INDEX('Detalles movimientos'!P$5:P$1003, MATCH(105, 'Detalles movimientos'!$U$5:$U$1003, 0)), "")</f>
        <v/>
      </c>
      <c r="M114" s="18" t="str">
        <f>IFERROR(INDEX('Detalles movimientos'!S$5:S$1003, MATCH(105, 'Detalles movimientos'!$U$5:$U$1003, 0)), "")</f>
        <v/>
      </c>
    </row>
    <row r="115" spans="2:13">
      <c r="B115" s="17" t="str">
        <f>IFERROR(INDEX('Detalles movimientos'!C$5:C$1003, MATCH(106, 'Detalles movimientos'!$U$5:$U$1003, 0)), "")</f>
        <v/>
      </c>
      <c r="C115" s="18" t="str">
        <f>IFERROR(INDEX('Detalles movimientos'!D$5:D$1003, MATCH(106, 'Detalles movimientos'!$U$5:$U$1003, 0)), "")</f>
        <v/>
      </c>
      <c r="D115" s="19" t="str">
        <f>IFERROR(INDEX('Detalles movimientos'!E$5:E$1003, MATCH(106, 'Detalles movimientos'!$U$5:$U$1003, 0)), "")</f>
        <v/>
      </c>
      <c r="E115" s="19" t="str">
        <f>IFERROR(INDEX('Detalles movimientos'!F$5:F$1003, MATCH(106, 'Detalles movimientos'!$U$5:$U$1003, 0)), "")</f>
        <v/>
      </c>
      <c r="F115" s="18" t="str">
        <f>IFERROR(INDEX('Detalles movimientos'!G$5:G$1003, MATCH(106, 'Detalles movimientos'!$U$5:$U$1003, 0)), "")</f>
        <v/>
      </c>
      <c r="G115" s="20" t="str">
        <f>IFERROR(INDEX('Detalles movimientos'!H$5:H$1003, MATCH(106, 'Detalles movimientos'!$U$5:$U$1003, 0)), "")</f>
        <v/>
      </c>
      <c r="H115" s="21" t="str">
        <f>IFERROR(INDEX('Detalles movimientos'!I$5:I$1003, MATCH(106, 'Detalles movimientos'!$U$5:$U$1003, 0)), "")</f>
        <v/>
      </c>
      <c r="I115" s="20" t="str">
        <f>IFERROR(INDEX('Detalles movimientos'!M$5:M$1003, MATCH(106, 'Detalles movimientos'!$U$5:$U$1003, 0)), "")</f>
        <v/>
      </c>
      <c r="J115" s="19" t="str">
        <f>IFERROR(INDEX('Detalles movimientos'!N$5:N$1003, MATCH(106, 'Detalles movimientos'!$U$5:$U$1003, 0)), "")</f>
        <v/>
      </c>
      <c r="K115" s="20" t="str">
        <f>IFERROR(INDEX('Detalles movimientos'!O$5:O$1003, MATCH(106, 'Detalles movimientos'!$U$5:$U$1003, 0)), "")</f>
        <v/>
      </c>
      <c r="L115" s="18" t="str">
        <f>IFERROR(INDEX('Detalles movimientos'!P$5:P$1003, MATCH(106, 'Detalles movimientos'!$U$5:$U$1003, 0)), "")</f>
        <v/>
      </c>
      <c r="M115" s="18" t="str">
        <f>IFERROR(INDEX('Detalles movimientos'!S$5:S$1003, MATCH(106, 'Detalles movimientos'!$U$5:$U$1003, 0)), "")</f>
        <v/>
      </c>
    </row>
    <row r="116" spans="2:13">
      <c r="B116" s="17" t="str">
        <f>IFERROR(INDEX('Detalles movimientos'!C$5:C$1003, MATCH(107, 'Detalles movimientos'!$U$5:$U$1003, 0)), "")</f>
        <v/>
      </c>
      <c r="C116" s="18" t="str">
        <f>IFERROR(INDEX('Detalles movimientos'!D$5:D$1003, MATCH(107, 'Detalles movimientos'!$U$5:$U$1003, 0)), "")</f>
        <v/>
      </c>
      <c r="D116" s="19" t="str">
        <f>IFERROR(INDEX('Detalles movimientos'!E$5:E$1003, MATCH(107, 'Detalles movimientos'!$U$5:$U$1003, 0)), "")</f>
        <v/>
      </c>
      <c r="E116" s="19" t="str">
        <f>IFERROR(INDEX('Detalles movimientos'!F$5:F$1003, MATCH(107, 'Detalles movimientos'!$U$5:$U$1003, 0)), "")</f>
        <v/>
      </c>
      <c r="F116" s="18" t="str">
        <f>IFERROR(INDEX('Detalles movimientos'!G$5:G$1003, MATCH(107, 'Detalles movimientos'!$U$5:$U$1003, 0)), "")</f>
        <v/>
      </c>
      <c r="G116" s="20" t="str">
        <f>IFERROR(INDEX('Detalles movimientos'!H$5:H$1003, MATCH(107, 'Detalles movimientos'!$U$5:$U$1003, 0)), "")</f>
        <v/>
      </c>
      <c r="H116" s="21" t="str">
        <f>IFERROR(INDEX('Detalles movimientos'!I$5:I$1003, MATCH(107, 'Detalles movimientos'!$U$5:$U$1003, 0)), "")</f>
        <v/>
      </c>
      <c r="I116" s="20" t="str">
        <f>IFERROR(INDEX('Detalles movimientos'!M$5:M$1003, MATCH(107, 'Detalles movimientos'!$U$5:$U$1003, 0)), "")</f>
        <v/>
      </c>
      <c r="J116" s="19" t="str">
        <f>IFERROR(INDEX('Detalles movimientos'!N$5:N$1003, MATCH(107, 'Detalles movimientos'!$U$5:$U$1003, 0)), "")</f>
        <v/>
      </c>
      <c r="K116" s="20" t="str">
        <f>IFERROR(INDEX('Detalles movimientos'!O$5:O$1003, MATCH(107, 'Detalles movimientos'!$U$5:$U$1003, 0)), "")</f>
        <v/>
      </c>
      <c r="L116" s="18" t="str">
        <f>IFERROR(INDEX('Detalles movimientos'!P$5:P$1003, MATCH(107, 'Detalles movimientos'!$U$5:$U$1003, 0)), "")</f>
        <v/>
      </c>
      <c r="M116" s="18" t="str">
        <f>IFERROR(INDEX('Detalles movimientos'!S$5:S$1003, MATCH(107, 'Detalles movimientos'!$U$5:$U$1003, 0)), "")</f>
        <v/>
      </c>
    </row>
    <row r="117" spans="2:13">
      <c r="B117" s="17" t="str">
        <f>IFERROR(INDEX('Detalles movimientos'!C$5:C$1003, MATCH(108, 'Detalles movimientos'!$U$5:$U$1003, 0)), "")</f>
        <v/>
      </c>
      <c r="C117" s="18" t="str">
        <f>IFERROR(INDEX('Detalles movimientos'!D$5:D$1003, MATCH(108, 'Detalles movimientos'!$U$5:$U$1003, 0)), "")</f>
        <v/>
      </c>
      <c r="D117" s="19" t="str">
        <f>IFERROR(INDEX('Detalles movimientos'!E$5:E$1003, MATCH(108, 'Detalles movimientos'!$U$5:$U$1003, 0)), "")</f>
        <v/>
      </c>
      <c r="E117" s="19" t="str">
        <f>IFERROR(INDEX('Detalles movimientos'!F$5:F$1003, MATCH(108, 'Detalles movimientos'!$U$5:$U$1003, 0)), "")</f>
        <v/>
      </c>
      <c r="F117" s="18" t="str">
        <f>IFERROR(INDEX('Detalles movimientos'!G$5:G$1003, MATCH(108, 'Detalles movimientos'!$U$5:$U$1003, 0)), "")</f>
        <v/>
      </c>
      <c r="G117" s="20" t="str">
        <f>IFERROR(INDEX('Detalles movimientos'!H$5:H$1003, MATCH(108, 'Detalles movimientos'!$U$5:$U$1003, 0)), "")</f>
        <v/>
      </c>
      <c r="H117" s="21" t="str">
        <f>IFERROR(INDEX('Detalles movimientos'!I$5:I$1003, MATCH(108, 'Detalles movimientos'!$U$5:$U$1003, 0)), "")</f>
        <v/>
      </c>
      <c r="I117" s="20" t="str">
        <f>IFERROR(INDEX('Detalles movimientos'!M$5:M$1003, MATCH(108, 'Detalles movimientos'!$U$5:$U$1003, 0)), "")</f>
        <v/>
      </c>
      <c r="J117" s="19" t="str">
        <f>IFERROR(INDEX('Detalles movimientos'!N$5:N$1003, MATCH(108, 'Detalles movimientos'!$U$5:$U$1003, 0)), "")</f>
        <v/>
      </c>
      <c r="K117" s="20" t="str">
        <f>IFERROR(INDEX('Detalles movimientos'!O$5:O$1003, MATCH(108, 'Detalles movimientos'!$U$5:$U$1003, 0)), "")</f>
        <v/>
      </c>
      <c r="L117" s="18" t="str">
        <f>IFERROR(INDEX('Detalles movimientos'!P$5:P$1003, MATCH(108, 'Detalles movimientos'!$U$5:$U$1003, 0)), "")</f>
        <v/>
      </c>
      <c r="M117" s="18" t="str">
        <f>IFERROR(INDEX('Detalles movimientos'!S$5:S$1003, MATCH(108, 'Detalles movimientos'!$U$5:$U$1003, 0)), "")</f>
        <v/>
      </c>
    </row>
    <row r="118" spans="2:13">
      <c r="B118" s="17" t="str">
        <f>IFERROR(INDEX('Detalles movimientos'!C$5:C$1003, MATCH(109, 'Detalles movimientos'!$U$5:$U$1003, 0)), "")</f>
        <v/>
      </c>
      <c r="C118" s="18" t="str">
        <f>IFERROR(INDEX('Detalles movimientos'!D$5:D$1003, MATCH(109, 'Detalles movimientos'!$U$5:$U$1003, 0)), "")</f>
        <v/>
      </c>
      <c r="D118" s="19" t="str">
        <f>IFERROR(INDEX('Detalles movimientos'!E$5:E$1003, MATCH(109, 'Detalles movimientos'!$U$5:$U$1003, 0)), "")</f>
        <v/>
      </c>
      <c r="E118" s="19" t="str">
        <f>IFERROR(INDEX('Detalles movimientos'!F$5:F$1003, MATCH(109, 'Detalles movimientos'!$U$5:$U$1003, 0)), "")</f>
        <v/>
      </c>
      <c r="F118" s="18" t="str">
        <f>IFERROR(INDEX('Detalles movimientos'!G$5:G$1003, MATCH(109, 'Detalles movimientos'!$U$5:$U$1003, 0)), "")</f>
        <v/>
      </c>
      <c r="G118" s="20" t="str">
        <f>IFERROR(INDEX('Detalles movimientos'!H$5:H$1003, MATCH(109, 'Detalles movimientos'!$U$5:$U$1003, 0)), "")</f>
        <v/>
      </c>
      <c r="H118" s="21" t="str">
        <f>IFERROR(INDEX('Detalles movimientos'!I$5:I$1003, MATCH(109, 'Detalles movimientos'!$U$5:$U$1003, 0)), "")</f>
        <v/>
      </c>
      <c r="I118" s="20" t="str">
        <f>IFERROR(INDEX('Detalles movimientos'!M$5:M$1003, MATCH(109, 'Detalles movimientos'!$U$5:$U$1003, 0)), "")</f>
        <v/>
      </c>
      <c r="J118" s="19" t="str">
        <f>IFERROR(INDEX('Detalles movimientos'!N$5:N$1003, MATCH(109, 'Detalles movimientos'!$U$5:$U$1003, 0)), "")</f>
        <v/>
      </c>
      <c r="K118" s="20" t="str">
        <f>IFERROR(INDEX('Detalles movimientos'!O$5:O$1003, MATCH(109, 'Detalles movimientos'!$U$5:$U$1003, 0)), "")</f>
        <v/>
      </c>
      <c r="L118" s="18" t="str">
        <f>IFERROR(INDEX('Detalles movimientos'!P$5:P$1003, MATCH(109, 'Detalles movimientos'!$U$5:$U$1003, 0)), "")</f>
        <v/>
      </c>
      <c r="M118" s="18" t="str">
        <f>IFERROR(INDEX('Detalles movimientos'!S$5:S$1003, MATCH(109, 'Detalles movimientos'!$U$5:$U$1003, 0)), "")</f>
        <v/>
      </c>
    </row>
    <row r="119" spans="2:13">
      <c r="B119" s="17" t="str">
        <f>IFERROR(INDEX('Detalles movimientos'!C$5:C$1003, MATCH(110, 'Detalles movimientos'!$U$5:$U$1003, 0)), "")</f>
        <v/>
      </c>
      <c r="C119" s="18" t="str">
        <f>IFERROR(INDEX('Detalles movimientos'!D$5:D$1003, MATCH(110, 'Detalles movimientos'!$U$5:$U$1003, 0)), "")</f>
        <v/>
      </c>
      <c r="D119" s="19" t="str">
        <f>IFERROR(INDEX('Detalles movimientos'!E$5:E$1003, MATCH(110, 'Detalles movimientos'!$U$5:$U$1003, 0)), "")</f>
        <v/>
      </c>
      <c r="E119" s="19" t="str">
        <f>IFERROR(INDEX('Detalles movimientos'!F$5:F$1003, MATCH(110, 'Detalles movimientos'!$U$5:$U$1003, 0)), "")</f>
        <v/>
      </c>
      <c r="F119" s="18" t="str">
        <f>IFERROR(INDEX('Detalles movimientos'!G$5:G$1003, MATCH(110, 'Detalles movimientos'!$U$5:$U$1003, 0)), "")</f>
        <v/>
      </c>
      <c r="G119" s="20" t="str">
        <f>IFERROR(INDEX('Detalles movimientos'!H$5:H$1003, MATCH(110, 'Detalles movimientos'!$U$5:$U$1003, 0)), "")</f>
        <v/>
      </c>
      <c r="H119" s="21" t="str">
        <f>IFERROR(INDEX('Detalles movimientos'!I$5:I$1003, MATCH(110, 'Detalles movimientos'!$U$5:$U$1003, 0)), "")</f>
        <v/>
      </c>
      <c r="I119" s="20" t="str">
        <f>IFERROR(INDEX('Detalles movimientos'!M$5:M$1003, MATCH(110, 'Detalles movimientos'!$U$5:$U$1003, 0)), "")</f>
        <v/>
      </c>
      <c r="J119" s="19" t="str">
        <f>IFERROR(INDEX('Detalles movimientos'!N$5:N$1003, MATCH(110, 'Detalles movimientos'!$U$5:$U$1003, 0)), "")</f>
        <v/>
      </c>
      <c r="K119" s="20" t="str">
        <f>IFERROR(INDEX('Detalles movimientos'!O$5:O$1003, MATCH(110, 'Detalles movimientos'!$U$5:$U$1003, 0)), "")</f>
        <v/>
      </c>
      <c r="L119" s="18" t="str">
        <f>IFERROR(INDEX('Detalles movimientos'!P$5:P$1003, MATCH(110, 'Detalles movimientos'!$U$5:$U$1003, 0)), "")</f>
        <v/>
      </c>
      <c r="M119" s="18" t="str">
        <f>IFERROR(INDEX('Detalles movimientos'!S$5:S$1003, MATCH(110, 'Detalles movimientos'!$U$5:$U$1003, 0)), "")</f>
        <v/>
      </c>
    </row>
    <row r="120" spans="2:13">
      <c r="B120" s="17" t="str">
        <f>IFERROR(INDEX('Detalles movimientos'!C$5:C$1003, MATCH(111, 'Detalles movimientos'!$U$5:$U$1003, 0)), "")</f>
        <v/>
      </c>
      <c r="C120" s="18" t="str">
        <f>IFERROR(INDEX('Detalles movimientos'!D$5:D$1003, MATCH(111, 'Detalles movimientos'!$U$5:$U$1003, 0)), "")</f>
        <v/>
      </c>
      <c r="D120" s="19" t="str">
        <f>IFERROR(INDEX('Detalles movimientos'!E$5:E$1003, MATCH(111, 'Detalles movimientos'!$U$5:$U$1003, 0)), "")</f>
        <v/>
      </c>
      <c r="E120" s="19" t="str">
        <f>IFERROR(INDEX('Detalles movimientos'!F$5:F$1003, MATCH(111, 'Detalles movimientos'!$U$5:$U$1003, 0)), "")</f>
        <v/>
      </c>
      <c r="F120" s="18" t="str">
        <f>IFERROR(INDEX('Detalles movimientos'!G$5:G$1003, MATCH(111, 'Detalles movimientos'!$U$5:$U$1003, 0)), "")</f>
        <v/>
      </c>
      <c r="G120" s="20" t="str">
        <f>IFERROR(INDEX('Detalles movimientos'!H$5:H$1003, MATCH(111, 'Detalles movimientos'!$U$5:$U$1003, 0)), "")</f>
        <v/>
      </c>
      <c r="H120" s="21" t="str">
        <f>IFERROR(INDEX('Detalles movimientos'!I$5:I$1003, MATCH(111, 'Detalles movimientos'!$U$5:$U$1003, 0)), "")</f>
        <v/>
      </c>
      <c r="I120" s="20" t="str">
        <f>IFERROR(INDEX('Detalles movimientos'!M$5:M$1003, MATCH(111, 'Detalles movimientos'!$U$5:$U$1003, 0)), "")</f>
        <v/>
      </c>
      <c r="J120" s="19" t="str">
        <f>IFERROR(INDEX('Detalles movimientos'!N$5:N$1003, MATCH(111, 'Detalles movimientos'!$U$5:$U$1003, 0)), "")</f>
        <v/>
      </c>
      <c r="K120" s="20" t="str">
        <f>IFERROR(INDEX('Detalles movimientos'!O$5:O$1003, MATCH(111, 'Detalles movimientos'!$U$5:$U$1003, 0)), "")</f>
        <v/>
      </c>
      <c r="L120" s="18" t="str">
        <f>IFERROR(INDEX('Detalles movimientos'!P$5:P$1003, MATCH(111, 'Detalles movimientos'!$U$5:$U$1003, 0)), "")</f>
        <v/>
      </c>
      <c r="M120" s="18" t="str">
        <f>IFERROR(INDEX('Detalles movimientos'!S$5:S$1003, MATCH(111, 'Detalles movimientos'!$U$5:$U$1003, 0)), "")</f>
        <v/>
      </c>
    </row>
    <row r="121" spans="2:13">
      <c r="B121" s="17" t="str">
        <f>IFERROR(INDEX('Detalles movimientos'!C$5:C$1003, MATCH(112, 'Detalles movimientos'!$U$5:$U$1003, 0)), "")</f>
        <v/>
      </c>
      <c r="C121" s="18" t="str">
        <f>IFERROR(INDEX('Detalles movimientos'!D$5:D$1003, MATCH(112, 'Detalles movimientos'!$U$5:$U$1003, 0)), "")</f>
        <v/>
      </c>
      <c r="D121" s="19" t="str">
        <f>IFERROR(INDEX('Detalles movimientos'!E$5:E$1003, MATCH(112, 'Detalles movimientos'!$U$5:$U$1003, 0)), "")</f>
        <v/>
      </c>
      <c r="E121" s="19" t="str">
        <f>IFERROR(INDEX('Detalles movimientos'!F$5:F$1003, MATCH(112, 'Detalles movimientos'!$U$5:$U$1003, 0)), "")</f>
        <v/>
      </c>
      <c r="F121" s="18" t="str">
        <f>IFERROR(INDEX('Detalles movimientos'!G$5:G$1003, MATCH(112, 'Detalles movimientos'!$U$5:$U$1003, 0)), "")</f>
        <v/>
      </c>
      <c r="G121" s="20" t="str">
        <f>IFERROR(INDEX('Detalles movimientos'!H$5:H$1003, MATCH(112, 'Detalles movimientos'!$U$5:$U$1003, 0)), "")</f>
        <v/>
      </c>
      <c r="H121" s="21" t="str">
        <f>IFERROR(INDEX('Detalles movimientos'!I$5:I$1003, MATCH(112, 'Detalles movimientos'!$U$5:$U$1003, 0)), "")</f>
        <v/>
      </c>
      <c r="I121" s="20" t="str">
        <f>IFERROR(INDEX('Detalles movimientos'!M$5:M$1003, MATCH(112, 'Detalles movimientos'!$U$5:$U$1003, 0)), "")</f>
        <v/>
      </c>
      <c r="J121" s="19" t="str">
        <f>IFERROR(INDEX('Detalles movimientos'!N$5:N$1003, MATCH(112, 'Detalles movimientos'!$U$5:$U$1003, 0)), "")</f>
        <v/>
      </c>
      <c r="K121" s="20" t="str">
        <f>IFERROR(INDEX('Detalles movimientos'!O$5:O$1003, MATCH(112, 'Detalles movimientos'!$U$5:$U$1003, 0)), "")</f>
        <v/>
      </c>
      <c r="L121" s="18" t="str">
        <f>IFERROR(INDEX('Detalles movimientos'!P$5:P$1003, MATCH(112, 'Detalles movimientos'!$U$5:$U$1003, 0)), "")</f>
        <v/>
      </c>
      <c r="M121" s="18" t="str">
        <f>IFERROR(INDEX('Detalles movimientos'!S$5:S$1003, MATCH(112, 'Detalles movimientos'!$U$5:$U$1003, 0)), "")</f>
        <v/>
      </c>
    </row>
    <row r="122" spans="2:13">
      <c r="B122" s="17" t="str">
        <f>IFERROR(INDEX('Detalles movimientos'!C$5:C$1003, MATCH(113, 'Detalles movimientos'!$U$5:$U$1003, 0)), "")</f>
        <v/>
      </c>
      <c r="C122" s="18" t="str">
        <f>IFERROR(INDEX('Detalles movimientos'!D$5:D$1003, MATCH(113, 'Detalles movimientos'!$U$5:$U$1003, 0)), "")</f>
        <v/>
      </c>
      <c r="D122" s="19" t="str">
        <f>IFERROR(INDEX('Detalles movimientos'!E$5:E$1003, MATCH(113, 'Detalles movimientos'!$U$5:$U$1003, 0)), "")</f>
        <v/>
      </c>
      <c r="E122" s="19" t="str">
        <f>IFERROR(INDEX('Detalles movimientos'!F$5:F$1003, MATCH(113, 'Detalles movimientos'!$U$5:$U$1003, 0)), "")</f>
        <v/>
      </c>
      <c r="F122" s="18" t="str">
        <f>IFERROR(INDEX('Detalles movimientos'!G$5:G$1003, MATCH(113, 'Detalles movimientos'!$U$5:$U$1003, 0)), "")</f>
        <v/>
      </c>
      <c r="G122" s="20" t="str">
        <f>IFERROR(INDEX('Detalles movimientos'!H$5:H$1003, MATCH(113, 'Detalles movimientos'!$U$5:$U$1003, 0)), "")</f>
        <v/>
      </c>
      <c r="H122" s="21" t="str">
        <f>IFERROR(INDEX('Detalles movimientos'!I$5:I$1003, MATCH(113, 'Detalles movimientos'!$U$5:$U$1003, 0)), "")</f>
        <v/>
      </c>
      <c r="I122" s="20" t="str">
        <f>IFERROR(INDEX('Detalles movimientos'!M$5:M$1003, MATCH(113, 'Detalles movimientos'!$U$5:$U$1003, 0)), "")</f>
        <v/>
      </c>
      <c r="J122" s="19" t="str">
        <f>IFERROR(INDEX('Detalles movimientos'!N$5:N$1003, MATCH(113, 'Detalles movimientos'!$U$5:$U$1003, 0)), "")</f>
        <v/>
      </c>
      <c r="K122" s="20" t="str">
        <f>IFERROR(INDEX('Detalles movimientos'!O$5:O$1003, MATCH(113, 'Detalles movimientos'!$U$5:$U$1003, 0)), "")</f>
        <v/>
      </c>
      <c r="L122" s="18" t="str">
        <f>IFERROR(INDEX('Detalles movimientos'!P$5:P$1003, MATCH(113, 'Detalles movimientos'!$U$5:$U$1003, 0)), "")</f>
        <v/>
      </c>
      <c r="M122" s="18" t="str">
        <f>IFERROR(INDEX('Detalles movimientos'!S$5:S$1003, MATCH(113, 'Detalles movimientos'!$U$5:$U$1003, 0)), "")</f>
        <v/>
      </c>
    </row>
    <row r="123" spans="2:13">
      <c r="B123" s="17" t="str">
        <f>IFERROR(INDEX('Detalles movimientos'!C$5:C$1003, MATCH(114, 'Detalles movimientos'!$U$5:$U$1003, 0)), "")</f>
        <v/>
      </c>
      <c r="C123" s="18" t="str">
        <f>IFERROR(INDEX('Detalles movimientos'!D$5:D$1003, MATCH(114, 'Detalles movimientos'!$U$5:$U$1003, 0)), "")</f>
        <v/>
      </c>
      <c r="D123" s="19" t="str">
        <f>IFERROR(INDEX('Detalles movimientos'!E$5:E$1003, MATCH(114, 'Detalles movimientos'!$U$5:$U$1003, 0)), "")</f>
        <v/>
      </c>
      <c r="E123" s="19" t="str">
        <f>IFERROR(INDEX('Detalles movimientos'!F$5:F$1003, MATCH(114, 'Detalles movimientos'!$U$5:$U$1003, 0)), "")</f>
        <v/>
      </c>
      <c r="F123" s="18" t="str">
        <f>IFERROR(INDEX('Detalles movimientos'!G$5:G$1003, MATCH(114, 'Detalles movimientos'!$U$5:$U$1003, 0)), "")</f>
        <v/>
      </c>
      <c r="G123" s="20" t="str">
        <f>IFERROR(INDEX('Detalles movimientos'!H$5:H$1003, MATCH(114, 'Detalles movimientos'!$U$5:$U$1003, 0)), "")</f>
        <v/>
      </c>
      <c r="H123" s="21" t="str">
        <f>IFERROR(INDEX('Detalles movimientos'!I$5:I$1003, MATCH(114, 'Detalles movimientos'!$U$5:$U$1003, 0)), "")</f>
        <v/>
      </c>
      <c r="I123" s="20" t="str">
        <f>IFERROR(INDEX('Detalles movimientos'!M$5:M$1003, MATCH(114, 'Detalles movimientos'!$U$5:$U$1003, 0)), "")</f>
        <v/>
      </c>
      <c r="J123" s="19" t="str">
        <f>IFERROR(INDEX('Detalles movimientos'!N$5:N$1003, MATCH(114, 'Detalles movimientos'!$U$5:$U$1003, 0)), "")</f>
        <v/>
      </c>
      <c r="K123" s="20" t="str">
        <f>IFERROR(INDEX('Detalles movimientos'!O$5:O$1003, MATCH(114, 'Detalles movimientos'!$U$5:$U$1003, 0)), "")</f>
        <v/>
      </c>
      <c r="L123" s="18" t="str">
        <f>IFERROR(INDEX('Detalles movimientos'!P$5:P$1003, MATCH(114, 'Detalles movimientos'!$U$5:$U$1003, 0)), "")</f>
        <v/>
      </c>
      <c r="M123" s="18" t="str">
        <f>IFERROR(INDEX('Detalles movimientos'!S$5:S$1003, MATCH(114, 'Detalles movimientos'!$U$5:$U$1003, 0)), "")</f>
        <v/>
      </c>
    </row>
    <row r="124" spans="2:13">
      <c r="B124" s="17" t="str">
        <f>IFERROR(INDEX('Detalles movimientos'!C$5:C$1003, MATCH(115, 'Detalles movimientos'!$U$5:$U$1003, 0)), "")</f>
        <v/>
      </c>
      <c r="C124" s="18" t="str">
        <f>IFERROR(INDEX('Detalles movimientos'!D$5:D$1003, MATCH(115, 'Detalles movimientos'!$U$5:$U$1003, 0)), "")</f>
        <v/>
      </c>
      <c r="D124" s="19" t="str">
        <f>IFERROR(INDEX('Detalles movimientos'!E$5:E$1003, MATCH(115, 'Detalles movimientos'!$U$5:$U$1003, 0)), "")</f>
        <v/>
      </c>
      <c r="E124" s="19" t="str">
        <f>IFERROR(INDEX('Detalles movimientos'!F$5:F$1003, MATCH(115, 'Detalles movimientos'!$U$5:$U$1003, 0)), "")</f>
        <v/>
      </c>
      <c r="F124" s="18" t="str">
        <f>IFERROR(INDEX('Detalles movimientos'!G$5:G$1003, MATCH(115, 'Detalles movimientos'!$U$5:$U$1003, 0)), "")</f>
        <v/>
      </c>
      <c r="G124" s="20" t="str">
        <f>IFERROR(INDEX('Detalles movimientos'!H$5:H$1003, MATCH(115, 'Detalles movimientos'!$U$5:$U$1003, 0)), "")</f>
        <v/>
      </c>
      <c r="H124" s="21" t="str">
        <f>IFERROR(INDEX('Detalles movimientos'!I$5:I$1003, MATCH(115, 'Detalles movimientos'!$U$5:$U$1003, 0)), "")</f>
        <v/>
      </c>
      <c r="I124" s="20" t="str">
        <f>IFERROR(INDEX('Detalles movimientos'!M$5:M$1003, MATCH(115, 'Detalles movimientos'!$U$5:$U$1003, 0)), "")</f>
        <v/>
      </c>
      <c r="J124" s="19" t="str">
        <f>IFERROR(INDEX('Detalles movimientos'!N$5:N$1003, MATCH(115, 'Detalles movimientos'!$U$5:$U$1003, 0)), "")</f>
        <v/>
      </c>
      <c r="K124" s="20" t="str">
        <f>IFERROR(INDEX('Detalles movimientos'!O$5:O$1003, MATCH(115, 'Detalles movimientos'!$U$5:$U$1003, 0)), "")</f>
        <v/>
      </c>
      <c r="L124" s="18" t="str">
        <f>IFERROR(INDEX('Detalles movimientos'!P$5:P$1003, MATCH(115, 'Detalles movimientos'!$U$5:$U$1003, 0)), "")</f>
        <v/>
      </c>
      <c r="M124" s="18" t="str">
        <f>IFERROR(INDEX('Detalles movimientos'!S$5:S$1003, MATCH(115, 'Detalles movimientos'!$U$5:$U$1003, 0)), "")</f>
        <v/>
      </c>
    </row>
    <row r="125" spans="2:13">
      <c r="B125" s="17" t="str">
        <f>IFERROR(INDEX('Detalles movimientos'!C$5:C$1003, MATCH(116, 'Detalles movimientos'!$U$5:$U$1003, 0)), "")</f>
        <v/>
      </c>
      <c r="C125" s="18" t="str">
        <f>IFERROR(INDEX('Detalles movimientos'!D$5:D$1003, MATCH(116, 'Detalles movimientos'!$U$5:$U$1003, 0)), "")</f>
        <v/>
      </c>
      <c r="D125" s="19" t="str">
        <f>IFERROR(INDEX('Detalles movimientos'!E$5:E$1003, MATCH(116, 'Detalles movimientos'!$U$5:$U$1003, 0)), "")</f>
        <v/>
      </c>
      <c r="E125" s="19" t="str">
        <f>IFERROR(INDEX('Detalles movimientos'!F$5:F$1003, MATCH(116, 'Detalles movimientos'!$U$5:$U$1003, 0)), "")</f>
        <v/>
      </c>
      <c r="F125" s="18" t="str">
        <f>IFERROR(INDEX('Detalles movimientos'!G$5:G$1003, MATCH(116, 'Detalles movimientos'!$U$5:$U$1003, 0)), "")</f>
        <v/>
      </c>
      <c r="G125" s="20" t="str">
        <f>IFERROR(INDEX('Detalles movimientos'!H$5:H$1003, MATCH(116, 'Detalles movimientos'!$U$5:$U$1003, 0)), "")</f>
        <v/>
      </c>
      <c r="H125" s="21" t="str">
        <f>IFERROR(INDEX('Detalles movimientos'!I$5:I$1003, MATCH(116, 'Detalles movimientos'!$U$5:$U$1003, 0)), "")</f>
        <v/>
      </c>
      <c r="I125" s="20" t="str">
        <f>IFERROR(INDEX('Detalles movimientos'!M$5:M$1003, MATCH(116, 'Detalles movimientos'!$U$5:$U$1003, 0)), "")</f>
        <v/>
      </c>
      <c r="J125" s="19" t="str">
        <f>IFERROR(INDEX('Detalles movimientos'!N$5:N$1003, MATCH(116, 'Detalles movimientos'!$U$5:$U$1003, 0)), "")</f>
        <v/>
      </c>
      <c r="K125" s="20" t="str">
        <f>IFERROR(INDEX('Detalles movimientos'!O$5:O$1003, MATCH(116, 'Detalles movimientos'!$U$5:$U$1003, 0)), "")</f>
        <v/>
      </c>
      <c r="L125" s="18" t="str">
        <f>IFERROR(INDEX('Detalles movimientos'!P$5:P$1003, MATCH(116, 'Detalles movimientos'!$U$5:$U$1003, 0)), "")</f>
        <v/>
      </c>
      <c r="M125" s="18" t="str">
        <f>IFERROR(INDEX('Detalles movimientos'!S$5:S$1003, MATCH(116, 'Detalles movimientos'!$U$5:$U$1003, 0)), "")</f>
        <v/>
      </c>
    </row>
    <row r="126" spans="2:13">
      <c r="B126" s="17" t="str">
        <f>IFERROR(INDEX('Detalles movimientos'!C$5:C$1003, MATCH(117, 'Detalles movimientos'!$U$5:$U$1003, 0)), "")</f>
        <v/>
      </c>
      <c r="C126" s="18" t="str">
        <f>IFERROR(INDEX('Detalles movimientos'!D$5:D$1003, MATCH(117, 'Detalles movimientos'!$U$5:$U$1003, 0)), "")</f>
        <v/>
      </c>
      <c r="D126" s="19" t="str">
        <f>IFERROR(INDEX('Detalles movimientos'!E$5:E$1003, MATCH(117, 'Detalles movimientos'!$U$5:$U$1003, 0)), "")</f>
        <v/>
      </c>
      <c r="E126" s="19" t="str">
        <f>IFERROR(INDEX('Detalles movimientos'!F$5:F$1003, MATCH(117, 'Detalles movimientos'!$U$5:$U$1003, 0)), "")</f>
        <v/>
      </c>
      <c r="F126" s="18" t="str">
        <f>IFERROR(INDEX('Detalles movimientos'!G$5:G$1003, MATCH(117, 'Detalles movimientos'!$U$5:$U$1003, 0)), "")</f>
        <v/>
      </c>
      <c r="G126" s="20" t="str">
        <f>IFERROR(INDEX('Detalles movimientos'!H$5:H$1003, MATCH(117, 'Detalles movimientos'!$U$5:$U$1003, 0)), "")</f>
        <v/>
      </c>
      <c r="H126" s="21" t="str">
        <f>IFERROR(INDEX('Detalles movimientos'!I$5:I$1003, MATCH(117, 'Detalles movimientos'!$U$5:$U$1003, 0)), "")</f>
        <v/>
      </c>
      <c r="I126" s="20" t="str">
        <f>IFERROR(INDEX('Detalles movimientos'!M$5:M$1003, MATCH(117, 'Detalles movimientos'!$U$5:$U$1003, 0)), "")</f>
        <v/>
      </c>
      <c r="J126" s="19" t="str">
        <f>IFERROR(INDEX('Detalles movimientos'!N$5:N$1003, MATCH(117, 'Detalles movimientos'!$U$5:$U$1003, 0)), "")</f>
        <v/>
      </c>
      <c r="K126" s="20" t="str">
        <f>IFERROR(INDEX('Detalles movimientos'!O$5:O$1003, MATCH(117, 'Detalles movimientos'!$U$5:$U$1003, 0)), "")</f>
        <v/>
      </c>
      <c r="L126" s="18" t="str">
        <f>IFERROR(INDEX('Detalles movimientos'!P$5:P$1003, MATCH(117, 'Detalles movimientos'!$U$5:$U$1003, 0)), "")</f>
        <v/>
      </c>
      <c r="M126" s="18" t="str">
        <f>IFERROR(INDEX('Detalles movimientos'!S$5:S$1003, MATCH(117, 'Detalles movimientos'!$U$5:$U$1003, 0)), "")</f>
        <v/>
      </c>
    </row>
    <row r="127" spans="2:13">
      <c r="B127" s="17" t="str">
        <f>IFERROR(INDEX('Detalles movimientos'!C$5:C$1003, MATCH(118, 'Detalles movimientos'!$U$5:$U$1003, 0)), "")</f>
        <v/>
      </c>
      <c r="C127" s="18" t="str">
        <f>IFERROR(INDEX('Detalles movimientos'!D$5:D$1003, MATCH(118, 'Detalles movimientos'!$U$5:$U$1003, 0)), "")</f>
        <v/>
      </c>
      <c r="D127" s="19" t="str">
        <f>IFERROR(INDEX('Detalles movimientos'!E$5:E$1003, MATCH(118, 'Detalles movimientos'!$U$5:$U$1003, 0)), "")</f>
        <v/>
      </c>
      <c r="E127" s="19" t="str">
        <f>IFERROR(INDEX('Detalles movimientos'!F$5:F$1003, MATCH(118, 'Detalles movimientos'!$U$5:$U$1003, 0)), "")</f>
        <v/>
      </c>
      <c r="F127" s="18" t="str">
        <f>IFERROR(INDEX('Detalles movimientos'!G$5:G$1003, MATCH(118, 'Detalles movimientos'!$U$5:$U$1003, 0)), "")</f>
        <v/>
      </c>
      <c r="G127" s="20" t="str">
        <f>IFERROR(INDEX('Detalles movimientos'!H$5:H$1003, MATCH(118, 'Detalles movimientos'!$U$5:$U$1003, 0)), "")</f>
        <v/>
      </c>
      <c r="H127" s="21" t="str">
        <f>IFERROR(INDEX('Detalles movimientos'!I$5:I$1003, MATCH(118, 'Detalles movimientos'!$U$5:$U$1003, 0)), "")</f>
        <v/>
      </c>
      <c r="I127" s="20" t="str">
        <f>IFERROR(INDEX('Detalles movimientos'!M$5:M$1003, MATCH(118, 'Detalles movimientos'!$U$5:$U$1003, 0)), "")</f>
        <v/>
      </c>
      <c r="J127" s="19" t="str">
        <f>IFERROR(INDEX('Detalles movimientos'!N$5:N$1003, MATCH(118, 'Detalles movimientos'!$U$5:$U$1003, 0)), "")</f>
        <v/>
      </c>
      <c r="K127" s="20" t="str">
        <f>IFERROR(INDEX('Detalles movimientos'!O$5:O$1003, MATCH(118, 'Detalles movimientos'!$U$5:$U$1003, 0)), "")</f>
        <v/>
      </c>
      <c r="L127" s="18" t="str">
        <f>IFERROR(INDEX('Detalles movimientos'!P$5:P$1003, MATCH(118, 'Detalles movimientos'!$U$5:$U$1003, 0)), "")</f>
        <v/>
      </c>
      <c r="M127" s="18" t="str">
        <f>IFERROR(INDEX('Detalles movimientos'!S$5:S$1003, MATCH(118, 'Detalles movimientos'!$U$5:$U$1003, 0)), "")</f>
        <v/>
      </c>
    </row>
    <row r="128" spans="2:13">
      <c r="B128" s="17" t="str">
        <f>IFERROR(INDEX('Detalles movimientos'!C$5:C$1003, MATCH(119, 'Detalles movimientos'!$U$5:$U$1003, 0)), "")</f>
        <v/>
      </c>
      <c r="C128" s="18" t="str">
        <f>IFERROR(INDEX('Detalles movimientos'!D$5:D$1003, MATCH(119, 'Detalles movimientos'!$U$5:$U$1003, 0)), "")</f>
        <v/>
      </c>
      <c r="D128" s="19" t="str">
        <f>IFERROR(INDEX('Detalles movimientos'!E$5:E$1003, MATCH(119, 'Detalles movimientos'!$U$5:$U$1003, 0)), "")</f>
        <v/>
      </c>
      <c r="E128" s="19" t="str">
        <f>IFERROR(INDEX('Detalles movimientos'!F$5:F$1003, MATCH(119, 'Detalles movimientos'!$U$5:$U$1003, 0)), "")</f>
        <v/>
      </c>
      <c r="F128" s="18" t="str">
        <f>IFERROR(INDEX('Detalles movimientos'!G$5:G$1003, MATCH(119, 'Detalles movimientos'!$U$5:$U$1003, 0)), "")</f>
        <v/>
      </c>
      <c r="G128" s="20" t="str">
        <f>IFERROR(INDEX('Detalles movimientos'!H$5:H$1003, MATCH(119, 'Detalles movimientos'!$U$5:$U$1003, 0)), "")</f>
        <v/>
      </c>
      <c r="H128" s="21" t="str">
        <f>IFERROR(INDEX('Detalles movimientos'!I$5:I$1003, MATCH(119, 'Detalles movimientos'!$U$5:$U$1003, 0)), "")</f>
        <v/>
      </c>
      <c r="I128" s="20" t="str">
        <f>IFERROR(INDEX('Detalles movimientos'!M$5:M$1003, MATCH(119, 'Detalles movimientos'!$U$5:$U$1003, 0)), "")</f>
        <v/>
      </c>
      <c r="J128" s="19" t="str">
        <f>IFERROR(INDEX('Detalles movimientos'!N$5:N$1003, MATCH(119, 'Detalles movimientos'!$U$5:$U$1003, 0)), "")</f>
        <v/>
      </c>
      <c r="K128" s="20" t="str">
        <f>IFERROR(INDEX('Detalles movimientos'!O$5:O$1003, MATCH(119, 'Detalles movimientos'!$U$5:$U$1003, 0)), "")</f>
        <v/>
      </c>
      <c r="L128" s="18" t="str">
        <f>IFERROR(INDEX('Detalles movimientos'!P$5:P$1003, MATCH(119, 'Detalles movimientos'!$U$5:$U$1003, 0)), "")</f>
        <v/>
      </c>
      <c r="M128" s="18" t="str">
        <f>IFERROR(INDEX('Detalles movimientos'!S$5:S$1003, MATCH(119, 'Detalles movimientos'!$U$5:$U$1003, 0)), "")</f>
        <v/>
      </c>
    </row>
    <row r="129" spans="2:13">
      <c r="B129" s="17" t="str">
        <f>IFERROR(INDEX('Detalles movimientos'!C$5:C$1003, MATCH(120, 'Detalles movimientos'!$U$5:$U$1003, 0)), "")</f>
        <v/>
      </c>
      <c r="C129" s="18" t="str">
        <f>IFERROR(INDEX('Detalles movimientos'!D$5:D$1003, MATCH(120, 'Detalles movimientos'!$U$5:$U$1003, 0)), "")</f>
        <v/>
      </c>
      <c r="D129" s="19" t="str">
        <f>IFERROR(INDEX('Detalles movimientos'!E$5:E$1003, MATCH(120, 'Detalles movimientos'!$U$5:$U$1003, 0)), "")</f>
        <v/>
      </c>
      <c r="E129" s="19" t="str">
        <f>IFERROR(INDEX('Detalles movimientos'!F$5:F$1003, MATCH(120, 'Detalles movimientos'!$U$5:$U$1003, 0)), "")</f>
        <v/>
      </c>
      <c r="F129" s="18" t="str">
        <f>IFERROR(INDEX('Detalles movimientos'!G$5:G$1003, MATCH(120, 'Detalles movimientos'!$U$5:$U$1003, 0)), "")</f>
        <v/>
      </c>
      <c r="G129" s="20" t="str">
        <f>IFERROR(INDEX('Detalles movimientos'!H$5:H$1003, MATCH(120, 'Detalles movimientos'!$U$5:$U$1003, 0)), "")</f>
        <v/>
      </c>
      <c r="H129" s="21" t="str">
        <f>IFERROR(INDEX('Detalles movimientos'!I$5:I$1003, MATCH(120, 'Detalles movimientos'!$U$5:$U$1003, 0)), "")</f>
        <v/>
      </c>
      <c r="I129" s="20" t="str">
        <f>IFERROR(INDEX('Detalles movimientos'!M$5:M$1003, MATCH(120, 'Detalles movimientos'!$U$5:$U$1003, 0)), "")</f>
        <v/>
      </c>
      <c r="J129" s="19" t="str">
        <f>IFERROR(INDEX('Detalles movimientos'!N$5:N$1003, MATCH(120, 'Detalles movimientos'!$U$5:$U$1003, 0)), "")</f>
        <v/>
      </c>
      <c r="K129" s="20" t="str">
        <f>IFERROR(INDEX('Detalles movimientos'!O$5:O$1003, MATCH(120, 'Detalles movimientos'!$U$5:$U$1003, 0)), "")</f>
        <v/>
      </c>
      <c r="L129" s="18" t="str">
        <f>IFERROR(INDEX('Detalles movimientos'!P$5:P$1003, MATCH(120, 'Detalles movimientos'!$U$5:$U$1003, 0)), "")</f>
        <v/>
      </c>
      <c r="M129" s="18" t="str">
        <f>IFERROR(INDEX('Detalles movimientos'!S$5:S$1003, MATCH(120, 'Detalles movimientos'!$U$5:$U$1003, 0)), "")</f>
        <v/>
      </c>
    </row>
    <row r="130" spans="2:13">
      <c r="B130" s="17" t="str">
        <f>IFERROR(INDEX('Detalles movimientos'!C$5:C$1003, MATCH(121, 'Detalles movimientos'!$U$5:$U$1003, 0)), "")</f>
        <v/>
      </c>
      <c r="C130" s="18" t="str">
        <f>IFERROR(INDEX('Detalles movimientos'!D$5:D$1003, MATCH(121, 'Detalles movimientos'!$U$5:$U$1003, 0)), "")</f>
        <v/>
      </c>
      <c r="D130" s="19" t="str">
        <f>IFERROR(INDEX('Detalles movimientos'!E$5:E$1003, MATCH(121, 'Detalles movimientos'!$U$5:$U$1003, 0)), "")</f>
        <v/>
      </c>
      <c r="E130" s="19" t="str">
        <f>IFERROR(INDEX('Detalles movimientos'!F$5:F$1003, MATCH(121, 'Detalles movimientos'!$U$5:$U$1003, 0)), "")</f>
        <v/>
      </c>
      <c r="F130" s="18" t="str">
        <f>IFERROR(INDEX('Detalles movimientos'!G$5:G$1003, MATCH(121, 'Detalles movimientos'!$U$5:$U$1003, 0)), "")</f>
        <v/>
      </c>
      <c r="G130" s="20" t="str">
        <f>IFERROR(INDEX('Detalles movimientos'!H$5:H$1003, MATCH(121, 'Detalles movimientos'!$U$5:$U$1003, 0)), "")</f>
        <v/>
      </c>
      <c r="H130" s="21" t="str">
        <f>IFERROR(INDEX('Detalles movimientos'!I$5:I$1003, MATCH(121, 'Detalles movimientos'!$U$5:$U$1003, 0)), "")</f>
        <v/>
      </c>
      <c r="I130" s="20" t="str">
        <f>IFERROR(INDEX('Detalles movimientos'!M$5:M$1003, MATCH(121, 'Detalles movimientos'!$U$5:$U$1003, 0)), "")</f>
        <v/>
      </c>
      <c r="J130" s="19" t="str">
        <f>IFERROR(INDEX('Detalles movimientos'!N$5:N$1003, MATCH(121, 'Detalles movimientos'!$U$5:$U$1003, 0)), "")</f>
        <v/>
      </c>
      <c r="K130" s="20" t="str">
        <f>IFERROR(INDEX('Detalles movimientos'!O$5:O$1003, MATCH(121, 'Detalles movimientos'!$U$5:$U$1003, 0)), "")</f>
        <v/>
      </c>
      <c r="L130" s="18" t="str">
        <f>IFERROR(INDEX('Detalles movimientos'!P$5:P$1003, MATCH(121, 'Detalles movimientos'!$U$5:$U$1003, 0)), "")</f>
        <v/>
      </c>
      <c r="M130" s="18" t="str">
        <f>IFERROR(INDEX('Detalles movimientos'!S$5:S$1003, MATCH(121, 'Detalles movimientos'!$U$5:$U$1003, 0)), "")</f>
        <v/>
      </c>
    </row>
    <row r="131" spans="2:13">
      <c r="B131" s="17" t="str">
        <f>IFERROR(INDEX('Detalles movimientos'!C$5:C$1003, MATCH(122, 'Detalles movimientos'!$U$5:$U$1003, 0)), "")</f>
        <v/>
      </c>
      <c r="C131" s="18" t="str">
        <f>IFERROR(INDEX('Detalles movimientos'!D$5:D$1003, MATCH(122, 'Detalles movimientos'!$U$5:$U$1003, 0)), "")</f>
        <v/>
      </c>
      <c r="D131" s="19" t="str">
        <f>IFERROR(INDEX('Detalles movimientos'!E$5:E$1003, MATCH(122, 'Detalles movimientos'!$U$5:$U$1003, 0)), "")</f>
        <v/>
      </c>
      <c r="E131" s="19" t="str">
        <f>IFERROR(INDEX('Detalles movimientos'!F$5:F$1003, MATCH(122, 'Detalles movimientos'!$U$5:$U$1003, 0)), "")</f>
        <v/>
      </c>
      <c r="F131" s="18" t="str">
        <f>IFERROR(INDEX('Detalles movimientos'!G$5:G$1003, MATCH(122, 'Detalles movimientos'!$U$5:$U$1003, 0)), "")</f>
        <v/>
      </c>
      <c r="G131" s="20" t="str">
        <f>IFERROR(INDEX('Detalles movimientos'!H$5:H$1003, MATCH(122, 'Detalles movimientos'!$U$5:$U$1003, 0)), "")</f>
        <v/>
      </c>
      <c r="H131" s="21" t="str">
        <f>IFERROR(INDEX('Detalles movimientos'!I$5:I$1003, MATCH(122, 'Detalles movimientos'!$U$5:$U$1003, 0)), "")</f>
        <v/>
      </c>
      <c r="I131" s="20" t="str">
        <f>IFERROR(INDEX('Detalles movimientos'!M$5:M$1003, MATCH(122, 'Detalles movimientos'!$U$5:$U$1003, 0)), "")</f>
        <v/>
      </c>
      <c r="J131" s="19" t="str">
        <f>IFERROR(INDEX('Detalles movimientos'!N$5:N$1003, MATCH(122, 'Detalles movimientos'!$U$5:$U$1003, 0)), "")</f>
        <v/>
      </c>
      <c r="K131" s="20" t="str">
        <f>IFERROR(INDEX('Detalles movimientos'!O$5:O$1003, MATCH(122, 'Detalles movimientos'!$U$5:$U$1003, 0)), "")</f>
        <v/>
      </c>
      <c r="L131" s="18" t="str">
        <f>IFERROR(INDEX('Detalles movimientos'!P$5:P$1003, MATCH(122, 'Detalles movimientos'!$U$5:$U$1003, 0)), "")</f>
        <v/>
      </c>
      <c r="M131" s="18" t="str">
        <f>IFERROR(INDEX('Detalles movimientos'!S$5:S$1003, MATCH(122, 'Detalles movimientos'!$U$5:$U$1003, 0)), "")</f>
        <v/>
      </c>
    </row>
    <row r="132" spans="2:13">
      <c r="B132" s="17" t="str">
        <f>IFERROR(INDEX('Detalles movimientos'!C$5:C$1003, MATCH(123, 'Detalles movimientos'!$U$5:$U$1003, 0)), "")</f>
        <v/>
      </c>
      <c r="C132" s="18" t="str">
        <f>IFERROR(INDEX('Detalles movimientos'!D$5:D$1003, MATCH(123, 'Detalles movimientos'!$U$5:$U$1003, 0)), "")</f>
        <v/>
      </c>
      <c r="D132" s="19" t="str">
        <f>IFERROR(INDEX('Detalles movimientos'!E$5:E$1003, MATCH(123, 'Detalles movimientos'!$U$5:$U$1003, 0)), "")</f>
        <v/>
      </c>
      <c r="E132" s="19" t="str">
        <f>IFERROR(INDEX('Detalles movimientos'!F$5:F$1003, MATCH(123, 'Detalles movimientos'!$U$5:$U$1003, 0)), "")</f>
        <v/>
      </c>
      <c r="F132" s="18" t="str">
        <f>IFERROR(INDEX('Detalles movimientos'!G$5:G$1003, MATCH(123, 'Detalles movimientos'!$U$5:$U$1003, 0)), "")</f>
        <v/>
      </c>
      <c r="G132" s="20" t="str">
        <f>IFERROR(INDEX('Detalles movimientos'!H$5:H$1003, MATCH(123, 'Detalles movimientos'!$U$5:$U$1003, 0)), "")</f>
        <v/>
      </c>
      <c r="H132" s="21" t="str">
        <f>IFERROR(INDEX('Detalles movimientos'!I$5:I$1003, MATCH(123, 'Detalles movimientos'!$U$5:$U$1003, 0)), "")</f>
        <v/>
      </c>
      <c r="I132" s="20" t="str">
        <f>IFERROR(INDEX('Detalles movimientos'!M$5:M$1003, MATCH(123, 'Detalles movimientos'!$U$5:$U$1003, 0)), "")</f>
        <v/>
      </c>
      <c r="J132" s="19" t="str">
        <f>IFERROR(INDEX('Detalles movimientos'!N$5:N$1003, MATCH(123, 'Detalles movimientos'!$U$5:$U$1003, 0)), "")</f>
        <v/>
      </c>
      <c r="K132" s="20" t="str">
        <f>IFERROR(INDEX('Detalles movimientos'!O$5:O$1003, MATCH(123, 'Detalles movimientos'!$U$5:$U$1003, 0)), "")</f>
        <v/>
      </c>
      <c r="L132" s="18" t="str">
        <f>IFERROR(INDEX('Detalles movimientos'!P$5:P$1003, MATCH(123, 'Detalles movimientos'!$U$5:$U$1003, 0)), "")</f>
        <v/>
      </c>
      <c r="M132" s="18" t="str">
        <f>IFERROR(INDEX('Detalles movimientos'!S$5:S$1003, MATCH(123, 'Detalles movimientos'!$U$5:$U$1003, 0)), "")</f>
        <v/>
      </c>
    </row>
    <row r="133" spans="2:13">
      <c r="B133" s="17" t="str">
        <f>IFERROR(INDEX('Detalles movimientos'!C$5:C$1003, MATCH(124, 'Detalles movimientos'!$U$5:$U$1003, 0)), "")</f>
        <v/>
      </c>
      <c r="C133" s="18" t="str">
        <f>IFERROR(INDEX('Detalles movimientos'!D$5:D$1003, MATCH(124, 'Detalles movimientos'!$U$5:$U$1003, 0)), "")</f>
        <v/>
      </c>
      <c r="D133" s="19" t="str">
        <f>IFERROR(INDEX('Detalles movimientos'!E$5:E$1003, MATCH(124, 'Detalles movimientos'!$U$5:$U$1003, 0)), "")</f>
        <v/>
      </c>
      <c r="E133" s="19" t="str">
        <f>IFERROR(INDEX('Detalles movimientos'!F$5:F$1003, MATCH(124, 'Detalles movimientos'!$U$5:$U$1003, 0)), "")</f>
        <v/>
      </c>
      <c r="F133" s="18" t="str">
        <f>IFERROR(INDEX('Detalles movimientos'!G$5:G$1003, MATCH(124, 'Detalles movimientos'!$U$5:$U$1003, 0)), "")</f>
        <v/>
      </c>
      <c r="G133" s="20" t="str">
        <f>IFERROR(INDEX('Detalles movimientos'!H$5:H$1003, MATCH(124, 'Detalles movimientos'!$U$5:$U$1003, 0)), "")</f>
        <v/>
      </c>
      <c r="H133" s="21" t="str">
        <f>IFERROR(INDEX('Detalles movimientos'!I$5:I$1003, MATCH(124, 'Detalles movimientos'!$U$5:$U$1003, 0)), "")</f>
        <v/>
      </c>
      <c r="I133" s="20" t="str">
        <f>IFERROR(INDEX('Detalles movimientos'!M$5:M$1003, MATCH(124, 'Detalles movimientos'!$U$5:$U$1003, 0)), "")</f>
        <v/>
      </c>
      <c r="J133" s="19" t="str">
        <f>IFERROR(INDEX('Detalles movimientos'!N$5:N$1003, MATCH(124, 'Detalles movimientos'!$U$5:$U$1003, 0)), "")</f>
        <v/>
      </c>
      <c r="K133" s="20" t="str">
        <f>IFERROR(INDEX('Detalles movimientos'!O$5:O$1003, MATCH(124, 'Detalles movimientos'!$U$5:$U$1003, 0)), "")</f>
        <v/>
      </c>
      <c r="L133" s="18" t="str">
        <f>IFERROR(INDEX('Detalles movimientos'!P$5:P$1003, MATCH(124, 'Detalles movimientos'!$U$5:$U$1003, 0)), "")</f>
        <v/>
      </c>
      <c r="M133" s="18" t="str">
        <f>IFERROR(INDEX('Detalles movimientos'!S$5:S$1003, MATCH(124, 'Detalles movimientos'!$U$5:$U$1003, 0)), "")</f>
        <v/>
      </c>
    </row>
    <row r="134" spans="2:13">
      <c r="B134" s="17" t="str">
        <f>IFERROR(INDEX('Detalles movimientos'!C$5:C$1003, MATCH(125, 'Detalles movimientos'!$U$5:$U$1003, 0)), "")</f>
        <v/>
      </c>
      <c r="C134" s="18" t="str">
        <f>IFERROR(INDEX('Detalles movimientos'!D$5:D$1003, MATCH(125, 'Detalles movimientos'!$U$5:$U$1003, 0)), "")</f>
        <v/>
      </c>
      <c r="D134" s="19" t="str">
        <f>IFERROR(INDEX('Detalles movimientos'!E$5:E$1003, MATCH(125, 'Detalles movimientos'!$U$5:$U$1003, 0)), "")</f>
        <v/>
      </c>
      <c r="E134" s="19" t="str">
        <f>IFERROR(INDEX('Detalles movimientos'!F$5:F$1003, MATCH(125, 'Detalles movimientos'!$U$5:$U$1003, 0)), "")</f>
        <v/>
      </c>
      <c r="F134" s="18" t="str">
        <f>IFERROR(INDEX('Detalles movimientos'!G$5:G$1003, MATCH(125, 'Detalles movimientos'!$U$5:$U$1003, 0)), "")</f>
        <v/>
      </c>
      <c r="G134" s="20" t="str">
        <f>IFERROR(INDEX('Detalles movimientos'!H$5:H$1003, MATCH(125, 'Detalles movimientos'!$U$5:$U$1003, 0)), "")</f>
        <v/>
      </c>
      <c r="H134" s="21" t="str">
        <f>IFERROR(INDEX('Detalles movimientos'!I$5:I$1003, MATCH(125, 'Detalles movimientos'!$U$5:$U$1003, 0)), "")</f>
        <v/>
      </c>
      <c r="I134" s="20" t="str">
        <f>IFERROR(INDEX('Detalles movimientos'!M$5:M$1003, MATCH(125, 'Detalles movimientos'!$U$5:$U$1003, 0)), "")</f>
        <v/>
      </c>
      <c r="J134" s="19" t="str">
        <f>IFERROR(INDEX('Detalles movimientos'!N$5:N$1003, MATCH(125, 'Detalles movimientos'!$U$5:$U$1003, 0)), "")</f>
        <v/>
      </c>
      <c r="K134" s="20" t="str">
        <f>IFERROR(INDEX('Detalles movimientos'!O$5:O$1003, MATCH(125, 'Detalles movimientos'!$U$5:$U$1003, 0)), "")</f>
        <v/>
      </c>
      <c r="L134" s="18" t="str">
        <f>IFERROR(INDEX('Detalles movimientos'!P$5:P$1003, MATCH(125, 'Detalles movimientos'!$U$5:$U$1003, 0)), "")</f>
        <v/>
      </c>
      <c r="M134" s="18" t="str">
        <f>IFERROR(INDEX('Detalles movimientos'!S$5:S$1003, MATCH(125, 'Detalles movimientos'!$U$5:$U$1003, 0)), "")</f>
        <v/>
      </c>
    </row>
    <row r="135" spans="2:13">
      <c r="B135" s="17" t="str">
        <f>IFERROR(INDEX('Detalles movimientos'!C$5:C$1003, MATCH(126, 'Detalles movimientos'!$U$5:$U$1003, 0)), "")</f>
        <v/>
      </c>
      <c r="C135" s="18" t="str">
        <f>IFERROR(INDEX('Detalles movimientos'!D$5:D$1003, MATCH(126, 'Detalles movimientos'!$U$5:$U$1003, 0)), "")</f>
        <v/>
      </c>
      <c r="D135" s="19" t="str">
        <f>IFERROR(INDEX('Detalles movimientos'!E$5:E$1003, MATCH(126, 'Detalles movimientos'!$U$5:$U$1003, 0)), "")</f>
        <v/>
      </c>
      <c r="E135" s="19" t="str">
        <f>IFERROR(INDEX('Detalles movimientos'!F$5:F$1003, MATCH(126, 'Detalles movimientos'!$U$5:$U$1003, 0)), "")</f>
        <v/>
      </c>
      <c r="F135" s="18" t="str">
        <f>IFERROR(INDEX('Detalles movimientos'!G$5:G$1003, MATCH(126, 'Detalles movimientos'!$U$5:$U$1003, 0)), "")</f>
        <v/>
      </c>
      <c r="G135" s="20" t="str">
        <f>IFERROR(INDEX('Detalles movimientos'!H$5:H$1003, MATCH(126, 'Detalles movimientos'!$U$5:$U$1003, 0)), "")</f>
        <v/>
      </c>
      <c r="H135" s="21" t="str">
        <f>IFERROR(INDEX('Detalles movimientos'!I$5:I$1003, MATCH(126, 'Detalles movimientos'!$U$5:$U$1003, 0)), "")</f>
        <v/>
      </c>
      <c r="I135" s="20" t="str">
        <f>IFERROR(INDEX('Detalles movimientos'!M$5:M$1003, MATCH(126, 'Detalles movimientos'!$U$5:$U$1003, 0)), "")</f>
        <v/>
      </c>
      <c r="J135" s="19" t="str">
        <f>IFERROR(INDEX('Detalles movimientos'!N$5:N$1003, MATCH(126, 'Detalles movimientos'!$U$5:$U$1003, 0)), "")</f>
        <v/>
      </c>
      <c r="K135" s="20" t="str">
        <f>IFERROR(INDEX('Detalles movimientos'!O$5:O$1003, MATCH(126, 'Detalles movimientos'!$U$5:$U$1003, 0)), "")</f>
        <v/>
      </c>
      <c r="L135" s="18" t="str">
        <f>IFERROR(INDEX('Detalles movimientos'!P$5:P$1003, MATCH(126, 'Detalles movimientos'!$U$5:$U$1003, 0)), "")</f>
        <v/>
      </c>
      <c r="M135" s="18" t="str">
        <f>IFERROR(INDEX('Detalles movimientos'!S$5:S$1003, MATCH(126, 'Detalles movimientos'!$U$5:$U$1003, 0)), "")</f>
        <v/>
      </c>
    </row>
    <row r="136" spans="2:13">
      <c r="B136" s="17" t="str">
        <f>IFERROR(INDEX('Detalles movimientos'!C$5:C$1003, MATCH(127, 'Detalles movimientos'!$U$5:$U$1003, 0)), "")</f>
        <v/>
      </c>
      <c r="C136" s="18" t="str">
        <f>IFERROR(INDEX('Detalles movimientos'!D$5:D$1003, MATCH(127, 'Detalles movimientos'!$U$5:$U$1003, 0)), "")</f>
        <v/>
      </c>
      <c r="D136" s="19" t="str">
        <f>IFERROR(INDEX('Detalles movimientos'!E$5:E$1003, MATCH(127, 'Detalles movimientos'!$U$5:$U$1003, 0)), "")</f>
        <v/>
      </c>
      <c r="E136" s="19" t="str">
        <f>IFERROR(INDEX('Detalles movimientos'!F$5:F$1003, MATCH(127, 'Detalles movimientos'!$U$5:$U$1003, 0)), "")</f>
        <v/>
      </c>
      <c r="F136" s="18" t="str">
        <f>IFERROR(INDEX('Detalles movimientos'!G$5:G$1003, MATCH(127, 'Detalles movimientos'!$U$5:$U$1003, 0)), "")</f>
        <v/>
      </c>
      <c r="G136" s="20" t="str">
        <f>IFERROR(INDEX('Detalles movimientos'!H$5:H$1003, MATCH(127, 'Detalles movimientos'!$U$5:$U$1003, 0)), "")</f>
        <v/>
      </c>
      <c r="H136" s="21" t="str">
        <f>IFERROR(INDEX('Detalles movimientos'!I$5:I$1003, MATCH(127, 'Detalles movimientos'!$U$5:$U$1003, 0)), "")</f>
        <v/>
      </c>
      <c r="I136" s="20" t="str">
        <f>IFERROR(INDEX('Detalles movimientos'!M$5:M$1003, MATCH(127, 'Detalles movimientos'!$U$5:$U$1003, 0)), "")</f>
        <v/>
      </c>
      <c r="J136" s="19" t="str">
        <f>IFERROR(INDEX('Detalles movimientos'!N$5:N$1003, MATCH(127, 'Detalles movimientos'!$U$5:$U$1003, 0)), "")</f>
        <v/>
      </c>
      <c r="K136" s="20" t="str">
        <f>IFERROR(INDEX('Detalles movimientos'!O$5:O$1003, MATCH(127, 'Detalles movimientos'!$U$5:$U$1003, 0)), "")</f>
        <v/>
      </c>
      <c r="L136" s="18" t="str">
        <f>IFERROR(INDEX('Detalles movimientos'!P$5:P$1003, MATCH(127, 'Detalles movimientos'!$U$5:$U$1003, 0)), "")</f>
        <v/>
      </c>
      <c r="M136" s="18" t="str">
        <f>IFERROR(INDEX('Detalles movimientos'!S$5:S$1003, MATCH(127, 'Detalles movimientos'!$U$5:$U$1003, 0)), "")</f>
        <v/>
      </c>
    </row>
    <row r="137" spans="2:13">
      <c r="B137" s="17" t="str">
        <f>IFERROR(INDEX('Detalles movimientos'!C$5:C$1003, MATCH(128, 'Detalles movimientos'!$U$5:$U$1003, 0)), "")</f>
        <v/>
      </c>
      <c r="C137" s="18" t="str">
        <f>IFERROR(INDEX('Detalles movimientos'!D$5:D$1003, MATCH(128, 'Detalles movimientos'!$U$5:$U$1003, 0)), "")</f>
        <v/>
      </c>
      <c r="D137" s="19" t="str">
        <f>IFERROR(INDEX('Detalles movimientos'!E$5:E$1003, MATCH(128, 'Detalles movimientos'!$U$5:$U$1003, 0)), "")</f>
        <v/>
      </c>
      <c r="E137" s="19" t="str">
        <f>IFERROR(INDEX('Detalles movimientos'!F$5:F$1003, MATCH(128, 'Detalles movimientos'!$U$5:$U$1003, 0)), "")</f>
        <v/>
      </c>
      <c r="F137" s="18" t="str">
        <f>IFERROR(INDEX('Detalles movimientos'!G$5:G$1003, MATCH(128, 'Detalles movimientos'!$U$5:$U$1003, 0)), "")</f>
        <v/>
      </c>
      <c r="G137" s="20" t="str">
        <f>IFERROR(INDEX('Detalles movimientos'!H$5:H$1003, MATCH(128, 'Detalles movimientos'!$U$5:$U$1003, 0)), "")</f>
        <v/>
      </c>
      <c r="H137" s="21" t="str">
        <f>IFERROR(INDEX('Detalles movimientos'!I$5:I$1003, MATCH(128, 'Detalles movimientos'!$U$5:$U$1003, 0)), "")</f>
        <v/>
      </c>
      <c r="I137" s="20" t="str">
        <f>IFERROR(INDEX('Detalles movimientos'!M$5:M$1003, MATCH(128, 'Detalles movimientos'!$U$5:$U$1003, 0)), "")</f>
        <v/>
      </c>
      <c r="J137" s="19" t="str">
        <f>IFERROR(INDEX('Detalles movimientos'!N$5:N$1003, MATCH(128, 'Detalles movimientos'!$U$5:$U$1003, 0)), "")</f>
        <v/>
      </c>
      <c r="K137" s="20" t="str">
        <f>IFERROR(INDEX('Detalles movimientos'!O$5:O$1003, MATCH(128, 'Detalles movimientos'!$U$5:$U$1003, 0)), "")</f>
        <v/>
      </c>
      <c r="L137" s="18" t="str">
        <f>IFERROR(INDEX('Detalles movimientos'!P$5:P$1003, MATCH(128, 'Detalles movimientos'!$U$5:$U$1003, 0)), "")</f>
        <v/>
      </c>
      <c r="M137" s="18" t="str">
        <f>IFERROR(INDEX('Detalles movimientos'!S$5:S$1003, MATCH(128, 'Detalles movimientos'!$U$5:$U$1003, 0)), "")</f>
        <v/>
      </c>
    </row>
    <row r="138" spans="2:13">
      <c r="B138" s="17" t="str">
        <f>IFERROR(INDEX('Detalles movimientos'!C$5:C$1003, MATCH(129, 'Detalles movimientos'!$U$5:$U$1003, 0)), "")</f>
        <v/>
      </c>
      <c r="C138" s="18" t="str">
        <f>IFERROR(INDEX('Detalles movimientos'!D$5:D$1003, MATCH(129, 'Detalles movimientos'!$U$5:$U$1003, 0)), "")</f>
        <v/>
      </c>
      <c r="D138" s="19" t="str">
        <f>IFERROR(INDEX('Detalles movimientos'!E$5:E$1003, MATCH(129, 'Detalles movimientos'!$U$5:$U$1003, 0)), "")</f>
        <v/>
      </c>
      <c r="E138" s="19" t="str">
        <f>IFERROR(INDEX('Detalles movimientos'!F$5:F$1003, MATCH(129, 'Detalles movimientos'!$U$5:$U$1003, 0)), "")</f>
        <v/>
      </c>
      <c r="F138" s="18" t="str">
        <f>IFERROR(INDEX('Detalles movimientos'!G$5:G$1003, MATCH(129, 'Detalles movimientos'!$U$5:$U$1003, 0)), "")</f>
        <v/>
      </c>
      <c r="G138" s="20" t="str">
        <f>IFERROR(INDEX('Detalles movimientos'!H$5:H$1003, MATCH(129, 'Detalles movimientos'!$U$5:$U$1003, 0)), "")</f>
        <v/>
      </c>
      <c r="H138" s="21" t="str">
        <f>IFERROR(INDEX('Detalles movimientos'!I$5:I$1003, MATCH(129, 'Detalles movimientos'!$U$5:$U$1003, 0)), "")</f>
        <v/>
      </c>
      <c r="I138" s="20" t="str">
        <f>IFERROR(INDEX('Detalles movimientos'!M$5:M$1003, MATCH(129, 'Detalles movimientos'!$U$5:$U$1003, 0)), "")</f>
        <v/>
      </c>
      <c r="J138" s="19" t="str">
        <f>IFERROR(INDEX('Detalles movimientos'!N$5:N$1003, MATCH(129, 'Detalles movimientos'!$U$5:$U$1003, 0)), "")</f>
        <v/>
      </c>
      <c r="K138" s="20" t="str">
        <f>IFERROR(INDEX('Detalles movimientos'!O$5:O$1003, MATCH(129, 'Detalles movimientos'!$U$5:$U$1003, 0)), "")</f>
        <v/>
      </c>
      <c r="L138" s="18" t="str">
        <f>IFERROR(INDEX('Detalles movimientos'!P$5:P$1003, MATCH(129, 'Detalles movimientos'!$U$5:$U$1003, 0)), "")</f>
        <v/>
      </c>
      <c r="M138" s="18" t="str">
        <f>IFERROR(INDEX('Detalles movimientos'!S$5:S$1003, MATCH(129, 'Detalles movimientos'!$U$5:$U$1003, 0)), "")</f>
        <v/>
      </c>
    </row>
    <row r="139" spans="2:13">
      <c r="B139" s="17" t="str">
        <f>IFERROR(INDEX('Detalles movimientos'!C$5:C$1003, MATCH(130, 'Detalles movimientos'!$U$5:$U$1003, 0)), "")</f>
        <v/>
      </c>
      <c r="C139" s="18" t="str">
        <f>IFERROR(INDEX('Detalles movimientos'!D$5:D$1003, MATCH(130, 'Detalles movimientos'!$U$5:$U$1003, 0)), "")</f>
        <v/>
      </c>
      <c r="D139" s="19" t="str">
        <f>IFERROR(INDEX('Detalles movimientos'!E$5:E$1003, MATCH(130, 'Detalles movimientos'!$U$5:$U$1003, 0)), "")</f>
        <v/>
      </c>
      <c r="E139" s="19" t="str">
        <f>IFERROR(INDEX('Detalles movimientos'!F$5:F$1003, MATCH(130, 'Detalles movimientos'!$U$5:$U$1003, 0)), "")</f>
        <v/>
      </c>
      <c r="F139" s="18" t="str">
        <f>IFERROR(INDEX('Detalles movimientos'!G$5:G$1003, MATCH(130, 'Detalles movimientos'!$U$5:$U$1003, 0)), "")</f>
        <v/>
      </c>
      <c r="G139" s="20" t="str">
        <f>IFERROR(INDEX('Detalles movimientos'!H$5:H$1003, MATCH(130, 'Detalles movimientos'!$U$5:$U$1003, 0)), "")</f>
        <v/>
      </c>
      <c r="H139" s="21" t="str">
        <f>IFERROR(INDEX('Detalles movimientos'!I$5:I$1003, MATCH(130, 'Detalles movimientos'!$U$5:$U$1003, 0)), "")</f>
        <v/>
      </c>
      <c r="I139" s="20" t="str">
        <f>IFERROR(INDEX('Detalles movimientos'!M$5:M$1003, MATCH(130, 'Detalles movimientos'!$U$5:$U$1003, 0)), "")</f>
        <v/>
      </c>
      <c r="J139" s="19" t="str">
        <f>IFERROR(INDEX('Detalles movimientos'!N$5:N$1003, MATCH(130, 'Detalles movimientos'!$U$5:$U$1003, 0)), "")</f>
        <v/>
      </c>
      <c r="K139" s="20" t="str">
        <f>IFERROR(INDEX('Detalles movimientos'!O$5:O$1003, MATCH(130, 'Detalles movimientos'!$U$5:$U$1003, 0)), "")</f>
        <v/>
      </c>
      <c r="L139" s="18" t="str">
        <f>IFERROR(INDEX('Detalles movimientos'!P$5:P$1003, MATCH(130, 'Detalles movimientos'!$U$5:$U$1003, 0)), "")</f>
        <v/>
      </c>
      <c r="M139" s="18" t="str">
        <f>IFERROR(INDEX('Detalles movimientos'!S$5:S$1003, MATCH(130, 'Detalles movimientos'!$U$5:$U$1003, 0)), "")</f>
        <v/>
      </c>
    </row>
    <row r="140" spans="2:13">
      <c r="B140" s="17" t="str">
        <f>IFERROR(INDEX('Detalles movimientos'!C$5:C$1003, MATCH(131, 'Detalles movimientos'!$U$5:$U$1003, 0)), "")</f>
        <v/>
      </c>
      <c r="C140" s="18" t="str">
        <f>IFERROR(INDEX('Detalles movimientos'!D$5:D$1003, MATCH(131, 'Detalles movimientos'!$U$5:$U$1003, 0)), "")</f>
        <v/>
      </c>
      <c r="D140" s="19" t="str">
        <f>IFERROR(INDEX('Detalles movimientos'!E$5:E$1003, MATCH(131, 'Detalles movimientos'!$U$5:$U$1003, 0)), "")</f>
        <v/>
      </c>
      <c r="E140" s="19" t="str">
        <f>IFERROR(INDEX('Detalles movimientos'!F$5:F$1003, MATCH(131, 'Detalles movimientos'!$U$5:$U$1003, 0)), "")</f>
        <v/>
      </c>
      <c r="F140" s="18" t="str">
        <f>IFERROR(INDEX('Detalles movimientos'!G$5:G$1003, MATCH(131, 'Detalles movimientos'!$U$5:$U$1003, 0)), "")</f>
        <v/>
      </c>
      <c r="G140" s="20" t="str">
        <f>IFERROR(INDEX('Detalles movimientos'!H$5:H$1003, MATCH(131, 'Detalles movimientos'!$U$5:$U$1003, 0)), "")</f>
        <v/>
      </c>
      <c r="H140" s="21" t="str">
        <f>IFERROR(INDEX('Detalles movimientos'!I$5:I$1003, MATCH(131, 'Detalles movimientos'!$U$5:$U$1003, 0)), "")</f>
        <v/>
      </c>
      <c r="I140" s="20" t="str">
        <f>IFERROR(INDEX('Detalles movimientos'!M$5:M$1003, MATCH(131, 'Detalles movimientos'!$U$5:$U$1003, 0)), "")</f>
        <v/>
      </c>
      <c r="J140" s="19" t="str">
        <f>IFERROR(INDEX('Detalles movimientos'!N$5:N$1003, MATCH(131, 'Detalles movimientos'!$U$5:$U$1003, 0)), "")</f>
        <v/>
      </c>
      <c r="K140" s="20" t="str">
        <f>IFERROR(INDEX('Detalles movimientos'!O$5:O$1003, MATCH(131, 'Detalles movimientos'!$U$5:$U$1003, 0)), "")</f>
        <v/>
      </c>
      <c r="L140" s="18" t="str">
        <f>IFERROR(INDEX('Detalles movimientos'!P$5:P$1003, MATCH(131, 'Detalles movimientos'!$U$5:$U$1003, 0)), "")</f>
        <v/>
      </c>
      <c r="M140" s="18" t="str">
        <f>IFERROR(INDEX('Detalles movimientos'!S$5:S$1003, MATCH(131, 'Detalles movimientos'!$U$5:$U$1003, 0)), "")</f>
        <v/>
      </c>
    </row>
    <row r="141" spans="2:13">
      <c r="B141" s="17" t="str">
        <f>IFERROR(INDEX('Detalles movimientos'!C$5:C$1003, MATCH(132, 'Detalles movimientos'!$U$5:$U$1003, 0)), "")</f>
        <v/>
      </c>
      <c r="C141" s="18" t="str">
        <f>IFERROR(INDEX('Detalles movimientos'!D$5:D$1003, MATCH(132, 'Detalles movimientos'!$U$5:$U$1003, 0)), "")</f>
        <v/>
      </c>
      <c r="D141" s="19" t="str">
        <f>IFERROR(INDEX('Detalles movimientos'!E$5:E$1003, MATCH(132, 'Detalles movimientos'!$U$5:$U$1003, 0)), "")</f>
        <v/>
      </c>
      <c r="E141" s="19" t="str">
        <f>IFERROR(INDEX('Detalles movimientos'!F$5:F$1003, MATCH(132, 'Detalles movimientos'!$U$5:$U$1003, 0)), "")</f>
        <v/>
      </c>
      <c r="F141" s="18" t="str">
        <f>IFERROR(INDEX('Detalles movimientos'!G$5:G$1003, MATCH(132, 'Detalles movimientos'!$U$5:$U$1003, 0)), "")</f>
        <v/>
      </c>
      <c r="G141" s="20" t="str">
        <f>IFERROR(INDEX('Detalles movimientos'!H$5:H$1003, MATCH(132, 'Detalles movimientos'!$U$5:$U$1003, 0)), "")</f>
        <v/>
      </c>
      <c r="H141" s="21" t="str">
        <f>IFERROR(INDEX('Detalles movimientos'!I$5:I$1003, MATCH(132, 'Detalles movimientos'!$U$5:$U$1003, 0)), "")</f>
        <v/>
      </c>
      <c r="I141" s="20" t="str">
        <f>IFERROR(INDEX('Detalles movimientos'!M$5:M$1003, MATCH(132, 'Detalles movimientos'!$U$5:$U$1003, 0)), "")</f>
        <v/>
      </c>
      <c r="J141" s="19" t="str">
        <f>IFERROR(INDEX('Detalles movimientos'!N$5:N$1003, MATCH(132, 'Detalles movimientos'!$U$5:$U$1003, 0)), "")</f>
        <v/>
      </c>
      <c r="K141" s="20" t="str">
        <f>IFERROR(INDEX('Detalles movimientos'!O$5:O$1003, MATCH(132, 'Detalles movimientos'!$U$5:$U$1003, 0)), "")</f>
        <v/>
      </c>
      <c r="L141" s="18" t="str">
        <f>IFERROR(INDEX('Detalles movimientos'!P$5:P$1003, MATCH(132, 'Detalles movimientos'!$U$5:$U$1003, 0)), "")</f>
        <v/>
      </c>
      <c r="M141" s="18" t="str">
        <f>IFERROR(INDEX('Detalles movimientos'!S$5:S$1003, MATCH(132, 'Detalles movimientos'!$U$5:$U$1003, 0)), "")</f>
        <v/>
      </c>
    </row>
    <row r="142" spans="2:13">
      <c r="B142" s="17" t="str">
        <f>IFERROR(INDEX('Detalles movimientos'!C$5:C$1003, MATCH(133, 'Detalles movimientos'!$U$5:$U$1003, 0)), "")</f>
        <v/>
      </c>
      <c r="C142" s="18" t="str">
        <f>IFERROR(INDEX('Detalles movimientos'!D$5:D$1003, MATCH(133, 'Detalles movimientos'!$U$5:$U$1003, 0)), "")</f>
        <v/>
      </c>
      <c r="D142" s="19" t="str">
        <f>IFERROR(INDEX('Detalles movimientos'!E$5:E$1003, MATCH(133, 'Detalles movimientos'!$U$5:$U$1003, 0)), "")</f>
        <v/>
      </c>
      <c r="E142" s="19" t="str">
        <f>IFERROR(INDEX('Detalles movimientos'!F$5:F$1003, MATCH(133, 'Detalles movimientos'!$U$5:$U$1003, 0)), "")</f>
        <v/>
      </c>
      <c r="F142" s="18" t="str">
        <f>IFERROR(INDEX('Detalles movimientos'!G$5:G$1003, MATCH(133, 'Detalles movimientos'!$U$5:$U$1003, 0)), "")</f>
        <v/>
      </c>
      <c r="G142" s="20" t="str">
        <f>IFERROR(INDEX('Detalles movimientos'!H$5:H$1003, MATCH(133, 'Detalles movimientos'!$U$5:$U$1003, 0)), "")</f>
        <v/>
      </c>
      <c r="H142" s="21" t="str">
        <f>IFERROR(INDEX('Detalles movimientos'!I$5:I$1003, MATCH(133, 'Detalles movimientos'!$U$5:$U$1003, 0)), "")</f>
        <v/>
      </c>
      <c r="I142" s="20" t="str">
        <f>IFERROR(INDEX('Detalles movimientos'!M$5:M$1003, MATCH(133, 'Detalles movimientos'!$U$5:$U$1003, 0)), "")</f>
        <v/>
      </c>
      <c r="J142" s="19" t="str">
        <f>IFERROR(INDEX('Detalles movimientos'!N$5:N$1003, MATCH(133, 'Detalles movimientos'!$U$5:$U$1003, 0)), "")</f>
        <v/>
      </c>
      <c r="K142" s="20" t="str">
        <f>IFERROR(INDEX('Detalles movimientos'!O$5:O$1003, MATCH(133, 'Detalles movimientos'!$U$5:$U$1003, 0)), "")</f>
        <v/>
      </c>
      <c r="L142" s="18" t="str">
        <f>IFERROR(INDEX('Detalles movimientos'!P$5:P$1003, MATCH(133, 'Detalles movimientos'!$U$5:$U$1003, 0)), "")</f>
        <v/>
      </c>
      <c r="M142" s="18" t="str">
        <f>IFERROR(INDEX('Detalles movimientos'!S$5:S$1003, MATCH(133, 'Detalles movimientos'!$U$5:$U$1003, 0)), "")</f>
        <v/>
      </c>
    </row>
    <row r="143" spans="2:13">
      <c r="B143" s="17" t="str">
        <f>IFERROR(INDEX('Detalles movimientos'!C$5:C$1003, MATCH(134, 'Detalles movimientos'!$U$5:$U$1003, 0)), "")</f>
        <v/>
      </c>
      <c r="C143" s="18" t="str">
        <f>IFERROR(INDEX('Detalles movimientos'!D$5:D$1003, MATCH(134, 'Detalles movimientos'!$U$5:$U$1003, 0)), "")</f>
        <v/>
      </c>
      <c r="D143" s="19" t="str">
        <f>IFERROR(INDEX('Detalles movimientos'!E$5:E$1003, MATCH(134, 'Detalles movimientos'!$U$5:$U$1003, 0)), "")</f>
        <v/>
      </c>
      <c r="E143" s="19" t="str">
        <f>IFERROR(INDEX('Detalles movimientos'!F$5:F$1003, MATCH(134, 'Detalles movimientos'!$U$5:$U$1003, 0)), "")</f>
        <v/>
      </c>
      <c r="F143" s="18" t="str">
        <f>IFERROR(INDEX('Detalles movimientos'!G$5:G$1003, MATCH(134, 'Detalles movimientos'!$U$5:$U$1003, 0)), "")</f>
        <v/>
      </c>
      <c r="G143" s="20" t="str">
        <f>IFERROR(INDEX('Detalles movimientos'!H$5:H$1003, MATCH(134, 'Detalles movimientos'!$U$5:$U$1003, 0)), "")</f>
        <v/>
      </c>
      <c r="H143" s="21" t="str">
        <f>IFERROR(INDEX('Detalles movimientos'!I$5:I$1003, MATCH(134, 'Detalles movimientos'!$U$5:$U$1003, 0)), "")</f>
        <v/>
      </c>
      <c r="I143" s="20" t="str">
        <f>IFERROR(INDEX('Detalles movimientos'!M$5:M$1003, MATCH(134, 'Detalles movimientos'!$U$5:$U$1003, 0)), "")</f>
        <v/>
      </c>
      <c r="J143" s="19" t="str">
        <f>IFERROR(INDEX('Detalles movimientos'!N$5:N$1003, MATCH(134, 'Detalles movimientos'!$U$5:$U$1003, 0)), "")</f>
        <v/>
      </c>
      <c r="K143" s="20" t="str">
        <f>IFERROR(INDEX('Detalles movimientos'!O$5:O$1003, MATCH(134, 'Detalles movimientos'!$U$5:$U$1003, 0)), "")</f>
        <v/>
      </c>
      <c r="L143" s="18" t="str">
        <f>IFERROR(INDEX('Detalles movimientos'!P$5:P$1003, MATCH(134, 'Detalles movimientos'!$U$5:$U$1003, 0)), "")</f>
        <v/>
      </c>
      <c r="M143" s="18" t="str">
        <f>IFERROR(INDEX('Detalles movimientos'!S$5:S$1003, MATCH(134, 'Detalles movimientos'!$U$5:$U$1003, 0)), "")</f>
        <v/>
      </c>
    </row>
    <row r="144" spans="2:13">
      <c r="B144" s="17" t="str">
        <f>IFERROR(INDEX('Detalles movimientos'!C$5:C$1003, MATCH(135, 'Detalles movimientos'!$U$5:$U$1003, 0)), "")</f>
        <v/>
      </c>
      <c r="C144" s="18" t="str">
        <f>IFERROR(INDEX('Detalles movimientos'!D$5:D$1003, MATCH(135, 'Detalles movimientos'!$U$5:$U$1003, 0)), "")</f>
        <v/>
      </c>
      <c r="D144" s="19" t="str">
        <f>IFERROR(INDEX('Detalles movimientos'!E$5:E$1003, MATCH(135, 'Detalles movimientos'!$U$5:$U$1003, 0)), "")</f>
        <v/>
      </c>
      <c r="E144" s="19" t="str">
        <f>IFERROR(INDEX('Detalles movimientos'!F$5:F$1003, MATCH(135, 'Detalles movimientos'!$U$5:$U$1003, 0)), "")</f>
        <v/>
      </c>
      <c r="F144" s="18" t="str">
        <f>IFERROR(INDEX('Detalles movimientos'!G$5:G$1003, MATCH(135, 'Detalles movimientos'!$U$5:$U$1003, 0)), "")</f>
        <v/>
      </c>
      <c r="G144" s="20" t="str">
        <f>IFERROR(INDEX('Detalles movimientos'!H$5:H$1003, MATCH(135, 'Detalles movimientos'!$U$5:$U$1003, 0)), "")</f>
        <v/>
      </c>
      <c r="H144" s="21" t="str">
        <f>IFERROR(INDEX('Detalles movimientos'!I$5:I$1003, MATCH(135, 'Detalles movimientos'!$U$5:$U$1003, 0)), "")</f>
        <v/>
      </c>
      <c r="I144" s="20" t="str">
        <f>IFERROR(INDEX('Detalles movimientos'!M$5:M$1003, MATCH(135, 'Detalles movimientos'!$U$5:$U$1003, 0)), "")</f>
        <v/>
      </c>
      <c r="J144" s="19" t="str">
        <f>IFERROR(INDEX('Detalles movimientos'!N$5:N$1003, MATCH(135, 'Detalles movimientos'!$U$5:$U$1003, 0)), "")</f>
        <v/>
      </c>
      <c r="K144" s="20" t="str">
        <f>IFERROR(INDEX('Detalles movimientos'!O$5:O$1003, MATCH(135, 'Detalles movimientos'!$U$5:$U$1003, 0)), "")</f>
        <v/>
      </c>
      <c r="L144" s="18" t="str">
        <f>IFERROR(INDEX('Detalles movimientos'!P$5:P$1003, MATCH(135, 'Detalles movimientos'!$U$5:$U$1003, 0)), "")</f>
        <v/>
      </c>
      <c r="M144" s="18" t="str">
        <f>IFERROR(INDEX('Detalles movimientos'!S$5:S$1003, MATCH(135, 'Detalles movimientos'!$U$5:$U$1003, 0)), "")</f>
        <v/>
      </c>
    </row>
    <row r="145" spans="2:13">
      <c r="B145" s="17" t="str">
        <f>IFERROR(INDEX('Detalles movimientos'!C$5:C$1003, MATCH(136, 'Detalles movimientos'!$U$5:$U$1003, 0)), "")</f>
        <v/>
      </c>
      <c r="C145" s="18" t="str">
        <f>IFERROR(INDEX('Detalles movimientos'!D$5:D$1003, MATCH(136, 'Detalles movimientos'!$U$5:$U$1003, 0)), "")</f>
        <v/>
      </c>
      <c r="D145" s="19" t="str">
        <f>IFERROR(INDEX('Detalles movimientos'!E$5:E$1003, MATCH(136, 'Detalles movimientos'!$U$5:$U$1003, 0)), "")</f>
        <v/>
      </c>
      <c r="E145" s="19" t="str">
        <f>IFERROR(INDEX('Detalles movimientos'!F$5:F$1003, MATCH(136, 'Detalles movimientos'!$U$5:$U$1003, 0)), "")</f>
        <v/>
      </c>
      <c r="F145" s="18" t="str">
        <f>IFERROR(INDEX('Detalles movimientos'!G$5:G$1003, MATCH(136, 'Detalles movimientos'!$U$5:$U$1003, 0)), "")</f>
        <v/>
      </c>
      <c r="G145" s="20" t="str">
        <f>IFERROR(INDEX('Detalles movimientos'!H$5:H$1003, MATCH(136, 'Detalles movimientos'!$U$5:$U$1003, 0)), "")</f>
        <v/>
      </c>
      <c r="H145" s="21" t="str">
        <f>IFERROR(INDEX('Detalles movimientos'!I$5:I$1003, MATCH(136, 'Detalles movimientos'!$U$5:$U$1003, 0)), "")</f>
        <v/>
      </c>
      <c r="I145" s="20" t="str">
        <f>IFERROR(INDEX('Detalles movimientos'!M$5:M$1003, MATCH(136, 'Detalles movimientos'!$U$5:$U$1003, 0)), "")</f>
        <v/>
      </c>
      <c r="J145" s="19" t="str">
        <f>IFERROR(INDEX('Detalles movimientos'!N$5:N$1003, MATCH(136, 'Detalles movimientos'!$U$5:$U$1003, 0)), "")</f>
        <v/>
      </c>
      <c r="K145" s="20" t="str">
        <f>IFERROR(INDEX('Detalles movimientos'!O$5:O$1003, MATCH(136, 'Detalles movimientos'!$U$5:$U$1003, 0)), "")</f>
        <v/>
      </c>
      <c r="L145" s="18" t="str">
        <f>IFERROR(INDEX('Detalles movimientos'!P$5:P$1003, MATCH(136, 'Detalles movimientos'!$U$5:$U$1003, 0)), "")</f>
        <v/>
      </c>
      <c r="M145" s="18" t="str">
        <f>IFERROR(INDEX('Detalles movimientos'!S$5:S$1003, MATCH(136, 'Detalles movimientos'!$U$5:$U$1003, 0)), "")</f>
        <v/>
      </c>
    </row>
    <row r="146" spans="2:13">
      <c r="B146" s="17" t="str">
        <f>IFERROR(INDEX('Detalles movimientos'!C$5:C$1003, MATCH(137, 'Detalles movimientos'!$U$5:$U$1003, 0)), "")</f>
        <v/>
      </c>
      <c r="C146" s="18" t="str">
        <f>IFERROR(INDEX('Detalles movimientos'!D$5:D$1003, MATCH(137, 'Detalles movimientos'!$U$5:$U$1003, 0)), "")</f>
        <v/>
      </c>
      <c r="D146" s="19" t="str">
        <f>IFERROR(INDEX('Detalles movimientos'!E$5:E$1003, MATCH(137, 'Detalles movimientos'!$U$5:$U$1003, 0)), "")</f>
        <v/>
      </c>
      <c r="E146" s="19" t="str">
        <f>IFERROR(INDEX('Detalles movimientos'!F$5:F$1003, MATCH(137, 'Detalles movimientos'!$U$5:$U$1003, 0)), "")</f>
        <v/>
      </c>
      <c r="F146" s="18" t="str">
        <f>IFERROR(INDEX('Detalles movimientos'!G$5:G$1003, MATCH(137, 'Detalles movimientos'!$U$5:$U$1003, 0)), "")</f>
        <v/>
      </c>
      <c r="G146" s="20" t="str">
        <f>IFERROR(INDEX('Detalles movimientos'!H$5:H$1003, MATCH(137, 'Detalles movimientos'!$U$5:$U$1003, 0)), "")</f>
        <v/>
      </c>
      <c r="H146" s="21" t="str">
        <f>IFERROR(INDEX('Detalles movimientos'!I$5:I$1003, MATCH(137, 'Detalles movimientos'!$U$5:$U$1003, 0)), "")</f>
        <v/>
      </c>
      <c r="I146" s="20" t="str">
        <f>IFERROR(INDEX('Detalles movimientos'!M$5:M$1003, MATCH(137, 'Detalles movimientos'!$U$5:$U$1003, 0)), "")</f>
        <v/>
      </c>
      <c r="J146" s="19" t="str">
        <f>IFERROR(INDEX('Detalles movimientos'!N$5:N$1003, MATCH(137, 'Detalles movimientos'!$U$5:$U$1003, 0)), "")</f>
        <v/>
      </c>
      <c r="K146" s="20" t="str">
        <f>IFERROR(INDEX('Detalles movimientos'!O$5:O$1003, MATCH(137, 'Detalles movimientos'!$U$5:$U$1003, 0)), "")</f>
        <v/>
      </c>
      <c r="L146" s="18" t="str">
        <f>IFERROR(INDEX('Detalles movimientos'!P$5:P$1003, MATCH(137, 'Detalles movimientos'!$U$5:$U$1003, 0)), "")</f>
        <v/>
      </c>
      <c r="M146" s="18" t="str">
        <f>IFERROR(INDEX('Detalles movimientos'!S$5:S$1003, MATCH(137, 'Detalles movimientos'!$U$5:$U$1003, 0)), "")</f>
        <v/>
      </c>
    </row>
    <row r="147" spans="2:13">
      <c r="B147" s="17" t="str">
        <f>IFERROR(INDEX('Detalles movimientos'!C$5:C$1003, MATCH(138, 'Detalles movimientos'!$U$5:$U$1003, 0)), "")</f>
        <v/>
      </c>
      <c r="C147" s="18" t="str">
        <f>IFERROR(INDEX('Detalles movimientos'!D$5:D$1003, MATCH(138, 'Detalles movimientos'!$U$5:$U$1003, 0)), "")</f>
        <v/>
      </c>
      <c r="D147" s="19" t="str">
        <f>IFERROR(INDEX('Detalles movimientos'!E$5:E$1003, MATCH(138, 'Detalles movimientos'!$U$5:$U$1003, 0)), "")</f>
        <v/>
      </c>
      <c r="E147" s="19" t="str">
        <f>IFERROR(INDEX('Detalles movimientos'!F$5:F$1003, MATCH(138, 'Detalles movimientos'!$U$5:$U$1003, 0)), "")</f>
        <v/>
      </c>
      <c r="F147" s="18" t="str">
        <f>IFERROR(INDEX('Detalles movimientos'!G$5:G$1003, MATCH(138, 'Detalles movimientos'!$U$5:$U$1003, 0)), "")</f>
        <v/>
      </c>
      <c r="G147" s="20" t="str">
        <f>IFERROR(INDEX('Detalles movimientos'!H$5:H$1003, MATCH(138, 'Detalles movimientos'!$U$5:$U$1003, 0)), "")</f>
        <v/>
      </c>
      <c r="H147" s="21" t="str">
        <f>IFERROR(INDEX('Detalles movimientos'!I$5:I$1003, MATCH(138, 'Detalles movimientos'!$U$5:$U$1003, 0)), "")</f>
        <v/>
      </c>
      <c r="I147" s="20" t="str">
        <f>IFERROR(INDEX('Detalles movimientos'!M$5:M$1003, MATCH(138, 'Detalles movimientos'!$U$5:$U$1003, 0)), "")</f>
        <v/>
      </c>
      <c r="J147" s="19" t="str">
        <f>IFERROR(INDEX('Detalles movimientos'!N$5:N$1003, MATCH(138, 'Detalles movimientos'!$U$5:$U$1003, 0)), "")</f>
        <v/>
      </c>
      <c r="K147" s="20" t="str">
        <f>IFERROR(INDEX('Detalles movimientos'!O$5:O$1003, MATCH(138, 'Detalles movimientos'!$U$5:$U$1003, 0)), "")</f>
        <v/>
      </c>
      <c r="L147" s="18" t="str">
        <f>IFERROR(INDEX('Detalles movimientos'!P$5:P$1003, MATCH(138, 'Detalles movimientos'!$U$5:$U$1003, 0)), "")</f>
        <v/>
      </c>
      <c r="M147" s="18" t="str">
        <f>IFERROR(INDEX('Detalles movimientos'!S$5:S$1003, MATCH(138, 'Detalles movimientos'!$U$5:$U$1003, 0)), "")</f>
        <v/>
      </c>
    </row>
    <row r="148" spans="2:13">
      <c r="B148" s="17" t="str">
        <f>IFERROR(INDEX('Detalles movimientos'!C$5:C$1003, MATCH(139, 'Detalles movimientos'!$U$5:$U$1003, 0)), "")</f>
        <v/>
      </c>
      <c r="C148" s="18" t="str">
        <f>IFERROR(INDEX('Detalles movimientos'!D$5:D$1003, MATCH(139, 'Detalles movimientos'!$U$5:$U$1003, 0)), "")</f>
        <v/>
      </c>
      <c r="D148" s="19" t="str">
        <f>IFERROR(INDEX('Detalles movimientos'!E$5:E$1003, MATCH(139, 'Detalles movimientos'!$U$5:$U$1003, 0)), "")</f>
        <v/>
      </c>
      <c r="E148" s="19" t="str">
        <f>IFERROR(INDEX('Detalles movimientos'!F$5:F$1003, MATCH(139, 'Detalles movimientos'!$U$5:$U$1003, 0)), "")</f>
        <v/>
      </c>
      <c r="F148" s="18" t="str">
        <f>IFERROR(INDEX('Detalles movimientos'!G$5:G$1003, MATCH(139, 'Detalles movimientos'!$U$5:$U$1003, 0)), "")</f>
        <v/>
      </c>
      <c r="G148" s="20" t="str">
        <f>IFERROR(INDEX('Detalles movimientos'!H$5:H$1003, MATCH(139, 'Detalles movimientos'!$U$5:$U$1003, 0)), "")</f>
        <v/>
      </c>
      <c r="H148" s="21" t="str">
        <f>IFERROR(INDEX('Detalles movimientos'!I$5:I$1003, MATCH(139, 'Detalles movimientos'!$U$5:$U$1003, 0)), "")</f>
        <v/>
      </c>
      <c r="I148" s="20" t="str">
        <f>IFERROR(INDEX('Detalles movimientos'!M$5:M$1003, MATCH(139, 'Detalles movimientos'!$U$5:$U$1003, 0)), "")</f>
        <v/>
      </c>
      <c r="J148" s="19" t="str">
        <f>IFERROR(INDEX('Detalles movimientos'!N$5:N$1003, MATCH(139, 'Detalles movimientos'!$U$5:$U$1003, 0)), "")</f>
        <v/>
      </c>
      <c r="K148" s="20" t="str">
        <f>IFERROR(INDEX('Detalles movimientos'!O$5:O$1003, MATCH(139, 'Detalles movimientos'!$U$5:$U$1003, 0)), "")</f>
        <v/>
      </c>
      <c r="L148" s="18" t="str">
        <f>IFERROR(INDEX('Detalles movimientos'!P$5:P$1003, MATCH(139, 'Detalles movimientos'!$U$5:$U$1003, 0)), "")</f>
        <v/>
      </c>
      <c r="M148" s="18" t="str">
        <f>IFERROR(INDEX('Detalles movimientos'!S$5:S$1003, MATCH(139, 'Detalles movimientos'!$U$5:$U$1003, 0)), "")</f>
        <v/>
      </c>
    </row>
    <row r="149" spans="2:13">
      <c r="B149" s="17" t="str">
        <f>IFERROR(INDEX('Detalles movimientos'!C$5:C$1003, MATCH(140, 'Detalles movimientos'!$U$5:$U$1003, 0)), "")</f>
        <v/>
      </c>
      <c r="C149" s="18" t="str">
        <f>IFERROR(INDEX('Detalles movimientos'!D$5:D$1003, MATCH(140, 'Detalles movimientos'!$U$5:$U$1003, 0)), "")</f>
        <v/>
      </c>
      <c r="D149" s="19" t="str">
        <f>IFERROR(INDEX('Detalles movimientos'!E$5:E$1003, MATCH(140, 'Detalles movimientos'!$U$5:$U$1003, 0)), "")</f>
        <v/>
      </c>
      <c r="E149" s="19" t="str">
        <f>IFERROR(INDEX('Detalles movimientos'!F$5:F$1003, MATCH(140, 'Detalles movimientos'!$U$5:$U$1003, 0)), "")</f>
        <v/>
      </c>
      <c r="F149" s="18" t="str">
        <f>IFERROR(INDEX('Detalles movimientos'!G$5:G$1003, MATCH(140, 'Detalles movimientos'!$U$5:$U$1003, 0)), "")</f>
        <v/>
      </c>
      <c r="G149" s="20" t="str">
        <f>IFERROR(INDEX('Detalles movimientos'!H$5:H$1003, MATCH(140, 'Detalles movimientos'!$U$5:$U$1003, 0)), "")</f>
        <v/>
      </c>
      <c r="H149" s="21" t="str">
        <f>IFERROR(INDEX('Detalles movimientos'!I$5:I$1003, MATCH(140, 'Detalles movimientos'!$U$5:$U$1003, 0)), "")</f>
        <v/>
      </c>
      <c r="I149" s="20" t="str">
        <f>IFERROR(INDEX('Detalles movimientos'!M$5:M$1003, MATCH(140, 'Detalles movimientos'!$U$5:$U$1003, 0)), "")</f>
        <v/>
      </c>
      <c r="J149" s="19" t="str">
        <f>IFERROR(INDEX('Detalles movimientos'!N$5:N$1003, MATCH(140, 'Detalles movimientos'!$U$5:$U$1003, 0)), "")</f>
        <v/>
      </c>
      <c r="K149" s="20" t="str">
        <f>IFERROR(INDEX('Detalles movimientos'!O$5:O$1003, MATCH(140, 'Detalles movimientos'!$U$5:$U$1003, 0)), "")</f>
        <v/>
      </c>
      <c r="L149" s="18" t="str">
        <f>IFERROR(INDEX('Detalles movimientos'!P$5:P$1003, MATCH(140, 'Detalles movimientos'!$U$5:$U$1003, 0)), "")</f>
        <v/>
      </c>
      <c r="M149" s="18" t="str">
        <f>IFERROR(INDEX('Detalles movimientos'!S$5:S$1003, MATCH(140, 'Detalles movimientos'!$U$5:$U$1003, 0)), "")</f>
        <v/>
      </c>
    </row>
    <row r="150" spans="2:13">
      <c r="B150" s="17" t="str">
        <f>IFERROR(INDEX('Detalles movimientos'!C$5:C$1003, MATCH(141, 'Detalles movimientos'!$U$5:$U$1003, 0)), "")</f>
        <v/>
      </c>
      <c r="C150" s="18" t="str">
        <f>IFERROR(INDEX('Detalles movimientos'!D$5:D$1003, MATCH(141, 'Detalles movimientos'!$U$5:$U$1003, 0)), "")</f>
        <v/>
      </c>
      <c r="D150" s="19" t="str">
        <f>IFERROR(INDEX('Detalles movimientos'!E$5:E$1003, MATCH(141, 'Detalles movimientos'!$U$5:$U$1003, 0)), "")</f>
        <v/>
      </c>
      <c r="E150" s="19" t="str">
        <f>IFERROR(INDEX('Detalles movimientos'!F$5:F$1003, MATCH(141, 'Detalles movimientos'!$U$5:$U$1003, 0)), "")</f>
        <v/>
      </c>
      <c r="F150" s="18" t="str">
        <f>IFERROR(INDEX('Detalles movimientos'!G$5:G$1003, MATCH(141, 'Detalles movimientos'!$U$5:$U$1003, 0)), "")</f>
        <v/>
      </c>
      <c r="G150" s="20" t="str">
        <f>IFERROR(INDEX('Detalles movimientos'!H$5:H$1003, MATCH(141, 'Detalles movimientos'!$U$5:$U$1003, 0)), "")</f>
        <v/>
      </c>
      <c r="H150" s="21" t="str">
        <f>IFERROR(INDEX('Detalles movimientos'!I$5:I$1003, MATCH(141, 'Detalles movimientos'!$U$5:$U$1003, 0)), "")</f>
        <v/>
      </c>
      <c r="I150" s="20" t="str">
        <f>IFERROR(INDEX('Detalles movimientos'!M$5:M$1003, MATCH(141, 'Detalles movimientos'!$U$5:$U$1003, 0)), "")</f>
        <v/>
      </c>
      <c r="J150" s="19" t="str">
        <f>IFERROR(INDEX('Detalles movimientos'!N$5:N$1003, MATCH(141, 'Detalles movimientos'!$U$5:$U$1003, 0)), "")</f>
        <v/>
      </c>
      <c r="K150" s="20" t="str">
        <f>IFERROR(INDEX('Detalles movimientos'!O$5:O$1003, MATCH(141, 'Detalles movimientos'!$U$5:$U$1003, 0)), "")</f>
        <v/>
      </c>
      <c r="L150" s="18" t="str">
        <f>IFERROR(INDEX('Detalles movimientos'!P$5:P$1003, MATCH(141, 'Detalles movimientos'!$U$5:$U$1003, 0)), "")</f>
        <v/>
      </c>
      <c r="M150" s="18" t="str">
        <f>IFERROR(INDEX('Detalles movimientos'!S$5:S$1003, MATCH(141, 'Detalles movimientos'!$U$5:$U$1003, 0)), "")</f>
        <v/>
      </c>
    </row>
    <row r="151" spans="2:13">
      <c r="B151" s="17" t="str">
        <f>IFERROR(INDEX('Detalles movimientos'!C$5:C$1003, MATCH(142, 'Detalles movimientos'!$U$5:$U$1003, 0)), "")</f>
        <v/>
      </c>
      <c r="C151" s="18" t="str">
        <f>IFERROR(INDEX('Detalles movimientos'!D$5:D$1003, MATCH(142, 'Detalles movimientos'!$U$5:$U$1003, 0)), "")</f>
        <v/>
      </c>
      <c r="D151" s="19" t="str">
        <f>IFERROR(INDEX('Detalles movimientos'!E$5:E$1003, MATCH(142, 'Detalles movimientos'!$U$5:$U$1003, 0)), "")</f>
        <v/>
      </c>
      <c r="E151" s="19" t="str">
        <f>IFERROR(INDEX('Detalles movimientos'!F$5:F$1003, MATCH(142, 'Detalles movimientos'!$U$5:$U$1003, 0)), "")</f>
        <v/>
      </c>
      <c r="F151" s="18" t="str">
        <f>IFERROR(INDEX('Detalles movimientos'!G$5:G$1003, MATCH(142, 'Detalles movimientos'!$U$5:$U$1003, 0)), "")</f>
        <v/>
      </c>
      <c r="G151" s="20" t="str">
        <f>IFERROR(INDEX('Detalles movimientos'!H$5:H$1003, MATCH(142, 'Detalles movimientos'!$U$5:$U$1003, 0)), "")</f>
        <v/>
      </c>
      <c r="H151" s="21" t="str">
        <f>IFERROR(INDEX('Detalles movimientos'!I$5:I$1003, MATCH(142, 'Detalles movimientos'!$U$5:$U$1003, 0)), "")</f>
        <v/>
      </c>
      <c r="I151" s="20" t="str">
        <f>IFERROR(INDEX('Detalles movimientos'!M$5:M$1003, MATCH(142, 'Detalles movimientos'!$U$5:$U$1003, 0)), "")</f>
        <v/>
      </c>
      <c r="J151" s="19" t="str">
        <f>IFERROR(INDEX('Detalles movimientos'!N$5:N$1003, MATCH(142, 'Detalles movimientos'!$U$5:$U$1003, 0)), "")</f>
        <v/>
      </c>
      <c r="K151" s="20" t="str">
        <f>IFERROR(INDEX('Detalles movimientos'!O$5:O$1003, MATCH(142, 'Detalles movimientos'!$U$5:$U$1003, 0)), "")</f>
        <v/>
      </c>
      <c r="L151" s="18" t="str">
        <f>IFERROR(INDEX('Detalles movimientos'!P$5:P$1003, MATCH(142, 'Detalles movimientos'!$U$5:$U$1003, 0)), "")</f>
        <v/>
      </c>
      <c r="M151" s="18" t="str">
        <f>IFERROR(INDEX('Detalles movimientos'!S$5:S$1003, MATCH(142, 'Detalles movimientos'!$U$5:$U$1003, 0)), "")</f>
        <v/>
      </c>
    </row>
    <row r="152" spans="2:13">
      <c r="B152" s="17" t="str">
        <f>IFERROR(INDEX('Detalles movimientos'!C$5:C$1003, MATCH(143, 'Detalles movimientos'!$U$5:$U$1003, 0)), "")</f>
        <v/>
      </c>
      <c r="C152" s="18" t="str">
        <f>IFERROR(INDEX('Detalles movimientos'!D$5:D$1003, MATCH(143, 'Detalles movimientos'!$U$5:$U$1003, 0)), "")</f>
        <v/>
      </c>
      <c r="D152" s="19" t="str">
        <f>IFERROR(INDEX('Detalles movimientos'!E$5:E$1003, MATCH(143, 'Detalles movimientos'!$U$5:$U$1003, 0)), "")</f>
        <v/>
      </c>
      <c r="E152" s="19" t="str">
        <f>IFERROR(INDEX('Detalles movimientos'!F$5:F$1003, MATCH(143, 'Detalles movimientos'!$U$5:$U$1003, 0)), "")</f>
        <v/>
      </c>
      <c r="F152" s="18" t="str">
        <f>IFERROR(INDEX('Detalles movimientos'!G$5:G$1003, MATCH(143, 'Detalles movimientos'!$U$5:$U$1003, 0)), "")</f>
        <v/>
      </c>
      <c r="G152" s="20" t="str">
        <f>IFERROR(INDEX('Detalles movimientos'!H$5:H$1003, MATCH(143, 'Detalles movimientos'!$U$5:$U$1003, 0)), "")</f>
        <v/>
      </c>
      <c r="H152" s="21" t="str">
        <f>IFERROR(INDEX('Detalles movimientos'!I$5:I$1003, MATCH(143, 'Detalles movimientos'!$U$5:$U$1003, 0)), "")</f>
        <v/>
      </c>
      <c r="I152" s="20" t="str">
        <f>IFERROR(INDEX('Detalles movimientos'!M$5:M$1003, MATCH(143, 'Detalles movimientos'!$U$5:$U$1003, 0)), "")</f>
        <v/>
      </c>
      <c r="J152" s="19" t="str">
        <f>IFERROR(INDEX('Detalles movimientos'!N$5:N$1003, MATCH(143, 'Detalles movimientos'!$U$5:$U$1003, 0)), "")</f>
        <v/>
      </c>
      <c r="K152" s="20" t="str">
        <f>IFERROR(INDEX('Detalles movimientos'!O$5:O$1003, MATCH(143, 'Detalles movimientos'!$U$5:$U$1003, 0)), "")</f>
        <v/>
      </c>
      <c r="L152" s="18" t="str">
        <f>IFERROR(INDEX('Detalles movimientos'!P$5:P$1003, MATCH(143, 'Detalles movimientos'!$U$5:$U$1003, 0)), "")</f>
        <v/>
      </c>
      <c r="M152" s="18" t="str">
        <f>IFERROR(INDEX('Detalles movimientos'!S$5:S$1003, MATCH(143, 'Detalles movimientos'!$U$5:$U$1003, 0)), "")</f>
        <v/>
      </c>
    </row>
    <row r="153" spans="2:13">
      <c r="B153" s="17" t="str">
        <f>IFERROR(INDEX('Detalles movimientos'!C$5:C$1003, MATCH(144, 'Detalles movimientos'!$U$5:$U$1003, 0)), "")</f>
        <v/>
      </c>
      <c r="C153" s="18" t="str">
        <f>IFERROR(INDEX('Detalles movimientos'!D$5:D$1003, MATCH(144, 'Detalles movimientos'!$U$5:$U$1003, 0)), "")</f>
        <v/>
      </c>
      <c r="D153" s="19" t="str">
        <f>IFERROR(INDEX('Detalles movimientos'!E$5:E$1003, MATCH(144, 'Detalles movimientos'!$U$5:$U$1003, 0)), "")</f>
        <v/>
      </c>
      <c r="E153" s="19" t="str">
        <f>IFERROR(INDEX('Detalles movimientos'!F$5:F$1003, MATCH(144, 'Detalles movimientos'!$U$5:$U$1003, 0)), "")</f>
        <v/>
      </c>
      <c r="F153" s="18" t="str">
        <f>IFERROR(INDEX('Detalles movimientos'!G$5:G$1003, MATCH(144, 'Detalles movimientos'!$U$5:$U$1003, 0)), "")</f>
        <v/>
      </c>
      <c r="G153" s="20" t="str">
        <f>IFERROR(INDEX('Detalles movimientos'!H$5:H$1003, MATCH(144, 'Detalles movimientos'!$U$5:$U$1003, 0)), "")</f>
        <v/>
      </c>
      <c r="H153" s="21" t="str">
        <f>IFERROR(INDEX('Detalles movimientos'!I$5:I$1003, MATCH(144, 'Detalles movimientos'!$U$5:$U$1003, 0)), "")</f>
        <v/>
      </c>
      <c r="I153" s="20" t="str">
        <f>IFERROR(INDEX('Detalles movimientos'!M$5:M$1003, MATCH(144, 'Detalles movimientos'!$U$5:$U$1003, 0)), "")</f>
        <v/>
      </c>
      <c r="J153" s="19" t="str">
        <f>IFERROR(INDEX('Detalles movimientos'!N$5:N$1003, MATCH(144, 'Detalles movimientos'!$U$5:$U$1003, 0)), "")</f>
        <v/>
      </c>
      <c r="K153" s="20" t="str">
        <f>IFERROR(INDEX('Detalles movimientos'!O$5:O$1003, MATCH(144, 'Detalles movimientos'!$U$5:$U$1003, 0)), "")</f>
        <v/>
      </c>
      <c r="L153" s="18" t="str">
        <f>IFERROR(INDEX('Detalles movimientos'!P$5:P$1003, MATCH(144, 'Detalles movimientos'!$U$5:$U$1003, 0)), "")</f>
        <v/>
      </c>
      <c r="M153" s="18" t="str">
        <f>IFERROR(INDEX('Detalles movimientos'!S$5:S$1003, MATCH(144, 'Detalles movimientos'!$U$5:$U$1003, 0)), "")</f>
        <v/>
      </c>
    </row>
    <row r="154" spans="2:13">
      <c r="B154" s="17" t="str">
        <f>IFERROR(INDEX('Detalles movimientos'!C$5:C$1003, MATCH(145, 'Detalles movimientos'!$U$5:$U$1003, 0)), "")</f>
        <v/>
      </c>
      <c r="C154" s="18" t="str">
        <f>IFERROR(INDEX('Detalles movimientos'!D$5:D$1003, MATCH(145, 'Detalles movimientos'!$U$5:$U$1003, 0)), "")</f>
        <v/>
      </c>
      <c r="D154" s="19" t="str">
        <f>IFERROR(INDEX('Detalles movimientos'!E$5:E$1003, MATCH(145, 'Detalles movimientos'!$U$5:$U$1003, 0)), "")</f>
        <v/>
      </c>
      <c r="E154" s="19" t="str">
        <f>IFERROR(INDEX('Detalles movimientos'!F$5:F$1003, MATCH(145, 'Detalles movimientos'!$U$5:$U$1003, 0)), "")</f>
        <v/>
      </c>
      <c r="F154" s="18" t="str">
        <f>IFERROR(INDEX('Detalles movimientos'!G$5:G$1003, MATCH(145, 'Detalles movimientos'!$U$5:$U$1003, 0)), "")</f>
        <v/>
      </c>
      <c r="G154" s="20" t="str">
        <f>IFERROR(INDEX('Detalles movimientos'!H$5:H$1003, MATCH(145, 'Detalles movimientos'!$U$5:$U$1003, 0)), "")</f>
        <v/>
      </c>
      <c r="H154" s="21" t="str">
        <f>IFERROR(INDEX('Detalles movimientos'!I$5:I$1003, MATCH(145, 'Detalles movimientos'!$U$5:$U$1003, 0)), "")</f>
        <v/>
      </c>
      <c r="I154" s="20" t="str">
        <f>IFERROR(INDEX('Detalles movimientos'!M$5:M$1003, MATCH(145, 'Detalles movimientos'!$U$5:$U$1003, 0)), "")</f>
        <v/>
      </c>
      <c r="J154" s="19" t="str">
        <f>IFERROR(INDEX('Detalles movimientos'!N$5:N$1003, MATCH(145, 'Detalles movimientos'!$U$5:$U$1003, 0)), "")</f>
        <v/>
      </c>
      <c r="K154" s="20" t="str">
        <f>IFERROR(INDEX('Detalles movimientos'!O$5:O$1003, MATCH(145, 'Detalles movimientos'!$U$5:$U$1003, 0)), "")</f>
        <v/>
      </c>
      <c r="L154" s="18" t="str">
        <f>IFERROR(INDEX('Detalles movimientos'!P$5:P$1003, MATCH(145, 'Detalles movimientos'!$U$5:$U$1003, 0)), "")</f>
        <v/>
      </c>
      <c r="M154" s="18" t="str">
        <f>IFERROR(INDEX('Detalles movimientos'!S$5:S$1003, MATCH(145, 'Detalles movimientos'!$U$5:$U$1003, 0)), "")</f>
        <v/>
      </c>
    </row>
    <row r="155" spans="2:13">
      <c r="B155" s="17" t="str">
        <f>IFERROR(INDEX('Detalles movimientos'!C$5:C$1003, MATCH(146, 'Detalles movimientos'!$U$5:$U$1003, 0)), "")</f>
        <v/>
      </c>
      <c r="C155" s="18" t="str">
        <f>IFERROR(INDEX('Detalles movimientos'!D$5:D$1003, MATCH(146, 'Detalles movimientos'!$U$5:$U$1003, 0)), "")</f>
        <v/>
      </c>
      <c r="D155" s="19" t="str">
        <f>IFERROR(INDEX('Detalles movimientos'!E$5:E$1003, MATCH(146, 'Detalles movimientos'!$U$5:$U$1003, 0)), "")</f>
        <v/>
      </c>
      <c r="E155" s="19" t="str">
        <f>IFERROR(INDEX('Detalles movimientos'!F$5:F$1003, MATCH(146, 'Detalles movimientos'!$U$5:$U$1003, 0)), "")</f>
        <v/>
      </c>
      <c r="F155" s="18" t="str">
        <f>IFERROR(INDEX('Detalles movimientos'!G$5:G$1003, MATCH(146, 'Detalles movimientos'!$U$5:$U$1003, 0)), "")</f>
        <v/>
      </c>
      <c r="G155" s="20" t="str">
        <f>IFERROR(INDEX('Detalles movimientos'!H$5:H$1003, MATCH(146, 'Detalles movimientos'!$U$5:$U$1003, 0)), "")</f>
        <v/>
      </c>
      <c r="H155" s="21" t="str">
        <f>IFERROR(INDEX('Detalles movimientos'!I$5:I$1003, MATCH(146, 'Detalles movimientos'!$U$5:$U$1003, 0)), "")</f>
        <v/>
      </c>
      <c r="I155" s="20" t="str">
        <f>IFERROR(INDEX('Detalles movimientos'!M$5:M$1003, MATCH(146, 'Detalles movimientos'!$U$5:$U$1003, 0)), "")</f>
        <v/>
      </c>
      <c r="J155" s="19" t="str">
        <f>IFERROR(INDEX('Detalles movimientos'!N$5:N$1003, MATCH(146, 'Detalles movimientos'!$U$5:$U$1003, 0)), "")</f>
        <v/>
      </c>
      <c r="K155" s="20" t="str">
        <f>IFERROR(INDEX('Detalles movimientos'!O$5:O$1003, MATCH(146, 'Detalles movimientos'!$U$5:$U$1003, 0)), "")</f>
        <v/>
      </c>
      <c r="L155" s="18" t="str">
        <f>IFERROR(INDEX('Detalles movimientos'!P$5:P$1003, MATCH(146, 'Detalles movimientos'!$U$5:$U$1003, 0)), "")</f>
        <v/>
      </c>
      <c r="M155" s="18" t="str">
        <f>IFERROR(INDEX('Detalles movimientos'!S$5:S$1003, MATCH(146, 'Detalles movimientos'!$U$5:$U$1003, 0)), "")</f>
        <v/>
      </c>
    </row>
    <row r="156" spans="2:13">
      <c r="B156" s="17" t="str">
        <f>IFERROR(INDEX('Detalles movimientos'!C$5:C$1003, MATCH(147, 'Detalles movimientos'!$U$5:$U$1003, 0)), "")</f>
        <v/>
      </c>
      <c r="C156" s="18" t="str">
        <f>IFERROR(INDEX('Detalles movimientos'!D$5:D$1003, MATCH(147, 'Detalles movimientos'!$U$5:$U$1003, 0)), "")</f>
        <v/>
      </c>
      <c r="D156" s="19" t="str">
        <f>IFERROR(INDEX('Detalles movimientos'!E$5:E$1003, MATCH(147, 'Detalles movimientos'!$U$5:$U$1003, 0)), "")</f>
        <v/>
      </c>
      <c r="E156" s="19" t="str">
        <f>IFERROR(INDEX('Detalles movimientos'!F$5:F$1003, MATCH(147, 'Detalles movimientos'!$U$5:$U$1003, 0)), "")</f>
        <v/>
      </c>
      <c r="F156" s="18" t="str">
        <f>IFERROR(INDEX('Detalles movimientos'!G$5:G$1003, MATCH(147, 'Detalles movimientos'!$U$5:$U$1003, 0)), "")</f>
        <v/>
      </c>
      <c r="G156" s="20" t="str">
        <f>IFERROR(INDEX('Detalles movimientos'!H$5:H$1003, MATCH(147, 'Detalles movimientos'!$U$5:$U$1003, 0)), "")</f>
        <v/>
      </c>
      <c r="H156" s="21" t="str">
        <f>IFERROR(INDEX('Detalles movimientos'!I$5:I$1003, MATCH(147, 'Detalles movimientos'!$U$5:$U$1003, 0)), "")</f>
        <v/>
      </c>
      <c r="I156" s="20" t="str">
        <f>IFERROR(INDEX('Detalles movimientos'!M$5:M$1003, MATCH(147, 'Detalles movimientos'!$U$5:$U$1003, 0)), "")</f>
        <v/>
      </c>
      <c r="J156" s="19" t="str">
        <f>IFERROR(INDEX('Detalles movimientos'!N$5:N$1003, MATCH(147, 'Detalles movimientos'!$U$5:$U$1003, 0)), "")</f>
        <v/>
      </c>
      <c r="K156" s="20" t="str">
        <f>IFERROR(INDEX('Detalles movimientos'!O$5:O$1003, MATCH(147, 'Detalles movimientos'!$U$5:$U$1003, 0)), "")</f>
        <v/>
      </c>
      <c r="L156" s="18" t="str">
        <f>IFERROR(INDEX('Detalles movimientos'!P$5:P$1003, MATCH(147, 'Detalles movimientos'!$U$5:$U$1003, 0)), "")</f>
        <v/>
      </c>
      <c r="M156" s="18" t="str">
        <f>IFERROR(INDEX('Detalles movimientos'!S$5:S$1003, MATCH(147, 'Detalles movimientos'!$U$5:$U$1003, 0)), "")</f>
        <v/>
      </c>
    </row>
    <row r="157" spans="2:13">
      <c r="B157" s="17" t="str">
        <f>IFERROR(INDEX('Detalles movimientos'!C$5:C$1003, MATCH(148, 'Detalles movimientos'!$U$5:$U$1003, 0)), "")</f>
        <v/>
      </c>
      <c r="C157" s="18" t="str">
        <f>IFERROR(INDEX('Detalles movimientos'!D$5:D$1003, MATCH(148, 'Detalles movimientos'!$U$5:$U$1003, 0)), "")</f>
        <v/>
      </c>
      <c r="D157" s="19" t="str">
        <f>IFERROR(INDEX('Detalles movimientos'!E$5:E$1003, MATCH(148, 'Detalles movimientos'!$U$5:$U$1003, 0)), "")</f>
        <v/>
      </c>
      <c r="E157" s="19" t="str">
        <f>IFERROR(INDEX('Detalles movimientos'!F$5:F$1003, MATCH(148, 'Detalles movimientos'!$U$5:$U$1003, 0)), "")</f>
        <v/>
      </c>
      <c r="F157" s="18" t="str">
        <f>IFERROR(INDEX('Detalles movimientos'!G$5:G$1003, MATCH(148, 'Detalles movimientos'!$U$5:$U$1003, 0)), "")</f>
        <v/>
      </c>
      <c r="G157" s="20" t="str">
        <f>IFERROR(INDEX('Detalles movimientos'!H$5:H$1003, MATCH(148, 'Detalles movimientos'!$U$5:$U$1003, 0)), "")</f>
        <v/>
      </c>
      <c r="H157" s="21" t="str">
        <f>IFERROR(INDEX('Detalles movimientos'!I$5:I$1003, MATCH(148, 'Detalles movimientos'!$U$5:$U$1003, 0)), "")</f>
        <v/>
      </c>
      <c r="I157" s="20" t="str">
        <f>IFERROR(INDEX('Detalles movimientos'!M$5:M$1003, MATCH(148, 'Detalles movimientos'!$U$5:$U$1003, 0)), "")</f>
        <v/>
      </c>
      <c r="J157" s="19" t="str">
        <f>IFERROR(INDEX('Detalles movimientos'!N$5:N$1003, MATCH(148, 'Detalles movimientos'!$U$5:$U$1003, 0)), "")</f>
        <v/>
      </c>
      <c r="K157" s="20" t="str">
        <f>IFERROR(INDEX('Detalles movimientos'!O$5:O$1003, MATCH(148, 'Detalles movimientos'!$U$5:$U$1003, 0)), "")</f>
        <v/>
      </c>
      <c r="L157" s="18" t="str">
        <f>IFERROR(INDEX('Detalles movimientos'!P$5:P$1003, MATCH(148, 'Detalles movimientos'!$U$5:$U$1003, 0)), "")</f>
        <v/>
      </c>
      <c r="M157" s="18" t="str">
        <f>IFERROR(INDEX('Detalles movimientos'!S$5:S$1003, MATCH(148, 'Detalles movimientos'!$U$5:$U$1003, 0)), "")</f>
        <v/>
      </c>
    </row>
    <row r="158" spans="2:13">
      <c r="B158" s="17" t="str">
        <f>IFERROR(INDEX('Detalles movimientos'!C$5:C$1003, MATCH(149, 'Detalles movimientos'!$U$5:$U$1003, 0)), "")</f>
        <v/>
      </c>
      <c r="C158" s="18" t="str">
        <f>IFERROR(INDEX('Detalles movimientos'!D$5:D$1003, MATCH(149, 'Detalles movimientos'!$U$5:$U$1003, 0)), "")</f>
        <v/>
      </c>
      <c r="D158" s="19" t="str">
        <f>IFERROR(INDEX('Detalles movimientos'!E$5:E$1003, MATCH(149, 'Detalles movimientos'!$U$5:$U$1003, 0)), "")</f>
        <v/>
      </c>
      <c r="E158" s="19" t="str">
        <f>IFERROR(INDEX('Detalles movimientos'!F$5:F$1003, MATCH(149, 'Detalles movimientos'!$U$5:$U$1003, 0)), "")</f>
        <v/>
      </c>
      <c r="F158" s="18" t="str">
        <f>IFERROR(INDEX('Detalles movimientos'!G$5:G$1003, MATCH(149, 'Detalles movimientos'!$U$5:$U$1003, 0)), "")</f>
        <v/>
      </c>
      <c r="G158" s="20" t="str">
        <f>IFERROR(INDEX('Detalles movimientos'!H$5:H$1003, MATCH(149, 'Detalles movimientos'!$U$5:$U$1003, 0)), "")</f>
        <v/>
      </c>
      <c r="H158" s="21" t="str">
        <f>IFERROR(INDEX('Detalles movimientos'!I$5:I$1003, MATCH(149, 'Detalles movimientos'!$U$5:$U$1003, 0)), "")</f>
        <v/>
      </c>
      <c r="I158" s="20" t="str">
        <f>IFERROR(INDEX('Detalles movimientos'!M$5:M$1003, MATCH(149, 'Detalles movimientos'!$U$5:$U$1003, 0)), "")</f>
        <v/>
      </c>
      <c r="J158" s="19" t="str">
        <f>IFERROR(INDEX('Detalles movimientos'!N$5:N$1003, MATCH(149, 'Detalles movimientos'!$U$5:$U$1003, 0)), "")</f>
        <v/>
      </c>
      <c r="K158" s="20" t="str">
        <f>IFERROR(INDEX('Detalles movimientos'!O$5:O$1003, MATCH(149, 'Detalles movimientos'!$U$5:$U$1003, 0)), "")</f>
        <v/>
      </c>
      <c r="L158" s="18" t="str">
        <f>IFERROR(INDEX('Detalles movimientos'!P$5:P$1003, MATCH(149, 'Detalles movimientos'!$U$5:$U$1003, 0)), "")</f>
        <v/>
      </c>
      <c r="M158" s="18" t="str">
        <f>IFERROR(INDEX('Detalles movimientos'!S$5:S$1003, MATCH(149, 'Detalles movimientos'!$U$5:$U$1003,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116</v>
      </c>
    </row>
    <row r="3" spans="2:13">
      <c r="B3" s="15" t="s">
        <v>83</v>
      </c>
    </row>
    <row r="5" spans="2:13">
      <c r="B5" s="61" t="s">
        <v>109</v>
      </c>
      <c r="C5" s="55"/>
      <c r="E5" s="61" t="s">
        <v>87</v>
      </c>
      <c r="F5" s="55"/>
      <c r="H5" s="61" t="s">
        <v>88</v>
      </c>
      <c r="I5" s="55"/>
    </row>
    <row r="6" spans="2:13">
      <c r="B6" s="60">
        <f>SUMIFS('Detalles movimientos'!I$5:I$1003, 'Detalles movimientos'!F$5:F$1003, "Tripulacion")</f>
        <v>3296</v>
      </c>
      <c r="C6" s="51"/>
      <c r="E6" s="63">
        <f>SUMIFS('Detalles movimientos'!M$5:M$1003, 'Detalles movimientos'!F$5:F$1003, "Tripulacion")</f>
        <v>1274000</v>
      </c>
      <c r="F6" s="51"/>
      <c r="H6" s="64">
        <f>COUNTIFS('Detalles movimientos'!F$5:F$1003, "Tripulacion")</f>
        <v>7</v>
      </c>
      <c r="I6" s="51"/>
    </row>
    <row r="7" spans="2:13">
      <c r="B7" s="52"/>
      <c r="C7" s="53"/>
      <c r="E7" s="52"/>
      <c r="F7" s="53"/>
      <c r="H7" s="52"/>
      <c r="I7" s="53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movimientos'!$V$5:$V$1003, 0)), "")</f>
        <v>46231</v>
      </c>
      <c r="C10" s="18" t="str">
        <f>IFERROR(INDEX('Detalles movimientos'!D$5:D$1003, MATCH(1, 'Detalles movimientos'!$V$5:$V$1003, 0)), "")</f>
        <v>Franco Garcia</v>
      </c>
      <c r="D10" s="19" t="str">
        <f>IFERROR(INDEX('Detalles movimientos'!E$5:E$1003, MATCH(1, 'Detalles movimientos'!$V$5:$V$1003, 0)), "")</f>
        <v>VJYL61</v>
      </c>
      <c r="E10" s="19" t="str">
        <f>IFERROR(INDEX('Detalles movimientos'!F$5:F$1003, MATCH(1, 'Detalles movimientos'!$V$5:$V$1003, 0)), "")</f>
        <v>Tripulacion</v>
      </c>
      <c r="F10" s="18" t="str">
        <f>IFERROR(INDEX('Detalles movimientos'!G$5:G$1003, MATCH(1, 'Detalles movimientos'!$V$5:$V$1003, 0)), "")</f>
        <v>Santa Rita 1177 parcela 14 Pirque</v>
      </c>
      <c r="G10" s="20">
        <f>IFERROR(INDEX('Detalles movimientos'!H$5:H$1003, MATCH(1, 'Detalles movimientos'!$V$5:$V$1003, 0)), "")</f>
        <v>0</v>
      </c>
      <c r="H10" s="21">
        <f>IFERROR(INDEX('Detalles movimientos'!I$5:I$1003, MATCH(1, 'Detalles movimientos'!$V$5:$V$1003, 0)), "")</f>
        <v>912</v>
      </c>
      <c r="I10" s="20">
        <f>IFERROR(INDEX('Detalles movimientos'!M$5:M$1003, MATCH(1, 'Detalles movimientos'!$V$5:$V$1003, 0)), "")</f>
        <v>0</v>
      </c>
      <c r="J10" s="19">
        <f>IFERROR(INDEX('Detalles movimientos'!N$5:N$1003, MATCH(1, 'Detalles movimientos'!$V$5:$V$1003, 0)), "")</f>
        <v>0</v>
      </c>
      <c r="K10" s="20" t="str">
        <f>IFERROR(INDEX('Detalles movimientos'!O$5:O$1003, MATCH(1, 'Detalles movimientos'!$V$5:$V$1003, 0)), "")</f>
        <v/>
      </c>
      <c r="L10" s="18">
        <f>IFERROR(INDEX('Detalles movimientos'!P$5:P$1003, MATCH(1, 'Detalles movimientos'!$V$5:$V$1003, 0)), "")</f>
        <v>0</v>
      </c>
      <c r="M10" s="18">
        <f>IFERROR(INDEX('Detalles movimientos'!S$5:S$1003, MATCH(1, 'Detalles movimientos'!$V$5:$V$1003, 0)), "")</f>
        <v>0</v>
      </c>
    </row>
    <row r="11" spans="2:13">
      <c r="B11" s="17">
        <f>IFERROR(INDEX('Detalles movimientos'!C$5:C$1003, MATCH(2, 'Detalles movimientos'!$V$5:$V$1003, 0)), "")</f>
        <v>46241</v>
      </c>
      <c r="C11" s="18" t="str">
        <f>IFERROR(INDEX('Detalles movimientos'!D$5:D$1003, MATCH(2, 'Detalles movimientos'!$V$5:$V$1003, 0)), "")</f>
        <v>Gastronomca Exquisite</v>
      </c>
      <c r="D11" s="19" t="str">
        <f>IFERROR(INDEX('Detalles movimientos'!E$5:E$1003, MATCH(2, 'Detalles movimientos'!$V$5:$V$1003, 0)), "")</f>
        <v>VJYL61</v>
      </c>
      <c r="E11" s="19" t="str">
        <f>IFERROR(INDEX('Detalles movimientos'!F$5:F$1003, MATCH(2, 'Detalles movimientos'!$V$5:$V$1003, 0)), "")</f>
        <v>Tripulacion</v>
      </c>
      <c r="F11" s="18" t="str">
        <f>IFERROR(INDEX('Detalles movimientos'!G$5:G$1003, MATCH(2, 'Detalles movimientos'!$V$5:$V$1003, 0)), "")</f>
        <v>JP Alesaandri 114 Nuñoa</v>
      </c>
      <c r="G11" s="20">
        <f>IFERROR(INDEX('Detalles movimientos'!H$5:H$1003, MATCH(2, 'Detalles movimientos'!$V$5:$V$1003, 0)), "")</f>
        <v>1000</v>
      </c>
      <c r="H11" s="21">
        <f>IFERROR(INDEX('Detalles movimientos'!I$5:I$1003, MATCH(2, 'Detalles movimientos'!$V$5:$V$1003, 0)), "")</f>
        <v>350</v>
      </c>
      <c r="I11" s="20">
        <f>IFERROR(INDEX('Detalles movimientos'!M$5:M$1003, MATCH(2, 'Detalles movimientos'!$V$5:$V$1003, 0)), "")</f>
        <v>350000</v>
      </c>
      <c r="J11" s="19" t="str">
        <f>IFERROR(INDEX('Detalles movimientos'!N$5:N$1003, MATCH(2, 'Detalles movimientos'!$V$5:$V$1003, 0)), "")</f>
        <v>Transferencia</v>
      </c>
      <c r="K11" s="20" t="str">
        <f>IFERROR(INDEX('Detalles movimientos'!O$5:O$1003, MATCH(2, 'Detalles movimientos'!$V$5:$V$1003, 0)), "")</f>
        <v/>
      </c>
      <c r="L11" s="18" t="str">
        <f>IFERROR(INDEX('Detalles movimientos'!P$5:P$1003, MATCH(2, 'Detalles movimientos'!$V$5:$V$1003, 0)), "")</f>
        <v>Factura</v>
      </c>
      <c r="M11" s="18" t="str">
        <f>IFERROR(INDEX('Detalles movimientos'!S$5:S$1003, MATCH(2, 'Detalles movimientos'!$V$5:$V$1003, 0)), "")</f>
        <v>Gastronomica Exquisite SpA - Rut: 77.714.318-2 - JP alessandri 114 Nuñoa</v>
      </c>
    </row>
    <row r="12" spans="2:13">
      <c r="B12" s="17">
        <f>IFERROR(INDEX('Detalles movimientos'!C$5:C$1003, MATCH(3, 'Detalles movimientos'!$V$5:$V$1003, 0)), "")</f>
        <v>46241</v>
      </c>
      <c r="C12" s="18" t="str">
        <f>IFERROR(INDEX('Detalles movimientos'!D$5:D$1003, MATCH(3, 'Detalles movimientos'!$V$5:$V$1003, 0)), "")</f>
        <v>Panaderia Maipu</v>
      </c>
      <c r="D12" s="19" t="str">
        <f>IFERROR(INDEX('Detalles movimientos'!E$5:E$1003, MATCH(3, 'Detalles movimientos'!$V$5:$V$1003, 0)), "")</f>
        <v>VJYL61</v>
      </c>
      <c r="E12" s="19" t="str">
        <f>IFERROR(INDEX('Detalles movimientos'!F$5:F$1003, MATCH(3, 'Detalles movimientos'!$V$5:$V$1003, 0)), "")</f>
        <v>Tripulacion</v>
      </c>
      <c r="F12" s="18" t="str">
        <f>IFERROR(INDEX('Detalles movimientos'!G$5:G$1003, MATCH(3, 'Detalles movimientos'!$V$5:$V$1003, 0)), "")</f>
        <v>Av los carreras 706B, plaza de los porotos</v>
      </c>
      <c r="G12" s="20">
        <f>IFERROR(INDEX('Detalles movimientos'!H$5:H$1003, MATCH(3, 'Detalles movimientos'!$V$5:$V$1003, 0)), "")</f>
        <v>1000</v>
      </c>
      <c r="H12" s="21">
        <f>IFERROR(INDEX('Detalles movimientos'!I$5:I$1003, MATCH(3, 'Detalles movimientos'!$V$5:$V$1003, 0)), "")</f>
        <v>109</v>
      </c>
      <c r="I12" s="20">
        <f>IFERROR(INDEX('Detalles movimientos'!M$5:M$1003, MATCH(3, 'Detalles movimientos'!$V$5:$V$1003, 0)), "")</f>
        <v>109000</v>
      </c>
      <c r="J12" s="19" t="str">
        <f>IFERROR(INDEX('Detalles movimientos'!N$5:N$1003, MATCH(3, 'Detalles movimientos'!$V$5:$V$1003, 0)), "")</f>
        <v>Transferencia</v>
      </c>
      <c r="K12" s="20" t="str">
        <f>IFERROR(INDEX('Detalles movimientos'!O$5:O$1003, MATCH(3, 'Detalles movimientos'!$V$5:$V$1003, 0)), "")</f>
        <v/>
      </c>
      <c r="L12" s="18">
        <f>IFERROR(INDEX('Detalles movimientos'!P$5:P$1003, MATCH(3, 'Detalles movimientos'!$V$5:$V$1003, 0)), "")</f>
        <v>0</v>
      </c>
      <c r="M12" s="18">
        <f>IFERROR(INDEX('Detalles movimientos'!S$5:S$1003, MATCH(3, 'Detalles movimientos'!$V$5:$V$1003, 0)), "")</f>
        <v>0</v>
      </c>
    </row>
    <row r="13" spans="2:13">
      <c r="B13" s="17">
        <f>IFERROR(INDEX('Detalles movimientos'!C$5:C$1003, MATCH(4, 'Detalles movimientos'!$V$5:$V$1003, 0)), "")</f>
        <v>46247</v>
      </c>
      <c r="C13" s="18" t="str">
        <f>IFERROR(INDEX('Detalles movimientos'!D$5:D$1003, MATCH(4, 'Detalles movimientos'!$V$5:$V$1003, 0)), "")</f>
        <v>Mister Guss SpA</v>
      </c>
      <c r="D13" s="19" t="str">
        <f>IFERROR(INDEX('Detalles movimientos'!E$5:E$1003, MATCH(4, 'Detalles movimientos'!$V$5:$V$1003, 0)), "")</f>
        <v>VJYL61</v>
      </c>
      <c r="E13" s="19" t="str">
        <f>IFERROR(INDEX('Detalles movimientos'!F$5:F$1003, MATCH(4, 'Detalles movimientos'!$V$5:$V$1003, 0)), "")</f>
        <v>Tripulacion</v>
      </c>
      <c r="F13" s="18" t="str">
        <f>IFERROR(INDEX('Detalles movimientos'!G$5:G$1003, MATCH(4, 'Detalles movimientos'!$V$5:$V$1003, 0)), "")</f>
        <v>PRIMERA TRANSVERSAL 828 PADRE HURTADO</v>
      </c>
      <c r="G13" s="20">
        <f>IFERROR(INDEX('Detalles movimientos'!H$5:H$1003, MATCH(4, 'Detalles movimientos'!$V$5:$V$1003, 0)), "")</f>
        <v>1000</v>
      </c>
      <c r="H13" s="21">
        <f>IFERROR(INDEX('Detalles movimientos'!I$5:I$1003, MATCH(4, 'Detalles movimientos'!$V$5:$V$1003, 0)), "")</f>
        <v>256</v>
      </c>
      <c r="I13" s="20">
        <f>IFERROR(INDEX('Detalles movimientos'!M$5:M$1003, MATCH(4, 'Detalles movimientos'!$V$5:$V$1003, 0)), "")</f>
        <v>256000</v>
      </c>
      <c r="J13" s="19" t="str">
        <f>IFERROR(INDEX('Detalles movimientos'!N$5:N$1003, MATCH(4, 'Detalles movimientos'!$V$5:$V$1003, 0)), "")</f>
        <v>Transferencia</v>
      </c>
      <c r="K13" s="20" t="str">
        <f>IFERROR(INDEX('Detalles movimientos'!O$5:O$1003, MATCH(4, 'Detalles movimientos'!$V$5:$V$1003, 0)), "")</f>
        <v/>
      </c>
      <c r="L13" s="18" t="str">
        <f>IFERROR(INDEX('Detalles movimientos'!P$5:P$1003, MATCH(4, 'Detalles movimientos'!$V$5:$V$1003, 0)), "")</f>
        <v>Factura</v>
      </c>
      <c r="M13" s="18" t="str">
        <f>IFERROR(INDEX('Detalles movimientos'!S$5:S$1003, MATCH(4, 'Detalles movimientos'!$V$5:$V$1003, 0)), "")</f>
        <v>MISTER GUSS SPA - RUT 78.060.801-3 - PRIMERA TRANSVERSAL 828 PADRE HURTADO - RESTOBAR</v>
      </c>
    </row>
    <row r="14" spans="2:13">
      <c r="B14" s="17">
        <f>IFERROR(INDEX('Detalles movimientos'!C$5:C$1003, MATCH(5, 'Detalles movimientos'!$V$5:$V$1003, 0)), "")</f>
        <v>46254</v>
      </c>
      <c r="C14" s="18" t="str">
        <f>IFERROR(INDEX('Detalles movimientos'!D$5:D$1003, MATCH(5, 'Detalles movimientos'!$V$5:$V$1003, 0)), "")</f>
        <v>Brasas y Sabor SpA</v>
      </c>
      <c r="D14" s="19" t="str">
        <f>IFERROR(INDEX('Detalles movimientos'!E$5:E$1003, MATCH(5, 'Detalles movimientos'!$V$5:$V$1003, 0)), "")</f>
        <v>VJYL61</v>
      </c>
      <c r="E14" s="19" t="str">
        <f>IFERROR(INDEX('Detalles movimientos'!F$5:F$1003, MATCH(5, 'Detalles movimientos'!$V$5:$V$1003, 0)), "")</f>
        <v>Tripulacion</v>
      </c>
      <c r="F14" s="18" t="str">
        <f>IFERROR(INDEX('Detalles movimientos'!G$5:G$1003, MATCH(5, 'Detalles movimientos'!$V$5:$V$1003, 0)), "")</f>
        <v>Puente Alto</v>
      </c>
      <c r="G14" s="20">
        <f>IFERROR(INDEX('Detalles movimientos'!H$5:H$1003, MATCH(5, 'Detalles movimientos'!$V$5:$V$1003, 0)), "")</f>
        <v>1100</v>
      </c>
      <c r="H14" s="21">
        <f>IFERROR(INDEX('Detalles movimientos'!I$5:I$1003, MATCH(5, 'Detalles movimientos'!$V$5:$V$1003, 0)), "")</f>
        <v>100</v>
      </c>
      <c r="I14" s="20">
        <f>IFERROR(INDEX('Detalles movimientos'!M$5:M$1003, MATCH(5, 'Detalles movimientos'!$V$5:$V$1003, 0)), "")</f>
        <v>110000</v>
      </c>
      <c r="J14" s="19" t="str">
        <f>IFERROR(INDEX('Detalles movimientos'!N$5:N$1003, MATCH(5, 'Detalles movimientos'!$V$5:$V$1003, 0)), "")</f>
        <v>Transferencia</v>
      </c>
      <c r="K14" s="20" t="str">
        <f>IFERROR(INDEX('Detalles movimientos'!O$5:O$1003, MATCH(5, 'Detalles movimientos'!$V$5:$V$1003, 0)), "")</f>
        <v/>
      </c>
      <c r="L14" s="18" t="str">
        <f>IFERROR(INDEX('Detalles movimientos'!P$5:P$1003, MATCH(5, 'Detalles movimientos'!$V$5:$V$1003, 0)), "")</f>
        <v>Factura</v>
      </c>
      <c r="M14" s="18" t="str">
        <f>IFERROR(INDEX('Detalles movimientos'!S$5:S$1003, MATCH(5, 'Detalles movimientos'!$V$5:$V$1003, 0)), "")</f>
        <v>Brasas y Sabor SpA - RUT 76.378-704-4 - Av Concha y Toro #11 Puente Alto</v>
      </c>
    </row>
    <row r="15" spans="2:13">
      <c r="B15" s="17">
        <f>IFERROR(INDEX('Detalles movimientos'!C$5:C$1003, MATCH(6, 'Detalles movimientos'!$V$5:$V$1003, 0)), "")</f>
        <v>46258</v>
      </c>
      <c r="C15" s="18" t="str">
        <f>IFERROR(INDEX('Detalles movimientos'!D$5:D$1003, MATCH(6, 'Detalles movimientos'!$V$5:$V$1003, 0)), "")</f>
        <v>Franco Garcia</v>
      </c>
      <c r="D15" s="19" t="str">
        <f>IFERROR(INDEX('Detalles movimientos'!E$5:E$1003, MATCH(6, 'Detalles movimientos'!$V$5:$V$1003, 0)), "")</f>
        <v>VJYL61</v>
      </c>
      <c r="E15" s="19" t="str">
        <f>IFERROR(INDEX('Detalles movimientos'!F$5:F$1003, MATCH(6, 'Detalles movimientos'!$V$5:$V$1003, 0)), "")</f>
        <v>Tripulacion</v>
      </c>
      <c r="F15" s="18" t="str">
        <f>IFERROR(INDEX('Detalles movimientos'!G$5:G$1003, MATCH(6, 'Detalles movimientos'!$V$5:$V$1003, 0)), "")</f>
        <v>Santa Rita 1177 parcela 14 Pirque</v>
      </c>
      <c r="G15" s="20">
        <f>IFERROR(INDEX('Detalles movimientos'!H$5:H$1003, MATCH(6, 'Detalles movimientos'!$V$5:$V$1003, 0)), "")</f>
        <v>0</v>
      </c>
      <c r="H15" s="21">
        <f>IFERROR(INDEX('Detalles movimientos'!I$5:I$1003, MATCH(6, 'Detalles movimientos'!$V$5:$V$1003, 0)), "")</f>
        <v>1120</v>
      </c>
      <c r="I15" s="20">
        <f>IFERROR(INDEX('Detalles movimientos'!M$5:M$1003, MATCH(6, 'Detalles movimientos'!$V$5:$V$1003, 0)), "")</f>
        <v>0</v>
      </c>
      <c r="J15" s="19">
        <f>IFERROR(INDEX('Detalles movimientos'!N$5:N$1003, MATCH(6, 'Detalles movimientos'!$V$5:$V$1003, 0)), "")</f>
        <v>0</v>
      </c>
      <c r="K15" s="20" t="str">
        <f>IFERROR(INDEX('Detalles movimientos'!O$5:O$1003, MATCH(6, 'Detalles movimientos'!$V$5:$V$1003, 0)), "")</f>
        <v/>
      </c>
      <c r="L15" s="18">
        <f>IFERROR(INDEX('Detalles movimientos'!P$5:P$1003, MATCH(6, 'Detalles movimientos'!$V$5:$V$1003, 0)), "")</f>
        <v>0</v>
      </c>
      <c r="M15" s="18">
        <f>IFERROR(INDEX('Detalles movimientos'!S$5:S$1003, MATCH(6, 'Detalles movimientos'!$V$5:$V$1003, 0)), "")</f>
        <v>0</v>
      </c>
    </row>
    <row r="16" spans="2:13">
      <c r="B16" s="17">
        <f>IFERROR(INDEX('Detalles movimientos'!C$5:C$1003, MATCH(7, 'Detalles movimientos'!$V$5:$V$1003, 0)), "")</f>
        <v>46258</v>
      </c>
      <c r="C16" s="18" t="str">
        <f>IFERROR(INDEX('Detalles movimientos'!D$5:D$1003, MATCH(7, 'Detalles movimientos'!$V$5:$V$1003, 0)), "")</f>
        <v>Centro de Eventos Barrio Alto SpA</v>
      </c>
      <c r="D16" s="19" t="str">
        <f>IFERROR(INDEX('Detalles movimientos'!E$5:E$1003, MATCH(7, 'Detalles movimientos'!$V$5:$V$1003, 0)), "")</f>
        <v>VJYL61</v>
      </c>
      <c r="E16" s="19" t="str">
        <f>IFERROR(INDEX('Detalles movimientos'!F$5:F$1003, MATCH(7, 'Detalles movimientos'!$V$5:$V$1003, 0)), "")</f>
        <v>Tripulacion</v>
      </c>
      <c r="F16" s="18" t="str">
        <f>IFERROR(INDEX('Detalles movimientos'!G$5:G$1003, MATCH(7, 'Detalles movimientos'!$V$5:$V$1003, 0)), "")</f>
        <v>El Peñón 335 Puente Alto</v>
      </c>
      <c r="G16" s="20">
        <f>IFERROR(INDEX('Detalles movimientos'!H$5:H$1003, MATCH(7, 'Detalles movimientos'!$V$5:$V$1003, 0)), "")</f>
        <v>1000</v>
      </c>
      <c r="H16" s="21">
        <f>IFERROR(INDEX('Detalles movimientos'!I$5:I$1003, MATCH(7, 'Detalles movimientos'!$V$5:$V$1003, 0)), "")</f>
        <v>449</v>
      </c>
      <c r="I16" s="20">
        <f>IFERROR(INDEX('Detalles movimientos'!M$5:M$1003, MATCH(7, 'Detalles movimientos'!$V$5:$V$1003, 0)), "")</f>
        <v>449000</v>
      </c>
      <c r="J16" s="19" t="str">
        <f>IFERROR(INDEX('Detalles movimientos'!N$5:N$1003, MATCH(7, 'Detalles movimientos'!$V$5:$V$1003, 0)), "")</f>
        <v>Transferencia</v>
      </c>
      <c r="K16" s="20" t="str">
        <f>IFERROR(INDEX('Detalles movimientos'!O$5:O$1003, MATCH(7, 'Detalles movimientos'!$V$5:$V$1003, 0)), "")</f>
        <v/>
      </c>
      <c r="L16" s="18" t="str">
        <f>IFERROR(INDEX('Detalles movimientos'!P$5:P$1003, MATCH(7, 'Detalles movimientos'!$V$5:$V$1003, 0)), "")</f>
        <v>Factura</v>
      </c>
      <c r="M16" s="18" t="str">
        <f>IFERROR(INDEX('Detalles movimientos'!S$5:S$1003, MATCH(7, 'Detalles movimientos'!$V$5:$V$1003, 0)), "")</f>
        <v>Centro de eventos Barrio Alto SpA - RUT 78.467.844-K - EL PENON CHICO 0335 PUENTE ALTO</v>
      </c>
    </row>
    <row r="17" spans="2:13">
      <c r="B17" s="17" t="str">
        <f>IFERROR(INDEX('Detalles movimientos'!C$5:C$1003, MATCH(8, 'Detalles movimientos'!$V$5:$V$1003, 0)), "")</f>
        <v/>
      </c>
      <c r="C17" s="18" t="str">
        <f>IFERROR(INDEX('Detalles movimientos'!D$5:D$1003, MATCH(8, 'Detalles movimientos'!$V$5:$V$1003, 0)), "")</f>
        <v/>
      </c>
      <c r="D17" s="19" t="str">
        <f>IFERROR(INDEX('Detalles movimientos'!E$5:E$1003, MATCH(8, 'Detalles movimientos'!$V$5:$V$1003, 0)), "")</f>
        <v/>
      </c>
      <c r="E17" s="19" t="str">
        <f>IFERROR(INDEX('Detalles movimientos'!F$5:F$1003, MATCH(8, 'Detalles movimientos'!$V$5:$V$1003, 0)), "")</f>
        <v/>
      </c>
      <c r="F17" s="18" t="str">
        <f>IFERROR(INDEX('Detalles movimientos'!G$5:G$1003, MATCH(8, 'Detalles movimientos'!$V$5:$V$1003, 0)), "")</f>
        <v/>
      </c>
      <c r="G17" s="20" t="str">
        <f>IFERROR(INDEX('Detalles movimientos'!H$5:H$1003, MATCH(8, 'Detalles movimientos'!$V$5:$V$1003, 0)), "")</f>
        <v/>
      </c>
      <c r="H17" s="21" t="str">
        <f>IFERROR(INDEX('Detalles movimientos'!I$5:I$1003, MATCH(8, 'Detalles movimientos'!$V$5:$V$1003, 0)), "")</f>
        <v/>
      </c>
      <c r="I17" s="20" t="str">
        <f>IFERROR(INDEX('Detalles movimientos'!M$5:M$1003, MATCH(8, 'Detalles movimientos'!$V$5:$V$1003, 0)), "")</f>
        <v/>
      </c>
      <c r="J17" s="19" t="str">
        <f>IFERROR(INDEX('Detalles movimientos'!N$5:N$1003, MATCH(8, 'Detalles movimientos'!$V$5:$V$1003, 0)), "")</f>
        <v/>
      </c>
      <c r="K17" s="20" t="str">
        <f>IFERROR(INDEX('Detalles movimientos'!O$5:O$1003, MATCH(8, 'Detalles movimientos'!$V$5:$V$1003, 0)), "")</f>
        <v/>
      </c>
      <c r="L17" s="18" t="str">
        <f>IFERROR(INDEX('Detalles movimientos'!P$5:P$1003, MATCH(8, 'Detalles movimientos'!$V$5:$V$1003, 0)), "")</f>
        <v/>
      </c>
      <c r="M17" s="18" t="str">
        <f>IFERROR(INDEX('Detalles movimientos'!S$5:S$1003, MATCH(8, 'Detalles movimientos'!$V$5:$V$1003, 0)), "")</f>
        <v/>
      </c>
    </row>
    <row r="18" spans="2:13">
      <c r="B18" s="17" t="str">
        <f>IFERROR(INDEX('Detalles movimientos'!C$5:C$1003, MATCH(9, 'Detalles movimientos'!$V$5:$V$1003, 0)), "")</f>
        <v/>
      </c>
      <c r="C18" s="18" t="str">
        <f>IFERROR(INDEX('Detalles movimientos'!D$5:D$1003, MATCH(9, 'Detalles movimientos'!$V$5:$V$1003, 0)), "")</f>
        <v/>
      </c>
      <c r="D18" s="19" t="str">
        <f>IFERROR(INDEX('Detalles movimientos'!E$5:E$1003, MATCH(9, 'Detalles movimientos'!$V$5:$V$1003, 0)), "")</f>
        <v/>
      </c>
      <c r="E18" s="19" t="str">
        <f>IFERROR(INDEX('Detalles movimientos'!F$5:F$1003, MATCH(9, 'Detalles movimientos'!$V$5:$V$1003, 0)), "")</f>
        <v/>
      </c>
      <c r="F18" s="18" t="str">
        <f>IFERROR(INDEX('Detalles movimientos'!G$5:G$1003, MATCH(9, 'Detalles movimientos'!$V$5:$V$1003, 0)), "")</f>
        <v/>
      </c>
      <c r="G18" s="20" t="str">
        <f>IFERROR(INDEX('Detalles movimientos'!H$5:H$1003, MATCH(9, 'Detalles movimientos'!$V$5:$V$1003, 0)), "")</f>
        <v/>
      </c>
      <c r="H18" s="21" t="str">
        <f>IFERROR(INDEX('Detalles movimientos'!I$5:I$1003, MATCH(9, 'Detalles movimientos'!$V$5:$V$1003, 0)), "")</f>
        <v/>
      </c>
      <c r="I18" s="20" t="str">
        <f>IFERROR(INDEX('Detalles movimientos'!M$5:M$1003, MATCH(9, 'Detalles movimientos'!$V$5:$V$1003, 0)), "")</f>
        <v/>
      </c>
      <c r="J18" s="19" t="str">
        <f>IFERROR(INDEX('Detalles movimientos'!N$5:N$1003, MATCH(9, 'Detalles movimientos'!$V$5:$V$1003, 0)), "")</f>
        <v/>
      </c>
      <c r="K18" s="20" t="str">
        <f>IFERROR(INDEX('Detalles movimientos'!O$5:O$1003, MATCH(9, 'Detalles movimientos'!$V$5:$V$1003, 0)), "")</f>
        <v/>
      </c>
      <c r="L18" s="18" t="str">
        <f>IFERROR(INDEX('Detalles movimientos'!P$5:P$1003, MATCH(9, 'Detalles movimientos'!$V$5:$V$1003, 0)), "")</f>
        <v/>
      </c>
      <c r="M18" s="18" t="str">
        <f>IFERROR(INDEX('Detalles movimientos'!S$5:S$1003, MATCH(9, 'Detalles movimientos'!$V$5:$V$1003, 0)), "")</f>
        <v/>
      </c>
    </row>
    <row r="19" spans="2:13">
      <c r="B19" s="17" t="str">
        <f>IFERROR(INDEX('Detalles movimientos'!C$5:C$1003, MATCH(10, 'Detalles movimientos'!$V$5:$V$1003, 0)), "")</f>
        <v/>
      </c>
      <c r="C19" s="18" t="str">
        <f>IFERROR(INDEX('Detalles movimientos'!D$5:D$1003, MATCH(10, 'Detalles movimientos'!$V$5:$V$1003, 0)), "")</f>
        <v/>
      </c>
      <c r="D19" s="19" t="str">
        <f>IFERROR(INDEX('Detalles movimientos'!E$5:E$1003, MATCH(10, 'Detalles movimientos'!$V$5:$V$1003, 0)), "")</f>
        <v/>
      </c>
      <c r="E19" s="19" t="str">
        <f>IFERROR(INDEX('Detalles movimientos'!F$5:F$1003, MATCH(10, 'Detalles movimientos'!$V$5:$V$1003, 0)), "")</f>
        <v/>
      </c>
      <c r="F19" s="18" t="str">
        <f>IFERROR(INDEX('Detalles movimientos'!G$5:G$1003, MATCH(10, 'Detalles movimientos'!$V$5:$V$1003, 0)), "")</f>
        <v/>
      </c>
      <c r="G19" s="20" t="str">
        <f>IFERROR(INDEX('Detalles movimientos'!H$5:H$1003, MATCH(10, 'Detalles movimientos'!$V$5:$V$1003, 0)), "")</f>
        <v/>
      </c>
      <c r="H19" s="21" t="str">
        <f>IFERROR(INDEX('Detalles movimientos'!I$5:I$1003, MATCH(10, 'Detalles movimientos'!$V$5:$V$1003, 0)), "")</f>
        <v/>
      </c>
      <c r="I19" s="20" t="str">
        <f>IFERROR(INDEX('Detalles movimientos'!M$5:M$1003, MATCH(10, 'Detalles movimientos'!$V$5:$V$1003, 0)), "")</f>
        <v/>
      </c>
      <c r="J19" s="19" t="str">
        <f>IFERROR(INDEX('Detalles movimientos'!N$5:N$1003, MATCH(10, 'Detalles movimientos'!$V$5:$V$1003, 0)), "")</f>
        <v/>
      </c>
      <c r="K19" s="20" t="str">
        <f>IFERROR(INDEX('Detalles movimientos'!O$5:O$1003, MATCH(10, 'Detalles movimientos'!$V$5:$V$1003, 0)), "")</f>
        <v/>
      </c>
      <c r="L19" s="18" t="str">
        <f>IFERROR(INDEX('Detalles movimientos'!P$5:P$1003, MATCH(10, 'Detalles movimientos'!$V$5:$V$1003, 0)), "")</f>
        <v/>
      </c>
      <c r="M19" s="18" t="str">
        <f>IFERROR(INDEX('Detalles movimientos'!S$5:S$1003, MATCH(10, 'Detalles movimientos'!$V$5:$V$1003, 0)), "")</f>
        <v/>
      </c>
    </row>
    <row r="20" spans="2:13">
      <c r="B20" s="17" t="str">
        <f>IFERROR(INDEX('Detalles movimientos'!C$5:C$1003, MATCH(11, 'Detalles movimientos'!$V$5:$V$1003, 0)), "")</f>
        <v/>
      </c>
      <c r="C20" s="18" t="str">
        <f>IFERROR(INDEX('Detalles movimientos'!D$5:D$1003, MATCH(11, 'Detalles movimientos'!$V$5:$V$1003, 0)), "")</f>
        <v/>
      </c>
      <c r="D20" s="19" t="str">
        <f>IFERROR(INDEX('Detalles movimientos'!E$5:E$1003, MATCH(11, 'Detalles movimientos'!$V$5:$V$1003, 0)), "")</f>
        <v/>
      </c>
      <c r="E20" s="19" t="str">
        <f>IFERROR(INDEX('Detalles movimientos'!F$5:F$1003, MATCH(11, 'Detalles movimientos'!$V$5:$V$1003, 0)), "")</f>
        <v/>
      </c>
      <c r="F20" s="18" t="str">
        <f>IFERROR(INDEX('Detalles movimientos'!G$5:G$1003, MATCH(11, 'Detalles movimientos'!$V$5:$V$1003, 0)), "")</f>
        <v/>
      </c>
      <c r="G20" s="20" t="str">
        <f>IFERROR(INDEX('Detalles movimientos'!H$5:H$1003, MATCH(11, 'Detalles movimientos'!$V$5:$V$1003, 0)), "")</f>
        <v/>
      </c>
      <c r="H20" s="21" t="str">
        <f>IFERROR(INDEX('Detalles movimientos'!I$5:I$1003, MATCH(11, 'Detalles movimientos'!$V$5:$V$1003, 0)), "")</f>
        <v/>
      </c>
      <c r="I20" s="20" t="str">
        <f>IFERROR(INDEX('Detalles movimientos'!M$5:M$1003, MATCH(11, 'Detalles movimientos'!$V$5:$V$1003, 0)), "")</f>
        <v/>
      </c>
      <c r="J20" s="19" t="str">
        <f>IFERROR(INDEX('Detalles movimientos'!N$5:N$1003, MATCH(11, 'Detalles movimientos'!$V$5:$V$1003, 0)), "")</f>
        <v/>
      </c>
      <c r="K20" s="20" t="str">
        <f>IFERROR(INDEX('Detalles movimientos'!O$5:O$1003, MATCH(11, 'Detalles movimientos'!$V$5:$V$1003, 0)), "")</f>
        <v/>
      </c>
      <c r="L20" s="18" t="str">
        <f>IFERROR(INDEX('Detalles movimientos'!P$5:P$1003, MATCH(11, 'Detalles movimientos'!$V$5:$V$1003, 0)), "")</f>
        <v/>
      </c>
      <c r="M20" s="18" t="str">
        <f>IFERROR(INDEX('Detalles movimientos'!S$5:S$1003, MATCH(11, 'Detalles movimientos'!$V$5:$V$1003, 0)), "")</f>
        <v/>
      </c>
    </row>
    <row r="21" spans="2:13">
      <c r="B21" s="17" t="str">
        <f>IFERROR(INDEX('Detalles movimientos'!C$5:C$1003, MATCH(12, 'Detalles movimientos'!$V$5:$V$1003, 0)), "")</f>
        <v/>
      </c>
      <c r="C21" s="18" t="str">
        <f>IFERROR(INDEX('Detalles movimientos'!D$5:D$1003, MATCH(12, 'Detalles movimientos'!$V$5:$V$1003, 0)), "")</f>
        <v/>
      </c>
      <c r="D21" s="19" t="str">
        <f>IFERROR(INDEX('Detalles movimientos'!E$5:E$1003, MATCH(12, 'Detalles movimientos'!$V$5:$V$1003, 0)), "")</f>
        <v/>
      </c>
      <c r="E21" s="19" t="str">
        <f>IFERROR(INDEX('Detalles movimientos'!F$5:F$1003, MATCH(12, 'Detalles movimientos'!$V$5:$V$1003, 0)), "")</f>
        <v/>
      </c>
      <c r="F21" s="18" t="str">
        <f>IFERROR(INDEX('Detalles movimientos'!G$5:G$1003, MATCH(12, 'Detalles movimientos'!$V$5:$V$1003, 0)), "")</f>
        <v/>
      </c>
      <c r="G21" s="20" t="str">
        <f>IFERROR(INDEX('Detalles movimientos'!H$5:H$1003, MATCH(12, 'Detalles movimientos'!$V$5:$V$1003, 0)), "")</f>
        <v/>
      </c>
      <c r="H21" s="21" t="str">
        <f>IFERROR(INDEX('Detalles movimientos'!I$5:I$1003, MATCH(12, 'Detalles movimientos'!$V$5:$V$1003, 0)), "")</f>
        <v/>
      </c>
      <c r="I21" s="20" t="str">
        <f>IFERROR(INDEX('Detalles movimientos'!M$5:M$1003, MATCH(12, 'Detalles movimientos'!$V$5:$V$1003, 0)), "")</f>
        <v/>
      </c>
      <c r="J21" s="19" t="str">
        <f>IFERROR(INDEX('Detalles movimientos'!N$5:N$1003, MATCH(12, 'Detalles movimientos'!$V$5:$V$1003, 0)), "")</f>
        <v/>
      </c>
      <c r="K21" s="20" t="str">
        <f>IFERROR(INDEX('Detalles movimientos'!O$5:O$1003, MATCH(12, 'Detalles movimientos'!$V$5:$V$1003, 0)), "")</f>
        <v/>
      </c>
      <c r="L21" s="18" t="str">
        <f>IFERROR(INDEX('Detalles movimientos'!P$5:P$1003, MATCH(12, 'Detalles movimientos'!$V$5:$V$1003, 0)), "")</f>
        <v/>
      </c>
      <c r="M21" s="18" t="str">
        <f>IFERROR(INDEX('Detalles movimientos'!S$5:S$1003, MATCH(12, 'Detalles movimientos'!$V$5:$V$1003, 0)), "")</f>
        <v/>
      </c>
    </row>
    <row r="22" spans="2:13">
      <c r="B22" s="17" t="str">
        <f>IFERROR(INDEX('Detalles movimientos'!C$5:C$1003, MATCH(13, 'Detalles movimientos'!$V$5:$V$1003, 0)), "")</f>
        <v/>
      </c>
      <c r="C22" s="18" t="str">
        <f>IFERROR(INDEX('Detalles movimientos'!D$5:D$1003, MATCH(13, 'Detalles movimientos'!$V$5:$V$1003, 0)), "")</f>
        <v/>
      </c>
      <c r="D22" s="19" t="str">
        <f>IFERROR(INDEX('Detalles movimientos'!E$5:E$1003, MATCH(13, 'Detalles movimientos'!$V$5:$V$1003, 0)), "")</f>
        <v/>
      </c>
      <c r="E22" s="19" t="str">
        <f>IFERROR(INDEX('Detalles movimientos'!F$5:F$1003, MATCH(13, 'Detalles movimientos'!$V$5:$V$1003, 0)), "")</f>
        <v/>
      </c>
      <c r="F22" s="18" t="str">
        <f>IFERROR(INDEX('Detalles movimientos'!G$5:G$1003, MATCH(13, 'Detalles movimientos'!$V$5:$V$1003, 0)), "")</f>
        <v/>
      </c>
      <c r="G22" s="20" t="str">
        <f>IFERROR(INDEX('Detalles movimientos'!H$5:H$1003, MATCH(13, 'Detalles movimientos'!$V$5:$V$1003, 0)), "")</f>
        <v/>
      </c>
      <c r="H22" s="21" t="str">
        <f>IFERROR(INDEX('Detalles movimientos'!I$5:I$1003, MATCH(13, 'Detalles movimientos'!$V$5:$V$1003, 0)), "")</f>
        <v/>
      </c>
      <c r="I22" s="20" t="str">
        <f>IFERROR(INDEX('Detalles movimientos'!M$5:M$1003, MATCH(13, 'Detalles movimientos'!$V$5:$V$1003, 0)), "")</f>
        <v/>
      </c>
      <c r="J22" s="19" t="str">
        <f>IFERROR(INDEX('Detalles movimientos'!N$5:N$1003, MATCH(13, 'Detalles movimientos'!$V$5:$V$1003, 0)), "")</f>
        <v/>
      </c>
      <c r="K22" s="20" t="str">
        <f>IFERROR(INDEX('Detalles movimientos'!O$5:O$1003, MATCH(13, 'Detalles movimientos'!$V$5:$V$1003, 0)), "")</f>
        <v/>
      </c>
      <c r="L22" s="18" t="str">
        <f>IFERROR(INDEX('Detalles movimientos'!P$5:P$1003, MATCH(13, 'Detalles movimientos'!$V$5:$V$1003, 0)), "")</f>
        <v/>
      </c>
      <c r="M22" s="18" t="str">
        <f>IFERROR(INDEX('Detalles movimientos'!S$5:S$1003, MATCH(13, 'Detalles movimientos'!$V$5:$V$1003, 0)), "")</f>
        <v/>
      </c>
    </row>
    <row r="23" spans="2:13">
      <c r="B23" s="17" t="str">
        <f>IFERROR(INDEX('Detalles movimientos'!C$5:C$1003, MATCH(14, 'Detalles movimientos'!$V$5:$V$1003, 0)), "")</f>
        <v/>
      </c>
      <c r="C23" s="18" t="str">
        <f>IFERROR(INDEX('Detalles movimientos'!D$5:D$1003, MATCH(14, 'Detalles movimientos'!$V$5:$V$1003, 0)), "")</f>
        <v/>
      </c>
      <c r="D23" s="19" t="str">
        <f>IFERROR(INDEX('Detalles movimientos'!E$5:E$1003, MATCH(14, 'Detalles movimientos'!$V$5:$V$1003, 0)), "")</f>
        <v/>
      </c>
      <c r="E23" s="19" t="str">
        <f>IFERROR(INDEX('Detalles movimientos'!F$5:F$1003, MATCH(14, 'Detalles movimientos'!$V$5:$V$1003, 0)), "")</f>
        <v/>
      </c>
      <c r="F23" s="18" t="str">
        <f>IFERROR(INDEX('Detalles movimientos'!G$5:G$1003, MATCH(14, 'Detalles movimientos'!$V$5:$V$1003, 0)), "")</f>
        <v/>
      </c>
      <c r="G23" s="20" t="str">
        <f>IFERROR(INDEX('Detalles movimientos'!H$5:H$1003, MATCH(14, 'Detalles movimientos'!$V$5:$V$1003, 0)), "")</f>
        <v/>
      </c>
      <c r="H23" s="21" t="str">
        <f>IFERROR(INDEX('Detalles movimientos'!I$5:I$1003, MATCH(14, 'Detalles movimientos'!$V$5:$V$1003, 0)), "")</f>
        <v/>
      </c>
      <c r="I23" s="20" t="str">
        <f>IFERROR(INDEX('Detalles movimientos'!M$5:M$1003, MATCH(14, 'Detalles movimientos'!$V$5:$V$1003, 0)), "")</f>
        <v/>
      </c>
      <c r="J23" s="19" t="str">
        <f>IFERROR(INDEX('Detalles movimientos'!N$5:N$1003, MATCH(14, 'Detalles movimientos'!$V$5:$V$1003, 0)), "")</f>
        <v/>
      </c>
      <c r="K23" s="20" t="str">
        <f>IFERROR(INDEX('Detalles movimientos'!O$5:O$1003, MATCH(14, 'Detalles movimientos'!$V$5:$V$1003, 0)), "")</f>
        <v/>
      </c>
      <c r="L23" s="18" t="str">
        <f>IFERROR(INDEX('Detalles movimientos'!P$5:P$1003, MATCH(14, 'Detalles movimientos'!$V$5:$V$1003, 0)), "")</f>
        <v/>
      </c>
      <c r="M23" s="18" t="str">
        <f>IFERROR(INDEX('Detalles movimientos'!S$5:S$1003, MATCH(14, 'Detalles movimientos'!$V$5:$V$1003, 0)), "")</f>
        <v/>
      </c>
    </row>
    <row r="24" spans="2:13">
      <c r="B24" s="17" t="str">
        <f>IFERROR(INDEX('Detalles movimientos'!C$5:C$1003, MATCH(15, 'Detalles movimientos'!$V$5:$V$1003, 0)), "")</f>
        <v/>
      </c>
      <c r="C24" s="18" t="str">
        <f>IFERROR(INDEX('Detalles movimientos'!D$5:D$1003, MATCH(15, 'Detalles movimientos'!$V$5:$V$1003, 0)), "")</f>
        <v/>
      </c>
      <c r="D24" s="19" t="str">
        <f>IFERROR(INDEX('Detalles movimientos'!E$5:E$1003, MATCH(15, 'Detalles movimientos'!$V$5:$V$1003, 0)), "")</f>
        <v/>
      </c>
      <c r="E24" s="19" t="str">
        <f>IFERROR(INDEX('Detalles movimientos'!F$5:F$1003, MATCH(15, 'Detalles movimientos'!$V$5:$V$1003, 0)), "")</f>
        <v/>
      </c>
      <c r="F24" s="18" t="str">
        <f>IFERROR(INDEX('Detalles movimientos'!G$5:G$1003, MATCH(15, 'Detalles movimientos'!$V$5:$V$1003, 0)), "")</f>
        <v/>
      </c>
      <c r="G24" s="20" t="str">
        <f>IFERROR(INDEX('Detalles movimientos'!H$5:H$1003, MATCH(15, 'Detalles movimientos'!$V$5:$V$1003, 0)), "")</f>
        <v/>
      </c>
      <c r="H24" s="21" t="str">
        <f>IFERROR(INDEX('Detalles movimientos'!I$5:I$1003, MATCH(15, 'Detalles movimientos'!$V$5:$V$1003, 0)), "")</f>
        <v/>
      </c>
      <c r="I24" s="20" t="str">
        <f>IFERROR(INDEX('Detalles movimientos'!M$5:M$1003, MATCH(15, 'Detalles movimientos'!$V$5:$V$1003, 0)), "")</f>
        <v/>
      </c>
      <c r="J24" s="19" t="str">
        <f>IFERROR(INDEX('Detalles movimientos'!N$5:N$1003, MATCH(15, 'Detalles movimientos'!$V$5:$V$1003, 0)), "")</f>
        <v/>
      </c>
      <c r="K24" s="20" t="str">
        <f>IFERROR(INDEX('Detalles movimientos'!O$5:O$1003, MATCH(15, 'Detalles movimientos'!$V$5:$V$1003, 0)), "")</f>
        <v/>
      </c>
      <c r="L24" s="18" t="str">
        <f>IFERROR(INDEX('Detalles movimientos'!P$5:P$1003, MATCH(15, 'Detalles movimientos'!$V$5:$V$1003, 0)), "")</f>
        <v/>
      </c>
      <c r="M24" s="18" t="str">
        <f>IFERROR(INDEX('Detalles movimientos'!S$5:S$1003, MATCH(15, 'Detalles movimientos'!$V$5:$V$1003, 0)), "")</f>
        <v/>
      </c>
    </row>
    <row r="25" spans="2:13">
      <c r="B25" s="17" t="str">
        <f>IFERROR(INDEX('Detalles movimientos'!C$5:C$1003, MATCH(16, 'Detalles movimientos'!$V$5:$V$1003, 0)), "")</f>
        <v/>
      </c>
      <c r="C25" s="18" t="str">
        <f>IFERROR(INDEX('Detalles movimientos'!D$5:D$1003, MATCH(16, 'Detalles movimientos'!$V$5:$V$1003, 0)), "")</f>
        <v/>
      </c>
      <c r="D25" s="19" t="str">
        <f>IFERROR(INDEX('Detalles movimientos'!E$5:E$1003, MATCH(16, 'Detalles movimientos'!$V$5:$V$1003, 0)), "")</f>
        <v/>
      </c>
      <c r="E25" s="19" t="str">
        <f>IFERROR(INDEX('Detalles movimientos'!F$5:F$1003, MATCH(16, 'Detalles movimientos'!$V$5:$V$1003, 0)), "")</f>
        <v/>
      </c>
      <c r="F25" s="18" t="str">
        <f>IFERROR(INDEX('Detalles movimientos'!G$5:G$1003, MATCH(16, 'Detalles movimientos'!$V$5:$V$1003, 0)), "")</f>
        <v/>
      </c>
      <c r="G25" s="20" t="str">
        <f>IFERROR(INDEX('Detalles movimientos'!H$5:H$1003, MATCH(16, 'Detalles movimientos'!$V$5:$V$1003, 0)), "")</f>
        <v/>
      </c>
      <c r="H25" s="21" t="str">
        <f>IFERROR(INDEX('Detalles movimientos'!I$5:I$1003, MATCH(16, 'Detalles movimientos'!$V$5:$V$1003, 0)), "")</f>
        <v/>
      </c>
      <c r="I25" s="20" t="str">
        <f>IFERROR(INDEX('Detalles movimientos'!M$5:M$1003, MATCH(16, 'Detalles movimientos'!$V$5:$V$1003, 0)), "")</f>
        <v/>
      </c>
      <c r="J25" s="19" t="str">
        <f>IFERROR(INDEX('Detalles movimientos'!N$5:N$1003, MATCH(16, 'Detalles movimientos'!$V$5:$V$1003, 0)), "")</f>
        <v/>
      </c>
      <c r="K25" s="20" t="str">
        <f>IFERROR(INDEX('Detalles movimientos'!O$5:O$1003, MATCH(16, 'Detalles movimientos'!$V$5:$V$1003, 0)), "")</f>
        <v/>
      </c>
      <c r="L25" s="18" t="str">
        <f>IFERROR(INDEX('Detalles movimientos'!P$5:P$1003, MATCH(16, 'Detalles movimientos'!$V$5:$V$1003, 0)), "")</f>
        <v/>
      </c>
      <c r="M25" s="18" t="str">
        <f>IFERROR(INDEX('Detalles movimientos'!S$5:S$1003, MATCH(16, 'Detalles movimientos'!$V$5:$V$1003, 0)), "")</f>
        <v/>
      </c>
    </row>
    <row r="26" spans="2:13">
      <c r="B26" s="17" t="str">
        <f>IFERROR(INDEX('Detalles movimientos'!C$5:C$1003, MATCH(17, 'Detalles movimientos'!$V$5:$V$1003, 0)), "")</f>
        <v/>
      </c>
      <c r="C26" s="18" t="str">
        <f>IFERROR(INDEX('Detalles movimientos'!D$5:D$1003, MATCH(17, 'Detalles movimientos'!$V$5:$V$1003, 0)), "")</f>
        <v/>
      </c>
      <c r="D26" s="19" t="str">
        <f>IFERROR(INDEX('Detalles movimientos'!E$5:E$1003, MATCH(17, 'Detalles movimientos'!$V$5:$V$1003, 0)), "")</f>
        <v/>
      </c>
      <c r="E26" s="19" t="str">
        <f>IFERROR(INDEX('Detalles movimientos'!F$5:F$1003, MATCH(17, 'Detalles movimientos'!$V$5:$V$1003, 0)), "")</f>
        <v/>
      </c>
      <c r="F26" s="18" t="str">
        <f>IFERROR(INDEX('Detalles movimientos'!G$5:G$1003, MATCH(17, 'Detalles movimientos'!$V$5:$V$1003, 0)), "")</f>
        <v/>
      </c>
      <c r="G26" s="20" t="str">
        <f>IFERROR(INDEX('Detalles movimientos'!H$5:H$1003, MATCH(17, 'Detalles movimientos'!$V$5:$V$1003, 0)), "")</f>
        <v/>
      </c>
      <c r="H26" s="21" t="str">
        <f>IFERROR(INDEX('Detalles movimientos'!I$5:I$1003, MATCH(17, 'Detalles movimientos'!$V$5:$V$1003, 0)), "")</f>
        <v/>
      </c>
      <c r="I26" s="20" t="str">
        <f>IFERROR(INDEX('Detalles movimientos'!M$5:M$1003, MATCH(17, 'Detalles movimientos'!$V$5:$V$1003, 0)), "")</f>
        <v/>
      </c>
      <c r="J26" s="19" t="str">
        <f>IFERROR(INDEX('Detalles movimientos'!N$5:N$1003, MATCH(17, 'Detalles movimientos'!$V$5:$V$1003, 0)), "")</f>
        <v/>
      </c>
      <c r="K26" s="20" t="str">
        <f>IFERROR(INDEX('Detalles movimientos'!O$5:O$1003, MATCH(17, 'Detalles movimientos'!$V$5:$V$1003, 0)), "")</f>
        <v/>
      </c>
      <c r="L26" s="18" t="str">
        <f>IFERROR(INDEX('Detalles movimientos'!P$5:P$1003, MATCH(17, 'Detalles movimientos'!$V$5:$V$1003, 0)), "")</f>
        <v/>
      </c>
      <c r="M26" s="18" t="str">
        <f>IFERROR(INDEX('Detalles movimientos'!S$5:S$1003, MATCH(17, 'Detalles movimientos'!$V$5:$V$1003, 0)), "")</f>
        <v/>
      </c>
    </row>
    <row r="27" spans="2:13">
      <c r="B27" s="17" t="str">
        <f>IFERROR(INDEX('Detalles movimientos'!C$5:C$1003, MATCH(18, 'Detalles movimientos'!$V$5:$V$1003, 0)), "")</f>
        <v/>
      </c>
      <c r="C27" s="18" t="str">
        <f>IFERROR(INDEX('Detalles movimientos'!D$5:D$1003, MATCH(18, 'Detalles movimientos'!$V$5:$V$1003, 0)), "")</f>
        <v/>
      </c>
      <c r="D27" s="19" t="str">
        <f>IFERROR(INDEX('Detalles movimientos'!E$5:E$1003, MATCH(18, 'Detalles movimientos'!$V$5:$V$1003, 0)), "")</f>
        <v/>
      </c>
      <c r="E27" s="19" t="str">
        <f>IFERROR(INDEX('Detalles movimientos'!F$5:F$1003, MATCH(18, 'Detalles movimientos'!$V$5:$V$1003, 0)), "")</f>
        <v/>
      </c>
      <c r="F27" s="18" t="str">
        <f>IFERROR(INDEX('Detalles movimientos'!G$5:G$1003, MATCH(18, 'Detalles movimientos'!$V$5:$V$1003, 0)), "")</f>
        <v/>
      </c>
      <c r="G27" s="20" t="str">
        <f>IFERROR(INDEX('Detalles movimientos'!H$5:H$1003, MATCH(18, 'Detalles movimientos'!$V$5:$V$1003, 0)), "")</f>
        <v/>
      </c>
      <c r="H27" s="21" t="str">
        <f>IFERROR(INDEX('Detalles movimientos'!I$5:I$1003, MATCH(18, 'Detalles movimientos'!$V$5:$V$1003, 0)), "")</f>
        <v/>
      </c>
      <c r="I27" s="20" t="str">
        <f>IFERROR(INDEX('Detalles movimientos'!M$5:M$1003, MATCH(18, 'Detalles movimientos'!$V$5:$V$1003, 0)), "")</f>
        <v/>
      </c>
      <c r="J27" s="19" t="str">
        <f>IFERROR(INDEX('Detalles movimientos'!N$5:N$1003, MATCH(18, 'Detalles movimientos'!$V$5:$V$1003, 0)), "")</f>
        <v/>
      </c>
      <c r="K27" s="20" t="str">
        <f>IFERROR(INDEX('Detalles movimientos'!O$5:O$1003, MATCH(18, 'Detalles movimientos'!$V$5:$V$1003, 0)), "")</f>
        <v/>
      </c>
      <c r="L27" s="18" t="str">
        <f>IFERROR(INDEX('Detalles movimientos'!P$5:P$1003, MATCH(18, 'Detalles movimientos'!$V$5:$V$1003, 0)), "")</f>
        <v/>
      </c>
      <c r="M27" s="18" t="str">
        <f>IFERROR(INDEX('Detalles movimientos'!S$5:S$1003, MATCH(18, 'Detalles movimientos'!$V$5:$V$1003, 0)), "")</f>
        <v/>
      </c>
    </row>
    <row r="28" spans="2:13">
      <c r="B28" s="17" t="str">
        <f>IFERROR(INDEX('Detalles movimientos'!C$5:C$1003, MATCH(19, 'Detalles movimientos'!$V$5:$V$1003, 0)), "")</f>
        <v/>
      </c>
      <c r="C28" s="18" t="str">
        <f>IFERROR(INDEX('Detalles movimientos'!D$5:D$1003, MATCH(19, 'Detalles movimientos'!$V$5:$V$1003, 0)), "")</f>
        <v/>
      </c>
      <c r="D28" s="19" t="str">
        <f>IFERROR(INDEX('Detalles movimientos'!E$5:E$1003, MATCH(19, 'Detalles movimientos'!$V$5:$V$1003, 0)), "")</f>
        <v/>
      </c>
      <c r="E28" s="19" t="str">
        <f>IFERROR(INDEX('Detalles movimientos'!F$5:F$1003, MATCH(19, 'Detalles movimientos'!$V$5:$V$1003, 0)), "")</f>
        <v/>
      </c>
      <c r="F28" s="18" t="str">
        <f>IFERROR(INDEX('Detalles movimientos'!G$5:G$1003, MATCH(19, 'Detalles movimientos'!$V$5:$V$1003, 0)), "")</f>
        <v/>
      </c>
      <c r="G28" s="20" t="str">
        <f>IFERROR(INDEX('Detalles movimientos'!H$5:H$1003, MATCH(19, 'Detalles movimientos'!$V$5:$V$1003, 0)), "")</f>
        <v/>
      </c>
      <c r="H28" s="21" t="str">
        <f>IFERROR(INDEX('Detalles movimientos'!I$5:I$1003, MATCH(19, 'Detalles movimientos'!$V$5:$V$1003, 0)), "")</f>
        <v/>
      </c>
      <c r="I28" s="20" t="str">
        <f>IFERROR(INDEX('Detalles movimientos'!M$5:M$1003, MATCH(19, 'Detalles movimientos'!$V$5:$V$1003, 0)), "")</f>
        <v/>
      </c>
      <c r="J28" s="19" t="str">
        <f>IFERROR(INDEX('Detalles movimientos'!N$5:N$1003, MATCH(19, 'Detalles movimientos'!$V$5:$V$1003, 0)), "")</f>
        <v/>
      </c>
      <c r="K28" s="20" t="str">
        <f>IFERROR(INDEX('Detalles movimientos'!O$5:O$1003, MATCH(19, 'Detalles movimientos'!$V$5:$V$1003, 0)), "")</f>
        <v/>
      </c>
      <c r="L28" s="18" t="str">
        <f>IFERROR(INDEX('Detalles movimientos'!P$5:P$1003, MATCH(19, 'Detalles movimientos'!$V$5:$V$1003, 0)), "")</f>
        <v/>
      </c>
      <c r="M28" s="18" t="str">
        <f>IFERROR(INDEX('Detalles movimientos'!S$5:S$1003, MATCH(19, 'Detalles movimientos'!$V$5:$V$1003, 0)), "")</f>
        <v/>
      </c>
    </row>
    <row r="29" spans="2:13">
      <c r="B29" s="17" t="str">
        <f>IFERROR(INDEX('Detalles movimientos'!C$5:C$1003, MATCH(20, 'Detalles movimientos'!$V$5:$V$1003, 0)), "")</f>
        <v/>
      </c>
      <c r="C29" s="18" t="str">
        <f>IFERROR(INDEX('Detalles movimientos'!D$5:D$1003, MATCH(20, 'Detalles movimientos'!$V$5:$V$1003, 0)), "")</f>
        <v/>
      </c>
      <c r="D29" s="19" t="str">
        <f>IFERROR(INDEX('Detalles movimientos'!E$5:E$1003, MATCH(20, 'Detalles movimientos'!$V$5:$V$1003, 0)), "")</f>
        <v/>
      </c>
      <c r="E29" s="19" t="str">
        <f>IFERROR(INDEX('Detalles movimientos'!F$5:F$1003, MATCH(20, 'Detalles movimientos'!$V$5:$V$1003, 0)), "")</f>
        <v/>
      </c>
      <c r="F29" s="18" t="str">
        <f>IFERROR(INDEX('Detalles movimientos'!G$5:G$1003, MATCH(20, 'Detalles movimientos'!$V$5:$V$1003, 0)), "")</f>
        <v/>
      </c>
      <c r="G29" s="20" t="str">
        <f>IFERROR(INDEX('Detalles movimientos'!H$5:H$1003, MATCH(20, 'Detalles movimientos'!$V$5:$V$1003, 0)), "")</f>
        <v/>
      </c>
      <c r="H29" s="21" t="str">
        <f>IFERROR(INDEX('Detalles movimientos'!I$5:I$1003, MATCH(20, 'Detalles movimientos'!$V$5:$V$1003, 0)), "")</f>
        <v/>
      </c>
      <c r="I29" s="20" t="str">
        <f>IFERROR(INDEX('Detalles movimientos'!M$5:M$1003, MATCH(20, 'Detalles movimientos'!$V$5:$V$1003, 0)), "")</f>
        <v/>
      </c>
      <c r="J29" s="19" t="str">
        <f>IFERROR(INDEX('Detalles movimientos'!N$5:N$1003, MATCH(20, 'Detalles movimientos'!$V$5:$V$1003, 0)), "")</f>
        <v/>
      </c>
      <c r="K29" s="20" t="str">
        <f>IFERROR(INDEX('Detalles movimientos'!O$5:O$1003, MATCH(20, 'Detalles movimientos'!$V$5:$V$1003, 0)), "")</f>
        <v/>
      </c>
      <c r="L29" s="18" t="str">
        <f>IFERROR(INDEX('Detalles movimientos'!P$5:P$1003, MATCH(20, 'Detalles movimientos'!$V$5:$V$1003, 0)), "")</f>
        <v/>
      </c>
      <c r="M29" s="18" t="str">
        <f>IFERROR(INDEX('Detalles movimientos'!S$5:S$1003, MATCH(20, 'Detalles movimientos'!$V$5:$V$1003, 0)), "")</f>
        <v/>
      </c>
    </row>
    <row r="30" spans="2:13">
      <c r="B30" s="17" t="str">
        <f>IFERROR(INDEX('Detalles movimientos'!C$5:C$1003, MATCH(21, 'Detalles movimientos'!$V$5:$V$1003, 0)), "")</f>
        <v/>
      </c>
      <c r="C30" s="18" t="str">
        <f>IFERROR(INDEX('Detalles movimientos'!D$5:D$1003, MATCH(21, 'Detalles movimientos'!$V$5:$V$1003, 0)), "")</f>
        <v/>
      </c>
      <c r="D30" s="19" t="str">
        <f>IFERROR(INDEX('Detalles movimientos'!E$5:E$1003, MATCH(21, 'Detalles movimientos'!$V$5:$V$1003, 0)), "")</f>
        <v/>
      </c>
      <c r="E30" s="19" t="str">
        <f>IFERROR(INDEX('Detalles movimientos'!F$5:F$1003, MATCH(21, 'Detalles movimientos'!$V$5:$V$1003, 0)), "")</f>
        <v/>
      </c>
      <c r="F30" s="18" t="str">
        <f>IFERROR(INDEX('Detalles movimientos'!G$5:G$1003, MATCH(21, 'Detalles movimientos'!$V$5:$V$1003, 0)), "")</f>
        <v/>
      </c>
      <c r="G30" s="20" t="str">
        <f>IFERROR(INDEX('Detalles movimientos'!H$5:H$1003, MATCH(21, 'Detalles movimientos'!$V$5:$V$1003, 0)), "")</f>
        <v/>
      </c>
      <c r="H30" s="21" t="str">
        <f>IFERROR(INDEX('Detalles movimientos'!I$5:I$1003, MATCH(21, 'Detalles movimientos'!$V$5:$V$1003, 0)), "")</f>
        <v/>
      </c>
      <c r="I30" s="20" t="str">
        <f>IFERROR(INDEX('Detalles movimientos'!M$5:M$1003, MATCH(21, 'Detalles movimientos'!$V$5:$V$1003, 0)), "")</f>
        <v/>
      </c>
      <c r="J30" s="19" t="str">
        <f>IFERROR(INDEX('Detalles movimientos'!N$5:N$1003, MATCH(21, 'Detalles movimientos'!$V$5:$V$1003, 0)), "")</f>
        <v/>
      </c>
      <c r="K30" s="20" t="str">
        <f>IFERROR(INDEX('Detalles movimientos'!O$5:O$1003, MATCH(21, 'Detalles movimientos'!$V$5:$V$1003, 0)), "")</f>
        <v/>
      </c>
      <c r="L30" s="18" t="str">
        <f>IFERROR(INDEX('Detalles movimientos'!P$5:P$1003, MATCH(21, 'Detalles movimientos'!$V$5:$V$1003, 0)), "")</f>
        <v/>
      </c>
      <c r="M30" s="18" t="str">
        <f>IFERROR(INDEX('Detalles movimientos'!S$5:S$1003, MATCH(21, 'Detalles movimientos'!$V$5:$V$1003, 0)), "")</f>
        <v/>
      </c>
    </row>
    <row r="31" spans="2:13">
      <c r="B31" s="17" t="str">
        <f>IFERROR(INDEX('Detalles movimientos'!C$5:C$1003, MATCH(22, 'Detalles movimientos'!$V$5:$V$1003, 0)), "")</f>
        <v/>
      </c>
      <c r="C31" s="18" t="str">
        <f>IFERROR(INDEX('Detalles movimientos'!D$5:D$1003, MATCH(22, 'Detalles movimientos'!$V$5:$V$1003, 0)), "")</f>
        <v/>
      </c>
      <c r="D31" s="19" t="str">
        <f>IFERROR(INDEX('Detalles movimientos'!E$5:E$1003, MATCH(22, 'Detalles movimientos'!$V$5:$V$1003, 0)), "")</f>
        <v/>
      </c>
      <c r="E31" s="19" t="str">
        <f>IFERROR(INDEX('Detalles movimientos'!F$5:F$1003, MATCH(22, 'Detalles movimientos'!$V$5:$V$1003, 0)), "")</f>
        <v/>
      </c>
      <c r="F31" s="18" t="str">
        <f>IFERROR(INDEX('Detalles movimientos'!G$5:G$1003, MATCH(22, 'Detalles movimientos'!$V$5:$V$1003, 0)), "")</f>
        <v/>
      </c>
      <c r="G31" s="20" t="str">
        <f>IFERROR(INDEX('Detalles movimientos'!H$5:H$1003, MATCH(22, 'Detalles movimientos'!$V$5:$V$1003, 0)), "")</f>
        <v/>
      </c>
      <c r="H31" s="21" t="str">
        <f>IFERROR(INDEX('Detalles movimientos'!I$5:I$1003, MATCH(22, 'Detalles movimientos'!$V$5:$V$1003, 0)), "")</f>
        <v/>
      </c>
      <c r="I31" s="20" t="str">
        <f>IFERROR(INDEX('Detalles movimientos'!M$5:M$1003, MATCH(22, 'Detalles movimientos'!$V$5:$V$1003, 0)), "")</f>
        <v/>
      </c>
      <c r="J31" s="19" t="str">
        <f>IFERROR(INDEX('Detalles movimientos'!N$5:N$1003, MATCH(22, 'Detalles movimientos'!$V$5:$V$1003, 0)), "")</f>
        <v/>
      </c>
      <c r="K31" s="20" t="str">
        <f>IFERROR(INDEX('Detalles movimientos'!O$5:O$1003, MATCH(22, 'Detalles movimientos'!$V$5:$V$1003, 0)), "")</f>
        <v/>
      </c>
      <c r="L31" s="18" t="str">
        <f>IFERROR(INDEX('Detalles movimientos'!P$5:P$1003, MATCH(22, 'Detalles movimientos'!$V$5:$V$1003, 0)), "")</f>
        <v/>
      </c>
      <c r="M31" s="18" t="str">
        <f>IFERROR(INDEX('Detalles movimientos'!S$5:S$1003, MATCH(22, 'Detalles movimientos'!$V$5:$V$1003, 0)), "")</f>
        <v/>
      </c>
    </row>
    <row r="32" spans="2:13">
      <c r="B32" s="17" t="str">
        <f>IFERROR(INDEX('Detalles movimientos'!C$5:C$1003, MATCH(23, 'Detalles movimientos'!$V$5:$V$1003, 0)), "")</f>
        <v/>
      </c>
      <c r="C32" s="18" t="str">
        <f>IFERROR(INDEX('Detalles movimientos'!D$5:D$1003, MATCH(23, 'Detalles movimientos'!$V$5:$V$1003, 0)), "")</f>
        <v/>
      </c>
      <c r="D32" s="19" t="str">
        <f>IFERROR(INDEX('Detalles movimientos'!E$5:E$1003, MATCH(23, 'Detalles movimientos'!$V$5:$V$1003, 0)), "")</f>
        <v/>
      </c>
      <c r="E32" s="19" t="str">
        <f>IFERROR(INDEX('Detalles movimientos'!F$5:F$1003, MATCH(23, 'Detalles movimientos'!$V$5:$V$1003, 0)), "")</f>
        <v/>
      </c>
      <c r="F32" s="18" t="str">
        <f>IFERROR(INDEX('Detalles movimientos'!G$5:G$1003, MATCH(23, 'Detalles movimientos'!$V$5:$V$1003, 0)), "")</f>
        <v/>
      </c>
      <c r="G32" s="20" t="str">
        <f>IFERROR(INDEX('Detalles movimientos'!H$5:H$1003, MATCH(23, 'Detalles movimientos'!$V$5:$V$1003, 0)), "")</f>
        <v/>
      </c>
      <c r="H32" s="21" t="str">
        <f>IFERROR(INDEX('Detalles movimientos'!I$5:I$1003, MATCH(23, 'Detalles movimientos'!$V$5:$V$1003, 0)), "")</f>
        <v/>
      </c>
      <c r="I32" s="20" t="str">
        <f>IFERROR(INDEX('Detalles movimientos'!M$5:M$1003, MATCH(23, 'Detalles movimientos'!$V$5:$V$1003, 0)), "")</f>
        <v/>
      </c>
      <c r="J32" s="19" t="str">
        <f>IFERROR(INDEX('Detalles movimientos'!N$5:N$1003, MATCH(23, 'Detalles movimientos'!$V$5:$V$1003, 0)), "")</f>
        <v/>
      </c>
      <c r="K32" s="20" t="str">
        <f>IFERROR(INDEX('Detalles movimientos'!O$5:O$1003, MATCH(23, 'Detalles movimientos'!$V$5:$V$1003, 0)), "")</f>
        <v/>
      </c>
      <c r="L32" s="18" t="str">
        <f>IFERROR(INDEX('Detalles movimientos'!P$5:P$1003, MATCH(23, 'Detalles movimientos'!$V$5:$V$1003, 0)), "")</f>
        <v/>
      </c>
      <c r="M32" s="18" t="str">
        <f>IFERROR(INDEX('Detalles movimientos'!S$5:S$1003, MATCH(23, 'Detalles movimientos'!$V$5:$V$1003, 0)), "")</f>
        <v/>
      </c>
    </row>
    <row r="33" spans="2:13">
      <c r="B33" s="17" t="str">
        <f>IFERROR(INDEX('Detalles movimientos'!C$5:C$1003, MATCH(24, 'Detalles movimientos'!$V$5:$V$1003, 0)), "")</f>
        <v/>
      </c>
      <c r="C33" s="18" t="str">
        <f>IFERROR(INDEX('Detalles movimientos'!D$5:D$1003, MATCH(24, 'Detalles movimientos'!$V$5:$V$1003, 0)), "")</f>
        <v/>
      </c>
      <c r="D33" s="19" t="str">
        <f>IFERROR(INDEX('Detalles movimientos'!E$5:E$1003, MATCH(24, 'Detalles movimientos'!$V$5:$V$1003, 0)), "")</f>
        <v/>
      </c>
      <c r="E33" s="19" t="str">
        <f>IFERROR(INDEX('Detalles movimientos'!F$5:F$1003, MATCH(24, 'Detalles movimientos'!$V$5:$V$1003, 0)), "")</f>
        <v/>
      </c>
      <c r="F33" s="18" t="str">
        <f>IFERROR(INDEX('Detalles movimientos'!G$5:G$1003, MATCH(24, 'Detalles movimientos'!$V$5:$V$1003, 0)), "")</f>
        <v/>
      </c>
      <c r="G33" s="20" t="str">
        <f>IFERROR(INDEX('Detalles movimientos'!H$5:H$1003, MATCH(24, 'Detalles movimientos'!$V$5:$V$1003, 0)), "")</f>
        <v/>
      </c>
      <c r="H33" s="21" t="str">
        <f>IFERROR(INDEX('Detalles movimientos'!I$5:I$1003, MATCH(24, 'Detalles movimientos'!$V$5:$V$1003, 0)), "")</f>
        <v/>
      </c>
      <c r="I33" s="20" t="str">
        <f>IFERROR(INDEX('Detalles movimientos'!M$5:M$1003, MATCH(24, 'Detalles movimientos'!$V$5:$V$1003, 0)), "")</f>
        <v/>
      </c>
      <c r="J33" s="19" t="str">
        <f>IFERROR(INDEX('Detalles movimientos'!N$5:N$1003, MATCH(24, 'Detalles movimientos'!$V$5:$V$1003, 0)), "")</f>
        <v/>
      </c>
      <c r="K33" s="20" t="str">
        <f>IFERROR(INDEX('Detalles movimientos'!O$5:O$1003, MATCH(24, 'Detalles movimientos'!$V$5:$V$1003, 0)), "")</f>
        <v/>
      </c>
      <c r="L33" s="18" t="str">
        <f>IFERROR(INDEX('Detalles movimientos'!P$5:P$1003, MATCH(24, 'Detalles movimientos'!$V$5:$V$1003, 0)), "")</f>
        <v/>
      </c>
      <c r="M33" s="18" t="str">
        <f>IFERROR(INDEX('Detalles movimientos'!S$5:S$1003, MATCH(24, 'Detalles movimientos'!$V$5:$V$1003, 0)), "")</f>
        <v/>
      </c>
    </row>
    <row r="34" spans="2:13">
      <c r="B34" s="17" t="str">
        <f>IFERROR(INDEX('Detalles movimientos'!C$5:C$1003, MATCH(25, 'Detalles movimientos'!$V$5:$V$1003, 0)), "")</f>
        <v/>
      </c>
      <c r="C34" s="18" t="str">
        <f>IFERROR(INDEX('Detalles movimientos'!D$5:D$1003, MATCH(25, 'Detalles movimientos'!$V$5:$V$1003, 0)), "")</f>
        <v/>
      </c>
      <c r="D34" s="19" t="str">
        <f>IFERROR(INDEX('Detalles movimientos'!E$5:E$1003, MATCH(25, 'Detalles movimientos'!$V$5:$V$1003, 0)), "")</f>
        <v/>
      </c>
      <c r="E34" s="19" t="str">
        <f>IFERROR(INDEX('Detalles movimientos'!F$5:F$1003, MATCH(25, 'Detalles movimientos'!$V$5:$V$1003, 0)), "")</f>
        <v/>
      </c>
      <c r="F34" s="18" t="str">
        <f>IFERROR(INDEX('Detalles movimientos'!G$5:G$1003, MATCH(25, 'Detalles movimientos'!$V$5:$V$1003, 0)), "")</f>
        <v/>
      </c>
      <c r="G34" s="20" t="str">
        <f>IFERROR(INDEX('Detalles movimientos'!H$5:H$1003, MATCH(25, 'Detalles movimientos'!$V$5:$V$1003, 0)), "")</f>
        <v/>
      </c>
      <c r="H34" s="21" t="str">
        <f>IFERROR(INDEX('Detalles movimientos'!I$5:I$1003, MATCH(25, 'Detalles movimientos'!$V$5:$V$1003, 0)), "")</f>
        <v/>
      </c>
      <c r="I34" s="20" t="str">
        <f>IFERROR(INDEX('Detalles movimientos'!M$5:M$1003, MATCH(25, 'Detalles movimientos'!$V$5:$V$1003, 0)), "")</f>
        <v/>
      </c>
      <c r="J34" s="19" t="str">
        <f>IFERROR(INDEX('Detalles movimientos'!N$5:N$1003, MATCH(25, 'Detalles movimientos'!$V$5:$V$1003, 0)), "")</f>
        <v/>
      </c>
      <c r="K34" s="20" t="str">
        <f>IFERROR(INDEX('Detalles movimientos'!O$5:O$1003, MATCH(25, 'Detalles movimientos'!$V$5:$V$1003, 0)), "")</f>
        <v/>
      </c>
      <c r="L34" s="18" t="str">
        <f>IFERROR(INDEX('Detalles movimientos'!P$5:P$1003, MATCH(25, 'Detalles movimientos'!$V$5:$V$1003, 0)), "")</f>
        <v/>
      </c>
      <c r="M34" s="18" t="str">
        <f>IFERROR(INDEX('Detalles movimientos'!S$5:S$1003, MATCH(25, 'Detalles movimientos'!$V$5:$V$1003, 0)), "")</f>
        <v/>
      </c>
    </row>
    <row r="35" spans="2:13">
      <c r="B35" s="17" t="str">
        <f>IFERROR(INDEX('Detalles movimientos'!C$5:C$1003, MATCH(26, 'Detalles movimientos'!$V$5:$V$1003, 0)), "")</f>
        <v/>
      </c>
      <c r="C35" s="18" t="str">
        <f>IFERROR(INDEX('Detalles movimientos'!D$5:D$1003, MATCH(26, 'Detalles movimientos'!$V$5:$V$1003, 0)), "")</f>
        <v/>
      </c>
      <c r="D35" s="19" t="str">
        <f>IFERROR(INDEX('Detalles movimientos'!E$5:E$1003, MATCH(26, 'Detalles movimientos'!$V$5:$V$1003, 0)), "")</f>
        <v/>
      </c>
      <c r="E35" s="19" t="str">
        <f>IFERROR(INDEX('Detalles movimientos'!F$5:F$1003, MATCH(26, 'Detalles movimientos'!$V$5:$V$1003, 0)), "")</f>
        <v/>
      </c>
      <c r="F35" s="18" t="str">
        <f>IFERROR(INDEX('Detalles movimientos'!G$5:G$1003, MATCH(26, 'Detalles movimientos'!$V$5:$V$1003, 0)), "")</f>
        <v/>
      </c>
      <c r="G35" s="20" t="str">
        <f>IFERROR(INDEX('Detalles movimientos'!H$5:H$1003, MATCH(26, 'Detalles movimientos'!$V$5:$V$1003, 0)), "")</f>
        <v/>
      </c>
      <c r="H35" s="21" t="str">
        <f>IFERROR(INDEX('Detalles movimientos'!I$5:I$1003, MATCH(26, 'Detalles movimientos'!$V$5:$V$1003, 0)), "")</f>
        <v/>
      </c>
      <c r="I35" s="20" t="str">
        <f>IFERROR(INDEX('Detalles movimientos'!M$5:M$1003, MATCH(26, 'Detalles movimientos'!$V$5:$V$1003, 0)), "")</f>
        <v/>
      </c>
      <c r="J35" s="19" t="str">
        <f>IFERROR(INDEX('Detalles movimientos'!N$5:N$1003, MATCH(26, 'Detalles movimientos'!$V$5:$V$1003, 0)), "")</f>
        <v/>
      </c>
      <c r="K35" s="20" t="str">
        <f>IFERROR(INDEX('Detalles movimientos'!O$5:O$1003, MATCH(26, 'Detalles movimientos'!$V$5:$V$1003, 0)), "")</f>
        <v/>
      </c>
      <c r="L35" s="18" t="str">
        <f>IFERROR(INDEX('Detalles movimientos'!P$5:P$1003, MATCH(26, 'Detalles movimientos'!$V$5:$V$1003, 0)), "")</f>
        <v/>
      </c>
      <c r="M35" s="18" t="str">
        <f>IFERROR(INDEX('Detalles movimientos'!S$5:S$1003, MATCH(26, 'Detalles movimientos'!$V$5:$V$1003, 0)), "")</f>
        <v/>
      </c>
    </row>
    <row r="36" spans="2:13">
      <c r="B36" s="17" t="str">
        <f>IFERROR(INDEX('Detalles movimientos'!C$5:C$1003, MATCH(27, 'Detalles movimientos'!$V$5:$V$1003, 0)), "")</f>
        <v/>
      </c>
      <c r="C36" s="18" t="str">
        <f>IFERROR(INDEX('Detalles movimientos'!D$5:D$1003, MATCH(27, 'Detalles movimientos'!$V$5:$V$1003, 0)), "")</f>
        <v/>
      </c>
      <c r="D36" s="19" t="str">
        <f>IFERROR(INDEX('Detalles movimientos'!E$5:E$1003, MATCH(27, 'Detalles movimientos'!$V$5:$V$1003, 0)), "")</f>
        <v/>
      </c>
      <c r="E36" s="19" t="str">
        <f>IFERROR(INDEX('Detalles movimientos'!F$5:F$1003, MATCH(27, 'Detalles movimientos'!$V$5:$V$1003, 0)), "")</f>
        <v/>
      </c>
      <c r="F36" s="18" t="str">
        <f>IFERROR(INDEX('Detalles movimientos'!G$5:G$1003, MATCH(27, 'Detalles movimientos'!$V$5:$V$1003, 0)), "")</f>
        <v/>
      </c>
      <c r="G36" s="20" t="str">
        <f>IFERROR(INDEX('Detalles movimientos'!H$5:H$1003, MATCH(27, 'Detalles movimientos'!$V$5:$V$1003, 0)), "")</f>
        <v/>
      </c>
      <c r="H36" s="21" t="str">
        <f>IFERROR(INDEX('Detalles movimientos'!I$5:I$1003, MATCH(27, 'Detalles movimientos'!$V$5:$V$1003, 0)), "")</f>
        <v/>
      </c>
      <c r="I36" s="20" t="str">
        <f>IFERROR(INDEX('Detalles movimientos'!M$5:M$1003, MATCH(27, 'Detalles movimientos'!$V$5:$V$1003, 0)), "")</f>
        <v/>
      </c>
      <c r="J36" s="19" t="str">
        <f>IFERROR(INDEX('Detalles movimientos'!N$5:N$1003, MATCH(27, 'Detalles movimientos'!$V$5:$V$1003, 0)), "")</f>
        <v/>
      </c>
      <c r="K36" s="20" t="str">
        <f>IFERROR(INDEX('Detalles movimientos'!O$5:O$1003, MATCH(27, 'Detalles movimientos'!$V$5:$V$1003, 0)), "")</f>
        <v/>
      </c>
      <c r="L36" s="18" t="str">
        <f>IFERROR(INDEX('Detalles movimientos'!P$5:P$1003, MATCH(27, 'Detalles movimientos'!$V$5:$V$1003, 0)), "")</f>
        <v/>
      </c>
      <c r="M36" s="18" t="str">
        <f>IFERROR(INDEX('Detalles movimientos'!S$5:S$1003, MATCH(27, 'Detalles movimientos'!$V$5:$V$1003, 0)), "")</f>
        <v/>
      </c>
    </row>
    <row r="37" spans="2:13">
      <c r="B37" s="17" t="str">
        <f>IFERROR(INDEX('Detalles movimientos'!C$5:C$1003, MATCH(28, 'Detalles movimientos'!$V$5:$V$1003, 0)), "")</f>
        <v/>
      </c>
      <c r="C37" s="18" t="str">
        <f>IFERROR(INDEX('Detalles movimientos'!D$5:D$1003, MATCH(28, 'Detalles movimientos'!$V$5:$V$1003, 0)), "")</f>
        <v/>
      </c>
      <c r="D37" s="19" t="str">
        <f>IFERROR(INDEX('Detalles movimientos'!E$5:E$1003, MATCH(28, 'Detalles movimientos'!$V$5:$V$1003, 0)), "")</f>
        <v/>
      </c>
      <c r="E37" s="19" t="str">
        <f>IFERROR(INDEX('Detalles movimientos'!F$5:F$1003, MATCH(28, 'Detalles movimientos'!$V$5:$V$1003, 0)), "")</f>
        <v/>
      </c>
      <c r="F37" s="18" t="str">
        <f>IFERROR(INDEX('Detalles movimientos'!G$5:G$1003, MATCH(28, 'Detalles movimientos'!$V$5:$V$1003, 0)), "")</f>
        <v/>
      </c>
      <c r="G37" s="20" t="str">
        <f>IFERROR(INDEX('Detalles movimientos'!H$5:H$1003, MATCH(28, 'Detalles movimientos'!$V$5:$V$1003, 0)), "")</f>
        <v/>
      </c>
      <c r="H37" s="21" t="str">
        <f>IFERROR(INDEX('Detalles movimientos'!I$5:I$1003, MATCH(28, 'Detalles movimientos'!$V$5:$V$1003, 0)), "")</f>
        <v/>
      </c>
      <c r="I37" s="20" t="str">
        <f>IFERROR(INDEX('Detalles movimientos'!M$5:M$1003, MATCH(28, 'Detalles movimientos'!$V$5:$V$1003, 0)), "")</f>
        <v/>
      </c>
      <c r="J37" s="19" t="str">
        <f>IFERROR(INDEX('Detalles movimientos'!N$5:N$1003, MATCH(28, 'Detalles movimientos'!$V$5:$V$1003, 0)), "")</f>
        <v/>
      </c>
      <c r="K37" s="20" t="str">
        <f>IFERROR(INDEX('Detalles movimientos'!O$5:O$1003, MATCH(28, 'Detalles movimientos'!$V$5:$V$1003, 0)), "")</f>
        <v/>
      </c>
      <c r="L37" s="18" t="str">
        <f>IFERROR(INDEX('Detalles movimientos'!P$5:P$1003, MATCH(28, 'Detalles movimientos'!$V$5:$V$1003, 0)), "")</f>
        <v/>
      </c>
      <c r="M37" s="18" t="str">
        <f>IFERROR(INDEX('Detalles movimientos'!S$5:S$1003, MATCH(28, 'Detalles movimientos'!$V$5:$V$1003, 0)), "")</f>
        <v/>
      </c>
    </row>
    <row r="38" spans="2:13">
      <c r="B38" s="17" t="str">
        <f>IFERROR(INDEX('Detalles movimientos'!C$5:C$1003, MATCH(29, 'Detalles movimientos'!$V$5:$V$1003, 0)), "")</f>
        <v/>
      </c>
      <c r="C38" s="18" t="str">
        <f>IFERROR(INDEX('Detalles movimientos'!D$5:D$1003, MATCH(29, 'Detalles movimientos'!$V$5:$V$1003, 0)), "")</f>
        <v/>
      </c>
      <c r="D38" s="19" t="str">
        <f>IFERROR(INDEX('Detalles movimientos'!E$5:E$1003, MATCH(29, 'Detalles movimientos'!$V$5:$V$1003, 0)), "")</f>
        <v/>
      </c>
      <c r="E38" s="19" t="str">
        <f>IFERROR(INDEX('Detalles movimientos'!F$5:F$1003, MATCH(29, 'Detalles movimientos'!$V$5:$V$1003, 0)), "")</f>
        <v/>
      </c>
      <c r="F38" s="18" t="str">
        <f>IFERROR(INDEX('Detalles movimientos'!G$5:G$1003, MATCH(29, 'Detalles movimientos'!$V$5:$V$1003, 0)), "")</f>
        <v/>
      </c>
      <c r="G38" s="20" t="str">
        <f>IFERROR(INDEX('Detalles movimientos'!H$5:H$1003, MATCH(29, 'Detalles movimientos'!$V$5:$V$1003, 0)), "")</f>
        <v/>
      </c>
      <c r="H38" s="21" t="str">
        <f>IFERROR(INDEX('Detalles movimientos'!I$5:I$1003, MATCH(29, 'Detalles movimientos'!$V$5:$V$1003, 0)), "")</f>
        <v/>
      </c>
      <c r="I38" s="20" t="str">
        <f>IFERROR(INDEX('Detalles movimientos'!M$5:M$1003, MATCH(29, 'Detalles movimientos'!$V$5:$V$1003, 0)), "")</f>
        <v/>
      </c>
      <c r="J38" s="19" t="str">
        <f>IFERROR(INDEX('Detalles movimientos'!N$5:N$1003, MATCH(29, 'Detalles movimientos'!$V$5:$V$1003, 0)), "")</f>
        <v/>
      </c>
      <c r="K38" s="20" t="str">
        <f>IFERROR(INDEX('Detalles movimientos'!O$5:O$1003, MATCH(29, 'Detalles movimientos'!$V$5:$V$1003, 0)), "")</f>
        <v/>
      </c>
      <c r="L38" s="18" t="str">
        <f>IFERROR(INDEX('Detalles movimientos'!P$5:P$1003, MATCH(29, 'Detalles movimientos'!$V$5:$V$1003, 0)), "")</f>
        <v/>
      </c>
      <c r="M38" s="18" t="str">
        <f>IFERROR(INDEX('Detalles movimientos'!S$5:S$1003, MATCH(29, 'Detalles movimientos'!$V$5:$V$1003, 0)), "")</f>
        <v/>
      </c>
    </row>
    <row r="39" spans="2:13">
      <c r="B39" s="17" t="str">
        <f>IFERROR(INDEX('Detalles movimientos'!C$5:C$1003, MATCH(30, 'Detalles movimientos'!$V$5:$V$1003, 0)), "")</f>
        <v/>
      </c>
      <c r="C39" s="18" t="str">
        <f>IFERROR(INDEX('Detalles movimientos'!D$5:D$1003, MATCH(30, 'Detalles movimientos'!$V$5:$V$1003, 0)), "")</f>
        <v/>
      </c>
      <c r="D39" s="19" t="str">
        <f>IFERROR(INDEX('Detalles movimientos'!E$5:E$1003, MATCH(30, 'Detalles movimientos'!$V$5:$V$1003, 0)), "")</f>
        <v/>
      </c>
      <c r="E39" s="19" t="str">
        <f>IFERROR(INDEX('Detalles movimientos'!F$5:F$1003, MATCH(30, 'Detalles movimientos'!$V$5:$V$1003, 0)), "")</f>
        <v/>
      </c>
      <c r="F39" s="18" t="str">
        <f>IFERROR(INDEX('Detalles movimientos'!G$5:G$1003, MATCH(30, 'Detalles movimientos'!$V$5:$V$1003, 0)), "")</f>
        <v/>
      </c>
      <c r="G39" s="20" t="str">
        <f>IFERROR(INDEX('Detalles movimientos'!H$5:H$1003, MATCH(30, 'Detalles movimientos'!$V$5:$V$1003, 0)), "")</f>
        <v/>
      </c>
      <c r="H39" s="21" t="str">
        <f>IFERROR(INDEX('Detalles movimientos'!I$5:I$1003, MATCH(30, 'Detalles movimientos'!$V$5:$V$1003, 0)), "")</f>
        <v/>
      </c>
      <c r="I39" s="20" t="str">
        <f>IFERROR(INDEX('Detalles movimientos'!M$5:M$1003, MATCH(30, 'Detalles movimientos'!$V$5:$V$1003, 0)), "")</f>
        <v/>
      </c>
      <c r="J39" s="19" t="str">
        <f>IFERROR(INDEX('Detalles movimientos'!N$5:N$1003, MATCH(30, 'Detalles movimientos'!$V$5:$V$1003, 0)), "")</f>
        <v/>
      </c>
      <c r="K39" s="20" t="str">
        <f>IFERROR(INDEX('Detalles movimientos'!O$5:O$1003, MATCH(30, 'Detalles movimientos'!$V$5:$V$1003, 0)), "")</f>
        <v/>
      </c>
      <c r="L39" s="18" t="str">
        <f>IFERROR(INDEX('Detalles movimientos'!P$5:P$1003, MATCH(30, 'Detalles movimientos'!$V$5:$V$1003, 0)), "")</f>
        <v/>
      </c>
      <c r="M39" s="18" t="str">
        <f>IFERROR(INDEX('Detalles movimientos'!S$5:S$1003, MATCH(30, 'Detalles movimientos'!$V$5:$V$1003, 0)), "")</f>
        <v/>
      </c>
    </row>
    <row r="40" spans="2:13">
      <c r="B40" s="17" t="str">
        <f>IFERROR(INDEX('Detalles movimientos'!C$5:C$1003, MATCH(31, 'Detalles movimientos'!$V$5:$V$1003, 0)), "")</f>
        <v/>
      </c>
      <c r="C40" s="18" t="str">
        <f>IFERROR(INDEX('Detalles movimientos'!D$5:D$1003, MATCH(31, 'Detalles movimientos'!$V$5:$V$1003, 0)), "")</f>
        <v/>
      </c>
      <c r="D40" s="19" t="str">
        <f>IFERROR(INDEX('Detalles movimientos'!E$5:E$1003, MATCH(31, 'Detalles movimientos'!$V$5:$V$1003, 0)), "")</f>
        <v/>
      </c>
      <c r="E40" s="19" t="str">
        <f>IFERROR(INDEX('Detalles movimientos'!F$5:F$1003, MATCH(31, 'Detalles movimientos'!$V$5:$V$1003, 0)), "")</f>
        <v/>
      </c>
      <c r="F40" s="18" t="str">
        <f>IFERROR(INDEX('Detalles movimientos'!G$5:G$1003, MATCH(31, 'Detalles movimientos'!$V$5:$V$1003, 0)), "")</f>
        <v/>
      </c>
      <c r="G40" s="20" t="str">
        <f>IFERROR(INDEX('Detalles movimientos'!H$5:H$1003, MATCH(31, 'Detalles movimientos'!$V$5:$V$1003, 0)), "")</f>
        <v/>
      </c>
      <c r="H40" s="21" t="str">
        <f>IFERROR(INDEX('Detalles movimientos'!I$5:I$1003, MATCH(31, 'Detalles movimientos'!$V$5:$V$1003, 0)), "")</f>
        <v/>
      </c>
      <c r="I40" s="20" t="str">
        <f>IFERROR(INDEX('Detalles movimientos'!M$5:M$1003, MATCH(31, 'Detalles movimientos'!$V$5:$V$1003, 0)), "")</f>
        <v/>
      </c>
      <c r="J40" s="19" t="str">
        <f>IFERROR(INDEX('Detalles movimientos'!N$5:N$1003, MATCH(31, 'Detalles movimientos'!$V$5:$V$1003, 0)), "")</f>
        <v/>
      </c>
      <c r="K40" s="20" t="str">
        <f>IFERROR(INDEX('Detalles movimientos'!O$5:O$1003, MATCH(31, 'Detalles movimientos'!$V$5:$V$1003, 0)), "")</f>
        <v/>
      </c>
      <c r="L40" s="18" t="str">
        <f>IFERROR(INDEX('Detalles movimientos'!P$5:P$1003, MATCH(31, 'Detalles movimientos'!$V$5:$V$1003, 0)), "")</f>
        <v/>
      </c>
      <c r="M40" s="18" t="str">
        <f>IFERROR(INDEX('Detalles movimientos'!S$5:S$1003, MATCH(31, 'Detalles movimientos'!$V$5:$V$1003, 0)), "")</f>
        <v/>
      </c>
    </row>
    <row r="41" spans="2:13">
      <c r="B41" s="17" t="str">
        <f>IFERROR(INDEX('Detalles movimientos'!C$5:C$1003, MATCH(32, 'Detalles movimientos'!$V$5:$V$1003, 0)), "")</f>
        <v/>
      </c>
      <c r="C41" s="18" t="str">
        <f>IFERROR(INDEX('Detalles movimientos'!D$5:D$1003, MATCH(32, 'Detalles movimientos'!$V$5:$V$1003, 0)), "")</f>
        <v/>
      </c>
      <c r="D41" s="19" t="str">
        <f>IFERROR(INDEX('Detalles movimientos'!E$5:E$1003, MATCH(32, 'Detalles movimientos'!$V$5:$V$1003, 0)), "")</f>
        <v/>
      </c>
      <c r="E41" s="19" t="str">
        <f>IFERROR(INDEX('Detalles movimientos'!F$5:F$1003, MATCH(32, 'Detalles movimientos'!$V$5:$V$1003, 0)), "")</f>
        <v/>
      </c>
      <c r="F41" s="18" t="str">
        <f>IFERROR(INDEX('Detalles movimientos'!G$5:G$1003, MATCH(32, 'Detalles movimientos'!$V$5:$V$1003, 0)), "")</f>
        <v/>
      </c>
      <c r="G41" s="20" t="str">
        <f>IFERROR(INDEX('Detalles movimientos'!H$5:H$1003, MATCH(32, 'Detalles movimientos'!$V$5:$V$1003, 0)), "")</f>
        <v/>
      </c>
      <c r="H41" s="21" t="str">
        <f>IFERROR(INDEX('Detalles movimientos'!I$5:I$1003, MATCH(32, 'Detalles movimientos'!$V$5:$V$1003, 0)), "")</f>
        <v/>
      </c>
      <c r="I41" s="20" t="str">
        <f>IFERROR(INDEX('Detalles movimientos'!M$5:M$1003, MATCH(32, 'Detalles movimientos'!$V$5:$V$1003, 0)), "")</f>
        <v/>
      </c>
      <c r="J41" s="19" t="str">
        <f>IFERROR(INDEX('Detalles movimientos'!N$5:N$1003, MATCH(32, 'Detalles movimientos'!$V$5:$V$1003, 0)), "")</f>
        <v/>
      </c>
      <c r="K41" s="20" t="str">
        <f>IFERROR(INDEX('Detalles movimientos'!O$5:O$1003, MATCH(32, 'Detalles movimientos'!$V$5:$V$1003, 0)), "")</f>
        <v/>
      </c>
      <c r="L41" s="18" t="str">
        <f>IFERROR(INDEX('Detalles movimientos'!P$5:P$1003, MATCH(32, 'Detalles movimientos'!$V$5:$V$1003, 0)), "")</f>
        <v/>
      </c>
      <c r="M41" s="18" t="str">
        <f>IFERROR(INDEX('Detalles movimientos'!S$5:S$1003, MATCH(32, 'Detalles movimientos'!$V$5:$V$1003, 0)), "")</f>
        <v/>
      </c>
    </row>
    <row r="42" spans="2:13">
      <c r="B42" s="17" t="str">
        <f>IFERROR(INDEX('Detalles movimientos'!C$5:C$1003, MATCH(33, 'Detalles movimientos'!$V$5:$V$1003, 0)), "")</f>
        <v/>
      </c>
      <c r="C42" s="18" t="str">
        <f>IFERROR(INDEX('Detalles movimientos'!D$5:D$1003, MATCH(33, 'Detalles movimientos'!$V$5:$V$1003, 0)), "")</f>
        <v/>
      </c>
      <c r="D42" s="19" t="str">
        <f>IFERROR(INDEX('Detalles movimientos'!E$5:E$1003, MATCH(33, 'Detalles movimientos'!$V$5:$V$1003, 0)), "")</f>
        <v/>
      </c>
      <c r="E42" s="19" t="str">
        <f>IFERROR(INDEX('Detalles movimientos'!F$5:F$1003, MATCH(33, 'Detalles movimientos'!$V$5:$V$1003, 0)), "")</f>
        <v/>
      </c>
      <c r="F42" s="18" t="str">
        <f>IFERROR(INDEX('Detalles movimientos'!G$5:G$1003, MATCH(33, 'Detalles movimientos'!$V$5:$V$1003, 0)), "")</f>
        <v/>
      </c>
      <c r="G42" s="20" t="str">
        <f>IFERROR(INDEX('Detalles movimientos'!H$5:H$1003, MATCH(33, 'Detalles movimientos'!$V$5:$V$1003, 0)), "")</f>
        <v/>
      </c>
      <c r="H42" s="21" t="str">
        <f>IFERROR(INDEX('Detalles movimientos'!I$5:I$1003, MATCH(33, 'Detalles movimientos'!$V$5:$V$1003, 0)), "")</f>
        <v/>
      </c>
      <c r="I42" s="20" t="str">
        <f>IFERROR(INDEX('Detalles movimientos'!M$5:M$1003, MATCH(33, 'Detalles movimientos'!$V$5:$V$1003, 0)), "")</f>
        <v/>
      </c>
      <c r="J42" s="19" t="str">
        <f>IFERROR(INDEX('Detalles movimientos'!N$5:N$1003, MATCH(33, 'Detalles movimientos'!$V$5:$V$1003, 0)), "")</f>
        <v/>
      </c>
      <c r="K42" s="20" t="str">
        <f>IFERROR(INDEX('Detalles movimientos'!O$5:O$1003, MATCH(33, 'Detalles movimientos'!$V$5:$V$1003, 0)), "")</f>
        <v/>
      </c>
      <c r="L42" s="18" t="str">
        <f>IFERROR(INDEX('Detalles movimientos'!P$5:P$1003, MATCH(33, 'Detalles movimientos'!$V$5:$V$1003, 0)), "")</f>
        <v/>
      </c>
      <c r="M42" s="18" t="str">
        <f>IFERROR(INDEX('Detalles movimientos'!S$5:S$1003, MATCH(33, 'Detalles movimientos'!$V$5:$V$1003, 0)), "")</f>
        <v/>
      </c>
    </row>
    <row r="43" spans="2:13">
      <c r="B43" s="17" t="str">
        <f>IFERROR(INDEX('Detalles movimientos'!C$5:C$1003, MATCH(34, 'Detalles movimientos'!$V$5:$V$1003, 0)), "")</f>
        <v/>
      </c>
      <c r="C43" s="18" t="str">
        <f>IFERROR(INDEX('Detalles movimientos'!D$5:D$1003, MATCH(34, 'Detalles movimientos'!$V$5:$V$1003, 0)), "")</f>
        <v/>
      </c>
      <c r="D43" s="19" t="str">
        <f>IFERROR(INDEX('Detalles movimientos'!E$5:E$1003, MATCH(34, 'Detalles movimientos'!$V$5:$V$1003, 0)), "")</f>
        <v/>
      </c>
      <c r="E43" s="19" t="str">
        <f>IFERROR(INDEX('Detalles movimientos'!F$5:F$1003, MATCH(34, 'Detalles movimientos'!$V$5:$V$1003, 0)), "")</f>
        <v/>
      </c>
      <c r="F43" s="18" t="str">
        <f>IFERROR(INDEX('Detalles movimientos'!G$5:G$1003, MATCH(34, 'Detalles movimientos'!$V$5:$V$1003, 0)), "")</f>
        <v/>
      </c>
      <c r="G43" s="20" t="str">
        <f>IFERROR(INDEX('Detalles movimientos'!H$5:H$1003, MATCH(34, 'Detalles movimientos'!$V$5:$V$1003, 0)), "")</f>
        <v/>
      </c>
      <c r="H43" s="21" t="str">
        <f>IFERROR(INDEX('Detalles movimientos'!I$5:I$1003, MATCH(34, 'Detalles movimientos'!$V$5:$V$1003, 0)), "")</f>
        <v/>
      </c>
      <c r="I43" s="20" t="str">
        <f>IFERROR(INDEX('Detalles movimientos'!M$5:M$1003, MATCH(34, 'Detalles movimientos'!$V$5:$V$1003, 0)), "")</f>
        <v/>
      </c>
      <c r="J43" s="19" t="str">
        <f>IFERROR(INDEX('Detalles movimientos'!N$5:N$1003, MATCH(34, 'Detalles movimientos'!$V$5:$V$1003, 0)), "")</f>
        <v/>
      </c>
      <c r="K43" s="20" t="str">
        <f>IFERROR(INDEX('Detalles movimientos'!O$5:O$1003, MATCH(34, 'Detalles movimientos'!$V$5:$V$1003, 0)), "")</f>
        <v/>
      </c>
      <c r="L43" s="18" t="str">
        <f>IFERROR(INDEX('Detalles movimientos'!P$5:P$1003, MATCH(34, 'Detalles movimientos'!$V$5:$V$1003, 0)), "")</f>
        <v/>
      </c>
      <c r="M43" s="18" t="str">
        <f>IFERROR(INDEX('Detalles movimientos'!S$5:S$1003, MATCH(34, 'Detalles movimientos'!$V$5:$V$1003, 0)), "")</f>
        <v/>
      </c>
    </row>
    <row r="44" spans="2:13">
      <c r="B44" s="17" t="str">
        <f>IFERROR(INDEX('Detalles movimientos'!C$5:C$1003, MATCH(35, 'Detalles movimientos'!$V$5:$V$1003, 0)), "")</f>
        <v/>
      </c>
      <c r="C44" s="18" t="str">
        <f>IFERROR(INDEX('Detalles movimientos'!D$5:D$1003, MATCH(35, 'Detalles movimientos'!$V$5:$V$1003, 0)), "")</f>
        <v/>
      </c>
      <c r="D44" s="19" t="str">
        <f>IFERROR(INDEX('Detalles movimientos'!E$5:E$1003, MATCH(35, 'Detalles movimientos'!$V$5:$V$1003, 0)), "")</f>
        <v/>
      </c>
      <c r="E44" s="19" t="str">
        <f>IFERROR(INDEX('Detalles movimientos'!F$5:F$1003, MATCH(35, 'Detalles movimientos'!$V$5:$V$1003, 0)), "")</f>
        <v/>
      </c>
      <c r="F44" s="18" t="str">
        <f>IFERROR(INDEX('Detalles movimientos'!G$5:G$1003, MATCH(35, 'Detalles movimientos'!$V$5:$V$1003, 0)), "")</f>
        <v/>
      </c>
      <c r="G44" s="20" t="str">
        <f>IFERROR(INDEX('Detalles movimientos'!H$5:H$1003, MATCH(35, 'Detalles movimientos'!$V$5:$V$1003, 0)), "")</f>
        <v/>
      </c>
      <c r="H44" s="21" t="str">
        <f>IFERROR(INDEX('Detalles movimientos'!I$5:I$1003, MATCH(35, 'Detalles movimientos'!$V$5:$V$1003, 0)), "")</f>
        <v/>
      </c>
      <c r="I44" s="20" t="str">
        <f>IFERROR(INDEX('Detalles movimientos'!M$5:M$1003, MATCH(35, 'Detalles movimientos'!$V$5:$V$1003, 0)), "")</f>
        <v/>
      </c>
      <c r="J44" s="19" t="str">
        <f>IFERROR(INDEX('Detalles movimientos'!N$5:N$1003, MATCH(35, 'Detalles movimientos'!$V$5:$V$1003, 0)), "")</f>
        <v/>
      </c>
      <c r="K44" s="20" t="str">
        <f>IFERROR(INDEX('Detalles movimientos'!O$5:O$1003, MATCH(35, 'Detalles movimientos'!$V$5:$V$1003, 0)), "")</f>
        <v/>
      </c>
      <c r="L44" s="18" t="str">
        <f>IFERROR(INDEX('Detalles movimientos'!P$5:P$1003, MATCH(35, 'Detalles movimientos'!$V$5:$V$1003, 0)), "")</f>
        <v/>
      </c>
      <c r="M44" s="18" t="str">
        <f>IFERROR(INDEX('Detalles movimientos'!S$5:S$1003, MATCH(35, 'Detalles movimientos'!$V$5:$V$1003, 0)), "")</f>
        <v/>
      </c>
    </row>
    <row r="45" spans="2:13">
      <c r="B45" s="17" t="str">
        <f>IFERROR(INDEX('Detalles movimientos'!C$5:C$1003, MATCH(36, 'Detalles movimientos'!$V$5:$V$1003, 0)), "")</f>
        <v/>
      </c>
      <c r="C45" s="18" t="str">
        <f>IFERROR(INDEX('Detalles movimientos'!D$5:D$1003, MATCH(36, 'Detalles movimientos'!$V$5:$V$1003, 0)), "")</f>
        <v/>
      </c>
      <c r="D45" s="19" t="str">
        <f>IFERROR(INDEX('Detalles movimientos'!E$5:E$1003, MATCH(36, 'Detalles movimientos'!$V$5:$V$1003, 0)), "")</f>
        <v/>
      </c>
      <c r="E45" s="19" t="str">
        <f>IFERROR(INDEX('Detalles movimientos'!F$5:F$1003, MATCH(36, 'Detalles movimientos'!$V$5:$V$1003, 0)), "")</f>
        <v/>
      </c>
      <c r="F45" s="18" t="str">
        <f>IFERROR(INDEX('Detalles movimientos'!G$5:G$1003, MATCH(36, 'Detalles movimientos'!$V$5:$V$1003, 0)), "")</f>
        <v/>
      </c>
      <c r="G45" s="20" t="str">
        <f>IFERROR(INDEX('Detalles movimientos'!H$5:H$1003, MATCH(36, 'Detalles movimientos'!$V$5:$V$1003, 0)), "")</f>
        <v/>
      </c>
      <c r="H45" s="21" t="str">
        <f>IFERROR(INDEX('Detalles movimientos'!I$5:I$1003, MATCH(36, 'Detalles movimientos'!$V$5:$V$1003, 0)), "")</f>
        <v/>
      </c>
      <c r="I45" s="20" t="str">
        <f>IFERROR(INDEX('Detalles movimientos'!M$5:M$1003, MATCH(36, 'Detalles movimientos'!$V$5:$V$1003, 0)), "")</f>
        <v/>
      </c>
      <c r="J45" s="19" t="str">
        <f>IFERROR(INDEX('Detalles movimientos'!N$5:N$1003, MATCH(36, 'Detalles movimientos'!$V$5:$V$1003, 0)), "")</f>
        <v/>
      </c>
      <c r="K45" s="20" t="str">
        <f>IFERROR(INDEX('Detalles movimientos'!O$5:O$1003, MATCH(36, 'Detalles movimientos'!$V$5:$V$1003, 0)), "")</f>
        <v/>
      </c>
      <c r="L45" s="18" t="str">
        <f>IFERROR(INDEX('Detalles movimientos'!P$5:P$1003, MATCH(36, 'Detalles movimientos'!$V$5:$V$1003, 0)), "")</f>
        <v/>
      </c>
      <c r="M45" s="18" t="str">
        <f>IFERROR(INDEX('Detalles movimientos'!S$5:S$1003, MATCH(36, 'Detalles movimientos'!$V$5:$V$1003, 0)), "")</f>
        <v/>
      </c>
    </row>
    <row r="46" spans="2:13">
      <c r="B46" s="17" t="str">
        <f>IFERROR(INDEX('Detalles movimientos'!C$5:C$1003, MATCH(37, 'Detalles movimientos'!$V$5:$V$1003, 0)), "")</f>
        <v/>
      </c>
      <c r="C46" s="18" t="str">
        <f>IFERROR(INDEX('Detalles movimientos'!D$5:D$1003, MATCH(37, 'Detalles movimientos'!$V$5:$V$1003, 0)), "")</f>
        <v/>
      </c>
      <c r="D46" s="19" t="str">
        <f>IFERROR(INDEX('Detalles movimientos'!E$5:E$1003, MATCH(37, 'Detalles movimientos'!$V$5:$V$1003, 0)), "")</f>
        <v/>
      </c>
      <c r="E46" s="19" t="str">
        <f>IFERROR(INDEX('Detalles movimientos'!F$5:F$1003, MATCH(37, 'Detalles movimientos'!$V$5:$V$1003, 0)), "")</f>
        <v/>
      </c>
      <c r="F46" s="18" t="str">
        <f>IFERROR(INDEX('Detalles movimientos'!G$5:G$1003, MATCH(37, 'Detalles movimientos'!$V$5:$V$1003, 0)), "")</f>
        <v/>
      </c>
      <c r="G46" s="20" t="str">
        <f>IFERROR(INDEX('Detalles movimientos'!H$5:H$1003, MATCH(37, 'Detalles movimientos'!$V$5:$V$1003, 0)), "")</f>
        <v/>
      </c>
      <c r="H46" s="21" t="str">
        <f>IFERROR(INDEX('Detalles movimientos'!I$5:I$1003, MATCH(37, 'Detalles movimientos'!$V$5:$V$1003, 0)), "")</f>
        <v/>
      </c>
      <c r="I46" s="20" t="str">
        <f>IFERROR(INDEX('Detalles movimientos'!M$5:M$1003, MATCH(37, 'Detalles movimientos'!$V$5:$V$1003, 0)), "")</f>
        <v/>
      </c>
      <c r="J46" s="19" t="str">
        <f>IFERROR(INDEX('Detalles movimientos'!N$5:N$1003, MATCH(37, 'Detalles movimientos'!$V$5:$V$1003, 0)), "")</f>
        <v/>
      </c>
      <c r="K46" s="20" t="str">
        <f>IFERROR(INDEX('Detalles movimientos'!O$5:O$1003, MATCH(37, 'Detalles movimientos'!$V$5:$V$1003, 0)), "")</f>
        <v/>
      </c>
      <c r="L46" s="18" t="str">
        <f>IFERROR(INDEX('Detalles movimientos'!P$5:P$1003, MATCH(37, 'Detalles movimientos'!$V$5:$V$1003, 0)), "")</f>
        <v/>
      </c>
      <c r="M46" s="18" t="str">
        <f>IFERROR(INDEX('Detalles movimientos'!S$5:S$1003, MATCH(37, 'Detalles movimientos'!$V$5:$V$1003, 0)), "")</f>
        <v/>
      </c>
    </row>
    <row r="47" spans="2:13">
      <c r="B47" s="17" t="str">
        <f>IFERROR(INDEX('Detalles movimientos'!C$5:C$1003, MATCH(38, 'Detalles movimientos'!$V$5:$V$1003, 0)), "")</f>
        <v/>
      </c>
      <c r="C47" s="18" t="str">
        <f>IFERROR(INDEX('Detalles movimientos'!D$5:D$1003, MATCH(38, 'Detalles movimientos'!$V$5:$V$1003, 0)), "")</f>
        <v/>
      </c>
      <c r="D47" s="19" t="str">
        <f>IFERROR(INDEX('Detalles movimientos'!E$5:E$1003, MATCH(38, 'Detalles movimientos'!$V$5:$V$1003, 0)), "")</f>
        <v/>
      </c>
      <c r="E47" s="19" t="str">
        <f>IFERROR(INDEX('Detalles movimientos'!F$5:F$1003, MATCH(38, 'Detalles movimientos'!$V$5:$V$1003, 0)), "")</f>
        <v/>
      </c>
      <c r="F47" s="18" t="str">
        <f>IFERROR(INDEX('Detalles movimientos'!G$5:G$1003, MATCH(38, 'Detalles movimientos'!$V$5:$V$1003, 0)), "")</f>
        <v/>
      </c>
      <c r="G47" s="20" t="str">
        <f>IFERROR(INDEX('Detalles movimientos'!H$5:H$1003, MATCH(38, 'Detalles movimientos'!$V$5:$V$1003, 0)), "")</f>
        <v/>
      </c>
      <c r="H47" s="21" t="str">
        <f>IFERROR(INDEX('Detalles movimientos'!I$5:I$1003, MATCH(38, 'Detalles movimientos'!$V$5:$V$1003, 0)), "")</f>
        <v/>
      </c>
      <c r="I47" s="20" t="str">
        <f>IFERROR(INDEX('Detalles movimientos'!M$5:M$1003, MATCH(38, 'Detalles movimientos'!$V$5:$V$1003, 0)), "")</f>
        <v/>
      </c>
      <c r="J47" s="19" t="str">
        <f>IFERROR(INDEX('Detalles movimientos'!N$5:N$1003, MATCH(38, 'Detalles movimientos'!$V$5:$V$1003, 0)), "")</f>
        <v/>
      </c>
      <c r="K47" s="20" t="str">
        <f>IFERROR(INDEX('Detalles movimientos'!O$5:O$1003, MATCH(38, 'Detalles movimientos'!$V$5:$V$1003, 0)), "")</f>
        <v/>
      </c>
      <c r="L47" s="18" t="str">
        <f>IFERROR(INDEX('Detalles movimientos'!P$5:P$1003, MATCH(38, 'Detalles movimientos'!$V$5:$V$1003, 0)), "")</f>
        <v/>
      </c>
      <c r="M47" s="18" t="str">
        <f>IFERROR(INDEX('Detalles movimientos'!S$5:S$1003, MATCH(38, 'Detalles movimientos'!$V$5:$V$1003, 0)), "")</f>
        <v/>
      </c>
    </row>
    <row r="48" spans="2:13">
      <c r="B48" s="17" t="str">
        <f>IFERROR(INDEX('Detalles movimientos'!C$5:C$1003, MATCH(39, 'Detalles movimientos'!$V$5:$V$1003, 0)), "")</f>
        <v/>
      </c>
      <c r="C48" s="18" t="str">
        <f>IFERROR(INDEX('Detalles movimientos'!D$5:D$1003, MATCH(39, 'Detalles movimientos'!$V$5:$V$1003, 0)), "")</f>
        <v/>
      </c>
      <c r="D48" s="19" t="str">
        <f>IFERROR(INDEX('Detalles movimientos'!E$5:E$1003, MATCH(39, 'Detalles movimientos'!$V$5:$V$1003, 0)), "")</f>
        <v/>
      </c>
      <c r="E48" s="19" t="str">
        <f>IFERROR(INDEX('Detalles movimientos'!F$5:F$1003, MATCH(39, 'Detalles movimientos'!$V$5:$V$1003, 0)), "")</f>
        <v/>
      </c>
      <c r="F48" s="18" t="str">
        <f>IFERROR(INDEX('Detalles movimientos'!G$5:G$1003, MATCH(39, 'Detalles movimientos'!$V$5:$V$1003, 0)), "")</f>
        <v/>
      </c>
      <c r="G48" s="20" t="str">
        <f>IFERROR(INDEX('Detalles movimientos'!H$5:H$1003, MATCH(39, 'Detalles movimientos'!$V$5:$V$1003, 0)), "")</f>
        <v/>
      </c>
      <c r="H48" s="21" t="str">
        <f>IFERROR(INDEX('Detalles movimientos'!I$5:I$1003, MATCH(39, 'Detalles movimientos'!$V$5:$V$1003, 0)), "")</f>
        <v/>
      </c>
      <c r="I48" s="20" t="str">
        <f>IFERROR(INDEX('Detalles movimientos'!M$5:M$1003, MATCH(39, 'Detalles movimientos'!$V$5:$V$1003, 0)), "")</f>
        <v/>
      </c>
      <c r="J48" s="19" t="str">
        <f>IFERROR(INDEX('Detalles movimientos'!N$5:N$1003, MATCH(39, 'Detalles movimientos'!$V$5:$V$1003, 0)), "")</f>
        <v/>
      </c>
      <c r="K48" s="20" t="str">
        <f>IFERROR(INDEX('Detalles movimientos'!O$5:O$1003, MATCH(39, 'Detalles movimientos'!$V$5:$V$1003, 0)), "")</f>
        <v/>
      </c>
      <c r="L48" s="18" t="str">
        <f>IFERROR(INDEX('Detalles movimientos'!P$5:P$1003, MATCH(39, 'Detalles movimientos'!$V$5:$V$1003, 0)), "")</f>
        <v/>
      </c>
      <c r="M48" s="18" t="str">
        <f>IFERROR(INDEX('Detalles movimientos'!S$5:S$1003, MATCH(39, 'Detalles movimientos'!$V$5:$V$1003, 0)), "")</f>
        <v/>
      </c>
    </row>
    <row r="49" spans="2:13">
      <c r="B49" s="17" t="str">
        <f>IFERROR(INDEX('Detalles movimientos'!C$5:C$1003, MATCH(40, 'Detalles movimientos'!$V$5:$V$1003, 0)), "")</f>
        <v/>
      </c>
      <c r="C49" s="18" t="str">
        <f>IFERROR(INDEX('Detalles movimientos'!D$5:D$1003, MATCH(40, 'Detalles movimientos'!$V$5:$V$1003, 0)), "")</f>
        <v/>
      </c>
      <c r="D49" s="19" t="str">
        <f>IFERROR(INDEX('Detalles movimientos'!E$5:E$1003, MATCH(40, 'Detalles movimientos'!$V$5:$V$1003, 0)), "")</f>
        <v/>
      </c>
      <c r="E49" s="19" t="str">
        <f>IFERROR(INDEX('Detalles movimientos'!F$5:F$1003, MATCH(40, 'Detalles movimientos'!$V$5:$V$1003, 0)), "")</f>
        <v/>
      </c>
      <c r="F49" s="18" t="str">
        <f>IFERROR(INDEX('Detalles movimientos'!G$5:G$1003, MATCH(40, 'Detalles movimientos'!$V$5:$V$1003, 0)), "")</f>
        <v/>
      </c>
      <c r="G49" s="20" t="str">
        <f>IFERROR(INDEX('Detalles movimientos'!H$5:H$1003, MATCH(40, 'Detalles movimientos'!$V$5:$V$1003, 0)), "")</f>
        <v/>
      </c>
      <c r="H49" s="21" t="str">
        <f>IFERROR(INDEX('Detalles movimientos'!I$5:I$1003, MATCH(40, 'Detalles movimientos'!$V$5:$V$1003, 0)), "")</f>
        <v/>
      </c>
      <c r="I49" s="20" t="str">
        <f>IFERROR(INDEX('Detalles movimientos'!M$5:M$1003, MATCH(40, 'Detalles movimientos'!$V$5:$V$1003, 0)), "")</f>
        <v/>
      </c>
      <c r="J49" s="19" t="str">
        <f>IFERROR(INDEX('Detalles movimientos'!N$5:N$1003, MATCH(40, 'Detalles movimientos'!$V$5:$V$1003, 0)), "")</f>
        <v/>
      </c>
      <c r="K49" s="20" t="str">
        <f>IFERROR(INDEX('Detalles movimientos'!O$5:O$1003, MATCH(40, 'Detalles movimientos'!$V$5:$V$1003, 0)), "")</f>
        <v/>
      </c>
      <c r="L49" s="18" t="str">
        <f>IFERROR(INDEX('Detalles movimientos'!P$5:P$1003, MATCH(40, 'Detalles movimientos'!$V$5:$V$1003, 0)), "")</f>
        <v/>
      </c>
      <c r="M49" s="18" t="str">
        <f>IFERROR(INDEX('Detalles movimientos'!S$5:S$1003, MATCH(40, 'Detalles movimientos'!$V$5:$V$1003, 0)), "")</f>
        <v/>
      </c>
    </row>
    <row r="50" spans="2:13">
      <c r="B50" s="17" t="str">
        <f>IFERROR(INDEX('Detalles movimientos'!C$5:C$1003, MATCH(41, 'Detalles movimientos'!$V$5:$V$1003, 0)), "")</f>
        <v/>
      </c>
      <c r="C50" s="18" t="str">
        <f>IFERROR(INDEX('Detalles movimientos'!D$5:D$1003, MATCH(41, 'Detalles movimientos'!$V$5:$V$1003, 0)), "")</f>
        <v/>
      </c>
      <c r="D50" s="19" t="str">
        <f>IFERROR(INDEX('Detalles movimientos'!E$5:E$1003, MATCH(41, 'Detalles movimientos'!$V$5:$V$1003, 0)), "")</f>
        <v/>
      </c>
      <c r="E50" s="19" t="str">
        <f>IFERROR(INDEX('Detalles movimientos'!F$5:F$1003, MATCH(41, 'Detalles movimientos'!$V$5:$V$1003, 0)), "")</f>
        <v/>
      </c>
      <c r="F50" s="18" t="str">
        <f>IFERROR(INDEX('Detalles movimientos'!G$5:G$1003, MATCH(41, 'Detalles movimientos'!$V$5:$V$1003, 0)), "")</f>
        <v/>
      </c>
      <c r="G50" s="20" t="str">
        <f>IFERROR(INDEX('Detalles movimientos'!H$5:H$1003, MATCH(41, 'Detalles movimientos'!$V$5:$V$1003, 0)), "")</f>
        <v/>
      </c>
      <c r="H50" s="21" t="str">
        <f>IFERROR(INDEX('Detalles movimientos'!I$5:I$1003, MATCH(41, 'Detalles movimientos'!$V$5:$V$1003, 0)), "")</f>
        <v/>
      </c>
      <c r="I50" s="20" t="str">
        <f>IFERROR(INDEX('Detalles movimientos'!M$5:M$1003, MATCH(41, 'Detalles movimientos'!$V$5:$V$1003, 0)), "")</f>
        <v/>
      </c>
      <c r="J50" s="19" t="str">
        <f>IFERROR(INDEX('Detalles movimientos'!N$5:N$1003, MATCH(41, 'Detalles movimientos'!$V$5:$V$1003, 0)), "")</f>
        <v/>
      </c>
      <c r="K50" s="20" t="str">
        <f>IFERROR(INDEX('Detalles movimientos'!O$5:O$1003, MATCH(41, 'Detalles movimientos'!$V$5:$V$1003, 0)), "")</f>
        <v/>
      </c>
      <c r="L50" s="18" t="str">
        <f>IFERROR(INDEX('Detalles movimientos'!P$5:P$1003, MATCH(41, 'Detalles movimientos'!$V$5:$V$1003, 0)), "")</f>
        <v/>
      </c>
      <c r="M50" s="18" t="str">
        <f>IFERROR(INDEX('Detalles movimientos'!S$5:S$1003, MATCH(41, 'Detalles movimientos'!$V$5:$V$1003, 0)), "")</f>
        <v/>
      </c>
    </row>
    <row r="51" spans="2:13">
      <c r="B51" s="17" t="str">
        <f>IFERROR(INDEX('Detalles movimientos'!C$5:C$1003, MATCH(42, 'Detalles movimientos'!$V$5:$V$1003, 0)), "")</f>
        <v/>
      </c>
      <c r="C51" s="18" t="str">
        <f>IFERROR(INDEX('Detalles movimientos'!D$5:D$1003, MATCH(42, 'Detalles movimientos'!$V$5:$V$1003, 0)), "")</f>
        <v/>
      </c>
      <c r="D51" s="19" t="str">
        <f>IFERROR(INDEX('Detalles movimientos'!E$5:E$1003, MATCH(42, 'Detalles movimientos'!$V$5:$V$1003, 0)), "")</f>
        <v/>
      </c>
      <c r="E51" s="19" t="str">
        <f>IFERROR(INDEX('Detalles movimientos'!F$5:F$1003, MATCH(42, 'Detalles movimientos'!$V$5:$V$1003, 0)), "")</f>
        <v/>
      </c>
      <c r="F51" s="18" t="str">
        <f>IFERROR(INDEX('Detalles movimientos'!G$5:G$1003, MATCH(42, 'Detalles movimientos'!$V$5:$V$1003, 0)), "")</f>
        <v/>
      </c>
      <c r="G51" s="20" t="str">
        <f>IFERROR(INDEX('Detalles movimientos'!H$5:H$1003, MATCH(42, 'Detalles movimientos'!$V$5:$V$1003, 0)), "")</f>
        <v/>
      </c>
      <c r="H51" s="21" t="str">
        <f>IFERROR(INDEX('Detalles movimientos'!I$5:I$1003, MATCH(42, 'Detalles movimientos'!$V$5:$V$1003, 0)), "")</f>
        <v/>
      </c>
      <c r="I51" s="20" t="str">
        <f>IFERROR(INDEX('Detalles movimientos'!M$5:M$1003, MATCH(42, 'Detalles movimientos'!$V$5:$V$1003, 0)), "")</f>
        <v/>
      </c>
      <c r="J51" s="19" t="str">
        <f>IFERROR(INDEX('Detalles movimientos'!N$5:N$1003, MATCH(42, 'Detalles movimientos'!$V$5:$V$1003, 0)), "")</f>
        <v/>
      </c>
      <c r="K51" s="20" t="str">
        <f>IFERROR(INDEX('Detalles movimientos'!O$5:O$1003, MATCH(42, 'Detalles movimientos'!$V$5:$V$1003, 0)), "")</f>
        <v/>
      </c>
      <c r="L51" s="18" t="str">
        <f>IFERROR(INDEX('Detalles movimientos'!P$5:P$1003, MATCH(42, 'Detalles movimientos'!$V$5:$V$1003, 0)), "")</f>
        <v/>
      </c>
      <c r="M51" s="18" t="str">
        <f>IFERROR(INDEX('Detalles movimientos'!S$5:S$1003, MATCH(42, 'Detalles movimientos'!$V$5:$V$1003, 0)), "")</f>
        <v/>
      </c>
    </row>
    <row r="52" spans="2:13">
      <c r="B52" s="17" t="str">
        <f>IFERROR(INDEX('Detalles movimientos'!C$5:C$1003, MATCH(43, 'Detalles movimientos'!$V$5:$V$1003, 0)), "")</f>
        <v/>
      </c>
      <c r="C52" s="18" t="str">
        <f>IFERROR(INDEX('Detalles movimientos'!D$5:D$1003, MATCH(43, 'Detalles movimientos'!$V$5:$V$1003, 0)), "")</f>
        <v/>
      </c>
      <c r="D52" s="19" t="str">
        <f>IFERROR(INDEX('Detalles movimientos'!E$5:E$1003, MATCH(43, 'Detalles movimientos'!$V$5:$V$1003, 0)), "")</f>
        <v/>
      </c>
      <c r="E52" s="19" t="str">
        <f>IFERROR(INDEX('Detalles movimientos'!F$5:F$1003, MATCH(43, 'Detalles movimientos'!$V$5:$V$1003, 0)), "")</f>
        <v/>
      </c>
      <c r="F52" s="18" t="str">
        <f>IFERROR(INDEX('Detalles movimientos'!G$5:G$1003, MATCH(43, 'Detalles movimientos'!$V$5:$V$1003, 0)), "")</f>
        <v/>
      </c>
      <c r="G52" s="20" t="str">
        <f>IFERROR(INDEX('Detalles movimientos'!H$5:H$1003, MATCH(43, 'Detalles movimientos'!$V$5:$V$1003, 0)), "")</f>
        <v/>
      </c>
      <c r="H52" s="21" t="str">
        <f>IFERROR(INDEX('Detalles movimientos'!I$5:I$1003, MATCH(43, 'Detalles movimientos'!$V$5:$V$1003, 0)), "")</f>
        <v/>
      </c>
      <c r="I52" s="20" t="str">
        <f>IFERROR(INDEX('Detalles movimientos'!M$5:M$1003, MATCH(43, 'Detalles movimientos'!$V$5:$V$1003, 0)), "")</f>
        <v/>
      </c>
      <c r="J52" s="19" t="str">
        <f>IFERROR(INDEX('Detalles movimientos'!N$5:N$1003, MATCH(43, 'Detalles movimientos'!$V$5:$V$1003, 0)), "")</f>
        <v/>
      </c>
      <c r="K52" s="20" t="str">
        <f>IFERROR(INDEX('Detalles movimientos'!O$5:O$1003, MATCH(43, 'Detalles movimientos'!$V$5:$V$1003, 0)), "")</f>
        <v/>
      </c>
      <c r="L52" s="18" t="str">
        <f>IFERROR(INDEX('Detalles movimientos'!P$5:P$1003, MATCH(43, 'Detalles movimientos'!$V$5:$V$1003, 0)), "")</f>
        <v/>
      </c>
      <c r="M52" s="18" t="str">
        <f>IFERROR(INDEX('Detalles movimientos'!S$5:S$1003, MATCH(43, 'Detalles movimientos'!$V$5:$V$1003, 0)), "")</f>
        <v/>
      </c>
    </row>
    <row r="53" spans="2:13">
      <c r="B53" s="17" t="str">
        <f>IFERROR(INDEX('Detalles movimientos'!C$5:C$1003, MATCH(44, 'Detalles movimientos'!$V$5:$V$1003, 0)), "")</f>
        <v/>
      </c>
      <c r="C53" s="18" t="str">
        <f>IFERROR(INDEX('Detalles movimientos'!D$5:D$1003, MATCH(44, 'Detalles movimientos'!$V$5:$V$1003, 0)), "")</f>
        <v/>
      </c>
      <c r="D53" s="19" t="str">
        <f>IFERROR(INDEX('Detalles movimientos'!E$5:E$1003, MATCH(44, 'Detalles movimientos'!$V$5:$V$1003, 0)), "")</f>
        <v/>
      </c>
      <c r="E53" s="19" t="str">
        <f>IFERROR(INDEX('Detalles movimientos'!F$5:F$1003, MATCH(44, 'Detalles movimientos'!$V$5:$V$1003, 0)), "")</f>
        <v/>
      </c>
      <c r="F53" s="18" t="str">
        <f>IFERROR(INDEX('Detalles movimientos'!G$5:G$1003, MATCH(44, 'Detalles movimientos'!$V$5:$V$1003, 0)), "")</f>
        <v/>
      </c>
      <c r="G53" s="20" t="str">
        <f>IFERROR(INDEX('Detalles movimientos'!H$5:H$1003, MATCH(44, 'Detalles movimientos'!$V$5:$V$1003, 0)), "")</f>
        <v/>
      </c>
      <c r="H53" s="21" t="str">
        <f>IFERROR(INDEX('Detalles movimientos'!I$5:I$1003, MATCH(44, 'Detalles movimientos'!$V$5:$V$1003, 0)), "")</f>
        <v/>
      </c>
      <c r="I53" s="20" t="str">
        <f>IFERROR(INDEX('Detalles movimientos'!M$5:M$1003, MATCH(44, 'Detalles movimientos'!$V$5:$V$1003, 0)), "")</f>
        <v/>
      </c>
      <c r="J53" s="19" t="str">
        <f>IFERROR(INDEX('Detalles movimientos'!N$5:N$1003, MATCH(44, 'Detalles movimientos'!$V$5:$V$1003, 0)), "")</f>
        <v/>
      </c>
      <c r="K53" s="20" t="str">
        <f>IFERROR(INDEX('Detalles movimientos'!O$5:O$1003, MATCH(44, 'Detalles movimientos'!$V$5:$V$1003, 0)), "")</f>
        <v/>
      </c>
      <c r="L53" s="18" t="str">
        <f>IFERROR(INDEX('Detalles movimientos'!P$5:P$1003, MATCH(44, 'Detalles movimientos'!$V$5:$V$1003, 0)), "")</f>
        <v/>
      </c>
      <c r="M53" s="18" t="str">
        <f>IFERROR(INDEX('Detalles movimientos'!S$5:S$1003, MATCH(44, 'Detalles movimientos'!$V$5:$V$1003, 0)), "")</f>
        <v/>
      </c>
    </row>
    <row r="54" spans="2:13">
      <c r="B54" s="17" t="str">
        <f>IFERROR(INDEX('Detalles movimientos'!C$5:C$1003, MATCH(45, 'Detalles movimientos'!$V$5:$V$1003, 0)), "")</f>
        <v/>
      </c>
      <c r="C54" s="18" t="str">
        <f>IFERROR(INDEX('Detalles movimientos'!D$5:D$1003, MATCH(45, 'Detalles movimientos'!$V$5:$V$1003, 0)), "")</f>
        <v/>
      </c>
      <c r="D54" s="19" t="str">
        <f>IFERROR(INDEX('Detalles movimientos'!E$5:E$1003, MATCH(45, 'Detalles movimientos'!$V$5:$V$1003, 0)), "")</f>
        <v/>
      </c>
      <c r="E54" s="19" t="str">
        <f>IFERROR(INDEX('Detalles movimientos'!F$5:F$1003, MATCH(45, 'Detalles movimientos'!$V$5:$V$1003, 0)), "")</f>
        <v/>
      </c>
      <c r="F54" s="18" t="str">
        <f>IFERROR(INDEX('Detalles movimientos'!G$5:G$1003, MATCH(45, 'Detalles movimientos'!$V$5:$V$1003, 0)), "")</f>
        <v/>
      </c>
      <c r="G54" s="20" t="str">
        <f>IFERROR(INDEX('Detalles movimientos'!H$5:H$1003, MATCH(45, 'Detalles movimientos'!$V$5:$V$1003, 0)), "")</f>
        <v/>
      </c>
      <c r="H54" s="21" t="str">
        <f>IFERROR(INDEX('Detalles movimientos'!I$5:I$1003, MATCH(45, 'Detalles movimientos'!$V$5:$V$1003, 0)), "")</f>
        <v/>
      </c>
      <c r="I54" s="20" t="str">
        <f>IFERROR(INDEX('Detalles movimientos'!M$5:M$1003, MATCH(45, 'Detalles movimientos'!$V$5:$V$1003, 0)), "")</f>
        <v/>
      </c>
      <c r="J54" s="19" t="str">
        <f>IFERROR(INDEX('Detalles movimientos'!N$5:N$1003, MATCH(45, 'Detalles movimientos'!$V$5:$V$1003, 0)), "")</f>
        <v/>
      </c>
      <c r="K54" s="20" t="str">
        <f>IFERROR(INDEX('Detalles movimientos'!O$5:O$1003, MATCH(45, 'Detalles movimientos'!$V$5:$V$1003, 0)), "")</f>
        <v/>
      </c>
      <c r="L54" s="18" t="str">
        <f>IFERROR(INDEX('Detalles movimientos'!P$5:P$1003, MATCH(45, 'Detalles movimientos'!$V$5:$V$1003, 0)), "")</f>
        <v/>
      </c>
      <c r="M54" s="18" t="str">
        <f>IFERROR(INDEX('Detalles movimientos'!S$5:S$1003, MATCH(45, 'Detalles movimientos'!$V$5:$V$1003, 0)), "")</f>
        <v/>
      </c>
    </row>
    <row r="55" spans="2:13">
      <c r="B55" s="17" t="str">
        <f>IFERROR(INDEX('Detalles movimientos'!C$5:C$1003, MATCH(46, 'Detalles movimientos'!$V$5:$V$1003, 0)), "")</f>
        <v/>
      </c>
      <c r="C55" s="18" t="str">
        <f>IFERROR(INDEX('Detalles movimientos'!D$5:D$1003, MATCH(46, 'Detalles movimientos'!$V$5:$V$1003, 0)), "")</f>
        <v/>
      </c>
      <c r="D55" s="19" t="str">
        <f>IFERROR(INDEX('Detalles movimientos'!E$5:E$1003, MATCH(46, 'Detalles movimientos'!$V$5:$V$1003, 0)), "")</f>
        <v/>
      </c>
      <c r="E55" s="19" t="str">
        <f>IFERROR(INDEX('Detalles movimientos'!F$5:F$1003, MATCH(46, 'Detalles movimientos'!$V$5:$V$1003, 0)), "")</f>
        <v/>
      </c>
      <c r="F55" s="18" t="str">
        <f>IFERROR(INDEX('Detalles movimientos'!G$5:G$1003, MATCH(46, 'Detalles movimientos'!$V$5:$V$1003, 0)), "")</f>
        <v/>
      </c>
      <c r="G55" s="20" t="str">
        <f>IFERROR(INDEX('Detalles movimientos'!H$5:H$1003, MATCH(46, 'Detalles movimientos'!$V$5:$V$1003, 0)), "")</f>
        <v/>
      </c>
      <c r="H55" s="21" t="str">
        <f>IFERROR(INDEX('Detalles movimientos'!I$5:I$1003, MATCH(46, 'Detalles movimientos'!$V$5:$V$1003, 0)), "")</f>
        <v/>
      </c>
      <c r="I55" s="20" t="str">
        <f>IFERROR(INDEX('Detalles movimientos'!M$5:M$1003, MATCH(46, 'Detalles movimientos'!$V$5:$V$1003, 0)), "")</f>
        <v/>
      </c>
      <c r="J55" s="19" t="str">
        <f>IFERROR(INDEX('Detalles movimientos'!N$5:N$1003, MATCH(46, 'Detalles movimientos'!$V$5:$V$1003, 0)), "")</f>
        <v/>
      </c>
      <c r="K55" s="20" t="str">
        <f>IFERROR(INDEX('Detalles movimientos'!O$5:O$1003, MATCH(46, 'Detalles movimientos'!$V$5:$V$1003, 0)), "")</f>
        <v/>
      </c>
      <c r="L55" s="18" t="str">
        <f>IFERROR(INDEX('Detalles movimientos'!P$5:P$1003, MATCH(46, 'Detalles movimientos'!$V$5:$V$1003, 0)), "")</f>
        <v/>
      </c>
      <c r="M55" s="18" t="str">
        <f>IFERROR(INDEX('Detalles movimientos'!S$5:S$1003, MATCH(46, 'Detalles movimientos'!$V$5:$V$1003, 0)), "")</f>
        <v/>
      </c>
    </row>
    <row r="56" spans="2:13">
      <c r="B56" s="17" t="str">
        <f>IFERROR(INDEX('Detalles movimientos'!C$5:C$1003, MATCH(47, 'Detalles movimientos'!$V$5:$V$1003, 0)), "")</f>
        <v/>
      </c>
      <c r="C56" s="18" t="str">
        <f>IFERROR(INDEX('Detalles movimientos'!D$5:D$1003, MATCH(47, 'Detalles movimientos'!$V$5:$V$1003, 0)), "")</f>
        <v/>
      </c>
      <c r="D56" s="19" t="str">
        <f>IFERROR(INDEX('Detalles movimientos'!E$5:E$1003, MATCH(47, 'Detalles movimientos'!$V$5:$V$1003, 0)), "")</f>
        <v/>
      </c>
      <c r="E56" s="19" t="str">
        <f>IFERROR(INDEX('Detalles movimientos'!F$5:F$1003, MATCH(47, 'Detalles movimientos'!$V$5:$V$1003, 0)), "")</f>
        <v/>
      </c>
      <c r="F56" s="18" t="str">
        <f>IFERROR(INDEX('Detalles movimientos'!G$5:G$1003, MATCH(47, 'Detalles movimientos'!$V$5:$V$1003, 0)), "")</f>
        <v/>
      </c>
      <c r="G56" s="20" t="str">
        <f>IFERROR(INDEX('Detalles movimientos'!H$5:H$1003, MATCH(47, 'Detalles movimientos'!$V$5:$V$1003, 0)), "")</f>
        <v/>
      </c>
      <c r="H56" s="21" t="str">
        <f>IFERROR(INDEX('Detalles movimientos'!I$5:I$1003, MATCH(47, 'Detalles movimientos'!$V$5:$V$1003, 0)), "")</f>
        <v/>
      </c>
      <c r="I56" s="20" t="str">
        <f>IFERROR(INDEX('Detalles movimientos'!M$5:M$1003, MATCH(47, 'Detalles movimientos'!$V$5:$V$1003, 0)), "")</f>
        <v/>
      </c>
      <c r="J56" s="19" t="str">
        <f>IFERROR(INDEX('Detalles movimientos'!N$5:N$1003, MATCH(47, 'Detalles movimientos'!$V$5:$V$1003, 0)), "")</f>
        <v/>
      </c>
      <c r="K56" s="20" t="str">
        <f>IFERROR(INDEX('Detalles movimientos'!O$5:O$1003, MATCH(47, 'Detalles movimientos'!$V$5:$V$1003, 0)), "")</f>
        <v/>
      </c>
      <c r="L56" s="18" t="str">
        <f>IFERROR(INDEX('Detalles movimientos'!P$5:P$1003, MATCH(47, 'Detalles movimientos'!$V$5:$V$1003, 0)), "")</f>
        <v/>
      </c>
      <c r="M56" s="18" t="str">
        <f>IFERROR(INDEX('Detalles movimientos'!S$5:S$1003, MATCH(47, 'Detalles movimientos'!$V$5:$V$1003, 0)), "")</f>
        <v/>
      </c>
    </row>
    <row r="57" spans="2:13">
      <c r="B57" s="17" t="str">
        <f>IFERROR(INDEX('Detalles movimientos'!C$5:C$1003, MATCH(48, 'Detalles movimientos'!$V$5:$V$1003, 0)), "")</f>
        <v/>
      </c>
      <c r="C57" s="18" t="str">
        <f>IFERROR(INDEX('Detalles movimientos'!D$5:D$1003, MATCH(48, 'Detalles movimientos'!$V$5:$V$1003, 0)), "")</f>
        <v/>
      </c>
      <c r="D57" s="19" t="str">
        <f>IFERROR(INDEX('Detalles movimientos'!E$5:E$1003, MATCH(48, 'Detalles movimientos'!$V$5:$V$1003, 0)), "")</f>
        <v/>
      </c>
      <c r="E57" s="19" t="str">
        <f>IFERROR(INDEX('Detalles movimientos'!F$5:F$1003, MATCH(48, 'Detalles movimientos'!$V$5:$V$1003, 0)), "")</f>
        <v/>
      </c>
      <c r="F57" s="18" t="str">
        <f>IFERROR(INDEX('Detalles movimientos'!G$5:G$1003, MATCH(48, 'Detalles movimientos'!$V$5:$V$1003, 0)), "")</f>
        <v/>
      </c>
      <c r="G57" s="20" t="str">
        <f>IFERROR(INDEX('Detalles movimientos'!H$5:H$1003, MATCH(48, 'Detalles movimientos'!$V$5:$V$1003, 0)), "")</f>
        <v/>
      </c>
      <c r="H57" s="21" t="str">
        <f>IFERROR(INDEX('Detalles movimientos'!I$5:I$1003, MATCH(48, 'Detalles movimientos'!$V$5:$V$1003, 0)), "")</f>
        <v/>
      </c>
      <c r="I57" s="20" t="str">
        <f>IFERROR(INDEX('Detalles movimientos'!M$5:M$1003, MATCH(48, 'Detalles movimientos'!$V$5:$V$1003, 0)), "")</f>
        <v/>
      </c>
      <c r="J57" s="19" t="str">
        <f>IFERROR(INDEX('Detalles movimientos'!N$5:N$1003, MATCH(48, 'Detalles movimientos'!$V$5:$V$1003, 0)), "")</f>
        <v/>
      </c>
      <c r="K57" s="20" t="str">
        <f>IFERROR(INDEX('Detalles movimientos'!O$5:O$1003, MATCH(48, 'Detalles movimientos'!$V$5:$V$1003, 0)), "")</f>
        <v/>
      </c>
      <c r="L57" s="18" t="str">
        <f>IFERROR(INDEX('Detalles movimientos'!P$5:P$1003, MATCH(48, 'Detalles movimientos'!$V$5:$V$1003, 0)), "")</f>
        <v/>
      </c>
      <c r="M57" s="18" t="str">
        <f>IFERROR(INDEX('Detalles movimientos'!S$5:S$1003, MATCH(48, 'Detalles movimientos'!$V$5:$V$1003, 0)), "")</f>
        <v/>
      </c>
    </row>
    <row r="58" spans="2:13">
      <c r="B58" s="17" t="str">
        <f>IFERROR(INDEX('Detalles movimientos'!C$5:C$1003, MATCH(49, 'Detalles movimientos'!$V$5:$V$1003, 0)), "")</f>
        <v/>
      </c>
      <c r="C58" s="18" t="str">
        <f>IFERROR(INDEX('Detalles movimientos'!D$5:D$1003, MATCH(49, 'Detalles movimientos'!$V$5:$V$1003, 0)), "")</f>
        <v/>
      </c>
      <c r="D58" s="19" t="str">
        <f>IFERROR(INDEX('Detalles movimientos'!E$5:E$1003, MATCH(49, 'Detalles movimientos'!$V$5:$V$1003, 0)), "")</f>
        <v/>
      </c>
      <c r="E58" s="19" t="str">
        <f>IFERROR(INDEX('Detalles movimientos'!F$5:F$1003, MATCH(49, 'Detalles movimientos'!$V$5:$V$1003, 0)), "")</f>
        <v/>
      </c>
      <c r="F58" s="18" t="str">
        <f>IFERROR(INDEX('Detalles movimientos'!G$5:G$1003, MATCH(49, 'Detalles movimientos'!$V$5:$V$1003, 0)), "")</f>
        <v/>
      </c>
      <c r="G58" s="20" t="str">
        <f>IFERROR(INDEX('Detalles movimientos'!H$5:H$1003, MATCH(49, 'Detalles movimientos'!$V$5:$V$1003, 0)), "")</f>
        <v/>
      </c>
      <c r="H58" s="21" t="str">
        <f>IFERROR(INDEX('Detalles movimientos'!I$5:I$1003, MATCH(49, 'Detalles movimientos'!$V$5:$V$1003, 0)), "")</f>
        <v/>
      </c>
      <c r="I58" s="20" t="str">
        <f>IFERROR(INDEX('Detalles movimientos'!M$5:M$1003, MATCH(49, 'Detalles movimientos'!$V$5:$V$1003, 0)), "")</f>
        <v/>
      </c>
      <c r="J58" s="19" t="str">
        <f>IFERROR(INDEX('Detalles movimientos'!N$5:N$1003, MATCH(49, 'Detalles movimientos'!$V$5:$V$1003, 0)), "")</f>
        <v/>
      </c>
      <c r="K58" s="20" t="str">
        <f>IFERROR(INDEX('Detalles movimientos'!O$5:O$1003, MATCH(49, 'Detalles movimientos'!$V$5:$V$1003, 0)), "")</f>
        <v/>
      </c>
      <c r="L58" s="18" t="str">
        <f>IFERROR(INDEX('Detalles movimientos'!P$5:P$1003, MATCH(49, 'Detalles movimientos'!$V$5:$V$1003, 0)), "")</f>
        <v/>
      </c>
      <c r="M58" s="18" t="str">
        <f>IFERROR(INDEX('Detalles movimientos'!S$5:S$1003, MATCH(49, 'Detalles movimientos'!$V$5:$V$1003, 0)), "")</f>
        <v/>
      </c>
    </row>
    <row r="59" spans="2:13">
      <c r="B59" s="17" t="str">
        <f>IFERROR(INDEX('Detalles movimientos'!C$5:C$1003, MATCH(50, 'Detalles movimientos'!$V$5:$V$1003, 0)), "")</f>
        <v/>
      </c>
      <c r="C59" s="18" t="str">
        <f>IFERROR(INDEX('Detalles movimientos'!D$5:D$1003, MATCH(50, 'Detalles movimientos'!$V$5:$V$1003, 0)), "")</f>
        <v/>
      </c>
      <c r="D59" s="19" t="str">
        <f>IFERROR(INDEX('Detalles movimientos'!E$5:E$1003, MATCH(50, 'Detalles movimientos'!$V$5:$V$1003, 0)), "")</f>
        <v/>
      </c>
      <c r="E59" s="19" t="str">
        <f>IFERROR(INDEX('Detalles movimientos'!F$5:F$1003, MATCH(50, 'Detalles movimientos'!$V$5:$V$1003, 0)), "")</f>
        <v/>
      </c>
      <c r="F59" s="18" t="str">
        <f>IFERROR(INDEX('Detalles movimientos'!G$5:G$1003, MATCH(50, 'Detalles movimientos'!$V$5:$V$1003, 0)), "")</f>
        <v/>
      </c>
      <c r="G59" s="20" t="str">
        <f>IFERROR(INDEX('Detalles movimientos'!H$5:H$1003, MATCH(50, 'Detalles movimientos'!$V$5:$V$1003, 0)), "")</f>
        <v/>
      </c>
      <c r="H59" s="21" t="str">
        <f>IFERROR(INDEX('Detalles movimientos'!I$5:I$1003, MATCH(50, 'Detalles movimientos'!$V$5:$V$1003, 0)), "")</f>
        <v/>
      </c>
      <c r="I59" s="20" t="str">
        <f>IFERROR(INDEX('Detalles movimientos'!M$5:M$1003, MATCH(50, 'Detalles movimientos'!$V$5:$V$1003, 0)), "")</f>
        <v/>
      </c>
      <c r="J59" s="19" t="str">
        <f>IFERROR(INDEX('Detalles movimientos'!N$5:N$1003, MATCH(50, 'Detalles movimientos'!$V$5:$V$1003, 0)), "")</f>
        <v/>
      </c>
      <c r="K59" s="20" t="str">
        <f>IFERROR(INDEX('Detalles movimientos'!O$5:O$1003, MATCH(50, 'Detalles movimientos'!$V$5:$V$1003, 0)), "")</f>
        <v/>
      </c>
      <c r="L59" s="18" t="str">
        <f>IFERROR(INDEX('Detalles movimientos'!P$5:P$1003, MATCH(50, 'Detalles movimientos'!$V$5:$V$1003, 0)), "")</f>
        <v/>
      </c>
      <c r="M59" s="18" t="str">
        <f>IFERROR(INDEX('Detalles movimientos'!S$5:S$1003, MATCH(50, 'Detalles movimientos'!$V$5:$V$1003, 0)), "")</f>
        <v/>
      </c>
    </row>
    <row r="60" spans="2:13">
      <c r="B60" s="17" t="str">
        <f>IFERROR(INDEX('Detalles movimientos'!C$5:C$1003, MATCH(51, 'Detalles movimientos'!$V$5:$V$1003, 0)), "")</f>
        <v/>
      </c>
      <c r="C60" s="18" t="str">
        <f>IFERROR(INDEX('Detalles movimientos'!D$5:D$1003, MATCH(51, 'Detalles movimientos'!$V$5:$V$1003, 0)), "")</f>
        <v/>
      </c>
      <c r="D60" s="19" t="str">
        <f>IFERROR(INDEX('Detalles movimientos'!E$5:E$1003, MATCH(51, 'Detalles movimientos'!$V$5:$V$1003, 0)), "")</f>
        <v/>
      </c>
      <c r="E60" s="19" t="str">
        <f>IFERROR(INDEX('Detalles movimientos'!F$5:F$1003, MATCH(51, 'Detalles movimientos'!$V$5:$V$1003, 0)), "")</f>
        <v/>
      </c>
      <c r="F60" s="18" t="str">
        <f>IFERROR(INDEX('Detalles movimientos'!G$5:G$1003, MATCH(51, 'Detalles movimientos'!$V$5:$V$1003, 0)), "")</f>
        <v/>
      </c>
      <c r="G60" s="20" t="str">
        <f>IFERROR(INDEX('Detalles movimientos'!H$5:H$1003, MATCH(51, 'Detalles movimientos'!$V$5:$V$1003, 0)), "")</f>
        <v/>
      </c>
      <c r="H60" s="21" t="str">
        <f>IFERROR(INDEX('Detalles movimientos'!I$5:I$1003, MATCH(51, 'Detalles movimientos'!$V$5:$V$1003, 0)), "")</f>
        <v/>
      </c>
      <c r="I60" s="20" t="str">
        <f>IFERROR(INDEX('Detalles movimientos'!M$5:M$1003, MATCH(51, 'Detalles movimientos'!$V$5:$V$1003, 0)), "")</f>
        <v/>
      </c>
      <c r="J60" s="19" t="str">
        <f>IFERROR(INDEX('Detalles movimientos'!N$5:N$1003, MATCH(51, 'Detalles movimientos'!$V$5:$V$1003, 0)), "")</f>
        <v/>
      </c>
      <c r="K60" s="20" t="str">
        <f>IFERROR(INDEX('Detalles movimientos'!O$5:O$1003, MATCH(51, 'Detalles movimientos'!$V$5:$V$1003, 0)), "")</f>
        <v/>
      </c>
      <c r="L60" s="18" t="str">
        <f>IFERROR(INDEX('Detalles movimientos'!P$5:P$1003, MATCH(51, 'Detalles movimientos'!$V$5:$V$1003, 0)), "")</f>
        <v/>
      </c>
      <c r="M60" s="18" t="str">
        <f>IFERROR(INDEX('Detalles movimientos'!S$5:S$1003, MATCH(51, 'Detalles movimientos'!$V$5:$V$1003, 0)), "")</f>
        <v/>
      </c>
    </row>
    <row r="61" spans="2:13">
      <c r="B61" s="17" t="str">
        <f>IFERROR(INDEX('Detalles movimientos'!C$5:C$1003, MATCH(52, 'Detalles movimientos'!$V$5:$V$1003, 0)), "")</f>
        <v/>
      </c>
      <c r="C61" s="18" t="str">
        <f>IFERROR(INDEX('Detalles movimientos'!D$5:D$1003, MATCH(52, 'Detalles movimientos'!$V$5:$V$1003, 0)), "")</f>
        <v/>
      </c>
      <c r="D61" s="19" t="str">
        <f>IFERROR(INDEX('Detalles movimientos'!E$5:E$1003, MATCH(52, 'Detalles movimientos'!$V$5:$V$1003, 0)), "")</f>
        <v/>
      </c>
      <c r="E61" s="19" t="str">
        <f>IFERROR(INDEX('Detalles movimientos'!F$5:F$1003, MATCH(52, 'Detalles movimientos'!$V$5:$V$1003, 0)), "")</f>
        <v/>
      </c>
      <c r="F61" s="18" t="str">
        <f>IFERROR(INDEX('Detalles movimientos'!G$5:G$1003, MATCH(52, 'Detalles movimientos'!$V$5:$V$1003, 0)), "")</f>
        <v/>
      </c>
      <c r="G61" s="20" t="str">
        <f>IFERROR(INDEX('Detalles movimientos'!H$5:H$1003, MATCH(52, 'Detalles movimientos'!$V$5:$V$1003, 0)), "")</f>
        <v/>
      </c>
      <c r="H61" s="21" t="str">
        <f>IFERROR(INDEX('Detalles movimientos'!I$5:I$1003, MATCH(52, 'Detalles movimientos'!$V$5:$V$1003, 0)), "")</f>
        <v/>
      </c>
      <c r="I61" s="20" t="str">
        <f>IFERROR(INDEX('Detalles movimientos'!M$5:M$1003, MATCH(52, 'Detalles movimientos'!$V$5:$V$1003, 0)), "")</f>
        <v/>
      </c>
      <c r="J61" s="19" t="str">
        <f>IFERROR(INDEX('Detalles movimientos'!N$5:N$1003, MATCH(52, 'Detalles movimientos'!$V$5:$V$1003, 0)), "")</f>
        <v/>
      </c>
      <c r="K61" s="20" t="str">
        <f>IFERROR(INDEX('Detalles movimientos'!O$5:O$1003, MATCH(52, 'Detalles movimientos'!$V$5:$V$1003, 0)), "")</f>
        <v/>
      </c>
      <c r="L61" s="18" t="str">
        <f>IFERROR(INDEX('Detalles movimientos'!P$5:P$1003, MATCH(52, 'Detalles movimientos'!$V$5:$V$1003, 0)), "")</f>
        <v/>
      </c>
      <c r="M61" s="18" t="str">
        <f>IFERROR(INDEX('Detalles movimientos'!S$5:S$1003, MATCH(52, 'Detalles movimientos'!$V$5:$V$1003, 0)), "")</f>
        <v/>
      </c>
    </row>
    <row r="62" spans="2:13">
      <c r="B62" s="17" t="str">
        <f>IFERROR(INDEX('Detalles movimientos'!C$5:C$1003, MATCH(53, 'Detalles movimientos'!$V$5:$V$1003, 0)), "")</f>
        <v/>
      </c>
      <c r="C62" s="18" t="str">
        <f>IFERROR(INDEX('Detalles movimientos'!D$5:D$1003, MATCH(53, 'Detalles movimientos'!$V$5:$V$1003, 0)), "")</f>
        <v/>
      </c>
      <c r="D62" s="19" t="str">
        <f>IFERROR(INDEX('Detalles movimientos'!E$5:E$1003, MATCH(53, 'Detalles movimientos'!$V$5:$V$1003, 0)), "")</f>
        <v/>
      </c>
      <c r="E62" s="19" t="str">
        <f>IFERROR(INDEX('Detalles movimientos'!F$5:F$1003, MATCH(53, 'Detalles movimientos'!$V$5:$V$1003, 0)), "")</f>
        <v/>
      </c>
      <c r="F62" s="18" t="str">
        <f>IFERROR(INDEX('Detalles movimientos'!G$5:G$1003, MATCH(53, 'Detalles movimientos'!$V$5:$V$1003, 0)), "")</f>
        <v/>
      </c>
      <c r="G62" s="20" t="str">
        <f>IFERROR(INDEX('Detalles movimientos'!H$5:H$1003, MATCH(53, 'Detalles movimientos'!$V$5:$V$1003, 0)), "")</f>
        <v/>
      </c>
      <c r="H62" s="21" t="str">
        <f>IFERROR(INDEX('Detalles movimientos'!I$5:I$1003, MATCH(53, 'Detalles movimientos'!$V$5:$V$1003, 0)), "")</f>
        <v/>
      </c>
      <c r="I62" s="20" t="str">
        <f>IFERROR(INDEX('Detalles movimientos'!M$5:M$1003, MATCH(53, 'Detalles movimientos'!$V$5:$V$1003, 0)), "")</f>
        <v/>
      </c>
      <c r="J62" s="19" t="str">
        <f>IFERROR(INDEX('Detalles movimientos'!N$5:N$1003, MATCH(53, 'Detalles movimientos'!$V$5:$V$1003, 0)), "")</f>
        <v/>
      </c>
      <c r="K62" s="20" t="str">
        <f>IFERROR(INDEX('Detalles movimientos'!O$5:O$1003, MATCH(53, 'Detalles movimientos'!$V$5:$V$1003, 0)), "")</f>
        <v/>
      </c>
      <c r="L62" s="18" t="str">
        <f>IFERROR(INDEX('Detalles movimientos'!P$5:P$1003, MATCH(53, 'Detalles movimientos'!$V$5:$V$1003, 0)), "")</f>
        <v/>
      </c>
      <c r="M62" s="18" t="str">
        <f>IFERROR(INDEX('Detalles movimientos'!S$5:S$1003, MATCH(53, 'Detalles movimientos'!$V$5:$V$1003, 0)), "")</f>
        <v/>
      </c>
    </row>
    <row r="63" spans="2:13">
      <c r="B63" s="17" t="str">
        <f>IFERROR(INDEX('Detalles movimientos'!C$5:C$1003, MATCH(54, 'Detalles movimientos'!$V$5:$V$1003, 0)), "")</f>
        <v/>
      </c>
      <c r="C63" s="18" t="str">
        <f>IFERROR(INDEX('Detalles movimientos'!D$5:D$1003, MATCH(54, 'Detalles movimientos'!$V$5:$V$1003, 0)), "")</f>
        <v/>
      </c>
      <c r="D63" s="19" t="str">
        <f>IFERROR(INDEX('Detalles movimientos'!E$5:E$1003, MATCH(54, 'Detalles movimientos'!$V$5:$V$1003, 0)), "")</f>
        <v/>
      </c>
      <c r="E63" s="19" t="str">
        <f>IFERROR(INDEX('Detalles movimientos'!F$5:F$1003, MATCH(54, 'Detalles movimientos'!$V$5:$V$1003, 0)), "")</f>
        <v/>
      </c>
      <c r="F63" s="18" t="str">
        <f>IFERROR(INDEX('Detalles movimientos'!G$5:G$1003, MATCH(54, 'Detalles movimientos'!$V$5:$V$1003, 0)), "")</f>
        <v/>
      </c>
      <c r="G63" s="20" t="str">
        <f>IFERROR(INDEX('Detalles movimientos'!H$5:H$1003, MATCH(54, 'Detalles movimientos'!$V$5:$V$1003, 0)), "")</f>
        <v/>
      </c>
      <c r="H63" s="21" t="str">
        <f>IFERROR(INDEX('Detalles movimientos'!I$5:I$1003, MATCH(54, 'Detalles movimientos'!$V$5:$V$1003, 0)), "")</f>
        <v/>
      </c>
      <c r="I63" s="20" t="str">
        <f>IFERROR(INDEX('Detalles movimientos'!M$5:M$1003, MATCH(54, 'Detalles movimientos'!$V$5:$V$1003, 0)), "")</f>
        <v/>
      </c>
      <c r="J63" s="19" t="str">
        <f>IFERROR(INDEX('Detalles movimientos'!N$5:N$1003, MATCH(54, 'Detalles movimientos'!$V$5:$V$1003, 0)), "")</f>
        <v/>
      </c>
      <c r="K63" s="20" t="str">
        <f>IFERROR(INDEX('Detalles movimientos'!O$5:O$1003, MATCH(54, 'Detalles movimientos'!$V$5:$V$1003, 0)), "")</f>
        <v/>
      </c>
      <c r="L63" s="18" t="str">
        <f>IFERROR(INDEX('Detalles movimientos'!P$5:P$1003, MATCH(54, 'Detalles movimientos'!$V$5:$V$1003, 0)), "")</f>
        <v/>
      </c>
      <c r="M63" s="18" t="str">
        <f>IFERROR(INDEX('Detalles movimientos'!S$5:S$1003, MATCH(54, 'Detalles movimientos'!$V$5:$V$1003, 0)), "")</f>
        <v/>
      </c>
    </row>
    <row r="64" spans="2:13">
      <c r="B64" s="17" t="str">
        <f>IFERROR(INDEX('Detalles movimientos'!C$5:C$1003, MATCH(55, 'Detalles movimientos'!$V$5:$V$1003, 0)), "")</f>
        <v/>
      </c>
      <c r="C64" s="18" t="str">
        <f>IFERROR(INDEX('Detalles movimientos'!D$5:D$1003, MATCH(55, 'Detalles movimientos'!$V$5:$V$1003, 0)), "")</f>
        <v/>
      </c>
      <c r="D64" s="19" t="str">
        <f>IFERROR(INDEX('Detalles movimientos'!E$5:E$1003, MATCH(55, 'Detalles movimientos'!$V$5:$V$1003, 0)), "")</f>
        <v/>
      </c>
      <c r="E64" s="19" t="str">
        <f>IFERROR(INDEX('Detalles movimientos'!F$5:F$1003, MATCH(55, 'Detalles movimientos'!$V$5:$V$1003, 0)), "")</f>
        <v/>
      </c>
      <c r="F64" s="18" t="str">
        <f>IFERROR(INDEX('Detalles movimientos'!G$5:G$1003, MATCH(55, 'Detalles movimientos'!$V$5:$V$1003, 0)), "")</f>
        <v/>
      </c>
      <c r="G64" s="20" t="str">
        <f>IFERROR(INDEX('Detalles movimientos'!H$5:H$1003, MATCH(55, 'Detalles movimientos'!$V$5:$V$1003, 0)), "")</f>
        <v/>
      </c>
      <c r="H64" s="21" t="str">
        <f>IFERROR(INDEX('Detalles movimientos'!I$5:I$1003, MATCH(55, 'Detalles movimientos'!$V$5:$V$1003, 0)), "")</f>
        <v/>
      </c>
      <c r="I64" s="20" t="str">
        <f>IFERROR(INDEX('Detalles movimientos'!M$5:M$1003, MATCH(55, 'Detalles movimientos'!$V$5:$V$1003, 0)), "")</f>
        <v/>
      </c>
      <c r="J64" s="19" t="str">
        <f>IFERROR(INDEX('Detalles movimientos'!N$5:N$1003, MATCH(55, 'Detalles movimientos'!$V$5:$V$1003, 0)), "")</f>
        <v/>
      </c>
      <c r="K64" s="20" t="str">
        <f>IFERROR(INDEX('Detalles movimientos'!O$5:O$1003, MATCH(55, 'Detalles movimientos'!$V$5:$V$1003, 0)), "")</f>
        <v/>
      </c>
      <c r="L64" s="18" t="str">
        <f>IFERROR(INDEX('Detalles movimientos'!P$5:P$1003, MATCH(55, 'Detalles movimientos'!$V$5:$V$1003, 0)), "")</f>
        <v/>
      </c>
      <c r="M64" s="18" t="str">
        <f>IFERROR(INDEX('Detalles movimientos'!S$5:S$1003, MATCH(55, 'Detalles movimientos'!$V$5:$V$1003, 0)), "")</f>
        <v/>
      </c>
    </row>
    <row r="65" spans="2:13">
      <c r="B65" s="17" t="str">
        <f>IFERROR(INDEX('Detalles movimientos'!C$5:C$1003, MATCH(56, 'Detalles movimientos'!$V$5:$V$1003, 0)), "")</f>
        <v/>
      </c>
      <c r="C65" s="18" t="str">
        <f>IFERROR(INDEX('Detalles movimientos'!D$5:D$1003, MATCH(56, 'Detalles movimientos'!$V$5:$V$1003, 0)), "")</f>
        <v/>
      </c>
      <c r="D65" s="19" t="str">
        <f>IFERROR(INDEX('Detalles movimientos'!E$5:E$1003, MATCH(56, 'Detalles movimientos'!$V$5:$V$1003, 0)), "")</f>
        <v/>
      </c>
      <c r="E65" s="19" t="str">
        <f>IFERROR(INDEX('Detalles movimientos'!F$5:F$1003, MATCH(56, 'Detalles movimientos'!$V$5:$V$1003, 0)), "")</f>
        <v/>
      </c>
      <c r="F65" s="18" t="str">
        <f>IFERROR(INDEX('Detalles movimientos'!G$5:G$1003, MATCH(56, 'Detalles movimientos'!$V$5:$V$1003, 0)), "")</f>
        <v/>
      </c>
      <c r="G65" s="20" t="str">
        <f>IFERROR(INDEX('Detalles movimientos'!H$5:H$1003, MATCH(56, 'Detalles movimientos'!$V$5:$V$1003, 0)), "")</f>
        <v/>
      </c>
      <c r="H65" s="21" t="str">
        <f>IFERROR(INDEX('Detalles movimientos'!I$5:I$1003, MATCH(56, 'Detalles movimientos'!$V$5:$V$1003, 0)), "")</f>
        <v/>
      </c>
      <c r="I65" s="20" t="str">
        <f>IFERROR(INDEX('Detalles movimientos'!M$5:M$1003, MATCH(56, 'Detalles movimientos'!$V$5:$V$1003, 0)), "")</f>
        <v/>
      </c>
      <c r="J65" s="19" t="str">
        <f>IFERROR(INDEX('Detalles movimientos'!N$5:N$1003, MATCH(56, 'Detalles movimientos'!$V$5:$V$1003, 0)), "")</f>
        <v/>
      </c>
      <c r="K65" s="20" t="str">
        <f>IFERROR(INDEX('Detalles movimientos'!O$5:O$1003, MATCH(56, 'Detalles movimientos'!$V$5:$V$1003, 0)), "")</f>
        <v/>
      </c>
      <c r="L65" s="18" t="str">
        <f>IFERROR(INDEX('Detalles movimientos'!P$5:P$1003, MATCH(56, 'Detalles movimientos'!$V$5:$V$1003, 0)), "")</f>
        <v/>
      </c>
      <c r="M65" s="18" t="str">
        <f>IFERROR(INDEX('Detalles movimientos'!S$5:S$1003, MATCH(56, 'Detalles movimientos'!$V$5:$V$1003, 0)), "")</f>
        <v/>
      </c>
    </row>
    <row r="66" spans="2:13">
      <c r="B66" s="17" t="str">
        <f>IFERROR(INDEX('Detalles movimientos'!C$5:C$1003, MATCH(57, 'Detalles movimientos'!$V$5:$V$1003, 0)), "")</f>
        <v/>
      </c>
      <c r="C66" s="18" t="str">
        <f>IFERROR(INDEX('Detalles movimientos'!D$5:D$1003, MATCH(57, 'Detalles movimientos'!$V$5:$V$1003, 0)), "")</f>
        <v/>
      </c>
      <c r="D66" s="19" t="str">
        <f>IFERROR(INDEX('Detalles movimientos'!E$5:E$1003, MATCH(57, 'Detalles movimientos'!$V$5:$V$1003, 0)), "")</f>
        <v/>
      </c>
      <c r="E66" s="19" t="str">
        <f>IFERROR(INDEX('Detalles movimientos'!F$5:F$1003, MATCH(57, 'Detalles movimientos'!$V$5:$V$1003, 0)), "")</f>
        <v/>
      </c>
      <c r="F66" s="18" t="str">
        <f>IFERROR(INDEX('Detalles movimientos'!G$5:G$1003, MATCH(57, 'Detalles movimientos'!$V$5:$V$1003, 0)), "")</f>
        <v/>
      </c>
      <c r="G66" s="20" t="str">
        <f>IFERROR(INDEX('Detalles movimientos'!H$5:H$1003, MATCH(57, 'Detalles movimientos'!$V$5:$V$1003, 0)), "")</f>
        <v/>
      </c>
      <c r="H66" s="21" t="str">
        <f>IFERROR(INDEX('Detalles movimientos'!I$5:I$1003, MATCH(57, 'Detalles movimientos'!$V$5:$V$1003, 0)), "")</f>
        <v/>
      </c>
      <c r="I66" s="20" t="str">
        <f>IFERROR(INDEX('Detalles movimientos'!M$5:M$1003, MATCH(57, 'Detalles movimientos'!$V$5:$V$1003, 0)), "")</f>
        <v/>
      </c>
      <c r="J66" s="19" t="str">
        <f>IFERROR(INDEX('Detalles movimientos'!N$5:N$1003, MATCH(57, 'Detalles movimientos'!$V$5:$V$1003, 0)), "")</f>
        <v/>
      </c>
      <c r="K66" s="20" t="str">
        <f>IFERROR(INDEX('Detalles movimientos'!O$5:O$1003, MATCH(57, 'Detalles movimientos'!$V$5:$V$1003, 0)), "")</f>
        <v/>
      </c>
      <c r="L66" s="18" t="str">
        <f>IFERROR(INDEX('Detalles movimientos'!P$5:P$1003, MATCH(57, 'Detalles movimientos'!$V$5:$V$1003, 0)), "")</f>
        <v/>
      </c>
      <c r="M66" s="18" t="str">
        <f>IFERROR(INDEX('Detalles movimientos'!S$5:S$1003, MATCH(57, 'Detalles movimientos'!$V$5:$V$1003, 0)), "")</f>
        <v/>
      </c>
    </row>
    <row r="67" spans="2:13">
      <c r="B67" s="17" t="str">
        <f>IFERROR(INDEX('Detalles movimientos'!C$5:C$1003, MATCH(58, 'Detalles movimientos'!$V$5:$V$1003, 0)), "")</f>
        <v/>
      </c>
      <c r="C67" s="18" t="str">
        <f>IFERROR(INDEX('Detalles movimientos'!D$5:D$1003, MATCH(58, 'Detalles movimientos'!$V$5:$V$1003, 0)), "")</f>
        <v/>
      </c>
      <c r="D67" s="19" t="str">
        <f>IFERROR(INDEX('Detalles movimientos'!E$5:E$1003, MATCH(58, 'Detalles movimientos'!$V$5:$V$1003, 0)), "")</f>
        <v/>
      </c>
      <c r="E67" s="19" t="str">
        <f>IFERROR(INDEX('Detalles movimientos'!F$5:F$1003, MATCH(58, 'Detalles movimientos'!$V$5:$V$1003, 0)), "")</f>
        <v/>
      </c>
      <c r="F67" s="18" t="str">
        <f>IFERROR(INDEX('Detalles movimientos'!G$5:G$1003, MATCH(58, 'Detalles movimientos'!$V$5:$V$1003, 0)), "")</f>
        <v/>
      </c>
      <c r="G67" s="20" t="str">
        <f>IFERROR(INDEX('Detalles movimientos'!H$5:H$1003, MATCH(58, 'Detalles movimientos'!$V$5:$V$1003, 0)), "")</f>
        <v/>
      </c>
      <c r="H67" s="21" t="str">
        <f>IFERROR(INDEX('Detalles movimientos'!I$5:I$1003, MATCH(58, 'Detalles movimientos'!$V$5:$V$1003, 0)), "")</f>
        <v/>
      </c>
      <c r="I67" s="20" t="str">
        <f>IFERROR(INDEX('Detalles movimientos'!M$5:M$1003, MATCH(58, 'Detalles movimientos'!$V$5:$V$1003, 0)), "")</f>
        <v/>
      </c>
      <c r="J67" s="19" t="str">
        <f>IFERROR(INDEX('Detalles movimientos'!N$5:N$1003, MATCH(58, 'Detalles movimientos'!$V$5:$V$1003, 0)), "")</f>
        <v/>
      </c>
      <c r="K67" s="20" t="str">
        <f>IFERROR(INDEX('Detalles movimientos'!O$5:O$1003, MATCH(58, 'Detalles movimientos'!$V$5:$V$1003, 0)), "")</f>
        <v/>
      </c>
      <c r="L67" s="18" t="str">
        <f>IFERROR(INDEX('Detalles movimientos'!P$5:P$1003, MATCH(58, 'Detalles movimientos'!$V$5:$V$1003, 0)), "")</f>
        <v/>
      </c>
      <c r="M67" s="18" t="str">
        <f>IFERROR(INDEX('Detalles movimientos'!S$5:S$1003, MATCH(58, 'Detalles movimientos'!$V$5:$V$1003, 0)), "")</f>
        <v/>
      </c>
    </row>
    <row r="68" spans="2:13">
      <c r="B68" s="17" t="str">
        <f>IFERROR(INDEX('Detalles movimientos'!C$5:C$1003, MATCH(59, 'Detalles movimientos'!$V$5:$V$1003, 0)), "")</f>
        <v/>
      </c>
      <c r="C68" s="18" t="str">
        <f>IFERROR(INDEX('Detalles movimientos'!D$5:D$1003, MATCH(59, 'Detalles movimientos'!$V$5:$V$1003, 0)), "")</f>
        <v/>
      </c>
      <c r="D68" s="19" t="str">
        <f>IFERROR(INDEX('Detalles movimientos'!E$5:E$1003, MATCH(59, 'Detalles movimientos'!$V$5:$V$1003, 0)), "")</f>
        <v/>
      </c>
      <c r="E68" s="19" t="str">
        <f>IFERROR(INDEX('Detalles movimientos'!F$5:F$1003, MATCH(59, 'Detalles movimientos'!$V$5:$V$1003, 0)), "")</f>
        <v/>
      </c>
      <c r="F68" s="18" t="str">
        <f>IFERROR(INDEX('Detalles movimientos'!G$5:G$1003, MATCH(59, 'Detalles movimientos'!$V$5:$V$1003, 0)), "")</f>
        <v/>
      </c>
      <c r="G68" s="20" t="str">
        <f>IFERROR(INDEX('Detalles movimientos'!H$5:H$1003, MATCH(59, 'Detalles movimientos'!$V$5:$V$1003, 0)), "")</f>
        <v/>
      </c>
      <c r="H68" s="21" t="str">
        <f>IFERROR(INDEX('Detalles movimientos'!I$5:I$1003, MATCH(59, 'Detalles movimientos'!$V$5:$V$1003, 0)), "")</f>
        <v/>
      </c>
      <c r="I68" s="20" t="str">
        <f>IFERROR(INDEX('Detalles movimientos'!M$5:M$1003, MATCH(59, 'Detalles movimientos'!$V$5:$V$1003, 0)), "")</f>
        <v/>
      </c>
      <c r="J68" s="19" t="str">
        <f>IFERROR(INDEX('Detalles movimientos'!N$5:N$1003, MATCH(59, 'Detalles movimientos'!$V$5:$V$1003, 0)), "")</f>
        <v/>
      </c>
      <c r="K68" s="20" t="str">
        <f>IFERROR(INDEX('Detalles movimientos'!O$5:O$1003, MATCH(59, 'Detalles movimientos'!$V$5:$V$1003, 0)), "")</f>
        <v/>
      </c>
      <c r="L68" s="18" t="str">
        <f>IFERROR(INDEX('Detalles movimientos'!P$5:P$1003, MATCH(59, 'Detalles movimientos'!$V$5:$V$1003, 0)), "")</f>
        <v/>
      </c>
      <c r="M68" s="18" t="str">
        <f>IFERROR(INDEX('Detalles movimientos'!S$5:S$1003, MATCH(59, 'Detalles movimientos'!$V$5:$V$1003, 0)), "")</f>
        <v/>
      </c>
    </row>
    <row r="69" spans="2:13">
      <c r="B69" s="17" t="str">
        <f>IFERROR(INDEX('Detalles movimientos'!C$5:C$1003, MATCH(60, 'Detalles movimientos'!$V$5:$V$1003, 0)), "")</f>
        <v/>
      </c>
      <c r="C69" s="18" t="str">
        <f>IFERROR(INDEX('Detalles movimientos'!D$5:D$1003, MATCH(60, 'Detalles movimientos'!$V$5:$V$1003, 0)), "")</f>
        <v/>
      </c>
      <c r="D69" s="19" t="str">
        <f>IFERROR(INDEX('Detalles movimientos'!E$5:E$1003, MATCH(60, 'Detalles movimientos'!$V$5:$V$1003, 0)), "")</f>
        <v/>
      </c>
      <c r="E69" s="19" t="str">
        <f>IFERROR(INDEX('Detalles movimientos'!F$5:F$1003, MATCH(60, 'Detalles movimientos'!$V$5:$V$1003, 0)), "")</f>
        <v/>
      </c>
      <c r="F69" s="18" t="str">
        <f>IFERROR(INDEX('Detalles movimientos'!G$5:G$1003, MATCH(60, 'Detalles movimientos'!$V$5:$V$1003, 0)), "")</f>
        <v/>
      </c>
      <c r="G69" s="20" t="str">
        <f>IFERROR(INDEX('Detalles movimientos'!H$5:H$1003, MATCH(60, 'Detalles movimientos'!$V$5:$V$1003, 0)), "")</f>
        <v/>
      </c>
      <c r="H69" s="21" t="str">
        <f>IFERROR(INDEX('Detalles movimientos'!I$5:I$1003, MATCH(60, 'Detalles movimientos'!$V$5:$V$1003, 0)), "")</f>
        <v/>
      </c>
      <c r="I69" s="20" t="str">
        <f>IFERROR(INDEX('Detalles movimientos'!M$5:M$1003, MATCH(60, 'Detalles movimientos'!$V$5:$V$1003, 0)), "")</f>
        <v/>
      </c>
      <c r="J69" s="19" t="str">
        <f>IFERROR(INDEX('Detalles movimientos'!N$5:N$1003, MATCH(60, 'Detalles movimientos'!$V$5:$V$1003, 0)), "")</f>
        <v/>
      </c>
      <c r="K69" s="20" t="str">
        <f>IFERROR(INDEX('Detalles movimientos'!O$5:O$1003, MATCH(60, 'Detalles movimientos'!$V$5:$V$1003, 0)), "")</f>
        <v/>
      </c>
      <c r="L69" s="18" t="str">
        <f>IFERROR(INDEX('Detalles movimientos'!P$5:P$1003, MATCH(60, 'Detalles movimientos'!$V$5:$V$1003, 0)), "")</f>
        <v/>
      </c>
      <c r="M69" s="18" t="str">
        <f>IFERROR(INDEX('Detalles movimientos'!S$5:S$1003, MATCH(60, 'Detalles movimientos'!$V$5:$V$1003, 0)), "")</f>
        <v/>
      </c>
    </row>
    <row r="70" spans="2:13">
      <c r="B70" s="17" t="str">
        <f>IFERROR(INDEX('Detalles movimientos'!C$5:C$1003, MATCH(61, 'Detalles movimientos'!$V$5:$V$1003, 0)), "")</f>
        <v/>
      </c>
      <c r="C70" s="18" t="str">
        <f>IFERROR(INDEX('Detalles movimientos'!D$5:D$1003, MATCH(61, 'Detalles movimientos'!$V$5:$V$1003, 0)), "")</f>
        <v/>
      </c>
      <c r="D70" s="19" t="str">
        <f>IFERROR(INDEX('Detalles movimientos'!E$5:E$1003, MATCH(61, 'Detalles movimientos'!$V$5:$V$1003, 0)), "")</f>
        <v/>
      </c>
      <c r="E70" s="19" t="str">
        <f>IFERROR(INDEX('Detalles movimientos'!F$5:F$1003, MATCH(61, 'Detalles movimientos'!$V$5:$V$1003, 0)), "")</f>
        <v/>
      </c>
      <c r="F70" s="18" t="str">
        <f>IFERROR(INDEX('Detalles movimientos'!G$5:G$1003, MATCH(61, 'Detalles movimientos'!$V$5:$V$1003, 0)), "")</f>
        <v/>
      </c>
      <c r="G70" s="20" t="str">
        <f>IFERROR(INDEX('Detalles movimientos'!H$5:H$1003, MATCH(61, 'Detalles movimientos'!$V$5:$V$1003, 0)), "")</f>
        <v/>
      </c>
      <c r="H70" s="21" t="str">
        <f>IFERROR(INDEX('Detalles movimientos'!I$5:I$1003, MATCH(61, 'Detalles movimientos'!$V$5:$V$1003, 0)), "")</f>
        <v/>
      </c>
      <c r="I70" s="20" t="str">
        <f>IFERROR(INDEX('Detalles movimientos'!M$5:M$1003, MATCH(61, 'Detalles movimientos'!$V$5:$V$1003, 0)), "")</f>
        <v/>
      </c>
      <c r="J70" s="19" t="str">
        <f>IFERROR(INDEX('Detalles movimientos'!N$5:N$1003, MATCH(61, 'Detalles movimientos'!$V$5:$V$1003, 0)), "")</f>
        <v/>
      </c>
      <c r="K70" s="20" t="str">
        <f>IFERROR(INDEX('Detalles movimientos'!O$5:O$1003, MATCH(61, 'Detalles movimientos'!$V$5:$V$1003, 0)), "")</f>
        <v/>
      </c>
      <c r="L70" s="18" t="str">
        <f>IFERROR(INDEX('Detalles movimientos'!P$5:P$1003, MATCH(61, 'Detalles movimientos'!$V$5:$V$1003, 0)), "")</f>
        <v/>
      </c>
      <c r="M70" s="18" t="str">
        <f>IFERROR(INDEX('Detalles movimientos'!S$5:S$1003, MATCH(61, 'Detalles movimientos'!$V$5:$V$1003, 0)), "")</f>
        <v/>
      </c>
    </row>
    <row r="71" spans="2:13">
      <c r="B71" s="17" t="str">
        <f>IFERROR(INDEX('Detalles movimientos'!C$5:C$1003, MATCH(62, 'Detalles movimientos'!$V$5:$V$1003, 0)), "")</f>
        <v/>
      </c>
      <c r="C71" s="18" t="str">
        <f>IFERROR(INDEX('Detalles movimientos'!D$5:D$1003, MATCH(62, 'Detalles movimientos'!$V$5:$V$1003, 0)), "")</f>
        <v/>
      </c>
      <c r="D71" s="19" t="str">
        <f>IFERROR(INDEX('Detalles movimientos'!E$5:E$1003, MATCH(62, 'Detalles movimientos'!$V$5:$V$1003, 0)), "")</f>
        <v/>
      </c>
      <c r="E71" s="19" t="str">
        <f>IFERROR(INDEX('Detalles movimientos'!F$5:F$1003, MATCH(62, 'Detalles movimientos'!$V$5:$V$1003, 0)), "")</f>
        <v/>
      </c>
      <c r="F71" s="18" t="str">
        <f>IFERROR(INDEX('Detalles movimientos'!G$5:G$1003, MATCH(62, 'Detalles movimientos'!$V$5:$V$1003, 0)), "")</f>
        <v/>
      </c>
      <c r="G71" s="20" t="str">
        <f>IFERROR(INDEX('Detalles movimientos'!H$5:H$1003, MATCH(62, 'Detalles movimientos'!$V$5:$V$1003, 0)), "")</f>
        <v/>
      </c>
      <c r="H71" s="21" t="str">
        <f>IFERROR(INDEX('Detalles movimientos'!I$5:I$1003, MATCH(62, 'Detalles movimientos'!$V$5:$V$1003, 0)), "")</f>
        <v/>
      </c>
      <c r="I71" s="20" t="str">
        <f>IFERROR(INDEX('Detalles movimientos'!M$5:M$1003, MATCH(62, 'Detalles movimientos'!$V$5:$V$1003, 0)), "")</f>
        <v/>
      </c>
      <c r="J71" s="19" t="str">
        <f>IFERROR(INDEX('Detalles movimientos'!N$5:N$1003, MATCH(62, 'Detalles movimientos'!$V$5:$V$1003, 0)), "")</f>
        <v/>
      </c>
      <c r="K71" s="20" t="str">
        <f>IFERROR(INDEX('Detalles movimientos'!O$5:O$1003, MATCH(62, 'Detalles movimientos'!$V$5:$V$1003, 0)), "")</f>
        <v/>
      </c>
      <c r="L71" s="18" t="str">
        <f>IFERROR(INDEX('Detalles movimientos'!P$5:P$1003, MATCH(62, 'Detalles movimientos'!$V$5:$V$1003, 0)), "")</f>
        <v/>
      </c>
      <c r="M71" s="18" t="str">
        <f>IFERROR(INDEX('Detalles movimientos'!S$5:S$1003, MATCH(62, 'Detalles movimientos'!$V$5:$V$1003, 0)), "")</f>
        <v/>
      </c>
    </row>
    <row r="72" spans="2:13">
      <c r="B72" s="17" t="str">
        <f>IFERROR(INDEX('Detalles movimientos'!C$5:C$1003, MATCH(63, 'Detalles movimientos'!$V$5:$V$1003, 0)), "")</f>
        <v/>
      </c>
      <c r="C72" s="18" t="str">
        <f>IFERROR(INDEX('Detalles movimientos'!D$5:D$1003, MATCH(63, 'Detalles movimientos'!$V$5:$V$1003, 0)), "")</f>
        <v/>
      </c>
      <c r="D72" s="19" t="str">
        <f>IFERROR(INDEX('Detalles movimientos'!E$5:E$1003, MATCH(63, 'Detalles movimientos'!$V$5:$V$1003, 0)), "")</f>
        <v/>
      </c>
      <c r="E72" s="19" t="str">
        <f>IFERROR(INDEX('Detalles movimientos'!F$5:F$1003, MATCH(63, 'Detalles movimientos'!$V$5:$V$1003, 0)), "")</f>
        <v/>
      </c>
      <c r="F72" s="18" t="str">
        <f>IFERROR(INDEX('Detalles movimientos'!G$5:G$1003, MATCH(63, 'Detalles movimientos'!$V$5:$V$1003, 0)), "")</f>
        <v/>
      </c>
      <c r="G72" s="20" t="str">
        <f>IFERROR(INDEX('Detalles movimientos'!H$5:H$1003, MATCH(63, 'Detalles movimientos'!$V$5:$V$1003, 0)), "")</f>
        <v/>
      </c>
      <c r="H72" s="21" t="str">
        <f>IFERROR(INDEX('Detalles movimientos'!I$5:I$1003, MATCH(63, 'Detalles movimientos'!$V$5:$V$1003, 0)), "")</f>
        <v/>
      </c>
      <c r="I72" s="20" t="str">
        <f>IFERROR(INDEX('Detalles movimientos'!M$5:M$1003, MATCH(63, 'Detalles movimientos'!$V$5:$V$1003, 0)), "")</f>
        <v/>
      </c>
      <c r="J72" s="19" t="str">
        <f>IFERROR(INDEX('Detalles movimientos'!N$5:N$1003, MATCH(63, 'Detalles movimientos'!$V$5:$V$1003, 0)), "")</f>
        <v/>
      </c>
      <c r="K72" s="20" t="str">
        <f>IFERROR(INDEX('Detalles movimientos'!O$5:O$1003, MATCH(63, 'Detalles movimientos'!$V$5:$V$1003, 0)), "")</f>
        <v/>
      </c>
      <c r="L72" s="18" t="str">
        <f>IFERROR(INDEX('Detalles movimientos'!P$5:P$1003, MATCH(63, 'Detalles movimientos'!$V$5:$V$1003, 0)), "")</f>
        <v/>
      </c>
      <c r="M72" s="18" t="str">
        <f>IFERROR(INDEX('Detalles movimientos'!S$5:S$1003, MATCH(63, 'Detalles movimientos'!$V$5:$V$1003, 0)), "")</f>
        <v/>
      </c>
    </row>
    <row r="73" spans="2:13">
      <c r="B73" s="17" t="str">
        <f>IFERROR(INDEX('Detalles movimientos'!C$5:C$1003, MATCH(64, 'Detalles movimientos'!$V$5:$V$1003, 0)), "")</f>
        <v/>
      </c>
      <c r="C73" s="18" t="str">
        <f>IFERROR(INDEX('Detalles movimientos'!D$5:D$1003, MATCH(64, 'Detalles movimientos'!$V$5:$V$1003, 0)), "")</f>
        <v/>
      </c>
      <c r="D73" s="19" t="str">
        <f>IFERROR(INDEX('Detalles movimientos'!E$5:E$1003, MATCH(64, 'Detalles movimientos'!$V$5:$V$1003, 0)), "")</f>
        <v/>
      </c>
      <c r="E73" s="19" t="str">
        <f>IFERROR(INDEX('Detalles movimientos'!F$5:F$1003, MATCH(64, 'Detalles movimientos'!$V$5:$V$1003, 0)), "")</f>
        <v/>
      </c>
      <c r="F73" s="18" t="str">
        <f>IFERROR(INDEX('Detalles movimientos'!G$5:G$1003, MATCH(64, 'Detalles movimientos'!$V$5:$V$1003, 0)), "")</f>
        <v/>
      </c>
      <c r="G73" s="20" t="str">
        <f>IFERROR(INDEX('Detalles movimientos'!H$5:H$1003, MATCH(64, 'Detalles movimientos'!$V$5:$V$1003, 0)), "")</f>
        <v/>
      </c>
      <c r="H73" s="21" t="str">
        <f>IFERROR(INDEX('Detalles movimientos'!I$5:I$1003, MATCH(64, 'Detalles movimientos'!$V$5:$V$1003, 0)), "")</f>
        <v/>
      </c>
      <c r="I73" s="20" t="str">
        <f>IFERROR(INDEX('Detalles movimientos'!M$5:M$1003, MATCH(64, 'Detalles movimientos'!$V$5:$V$1003, 0)), "")</f>
        <v/>
      </c>
      <c r="J73" s="19" t="str">
        <f>IFERROR(INDEX('Detalles movimientos'!N$5:N$1003, MATCH(64, 'Detalles movimientos'!$V$5:$V$1003, 0)), "")</f>
        <v/>
      </c>
      <c r="K73" s="20" t="str">
        <f>IFERROR(INDEX('Detalles movimientos'!O$5:O$1003, MATCH(64, 'Detalles movimientos'!$V$5:$V$1003, 0)), "")</f>
        <v/>
      </c>
      <c r="L73" s="18" t="str">
        <f>IFERROR(INDEX('Detalles movimientos'!P$5:P$1003, MATCH(64, 'Detalles movimientos'!$V$5:$V$1003, 0)), "")</f>
        <v/>
      </c>
      <c r="M73" s="18" t="str">
        <f>IFERROR(INDEX('Detalles movimientos'!S$5:S$1003, MATCH(64, 'Detalles movimientos'!$V$5:$V$1003, 0)), "")</f>
        <v/>
      </c>
    </row>
    <row r="74" spans="2:13">
      <c r="B74" s="17" t="str">
        <f>IFERROR(INDEX('Detalles movimientos'!C$5:C$1003, MATCH(65, 'Detalles movimientos'!$V$5:$V$1003, 0)), "")</f>
        <v/>
      </c>
      <c r="C74" s="18" t="str">
        <f>IFERROR(INDEX('Detalles movimientos'!D$5:D$1003, MATCH(65, 'Detalles movimientos'!$V$5:$V$1003, 0)), "")</f>
        <v/>
      </c>
      <c r="D74" s="19" t="str">
        <f>IFERROR(INDEX('Detalles movimientos'!E$5:E$1003, MATCH(65, 'Detalles movimientos'!$V$5:$V$1003, 0)), "")</f>
        <v/>
      </c>
      <c r="E74" s="19" t="str">
        <f>IFERROR(INDEX('Detalles movimientos'!F$5:F$1003, MATCH(65, 'Detalles movimientos'!$V$5:$V$1003, 0)), "")</f>
        <v/>
      </c>
      <c r="F74" s="18" t="str">
        <f>IFERROR(INDEX('Detalles movimientos'!G$5:G$1003, MATCH(65, 'Detalles movimientos'!$V$5:$V$1003, 0)), "")</f>
        <v/>
      </c>
      <c r="G74" s="20" t="str">
        <f>IFERROR(INDEX('Detalles movimientos'!H$5:H$1003, MATCH(65, 'Detalles movimientos'!$V$5:$V$1003, 0)), "")</f>
        <v/>
      </c>
      <c r="H74" s="21" t="str">
        <f>IFERROR(INDEX('Detalles movimientos'!I$5:I$1003, MATCH(65, 'Detalles movimientos'!$V$5:$V$1003, 0)), "")</f>
        <v/>
      </c>
      <c r="I74" s="20" t="str">
        <f>IFERROR(INDEX('Detalles movimientos'!M$5:M$1003, MATCH(65, 'Detalles movimientos'!$V$5:$V$1003, 0)), "")</f>
        <v/>
      </c>
      <c r="J74" s="19" t="str">
        <f>IFERROR(INDEX('Detalles movimientos'!N$5:N$1003, MATCH(65, 'Detalles movimientos'!$V$5:$V$1003, 0)), "")</f>
        <v/>
      </c>
      <c r="K74" s="20" t="str">
        <f>IFERROR(INDEX('Detalles movimientos'!O$5:O$1003, MATCH(65, 'Detalles movimientos'!$V$5:$V$1003, 0)), "")</f>
        <v/>
      </c>
      <c r="L74" s="18" t="str">
        <f>IFERROR(INDEX('Detalles movimientos'!P$5:P$1003, MATCH(65, 'Detalles movimientos'!$V$5:$V$1003, 0)), "")</f>
        <v/>
      </c>
      <c r="M74" s="18" t="str">
        <f>IFERROR(INDEX('Detalles movimientos'!S$5:S$1003, MATCH(65, 'Detalles movimientos'!$V$5:$V$1003, 0)), "")</f>
        <v/>
      </c>
    </row>
    <row r="75" spans="2:13">
      <c r="B75" s="17" t="str">
        <f>IFERROR(INDEX('Detalles movimientos'!C$5:C$1003, MATCH(66, 'Detalles movimientos'!$V$5:$V$1003, 0)), "")</f>
        <v/>
      </c>
      <c r="C75" s="18" t="str">
        <f>IFERROR(INDEX('Detalles movimientos'!D$5:D$1003, MATCH(66, 'Detalles movimientos'!$V$5:$V$1003, 0)), "")</f>
        <v/>
      </c>
      <c r="D75" s="19" t="str">
        <f>IFERROR(INDEX('Detalles movimientos'!E$5:E$1003, MATCH(66, 'Detalles movimientos'!$V$5:$V$1003, 0)), "")</f>
        <v/>
      </c>
      <c r="E75" s="19" t="str">
        <f>IFERROR(INDEX('Detalles movimientos'!F$5:F$1003, MATCH(66, 'Detalles movimientos'!$V$5:$V$1003, 0)), "")</f>
        <v/>
      </c>
      <c r="F75" s="18" t="str">
        <f>IFERROR(INDEX('Detalles movimientos'!G$5:G$1003, MATCH(66, 'Detalles movimientos'!$V$5:$V$1003, 0)), "")</f>
        <v/>
      </c>
      <c r="G75" s="20" t="str">
        <f>IFERROR(INDEX('Detalles movimientos'!H$5:H$1003, MATCH(66, 'Detalles movimientos'!$V$5:$V$1003, 0)), "")</f>
        <v/>
      </c>
      <c r="H75" s="21" t="str">
        <f>IFERROR(INDEX('Detalles movimientos'!I$5:I$1003, MATCH(66, 'Detalles movimientos'!$V$5:$V$1003, 0)), "")</f>
        <v/>
      </c>
      <c r="I75" s="20" t="str">
        <f>IFERROR(INDEX('Detalles movimientos'!M$5:M$1003, MATCH(66, 'Detalles movimientos'!$V$5:$V$1003, 0)), "")</f>
        <v/>
      </c>
      <c r="J75" s="19" t="str">
        <f>IFERROR(INDEX('Detalles movimientos'!N$5:N$1003, MATCH(66, 'Detalles movimientos'!$V$5:$V$1003, 0)), "")</f>
        <v/>
      </c>
      <c r="K75" s="20" t="str">
        <f>IFERROR(INDEX('Detalles movimientos'!O$5:O$1003, MATCH(66, 'Detalles movimientos'!$V$5:$V$1003, 0)), "")</f>
        <v/>
      </c>
      <c r="L75" s="18" t="str">
        <f>IFERROR(INDEX('Detalles movimientos'!P$5:P$1003, MATCH(66, 'Detalles movimientos'!$V$5:$V$1003, 0)), "")</f>
        <v/>
      </c>
      <c r="M75" s="18" t="str">
        <f>IFERROR(INDEX('Detalles movimientos'!S$5:S$1003, MATCH(66, 'Detalles movimientos'!$V$5:$V$1003, 0)), "")</f>
        <v/>
      </c>
    </row>
    <row r="76" spans="2:13">
      <c r="B76" s="17" t="str">
        <f>IFERROR(INDEX('Detalles movimientos'!C$5:C$1003, MATCH(67, 'Detalles movimientos'!$V$5:$V$1003, 0)), "")</f>
        <v/>
      </c>
      <c r="C76" s="18" t="str">
        <f>IFERROR(INDEX('Detalles movimientos'!D$5:D$1003, MATCH(67, 'Detalles movimientos'!$V$5:$V$1003, 0)), "")</f>
        <v/>
      </c>
      <c r="D76" s="19" t="str">
        <f>IFERROR(INDEX('Detalles movimientos'!E$5:E$1003, MATCH(67, 'Detalles movimientos'!$V$5:$V$1003, 0)), "")</f>
        <v/>
      </c>
      <c r="E76" s="19" t="str">
        <f>IFERROR(INDEX('Detalles movimientos'!F$5:F$1003, MATCH(67, 'Detalles movimientos'!$V$5:$V$1003, 0)), "")</f>
        <v/>
      </c>
      <c r="F76" s="18" t="str">
        <f>IFERROR(INDEX('Detalles movimientos'!G$5:G$1003, MATCH(67, 'Detalles movimientos'!$V$5:$V$1003, 0)), "")</f>
        <v/>
      </c>
      <c r="G76" s="20" t="str">
        <f>IFERROR(INDEX('Detalles movimientos'!H$5:H$1003, MATCH(67, 'Detalles movimientos'!$V$5:$V$1003, 0)), "")</f>
        <v/>
      </c>
      <c r="H76" s="21" t="str">
        <f>IFERROR(INDEX('Detalles movimientos'!I$5:I$1003, MATCH(67, 'Detalles movimientos'!$V$5:$V$1003, 0)), "")</f>
        <v/>
      </c>
      <c r="I76" s="20" t="str">
        <f>IFERROR(INDEX('Detalles movimientos'!M$5:M$1003, MATCH(67, 'Detalles movimientos'!$V$5:$V$1003, 0)), "")</f>
        <v/>
      </c>
      <c r="J76" s="19" t="str">
        <f>IFERROR(INDEX('Detalles movimientos'!N$5:N$1003, MATCH(67, 'Detalles movimientos'!$V$5:$V$1003, 0)), "")</f>
        <v/>
      </c>
      <c r="K76" s="20" t="str">
        <f>IFERROR(INDEX('Detalles movimientos'!O$5:O$1003, MATCH(67, 'Detalles movimientos'!$V$5:$V$1003, 0)), "")</f>
        <v/>
      </c>
      <c r="L76" s="18" t="str">
        <f>IFERROR(INDEX('Detalles movimientos'!P$5:P$1003, MATCH(67, 'Detalles movimientos'!$V$5:$V$1003, 0)), "")</f>
        <v/>
      </c>
      <c r="M76" s="18" t="str">
        <f>IFERROR(INDEX('Detalles movimientos'!S$5:S$1003, MATCH(67, 'Detalles movimientos'!$V$5:$V$1003, 0)), "")</f>
        <v/>
      </c>
    </row>
    <row r="77" spans="2:13">
      <c r="B77" s="17" t="str">
        <f>IFERROR(INDEX('Detalles movimientos'!C$5:C$1003, MATCH(68, 'Detalles movimientos'!$V$5:$V$1003, 0)), "")</f>
        <v/>
      </c>
      <c r="C77" s="18" t="str">
        <f>IFERROR(INDEX('Detalles movimientos'!D$5:D$1003, MATCH(68, 'Detalles movimientos'!$V$5:$V$1003, 0)), "")</f>
        <v/>
      </c>
      <c r="D77" s="19" t="str">
        <f>IFERROR(INDEX('Detalles movimientos'!E$5:E$1003, MATCH(68, 'Detalles movimientos'!$V$5:$V$1003, 0)), "")</f>
        <v/>
      </c>
      <c r="E77" s="19" t="str">
        <f>IFERROR(INDEX('Detalles movimientos'!F$5:F$1003, MATCH(68, 'Detalles movimientos'!$V$5:$V$1003, 0)), "")</f>
        <v/>
      </c>
      <c r="F77" s="18" t="str">
        <f>IFERROR(INDEX('Detalles movimientos'!G$5:G$1003, MATCH(68, 'Detalles movimientos'!$V$5:$V$1003, 0)), "")</f>
        <v/>
      </c>
      <c r="G77" s="20" t="str">
        <f>IFERROR(INDEX('Detalles movimientos'!H$5:H$1003, MATCH(68, 'Detalles movimientos'!$V$5:$V$1003, 0)), "")</f>
        <v/>
      </c>
      <c r="H77" s="21" t="str">
        <f>IFERROR(INDEX('Detalles movimientos'!I$5:I$1003, MATCH(68, 'Detalles movimientos'!$V$5:$V$1003, 0)), "")</f>
        <v/>
      </c>
      <c r="I77" s="20" t="str">
        <f>IFERROR(INDEX('Detalles movimientos'!M$5:M$1003, MATCH(68, 'Detalles movimientos'!$V$5:$V$1003, 0)), "")</f>
        <v/>
      </c>
      <c r="J77" s="19" t="str">
        <f>IFERROR(INDEX('Detalles movimientos'!N$5:N$1003, MATCH(68, 'Detalles movimientos'!$V$5:$V$1003, 0)), "")</f>
        <v/>
      </c>
      <c r="K77" s="20" t="str">
        <f>IFERROR(INDEX('Detalles movimientos'!O$5:O$1003, MATCH(68, 'Detalles movimientos'!$V$5:$V$1003, 0)), "")</f>
        <v/>
      </c>
      <c r="L77" s="18" t="str">
        <f>IFERROR(INDEX('Detalles movimientos'!P$5:P$1003, MATCH(68, 'Detalles movimientos'!$V$5:$V$1003, 0)), "")</f>
        <v/>
      </c>
      <c r="M77" s="18" t="str">
        <f>IFERROR(INDEX('Detalles movimientos'!S$5:S$1003, MATCH(68, 'Detalles movimientos'!$V$5:$V$1003, 0)), "")</f>
        <v/>
      </c>
    </row>
    <row r="78" spans="2:13">
      <c r="B78" s="17" t="str">
        <f>IFERROR(INDEX('Detalles movimientos'!C$5:C$1003, MATCH(69, 'Detalles movimientos'!$V$5:$V$1003, 0)), "")</f>
        <v/>
      </c>
      <c r="C78" s="18" t="str">
        <f>IFERROR(INDEX('Detalles movimientos'!D$5:D$1003, MATCH(69, 'Detalles movimientos'!$V$5:$V$1003, 0)), "")</f>
        <v/>
      </c>
      <c r="D78" s="19" t="str">
        <f>IFERROR(INDEX('Detalles movimientos'!E$5:E$1003, MATCH(69, 'Detalles movimientos'!$V$5:$V$1003, 0)), "")</f>
        <v/>
      </c>
      <c r="E78" s="19" t="str">
        <f>IFERROR(INDEX('Detalles movimientos'!F$5:F$1003, MATCH(69, 'Detalles movimientos'!$V$5:$V$1003, 0)), "")</f>
        <v/>
      </c>
      <c r="F78" s="18" t="str">
        <f>IFERROR(INDEX('Detalles movimientos'!G$5:G$1003, MATCH(69, 'Detalles movimientos'!$V$5:$V$1003, 0)), "")</f>
        <v/>
      </c>
      <c r="G78" s="20" t="str">
        <f>IFERROR(INDEX('Detalles movimientos'!H$5:H$1003, MATCH(69, 'Detalles movimientos'!$V$5:$V$1003, 0)), "")</f>
        <v/>
      </c>
      <c r="H78" s="21" t="str">
        <f>IFERROR(INDEX('Detalles movimientos'!I$5:I$1003, MATCH(69, 'Detalles movimientos'!$V$5:$V$1003, 0)), "")</f>
        <v/>
      </c>
      <c r="I78" s="20" t="str">
        <f>IFERROR(INDEX('Detalles movimientos'!M$5:M$1003, MATCH(69, 'Detalles movimientos'!$V$5:$V$1003, 0)), "")</f>
        <v/>
      </c>
      <c r="J78" s="19" t="str">
        <f>IFERROR(INDEX('Detalles movimientos'!N$5:N$1003, MATCH(69, 'Detalles movimientos'!$V$5:$V$1003, 0)), "")</f>
        <v/>
      </c>
      <c r="K78" s="20" t="str">
        <f>IFERROR(INDEX('Detalles movimientos'!O$5:O$1003, MATCH(69, 'Detalles movimientos'!$V$5:$V$1003, 0)), "")</f>
        <v/>
      </c>
      <c r="L78" s="18" t="str">
        <f>IFERROR(INDEX('Detalles movimientos'!P$5:P$1003, MATCH(69, 'Detalles movimientos'!$V$5:$V$1003, 0)), "")</f>
        <v/>
      </c>
      <c r="M78" s="18" t="str">
        <f>IFERROR(INDEX('Detalles movimientos'!S$5:S$1003, MATCH(69, 'Detalles movimientos'!$V$5:$V$1003, 0)), "")</f>
        <v/>
      </c>
    </row>
    <row r="79" spans="2:13">
      <c r="B79" s="17" t="str">
        <f>IFERROR(INDEX('Detalles movimientos'!C$5:C$1003, MATCH(70, 'Detalles movimientos'!$V$5:$V$1003, 0)), "")</f>
        <v/>
      </c>
      <c r="C79" s="18" t="str">
        <f>IFERROR(INDEX('Detalles movimientos'!D$5:D$1003, MATCH(70, 'Detalles movimientos'!$V$5:$V$1003, 0)), "")</f>
        <v/>
      </c>
      <c r="D79" s="19" t="str">
        <f>IFERROR(INDEX('Detalles movimientos'!E$5:E$1003, MATCH(70, 'Detalles movimientos'!$V$5:$V$1003, 0)), "")</f>
        <v/>
      </c>
      <c r="E79" s="19" t="str">
        <f>IFERROR(INDEX('Detalles movimientos'!F$5:F$1003, MATCH(70, 'Detalles movimientos'!$V$5:$V$1003, 0)), "")</f>
        <v/>
      </c>
      <c r="F79" s="18" t="str">
        <f>IFERROR(INDEX('Detalles movimientos'!G$5:G$1003, MATCH(70, 'Detalles movimientos'!$V$5:$V$1003, 0)), "")</f>
        <v/>
      </c>
      <c r="G79" s="20" t="str">
        <f>IFERROR(INDEX('Detalles movimientos'!H$5:H$1003, MATCH(70, 'Detalles movimientos'!$V$5:$V$1003, 0)), "")</f>
        <v/>
      </c>
      <c r="H79" s="21" t="str">
        <f>IFERROR(INDEX('Detalles movimientos'!I$5:I$1003, MATCH(70, 'Detalles movimientos'!$V$5:$V$1003, 0)), "")</f>
        <v/>
      </c>
      <c r="I79" s="20" t="str">
        <f>IFERROR(INDEX('Detalles movimientos'!M$5:M$1003, MATCH(70, 'Detalles movimientos'!$V$5:$V$1003, 0)), "")</f>
        <v/>
      </c>
      <c r="J79" s="19" t="str">
        <f>IFERROR(INDEX('Detalles movimientos'!N$5:N$1003, MATCH(70, 'Detalles movimientos'!$V$5:$V$1003, 0)), "")</f>
        <v/>
      </c>
      <c r="K79" s="20" t="str">
        <f>IFERROR(INDEX('Detalles movimientos'!O$5:O$1003, MATCH(70, 'Detalles movimientos'!$V$5:$V$1003, 0)), "")</f>
        <v/>
      </c>
      <c r="L79" s="18" t="str">
        <f>IFERROR(INDEX('Detalles movimientos'!P$5:P$1003, MATCH(70, 'Detalles movimientos'!$V$5:$V$1003, 0)), "")</f>
        <v/>
      </c>
      <c r="M79" s="18" t="str">
        <f>IFERROR(INDEX('Detalles movimientos'!S$5:S$1003, MATCH(70, 'Detalles movimientos'!$V$5:$V$1003, 0)), "")</f>
        <v/>
      </c>
    </row>
    <row r="80" spans="2:13">
      <c r="B80" s="17" t="str">
        <f>IFERROR(INDEX('Detalles movimientos'!C$5:C$1003, MATCH(71, 'Detalles movimientos'!$V$5:$V$1003, 0)), "")</f>
        <v/>
      </c>
      <c r="C80" s="18" t="str">
        <f>IFERROR(INDEX('Detalles movimientos'!D$5:D$1003, MATCH(71, 'Detalles movimientos'!$V$5:$V$1003, 0)), "")</f>
        <v/>
      </c>
      <c r="D80" s="19" t="str">
        <f>IFERROR(INDEX('Detalles movimientos'!E$5:E$1003, MATCH(71, 'Detalles movimientos'!$V$5:$V$1003, 0)), "")</f>
        <v/>
      </c>
      <c r="E80" s="19" t="str">
        <f>IFERROR(INDEX('Detalles movimientos'!F$5:F$1003, MATCH(71, 'Detalles movimientos'!$V$5:$V$1003, 0)), "")</f>
        <v/>
      </c>
      <c r="F80" s="18" t="str">
        <f>IFERROR(INDEX('Detalles movimientos'!G$5:G$1003, MATCH(71, 'Detalles movimientos'!$V$5:$V$1003, 0)), "")</f>
        <v/>
      </c>
      <c r="G80" s="20" t="str">
        <f>IFERROR(INDEX('Detalles movimientos'!H$5:H$1003, MATCH(71, 'Detalles movimientos'!$V$5:$V$1003, 0)), "")</f>
        <v/>
      </c>
      <c r="H80" s="21" t="str">
        <f>IFERROR(INDEX('Detalles movimientos'!I$5:I$1003, MATCH(71, 'Detalles movimientos'!$V$5:$V$1003, 0)), "")</f>
        <v/>
      </c>
      <c r="I80" s="20" t="str">
        <f>IFERROR(INDEX('Detalles movimientos'!M$5:M$1003, MATCH(71, 'Detalles movimientos'!$V$5:$V$1003, 0)), "")</f>
        <v/>
      </c>
      <c r="J80" s="19" t="str">
        <f>IFERROR(INDEX('Detalles movimientos'!N$5:N$1003, MATCH(71, 'Detalles movimientos'!$V$5:$V$1003, 0)), "")</f>
        <v/>
      </c>
      <c r="K80" s="20" t="str">
        <f>IFERROR(INDEX('Detalles movimientos'!O$5:O$1003, MATCH(71, 'Detalles movimientos'!$V$5:$V$1003, 0)), "")</f>
        <v/>
      </c>
      <c r="L80" s="18" t="str">
        <f>IFERROR(INDEX('Detalles movimientos'!P$5:P$1003, MATCH(71, 'Detalles movimientos'!$V$5:$V$1003, 0)), "")</f>
        <v/>
      </c>
      <c r="M80" s="18" t="str">
        <f>IFERROR(INDEX('Detalles movimientos'!S$5:S$1003, MATCH(71, 'Detalles movimientos'!$V$5:$V$1003, 0)), "")</f>
        <v/>
      </c>
    </row>
    <row r="81" spans="2:13">
      <c r="B81" s="17" t="str">
        <f>IFERROR(INDEX('Detalles movimientos'!C$5:C$1003, MATCH(72, 'Detalles movimientos'!$V$5:$V$1003, 0)), "")</f>
        <v/>
      </c>
      <c r="C81" s="18" t="str">
        <f>IFERROR(INDEX('Detalles movimientos'!D$5:D$1003, MATCH(72, 'Detalles movimientos'!$V$5:$V$1003, 0)), "")</f>
        <v/>
      </c>
      <c r="D81" s="19" t="str">
        <f>IFERROR(INDEX('Detalles movimientos'!E$5:E$1003, MATCH(72, 'Detalles movimientos'!$V$5:$V$1003, 0)), "")</f>
        <v/>
      </c>
      <c r="E81" s="19" t="str">
        <f>IFERROR(INDEX('Detalles movimientos'!F$5:F$1003, MATCH(72, 'Detalles movimientos'!$V$5:$V$1003, 0)), "")</f>
        <v/>
      </c>
      <c r="F81" s="18" t="str">
        <f>IFERROR(INDEX('Detalles movimientos'!G$5:G$1003, MATCH(72, 'Detalles movimientos'!$V$5:$V$1003, 0)), "")</f>
        <v/>
      </c>
      <c r="G81" s="20" t="str">
        <f>IFERROR(INDEX('Detalles movimientos'!H$5:H$1003, MATCH(72, 'Detalles movimientos'!$V$5:$V$1003, 0)), "")</f>
        <v/>
      </c>
      <c r="H81" s="21" t="str">
        <f>IFERROR(INDEX('Detalles movimientos'!I$5:I$1003, MATCH(72, 'Detalles movimientos'!$V$5:$V$1003, 0)), "")</f>
        <v/>
      </c>
      <c r="I81" s="20" t="str">
        <f>IFERROR(INDEX('Detalles movimientos'!M$5:M$1003, MATCH(72, 'Detalles movimientos'!$V$5:$V$1003, 0)), "")</f>
        <v/>
      </c>
      <c r="J81" s="19" t="str">
        <f>IFERROR(INDEX('Detalles movimientos'!N$5:N$1003, MATCH(72, 'Detalles movimientos'!$V$5:$V$1003, 0)), "")</f>
        <v/>
      </c>
      <c r="K81" s="20" t="str">
        <f>IFERROR(INDEX('Detalles movimientos'!O$5:O$1003, MATCH(72, 'Detalles movimientos'!$V$5:$V$1003, 0)), "")</f>
        <v/>
      </c>
      <c r="L81" s="18" t="str">
        <f>IFERROR(INDEX('Detalles movimientos'!P$5:P$1003, MATCH(72, 'Detalles movimientos'!$V$5:$V$1003, 0)), "")</f>
        <v/>
      </c>
      <c r="M81" s="18" t="str">
        <f>IFERROR(INDEX('Detalles movimientos'!S$5:S$1003, MATCH(72, 'Detalles movimientos'!$V$5:$V$1003, 0)), "")</f>
        <v/>
      </c>
    </row>
    <row r="82" spans="2:13">
      <c r="B82" s="17" t="str">
        <f>IFERROR(INDEX('Detalles movimientos'!C$5:C$1003, MATCH(73, 'Detalles movimientos'!$V$5:$V$1003, 0)), "")</f>
        <v/>
      </c>
      <c r="C82" s="18" t="str">
        <f>IFERROR(INDEX('Detalles movimientos'!D$5:D$1003, MATCH(73, 'Detalles movimientos'!$V$5:$V$1003, 0)), "")</f>
        <v/>
      </c>
      <c r="D82" s="19" t="str">
        <f>IFERROR(INDEX('Detalles movimientos'!E$5:E$1003, MATCH(73, 'Detalles movimientos'!$V$5:$V$1003, 0)), "")</f>
        <v/>
      </c>
      <c r="E82" s="19" t="str">
        <f>IFERROR(INDEX('Detalles movimientos'!F$5:F$1003, MATCH(73, 'Detalles movimientos'!$V$5:$V$1003, 0)), "")</f>
        <v/>
      </c>
      <c r="F82" s="18" t="str">
        <f>IFERROR(INDEX('Detalles movimientos'!G$5:G$1003, MATCH(73, 'Detalles movimientos'!$V$5:$V$1003, 0)), "")</f>
        <v/>
      </c>
      <c r="G82" s="20" t="str">
        <f>IFERROR(INDEX('Detalles movimientos'!H$5:H$1003, MATCH(73, 'Detalles movimientos'!$V$5:$V$1003, 0)), "")</f>
        <v/>
      </c>
      <c r="H82" s="21" t="str">
        <f>IFERROR(INDEX('Detalles movimientos'!I$5:I$1003, MATCH(73, 'Detalles movimientos'!$V$5:$V$1003, 0)), "")</f>
        <v/>
      </c>
      <c r="I82" s="20" t="str">
        <f>IFERROR(INDEX('Detalles movimientos'!M$5:M$1003, MATCH(73, 'Detalles movimientos'!$V$5:$V$1003, 0)), "")</f>
        <v/>
      </c>
      <c r="J82" s="19" t="str">
        <f>IFERROR(INDEX('Detalles movimientos'!N$5:N$1003, MATCH(73, 'Detalles movimientos'!$V$5:$V$1003, 0)), "")</f>
        <v/>
      </c>
      <c r="K82" s="20" t="str">
        <f>IFERROR(INDEX('Detalles movimientos'!O$5:O$1003, MATCH(73, 'Detalles movimientos'!$V$5:$V$1003, 0)), "")</f>
        <v/>
      </c>
      <c r="L82" s="18" t="str">
        <f>IFERROR(INDEX('Detalles movimientos'!P$5:P$1003, MATCH(73, 'Detalles movimientos'!$V$5:$V$1003, 0)), "")</f>
        <v/>
      </c>
      <c r="M82" s="18" t="str">
        <f>IFERROR(INDEX('Detalles movimientos'!S$5:S$1003, MATCH(73, 'Detalles movimientos'!$V$5:$V$1003, 0)), "")</f>
        <v/>
      </c>
    </row>
    <row r="83" spans="2:13">
      <c r="B83" s="17" t="str">
        <f>IFERROR(INDEX('Detalles movimientos'!C$5:C$1003, MATCH(74, 'Detalles movimientos'!$V$5:$V$1003, 0)), "")</f>
        <v/>
      </c>
      <c r="C83" s="18" t="str">
        <f>IFERROR(INDEX('Detalles movimientos'!D$5:D$1003, MATCH(74, 'Detalles movimientos'!$V$5:$V$1003, 0)), "")</f>
        <v/>
      </c>
      <c r="D83" s="19" t="str">
        <f>IFERROR(INDEX('Detalles movimientos'!E$5:E$1003, MATCH(74, 'Detalles movimientos'!$V$5:$V$1003, 0)), "")</f>
        <v/>
      </c>
      <c r="E83" s="19" t="str">
        <f>IFERROR(INDEX('Detalles movimientos'!F$5:F$1003, MATCH(74, 'Detalles movimientos'!$V$5:$V$1003, 0)), "")</f>
        <v/>
      </c>
      <c r="F83" s="18" t="str">
        <f>IFERROR(INDEX('Detalles movimientos'!G$5:G$1003, MATCH(74, 'Detalles movimientos'!$V$5:$V$1003, 0)), "")</f>
        <v/>
      </c>
      <c r="G83" s="20" t="str">
        <f>IFERROR(INDEX('Detalles movimientos'!H$5:H$1003, MATCH(74, 'Detalles movimientos'!$V$5:$V$1003, 0)), "")</f>
        <v/>
      </c>
      <c r="H83" s="21" t="str">
        <f>IFERROR(INDEX('Detalles movimientos'!I$5:I$1003, MATCH(74, 'Detalles movimientos'!$V$5:$V$1003, 0)), "")</f>
        <v/>
      </c>
      <c r="I83" s="20" t="str">
        <f>IFERROR(INDEX('Detalles movimientos'!M$5:M$1003, MATCH(74, 'Detalles movimientos'!$V$5:$V$1003, 0)), "")</f>
        <v/>
      </c>
      <c r="J83" s="19" t="str">
        <f>IFERROR(INDEX('Detalles movimientos'!N$5:N$1003, MATCH(74, 'Detalles movimientos'!$V$5:$V$1003, 0)), "")</f>
        <v/>
      </c>
      <c r="K83" s="20" t="str">
        <f>IFERROR(INDEX('Detalles movimientos'!O$5:O$1003, MATCH(74, 'Detalles movimientos'!$V$5:$V$1003, 0)), "")</f>
        <v/>
      </c>
      <c r="L83" s="18" t="str">
        <f>IFERROR(INDEX('Detalles movimientos'!P$5:P$1003, MATCH(74, 'Detalles movimientos'!$V$5:$V$1003, 0)), "")</f>
        <v/>
      </c>
      <c r="M83" s="18" t="str">
        <f>IFERROR(INDEX('Detalles movimientos'!S$5:S$1003, MATCH(74, 'Detalles movimientos'!$V$5:$V$1003, 0)), "")</f>
        <v/>
      </c>
    </row>
    <row r="84" spans="2:13">
      <c r="B84" s="17" t="str">
        <f>IFERROR(INDEX('Detalles movimientos'!C$5:C$1003, MATCH(75, 'Detalles movimientos'!$V$5:$V$1003, 0)), "")</f>
        <v/>
      </c>
      <c r="C84" s="18" t="str">
        <f>IFERROR(INDEX('Detalles movimientos'!D$5:D$1003, MATCH(75, 'Detalles movimientos'!$V$5:$V$1003, 0)), "")</f>
        <v/>
      </c>
      <c r="D84" s="19" t="str">
        <f>IFERROR(INDEX('Detalles movimientos'!E$5:E$1003, MATCH(75, 'Detalles movimientos'!$V$5:$V$1003, 0)), "")</f>
        <v/>
      </c>
      <c r="E84" s="19" t="str">
        <f>IFERROR(INDEX('Detalles movimientos'!F$5:F$1003, MATCH(75, 'Detalles movimientos'!$V$5:$V$1003, 0)), "")</f>
        <v/>
      </c>
      <c r="F84" s="18" t="str">
        <f>IFERROR(INDEX('Detalles movimientos'!G$5:G$1003, MATCH(75, 'Detalles movimientos'!$V$5:$V$1003, 0)), "")</f>
        <v/>
      </c>
      <c r="G84" s="20" t="str">
        <f>IFERROR(INDEX('Detalles movimientos'!H$5:H$1003, MATCH(75, 'Detalles movimientos'!$V$5:$V$1003, 0)), "")</f>
        <v/>
      </c>
      <c r="H84" s="21" t="str">
        <f>IFERROR(INDEX('Detalles movimientos'!I$5:I$1003, MATCH(75, 'Detalles movimientos'!$V$5:$V$1003, 0)), "")</f>
        <v/>
      </c>
      <c r="I84" s="20" t="str">
        <f>IFERROR(INDEX('Detalles movimientos'!M$5:M$1003, MATCH(75, 'Detalles movimientos'!$V$5:$V$1003, 0)), "")</f>
        <v/>
      </c>
      <c r="J84" s="19" t="str">
        <f>IFERROR(INDEX('Detalles movimientos'!N$5:N$1003, MATCH(75, 'Detalles movimientos'!$V$5:$V$1003, 0)), "")</f>
        <v/>
      </c>
      <c r="K84" s="20" t="str">
        <f>IFERROR(INDEX('Detalles movimientos'!O$5:O$1003, MATCH(75, 'Detalles movimientos'!$V$5:$V$1003, 0)), "")</f>
        <v/>
      </c>
      <c r="L84" s="18" t="str">
        <f>IFERROR(INDEX('Detalles movimientos'!P$5:P$1003, MATCH(75, 'Detalles movimientos'!$V$5:$V$1003, 0)), "")</f>
        <v/>
      </c>
      <c r="M84" s="18" t="str">
        <f>IFERROR(INDEX('Detalles movimientos'!S$5:S$1003, MATCH(75, 'Detalles movimientos'!$V$5:$V$1003, 0)), "")</f>
        <v/>
      </c>
    </row>
    <row r="85" spans="2:13">
      <c r="B85" s="17" t="str">
        <f>IFERROR(INDEX('Detalles movimientos'!C$5:C$1003, MATCH(76, 'Detalles movimientos'!$V$5:$V$1003, 0)), "")</f>
        <v/>
      </c>
      <c r="C85" s="18" t="str">
        <f>IFERROR(INDEX('Detalles movimientos'!D$5:D$1003, MATCH(76, 'Detalles movimientos'!$V$5:$V$1003, 0)), "")</f>
        <v/>
      </c>
      <c r="D85" s="19" t="str">
        <f>IFERROR(INDEX('Detalles movimientos'!E$5:E$1003, MATCH(76, 'Detalles movimientos'!$V$5:$V$1003, 0)), "")</f>
        <v/>
      </c>
      <c r="E85" s="19" t="str">
        <f>IFERROR(INDEX('Detalles movimientos'!F$5:F$1003, MATCH(76, 'Detalles movimientos'!$V$5:$V$1003, 0)), "")</f>
        <v/>
      </c>
      <c r="F85" s="18" t="str">
        <f>IFERROR(INDEX('Detalles movimientos'!G$5:G$1003, MATCH(76, 'Detalles movimientos'!$V$5:$V$1003, 0)), "")</f>
        <v/>
      </c>
      <c r="G85" s="20" t="str">
        <f>IFERROR(INDEX('Detalles movimientos'!H$5:H$1003, MATCH(76, 'Detalles movimientos'!$V$5:$V$1003, 0)), "")</f>
        <v/>
      </c>
      <c r="H85" s="21" t="str">
        <f>IFERROR(INDEX('Detalles movimientos'!I$5:I$1003, MATCH(76, 'Detalles movimientos'!$V$5:$V$1003, 0)), "")</f>
        <v/>
      </c>
      <c r="I85" s="20" t="str">
        <f>IFERROR(INDEX('Detalles movimientos'!M$5:M$1003, MATCH(76, 'Detalles movimientos'!$V$5:$V$1003, 0)), "")</f>
        <v/>
      </c>
      <c r="J85" s="19" t="str">
        <f>IFERROR(INDEX('Detalles movimientos'!N$5:N$1003, MATCH(76, 'Detalles movimientos'!$V$5:$V$1003, 0)), "")</f>
        <v/>
      </c>
      <c r="K85" s="20" t="str">
        <f>IFERROR(INDEX('Detalles movimientos'!O$5:O$1003, MATCH(76, 'Detalles movimientos'!$V$5:$V$1003, 0)), "")</f>
        <v/>
      </c>
      <c r="L85" s="18" t="str">
        <f>IFERROR(INDEX('Detalles movimientos'!P$5:P$1003, MATCH(76, 'Detalles movimientos'!$V$5:$V$1003, 0)), "")</f>
        <v/>
      </c>
      <c r="M85" s="18" t="str">
        <f>IFERROR(INDEX('Detalles movimientos'!S$5:S$1003, MATCH(76, 'Detalles movimientos'!$V$5:$V$1003, 0)), "")</f>
        <v/>
      </c>
    </row>
    <row r="86" spans="2:13">
      <c r="B86" s="17" t="str">
        <f>IFERROR(INDEX('Detalles movimientos'!C$5:C$1003, MATCH(77, 'Detalles movimientos'!$V$5:$V$1003, 0)), "")</f>
        <v/>
      </c>
      <c r="C86" s="18" t="str">
        <f>IFERROR(INDEX('Detalles movimientos'!D$5:D$1003, MATCH(77, 'Detalles movimientos'!$V$5:$V$1003, 0)), "")</f>
        <v/>
      </c>
      <c r="D86" s="19" t="str">
        <f>IFERROR(INDEX('Detalles movimientos'!E$5:E$1003, MATCH(77, 'Detalles movimientos'!$V$5:$V$1003, 0)), "")</f>
        <v/>
      </c>
      <c r="E86" s="19" t="str">
        <f>IFERROR(INDEX('Detalles movimientos'!F$5:F$1003, MATCH(77, 'Detalles movimientos'!$V$5:$V$1003, 0)), "")</f>
        <v/>
      </c>
      <c r="F86" s="18" t="str">
        <f>IFERROR(INDEX('Detalles movimientos'!G$5:G$1003, MATCH(77, 'Detalles movimientos'!$V$5:$V$1003, 0)), "")</f>
        <v/>
      </c>
      <c r="G86" s="20" t="str">
        <f>IFERROR(INDEX('Detalles movimientos'!H$5:H$1003, MATCH(77, 'Detalles movimientos'!$V$5:$V$1003, 0)), "")</f>
        <v/>
      </c>
      <c r="H86" s="21" t="str">
        <f>IFERROR(INDEX('Detalles movimientos'!I$5:I$1003, MATCH(77, 'Detalles movimientos'!$V$5:$V$1003, 0)), "")</f>
        <v/>
      </c>
      <c r="I86" s="20" t="str">
        <f>IFERROR(INDEX('Detalles movimientos'!M$5:M$1003, MATCH(77, 'Detalles movimientos'!$V$5:$V$1003, 0)), "")</f>
        <v/>
      </c>
      <c r="J86" s="19" t="str">
        <f>IFERROR(INDEX('Detalles movimientos'!N$5:N$1003, MATCH(77, 'Detalles movimientos'!$V$5:$V$1003, 0)), "")</f>
        <v/>
      </c>
      <c r="K86" s="20" t="str">
        <f>IFERROR(INDEX('Detalles movimientos'!O$5:O$1003, MATCH(77, 'Detalles movimientos'!$V$5:$V$1003, 0)), "")</f>
        <v/>
      </c>
      <c r="L86" s="18" t="str">
        <f>IFERROR(INDEX('Detalles movimientos'!P$5:P$1003, MATCH(77, 'Detalles movimientos'!$V$5:$V$1003, 0)), "")</f>
        <v/>
      </c>
      <c r="M86" s="18" t="str">
        <f>IFERROR(INDEX('Detalles movimientos'!S$5:S$1003, MATCH(77, 'Detalles movimientos'!$V$5:$V$1003, 0)), "")</f>
        <v/>
      </c>
    </row>
    <row r="87" spans="2:13">
      <c r="B87" s="17" t="str">
        <f>IFERROR(INDEX('Detalles movimientos'!C$5:C$1003, MATCH(78, 'Detalles movimientos'!$V$5:$V$1003, 0)), "")</f>
        <v/>
      </c>
      <c r="C87" s="18" t="str">
        <f>IFERROR(INDEX('Detalles movimientos'!D$5:D$1003, MATCH(78, 'Detalles movimientos'!$V$5:$V$1003, 0)), "")</f>
        <v/>
      </c>
      <c r="D87" s="19" t="str">
        <f>IFERROR(INDEX('Detalles movimientos'!E$5:E$1003, MATCH(78, 'Detalles movimientos'!$V$5:$V$1003, 0)), "")</f>
        <v/>
      </c>
      <c r="E87" s="19" t="str">
        <f>IFERROR(INDEX('Detalles movimientos'!F$5:F$1003, MATCH(78, 'Detalles movimientos'!$V$5:$V$1003, 0)), "")</f>
        <v/>
      </c>
      <c r="F87" s="18" t="str">
        <f>IFERROR(INDEX('Detalles movimientos'!G$5:G$1003, MATCH(78, 'Detalles movimientos'!$V$5:$V$1003, 0)), "")</f>
        <v/>
      </c>
      <c r="G87" s="20" t="str">
        <f>IFERROR(INDEX('Detalles movimientos'!H$5:H$1003, MATCH(78, 'Detalles movimientos'!$V$5:$V$1003, 0)), "")</f>
        <v/>
      </c>
      <c r="H87" s="21" t="str">
        <f>IFERROR(INDEX('Detalles movimientos'!I$5:I$1003, MATCH(78, 'Detalles movimientos'!$V$5:$V$1003, 0)), "")</f>
        <v/>
      </c>
      <c r="I87" s="20" t="str">
        <f>IFERROR(INDEX('Detalles movimientos'!M$5:M$1003, MATCH(78, 'Detalles movimientos'!$V$5:$V$1003, 0)), "")</f>
        <v/>
      </c>
      <c r="J87" s="19" t="str">
        <f>IFERROR(INDEX('Detalles movimientos'!N$5:N$1003, MATCH(78, 'Detalles movimientos'!$V$5:$V$1003, 0)), "")</f>
        <v/>
      </c>
      <c r="K87" s="20" t="str">
        <f>IFERROR(INDEX('Detalles movimientos'!O$5:O$1003, MATCH(78, 'Detalles movimientos'!$V$5:$V$1003, 0)), "")</f>
        <v/>
      </c>
      <c r="L87" s="18" t="str">
        <f>IFERROR(INDEX('Detalles movimientos'!P$5:P$1003, MATCH(78, 'Detalles movimientos'!$V$5:$V$1003, 0)), "")</f>
        <v/>
      </c>
      <c r="M87" s="18" t="str">
        <f>IFERROR(INDEX('Detalles movimientos'!S$5:S$1003, MATCH(78, 'Detalles movimientos'!$V$5:$V$1003, 0)), "")</f>
        <v/>
      </c>
    </row>
    <row r="88" spans="2:13">
      <c r="B88" s="17" t="str">
        <f>IFERROR(INDEX('Detalles movimientos'!C$5:C$1003, MATCH(79, 'Detalles movimientos'!$V$5:$V$1003, 0)), "")</f>
        <v/>
      </c>
      <c r="C88" s="18" t="str">
        <f>IFERROR(INDEX('Detalles movimientos'!D$5:D$1003, MATCH(79, 'Detalles movimientos'!$V$5:$V$1003, 0)), "")</f>
        <v/>
      </c>
      <c r="D88" s="19" t="str">
        <f>IFERROR(INDEX('Detalles movimientos'!E$5:E$1003, MATCH(79, 'Detalles movimientos'!$V$5:$V$1003, 0)), "")</f>
        <v/>
      </c>
      <c r="E88" s="19" t="str">
        <f>IFERROR(INDEX('Detalles movimientos'!F$5:F$1003, MATCH(79, 'Detalles movimientos'!$V$5:$V$1003, 0)), "")</f>
        <v/>
      </c>
      <c r="F88" s="18" t="str">
        <f>IFERROR(INDEX('Detalles movimientos'!G$5:G$1003, MATCH(79, 'Detalles movimientos'!$V$5:$V$1003, 0)), "")</f>
        <v/>
      </c>
      <c r="G88" s="20" t="str">
        <f>IFERROR(INDEX('Detalles movimientos'!H$5:H$1003, MATCH(79, 'Detalles movimientos'!$V$5:$V$1003, 0)), "")</f>
        <v/>
      </c>
      <c r="H88" s="21" t="str">
        <f>IFERROR(INDEX('Detalles movimientos'!I$5:I$1003, MATCH(79, 'Detalles movimientos'!$V$5:$V$1003, 0)), "")</f>
        <v/>
      </c>
      <c r="I88" s="20" t="str">
        <f>IFERROR(INDEX('Detalles movimientos'!M$5:M$1003, MATCH(79, 'Detalles movimientos'!$V$5:$V$1003, 0)), "")</f>
        <v/>
      </c>
      <c r="J88" s="19" t="str">
        <f>IFERROR(INDEX('Detalles movimientos'!N$5:N$1003, MATCH(79, 'Detalles movimientos'!$V$5:$V$1003, 0)), "")</f>
        <v/>
      </c>
      <c r="K88" s="20" t="str">
        <f>IFERROR(INDEX('Detalles movimientos'!O$5:O$1003, MATCH(79, 'Detalles movimientos'!$V$5:$V$1003, 0)), "")</f>
        <v/>
      </c>
      <c r="L88" s="18" t="str">
        <f>IFERROR(INDEX('Detalles movimientos'!P$5:P$1003, MATCH(79, 'Detalles movimientos'!$V$5:$V$1003, 0)), "")</f>
        <v/>
      </c>
      <c r="M88" s="18" t="str">
        <f>IFERROR(INDEX('Detalles movimientos'!S$5:S$1003, MATCH(79, 'Detalles movimientos'!$V$5:$V$1003, 0)), "")</f>
        <v/>
      </c>
    </row>
    <row r="89" spans="2:13">
      <c r="B89" s="17" t="str">
        <f>IFERROR(INDEX('Detalles movimientos'!C$5:C$1003, MATCH(80, 'Detalles movimientos'!$V$5:$V$1003, 0)), "")</f>
        <v/>
      </c>
      <c r="C89" s="18" t="str">
        <f>IFERROR(INDEX('Detalles movimientos'!D$5:D$1003, MATCH(80, 'Detalles movimientos'!$V$5:$V$1003, 0)), "")</f>
        <v/>
      </c>
      <c r="D89" s="19" t="str">
        <f>IFERROR(INDEX('Detalles movimientos'!E$5:E$1003, MATCH(80, 'Detalles movimientos'!$V$5:$V$1003, 0)), "")</f>
        <v/>
      </c>
      <c r="E89" s="19" t="str">
        <f>IFERROR(INDEX('Detalles movimientos'!F$5:F$1003, MATCH(80, 'Detalles movimientos'!$V$5:$V$1003, 0)), "")</f>
        <v/>
      </c>
      <c r="F89" s="18" t="str">
        <f>IFERROR(INDEX('Detalles movimientos'!G$5:G$1003, MATCH(80, 'Detalles movimientos'!$V$5:$V$1003, 0)), "")</f>
        <v/>
      </c>
      <c r="G89" s="20" t="str">
        <f>IFERROR(INDEX('Detalles movimientos'!H$5:H$1003, MATCH(80, 'Detalles movimientos'!$V$5:$V$1003, 0)), "")</f>
        <v/>
      </c>
      <c r="H89" s="21" t="str">
        <f>IFERROR(INDEX('Detalles movimientos'!I$5:I$1003, MATCH(80, 'Detalles movimientos'!$V$5:$V$1003, 0)), "")</f>
        <v/>
      </c>
      <c r="I89" s="20" t="str">
        <f>IFERROR(INDEX('Detalles movimientos'!M$5:M$1003, MATCH(80, 'Detalles movimientos'!$V$5:$V$1003, 0)), "")</f>
        <v/>
      </c>
      <c r="J89" s="19" t="str">
        <f>IFERROR(INDEX('Detalles movimientos'!N$5:N$1003, MATCH(80, 'Detalles movimientos'!$V$5:$V$1003, 0)), "")</f>
        <v/>
      </c>
      <c r="K89" s="20" t="str">
        <f>IFERROR(INDEX('Detalles movimientos'!O$5:O$1003, MATCH(80, 'Detalles movimientos'!$V$5:$V$1003, 0)), "")</f>
        <v/>
      </c>
      <c r="L89" s="18" t="str">
        <f>IFERROR(INDEX('Detalles movimientos'!P$5:P$1003, MATCH(80, 'Detalles movimientos'!$V$5:$V$1003, 0)), "")</f>
        <v/>
      </c>
      <c r="M89" s="18" t="str">
        <f>IFERROR(INDEX('Detalles movimientos'!S$5:S$1003, MATCH(80, 'Detalles movimientos'!$V$5:$V$1003, 0)), "")</f>
        <v/>
      </c>
    </row>
    <row r="90" spans="2:13">
      <c r="B90" s="17" t="str">
        <f>IFERROR(INDEX('Detalles movimientos'!C$5:C$1003, MATCH(81, 'Detalles movimientos'!$V$5:$V$1003, 0)), "")</f>
        <v/>
      </c>
      <c r="C90" s="18" t="str">
        <f>IFERROR(INDEX('Detalles movimientos'!D$5:D$1003, MATCH(81, 'Detalles movimientos'!$V$5:$V$1003, 0)), "")</f>
        <v/>
      </c>
      <c r="D90" s="19" t="str">
        <f>IFERROR(INDEX('Detalles movimientos'!E$5:E$1003, MATCH(81, 'Detalles movimientos'!$V$5:$V$1003, 0)), "")</f>
        <v/>
      </c>
      <c r="E90" s="19" t="str">
        <f>IFERROR(INDEX('Detalles movimientos'!F$5:F$1003, MATCH(81, 'Detalles movimientos'!$V$5:$V$1003, 0)), "")</f>
        <v/>
      </c>
      <c r="F90" s="18" t="str">
        <f>IFERROR(INDEX('Detalles movimientos'!G$5:G$1003, MATCH(81, 'Detalles movimientos'!$V$5:$V$1003, 0)), "")</f>
        <v/>
      </c>
      <c r="G90" s="20" t="str">
        <f>IFERROR(INDEX('Detalles movimientos'!H$5:H$1003, MATCH(81, 'Detalles movimientos'!$V$5:$V$1003, 0)), "")</f>
        <v/>
      </c>
      <c r="H90" s="21" t="str">
        <f>IFERROR(INDEX('Detalles movimientos'!I$5:I$1003, MATCH(81, 'Detalles movimientos'!$V$5:$V$1003, 0)), "")</f>
        <v/>
      </c>
      <c r="I90" s="20" t="str">
        <f>IFERROR(INDEX('Detalles movimientos'!M$5:M$1003, MATCH(81, 'Detalles movimientos'!$V$5:$V$1003, 0)), "")</f>
        <v/>
      </c>
      <c r="J90" s="19" t="str">
        <f>IFERROR(INDEX('Detalles movimientos'!N$5:N$1003, MATCH(81, 'Detalles movimientos'!$V$5:$V$1003, 0)), "")</f>
        <v/>
      </c>
      <c r="K90" s="20" t="str">
        <f>IFERROR(INDEX('Detalles movimientos'!O$5:O$1003, MATCH(81, 'Detalles movimientos'!$V$5:$V$1003, 0)), "")</f>
        <v/>
      </c>
      <c r="L90" s="18" t="str">
        <f>IFERROR(INDEX('Detalles movimientos'!P$5:P$1003, MATCH(81, 'Detalles movimientos'!$V$5:$V$1003, 0)), "")</f>
        <v/>
      </c>
      <c r="M90" s="18" t="str">
        <f>IFERROR(INDEX('Detalles movimientos'!S$5:S$1003, MATCH(81, 'Detalles movimientos'!$V$5:$V$1003, 0)), "")</f>
        <v/>
      </c>
    </row>
    <row r="91" spans="2:13">
      <c r="B91" s="17" t="str">
        <f>IFERROR(INDEX('Detalles movimientos'!C$5:C$1003, MATCH(82, 'Detalles movimientos'!$V$5:$V$1003, 0)), "")</f>
        <v/>
      </c>
      <c r="C91" s="18" t="str">
        <f>IFERROR(INDEX('Detalles movimientos'!D$5:D$1003, MATCH(82, 'Detalles movimientos'!$V$5:$V$1003, 0)), "")</f>
        <v/>
      </c>
      <c r="D91" s="19" t="str">
        <f>IFERROR(INDEX('Detalles movimientos'!E$5:E$1003, MATCH(82, 'Detalles movimientos'!$V$5:$V$1003, 0)), "")</f>
        <v/>
      </c>
      <c r="E91" s="19" t="str">
        <f>IFERROR(INDEX('Detalles movimientos'!F$5:F$1003, MATCH(82, 'Detalles movimientos'!$V$5:$V$1003, 0)), "")</f>
        <v/>
      </c>
      <c r="F91" s="18" t="str">
        <f>IFERROR(INDEX('Detalles movimientos'!G$5:G$1003, MATCH(82, 'Detalles movimientos'!$V$5:$V$1003, 0)), "")</f>
        <v/>
      </c>
      <c r="G91" s="20" t="str">
        <f>IFERROR(INDEX('Detalles movimientos'!H$5:H$1003, MATCH(82, 'Detalles movimientos'!$V$5:$V$1003, 0)), "")</f>
        <v/>
      </c>
      <c r="H91" s="21" t="str">
        <f>IFERROR(INDEX('Detalles movimientos'!I$5:I$1003, MATCH(82, 'Detalles movimientos'!$V$5:$V$1003, 0)), "")</f>
        <v/>
      </c>
      <c r="I91" s="20" t="str">
        <f>IFERROR(INDEX('Detalles movimientos'!M$5:M$1003, MATCH(82, 'Detalles movimientos'!$V$5:$V$1003, 0)), "")</f>
        <v/>
      </c>
      <c r="J91" s="19" t="str">
        <f>IFERROR(INDEX('Detalles movimientos'!N$5:N$1003, MATCH(82, 'Detalles movimientos'!$V$5:$V$1003, 0)), "")</f>
        <v/>
      </c>
      <c r="K91" s="20" t="str">
        <f>IFERROR(INDEX('Detalles movimientos'!O$5:O$1003, MATCH(82, 'Detalles movimientos'!$V$5:$V$1003, 0)), "")</f>
        <v/>
      </c>
      <c r="L91" s="18" t="str">
        <f>IFERROR(INDEX('Detalles movimientos'!P$5:P$1003, MATCH(82, 'Detalles movimientos'!$V$5:$V$1003, 0)), "")</f>
        <v/>
      </c>
      <c r="M91" s="18" t="str">
        <f>IFERROR(INDEX('Detalles movimientos'!S$5:S$1003, MATCH(82, 'Detalles movimientos'!$V$5:$V$1003, 0)), "")</f>
        <v/>
      </c>
    </row>
    <row r="92" spans="2:13">
      <c r="B92" s="17" t="str">
        <f>IFERROR(INDEX('Detalles movimientos'!C$5:C$1003, MATCH(83, 'Detalles movimientos'!$V$5:$V$1003, 0)), "")</f>
        <v/>
      </c>
      <c r="C92" s="18" t="str">
        <f>IFERROR(INDEX('Detalles movimientos'!D$5:D$1003, MATCH(83, 'Detalles movimientos'!$V$5:$V$1003, 0)), "")</f>
        <v/>
      </c>
      <c r="D92" s="19" t="str">
        <f>IFERROR(INDEX('Detalles movimientos'!E$5:E$1003, MATCH(83, 'Detalles movimientos'!$V$5:$V$1003, 0)), "")</f>
        <v/>
      </c>
      <c r="E92" s="19" t="str">
        <f>IFERROR(INDEX('Detalles movimientos'!F$5:F$1003, MATCH(83, 'Detalles movimientos'!$V$5:$V$1003, 0)), "")</f>
        <v/>
      </c>
      <c r="F92" s="18" t="str">
        <f>IFERROR(INDEX('Detalles movimientos'!G$5:G$1003, MATCH(83, 'Detalles movimientos'!$V$5:$V$1003, 0)), "")</f>
        <v/>
      </c>
      <c r="G92" s="20" t="str">
        <f>IFERROR(INDEX('Detalles movimientos'!H$5:H$1003, MATCH(83, 'Detalles movimientos'!$V$5:$V$1003, 0)), "")</f>
        <v/>
      </c>
      <c r="H92" s="21" t="str">
        <f>IFERROR(INDEX('Detalles movimientos'!I$5:I$1003, MATCH(83, 'Detalles movimientos'!$V$5:$V$1003, 0)), "")</f>
        <v/>
      </c>
      <c r="I92" s="20" t="str">
        <f>IFERROR(INDEX('Detalles movimientos'!M$5:M$1003, MATCH(83, 'Detalles movimientos'!$V$5:$V$1003, 0)), "")</f>
        <v/>
      </c>
      <c r="J92" s="19" t="str">
        <f>IFERROR(INDEX('Detalles movimientos'!N$5:N$1003, MATCH(83, 'Detalles movimientos'!$V$5:$V$1003, 0)), "")</f>
        <v/>
      </c>
      <c r="K92" s="20" t="str">
        <f>IFERROR(INDEX('Detalles movimientos'!O$5:O$1003, MATCH(83, 'Detalles movimientos'!$V$5:$V$1003, 0)), "")</f>
        <v/>
      </c>
      <c r="L92" s="18" t="str">
        <f>IFERROR(INDEX('Detalles movimientos'!P$5:P$1003, MATCH(83, 'Detalles movimientos'!$V$5:$V$1003, 0)), "")</f>
        <v/>
      </c>
      <c r="M92" s="18" t="str">
        <f>IFERROR(INDEX('Detalles movimientos'!S$5:S$1003, MATCH(83, 'Detalles movimientos'!$V$5:$V$1003, 0)), "")</f>
        <v/>
      </c>
    </row>
    <row r="93" spans="2:13">
      <c r="B93" s="17" t="str">
        <f>IFERROR(INDEX('Detalles movimientos'!C$5:C$1003, MATCH(84, 'Detalles movimientos'!$V$5:$V$1003, 0)), "")</f>
        <v/>
      </c>
      <c r="C93" s="18" t="str">
        <f>IFERROR(INDEX('Detalles movimientos'!D$5:D$1003, MATCH(84, 'Detalles movimientos'!$V$5:$V$1003, 0)), "")</f>
        <v/>
      </c>
      <c r="D93" s="19" t="str">
        <f>IFERROR(INDEX('Detalles movimientos'!E$5:E$1003, MATCH(84, 'Detalles movimientos'!$V$5:$V$1003, 0)), "")</f>
        <v/>
      </c>
      <c r="E93" s="19" t="str">
        <f>IFERROR(INDEX('Detalles movimientos'!F$5:F$1003, MATCH(84, 'Detalles movimientos'!$V$5:$V$1003, 0)), "")</f>
        <v/>
      </c>
      <c r="F93" s="18" t="str">
        <f>IFERROR(INDEX('Detalles movimientos'!G$5:G$1003, MATCH(84, 'Detalles movimientos'!$V$5:$V$1003, 0)), "")</f>
        <v/>
      </c>
      <c r="G93" s="20" t="str">
        <f>IFERROR(INDEX('Detalles movimientos'!H$5:H$1003, MATCH(84, 'Detalles movimientos'!$V$5:$V$1003, 0)), "")</f>
        <v/>
      </c>
      <c r="H93" s="21" t="str">
        <f>IFERROR(INDEX('Detalles movimientos'!I$5:I$1003, MATCH(84, 'Detalles movimientos'!$V$5:$V$1003, 0)), "")</f>
        <v/>
      </c>
      <c r="I93" s="20" t="str">
        <f>IFERROR(INDEX('Detalles movimientos'!M$5:M$1003, MATCH(84, 'Detalles movimientos'!$V$5:$V$1003, 0)), "")</f>
        <v/>
      </c>
      <c r="J93" s="19" t="str">
        <f>IFERROR(INDEX('Detalles movimientos'!N$5:N$1003, MATCH(84, 'Detalles movimientos'!$V$5:$V$1003, 0)), "")</f>
        <v/>
      </c>
      <c r="K93" s="20" t="str">
        <f>IFERROR(INDEX('Detalles movimientos'!O$5:O$1003, MATCH(84, 'Detalles movimientos'!$V$5:$V$1003, 0)), "")</f>
        <v/>
      </c>
      <c r="L93" s="18" t="str">
        <f>IFERROR(INDEX('Detalles movimientos'!P$5:P$1003, MATCH(84, 'Detalles movimientos'!$V$5:$V$1003, 0)), "")</f>
        <v/>
      </c>
      <c r="M93" s="18" t="str">
        <f>IFERROR(INDEX('Detalles movimientos'!S$5:S$1003, MATCH(84, 'Detalles movimientos'!$V$5:$V$1003, 0)), "")</f>
        <v/>
      </c>
    </row>
    <row r="94" spans="2:13">
      <c r="B94" s="17" t="str">
        <f>IFERROR(INDEX('Detalles movimientos'!C$5:C$1003, MATCH(85, 'Detalles movimientos'!$V$5:$V$1003, 0)), "")</f>
        <v/>
      </c>
      <c r="C94" s="18" t="str">
        <f>IFERROR(INDEX('Detalles movimientos'!D$5:D$1003, MATCH(85, 'Detalles movimientos'!$V$5:$V$1003, 0)), "")</f>
        <v/>
      </c>
      <c r="D94" s="19" t="str">
        <f>IFERROR(INDEX('Detalles movimientos'!E$5:E$1003, MATCH(85, 'Detalles movimientos'!$V$5:$V$1003, 0)), "")</f>
        <v/>
      </c>
      <c r="E94" s="19" t="str">
        <f>IFERROR(INDEX('Detalles movimientos'!F$5:F$1003, MATCH(85, 'Detalles movimientos'!$V$5:$V$1003, 0)), "")</f>
        <v/>
      </c>
      <c r="F94" s="18" t="str">
        <f>IFERROR(INDEX('Detalles movimientos'!G$5:G$1003, MATCH(85, 'Detalles movimientos'!$V$5:$V$1003, 0)), "")</f>
        <v/>
      </c>
      <c r="G94" s="20" t="str">
        <f>IFERROR(INDEX('Detalles movimientos'!H$5:H$1003, MATCH(85, 'Detalles movimientos'!$V$5:$V$1003, 0)), "")</f>
        <v/>
      </c>
      <c r="H94" s="21" t="str">
        <f>IFERROR(INDEX('Detalles movimientos'!I$5:I$1003, MATCH(85, 'Detalles movimientos'!$V$5:$V$1003, 0)), "")</f>
        <v/>
      </c>
      <c r="I94" s="20" t="str">
        <f>IFERROR(INDEX('Detalles movimientos'!M$5:M$1003, MATCH(85, 'Detalles movimientos'!$V$5:$V$1003, 0)), "")</f>
        <v/>
      </c>
      <c r="J94" s="19" t="str">
        <f>IFERROR(INDEX('Detalles movimientos'!N$5:N$1003, MATCH(85, 'Detalles movimientos'!$V$5:$V$1003, 0)), "")</f>
        <v/>
      </c>
      <c r="K94" s="20" t="str">
        <f>IFERROR(INDEX('Detalles movimientos'!O$5:O$1003, MATCH(85, 'Detalles movimientos'!$V$5:$V$1003, 0)), "")</f>
        <v/>
      </c>
      <c r="L94" s="18" t="str">
        <f>IFERROR(INDEX('Detalles movimientos'!P$5:P$1003, MATCH(85, 'Detalles movimientos'!$V$5:$V$1003, 0)), "")</f>
        <v/>
      </c>
      <c r="M94" s="18" t="str">
        <f>IFERROR(INDEX('Detalles movimientos'!S$5:S$1003, MATCH(85, 'Detalles movimientos'!$V$5:$V$1003, 0)), "")</f>
        <v/>
      </c>
    </row>
    <row r="95" spans="2:13">
      <c r="B95" s="17" t="str">
        <f>IFERROR(INDEX('Detalles movimientos'!C$5:C$1003, MATCH(86, 'Detalles movimientos'!$V$5:$V$1003, 0)), "")</f>
        <v/>
      </c>
      <c r="C95" s="18" t="str">
        <f>IFERROR(INDEX('Detalles movimientos'!D$5:D$1003, MATCH(86, 'Detalles movimientos'!$V$5:$V$1003, 0)), "")</f>
        <v/>
      </c>
      <c r="D95" s="19" t="str">
        <f>IFERROR(INDEX('Detalles movimientos'!E$5:E$1003, MATCH(86, 'Detalles movimientos'!$V$5:$V$1003, 0)), "")</f>
        <v/>
      </c>
      <c r="E95" s="19" t="str">
        <f>IFERROR(INDEX('Detalles movimientos'!F$5:F$1003, MATCH(86, 'Detalles movimientos'!$V$5:$V$1003, 0)), "")</f>
        <v/>
      </c>
      <c r="F95" s="18" t="str">
        <f>IFERROR(INDEX('Detalles movimientos'!G$5:G$1003, MATCH(86, 'Detalles movimientos'!$V$5:$V$1003, 0)), "")</f>
        <v/>
      </c>
      <c r="G95" s="20" t="str">
        <f>IFERROR(INDEX('Detalles movimientos'!H$5:H$1003, MATCH(86, 'Detalles movimientos'!$V$5:$V$1003, 0)), "")</f>
        <v/>
      </c>
      <c r="H95" s="21" t="str">
        <f>IFERROR(INDEX('Detalles movimientos'!I$5:I$1003, MATCH(86, 'Detalles movimientos'!$V$5:$V$1003, 0)), "")</f>
        <v/>
      </c>
      <c r="I95" s="20" t="str">
        <f>IFERROR(INDEX('Detalles movimientos'!M$5:M$1003, MATCH(86, 'Detalles movimientos'!$V$5:$V$1003, 0)), "")</f>
        <v/>
      </c>
      <c r="J95" s="19" t="str">
        <f>IFERROR(INDEX('Detalles movimientos'!N$5:N$1003, MATCH(86, 'Detalles movimientos'!$V$5:$V$1003, 0)), "")</f>
        <v/>
      </c>
      <c r="K95" s="20" t="str">
        <f>IFERROR(INDEX('Detalles movimientos'!O$5:O$1003, MATCH(86, 'Detalles movimientos'!$V$5:$V$1003, 0)), "")</f>
        <v/>
      </c>
      <c r="L95" s="18" t="str">
        <f>IFERROR(INDEX('Detalles movimientos'!P$5:P$1003, MATCH(86, 'Detalles movimientos'!$V$5:$V$1003, 0)), "")</f>
        <v/>
      </c>
      <c r="M95" s="18" t="str">
        <f>IFERROR(INDEX('Detalles movimientos'!S$5:S$1003, MATCH(86, 'Detalles movimientos'!$V$5:$V$1003, 0)), "")</f>
        <v/>
      </c>
    </row>
    <row r="96" spans="2:13">
      <c r="B96" s="17" t="str">
        <f>IFERROR(INDEX('Detalles movimientos'!C$5:C$1003, MATCH(87, 'Detalles movimientos'!$V$5:$V$1003, 0)), "")</f>
        <v/>
      </c>
      <c r="C96" s="18" t="str">
        <f>IFERROR(INDEX('Detalles movimientos'!D$5:D$1003, MATCH(87, 'Detalles movimientos'!$V$5:$V$1003, 0)), "")</f>
        <v/>
      </c>
      <c r="D96" s="19" t="str">
        <f>IFERROR(INDEX('Detalles movimientos'!E$5:E$1003, MATCH(87, 'Detalles movimientos'!$V$5:$V$1003, 0)), "")</f>
        <v/>
      </c>
      <c r="E96" s="19" t="str">
        <f>IFERROR(INDEX('Detalles movimientos'!F$5:F$1003, MATCH(87, 'Detalles movimientos'!$V$5:$V$1003, 0)), "")</f>
        <v/>
      </c>
      <c r="F96" s="18" t="str">
        <f>IFERROR(INDEX('Detalles movimientos'!G$5:G$1003, MATCH(87, 'Detalles movimientos'!$V$5:$V$1003, 0)), "")</f>
        <v/>
      </c>
      <c r="G96" s="20" t="str">
        <f>IFERROR(INDEX('Detalles movimientos'!H$5:H$1003, MATCH(87, 'Detalles movimientos'!$V$5:$V$1003, 0)), "")</f>
        <v/>
      </c>
      <c r="H96" s="21" t="str">
        <f>IFERROR(INDEX('Detalles movimientos'!I$5:I$1003, MATCH(87, 'Detalles movimientos'!$V$5:$V$1003, 0)), "")</f>
        <v/>
      </c>
      <c r="I96" s="20" t="str">
        <f>IFERROR(INDEX('Detalles movimientos'!M$5:M$1003, MATCH(87, 'Detalles movimientos'!$V$5:$V$1003, 0)), "")</f>
        <v/>
      </c>
      <c r="J96" s="19" t="str">
        <f>IFERROR(INDEX('Detalles movimientos'!N$5:N$1003, MATCH(87, 'Detalles movimientos'!$V$5:$V$1003, 0)), "")</f>
        <v/>
      </c>
      <c r="K96" s="20" t="str">
        <f>IFERROR(INDEX('Detalles movimientos'!O$5:O$1003, MATCH(87, 'Detalles movimientos'!$V$5:$V$1003, 0)), "")</f>
        <v/>
      </c>
      <c r="L96" s="18" t="str">
        <f>IFERROR(INDEX('Detalles movimientos'!P$5:P$1003, MATCH(87, 'Detalles movimientos'!$V$5:$V$1003, 0)), "")</f>
        <v/>
      </c>
      <c r="M96" s="18" t="str">
        <f>IFERROR(INDEX('Detalles movimientos'!S$5:S$1003, MATCH(87, 'Detalles movimientos'!$V$5:$V$1003, 0)), "")</f>
        <v/>
      </c>
    </row>
    <row r="97" spans="2:13">
      <c r="B97" s="17" t="str">
        <f>IFERROR(INDEX('Detalles movimientos'!C$5:C$1003, MATCH(88, 'Detalles movimientos'!$V$5:$V$1003, 0)), "")</f>
        <v/>
      </c>
      <c r="C97" s="18" t="str">
        <f>IFERROR(INDEX('Detalles movimientos'!D$5:D$1003, MATCH(88, 'Detalles movimientos'!$V$5:$V$1003, 0)), "")</f>
        <v/>
      </c>
      <c r="D97" s="19" t="str">
        <f>IFERROR(INDEX('Detalles movimientos'!E$5:E$1003, MATCH(88, 'Detalles movimientos'!$V$5:$V$1003, 0)), "")</f>
        <v/>
      </c>
      <c r="E97" s="19" t="str">
        <f>IFERROR(INDEX('Detalles movimientos'!F$5:F$1003, MATCH(88, 'Detalles movimientos'!$V$5:$V$1003, 0)), "")</f>
        <v/>
      </c>
      <c r="F97" s="18" t="str">
        <f>IFERROR(INDEX('Detalles movimientos'!G$5:G$1003, MATCH(88, 'Detalles movimientos'!$V$5:$V$1003, 0)), "")</f>
        <v/>
      </c>
      <c r="G97" s="20" t="str">
        <f>IFERROR(INDEX('Detalles movimientos'!H$5:H$1003, MATCH(88, 'Detalles movimientos'!$V$5:$V$1003, 0)), "")</f>
        <v/>
      </c>
      <c r="H97" s="21" t="str">
        <f>IFERROR(INDEX('Detalles movimientos'!I$5:I$1003, MATCH(88, 'Detalles movimientos'!$V$5:$V$1003, 0)), "")</f>
        <v/>
      </c>
      <c r="I97" s="20" t="str">
        <f>IFERROR(INDEX('Detalles movimientos'!M$5:M$1003, MATCH(88, 'Detalles movimientos'!$V$5:$V$1003, 0)), "")</f>
        <v/>
      </c>
      <c r="J97" s="19" t="str">
        <f>IFERROR(INDEX('Detalles movimientos'!N$5:N$1003, MATCH(88, 'Detalles movimientos'!$V$5:$V$1003, 0)), "")</f>
        <v/>
      </c>
      <c r="K97" s="20" t="str">
        <f>IFERROR(INDEX('Detalles movimientos'!O$5:O$1003, MATCH(88, 'Detalles movimientos'!$V$5:$V$1003, 0)), "")</f>
        <v/>
      </c>
      <c r="L97" s="18" t="str">
        <f>IFERROR(INDEX('Detalles movimientos'!P$5:P$1003, MATCH(88, 'Detalles movimientos'!$V$5:$V$1003, 0)), "")</f>
        <v/>
      </c>
      <c r="M97" s="18" t="str">
        <f>IFERROR(INDEX('Detalles movimientos'!S$5:S$1003, MATCH(88, 'Detalles movimientos'!$V$5:$V$1003, 0)), "")</f>
        <v/>
      </c>
    </row>
    <row r="98" spans="2:13">
      <c r="B98" s="17" t="str">
        <f>IFERROR(INDEX('Detalles movimientos'!C$5:C$1003, MATCH(89, 'Detalles movimientos'!$V$5:$V$1003, 0)), "")</f>
        <v/>
      </c>
      <c r="C98" s="18" t="str">
        <f>IFERROR(INDEX('Detalles movimientos'!D$5:D$1003, MATCH(89, 'Detalles movimientos'!$V$5:$V$1003, 0)), "")</f>
        <v/>
      </c>
      <c r="D98" s="19" t="str">
        <f>IFERROR(INDEX('Detalles movimientos'!E$5:E$1003, MATCH(89, 'Detalles movimientos'!$V$5:$V$1003, 0)), "")</f>
        <v/>
      </c>
      <c r="E98" s="19" t="str">
        <f>IFERROR(INDEX('Detalles movimientos'!F$5:F$1003, MATCH(89, 'Detalles movimientos'!$V$5:$V$1003, 0)), "")</f>
        <v/>
      </c>
      <c r="F98" s="18" t="str">
        <f>IFERROR(INDEX('Detalles movimientos'!G$5:G$1003, MATCH(89, 'Detalles movimientos'!$V$5:$V$1003, 0)), "")</f>
        <v/>
      </c>
      <c r="G98" s="20" t="str">
        <f>IFERROR(INDEX('Detalles movimientos'!H$5:H$1003, MATCH(89, 'Detalles movimientos'!$V$5:$V$1003, 0)), "")</f>
        <v/>
      </c>
      <c r="H98" s="21" t="str">
        <f>IFERROR(INDEX('Detalles movimientos'!I$5:I$1003, MATCH(89, 'Detalles movimientos'!$V$5:$V$1003, 0)), "")</f>
        <v/>
      </c>
      <c r="I98" s="20" t="str">
        <f>IFERROR(INDEX('Detalles movimientos'!M$5:M$1003, MATCH(89, 'Detalles movimientos'!$V$5:$V$1003, 0)), "")</f>
        <v/>
      </c>
      <c r="J98" s="19" t="str">
        <f>IFERROR(INDEX('Detalles movimientos'!N$5:N$1003, MATCH(89, 'Detalles movimientos'!$V$5:$V$1003, 0)), "")</f>
        <v/>
      </c>
      <c r="K98" s="20" t="str">
        <f>IFERROR(INDEX('Detalles movimientos'!O$5:O$1003, MATCH(89, 'Detalles movimientos'!$V$5:$V$1003, 0)), "")</f>
        <v/>
      </c>
      <c r="L98" s="18" t="str">
        <f>IFERROR(INDEX('Detalles movimientos'!P$5:P$1003, MATCH(89, 'Detalles movimientos'!$V$5:$V$1003, 0)), "")</f>
        <v/>
      </c>
      <c r="M98" s="18" t="str">
        <f>IFERROR(INDEX('Detalles movimientos'!S$5:S$1003, MATCH(89, 'Detalles movimientos'!$V$5:$V$1003, 0)), "")</f>
        <v/>
      </c>
    </row>
    <row r="99" spans="2:13">
      <c r="B99" s="17" t="str">
        <f>IFERROR(INDEX('Detalles movimientos'!C$5:C$1003, MATCH(90, 'Detalles movimientos'!$V$5:$V$1003, 0)), "")</f>
        <v/>
      </c>
      <c r="C99" s="18" t="str">
        <f>IFERROR(INDEX('Detalles movimientos'!D$5:D$1003, MATCH(90, 'Detalles movimientos'!$V$5:$V$1003, 0)), "")</f>
        <v/>
      </c>
      <c r="D99" s="19" t="str">
        <f>IFERROR(INDEX('Detalles movimientos'!E$5:E$1003, MATCH(90, 'Detalles movimientos'!$V$5:$V$1003, 0)), "")</f>
        <v/>
      </c>
      <c r="E99" s="19" t="str">
        <f>IFERROR(INDEX('Detalles movimientos'!F$5:F$1003, MATCH(90, 'Detalles movimientos'!$V$5:$V$1003, 0)), "")</f>
        <v/>
      </c>
      <c r="F99" s="18" t="str">
        <f>IFERROR(INDEX('Detalles movimientos'!G$5:G$1003, MATCH(90, 'Detalles movimientos'!$V$5:$V$1003, 0)), "")</f>
        <v/>
      </c>
      <c r="G99" s="20" t="str">
        <f>IFERROR(INDEX('Detalles movimientos'!H$5:H$1003, MATCH(90, 'Detalles movimientos'!$V$5:$V$1003, 0)), "")</f>
        <v/>
      </c>
      <c r="H99" s="21" t="str">
        <f>IFERROR(INDEX('Detalles movimientos'!I$5:I$1003, MATCH(90, 'Detalles movimientos'!$V$5:$V$1003, 0)), "")</f>
        <v/>
      </c>
      <c r="I99" s="20" t="str">
        <f>IFERROR(INDEX('Detalles movimientos'!M$5:M$1003, MATCH(90, 'Detalles movimientos'!$V$5:$V$1003, 0)), "")</f>
        <v/>
      </c>
      <c r="J99" s="19" t="str">
        <f>IFERROR(INDEX('Detalles movimientos'!N$5:N$1003, MATCH(90, 'Detalles movimientos'!$V$5:$V$1003, 0)), "")</f>
        <v/>
      </c>
      <c r="K99" s="20" t="str">
        <f>IFERROR(INDEX('Detalles movimientos'!O$5:O$1003, MATCH(90, 'Detalles movimientos'!$V$5:$V$1003, 0)), "")</f>
        <v/>
      </c>
      <c r="L99" s="18" t="str">
        <f>IFERROR(INDEX('Detalles movimientos'!P$5:P$1003, MATCH(90, 'Detalles movimientos'!$V$5:$V$1003, 0)), "")</f>
        <v/>
      </c>
      <c r="M99" s="18" t="str">
        <f>IFERROR(INDEX('Detalles movimientos'!S$5:S$1003, MATCH(90, 'Detalles movimientos'!$V$5:$V$1003, 0)), "")</f>
        <v/>
      </c>
    </row>
    <row r="100" spans="2:13">
      <c r="B100" s="17" t="str">
        <f>IFERROR(INDEX('Detalles movimientos'!C$5:C$1003, MATCH(91, 'Detalles movimientos'!$V$5:$V$1003, 0)), "")</f>
        <v/>
      </c>
      <c r="C100" s="18" t="str">
        <f>IFERROR(INDEX('Detalles movimientos'!D$5:D$1003, MATCH(91, 'Detalles movimientos'!$V$5:$V$1003, 0)), "")</f>
        <v/>
      </c>
      <c r="D100" s="19" t="str">
        <f>IFERROR(INDEX('Detalles movimientos'!E$5:E$1003, MATCH(91, 'Detalles movimientos'!$V$5:$V$1003, 0)), "")</f>
        <v/>
      </c>
      <c r="E100" s="19" t="str">
        <f>IFERROR(INDEX('Detalles movimientos'!F$5:F$1003, MATCH(91, 'Detalles movimientos'!$V$5:$V$1003, 0)), "")</f>
        <v/>
      </c>
      <c r="F100" s="18" t="str">
        <f>IFERROR(INDEX('Detalles movimientos'!G$5:G$1003, MATCH(91, 'Detalles movimientos'!$V$5:$V$1003, 0)), "")</f>
        <v/>
      </c>
      <c r="G100" s="20" t="str">
        <f>IFERROR(INDEX('Detalles movimientos'!H$5:H$1003, MATCH(91, 'Detalles movimientos'!$V$5:$V$1003, 0)), "")</f>
        <v/>
      </c>
      <c r="H100" s="21" t="str">
        <f>IFERROR(INDEX('Detalles movimientos'!I$5:I$1003, MATCH(91, 'Detalles movimientos'!$V$5:$V$1003, 0)), "")</f>
        <v/>
      </c>
      <c r="I100" s="20" t="str">
        <f>IFERROR(INDEX('Detalles movimientos'!M$5:M$1003, MATCH(91, 'Detalles movimientos'!$V$5:$V$1003, 0)), "")</f>
        <v/>
      </c>
      <c r="J100" s="19" t="str">
        <f>IFERROR(INDEX('Detalles movimientos'!N$5:N$1003, MATCH(91, 'Detalles movimientos'!$V$5:$V$1003, 0)), "")</f>
        <v/>
      </c>
      <c r="K100" s="20" t="str">
        <f>IFERROR(INDEX('Detalles movimientos'!O$5:O$1003, MATCH(91, 'Detalles movimientos'!$V$5:$V$1003, 0)), "")</f>
        <v/>
      </c>
      <c r="L100" s="18" t="str">
        <f>IFERROR(INDEX('Detalles movimientos'!P$5:P$1003, MATCH(91, 'Detalles movimientos'!$V$5:$V$1003, 0)), "")</f>
        <v/>
      </c>
      <c r="M100" s="18" t="str">
        <f>IFERROR(INDEX('Detalles movimientos'!S$5:S$1003, MATCH(91, 'Detalles movimientos'!$V$5:$V$1003, 0)), "")</f>
        <v/>
      </c>
    </row>
    <row r="101" spans="2:13">
      <c r="B101" s="17" t="str">
        <f>IFERROR(INDEX('Detalles movimientos'!C$5:C$1003, MATCH(92, 'Detalles movimientos'!$V$5:$V$1003, 0)), "")</f>
        <v/>
      </c>
      <c r="C101" s="18" t="str">
        <f>IFERROR(INDEX('Detalles movimientos'!D$5:D$1003, MATCH(92, 'Detalles movimientos'!$V$5:$V$1003, 0)), "")</f>
        <v/>
      </c>
      <c r="D101" s="19" t="str">
        <f>IFERROR(INDEX('Detalles movimientos'!E$5:E$1003, MATCH(92, 'Detalles movimientos'!$V$5:$V$1003, 0)), "")</f>
        <v/>
      </c>
      <c r="E101" s="19" t="str">
        <f>IFERROR(INDEX('Detalles movimientos'!F$5:F$1003, MATCH(92, 'Detalles movimientos'!$V$5:$V$1003, 0)), "")</f>
        <v/>
      </c>
      <c r="F101" s="18" t="str">
        <f>IFERROR(INDEX('Detalles movimientos'!G$5:G$1003, MATCH(92, 'Detalles movimientos'!$V$5:$V$1003, 0)), "")</f>
        <v/>
      </c>
      <c r="G101" s="20" t="str">
        <f>IFERROR(INDEX('Detalles movimientos'!H$5:H$1003, MATCH(92, 'Detalles movimientos'!$V$5:$V$1003, 0)), "")</f>
        <v/>
      </c>
      <c r="H101" s="21" t="str">
        <f>IFERROR(INDEX('Detalles movimientos'!I$5:I$1003, MATCH(92, 'Detalles movimientos'!$V$5:$V$1003, 0)), "")</f>
        <v/>
      </c>
      <c r="I101" s="20" t="str">
        <f>IFERROR(INDEX('Detalles movimientos'!M$5:M$1003, MATCH(92, 'Detalles movimientos'!$V$5:$V$1003, 0)), "")</f>
        <v/>
      </c>
      <c r="J101" s="19" t="str">
        <f>IFERROR(INDEX('Detalles movimientos'!N$5:N$1003, MATCH(92, 'Detalles movimientos'!$V$5:$V$1003, 0)), "")</f>
        <v/>
      </c>
      <c r="K101" s="20" t="str">
        <f>IFERROR(INDEX('Detalles movimientos'!O$5:O$1003, MATCH(92, 'Detalles movimientos'!$V$5:$V$1003, 0)), "")</f>
        <v/>
      </c>
      <c r="L101" s="18" t="str">
        <f>IFERROR(INDEX('Detalles movimientos'!P$5:P$1003, MATCH(92, 'Detalles movimientos'!$V$5:$V$1003, 0)), "")</f>
        <v/>
      </c>
      <c r="M101" s="18" t="str">
        <f>IFERROR(INDEX('Detalles movimientos'!S$5:S$1003, MATCH(92, 'Detalles movimientos'!$V$5:$V$1003, 0)), "")</f>
        <v/>
      </c>
    </row>
    <row r="102" spans="2:13">
      <c r="B102" s="17" t="str">
        <f>IFERROR(INDEX('Detalles movimientos'!C$5:C$1003, MATCH(93, 'Detalles movimientos'!$V$5:$V$1003, 0)), "")</f>
        <v/>
      </c>
      <c r="C102" s="18" t="str">
        <f>IFERROR(INDEX('Detalles movimientos'!D$5:D$1003, MATCH(93, 'Detalles movimientos'!$V$5:$V$1003, 0)), "")</f>
        <v/>
      </c>
      <c r="D102" s="19" t="str">
        <f>IFERROR(INDEX('Detalles movimientos'!E$5:E$1003, MATCH(93, 'Detalles movimientos'!$V$5:$V$1003, 0)), "")</f>
        <v/>
      </c>
      <c r="E102" s="19" t="str">
        <f>IFERROR(INDEX('Detalles movimientos'!F$5:F$1003, MATCH(93, 'Detalles movimientos'!$V$5:$V$1003, 0)), "")</f>
        <v/>
      </c>
      <c r="F102" s="18" t="str">
        <f>IFERROR(INDEX('Detalles movimientos'!G$5:G$1003, MATCH(93, 'Detalles movimientos'!$V$5:$V$1003, 0)), "")</f>
        <v/>
      </c>
      <c r="G102" s="20" t="str">
        <f>IFERROR(INDEX('Detalles movimientos'!H$5:H$1003, MATCH(93, 'Detalles movimientos'!$V$5:$V$1003, 0)), "")</f>
        <v/>
      </c>
      <c r="H102" s="21" t="str">
        <f>IFERROR(INDEX('Detalles movimientos'!I$5:I$1003, MATCH(93, 'Detalles movimientos'!$V$5:$V$1003, 0)), "")</f>
        <v/>
      </c>
      <c r="I102" s="20" t="str">
        <f>IFERROR(INDEX('Detalles movimientos'!M$5:M$1003, MATCH(93, 'Detalles movimientos'!$V$5:$V$1003, 0)), "")</f>
        <v/>
      </c>
      <c r="J102" s="19" t="str">
        <f>IFERROR(INDEX('Detalles movimientos'!N$5:N$1003, MATCH(93, 'Detalles movimientos'!$V$5:$V$1003, 0)), "")</f>
        <v/>
      </c>
      <c r="K102" s="20" t="str">
        <f>IFERROR(INDEX('Detalles movimientos'!O$5:O$1003, MATCH(93, 'Detalles movimientos'!$V$5:$V$1003, 0)), "")</f>
        <v/>
      </c>
      <c r="L102" s="18" t="str">
        <f>IFERROR(INDEX('Detalles movimientos'!P$5:P$1003, MATCH(93, 'Detalles movimientos'!$V$5:$V$1003, 0)), "")</f>
        <v/>
      </c>
      <c r="M102" s="18" t="str">
        <f>IFERROR(INDEX('Detalles movimientos'!S$5:S$1003, MATCH(93, 'Detalles movimientos'!$V$5:$V$1003, 0)), "")</f>
        <v/>
      </c>
    </row>
    <row r="103" spans="2:13">
      <c r="B103" s="17" t="str">
        <f>IFERROR(INDEX('Detalles movimientos'!C$5:C$1003, MATCH(94, 'Detalles movimientos'!$V$5:$V$1003, 0)), "")</f>
        <v/>
      </c>
      <c r="C103" s="18" t="str">
        <f>IFERROR(INDEX('Detalles movimientos'!D$5:D$1003, MATCH(94, 'Detalles movimientos'!$V$5:$V$1003, 0)), "")</f>
        <v/>
      </c>
      <c r="D103" s="19" t="str">
        <f>IFERROR(INDEX('Detalles movimientos'!E$5:E$1003, MATCH(94, 'Detalles movimientos'!$V$5:$V$1003, 0)), "")</f>
        <v/>
      </c>
      <c r="E103" s="19" t="str">
        <f>IFERROR(INDEX('Detalles movimientos'!F$5:F$1003, MATCH(94, 'Detalles movimientos'!$V$5:$V$1003, 0)), "")</f>
        <v/>
      </c>
      <c r="F103" s="18" t="str">
        <f>IFERROR(INDEX('Detalles movimientos'!G$5:G$1003, MATCH(94, 'Detalles movimientos'!$V$5:$V$1003, 0)), "")</f>
        <v/>
      </c>
      <c r="G103" s="20" t="str">
        <f>IFERROR(INDEX('Detalles movimientos'!H$5:H$1003, MATCH(94, 'Detalles movimientos'!$V$5:$V$1003, 0)), "")</f>
        <v/>
      </c>
      <c r="H103" s="21" t="str">
        <f>IFERROR(INDEX('Detalles movimientos'!I$5:I$1003, MATCH(94, 'Detalles movimientos'!$V$5:$V$1003, 0)), "")</f>
        <v/>
      </c>
      <c r="I103" s="20" t="str">
        <f>IFERROR(INDEX('Detalles movimientos'!M$5:M$1003, MATCH(94, 'Detalles movimientos'!$V$5:$V$1003, 0)), "")</f>
        <v/>
      </c>
      <c r="J103" s="19" t="str">
        <f>IFERROR(INDEX('Detalles movimientos'!N$5:N$1003, MATCH(94, 'Detalles movimientos'!$V$5:$V$1003, 0)), "")</f>
        <v/>
      </c>
      <c r="K103" s="20" t="str">
        <f>IFERROR(INDEX('Detalles movimientos'!O$5:O$1003, MATCH(94, 'Detalles movimientos'!$V$5:$V$1003, 0)), "")</f>
        <v/>
      </c>
      <c r="L103" s="18" t="str">
        <f>IFERROR(INDEX('Detalles movimientos'!P$5:P$1003, MATCH(94, 'Detalles movimientos'!$V$5:$V$1003, 0)), "")</f>
        <v/>
      </c>
      <c r="M103" s="18" t="str">
        <f>IFERROR(INDEX('Detalles movimientos'!S$5:S$1003, MATCH(94, 'Detalles movimientos'!$V$5:$V$1003, 0)), "")</f>
        <v/>
      </c>
    </row>
    <row r="104" spans="2:13">
      <c r="B104" s="17" t="str">
        <f>IFERROR(INDEX('Detalles movimientos'!C$5:C$1003, MATCH(95, 'Detalles movimientos'!$V$5:$V$1003, 0)), "")</f>
        <v/>
      </c>
      <c r="C104" s="18" t="str">
        <f>IFERROR(INDEX('Detalles movimientos'!D$5:D$1003, MATCH(95, 'Detalles movimientos'!$V$5:$V$1003, 0)), "")</f>
        <v/>
      </c>
      <c r="D104" s="19" t="str">
        <f>IFERROR(INDEX('Detalles movimientos'!E$5:E$1003, MATCH(95, 'Detalles movimientos'!$V$5:$V$1003, 0)), "")</f>
        <v/>
      </c>
      <c r="E104" s="19" t="str">
        <f>IFERROR(INDEX('Detalles movimientos'!F$5:F$1003, MATCH(95, 'Detalles movimientos'!$V$5:$V$1003, 0)), "")</f>
        <v/>
      </c>
      <c r="F104" s="18" t="str">
        <f>IFERROR(INDEX('Detalles movimientos'!G$5:G$1003, MATCH(95, 'Detalles movimientos'!$V$5:$V$1003, 0)), "")</f>
        <v/>
      </c>
      <c r="G104" s="20" t="str">
        <f>IFERROR(INDEX('Detalles movimientos'!H$5:H$1003, MATCH(95, 'Detalles movimientos'!$V$5:$V$1003, 0)), "")</f>
        <v/>
      </c>
      <c r="H104" s="21" t="str">
        <f>IFERROR(INDEX('Detalles movimientos'!I$5:I$1003, MATCH(95, 'Detalles movimientos'!$V$5:$V$1003, 0)), "")</f>
        <v/>
      </c>
      <c r="I104" s="20" t="str">
        <f>IFERROR(INDEX('Detalles movimientos'!M$5:M$1003, MATCH(95, 'Detalles movimientos'!$V$5:$V$1003, 0)), "")</f>
        <v/>
      </c>
      <c r="J104" s="19" t="str">
        <f>IFERROR(INDEX('Detalles movimientos'!N$5:N$1003, MATCH(95, 'Detalles movimientos'!$V$5:$V$1003, 0)), "")</f>
        <v/>
      </c>
      <c r="K104" s="20" t="str">
        <f>IFERROR(INDEX('Detalles movimientos'!O$5:O$1003, MATCH(95, 'Detalles movimientos'!$V$5:$V$1003, 0)), "")</f>
        <v/>
      </c>
      <c r="L104" s="18" t="str">
        <f>IFERROR(INDEX('Detalles movimientos'!P$5:P$1003, MATCH(95, 'Detalles movimientos'!$V$5:$V$1003, 0)), "")</f>
        <v/>
      </c>
      <c r="M104" s="18" t="str">
        <f>IFERROR(INDEX('Detalles movimientos'!S$5:S$1003, MATCH(95, 'Detalles movimientos'!$V$5:$V$1003, 0)), "")</f>
        <v/>
      </c>
    </row>
    <row r="105" spans="2:13">
      <c r="B105" s="17" t="str">
        <f>IFERROR(INDEX('Detalles movimientos'!C$5:C$1003, MATCH(96, 'Detalles movimientos'!$V$5:$V$1003, 0)), "")</f>
        <v/>
      </c>
      <c r="C105" s="18" t="str">
        <f>IFERROR(INDEX('Detalles movimientos'!D$5:D$1003, MATCH(96, 'Detalles movimientos'!$V$5:$V$1003, 0)), "")</f>
        <v/>
      </c>
      <c r="D105" s="19" t="str">
        <f>IFERROR(INDEX('Detalles movimientos'!E$5:E$1003, MATCH(96, 'Detalles movimientos'!$V$5:$V$1003, 0)), "")</f>
        <v/>
      </c>
      <c r="E105" s="19" t="str">
        <f>IFERROR(INDEX('Detalles movimientos'!F$5:F$1003, MATCH(96, 'Detalles movimientos'!$V$5:$V$1003, 0)), "")</f>
        <v/>
      </c>
      <c r="F105" s="18" t="str">
        <f>IFERROR(INDEX('Detalles movimientos'!G$5:G$1003, MATCH(96, 'Detalles movimientos'!$V$5:$V$1003, 0)), "")</f>
        <v/>
      </c>
      <c r="G105" s="20" t="str">
        <f>IFERROR(INDEX('Detalles movimientos'!H$5:H$1003, MATCH(96, 'Detalles movimientos'!$V$5:$V$1003, 0)), "")</f>
        <v/>
      </c>
      <c r="H105" s="21" t="str">
        <f>IFERROR(INDEX('Detalles movimientos'!I$5:I$1003, MATCH(96, 'Detalles movimientos'!$V$5:$V$1003, 0)), "")</f>
        <v/>
      </c>
      <c r="I105" s="20" t="str">
        <f>IFERROR(INDEX('Detalles movimientos'!M$5:M$1003, MATCH(96, 'Detalles movimientos'!$V$5:$V$1003, 0)), "")</f>
        <v/>
      </c>
      <c r="J105" s="19" t="str">
        <f>IFERROR(INDEX('Detalles movimientos'!N$5:N$1003, MATCH(96, 'Detalles movimientos'!$V$5:$V$1003, 0)), "")</f>
        <v/>
      </c>
      <c r="K105" s="20" t="str">
        <f>IFERROR(INDEX('Detalles movimientos'!O$5:O$1003, MATCH(96, 'Detalles movimientos'!$V$5:$V$1003, 0)), "")</f>
        <v/>
      </c>
      <c r="L105" s="18" t="str">
        <f>IFERROR(INDEX('Detalles movimientos'!P$5:P$1003, MATCH(96, 'Detalles movimientos'!$V$5:$V$1003, 0)), "")</f>
        <v/>
      </c>
      <c r="M105" s="18" t="str">
        <f>IFERROR(INDEX('Detalles movimientos'!S$5:S$1003, MATCH(96, 'Detalles movimientos'!$V$5:$V$1003, 0)), "")</f>
        <v/>
      </c>
    </row>
    <row r="106" spans="2:13">
      <c r="B106" s="17" t="str">
        <f>IFERROR(INDEX('Detalles movimientos'!C$5:C$1003, MATCH(97, 'Detalles movimientos'!$V$5:$V$1003, 0)), "")</f>
        <v/>
      </c>
      <c r="C106" s="18" t="str">
        <f>IFERROR(INDEX('Detalles movimientos'!D$5:D$1003, MATCH(97, 'Detalles movimientos'!$V$5:$V$1003, 0)), "")</f>
        <v/>
      </c>
      <c r="D106" s="19" t="str">
        <f>IFERROR(INDEX('Detalles movimientos'!E$5:E$1003, MATCH(97, 'Detalles movimientos'!$V$5:$V$1003, 0)), "")</f>
        <v/>
      </c>
      <c r="E106" s="19" t="str">
        <f>IFERROR(INDEX('Detalles movimientos'!F$5:F$1003, MATCH(97, 'Detalles movimientos'!$V$5:$V$1003, 0)), "")</f>
        <v/>
      </c>
      <c r="F106" s="18" t="str">
        <f>IFERROR(INDEX('Detalles movimientos'!G$5:G$1003, MATCH(97, 'Detalles movimientos'!$V$5:$V$1003, 0)), "")</f>
        <v/>
      </c>
      <c r="G106" s="20" t="str">
        <f>IFERROR(INDEX('Detalles movimientos'!H$5:H$1003, MATCH(97, 'Detalles movimientos'!$V$5:$V$1003, 0)), "")</f>
        <v/>
      </c>
      <c r="H106" s="21" t="str">
        <f>IFERROR(INDEX('Detalles movimientos'!I$5:I$1003, MATCH(97, 'Detalles movimientos'!$V$5:$V$1003, 0)), "")</f>
        <v/>
      </c>
      <c r="I106" s="20" t="str">
        <f>IFERROR(INDEX('Detalles movimientos'!M$5:M$1003, MATCH(97, 'Detalles movimientos'!$V$5:$V$1003, 0)), "")</f>
        <v/>
      </c>
      <c r="J106" s="19" t="str">
        <f>IFERROR(INDEX('Detalles movimientos'!N$5:N$1003, MATCH(97, 'Detalles movimientos'!$V$5:$V$1003, 0)), "")</f>
        <v/>
      </c>
      <c r="K106" s="20" t="str">
        <f>IFERROR(INDEX('Detalles movimientos'!O$5:O$1003, MATCH(97, 'Detalles movimientos'!$V$5:$V$1003, 0)), "")</f>
        <v/>
      </c>
      <c r="L106" s="18" t="str">
        <f>IFERROR(INDEX('Detalles movimientos'!P$5:P$1003, MATCH(97, 'Detalles movimientos'!$V$5:$V$1003, 0)), "")</f>
        <v/>
      </c>
      <c r="M106" s="18" t="str">
        <f>IFERROR(INDEX('Detalles movimientos'!S$5:S$1003, MATCH(97, 'Detalles movimientos'!$V$5:$V$1003, 0)), "")</f>
        <v/>
      </c>
    </row>
    <row r="107" spans="2:13">
      <c r="B107" s="17" t="str">
        <f>IFERROR(INDEX('Detalles movimientos'!C$5:C$1003, MATCH(98, 'Detalles movimientos'!$V$5:$V$1003, 0)), "")</f>
        <v/>
      </c>
      <c r="C107" s="18" t="str">
        <f>IFERROR(INDEX('Detalles movimientos'!D$5:D$1003, MATCH(98, 'Detalles movimientos'!$V$5:$V$1003, 0)), "")</f>
        <v/>
      </c>
      <c r="D107" s="19" t="str">
        <f>IFERROR(INDEX('Detalles movimientos'!E$5:E$1003, MATCH(98, 'Detalles movimientos'!$V$5:$V$1003, 0)), "")</f>
        <v/>
      </c>
      <c r="E107" s="19" t="str">
        <f>IFERROR(INDEX('Detalles movimientos'!F$5:F$1003, MATCH(98, 'Detalles movimientos'!$V$5:$V$1003, 0)), "")</f>
        <v/>
      </c>
      <c r="F107" s="18" t="str">
        <f>IFERROR(INDEX('Detalles movimientos'!G$5:G$1003, MATCH(98, 'Detalles movimientos'!$V$5:$V$1003, 0)), "")</f>
        <v/>
      </c>
      <c r="G107" s="20" t="str">
        <f>IFERROR(INDEX('Detalles movimientos'!H$5:H$1003, MATCH(98, 'Detalles movimientos'!$V$5:$V$1003, 0)), "")</f>
        <v/>
      </c>
      <c r="H107" s="21" t="str">
        <f>IFERROR(INDEX('Detalles movimientos'!I$5:I$1003, MATCH(98, 'Detalles movimientos'!$V$5:$V$1003, 0)), "")</f>
        <v/>
      </c>
      <c r="I107" s="20" t="str">
        <f>IFERROR(INDEX('Detalles movimientos'!M$5:M$1003, MATCH(98, 'Detalles movimientos'!$V$5:$V$1003, 0)), "")</f>
        <v/>
      </c>
      <c r="J107" s="19" t="str">
        <f>IFERROR(INDEX('Detalles movimientos'!N$5:N$1003, MATCH(98, 'Detalles movimientos'!$V$5:$V$1003, 0)), "")</f>
        <v/>
      </c>
      <c r="K107" s="20" t="str">
        <f>IFERROR(INDEX('Detalles movimientos'!O$5:O$1003, MATCH(98, 'Detalles movimientos'!$V$5:$V$1003, 0)), "")</f>
        <v/>
      </c>
      <c r="L107" s="18" t="str">
        <f>IFERROR(INDEX('Detalles movimientos'!P$5:P$1003, MATCH(98, 'Detalles movimientos'!$V$5:$V$1003, 0)), "")</f>
        <v/>
      </c>
      <c r="M107" s="18" t="str">
        <f>IFERROR(INDEX('Detalles movimientos'!S$5:S$1003, MATCH(98, 'Detalles movimientos'!$V$5:$V$1003, 0)), "")</f>
        <v/>
      </c>
    </row>
    <row r="108" spans="2:13">
      <c r="B108" s="17" t="str">
        <f>IFERROR(INDEX('Detalles movimientos'!C$5:C$1003, MATCH(99, 'Detalles movimientos'!$V$5:$V$1003, 0)), "")</f>
        <v/>
      </c>
      <c r="C108" s="18" t="str">
        <f>IFERROR(INDEX('Detalles movimientos'!D$5:D$1003, MATCH(99, 'Detalles movimientos'!$V$5:$V$1003, 0)), "")</f>
        <v/>
      </c>
      <c r="D108" s="19" t="str">
        <f>IFERROR(INDEX('Detalles movimientos'!E$5:E$1003, MATCH(99, 'Detalles movimientos'!$V$5:$V$1003, 0)), "")</f>
        <v/>
      </c>
      <c r="E108" s="19" t="str">
        <f>IFERROR(INDEX('Detalles movimientos'!F$5:F$1003, MATCH(99, 'Detalles movimientos'!$V$5:$V$1003, 0)), "")</f>
        <v/>
      </c>
      <c r="F108" s="18" t="str">
        <f>IFERROR(INDEX('Detalles movimientos'!G$5:G$1003, MATCH(99, 'Detalles movimientos'!$V$5:$V$1003, 0)), "")</f>
        <v/>
      </c>
      <c r="G108" s="20" t="str">
        <f>IFERROR(INDEX('Detalles movimientos'!H$5:H$1003, MATCH(99, 'Detalles movimientos'!$V$5:$V$1003, 0)), "")</f>
        <v/>
      </c>
      <c r="H108" s="21" t="str">
        <f>IFERROR(INDEX('Detalles movimientos'!I$5:I$1003, MATCH(99, 'Detalles movimientos'!$V$5:$V$1003, 0)), "")</f>
        <v/>
      </c>
      <c r="I108" s="20" t="str">
        <f>IFERROR(INDEX('Detalles movimientos'!M$5:M$1003, MATCH(99, 'Detalles movimientos'!$V$5:$V$1003, 0)), "")</f>
        <v/>
      </c>
      <c r="J108" s="19" t="str">
        <f>IFERROR(INDEX('Detalles movimientos'!N$5:N$1003, MATCH(99, 'Detalles movimientos'!$V$5:$V$1003, 0)), "")</f>
        <v/>
      </c>
      <c r="K108" s="20" t="str">
        <f>IFERROR(INDEX('Detalles movimientos'!O$5:O$1003, MATCH(99, 'Detalles movimientos'!$V$5:$V$1003, 0)), "")</f>
        <v/>
      </c>
      <c r="L108" s="18" t="str">
        <f>IFERROR(INDEX('Detalles movimientos'!P$5:P$1003, MATCH(99, 'Detalles movimientos'!$V$5:$V$1003, 0)), "")</f>
        <v/>
      </c>
      <c r="M108" s="18" t="str">
        <f>IFERROR(INDEX('Detalles movimientos'!S$5:S$1003, MATCH(99, 'Detalles movimientos'!$V$5:$V$1003, 0)), "")</f>
        <v/>
      </c>
    </row>
    <row r="109" spans="2:13">
      <c r="B109" s="17" t="str">
        <f>IFERROR(INDEX('Detalles movimientos'!C$5:C$1003, MATCH(100, 'Detalles movimientos'!$V$5:$V$1003, 0)), "")</f>
        <v/>
      </c>
      <c r="C109" s="18" t="str">
        <f>IFERROR(INDEX('Detalles movimientos'!D$5:D$1003, MATCH(100, 'Detalles movimientos'!$V$5:$V$1003, 0)), "")</f>
        <v/>
      </c>
      <c r="D109" s="19" t="str">
        <f>IFERROR(INDEX('Detalles movimientos'!E$5:E$1003, MATCH(100, 'Detalles movimientos'!$V$5:$V$1003, 0)), "")</f>
        <v/>
      </c>
      <c r="E109" s="19" t="str">
        <f>IFERROR(INDEX('Detalles movimientos'!F$5:F$1003, MATCH(100, 'Detalles movimientos'!$V$5:$V$1003, 0)), "")</f>
        <v/>
      </c>
      <c r="F109" s="18" t="str">
        <f>IFERROR(INDEX('Detalles movimientos'!G$5:G$1003, MATCH(100, 'Detalles movimientos'!$V$5:$V$1003, 0)), "")</f>
        <v/>
      </c>
      <c r="G109" s="20" t="str">
        <f>IFERROR(INDEX('Detalles movimientos'!H$5:H$1003, MATCH(100, 'Detalles movimientos'!$V$5:$V$1003, 0)), "")</f>
        <v/>
      </c>
      <c r="H109" s="21" t="str">
        <f>IFERROR(INDEX('Detalles movimientos'!I$5:I$1003, MATCH(100, 'Detalles movimientos'!$V$5:$V$1003, 0)), "")</f>
        <v/>
      </c>
      <c r="I109" s="20" t="str">
        <f>IFERROR(INDEX('Detalles movimientos'!M$5:M$1003, MATCH(100, 'Detalles movimientos'!$V$5:$V$1003, 0)), "")</f>
        <v/>
      </c>
      <c r="J109" s="19" t="str">
        <f>IFERROR(INDEX('Detalles movimientos'!N$5:N$1003, MATCH(100, 'Detalles movimientos'!$V$5:$V$1003, 0)), "")</f>
        <v/>
      </c>
      <c r="K109" s="20" t="str">
        <f>IFERROR(INDEX('Detalles movimientos'!O$5:O$1003, MATCH(100, 'Detalles movimientos'!$V$5:$V$1003, 0)), "")</f>
        <v/>
      </c>
      <c r="L109" s="18" t="str">
        <f>IFERROR(INDEX('Detalles movimientos'!P$5:P$1003, MATCH(100, 'Detalles movimientos'!$V$5:$V$1003, 0)), "")</f>
        <v/>
      </c>
      <c r="M109" s="18" t="str">
        <f>IFERROR(INDEX('Detalles movimientos'!S$5:S$1003, MATCH(100, 'Detalles movimientos'!$V$5:$V$1003, 0)), "")</f>
        <v/>
      </c>
    </row>
    <row r="110" spans="2:13">
      <c r="B110" s="17" t="str">
        <f>IFERROR(INDEX('Detalles movimientos'!C$5:C$1003, MATCH(101, 'Detalles movimientos'!$V$5:$V$1003, 0)), "")</f>
        <v/>
      </c>
      <c r="C110" s="18" t="str">
        <f>IFERROR(INDEX('Detalles movimientos'!D$5:D$1003, MATCH(101, 'Detalles movimientos'!$V$5:$V$1003, 0)), "")</f>
        <v/>
      </c>
      <c r="D110" s="19" t="str">
        <f>IFERROR(INDEX('Detalles movimientos'!E$5:E$1003, MATCH(101, 'Detalles movimientos'!$V$5:$V$1003, 0)), "")</f>
        <v/>
      </c>
      <c r="E110" s="19" t="str">
        <f>IFERROR(INDEX('Detalles movimientos'!F$5:F$1003, MATCH(101, 'Detalles movimientos'!$V$5:$V$1003, 0)), "")</f>
        <v/>
      </c>
      <c r="F110" s="18" t="str">
        <f>IFERROR(INDEX('Detalles movimientos'!G$5:G$1003, MATCH(101, 'Detalles movimientos'!$V$5:$V$1003, 0)), "")</f>
        <v/>
      </c>
      <c r="G110" s="20" t="str">
        <f>IFERROR(INDEX('Detalles movimientos'!H$5:H$1003, MATCH(101, 'Detalles movimientos'!$V$5:$V$1003, 0)), "")</f>
        <v/>
      </c>
      <c r="H110" s="21" t="str">
        <f>IFERROR(INDEX('Detalles movimientos'!I$5:I$1003, MATCH(101, 'Detalles movimientos'!$V$5:$V$1003, 0)), "")</f>
        <v/>
      </c>
      <c r="I110" s="20" t="str">
        <f>IFERROR(INDEX('Detalles movimientos'!M$5:M$1003, MATCH(101, 'Detalles movimientos'!$V$5:$V$1003, 0)), "")</f>
        <v/>
      </c>
      <c r="J110" s="19" t="str">
        <f>IFERROR(INDEX('Detalles movimientos'!N$5:N$1003, MATCH(101, 'Detalles movimientos'!$V$5:$V$1003, 0)), "")</f>
        <v/>
      </c>
      <c r="K110" s="20" t="str">
        <f>IFERROR(INDEX('Detalles movimientos'!O$5:O$1003, MATCH(101, 'Detalles movimientos'!$V$5:$V$1003, 0)), "")</f>
        <v/>
      </c>
      <c r="L110" s="18" t="str">
        <f>IFERROR(INDEX('Detalles movimientos'!P$5:P$1003, MATCH(101, 'Detalles movimientos'!$V$5:$V$1003, 0)), "")</f>
        <v/>
      </c>
      <c r="M110" s="18" t="str">
        <f>IFERROR(INDEX('Detalles movimientos'!S$5:S$1003, MATCH(101, 'Detalles movimientos'!$V$5:$V$1003, 0)), "")</f>
        <v/>
      </c>
    </row>
    <row r="111" spans="2:13">
      <c r="B111" s="17" t="str">
        <f>IFERROR(INDEX('Detalles movimientos'!C$5:C$1003, MATCH(102, 'Detalles movimientos'!$V$5:$V$1003, 0)), "")</f>
        <v/>
      </c>
      <c r="C111" s="18" t="str">
        <f>IFERROR(INDEX('Detalles movimientos'!D$5:D$1003, MATCH(102, 'Detalles movimientos'!$V$5:$V$1003, 0)), "")</f>
        <v/>
      </c>
      <c r="D111" s="19" t="str">
        <f>IFERROR(INDEX('Detalles movimientos'!E$5:E$1003, MATCH(102, 'Detalles movimientos'!$V$5:$V$1003, 0)), "")</f>
        <v/>
      </c>
      <c r="E111" s="19" t="str">
        <f>IFERROR(INDEX('Detalles movimientos'!F$5:F$1003, MATCH(102, 'Detalles movimientos'!$V$5:$V$1003, 0)), "")</f>
        <v/>
      </c>
      <c r="F111" s="18" t="str">
        <f>IFERROR(INDEX('Detalles movimientos'!G$5:G$1003, MATCH(102, 'Detalles movimientos'!$V$5:$V$1003, 0)), "")</f>
        <v/>
      </c>
      <c r="G111" s="20" t="str">
        <f>IFERROR(INDEX('Detalles movimientos'!H$5:H$1003, MATCH(102, 'Detalles movimientos'!$V$5:$V$1003, 0)), "")</f>
        <v/>
      </c>
      <c r="H111" s="21" t="str">
        <f>IFERROR(INDEX('Detalles movimientos'!I$5:I$1003, MATCH(102, 'Detalles movimientos'!$V$5:$V$1003, 0)), "")</f>
        <v/>
      </c>
      <c r="I111" s="20" t="str">
        <f>IFERROR(INDEX('Detalles movimientos'!M$5:M$1003, MATCH(102, 'Detalles movimientos'!$V$5:$V$1003, 0)), "")</f>
        <v/>
      </c>
      <c r="J111" s="19" t="str">
        <f>IFERROR(INDEX('Detalles movimientos'!N$5:N$1003, MATCH(102, 'Detalles movimientos'!$V$5:$V$1003, 0)), "")</f>
        <v/>
      </c>
      <c r="K111" s="20" t="str">
        <f>IFERROR(INDEX('Detalles movimientos'!O$5:O$1003, MATCH(102, 'Detalles movimientos'!$V$5:$V$1003, 0)), "")</f>
        <v/>
      </c>
      <c r="L111" s="18" t="str">
        <f>IFERROR(INDEX('Detalles movimientos'!P$5:P$1003, MATCH(102, 'Detalles movimientos'!$V$5:$V$1003, 0)), "")</f>
        <v/>
      </c>
      <c r="M111" s="18" t="str">
        <f>IFERROR(INDEX('Detalles movimientos'!S$5:S$1003, MATCH(102, 'Detalles movimientos'!$V$5:$V$1003, 0)), "")</f>
        <v/>
      </c>
    </row>
    <row r="112" spans="2:13">
      <c r="B112" s="17" t="str">
        <f>IFERROR(INDEX('Detalles movimientos'!C$5:C$1003, MATCH(103, 'Detalles movimientos'!$V$5:$V$1003, 0)), "")</f>
        <v/>
      </c>
      <c r="C112" s="18" t="str">
        <f>IFERROR(INDEX('Detalles movimientos'!D$5:D$1003, MATCH(103, 'Detalles movimientos'!$V$5:$V$1003, 0)), "")</f>
        <v/>
      </c>
      <c r="D112" s="19" t="str">
        <f>IFERROR(INDEX('Detalles movimientos'!E$5:E$1003, MATCH(103, 'Detalles movimientos'!$V$5:$V$1003, 0)), "")</f>
        <v/>
      </c>
      <c r="E112" s="19" t="str">
        <f>IFERROR(INDEX('Detalles movimientos'!F$5:F$1003, MATCH(103, 'Detalles movimientos'!$V$5:$V$1003, 0)), "")</f>
        <v/>
      </c>
      <c r="F112" s="18" t="str">
        <f>IFERROR(INDEX('Detalles movimientos'!G$5:G$1003, MATCH(103, 'Detalles movimientos'!$V$5:$V$1003, 0)), "")</f>
        <v/>
      </c>
      <c r="G112" s="20" t="str">
        <f>IFERROR(INDEX('Detalles movimientos'!H$5:H$1003, MATCH(103, 'Detalles movimientos'!$V$5:$V$1003, 0)), "")</f>
        <v/>
      </c>
      <c r="H112" s="21" t="str">
        <f>IFERROR(INDEX('Detalles movimientos'!I$5:I$1003, MATCH(103, 'Detalles movimientos'!$V$5:$V$1003, 0)), "")</f>
        <v/>
      </c>
      <c r="I112" s="20" t="str">
        <f>IFERROR(INDEX('Detalles movimientos'!M$5:M$1003, MATCH(103, 'Detalles movimientos'!$V$5:$V$1003, 0)), "")</f>
        <v/>
      </c>
      <c r="J112" s="19" t="str">
        <f>IFERROR(INDEX('Detalles movimientos'!N$5:N$1003, MATCH(103, 'Detalles movimientos'!$V$5:$V$1003, 0)), "")</f>
        <v/>
      </c>
      <c r="K112" s="20" t="str">
        <f>IFERROR(INDEX('Detalles movimientos'!O$5:O$1003, MATCH(103, 'Detalles movimientos'!$V$5:$V$1003, 0)), "")</f>
        <v/>
      </c>
      <c r="L112" s="18" t="str">
        <f>IFERROR(INDEX('Detalles movimientos'!P$5:P$1003, MATCH(103, 'Detalles movimientos'!$V$5:$V$1003, 0)), "")</f>
        <v/>
      </c>
      <c r="M112" s="18" t="str">
        <f>IFERROR(INDEX('Detalles movimientos'!S$5:S$1003, MATCH(103, 'Detalles movimientos'!$V$5:$V$1003, 0)), "")</f>
        <v/>
      </c>
    </row>
    <row r="113" spans="2:13">
      <c r="B113" s="17" t="str">
        <f>IFERROR(INDEX('Detalles movimientos'!C$5:C$1003, MATCH(104, 'Detalles movimientos'!$V$5:$V$1003, 0)), "")</f>
        <v/>
      </c>
      <c r="C113" s="18" t="str">
        <f>IFERROR(INDEX('Detalles movimientos'!D$5:D$1003, MATCH(104, 'Detalles movimientos'!$V$5:$V$1003, 0)), "")</f>
        <v/>
      </c>
      <c r="D113" s="19" t="str">
        <f>IFERROR(INDEX('Detalles movimientos'!E$5:E$1003, MATCH(104, 'Detalles movimientos'!$V$5:$V$1003, 0)), "")</f>
        <v/>
      </c>
      <c r="E113" s="19" t="str">
        <f>IFERROR(INDEX('Detalles movimientos'!F$5:F$1003, MATCH(104, 'Detalles movimientos'!$V$5:$V$1003, 0)), "")</f>
        <v/>
      </c>
      <c r="F113" s="18" t="str">
        <f>IFERROR(INDEX('Detalles movimientos'!G$5:G$1003, MATCH(104, 'Detalles movimientos'!$V$5:$V$1003, 0)), "")</f>
        <v/>
      </c>
      <c r="G113" s="20" t="str">
        <f>IFERROR(INDEX('Detalles movimientos'!H$5:H$1003, MATCH(104, 'Detalles movimientos'!$V$5:$V$1003, 0)), "")</f>
        <v/>
      </c>
      <c r="H113" s="21" t="str">
        <f>IFERROR(INDEX('Detalles movimientos'!I$5:I$1003, MATCH(104, 'Detalles movimientos'!$V$5:$V$1003, 0)), "")</f>
        <v/>
      </c>
      <c r="I113" s="20" t="str">
        <f>IFERROR(INDEX('Detalles movimientos'!M$5:M$1003, MATCH(104, 'Detalles movimientos'!$V$5:$V$1003, 0)), "")</f>
        <v/>
      </c>
      <c r="J113" s="19" t="str">
        <f>IFERROR(INDEX('Detalles movimientos'!N$5:N$1003, MATCH(104, 'Detalles movimientos'!$V$5:$V$1003, 0)), "")</f>
        <v/>
      </c>
      <c r="K113" s="20" t="str">
        <f>IFERROR(INDEX('Detalles movimientos'!O$5:O$1003, MATCH(104, 'Detalles movimientos'!$V$5:$V$1003, 0)), "")</f>
        <v/>
      </c>
      <c r="L113" s="18" t="str">
        <f>IFERROR(INDEX('Detalles movimientos'!P$5:P$1003, MATCH(104, 'Detalles movimientos'!$V$5:$V$1003, 0)), "")</f>
        <v/>
      </c>
      <c r="M113" s="18" t="str">
        <f>IFERROR(INDEX('Detalles movimientos'!S$5:S$1003, MATCH(104, 'Detalles movimientos'!$V$5:$V$1003, 0)), "")</f>
        <v/>
      </c>
    </row>
    <row r="114" spans="2:13">
      <c r="B114" s="17" t="str">
        <f>IFERROR(INDEX('Detalles movimientos'!C$5:C$1003, MATCH(105, 'Detalles movimientos'!$V$5:$V$1003, 0)), "")</f>
        <v/>
      </c>
      <c r="C114" s="18" t="str">
        <f>IFERROR(INDEX('Detalles movimientos'!D$5:D$1003, MATCH(105, 'Detalles movimientos'!$V$5:$V$1003, 0)), "")</f>
        <v/>
      </c>
      <c r="D114" s="19" t="str">
        <f>IFERROR(INDEX('Detalles movimientos'!E$5:E$1003, MATCH(105, 'Detalles movimientos'!$V$5:$V$1003, 0)), "")</f>
        <v/>
      </c>
      <c r="E114" s="19" t="str">
        <f>IFERROR(INDEX('Detalles movimientos'!F$5:F$1003, MATCH(105, 'Detalles movimientos'!$V$5:$V$1003, 0)), "")</f>
        <v/>
      </c>
      <c r="F114" s="18" t="str">
        <f>IFERROR(INDEX('Detalles movimientos'!G$5:G$1003, MATCH(105, 'Detalles movimientos'!$V$5:$V$1003, 0)), "")</f>
        <v/>
      </c>
      <c r="G114" s="20" t="str">
        <f>IFERROR(INDEX('Detalles movimientos'!H$5:H$1003, MATCH(105, 'Detalles movimientos'!$V$5:$V$1003, 0)), "")</f>
        <v/>
      </c>
      <c r="H114" s="21" t="str">
        <f>IFERROR(INDEX('Detalles movimientos'!I$5:I$1003, MATCH(105, 'Detalles movimientos'!$V$5:$V$1003, 0)), "")</f>
        <v/>
      </c>
      <c r="I114" s="20" t="str">
        <f>IFERROR(INDEX('Detalles movimientos'!M$5:M$1003, MATCH(105, 'Detalles movimientos'!$V$5:$V$1003, 0)), "")</f>
        <v/>
      </c>
      <c r="J114" s="19" t="str">
        <f>IFERROR(INDEX('Detalles movimientos'!N$5:N$1003, MATCH(105, 'Detalles movimientos'!$V$5:$V$1003, 0)), "")</f>
        <v/>
      </c>
      <c r="K114" s="20" t="str">
        <f>IFERROR(INDEX('Detalles movimientos'!O$5:O$1003, MATCH(105, 'Detalles movimientos'!$V$5:$V$1003, 0)), "")</f>
        <v/>
      </c>
      <c r="L114" s="18" t="str">
        <f>IFERROR(INDEX('Detalles movimientos'!P$5:P$1003, MATCH(105, 'Detalles movimientos'!$V$5:$V$1003, 0)), "")</f>
        <v/>
      </c>
      <c r="M114" s="18" t="str">
        <f>IFERROR(INDEX('Detalles movimientos'!S$5:S$1003, MATCH(105, 'Detalles movimientos'!$V$5:$V$1003, 0)), "")</f>
        <v/>
      </c>
    </row>
    <row r="115" spans="2:13">
      <c r="B115" s="17" t="str">
        <f>IFERROR(INDEX('Detalles movimientos'!C$5:C$1003, MATCH(106, 'Detalles movimientos'!$V$5:$V$1003, 0)), "")</f>
        <v/>
      </c>
      <c r="C115" s="18" t="str">
        <f>IFERROR(INDEX('Detalles movimientos'!D$5:D$1003, MATCH(106, 'Detalles movimientos'!$V$5:$V$1003, 0)), "")</f>
        <v/>
      </c>
      <c r="D115" s="19" t="str">
        <f>IFERROR(INDEX('Detalles movimientos'!E$5:E$1003, MATCH(106, 'Detalles movimientos'!$V$5:$V$1003, 0)), "")</f>
        <v/>
      </c>
      <c r="E115" s="19" t="str">
        <f>IFERROR(INDEX('Detalles movimientos'!F$5:F$1003, MATCH(106, 'Detalles movimientos'!$V$5:$V$1003, 0)), "")</f>
        <v/>
      </c>
      <c r="F115" s="18" t="str">
        <f>IFERROR(INDEX('Detalles movimientos'!G$5:G$1003, MATCH(106, 'Detalles movimientos'!$V$5:$V$1003, 0)), "")</f>
        <v/>
      </c>
      <c r="G115" s="20" t="str">
        <f>IFERROR(INDEX('Detalles movimientos'!H$5:H$1003, MATCH(106, 'Detalles movimientos'!$V$5:$V$1003, 0)), "")</f>
        <v/>
      </c>
      <c r="H115" s="21" t="str">
        <f>IFERROR(INDEX('Detalles movimientos'!I$5:I$1003, MATCH(106, 'Detalles movimientos'!$V$5:$V$1003, 0)), "")</f>
        <v/>
      </c>
      <c r="I115" s="20" t="str">
        <f>IFERROR(INDEX('Detalles movimientos'!M$5:M$1003, MATCH(106, 'Detalles movimientos'!$V$5:$V$1003, 0)), "")</f>
        <v/>
      </c>
      <c r="J115" s="19" t="str">
        <f>IFERROR(INDEX('Detalles movimientos'!N$5:N$1003, MATCH(106, 'Detalles movimientos'!$V$5:$V$1003, 0)), "")</f>
        <v/>
      </c>
      <c r="K115" s="20" t="str">
        <f>IFERROR(INDEX('Detalles movimientos'!O$5:O$1003, MATCH(106, 'Detalles movimientos'!$V$5:$V$1003, 0)), "")</f>
        <v/>
      </c>
      <c r="L115" s="18" t="str">
        <f>IFERROR(INDEX('Detalles movimientos'!P$5:P$1003, MATCH(106, 'Detalles movimientos'!$V$5:$V$1003, 0)), "")</f>
        <v/>
      </c>
      <c r="M115" s="18" t="str">
        <f>IFERROR(INDEX('Detalles movimientos'!S$5:S$1003, MATCH(106, 'Detalles movimientos'!$V$5:$V$1003, 0)), "")</f>
        <v/>
      </c>
    </row>
    <row r="116" spans="2:13">
      <c r="B116" s="17" t="str">
        <f>IFERROR(INDEX('Detalles movimientos'!C$5:C$1003, MATCH(107, 'Detalles movimientos'!$V$5:$V$1003, 0)), "")</f>
        <v/>
      </c>
      <c r="C116" s="18" t="str">
        <f>IFERROR(INDEX('Detalles movimientos'!D$5:D$1003, MATCH(107, 'Detalles movimientos'!$V$5:$V$1003, 0)), "")</f>
        <v/>
      </c>
      <c r="D116" s="19" t="str">
        <f>IFERROR(INDEX('Detalles movimientos'!E$5:E$1003, MATCH(107, 'Detalles movimientos'!$V$5:$V$1003, 0)), "")</f>
        <v/>
      </c>
      <c r="E116" s="19" t="str">
        <f>IFERROR(INDEX('Detalles movimientos'!F$5:F$1003, MATCH(107, 'Detalles movimientos'!$V$5:$V$1003, 0)), "")</f>
        <v/>
      </c>
      <c r="F116" s="18" t="str">
        <f>IFERROR(INDEX('Detalles movimientos'!G$5:G$1003, MATCH(107, 'Detalles movimientos'!$V$5:$V$1003, 0)), "")</f>
        <v/>
      </c>
      <c r="G116" s="20" t="str">
        <f>IFERROR(INDEX('Detalles movimientos'!H$5:H$1003, MATCH(107, 'Detalles movimientos'!$V$5:$V$1003, 0)), "")</f>
        <v/>
      </c>
      <c r="H116" s="21" t="str">
        <f>IFERROR(INDEX('Detalles movimientos'!I$5:I$1003, MATCH(107, 'Detalles movimientos'!$V$5:$V$1003, 0)), "")</f>
        <v/>
      </c>
      <c r="I116" s="20" t="str">
        <f>IFERROR(INDEX('Detalles movimientos'!M$5:M$1003, MATCH(107, 'Detalles movimientos'!$V$5:$V$1003, 0)), "")</f>
        <v/>
      </c>
      <c r="J116" s="19" t="str">
        <f>IFERROR(INDEX('Detalles movimientos'!N$5:N$1003, MATCH(107, 'Detalles movimientos'!$V$5:$V$1003, 0)), "")</f>
        <v/>
      </c>
      <c r="K116" s="20" t="str">
        <f>IFERROR(INDEX('Detalles movimientos'!O$5:O$1003, MATCH(107, 'Detalles movimientos'!$V$5:$V$1003, 0)), "")</f>
        <v/>
      </c>
      <c r="L116" s="18" t="str">
        <f>IFERROR(INDEX('Detalles movimientos'!P$5:P$1003, MATCH(107, 'Detalles movimientos'!$V$5:$V$1003, 0)), "")</f>
        <v/>
      </c>
      <c r="M116" s="18" t="str">
        <f>IFERROR(INDEX('Detalles movimientos'!S$5:S$1003, MATCH(107, 'Detalles movimientos'!$V$5:$V$1003, 0)), "")</f>
        <v/>
      </c>
    </row>
    <row r="117" spans="2:13">
      <c r="B117" s="17" t="str">
        <f>IFERROR(INDEX('Detalles movimientos'!C$5:C$1003, MATCH(108, 'Detalles movimientos'!$V$5:$V$1003, 0)), "")</f>
        <v/>
      </c>
      <c r="C117" s="18" t="str">
        <f>IFERROR(INDEX('Detalles movimientos'!D$5:D$1003, MATCH(108, 'Detalles movimientos'!$V$5:$V$1003, 0)), "")</f>
        <v/>
      </c>
      <c r="D117" s="19" t="str">
        <f>IFERROR(INDEX('Detalles movimientos'!E$5:E$1003, MATCH(108, 'Detalles movimientos'!$V$5:$V$1003, 0)), "")</f>
        <v/>
      </c>
      <c r="E117" s="19" t="str">
        <f>IFERROR(INDEX('Detalles movimientos'!F$5:F$1003, MATCH(108, 'Detalles movimientos'!$V$5:$V$1003, 0)), "")</f>
        <v/>
      </c>
      <c r="F117" s="18" t="str">
        <f>IFERROR(INDEX('Detalles movimientos'!G$5:G$1003, MATCH(108, 'Detalles movimientos'!$V$5:$V$1003, 0)), "")</f>
        <v/>
      </c>
      <c r="G117" s="20" t="str">
        <f>IFERROR(INDEX('Detalles movimientos'!H$5:H$1003, MATCH(108, 'Detalles movimientos'!$V$5:$V$1003, 0)), "")</f>
        <v/>
      </c>
      <c r="H117" s="21" t="str">
        <f>IFERROR(INDEX('Detalles movimientos'!I$5:I$1003, MATCH(108, 'Detalles movimientos'!$V$5:$V$1003, 0)), "")</f>
        <v/>
      </c>
      <c r="I117" s="20" t="str">
        <f>IFERROR(INDEX('Detalles movimientos'!M$5:M$1003, MATCH(108, 'Detalles movimientos'!$V$5:$V$1003, 0)), "")</f>
        <v/>
      </c>
      <c r="J117" s="19" t="str">
        <f>IFERROR(INDEX('Detalles movimientos'!N$5:N$1003, MATCH(108, 'Detalles movimientos'!$V$5:$V$1003, 0)), "")</f>
        <v/>
      </c>
      <c r="K117" s="20" t="str">
        <f>IFERROR(INDEX('Detalles movimientos'!O$5:O$1003, MATCH(108, 'Detalles movimientos'!$V$5:$V$1003, 0)), "")</f>
        <v/>
      </c>
      <c r="L117" s="18" t="str">
        <f>IFERROR(INDEX('Detalles movimientos'!P$5:P$1003, MATCH(108, 'Detalles movimientos'!$V$5:$V$1003, 0)), "")</f>
        <v/>
      </c>
      <c r="M117" s="18" t="str">
        <f>IFERROR(INDEX('Detalles movimientos'!S$5:S$1003, MATCH(108, 'Detalles movimientos'!$V$5:$V$1003, 0)), "")</f>
        <v/>
      </c>
    </row>
    <row r="118" spans="2:13">
      <c r="B118" s="17" t="str">
        <f>IFERROR(INDEX('Detalles movimientos'!C$5:C$1003, MATCH(109, 'Detalles movimientos'!$V$5:$V$1003, 0)), "")</f>
        <v/>
      </c>
      <c r="C118" s="18" t="str">
        <f>IFERROR(INDEX('Detalles movimientos'!D$5:D$1003, MATCH(109, 'Detalles movimientos'!$V$5:$V$1003, 0)), "")</f>
        <v/>
      </c>
      <c r="D118" s="19" t="str">
        <f>IFERROR(INDEX('Detalles movimientos'!E$5:E$1003, MATCH(109, 'Detalles movimientos'!$V$5:$V$1003, 0)), "")</f>
        <v/>
      </c>
      <c r="E118" s="19" t="str">
        <f>IFERROR(INDEX('Detalles movimientos'!F$5:F$1003, MATCH(109, 'Detalles movimientos'!$V$5:$V$1003, 0)), "")</f>
        <v/>
      </c>
      <c r="F118" s="18" t="str">
        <f>IFERROR(INDEX('Detalles movimientos'!G$5:G$1003, MATCH(109, 'Detalles movimientos'!$V$5:$V$1003, 0)), "")</f>
        <v/>
      </c>
      <c r="G118" s="20" t="str">
        <f>IFERROR(INDEX('Detalles movimientos'!H$5:H$1003, MATCH(109, 'Detalles movimientos'!$V$5:$V$1003, 0)), "")</f>
        <v/>
      </c>
      <c r="H118" s="21" t="str">
        <f>IFERROR(INDEX('Detalles movimientos'!I$5:I$1003, MATCH(109, 'Detalles movimientos'!$V$5:$V$1003, 0)), "")</f>
        <v/>
      </c>
      <c r="I118" s="20" t="str">
        <f>IFERROR(INDEX('Detalles movimientos'!M$5:M$1003, MATCH(109, 'Detalles movimientos'!$V$5:$V$1003, 0)), "")</f>
        <v/>
      </c>
      <c r="J118" s="19" t="str">
        <f>IFERROR(INDEX('Detalles movimientos'!N$5:N$1003, MATCH(109, 'Detalles movimientos'!$V$5:$V$1003, 0)), "")</f>
        <v/>
      </c>
      <c r="K118" s="20" t="str">
        <f>IFERROR(INDEX('Detalles movimientos'!O$5:O$1003, MATCH(109, 'Detalles movimientos'!$V$5:$V$1003, 0)), "")</f>
        <v/>
      </c>
      <c r="L118" s="18" t="str">
        <f>IFERROR(INDEX('Detalles movimientos'!P$5:P$1003, MATCH(109, 'Detalles movimientos'!$V$5:$V$1003, 0)), "")</f>
        <v/>
      </c>
      <c r="M118" s="18" t="str">
        <f>IFERROR(INDEX('Detalles movimientos'!S$5:S$1003, MATCH(109, 'Detalles movimientos'!$V$5:$V$1003, 0)), "")</f>
        <v/>
      </c>
    </row>
    <row r="119" spans="2:13">
      <c r="B119" s="17" t="str">
        <f>IFERROR(INDEX('Detalles movimientos'!C$5:C$1003, MATCH(110, 'Detalles movimientos'!$V$5:$V$1003, 0)), "")</f>
        <v/>
      </c>
      <c r="C119" s="18" t="str">
        <f>IFERROR(INDEX('Detalles movimientos'!D$5:D$1003, MATCH(110, 'Detalles movimientos'!$V$5:$V$1003, 0)), "")</f>
        <v/>
      </c>
      <c r="D119" s="19" t="str">
        <f>IFERROR(INDEX('Detalles movimientos'!E$5:E$1003, MATCH(110, 'Detalles movimientos'!$V$5:$V$1003, 0)), "")</f>
        <v/>
      </c>
      <c r="E119" s="19" t="str">
        <f>IFERROR(INDEX('Detalles movimientos'!F$5:F$1003, MATCH(110, 'Detalles movimientos'!$V$5:$V$1003, 0)), "")</f>
        <v/>
      </c>
      <c r="F119" s="18" t="str">
        <f>IFERROR(INDEX('Detalles movimientos'!G$5:G$1003, MATCH(110, 'Detalles movimientos'!$V$5:$V$1003, 0)), "")</f>
        <v/>
      </c>
      <c r="G119" s="20" t="str">
        <f>IFERROR(INDEX('Detalles movimientos'!H$5:H$1003, MATCH(110, 'Detalles movimientos'!$V$5:$V$1003, 0)), "")</f>
        <v/>
      </c>
      <c r="H119" s="21" t="str">
        <f>IFERROR(INDEX('Detalles movimientos'!I$5:I$1003, MATCH(110, 'Detalles movimientos'!$V$5:$V$1003, 0)), "")</f>
        <v/>
      </c>
      <c r="I119" s="20" t="str">
        <f>IFERROR(INDEX('Detalles movimientos'!M$5:M$1003, MATCH(110, 'Detalles movimientos'!$V$5:$V$1003, 0)), "")</f>
        <v/>
      </c>
      <c r="J119" s="19" t="str">
        <f>IFERROR(INDEX('Detalles movimientos'!N$5:N$1003, MATCH(110, 'Detalles movimientos'!$V$5:$V$1003, 0)), "")</f>
        <v/>
      </c>
      <c r="K119" s="20" t="str">
        <f>IFERROR(INDEX('Detalles movimientos'!O$5:O$1003, MATCH(110, 'Detalles movimientos'!$V$5:$V$1003, 0)), "")</f>
        <v/>
      </c>
      <c r="L119" s="18" t="str">
        <f>IFERROR(INDEX('Detalles movimientos'!P$5:P$1003, MATCH(110, 'Detalles movimientos'!$V$5:$V$1003, 0)), "")</f>
        <v/>
      </c>
      <c r="M119" s="18" t="str">
        <f>IFERROR(INDEX('Detalles movimientos'!S$5:S$1003, MATCH(110, 'Detalles movimientos'!$V$5:$V$1003, 0)), "")</f>
        <v/>
      </c>
    </row>
    <row r="120" spans="2:13">
      <c r="B120" s="17" t="str">
        <f>IFERROR(INDEX('Detalles movimientos'!C$5:C$1003, MATCH(111, 'Detalles movimientos'!$V$5:$V$1003, 0)), "")</f>
        <v/>
      </c>
      <c r="C120" s="18" t="str">
        <f>IFERROR(INDEX('Detalles movimientos'!D$5:D$1003, MATCH(111, 'Detalles movimientos'!$V$5:$V$1003, 0)), "")</f>
        <v/>
      </c>
      <c r="D120" s="19" t="str">
        <f>IFERROR(INDEX('Detalles movimientos'!E$5:E$1003, MATCH(111, 'Detalles movimientos'!$V$5:$V$1003, 0)), "")</f>
        <v/>
      </c>
      <c r="E120" s="19" t="str">
        <f>IFERROR(INDEX('Detalles movimientos'!F$5:F$1003, MATCH(111, 'Detalles movimientos'!$V$5:$V$1003, 0)), "")</f>
        <v/>
      </c>
      <c r="F120" s="18" t="str">
        <f>IFERROR(INDEX('Detalles movimientos'!G$5:G$1003, MATCH(111, 'Detalles movimientos'!$V$5:$V$1003, 0)), "")</f>
        <v/>
      </c>
      <c r="G120" s="20" t="str">
        <f>IFERROR(INDEX('Detalles movimientos'!H$5:H$1003, MATCH(111, 'Detalles movimientos'!$V$5:$V$1003, 0)), "")</f>
        <v/>
      </c>
      <c r="H120" s="21" t="str">
        <f>IFERROR(INDEX('Detalles movimientos'!I$5:I$1003, MATCH(111, 'Detalles movimientos'!$V$5:$V$1003, 0)), "")</f>
        <v/>
      </c>
      <c r="I120" s="20" t="str">
        <f>IFERROR(INDEX('Detalles movimientos'!M$5:M$1003, MATCH(111, 'Detalles movimientos'!$V$5:$V$1003, 0)), "")</f>
        <v/>
      </c>
      <c r="J120" s="19" t="str">
        <f>IFERROR(INDEX('Detalles movimientos'!N$5:N$1003, MATCH(111, 'Detalles movimientos'!$V$5:$V$1003, 0)), "")</f>
        <v/>
      </c>
      <c r="K120" s="20" t="str">
        <f>IFERROR(INDEX('Detalles movimientos'!O$5:O$1003, MATCH(111, 'Detalles movimientos'!$V$5:$V$1003, 0)), "")</f>
        <v/>
      </c>
      <c r="L120" s="18" t="str">
        <f>IFERROR(INDEX('Detalles movimientos'!P$5:P$1003, MATCH(111, 'Detalles movimientos'!$V$5:$V$1003, 0)), "")</f>
        <v/>
      </c>
      <c r="M120" s="18" t="str">
        <f>IFERROR(INDEX('Detalles movimientos'!S$5:S$1003, MATCH(111, 'Detalles movimientos'!$V$5:$V$1003, 0)), "")</f>
        <v/>
      </c>
    </row>
    <row r="121" spans="2:13">
      <c r="B121" s="17" t="str">
        <f>IFERROR(INDEX('Detalles movimientos'!C$5:C$1003, MATCH(112, 'Detalles movimientos'!$V$5:$V$1003, 0)), "")</f>
        <v/>
      </c>
      <c r="C121" s="18" t="str">
        <f>IFERROR(INDEX('Detalles movimientos'!D$5:D$1003, MATCH(112, 'Detalles movimientos'!$V$5:$V$1003, 0)), "")</f>
        <v/>
      </c>
      <c r="D121" s="19" t="str">
        <f>IFERROR(INDEX('Detalles movimientos'!E$5:E$1003, MATCH(112, 'Detalles movimientos'!$V$5:$V$1003, 0)), "")</f>
        <v/>
      </c>
      <c r="E121" s="19" t="str">
        <f>IFERROR(INDEX('Detalles movimientos'!F$5:F$1003, MATCH(112, 'Detalles movimientos'!$V$5:$V$1003, 0)), "")</f>
        <v/>
      </c>
      <c r="F121" s="18" t="str">
        <f>IFERROR(INDEX('Detalles movimientos'!G$5:G$1003, MATCH(112, 'Detalles movimientos'!$V$5:$V$1003, 0)), "")</f>
        <v/>
      </c>
      <c r="G121" s="20" t="str">
        <f>IFERROR(INDEX('Detalles movimientos'!H$5:H$1003, MATCH(112, 'Detalles movimientos'!$V$5:$V$1003, 0)), "")</f>
        <v/>
      </c>
      <c r="H121" s="21" t="str">
        <f>IFERROR(INDEX('Detalles movimientos'!I$5:I$1003, MATCH(112, 'Detalles movimientos'!$V$5:$V$1003, 0)), "")</f>
        <v/>
      </c>
      <c r="I121" s="20" t="str">
        <f>IFERROR(INDEX('Detalles movimientos'!M$5:M$1003, MATCH(112, 'Detalles movimientos'!$V$5:$V$1003, 0)), "")</f>
        <v/>
      </c>
      <c r="J121" s="19" t="str">
        <f>IFERROR(INDEX('Detalles movimientos'!N$5:N$1003, MATCH(112, 'Detalles movimientos'!$V$5:$V$1003, 0)), "")</f>
        <v/>
      </c>
      <c r="K121" s="20" t="str">
        <f>IFERROR(INDEX('Detalles movimientos'!O$5:O$1003, MATCH(112, 'Detalles movimientos'!$V$5:$V$1003, 0)), "")</f>
        <v/>
      </c>
      <c r="L121" s="18" t="str">
        <f>IFERROR(INDEX('Detalles movimientos'!P$5:P$1003, MATCH(112, 'Detalles movimientos'!$V$5:$V$1003, 0)), "")</f>
        <v/>
      </c>
      <c r="M121" s="18" t="str">
        <f>IFERROR(INDEX('Detalles movimientos'!S$5:S$1003, MATCH(112, 'Detalles movimientos'!$V$5:$V$1003, 0)), "")</f>
        <v/>
      </c>
    </row>
    <row r="122" spans="2:13">
      <c r="B122" s="17" t="str">
        <f>IFERROR(INDEX('Detalles movimientos'!C$5:C$1003, MATCH(113, 'Detalles movimientos'!$V$5:$V$1003, 0)), "")</f>
        <v/>
      </c>
      <c r="C122" s="18" t="str">
        <f>IFERROR(INDEX('Detalles movimientos'!D$5:D$1003, MATCH(113, 'Detalles movimientos'!$V$5:$V$1003, 0)), "")</f>
        <v/>
      </c>
      <c r="D122" s="19" t="str">
        <f>IFERROR(INDEX('Detalles movimientos'!E$5:E$1003, MATCH(113, 'Detalles movimientos'!$V$5:$V$1003, 0)), "")</f>
        <v/>
      </c>
      <c r="E122" s="19" t="str">
        <f>IFERROR(INDEX('Detalles movimientos'!F$5:F$1003, MATCH(113, 'Detalles movimientos'!$V$5:$V$1003, 0)), "")</f>
        <v/>
      </c>
      <c r="F122" s="18" t="str">
        <f>IFERROR(INDEX('Detalles movimientos'!G$5:G$1003, MATCH(113, 'Detalles movimientos'!$V$5:$V$1003, 0)), "")</f>
        <v/>
      </c>
      <c r="G122" s="20" t="str">
        <f>IFERROR(INDEX('Detalles movimientos'!H$5:H$1003, MATCH(113, 'Detalles movimientos'!$V$5:$V$1003, 0)), "")</f>
        <v/>
      </c>
      <c r="H122" s="21" t="str">
        <f>IFERROR(INDEX('Detalles movimientos'!I$5:I$1003, MATCH(113, 'Detalles movimientos'!$V$5:$V$1003, 0)), "")</f>
        <v/>
      </c>
      <c r="I122" s="20" t="str">
        <f>IFERROR(INDEX('Detalles movimientos'!M$5:M$1003, MATCH(113, 'Detalles movimientos'!$V$5:$V$1003, 0)), "")</f>
        <v/>
      </c>
      <c r="J122" s="19" t="str">
        <f>IFERROR(INDEX('Detalles movimientos'!N$5:N$1003, MATCH(113, 'Detalles movimientos'!$V$5:$V$1003, 0)), "")</f>
        <v/>
      </c>
      <c r="K122" s="20" t="str">
        <f>IFERROR(INDEX('Detalles movimientos'!O$5:O$1003, MATCH(113, 'Detalles movimientos'!$V$5:$V$1003, 0)), "")</f>
        <v/>
      </c>
      <c r="L122" s="18" t="str">
        <f>IFERROR(INDEX('Detalles movimientos'!P$5:P$1003, MATCH(113, 'Detalles movimientos'!$V$5:$V$1003, 0)), "")</f>
        <v/>
      </c>
      <c r="M122" s="18" t="str">
        <f>IFERROR(INDEX('Detalles movimientos'!S$5:S$1003, MATCH(113, 'Detalles movimientos'!$V$5:$V$1003, 0)), "")</f>
        <v/>
      </c>
    </row>
    <row r="123" spans="2:13">
      <c r="B123" s="17" t="str">
        <f>IFERROR(INDEX('Detalles movimientos'!C$5:C$1003, MATCH(114, 'Detalles movimientos'!$V$5:$V$1003, 0)), "")</f>
        <v/>
      </c>
      <c r="C123" s="18" t="str">
        <f>IFERROR(INDEX('Detalles movimientos'!D$5:D$1003, MATCH(114, 'Detalles movimientos'!$V$5:$V$1003, 0)), "")</f>
        <v/>
      </c>
      <c r="D123" s="19" t="str">
        <f>IFERROR(INDEX('Detalles movimientos'!E$5:E$1003, MATCH(114, 'Detalles movimientos'!$V$5:$V$1003, 0)), "")</f>
        <v/>
      </c>
      <c r="E123" s="19" t="str">
        <f>IFERROR(INDEX('Detalles movimientos'!F$5:F$1003, MATCH(114, 'Detalles movimientos'!$V$5:$V$1003, 0)), "")</f>
        <v/>
      </c>
      <c r="F123" s="18" t="str">
        <f>IFERROR(INDEX('Detalles movimientos'!G$5:G$1003, MATCH(114, 'Detalles movimientos'!$V$5:$V$1003, 0)), "")</f>
        <v/>
      </c>
      <c r="G123" s="20" t="str">
        <f>IFERROR(INDEX('Detalles movimientos'!H$5:H$1003, MATCH(114, 'Detalles movimientos'!$V$5:$V$1003, 0)), "")</f>
        <v/>
      </c>
      <c r="H123" s="21" t="str">
        <f>IFERROR(INDEX('Detalles movimientos'!I$5:I$1003, MATCH(114, 'Detalles movimientos'!$V$5:$V$1003, 0)), "")</f>
        <v/>
      </c>
      <c r="I123" s="20" t="str">
        <f>IFERROR(INDEX('Detalles movimientos'!M$5:M$1003, MATCH(114, 'Detalles movimientos'!$V$5:$V$1003, 0)), "")</f>
        <v/>
      </c>
      <c r="J123" s="19" t="str">
        <f>IFERROR(INDEX('Detalles movimientos'!N$5:N$1003, MATCH(114, 'Detalles movimientos'!$V$5:$V$1003, 0)), "")</f>
        <v/>
      </c>
      <c r="K123" s="20" t="str">
        <f>IFERROR(INDEX('Detalles movimientos'!O$5:O$1003, MATCH(114, 'Detalles movimientos'!$V$5:$V$1003, 0)), "")</f>
        <v/>
      </c>
      <c r="L123" s="18" t="str">
        <f>IFERROR(INDEX('Detalles movimientos'!P$5:P$1003, MATCH(114, 'Detalles movimientos'!$V$5:$V$1003, 0)), "")</f>
        <v/>
      </c>
      <c r="M123" s="18" t="str">
        <f>IFERROR(INDEX('Detalles movimientos'!S$5:S$1003, MATCH(114, 'Detalles movimientos'!$V$5:$V$1003, 0)), "")</f>
        <v/>
      </c>
    </row>
    <row r="124" spans="2:13">
      <c r="B124" s="17" t="str">
        <f>IFERROR(INDEX('Detalles movimientos'!C$5:C$1003, MATCH(115, 'Detalles movimientos'!$V$5:$V$1003, 0)), "")</f>
        <v/>
      </c>
      <c r="C124" s="18" t="str">
        <f>IFERROR(INDEX('Detalles movimientos'!D$5:D$1003, MATCH(115, 'Detalles movimientos'!$V$5:$V$1003, 0)), "")</f>
        <v/>
      </c>
      <c r="D124" s="19" t="str">
        <f>IFERROR(INDEX('Detalles movimientos'!E$5:E$1003, MATCH(115, 'Detalles movimientos'!$V$5:$V$1003, 0)), "")</f>
        <v/>
      </c>
      <c r="E124" s="19" t="str">
        <f>IFERROR(INDEX('Detalles movimientos'!F$5:F$1003, MATCH(115, 'Detalles movimientos'!$V$5:$V$1003, 0)), "")</f>
        <v/>
      </c>
      <c r="F124" s="18" t="str">
        <f>IFERROR(INDEX('Detalles movimientos'!G$5:G$1003, MATCH(115, 'Detalles movimientos'!$V$5:$V$1003, 0)), "")</f>
        <v/>
      </c>
      <c r="G124" s="20" t="str">
        <f>IFERROR(INDEX('Detalles movimientos'!H$5:H$1003, MATCH(115, 'Detalles movimientos'!$V$5:$V$1003, 0)), "")</f>
        <v/>
      </c>
      <c r="H124" s="21" t="str">
        <f>IFERROR(INDEX('Detalles movimientos'!I$5:I$1003, MATCH(115, 'Detalles movimientos'!$V$5:$V$1003, 0)), "")</f>
        <v/>
      </c>
      <c r="I124" s="20" t="str">
        <f>IFERROR(INDEX('Detalles movimientos'!M$5:M$1003, MATCH(115, 'Detalles movimientos'!$V$5:$V$1003, 0)), "")</f>
        <v/>
      </c>
      <c r="J124" s="19" t="str">
        <f>IFERROR(INDEX('Detalles movimientos'!N$5:N$1003, MATCH(115, 'Detalles movimientos'!$V$5:$V$1003, 0)), "")</f>
        <v/>
      </c>
      <c r="K124" s="20" t="str">
        <f>IFERROR(INDEX('Detalles movimientos'!O$5:O$1003, MATCH(115, 'Detalles movimientos'!$V$5:$V$1003, 0)), "")</f>
        <v/>
      </c>
      <c r="L124" s="18" t="str">
        <f>IFERROR(INDEX('Detalles movimientos'!P$5:P$1003, MATCH(115, 'Detalles movimientos'!$V$5:$V$1003, 0)), "")</f>
        <v/>
      </c>
      <c r="M124" s="18" t="str">
        <f>IFERROR(INDEX('Detalles movimientos'!S$5:S$1003, MATCH(115, 'Detalles movimientos'!$V$5:$V$1003, 0)), "")</f>
        <v/>
      </c>
    </row>
    <row r="125" spans="2:13">
      <c r="B125" s="17" t="str">
        <f>IFERROR(INDEX('Detalles movimientos'!C$5:C$1003, MATCH(116, 'Detalles movimientos'!$V$5:$V$1003, 0)), "")</f>
        <v/>
      </c>
      <c r="C125" s="18" t="str">
        <f>IFERROR(INDEX('Detalles movimientos'!D$5:D$1003, MATCH(116, 'Detalles movimientos'!$V$5:$V$1003, 0)), "")</f>
        <v/>
      </c>
      <c r="D125" s="19" t="str">
        <f>IFERROR(INDEX('Detalles movimientos'!E$5:E$1003, MATCH(116, 'Detalles movimientos'!$V$5:$V$1003, 0)), "")</f>
        <v/>
      </c>
      <c r="E125" s="19" t="str">
        <f>IFERROR(INDEX('Detalles movimientos'!F$5:F$1003, MATCH(116, 'Detalles movimientos'!$V$5:$V$1003, 0)), "")</f>
        <v/>
      </c>
      <c r="F125" s="18" t="str">
        <f>IFERROR(INDEX('Detalles movimientos'!G$5:G$1003, MATCH(116, 'Detalles movimientos'!$V$5:$V$1003, 0)), "")</f>
        <v/>
      </c>
      <c r="G125" s="20" t="str">
        <f>IFERROR(INDEX('Detalles movimientos'!H$5:H$1003, MATCH(116, 'Detalles movimientos'!$V$5:$V$1003, 0)), "")</f>
        <v/>
      </c>
      <c r="H125" s="21" t="str">
        <f>IFERROR(INDEX('Detalles movimientos'!I$5:I$1003, MATCH(116, 'Detalles movimientos'!$V$5:$V$1003, 0)), "")</f>
        <v/>
      </c>
      <c r="I125" s="20" t="str">
        <f>IFERROR(INDEX('Detalles movimientos'!M$5:M$1003, MATCH(116, 'Detalles movimientos'!$V$5:$V$1003, 0)), "")</f>
        <v/>
      </c>
      <c r="J125" s="19" t="str">
        <f>IFERROR(INDEX('Detalles movimientos'!N$5:N$1003, MATCH(116, 'Detalles movimientos'!$V$5:$V$1003, 0)), "")</f>
        <v/>
      </c>
      <c r="K125" s="20" t="str">
        <f>IFERROR(INDEX('Detalles movimientos'!O$5:O$1003, MATCH(116, 'Detalles movimientos'!$V$5:$V$1003, 0)), "")</f>
        <v/>
      </c>
      <c r="L125" s="18" t="str">
        <f>IFERROR(INDEX('Detalles movimientos'!P$5:P$1003, MATCH(116, 'Detalles movimientos'!$V$5:$V$1003, 0)), "")</f>
        <v/>
      </c>
      <c r="M125" s="18" t="str">
        <f>IFERROR(INDEX('Detalles movimientos'!S$5:S$1003, MATCH(116, 'Detalles movimientos'!$V$5:$V$1003, 0)), "")</f>
        <v/>
      </c>
    </row>
    <row r="126" spans="2:13">
      <c r="B126" s="17" t="str">
        <f>IFERROR(INDEX('Detalles movimientos'!C$5:C$1003, MATCH(117, 'Detalles movimientos'!$V$5:$V$1003, 0)), "")</f>
        <v/>
      </c>
      <c r="C126" s="18" t="str">
        <f>IFERROR(INDEX('Detalles movimientos'!D$5:D$1003, MATCH(117, 'Detalles movimientos'!$V$5:$V$1003, 0)), "")</f>
        <v/>
      </c>
      <c r="D126" s="19" t="str">
        <f>IFERROR(INDEX('Detalles movimientos'!E$5:E$1003, MATCH(117, 'Detalles movimientos'!$V$5:$V$1003, 0)), "")</f>
        <v/>
      </c>
      <c r="E126" s="19" t="str">
        <f>IFERROR(INDEX('Detalles movimientos'!F$5:F$1003, MATCH(117, 'Detalles movimientos'!$V$5:$V$1003, 0)), "")</f>
        <v/>
      </c>
      <c r="F126" s="18" t="str">
        <f>IFERROR(INDEX('Detalles movimientos'!G$5:G$1003, MATCH(117, 'Detalles movimientos'!$V$5:$V$1003, 0)), "")</f>
        <v/>
      </c>
      <c r="G126" s="20" t="str">
        <f>IFERROR(INDEX('Detalles movimientos'!H$5:H$1003, MATCH(117, 'Detalles movimientos'!$V$5:$V$1003, 0)), "")</f>
        <v/>
      </c>
      <c r="H126" s="21" t="str">
        <f>IFERROR(INDEX('Detalles movimientos'!I$5:I$1003, MATCH(117, 'Detalles movimientos'!$V$5:$V$1003, 0)), "")</f>
        <v/>
      </c>
      <c r="I126" s="20" t="str">
        <f>IFERROR(INDEX('Detalles movimientos'!M$5:M$1003, MATCH(117, 'Detalles movimientos'!$V$5:$V$1003, 0)), "")</f>
        <v/>
      </c>
      <c r="J126" s="19" t="str">
        <f>IFERROR(INDEX('Detalles movimientos'!N$5:N$1003, MATCH(117, 'Detalles movimientos'!$V$5:$V$1003, 0)), "")</f>
        <v/>
      </c>
      <c r="K126" s="20" t="str">
        <f>IFERROR(INDEX('Detalles movimientos'!O$5:O$1003, MATCH(117, 'Detalles movimientos'!$V$5:$V$1003, 0)), "")</f>
        <v/>
      </c>
      <c r="L126" s="18" t="str">
        <f>IFERROR(INDEX('Detalles movimientos'!P$5:P$1003, MATCH(117, 'Detalles movimientos'!$V$5:$V$1003, 0)), "")</f>
        <v/>
      </c>
      <c r="M126" s="18" t="str">
        <f>IFERROR(INDEX('Detalles movimientos'!S$5:S$1003, MATCH(117, 'Detalles movimientos'!$V$5:$V$1003, 0)), "")</f>
        <v/>
      </c>
    </row>
    <row r="127" spans="2:13">
      <c r="B127" s="17" t="str">
        <f>IFERROR(INDEX('Detalles movimientos'!C$5:C$1003, MATCH(118, 'Detalles movimientos'!$V$5:$V$1003, 0)), "")</f>
        <v/>
      </c>
      <c r="C127" s="18" t="str">
        <f>IFERROR(INDEX('Detalles movimientos'!D$5:D$1003, MATCH(118, 'Detalles movimientos'!$V$5:$V$1003, 0)), "")</f>
        <v/>
      </c>
      <c r="D127" s="19" t="str">
        <f>IFERROR(INDEX('Detalles movimientos'!E$5:E$1003, MATCH(118, 'Detalles movimientos'!$V$5:$V$1003, 0)), "")</f>
        <v/>
      </c>
      <c r="E127" s="19" t="str">
        <f>IFERROR(INDEX('Detalles movimientos'!F$5:F$1003, MATCH(118, 'Detalles movimientos'!$V$5:$V$1003, 0)), "")</f>
        <v/>
      </c>
      <c r="F127" s="18" t="str">
        <f>IFERROR(INDEX('Detalles movimientos'!G$5:G$1003, MATCH(118, 'Detalles movimientos'!$V$5:$V$1003, 0)), "")</f>
        <v/>
      </c>
      <c r="G127" s="20" t="str">
        <f>IFERROR(INDEX('Detalles movimientos'!H$5:H$1003, MATCH(118, 'Detalles movimientos'!$V$5:$V$1003, 0)), "")</f>
        <v/>
      </c>
      <c r="H127" s="21" t="str">
        <f>IFERROR(INDEX('Detalles movimientos'!I$5:I$1003, MATCH(118, 'Detalles movimientos'!$V$5:$V$1003, 0)), "")</f>
        <v/>
      </c>
      <c r="I127" s="20" t="str">
        <f>IFERROR(INDEX('Detalles movimientos'!M$5:M$1003, MATCH(118, 'Detalles movimientos'!$V$5:$V$1003, 0)), "")</f>
        <v/>
      </c>
      <c r="J127" s="19" t="str">
        <f>IFERROR(INDEX('Detalles movimientos'!N$5:N$1003, MATCH(118, 'Detalles movimientos'!$V$5:$V$1003, 0)), "")</f>
        <v/>
      </c>
      <c r="K127" s="20" t="str">
        <f>IFERROR(INDEX('Detalles movimientos'!O$5:O$1003, MATCH(118, 'Detalles movimientos'!$V$5:$V$1003, 0)), "")</f>
        <v/>
      </c>
      <c r="L127" s="18" t="str">
        <f>IFERROR(INDEX('Detalles movimientos'!P$5:P$1003, MATCH(118, 'Detalles movimientos'!$V$5:$V$1003, 0)), "")</f>
        <v/>
      </c>
      <c r="M127" s="18" t="str">
        <f>IFERROR(INDEX('Detalles movimientos'!S$5:S$1003, MATCH(118, 'Detalles movimientos'!$V$5:$V$1003, 0)), "")</f>
        <v/>
      </c>
    </row>
    <row r="128" spans="2:13">
      <c r="B128" s="17" t="str">
        <f>IFERROR(INDEX('Detalles movimientos'!C$5:C$1003, MATCH(119, 'Detalles movimientos'!$V$5:$V$1003, 0)), "")</f>
        <v/>
      </c>
      <c r="C128" s="18" t="str">
        <f>IFERROR(INDEX('Detalles movimientos'!D$5:D$1003, MATCH(119, 'Detalles movimientos'!$V$5:$V$1003, 0)), "")</f>
        <v/>
      </c>
      <c r="D128" s="19" t="str">
        <f>IFERROR(INDEX('Detalles movimientos'!E$5:E$1003, MATCH(119, 'Detalles movimientos'!$V$5:$V$1003, 0)), "")</f>
        <v/>
      </c>
      <c r="E128" s="19" t="str">
        <f>IFERROR(INDEX('Detalles movimientos'!F$5:F$1003, MATCH(119, 'Detalles movimientos'!$V$5:$V$1003, 0)), "")</f>
        <v/>
      </c>
      <c r="F128" s="18" t="str">
        <f>IFERROR(INDEX('Detalles movimientos'!G$5:G$1003, MATCH(119, 'Detalles movimientos'!$V$5:$V$1003, 0)), "")</f>
        <v/>
      </c>
      <c r="G128" s="20" t="str">
        <f>IFERROR(INDEX('Detalles movimientos'!H$5:H$1003, MATCH(119, 'Detalles movimientos'!$V$5:$V$1003, 0)), "")</f>
        <v/>
      </c>
      <c r="H128" s="21" t="str">
        <f>IFERROR(INDEX('Detalles movimientos'!I$5:I$1003, MATCH(119, 'Detalles movimientos'!$V$5:$V$1003, 0)), "")</f>
        <v/>
      </c>
      <c r="I128" s="20" t="str">
        <f>IFERROR(INDEX('Detalles movimientos'!M$5:M$1003, MATCH(119, 'Detalles movimientos'!$V$5:$V$1003, 0)), "")</f>
        <v/>
      </c>
      <c r="J128" s="19" t="str">
        <f>IFERROR(INDEX('Detalles movimientos'!N$5:N$1003, MATCH(119, 'Detalles movimientos'!$V$5:$V$1003, 0)), "")</f>
        <v/>
      </c>
      <c r="K128" s="20" t="str">
        <f>IFERROR(INDEX('Detalles movimientos'!O$5:O$1003, MATCH(119, 'Detalles movimientos'!$V$5:$V$1003, 0)), "")</f>
        <v/>
      </c>
      <c r="L128" s="18" t="str">
        <f>IFERROR(INDEX('Detalles movimientos'!P$5:P$1003, MATCH(119, 'Detalles movimientos'!$V$5:$V$1003, 0)), "")</f>
        <v/>
      </c>
      <c r="M128" s="18" t="str">
        <f>IFERROR(INDEX('Detalles movimientos'!S$5:S$1003, MATCH(119, 'Detalles movimientos'!$V$5:$V$1003, 0)), "")</f>
        <v/>
      </c>
    </row>
    <row r="129" spans="2:13">
      <c r="B129" s="17" t="str">
        <f>IFERROR(INDEX('Detalles movimientos'!C$5:C$1003, MATCH(120, 'Detalles movimientos'!$V$5:$V$1003, 0)), "")</f>
        <v/>
      </c>
      <c r="C129" s="18" t="str">
        <f>IFERROR(INDEX('Detalles movimientos'!D$5:D$1003, MATCH(120, 'Detalles movimientos'!$V$5:$V$1003, 0)), "")</f>
        <v/>
      </c>
      <c r="D129" s="19" t="str">
        <f>IFERROR(INDEX('Detalles movimientos'!E$5:E$1003, MATCH(120, 'Detalles movimientos'!$V$5:$V$1003, 0)), "")</f>
        <v/>
      </c>
      <c r="E129" s="19" t="str">
        <f>IFERROR(INDEX('Detalles movimientos'!F$5:F$1003, MATCH(120, 'Detalles movimientos'!$V$5:$V$1003, 0)), "")</f>
        <v/>
      </c>
      <c r="F129" s="18" t="str">
        <f>IFERROR(INDEX('Detalles movimientos'!G$5:G$1003, MATCH(120, 'Detalles movimientos'!$V$5:$V$1003, 0)), "")</f>
        <v/>
      </c>
      <c r="G129" s="20" t="str">
        <f>IFERROR(INDEX('Detalles movimientos'!H$5:H$1003, MATCH(120, 'Detalles movimientos'!$V$5:$V$1003, 0)), "")</f>
        <v/>
      </c>
      <c r="H129" s="21" t="str">
        <f>IFERROR(INDEX('Detalles movimientos'!I$5:I$1003, MATCH(120, 'Detalles movimientos'!$V$5:$V$1003, 0)), "")</f>
        <v/>
      </c>
      <c r="I129" s="20" t="str">
        <f>IFERROR(INDEX('Detalles movimientos'!M$5:M$1003, MATCH(120, 'Detalles movimientos'!$V$5:$V$1003, 0)), "")</f>
        <v/>
      </c>
      <c r="J129" s="19" t="str">
        <f>IFERROR(INDEX('Detalles movimientos'!N$5:N$1003, MATCH(120, 'Detalles movimientos'!$V$5:$V$1003, 0)), "")</f>
        <v/>
      </c>
      <c r="K129" s="20" t="str">
        <f>IFERROR(INDEX('Detalles movimientos'!O$5:O$1003, MATCH(120, 'Detalles movimientos'!$V$5:$V$1003, 0)), "")</f>
        <v/>
      </c>
      <c r="L129" s="18" t="str">
        <f>IFERROR(INDEX('Detalles movimientos'!P$5:P$1003, MATCH(120, 'Detalles movimientos'!$V$5:$V$1003, 0)), "")</f>
        <v/>
      </c>
      <c r="M129" s="18" t="str">
        <f>IFERROR(INDEX('Detalles movimientos'!S$5:S$1003, MATCH(120, 'Detalles movimientos'!$V$5:$V$1003, 0)), "")</f>
        <v/>
      </c>
    </row>
    <row r="130" spans="2:13">
      <c r="B130" s="17" t="str">
        <f>IFERROR(INDEX('Detalles movimientos'!C$5:C$1003, MATCH(121, 'Detalles movimientos'!$V$5:$V$1003, 0)), "")</f>
        <v/>
      </c>
      <c r="C130" s="18" t="str">
        <f>IFERROR(INDEX('Detalles movimientos'!D$5:D$1003, MATCH(121, 'Detalles movimientos'!$V$5:$V$1003, 0)), "")</f>
        <v/>
      </c>
      <c r="D130" s="19" t="str">
        <f>IFERROR(INDEX('Detalles movimientos'!E$5:E$1003, MATCH(121, 'Detalles movimientos'!$V$5:$V$1003, 0)), "")</f>
        <v/>
      </c>
      <c r="E130" s="19" t="str">
        <f>IFERROR(INDEX('Detalles movimientos'!F$5:F$1003, MATCH(121, 'Detalles movimientos'!$V$5:$V$1003, 0)), "")</f>
        <v/>
      </c>
      <c r="F130" s="18" t="str">
        <f>IFERROR(INDEX('Detalles movimientos'!G$5:G$1003, MATCH(121, 'Detalles movimientos'!$V$5:$V$1003, 0)), "")</f>
        <v/>
      </c>
      <c r="G130" s="20" t="str">
        <f>IFERROR(INDEX('Detalles movimientos'!H$5:H$1003, MATCH(121, 'Detalles movimientos'!$V$5:$V$1003, 0)), "")</f>
        <v/>
      </c>
      <c r="H130" s="21" t="str">
        <f>IFERROR(INDEX('Detalles movimientos'!I$5:I$1003, MATCH(121, 'Detalles movimientos'!$V$5:$V$1003, 0)), "")</f>
        <v/>
      </c>
      <c r="I130" s="20" t="str">
        <f>IFERROR(INDEX('Detalles movimientos'!M$5:M$1003, MATCH(121, 'Detalles movimientos'!$V$5:$V$1003, 0)), "")</f>
        <v/>
      </c>
      <c r="J130" s="19" t="str">
        <f>IFERROR(INDEX('Detalles movimientos'!N$5:N$1003, MATCH(121, 'Detalles movimientos'!$V$5:$V$1003, 0)), "")</f>
        <v/>
      </c>
      <c r="K130" s="20" t="str">
        <f>IFERROR(INDEX('Detalles movimientos'!O$5:O$1003, MATCH(121, 'Detalles movimientos'!$V$5:$V$1003, 0)), "")</f>
        <v/>
      </c>
      <c r="L130" s="18" t="str">
        <f>IFERROR(INDEX('Detalles movimientos'!P$5:P$1003, MATCH(121, 'Detalles movimientos'!$V$5:$V$1003, 0)), "")</f>
        <v/>
      </c>
      <c r="M130" s="18" t="str">
        <f>IFERROR(INDEX('Detalles movimientos'!S$5:S$1003, MATCH(121, 'Detalles movimientos'!$V$5:$V$1003, 0)), "")</f>
        <v/>
      </c>
    </row>
    <row r="131" spans="2:13">
      <c r="B131" s="17" t="str">
        <f>IFERROR(INDEX('Detalles movimientos'!C$5:C$1003, MATCH(122, 'Detalles movimientos'!$V$5:$V$1003, 0)), "")</f>
        <v/>
      </c>
      <c r="C131" s="18" t="str">
        <f>IFERROR(INDEX('Detalles movimientos'!D$5:D$1003, MATCH(122, 'Detalles movimientos'!$V$5:$V$1003, 0)), "")</f>
        <v/>
      </c>
      <c r="D131" s="19" t="str">
        <f>IFERROR(INDEX('Detalles movimientos'!E$5:E$1003, MATCH(122, 'Detalles movimientos'!$V$5:$V$1003, 0)), "")</f>
        <v/>
      </c>
      <c r="E131" s="19" t="str">
        <f>IFERROR(INDEX('Detalles movimientos'!F$5:F$1003, MATCH(122, 'Detalles movimientos'!$V$5:$V$1003, 0)), "")</f>
        <v/>
      </c>
      <c r="F131" s="18" t="str">
        <f>IFERROR(INDEX('Detalles movimientos'!G$5:G$1003, MATCH(122, 'Detalles movimientos'!$V$5:$V$1003, 0)), "")</f>
        <v/>
      </c>
      <c r="G131" s="20" t="str">
        <f>IFERROR(INDEX('Detalles movimientos'!H$5:H$1003, MATCH(122, 'Detalles movimientos'!$V$5:$V$1003, 0)), "")</f>
        <v/>
      </c>
      <c r="H131" s="21" t="str">
        <f>IFERROR(INDEX('Detalles movimientos'!I$5:I$1003, MATCH(122, 'Detalles movimientos'!$V$5:$V$1003, 0)), "")</f>
        <v/>
      </c>
      <c r="I131" s="20" t="str">
        <f>IFERROR(INDEX('Detalles movimientos'!M$5:M$1003, MATCH(122, 'Detalles movimientos'!$V$5:$V$1003, 0)), "")</f>
        <v/>
      </c>
      <c r="J131" s="19" t="str">
        <f>IFERROR(INDEX('Detalles movimientos'!N$5:N$1003, MATCH(122, 'Detalles movimientos'!$V$5:$V$1003, 0)), "")</f>
        <v/>
      </c>
      <c r="K131" s="20" t="str">
        <f>IFERROR(INDEX('Detalles movimientos'!O$5:O$1003, MATCH(122, 'Detalles movimientos'!$V$5:$V$1003, 0)), "")</f>
        <v/>
      </c>
      <c r="L131" s="18" t="str">
        <f>IFERROR(INDEX('Detalles movimientos'!P$5:P$1003, MATCH(122, 'Detalles movimientos'!$V$5:$V$1003, 0)), "")</f>
        <v/>
      </c>
      <c r="M131" s="18" t="str">
        <f>IFERROR(INDEX('Detalles movimientos'!S$5:S$1003, MATCH(122, 'Detalles movimientos'!$V$5:$V$1003, 0)), "")</f>
        <v/>
      </c>
    </row>
    <row r="132" spans="2:13">
      <c r="B132" s="17" t="str">
        <f>IFERROR(INDEX('Detalles movimientos'!C$5:C$1003, MATCH(123, 'Detalles movimientos'!$V$5:$V$1003, 0)), "")</f>
        <v/>
      </c>
      <c r="C132" s="18" t="str">
        <f>IFERROR(INDEX('Detalles movimientos'!D$5:D$1003, MATCH(123, 'Detalles movimientos'!$V$5:$V$1003, 0)), "")</f>
        <v/>
      </c>
      <c r="D132" s="19" t="str">
        <f>IFERROR(INDEX('Detalles movimientos'!E$5:E$1003, MATCH(123, 'Detalles movimientos'!$V$5:$V$1003, 0)), "")</f>
        <v/>
      </c>
      <c r="E132" s="19" t="str">
        <f>IFERROR(INDEX('Detalles movimientos'!F$5:F$1003, MATCH(123, 'Detalles movimientos'!$V$5:$V$1003, 0)), "")</f>
        <v/>
      </c>
      <c r="F132" s="18" t="str">
        <f>IFERROR(INDEX('Detalles movimientos'!G$5:G$1003, MATCH(123, 'Detalles movimientos'!$V$5:$V$1003, 0)), "")</f>
        <v/>
      </c>
      <c r="G132" s="20" t="str">
        <f>IFERROR(INDEX('Detalles movimientos'!H$5:H$1003, MATCH(123, 'Detalles movimientos'!$V$5:$V$1003, 0)), "")</f>
        <v/>
      </c>
      <c r="H132" s="21" t="str">
        <f>IFERROR(INDEX('Detalles movimientos'!I$5:I$1003, MATCH(123, 'Detalles movimientos'!$V$5:$V$1003, 0)), "")</f>
        <v/>
      </c>
      <c r="I132" s="20" t="str">
        <f>IFERROR(INDEX('Detalles movimientos'!M$5:M$1003, MATCH(123, 'Detalles movimientos'!$V$5:$V$1003, 0)), "")</f>
        <v/>
      </c>
      <c r="J132" s="19" t="str">
        <f>IFERROR(INDEX('Detalles movimientos'!N$5:N$1003, MATCH(123, 'Detalles movimientos'!$V$5:$V$1003, 0)), "")</f>
        <v/>
      </c>
      <c r="K132" s="20" t="str">
        <f>IFERROR(INDEX('Detalles movimientos'!O$5:O$1003, MATCH(123, 'Detalles movimientos'!$V$5:$V$1003, 0)), "")</f>
        <v/>
      </c>
      <c r="L132" s="18" t="str">
        <f>IFERROR(INDEX('Detalles movimientos'!P$5:P$1003, MATCH(123, 'Detalles movimientos'!$V$5:$V$1003, 0)), "")</f>
        <v/>
      </c>
      <c r="M132" s="18" t="str">
        <f>IFERROR(INDEX('Detalles movimientos'!S$5:S$1003, MATCH(123, 'Detalles movimientos'!$V$5:$V$1003, 0)), "")</f>
        <v/>
      </c>
    </row>
    <row r="133" spans="2:13">
      <c r="B133" s="17" t="str">
        <f>IFERROR(INDEX('Detalles movimientos'!C$5:C$1003, MATCH(124, 'Detalles movimientos'!$V$5:$V$1003, 0)), "")</f>
        <v/>
      </c>
      <c r="C133" s="18" t="str">
        <f>IFERROR(INDEX('Detalles movimientos'!D$5:D$1003, MATCH(124, 'Detalles movimientos'!$V$5:$V$1003, 0)), "")</f>
        <v/>
      </c>
      <c r="D133" s="19" t="str">
        <f>IFERROR(INDEX('Detalles movimientos'!E$5:E$1003, MATCH(124, 'Detalles movimientos'!$V$5:$V$1003, 0)), "")</f>
        <v/>
      </c>
      <c r="E133" s="19" t="str">
        <f>IFERROR(INDEX('Detalles movimientos'!F$5:F$1003, MATCH(124, 'Detalles movimientos'!$V$5:$V$1003, 0)), "")</f>
        <v/>
      </c>
      <c r="F133" s="18" t="str">
        <f>IFERROR(INDEX('Detalles movimientos'!G$5:G$1003, MATCH(124, 'Detalles movimientos'!$V$5:$V$1003, 0)), "")</f>
        <v/>
      </c>
      <c r="G133" s="20" t="str">
        <f>IFERROR(INDEX('Detalles movimientos'!H$5:H$1003, MATCH(124, 'Detalles movimientos'!$V$5:$V$1003, 0)), "")</f>
        <v/>
      </c>
      <c r="H133" s="21" t="str">
        <f>IFERROR(INDEX('Detalles movimientos'!I$5:I$1003, MATCH(124, 'Detalles movimientos'!$V$5:$V$1003, 0)), "")</f>
        <v/>
      </c>
      <c r="I133" s="20" t="str">
        <f>IFERROR(INDEX('Detalles movimientos'!M$5:M$1003, MATCH(124, 'Detalles movimientos'!$V$5:$V$1003, 0)), "")</f>
        <v/>
      </c>
      <c r="J133" s="19" t="str">
        <f>IFERROR(INDEX('Detalles movimientos'!N$5:N$1003, MATCH(124, 'Detalles movimientos'!$V$5:$V$1003, 0)), "")</f>
        <v/>
      </c>
      <c r="K133" s="20" t="str">
        <f>IFERROR(INDEX('Detalles movimientos'!O$5:O$1003, MATCH(124, 'Detalles movimientos'!$V$5:$V$1003, 0)), "")</f>
        <v/>
      </c>
      <c r="L133" s="18" t="str">
        <f>IFERROR(INDEX('Detalles movimientos'!P$5:P$1003, MATCH(124, 'Detalles movimientos'!$V$5:$V$1003, 0)), "")</f>
        <v/>
      </c>
      <c r="M133" s="18" t="str">
        <f>IFERROR(INDEX('Detalles movimientos'!S$5:S$1003, MATCH(124, 'Detalles movimientos'!$V$5:$V$1003, 0)), "")</f>
        <v/>
      </c>
    </row>
    <row r="134" spans="2:13">
      <c r="B134" s="17" t="str">
        <f>IFERROR(INDEX('Detalles movimientos'!C$5:C$1003, MATCH(125, 'Detalles movimientos'!$V$5:$V$1003, 0)), "")</f>
        <v/>
      </c>
      <c r="C134" s="18" t="str">
        <f>IFERROR(INDEX('Detalles movimientos'!D$5:D$1003, MATCH(125, 'Detalles movimientos'!$V$5:$V$1003, 0)), "")</f>
        <v/>
      </c>
      <c r="D134" s="19" t="str">
        <f>IFERROR(INDEX('Detalles movimientos'!E$5:E$1003, MATCH(125, 'Detalles movimientos'!$V$5:$V$1003, 0)), "")</f>
        <v/>
      </c>
      <c r="E134" s="19" t="str">
        <f>IFERROR(INDEX('Detalles movimientos'!F$5:F$1003, MATCH(125, 'Detalles movimientos'!$V$5:$V$1003, 0)), "")</f>
        <v/>
      </c>
      <c r="F134" s="18" t="str">
        <f>IFERROR(INDEX('Detalles movimientos'!G$5:G$1003, MATCH(125, 'Detalles movimientos'!$V$5:$V$1003, 0)), "")</f>
        <v/>
      </c>
      <c r="G134" s="20" t="str">
        <f>IFERROR(INDEX('Detalles movimientos'!H$5:H$1003, MATCH(125, 'Detalles movimientos'!$V$5:$V$1003, 0)), "")</f>
        <v/>
      </c>
      <c r="H134" s="21" t="str">
        <f>IFERROR(INDEX('Detalles movimientos'!I$5:I$1003, MATCH(125, 'Detalles movimientos'!$V$5:$V$1003, 0)), "")</f>
        <v/>
      </c>
      <c r="I134" s="20" t="str">
        <f>IFERROR(INDEX('Detalles movimientos'!M$5:M$1003, MATCH(125, 'Detalles movimientos'!$V$5:$V$1003, 0)), "")</f>
        <v/>
      </c>
      <c r="J134" s="19" t="str">
        <f>IFERROR(INDEX('Detalles movimientos'!N$5:N$1003, MATCH(125, 'Detalles movimientos'!$V$5:$V$1003, 0)), "")</f>
        <v/>
      </c>
      <c r="K134" s="20" t="str">
        <f>IFERROR(INDEX('Detalles movimientos'!O$5:O$1003, MATCH(125, 'Detalles movimientos'!$V$5:$V$1003, 0)), "")</f>
        <v/>
      </c>
      <c r="L134" s="18" t="str">
        <f>IFERROR(INDEX('Detalles movimientos'!P$5:P$1003, MATCH(125, 'Detalles movimientos'!$V$5:$V$1003, 0)), "")</f>
        <v/>
      </c>
      <c r="M134" s="18" t="str">
        <f>IFERROR(INDEX('Detalles movimientos'!S$5:S$1003, MATCH(125, 'Detalles movimientos'!$V$5:$V$1003, 0)), "")</f>
        <v/>
      </c>
    </row>
    <row r="135" spans="2:13">
      <c r="B135" s="17" t="str">
        <f>IFERROR(INDEX('Detalles movimientos'!C$5:C$1003, MATCH(126, 'Detalles movimientos'!$V$5:$V$1003, 0)), "")</f>
        <v/>
      </c>
      <c r="C135" s="18" t="str">
        <f>IFERROR(INDEX('Detalles movimientos'!D$5:D$1003, MATCH(126, 'Detalles movimientos'!$V$5:$V$1003, 0)), "")</f>
        <v/>
      </c>
      <c r="D135" s="19" t="str">
        <f>IFERROR(INDEX('Detalles movimientos'!E$5:E$1003, MATCH(126, 'Detalles movimientos'!$V$5:$V$1003, 0)), "")</f>
        <v/>
      </c>
      <c r="E135" s="19" t="str">
        <f>IFERROR(INDEX('Detalles movimientos'!F$5:F$1003, MATCH(126, 'Detalles movimientos'!$V$5:$V$1003, 0)), "")</f>
        <v/>
      </c>
      <c r="F135" s="18" t="str">
        <f>IFERROR(INDEX('Detalles movimientos'!G$5:G$1003, MATCH(126, 'Detalles movimientos'!$V$5:$V$1003, 0)), "")</f>
        <v/>
      </c>
      <c r="G135" s="20" t="str">
        <f>IFERROR(INDEX('Detalles movimientos'!H$5:H$1003, MATCH(126, 'Detalles movimientos'!$V$5:$V$1003, 0)), "")</f>
        <v/>
      </c>
      <c r="H135" s="21" t="str">
        <f>IFERROR(INDEX('Detalles movimientos'!I$5:I$1003, MATCH(126, 'Detalles movimientos'!$V$5:$V$1003, 0)), "")</f>
        <v/>
      </c>
      <c r="I135" s="20" t="str">
        <f>IFERROR(INDEX('Detalles movimientos'!M$5:M$1003, MATCH(126, 'Detalles movimientos'!$V$5:$V$1003, 0)), "")</f>
        <v/>
      </c>
      <c r="J135" s="19" t="str">
        <f>IFERROR(INDEX('Detalles movimientos'!N$5:N$1003, MATCH(126, 'Detalles movimientos'!$V$5:$V$1003, 0)), "")</f>
        <v/>
      </c>
      <c r="K135" s="20" t="str">
        <f>IFERROR(INDEX('Detalles movimientos'!O$5:O$1003, MATCH(126, 'Detalles movimientos'!$V$5:$V$1003, 0)), "")</f>
        <v/>
      </c>
      <c r="L135" s="18" t="str">
        <f>IFERROR(INDEX('Detalles movimientos'!P$5:P$1003, MATCH(126, 'Detalles movimientos'!$V$5:$V$1003, 0)), "")</f>
        <v/>
      </c>
      <c r="M135" s="18" t="str">
        <f>IFERROR(INDEX('Detalles movimientos'!S$5:S$1003, MATCH(126, 'Detalles movimientos'!$V$5:$V$1003, 0)), "")</f>
        <v/>
      </c>
    </row>
    <row r="136" spans="2:13">
      <c r="B136" s="17" t="str">
        <f>IFERROR(INDEX('Detalles movimientos'!C$5:C$1003, MATCH(127, 'Detalles movimientos'!$V$5:$V$1003, 0)), "")</f>
        <v/>
      </c>
      <c r="C136" s="18" t="str">
        <f>IFERROR(INDEX('Detalles movimientos'!D$5:D$1003, MATCH(127, 'Detalles movimientos'!$V$5:$V$1003, 0)), "")</f>
        <v/>
      </c>
      <c r="D136" s="19" t="str">
        <f>IFERROR(INDEX('Detalles movimientos'!E$5:E$1003, MATCH(127, 'Detalles movimientos'!$V$5:$V$1003, 0)), "")</f>
        <v/>
      </c>
      <c r="E136" s="19" t="str">
        <f>IFERROR(INDEX('Detalles movimientos'!F$5:F$1003, MATCH(127, 'Detalles movimientos'!$V$5:$V$1003, 0)), "")</f>
        <v/>
      </c>
      <c r="F136" s="18" t="str">
        <f>IFERROR(INDEX('Detalles movimientos'!G$5:G$1003, MATCH(127, 'Detalles movimientos'!$V$5:$V$1003, 0)), "")</f>
        <v/>
      </c>
      <c r="G136" s="20" t="str">
        <f>IFERROR(INDEX('Detalles movimientos'!H$5:H$1003, MATCH(127, 'Detalles movimientos'!$V$5:$V$1003, 0)), "")</f>
        <v/>
      </c>
      <c r="H136" s="21" t="str">
        <f>IFERROR(INDEX('Detalles movimientos'!I$5:I$1003, MATCH(127, 'Detalles movimientos'!$V$5:$V$1003, 0)), "")</f>
        <v/>
      </c>
      <c r="I136" s="20" t="str">
        <f>IFERROR(INDEX('Detalles movimientos'!M$5:M$1003, MATCH(127, 'Detalles movimientos'!$V$5:$V$1003, 0)), "")</f>
        <v/>
      </c>
      <c r="J136" s="19" t="str">
        <f>IFERROR(INDEX('Detalles movimientos'!N$5:N$1003, MATCH(127, 'Detalles movimientos'!$V$5:$V$1003, 0)), "")</f>
        <v/>
      </c>
      <c r="K136" s="20" t="str">
        <f>IFERROR(INDEX('Detalles movimientos'!O$5:O$1003, MATCH(127, 'Detalles movimientos'!$V$5:$V$1003, 0)), "")</f>
        <v/>
      </c>
      <c r="L136" s="18" t="str">
        <f>IFERROR(INDEX('Detalles movimientos'!P$5:P$1003, MATCH(127, 'Detalles movimientos'!$V$5:$V$1003, 0)), "")</f>
        <v/>
      </c>
      <c r="M136" s="18" t="str">
        <f>IFERROR(INDEX('Detalles movimientos'!S$5:S$1003, MATCH(127, 'Detalles movimientos'!$V$5:$V$1003, 0)), "")</f>
        <v/>
      </c>
    </row>
    <row r="137" spans="2:13">
      <c r="B137" s="17" t="str">
        <f>IFERROR(INDEX('Detalles movimientos'!C$5:C$1003, MATCH(128, 'Detalles movimientos'!$V$5:$V$1003, 0)), "")</f>
        <v/>
      </c>
      <c r="C137" s="18" t="str">
        <f>IFERROR(INDEX('Detalles movimientos'!D$5:D$1003, MATCH(128, 'Detalles movimientos'!$V$5:$V$1003, 0)), "")</f>
        <v/>
      </c>
      <c r="D137" s="19" t="str">
        <f>IFERROR(INDEX('Detalles movimientos'!E$5:E$1003, MATCH(128, 'Detalles movimientos'!$V$5:$V$1003, 0)), "")</f>
        <v/>
      </c>
      <c r="E137" s="19" t="str">
        <f>IFERROR(INDEX('Detalles movimientos'!F$5:F$1003, MATCH(128, 'Detalles movimientos'!$V$5:$V$1003, 0)), "")</f>
        <v/>
      </c>
      <c r="F137" s="18" t="str">
        <f>IFERROR(INDEX('Detalles movimientos'!G$5:G$1003, MATCH(128, 'Detalles movimientos'!$V$5:$V$1003, 0)), "")</f>
        <v/>
      </c>
      <c r="G137" s="20" t="str">
        <f>IFERROR(INDEX('Detalles movimientos'!H$5:H$1003, MATCH(128, 'Detalles movimientos'!$V$5:$V$1003, 0)), "")</f>
        <v/>
      </c>
      <c r="H137" s="21" t="str">
        <f>IFERROR(INDEX('Detalles movimientos'!I$5:I$1003, MATCH(128, 'Detalles movimientos'!$V$5:$V$1003, 0)), "")</f>
        <v/>
      </c>
      <c r="I137" s="20" t="str">
        <f>IFERROR(INDEX('Detalles movimientos'!M$5:M$1003, MATCH(128, 'Detalles movimientos'!$V$5:$V$1003, 0)), "")</f>
        <v/>
      </c>
      <c r="J137" s="19" t="str">
        <f>IFERROR(INDEX('Detalles movimientos'!N$5:N$1003, MATCH(128, 'Detalles movimientos'!$V$5:$V$1003, 0)), "")</f>
        <v/>
      </c>
      <c r="K137" s="20" t="str">
        <f>IFERROR(INDEX('Detalles movimientos'!O$5:O$1003, MATCH(128, 'Detalles movimientos'!$V$5:$V$1003, 0)), "")</f>
        <v/>
      </c>
      <c r="L137" s="18" t="str">
        <f>IFERROR(INDEX('Detalles movimientos'!P$5:P$1003, MATCH(128, 'Detalles movimientos'!$V$5:$V$1003, 0)), "")</f>
        <v/>
      </c>
      <c r="M137" s="18" t="str">
        <f>IFERROR(INDEX('Detalles movimientos'!S$5:S$1003, MATCH(128, 'Detalles movimientos'!$V$5:$V$1003, 0)), "")</f>
        <v/>
      </c>
    </row>
    <row r="138" spans="2:13">
      <c r="B138" s="17" t="str">
        <f>IFERROR(INDEX('Detalles movimientos'!C$5:C$1003, MATCH(129, 'Detalles movimientos'!$V$5:$V$1003, 0)), "")</f>
        <v/>
      </c>
      <c r="C138" s="18" t="str">
        <f>IFERROR(INDEX('Detalles movimientos'!D$5:D$1003, MATCH(129, 'Detalles movimientos'!$V$5:$V$1003, 0)), "")</f>
        <v/>
      </c>
      <c r="D138" s="19" t="str">
        <f>IFERROR(INDEX('Detalles movimientos'!E$5:E$1003, MATCH(129, 'Detalles movimientos'!$V$5:$V$1003, 0)), "")</f>
        <v/>
      </c>
      <c r="E138" s="19" t="str">
        <f>IFERROR(INDEX('Detalles movimientos'!F$5:F$1003, MATCH(129, 'Detalles movimientos'!$V$5:$V$1003, 0)), "")</f>
        <v/>
      </c>
      <c r="F138" s="18" t="str">
        <f>IFERROR(INDEX('Detalles movimientos'!G$5:G$1003, MATCH(129, 'Detalles movimientos'!$V$5:$V$1003, 0)), "")</f>
        <v/>
      </c>
      <c r="G138" s="20" t="str">
        <f>IFERROR(INDEX('Detalles movimientos'!H$5:H$1003, MATCH(129, 'Detalles movimientos'!$V$5:$V$1003, 0)), "")</f>
        <v/>
      </c>
      <c r="H138" s="21" t="str">
        <f>IFERROR(INDEX('Detalles movimientos'!I$5:I$1003, MATCH(129, 'Detalles movimientos'!$V$5:$V$1003, 0)), "")</f>
        <v/>
      </c>
      <c r="I138" s="20" t="str">
        <f>IFERROR(INDEX('Detalles movimientos'!M$5:M$1003, MATCH(129, 'Detalles movimientos'!$V$5:$V$1003, 0)), "")</f>
        <v/>
      </c>
      <c r="J138" s="19" t="str">
        <f>IFERROR(INDEX('Detalles movimientos'!N$5:N$1003, MATCH(129, 'Detalles movimientos'!$V$5:$V$1003, 0)), "")</f>
        <v/>
      </c>
      <c r="K138" s="20" t="str">
        <f>IFERROR(INDEX('Detalles movimientos'!O$5:O$1003, MATCH(129, 'Detalles movimientos'!$V$5:$V$1003, 0)), "")</f>
        <v/>
      </c>
      <c r="L138" s="18" t="str">
        <f>IFERROR(INDEX('Detalles movimientos'!P$5:P$1003, MATCH(129, 'Detalles movimientos'!$V$5:$V$1003, 0)), "")</f>
        <v/>
      </c>
      <c r="M138" s="18" t="str">
        <f>IFERROR(INDEX('Detalles movimientos'!S$5:S$1003, MATCH(129, 'Detalles movimientos'!$V$5:$V$1003, 0)), "")</f>
        <v/>
      </c>
    </row>
    <row r="139" spans="2:13">
      <c r="B139" s="17" t="str">
        <f>IFERROR(INDEX('Detalles movimientos'!C$5:C$1003, MATCH(130, 'Detalles movimientos'!$V$5:$V$1003, 0)), "")</f>
        <v/>
      </c>
      <c r="C139" s="18" t="str">
        <f>IFERROR(INDEX('Detalles movimientos'!D$5:D$1003, MATCH(130, 'Detalles movimientos'!$V$5:$V$1003, 0)), "")</f>
        <v/>
      </c>
      <c r="D139" s="19" t="str">
        <f>IFERROR(INDEX('Detalles movimientos'!E$5:E$1003, MATCH(130, 'Detalles movimientos'!$V$5:$V$1003, 0)), "")</f>
        <v/>
      </c>
      <c r="E139" s="19" t="str">
        <f>IFERROR(INDEX('Detalles movimientos'!F$5:F$1003, MATCH(130, 'Detalles movimientos'!$V$5:$V$1003, 0)), "")</f>
        <v/>
      </c>
      <c r="F139" s="18" t="str">
        <f>IFERROR(INDEX('Detalles movimientos'!G$5:G$1003, MATCH(130, 'Detalles movimientos'!$V$5:$V$1003, 0)), "")</f>
        <v/>
      </c>
      <c r="G139" s="20" t="str">
        <f>IFERROR(INDEX('Detalles movimientos'!H$5:H$1003, MATCH(130, 'Detalles movimientos'!$V$5:$V$1003, 0)), "")</f>
        <v/>
      </c>
      <c r="H139" s="21" t="str">
        <f>IFERROR(INDEX('Detalles movimientos'!I$5:I$1003, MATCH(130, 'Detalles movimientos'!$V$5:$V$1003, 0)), "")</f>
        <v/>
      </c>
      <c r="I139" s="20" t="str">
        <f>IFERROR(INDEX('Detalles movimientos'!M$5:M$1003, MATCH(130, 'Detalles movimientos'!$V$5:$V$1003, 0)), "")</f>
        <v/>
      </c>
      <c r="J139" s="19" t="str">
        <f>IFERROR(INDEX('Detalles movimientos'!N$5:N$1003, MATCH(130, 'Detalles movimientos'!$V$5:$V$1003, 0)), "")</f>
        <v/>
      </c>
      <c r="K139" s="20" t="str">
        <f>IFERROR(INDEX('Detalles movimientos'!O$5:O$1003, MATCH(130, 'Detalles movimientos'!$V$5:$V$1003, 0)), "")</f>
        <v/>
      </c>
      <c r="L139" s="18" t="str">
        <f>IFERROR(INDEX('Detalles movimientos'!P$5:P$1003, MATCH(130, 'Detalles movimientos'!$V$5:$V$1003, 0)), "")</f>
        <v/>
      </c>
      <c r="M139" s="18" t="str">
        <f>IFERROR(INDEX('Detalles movimientos'!S$5:S$1003, MATCH(130, 'Detalles movimientos'!$V$5:$V$1003, 0)), "")</f>
        <v/>
      </c>
    </row>
    <row r="140" spans="2:13">
      <c r="B140" s="17" t="str">
        <f>IFERROR(INDEX('Detalles movimientos'!C$5:C$1003, MATCH(131, 'Detalles movimientos'!$V$5:$V$1003, 0)), "")</f>
        <v/>
      </c>
      <c r="C140" s="18" t="str">
        <f>IFERROR(INDEX('Detalles movimientos'!D$5:D$1003, MATCH(131, 'Detalles movimientos'!$V$5:$V$1003, 0)), "")</f>
        <v/>
      </c>
      <c r="D140" s="19" t="str">
        <f>IFERROR(INDEX('Detalles movimientos'!E$5:E$1003, MATCH(131, 'Detalles movimientos'!$V$5:$V$1003, 0)), "")</f>
        <v/>
      </c>
      <c r="E140" s="19" t="str">
        <f>IFERROR(INDEX('Detalles movimientos'!F$5:F$1003, MATCH(131, 'Detalles movimientos'!$V$5:$V$1003, 0)), "")</f>
        <v/>
      </c>
      <c r="F140" s="18" t="str">
        <f>IFERROR(INDEX('Detalles movimientos'!G$5:G$1003, MATCH(131, 'Detalles movimientos'!$V$5:$V$1003, 0)), "")</f>
        <v/>
      </c>
      <c r="G140" s="20" t="str">
        <f>IFERROR(INDEX('Detalles movimientos'!H$5:H$1003, MATCH(131, 'Detalles movimientos'!$V$5:$V$1003, 0)), "")</f>
        <v/>
      </c>
      <c r="H140" s="21" t="str">
        <f>IFERROR(INDEX('Detalles movimientos'!I$5:I$1003, MATCH(131, 'Detalles movimientos'!$V$5:$V$1003, 0)), "")</f>
        <v/>
      </c>
      <c r="I140" s="20" t="str">
        <f>IFERROR(INDEX('Detalles movimientos'!M$5:M$1003, MATCH(131, 'Detalles movimientos'!$V$5:$V$1003, 0)), "")</f>
        <v/>
      </c>
      <c r="J140" s="19" t="str">
        <f>IFERROR(INDEX('Detalles movimientos'!N$5:N$1003, MATCH(131, 'Detalles movimientos'!$V$5:$V$1003, 0)), "")</f>
        <v/>
      </c>
      <c r="K140" s="20" t="str">
        <f>IFERROR(INDEX('Detalles movimientos'!O$5:O$1003, MATCH(131, 'Detalles movimientos'!$V$5:$V$1003, 0)), "")</f>
        <v/>
      </c>
      <c r="L140" s="18" t="str">
        <f>IFERROR(INDEX('Detalles movimientos'!P$5:P$1003, MATCH(131, 'Detalles movimientos'!$V$5:$V$1003, 0)), "")</f>
        <v/>
      </c>
      <c r="M140" s="18" t="str">
        <f>IFERROR(INDEX('Detalles movimientos'!S$5:S$1003, MATCH(131, 'Detalles movimientos'!$V$5:$V$1003, 0)), "")</f>
        <v/>
      </c>
    </row>
    <row r="141" spans="2:13">
      <c r="B141" s="17" t="str">
        <f>IFERROR(INDEX('Detalles movimientos'!C$5:C$1003, MATCH(132, 'Detalles movimientos'!$V$5:$V$1003, 0)), "")</f>
        <v/>
      </c>
      <c r="C141" s="18" t="str">
        <f>IFERROR(INDEX('Detalles movimientos'!D$5:D$1003, MATCH(132, 'Detalles movimientos'!$V$5:$V$1003, 0)), "")</f>
        <v/>
      </c>
      <c r="D141" s="19" t="str">
        <f>IFERROR(INDEX('Detalles movimientos'!E$5:E$1003, MATCH(132, 'Detalles movimientos'!$V$5:$V$1003, 0)), "")</f>
        <v/>
      </c>
      <c r="E141" s="19" t="str">
        <f>IFERROR(INDEX('Detalles movimientos'!F$5:F$1003, MATCH(132, 'Detalles movimientos'!$V$5:$V$1003, 0)), "")</f>
        <v/>
      </c>
      <c r="F141" s="18" t="str">
        <f>IFERROR(INDEX('Detalles movimientos'!G$5:G$1003, MATCH(132, 'Detalles movimientos'!$V$5:$V$1003, 0)), "")</f>
        <v/>
      </c>
      <c r="G141" s="20" t="str">
        <f>IFERROR(INDEX('Detalles movimientos'!H$5:H$1003, MATCH(132, 'Detalles movimientos'!$V$5:$V$1003, 0)), "")</f>
        <v/>
      </c>
      <c r="H141" s="21" t="str">
        <f>IFERROR(INDEX('Detalles movimientos'!I$5:I$1003, MATCH(132, 'Detalles movimientos'!$V$5:$V$1003, 0)), "")</f>
        <v/>
      </c>
      <c r="I141" s="20" t="str">
        <f>IFERROR(INDEX('Detalles movimientos'!M$5:M$1003, MATCH(132, 'Detalles movimientos'!$V$5:$V$1003, 0)), "")</f>
        <v/>
      </c>
      <c r="J141" s="19" t="str">
        <f>IFERROR(INDEX('Detalles movimientos'!N$5:N$1003, MATCH(132, 'Detalles movimientos'!$V$5:$V$1003, 0)), "")</f>
        <v/>
      </c>
      <c r="K141" s="20" t="str">
        <f>IFERROR(INDEX('Detalles movimientos'!O$5:O$1003, MATCH(132, 'Detalles movimientos'!$V$5:$V$1003, 0)), "")</f>
        <v/>
      </c>
      <c r="L141" s="18" t="str">
        <f>IFERROR(INDEX('Detalles movimientos'!P$5:P$1003, MATCH(132, 'Detalles movimientos'!$V$5:$V$1003, 0)), "")</f>
        <v/>
      </c>
      <c r="M141" s="18" t="str">
        <f>IFERROR(INDEX('Detalles movimientos'!S$5:S$1003, MATCH(132, 'Detalles movimientos'!$V$5:$V$1003, 0)), "")</f>
        <v/>
      </c>
    </row>
    <row r="142" spans="2:13">
      <c r="B142" s="17" t="str">
        <f>IFERROR(INDEX('Detalles movimientos'!C$5:C$1003, MATCH(133, 'Detalles movimientos'!$V$5:$V$1003, 0)), "")</f>
        <v/>
      </c>
      <c r="C142" s="18" t="str">
        <f>IFERROR(INDEX('Detalles movimientos'!D$5:D$1003, MATCH(133, 'Detalles movimientos'!$V$5:$V$1003, 0)), "")</f>
        <v/>
      </c>
      <c r="D142" s="19" t="str">
        <f>IFERROR(INDEX('Detalles movimientos'!E$5:E$1003, MATCH(133, 'Detalles movimientos'!$V$5:$V$1003, 0)), "")</f>
        <v/>
      </c>
      <c r="E142" s="19" t="str">
        <f>IFERROR(INDEX('Detalles movimientos'!F$5:F$1003, MATCH(133, 'Detalles movimientos'!$V$5:$V$1003, 0)), "")</f>
        <v/>
      </c>
      <c r="F142" s="18" t="str">
        <f>IFERROR(INDEX('Detalles movimientos'!G$5:G$1003, MATCH(133, 'Detalles movimientos'!$V$5:$V$1003, 0)), "")</f>
        <v/>
      </c>
      <c r="G142" s="20" t="str">
        <f>IFERROR(INDEX('Detalles movimientos'!H$5:H$1003, MATCH(133, 'Detalles movimientos'!$V$5:$V$1003, 0)), "")</f>
        <v/>
      </c>
      <c r="H142" s="21" t="str">
        <f>IFERROR(INDEX('Detalles movimientos'!I$5:I$1003, MATCH(133, 'Detalles movimientos'!$V$5:$V$1003, 0)), "")</f>
        <v/>
      </c>
      <c r="I142" s="20" t="str">
        <f>IFERROR(INDEX('Detalles movimientos'!M$5:M$1003, MATCH(133, 'Detalles movimientos'!$V$5:$V$1003, 0)), "")</f>
        <v/>
      </c>
      <c r="J142" s="19" t="str">
        <f>IFERROR(INDEX('Detalles movimientos'!N$5:N$1003, MATCH(133, 'Detalles movimientos'!$V$5:$V$1003, 0)), "")</f>
        <v/>
      </c>
      <c r="K142" s="20" t="str">
        <f>IFERROR(INDEX('Detalles movimientos'!O$5:O$1003, MATCH(133, 'Detalles movimientos'!$V$5:$V$1003, 0)), "")</f>
        <v/>
      </c>
      <c r="L142" s="18" t="str">
        <f>IFERROR(INDEX('Detalles movimientos'!P$5:P$1003, MATCH(133, 'Detalles movimientos'!$V$5:$V$1003, 0)), "")</f>
        <v/>
      </c>
      <c r="M142" s="18" t="str">
        <f>IFERROR(INDEX('Detalles movimientos'!S$5:S$1003, MATCH(133, 'Detalles movimientos'!$V$5:$V$1003, 0)), "")</f>
        <v/>
      </c>
    </row>
    <row r="143" spans="2:13">
      <c r="B143" s="17" t="str">
        <f>IFERROR(INDEX('Detalles movimientos'!C$5:C$1003, MATCH(134, 'Detalles movimientos'!$V$5:$V$1003, 0)), "")</f>
        <v/>
      </c>
      <c r="C143" s="18" t="str">
        <f>IFERROR(INDEX('Detalles movimientos'!D$5:D$1003, MATCH(134, 'Detalles movimientos'!$V$5:$V$1003, 0)), "")</f>
        <v/>
      </c>
      <c r="D143" s="19" t="str">
        <f>IFERROR(INDEX('Detalles movimientos'!E$5:E$1003, MATCH(134, 'Detalles movimientos'!$V$5:$V$1003, 0)), "")</f>
        <v/>
      </c>
      <c r="E143" s="19" t="str">
        <f>IFERROR(INDEX('Detalles movimientos'!F$5:F$1003, MATCH(134, 'Detalles movimientos'!$V$5:$V$1003, 0)), "")</f>
        <v/>
      </c>
      <c r="F143" s="18" t="str">
        <f>IFERROR(INDEX('Detalles movimientos'!G$5:G$1003, MATCH(134, 'Detalles movimientos'!$V$5:$V$1003, 0)), "")</f>
        <v/>
      </c>
      <c r="G143" s="20" t="str">
        <f>IFERROR(INDEX('Detalles movimientos'!H$5:H$1003, MATCH(134, 'Detalles movimientos'!$V$5:$V$1003, 0)), "")</f>
        <v/>
      </c>
      <c r="H143" s="21" t="str">
        <f>IFERROR(INDEX('Detalles movimientos'!I$5:I$1003, MATCH(134, 'Detalles movimientos'!$V$5:$V$1003, 0)), "")</f>
        <v/>
      </c>
      <c r="I143" s="20" t="str">
        <f>IFERROR(INDEX('Detalles movimientos'!M$5:M$1003, MATCH(134, 'Detalles movimientos'!$V$5:$V$1003, 0)), "")</f>
        <v/>
      </c>
      <c r="J143" s="19" t="str">
        <f>IFERROR(INDEX('Detalles movimientos'!N$5:N$1003, MATCH(134, 'Detalles movimientos'!$V$5:$V$1003, 0)), "")</f>
        <v/>
      </c>
      <c r="K143" s="20" t="str">
        <f>IFERROR(INDEX('Detalles movimientos'!O$5:O$1003, MATCH(134, 'Detalles movimientos'!$V$5:$V$1003, 0)), "")</f>
        <v/>
      </c>
      <c r="L143" s="18" t="str">
        <f>IFERROR(INDEX('Detalles movimientos'!P$5:P$1003, MATCH(134, 'Detalles movimientos'!$V$5:$V$1003, 0)), "")</f>
        <v/>
      </c>
      <c r="M143" s="18" t="str">
        <f>IFERROR(INDEX('Detalles movimientos'!S$5:S$1003, MATCH(134, 'Detalles movimientos'!$V$5:$V$1003, 0)), "")</f>
        <v/>
      </c>
    </row>
    <row r="144" spans="2:13">
      <c r="B144" s="17" t="str">
        <f>IFERROR(INDEX('Detalles movimientos'!C$5:C$1003, MATCH(135, 'Detalles movimientos'!$V$5:$V$1003, 0)), "")</f>
        <v/>
      </c>
      <c r="C144" s="18" t="str">
        <f>IFERROR(INDEX('Detalles movimientos'!D$5:D$1003, MATCH(135, 'Detalles movimientos'!$V$5:$V$1003, 0)), "")</f>
        <v/>
      </c>
      <c r="D144" s="19" t="str">
        <f>IFERROR(INDEX('Detalles movimientos'!E$5:E$1003, MATCH(135, 'Detalles movimientos'!$V$5:$V$1003, 0)), "")</f>
        <v/>
      </c>
      <c r="E144" s="19" t="str">
        <f>IFERROR(INDEX('Detalles movimientos'!F$5:F$1003, MATCH(135, 'Detalles movimientos'!$V$5:$V$1003, 0)), "")</f>
        <v/>
      </c>
      <c r="F144" s="18" t="str">
        <f>IFERROR(INDEX('Detalles movimientos'!G$5:G$1003, MATCH(135, 'Detalles movimientos'!$V$5:$V$1003, 0)), "")</f>
        <v/>
      </c>
      <c r="G144" s="20" t="str">
        <f>IFERROR(INDEX('Detalles movimientos'!H$5:H$1003, MATCH(135, 'Detalles movimientos'!$V$5:$V$1003, 0)), "")</f>
        <v/>
      </c>
      <c r="H144" s="21" t="str">
        <f>IFERROR(INDEX('Detalles movimientos'!I$5:I$1003, MATCH(135, 'Detalles movimientos'!$V$5:$V$1003, 0)), "")</f>
        <v/>
      </c>
      <c r="I144" s="20" t="str">
        <f>IFERROR(INDEX('Detalles movimientos'!M$5:M$1003, MATCH(135, 'Detalles movimientos'!$V$5:$V$1003, 0)), "")</f>
        <v/>
      </c>
      <c r="J144" s="19" t="str">
        <f>IFERROR(INDEX('Detalles movimientos'!N$5:N$1003, MATCH(135, 'Detalles movimientos'!$V$5:$V$1003, 0)), "")</f>
        <v/>
      </c>
      <c r="K144" s="20" t="str">
        <f>IFERROR(INDEX('Detalles movimientos'!O$5:O$1003, MATCH(135, 'Detalles movimientos'!$V$5:$V$1003, 0)), "")</f>
        <v/>
      </c>
      <c r="L144" s="18" t="str">
        <f>IFERROR(INDEX('Detalles movimientos'!P$5:P$1003, MATCH(135, 'Detalles movimientos'!$V$5:$V$1003, 0)), "")</f>
        <v/>
      </c>
      <c r="M144" s="18" t="str">
        <f>IFERROR(INDEX('Detalles movimientos'!S$5:S$1003, MATCH(135, 'Detalles movimientos'!$V$5:$V$1003, 0)), "")</f>
        <v/>
      </c>
    </row>
    <row r="145" spans="2:13">
      <c r="B145" s="17" t="str">
        <f>IFERROR(INDEX('Detalles movimientos'!C$5:C$1003, MATCH(136, 'Detalles movimientos'!$V$5:$V$1003, 0)), "")</f>
        <v/>
      </c>
      <c r="C145" s="18" t="str">
        <f>IFERROR(INDEX('Detalles movimientos'!D$5:D$1003, MATCH(136, 'Detalles movimientos'!$V$5:$V$1003, 0)), "")</f>
        <v/>
      </c>
      <c r="D145" s="19" t="str">
        <f>IFERROR(INDEX('Detalles movimientos'!E$5:E$1003, MATCH(136, 'Detalles movimientos'!$V$5:$V$1003, 0)), "")</f>
        <v/>
      </c>
      <c r="E145" s="19" t="str">
        <f>IFERROR(INDEX('Detalles movimientos'!F$5:F$1003, MATCH(136, 'Detalles movimientos'!$V$5:$V$1003, 0)), "")</f>
        <v/>
      </c>
      <c r="F145" s="18" t="str">
        <f>IFERROR(INDEX('Detalles movimientos'!G$5:G$1003, MATCH(136, 'Detalles movimientos'!$V$5:$V$1003, 0)), "")</f>
        <v/>
      </c>
      <c r="G145" s="20" t="str">
        <f>IFERROR(INDEX('Detalles movimientos'!H$5:H$1003, MATCH(136, 'Detalles movimientos'!$V$5:$V$1003, 0)), "")</f>
        <v/>
      </c>
      <c r="H145" s="21" t="str">
        <f>IFERROR(INDEX('Detalles movimientos'!I$5:I$1003, MATCH(136, 'Detalles movimientos'!$V$5:$V$1003, 0)), "")</f>
        <v/>
      </c>
      <c r="I145" s="20" t="str">
        <f>IFERROR(INDEX('Detalles movimientos'!M$5:M$1003, MATCH(136, 'Detalles movimientos'!$V$5:$V$1003, 0)), "")</f>
        <v/>
      </c>
      <c r="J145" s="19" t="str">
        <f>IFERROR(INDEX('Detalles movimientos'!N$5:N$1003, MATCH(136, 'Detalles movimientos'!$V$5:$V$1003, 0)), "")</f>
        <v/>
      </c>
      <c r="K145" s="20" t="str">
        <f>IFERROR(INDEX('Detalles movimientos'!O$5:O$1003, MATCH(136, 'Detalles movimientos'!$V$5:$V$1003, 0)), "")</f>
        <v/>
      </c>
      <c r="L145" s="18" t="str">
        <f>IFERROR(INDEX('Detalles movimientos'!P$5:P$1003, MATCH(136, 'Detalles movimientos'!$V$5:$V$1003, 0)), "")</f>
        <v/>
      </c>
      <c r="M145" s="18" t="str">
        <f>IFERROR(INDEX('Detalles movimientos'!S$5:S$1003, MATCH(136, 'Detalles movimientos'!$V$5:$V$1003, 0)), "")</f>
        <v/>
      </c>
    </row>
    <row r="146" spans="2:13">
      <c r="B146" s="17" t="str">
        <f>IFERROR(INDEX('Detalles movimientos'!C$5:C$1003, MATCH(137, 'Detalles movimientos'!$V$5:$V$1003, 0)), "")</f>
        <v/>
      </c>
      <c r="C146" s="18" t="str">
        <f>IFERROR(INDEX('Detalles movimientos'!D$5:D$1003, MATCH(137, 'Detalles movimientos'!$V$5:$V$1003, 0)), "")</f>
        <v/>
      </c>
      <c r="D146" s="19" t="str">
        <f>IFERROR(INDEX('Detalles movimientos'!E$5:E$1003, MATCH(137, 'Detalles movimientos'!$V$5:$V$1003, 0)), "")</f>
        <v/>
      </c>
      <c r="E146" s="19" t="str">
        <f>IFERROR(INDEX('Detalles movimientos'!F$5:F$1003, MATCH(137, 'Detalles movimientos'!$V$5:$V$1003, 0)), "")</f>
        <v/>
      </c>
      <c r="F146" s="18" t="str">
        <f>IFERROR(INDEX('Detalles movimientos'!G$5:G$1003, MATCH(137, 'Detalles movimientos'!$V$5:$V$1003, 0)), "")</f>
        <v/>
      </c>
      <c r="G146" s="20" t="str">
        <f>IFERROR(INDEX('Detalles movimientos'!H$5:H$1003, MATCH(137, 'Detalles movimientos'!$V$5:$V$1003, 0)), "")</f>
        <v/>
      </c>
      <c r="H146" s="21" t="str">
        <f>IFERROR(INDEX('Detalles movimientos'!I$5:I$1003, MATCH(137, 'Detalles movimientos'!$V$5:$V$1003, 0)), "")</f>
        <v/>
      </c>
      <c r="I146" s="20" t="str">
        <f>IFERROR(INDEX('Detalles movimientos'!M$5:M$1003, MATCH(137, 'Detalles movimientos'!$V$5:$V$1003, 0)), "")</f>
        <v/>
      </c>
      <c r="J146" s="19" t="str">
        <f>IFERROR(INDEX('Detalles movimientos'!N$5:N$1003, MATCH(137, 'Detalles movimientos'!$V$5:$V$1003, 0)), "")</f>
        <v/>
      </c>
      <c r="K146" s="20" t="str">
        <f>IFERROR(INDEX('Detalles movimientos'!O$5:O$1003, MATCH(137, 'Detalles movimientos'!$V$5:$V$1003, 0)), "")</f>
        <v/>
      </c>
      <c r="L146" s="18" t="str">
        <f>IFERROR(INDEX('Detalles movimientos'!P$5:P$1003, MATCH(137, 'Detalles movimientos'!$V$5:$V$1003, 0)), "")</f>
        <v/>
      </c>
      <c r="M146" s="18" t="str">
        <f>IFERROR(INDEX('Detalles movimientos'!S$5:S$1003, MATCH(137, 'Detalles movimientos'!$V$5:$V$1003, 0)), "")</f>
        <v/>
      </c>
    </row>
    <row r="147" spans="2:13">
      <c r="B147" s="17" t="str">
        <f>IFERROR(INDEX('Detalles movimientos'!C$5:C$1003, MATCH(138, 'Detalles movimientos'!$V$5:$V$1003, 0)), "")</f>
        <v/>
      </c>
      <c r="C147" s="18" t="str">
        <f>IFERROR(INDEX('Detalles movimientos'!D$5:D$1003, MATCH(138, 'Detalles movimientos'!$V$5:$V$1003, 0)), "")</f>
        <v/>
      </c>
      <c r="D147" s="19" t="str">
        <f>IFERROR(INDEX('Detalles movimientos'!E$5:E$1003, MATCH(138, 'Detalles movimientos'!$V$5:$V$1003, 0)), "")</f>
        <v/>
      </c>
      <c r="E147" s="19" t="str">
        <f>IFERROR(INDEX('Detalles movimientos'!F$5:F$1003, MATCH(138, 'Detalles movimientos'!$V$5:$V$1003, 0)), "")</f>
        <v/>
      </c>
      <c r="F147" s="18" t="str">
        <f>IFERROR(INDEX('Detalles movimientos'!G$5:G$1003, MATCH(138, 'Detalles movimientos'!$V$5:$V$1003, 0)), "")</f>
        <v/>
      </c>
      <c r="G147" s="20" t="str">
        <f>IFERROR(INDEX('Detalles movimientos'!H$5:H$1003, MATCH(138, 'Detalles movimientos'!$V$5:$V$1003, 0)), "")</f>
        <v/>
      </c>
      <c r="H147" s="21" t="str">
        <f>IFERROR(INDEX('Detalles movimientos'!I$5:I$1003, MATCH(138, 'Detalles movimientos'!$V$5:$V$1003, 0)), "")</f>
        <v/>
      </c>
      <c r="I147" s="20" t="str">
        <f>IFERROR(INDEX('Detalles movimientos'!M$5:M$1003, MATCH(138, 'Detalles movimientos'!$V$5:$V$1003, 0)), "")</f>
        <v/>
      </c>
      <c r="J147" s="19" t="str">
        <f>IFERROR(INDEX('Detalles movimientos'!N$5:N$1003, MATCH(138, 'Detalles movimientos'!$V$5:$V$1003, 0)), "")</f>
        <v/>
      </c>
      <c r="K147" s="20" t="str">
        <f>IFERROR(INDEX('Detalles movimientos'!O$5:O$1003, MATCH(138, 'Detalles movimientos'!$V$5:$V$1003, 0)), "")</f>
        <v/>
      </c>
      <c r="L147" s="18" t="str">
        <f>IFERROR(INDEX('Detalles movimientos'!P$5:P$1003, MATCH(138, 'Detalles movimientos'!$V$5:$V$1003, 0)), "")</f>
        <v/>
      </c>
      <c r="M147" s="18" t="str">
        <f>IFERROR(INDEX('Detalles movimientos'!S$5:S$1003, MATCH(138, 'Detalles movimientos'!$V$5:$V$1003, 0)), "")</f>
        <v/>
      </c>
    </row>
    <row r="148" spans="2:13">
      <c r="B148" s="17" t="str">
        <f>IFERROR(INDEX('Detalles movimientos'!C$5:C$1003, MATCH(139, 'Detalles movimientos'!$V$5:$V$1003, 0)), "")</f>
        <v/>
      </c>
      <c r="C148" s="18" t="str">
        <f>IFERROR(INDEX('Detalles movimientos'!D$5:D$1003, MATCH(139, 'Detalles movimientos'!$V$5:$V$1003, 0)), "")</f>
        <v/>
      </c>
      <c r="D148" s="19" t="str">
        <f>IFERROR(INDEX('Detalles movimientos'!E$5:E$1003, MATCH(139, 'Detalles movimientos'!$V$5:$V$1003, 0)), "")</f>
        <v/>
      </c>
      <c r="E148" s="19" t="str">
        <f>IFERROR(INDEX('Detalles movimientos'!F$5:F$1003, MATCH(139, 'Detalles movimientos'!$V$5:$V$1003, 0)), "")</f>
        <v/>
      </c>
      <c r="F148" s="18" t="str">
        <f>IFERROR(INDEX('Detalles movimientos'!G$5:G$1003, MATCH(139, 'Detalles movimientos'!$V$5:$V$1003, 0)), "")</f>
        <v/>
      </c>
      <c r="G148" s="20" t="str">
        <f>IFERROR(INDEX('Detalles movimientos'!H$5:H$1003, MATCH(139, 'Detalles movimientos'!$V$5:$V$1003, 0)), "")</f>
        <v/>
      </c>
      <c r="H148" s="21" t="str">
        <f>IFERROR(INDEX('Detalles movimientos'!I$5:I$1003, MATCH(139, 'Detalles movimientos'!$V$5:$V$1003, 0)), "")</f>
        <v/>
      </c>
      <c r="I148" s="20" t="str">
        <f>IFERROR(INDEX('Detalles movimientos'!M$5:M$1003, MATCH(139, 'Detalles movimientos'!$V$5:$V$1003, 0)), "")</f>
        <v/>
      </c>
      <c r="J148" s="19" t="str">
        <f>IFERROR(INDEX('Detalles movimientos'!N$5:N$1003, MATCH(139, 'Detalles movimientos'!$V$5:$V$1003, 0)), "")</f>
        <v/>
      </c>
      <c r="K148" s="20" t="str">
        <f>IFERROR(INDEX('Detalles movimientos'!O$5:O$1003, MATCH(139, 'Detalles movimientos'!$V$5:$V$1003, 0)), "")</f>
        <v/>
      </c>
      <c r="L148" s="18" t="str">
        <f>IFERROR(INDEX('Detalles movimientos'!P$5:P$1003, MATCH(139, 'Detalles movimientos'!$V$5:$V$1003, 0)), "")</f>
        <v/>
      </c>
      <c r="M148" s="18" t="str">
        <f>IFERROR(INDEX('Detalles movimientos'!S$5:S$1003, MATCH(139, 'Detalles movimientos'!$V$5:$V$1003, 0)), "")</f>
        <v/>
      </c>
    </row>
    <row r="149" spans="2:13">
      <c r="B149" s="17" t="str">
        <f>IFERROR(INDEX('Detalles movimientos'!C$5:C$1003, MATCH(140, 'Detalles movimientos'!$V$5:$V$1003, 0)), "")</f>
        <v/>
      </c>
      <c r="C149" s="18" t="str">
        <f>IFERROR(INDEX('Detalles movimientos'!D$5:D$1003, MATCH(140, 'Detalles movimientos'!$V$5:$V$1003, 0)), "")</f>
        <v/>
      </c>
      <c r="D149" s="19" t="str">
        <f>IFERROR(INDEX('Detalles movimientos'!E$5:E$1003, MATCH(140, 'Detalles movimientos'!$V$5:$V$1003, 0)), "")</f>
        <v/>
      </c>
      <c r="E149" s="19" t="str">
        <f>IFERROR(INDEX('Detalles movimientos'!F$5:F$1003, MATCH(140, 'Detalles movimientos'!$V$5:$V$1003, 0)), "")</f>
        <v/>
      </c>
      <c r="F149" s="18" t="str">
        <f>IFERROR(INDEX('Detalles movimientos'!G$5:G$1003, MATCH(140, 'Detalles movimientos'!$V$5:$V$1003, 0)), "")</f>
        <v/>
      </c>
      <c r="G149" s="20" t="str">
        <f>IFERROR(INDEX('Detalles movimientos'!H$5:H$1003, MATCH(140, 'Detalles movimientos'!$V$5:$V$1003, 0)), "")</f>
        <v/>
      </c>
      <c r="H149" s="21" t="str">
        <f>IFERROR(INDEX('Detalles movimientos'!I$5:I$1003, MATCH(140, 'Detalles movimientos'!$V$5:$V$1003, 0)), "")</f>
        <v/>
      </c>
      <c r="I149" s="20" t="str">
        <f>IFERROR(INDEX('Detalles movimientos'!M$5:M$1003, MATCH(140, 'Detalles movimientos'!$V$5:$V$1003, 0)), "")</f>
        <v/>
      </c>
      <c r="J149" s="19" t="str">
        <f>IFERROR(INDEX('Detalles movimientos'!N$5:N$1003, MATCH(140, 'Detalles movimientos'!$V$5:$V$1003, 0)), "")</f>
        <v/>
      </c>
      <c r="K149" s="20" t="str">
        <f>IFERROR(INDEX('Detalles movimientos'!O$5:O$1003, MATCH(140, 'Detalles movimientos'!$V$5:$V$1003, 0)), "")</f>
        <v/>
      </c>
      <c r="L149" s="18" t="str">
        <f>IFERROR(INDEX('Detalles movimientos'!P$5:P$1003, MATCH(140, 'Detalles movimientos'!$V$5:$V$1003, 0)), "")</f>
        <v/>
      </c>
      <c r="M149" s="18" t="str">
        <f>IFERROR(INDEX('Detalles movimientos'!S$5:S$1003, MATCH(140, 'Detalles movimientos'!$V$5:$V$1003, 0)), "")</f>
        <v/>
      </c>
    </row>
    <row r="150" spans="2:13">
      <c r="B150" s="17" t="str">
        <f>IFERROR(INDEX('Detalles movimientos'!C$5:C$1003, MATCH(141, 'Detalles movimientos'!$V$5:$V$1003, 0)), "")</f>
        <v/>
      </c>
      <c r="C150" s="18" t="str">
        <f>IFERROR(INDEX('Detalles movimientos'!D$5:D$1003, MATCH(141, 'Detalles movimientos'!$V$5:$V$1003, 0)), "")</f>
        <v/>
      </c>
      <c r="D150" s="19" t="str">
        <f>IFERROR(INDEX('Detalles movimientos'!E$5:E$1003, MATCH(141, 'Detalles movimientos'!$V$5:$V$1003, 0)), "")</f>
        <v/>
      </c>
      <c r="E150" s="19" t="str">
        <f>IFERROR(INDEX('Detalles movimientos'!F$5:F$1003, MATCH(141, 'Detalles movimientos'!$V$5:$V$1003, 0)), "")</f>
        <v/>
      </c>
      <c r="F150" s="18" t="str">
        <f>IFERROR(INDEX('Detalles movimientos'!G$5:G$1003, MATCH(141, 'Detalles movimientos'!$V$5:$V$1003, 0)), "")</f>
        <v/>
      </c>
      <c r="G150" s="20" t="str">
        <f>IFERROR(INDEX('Detalles movimientos'!H$5:H$1003, MATCH(141, 'Detalles movimientos'!$V$5:$V$1003, 0)), "")</f>
        <v/>
      </c>
      <c r="H150" s="21" t="str">
        <f>IFERROR(INDEX('Detalles movimientos'!I$5:I$1003, MATCH(141, 'Detalles movimientos'!$V$5:$V$1003, 0)), "")</f>
        <v/>
      </c>
      <c r="I150" s="20" t="str">
        <f>IFERROR(INDEX('Detalles movimientos'!M$5:M$1003, MATCH(141, 'Detalles movimientos'!$V$5:$V$1003, 0)), "")</f>
        <v/>
      </c>
      <c r="J150" s="19" t="str">
        <f>IFERROR(INDEX('Detalles movimientos'!N$5:N$1003, MATCH(141, 'Detalles movimientos'!$V$5:$V$1003, 0)), "")</f>
        <v/>
      </c>
      <c r="K150" s="20" t="str">
        <f>IFERROR(INDEX('Detalles movimientos'!O$5:O$1003, MATCH(141, 'Detalles movimientos'!$V$5:$V$1003, 0)), "")</f>
        <v/>
      </c>
      <c r="L150" s="18" t="str">
        <f>IFERROR(INDEX('Detalles movimientos'!P$5:P$1003, MATCH(141, 'Detalles movimientos'!$V$5:$V$1003, 0)), "")</f>
        <v/>
      </c>
      <c r="M150" s="18" t="str">
        <f>IFERROR(INDEX('Detalles movimientos'!S$5:S$1003, MATCH(141, 'Detalles movimientos'!$V$5:$V$1003, 0)), "")</f>
        <v/>
      </c>
    </row>
    <row r="151" spans="2:13">
      <c r="B151" s="17" t="str">
        <f>IFERROR(INDEX('Detalles movimientos'!C$5:C$1003, MATCH(142, 'Detalles movimientos'!$V$5:$V$1003, 0)), "")</f>
        <v/>
      </c>
      <c r="C151" s="18" t="str">
        <f>IFERROR(INDEX('Detalles movimientos'!D$5:D$1003, MATCH(142, 'Detalles movimientos'!$V$5:$V$1003, 0)), "")</f>
        <v/>
      </c>
      <c r="D151" s="19" t="str">
        <f>IFERROR(INDEX('Detalles movimientos'!E$5:E$1003, MATCH(142, 'Detalles movimientos'!$V$5:$V$1003, 0)), "")</f>
        <v/>
      </c>
      <c r="E151" s="19" t="str">
        <f>IFERROR(INDEX('Detalles movimientos'!F$5:F$1003, MATCH(142, 'Detalles movimientos'!$V$5:$V$1003, 0)), "")</f>
        <v/>
      </c>
      <c r="F151" s="18" t="str">
        <f>IFERROR(INDEX('Detalles movimientos'!G$5:G$1003, MATCH(142, 'Detalles movimientos'!$V$5:$V$1003, 0)), "")</f>
        <v/>
      </c>
      <c r="G151" s="20" t="str">
        <f>IFERROR(INDEX('Detalles movimientos'!H$5:H$1003, MATCH(142, 'Detalles movimientos'!$V$5:$V$1003, 0)), "")</f>
        <v/>
      </c>
      <c r="H151" s="21" t="str">
        <f>IFERROR(INDEX('Detalles movimientos'!I$5:I$1003, MATCH(142, 'Detalles movimientos'!$V$5:$V$1003, 0)), "")</f>
        <v/>
      </c>
      <c r="I151" s="20" t="str">
        <f>IFERROR(INDEX('Detalles movimientos'!M$5:M$1003, MATCH(142, 'Detalles movimientos'!$V$5:$V$1003, 0)), "")</f>
        <v/>
      </c>
      <c r="J151" s="19" t="str">
        <f>IFERROR(INDEX('Detalles movimientos'!N$5:N$1003, MATCH(142, 'Detalles movimientos'!$V$5:$V$1003, 0)), "")</f>
        <v/>
      </c>
      <c r="K151" s="20" t="str">
        <f>IFERROR(INDEX('Detalles movimientos'!O$5:O$1003, MATCH(142, 'Detalles movimientos'!$V$5:$V$1003, 0)), "")</f>
        <v/>
      </c>
      <c r="L151" s="18" t="str">
        <f>IFERROR(INDEX('Detalles movimientos'!P$5:P$1003, MATCH(142, 'Detalles movimientos'!$V$5:$V$1003, 0)), "")</f>
        <v/>
      </c>
      <c r="M151" s="18" t="str">
        <f>IFERROR(INDEX('Detalles movimientos'!S$5:S$1003, MATCH(142, 'Detalles movimientos'!$V$5:$V$1003, 0)), "")</f>
        <v/>
      </c>
    </row>
    <row r="152" spans="2:13">
      <c r="B152" s="17" t="str">
        <f>IFERROR(INDEX('Detalles movimientos'!C$5:C$1003, MATCH(143, 'Detalles movimientos'!$V$5:$V$1003, 0)), "")</f>
        <v/>
      </c>
      <c r="C152" s="18" t="str">
        <f>IFERROR(INDEX('Detalles movimientos'!D$5:D$1003, MATCH(143, 'Detalles movimientos'!$V$5:$V$1003, 0)), "")</f>
        <v/>
      </c>
      <c r="D152" s="19" t="str">
        <f>IFERROR(INDEX('Detalles movimientos'!E$5:E$1003, MATCH(143, 'Detalles movimientos'!$V$5:$V$1003, 0)), "")</f>
        <v/>
      </c>
      <c r="E152" s="19" t="str">
        <f>IFERROR(INDEX('Detalles movimientos'!F$5:F$1003, MATCH(143, 'Detalles movimientos'!$V$5:$V$1003, 0)), "")</f>
        <v/>
      </c>
      <c r="F152" s="18" t="str">
        <f>IFERROR(INDEX('Detalles movimientos'!G$5:G$1003, MATCH(143, 'Detalles movimientos'!$V$5:$V$1003, 0)), "")</f>
        <v/>
      </c>
      <c r="G152" s="20" t="str">
        <f>IFERROR(INDEX('Detalles movimientos'!H$5:H$1003, MATCH(143, 'Detalles movimientos'!$V$5:$V$1003, 0)), "")</f>
        <v/>
      </c>
      <c r="H152" s="21" t="str">
        <f>IFERROR(INDEX('Detalles movimientos'!I$5:I$1003, MATCH(143, 'Detalles movimientos'!$V$5:$V$1003, 0)), "")</f>
        <v/>
      </c>
      <c r="I152" s="20" t="str">
        <f>IFERROR(INDEX('Detalles movimientos'!M$5:M$1003, MATCH(143, 'Detalles movimientos'!$V$5:$V$1003, 0)), "")</f>
        <v/>
      </c>
      <c r="J152" s="19" t="str">
        <f>IFERROR(INDEX('Detalles movimientos'!N$5:N$1003, MATCH(143, 'Detalles movimientos'!$V$5:$V$1003, 0)), "")</f>
        <v/>
      </c>
      <c r="K152" s="20" t="str">
        <f>IFERROR(INDEX('Detalles movimientos'!O$5:O$1003, MATCH(143, 'Detalles movimientos'!$V$5:$V$1003, 0)), "")</f>
        <v/>
      </c>
      <c r="L152" s="18" t="str">
        <f>IFERROR(INDEX('Detalles movimientos'!P$5:P$1003, MATCH(143, 'Detalles movimientos'!$V$5:$V$1003, 0)), "")</f>
        <v/>
      </c>
      <c r="M152" s="18" t="str">
        <f>IFERROR(INDEX('Detalles movimientos'!S$5:S$1003, MATCH(143, 'Detalles movimientos'!$V$5:$V$1003, 0)), "")</f>
        <v/>
      </c>
    </row>
    <row r="153" spans="2:13">
      <c r="B153" s="17" t="str">
        <f>IFERROR(INDEX('Detalles movimientos'!C$5:C$1003, MATCH(144, 'Detalles movimientos'!$V$5:$V$1003, 0)), "")</f>
        <v/>
      </c>
      <c r="C153" s="18" t="str">
        <f>IFERROR(INDEX('Detalles movimientos'!D$5:D$1003, MATCH(144, 'Detalles movimientos'!$V$5:$V$1003, 0)), "")</f>
        <v/>
      </c>
      <c r="D153" s="19" t="str">
        <f>IFERROR(INDEX('Detalles movimientos'!E$5:E$1003, MATCH(144, 'Detalles movimientos'!$V$5:$V$1003, 0)), "")</f>
        <v/>
      </c>
      <c r="E153" s="19" t="str">
        <f>IFERROR(INDEX('Detalles movimientos'!F$5:F$1003, MATCH(144, 'Detalles movimientos'!$V$5:$V$1003, 0)), "")</f>
        <v/>
      </c>
      <c r="F153" s="18" t="str">
        <f>IFERROR(INDEX('Detalles movimientos'!G$5:G$1003, MATCH(144, 'Detalles movimientos'!$V$5:$V$1003, 0)), "")</f>
        <v/>
      </c>
      <c r="G153" s="20" t="str">
        <f>IFERROR(INDEX('Detalles movimientos'!H$5:H$1003, MATCH(144, 'Detalles movimientos'!$V$5:$V$1003, 0)), "")</f>
        <v/>
      </c>
      <c r="H153" s="21" t="str">
        <f>IFERROR(INDEX('Detalles movimientos'!I$5:I$1003, MATCH(144, 'Detalles movimientos'!$V$5:$V$1003, 0)), "")</f>
        <v/>
      </c>
      <c r="I153" s="20" t="str">
        <f>IFERROR(INDEX('Detalles movimientos'!M$5:M$1003, MATCH(144, 'Detalles movimientos'!$V$5:$V$1003, 0)), "")</f>
        <v/>
      </c>
      <c r="J153" s="19" t="str">
        <f>IFERROR(INDEX('Detalles movimientos'!N$5:N$1003, MATCH(144, 'Detalles movimientos'!$V$5:$V$1003, 0)), "")</f>
        <v/>
      </c>
      <c r="K153" s="20" t="str">
        <f>IFERROR(INDEX('Detalles movimientos'!O$5:O$1003, MATCH(144, 'Detalles movimientos'!$V$5:$V$1003, 0)), "")</f>
        <v/>
      </c>
      <c r="L153" s="18" t="str">
        <f>IFERROR(INDEX('Detalles movimientos'!P$5:P$1003, MATCH(144, 'Detalles movimientos'!$V$5:$V$1003, 0)), "")</f>
        <v/>
      </c>
      <c r="M153" s="18" t="str">
        <f>IFERROR(INDEX('Detalles movimientos'!S$5:S$1003, MATCH(144, 'Detalles movimientos'!$V$5:$V$1003, 0)), "")</f>
        <v/>
      </c>
    </row>
    <row r="154" spans="2:13">
      <c r="B154" s="17" t="str">
        <f>IFERROR(INDEX('Detalles movimientos'!C$5:C$1003, MATCH(145, 'Detalles movimientos'!$V$5:$V$1003, 0)), "")</f>
        <v/>
      </c>
      <c r="C154" s="18" t="str">
        <f>IFERROR(INDEX('Detalles movimientos'!D$5:D$1003, MATCH(145, 'Detalles movimientos'!$V$5:$V$1003, 0)), "")</f>
        <v/>
      </c>
      <c r="D154" s="19" t="str">
        <f>IFERROR(INDEX('Detalles movimientos'!E$5:E$1003, MATCH(145, 'Detalles movimientos'!$V$5:$V$1003, 0)), "")</f>
        <v/>
      </c>
      <c r="E154" s="19" t="str">
        <f>IFERROR(INDEX('Detalles movimientos'!F$5:F$1003, MATCH(145, 'Detalles movimientos'!$V$5:$V$1003, 0)), "")</f>
        <v/>
      </c>
      <c r="F154" s="18" t="str">
        <f>IFERROR(INDEX('Detalles movimientos'!G$5:G$1003, MATCH(145, 'Detalles movimientos'!$V$5:$V$1003, 0)), "")</f>
        <v/>
      </c>
      <c r="G154" s="20" t="str">
        <f>IFERROR(INDEX('Detalles movimientos'!H$5:H$1003, MATCH(145, 'Detalles movimientos'!$V$5:$V$1003, 0)), "")</f>
        <v/>
      </c>
      <c r="H154" s="21" t="str">
        <f>IFERROR(INDEX('Detalles movimientos'!I$5:I$1003, MATCH(145, 'Detalles movimientos'!$V$5:$V$1003, 0)), "")</f>
        <v/>
      </c>
      <c r="I154" s="20" t="str">
        <f>IFERROR(INDEX('Detalles movimientos'!M$5:M$1003, MATCH(145, 'Detalles movimientos'!$V$5:$V$1003, 0)), "")</f>
        <v/>
      </c>
      <c r="J154" s="19" t="str">
        <f>IFERROR(INDEX('Detalles movimientos'!N$5:N$1003, MATCH(145, 'Detalles movimientos'!$V$5:$V$1003, 0)), "")</f>
        <v/>
      </c>
      <c r="K154" s="20" t="str">
        <f>IFERROR(INDEX('Detalles movimientos'!O$5:O$1003, MATCH(145, 'Detalles movimientos'!$V$5:$V$1003, 0)), "")</f>
        <v/>
      </c>
      <c r="L154" s="18" t="str">
        <f>IFERROR(INDEX('Detalles movimientos'!P$5:P$1003, MATCH(145, 'Detalles movimientos'!$V$5:$V$1003, 0)), "")</f>
        <v/>
      </c>
      <c r="M154" s="18" t="str">
        <f>IFERROR(INDEX('Detalles movimientos'!S$5:S$1003, MATCH(145, 'Detalles movimientos'!$V$5:$V$1003, 0)), "")</f>
        <v/>
      </c>
    </row>
    <row r="155" spans="2:13">
      <c r="B155" s="17" t="str">
        <f>IFERROR(INDEX('Detalles movimientos'!C$5:C$1003, MATCH(146, 'Detalles movimientos'!$V$5:$V$1003, 0)), "")</f>
        <v/>
      </c>
      <c r="C155" s="18" t="str">
        <f>IFERROR(INDEX('Detalles movimientos'!D$5:D$1003, MATCH(146, 'Detalles movimientos'!$V$5:$V$1003, 0)), "")</f>
        <v/>
      </c>
      <c r="D155" s="19" t="str">
        <f>IFERROR(INDEX('Detalles movimientos'!E$5:E$1003, MATCH(146, 'Detalles movimientos'!$V$5:$V$1003, 0)), "")</f>
        <v/>
      </c>
      <c r="E155" s="19" t="str">
        <f>IFERROR(INDEX('Detalles movimientos'!F$5:F$1003, MATCH(146, 'Detalles movimientos'!$V$5:$V$1003, 0)), "")</f>
        <v/>
      </c>
      <c r="F155" s="18" t="str">
        <f>IFERROR(INDEX('Detalles movimientos'!G$5:G$1003, MATCH(146, 'Detalles movimientos'!$V$5:$V$1003, 0)), "")</f>
        <v/>
      </c>
      <c r="G155" s="20" t="str">
        <f>IFERROR(INDEX('Detalles movimientos'!H$5:H$1003, MATCH(146, 'Detalles movimientos'!$V$5:$V$1003, 0)), "")</f>
        <v/>
      </c>
      <c r="H155" s="21" t="str">
        <f>IFERROR(INDEX('Detalles movimientos'!I$5:I$1003, MATCH(146, 'Detalles movimientos'!$V$5:$V$1003, 0)), "")</f>
        <v/>
      </c>
      <c r="I155" s="20" t="str">
        <f>IFERROR(INDEX('Detalles movimientos'!M$5:M$1003, MATCH(146, 'Detalles movimientos'!$V$5:$V$1003, 0)), "")</f>
        <v/>
      </c>
      <c r="J155" s="19" t="str">
        <f>IFERROR(INDEX('Detalles movimientos'!N$5:N$1003, MATCH(146, 'Detalles movimientos'!$V$5:$V$1003, 0)), "")</f>
        <v/>
      </c>
      <c r="K155" s="20" t="str">
        <f>IFERROR(INDEX('Detalles movimientos'!O$5:O$1003, MATCH(146, 'Detalles movimientos'!$V$5:$V$1003, 0)), "")</f>
        <v/>
      </c>
      <c r="L155" s="18" t="str">
        <f>IFERROR(INDEX('Detalles movimientos'!P$5:P$1003, MATCH(146, 'Detalles movimientos'!$V$5:$V$1003, 0)), "")</f>
        <v/>
      </c>
      <c r="M155" s="18" t="str">
        <f>IFERROR(INDEX('Detalles movimientos'!S$5:S$1003, MATCH(146, 'Detalles movimientos'!$V$5:$V$1003, 0)), "")</f>
        <v/>
      </c>
    </row>
    <row r="156" spans="2:13">
      <c r="B156" s="17" t="str">
        <f>IFERROR(INDEX('Detalles movimientos'!C$5:C$1003, MATCH(147, 'Detalles movimientos'!$V$5:$V$1003, 0)), "")</f>
        <v/>
      </c>
      <c r="C156" s="18" t="str">
        <f>IFERROR(INDEX('Detalles movimientos'!D$5:D$1003, MATCH(147, 'Detalles movimientos'!$V$5:$V$1003, 0)), "")</f>
        <v/>
      </c>
      <c r="D156" s="19" t="str">
        <f>IFERROR(INDEX('Detalles movimientos'!E$5:E$1003, MATCH(147, 'Detalles movimientos'!$V$5:$V$1003, 0)), "")</f>
        <v/>
      </c>
      <c r="E156" s="19" t="str">
        <f>IFERROR(INDEX('Detalles movimientos'!F$5:F$1003, MATCH(147, 'Detalles movimientos'!$V$5:$V$1003, 0)), "")</f>
        <v/>
      </c>
      <c r="F156" s="18" t="str">
        <f>IFERROR(INDEX('Detalles movimientos'!G$5:G$1003, MATCH(147, 'Detalles movimientos'!$V$5:$V$1003, 0)), "")</f>
        <v/>
      </c>
      <c r="G156" s="20" t="str">
        <f>IFERROR(INDEX('Detalles movimientos'!H$5:H$1003, MATCH(147, 'Detalles movimientos'!$V$5:$V$1003, 0)), "")</f>
        <v/>
      </c>
      <c r="H156" s="21" t="str">
        <f>IFERROR(INDEX('Detalles movimientos'!I$5:I$1003, MATCH(147, 'Detalles movimientos'!$V$5:$V$1003, 0)), "")</f>
        <v/>
      </c>
      <c r="I156" s="20" t="str">
        <f>IFERROR(INDEX('Detalles movimientos'!M$5:M$1003, MATCH(147, 'Detalles movimientos'!$V$5:$V$1003, 0)), "")</f>
        <v/>
      </c>
      <c r="J156" s="19" t="str">
        <f>IFERROR(INDEX('Detalles movimientos'!N$5:N$1003, MATCH(147, 'Detalles movimientos'!$V$5:$V$1003, 0)), "")</f>
        <v/>
      </c>
      <c r="K156" s="20" t="str">
        <f>IFERROR(INDEX('Detalles movimientos'!O$5:O$1003, MATCH(147, 'Detalles movimientos'!$V$5:$V$1003, 0)), "")</f>
        <v/>
      </c>
      <c r="L156" s="18" t="str">
        <f>IFERROR(INDEX('Detalles movimientos'!P$5:P$1003, MATCH(147, 'Detalles movimientos'!$V$5:$V$1003, 0)), "")</f>
        <v/>
      </c>
      <c r="M156" s="18" t="str">
        <f>IFERROR(INDEX('Detalles movimientos'!S$5:S$1003, MATCH(147, 'Detalles movimientos'!$V$5:$V$1003, 0)), "")</f>
        <v/>
      </c>
    </row>
    <row r="157" spans="2:13">
      <c r="B157" s="17" t="str">
        <f>IFERROR(INDEX('Detalles movimientos'!C$5:C$1003, MATCH(148, 'Detalles movimientos'!$V$5:$V$1003, 0)), "")</f>
        <v/>
      </c>
      <c r="C157" s="18" t="str">
        <f>IFERROR(INDEX('Detalles movimientos'!D$5:D$1003, MATCH(148, 'Detalles movimientos'!$V$5:$V$1003, 0)), "")</f>
        <v/>
      </c>
      <c r="D157" s="19" t="str">
        <f>IFERROR(INDEX('Detalles movimientos'!E$5:E$1003, MATCH(148, 'Detalles movimientos'!$V$5:$V$1003, 0)), "")</f>
        <v/>
      </c>
      <c r="E157" s="19" t="str">
        <f>IFERROR(INDEX('Detalles movimientos'!F$5:F$1003, MATCH(148, 'Detalles movimientos'!$V$5:$V$1003, 0)), "")</f>
        <v/>
      </c>
      <c r="F157" s="18" t="str">
        <f>IFERROR(INDEX('Detalles movimientos'!G$5:G$1003, MATCH(148, 'Detalles movimientos'!$V$5:$V$1003, 0)), "")</f>
        <v/>
      </c>
      <c r="G157" s="20" t="str">
        <f>IFERROR(INDEX('Detalles movimientos'!H$5:H$1003, MATCH(148, 'Detalles movimientos'!$V$5:$V$1003, 0)), "")</f>
        <v/>
      </c>
      <c r="H157" s="21" t="str">
        <f>IFERROR(INDEX('Detalles movimientos'!I$5:I$1003, MATCH(148, 'Detalles movimientos'!$V$5:$V$1003, 0)), "")</f>
        <v/>
      </c>
      <c r="I157" s="20" t="str">
        <f>IFERROR(INDEX('Detalles movimientos'!M$5:M$1003, MATCH(148, 'Detalles movimientos'!$V$5:$V$1003, 0)), "")</f>
        <v/>
      </c>
      <c r="J157" s="19" t="str">
        <f>IFERROR(INDEX('Detalles movimientos'!N$5:N$1003, MATCH(148, 'Detalles movimientos'!$V$5:$V$1003, 0)), "")</f>
        <v/>
      </c>
      <c r="K157" s="20" t="str">
        <f>IFERROR(INDEX('Detalles movimientos'!O$5:O$1003, MATCH(148, 'Detalles movimientos'!$V$5:$V$1003, 0)), "")</f>
        <v/>
      </c>
      <c r="L157" s="18" t="str">
        <f>IFERROR(INDEX('Detalles movimientos'!P$5:P$1003, MATCH(148, 'Detalles movimientos'!$V$5:$V$1003, 0)), "")</f>
        <v/>
      </c>
      <c r="M157" s="18" t="str">
        <f>IFERROR(INDEX('Detalles movimientos'!S$5:S$1003, MATCH(148, 'Detalles movimientos'!$V$5:$V$1003, 0)), "")</f>
        <v/>
      </c>
    </row>
    <row r="158" spans="2:13">
      <c r="B158" s="17" t="str">
        <f>IFERROR(INDEX('Detalles movimientos'!C$5:C$1003, MATCH(149, 'Detalles movimientos'!$V$5:$V$1003, 0)), "")</f>
        <v/>
      </c>
      <c r="C158" s="18" t="str">
        <f>IFERROR(INDEX('Detalles movimientos'!D$5:D$1003, MATCH(149, 'Detalles movimientos'!$V$5:$V$1003, 0)), "")</f>
        <v/>
      </c>
      <c r="D158" s="19" t="str">
        <f>IFERROR(INDEX('Detalles movimientos'!E$5:E$1003, MATCH(149, 'Detalles movimientos'!$V$5:$V$1003, 0)), "")</f>
        <v/>
      </c>
      <c r="E158" s="19" t="str">
        <f>IFERROR(INDEX('Detalles movimientos'!F$5:F$1003, MATCH(149, 'Detalles movimientos'!$V$5:$V$1003, 0)), "")</f>
        <v/>
      </c>
      <c r="F158" s="18" t="str">
        <f>IFERROR(INDEX('Detalles movimientos'!G$5:G$1003, MATCH(149, 'Detalles movimientos'!$V$5:$V$1003, 0)), "")</f>
        <v/>
      </c>
      <c r="G158" s="20" t="str">
        <f>IFERROR(INDEX('Detalles movimientos'!H$5:H$1003, MATCH(149, 'Detalles movimientos'!$V$5:$V$1003, 0)), "")</f>
        <v/>
      </c>
      <c r="H158" s="21" t="str">
        <f>IFERROR(INDEX('Detalles movimientos'!I$5:I$1003, MATCH(149, 'Detalles movimientos'!$V$5:$V$1003, 0)), "")</f>
        <v/>
      </c>
      <c r="I158" s="20" t="str">
        <f>IFERROR(INDEX('Detalles movimientos'!M$5:M$1003, MATCH(149, 'Detalles movimientos'!$V$5:$V$1003, 0)), "")</f>
        <v/>
      </c>
      <c r="J158" s="19" t="str">
        <f>IFERROR(INDEX('Detalles movimientos'!N$5:N$1003, MATCH(149, 'Detalles movimientos'!$V$5:$V$1003, 0)), "")</f>
        <v/>
      </c>
      <c r="K158" s="20" t="str">
        <f>IFERROR(INDEX('Detalles movimientos'!O$5:O$1003, MATCH(149, 'Detalles movimientos'!$V$5:$V$1003, 0)), "")</f>
        <v/>
      </c>
      <c r="L158" s="18" t="str">
        <f>IFERROR(INDEX('Detalles movimientos'!P$5:P$1003, MATCH(149, 'Detalles movimientos'!$V$5:$V$1003, 0)), "")</f>
        <v/>
      </c>
      <c r="M158" s="18" t="str">
        <f>IFERROR(INDEX('Detalles movimientos'!S$5:S$1003, MATCH(149, 'Detalles movimientos'!$V$5:$V$1003,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2026-08-25T17:00:29Z</dcterms:modified>
</cp:coreProperties>
</file>