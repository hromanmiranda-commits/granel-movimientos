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2BA39D40-2574-734D-BB09-27B42BF4470C}" xr6:coauthVersionLast="47" xr6:coauthVersionMax="47" xr10:uidLastSave="{00000000-0000-0000-0000-000000000000}"/>
  <bookViews>
    <workbookView xWindow="0" yWindow="740" windowWidth="28800" windowHeight="16260" xr2:uid="{00000000-000D-0000-FFFF-FFFF00000000}"/>
  </bookViews>
  <sheets>
    <sheet name="Detalles movimientos" sheetId="1" r:id="rId1"/>
    <sheet name="ENAP" sheetId="6" r:id="rId2"/>
    <sheet name="Análisis de Negocio" sheetId="2" r:id="rId3"/>
    <sheet name="CJ" sheetId="3" r:id="rId4"/>
    <sheet name="Ignacio" sheetId="4" r:id="rId5"/>
    <sheet name="Tripulacion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" i="1" l="1"/>
  <c r="K34" i="1"/>
  <c r="K33" i="1"/>
  <c r="M31" i="1"/>
  <c r="K26" i="1"/>
  <c r="K27" i="1"/>
  <c r="K28" i="1"/>
  <c r="K29" i="1"/>
  <c r="H6" i="6"/>
  <c r="C6" i="6"/>
  <c r="H6" i="5"/>
  <c r="B6" i="5"/>
  <c r="J9" i="3"/>
  <c r="D9" i="3"/>
  <c r="B6" i="3"/>
  <c r="B9" i="2"/>
  <c r="B5" i="2"/>
  <c r="B6" i="6" s="1"/>
  <c r="B4" i="2"/>
  <c r="U1000" i="1"/>
  <c r="T1000" i="1"/>
  <c r="S1000" i="1"/>
  <c r="R1000" i="1"/>
  <c r="M1000" i="1"/>
  <c r="U999" i="1"/>
  <c r="T999" i="1"/>
  <c r="S999" i="1"/>
  <c r="R999" i="1"/>
  <c r="M999" i="1"/>
  <c r="U998" i="1"/>
  <c r="T998" i="1"/>
  <c r="S998" i="1"/>
  <c r="R998" i="1"/>
  <c r="M998" i="1"/>
  <c r="U997" i="1"/>
  <c r="T997" i="1"/>
  <c r="S997" i="1"/>
  <c r="R997" i="1"/>
  <c r="M997" i="1"/>
  <c r="U996" i="1"/>
  <c r="T996" i="1"/>
  <c r="S996" i="1"/>
  <c r="R996" i="1"/>
  <c r="M996" i="1"/>
  <c r="U995" i="1"/>
  <c r="T995" i="1"/>
  <c r="S995" i="1"/>
  <c r="R995" i="1"/>
  <c r="M995" i="1"/>
  <c r="U994" i="1"/>
  <c r="T994" i="1"/>
  <c r="S994" i="1"/>
  <c r="R994" i="1"/>
  <c r="M994" i="1"/>
  <c r="U993" i="1"/>
  <c r="T993" i="1"/>
  <c r="S993" i="1"/>
  <c r="R993" i="1"/>
  <c r="M993" i="1"/>
  <c r="U992" i="1"/>
  <c r="T992" i="1"/>
  <c r="S992" i="1"/>
  <c r="R992" i="1"/>
  <c r="M992" i="1"/>
  <c r="U991" i="1"/>
  <c r="T991" i="1"/>
  <c r="S991" i="1"/>
  <c r="R991" i="1"/>
  <c r="M991" i="1"/>
  <c r="U990" i="1"/>
  <c r="T990" i="1"/>
  <c r="S990" i="1"/>
  <c r="R990" i="1"/>
  <c r="M990" i="1"/>
  <c r="U989" i="1"/>
  <c r="T989" i="1"/>
  <c r="S989" i="1"/>
  <c r="R989" i="1"/>
  <c r="M989" i="1"/>
  <c r="U988" i="1"/>
  <c r="T988" i="1"/>
  <c r="S988" i="1"/>
  <c r="R988" i="1"/>
  <c r="M988" i="1"/>
  <c r="U987" i="1"/>
  <c r="T987" i="1"/>
  <c r="S987" i="1"/>
  <c r="R987" i="1"/>
  <c r="M987" i="1"/>
  <c r="U986" i="1"/>
  <c r="T986" i="1"/>
  <c r="S986" i="1"/>
  <c r="R986" i="1"/>
  <c r="M986" i="1"/>
  <c r="U985" i="1"/>
  <c r="T985" i="1"/>
  <c r="S985" i="1"/>
  <c r="R985" i="1"/>
  <c r="M985" i="1"/>
  <c r="U984" i="1"/>
  <c r="T984" i="1"/>
  <c r="S984" i="1"/>
  <c r="R984" i="1"/>
  <c r="M984" i="1"/>
  <c r="U983" i="1"/>
  <c r="T983" i="1"/>
  <c r="S983" i="1"/>
  <c r="R983" i="1"/>
  <c r="M983" i="1"/>
  <c r="U982" i="1"/>
  <c r="T982" i="1"/>
  <c r="S982" i="1"/>
  <c r="R982" i="1"/>
  <c r="M982" i="1"/>
  <c r="U981" i="1"/>
  <c r="T981" i="1"/>
  <c r="S981" i="1"/>
  <c r="R981" i="1"/>
  <c r="M981" i="1"/>
  <c r="U980" i="1"/>
  <c r="T980" i="1"/>
  <c r="S980" i="1"/>
  <c r="R980" i="1"/>
  <c r="M980" i="1"/>
  <c r="U979" i="1"/>
  <c r="T979" i="1"/>
  <c r="S979" i="1"/>
  <c r="R979" i="1"/>
  <c r="M979" i="1"/>
  <c r="U978" i="1"/>
  <c r="T978" i="1"/>
  <c r="S978" i="1"/>
  <c r="R978" i="1"/>
  <c r="M978" i="1"/>
  <c r="U977" i="1"/>
  <c r="T977" i="1"/>
  <c r="S977" i="1"/>
  <c r="R977" i="1"/>
  <c r="M977" i="1"/>
  <c r="U976" i="1"/>
  <c r="T976" i="1"/>
  <c r="S976" i="1"/>
  <c r="R976" i="1"/>
  <c r="M976" i="1"/>
  <c r="U975" i="1"/>
  <c r="T975" i="1"/>
  <c r="S975" i="1"/>
  <c r="R975" i="1"/>
  <c r="M975" i="1"/>
  <c r="U974" i="1"/>
  <c r="T974" i="1"/>
  <c r="S974" i="1"/>
  <c r="R974" i="1"/>
  <c r="M974" i="1"/>
  <c r="U973" i="1"/>
  <c r="T973" i="1"/>
  <c r="S973" i="1"/>
  <c r="R973" i="1"/>
  <c r="M973" i="1"/>
  <c r="U972" i="1"/>
  <c r="T972" i="1"/>
  <c r="S972" i="1"/>
  <c r="R972" i="1"/>
  <c r="M972" i="1"/>
  <c r="U971" i="1"/>
  <c r="T971" i="1"/>
  <c r="S971" i="1"/>
  <c r="R971" i="1"/>
  <c r="M971" i="1"/>
  <c r="U970" i="1"/>
  <c r="T970" i="1"/>
  <c r="S970" i="1"/>
  <c r="R970" i="1"/>
  <c r="M970" i="1"/>
  <c r="U969" i="1"/>
  <c r="T969" i="1"/>
  <c r="S969" i="1"/>
  <c r="R969" i="1"/>
  <c r="M969" i="1"/>
  <c r="U968" i="1"/>
  <c r="T968" i="1"/>
  <c r="S968" i="1"/>
  <c r="R968" i="1"/>
  <c r="M968" i="1"/>
  <c r="U967" i="1"/>
  <c r="T967" i="1"/>
  <c r="S967" i="1"/>
  <c r="R967" i="1"/>
  <c r="M967" i="1"/>
  <c r="U966" i="1"/>
  <c r="T966" i="1"/>
  <c r="S966" i="1"/>
  <c r="R966" i="1"/>
  <c r="M966" i="1"/>
  <c r="U965" i="1"/>
  <c r="T965" i="1"/>
  <c r="S965" i="1"/>
  <c r="R965" i="1"/>
  <c r="M965" i="1"/>
  <c r="U964" i="1"/>
  <c r="T964" i="1"/>
  <c r="S964" i="1"/>
  <c r="R964" i="1"/>
  <c r="M964" i="1"/>
  <c r="U963" i="1"/>
  <c r="T963" i="1"/>
  <c r="S963" i="1"/>
  <c r="R963" i="1"/>
  <c r="M963" i="1"/>
  <c r="U962" i="1"/>
  <c r="T962" i="1"/>
  <c r="S962" i="1"/>
  <c r="R962" i="1"/>
  <c r="M962" i="1"/>
  <c r="U961" i="1"/>
  <c r="T961" i="1"/>
  <c r="S961" i="1"/>
  <c r="R961" i="1"/>
  <c r="M961" i="1"/>
  <c r="U960" i="1"/>
  <c r="T960" i="1"/>
  <c r="S960" i="1"/>
  <c r="R960" i="1"/>
  <c r="M960" i="1"/>
  <c r="U959" i="1"/>
  <c r="T959" i="1"/>
  <c r="S959" i="1"/>
  <c r="R959" i="1"/>
  <c r="M959" i="1"/>
  <c r="U958" i="1"/>
  <c r="T958" i="1"/>
  <c r="S958" i="1"/>
  <c r="R958" i="1"/>
  <c r="M958" i="1"/>
  <c r="U957" i="1"/>
  <c r="T957" i="1"/>
  <c r="S957" i="1"/>
  <c r="R957" i="1"/>
  <c r="M957" i="1"/>
  <c r="U956" i="1"/>
  <c r="T956" i="1"/>
  <c r="S956" i="1"/>
  <c r="R956" i="1"/>
  <c r="M956" i="1"/>
  <c r="U955" i="1"/>
  <c r="T955" i="1"/>
  <c r="S955" i="1"/>
  <c r="R955" i="1"/>
  <c r="M955" i="1"/>
  <c r="U954" i="1"/>
  <c r="T954" i="1"/>
  <c r="S954" i="1"/>
  <c r="R954" i="1"/>
  <c r="M954" i="1"/>
  <c r="U953" i="1"/>
  <c r="T953" i="1"/>
  <c r="S953" i="1"/>
  <c r="R953" i="1"/>
  <c r="M953" i="1"/>
  <c r="U952" i="1"/>
  <c r="T952" i="1"/>
  <c r="S952" i="1"/>
  <c r="R952" i="1"/>
  <c r="M952" i="1"/>
  <c r="U951" i="1"/>
  <c r="T951" i="1"/>
  <c r="S951" i="1"/>
  <c r="R951" i="1"/>
  <c r="M951" i="1"/>
  <c r="U950" i="1"/>
  <c r="T950" i="1"/>
  <c r="S950" i="1"/>
  <c r="R950" i="1"/>
  <c r="M950" i="1"/>
  <c r="U949" i="1"/>
  <c r="T949" i="1"/>
  <c r="S949" i="1"/>
  <c r="R949" i="1"/>
  <c r="M949" i="1"/>
  <c r="U948" i="1"/>
  <c r="T948" i="1"/>
  <c r="S948" i="1"/>
  <c r="R948" i="1"/>
  <c r="M948" i="1"/>
  <c r="U947" i="1"/>
  <c r="T947" i="1"/>
  <c r="S947" i="1"/>
  <c r="R947" i="1"/>
  <c r="M947" i="1"/>
  <c r="U946" i="1"/>
  <c r="T946" i="1"/>
  <c r="S946" i="1"/>
  <c r="R946" i="1"/>
  <c r="M946" i="1"/>
  <c r="U945" i="1"/>
  <c r="T945" i="1"/>
  <c r="S945" i="1"/>
  <c r="R945" i="1"/>
  <c r="M945" i="1"/>
  <c r="U944" i="1"/>
  <c r="T944" i="1"/>
  <c r="S944" i="1"/>
  <c r="R944" i="1"/>
  <c r="M944" i="1"/>
  <c r="U943" i="1"/>
  <c r="T943" i="1"/>
  <c r="S943" i="1"/>
  <c r="R943" i="1"/>
  <c r="M943" i="1"/>
  <c r="U942" i="1"/>
  <c r="T942" i="1"/>
  <c r="S942" i="1"/>
  <c r="R942" i="1"/>
  <c r="M942" i="1"/>
  <c r="U941" i="1"/>
  <c r="T941" i="1"/>
  <c r="S941" i="1"/>
  <c r="R941" i="1"/>
  <c r="M941" i="1"/>
  <c r="U940" i="1"/>
  <c r="T940" i="1"/>
  <c r="S940" i="1"/>
  <c r="R940" i="1"/>
  <c r="M940" i="1"/>
  <c r="U939" i="1"/>
  <c r="T939" i="1"/>
  <c r="S939" i="1"/>
  <c r="R939" i="1"/>
  <c r="M939" i="1"/>
  <c r="U938" i="1"/>
  <c r="T938" i="1"/>
  <c r="S938" i="1"/>
  <c r="R938" i="1"/>
  <c r="M938" i="1"/>
  <c r="U937" i="1"/>
  <c r="T937" i="1"/>
  <c r="S937" i="1"/>
  <c r="R937" i="1"/>
  <c r="M937" i="1"/>
  <c r="U936" i="1"/>
  <c r="T936" i="1"/>
  <c r="S936" i="1"/>
  <c r="R936" i="1"/>
  <c r="M936" i="1"/>
  <c r="U935" i="1"/>
  <c r="T935" i="1"/>
  <c r="S935" i="1"/>
  <c r="R935" i="1"/>
  <c r="M935" i="1"/>
  <c r="U934" i="1"/>
  <c r="T934" i="1"/>
  <c r="S934" i="1"/>
  <c r="R934" i="1"/>
  <c r="M934" i="1"/>
  <c r="U933" i="1"/>
  <c r="T933" i="1"/>
  <c r="S933" i="1"/>
  <c r="R933" i="1"/>
  <c r="M933" i="1"/>
  <c r="U932" i="1"/>
  <c r="T932" i="1"/>
  <c r="S932" i="1"/>
  <c r="R932" i="1"/>
  <c r="M932" i="1"/>
  <c r="U931" i="1"/>
  <c r="T931" i="1"/>
  <c r="S931" i="1"/>
  <c r="R931" i="1"/>
  <c r="M931" i="1"/>
  <c r="U930" i="1"/>
  <c r="T930" i="1"/>
  <c r="S930" i="1"/>
  <c r="R930" i="1"/>
  <c r="M930" i="1"/>
  <c r="U929" i="1"/>
  <c r="T929" i="1"/>
  <c r="S929" i="1"/>
  <c r="R929" i="1"/>
  <c r="M929" i="1"/>
  <c r="U928" i="1"/>
  <c r="T928" i="1"/>
  <c r="S928" i="1"/>
  <c r="R928" i="1"/>
  <c r="M928" i="1"/>
  <c r="U927" i="1"/>
  <c r="T927" i="1"/>
  <c r="S927" i="1"/>
  <c r="R927" i="1"/>
  <c r="M927" i="1"/>
  <c r="U926" i="1"/>
  <c r="T926" i="1"/>
  <c r="S926" i="1"/>
  <c r="R926" i="1"/>
  <c r="M926" i="1"/>
  <c r="U925" i="1"/>
  <c r="T925" i="1"/>
  <c r="S925" i="1"/>
  <c r="R925" i="1"/>
  <c r="M925" i="1"/>
  <c r="U924" i="1"/>
  <c r="T924" i="1"/>
  <c r="S924" i="1"/>
  <c r="R924" i="1"/>
  <c r="M924" i="1"/>
  <c r="U923" i="1"/>
  <c r="T923" i="1"/>
  <c r="S923" i="1"/>
  <c r="R923" i="1"/>
  <c r="M923" i="1"/>
  <c r="U922" i="1"/>
  <c r="T922" i="1"/>
  <c r="S922" i="1"/>
  <c r="R922" i="1"/>
  <c r="M922" i="1"/>
  <c r="U921" i="1"/>
  <c r="T921" i="1"/>
  <c r="S921" i="1"/>
  <c r="R921" i="1"/>
  <c r="M921" i="1"/>
  <c r="U920" i="1"/>
  <c r="T920" i="1"/>
  <c r="S920" i="1"/>
  <c r="R920" i="1"/>
  <c r="M920" i="1"/>
  <c r="U919" i="1"/>
  <c r="T919" i="1"/>
  <c r="S919" i="1"/>
  <c r="R919" i="1"/>
  <c r="M919" i="1"/>
  <c r="U918" i="1"/>
  <c r="T918" i="1"/>
  <c r="S918" i="1"/>
  <c r="R918" i="1"/>
  <c r="M918" i="1"/>
  <c r="U917" i="1"/>
  <c r="T917" i="1"/>
  <c r="S917" i="1"/>
  <c r="R917" i="1"/>
  <c r="M917" i="1"/>
  <c r="U916" i="1"/>
  <c r="T916" i="1"/>
  <c r="S916" i="1"/>
  <c r="R916" i="1"/>
  <c r="M916" i="1"/>
  <c r="U915" i="1"/>
  <c r="T915" i="1"/>
  <c r="S915" i="1"/>
  <c r="R915" i="1"/>
  <c r="M915" i="1"/>
  <c r="U914" i="1"/>
  <c r="T914" i="1"/>
  <c r="S914" i="1"/>
  <c r="R914" i="1"/>
  <c r="M914" i="1"/>
  <c r="U913" i="1"/>
  <c r="T913" i="1"/>
  <c r="S913" i="1"/>
  <c r="R913" i="1"/>
  <c r="M913" i="1"/>
  <c r="U912" i="1"/>
  <c r="T912" i="1"/>
  <c r="S912" i="1"/>
  <c r="R912" i="1"/>
  <c r="M912" i="1"/>
  <c r="U911" i="1"/>
  <c r="T911" i="1"/>
  <c r="S911" i="1"/>
  <c r="R911" i="1"/>
  <c r="M911" i="1"/>
  <c r="U910" i="1"/>
  <c r="T910" i="1"/>
  <c r="S910" i="1"/>
  <c r="R910" i="1"/>
  <c r="M910" i="1"/>
  <c r="U909" i="1"/>
  <c r="T909" i="1"/>
  <c r="S909" i="1"/>
  <c r="R909" i="1"/>
  <c r="M909" i="1"/>
  <c r="U908" i="1"/>
  <c r="T908" i="1"/>
  <c r="S908" i="1"/>
  <c r="R908" i="1"/>
  <c r="M908" i="1"/>
  <c r="U907" i="1"/>
  <c r="T907" i="1"/>
  <c r="S907" i="1"/>
  <c r="R907" i="1"/>
  <c r="M907" i="1"/>
  <c r="U906" i="1"/>
  <c r="T906" i="1"/>
  <c r="S906" i="1"/>
  <c r="R906" i="1"/>
  <c r="M906" i="1"/>
  <c r="U905" i="1"/>
  <c r="T905" i="1"/>
  <c r="S905" i="1"/>
  <c r="R905" i="1"/>
  <c r="M905" i="1"/>
  <c r="U904" i="1"/>
  <c r="T904" i="1"/>
  <c r="S904" i="1"/>
  <c r="R904" i="1"/>
  <c r="M904" i="1"/>
  <c r="U903" i="1"/>
  <c r="T903" i="1"/>
  <c r="S903" i="1"/>
  <c r="R903" i="1"/>
  <c r="M903" i="1"/>
  <c r="U902" i="1"/>
  <c r="T902" i="1"/>
  <c r="S902" i="1"/>
  <c r="R902" i="1"/>
  <c r="M902" i="1"/>
  <c r="U901" i="1"/>
  <c r="T901" i="1"/>
  <c r="S901" i="1"/>
  <c r="R901" i="1"/>
  <c r="M901" i="1"/>
  <c r="U900" i="1"/>
  <c r="T900" i="1"/>
  <c r="S900" i="1"/>
  <c r="R900" i="1"/>
  <c r="M900" i="1"/>
  <c r="U899" i="1"/>
  <c r="T899" i="1"/>
  <c r="S899" i="1"/>
  <c r="R899" i="1"/>
  <c r="M899" i="1"/>
  <c r="U898" i="1"/>
  <c r="T898" i="1"/>
  <c r="S898" i="1"/>
  <c r="R898" i="1"/>
  <c r="M898" i="1"/>
  <c r="U897" i="1"/>
  <c r="T897" i="1"/>
  <c r="S897" i="1"/>
  <c r="R897" i="1"/>
  <c r="M897" i="1"/>
  <c r="U896" i="1"/>
  <c r="T896" i="1"/>
  <c r="S896" i="1"/>
  <c r="R896" i="1"/>
  <c r="M896" i="1"/>
  <c r="U895" i="1"/>
  <c r="T895" i="1"/>
  <c r="S895" i="1"/>
  <c r="R895" i="1"/>
  <c r="M895" i="1"/>
  <c r="U894" i="1"/>
  <c r="T894" i="1"/>
  <c r="S894" i="1"/>
  <c r="R894" i="1"/>
  <c r="M894" i="1"/>
  <c r="U893" i="1"/>
  <c r="T893" i="1"/>
  <c r="S893" i="1"/>
  <c r="R893" i="1"/>
  <c r="M893" i="1"/>
  <c r="U892" i="1"/>
  <c r="T892" i="1"/>
  <c r="S892" i="1"/>
  <c r="R892" i="1"/>
  <c r="M892" i="1"/>
  <c r="U891" i="1"/>
  <c r="T891" i="1"/>
  <c r="S891" i="1"/>
  <c r="R891" i="1"/>
  <c r="M891" i="1"/>
  <c r="U890" i="1"/>
  <c r="T890" i="1"/>
  <c r="S890" i="1"/>
  <c r="R890" i="1"/>
  <c r="M890" i="1"/>
  <c r="U889" i="1"/>
  <c r="T889" i="1"/>
  <c r="S889" i="1"/>
  <c r="R889" i="1"/>
  <c r="M889" i="1"/>
  <c r="U888" i="1"/>
  <c r="T888" i="1"/>
  <c r="S888" i="1"/>
  <c r="R888" i="1"/>
  <c r="M888" i="1"/>
  <c r="U887" i="1"/>
  <c r="T887" i="1"/>
  <c r="S887" i="1"/>
  <c r="R887" i="1"/>
  <c r="M887" i="1"/>
  <c r="U886" i="1"/>
  <c r="T886" i="1"/>
  <c r="S886" i="1"/>
  <c r="R886" i="1"/>
  <c r="M886" i="1"/>
  <c r="U885" i="1"/>
  <c r="T885" i="1"/>
  <c r="S885" i="1"/>
  <c r="R885" i="1"/>
  <c r="M885" i="1"/>
  <c r="U884" i="1"/>
  <c r="T884" i="1"/>
  <c r="S884" i="1"/>
  <c r="R884" i="1"/>
  <c r="M884" i="1"/>
  <c r="U883" i="1"/>
  <c r="T883" i="1"/>
  <c r="S883" i="1"/>
  <c r="R883" i="1"/>
  <c r="M883" i="1"/>
  <c r="U882" i="1"/>
  <c r="T882" i="1"/>
  <c r="S882" i="1"/>
  <c r="R882" i="1"/>
  <c r="M882" i="1"/>
  <c r="U881" i="1"/>
  <c r="T881" i="1"/>
  <c r="S881" i="1"/>
  <c r="R881" i="1"/>
  <c r="M881" i="1"/>
  <c r="U880" i="1"/>
  <c r="T880" i="1"/>
  <c r="S880" i="1"/>
  <c r="R880" i="1"/>
  <c r="M880" i="1"/>
  <c r="U879" i="1"/>
  <c r="T879" i="1"/>
  <c r="S879" i="1"/>
  <c r="R879" i="1"/>
  <c r="M879" i="1"/>
  <c r="U878" i="1"/>
  <c r="T878" i="1"/>
  <c r="S878" i="1"/>
  <c r="R878" i="1"/>
  <c r="M878" i="1"/>
  <c r="U877" i="1"/>
  <c r="T877" i="1"/>
  <c r="S877" i="1"/>
  <c r="R877" i="1"/>
  <c r="M877" i="1"/>
  <c r="U876" i="1"/>
  <c r="T876" i="1"/>
  <c r="S876" i="1"/>
  <c r="R876" i="1"/>
  <c r="M876" i="1"/>
  <c r="U875" i="1"/>
  <c r="T875" i="1"/>
  <c r="S875" i="1"/>
  <c r="R875" i="1"/>
  <c r="M875" i="1"/>
  <c r="U874" i="1"/>
  <c r="T874" i="1"/>
  <c r="S874" i="1"/>
  <c r="R874" i="1"/>
  <c r="M874" i="1"/>
  <c r="U873" i="1"/>
  <c r="T873" i="1"/>
  <c r="S873" i="1"/>
  <c r="R873" i="1"/>
  <c r="M873" i="1"/>
  <c r="U872" i="1"/>
  <c r="T872" i="1"/>
  <c r="S872" i="1"/>
  <c r="R872" i="1"/>
  <c r="M872" i="1"/>
  <c r="U871" i="1"/>
  <c r="T871" i="1"/>
  <c r="S871" i="1"/>
  <c r="R871" i="1"/>
  <c r="M871" i="1"/>
  <c r="U870" i="1"/>
  <c r="T870" i="1"/>
  <c r="S870" i="1"/>
  <c r="R870" i="1"/>
  <c r="M870" i="1"/>
  <c r="U869" i="1"/>
  <c r="T869" i="1"/>
  <c r="S869" i="1"/>
  <c r="R869" i="1"/>
  <c r="M869" i="1"/>
  <c r="U868" i="1"/>
  <c r="T868" i="1"/>
  <c r="S868" i="1"/>
  <c r="R868" i="1"/>
  <c r="M868" i="1"/>
  <c r="U867" i="1"/>
  <c r="T867" i="1"/>
  <c r="S867" i="1"/>
  <c r="R867" i="1"/>
  <c r="M867" i="1"/>
  <c r="U866" i="1"/>
  <c r="T866" i="1"/>
  <c r="S866" i="1"/>
  <c r="R866" i="1"/>
  <c r="M866" i="1"/>
  <c r="U865" i="1"/>
  <c r="T865" i="1"/>
  <c r="S865" i="1"/>
  <c r="R865" i="1"/>
  <c r="M865" i="1"/>
  <c r="U864" i="1"/>
  <c r="T864" i="1"/>
  <c r="S864" i="1"/>
  <c r="R864" i="1"/>
  <c r="M864" i="1"/>
  <c r="U863" i="1"/>
  <c r="T863" i="1"/>
  <c r="S863" i="1"/>
  <c r="R863" i="1"/>
  <c r="M863" i="1"/>
  <c r="U862" i="1"/>
  <c r="T862" i="1"/>
  <c r="S862" i="1"/>
  <c r="R862" i="1"/>
  <c r="M862" i="1"/>
  <c r="U861" i="1"/>
  <c r="T861" i="1"/>
  <c r="S861" i="1"/>
  <c r="R861" i="1"/>
  <c r="M861" i="1"/>
  <c r="U860" i="1"/>
  <c r="T860" i="1"/>
  <c r="S860" i="1"/>
  <c r="R860" i="1"/>
  <c r="M860" i="1"/>
  <c r="U859" i="1"/>
  <c r="T859" i="1"/>
  <c r="S859" i="1"/>
  <c r="R859" i="1"/>
  <c r="M859" i="1"/>
  <c r="U858" i="1"/>
  <c r="T858" i="1"/>
  <c r="S858" i="1"/>
  <c r="R858" i="1"/>
  <c r="M858" i="1"/>
  <c r="U857" i="1"/>
  <c r="T857" i="1"/>
  <c r="S857" i="1"/>
  <c r="R857" i="1"/>
  <c r="M857" i="1"/>
  <c r="U856" i="1"/>
  <c r="T856" i="1"/>
  <c r="S856" i="1"/>
  <c r="R856" i="1"/>
  <c r="M856" i="1"/>
  <c r="U855" i="1"/>
  <c r="T855" i="1"/>
  <c r="S855" i="1"/>
  <c r="R855" i="1"/>
  <c r="M855" i="1"/>
  <c r="U854" i="1"/>
  <c r="T854" i="1"/>
  <c r="S854" i="1"/>
  <c r="R854" i="1"/>
  <c r="M854" i="1"/>
  <c r="U853" i="1"/>
  <c r="T853" i="1"/>
  <c r="S853" i="1"/>
  <c r="R853" i="1"/>
  <c r="M853" i="1"/>
  <c r="U852" i="1"/>
  <c r="T852" i="1"/>
  <c r="S852" i="1"/>
  <c r="R852" i="1"/>
  <c r="M852" i="1"/>
  <c r="U851" i="1"/>
  <c r="T851" i="1"/>
  <c r="S851" i="1"/>
  <c r="R851" i="1"/>
  <c r="M851" i="1"/>
  <c r="U850" i="1"/>
  <c r="T850" i="1"/>
  <c r="S850" i="1"/>
  <c r="R850" i="1"/>
  <c r="M850" i="1"/>
  <c r="U849" i="1"/>
  <c r="T849" i="1"/>
  <c r="S849" i="1"/>
  <c r="R849" i="1"/>
  <c r="M849" i="1"/>
  <c r="U848" i="1"/>
  <c r="T848" i="1"/>
  <c r="S848" i="1"/>
  <c r="R848" i="1"/>
  <c r="M848" i="1"/>
  <c r="U847" i="1"/>
  <c r="T847" i="1"/>
  <c r="S847" i="1"/>
  <c r="R847" i="1"/>
  <c r="M847" i="1"/>
  <c r="U846" i="1"/>
  <c r="T846" i="1"/>
  <c r="S846" i="1"/>
  <c r="R846" i="1"/>
  <c r="M846" i="1"/>
  <c r="U845" i="1"/>
  <c r="T845" i="1"/>
  <c r="S845" i="1"/>
  <c r="R845" i="1"/>
  <c r="M845" i="1"/>
  <c r="U844" i="1"/>
  <c r="T844" i="1"/>
  <c r="S844" i="1"/>
  <c r="R844" i="1"/>
  <c r="M844" i="1"/>
  <c r="U843" i="1"/>
  <c r="T843" i="1"/>
  <c r="S843" i="1"/>
  <c r="R843" i="1"/>
  <c r="M843" i="1"/>
  <c r="U842" i="1"/>
  <c r="T842" i="1"/>
  <c r="S842" i="1"/>
  <c r="R842" i="1"/>
  <c r="M842" i="1"/>
  <c r="U841" i="1"/>
  <c r="T841" i="1"/>
  <c r="S841" i="1"/>
  <c r="R841" i="1"/>
  <c r="M841" i="1"/>
  <c r="U840" i="1"/>
  <c r="T840" i="1"/>
  <c r="S840" i="1"/>
  <c r="R840" i="1"/>
  <c r="M840" i="1"/>
  <c r="U839" i="1"/>
  <c r="T839" i="1"/>
  <c r="S839" i="1"/>
  <c r="R839" i="1"/>
  <c r="M839" i="1"/>
  <c r="U838" i="1"/>
  <c r="T838" i="1"/>
  <c r="S838" i="1"/>
  <c r="R838" i="1"/>
  <c r="M838" i="1"/>
  <c r="U837" i="1"/>
  <c r="T837" i="1"/>
  <c r="S837" i="1"/>
  <c r="R837" i="1"/>
  <c r="M837" i="1"/>
  <c r="U836" i="1"/>
  <c r="T836" i="1"/>
  <c r="S836" i="1"/>
  <c r="R836" i="1"/>
  <c r="M836" i="1"/>
  <c r="U835" i="1"/>
  <c r="T835" i="1"/>
  <c r="S835" i="1"/>
  <c r="R835" i="1"/>
  <c r="M835" i="1"/>
  <c r="U834" i="1"/>
  <c r="T834" i="1"/>
  <c r="S834" i="1"/>
  <c r="R834" i="1"/>
  <c r="M834" i="1"/>
  <c r="U833" i="1"/>
  <c r="T833" i="1"/>
  <c r="S833" i="1"/>
  <c r="R833" i="1"/>
  <c r="M833" i="1"/>
  <c r="U832" i="1"/>
  <c r="T832" i="1"/>
  <c r="S832" i="1"/>
  <c r="R832" i="1"/>
  <c r="M832" i="1"/>
  <c r="U831" i="1"/>
  <c r="T831" i="1"/>
  <c r="S831" i="1"/>
  <c r="R831" i="1"/>
  <c r="M831" i="1"/>
  <c r="U830" i="1"/>
  <c r="T830" i="1"/>
  <c r="S830" i="1"/>
  <c r="R830" i="1"/>
  <c r="M830" i="1"/>
  <c r="U829" i="1"/>
  <c r="T829" i="1"/>
  <c r="S829" i="1"/>
  <c r="R829" i="1"/>
  <c r="M829" i="1"/>
  <c r="U828" i="1"/>
  <c r="T828" i="1"/>
  <c r="S828" i="1"/>
  <c r="R828" i="1"/>
  <c r="M828" i="1"/>
  <c r="U827" i="1"/>
  <c r="T827" i="1"/>
  <c r="S827" i="1"/>
  <c r="R827" i="1"/>
  <c r="M827" i="1"/>
  <c r="U826" i="1"/>
  <c r="T826" i="1"/>
  <c r="S826" i="1"/>
  <c r="R826" i="1"/>
  <c r="M826" i="1"/>
  <c r="U825" i="1"/>
  <c r="T825" i="1"/>
  <c r="S825" i="1"/>
  <c r="R825" i="1"/>
  <c r="M825" i="1"/>
  <c r="U824" i="1"/>
  <c r="T824" i="1"/>
  <c r="S824" i="1"/>
  <c r="R824" i="1"/>
  <c r="M824" i="1"/>
  <c r="U823" i="1"/>
  <c r="T823" i="1"/>
  <c r="S823" i="1"/>
  <c r="R823" i="1"/>
  <c r="M823" i="1"/>
  <c r="U822" i="1"/>
  <c r="T822" i="1"/>
  <c r="S822" i="1"/>
  <c r="R822" i="1"/>
  <c r="M822" i="1"/>
  <c r="U821" i="1"/>
  <c r="T821" i="1"/>
  <c r="S821" i="1"/>
  <c r="R821" i="1"/>
  <c r="M821" i="1"/>
  <c r="U820" i="1"/>
  <c r="T820" i="1"/>
  <c r="S820" i="1"/>
  <c r="R820" i="1"/>
  <c r="M820" i="1"/>
  <c r="U819" i="1"/>
  <c r="T819" i="1"/>
  <c r="S819" i="1"/>
  <c r="R819" i="1"/>
  <c r="M819" i="1"/>
  <c r="U818" i="1"/>
  <c r="T818" i="1"/>
  <c r="S818" i="1"/>
  <c r="R818" i="1"/>
  <c r="M818" i="1"/>
  <c r="U817" i="1"/>
  <c r="T817" i="1"/>
  <c r="S817" i="1"/>
  <c r="R817" i="1"/>
  <c r="M817" i="1"/>
  <c r="U816" i="1"/>
  <c r="T816" i="1"/>
  <c r="S816" i="1"/>
  <c r="R816" i="1"/>
  <c r="M816" i="1"/>
  <c r="U815" i="1"/>
  <c r="T815" i="1"/>
  <c r="S815" i="1"/>
  <c r="R815" i="1"/>
  <c r="M815" i="1"/>
  <c r="U814" i="1"/>
  <c r="T814" i="1"/>
  <c r="S814" i="1"/>
  <c r="R814" i="1"/>
  <c r="M814" i="1"/>
  <c r="U813" i="1"/>
  <c r="T813" i="1"/>
  <c r="S813" i="1"/>
  <c r="R813" i="1"/>
  <c r="M813" i="1"/>
  <c r="U812" i="1"/>
  <c r="T812" i="1"/>
  <c r="S812" i="1"/>
  <c r="R812" i="1"/>
  <c r="M812" i="1"/>
  <c r="U811" i="1"/>
  <c r="T811" i="1"/>
  <c r="S811" i="1"/>
  <c r="R811" i="1"/>
  <c r="M811" i="1"/>
  <c r="U810" i="1"/>
  <c r="T810" i="1"/>
  <c r="S810" i="1"/>
  <c r="R810" i="1"/>
  <c r="M810" i="1"/>
  <c r="U809" i="1"/>
  <c r="T809" i="1"/>
  <c r="S809" i="1"/>
  <c r="R809" i="1"/>
  <c r="M809" i="1"/>
  <c r="U808" i="1"/>
  <c r="T808" i="1"/>
  <c r="S808" i="1"/>
  <c r="R808" i="1"/>
  <c r="M808" i="1"/>
  <c r="U807" i="1"/>
  <c r="T807" i="1"/>
  <c r="S807" i="1"/>
  <c r="R807" i="1"/>
  <c r="M807" i="1"/>
  <c r="U806" i="1"/>
  <c r="T806" i="1"/>
  <c r="S806" i="1"/>
  <c r="R806" i="1"/>
  <c r="M806" i="1"/>
  <c r="U805" i="1"/>
  <c r="T805" i="1"/>
  <c r="S805" i="1"/>
  <c r="R805" i="1"/>
  <c r="M805" i="1"/>
  <c r="U804" i="1"/>
  <c r="T804" i="1"/>
  <c r="S804" i="1"/>
  <c r="R804" i="1"/>
  <c r="M804" i="1"/>
  <c r="U803" i="1"/>
  <c r="T803" i="1"/>
  <c r="S803" i="1"/>
  <c r="R803" i="1"/>
  <c r="M803" i="1"/>
  <c r="U802" i="1"/>
  <c r="T802" i="1"/>
  <c r="S802" i="1"/>
  <c r="R802" i="1"/>
  <c r="M802" i="1"/>
  <c r="U801" i="1"/>
  <c r="T801" i="1"/>
  <c r="S801" i="1"/>
  <c r="R801" i="1"/>
  <c r="M801" i="1"/>
  <c r="U800" i="1"/>
  <c r="T800" i="1"/>
  <c r="S800" i="1"/>
  <c r="R800" i="1"/>
  <c r="M800" i="1"/>
  <c r="U799" i="1"/>
  <c r="T799" i="1"/>
  <c r="S799" i="1"/>
  <c r="R799" i="1"/>
  <c r="M799" i="1"/>
  <c r="U798" i="1"/>
  <c r="T798" i="1"/>
  <c r="S798" i="1"/>
  <c r="R798" i="1"/>
  <c r="M798" i="1"/>
  <c r="U797" i="1"/>
  <c r="T797" i="1"/>
  <c r="S797" i="1"/>
  <c r="R797" i="1"/>
  <c r="M797" i="1"/>
  <c r="U796" i="1"/>
  <c r="T796" i="1"/>
  <c r="S796" i="1"/>
  <c r="R796" i="1"/>
  <c r="M796" i="1"/>
  <c r="U795" i="1"/>
  <c r="T795" i="1"/>
  <c r="S795" i="1"/>
  <c r="R795" i="1"/>
  <c r="M795" i="1"/>
  <c r="U794" i="1"/>
  <c r="T794" i="1"/>
  <c r="S794" i="1"/>
  <c r="R794" i="1"/>
  <c r="M794" i="1"/>
  <c r="U793" i="1"/>
  <c r="T793" i="1"/>
  <c r="S793" i="1"/>
  <c r="R793" i="1"/>
  <c r="M793" i="1"/>
  <c r="U792" i="1"/>
  <c r="T792" i="1"/>
  <c r="S792" i="1"/>
  <c r="R792" i="1"/>
  <c r="M792" i="1"/>
  <c r="U791" i="1"/>
  <c r="T791" i="1"/>
  <c r="S791" i="1"/>
  <c r="R791" i="1"/>
  <c r="M791" i="1"/>
  <c r="U790" i="1"/>
  <c r="T790" i="1"/>
  <c r="S790" i="1"/>
  <c r="R790" i="1"/>
  <c r="M790" i="1"/>
  <c r="U789" i="1"/>
  <c r="T789" i="1"/>
  <c r="S789" i="1"/>
  <c r="R789" i="1"/>
  <c r="M789" i="1"/>
  <c r="U788" i="1"/>
  <c r="T788" i="1"/>
  <c r="S788" i="1"/>
  <c r="R788" i="1"/>
  <c r="M788" i="1"/>
  <c r="U787" i="1"/>
  <c r="T787" i="1"/>
  <c r="S787" i="1"/>
  <c r="R787" i="1"/>
  <c r="M787" i="1"/>
  <c r="U786" i="1"/>
  <c r="T786" i="1"/>
  <c r="S786" i="1"/>
  <c r="R786" i="1"/>
  <c r="M786" i="1"/>
  <c r="U785" i="1"/>
  <c r="T785" i="1"/>
  <c r="S785" i="1"/>
  <c r="R785" i="1"/>
  <c r="M785" i="1"/>
  <c r="U784" i="1"/>
  <c r="T784" i="1"/>
  <c r="S784" i="1"/>
  <c r="R784" i="1"/>
  <c r="M784" i="1"/>
  <c r="U783" i="1"/>
  <c r="T783" i="1"/>
  <c r="S783" i="1"/>
  <c r="R783" i="1"/>
  <c r="M783" i="1"/>
  <c r="U782" i="1"/>
  <c r="T782" i="1"/>
  <c r="S782" i="1"/>
  <c r="R782" i="1"/>
  <c r="M782" i="1"/>
  <c r="U781" i="1"/>
  <c r="T781" i="1"/>
  <c r="S781" i="1"/>
  <c r="R781" i="1"/>
  <c r="M781" i="1"/>
  <c r="U780" i="1"/>
  <c r="T780" i="1"/>
  <c r="S780" i="1"/>
  <c r="R780" i="1"/>
  <c r="M780" i="1"/>
  <c r="U779" i="1"/>
  <c r="T779" i="1"/>
  <c r="S779" i="1"/>
  <c r="R779" i="1"/>
  <c r="M779" i="1"/>
  <c r="U778" i="1"/>
  <c r="T778" i="1"/>
  <c r="S778" i="1"/>
  <c r="R778" i="1"/>
  <c r="M778" i="1"/>
  <c r="U777" i="1"/>
  <c r="T777" i="1"/>
  <c r="S777" i="1"/>
  <c r="R777" i="1"/>
  <c r="M777" i="1"/>
  <c r="U776" i="1"/>
  <c r="T776" i="1"/>
  <c r="S776" i="1"/>
  <c r="R776" i="1"/>
  <c r="M776" i="1"/>
  <c r="U775" i="1"/>
  <c r="T775" i="1"/>
  <c r="S775" i="1"/>
  <c r="R775" i="1"/>
  <c r="M775" i="1"/>
  <c r="U774" i="1"/>
  <c r="T774" i="1"/>
  <c r="S774" i="1"/>
  <c r="R774" i="1"/>
  <c r="M774" i="1"/>
  <c r="U773" i="1"/>
  <c r="T773" i="1"/>
  <c r="S773" i="1"/>
  <c r="R773" i="1"/>
  <c r="M773" i="1"/>
  <c r="U772" i="1"/>
  <c r="T772" i="1"/>
  <c r="S772" i="1"/>
  <c r="R772" i="1"/>
  <c r="M772" i="1"/>
  <c r="U771" i="1"/>
  <c r="T771" i="1"/>
  <c r="S771" i="1"/>
  <c r="R771" i="1"/>
  <c r="M771" i="1"/>
  <c r="U770" i="1"/>
  <c r="T770" i="1"/>
  <c r="S770" i="1"/>
  <c r="R770" i="1"/>
  <c r="M770" i="1"/>
  <c r="U769" i="1"/>
  <c r="T769" i="1"/>
  <c r="S769" i="1"/>
  <c r="R769" i="1"/>
  <c r="M769" i="1"/>
  <c r="U768" i="1"/>
  <c r="T768" i="1"/>
  <c r="S768" i="1"/>
  <c r="R768" i="1"/>
  <c r="M768" i="1"/>
  <c r="U767" i="1"/>
  <c r="T767" i="1"/>
  <c r="S767" i="1"/>
  <c r="R767" i="1"/>
  <c r="M767" i="1"/>
  <c r="U766" i="1"/>
  <c r="T766" i="1"/>
  <c r="S766" i="1"/>
  <c r="R766" i="1"/>
  <c r="M766" i="1"/>
  <c r="U765" i="1"/>
  <c r="T765" i="1"/>
  <c r="S765" i="1"/>
  <c r="R765" i="1"/>
  <c r="M765" i="1"/>
  <c r="U764" i="1"/>
  <c r="T764" i="1"/>
  <c r="S764" i="1"/>
  <c r="R764" i="1"/>
  <c r="M764" i="1"/>
  <c r="U763" i="1"/>
  <c r="T763" i="1"/>
  <c r="S763" i="1"/>
  <c r="R763" i="1"/>
  <c r="M763" i="1"/>
  <c r="U762" i="1"/>
  <c r="T762" i="1"/>
  <c r="S762" i="1"/>
  <c r="R762" i="1"/>
  <c r="M762" i="1"/>
  <c r="U761" i="1"/>
  <c r="T761" i="1"/>
  <c r="S761" i="1"/>
  <c r="R761" i="1"/>
  <c r="M761" i="1"/>
  <c r="U760" i="1"/>
  <c r="T760" i="1"/>
  <c r="S760" i="1"/>
  <c r="R760" i="1"/>
  <c r="M760" i="1"/>
  <c r="U759" i="1"/>
  <c r="T759" i="1"/>
  <c r="S759" i="1"/>
  <c r="R759" i="1"/>
  <c r="M759" i="1"/>
  <c r="U758" i="1"/>
  <c r="T758" i="1"/>
  <c r="S758" i="1"/>
  <c r="R758" i="1"/>
  <c r="M758" i="1"/>
  <c r="U757" i="1"/>
  <c r="T757" i="1"/>
  <c r="S757" i="1"/>
  <c r="R757" i="1"/>
  <c r="M757" i="1"/>
  <c r="U756" i="1"/>
  <c r="T756" i="1"/>
  <c r="S756" i="1"/>
  <c r="R756" i="1"/>
  <c r="M756" i="1"/>
  <c r="U755" i="1"/>
  <c r="T755" i="1"/>
  <c r="S755" i="1"/>
  <c r="R755" i="1"/>
  <c r="M755" i="1"/>
  <c r="U754" i="1"/>
  <c r="T754" i="1"/>
  <c r="S754" i="1"/>
  <c r="R754" i="1"/>
  <c r="M754" i="1"/>
  <c r="U753" i="1"/>
  <c r="T753" i="1"/>
  <c r="S753" i="1"/>
  <c r="R753" i="1"/>
  <c r="M753" i="1"/>
  <c r="U752" i="1"/>
  <c r="T752" i="1"/>
  <c r="S752" i="1"/>
  <c r="R752" i="1"/>
  <c r="M752" i="1"/>
  <c r="U751" i="1"/>
  <c r="T751" i="1"/>
  <c r="S751" i="1"/>
  <c r="R751" i="1"/>
  <c r="M751" i="1"/>
  <c r="U750" i="1"/>
  <c r="T750" i="1"/>
  <c r="S750" i="1"/>
  <c r="R750" i="1"/>
  <c r="M750" i="1"/>
  <c r="U749" i="1"/>
  <c r="T749" i="1"/>
  <c r="S749" i="1"/>
  <c r="R749" i="1"/>
  <c r="M749" i="1"/>
  <c r="U748" i="1"/>
  <c r="T748" i="1"/>
  <c r="S748" i="1"/>
  <c r="R748" i="1"/>
  <c r="M748" i="1"/>
  <c r="U747" i="1"/>
  <c r="T747" i="1"/>
  <c r="S747" i="1"/>
  <c r="R747" i="1"/>
  <c r="M747" i="1"/>
  <c r="U746" i="1"/>
  <c r="T746" i="1"/>
  <c r="S746" i="1"/>
  <c r="R746" i="1"/>
  <c r="M746" i="1"/>
  <c r="U745" i="1"/>
  <c r="T745" i="1"/>
  <c r="S745" i="1"/>
  <c r="R745" i="1"/>
  <c r="M745" i="1"/>
  <c r="U744" i="1"/>
  <c r="T744" i="1"/>
  <c r="S744" i="1"/>
  <c r="R744" i="1"/>
  <c r="M744" i="1"/>
  <c r="U743" i="1"/>
  <c r="T743" i="1"/>
  <c r="S743" i="1"/>
  <c r="R743" i="1"/>
  <c r="M743" i="1"/>
  <c r="U742" i="1"/>
  <c r="T742" i="1"/>
  <c r="S742" i="1"/>
  <c r="R742" i="1"/>
  <c r="M742" i="1"/>
  <c r="U741" i="1"/>
  <c r="T741" i="1"/>
  <c r="S741" i="1"/>
  <c r="R741" i="1"/>
  <c r="M741" i="1"/>
  <c r="U740" i="1"/>
  <c r="T740" i="1"/>
  <c r="S740" i="1"/>
  <c r="R740" i="1"/>
  <c r="M740" i="1"/>
  <c r="U739" i="1"/>
  <c r="T739" i="1"/>
  <c r="S739" i="1"/>
  <c r="R739" i="1"/>
  <c r="M739" i="1"/>
  <c r="U738" i="1"/>
  <c r="T738" i="1"/>
  <c r="S738" i="1"/>
  <c r="R738" i="1"/>
  <c r="M738" i="1"/>
  <c r="U737" i="1"/>
  <c r="T737" i="1"/>
  <c r="S737" i="1"/>
  <c r="R737" i="1"/>
  <c r="M737" i="1"/>
  <c r="U736" i="1"/>
  <c r="T736" i="1"/>
  <c r="S736" i="1"/>
  <c r="R736" i="1"/>
  <c r="M736" i="1"/>
  <c r="U735" i="1"/>
  <c r="T735" i="1"/>
  <c r="S735" i="1"/>
  <c r="R735" i="1"/>
  <c r="M735" i="1"/>
  <c r="U734" i="1"/>
  <c r="T734" i="1"/>
  <c r="S734" i="1"/>
  <c r="R734" i="1"/>
  <c r="M734" i="1"/>
  <c r="U733" i="1"/>
  <c r="T733" i="1"/>
  <c r="S733" i="1"/>
  <c r="R733" i="1"/>
  <c r="M733" i="1"/>
  <c r="U732" i="1"/>
  <c r="T732" i="1"/>
  <c r="S732" i="1"/>
  <c r="R732" i="1"/>
  <c r="M732" i="1"/>
  <c r="U731" i="1"/>
  <c r="T731" i="1"/>
  <c r="S731" i="1"/>
  <c r="R731" i="1"/>
  <c r="M731" i="1"/>
  <c r="U730" i="1"/>
  <c r="T730" i="1"/>
  <c r="S730" i="1"/>
  <c r="R730" i="1"/>
  <c r="M730" i="1"/>
  <c r="U729" i="1"/>
  <c r="T729" i="1"/>
  <c r="S729" i="1"/>
  <c r="R729" i="1"/>
  <c r="M729" i="1"/>
  <c r="U728" i="1"/>
  <c r="T728" i="1"/>
  <c r="S728" i="1"/>
  <c r="R728" i="1"/>
  <c r="M728" i="1"/>
  <c r="U727" i="1"/>
  <c r="T727" i="1"/>
  <c r="S727" i="1"/>
  <c r="R727" i="1"/>
  <c r="M727" i="1"/>
  <c r="U726" i="1"/>
  <c r="T726" i="1"/>
  <c r="S726" i="1"/>
  <c r="R726" i="1"/>
  <c r="M726" i="1"/>
  <c r="U725" i="1"/>
  <c r="T725" i="1"/>
  <c r="S725" i="1"/>
  <c r="R725" i="1"/>
  <c r="M725" i="1"/>
  <c r="U724" i="1"/>
  <c r="T724" i="1"/>
  <c r="S724" i="1"/>
  <c r="R724" i="1"/>
  <c r="M724" i="1"/>
  <c r="U723" i="1"/>
  <c r="T723" i="1"/>
  <c r="S723" i="1"/>
  <c r="R723" i="1"/>
  <c r="M723" i="1"/>
  <c r="U722" i="1"/>
  <c r="T722" i="1"/>
  <c r="S722" i="1"/>
  <c r="R722" i="1"/>
  <c r="M722" i="1"/>
  <c r="U721" i="1"/>
  <c r="T721" i="1"/>
  <c r="S721" i="1"/>
  <c r="R721" i="1"/>
  <c r="M721" i="1"/>
  <c r="U720" i="1"/>
  <c r="T720" i="1"/>
  <c r="S720" i="1"/>
  <c r="R720" i="1"/>
  <c r="M720" i="1"/>
  <c r="U719" i="1"/>
  <c r="T719" i="1"/>
  <c r="S719" i="1"/>
  <c r="R719" i="1"/>
  <c r="M719" i="1"/>
  <c r="U718" i="1"/>
  <c r="T718" i="1"/>
  <c r="S718" i="1"/>
  <c r="R718" i="1"/>
  <c r="M718" i="1"/>
  <c r="U717" i="1"/>
  <c r="T717" i="1"/>
  <c r="S717" i="1"/>
  <c r="R717" i="1"/>
  <c r="M717" i="1"/>
  <c r="U716" i="1"/>
  <c r="T716" i="1"/>
  <c r="S716" i="1"/>
  <c r="R716" i="1"/>
  <c r="M716" i="1"/>
  <c r="U715" i="1"/>
  <c r="T715" i="1"/>
  <c r="S715" i="1"/>
  <c r="R715" i="1"/>
  <c r="M715" i="1"/>
  <c r="U714" i="1"/>
  <c r="T714" i="1"/>
  <c r="S714" i="1"/>
  <c r="R714" i="1"/>
  <c r="M714" i="1"/>
  <c r="U713" i="1"/>
  <c r="T713" i="1"/>
  <c r="S713" i="1"/>
  <c r="R713" i="1"/>
  <c r="M713" i="1"/>
  <c r="U712" i="1"/>
  <c r="T712" i="1"/>
  <c r="S712" i="1"/>
  <c r="R712" i="1"/>
  <c r="M712" i="1"/>
  <c r="U711" i="1"/>
  <c r="T711" i="1"/>
  <c r="S711" i="1"/>
  <c r="R711" i="1"/>
  <c r="M711" i="1"/>
  <c r="U710" i="1"/>
  <c r="T710" i="1"/>
  <c r="S710" i="1"/>
  <c r="R710" i="1"/>
  <c r="M710" i="1"/>
  <c r="U709" i="1"/>
  <c r="T709" i="1"/>
  <c r="S709" i="1"/>
  <c r="R709" i="1"/>
  <c r="M709" i="1"/>
  <c r="U708" i="1"/>
  <c r="T708" i="1"/>
  <c r="S708" i="1"/>
  <c r="R708" i="1"/>
  <c r="M708" i="1"/>
  <c r="U707" i="1"/>
  <c r="T707" i="1"/>
  <c r="S707" i="1"/>
  <c r="R707" i="1"/>
  <c r="M707" i="1"/>
  <c r="U706" i="1"/>
  <c r="T706" i="1"/>
  <c r="S706" i="1"/>
  <c r="R706" i="1"/>
  <c r="M706" i="1"/>
  <c r="U705" i="1"/>
  <c r="T705" i="1"/>
  <c r="S705" i="1"/>
  <c r="R705" i="1"/>
  <c r="M705" i="1"/>
  <c r="U704" i="1"/>
  <c r="T704" i="1"/>
  <c r="S704" i="1"/>
  <c r="R704" i="1"/>
  <c r="M704" i="1"/>
  <c r="U703" i="1"/>
  <c r="T703" i="1"/>
  <c r="S703" i="1"/>
  <c r="R703" i="1"/>
  <c r="M703" i="1"/>
  <c r="U702" i="1"/>
  <c r="T702" i="1"/>
  <c r="S702" i="1"/>
  <c r="R702" i="1"/>
  <c r="M702" i="1"/>
  <c r="U701" i="1"/>
  <c r="T701" i="1"/>
  <c r="S701" i="1"/>
  <c r="R701" i="1"/>
  <c r="M701" i="1"/>
  <c r="U700" i="1"/>
  <c r="T700" i="1"/>
  <c r="S700" i="1"/>
  <c r="R700" i="1"/>
  <c r="M700" i="1"/>
  <c r="U699" i="1"/>
  <c r="T699" i="1"/>
  <c r="S699" i="1"/>
  <c r="R699" i="1"/>
  <c r="M699" i="1"/>
  <c r="U698" i="1"/>
  <c r="T698" i="1"/>
  <c r="S698" i="1"/>
  <c r="R698" i="1"/>
  <c r="M698" i="1"/>
  <c r="U697" i="1"/>
  <c r="T697" i="1"/>
  <c r="S697" i="1"/>
  <c r="R697" i="1"/>
  <c r="M697" i="1"/>
  <c r="U696" i="1"/>
  <c r="T696" i="1"/>
  <c r="S696" i="1"/>
  <c r="R696" i="1"/>
  <c r="M696" i="1"/>
  <c r="U695" i="1"/>
  <c r="T695" i="1"/>
  <c r="S695" i="1"/>
  <c r="R695" i="1"/>
  <c r="M695" i="1"/>
  <c r="U694" i="1"/>
  <c r="T694" i="1"/>
  <c r="S694" i="1"/>
  <c r="R694" i="1"/>
  <c r="M694" i="1"/>
  <c r="U693" i="1"/>
  <c r="T693" i="1"/>
  <c r="S693" i="1"/>
  <c r="R693" i="1"/>
  <c r="M693" i="1"/>
  <c r="U692" i="1"/>
  <c r="T692" i="1"/>
  <c r="S692" i="1"/>
  <c r="R692" i="1"/>
  <c r="M692" i="1"/>
  <c r="U691" i="1"/>
  <c r="T691" i="1"/>
  <c r="S691" i="1"/>
  <c r="R691" i="1"/>
  <c r="M691" i="1"/>
  <c r="U690" i="1"/>
  <c r="T690" i="1"/>
  <c r="S690" i="1"/>
  <c r="R690" i="1"/>
  <c r="M690" i="1"/>
  <c r="U689" i="1"/>
  <c r="T689" i="1"/>
  <c r="S689" i="1"/>
  <c r="R689" i="1"/>
  <c r="M689" i="1"/>
  <c r="U688" i="1"/>
  <c r="T688" i="1"/>
  <c r="S688" i="1"/>
  <c r="R688" i="1"/>
  <c r="M688" i="1"/>
  <c r="U687" i="1"/>
  <c r="T687" i="1"/>
  <c r="S687" i="1"/>
  <c r="R687" i="1"/>
  <c r="M687" i="1"/>
  <c r="U686" i="1"/>
  <c r="T686" i="1"/>
  <c r="S686" i="1"/>
  <c r="R686" i="1"/>
  <c r="M686" i="1"/>
  <c r="U685" i="1"/>
  <c r="T685" i="1"/>
  <c r="S685" i="1"/>
  <c r="R685" i="1"/>
  <c r="M685" i="1"/>
  <c r="U684" i="1"/>
  <c r="T684" i="1"/>
  <c r="S684" i="1"/>
  <c r="R684" i="1"/>
  <c r="M684" i="1"/>
  <c r="U683" i="1"/>
  <c r="T683" i="1"/>
  <c r="S683" i="1"/>
  <c r="R683" i="1"/>
  <c r="M683" i="1"/>
  <c r="U682" i="1"/>
  <c r="T682" i="1"/>
  <c r="S682" i="1"/>
  <c r="R682" i="1"/>
  <c r="M682" i="1"/>
  <c r="U681" i="1"/>
  <c r="T681" i="1"/>
  <c r="S681" i="1"/>
  <c r="R681" i="1"/>
  <c r="M681" i="1"/>
  <c r="U680" i="1"/>
  <c r="T680" i="1"/>
  <c r="S680" i="1"/>
  <c r="R680" i="1"/>
  <c r="M680" i="1"/>
  <c r="U679" i="1"/>
  <c r="T679" i="1"/>
  <c r="S679" i="1"/>
  <c r="R679" i="1"/>
  <c r="M679" i="1"/>
  <c r="U678" i="1"/>
  <c r="T678" i="1"/>
  <c r="S678" i="1"/>
  <c r="R678" i="1"/>
  <c r="M678" i="1"/>
  <c r="U677" i="1"/>
  <c r="T677" i="1"/>
  <c r="S677" i="1"/>
  <c r="R677" i="1"/>
  <c r="M677" i="1"/>
  <c r="U676" i="1"/>
  <c r="T676" i="1"/>
  <c r="S676" i="1"/>
  <c r="R676" i="1"/>
  <c r="M676" i="1"/>
  <c r="U675" i="1"/>
  <c r="T675" i="1"/>
  <c r="S675" i="1"/>
  <c r="R675" i="1"/>
  <c r="M675" i="1"/>
  <c r="U674" i="1"/>
  <c r="T674" i="1"/>
  <c r="S674" i="1"/>
  <c r="R674" i="1"/>
  <c r="M674" i="1"/>
  <c r="U673" i="1"/>
  <c r="T673" i="1"/>
  <c r="S673" i="1"/>
  <c r="R673" i="1"/>
  <c r="M673" i="1"/>
  <c r="U672" i="1"/>
  <c r="T672" i="1"/>
  <c r="S672" i="1"/>
  <c r="R672" i="1"/>
  <c r="M672" i="1"/>
  <c r="U671" i="1"/>
  <c r="T671" i="1"/>
  <c r="S671" i="1"/>
  <c r="R671" i="1"/>
  <c r="M671" i="1"/>
  <c r="U670" i="1"/>
  <c r="T670" i="1"/>
  <c r="S670" i="1"/>
  <c r="R670" i="1"/>
  <c r="M670" i="1"/>
  <c r="U669" i="1"/>
  <c r="T669" i="1"/>
  <c r="S669" i="1"/>
  <c r="R669" i="1"/>
  <c r="M669" i="1"/>
  <c r="U668" i="1"/>
  <c r="T668" i="1"/>
  <c r="S668" i="1"/>
  <c r="R668" i="1"/>
  <c r="M668" i="1"/>
  <c r="U667" i="1"/>
  <c r="T667" i="1"/>
  <c r="S667" i="1"/>
  <c r="R667" i="1"/>
  <c r="M667" i="1"/>
  <c r="U666" i="1"/>
  <c r="T666" i="1"/>
  <c r="S666" i="1"/>
  <c r="R666" i="1"/>
  <c r="M666" i="1"/>
  <c r="U665" i="1"/>
  <c r="T665" i="1"/>
  <c r="S665" i="1"/>
  <c r="R665" i="1"/>
  <c r="M665" i="1"/>
  <c r="U664" i="1"/>
  <c r="T664" i="1"/>
  <c r="S664" i="1"/>
  <c r="R664" i="1"/>
  <c r="M664" i="1"/>
  <c r="U663" i="1"/>
  <c r="T663" i="1"/>
  <c r="S663" i="1"/>
  <c r="R663" i="1"/>
  <c r="M663" i="1"/>
  <c r="U662" i="1"/>
  <c r="T662" i="1"/>
  <c r="S662" i="1"/>
  <c r="R662" i="1"/>
  <c r="M662" i="1"/>
  <c r="U661" i="1"/>
  <c r="T661" i="1"/>
  <c r="S661" i="1"/>
  <c r="R661" i="1"/>
  <c r="M661" i="1"/>
  <c r="U660" i="1"/>
  <c r="T660" i="1"/>
  <c r="S660" i="1"/>
  <c r="R660" i="1"/>
  <c r="M660" i="1"/>
  <c r="U659" i="1"/>
  <c r="T659" i="1"/>
  <c r="S659" i="1"/>
  <c r="R659" i="1"/>
  <c r="M659" i="1"/>
  <c r="U658" i="1"/>
  <c r="T658" i="1"/>
  <c r="S658" i="1"/>
  <c r="R658" i="1"/>
  <c r="M658" i="1"/>
  <c r="U657" i="1"/>
  <c r="T657" i="1"/>
  <c r="S657" i="1"/>
  <c r="R657" i="1"/>
  <c r="M657" i="1"/>
  <c r="U656" i="1"/>
  <c r="T656" i="1"/>
  <c r="S656" i="1"/>
  <c r="R656" i="1"/>
  <c r="M656" i="1"/>
  <c r="U655" i="1"/>
  <c r="T655" i="1"/>
  <c r="S655" i="1"/>
  <c r="R655" i="1"/>
  <c r="M655" i="1"/>
  <c r="U654" i="1"/>
  <c r="T654" i="1"/>
  <c r="S654" i="1"/>
  <c r="R654" i="1"/>
  <c r="M654" i="1"/>
  <c r="U653" i="1"/>
  <c r="T653" i="1"/>
  <c r="S653" i="1"/>
  <c r="R653" i="1"/>
  <c r="M653" i="1"/>
  <c r="U652" i="1"/>
  <c r="T652" i="1"/>
  <c r="S652" i="1"/>
  <c r="R652" i="1"/>
  <c r="M652" i="1"/>
  <c r="U651" i="1"/>
  <c r="T651" i="1"/>
  <c r="S651" i="1"/>
  <c r="R651" i="1"/>
  <c r="M651" i="1"/>
  <c r="U650" i="1"/>
  <c r="T650" i="1"/>
  <c r="S650" i="1"/>
  <c r="R650" i="1"/>
  <c r="M650" i="1"/>
  <c r="U649" i="1"/>
  <c r="T649" i="1"/>
  <c r="S649" i="1"/>
  <c r="R649" i="1"/>
  <c r="M649" i="1"/>
  <c r="U648" i="1"/>
  <c r="T648" i="1"/>
  <c r="S648" i="1"/>
  <c r="R648" i="1"/>
  <c r="M648" i="1"/>
  <c r="U647" i="1"/>
  <c r="T647" i="1"/>
  <c r="S647" i="1"/>
  <c r="R647" i="1"/>
  <c r="M647" i="1"/>
  <c r="U646" i="1"/>
  <c r="T646" i="1"/>
  <c r="S646" i="1"/>
  <c r="R646" i="1"/>
  <c r="M646" i="1"/>
  <c r="U645" i="1"/>
  <c r="T645" i="1"/>
  <c r="S645" i="1"/>
  <c r="R645" i="1"/>
  <c r="M645" i="1"/>
  <c r="U644" i="1"/>
  <c r="T644" i="1"/>
  <c r="S644" i="1"/>
  <c r="R644" i="1"/>
  <c r="M644" i="1"/>
  <c r="U643" i="1"/>
  <c r="T643" i="1"/>
  <c r="S643" i="1"/>
  <c r="R643" i="1"/>
  <c r="M643" i="1"/>
  <c r="U642" i="1"/>
  <c r="T642" i="1"/>
  <c r="S642" i="1"/>
  <c r="R642" i="1"/>
  <c r="M642" i="1"/>
  <c r="U641" i="1"/>
  <c r="T641" i="1"/>
  <c r="S641" i="1"/>
  <c r="R641" i="1"/>
  <c r="M641" i="1"/>
  <c r="U640" i="1"/>
  <c r="T640" i="1"/>
  <c r="S640" i="1"/>
  <c r="R640" i="1"/>
  <c r="M640" i="1"/>
  <c r="U639" i="1"/>
  <c r="T639" i="1"/>
  <c r="S639" i="1"/>
  <c r="R639" i="1"/>
  <c r="M639" i="1"/>
  <c r="U638" i="1"/>
  <c r="T638" i="1"/>
  <c r="S638" i="1"/>
  <c r="R638" i="1"/>
  <c r="M638" i="1"/>
  <c r="U637" i="1"/>
  <c r="T637" i="1"/>
  <c r="S637" i="1"/>
  <c r="R637" i="1"/>
  <c r="M637" i="1"/>
  <c r="U636" i="1"/>
  <c r="T636" i="1"/>
  <c r="S636" i="1"/>
  <c r="R636" i="1"/>
  <c r="M636" i="1"/>
  <c r="U635" i="1"/>
  <c r="T635" i="1"/>
  <c r="S635" i="1"/>
  <c r="R635" i="1"/>
  <c r="M635" i="1"/>
  <c r="U634" i="1"/>
  <c r="T634" i="1"/>
  <c r="S634" i="1"/>
  <c r="R634" i="1"/>
  <c r="M634" i="1"/>
  <c r="U633" i="1"/>
  <c r="T633" i="1"/>
  <c r="S633" i="1"/>
  <c r="R633" i="1"/>
  <c r="M633" i="1"/>
  <c r="U632" i="1"/>
  <c r="T632" i="1"/>
  <c r="S632" i="1"/>
  <c r="R632" i="1"/>
  <c r="M632" i="1"/>
  <c r="U631" i="1"/>
  <c r="T631" i="1"/>
  <c r="S631" i="1"/>
  <c r="R631" i="1"/>
  <c r="M631" i="1"/>
  <c r="U630" i="1"/>
  <c r="T630" i="1"/>
  <c r="S630" i="1"/>
  <c r="R630" i="1"/>
  <c r="M630" i="1"/>
  <c r="U629" i="1"/>
  <c r="T629" i="1"/>
  <c r="S629" i="1"/>
  <c r="R629" i="1"/>
  <c r="M629" i="1"/>
  <c r="U628" i="1"/>
  <c r="T628" i="1"/>
  <c r="S628" i="1"/>
  <c r="R628" i="1"/>
  <c r="M628" i="1"/>
  <c r="U627" i="1"/>
  <c r="T627" i="1"/>
  <c r="S627" i="1"/>
  <c r="R627" i="1"/>
  <c r="M627" i="1"/>
  <c r="U626" i="1"/>
  <c r="T626" i="1"/>
  <c r="S626" i="1"/>
  <c r="R626" i="1"/>
  <c r="M626" i="1"/>
  <c r="U625" i="1"/>
  <c r="T625" i="1"/>
  <c r="S625" i="1"/>
  <c r="R625" i="1"/>
  <c r="M625" i="1"/>
  <c r="U624" i="1"/>
  <c r="T624" i="1"/>
  <c r="S624" i="1"/>
  <c r="R624" i="1"/>
  <c r="M624" i="1"/>
  <c r="U623" i="1"/>
  <c r="T623" i="1"/>
  <c r="S623" i="1"/>
  <c r="R623" i="1"/>
  <c r="M623" i="1"/>
  <c r="U622" i="1"/>
  <c r="T622" i="1"/>
  <c r="S622" i="1"/>
  <c r="R622" i="1"/>
  <c r="M622" i="1"/>
  <c r="U621" i="1"/>
  <c r="T621" i="1"/>
  <c r="S621" i="1"/>
  <c r="R621" i="1"/>
  <c r="M621" i="1"/>
  <c r="U620" i="1"/>
  <c r="T620" i="1"/>
  <c r="S620" i="1"/>
  <c r="R620" i="1"/>
  <c r="M620" i="1"/>
  <c r="U619" i="1"/>
  <c r="T619" i="1"/>
  <c r="S619" i="1"/>
  <c r="R619" i="1"/>
  <c r="M619" i="1"/>
  <c r="U618" i="1"/>
  <c r="T618" i="1"/>
  <c r="S618" i="1"/>
  <c r="R618" i="1"/>
  <c r="M618" i="1"/>
  <c r="U617" i="1"/>
  <c r="T617" i="1"/>
  <c r="S617" i="1"/>
  <c r="R617" i="1"/>
  <c r="M617" i="1"/>
  <c r="U616" i="1"/>
  <c r="T616" i="1"/>
  <c r="S616" i="1"/>
  <c r="R616" i="1"/>
  <c r="M616" i="1"/>
  <c r="U615" i="1"/>
  <c r="T615" i="1"/>
  <c r="S615" i="1"/>
  <c r="R615" i="1"/>
  <c r="M615" i="1"/>
  <c r="U614" i="1"/>
  <c r="T614" i="1"/>
  <c r="S614" i="1"/>
  <c r="R614" i="1"/>
  <c r="M614" i="1"/>
  <c r="U613" i="1"/>
  <c r="T613" i="1"/>
  <c r="S613" i="1"/>
  <c r="R613" i="1"/>
  <c r="M613" i="1"/>
  <c r="U612" i="1"/>
  <c r="T612" i="1"/>
  <c r="S612" i="1"/>
  <c r="R612" i="1"/>
  <c r="M612" i="1"/>
  <c r="U611" i="1"/>
  <c r="T611" i="1"/>
  <c r="S611" i="1"/>
  <c r="R611" i="1"/>
  <c r="M611" i="1"/>
  <c r="U610" i="1"/>
  <c r="T610" i="1"/>
  <c r="S610" i="1"/>
  <c r="R610" i="1"/>
  <c r="M610" i="1"/>
  <c r="U609" i="1"/>
  <c r="T609" i="1"/>
  <c r="S609" i="1"/>
  <c r="R609" i="1"/>
  <c r="M609" i="1"/>
  <c r="U608" i="1"/>
  <c r="T608" i="1"/>
  <c r="S608" i="1"/>
  <c r="R608" i="1"/>
  <c r="M608" i="1"/>
  <c r="U607" i="1"/>
  <c r="T607" i="1"/>
  <c r="S607" i="1"/>
  <c r="R607" i="1"/>
  <c r="M607" i="1"/>
  <c r="U606" i="1"/>
  <c r="T606" i="1"/>
  <c r="S606" i="1"/>
  <c r="R606" i="1"/>
  <c r="M606" i="1"/>
  <c r="U605" i="1"/>
  <c r="T605" i="1"/>
  <c r="S605" i="1"/>
  <c r="R605" i="1"/>
  <c r="M605" i="1"/>
  <c r="U604" i="1"/>
  <c r="T604" i="1"/>
  <c r="S604" i="1"/>
  <c r="R604" i="1"/>
  <c r="M604" i="1"/>
  <c r="U603" i="1"/>
  <c r="T603" i="1"/>
  <c r="S603" i="1"/>
  <c r="R603" i="1"/>
  <c r="M603" i="1"/>
  <c r="U602" i="1"/>
  <c r="T602" i="1"/>
  <c r="S602" i="1"/>
  <c r="R602" i="1"/>
  <c r="M602" i="1"/>
  <c r="U601" i="1"/>
  <c r="T601" i="1"/>
  <c r="S601" i="1"/>
  <c r="R601" i="1"/>
  <c r="M601" i="1"/>
  <c r="U600" i="1"/>
  <c r="T600" i="1"/>
  <c r="S600" i="1"/>
  <c r="R600" i="1"/>
  <c r="M600" i="1"/>
  <c r="U599" i="1"/>
  <c r="T599" i="1"/>
  <c r="S599" i="1"/>
  <c r="R599" i="1"/>
  <c r="M599" i="1"/>
  <c r="U598" i="1"/>
  <c r="T598" i="1"/>
  <c r="S598" i="1"/>
  <c r="R598" i="1"/>
  <c r="M598" i="1"/>
  <c r="U597" i="1"/>
  <c r="T597" i="1"/>
  <c r="S597" i="1"/>
  <c r="R597" i="1"/>
  <c r="M597" i="1"/>
  <c r="U596" i="1"/>
  <c r="T596" i="1"/>
  <c r="S596" i="1"/>
  <c r="R596" i="1"/>
  <c r="M596" i="1"/>
  <c r="U595" i="1"/>
  <c r="T595" i="1"/>
  <c r="S595" i="1"/>
  <c r="R595" i="1"/>
  <c r="M595" i="1"/>
  <c r="U594" i="1"/>
  <c r="T594" i="1"/>
  <c r="S594" i="1"/>
  <c r="R594" i="1"/>
  <c r="M594" i="1"/>
  <c r="U593" i="1"/>
  <c r="T593" i="1"/>
  <c r="S593" i="1"/>
  <c r="R593" i="1"/>
  <c r="M593" i="1"/>
  <c r="U592" i="1"/>
  <c r="T592" i="1"/>
  <c r="S592" i="1"/>
  <c r="R592" i="1"/>
  <c r="M592" i="1"/>
  <c r="U591" i="1"/>
  <c r="T591" i="1"/>
  <c r="S591" i="1"/>
  <c r="R591" i="1"/>
  <c r="M591" i="1"/>
  <c r="U590" i="1"/>
  <c r="T590" i="1"/>
  <c r="S590" i="1"/>
  <c r="R590" i="1"/>
  <c r="M590" i="1"/>
  <c r="U589" i="1"/>
  <c r="T589" i="1"/>
  <c r="S589" i="1"/>
  <c r="R589" i="1"/>
  <c r="M589" i="1"/>
  <c r="U588" i="1"/>
  <c r="T588" i="1"/>
  <c r="S588" i="1"/>
  <c r="R588" i="1"/>
  <c r="M588" i="1"/>
  <c r="U587" i="1"/>
  <c r="T587" i="1"/>
  <c r="S587" i="1"/>
  <c r="R587" i="1"/>
  <c r="M587" i="1"/>
  <c r="U586" i="1"/>
  <c r="T586" i="1"/>
  <c r="S586" i="1"/>
  <c r="R586" i="1"/>
  <c r="M586" i="1"/>
  <c r="U585" i="1"/>
  <c r="T585" i="1"/>
  <c r="S585" i="1"/>
  <c r="R585" i="1"/>
  <c r="M585" i="1"/>
  <c r="U584" i="1"/>
  <c r="T584" i="1"/>
  <c r="S584" i="1"/>
  <c r="R584" i="1"/>
  <c r="M584" i="1"/>
  <c r="U583" i="1"/>
  <c r="T583" i="1"/>
  <c r="S583" i="1"/>
  <c r="R583" i="1"/>
  <c r="M583" i="1"/>
  <c r="U582" i="1"/>
  <c r="T582" i="1"/>
  <c r="S582" i="1"/>
  <c r="R582" i="1"/>
  <c r="M582" i="1"/>
  <c r="U581" i="1"/>
  <c r="T581" i="1"/>
  <c r="S581" i="1"/>
  <c r="R581" i="1"/>
  <c r="M581" i="1"/>
  <c r="U580" i="1"/>
  <c r="T580" i="1"/>
  <c r="S580" i="1"/>
  <c r="R580" i="1"/>
  <c r="M580" i="1"/>
  <c r="U579" i="1"/>
  <c r="T579" i="1"/>
  <c r="S579" i="1"/>
  <c r="R579" i="1"/>
  <c r="M579" i="1"/>
  <c r="U578" i="1"/>
  <c r="T578" i="1"/>
  <c r="S578" i="1"/>
  <c r="R578" i="1"/>
  <c r="M578" i="1"/>
  <c r="U577" i="1"/>
  <c r="T577" i="1"/>
  <c r="S577" i="1"/>
  <c r="R577" i="1"/>
  <c r="M577" i="1"/>
  <c r="U576" i="1"/>
  <c r="T576" i="1"/>
  <c r="S576" i="1"/>
  <c r="R576" i="1"/>
  <c r="M576" i="1"/>
  <c r="U575" i="1"/>
  <c r="T575" i="1"/>
  <c r="S575" i="1"/>
  <c r="R575" i="1"/>
  <c r="M575" i="1"/>
  <c r="U574" i="1"/>
  <c r="T574" i="1"/>
  <c r="S574" i="1"/>
  <c r="R574" i="1"/>
  <c r="M574" i="1"/>
  <c r="U573" i="1"/>
  <c r="T573" i="1"/>
  <c r="S573" i="1"/>
  <c r="R573" i="1"/>
  <c r="M573" i="1"/>
  <c r="U572" i="1"/>
  <c r="T572" i="1"/>
  <c r="S572" i="1"/>
  <c r="R572" i="1"/>
  <c r="M572" i="1"/>
  <c r="U571" i="1"/>
  <c r="T571" i="1"/>
  <c r="S571" i="1"/>
  <c r="R571" i="1"/>
  <c r="M571" i="1"/>
  <c r="U570" i="1"/>
  <c r="T570" i="1"/>
  <c r="S570" i="1"/>
  <c r="R570" i="1"/>
  <c r="M570" i="1"/>
  <c r="U569" i="1"/>
  <c r="T569" i="1"/>
  <c r="S569" i="1"/>
  <c r="R569" i="1"/>
  <c r="M569" i="1"/>
  <c r="U568" i="1"/>
  <c r="T568" i="1"/>
  <c r="S568" i="1"/>
  <c r="R568" i="1"/>
  <c r="M568" i="1"/>
  <c r="U567" i="1"/>
  <c r="T567" i="1"/>
  <c r="S567" i="1"/>
  <c r="R567" i="1"/>
  <c r="M567" i="1"/>
  <c r="U566" i="1"/>
  <c r="T566" i="1"/>
  <c r="S566" i="1"/>
  <c r="R566" i="1"/>
  <c r="M566" i="1"/>
  <c r="U565" i="1"/>
  <c r="T565" i="1"/>
  <c r="S565" i="1"/>
  <c r="R565" i="1"/>
  <c r="M565" i="1"/>
  <c r="U564" i="1"/>
  <c r="T564" i="1"/>
  <c r="S564" i="1"/>
  <c r="R564" i="1"/>
  <c r="M564" i="1"/>
  <c r="U563" i="1"/>
  <c r="T563" i="1"/>
  <c r="S563" i="1"/>
  <c r="R563" i="1"/>
  <c r="M563" i="1"/>
  <c r="U562" i="1"/>
  <c r="T562" i="1"/>
  <c r="S562" i="1"/>
  <c r="R562" i="1"/>
  <c r="M562" i="1"/>
  <c r="U561" i="1"/>
  <c r="T561" i="1"/>
  <c r="S561" i="1"/>
  <c r="R561" i="1"/>
  <c r="M561" i="1"/>
  <c r="U560" i="1"/>
  <c r="T560" i="1"/>
  <c r="S560" i="1"/>
  <c r="R560" i="1"/>
  <c r="M560" i="1"/>
  <c r="U559" i="1"/>
  <c r="T559" i="1"/>
  <c r="S559" i="1"/>
  <c r="R559" i="1"/>
  <c r="M559" i="1"/>
  <c r="U558" i="1"/>
  <c r="T558" i="1"/>
  <c r="S558" i="1"/>
  <c r="R558" i="1"/>
  <c r="M558" i="1"/>
  <c r="U557" i="1"/>
  <c r="T557" i="1"/>
  <c r="S557" i="1"/>
  <c r="R557" i="1"/>
  <c r="M557" i="1"/>
  <c r="U556" i="1"/>
  <c r="T556" i="1"/>
  <c r="S556" i="1"/>
  <c r="R556" i="1"/>
  <c r="M556" i="1"/>
  <c r="U555" i="1"/>
  <c r="T555" i="1"/>
  <c r="S555" i="1"/>
  <c r="R555" i="1"/>
  <c r="M555" i="1"/>
  <c r="U554" i="1"/>
  <c r="T554" i="1"/>
  <c r="S554" i="1"/>
  <c r="R554" i="1"/>
  <c r="M554" i="1"/>
  <c r="U553" i="1"/>
  <c r="T553" i="1"/>
  <c r="S553" i="1"/>
  <c r="R553" i="1"/>
  <c r="M553" i="1"/>
  <c r="U552" i="1"/>
  <c r="T552" i="1"/>
  <c r="S552" i="1"/>
  <c r="R552" i="1"/>
  <c r="M552" i="1"/>
  <c r="U551" i="1"/>
  <c r="T551" i="1"/>
  <c r="S551" i="1"/>
  <c r="R551" i="1"/>
  <c r="M551" i="1"/>
  <c r="U550" i="1"/>
  <c r="T550" i="1"/>
  <c r="S550" i="1"/>
  <c r="R550" i="1"/>
  <c r="M550" i="1"/>
  <c r="U549" i="1"/>
  <c r="T549" i="1"/>
  <c r="S549" i="1"/>
  <c r="R549" i="1"/>
  <c r="M549" i="1"/>
  <c r="U548" i="1"/>
  <c r="T548" i="1"/>
  <c r="S548" i="1"/>
  <c r="R548" i="1"/>
  <c r="M548" i="1"/>
  <c r="U547" i="1"/>
  <c r="T547" i="1"/>
  <c r="S547" i="1"/>
  <c r="R547" i="1"/>
  <c r="M547" i="1"/>
  <c r="U546" i="1"/>
  <c r="T546" i="1"/>
  <c r="S546" i="1"/>
  <c r="R546" i="1"/>
  <c r="M546" i="1"/>
  <c r="U545" i="1"/>
  <c r="T545" i="1"/>
  <c r="S545" i="1"/>
  <c r="R545" i="1"/>
  <c r="M545" i="1"/>
  <c r="U544" i="1"/>
  <c r="T544" i="1"/>
  <c r="S544" i="1"/>
  <c r="R544" i="1"/>
  <c r="M544" i="1"/>
  <c r="U543" i="1"/>
  <c r="T543" i="1"/>
  <c r="S543" i="1"/>
  <c r="R543" i="1"/>
  <c r="M543" i="1"/>
  <c r="U542" i="1"/>
  <c r="T542" i="1"/>
  <c r="S542" i="1"/>
  <c r="R542" i="1"/>
  <c r="M542" i="1"/>
  <c r="U541" i="1"/>
  <c r="T541" i="1"/>
  <c r="S541" i="1"/>
  <c r="R541" i="1"/>
  <c r="M541" i="1"/>
  <c r="U540" i="1"/>
  <c r="T540" i="1"/>
  <c r="S540" i="1"/>
  <c r="R540" i="1"/>
  <c r="M540" i="1"/>
  <c r="U539" i="1"/>
  <c r="T539" i="1"/>
  <c r="S539" i="1"/>
  <c r="R539" i="1"/>
  <c r="M539" i="1"/>
  <c r="U538" i="1"/>
  <c r="T538" i="1"/>
  <c r="S538" i="1"/>
  <c r="R538" i="1"/>
  <c r="M538" i="1"/>
  <c r="U537" i="1"/>
  <c r="T537" i="1"/>
  <c r="S537" i="1"/>
  <c r="R537" i="1"/>
  <c r="M537" i="1"/>
  <c r="U536" i="1"/>
  <c r="T536" i="1"/>
  <c r="S536" i="1"/>
  <c r="R536" i="1"/>
  <c r="M536" i="1"/>
  <c r="U535" i="1"/>
  <c r="T535" i="1"/>
  <c r="S535" i="1"/>
  <c r="R535" i="1"/>
  <c r="M535" i="1"/>
  <c r="U534" i="1"/>
  <c r="T534" i="1"/>
  <c r="S534" i="1"/>
  <c r="R534" i="1"/>
  <c r="M534" i="1"/>
  <c r="U533" i="1"/>
  <c r="T533" i="1"/>
  <c r="S533" i="1"/>
  <c r="R533" i="1"/>
  <c r="M533" i="1"/>
  <c r="U532" i="1"/>
  <c r="T532" i="1"/>
  <c r="S532" i="1"/>
  <c r="R532" i="1"/>
  <c r="M532" i="1"/>
  <c r="U531" i="1"/>
  <c r="T531" i="1"/>
  <c r="S531" i="1"/>
  <c r="R531" i="1"/>
  <c r="M531" i="1"/>
  <c r="U530" i="1"/>
  <c r="T530" i="1"/>
  <c r="S530" i="1"/>
  <c r="R530" i="1"/>
  <c r="M530" i="1"/>
  <c r="U529" i="1"/>
  <c r="T529" i="1"/>
  <c r="S529" i="1"/>
  <c r="R529" i="1"/>
  <c r="M529" i="1"/>
  <c r="U528" i="1"/>
  <c r="T528" i="1"/>
  <c r="S528" i="1"/>
  <c r="R528" i="1"/>
  <c r="M528" i="1"/>
  <c r="U527" i="1"/>
  <c r="T527" i="1"/>
  <c r="S527" i="1"/>
  <c r="R527" i="1"/>
  <c r="M527" i="1"/>
  <c r="U526" i="1"/>
  <c r="T526" i="1"/>
  <c r="S526" i="1"/>
  <c r="R526" i="1"/>
  <c r="M526" i="1"/>
  <c r="U525" i="1"/>
  <c r="T525" i="1"/>
  <c r="S525" i="1"/>
  <c r="R525" i="1"/>
  <c r="M525" i="1"/>
  <c r="U524" i="1"/>
  <c r="T524" i="1"/>
  <c r="S524" i="1"/>
  <c r="R524" i="1"/>
  <c r="M524" i="1"/>
  <c r="U523" i="1"/>
  <c r="T523" i="1"/>
  <c r="S523" i="1"/>
  <c r="R523" i="1"/>
  <c r="M523" i="1"/>
  <c r="U522" i="1"/>
  <c r="T522" i="1"/>
  <c r="S522" i="1"/>
  <c r="R522" i="1"/>
  <c r="M522" i="1"/>
  <c r="U521" i="1"/>
  <c r="T521" i="1"/>
  <c r="S521" i="1"/>
  <c r="R521" i="1"/>
  <c r="M521" i="1"/>
  <c r="U520" i="1"/>
  <c r="T520" i="1"/>
  <c r="S520" i="1"/>
  <c r="R520" i="1"/>
  <c r="M520" i="1"/>
  <c r="U519" i="1"/>
  <c r="T519" i="1"/>
  <c r="S519" i="1"/>
  <c r="R519" i="1"/>
  <c r="M519" i="1"/>
  <c r="U518" i="1"/>
  <c r="T518" i="1"/>
  <c r="S518" i="1"/>
  <c r="R518" i="1"/>
  <c r="M518" i="1"/>
  <c r="U517" i="1"/>
  <c r="T517" i="1"/>
  <c r="S517" i="1"/>
  <c r="R517" i="1"/>
  <c r="M517" i="1"/>
  <c r="U516" i="1"/>
  <c r="T516" i="1"/>
  <c r="S516" i="1"/>
  <c r="R516" i="1"/>
  <c r="M516" i="1"/>
  <c r="U515" i="1"/>
  <c r="T515" i="1"/>
  <c r="S515" i="1"/>
  <c r="R515" i="1"/>
  <c r="M515" i="1"/>
  <c r="U514" i="1"/>
  <c r="T514" i="1"/>
  <c r="S514" i="1"/>
  <c r="R514" i="1"/>
  <c r="M514" i="1"/>
  <c r="U513" i="1"/>
  <c r="T513" i="1"/>
  <c r="S513" i="1"/>
  <c r="R513" i="1"/>
  <c r="M513" i="1"/>
  <c r="U512" i="1"/>
  <c r="T512" i="1"/>
  <c r="S512" i="1"/>
  <c r="R512" i="1"/>
  <c r="M512" i="1"/>
  <c r="U511" i="1"/>
  <c r="T511" i="1"/>
  <c r="S511" i="1"/>
  <c r="R511" i="1"/>
  <c r="M511" i="1"/>
  <c r="U510" i="1"/>
  <c r="T510" i="1"/>
  <c r="S510" i="1"/>
  <c r="R510" i="1"/>
  <c r="M510" i="1"/>
  <c r="U509" i="1"/>
  <c r="T509" i="1"/>
  <c r="S509" i="1"/>
  <c r="R509" i="1"/>
  <c r="M509" i="1"/>
  <c r="U508" i="1"/>
  <c r="T508" i="1"/>
  <c r="S508" i="1"/>
  <c r="R508" i="1"/>
  <c r="M508" i="1"/>
  <c r="U507" i="1"/>
  <c r="T507" i="1"/>
  <c r="S507" i="1"/>
  <c r="R507" i="1"/>
  <c r="M507" i="1"/>
  <c r="U506" i="1"/>
  <c r="T506" i="1"/>
  <c r="S506" i="1"/>
  <c r="R506" i="1"/>
  <c r="M506" i="1"/>
  <c r="U505" i="1"/>
  <c r="T505" i="1"/>
  <c r="S505" i="1"/>
  <c r="R505" i="1"/>
  <c r="M505" i="1"/>
  <c r="U504" i="1"/>
  <c r="T504" i="1"/>
  <c r="S504" i="1"/>
  <c r="R504" i="1"/>
  <c r="M504" i="1"/>
  <c r="U503" i="1"/>
  <c r="T503" i="1"/>
  <c r="S503" i="1"/>
  <c r="R503" i="1"/>
  <c r="M503" i="1"/>
  <c r="U502" i="1"/>
  <c r="T502" i="1"/>
  <c r="S502" i="1"/>
  <c r="R502" i="1"/>
  <c r="M502" i="1"/>
  <c r="U501" i="1"/>
  <c r="T501" i="1"/>
  <c r="S501" i="1"/>
  <c r="R501" i="1"/>
  <c r="M501" i="1"/>
  <c r="U500" i="1"/>
  <c r="T500" i="1"/>
  <c r="S500" i="1"/>
  <c r="R500" i="1"/>
  <c r="M500" i="1"/>
  <c r="U499" i="1"/>
  <c r="T499" i="1"/>
  <c r="S499" i="1"/>
  <c r="R499" i="1"/>
  <c r="M499" i="1"/>
  <c r="U498" i="1"/>
  <c r="T498" i="1"/>
  <c r="S498" i="1"/>
  <c r="R498" i="1"/>
  <c r="M498" i="1"/>
  <c r="U497" i="1"/>
  <c r="T497" i="1"/>
  <c r="S497" i="1"/>
  <c r="R497" i="1"/>
  <c r="M497" i="1"/>
  <c r="U496" i="1"/>
  <c r="T496" i="1"/>
  <c r="S496" i="1"/>
  <c r="R496" i="1"/>
  <c r="M496" i="1"/>
  <c r="U495" i="1"/>
  <c r="T495" i="1"/>
  <c r="S495" i="1"/>
  <c r="R495" i="1"/>
  <c r="M495" i="1"/>
  <c r="U494" i="1"/>
  <c r="T494" i="1"/>
  <c r="S494" i="1"/>
  <c r="R494" i="1"/>
  <c r="M494" i="1"/>
  <c r="U493" i="1"/>
  <c r="T493" i="1"/>
  <c r="S493" i="1"/>
  <c r="R493" i="1"/>
  <c r="M493" i="1"/>
  <c r="U492" i="1"/>
  <c r="T492" i="1"/>
  <c r="S492" i="1"/>
  <c r="R492" i="1"/>
  <c r="M492" i="1"/>
  <c r="U491" i="1"/>
  <c r="T491" i="1"/>
  <c r="S491" i="1"/>
  <c r="R491" i="1"/>
  <c r="M491" i="1"/>
  <c r="U490" i="1"/>
  <c r="T490" i="1"/>
  <c r="S490" i="1"/>
  <c r="R490" i="1"/>
  <c r="M490" i="1"/>
  <c r="U489" i="1"/>
  <c r="T489" i="1"/>
  <c r="S489" i="1"/>
  <c r="R489" i="1"/>
  <c r="M489" i="1"/>
  <c r="U488" i="1"/>
  <c r="T488" i="1"/>
  <c r="S488" i="1"/>
  <c r="R488" i="1"/>
  <c r="M488" i="1"/>
  <c r="U487" i="1"/>
  <c r="T487" i="1"/>
  <c r="S487" i="1"/>
  <c r="R487" i="1"/>
  <c r="M487" i="1"/>
  <c r="U486" i="1"/>
  <c r="T486" i="1"/>
  <c r="S486" i="1"/>
  <c r="R486" i="1"/>
  <c r="M486" i="1"/>
  <c r="U485" i="1"/>
  <c r="T485" i="1"/>
  <c r="S485" i="1"/>
  <c r="R485" i="1"/>
  <c r="M485" i="1"/>
  <c r="U484" i="1"/>
  <c r="T484" i="1"/>
  <c r="S484" i="1"/>
  <c r="R484" i="1"/>
  <c r="M484" i="1"/>
  <c r="U483" i="1"/>
  <c r="T483" i="1"/>
  <c r="S483" i="1"/>
  <c r="R483" i="1"/>
  <c r="M483" i="1"/>
  <c r="U482" i="1"/>
  <c r="T482" i="1"/>
  <c r="S482" i="1"/>
  <c r="R482" i="1"/>
  <c r="M482" i="1"/>
  <c r="U481" i="1"/>
  <c r="T481" i="1"/>
  <c r="S481" i="1"/>
  <c r="R481" i="1"/>
  <c r="M481" i="1"/>
  <c r="U480" i="1"/>
  <c r="T480" i="1"/>
  <c r="S480" i="1"/>
  <c r="R480" i="1"/>
  <c r="M480" i="1"/>
  <c r="U479" i="1"/>
  <c r="T479" i="1"/>
  <c r="S479" i="1"/>
  <c r="R479" i="1"/>
  <c r="M479" i="1"/>
  <c r="U478" i="1"/>
  <c r="T478" i="1"/>
  <c r="S478" i="1"/>
  <c r="R478" i="1"/>
  <c r="M478" i="1"/>
  <c r="U477" i="1"/>
  <c r="T477" i="1"/>
  <c r="S477" i="1"/>
  <c r="R477" i="1"/>
  <c r="M477" i="1"/>
  <c r="U476" i="1"/>
  <c r="T476" i="1"/>
  <c r="S476" i="1"/>
  <c r="R476" i="1"/>
  <c r="M476" i="1"/>
  <c r="U475" i="1"/>
  <c r="T475" i="1"/>
  <c r="S475" i="1"/>
  <c r="R475" i="1"/>
  <c r="M475" i="1"/>
  <c r="U474" i="1"/>
  <c r="T474" i="1"/>
  <c r="S474" i="1"/>
  <c r="R474" i="1"/>
  <c r="M474" i="1"/>
  <c r="U473" i="1"/>
  <c r="T473" i="1"/>
  <c r="S473" i="1"/>
  <c r="R473" i="1"/>
  <c r="M473" i="1"/>
  <c r="U472" i="1"/>
  <c r="T472" i="1"/>
  <c r="S472" i="1"/>
  <c r="R472" i="1"/>
  <c r="M472" i="1"/>
  <c r="U471" i="1"/>
  <c r="T471" i="1"/>
  <c r="S471" i="1"/>
  <c r="R471" i="1"/>
  <c r="M471" i="1"/>
  <c r="U470" i="1"/>
  <c r="T470" i="1"/>
  <c r="S470" i="1"/>
  <c r="R470" i="1"/>
  <c r="M470" i="1"/>
  <c r="U469" i="1"/>
  <c r="T469" i="1"/>
  <c r="S469" i="1"/>
  <c r="R469" i="1"/>
  <c r="M469" i="1"/>
  <c r="U468" i="1"/>
  <c r="T468" i="1"/>
  <c r="S468" i="1"/>
  <c r="R468" i="1"/>
  <c r="M468" i="1"/>
  <c r="U467" i="1"/>
  <c r="T467" i="1"/>
  <c r="S467" i="1"/>
  <c r="R467" i="1"/>
  <c r="M467" i="1"/>
  <c r="U466" i="1"/>
  <c r="T466" i="1"/>
  <c r="S466" i="1"/>
  <c r="R466" i="1"/>
  <c r="M466" i="1"/>
  <c r="U465" i="1"/>
  <c r="T465" i="1"/>
  <c r="S465" i="1"/>
  <c r="R465" i="1"/>
  <c r="M465" i="1"/>
  <c r="U464" i="1"/>
  <c r="T464" i="1"/>
  <c r="S464" i="1"/>
  <c r="R464" i="1"/>
  <c r="M464" i="1"/>
  <c r="U463" i="1"/>
  <c r="T463" i="1"/>
  <c r="S463" i="1"/>
  <c r="R463" i="1"/>
  <c r="M463" i="1"/>
  <c r="U462" i="1"/>
  <c r="T462" i="1"/>
  <c r="S462" i="1"/>
  <c r="R462" i="1"/>
  <c r="M462" i="1"/>
  <c r="U461" i="1"/>
  <c r="T461" i="1"/>
  <c r="S461" i="1"/>
  <c r="R461" i="1"/>
  <c r="M461" i="1"/>
  <c r="U460" i="1"/>
  <c r="T460" i="1"/>
  <c r="S460" i="1"/>
  <c r="R460" i="1"/>
  <c r="M460" i="1"/>
  <c r="U459" i="1"/>
  <c r="T459" i="1"/>
  <c r="S459" i="1"/>
  <c r="R459" i="1"/>
  <c r="M459" i="1"/>
  <c r="U458" i="1"/>
  <c r="T458" i="1"/>
  <c r="S458" i="1"/>
  <c r="R458" i="1"/>
  <c r="M458" i="1"/>
  <c r="U457" i="1"/>
  <c r="T457" i="1"/>
  <c r="S457" i="1"/>
  <c r="R457" i="1"/>
  <c r="M457" i="1"/>
  <c r="U456" i="1"/>
  <c r="T456" i="1"/>
  <c r="S456" i="1"/>
  <c r="R456" i="1"/>
  <c r="M456" i="1"/>
  <c r="U455" i="1"/>
  <c r="T455" i="1"/>
  <c r="S455" i="1"/>
  <c r="R455" i="1"/>
  <c r="M455" i="1"/>
  <c r="U454" i="1"/>
  <c r="T454" i="1"/>
  <c r="S454" i="1"/>
  <c r="R454" i="1"/>
  <c r="M454" i="1"/>
  <c r="U453" i="1"/>
  <c r="T453" i="1"/>
  <c r="S453" i="1"/>
  <c r="R453" i="1"/>
  <c r="M453" i="1"/>
  <c r="U452" i="1"/>
  <c r="T452" i="1"/>
  <c r="S452" i="1"/>
  <c r="R452" i="1"/>
  <c r="M452" i="1"/>
  <c r="U451" i="1"/>
  <c r="T451" i="1"/>
  <c r="S451" i="1"/>
  <c r="R451" i="1"/>
  <c r="M451" i="1"/>
  <c r="U450" i="1"/>
  <c r="T450" i="1"/>
  <c r="S450" i="1"/>
  <c r="R450" i="1"/>
  <c r="M450" i="1"/>
  <c r="U449" i="1"/>
  <c r="T449" i="1"/>
  <c r="S449" i="1"/>
  <c r="R449" i="1"/>
  <c r="M449" i="1"/>
  <c r="U448" i="1"/>
  <c r="T448" i="1"/>
  <c r="S448" i="1"/>
  <c r="R448" i="1"/>
  <c r="M448" i="1"/>
  <c r="U447" i="1"/>
  <c r="T447" i="1"/>
  <c r="S447" i="1"/>
  <c r="R447" i="1"/>
  <c r="M447" i="1"/>
  <c r="U446" i="1"/>
  <c r="T446" i="1"/>
  <c r="S446" i="1"/>
  <c r="R446" i="1"/>
  <c r="M446" i="1"/>
  <c r="U445" i="1"/>
  <c r="T445" i="1"/>
  <c r="S445" i="1"/>
  <c r="R445" i="1"/>
  <c r="M445" i="1"/>
  <c r="U444" i="1"/>
  <c r="T444" i="1"/>
  <c r="S444" i="1"/>
  <c r="R444" i="1"/>
  <c r="M444" i="1"/>
  <c r="U443" i="1"/>
  <c r="T443" i="1"/>
  <c r="S443" i="1"/>
  <c r="R443" i="1"/>
  <c r="M443" i="1"/>
  <c r="U442" i="1"/>
  <c r="T442" i="1"/>
  <c r="S442" i="1"/>
  <c r="R442" i="1"/>
  <c r="M442" i="1"/>
  <c r="U441" i="1"/>
  <c r="T441" i="1"/>
  <c r="S441" i="1"/>
  <c r="R441" i="1"/>
  <c r="M441" i="1"/>
  <c r="U440" i="1"/>
  <c r="T440" i="1"/>
  <c r="S440" i="1"/>
  <c r="R440" i="1"/>
  <c r="M440" i="1"/>
  <c r="U439" i="1"/>
  <c r="T439" i="1"/>
  <c r="S439" i="1"/>
  <c r="R439" i="1"/>
  <c r="M439" i="1"/>
  <c r="U438" i="1"/>
  <c r="T438" i="1"/>
  <c r="S438" i="1"/>
  <c r="R438" i="1"/>
  <c r="M438" i="1"/>
  <c r="U437" i="1"/>
  <c r="T437" i="1"/>
  <c r="S437" i="1"/>
  <c r="R437" i="1"/>
  <c r="M437" i="1"/>
  <c r="U436" i="1"/>
  <c r="T436" i="1"/>
  <c r="S436" i="1"/>
  <c r="R436" i="1"/>
  <c r="M436" i="1"/>
  <c r="U435" i="1"/>
  <c r="T435" i="1"/>
  <c r="S435" i="1"/>
  <c r="R435" i="1"/>
  <c r="M435" i="1"/>
  <c r="U434" i="1"/>
  <c r="T434" i="1"/>
  <c r="S434" i="1"/>
  <c r="R434" i="1"/>
  <c r="M434" i="1"/>
  <c r="U433" i="1"/>
  <c r="T433" i="1"/>
  <c r="S433" i="1"/>
  <c r="R433" i="1"/>
  <c r="M433" i="1"/>
  <c r="U432" i="1"/>
  <c r="T432" i="1"/>
  <c r="S432" i="1"/>
  <c r="R432" i="1"/>
  <c r="M432" i="1"/>
  <c r="U431" i="1"/>
  <c r="T431" i="1"/>
  <c r="S431" i="1"/>
  <c r="R431" i="1"/>
  <c r="M431" i="1"/>
  <c r="U430" i="1"/>
  <c r="T430" i="1"/>
  <c r="S430" i="1"/>
  <c r="R430" i="1"/>
  <c r="M430" i="1"/>
  <c r="U429" i="1"/>
  <c r="T429" i="1"/>
  <c r="S429" i="1"/>
  <c r="R429" i="1"/>
  <c r="M429" i="1"/>
  <c r="U428" i="1"/>
  <c r="T428" i="1"/>
  <c r="S428" i="1"/>
  <c r="R428" i="1"/>
  <c r="M428" i="1"/>
  <c r="U427" i="1"/>
  <c r="T427" i="1"/>
  <c r="S427" i="1"/>
  <c r="R427" i="1"/>
  <c r="M427" i="1"/>
  <c r="U426" i="1"/>
  <c r="T426" i="1"/>
  <c r="S426" i="1"/>
  <c r="R426" i="1"/>
  <c r="M426" i="1"/>
  <c r="U425" i="1"/>
  <c r="T425" i="1"/>
  <c r="S425" i="1"/>
  <c r="R425" i="1"/>
  <c r="M425" i="1"/>
  <c r="U424" i="1"/>
  <c r="T424" i="1"/>
  <c r="S424" i="1"/>
  <c r="R424" i="1"/>
  <c r="M424" i="1"/>
  <c r="U423" i="1"/>
  <c r="T423" i="1"/>
  <c r="S423" i="1"/>
  <c r="R423" i="1"/>
  <c r="M423" i="1"/>
  <c r="U422" i="1"/>
  <c r="T422" i="1"/>
  <c r="S422" i="1"/>
  <c r="R422" i="1"/>
  <c r="M422" i="1"/>
  <c r="U421" i="1"/>
  <c r="T421" i="1"/>
  <c r="S421" i="1"/>
  <c r="R421" i="1"/>
  <c r="M421" i="1"/>
  <c r="U420" i="1"/>
  <c r="T420" i="1"/>
  <c r="S420" i="1"/>
  <c r="R420" i="1"/>
  <c r="M420" i="1"/>
  <c r="U419" i="1"/>
  <c r="T419" i="1"/>
  <c r="S419" i="1"/>
  <c r="R419" i="1"/>
  <c r="M419" i="1"/>
  <c r="U418" i="1"/>
  <c r="T418" i="1"/>
  <c r="S418" i="1"/>
  <c r="R418" i="1"/>
  <c r="M418" i="1"/>
  <c r="U417" i="1"/>
  <c r="T417" i="1"/>
  <c r="S417" i="1"/>
  <c r="R417" i="1"/>
  <c r="M417" i="1"/>
  <c r="U416" i="1"/>
  <c r="T416" i="1"/>
  <c r="S416" i="1"/>
  <c r="R416" i="1"/>
  <c r="M416" i="1"/>
  <c r="U415" i="1"/>
  <c r="T415" i="1"/>
  <c r="S415" i="1"/>
  <c r="R415" i="1"/>
  <c r="M415" i="1"/>
  <c r="U414" i="1"/>
  <c r="T414" i="1"/>
  <c r="S414" i="1"/>
  <c r="R414" i="1"/>
  <c r="M414" i="1"/>
  <c r="U413" i="1"/>
  <c r="T413" i="1"/>
  <c r="S413" i="1"/>
  <c r="R413" i="1"/>
  <c r="M413" i="1"/>
  <c r="U412" i="1"/>
  <c r="T412" i="1"/>
  <c r="S412" i="1"/>
  <c r="R412" i="1"/>
  <c r="M412" i="1"/>
  <c r="U411" i="1"/>
  <c r="T411" i="1"/>
  <c r="S411" i="1"/>
  <c r="R411" i="1"/>
  <c r="M411" i="1"/>
  <c r="U410" i="1"/>
  <c r="T410" i="1"/>
  <c r="S410" i="1"/>
  <c r="R410" i="1"/>
  <c r="M410" i="1"/>
  <c r="U409" i="1"/>
  <c r="T409" i="1"/>
  <c r="S409" i="1"/>
  <c r="R409" i="1"/>
  <c r="M409" i="1"/>
  <c r="U408" i="1"/>
  <c r="T408" i="1"/>
  <c r="S408" i="1"/>
  <c r="R408" i="1"/>
  <c r="M408" i="1"/>
  <c r="U407" i="1"/>
  <c r="T407" i="1"/>
  <c r="S407" i="1"/>
  <c r="R407" i="1"/>
  <c r="M407" i="1"/>
  <c r="U406" i="1"/>
  <c r="T406" i="1"/>
  <c r="S406" i="1"/>
  <c r="R406" i="1"/>
  <c r="M406" i="1"/>
  <c r="U405" i="1"/>
  <c r="T405" i="1"/>
  <c r="S405" i="1"/>
  <c r="R405" i="1"/>
  <c r="M405" i="1"/>
  <c r="U404" i="1"/>
  <c r="T404" i="1"/>
  <c r="S404" i="1"/>
  <c r="R404" i="1"/>
  <c r="M404" i="1"/>
  <c r="U403" i="1"/>
  <c r="T403" i="1"/>
  <c r="S403" i="1"/>
  <c r="R403" i="1"/>
  <c r="M403" i="1"/>
  <c r="U402" i="1"/>
  <c r="T402" i="1"/>
  <c r="S402" i="1"/>
  <c r="R402" i="1"/>
  <c r="M402" i="1"/>
  <c r="U401" i="1"/>
  <c r="T401" i="1"/>
  <c r="S401" i="1"/>
  <c r="R401" i="1"/>
  <c r="M401" i="1"/>
  <c r="U400" i="1"/>
  <c r="T400" i="1"/>
  <c r="S400" i="1"/>
  <c r="R400" i="1"/>
  <c r="M400" i="1"/>
  <c r="U399" i="1"/>
  <c r="T399" i="1"/>
  <c r="S399" i="1"/>
  <c r="R399" i="1"/>
  <c r="M399" i="1"/>
  <c r="U398" i="1"/>
  <c r="T398" i="1"/>
  <c r="S398" i="1"/>
  <c r="R398" i="1"/>
  <c r="M398" i="1"/>
  <c r="U397" i="1"/>
  <c r="T397" i="1"/>
  <c r="S397" i="1"/>
  <c r="R397" i="1"/>
  <c r="M397" i="1"/>
  <c r="U396" i="1"/>
  <c r="T396" i="1"/>
  <c r="S396" i="1"/>
  <c r="R396" i="1"/>
  <c r="M396" i="1"/>
  <c r="U395" i="1"/>
  <c r="T395" i="1"/>
  <c r="S395" i="1"/>
  <c r="R395" i="1"/>
  <c r="M395" i="1"/>
  <c r="U394" i="1"/>
  <c r="T394" i="1"/>
  <c r="S394" i="1"/>
  <c r="R394" i="1"/>
  <c r="M394" i="1"/>
  <c r="U393" i="1"/>
  <c r="T393" i="1"/>
  <c r="S393" i="1"/>
  <c r="R393" i="1"/>
  <c r="M393" i="1"/>
  <c r="U392" i="1"/>
  <c r="T392" i="1"/>
  <c r="S392" i="1"/>
  <c r="R392" i="1"/>
  <c r="M392" i="1"/>
  <c r="U391" i="1"/>
  <c r="T391" i="1"/>
  <c r="S391" i="1"/>
  <c r="R391" i="1"/>
  <c r="M391" i="1"/>
  <c r="U390" i="1"/>
  <c r="T390" i="1"/>
  <c r="S390" i="1"/>
  <c r="R390" i="1"/>
  <c r="M390" i="1"/>
  <c r="U389" i="1"/>
  <c r="T389" i="1"/>
  <c r="S389" i="1"/>
  <c r="R389" i="1"/>
  <c r="M389" i="1"/>
  <c r="U388" i="1"/>
  <c r="T388" i="1"/>
  <c r="S388" i="1"/>
  <c r="R388" i="1"/>
  <c r="M388" i="1"/>
  <c r="U387" i="1"/>
  <c r="T387" i="1"/>
  <c r="S387" i="1"/>
  <c r="R387" i="1"/>
  <c r="M387" i="1"/>
  <c r="U386" i="1"/>
  <c r="T386" i="1"/>
  <c r="S386" i="1"/>
  <c r="R386" i="1"/>
  <c r="M386" i="1"/>
  <c r="U385" i="1"/>
  <c r="T385" i="1"/>
  <c r="S385" i="1"/>
  <c r="R385" i="1"/>
  <c r="M385" i="1"/>
  <c r="U384" i="1"/>
  <c r="T384" i="1"/>
  <c r="S384" i="1"/>
  <c r="R384" i="1"/>
  <c r="M384" i="1"/>
  <c r="U383" i="1"/>
  <c r="T383" i="1"/>
  <c r="S383" i="1"/>
  <c r="R383" i="1"/>
  <c r="M383" i="1"/>
  <c r="U382" i="1"/>
  <c r="T382" i="1"/>
  <c r="S382" i="1"/>
  <c r="R382" i="1"/>
  <c r="M382" i="1"/>
  <c r="U381" i="1"/>
  <c r="T381" i="1"/>
  <c r="S381" i="1"/>
  <c r="R381" i="1"/>
  <c r="M381" i="1"/>
  <c r="U380" i="1"/>
  <c r="T380" i="1"/>
  <c r="S380" i="1"/>
  <c r="R380" i="1"/>
  <c r="M380" i="1"/>
  <c r="U379" i="1"/>
  <c r="T379" i="1"/>
  <c r="S379" i="1"/>
  <c r="R379" i="1"/>
  <c r="M379" i="1"/>
  <c r="U378" i="1"/>
  <c r="T378" i="1"/>
  <c r="S378" i="1"/>
  <c r="R378" i="1"/>
  <c r="M378" i="1"/>
  <c r="U377" i="1"/>
  <c r="T377" i="1"/>
  <c r="S377" i="1"/>
  <c r="R377" i="1"/>
  <c r="M377" i="1"/>
  <c r="U376" i="1"/>
  <c r="T376" i="1"/>
  <c r="S376" i="1"/>
  <c r="R376" i="1"/>
  <c r="M376" i="1"/>
  <c r="U375" i="1"/>
  <c r="T375" i="1"/>
  <c r="S375" i="1"/>
  <c r="R375" i="1"/>
  <c r="M375" i="1"/>
  <c r="U374" i="1"/>
  <c r="T374" i="1"/>
  <c r="S374" i="1"/>
  <c r="R374" i="1"/>
  <c r="M374" i="1"/>
  <c r="U373" i="1"/>
  <c r="T373" i="1"/>
  <c r="S373" i="1"/>
  <c r="R373" i="1"/>
  <c r="M373" i="1"/>
  <c r="U372" i="1"/>
  <c r="T372" i="1"/>
  <c r="S372" i="1"/>
  <c r="R372" i="1"/>
  <c r="M372" i="1"/>
  <c r="U371" i="1"/>
  <c r="T371" i="1"/>
  <c r="S371" i="1"/>
  <c r="R371" i="1"/>
  <c r="M371" i="1"/>
  <c r="U370" i="1"/>
  <c r="T370" i="1"/>
  <c r="S370" i="1"/>
  <c r="R370" i="1"/>
  <c r="M370" i="1"/>
  <c r="U369" i="1"/>
  <c r="T369" i="1"/>
  <c r="S369" i="1"/>
  <c r="R369" i="1"/>
  <c r="M369" i="1"/>
  <c r="U368" i="1"/>
  <c r="T368" i="1"/>
  <c r="S368" i="1"/>
  <c r="R368" i="1"/>
  <c r="M368" i="1"/>
  <c r="U367" i="1"/>
  <c r="T367" i="1"/>
  <c r="S367" i="1"/>
  <c r="R367" i="1"/>
  <c r="M367" i="1"/>
  <c r="U366" i="1"/>
  <c r="T366" i="1"/>
  <c r="S366" i="1"/>
  <c r="R366" i="1"/>
  <c r="M366" i="1"/>
  <c r="U365" i="1"/>
  <c r="T365" i="1"/>
  <c r="S365" i="1"/>
  <c r="R365" i="1"/>
  <c r="M365" i="1"/>
  <c r="U364" i="1"/>
  <c r="T364" i="1"/>
  <c r="S364" i="1"/>
  <c r="R364" i="1"/>
  <c r="M364" i="1"/>
  <c r="U363" i="1"/>
  <c r="T363" i="1"/>
  <c r="S363" i="1"/>
  <c r="R363" i="1"/>
  <c r="M363" i="1"/>
  <c r="U362" i="1"/>
  <c r="T362" i="1"/>
  <c r="S362" i="1"/>
  <c r="R362" i="1"/>
  <c r="M362" i="1"/>
  <c r="U361" i="1"/>
  <c r="T361" i="1"/>
  <c r="S361" i="1"/>
  <c r="R361" i="1"/>
  <c r="M361" i="1"/>
  <c r="U360" i="1"/>
  <c r="T360" i="1"/>
  <c r="S360" i="1"/>
  <c r="R360" i="1"/>
  <c r="M360" i="1"/>
  <c r="U359" i="1"/>
  <c r="T359" i="1"/>
  <c r="S359" i="1"/>
  <c r="R359" i="1"/>
  <c r="M359" i="1"/>
  <c r="U358" i="1"/>
  <c r="T358" i="1"/>
  <c r="S358" i="1"/>
  <c r="R358" i="1"/>
  <c r="M358" i="1"/>
  <c r="U357" i="1"/>
  <c r="T357" i="1"/>
  <c r="S357" i="1"/>
  <c r="R357" i="1"/>
  <c r="M357" i="1"/>
  <c r="U356" i="1"/>
  <c r="T356" i="1"/>
  <c r="S356" i="1"/>
  <c r="R356" i="1"/>
  <c r="M356" i="1"/>
  <c r="U355" i="1"/>
  <c r="T355" i="1"/>
  <c r="S355" i="1"/>
  <c r="R355" i="1"/>
  <c r="M355" i="1"/>
  <c r="U354" i="1"/>
  <c r="T354" i="1"/>
  <c r="S354" i="1"/>
  <c r="R354" i="1"/>
  <c r="M354" i="1"/>
  <c r="U353" i="1"/>
  <c r="T353" i="1"/>
  <c r="S353" i="1"/>
  <c r="R353" i="1"/>
  <c r="M353" i="1"/>
  <c r="U352" i="1"/>
  <c r="T352" i="1"/>
  <c r="S352" i="1"/>
  <c r="R352" i="1"/>
  <c r="M352" i="1"/>
  <c r="U351" i="1"/>
  <c r="T351" i="1"/>
  <c r="S351" i="1"/>
  <c r="R351" i="1"/>
  <c r="M351" i="1"/>
  <c r="U350" i="1"/>
  <c r="T350" i="1"/>
  <c r="S350" i="1"/>
  <c r="R350" i="1"/>
  <c r="M350" i="1"/>
  <c r="U349" i="1"/>
  <c r="T349" i="1"/>
  <c r="S349" i="1"/>
  <c r="R349" i="1"/>
  <c r="M349" i="1"/>
  <c r="U348" i="1"/>
  <c r="T348" i="1"/>
  <c r="S348" i="1"/>
  <c r="R348" i="1"/>
  <c r="M348" i="1"/>
  <c r="U347" i="1"/>
  <c r="T347" i="1"/>
  <c r="S347" i="1"/>
  <c r="R347" i="1"/>
  <c r="M347" i="1"/>
  <c r="U346" i="1"/>
  <c r="T346" i="1"/>
  <c r="S346" i="1"/>
  <c r="R346" i="1"/>
  <c r="M346" i="1"/>
  <c r="U345" i="1"/>
  <c r="T345" i="1"/>
  <c r="S345" i="1"/>
  <c r="R345" i="1"/>
  <c r="M345" i="1"/>
  <c r="U344" i="1"/>
  <c r="T344" i="1"/>
  <c r="S344" i="1"/>
  <c r="R344" i="1"/>
  <c r="M344" i="1"/>
  <c r="U343" i="1"/>
  <c r="T343" i="1"/>
  <c r="S343" i="1"/>
  <c r="R343" i="1"/>
  <c r="M343" i="1"/>
  <c r="U342" i="1"/>
  <c r="T342" i="1"/>
  <c r="S342" i="1"/>
  <c r="R342" i="1"/>
  <c r="M342" i="1"/>
  <c r="U341" i="1"/>
  <c r="T341" i="1"/>
  <c r="S341" i="1"/>
  <c r="R341" i="1"/>
  <c r="M341" i="1"/>
  <c r="U340" i="1"/>
  <c r="T340" i="1"/>
  <c r="S340" i="1"/>
  <c r="R340" i="1"/>
  <c r="M340" i="1"/>
  <c r="U339" i="1"/>
  <c r="T339" i="1"/>
  <c r="S339" i="1"/>
  <c r="R339" i="1"/>
  <c r="M339" i="1"/>
  <c r="U338" i="1"/>
  <c r="T338" i="1"/>
  <c r="S338" i="1"/>
  <c r="R338" i="1"/>
  <c r="M338" i="1"/>
  <c r="U337" i="1"/>
  <c r="T337" i="1"/>
  <c r="S337" i="1"/>
  <c r="R337" i="1"/>
  <c r="M337" i="1"/>
  <c r="U336" i="1"/>
  <c r="T336" i="1"/>
  <c r="S336" i="1"/>
  <c r="R336" i="1"/>
  <c r="M336" i="1"/>
  <c r="U335" i="1"/>
  <c r="T335" i="1"/>
  <c r="S335" i="1"/>
  <c r="R335" i="1"/>
  <c r="M335" i="1"/>
  <c r="U334" i="1"/>
  <c r="T334" i="1"/>
  <c r="S334" i="1"/>
  <c r="R334" i="1"/>
  <c r="M334" i="1"/>
  <c r="U333" i="1"/>
  <c r="T333" i="1"/>
  <c r="S333" i="1"/>
  <c r="R333" i="1"/>
  <c r="M333" i="1"/>
  <c r="U332" i="1"/>
  <c r="T332" i="1"/>
  <c r="S332" i="1"/>
  <c r="R332" i="1"/>
  <c r="M332" i="1"/>
  <c r="U331" i="1"/>
  <c r="T331" i="1"/>
  <c r="S331" i="1"/>
  <c r="R331" i="1"/>
  <c r="M331" i="1"/>
  <c r="U330" i="1"/>
  <c r="T330" i="1"/>
  <c r="S330" i="1"/>
  <c r="R330" i="1"/>
  <c r="M330" i="1"/>
  <c r="U329" i="1"/>
  <c r="T329" i="1"/>
  <c r="S329" i="1"/>
  <c r="R329" i="1"/>
  <c r="M329" i="1"/>
  <c r="U328" i="1"/>
  <c r="T328" i="1"/>
  <c r="S328" i="1"/>
  <c r="R328" i="1"/>
  <c r="M328" i="1"/>
  <c r="U327" i="1"/>
  <c r="T327" i="1"/>
  <c r="S327" i="1"/>
  <c r="R327" i="1"/>
  <c r="M327" i="1"/>
  <c r="U326" i="1"/>
  <c r="T326" i="1"/>
  <c r="S326" i="1"/>
  <c r="R326" i="1"/>
  <c r="M326" i="1"/>
  <c r="U325" i="1"/>
  <c r="T325" i="1"/>
  <c r="S325" i="1"/>
  <c r="R325" i="1"/>
  <c r="M325" i="1"/>
  <c r="U324" i="1"/>
  <c r="T324" i="1"/>
  <c r="S324" i="1"/>
  <c r="R324" i="1"/>
  <c r="M324" i="1"/>
  <c r="U323" i="1"/>
  <c r="T323" i="1"/>
  <c r="S323" i="1"/>
  <c r="R323" i="1"/>
  <c r="M323" i="1"/>
  <c r="U322" i="1"/>
  <c r="T322" i="1"/>
  <c r="S322" i="1"/>
  <c r="R322" i="1"/>
  <c r="M322" i="1"/>
  <c r="U321" i="1"/>
  <c r="T321" i="1"/>
  <c r="S321" i="1"/>
  <c r="R321" i="1"/>
  <c r="M321" i="1"/>
  <c r="U320" i="1"/>
  <c r="T320" i="1"/>
  <c r="S320" i="1"/>
  <c r="R320" i="1"/>
  <c r="M320" i="1"/>
  <c r="U319" i="1"/>
  <c r="T319" i="1"/>
  <c r="S319" i="1"/>
  <c r="R319" i="1"/>
  <c r="M319" i="1"/>
  <c r="U318" i="1"/>
  <c r="T318" i="1"/>
  <c r="S318" i="1"/>
  <c r="R318" i="1"/>
  <c r="M318" i="1"/>
  <c r="U317" i="1"/>
  <c r="T317" i="1"/>
  <c r="S317" i="1"/>
  <c r="R317" i="1"/>
  <c r="M317" i="1"/>
  <c r="U316" i="1"/>
  <c r="T316" i="1"/>
  <c r="S316" i="1"/>
  <c r="R316" i="1"/>
  <c r="M316" i="1"/>
  <c r="U315" i="1"/>
  <c r="T315" i="1"/>
  <c r="S315" i="1"/>
  <c r="R315" i="1"/>
  <c r="M315" i="1"/>
  <c r="U314" i="1"/>
  <c r="T314" i="1"/>
  <c r="S314" i="1"/>
  <c r="R314" i="1"/>
  <c r="M314" i="1"/>
  <c r="U313" i="1"/>
  <c r="T313" i="1"/>
  <c r="S313" i="1"/>
  <c r="R313" i="1"/>
  <c r="M313" i="1"/>
  <c r="U312" i="1"/>
  <c r="T312" i="1"/>
  <c r="S312" i="1"/>
  <c r="R312" i="1"/>
  <c r="M312" i="1"/>
  <c r="U311" i="1"/>
  <c r="T311" i="1"/>
  <c r="S311" i="1"/>
  <c r="R311" i="1"/>
  <c r="M311" i="1"/>
  <c r="U310" i="1"/>
  <c r="T310" i="1"/>
  <c r="S310" i="1"/>
  <c r="R310" i="1"/>
  <c r="M310" i="1"/>
  <c r="U309" i="1"/>
  <c r="T309" i="1"/>
  <c r="S309" i="1"/>
  <c r="R309" i="1"/>
  <c r="M309" i="1"/>
  <c r="U308" i="1"/>
  <c r="T308" i="1"/>
  <c r="S308" i="1"/>
  <c r="R308" i="1"/>
  <c r="M308" i="1"/>
  <c r="U307" i="1"/>
  <c r="T307" i="1"/>
  <c r="S307" i="1"/>
  <c r="R307" i="1"/>
  <c r="M307" i="1"/>
  <c r="U306" i="1"/>
  <c r="T306" i="1"/>
  <c r="S306" i="1"/>
  <c r="R306" i="1"/>
  <c r="M306" i="1"/>
  <c r="U305" i="1"/>
  <c r="T305" i="1"/>
  <c r="S305" i="1"/>
  <c r="R305" i="1"/>
  <c r="M305" i="1"/>
  <c r="U304" i="1"/>
  <c r="T304" i="1"/>
  <c r="S304" i="1"/>
  <c r="R304" i="1"/>
  <c r="M304" i="1"/>
  <c r="U303" i="1"/>
  <c r="T303" i="1"/>
  <c r="S303" i="1"/>
  <c r="R303" i="1"/>
  <c r="M303" i="1"/>
  <c r="U302" i="1"/>
  <c r="T302" i="1"/>
  <c r="S302" i="1"/>
  <c r="R302" i="1"/>
  <c r="M302" i="1"/>
  <c r="U301" i="1"/>
  <c r="T301" i="1"/>
  <c r="S301" i="1"/>
  <c r="R301" i="1"/>
  <c r="M301" i="1"/>
  <c r="U300" i="1"/>
  <c r="T300" i="1"/>
  <c r="S300" i="1"/>
  <c r="R300" i="1"/>
  <c r="M300" i="1"/>
  <c r="U299" i="1"/>
  <c r="T299" i="1"/>
  <c r="S299" i="1"/>
  <c r="R299" i="1"/>
  <c r="M299" i="1"/>
  <c r="U298" i="1"/>
  <c r="T298" i="1"/>
  <c r="S298" i="1"/>
  <c r="R298" i="1"/>
  <c r="M298" i="1"/>
  <c r="U297" i="1"/>
  <c r="T297" i="1"/>
  <c r="S297" i="1"/>
  <c r="R297" i="1"/>
  <c r="M297" i="1"/>
  <c r="U296" i="1"/>
  <c r="T296" i="1"/>
  <c r="S296" i="1"/>
  <c r="R296" i="1"/>
  <c r="M296" i="1"/>
  <c r="U295" i="1"/>
  <c r="T295" i="1"/>
  <c r="S295" i="1"/>
  <c r="R295" i="1"/>
  <c r="M295" i="1"/>
  <c r="U294" i="1"/>
  <c r="T294" i="1"/>
  <c r="S294" i="1"/>
  <c r="R294" i="1"/>
  <c r="M294" i="1"/>
  <c r="U293" i="1"/>
  <c r="T293" i="1"/>
  <c r="S293" i="1"/>
  <c r="R293" i="1"/>
  <c r="M293" i="1"/>
  <c r="U292" i="1"/>
  <c r="T292" i="1"/>
  <c r="S292" i="1"/>
  <c r="R292" i="1"/>
  <c r="M292" i="1"/>
  <c r="U291" i="1"/>
  <c r="T291" i="1"/>
  <c r="S291" i="1"/>
  <c r="R291" i="1"/>
  <c r="M291" i="1"/>
  <c r="U290" i="1"/>
  <c r="T290" i="1"/>
  <c r="S290" i="1"/>
  <c r="R290" i="1"/>
  <c r="M290" i="1"/>
  <c r="U289" i="1"/>
  <c r="T289" i="1"/>
  <c r="S289" i="1"/>
  <c r="R289" i="1"/>
  <c r="M289" i="1"/>
  <c r="U288" i="1"/>
  <c r="T288" i="1"/>
  <c r="S288" i="1"/>
  <c r="R288" i="1"/>
  <c r="M288" i="1"/>
  <c r="U287" i="1"/>
  <c r="T287" i="1"/>
  <c r="S287" i="1"/>
  <c r="R287" i="1"/>
  <c r="M287" i="1"/>
  <c r="U286" i="1"/>
  <c r="T286" i="1"/>
  <c r="S286" i="1"/>
  <c r="R286" i="1"/>
  <c r="M286" i="1"/>
  <c r="U285" i="1"/>
  <c r="T285" i="1"/>
  <c r="S285" i="1"/>
  <c r="R285" i="1"/>
  <c r="M285" i="1"/>
  <c r="U284" i="1"/>
  <c r="T284" i="1"/>
  <c r="S284" i="1"/>
  <c r="R284" i="1"/>
  <c r="M284" i="1"/>
  <c r="U283" i="1"/>
  <c r="T283" i="1"/>
  <c r="S283" i="1"/>
  <c r="R283" i="1"/>
  <c r="M283" i="1"/>
  <c r="U282" i="1"/>
  <c r="T282" i="1"/>
  <c r="S282" i="1"/>
  <c r="R282" i="1"/>
  <c r="M282" i="1"/>
  <c r="U281" i="1"/>
  <c r="T281" i="1"/>
  <c r="S281" i="1"/>
  <c r="R281" i="1"/>
  <c r="M281" i="1"/>
  <c r="U280" i="1"/>
  <c r="T280" i="1"/>
  <c r="S280" i="1"/>
  <c r="R280" i="1"/>
  <c r="M280" i="1"/>
  <c r="U279" i="1"/>
  <c r="T279" i="1"/>
  <c r="S279" i="1"/>
  <c r="R279" i="1"/>
  <c r="M279" i="1"/>
  <c r="U278" i="1"/>
  <c r="T278" i="1"/>
  <c r="S278" i="1"/>
  <c r="R278" i="1"/>
  <c r="M278" i="1"/>
  <c r="U277" i="1"/>
  <c r="T277" i="1"/>
  <c r="S277" i="1"/>
  <c r="R277" i="1"/>
  <c r="M277" i="1"/>
  <c r="U276" i="1"/>
  <c r="T276" i="1"/>
  <c r="S276" i="1"/>
  <c r="R276" i="1"/>
  <c r="M276" i="1"/>
  <c r="U275" i="1"/>
  <c r="T275" i="1"/>
  <c r="S275" i="1"/>
  <c r="R275" i="1"/>
  <c r="M275" i="1"/>
  <c r="U274" i="1"/>
  <c r="T274" i="1"/>
  <c r="S274" i="1"/>
  <c r="R274" i="1"/>
  <c r="M274" i="1"/>
  <c r="U273" i="1"/>
  <c r="T273" i="1"/>
  <c r="S273" i="1"/>
  <c r="R273" i="1"/>
  <c r="M273" i="1"/>
  <c r="U272" i="1"/>
  <c r="T272" i="1"/>
  <c r="S272" i="1"/>
  <c r="R272" i="1"/>
  <c r="M272" i="1"/>
  <c r="U271" i="1"/>
  <c r="T271" i="1"/>
  <c r="S271" i="1"/>
  <c r="R271" i="1"/>
  <c r="M271" i="1"/>
  <c r="U270" i="1"/>
  <c r="T270" i="1"/>
  <c r="S270" i="1"/>
  <c r="R270" i="1"/>
  <c r="M270" i="1"/>
  <c r="U269" i="1"/>
  <c r="T269" i="1"/>
  <c r="S269" i="1"/>
  <c r="R269" i="1"/>
  <c r="M269" i="1"/>
  <c r="U268" i="1"/>
  <c r="T268" i="1"/>
  <c r="S268" i="1"/>
  <c r="R268" i="1"/>
  <c r="M268" i="1"/>
  <c r="U267" i="1"/>
  <c r="T267" i="1"/>
  <c r="S267" i="1"/>
  <c r="R267" i="1"/>
  <c r="M267" i="1"/>
  <c r="U266" i="1"/>
  <c r="T266" i="1"/>
  <c r="S266" i="1"/>
  <c r="R266" i="1"/>
  <c r="M266" i="1"/>
  <c r="U265" i="1"/>
  <c r="T265" i="1"/>
  <c r="S265" i="1"/>
  <c r="R265" i="1"/>
  <c r="M265" i="1"/>
  <c r="U264" i="1"/>
  <c r="T264" i="1"/>
  <c r="S264" i="1"/>
  <c r="R264" i="1"/>
  <c r="M264" i="1"/>
  <c r="U263" i="1"/>
  <c r="T263" i="1"/>
  <c r="S263" i="1"/>
  <c r="R263" i="1"/>
  <c r="M263" i="1"/>
  <c r="U262" i="1"/>
  <c r="T262" i="1"/>
  <c r="S262" i="1"/>
  <c r="R262" i="1"/>
  <c r="M262" i="1"/>
  <c r="U261" i="1"/>
  <c r="T261" i="1"/>
  <c r="S261" i="1"/>
  <c r="R261" i="1"/>
  <c r="M261" i="1"/>
  <c r="U260" i="1"/>
  <c r="T260" i="1"/>
  <c r="S260" i="1"/>
  <c r="R260" i="1"/>
  <c r="M260" i="1"/>
  <c r="U259" i="1"/>
  <c r="T259" i="1"/>
  <c r="S259" i="1"/>
  <c r="R259" i="1"/>
  <c r="M259" i="1"/>
  <c r="U258" i="1"/>
  <c r="T258" i="1"/>
  <c r="S258" i="1"/>
  <c r="R258" i="1"/>
  <c r="M258" i="1"/>
  <c r="U257" i="1"/>
  <c r="T257" i="1"/>
  <c r="S257" i="1"/>
  <c r="R257" i="1"/>
  <c r="M257" i="1"/>
  <c r="U256" i="1"/>
  <c r="T256" i="1"/>
  <c r="S256" i="1"/>
  <c r="R256" i="1"/>
  <c r="M256" i="1"/>
  <c r="U255" i="1"/>
  <c r="T255" i="1"/>
  <c r="S255" i="1"/>
  <c r="R255" i="1"/>
  <c r="M255" i="1"/>
  <c r="U254" i="1"/>
  <c r="T254" i="1"/>
  <c r="S254" i="1"/>
  <c r="R254" i="1"/>
  <c r="M254" i="1"/>
  <c r="U253" i="1"/>
  <c r="T253" i="1"/>
  <c r="S253" i="1"/>
  <c r="R253" i="1"/>
  <c r="M253" i="1"/>
  <c r="U252" i="1"/>
  <c r="T252" i="1"/>
  <c r="S252" i="1"/>
  <c r="R252" i="1"/>
  <c r="M252" i="1"/>
  <c r="U251" i="1"/>
  <c r="T251" i="1"/>
  <c r="S251" i="1"/>
  <c r="R251" i="1"/>
  <c r="M251" i="1"/>
  <c r="U250" i="1"/>
  <c r="T250" i="1"/>
  <c r="S250" i="1"/>
  <c r="R250" i="1"/>
  <c r="M250" i="1"/>
  <c r="U249" i="1"/>
  <c r="T249" i="1"/>
  <c r="S249" i="1"/>
  <c r="R249" i="1"/>
  <c r="M249" i="1"/>
  <c r="U248" i="1"/>
  <c r="T248" i="1"/>
  <c r="S248" i="1"/>
  <c r="R248" i="1"/>
  <c r="M248" i="1"/>
  <c r="U247" i="1"/>
  <c r="T247" i="1"/>
  <c r="S247" i="1"/>
  <c r="R247" i="1"/>
  <c r="M247" i="1"/>
  <c r="U246" i="1"/>
  <c r="T246" i="1"/>
  <c r="S246" i="1"/>
  <c r="R246" i="1"/>
  <c r="M246" i="1"/>
  <c r="U245" i="1"/>
  <c r="T245" i="1"/>
  <c r="S245" i="1"/>
  <c r="R245" i="1"/>
  <c r="M245" i="1"/>
  <c r="U244" i="1"/>
  <c r="T244" i="1"/>
  <c r="S244" i="1"/>
  <c r="R244" i="1"/>
  <c r="M244" i="1"/>
  <c r="U243" i="1"/>
  <c r="T243" i="1"/>
  <c r="S243" i="1"/>
  <c r="R243" i="1"/>
  <c r="M243" i="1"/>
  <c r="U242" i="1"/>
  <c r="T242" i="1"/>
  <c r="S242" i="1"/>
  <c r="R242" i="1"/>
  <c r="M242" i="1"/>
  <c r="U241" i="1"/>
  <c r="T241" i="1"/>
  <c r="S241" i="1"/>
  <c r="R241" i="1"/>
  <c r="M241" i="1"/>
  <c r="U240" i="1"/>
  <c r="T240" i="1"/>
  <c r="S240" i="1"/>
  <c r="R240" i="1"/>
  <c r="M240" i="1"/>
  <c r="U239" i="1"/>
  <c r="T239" i="1"/>
  <c r="S239" i="1"/>
  <c r="R239" i="1"/>
  <c r="M239" i="1"/>
  <c r="U238" i="1"/>
  <c r="T238" i="1"/>
  <c r="S238" i="1"/>
  <c r="R238" i="1"/>
  <c r="M238" i="1"/>
  <c r="U237" i="1"/>
  <c r="T237" i="1"/>
  <c r="S237" i="1"/>
  <c r="R237" i="1"/>
  <c r="M237" i="1"/>
  <c r="U236" i="1"/>
  <c r="T236" i="1"/>
  <c r="S236" i="1"/>
  <c r="R236" i="1"/>
  <c r="M236" i="1"/>
  <c r="U235" i="1"/>
  <c r="T235" i="1"/>
  <c r="S235" i="1"/>
  <c r="R235" i="1"/>
  <c r="M235" i="1"/>
  <c r="U234" i="1"/>
  <c r="T234" i="1"/>
  <c r="S234" i="1"/>
  <c r="R234" i="1"/>
  <c r="M234" i="1"/>
  <c r="U233" i="1"/>
  <c r="T233" i="1"/>
  <c r="S233" i="1"/>
  <c r="R233" i="1"/>
  <c r="M233" i="1"/>
  <c r="U232" i="1"/>
  <c r="T232" i="1"/>
  <c r="S232" i="1"/>
  <c r="R232" i="1"/>
  <c r="M232" i="1"/>
  <c r="U231" i="1"/>
  <c r="T231" i="1"/>
  <c r="S231" i="1"/>
  <c r="R231" i="1"/>
  <c r="M231" i="1"/>
  <c r="U230" i="1"/>
  <c r="T230" i="1"/>
  <c r="S230" i="1"/>
  <c r="R230" i="1"/>
  <c r="M230" i="1"/>
  <c r="U229" i="1"/>
  <c r="T229" i="1"/>
  <c r="S229" i="1"/>
  <c r="R229" i="1"/>
  <c r="M229" i="1"/>
  <c r="U228" i="1"/>
  <c r="T228" i="1"/>
  <c r="S228" i="1"/>
  <c r="R228" i="1"/>
  <c r="M228" i="1"/>
  <c r="U227" i="1"/>
  <c r="T227" i="1"/>
  <c r="S227" i="1"/>
  <c r="R227" i="1"/>
  <c r="M227" i="1"/>
  <c r="U226" i="1"/>
  <c r="T226" i="1"/>
  <c r="S226" i="1"/>
  <c r="R226" i="1"/>
  <c r="M226" i="1"/>
  <c r="U225" i="1"/>
  <c r="T225" i="1"/>
  <c r="S225" i="1"/>
  <c r="R225" i="1"/>
  <c r="M225" i="1"/>
  <c r="U224" i="1"/>
  <c r="T224" i="1"/>
  <c r="S224" i="1"/>
  <c r="R224" i="1"/>
  <c r="M224" i="1"/>
  <c r="U223" i="1"/>
  <c r="T223" i="1"/>
  <c r="S223" i="1"/>
  <c r="R223" i="1"/>
  <c r="M223" i="1"/>
  <c r="U222" i="1"/>
  <c r="T222" i="1"/>
  <c r="S222" i="1"/>
  <c r="R222" i="1"/>
  <c r="M222" i="1"/>
  <c r="U221" i="1"/>
  <c r="T221" i="1"/>
  <c r="S221" i="1"/>
  <c r="R221" i="1"/>
  <c r="M221" i="1"/>
  <c r="U220" i="1"/>
  <c r="T220" i="1"/>
  <c r="S220" i="1"/>
  <c r="R220" i="1"/>
  <c r="M220" i="1"/>
  <c r="U219" i="1"/>
  <c r="T219" i="1"/>
  <c r="S219" i="1"/>
  <c r="R219" i="1"/>
  <c r="M219" i="1"/>
  <c r="U218" i="1"/>
  <c r="T218" i="1"/>
  <c r="S218" i="1"/>
  <c r="R218" i="1"/>
  <c r="M218" i="1"/>
  <c r="U217" i="1"/>
  <c r="T217" i="1"/>
  <c r="S217" i="1"/>
  <c r="R217" i="1"/>
  <c r="M217" i="1"/>
  <c r="U216" i="1"/>
  <c r="T216" i="1"/>
  <c r="S216" i="1"/>
  <c r="R216" i="1"/>
  <c r="M216" i="1"/>
  <c r="U215" i="1"/>
  <c r="T215" i="1"/>
  <c r="S215" i="1"/>
  <c r="R215" i="1"/>
  <c r="M215" i="1"/>
  <c r="U214" i="1"/>
  <c r="T214" i="1"/>
  <c r="S214" i="1"/>
  <c r="R214" i="1"/>
  <c r="M214" i="1"/>
  <c r="U213" i="1"/>
  <c r="T213" i="1"/>
  <c r="S213" i="1"/>
  <c r="R213" i="1"/>
  <c r="M213" i="1"/>
  <c r="U212" i="1"/>
  <c r="T212" i="1"/>
  <c r="S212" i="1"/>
  <c r="R212" i="1"/>
  <c r="M212" i="1"/>
  <c r="U211" i="1"/>
  <c r="T211" i="1"/>
  <c r="S211" i="1"/>
  <c r="R211" i="1"/>
  <c r="M211" i="1"/>
  <c r="U210" i="1"/>
  <c r="T210" i="1"/>
  <c r="S210" i="1"/>
  <c r="R210" i="1"/>
  <c r="M210" i="1"/>
  <c r="U209" i="1"/>
  <c r="T209" i="1"/>
  <c r="S209" i="1"/>
  <c r="R209" i="1"/>
  <c r="M209" i="1"/>
  <c r="U208" i="1"/>
  <c r="T208" i="1"/>
  <c r="S208" i="1"/>
  <c r="R208" i="1"/>
  <c r="M208" i="1"/>
  <c r="U207" i="1"/>
  <c r="T207" i="1"/>
  <c r="S207" i="1"/>
  <c r="R207" i="1"/>
  <c r="M207" i="1"/>
  <c r="U206" i="1"/>
  <c r="T206" i="1"/>
  <c r="S206" i="1"/>
  <c r="R206" i="1"/>
  <c r="M206" i="1"/>
  <c r="U205" i="1"/>
  <c r="T205" i="1"/>
  <c r="S205" i="1"/>
  <c r="R205" i="1"/>
  <c r="M205" i="1"/>
  <c r="U204" i="1"/>
  <c r="T204" i="1"/>
  <c r="S204" i="1"/>
  <c r="R204" i="1"/>
  <c r="M204" i="1"/>
  <c r="U203" i="1"/>
  <c r="T203" i="1"/>
  <c r="S203" i="1"/>
  <c r="R203" i="1"/>
  <c r="M203" i="1"/>
  <c r="U202" i="1"/>
  <c r="T202" i="1"/>
  <c r="S202" i="1"/>
  <c r="R202" i="1"/>
  <c r="M202" i="1"/>
  <c r="U201" i="1"/>
  <c r="T201" i="1"/>
  <c r="S201" i="1"/>
  <c r="R201" i="1"/>
  <c r="M201" i="1"/>
  <c r="U200" i="1"/>
  <c r="T200" i="1"/>
  <c r="S200" i="1"/>
  <c r="R200" i="1"/>
  <c r="M200" i="1"/>
  <c r="U199" i="1"/>
  <c r="T199" i="1"/>
  <c r="S199" i="1"/>
  <c r="R199" i="1"/>
  <c r="M199" i="1"/>
  <c r="U198" i="1"/>
  <c r="T198" i="1"/>
  <c r="S198" i="1"/>
  <c r="R198" i="1"/>
  <c r="M198" i="1"/>
  <c r="U197" i="1"/>
  <c r="T197" i="1"/>
  <c r="S197" i="1"/>
  <c r="R197" i="1"/>
  <c r="M197" i="1"/>
  <c r="U196" i="1"/>
  <c r="T196" i="1"/>
  <c r="S196" i="1"/>
  <c r="R196" i="1"/>
  <c r="M196" i="1"/>
  <c r="U195" i="1"/>
  <c r="T195" i="1"/>
  <c r="S195" i="1"/>
  <c r="R195" i="1"/>
  <c r="M195" i="1"/>
  <c r="U194" i="1"/>
  <c r="T194" i="1"/>
  <c r="S194" i="1"/>
  <c r="R194" i="1"/>
  <c r="M194" i="1"/>
  <c r="U193" i="1"/>
  <c r="T193" i="1"/>
  <c r="S193" i="1"/>
  <c r="R193" i="1"/>
  <c r="M193" i="1"/>
  <c r="U192" i="1"/>
  <c r="T192" i="1"/>
  <c r="S192" i="1"/>
  <c r="R192" i="1"/>
  <c r="M192" i="1"/>
  <c r="U191" i="1"/>
  <c r="T191" i="1"/>
  <c r="S191" i="1"/>
  <c r="R191" i="1"/>
  <c r="M191" i="1"/>
  <c r="U190" i="1"/>
  <c r="T190" i="1"/>
  <c r="S190" i="1"/>
  <c r="R190" i="1"/>
  <c r="M190" i="1"/>
  <c r="U189" i="1"/>
  <c r="T189" i="1"/>
  <c r="S189" i="1"/>
  <c r="R189" i="1"/>
  <c r="M189" i="1"/>
  <c r="U188" i="1"/>
  <c r="T188" i="1"/>
  <c r="S188" i="1"/>
  <c r="R188" i="1"/>
  <c r="M188" i="1"/>
  <c r="U187" i="1"/>
  <c r="T187" i="1"/>
  <c r="S187" i="1"/>
  <c r="R187" i="1"/>
  <c r="M187" i="1"/>
  <c r="U186" i="1"/>
  <c r="T186" i="1"/>
  <c r="S186" i="1"/>
  <c r="R186" i="1"/>
  <c r="M186" i="1"/>
  <c r="U185" i="1"/>
  <c r="T185" i="1"/>
  <c r="S185" i="1"/>
  <c r="R185" i="1"/>
  <c r="M185" i="1"/>
  <c r="U184" i="1"/>
  <c r="T184" i="1"/>
  <c r="S184" i="1"/>
  <c r="R184" i="1"/>
  <c r="M184" i="1"/>
  <c r="U183" i="1"/>
  <c r="T183" i="1"/>
  <c r="S183" i="1"/>
  <c r="R183" i="1"/>
  <c r="M183" i="1"/>
  <c r="U182" i="1"/>
  <c r="T182" i="1"/>
  <c r="S182" i="1"/>
  <c r="R182" i="1"/>
  <c r="M182" i="1"/>
  <c r="U181" i="1"/>
  <c r="T181" i="1"/>
  <c r="S181" i="1"/>
  <c r="R181" i="1"/>
  <c r="M181" i="1"/>
  <c r="U180" i="1"/>
  <c r="T180" i="1"/>
  <c r="S180" i="1"/>
  <c r="R180" i="1"/>
  <c r="M180" i="1"/>
  <c r="U179" i="1"/>
  <c r="T179" i="1"/>
  <c r="S179" i="1"/>
  <c r="R179" i="1"/>
  <c r="M179" i="1"/>
  <c r="U178" i="1"/>
  <c r="T178" i="1"/>
  <c r="S178" i="1"/>
  <c r="R178" i="1"/>
  <c r="M178" i="1"/>
  <c r="U177" i="1"/>
  <c r="T177" i="1"/>
  <c r="S177" i="1"/>
  <c r="R177" i="1"/>
  <c r="M177" i="1"/>
  <c r="U176" i="1"/>
  <c r="T176" i="1"/>
  <c r="S176" i="1"/>
  <c r="R176" i="1"/>
  <c r="M176" i="1"/>
  <c r="U175" i="1"/>
  <c r="T175" i="1"/>
  <c r="S175" i="1"/>
  <c r="R175" i="1"/>
  <c r="M175" i="1"/>
  <c r="U174" i="1"/>
  <c r="T174" i="1"/>
  <c r="S174" i="1"/>
  <c r="R174" i="1"/>
  <c r="M174" i="1"/>
  <c r="U173" i="1"/>
  <c r="T173" i="1"/>
  <c r="S173" i="1"/>
  <c r="R173" i="1"/>
  <c r="M173" i="1"/>
  <c r="U172" i="1"/>
  <c r="T172" i="1"/>
  <c r="S172" i="1"/>
  <c r="R172" i="1"/>
  <c r="M172" i="1"/>
  <c r="U171" i="1"/>
  <c r="T171" i="1"/>
  <c r="S171" i="1"/>
  <c r="R171" i="1"/>
  <c r="M171" i="1"/>
  <c r="U170" i="1"/>
  <c r="T170" i="1"/>
  <c r="S170" i="1"/>
  <c r="R170" i="1"/>
  <c r="M170" i="1"/>
  <c r="U169" i="1"/>
  <c r="T169" i="1"/>
  <c r="S169" i="1"/>
  <c r="R169" i="1"/>
  <c r="M169" i="1"/>
  <c r="U168" i="1"/>
  <c r="T168" i="1"/>
  <c r="S168" i="1"/>
  <c r="R168" i="1"/>
  <c r="M168" i="1"/>
  <c r="U167" i="1"/>
  <c r="T167" i="1"/>
  <c r="S167" i="1"/>
  <c r="R167" i="1"/>
  <c r="M167" i="1"/>
  <c r="U166" i="1"/>
  <c r="T166" i="1"/>
  <c r="S166" i="1"/>
  <c r="R166" i="1"/>
  <c r="M166" i="1"/>
  <c r="U165" i="1"/>
  <c r="T165" i="1"/>
  <c r="S165" i="1"/>
  <c r="R165" i="1"/>
  <c r="M165" i="1"/>
  <c r="U164" i="1"/>
  <c r="T164" i="1"/>
  <c r="S164" i="1"/>
  <c r="R164" i="1"/>
  <c r="M164" i="1"/>
  <c r="U163" i="1"/>
  <c r="T163" i="1"/>
  <c r="S163" i="1"/>
  <c r="R163" i="1"/>
  <c r="M163" i="1"/>
  <c r="U162" i="1"/>
  <c r="T162" i="1"/>
  <c r="S162" i="1"/>
  <c r="R162" i="1"/>
  <c r="M162" i="1"/>
  <c r="U161" i="1"/>
  <c r="T161" i="1"/>
  <c r="S161" i="1"/>
  <c r="R161" i="1"/>
  <c r="M161" i="1"/>
  <c r="U160" i="1"/>
  <c r="T160" i="1"/>
  <c r="S160" i="1"/>
  <c r="R160" i="1"/>
  <c r="M160" i="1"/>
  <c r="U159" i="1"/>
  <c r="T159" i="1"/>
  <c r="S159" i="1"/>
  <c r="R159" i="1"/>
  <c r="M159" i="1"/>
  <c r="U158" i="1"/>
  <c r="T158" i="1"/>
  <c r="S158" i="1"/>
  <c r="R158" i="1"/>
  <c r="M158" i="1"/>
  <c r="U157" i="1"/>
  <c r="T157" i="1"/>
  <c r="S157" i="1"/>
  <c r="R157" i="1"/>
  <c r="M157" i="1"/>
  <c r="U156" i="1"/>
  <c r="T156" i="1"/>
  <c r="S156" i="1"/>
  <c r="R156" i="1"/>
  <c r="M156" i="1"/>
  <c r="U155" i="1"/>
  <c r="T155" i="1"/>
  <c r="S155" i="1"/>
  <c r="R155" i="1"/>
  <c r="M155" i="1"/>
  <c r="U154" i="1"/>
  <c r="T154" i="1"/>
  <c r="S154" i="1"/>
  <c r="R154" i="1"/>
  <c r="M154" i="1"/>
  <c r="U153" i="1"/>
  <c r="T153" i="1"/>
  <c r="S153" i="1"/>
  <c r="R153" i="1"/>
  <c r="M153" i="1"/>
  <c r="U152" i="1"/>
  <c r="T152" i="1"/>
  <c r="S152" i="1"/>
  <c r="R152" i="1"/>
  <c r="M152" i="1"/>
  <c r="U151" i="1"/>
  <c r="T151" i="1"/>
  <c r="S151" i="1"/>
  <c r="R151" i="1"/>
  <c r="M151" i="1"/>
  <c r="U150" i="1"/>
  <c r="T150" i="1"/>
  <c r="S150" i="1"/>
  <c r="R150" i="1"/>
  <c r="M150" i="1"/>
  <c r="U149" i="1"/>
  <c r="T149" i="1"/>
  <c r="S149" i="1"/>
  <c r="R149" i="1"/>
  <c r="M149" i="1"/>
  <c r="U148" i="1"/>
  <c r="T148" i="1"/>
  <c r="S148" i="1"/>
  <c r="R148" i="1"/>
  <c r="M148" i="1"/>
  <c r="U147" i="1"/>
  <c r="T147" i="1"/>
  <c r="S147" i="1"/>
  <c r="R147" i="1"/>
  <c r="M147" i="1"/>
  <c r="U146" i="1"/>
  <c r="T146" i="1"/>
  <c r="S146" i="1"/>
  <c r="R146" i="1"/>
  <c r="M146" i="1"/>
  <c r="U145" i="1"/>
  <c r="T145" i="1"/>
  <c r="S145" i="1"/>
  <c r="R145" i="1"/>
  <c r="M145" i="1"/>
  <c r="U144" i="1"/>
  <c r="T144" i="1"/>
  <c r="S144" i="1"/>
  <c r="R144" i="1"/>
  <c r="M144" i="1"/>
  <c r="U143" i="1"/>
  <c r="T143" i="1"/>
  <c r="S143" i="1"/>
  <c r="R143" i="1"/>
  <c r="M143" i="1"/>
  <c r="U142" i="1"/>
  <c r="T142" i="1"/>
  <c r="S142" i="1"/>
  <c r="R142" i="1"/>
  <c r="M142" i="1"/>
  <c r="U141" i="1"/>
  <c r="T141" i="1"/>
  <c r="S141" i="1"/>
  <c r="R141" i="1"/>
  <c r="M141" i="1"/>
  <c r="U140" i="1"/>
  <c r="T140" i="1"/>
  <c r="S140" i="1"/>
  <c r="R140" i="1"/>
  <c r="M140" i="1"/>
  <c r="U139" i="1"/>
  <c r="T139" i="1"/>
  <c r="S139" i="1"/>
  <c r="R139" i="1"/>
  <c r="M139" i="1"/>
  <c r="U138" i="1"/>
  <c r="T138" i="1"/>
  <c r="S138" i="1"/>
  <c r="R138" i="1"/>
  <c r="M138" i="1"/>
  <c r="U137" i="1"/>
  <c r="T137" i="1"/>
  <c r="S137" i="1"/>
  <c r="R137" i="1"/>
  <c r="M137" i="1"/>
  <c r="U136" i="1"/>
  <c r="T136" i="1"/>
  <c r="S136" i="1"/>
  <c r="R136" i="1"/>
  <c r="M136" i="1"/>
  <c r="U135" i="1"/>
  <c r="T135" i="1"/>
  <c r="S135" i="1"/>
  <c r="R135" i="1"/>
  <c r="M135" i="1"/>
  <c r="U134" i="1"/>
  <c r="T134" i="1"/>
  <c r="S134" i="1"/>
  <c r="R134" i="1"/>
  <c r="M134" i="1"/>
  <c r="U133" i="1"/>
  <c r="T133" i="1"/>
  <c r="S133" i="1"/>
  <c r="R133" i="1"/>
  <c r="M133" i="1"/>
  <c r="U132" i="1"/>
  <c r="T132" i="1"/>
  <c r="S132" i="1"/>
  <c r="R132" i="1"/>
  <c r="M132" i="1"/>
  <c r="U131" i="1"/>
  <c r="T131" i="1"/>
  <c r="S131" i="1"/>
  <c r="R131" i="1"/>
  <c r="M131" i="1"/>
  <c r="U130" i="1"/>
  <c r="T130" i="1"/>
  <c r="S130" i="1"/>
  <c r="R130" i="1"/>
  <c r="M130" i="1"/>
  <c r="U129" i="1"/>
  <c r="T129" i="1"/>
  <c r="S129" i="1"/>
  <c r="R129" i="1"/>
  <c r="M129" i="1"/>
  <c r="U128" i="1"/>
  <c r="T128" i="1"/>
  <c r="S128" i="1"/>
  <c r="R128" i="1"/>
  <c r="M128" i="1"/>
  <c r="U127" i="1"/>
  <c r="T127" i="1"/>
  <c r="S127" i="1"/>
  <c r="R127" i="1"/>
  <c r="M127" i="1"/>
  <c r="U126" i="1"/>
  <c r="T126" i="1"/>
  <c r="S126" i="1"/>
  <c r="R126" i="1"/>
  <c r="M126" i="1"/>
  <c r="U125" i="1"/>
  <c r="T125" i="1"/>
  <c r="S125" i="1"/>
  <c r="R125" i="1"/>
  <c r="M125" i="1"/>
  <c r="U124" i="1"/>
  <c r="T124" i="1"/>
  <c r="S124" i="1"/>
  <c r="R124" i="1"/>
  <c r="M124" i="1"/>
  <c r="U123" i="1"/>
  <c r="T123" i="1"/>
  <c r="S123" i="1"/>
  <c r="R123" i="1"/>
  <c r="M123" i="1"/>
  <c r="U122" i="1"/>
  <c r="T122" i="1"/>
  <c r="S122" i="1"/>
  <c r="R122" i="1"/>
  <c r="M122" i="1"/>
  <c r="U121" i="1"/>
  <c r="T121" i="1"/>
  <c r="S121" i="1"/>
  <c r="R121" i="1"/>
  <c r="M121" i="1"/>
  <c r="U120" i="1"/>
  <c r="T120" i="1"/>
  <c r="S120" i="1"/>
  <c r="R120" i="1"/>
  <c r="M120" i="1"/>
  <c r="U119" i="1"/>
  <c r="T119" i="1"/>
  <c r="S119" i="1"/>
  <c r="R119" i="1"/>
  <c r="M119" i="1"/>
  <c r="U118" i="1"/>
  <c r="T118" i="1"/>
  <c r="S118" i="1"/>
  <c r="R118" i="1"/>
  <c r="M118" i="1"/>
  <c r="U117" i="1"/>
  <c r="T117" i="1"/>
  <c r="S117" i="1"/>
  <c r="R117" i="1"/>
  <c r="M117" i="1"/>
  <c r="U116" i="1"/>
  <c r="T116" i="1"/>
  <c r="S116" i="1"/>
  <c r="R116" i="1"/>
  <c r="M116" i="1"/>
  <c r="U115" i="1"/>
  <c r="T115" i="1"/>
  <c r="S115" i="1"/>
  <c r="R115" i="1"/>
  <c r="M115" i="1"/>
  <c r="U114" i="1"/>
  <c r="T114" i="1"/>
  <c r="S114" i="1"/>
  <c r="R114" i="1"/>
  <c r="M114" i="1"/>
  <c r="U113" i="1"/>
  <c r="T113" i="1"/>
  <c r="S113" i="1"/>
  <c r="R113" i="1"/>
  <c r="M113" i="1"/>
  <c r="U112" i="1"/>
  <c r="T112" i="1"/>
  <c r="S112" i="1"/>
  <c r="R112" i="1"/>
  <c r="M112" i="1"/>
  <c r="U111" i="1"/>
  <c r="T111" i="1"/>
  <c r="S111" i="1"/>
  <c r="R111" i="1"/>
  <c r="M111" i="1"/>
  <c r="U110" i="1"/>
  <c r="T110" i="1"/>
  <c r="S110" i="1"/>
  <c r="R110" i="1"/>
  <c r="M110" i="1"/>
  <c r="U109" i="1"/>
  <c r="T109" i="1"/>
  <c r="S109" i="1"/>
  <c r="R109" i="1"/>
  <c r="M109" i="1"/>
  <c r="U108" i="1"/>
  <c r="T108" i="1"/>
  <c r="S108" i="1"/>
  <c r="R108" i="1"/>
  <c r="M108" i="1"/>
  <c r="U107" i="1"/>
  <c r="T107" i="1"/>
  <c r="S107" i="1"/>
  <c r="R107" i="1"/>
  <c r="M107" i="1"/>
  <c r="U106" i="1"/>
  <c r="T106" i="1"/>
  <c r="S106" i="1"/>
  <c r="R106" i="1"/>
  <c r="M106" i="1"/>
  <c r="U105" i="1"/>
  <c r="T105" i="1"/>
  <c r="S105" i="1"/>
  <c r="R105" i="1"/>
  <c r="M105" i="1"/>
  <c r="U104" i="1"/>
  <c r="T104" i="1"/>
  <c r="S104" i="1"/>
  <c r="R104" i="1"/>
  <c r="M104" i="1"/>
  <c r="U103" i="1"/>
  <c r="T103" i="1"/>
  <c r="S103" i="1"/>
  <c r="R103" i="1"/>
  <c r="M103" i="1"/>
  <c r="U102" i="1"/>
  <c r="T102" i="1"/>
  <c r="S102" i="1"/>
  <c r="R102" i="1"/>
  <c r="M102" i="1"/>
  <c r="U101" i="1"/>
  <c r="T101" i="1"/>
  <c r="S101" i="1"/>
  <c r="R101" i="1"/>
  <c r="M101" i="1"/>
  <c r="U100" i="1"/>
  <c r="T100" i="1"/>
  <c r="S100" i="1"/>
  <c r="R100" i="1"/>
  <c r="M100" i="1"/>
  <c r="U99" i="1"/>
  <c r="T99" i="1"/>
  <c r="S99" i="1"/>
  <c r="R99" i="1"/>
  <c r="M99" i="1"/>
  <c r="U98" i="1"/>
  <c r="T98" i="1"/>
  <c r="S98" i="1"/>
  <c r="R98" i="1"/>
  <c r="M98" i="1"/>
  <c r="U97" i="1"/>
  <c r="T97" i="1"/>
  <c r="S97" i="1"/>
  <c r="R97" i="1"/>
  <c r="M97" i="1"/>
  <c r="U96" i="1"/>
  <c r="T96" i="1"/>
  <c r="S96" i="1"/>
  <c r="R96" i="1"/>
  <c r="M96" i="1"/>
  <c r="U95" i="1"/>
  <c r="T95" i="1"/>
  <c r="S95" i="1"/>
  <c r="R95" i="1"/>
  <c r="M95" i="1"/>
  <c r="U94" i="1"/>
  <c r="T94" i="1"/>
  <c r="S94" i="1"/>
  <c r="R94" i="1"/>
  <c r="M94" i="1"/>
  <c r="U93" i="1"/>
  <c r="T93" i="1"/>
  <c r="S93" i="1"/>
  <c r="R93" i="1"/>
  <c r="M93" i="1"/>
  <c r="U92" i="1"/>
  <c r="T92" i="1"/>
  <c r="S92" i="1"/>
  <c r="R92" i="1"/>
  <c r="M92" i="1"/>
  <c r="U91" i="1"/>
  <c r="T91" i="1"/>
  <c r="S91" i="1"/>
  <c r="R91" i="1"/>
  <c r="M91" i="1"/>
  <c r="U90" i="1"/>
  <c r="T90" i="1"/>
  <c r="S90" i="1"/>
  <c r="R90" i="1"/>
  <c r="M90" i="1"/>
  <c r="U89" i="1"/>
  <c r="T89" i="1"/>
  <c r="S89" i="1"/>
  <c r="R89" i="1"/>
  <c r="M89" i="1"/>
  <c r="U88" i="1"/>
  <c r="T88" i="1"/>
  <c r="S88" i="1"/>
  <c r="R88" i="1"/>
  <c r="M88" i="1"/>
  <c r="U87" i="1"/>
  <c r="T87" i="1"/>
  <c r="S87" i="1"/>
  <c r="R87" i="1"/>
  <c r="M87" i="1"/>
  <c r="U86" i="1"/>
  <c r="T86" i="1"/>
  <c r="S86" i="1"/>
  <c r="R86" i="1"/>
  <c r="M86" i="1"/>
  <c r="U85" i="1"/>
  <c r="T85" i="1"/>
  <c r="S85" i="1"/>
  <c r="R85" i="1"/>
  <c r="M85" i="1"/>
  <c r="U84" i="1"/>
  <c r="T84" i="1"/>
  <c r="S84" i="1"/>
  <c r="R84" i="1"/>
  <c r="M84" i="1"/>
  <c r="U83" i="1"/>
  <c r="T83" i="1"/>
  <c r="S83" i="1"/>
  <c r="R83" i="1"/>
  <c r="M83" i="1"/>
  <c r="U82" i="1"/>
  <c r="T82" i="1"/>
  <c r="S82" i="1"/>
  <c r="R82" i="1"/>
  <c r="M82" i="1"/>
  <c r="U81" i="1"/>
  <c r="T81" i="1"/>
  <c r="S81" i="1"/>
  <c r="R81" i="1"/>
  <c r="M81" i="1"/>
  <c r="U80" i="1"/>
  <c r="T80" i="1"/>
  <c r="S80" i="1"/>
  <c r="R80" i="1"/>
  <c r="M80" i="1"/>
  <c r="U79" i="1"/>
  <c r="T79" i="1"/>
  <c r="S79" i="1"/>
  <c r="R79" i="1"/>
  <c r="M79" i="1"/>
  <c r="U78" i="1"/>
  <c r="T78" i="1"/>
  <c r="S78" i="1"/>
  <c r="R78" i="1"/>
  <c r="M78" i="1"/>
  <c r="U77" i="1"/>
  <c r="T77" i="1"/>
  <c r="S77" i="1"/>
  <c r="R77" i="1"/>
  <c r="M77" i="1"/>
  <c r="U76" i="1"/>
  <c r="T76" i="1"/>
  <c r="S76" i="1"/>
  <c r="R76" i="1"/>
  <c r="M76" i="1"/>
  <c r="U75" i="1"/>
  <c r="T75" i="1"/>
  <c r="S75" i="1"/>
  <c r="R75" i="1"/>
  <c r="M75" i="1"/>
  <c r="U74" i="1"/>
  <c r="T74" i="1"/>
  <c r="S74" i="1"/>
  <c r="R74" i="1"/>
  <c r="M74" i="1"/>
  <c r="U73" i="1"/>
  <c r="T73" i="1"/>
  <c r="S73" i="1"/>
  <c r="R73" i="1"/>
  <c r="M73" i="1"/>
  <c r="U72" i="1"/>
  <c r="T72" i="1"/>
  <c r="S72" i="1"/>
  <c r="R72" i="1"/>
  <c r="M72" i="1"/>
  <c r="U71" i="1"/>
  <c r="T71" i="1"/>
  <c r="S71" i="1"/>
  <c r="R71" i="1"/>
  <c r="M71" i="1"/>
  <c r="U70" i="1"/>
  <c r="T70" i="1"/>
  <c r="S70" i="1"/>
  <c r="R70" i="1"/>
  <c r="M70" i="1"/>
  <c r="U69" i="1"/>
  <c r="T69" i="1"/>
  <c r="S69" i="1"/>
  <c r="R69" i="1"/>
  <c r="M69" i="1"/>
  <c r="U68" i="1"/>
  <c r="T68" i="1"/>
  <c r="S68" i="1"/>
  <c r="R68" i="1"/>
  <c r="M68" i="1"/>
  <c r="U67" i="1"/>
  <c r="T67" i="1"/>
  <c r="S67" i="1"/>
  <c r="R67" i="1"/>
  <c r="M67" i="1"/>
  <c r="U66" i="1"/>
  <c r="T66" i="1"/>
  <c r="S66" i="1"/>
  <c r="R66" i="1"/>
  <c r="M66" i="1"/>
  <c r="U65" i="1"/>
  <c r="T65" i="1"/>
  <c r="S65" i="1"/>
  <c r="R65" i="1"/>
  <c r="M65" i="1"/>
  <c r="U64" i="1"/>
  <c r="T64" i="1"/>
  <c r="S64" i="1"/>
  <c r="R64" i="1"/>
  <c r="M64" i="1"/>
  <c r="U63" i="1"/>
  <c r="T63" i="1"/>
  <c r="S63" i="1"/>
  <c r="R63" i="1"/>
  <c r="M63" i="1"/>
  <c r="U62" i="1"/>
  <c r="T62" i="1"/>
  <c r="S62" i="1"/>
  <c r="R62" i="1"/>
  <c r="M62" i="1"/>
  <c r="U61" i="1"/>
  <c r="T61" i="1"/>
  <c r="S61" i="1"/>
  <c r="R61" i="1"/>
  <c r="M61" i="1"/>
  <c r="U60" i="1"/>
  <c r="T60" i="1"/>
  <c r="S60" i="1"/>
  <c r="R60" i="1"/>
  <c r="M60" i="1"/>
  <c r="U59" i="1"/>
  <c r="T59" i="1"/>
  <c r="S59" i="1"/>
  <c r="R59" i="1"/>
  <c r="M59" i="1"/>
  <c r="U58" i="1"/>
  <c r="T58" i="1"/>
  <c r="S58" i="1"/>
  <c r="R58" i="1"/>
  <c r="M58" i="1"/>
  <c r="U57" i="1"/>
  <c r="T57" i="1"/>
  <c r="S57" i="1"/>
  <c r="R57" i="1"/>
  <c r="M57" i="1"/>
  <c r="U56" i="1"/>
  <c r="T56" i="1"/>
  <c r="S56" i="1"/>
  <c r="R56" i="1"/>
  <c r="M56" i="1"/>
  <c r="U55" i="1"/>
  <c r="T55" i="1"/>
  <c r="S55" i="1"/>
  <c r="R55" i="1"/>
  <c r="M55" i="1"/>
  <c r="U54" i="1"/>
  <c r="T54" i="1"/>
  <c r="S54" i="1"/>
  <c r="R54" i="1"/>
  <c r="M54" i="1"/>
  <c r="U53" i="1"/>
  <c r="T53" i="1"/>
  <c r="S53" i="1"/>
  <c r="R53" i="1"/>
  <c r="M53" i="1"/>
  <c r="U52" i="1"/>
  <c r="T52" i="1"/>
  <c r="S52" i="1"/>
  <c r="R52" i="1"/>
  <c r="M52" i="1"/>
  <c r="U51" i="1"/>
  <c r="T51" i="1"/>
  <c r="S51" i="1"/>
  <c r="R51" i="1"/>
  <c r="M51" i="1"/>
  <c r="U50" i="1"/>
  <c r="T50" i="1"/>
  <c r="S50" i="1"/>
  <c r="R50" i="1"/>
  <c r="M50" i="1"/>
  <c r="U49" i="1"/>
  <c r="T49" i="1"/>
  <c r="S49" i="1"/>
  <c r="R49" i="1"/>
  <c r="M49" i="1"/>
  <c r="U48" i="1"/>
  <c r="T48" i="1"/>
  <c r="S48" i="1"/>
  <c r="R48" i="1"/>
  <c r="M48" i="1"/>
  <c r="U47" i="1"/>
  <c r="T47" i="1"/>
  <c r="S47" i="1"/>
  <c r="R47" i="1"/>
  <c r="M47" i="1"/>
  <c r="U46" i="1"/>
  <c r="T46" i="1"/>
  <c r="S46" i="1"/>
  <c r="R46" i="1"/>
  <c r="M46" i="1"/>
  <c r="U45" i="1"/>
  <c r="T45" i="1"/>
  <c r="S45" i="1"/>
  <c r="R45" i="1"/>
  <c r="M45" i="1"/>
  <c r="U44" i="1"/>
  <c r="T44" i="1"/>
  <c r="S44" i="1"/>
  <c r="R44" i="1"/>
  <c r="M44" i="1"/>
  <c r="U43" i="1"/>
  <c r="T43" i="1"/>
  <c r="S43" i="1"/>
  <c r="R43" i="1"/>
  <c r="M43" i="1"/>
  <c r="U42" i="1"/>
  <c r="T42" i="1"/>
  <c r="S42" i="1"/>
  <c r="R42" i="1"/>
  <c r="M42" i="1"/>
  <c r="U41" i="1"/>
  <c r="T41" i="1"/>
  <c r="S41" i="1"/>
  <c r="R41" i="1"/>
  <c r="M41" i="1"/>
  <c r="U40" i="1"/>
  <c r="T40" i="1"/>
  <c r="S40" i="1"/>
  <c r="R40" i="1"/>
  <c r="M40" i="1"/>
  <c r="U39" i="1"/>
  <c r="T39" i="1"/>
  <c r="S39" i="1"/>
  <c r="R39" i="1"/>
  <c r="M39" i="1"/>
  <c r="U38" i="1"/>
  <c r="T38" i="1"/>
  <c r="S38" i="1"/>
  <c r="R38" i="1"/>
  <c r="M38" i="1"/>
  <c r="U37" i="1"/>
  <c r="T37" i="1"/>
  <c r="S37" i="1"/>
  <c r="R37" i="1"/>
  <c r="M37" i="1"/>
  <c r="U36" i="1"/>
  <c r="T36" i="1"/>
  <c r="S36" i="1"/>
  <c r="R36" i="1"/>
  <c r="M36" i="1"/>
  <c r="U35" i="1"/>
  <c r="T35" i="1"/>
  <c r="S35" i="1"/>
  <c r="R35" i="1"/>
  <c r="M35" i="1"/>
  <c r="U34" i="1"/>
  <c r="T34" i="1"/>
  <c r="S34" i="1"/>
  <c r="R34" i="1"/>
  <c r="M34" i="1"/>
  <c r="U33" i="1"/>
  <c r="T33" i="1"/>
  <c r="S33" i="1"/>
  <c r="R33" i="1"/>
  <c r="M33" i="1"/>
  <c r="U32" i="1"/>
  <c r="T32" i="1"/>
  <c r="S32" i="1"/>
  <c r="R32" i="1"/>
  <c r="M32" i="1"/>
  <c r="U31" i="1"/>
  <c r="T31" i="1"/>
  <c r="S31" i="1"/>
  <c r="R31" i="1"/>
  <c r="U30" i="1"/>
  <c r="T30" i="1"/>
  <c r="S30" i="1"/>
  <c r="R30" i="1"/>
  <c r="M30" i="1"/>
  <c r="U29" i="1"/>
  <c r="T29" i="1"/>
  <c r="S29" i="1"/>
  <c r="R29" i="1"/>
  <c r="M29" i="1"/>
  <c r="U28" i="1"/>
  <c r="T28" i="1"/>
  <c r="S28" i="1"/>
  <c r="R28" i="1"/>
  <c r="M28" i="1"/>
  <c r="U27" i="1"/>
  <c r="T27" i="1"/>
  <c r="S27" i="1"/>
  <c r="R27" i="1"/>
  <c r="M27" i="1"/>
  <c r="U26" i="1"/>
  <c r="T26" i="1"/>
  <c r="S26" i="1"/>
  <c r="R26" i="1"/>
  <c r="M26" i="1"/>
  <c r="U25" i="1"/>
  <c r="T25" i="1"/>
  <c r="S25" i="1"/>
  <c r="R25" i="1"/>
  <c r="M25" i="1"/>
  <c r="K25" i="1"/>
  <c r="U24" i="1"/>
  <c r="T24" i="1"/>
  <c r="S24" i="1"/>
  <c r="R24" i="1"/>
  <c r="M24" i="1"/>
  <c r="K24" i="1"/>
  <c r="U23" i="1"/>
  <c r="T23" i="1"/>
  <c r="S23" i="1"/>
  <c r="R23" i="1"/>
  <c r="M23" i="1"/>
  <c r="U22" i="1"/>
  <c r="T22" i="1"/>
  <c r="S22" i="1"/>
  <c r="R22" i="1"/>
  <c r="M22" i="1"/>
  <c r="K22" i="1"/>
  <c r="U21" i="1"/>
  <c r="T21" i="1"/>
  <c r="S21" i="1"/>
  <c r="R21" i="1"/>
  <c r="M21" i="1"/>
  <c r="K21" i="1"/>
  <c r="U20" i="1"/>
  <c r="T20" i="1"/>
  <c r="S20" i="1"/>
  <c r="R20" i="1"/>
  <c r="M20" i="1"/>
  <c r="K20" i="1"/>
  <c r="U19" i="1"/>
  <c r="T19" i="1"/>
  <c r="S19" i="1"/>
  <c r="R19" i="1"/>
  <c r="M19" i="1"/>
  <c r="U18" i="1"/>
  <c r="T18" i="1"/>
  <c r="S18" i="1"/>
  <c r="R18" i="1"/>
  <c r="M18" i="1"/>
  <c r="K18" i="1"/>
  <c r="U17" i="1"/>
  <c r="T17" i="1"/>
  <c r="S17" i="1"/>
  <c r="R17" i="1"/>
  <c r="M17" i="1"/>
  <c r="K17" i="1"/>
  <c r="U16" i="1"/>
  <c r="T16" i="1"/>
  <c r="S16" i="1"/>
  <c r="R16" i="1"/>
  <c r="M16" i="1"/>
  <c r="K16" i="1"/>
  <c r="U15" i="1"/>
  <c r="T15" i="1"/>
  <c r="S15" i="1"/>
  <c r="R15" i="1"/>
  <c r="M15" i="1"/>
  <c r="K15" i="1"/>
  <c r="U14" i="1"/>
  <c r="T14" i="1"/>
  <c r="S14" i="1"/>
  <c r="R14" i="1"/>
  <c r="M14" i="1"/>
  <c r="K14" i="1"/>
  <c r="U13" i="1"/>
  <c r="T13" i="1"/>
  <c r="S13" i="1"/>
  <c r="R13" i="1"/>
  <c r="Q13" i="1"/>
  <c r="M13" i="1"/>
  <c r="K13" i="1"/>
  <c r="U12" i="1"/>
  <c r="T12" i="1"/>
  <c r="S12" i="1"/>
  <c r="R12" i="1"/>
  <c r="M12" i="1"/>
  <c r="K12" i="1"/>
  <c r="U11" i="1"/>
  <c r="T11" i="1"/>
  <c r="S11" i="1"/>
  <c r="R11" i="1"/>
  <c r="M11" i="1"/>
  <c r="K11" i="1"/>
  <c r="U10" i="1"/>
  <c r="T10" i="1"/>
  <c r="S10" i="1"/>
  <c r="R10" i="1"/>
  <c r="M10" i="1"/>
  <c r="K10" i="1"/>
  <c r="U9" i="1"/>
  <c r="T9" i="1"/>
  <c r="S9" i="1"/>
  <c r="R9" i="1"/>
  <c r="M9" i="1"/>
  <c r="K9" i="1"/>
  <c r="U8" i="1"/>
  <c r="T8" i="1"/>
  <c r="S8" i="1"/>
  <c r="R8" i="1"/>
  <c r="M8" i="1"/>
  <c r="K8" i="1"/>
  <c r="U7" i="1"/>
  <c r="T7" i="1"/>
  <c r="S7" i="1"/>
  <c r="R7" i="1"/>
  <c r="M7" i="1"/>
  <c r="K7" i="1"/>
  <c r="U6" i="1"/>
  <c r="T6" i="1"/>
  <c r="S6" i="1"/>
  <c r="R6" i="1"/>
  <c r="M6" i="1"/>
  <c r="U5" i="1"/>
  <c r="T5" i="1"/>
  <c r="S5" i="1"/>
  <c r="R5" i="1"/>
  <c r="M5" i="1"/>
  <c r="I10" i="4"/>
  <c r="H6" i="4"/>
  <c r="C6" i="4"/>
  <c r="B16" i="2" l="1"/>
  <c r="L40" i="4"/>
  <c r="J29" i="4"/>
  <c r="F10" i="4"/>
  <c r="B28" i="4"/>
  <c r="G22" i="4"/>
  <c r="H42" i="4"/>
  <c r="G10" i="4"/>
  <c r="H10" i="4"/>
  <c r="J10" i="4"/>
  <c r="K16" i="4"/>
  <c r="H12" i="4"/>
  <c r="C18" i="4"/>
  <c r="L30" i="4"/>
  <c r="G23" i="4"/>
  <c r="M13" i="4"/>
  <c r="D18" i="4"/>
  <c r="L23" i="4"/>
  <c r="F31" i="4"/>
  <c r="H32" i="4"/>
  <c r="B14" i="4"/>
  <c r="M24" i="4"/>
  <c r="C14" i="4"/>
  <c r="B33" i="4"/>
  <c r="I12" i="4"/>
  <c r="C15" i="4"/>
  <c r="J19" i="4"/>
  <c r="L10" i="4"/>
  <c r="D34" i="4"/>
  <c r="B10" i="4"/>
  <c r="M10" i="4"/>
  <c r="H15" i="4"/>
  <c r="L20" i="4"/>
  <c r="H26" i="4"/>
  <c r="L35" i="4"/>
  <c r="K10" i="4"/>
  <c r="K151" i="4"/>
  <c r="E134" i="4"/>
  <c r="E19" i="4"/>
  <c r="B25" i="4"/>
  <c r="C10" i="4"/>
  <c r="F11" i="4"/>
  <c r="I15" i="4"/>
  <c r="M20" i="4"/>
  <c r="H37" i="4"/>
  <c r="K6" i="3"/>
  <c r="D6" i="6"/>
  <c r="K20" i="4"/>
  <c r="G26" i="4"/>
  <c r="C28" i="4"/>
  <c r="D10" i="4"/>
  <c r="G11" i="4"/>
  <c r="I16" i="4"/>
  <c r="E22" i="4"/>
  <c r="D39" i="4"/>
  <c r="E10" i="4"/>
  <c r="G12" i="4"/>
  <c r="J16" i="4"/>
  <c r="F22" i="4"/>
  <c r="D29" i="4"/>
  <c r="E18" i="4"/>
  <c r="F21" i="4"/>
  <c r="B24" i="4"/>
  <c r="H31" i="4"/>
  <c r="L39" i="4"/>
  <c r="B52" i="4"/>
  <c r="H11" i="4"/>
  <c r="F18" i="4"/>
  <c r="J26" i="4"/>
  <c r="L34" i="4"/>
  <c r="D43" i="4"/>
  <c r="M49" i="4"/>
  <c r="I54" i="4"/>
  <c r="J59" i="4"/>
  <c r="C67" i="4"/>
  <c r="J79" i="4"/>
  <c r="M88" i="4"/>
  <c r="G99" i="4"/>
  <c r="E109" i="4"/>
  <c r="K119" i="4"/>
  <c r="E12" i="4"/>
  <c r="G13" i="4"/>
  <c r="M14" i="4"/>
  <c r="G16" i="4"/>
  <c r="I17" i="4"/>
  <c r="C19" i="4"/>
  <c r="I20" i="4"/>
  <c r="K21" i="4"/>
  <c r="E23" i="4"/>
  <c r="K24" i="4"/>
  <c r="M25" i="4"/>
  <c r="G27" i="4"/>
  <c r="B29" i="4"/>
  <c r="J30" i="4"/>
  <c r="F32" i="4"/>
  <c r="B34" i="4"/>
  <c r="J35" i="4"/>
  <c r="F37" i="4"/>
  <c r="B39" i="4"/>
  <c r="J40" i="4"/>
  <c r="F42" i="4"/>
  <c r="D44" i="4"/>
  <c r="G46" i="4"/>
  <c r="G48" i="4"/>
  <c r="M50" i="4"/>
  <c r="C53" i="4"/>
  <c r="J55" i="4"/>
  <c r="B58" i="4"/>
  <c r="K60" i="4"/>
  <c r="D63" i="4"/>
  <c r="M65" i="4"/>
  <c r="F68" i="4"/>
  <c r="E71" i="4"/>
  <c r="H74" i="4"/>
  <c r="D78" i="4"/>
  <c r="K81" i="4"/>
  <c r="D86" i="4"/>
  <c r="J91" i="4"/>
  <c r="I96" i="4"/>
  <c r="G101" i="4"/>
  <c r="B107" i="4"/>
  <c r="C112" i="4"/>
  <c r="B117" i="4"/>
  <c r="D123" i="4"/>
  <c r="I129" i="4"/>
  <c r="L138" i="4"/>
  <c r="C148" i="4"/>
  <c r="F12" i="4"/>
  <c r="L13" i="4"/>
  <c r="B15" i="4"/>
  <c r="H16" i="4"/>
  <c r="B18" i="4"/>
  <c r="D19" i="4"/>
  <c r="J20" i="4"/>
  <c r="D22" i="4"/>
  <c r="F23" i="4"/>
  <c r="L24" i="4"/>
  <c r="F26" i="4"/>
  <c r="H27" i="4"/>
  <c r="C29" i="4"/>
  <c r="K30" i="4"/>
  <c r="G32" i="4"/>
  <c r="C34" i="4"/>
  <c r="K35" i="4"/>
  <c r="G37" i="4"/>
  <c r="C39" i="4"/>
  <c r="K40" i="4"/>
  <c r="G42" i="4"/>
  <c r="J44" i="4"/>
  <c r="H46" i="4"/>
  <c r="B49" i="4"/>
  <c r="B51" i="4"/>
  <c r="J53" i="4"/>
  <c r="K55" i="4"/>
  <c r="J58" i="4"/>
  <c r="M60" i="4"/>
  <c r="L63" i="4"/>
  <c r="C66" i="4"/>
  <c r="M68" i="4"/>
  <c r="G71" i="4"/>
  <c r="C75" i="4"/>
  <c r="F78" i="4"/>
  <c r="B82" i="4"/>
  <c r="C87" i="4"/>
  <c r="B92" i="4"/>
  <c r="K96" i="4"/>
  <c r="F102" i="4"/>
  <c r="G107" i="4"/>
  <c r="F112" i="4"/>
  <c r="M117" i="4"/>
  <c r="G123" i="4"/>
  <c r="I130" i="4"/>
  <c r="L139" i="4"/>
  <c r="C149" i="4"/>
  <c r="K44" i="4"/>
  <c r="J46" i="4"/>
  <c r="C49" i="4"/>
  <c r="E51" i="4"/>
  <c r="K53" i="4"/>
  <c r="M55" i="4"/>
  <c r="K58" i="4"/>
  <c r="D61" i="4"/>
  <c r="M63" i="4"/>
  <c r="E66" i="4"/>
  <c r="B69" i="4"/>
  <c r="C72" i="4"/>
  <c r="F75" i="4"/>
  <c r="J78" i="4"/>
  <c r="L82" i="4"/>
  <c r="F87" i="4"/>
  <c r="D92" i="4"/>
  <c r="K97" i="4"/>
  <c r="L102" i="4"/>
  <c r="K107" i="4"/>
  <c r="E113" i="4"/>
  <c r="C118" i="4"/>
  <c r="B124" i="4"/>
  <c r="G131" i="4"/>
  <c r="J140" i="4"/>
  <c r="M149" i="4"/>
  <c r="J34" i="4"/>
  <c r="F36" i="4"/>
  <c r="B38" i="4"/>
  <c r="J39" i="4"/>
  <c r="F41" i="4"/>
  <c r="B43" i="4"/>
  <c r="L44" i="4"/>
  <c r="D47" i="4"/>
  <c r="D49" i="4"/>
  <c r="K51" i="4"/>
  <c r="L53" i="4"/>
  <c r="I56" i="4"/>
  <c r="L58" i="4"/>
  <c r="J61" i="4"/>
  <c r="B64" i="4"/>
  <c r="M66" i="4"/>
  <c r="C69" i="4"/>
  <c r="E72" i="4"/>
  <c r="H75" i="4"/>
  <c r="D79" i="4"/>
  <c r="E83" i="4"/>
  <c r="H87" i="4"/>
  <c r="C93" i="4"/>
  <c r="D98" i="4"/>
  <c r="C103" i="4"/>
  <c r="J108" i="4"/>
  <c r="G113" i="4"/>
  <c r="I118" i="4"/>
  <c r="B125" i="4"/>
  <c r="G132" i="4"/>
  <c r="J141" i="4"/>
  <c r="M150" i="4"/>
  <c r="M156" i="4"/>
  <c r="M23" i="4"/>
  <c r="C25" i="4"/>
  <c r="I26" i="4"/>
  <c r="D28" i="4"/>
  <c r="K29" i="4"/>
  <c r="G31" i="4"/>
  <c r="C33" i="4"/>
  <c r="K34" i="4"/>
  <c r="G36" i="4"/>
  <c r="C38" i="4"/>
  <c r="K39" i="4"/>
  <c r="G41" i="4"/>
  <c r="C43" i="4"/>
  <c r="B45" i="4"/>
  <c r="E47" i="4"/>
  <c r="F49" i="4"/>
  <c r="L51" i="4"/>
  <c r="B54" i="4"/>
  <c r="J56" i="4"/>
  <c r="C59" i="4"/>
  <c r="M61" i="4"/>
  <c r="D64" i="4"/>
  <c r="B67" i="4"/>
  <c r="G69" i="4"/>
  <c r="G72" i="4"/>
  <c r="D76" i="4"/>
  <c r="H79" i="4"/>
  <c r="G83" i="4"/>
  <c r="G88" i="4"/>
  <c r="I93" i="4"/>
  <c r="G98" i="4"/>
  <c r="B104" i="4"/>
  <c r="L108" i="4"/>
  <c r="M113" i="4"/>
  <c r="H119" i="4"/>
  <c r="F125" i="4"/>
  <c r="E133" i="4"/>
  <c r="H142" i="4"/>
  <c r="J15" i="4"/>
  <c r="H41" i="4"/>
  <c r="F76" i="4"/>
  <c r="D104" i="4"/>
  <c r="I143" i="4"/>
  <c r="C100" i="4"/>
  <c r="D97" i="4"/>
  <c r="H92" i="4"/>
  <c r="M87" i="4"/>
  <c r="I83" i="4"/>
  <c r="K79" i="4"/>
  <c r="K77" i="4"/>
  <c r="I75" i="4"/>
  <c r="H71" i="4"/>
  <c r="G68" i="4"/>
  <c r="F65" i="4"/>
  <c r="E63" i="4"/>
  <c r="E60" i="4"/>
  <c r="C56" i="4"/>
  <c r="D53" i="4"/>
  <c r="H49" i="4"/>
  <c r="K46" i="4"/>
  <c r="C45" i="4"/>
  <c r="I42" i="4"/>
  <c r="C40" i="4"/>
  <c r="I37" i="4"/>
  <c r="E34" i="4"/>
  <c r="M30" i="4"/>
  <c r="G109" i="4"/>
  <c r="H95" i="4"/>
  <c r="E89" i="4"/>
  <c r="K84" i="4"/>
  <c r="L80" i="4"/>
  <c r="J76" i="4"/>
  <c r="I73" i="4"/>
  <c r="H69" i="4"/>
  <c r="F66" i="4"/>
  <c r="E62" i="4"/>
  <c r="D58" i="4"/>
  <c r="C54" i="4"/>
  <c r="F51" i="4"/>
  <c r="H48" i="4"/>
  <c r="M45" i="4"/>
  <c r="G43" i="4"/>
  <c r="M40" i="4"/>
  <c r="G38" i="4"/>
  <c r="C35" i="4"/>
  <c r="K31" i="4"/>
  <c r="C117" i="4"/>
  <c r="C57" i="4"/>
  <c r="M35" i="4"/>
  <c r="E29" i="4"/>
  <c r="C64" i="4"/>
  <c r="C63" i="4"/>
  <c r="C62" i="4"/>
  <c r="C61" i="4"/>
  <c r="B60" i="4"/>
  <c r="M58" i="4"/>
  <c r="M57" i="4"/>
  <c r="M56" i="4"/>
  <c r="L55" i="4"/>
  <c r="L54" i="4"/>
  <c r="M53" i="4"/>
  <c r="B53" i="4"/>
  <c r="C52" i="4"/>
  <c r="D51" i="4"/>
  <c r="D50" i="4"/>
  <c r="E49" i="4"/>
  <c r="F48" i="4"/>
  <c r="G47" i="4"/>
  <c r="I46" i="4"/>
  <c r="K45" i="4"/>
  <c r="M44" i="4"/>
  <c r="C44" i="4"/>
  <c r="E43" i="4"/>
  <c r="E157" i="4"/>
  <c r="C155" i="4"/>
  <c r="C153" i="4"/>
  <c r="E151" i="4"/>
  <c r="G149" i="4"/>
  <c r="H147" i="4"/>
  <c r="J145" i="4"/>
  <c r="L143" i="4"/>
  <c r="B142" i="4"/>
  <c r="C140" i="4"/>
  <c r="E138" i="4"/>
  <c r="G136" i="4"/>
  <c r="I134" i="4"/>
  <c r="K132" i="4"/>
  <c r="L130" i="4"/>
  <c r="B129" i="4"/>
  <c r="C157" i="4"/>
  <c r="L154" i="4"/>
  <c r="M152" i="4"/>
  <c r="C151" i="4"/>
  <c r="D149" i="4"/>
  <c r="F147" i="4"/>
  <c r="H145" i="4"/>
  <c r="J143" i="4"/>
  <c r="K141" i="4"/>
  <c r="M139" i="4"/>
  <c r="C138" i="4"/>
  <c r="E136" i="4"/>
  <c r="G134" i="4"/>
  <c r="H132" i="4"/>
  <c r="J130" i="4"/>
  <c r="L128" i="4"/>
  <c r="B127" i="4"/>
  <c r="C125" i="4"/>
  <c r="E123" i="4"/>
  <c r="G121" i="4"/>
  <c r="I119" i="4"/>
  <c r="B118" i="4"/>
  <c r="I116" i="4"/>
  <c r="M114" i="4"/>
  <c r="F113" i="4"/>
  <c r="B112" i="4"/>
  <c r="F110" i="4"/>
  <c r="K108" i="4"/>
  <c r="F107" i="4"/>
  <c r="J105" i="4"/>
  <c r="C104" i="4"/>
  <c r="K102" i="4"/>
  <c r="C101" i="4"/>
  <c r="H99" i="4"/>
  <c r="C98" i="4"/>
  <c r="G96" i="4"/>
  <c r="L94" i="4"/>
  <c r="G93" i="4"/>
  <c r="K91" i="4"/>
  <c r="E90" i="4"/>
  <c r="L88" i="4"/>
  <c r="D87" i="4"/>
  <c r="I85" i="4"/>
  <c r="G84" i="4"/>
  <c r="M82" i="4"/>
  <c r="J81" i="4"/>
  <c r="H80" i="4"/>
  <c r="E79" i="4"/>
  <c r="E78" i="4"/>
  <c r="E77" i="4"/>
  <c r="E76" i="4"/>
  <c r="E75" i="4"/>
  <c r="D74" i="4"/>
  <c r="D73" i="4"/>
  <c r="D72" i="4"/>
  <c r="D71" i="4"/>
  <c r="B157" i="4"/>
  <c r="K101" i="4"/>
  <c r="I98" i="4"/>
  <c r="M93" i="4"/>
  <c r="L90" i="4"/>
  <c r="E86" i="4"/>
  <c r="F82" i="4"/>
  <c r="K78" i="4"/>
  <c r="I74" i="4"/>
  <c r="H72" i="4"/>
  <c r="H70" i="4"/>
  <c r="G67" i="4"/>
  <c r="E64" i="4"/>
  <c r="E61" i="4"/>
  <c r="D59" i="4"/>
  <c r="B55" i="4"/>
  <c r="E52" i="4"/>
  <c r="G50" i="4"/>
  <c r="I47" i="4"/>
  <c r="E44" i="4"/>
  <c r="K41" i="4"/>
  <c r="E39" i="4"/>
  <c r="K36" i="4"/>
  <c r="G33" i="4"/>
  <c r="I32" i="4"/>
  <c r="C30" i="4"/>
  <c r="I27" i="4"/>
  <c r="D14" i="4"/>
  <c r="D38" i="4"/>
  <c r="C73" i="4"/>
  <c r="L114" i="4"/>
  <c r="L152" i="4"/>
  <c r="D17" i="4"/>
  <c r="H22" i="4"/>
  <c r="E28" i="4"/>
  <c r="D33" i="4"/>
  <c r="H45" i="4"/>
  <c r="B62" i="4"/>
  <c r="L125" i="4"/>
  <c r="E14" i="4"/>
  <c r="G18" i="4"/>
  <c r="M19" i="4"/>
  <c r="I25" i="4"/>
  <c r="F28" i="4"/>
  <c r="M34" i="4"/>
  <c r="E38" i="4"/>
  <c r="F43" i="4"/>
  <c r="B50" i="4"/>
  <c r="J54" i="4"/>
  <c r="D62" i="4"/>
  <c r="E67" i="4"/>
  <c r="H84" i="4"/>
  <c r="C135" i="4"/>
  <c r="D13" i="4"/>
  <c r="J14" i="4"/>
  <c r="F17" i="4"/>
  <c r="B20" i="4"/>
  <c r="H21" i="4"/>
  <c r="B23" i="4"/>
  <c r="D24" i="4"/>
  <c r="J25" i="4"/>
  <c r="D27" i="4"/>
  <c r="G28" i="4"/>
  <c r="B30" i="4"/>
  <c r="J31" i="4"/>
  <c r="F33" i="4"/>
  <c r="B35" i="4"/>
  <c r="J36" i="4"/>
  <c r="F38" i="4"/>
  <c r="B40" i="4"/>
  <c r="J41" i="4"/>
  <c r="L43" i="4"/>
  <c r="J45" i="4"/>
  <c r="C48" i="4"/>
  <c r="C50" i="4"/>
  <c r="J52" i="4"/>
  <c r="K54" i="4"/>
  <c r="I57" i="4"/>
  <c r="L59" i="4"/>
  <c r="L62" i="4"/>
  <c r="B65" i="4"/>
  <c r="M67" i="4"/>
  <c r="E70" i="4"/>
  <c r="G73" i="4"/>
  <c r="D77" i="4"/>
  <c r="I80" i="4"/>
  <c r="J84" i="4"/>
  <c r="C90" i="4"/>
  <c r="M94" i="4"/>
  <c r="B100" i="4"/>
  <c r="I105" i="4"/>
  <c r="H110" i="4"/>
  <c r="F115" i="4"/>
  <c r="F121" i="4"/>
  <c r="D127" i="4"/>
  <c r="D136" i="4"/>
  <c r="G145" i="4"/>
  <c r="K154" i="4"/>
  <c r="C13" i="4"/>
  <c r="E17" i="4"/>
  <c r="I22" i="4"/>
  <c r="K26" i="4"/>
  <c r="I31" i="4"/>
  <c r="I36" i="4"/>
  <c r="I41" i="4"/>
  <c r="H47" i="4"/>
  <c r="B57" i="4"/>
  <c r="M64" i="4"/>
  <c r="E73" i="4"/>
  <c r="E80" i="4"/>
  <c r="K94" i="4"/>
  <c r="I99" i="4"/>
  <c r="E110" i="4"/>
  <c r="F120" i="4"/>
  <c r="G144" i="4"/>
  <c r="K11" i="4"/>
  <c r="E13" i="4"/>
  <c r="K14" i="4"/>
  <c r="M15" i="4"/>
  <c r="G17" i="4"/>
  <c r="M18" i="4"/>
  <c r="C20" i="4"/>
  <c r="I21" i="4"/>
  <c r="C23" i="4"/>
  <c r="E24" i="4"/>
  <c r="K25" i="4"/>
  <c r="E27" i="4"/>
  <c r="L28" i="4"/>
  <c r="H30" i="4"/>
  <c r="D32" i="4"/>
  <c r="L33" i="4"/>
  <c r="H35" i="4"/>
  <c r="D37" i="4"/>
  <c r="L38" i="4"/>
  <c r="H40" i="4"/>
  <c r="D42" i="4"/>
  <c r="M43" i="4"/>
  <c r="L45" i="4"/>
  <c r="D48" i="4"/>
  <c r="F50" i="4"/>
  <c r="L52" i="4"/>
  <c r="M54" i="4"/>
  <c r="K57" i="4"/>
  <c r="C60" i="4"/>
  <c r="M62" i="4"/>
  <c r="E65" i="4"/>
  <c r="B68" i="4"/>
  <c r="G70" i="4"/>
  <c r="C74" i="4"/>
  <c r="F77" i="4"/>
  <c r="K80" i="4"/>
  <c r="H85" i="4"/>
  <c r="F90" i="4"/>
  <c r="G95" i="4"/>
  <c r="M100" i="4"/>
  <c r="L105" i="4"/>
  <c r="J110" i="4"/>
  <c r="E116" i="4"/>
  <c r="I121" i="4"/>
  <c r="K127" i="4"/>
  <c r="B137" i="4"/>
  <c r="E146" i="4"/>
  <c r="J155" i="4"/>
  <c r="K19" i="4"/>
  <c r="B13" i="4"/>
  <c r="L19" i="4"/>
  <c r="H25" i="4"/>
  <c r="L29" i="4"/>
  <c r="H36" i="4"/>
  <c r="F47" i="4"/>
  <c r="K56" i="4"/>
  <c r="L64" i="4"/>
  <c r="M69" i="4"/>
  <c r="E84" i="4"/>
  <c r="L93" i="4"/>
  <c r="I11" i="4"/>
  <c r="K15" i="4"/>
  <c r="G21" i="4"/>
  <c r="C24" i="4"/>
  <c r="M29" i="4"/>
  <c r="E33" i="4"/>
  <c r="M39" i="4"/>
  <c r="I45" i="4"/>
  <c r="D52" i="4"/>
  <c r="K59" i="4"/>
  <c r="B70" i="4"/>
  <c r="H76" i="4"/>
  <c r="D89" i="4"/>
  <c r="J104" i="4"/>
  <c r="C115" i="4"/>
  <c r="M126" i="4"/>
  <c r="J153" i="4"/>
  <c r="J11" i="4"/>
  <c r="L15" i="4"/>
  <c r="L18" i="4"/>
  <c r="D12" i="4"/>
  <c r="F13" i="4"/>
  <c r="L14" i="4"/>
  <c r="F16" i="4"/>
  <c r="H17" i="4"/>
  <c r="B19" i="4"/>
  <c r="H20" i="4"/>
  <c r="J21" i="4"/>
  <c r="D23" i="4"/>
  <c r="J24" i="4"/>
  <c r="L25" i="4"/>
  <c r="F27" i="4"/>
  <c r="M28" i="4"/>
  <c r="I30" i="4"/>
  <c r="E32" i="4"/>
  <c r="M33" i="4"/>
  <c r="I35" i="4"/>
  <c r="E37" i="4"/>
  <c r="M38" i="4"/>
  <c r="I40" i="4"/>
  <c r="E42" i="4"/>
  <c r="B44" i="4"/>
  <c r="F46" i="4"/>
  <c r="E48" i="4"/>
  <c r="L50" i="4"/>
  <c r="M52" i="4"/>
  <c r="I55" i="4"/>
  <c r="L57" i="4"/>
  <c r="J60" i="4"/>
  <c r="B63" i="4"/>
  <c r="L65" i="4"/>
  <c r="C68" i="4"/>
  <c r="M70" i="4"/>
  <c r="E74" i="4"/>
  <c r="I77" i="4"/>
  <c r="I81" i="4"/>
  <c r="J85" i="4"/>
  <c r="K90" i="4"/>
  <c r="F96" i="4"/>
  <c r="E101" i="4"/>
  <c r="C106" i="4"/>
  <c r="I111" i="4"/>
  <c r="J116" i="4"/>
  <c r="D122" i="4"/>
  <c r="K128" i="4"/>
  <c r="B138" i="4"/>
  <c r="E147" i="4"/>
  <c r="B158" i="4"/>
  <c r="D103" i="4"/>
  <c r="G106" i="4"/>
  <c r="C111" i="4"/>
  <c r="B114" i="4"/>
  <c r="J118" i="4"/>
  <c r="E122" i="4"/>
  <c r="M125" i="4"/>
  <c r="J129" i="4"/>
  <c r="F133" i="4"/>
  <c r="C137" i="4"/>
  <c r="K140" i="4"/>
  <c r="H144" i="4"/>
  <c r="D148" i="4"/>
  <c r="M151" i="4"/>
  <c r="C158" i="4"/>
  <c r="E11" i="4"/>
  <c r="C12" i="4"/>
  <c r="M12" i="4"/>
  <c r="K13" i="4"/>
  <c r="I14" i="4"/>
  <c r="G15" i="4"/>
  <c r="E16" i="4"/>
  <c r="C17" i="4"/>
  <c r="M17" i="4"/>
  <c r="K18" i="4"/>
  <c r="I19" i="4"/>
  <c r="G20" i="4"/>
  <c r="E21" i="4"/>
  <c r="C22" i="4"/>
  <c r="M22" i="4"/>
  <c r="K23" i="4"/>
  <c r="I24" i="4"/>
  <c r="G25" i="4"/>
  <c r="E26" i="4"/>
  <c r="C27" i="4"/>
  <c r="M27" i="4"/>
  <c r="K28" i="4"/>
  <c r="I29" i="4"/>
  <c r="G30" i="4"/>
  <c r="E31" i="4"/>
  <c r="C32" i="4"/>
  <c r="M32" i="4"/>
  <c r="K33" i="4"/>
  <c r="I34" i="4"/>
  <c r="G35" i="4"/>
  <c r="E36" i="4"/>
  <c r="C37" i="4"/>
  <c r="M37" i="4"/>
  <c r="K38" i="4"/>
  <c r="I39" i="4"/>
  <c r="G40" i="4"/>
  <c r="E41" i="4"/>
  <c r="C42" i="4"/>
  <c r="M42" i="4"/>
  <c r="K43" i="4"/>
  <c r="I44" i="4"/>
  <c r="G45" i="4"/>
  <c r="E46" i="4"/>
  <c r="C47" i="4"/>
  <c r="B48" i="4"/>
  <c r="M48" i="4"/>
  <c r="L49" i="4"/>
  <c r="K50" i="4"/>
  <c r="J51" i="4"/>
  <c r="I52" i="4"/>
  <c r="H53" i="4"/>
  <c r="H54" i="4"/>
  <c r="H55" i="4"/>
  <c r="H56" i="4"/>
  <c r="H57" i="4"/>
  <c r="I58" i="4"/>
  <c r="I59" i="4"/>
  <c r="I60" i="4"/>
  <c r="I61" i="4"/>
  <c r="I62" i="4"/>
  <c r="K63" i="4"/>
  <c r="K64" i="4"/>
  <c r="K65" i="4"/>
  <c r="K66" i="4"/>
  <c r="L67" i="4"/>
  <c r="L68" i="4"/>
  <c r="L69" i="4"/>
  <c r="L70" i="4"/>
  <c r="M71" i="4"/>
  <c r="B73" i="4"/>
  <c r="B74" i="4"/>
  <c r="B75" i="4"/>
  <c r="C76" i="4"/>
  <c r="C77" i="4"/>
  <c r="C78" i="4"/>
  <c r="C79" i="4"/>
  <c r="C80" i="4"/>
  <c r="H81" i="4"/>
  <c r="K82" i="4"/>
  <c r="D84" i="4"/>
  <c r="G85" i="4"/>
  <c r="B87" i="4"/>
  <c r="F88" i="4"/>
  <c r="M89" i="4"/>
  <c r="I91" i="4"/>
  <c r="B93" i="4"/>
  <c r="I94" i="4"/>
  <c r="E96" i="4"/>
  <c r="I97" i="4"/>
  <c r="D99" i="4"/>
  <c r="L100" i="4"/>
  <c r="E102" i="4"/>
  <c r="L103" i="4"/>
  <c r="H105" i="4"/>
  <c r="M106" i="4"/>
  <c r="G108" i="4"/>
  <c r="C110" i="4"/>
  <c r="H111" i="4"/>
  <c r="C113" i="4"/>
  <c r="K114" i="4"/>
  <c r="D116" i="4"/>
  <c r="K117" i="4"/>
  <c r="G119" i="4"/>
  <c r="E121" i="4"/>
  <c r="C123" i="4"/>
  <c r="M124" i="4"/>
  <c r="K126" i="4"/>
  <c r="J128" i="4"/>
  <c r="H130" i="4"/>
  <c r="F132" i="4"/>
  <c r="D134" i="4"/>
  <c r="C136" i="4"/>
  <c r="M137" i="4"/>
  <c r="K139" i="4"/>
  <c r="I141" i="4"/>
  <c r="G143" i="4"/>
  <c r="F145" i="4"/>
  <c r="D147" i="4"/>
  <c r="B149" i="4"/>
  <c r="L150" i="4"/>
  <c r="K152" i="4"/>
  <c r="J154" i="4"/>
  <c r="F157" i="3"/>
  <c r="H158" i="4"/>
  <c r="L158" i="5"/>
  <c r="B158" i="5"/>
  <c r="D157" i="5"/>
  <c r="F156" i="5"/>
  <c r="H155" i="5"/>
  <c r="J154" i="5"/>
  <c r="L153" i="5"/>
  <c r="B153" i="5"/>
  <c r="D152" i="5"/>
  <c r="F151" i="5"/>
  <c r="H150" i="5"/>
  <c r="J149" i="5"/>
  <c r="L148" i="5"/>
  <c r="B148" i="5"/>
  <c r="D147" i="5"/>
  <c r="F146" i="5"/>
  <c r="H145" i="5"/>
  <c r="J144" i="5"/>
  <c r="L143" i="5"/>
  <c r="B143" i="5"/>
  <c r="D142" i="5"/>
  <c r="F141" i="5"/>
  <c r="K158" i="5"/>
  <c r="M157" i="5"/>
  <c r="C157" i="5"/>
  <c r="E156" i="5"/>
  <c r="G155" i="5"/>
  <c r="I154" i="5"/>
  <c r="K153" i="5"/>
  <c r="M152" i="5"/>
  <c r="C152" i="5"/>
  <c r="E151" i="5"/>
  <c r="G150" i="5"/>
  <c r="I149" i="5"/>
  <c r="K148" i="5"/>
  <c r="M147" i="5"/>
  <c r="C147" i="5"/>
  <c r="E146" i="5"/>
  <c r="G145" i="5"/>
  <c r="I144" i="5"/>
  <c r="K143" i="5"/>
  <c r="M142" i="5"/>
  <c r="C142" i="5"/>
  <c r="E141" i="5"/>
  <c r="G140" i="5"/>
  <c r="I139" i="5"/>
  <c r="K138" i="5"/>
  <c r="M137" i="5"/>
  <c r="C137" i="5"/>
  <c r="E136" i="5"/>
  <c r="G135" i="5"/>
  <c r="I134" i="5"/>
  <c r="K133" i="5"/>
  <c r="M132" i="5"/>
  <c r="C132" i="5"/>
  <c r="E131" i="5"/>
  <c r="G130" i="5"/>
  <c r="I129" i="5"/>
  <c r="K128" i="5"/>
  <c r="M127" i="5"/>
  <c r="C127" i="5"/>
  <c r="E126" i="5"/>
  <c r="G125" i="5"/>
  <c r="I124" i="5"/>
  <c r="K123" i="5"/>
  <c r="M122" i="5"/>
  <c r="C122" i="5"/>
  <c r="E121" i="5"/>
  <c r="G120" i="5"/>
  <c r="I119" i="5"/>
  <c r="K118" i="5"/>
  <c r="M117" i="5"/>
  <c r="C117" i="5"/>
  <c r="E116" i="5"/>
  <c r="G115" i="5"/>
  <c r="I114" i="5"/>
  <c r="J158" i="5"/>
  <c r="L157" i="5"/>
  <c r="B157" i="5"/>
  <c r="D156" i="5"/>
  <c r="F155" i="5"/>
  <c r="H154" i="5"/>
  <c r="J153" i="5"/>
  <c r="L152" i="5"/>
  <c r="B152" i="5"/>
  <c r="D151" i="5"/>
  <c r="F150" i="5"/>
  <c r="H149" i="5"/>
  <c r="J148" i="5"/>
  <c r="L147" i="5"/>
  <c r="B147" i="5"/>
  <c r="D146" i="5"/>
  <c r="F145" i="5"/>
  <c r="H144" i="5"/>
  <c r="J143" i="5"/>
  <c r="L142" i="5"/>
  <c r="B142" i="5"/>
  <c r="D141" i="5"/>
  <c r="F140" i="5"/>
  <c r="H139" i="5"/>
  <c r="J138" i="5"/>
  <c r="L137" i="5"/>
  <c r="B137" i="5"/>
  <c r="D136" i="5"/>
  <c r="F135" i="5"/>
  <c r="H134" i="5"/>
  <c r="J133" i="5"/>
  <c r="L132" i="5"/>
  <c r="B132" i="5"/>
  <c r="D131" i="5"/>
  <c r="F130" i="5"/>
  <c r="H129" i="5"/>
  <c r="J128" i="5"/>
  <c r="L127" i="5"/>
  <c r="B127" i="5"/>
  <c r="D126" i="5"/>
  <c r="F125" i="5"/>
  <c r="H124" i="5"/>
  <c r="J123" i="5"/>
  <c r="L122" i="5"/>
  <c r="B122" i="5"/>
  <c r="D121" i="5"/>
  <c r="F120" i="5"/>
  <c r="H119" i="5"/>
  <c r="J118" i="5"/>
  <c r="L117" i="5"/>
  <c r="B117" i="5"/>
  <c r="D116" i="5"/>
  <c r="F115" i="5"/>
  <c r="H114" i="5"/>
  <c r="J113" i="5"/>
  <c r="L112" i="5"/>
  <c r="B112" i="5"/>
  <c r="D111" i="5"/>
  <c r="F110" i="5"/>
  <c r="F158" i="5"/>
  <c r="E157" i="5"/>
  <c r="M155" i="5"/>
  <c r="L154" i="5"/>
  <c r="H153" i="5"/>
  <c r="G152" i="5"/>
  <c r="C151" i="5"/>
  <c r="B150" i="5"/>
  <c r="M148" i="5"/>
  <c r="I147" i="5"/>
  <c r="H146" i="5"/>
  <c r="D145" i="5"/>
  <c r="C144" i="5"/>
  <c r="K142" i="5"/>
  <c r="J141" i="5"/>
  <c r="I140" i="5"/>
  <c r="G139" i="5"/>
  <c r="G138" i="5"/>
  <c r="G137" i="5"/>
  <c r="G136" i="5"/>
  <c r="E135" i="5"/>
  <c r="E134" i="5"/>
  <c r="E133" i="5"/>
  <c r="E132" i="5"/>
  <c r="C131" i="5"/>
  <c r="C130" i="5"/>
  <c r="C129" i="5"/>
  <c r="C128" i="5"/>
  <c r="M126" i="5"/>
  <c r="M125" i="5"/>
  <c r="M124" i="5"/>
  <c r="M123" i="5"/>
  <c r="K122" i="5"/>
  <c r="K121" i="5"/>
  <c r="K120" i="5"/>
  <c r="K119" i="5"/>
  <c r="I118" i="5"/>
  <c r="I117" i="5"/>
  <c r="I116" i="5"/>
  <c r="I115" i="5"/>
  <c r="G114" i="5"/>
  <c r="H113" i="5"/>
  <c r="I112" i="5"/>
  <c r="J111" i="5"/>
  <c r="K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J60" i="5"/>
  <c r="L59" i="5"/>
  <c r="E158" i="5"/>
  <c r="M156" i="5"/>
  <c r="L155" i="5"/>
  <c r="K154" i="5"/>
  <c r="G153" i="5"/>
  <c r="F152" i="5"/>
  <c r="B151" i="5"/>
  <c r="M149" i="5"/>
  <c r="I148" i="5"/>
  <c r="H147" i="5"/>
  <c r="G146" i="5"/>
  <c r="C145" i="5"/>
  <c r="B144" i="5"/>
  <c r="J142" i="5"/>
  <c r="I141" i="5"/>
  <c r="H140" i="5"/>
  <c r="F139" i="5"/>
  <c r="F138" i="5"/>
  <c r="F137" i="5"/>
  <c r="F136" i="5"/>
  <c r="D135" i="5"/>
  <c r="D134" i="5"/>
  <c r="D133" i="5"/>
  <c r="D132" i="5"/>
  <c r="B131" i="5"/>
  <c r="B130" i="5"/>
  <c r="B129" i="5"/>
  <c r="B128" i="5"/>
  <c r="L126" i="5"/>
  <c r="L125" i="5"/>
  <c r="L124" i="5"/>
  <c r="L123" i="5"/>
  <c r="J122" i="5"/>
  <c r="J121" i="5"/>
  <c r="J120" i="5"/>
  <c r="J119" i="5"/>
  <c r="H118" i="5"/>
  <c r="H117" i="5"/>
  <c r="H116" i="5"/>
  <c r="H115" i="5"/>
  <c r="D158" i="5"/>
  <c r="L156" i="5"/>
  <c r="K155" i="5"/>
  <c r="G154" i="5"/>
  <c r="F153" i="5"/>
  <c r="E152" i="5"/>
  <c r="M150" i="5"/>
  <c r="L149" i="5"/>
  <c r="H148" i="5"/>
  <c r="G147" i="5"/>
  <c r="C146" i="5"/>
  <c r="B145" i="5"/>
  <c r="M143" i="5"/>
  <c r="I142" i="5"/>
  <c r="H141" i="5"/>
  <c r="E140" i="5"/>
  <c r="E139" i="5"/>
  <c r="E138" i="5"/>
  <c r="E137" i="5"/>
  <c r="C136" i="5"/>
  <c r="C135" i="5"/>
  <c r="C134" i="5"/>
  <c r="C133" i="5"/>
  <c r="M131" i="5"/>
  <c r="M130" i="5"/>
  <c r="M129" i="5"/>
  <c r="M128" i="5"/>
  <c r="K127" i="5"/>
  <c r="K126" i="5"/>
  <c r="K125" i="5"/>
  <c r="K124" i="5"/>
  <c r="I123" i="5"/>
  <c r="I122" i="5"/>
  <c r="I121" i="5"/>
  <c r="I120" i="5"/>
  <c r="G119" i="5"/>
  <c r="G118" i="5"/>
  <c r="G117" i="5"/>
  <c r="G116" i="5"/>
  <c r="E115" i="5"/>
  <c r="E114" i="5"/>
  <c r="F113" i="5"/>
  <c r="G112" i="5"/>
  <c r="H111" i="5"/>
  <c r="I110" i="5"/>
  <c r="J109" i="5"/>
  <c r="L108" i="5"/>
  <c r="B108" i="5"/>
  <c r="D107" i="5"/>
  <c r="F106" i="5"/>
  <c r="H105" i="5"/>
  <c r="J104" i="5"/>
  <c r="L103" i="5"/>
  <c r="B103" i="5"/>
  <c r="D102" i="5"/>
  <c r="F101" i="5"/>
  <c r="H100" i="5"/>
  <c r="J99" i="5"/>
  <c r="L98" i="5"/>
  <c r="H158" i="5"/>
  <c r="G157" i="5"/>
  <c r="C156" i="5"/>
  <c r="B155" i="5"/>
  <c r="M153" i="5"/>
  <c r="I152" i="5"/>
  <c r="H151" i="5"/>
  <c r="D150" i="5"/>
  <c r="C149" i="5"/>
  <c r="K147" i="5"/>
  <c r="J146" i="5"/>
  <c r="I145" i="5"/>
  <c r="E144" i="5"/>
  <c r="D143" i="5"/>
  <c r="L141" i="5"/>
  <c r="K140" i="5"/>
  <c r="K139" i="5"/>
  <c r="I138" i="5"/>
  <c r="I137" i="5"/>
  <c r="I136" i="5"/>
  <c r="I135" i="5"/>
  <c r="G134" i="5"/>
  <c r="G133" i="5"/>
  <c r="G132" i="5"/>
  <c r="G131" i="5"/>
  <c r="E130" i="5"/>
  <c r="E129" i="5"/>
  <c r="E128" i="5"/>
  <c r="E127" i="5"/>
  <c r="C126" i="5"/>
  <c r="C125" i="5"/>
  <c r="C124" i="5"/>
  <c r="C123" i="5"/>
  <c r="M121" i="5"/>
  <c r="M120" i="5"/>
  <c r="M119" i="5"/>
  <c r="M118" i="5"/>
  <c r="K117" i="5"/>
  <c r="K116" i="5"/>
  <c r="K115" i="5"/>
  <c r="K114" i="5"/>
  <c r="K113" i="5"/>
  <c r="K112" i="5"/>
  <c r="L111" i="5"/>
  <c r="M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H157" i="5"/>
  <c r="E155" i="5"/>
  <c r="E153" i="5"/>
  <c r="I151" i="5"/>
  <c r="F149" i="5"/>
  <c r="F147" i="5"/>
  <c r="J145" i="5"/>
  <c r="G143" i="5"/>
  <c r="G141" i="5"/>
  <c r="L139" i="5"/>
  <c r="B138" i="5"/>
  <c r="B136" i="5"/>
  <c r="J134" i="5"/>
  <c r="J132" i="5"/>
  <c r="L130" i="5"/>
  <c r="F129" i="5"/>
  <c r="H127" i="5"/>
  <c r="J125" i="5"/>
  <c r="D124" i="5"/>
  <c r="F122" i="5"/>
  <c r="H120" i="5"/>
  <c r="B119" i="5"/>
  <c r="D117" i="5"/>
  <c r="D115" i="5"/>
  <c r="M113" i="5"/>
  <c r="H112" i="5"/>
  <c r="E111" i="5"/>
  <c r="M109" i="5"/>
  <c r="J108" i="5"/>
  <c r="I107" i="5"/>
  <c r="E106" i="5"/>
  <c r="D105" i="5"/>
  <c r="M103" i="5"/>
  <c r="K102" i="5"/>
  <c r="I101" i="5"/>
  <c r="F100" i="5"/>
  <c r="E99" i="5"/>
  <c r="B98" i="5"/>
  <c r="B97" i="5"/>
  <c r="B96" i="5"/>
  <c r="M94" i="5"/>
  <c r="L93" i="5"/>
  <c r="L92" i="5"/>
  <c r="L91" i="5"/>
  <c r="K90" i="5"/>
  <c r="J89" i="5"/>
  <c r="J88" i="5"/>
  <c r="J87" i="5"/>
  <c r="I86" i="5"/>
  <c r="H85" i="5"/>
  <c r="H84" i="5"/>
  <c r="I83" i="5"/>
  <c r="J82" i="5"/>
  <c r="K81" i="5"/>
  <c r="L80" i="5"/>
  <c r="M79" i="5"/>
  <c r="M78" i="5"/>
  <c r="B78" i="5"/>
  <c r="C77" i="5"/>
  <c r="D76" i="5"/>
  <c r="E75" i="5"/>
  <c r="F74" i="5"/>
  <c r="G73" i="5"/>
  <c r="H72" i="5"/>
  <c r="I71" i="5"/>
  <c r="I70" i="5"/>
  <c r="J69" i="5"/>
  <c r="K68" i="5"/>
  <c r="L67" i="5"/>
  <c r="M66" i="5"/>
  <c r="B66" i="5"/>
  <c r="C65" i="5"/>
  <c r="D64" i="5"/>
  <c r="E63" i="5"/>
  <c r="E62" i="5"/>
  <c r="F61" i="5"/>
  <c r="G60" i="5"/>
  <c r="H59" i="5"/>
  <c r="J58" i="5"/>
  <c r="L57" i="5"/>
  <c r="B57" i="5"/>
  <c r="D56" i="5"/>
  <c r="F55" i="5"/>
  <c r="H54" i="5"/>
  <c r="J53" i="5"/>
  <c r="L52" i="5"/>
  <c r="B52" i="5"/>
  <c r="D51" i="5"/>
  <c r="F50" i="5"/>
  <c r="H49" i="5"/>
  <c r="J48" i="5"/>
  <c r="L47" i="5"/>
  <c r="B47" i="5"/>
  <c r="D46" i="5"/>
  <c r="F45" i="5"/>
  <c r="H44" i="5"/>
  <c r="J43" i="5"/>
  <c r="L42" i="5"/>
  <c r="F157" i="5"/>
  <c r="D155" i="5"/>
  <c r="D153" i="5"/>
  <c r="G151" i="5"/>
  <c r="E149" i="5"/>
  <c r="E147" i="5"/>
  <c r="E145" i="5"/>
  <c r="F143" i="5"/>
  <c r="C141" i="5"/>
  <c r="J139" i="5"/>
  <c r="K137" i="5"/>
  <c r="M135" i="5"/>
  <c r="F134" i="5"/>
  <c r="I132" i="5"/>
  <c r="K130" i="5"/>
  <c r="D129" i="5"/>
  <c r="G127" i="5"/>
  <c r="I125" i="5"/>
  <c r="B124" i="5"/>
  <c r="E122" i="5"/>
  <c r="E120" i="5"/>
  <c r="L118" i="5"/>
  <c r="M116" i="5"/>
  <c r="C115" i="5"/>
  <c r="L113" i="5"/>
  <c r="F112" i="5"/>
  <c r="C111" i="5"/>
  <c r="K109" i="5"/>
  <c r="I108" i="5"/>
  <c r="G107" i="5"/>
  <c r="D106" i="5"/>
  <c r="C105" i="5"/>
  <c r="K103" i="5"/>
  <c r="J102" i="5"/>
  <c r="G101" i="5"/>
  <c r="E100" i="5"/>
  <c r="C99" i="5"/>
  <c r="M97" i="5"/>
  <c r="M96" i="5"/>
  <c r="M95" i="5"/>
  <c r="K94" i="5"/>
  <c r="K93" i="5"/>
  <c r="K92" i="5"/>
  <c r="K91" i="5"/>
  <c r="I90" i="5"/>
  <c r="I89" i="5"/>
  <c r="I88" i="5"/>
  <c r="I87" i="5"/>
  <c r="G86" i="5"/>
  <c r="G85" i="5"/>
  <c r="G84" i="5"/>
  <c r="H83" i="5"/>
  <c r="I82" i="5"/>
  <c r="J81" i="5"/>
  <c r="K80" i="5"/>
  <c r="K79" i="5"/>
  <c r="L78" i="5"/>
  <c r="M77" i="5"/>
  <c r="B77" i="5"/>
  <c r="C76" i="5"/>
  <c r="D75" i="5"/>
  <c r="E74" i="5"/>
  <c r="F73" i="5"/>
  <c r="G72" i="5"/>
  <c r="G71" i="5"/>
  <c r="H70" i="5"/>
  <c r="I69" i="5"/>
  <c r="J68" i="5"/>
  <c r="K67" i="5"/>
  <c r="L66" i="5"/>
  <c r="M65" i="5"/>
  <c r="B65" i="5"/>
  <c r="C64" i="5"/>
  <c r="C63" i="5"/>
  <c r="D62" i="5"/>
  <c r="E61" i="5"/>
  <c r="F60" i="5"/>
  <c r="G59" i="5"/>
  <c r="I58" i="5"/>
  <c r="K57" i="5"/>
  <c r="M56" i="5"/>
  <c r="C56" i="5"/>
  <c r="E55" i="5"/>
  <c r="G54" i="5"/>
  <c r="I53" i="5"/>
  <c r="K52" i="5"/>
  <c r="M51" i="5"/>
  <c r="C51" i="5"/>
  <c r="E50" i="5"/>
  <c r="G49" i="5"/>
  <c r="I48" i="5"/>
  <c r="K47" i="5"/>
  <c r="M46" i="5"/>
  <c r="C46" i="5"/>
  <c r="E45" i="5"/>
  <c r="G44" i="5"/>
  <c r="I43" i="5"/>
  <c r="K42" i="5"/>
  <c r="M41" i="5"/>
  <c r="K156" i="5"/>
  <c r="C155" i="5"/>
  <c r="C153" i="5"/>
  <c r="L150" i="5"/>
  <c r="D149" i="5"/>
  <c r="M146" i="5"/>
  <c r="M144" i="5"/>
  <c r="E143" i="5"/>
  <c r="B141" i="5"/>
  <c r="D139" i="5"/>
  <c r="J137" i="5"/>
  <c r="L135" i="5"/>
  <c r="B134" i="5"/>
  <c r="H132" i="5"/>
  <c r="J130" i="5"/>
  <c r="L128" i="5"/>
  <c r="F127" i="5"/>
  <c r="H125" i="5"/>
  <c r="H123" i="5"/>
  <c r="D122" i="5"/>
  <c r="D120" i="5"/>
  <c r="F118" i="5"/>
  <c r="L116" i="5"/>
  <c r="B115" i="5"/>
  <c r="I113" i="5"/>
  <c r="E112" i="5"/>
  <c r="B111" i="5"/>
  <c r="I109" i="5"/>
  <c r="H108" i="5"/>
  <c r="E107" i="5"/>
  <c r="C106" i="5"/>
  <c r="M104" i="5"/>
  <c r="J103" i="5"/>
  <c r="I102" i="5"/>
  <c r="E101" i="5"/>
  <c r="D100" i="5"/>
  <c r="M98" i="5"/>
  <c r="L97" i="5"/>
  <c r="L96" i="5"/>
  <c r="K95" i="5"/>
  <c r="J94" i="5"/>
  <c r="J93" i="5"/>
  <c r="J92" i="5"/>
  <c r="I91" i="5"/>
  <c r="H90" i="5"/>
  <c r="H89" i="5"/>
  <c r="H88" i="5"/>
  <c r="G87" i="5"/>
  <c r="F86" i="5"/>
  <c r="F85" i="5"/>
  <c r="F84" i="5"/>
  <c r="G83" i="5"/>
  <c r="H82" i="5"/>
  <c r="I81" i="5"/>
  <c r="I80" i="5"/>
  <c r="J79" i="5"/>
  <c r="K78" i="5"/>
  <c r="L77" i="5"/>
  <c r="M76" i="5"/>
  <c r="B76" i="5"/>
  <c r="C75" i="5"/>
  <c r="D74" i="5"/>
  <c r="E73" i="5"/>
  <c r="E72" i="5"/>
  <c r="F71" i="5"/>
  <c r="G70" i="5"/>
  <c r="H69" i="5"/>
  <c r="I68" i="5"/>
  <c r="J67" i="5"/>
  <c r="K66" i="5"/>
  <c r="L65" i="5"/>
  <c r="M64" i="5"/>
  <c r="M63" i="5"/>
  <c r="B63" i="5"/>
  <c r="C62" i="5"/>
  <c r="D61" i="5"/>
  <c r="E60" i="5"/>
  <c r="F59" i="5"/>
  <c r="H58" i="5"/>
  <c r="J57" i="5"/>
  <c r="L56" i="5"/>
  <c r="B56" i="5"/>
  <c r="D55" i="5"/>
  <c r="F54" i="5"/>
  <c r="H53" i="5"/>
  <c r="J52" i="5"/>
  <c r="L51" i="5"/>
  <c r="B51" i="5"/>
  <c r="D50" i="5"/>
  <c r="F49" i="5"/>
  <c r="H48" i="5"/>
  <c r="J47" i="5"/>
  <c r="L46" i="5"/>
  <c r="B46" i="5"/>
  <c r="D45" i="5"/>
  <c r="F44" i="5"/>
  <c r="H43" i="5"/>
  <c r="J42" i="5"/>
  <c r="L41" i="5"/>
  <c r="B41" i="5"/>
  <c r="D40" i="5"/>
  <c r="F39" i="5"/>
  <c r="H38" i="5"/>
  <c r="J37" i="5"/>
  <c r="L36" i="5"/>
  <c r="B36" i="5"/>
  <c r="D35" i="5"/>
  <c r="F34" i="5"/>
  <c r="H33" i="5"/>
  <c r="J32" i="5"/>
  <c r="L31" i="5"/>
  <c r="B31" i="5"/>
  <c r="D30" i="5"/>
  <c r="F29" i="5"/>
  <c r="H28" i="5"/>
  <c r="J27" i="5"/>
  <c r="L26" i="5"/>
  <c r="B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M158" i="5"/>
  <c r="J156" i="5"/>
  <c r="M154" i="5"/>
  <c r="K152" i="5"/>
  <c r="K150" i="5"/>
  <c r="B149" i="5"/>
  <c r="L146" i="5"/>
  <c r="L144" i="5"/>
  <c r="C143" i="5"/>
  <c r="M140" i="5"/>
  <c r="C139" i="5"/>
  <c r="H137" i="5"/>
  <c r="K135" i="5"/>
  <c r="M133" i="5"/>
  <c r="F132" i="5"/>
  <c r="I130" i="5"/>
  <c r="I128" i="5"/>
  <c r="D127" i="5"/>
  <c r="E125" i="5"/>
  <c r="G123" i="5"/>
  <c r="L121" i="5"/>
  <c r="C120" i="5"/>
  <c r="E118" i="5"/>
  <c r="J116" i="5"/>
  <c r="M114" i="5"/>
  <c r="G113" i="5"/>
  <c r="D112" i="5"/>
  <c r="L110" i="5"/>
  <c r="H109" i="5"/>
  <c r="G108" i="5"/>
  <c r="C107" i="5"/>
  <c r="B106" i="5"/>
  <c r="K104" i="5"/>
  <c r="I103" i="5"/>
  <c r="G102" i="5"/>
  <c r="D101" i="5"/>
  <c r="C100" i="5"/>
  <c r="I158" i="5"/>
  <c r="I156" i="5"/>
  <c r="F154" i="5"/>
  <c r="J152" i="5"/>
  <c r="J150" i="5"/>
  <c r="G148" i="5"/>
  <c r="K146" i="5"/>
  <c r="K144" i="5"/>
  <c r="H142" i="5"/>
  <c r="L140" i="5"/>
  <c r="B139" i="5"/>
  <c r="D137" i="5"/>
  <c r="J135" i="5"/>
  <c r="L133" i="5"/>
  <c r="L131" i="5"/>
  <c r="H130" i="5"/>
  <c r="H128" i="5"/>
  <c r="J126" i="5"/>
  <c r="D125" i="5"/>
  <c r="F123" i="5"/>
  <c r="H121" i="5"/>
  <c r="B120" i="5"/>
  <c r="D118" i="5"/>
  <c r="F116" i="5"/>
  <c r="L114" i="5"/>
  <c r="E113" i="5"/>
  <c r="C112" i="5"/>
  <c r="J110" i="5"/>
  <c r="G109" i="5"/>
  <c r="E108" i="5"/>
  <c r="B107" i="5"/>
  <c r="J157" i="5"/>
  <c r="J155" i="5"/>
  <c r="B154" i="5"/>
  <c r="K151" i="5"/>
  <c r="K149" i="5"/>
  <c r="C148" i="5"/>
  <c r="L145" i="5"/>
  <c r="I143" i="5"/>
  <c r="M141" i="5"/>
  <c r="B140" i="5"/>
  <c r="D138" i="5"/>
  <c r="J136" i="5"/>
  <c r="L134" i="5"/>
  <c r="B133" i="5"/>
  <c r="H131" i="5"/>
  <c r="J129" i="5"/>
  <c r="J127" i="5"/>
  <c r="F126" i="5"/>
  <c r="F124" i="5"/>
  <c r="H122" i="5"/>
  <c r="B121" i="5"/>
  <c r="D119" i="5"/>
  <c r="F117" i="5"/>
  <c r="L115" i="5"/>
  <c r="C114" i="5"/>
  <c r="M112" i="5"/>
  <c r="G111" i="5"/>
  <c r="D110" i="5"/>
  <c r="M108" i="5"/>
  <c r="K107" i="5"/>
  <c r="I106" i="5"/>
  <c r="F105" i="5"/>
  <c r="E104" i="5"/>
  <c r="M102" i="5"/>
  <c r="L101" i="5"/>
  <c r="I100" i="5"/>
  <c r="G99" i="5"/>
  <c r="E98" i="5"/>
  <c r="D97" i="5"/>
  <c r="D96" i="5"/>
  <c r="D95" i="5"/>
  <c r="C94" i="5"/>
  <c r="B93" i="5"/>
  <c r="B92" i="5"/>
  <c r="B91" i="5"/>
  <c r="M89" i="5"/>
  <c r="L88" i="5"/>
  <c r="L87" i="5"/>
  <c r="L86" i="5"/>
  <c r="K85" i="5"/>
  <c r="J84" i="5"/>
  <c r="K83" i="5"/>
  <c r="L82" i="5"/>
  <c r="M81" i="5"/>
  <c r="B81" i="5"/>
  <c r="C80" i="5"/>
  <c r="D79" i="5"/>
  <c r="E78" i="5"/>
  <c r="E77" i="5"/>
  <c r="F76" i="5"/>
  <c r="G75" i="5"/>
  <c r="H74" i="5"/>
  <c r="I73" i="5"/>
  <c r="J72" i="5"/>
  <c r="K71" i="5"/>
  <c r="L70" i="5"/>
  <c r="M69" i="5"/>
  <c r="M68" i="5"/>
  <c r="B68" i="5"/>
  <c r="C67" i="5"/>
  <c r="D66" i="5"/>
  <c r="E65" i="5"/>
  <c r="F64" i="5"/>
  <c r="G63" i="5"/>
  <c r="H62" i="5"/>
  <c r="I61" i="5"/>
  <c r="I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F26" i="5"/>
  <c r="H25" i="5"/>
  <c r="J24" i="5"/>
  <c r="L23" i="5"/>
  <c r="B23" i="5"/>
  <c r="D22" i="5"/>
  <c r="F21" i="5"/>
  <c r="H20" i="5"/>
  <c r="J19" i="5"/>
  <c r="L18" i="5"/>
  <c r="B18" i="5"/>
  <c r="D17" i="5"/>
  <c r="F16" i="5"/>
  <c r="H15" i="5"/>
  <c r="J14" i="5"/>
  <c r="L13" i="5"/>
  <c r="H156" i="5"/>
  <c r="L151" i="5"/>
  <c r="I146" i="5"/>
  <c r="E142" i="5"/>
  <c r="M136" i="5"/>
  <c r="F133" i="5"/>
  <c r="G128" i="5"/>
  <c r="G124" i="5"/>
  <c r="L119" i="5"/>
  <c r="M115" i="5"/>
  <c r="M111" i="5"/>
  <c r="C109" i="5"/>
  <c r="M105" i="5"/>
  <c r="H103" i="5"/>
  <c r="C101" i="5"/>
  <c r="K98" i="5"/>
  <c r="E97" i="5"/>
  <c r="G95" i="5"/>
  <c r="I93" i="5"/>
  <c r="C92" i="5"/>
  <c r="E90" i="5"/>
  <c r="G88" i="5"/>
  <c r="M86" i="5"/>
  <c r="C85" i="5"/>
  <c r="F83" i="5"/>
  <c r="B82" i="5"/>
  <c r="F80" i="5"/>
  <c r="J78" i="5"/>
  <c r="G77" i="5"/>
  <c r="K75" i="5"/>
  <c r="C74" i="5"/>
  <c r="K72" i="5"/>
  <c r="C71" i="5"/>
  <c r="G69" i="5"/>
  <c r="C68" i="5"/>
  <c r="G66" i="5"/>
  <c r="K64" i="5"/>
  <c r="H63" i="5"/>
  <c r="L61" i="5"/>
  <c r="D60" i="5"/>
  <c r="M58" i="5"/>
  <c r="G57" i="5"/>
  <c r="M55" i="5"/>
  <c r="K54" i="5"/>
  <c r="E53" i="5"/>
  <c r="K51" i="5"/>
  <c r="I50" i="5"/>
  <c r="C49" i="5"/>
  <c r="I47" i="5"/>
  <c r="G46" i="5"/>
  <c r="M44" i="5"/>
  <c r="G43" i="5"/>
  <c r="E42" i="5"/>
  <c r="C41" i="5"/>
  <c r="B40" i="5"/>
  <c r="B39" i="5"/>
  <c r="M37" i="5"/>
  <c r="M36" i="5"/>
  <c r="L35" i="5"/>
  <c r="L34" i="5"/>
  <c r="K33" i="5"/>
  <c r="K32" i="5"/>
  <c r="J31" i="5"/>
  <c r="J30" i="5"/>
  <c r="I29" i="5"/>
  <c r="I28" i="5"/>
  <c r="H27" i="5"/>
  <c r="H26" i="5"/>
  <c r="G25" i="5"/>
  <c r="G24" i="5"/>
  <c r="F23" i="5"/>
  <c r="F22" i="5"/>
  <c r="E21" i="5"/>
  <c r="E20" i="5"/>
  <c r="D19" i="5"/>
  <c r="D18" i="5"/>
  <c r="C17" i="5"/>
  <c r="C16" i="5"/>
  <c r="B15" i="5"/>
  <c r="B14" i="5"/>
  <c r="C13" i="5"/>
  <c r="E12" i="5"/>
  <c r="G11" i="5"/>
  <c r="I10" i="5"/>
  <c r="G156" i="5"/>
  <c r="J151" i="5"/>
  <c r="B146" i="5"/>
  <c r="K141" i="5"/>
  <c r="L136" i="5"/>
  <c r="K132" i="5"/>
  <c r="F128" i="5"/>
  <c r="E124" i="5"/>
  <c r="F119" i="5"/>
  <c r="J115" i="5"/>
  <c r="K111" i="5"/>
  <c r="K108" i="5"/>
  <c r="K105" i="5"/>
  <c r="G103" i="5"/>
  <c r="B101" i="5"/>
  <c r="J98" i="5"/>
  <c r="C97" i="5"/>
  <c r="F95" i="5"/>
  <c r="H93" i="5"/>
  <c r="M91" i="5"/>
  <c r="D90" i="5"/>
  <c r="E88" i="5"/>
  <c r="K86" i="5"/>
  <c r="M84" i="5"/>
  <c r="E83" i="5"/>
  <c r="L81" i="5"/>
  <c r="E80" i="5"/>
  <c r="I78" i="5"/>
  <c r="D77" i="5"/>
  <c r="I75" i="5"/>
  <c r="M73" i="5"/>
  <c r="I72" i="5"/>
  <c r="B71" i="5"/>
  <c r="F69" i="5"/>
  <c r="M67" i="5"/>
  <c r="F66" i="5"/>
  <c r="J64" i="5"/>
  <c r="F63" i="5"/>
  <c r="K61" i="5"/>
  <c r="C60" i="5"/>
  <c r="K58" i="5"/>
  <c r="F57" i="5"/>
  <c r="L55" i="5"/>
  <c r="I54" i="5"/>
  <c r="D53" i="5"/>
  <c r="J51" i="5"/>
  <c r="G50" i="5"/>
  <c r="B49" i="5"/>
  <c r="H47" i="5"/>
  <c r="E46" i="5"/>
  <c r="L44" i="5"/>
  <c r="F43" i="5"/>
  <c r="C42" i="5"/>
  <c r="M40" i="5"/>
  <c r="M39" i="5"/>
  <c r="M38" i="5"/>
  <c r="L37" i="5"/>
  <c r="K36" i="5"/>
  <c r="K35" i="5"/>
  <c r="K34" i="5"/>
  <c r="J33" i="5"/>
  <c r="I32" i="5"/>
  <c r="I31" i="5"/>
  <c r="I30" i="5"/>
  <c r="H29" i="5"/>
  <c r="G28" i="5"/>
  <c r="G27" i="5"/>
  <c r="G26" i="5"/>
  <c r="F25" i="5"/>
  <c r="E24" i="5"/>
  <c r="E23" i="5"/>
  <c r="E22" i="5"/>
  <c r="D21" i="5"/>
  <c r="C20" i="5"/>
  <c r="C19" i="5"/>
  <c r="C18" i="5"/>
  <c r="B17" i="5"/>
  <c r="M15" i="5"/>
  <c r="M14" i="5"/>
  <c r="M13" i="5"/>
  <c r="B13" i="5"/>
  <c r="D12" i="5"/>
  <c r="F11" i="5"/>
  <c r="H10" i="5"/>
  <c r="B156" i="5"/>
  <c r="I150" i="5"/>
  <c r="M145" i="5"/>
  <c r="J140" i="5"/>
  <c r="K136" i="5"/>
  <c r="K131" i="5"/>
  <c r="D128" i="5"/>
  <c r="E123" i="5"/>
  <c r="E119" i="5"/>
  <c r="J114" i="5"/>
  <c r="I111" i="5"/>
  <c r="C108" i="5"/>
  <c r="I105" i="5"/>
  <c r="E103" i="5"/>
  <c r="M100" i="5"/>
  <c r="I98" i="5"/>
  <c r="K96" i="5"/>
  <c r="E95" i="5"/>
  <c r="G93" i="5"/>
  <c r="G91" i="5"/>
  <c r="C90" i="5"/>
  <c r="C88" i="5"/>
  <c r="E86" i="5"/>
  <c r="K84" i="5"/>
  <c r="C83" i="5"/>
  <c r="G81" i="5"/>
  <c r="D80" i="5"/>
  <c r="H78" i="5"/>
  <c r="L76" i="5"/>
  <c r="H75" i="5"/>
  <c r="L73" i="5"/>
  <c r="D72" i="5"/>
  <c r="M70" i="5"/>
  <c r="E69" i="5"/>
  <c r="I67" i="5"/>
  <c r="E66" i="5"/>
  <c r="I64" i="5"/>
  <c r="M62" i="5"/>
  <c r="J61" i="5"/>
  <c r="B60" i="5"/>
  <c r="G58" i="5"/>
  <c r="E57" i="5"/>
  <c r="K55" i="5"/>
  <c r="E54" i="5"/>
  <c r="C53" i="5"/>
  <c r="I51" i="5"/>
  <c r="C50" i="5"/>
  <c r="M48" i="5"/>
  <c r="G47" i="5"/>
  <c r="M45" i="5"/>
  <c r="K44" i="5"/>
  <c r="E43" i="5"/>
  <c r="B42" i="5"/>
  <c r="L40" i="5"/>
  <c r="L39" i="5"/>
  <c r="K38" i="5"/>
  <c r="K37" i="5"/>
  <c r="J36" i="5"/>
  <c r="J35" i="5"/>
  <c r="I34" i="5"/>
  <c r="I33" i="5"/>
  <c r="H32" i="5"/>
  <c r="H31" i="5"/>
  <c r="G30" i="5"/>
  <c r="G29" i="5"/>
  <c r="F28" i="5"/>
  <c r="F27" i="5"/>
  <c r="E26" i="5"/>
  <c r="E25" i="5"/>
  <c r="D24" i="5"/>
  <c r="D23" i="5"/>
  <c r="C22" i="5"/>
  <c r="C21" i="5"/>
  <c r="B20" i="5"/>
  <c r="B19" i="5"/>
  <c r="M17" i="5"/>
  <c r="M16" i="5"/>
  <c r="L15" i="5"/>
  <c r="L14" i="5"/>
  <c r="K13" i="5"/>
  <c r="M12" i="5"/>
  <c r="C12" i="5"/>
  <c r="E11" i="5"/>
  <c r="G10" i="5"/>
  <c r="K157" i="5"/>
  <c r="H152" i="5"/>
  <c r="D148" i="5"/>
  <c r="G142" i="5"/>
  <c r="H138" i="5"/>
  <c r="I133" i="5"/>
  <c r="K129" i="5"/>
  <c r="B125" i="5"/>
  <c r="C121" i="5"/>
  <c r="C116" i="5"/>
  <c r="B113" i="5"/>
  <c r="F109" i="5"/>
  <c r="K106" i="5"/>
  <c r="F104" i="5"/>
  <c r="M101" i="5"/>
  <c r="H99" i="5"/>
  <c r="I97" i="5"/>
  <c r="I95" i="5"/>
  <c r="E94" i="5"/>
  <c r="E92" i="5"/>
  <c r="G90" i="5"/>
  <c r="M88" i="5"/>
  <c r="C87" i="5"/>
  <c r="E85" i="5"/>
  <c r="L83" i="5"/>
  <c r="D82" i="5"/>
  <c r="H80" i="5"/>
  <c r="E79" i="5"/>
  <c r="I77" i="5"/>
  <c r="M75" i="5"/>
  <c r="I74" i="5"/>
  <c r="M72" i="5"/>
  <c r="E71" i="5"/>
  <c r="B70" i="5"/>
  <c r="F68" i="5"/>
  <c r="J66" i="5"/>
  <c r="F65" i="5"/>
  <c r="J63" i="5"/>
  <c r="B62" i="5"/>
  <c r="K60" i="5"/>
  <c r="C59" i="5"/>
  <c r="I57" i="5"/>
  <c r="G56" i="5"/>
  <c r="M54" i="5"/>
  <c r="G53" i="5"/>
  <c r="E52" i="5"/>
  <c r="K50" i="5"/>
  <c r="E49" i="5"/>
  <c r="C48" i="5"/>
  <c r="I46" i="5"/>
  <c r="C45" i="5"/>
  <c r="M43" i="5"/>
  <c r="G42" i="5"/>
  <c r="E41" i="5"/>
  <c r="E40" i="5"/>
  <c r="D39" i="5"/>
  <c r="D38" i="5"/>
  <c r="C37" i="5"/>
  <c r="C36" i="5"/>
  <c r="B35" i="5"/>
  <c r="B34" i="5"/>
  <c r="M32" i="5"/>
  <c r="M31" i="5"/>
  <c r="L30" i="5"/>
  <c r="L29" i="5"/>
  <c r="K28" i="5"/>
  <c r="K27" i="5"/>
  <c r="J26" i="5"/>
  <c r="J25" i="5"/>
  <c r="I24" i="5"/>
  <c r="I23" i="5"/>
  <c r="H22" i="5"/>
  <c r="H21" i="5"/>
  <c r="G20" i="5"/>
  <c r="G19" i="5"/>
  <c r="F18" i="5"/>
  <c r="F17" i="5"/>
  <c r="E16" i="5"/>
  <c r="E15" i="5"/>
  <c r="D14" i="5"/>
  <c r="E13" i="5"/>
  <c r="G12" i="5"/>
  <c r="I11" i="5"/>
  <c r="K10" i="5"/>
  <c r="M151" i="5"/>
  <c r="D144" i="5"/>
  <c r="H135" i="5"/>
  <c r="G129" i="5"/>
  <c r="G121" i="5"/>
  <c r="D114" i="5"/>
  <c r="E109" i="5"/>
  <c r="H104" i="5"/>
  <c r="G100" i="5"/>
  <c r="G97" i="5"/>
  <c r="G94" i="5"/>
  <c r="E91" i="5"/>
  <c r="K88" i="5"/>
  <c r="M85" i="5"/>
  <c r="M82" i="5"/>
  <c r="G80" i="5"/>
  <c r="K77" i="5"/>
  <c r="B75" i="5"/>
  <c r="L72" i="5"/>
  <c r="D70" i="5"/>
  <c r="G67" i="5"/>
  <c r="D65" i="5"/>
  <c r="I62" i="5"/>
  <c r="K59" i="5"/>
  <c r="H57" i="5"/>
  <c r="C55" i="5"/>
  <c r="I52" i="5"/>
  <c r="J50" i="5"/>
  <c r="E48" i="5"/>
  <c r="K45" i="5"/>
  <c r="K43" i="5"/>
  <c r="H41" i="5"/>
  <c r="I39" i="5"/>
  <c r="C38" i="5"/>
  <c r="E36" i="5"/>
  <c r="G34" i="5"/>
  <c r="L32" i="5"/>
  <c r="C31" i="5"/>
  <c r="D29" i="5"/>
  <c r="I27" i="5"/>
  <c r="L25" i="5"/>
  <c r="B24" i="5"/>
  <c r="G22" i="5"/>
  <c r="J20" i="5"/>
  <c r="K18" i="5"/>
  <c r="E17" i="5"/>
  <c r="G15" i="5"/>
  <c r="I13" i="5"/>
  <c r="F12" i="5"/>
  <c r="M10" i="5"/>
  <c r="E150" i="5"/>
  <c r="H143" i="5"/>
  <c r="B135" i="5"/>
  <c r="I127" i="5"/>
  <c r="F121" i="5"/>
  <c r="B114" i="5"/>
  <c r="M107" i="5"/>
  <c r="G104" i="5"/>
  <c r="M99" i="5"/>
  <c r="I96" i="5"/>
  <c r="F94" i="5"/>
  <c r="D91" i="5"/>
  <c r="B88" i="5"/>
  <c r="I85" i="5"/>
  <c r="K82" i="5"/>
  <c r="B80" i="5"/>
  <c r="J77" i="5"/>
  <c r="M74" i="5"/>
  <c r="C72" i="5"/>
  <c r="C70" i="5"/>
  <c r="E67" i="5"/>
  <c r="H64" i="5"/>
  <c r="G62" i="5"/>
  <c r="I59" i="5"/>
  <c r="C57" i="5"/>
  <c r="B55" i="5"/>
  <c r="H52" i="5"/>
  <c r="B50" i="5"/>
  <c r="D48" i="5"/>
  <c r="J45" i="5"/>
  <c r="D43" i="5"/>
  <c r="G41" i="5"/>
  <c r="H39" i="5"/>
  <c r="I37" i="5"/>
  <c r="D36" i="5"/>
  <c r="E34" i="5"/>
  <c r="G32" i="5"/>
  <c r="M30" i="5"/>
  <c r="C29" i="5"/>
  <c r="E27" i="5"/>
  <c r="K25" i="5"/>
  <c r="M23" i="5"/>
  <c r="B22" i="5"/>
  <c r="I20" i="5"/>
  <c r="J18" i="5"/>
  <c r="K16" i="5"/>
  <c r="F15" i="5"/>
  <c r="H13" i="5"/>
  <c r="B12" i="5"/>
  <c r="L10" i="5"/>
  <c r="G158" i="5"/>
  <c r="C150" i="5"/>
  <c r="F142" i="5"/>
  <c r="M134" i="5"/>
  <c r="I126" i="5"/>
  <c r="L120" i="5"/>
  <c r="D113" i="5"/>
  <c r="L107" i="5"/>
  <c r="C104" i="5"/>
  <c r="K99" i="5"/>
  <c r="G96" i="5"/>
  <c r="M93" i="5"/>
  <c r="C91" i="5"/>
  <c r="M87" i="5"/>
  <c r="D85" i="5"/>
  <c r="G82" i="5"/>
  <c r="I79" i="5"/>
  <c r="H77" i="5"/>
  <c r="K74" i="5"/>
  <c r="B72" i="5"/>
  <c r="K69" i="5"/>
  <c r="D67" i="5"/>
  <c r="G64" i="5"/>
  <c r="M61" i="5"/>
  <c r="E59" i="5"/>
  <c r="K56" i="5"/>
  <c r="L54" i="5"/>
  <c r="G52" i="5"/>
  <c r="M49" i="5"/>
  <c r="M47" i="5"/>
  <c r="I45" i="5"/>
  <c r="C43" i="5"/>
  <c r="D41" i="5"/>
  <c r="G39" i="5"/>
  <c r="H37" i="5"/>
  <c r="M35" i="5"/>
  <c r="D34" i="5"/>
  <c r="F32" i="5"/>
  <c r="K30" i="5"/>
  <c r="B29" i="5"/>
  <c r="C27" i="5"/>
  <c r="I25" i="5"/>
  <c r="K23" i="5"/>
  <c r="M21" i="5"/>
  <c r="F20" i="5"/>
  <c r="I18" i="5"/>
  <c r="J16" i="5"/>
  <c r="C15" i="5"/>
  <c r="G13" i="5"/>
  <c r="M11" i="5"/>
  <c r="J10" i="5"/>
  <c r="C158" i="5"/>
  <c r="G149" i="5"/>
  <c r="D140" i="5"/>
  <c r="K134" i="5"/>
  <c r="H126" i="5"/>
  <c r="C119" i="5"/>
  <c r="C113" i="5"/>
  <c r="J107" i="5"/>
  <c r="C103" i="5"/>
  <c r="I99" i="5"/>
  <c r="F96" i="5"/>
  <c r="E93" i="5"/>
  <c r="M90" i="5"/>
  <c r="K87" i="5"/>
  <c r="I84" i="5"/>
  <c r="E82" i="5"/>
  <c r="H79" i="5"/>
  <c r="K76" i="5"/>
  <c r="J74" i="5"/>
  <c r="M71" i="5"/>
  <c r="D69" i="5"/>
  <c r="B67" i="5"/>
  <c r="E64" i="5"/>
  <c r="G61" i="5"/>
  <c r="D59" i="5"/>
  <c r="J56" i="5"/>
  <c r="D54" i="5"/>
  <c r="F52" i="5"/>
  <c r="L49" i="5"/>
  <c r="F47" i="5"/>
  <c r="G45" i="5"/>
  <c r="M42" i="5"/>
  <c r="K40" i="5"/>
  <c r="E39" i="5"/>
  <c r="G37" i="5"/>
  <c r="I35" i="5"/>
  <c r="C34" i="5"/>
  <c r="E32" i="5"/>
  <c r="F30" i="5"/>
  <c r="M28" i="5"/>
  <c r="B27" i="5"/>
  <c r="C25" i="5"/>
  <c r="J23" i="5"/>
  <c r="K21" i="5"/>
  <c r="M19" i="5"/>
  <c r="G18" i="5"/>
  <c r="I16" i="5"/>
  <c r="K14" i="5"/>
  <c r="F13" i="5"/>
  <c r="L11" i="5"/>
  <c r="F10" i="5"/>
  <c r="I157" i="5"/>
  <c r="F148" i="5"/>
  <c r="C140" i="5"/>
  <c r="H133" i="5"/>
  <c r="G126" i="5"/>
  <c r="C118" i="5"/>
  <c r="J112" i="5"/>
  <c r="M106" i="5"/>
  <c r="L102" i="5"/>
  <c r="F99" i="5"/>
  <c r="E96" i="5"/>
  <c r="C93" i="5"/>
  <c r="F90" i="5"/>
  <c r="E87" i="5"/>
  <c r="E84" i="5"/>
  <c r="C82" i="5"/>
  <c r="G79" i="5"/>
  <c r="J76" i="5"/>
  <c r="G74" i="5"/>
  <c r="L71" i="5"/>
  <c r="C69" i="5"/>
  <c r="I66" i="5"/>
  <c r="L63" i="5"/>
  <c r="C61" i="5"/>
  <c r="B59" i="5"/>
  <c r="I56" i="5"/>
  <c r="C54" i="5"/>
  <c r="C52" i="5"/>
  <c r="K49" i="5"/>
  <c r="E47" i="5"/>
  <c r="B45" i="5"/>
  <c r="I42" i="5"/>
  <c r="J40" i="5"/>
  <c r="C39" i="5"/>
  <c r="F37" i="5"/>
  <c r="G35" i="5"/>
  <c r="M33" i="5"/>
  <c r="C32" i="5"/>
  <c r="E30" i="5"/>
  <c r="J28" i="5"/>
  <c r="M26" i="5"/>
  <c r="B25" i="5"/>
  <c r="G23" i="5"/>
  <c r="J21" i="5"/>
  <c r="L19" i="5"/>
  <c r="E18" i="5"/>
  <c r="H16" i="5"/>
  <c r="I14" i="5"/>
  <c r="D13" i="5"/>
  <c r="K11" i="5"/>
  <c r="E10" i="5"/>
  <c r="I155" i="5"/>
  <c r="E148" i="5"/>
  <c r="M139" i="5"/>
  <c r="J131" i="5"/>
  <c r="B126" i="5"/>
  <c r="B118" i="5"/>
  <c r="F111" i="5"/>
  <c r="L106" i="5"/>
  <c r="E102" i="5"/>
  <c r="H98" i="5"/>
  <c r="C96" i="5"/>
  <c r="M92" i="5"/>
  <c r="K89" i="5"/>
  <c r="D87" i="5"/>
  <c r="D84" i="5"/>
  <c r="F81" i="5"/>
  <c r="F79" i="5"/>
  <c r="I76" i="5"/>
  <c r="K73" i="5"/>
  <c r="J71" i="5"/>
  <c r="L68" i="5"/>
  <c r="C66" i="5"/>
  <c r="K63" i="5"/>
  <c r="B61" i="5"/>
  <c r="F58" i="5"/>
  <c r="H56" i="5"/>
  <c r="E154" i="5"/>
  <c r="J147" i="5"/>
  <c r="M138" i="5"/>
  <c r="I131" i="5"/>
  <c r="J124" i="5"/>
  <c r="J117" i="5"/>
  <c r="H110" i="5"/>
  <c r="G106" i="5"/>
  <c r="C102" i="5"/>
  <c r="G98" i="5"/>
  <c r="H95" i="5"/>
  <c r="I92" i="5"/>
  <c r="G89" i="5"/>
  <c r="B87" i="5"/>
  <c r="C84" i="5"/>
  <c r="E81" i="5"/>
  <c r="C79" i="5"/>
  <c r="G76" i="5"/>
  <c r="J73" i="5"/>
  <c r="D71" i="5"/>
  <c r="H68" i="5"/>
  <c r="K65" i="5"/>
  <c r="I63" i="5"/>
  <c r="M60" i="5"/>
  <c r="E58" i="5"/>
  <c r="E56" i="5"/>
  <c r="M53" i="5"/>
  <c r="G51" i="5"/>
  <c r="D49" i="5"/>
  <c r="K46" i="5"/>
  <c r="E44" i="5"/>
  <c r="F42" i="5"/>
  <c r="G40" i="5"/>
  <c r="I38" i="5"/>
  <c r="B37" i="5"/>
  <c r="E35" i="5"/>
  <c r="F33" i="5"/>
  <c r="K31" i="5"/>
  <c r="B30" i="5"/>
  <c r="D28" i="5"/>
  <c r="I26" i="5"/>
  <c r="L24" i="5"/>
  <c r="M22" i="5"/>
  <c r="G21" i="5"/>
  <c r="I19" i="5"/>
  <c r="K17" i="5"/>
  <c r="D16" i="5"/>
  <c r="G14" i="5"/>
  <c r="K12" i="5"/>
  <c r="H11" i="5"/>
  <c r="C10" i="5"/>
  <c r="D154" i="5"/>
  <c r="K145" i="5"/>
  <c r="L138" i="5"/>
  <c r="F131" i="5"/>
  <c r="D123" i="5"/>
  <c r="E117" i="5"/>
  <c r="G110" i="5"/>
  <c r="G105" i="5"/>
  <c r="B102" i="5"/>
  <c r="C98" i="5"/>
  <c r="C95" i="5"/>
  <c r="G92" i="5"/>
  <c r="F89" i="5"/>
  <c r="D86" i="5"/>
  <c r="M83" i="5"/>
  <c r="D81" i="5"/>
  <c r="G78" i="5"/>
  <c r="E76" i="5"/>
  <c r="H73" i="5"/>
  <c r="K70" i="5"/>
  <c r="G68" i="5"/>
  <c r="I65" i="5"/>
  <c r="L62" i="5"/>
  <c r="L60" i="5"/>
  <c r="D58" i="5"/>
  <c r="J55" i="5"/>
  <c r="K53" i="5"/>
  <c r="E51" i="5"/>
  <c r="K48" i="5"/>
  <c r="J46" i="5"/>
  <c r="D44" i="5"/>
  <c r="K41" i="5"/>
  <c r="F40" i="5"/>
  <c r="G38" i="5"/>
  <c r="I36" i="5"/>
  <c r="C35" i="5"/>
  <c r="E33" i="5"/>
  <c r="G31" i="5"/>
  <c r="M29" i="5"/>
  <c r="C28" i="5"/>
  <c r="D26" i="5"/>
  <c r="K24" i="5"/>
  <c r="L22" i="5"/>
  <c r="M20" i="5"/>
  <c r="H19" i="5"/>
  <c r="I17" i="5"/>
  <c r="K15" i="5"/>
  <c r="E14" i="5"/>
  <c r="J12" i="5"/>
  <c r="D11" i="5"/>
  <c r="B10" i="5"/>
  <c r="C154" i="5"/>
  <c r="G144" i="5"/>
  <c r="C138" i="5"/>
  <c r="D130" i="5"/>
  <c r="B123" i="5"/>
  <c r="B116" i="5"/>
  <c r="E110" i="5"/>
  <c r="E105" i="5"/>
  <c r="K101" i="5"/>
  <c r="K97" i="5"/>
  <c r="I94" i="5"/>
  <c r="D92" i="5"/>
  <c r="E89" i="5"/>
  <c r="C86" i="5"/>
  <c r="J83" i="5"/>
  <c r="C81" i="5"/>
  <c r="F78" i="5"/>
  <c r="L75" i="5"/>
  <c r="C73" i="5"/>
  <c r="F70" i="5"/>
  <c r="E68" i="5"/>
  <c r="H65" i="5"/>
  <c r="K62" i="5"/>
  <c r="H60" i="5"/>
  <c r="C58" i="5"/>
  <c r="I55" i="5"/>
  <c r="F53" i="5"/>
  <c r="M50" i="5"/>
  <c r="G48" i="5"/>
  <c r="H46" i="5"/>
  <c r="C44" i="5"/>
  <c r="J41" i="5"/>
  <c r="C40" i="5"/>
  <c r="F38" i="5"/>
  <c r="H36" i="5"/>
  <c r="M34" i="5"/>
  <c r="D33" i="5"/>
  <c r="E31" i="5"/>
  <c r="K29" i="5"/>
  <c r="M27" i="5"/>
  <c r="C26" i="5"/>
  <c r="H24" i="5"/>
  <c r="K22" i="5"/>
  <c r="L20" i="5"/>
  <c r="E19" i="5"/>
  <c r="H17" i="5"/>
  <c r="J15" i="5"/>
  <c r="C14" i="5"/>
  <c r="I12" i="5"/>
  <c r="C11" i="5"/>
  <c r="I153" i="5"/>
  <c r="F144" i="5"/>
  <c r="H136" i="5"/>
  <c r="L129" i="5"/>
  <c r="G122" i="5"/>
  <c r="F114" i="5"/>
  <c r="C110" i="5"/>
  <c r="I104" i="5"/>
  <c r="K100" i="5"/>
  <c r="J97" i="5"/>
  <c r="H94" i="5"/>
  <c r="F91" i="5"/>
  <c r="C89" i="5"/>
  <c r="B86" i="5"/>
  <c r="B83" i="5"/>
  <c r="M80" i="5"/>
  <c r="C78" i="5"/>
  <c r="F75" i="5"/>
  <c r="B73" i="5"/>
  <c r="E70" i="5"/>
  <c r="H67" i="5"/>
  <c r="G65" i="5"/>
  <c r="J62" i="5"/>
  <c r="M59" i="5"/>
  <c r="M57" i="5"/>
  <c r="G55" i="5"/>
  <c r="M52" i="5"/>
  <c r="L50" i="5"/>
  <c r="F48" i="5"/>
  <c r="L45" i="5"/>
  <c r="B44" i="5"/>
  <c r="I41" i="5"/>
  <c r="K39" i="5"/>
  <c r="E38" i="5"/>
  <c r="G36" i="5"/>
  <c r="H34" i="5"/>
  <c r="C33" i="5"/>
  <c r="D31" i="5"/>
  <c r="E29" i="5"/>
  <c r="L27" i="5"/>
  <c r="M25" i="5"/>
  <c r="C24" i="5"/>
  <c r="I22" i="5"/>
  <c r="K20" i="5"/>
  <c r="M18" i="5"/>
  <c r="G17" i="5"/>
  <c r="I15" i="5"/>
  <c r="J13" i="5"/>
  <c r="H12" i="5"/>
  <c r="B11" i="5"/>
  <c r="I40" i="5"/>
  <c r="C23" i="5"/>
  <c r="J38" i="5"/>
  <c r="I21" i="5"/>
  <c r="E37" i="5"/>
  <c r="K19" i="5"/>
  <c r="F35" i="5"/>
  <c r="L17" i="5"/>
  <c r="B54" i="5"/>
  <c r="G33" i="5"/>
  <c r="G16" i="5"/>
  <c r="H51" i="5"/>
  <c r="B32" i="5"/>
  <c r="H14" i="5"/>
  <c r="I49" i="5"/>
  <c r="C30" i="5"/>
  <c r="L12" i="5"/>
  <c r="C47" i="5"/>
  <c r="E28" i="5"/>
  <c r="J11" i="5"/>
  <c r="I44" i="5"/>
  <c r="K26" i="5"/>
  <c r="D10" i="5"/>
  <c r="H42" i="5"/>
  <c r="M24" i="5"/>
  <c r="I101" i="4"/>
  <c r="J100" i="4"/>
  <c r="K99" i="4"/>
  <c r="L98" i="4"/>
  <c r="M97" i="4"/>
  <c r="B97" i="4"/>
  <c r="C96" i="4"/>
  <c r="C95" i="4"/>
  <c r="D94" i="4"/>
  <c r="E93" i="4"/>
  <c r="F92" i="4"/>
  <c r="G91" i="4"/>
  <c r="H90" i="4"/>
  <c r="I89" i="4"/>
  <c r="J88" i="4"/>
  <c r="K87" i="4"/>
  <c r="K86" i="4"/>
  <c r="L85" i="4"/>
  <c r="M84" i="4"/>
  <c r="B84" i="4"/>
  <c r="C83" i="4"/>
  <c r="D82" i="4"/>
  <c r="E81" i="4"/>
  <c r="F80" i="4"/>
  <c r="G79" i="4"/>
  <c r="G78" i="4"/>
  <c r="H77" i="4"/>
  <c r="I76" i="4"/>
  <c r="J75" i="4"/>
  <c r="K74" i="4"/>
  <c r="L73" i="4"/>
  <c r="M72" i="4"/>
  <c r="B72" i="4"/>
  <c r="C71" i="4"/>
  <c r="C70" i="4"/>
  <c r="D69" i="4"/>
  <c r="E68" i="4"/>
  <c r="F67" i="4"/>
  <c r="G66" i="4"/>
  <c r="H65" i="4"/>
  <c r="I64" i="4"/>
  <c r="J63" i="4"/>
  <c r="K62" i="4"/>
  <c r="K61" i="4"/>
  <c r="L60" i="4"/>
  <c r="M59" i="4"/>
  <c r="B59" i="4"/>
  <c r="C58" i="4"/>
  <c r="D57" i="4"/>
  <c r="E56" i="4"/>
  <c r="F55" i="4"/>
  <c r="G54" i="4"/>
  <c r="I53" i="4"/>
  <c r="K52" i="4"/>
  <c r="M51" i="4"/>
  <c r="C51" i="4"/>
  <c r="E50" i="4"/>
  <c r="G49" i="4"/>
  <c r="I48" i="4"/>
  <c r="K47" i="4"/>
  <c r="G115" i="4"/>
  <c r="H114" i="4"/>
  <c r="I113" i="4"/>
  <c r="I112" i="4"/>
  <c r="J111" i="4"/>
  <c r="K110" i="4"/>
  <c r="L109" i="4"/>
  <c r="M108" i="4"/>
  <c r="B108" i="4"/>
  <c r="C107" i="4"/>
  <c r="D106" i="4"/>
  <c r="E105" i="4"/>
  <c r="E104" i="4"/>
  <c r="F103" i="4"/>
  <c r="G102" i="4"/>
  <c r="H101" i="4"/>
  <c r="I100" i="4"/>
  <c r="J99" i="4"/>
  <c r="K98" i="4"/>
  <c r="L97" i="4"/>
  <c r="M96" i="4"/>
  <c r="M95" i="4"/>
  <c r="B95" i="4"/>
  <c r="C94" i="4"/>
  <c r="D93" i="4"/>
  <c r="E92" i="4"/>
  <c r="F91" i="4"/>
  <c r="G90" i="4"/>
  <c r="H89" i="4"/>
  <c r="I88" i="4"/>
  <c r="I87" i="4"/>
  <c r="J86" i="4"/>
  <c r="K85" i="4"/>
  <c r="L84" i="4"/>
  <c r="M83" i="4"/>
  <c r="B83" i="4"/>
  <c r="C82" i="4"/>
  <c r="D81" i="4"/>
  <c r="K158" i="4"/>
  <c r="I157" i="4"/>
  <c r="F156" i="4"/>
  <c r="F155" i="4"/>
  <c r="E154" i="4"/>
  <c r="E153" i="4"/>
  <c r="F152" i="4"/>
  <c r="G151" i="4"/>
  <c r="H150" i="4"/>
  <c r="I149" i="4"/>
  <c r="J148" i="4"/>
  <c r="K147" i="4"/>
  <c r="K146" i="4"/>
  <c r="L145" i="4"/>
  <c r="M144" i="4"/>
  <c r="B144" i="4"/>
  <c r="C143" i="4"/>
  <c r="D142" i="4"/>
  <c r="E141" i="4"/>
  <c r="F140" i="4"/>
  <c r="G139" i="4"/>
  <c r="G138" i="4"/>
  <c r="H137" i="4"/>
  <c r="I136" i="4"/>
  <c r="J135" i="4"/>
  <c r="K134" i="4"/>
  <c r="L133" i="4"/>
  <c r="M132" i="4"/>
  <c r="B132" i="4"/>
  <c r="C131" i="4"/>
  <c r="C130" i="4"/>
  <c r="D129" i="4"/>
  <c r="E128" i="4"/>
  <c r="F127" i="4"/>
  <c r="G126" i="4"/>
  <c r="H125" i="4"/>
  <c r="I124" i="4"/>
  <c r="J123" i="4"/>
  <c r="K122" i="4"/>
  <c r="K121" i="4"/>
  <c r="L120" i="4"/>
  <c r="M119" i="4"/>
  <c r="M103" i="4"/>
  <c r="B103" i="4"/>
  <c r="C102" i="4"/>
  <c r="D101" i="4"/>
  <c r="E100" i="4"/>
  <c r="E99" i="4"/>
  <c r="F98" i="4"/>
  <c r="G97" i="4"/>
  <c r="H96" i="4"/>
  <c r="I95" i="4"/>
  <c r="J94" i="4"/>
  <c r="K93" i="4"/>
  <c r="L92" i="4"/>
  <c r="M91" i="4"/>
  <c r="M90" i="4"/>
  <c r="B90" i="4"/>
  <c r="C89" i="4"/>
  <c r="D88" i="4"/>
  <c r="E87" i="4"/>
  <c r="F86" i="4"/>
  <c r="I127" i="4"/>
  <c r="J126" i="4"/>
  <c r="K125" i="4"/>
  <c r="L124" i="4"/>
  <c r="M123" i="4"/>
  <c r="B123" i="4"/>
  <c r="C122" i="4"/>
  <c r="D121" i="4"/>
  <c r="E120" i="4"/>
  <c r="E119" i="4"/>
  <c r="F118" i="4"/>
  <c r="G117" i="4"/>
  <c r="H116" i="4"/>
  <c r="I115" i="4"/>
  <c r="J114" i="4"/>
  <c r="K113" i="4"/>
  <c r="L112" i="4"/>
  <c r="M111" i="4"/>
  <c r="M110" i="4"/>
  <c r="B110" i="4"/>
  <c r="C109" i="4"/>
  <c r="D108" i="4"/>
  <c r="E107" i="4"/>
  <c r="F106" i="4"/>
  <c r="G105" i="4"/>
  <c r="H104" i="4"/>
  <c r="I103" i="4"/>
  <c r="I102" i="4"/>
  <c r="J101" i="4"/>
  <c r="K100" i="4"/>
  <c r="L99" i="4"/>
  <c r="M98" i="4"/>
  <c r="B98" i="4"/>
  <c r="C97" i="4"/>
  <c r="D96" i="4"/>
  <c r="E95" i="4"/>
  <c r="E94" i="4"/>
  <c r="F93" i="4"/>
  <c r="G92" i="4"/>
  <c r="H91" i="4"/>
  <c r="I90" i="4"/>
  <c r="J89" i="4"/>
  <c r="K88" i="4"/>
  <c r="L87" i="4"/>
  <c r="M86" i="4"/>
  <c r="M85" i="4"/>
  <c r="B85" i="4"/>
  <c r="C84" i="4"/>
  <c r="D83" i="4"/>
  <c r="E82" i="4"/>
  <c r="F81" i="4"/>
  <c r="G80" i="4"/>
  <c r="C65" i="4"/>
  <c r="D66" i="4"/>
  <c r="D67" i="4"/>
  <c r="D68" i="4"/>
  <c r="E69" i="4"/>
  <c r="F70" i="4"/>
  <c r="F71" i="4"/>
  <c r="F72" i="4"/>
  <c r="F73" i="4"/>
  <c r="G74" i="4"/>
  <c r="G75" i="4"/>
  <c r="G76" i="4"/>
  <c r="G77" i="4"/>
  <c r="I78" i="4"/>
  <c r="I79" i="4"/>
  <c r="J80" i="4"/>
  <c r="M81" i="4"/>
  <c r="F83" i="4"/>
  <c r="I84" i="4"/>
  <c r="C86" i="4"/>
  <c r="G87" i="4"/>
  <c r="B89" i="4"/>
  <c r="J90" i="4"/>
  <c r="C92" i="4"/>
  <c r="J93" i="4"/>
  <c r="F95" i="4"/>
  <c r="J96" i="4"/>
  <c r="E98" i="4"/>
  <c r="M99" i="4"/>
  <c r="F101" i="4"/>
  <c r="M102" i="4"/>
  <c r="I104" i="4"/>
  <c r="M105" i="4"/>
  <c r="H107" i="4"/>
  <c r="D109" i="4"/>
  <c r="I110" i="4"/>
  <c r="D112" i="4"/>
  <c r="L113" i="4"/>
  <c r="E115" i="4"/>
  <c r="K116" i="4"/>
  <c r="G118" i="4"/>
  <c r="L119" i="4"/>
  <c r="J121" i="4"/>
  <c r="I123" i="4"/>
  <c r="G125" i="4"/>
  <c r="E127" i="4"/>
  <c r="C129" i="4"/>
  <c r="M130" i="4"/>
  <c r="L132" i="4"/>
  <c r="J134" i="4"/>
  <c r="H136" i="4"/>
  <c r="F138" i="4"/>
  <c r="E140" i="4"/>
  <c r="C142" i="4"/>
  <c r="M143" i="4"/>
  <c r="K145" i="4"/>
  <c r="I147" i="4"/>
  <c r="H149" i="4"/>
  <c r="F151" i="4"/>
  <c r="D153" i="4"/>
  <c r="E155" i="4"/>
  <c r="F157" i="4"/>
  <c r="K153" i="4"/>
  <c r="L11" i="4"/>
  <c r="H13" i="4"/>
  <c r="F14" i="4"/>
  <c r="D15" i="4"/>
  <c r="B16" i="4"/>
  <c r="J17" i="4"/>
  <c r="F19" i="4"/>
  <c r="D20" i="4"/>
  <c r="B21" i="4"/>
  <c r="L21" i="4"/>
  <c r="J22" i="4"/>
  <c r="H23" i="4"/>
  <c r="F24" i="4"/>
  <c r="D25" i="4"/>
  <c r="B26" i="4"/>
  <c r="L26" i="4"/>
  <c r="J27" i="4"/>
  <c r="H28" i="4"/>
  <c r="F29" i="4"/>
  <c r="D30" i="4"/>
  <c r="B31" i="4"/>
  <c r="L31" i="4"/>
  <c r="J32" i="4"/>
  <c r="H33" i="4"/>
  <c r="F34" i="4"/>
  <c r="D35" i="4"/>
  <c r="B36" i="4"/>
  <c r="L36" i="4"/>
  <c r="J37" i="4"/>
  <c r="H38" i="4"/>
  <c r="F39" i="4"/>
  <c r="D40" i="4"/>
  <c r="B41" i="4"/>
  <c r="L41" i="4"/>
  <c r="J42" i="4"/>
  <c r="H43" i="4"/>
  <c r="F44" i="4"/>
  <c r="D45" i="4"/>
  <c r="B46" i="4"/>
  <c r="L46" i="4"/>
  <c r="J47" i="4"/>
  <c r="J48" i="4"/>
  <c r="I49" i="4"/>
  <c r="H50" i="4"/>
  <c r="G51" i="4"/>
  <c r="F52" i="4"/>
  <c r="E53" i="4"/>
  <c r="D54" i="4"/>
  <c r="C55" i="4"/>
  <c r="D56" i="4"/>
  <c r="E57" i="4"/>
  <c r="E58" i="4"/>
  <c r="E59" i="4"/>
  <c r="F60" i="4"/>
  <c r="F61" i="4"/>
  <c r="F62" i="4"/>
  <c r="F63" i="4"/>
  <c r="G64" i="4"/>
  <c r="G65" i="4"/>
  <c r="H66" i="4"/>
  <c r="H67" i="4"/>
  <c r="I68" i="4"/>
  <c r="I69" i="4"/>
  <c r="I70" i="4"/>
  <c r="I71" i="4"/>
  <c r="I72" i="4"/>
  <c r="J73" i="4"/>
  <c r="J74" i="4"/>
  <c r="K75" i="4"/>
  <c r="K76" i="4"/>
  <c r="L77" i="4"/>
  <c r="L78" i="4"/>
  <c r="L79" i="4"/>
  <c r="M80" i="4"/>
  <c r="G82" i="4"/>
  <c r="J83" i="4"/>
  <c r="C85" i="4"/>
  <c r="G86" i="4"/>
  <c r="B88" i="4"/>
  <c r="G89" i="4"/>
  <c r="C91" i="4"/>
  <c r="I92" i="4"/>
  <c r="B94" i="4"/>
  <c r="J95" i="4"/>
  <c r="E97" i="4"/>
  <c r="J98" i="4"/>
  <c r="F100" i="4"/>
  <c r="M101" i="4"/>
  <c r="E103" i="4"/>
  <c r="M104" i="4"/>
  <c r="H106" i="4"/>
  <c r="M107" i="4"/>
  <c r="I109" i="4"/>
  <c r="D111" i="4"/>
  <c r="H112" i="4"/>
  <c r="D114" i="4"/>
  <c r="K115" i="4"/>
  <c r="D117" i="4"/>
  <c r="L118" i="4"/>
  <c r="H120" i="4"/>
  <c r="F122" i="4"/>
  <c r="D124" i="4"/>
  <c r="C126" i="4"/>
  <c r="M127" i="4"/>
  <c r="K129" i="4"/>
  <c r="I131" i="4"/>
  <c r="G133" i="4"/>
  <c r="F135" i="4"/>
  <c r="D137" i="4"/>
  <c r="B139" i="4"/>
  <c r="L140" i="4"/>
  <c r="K142" i="4"/>
  <c r="I144" i="4"/>
  <c r="G146" i="4"/>
  <c r="E148" i="4"/>
  <c r="C150" i="4"/>
  <c r="B152" i="4"/>
  <c r="L153" i="4"/>
  <c r="M155" i="4"/>
  <c r="D158" i="4"/>
  <c r="G158" i="4"/>
  <c r="J12" i="4"/>
  <c r="H18" i="4"/>
  <c r="M11" i="4"/>
  <c r="G14" i="4"/>
  <c r="C16" i="4"/>
  <c r="K17" i="4"/>
  <c r="E20" i="4"/>
  <c r="M21" i="4"/>
  <c r="G24" i="4"/>
  <c r="E25" i="4"/>
  <c r="K27" i="4"/>
  <c r="G29" i="4"/>
  <c r="C31" i="4"/>
  <c r="I33" i="4"/>
  <c r="E35" i="4"/>
  <c r="I38" i="4"/>
  <c r="E40" i="4"/>
  <c r="M41" i="4"/>
  <c r="G44" i="4"/>
  <c r="C46" i="4"/>
  <c r="M46" i="4"/>
  <c r="K48" i="4"/>
  <c r="J49" i="4"/>
  <c r="I50" i="4"/>
  <c r="H51" i="4"/>
  <c r="G52" i="4"/>
  <c r="F53" i="4"/>
  <c r="E54" i="4"/>
  <c r="E55" i="4"/>
  <c r="F56" i="4"/>
  <c r="F57" i="4"/>
  <c r="F58" i="4"/>
  <c r="G59" i="4"/>
  <c r="G60" i="4"/>
  <c r="G61" i="4"/>
  <c r="G62" i="4"/>
  <c r="G63" i="4"/>
  <c r="H64" i="4"/>
  <c r="I65" i="4"/>
  <c r="I66" i="4"/>
  <c r="I67" i="4"/>
  <c r="J68" i="4"/>
  <c r="J69" i="4"/>
  <c r="J70" i="4"/>
  <c r="J71" i="4"/>
  <c r="K72" i="4"/>
  <c r="K73" i="4"/>
  <c r="L74" i="4"/>
  <c r="L75" i="4"/>
  <c r="M76" i="4"/>
  <c r="M77" i="4"/>
  <c r="M78" i="4"/>
  <c r="M79" i="4"/>
  <c r="C81" i="4"/>
  <c r="H82" i="4"/>
  <c r="K83" i="4"/>
  <c r="E85" i="4"/>
  <c r="H86" i="4"/>
  <c r="C88" i="4"/>
  <c r="K89" i="4"/>
  <c r="D91" i="4"/>
  <c r="K92" i="4"/>
  <c r="G94" i="4"/>
  <c r="K95" i="4"/>
  <c r="F97" i="4"/>
  <c r="B99" i="4"/>
  <c r="G100" i="4"/>
  <c r="B102" i="4"/>
  <c r="J103" i="4"/>
  <c r="B105" i="4"/>
  <c r="I106" i="4"/>
  <c r="E108" i="4"/>
  <c r="J109" i="4"/>
  <c r="E111" i="4"/>
  <c r="M112" i="4"/>
  <c r="E114" i="4"/>
  <c r="L115" i="4"/>
  <c r="H117" i="4"/>
  <c r="M118" i="4"/>
  <c r="J120" i="4"/>
  <c r="H122" i="4"/>
  <c r="G124" i="4"/>
  <c r="E126" i="4"/>
  <c r="C128" i="4"/>
  <c r="M129" i="4"/>
  <c r="K131" i="4"/>
  <c r="J133" i="4"/>
  <c r="H135" i="4"/>
  <c r="F137" i="4"/>
  <c r="D139" i="4"/>
  <c r="C141" i="4"/>
  <c r="M142" i="4"/>
  <c r="K144" i="4"/>
  <c r="I146" i="4"/>
  <c r="G148" i="4"/>
  <c r="F150" i="4"/>
  <c r="D152" i="4"/>
  <c r="B154" i="4"/>
  <c r="D156" i="4"/>
  <c r="I158" i="4"/>
  <c r="K104" i="4"/>
  <c r="L107" i="4"/>
  <c r="G112" i="4"/>
  <c r="J115" i="4"/>
  <c r="G120" i="4"/>
  <c r="C124" i="4"/>
  <c r="L127" i="4"/>
  <c r="H131" i="4"/>
  <c r="E135" i="4"/>
  <c r="M138" i="4"/>
  <c r="I142" i="4"/>
  <c r="F146" i="4"/>
  <c r="B150" i="4"/>
  <c r="K155" i="4"/>
  <c r="B11" i="4"/>
  <c r="L16" i="4"/>
  <c r="C11" i="4"/>
  <c r="K12" i="4"/>
  <c r="I13" i="4"/>
  <c r="E15" i="4"/>
  <c r="M16" i="4"/>
  <c r="I18" i="4"/>
  <c r="G19" i="4"/>
  <c r="C21" i="4"/>
  <c r="K22" i="4"/>
  <c r="I23" i="4"/>
  <c r="C26" i="4"/>
  <c r="M26" i="4"/>
  <c r="I28" i="4"/>
  <c r="E30" i="4"/>
  <c r="M31" i="4"/>
  <c r="K32" i="4"/>
  <c r="G34" i="4"/>
  <c r="C36" i="4"/>
  <c r="M36" i="4"/>
  <c r="K37" i="4"/>
  <c r="G39" i="4"/>
  <c r="C41" i="4"/>
  <c r="K42" i="4"/>
  <c r="I43" i="4"/>
  <c r="E45" i="4"/>
  <c r="L47" i="4"/>
  <c r="D11" i="4"/>
  <c r="B12" i="4"/>
  <c r="L12" i="4"/>
  <c r="J13" i="4"/>
  <c r="H14" i="4"/>
  <c r="F15" i="4"/>
  <c r="D16" i="4"/>
  <c r="B17" i="4"/>
  <c r="L17" i="4"/>
  <c r="J18" i="4"/>
  <c r="H19" i="4"/>
  <c r="F20" i="4"/>
  <c r="D21" i="4"/>
  <c r="B22" i="4"/>
  <c r="L22" i="4"/>
  <c r="J23" i="4"/>
  <c r="H24" i="4"/>
  <c r="F25" i="4"/>
  <c r="D26" i="4"/>
  <c r="B27" i="4"/>
  <c r="L27" i="4"/>
  <c r="J28" i="4"/>
  <c r="H29" i="4"/>
  <c r="F30" i="4"/>
  <c r="D31" i="4"/>
  <c r="B32" i="4"/>
  <c r="L32" i="4"/>
  <c r="J33" i="4"/>
  <c r="H34" i="4"/>
  <c r="F35" i="4"/>
  <c r="D36" i="4"/>
  <c r="B37" i="4"/>
  <c r="L37" i="4"/>
  <c r="J38" i="4"/>
  <c r="H39" i="4"/>
  <c r="F40" i="4"/>
  <c r="D41" i="4"/>
  <c r="B42" i="4"/>
  <c r="L42" i="4"/>
  <c r="J43" i="4"/>
  <c r="H44" i="4"/>
  <c r="F45" i="4"/>
  <c r="D46" i="4"/>
  <c r="B47" i="4"/>
  <c r="M47" i="4"/>
  <c r="L48" i="4"/>
  <c r="K49" i="4"/>
  <c r="J50" i="4"/>
  <c r="I51" i="4"/>
  <c r="H52" i="4"/>
  <c r="G53" i="4"/>
  <c r="F54" i="4"/>
  <c r="G55" i="4"/>
  <c r="G56" i="4"/>
  <c r="G57" i="4"/>
  <c r="G58" i="4"/>
  <c r="H59" i="4"/>
  <c r="H60" i="4"/>
  <c r="H61" i="4"/>
  <c r="H62" i="4"/>
  <c r="I63" i="4"/>
  <c r="J64" i="4"/>
  <c r="J65" i="4"/>
  <c r="J66" i="4"/>
  <c r="K67" i="4"/>
  <c r="K68" i="4"/>
  <c r="K69" i="4"/>
  <c r="K70" i="4"/>
  <c r="K71" i="4"/>
  <c r="L72" i="4"/>
  <c r="M73" i="4"/>
  <c r="M74" i="4"/>
  <c r="M75" i="4"/>
  <c r="B77" i="4"/>
  <c r="B78" i="4"/>
  <c r="B79" i="4"/>
  <c r="B80" i="4"/>
  <c r="G81" i="4"/>
  <c r="I82" i="4"/>
  <c r="L83" i="4"/>
  <c r="F85" i="4"/>
  <c r="I86" i="4"/>
  <c r="E88" i="4"/>
  <c r="L89" i="4"/>
  <c r="E91" i="4"/>
  <c r="M92" i="4"/>
  <c r="H94" i="4"/>
  <c r="L95" i="4"/>
  <c r="H97" i="4"/>
  <c r="C99" i="4"/>
  <c r="H100" i="4"/>
  <c r="D102" i="4"/>
  <c r="K103" i="4"/>
  <c r="C105" i="4"/>
  <c r="K106" i="4"/>
  <c r="F108" i="4"/>
  <c r="K109" i="4"/>
  <c r="G111" i="4"/>
  <c r="B113" i="4"/>
  <c r="G114" i="4"/>
  <c r="C116" i="4"/>
  <c r="I117" i="4"/>
  <c r="B119" i="4"/>
  <c r="K120" i="4"/>
  <c r="I122" i="4"/>
  <c r="H124" i="4"/>
  <c r="F126" i="4"/>
  <c r="D128" i="4"/>
  <c r="B130" i="4"/>
  <c r="M131" i="4"/>
  <c r="K133" i="4"/>
  <c r="I135" i="4"/>
  <c r="G137" i="4"/>
  <c r="E139" i="4"/>
  <c r="D141" i="4"/>
  <c r="B143" i="4"/>
  <c r="L144" i="4"/>
  <c r="J146" i="4"/>
  <c r="I148" i="4"/>
  <c r="G150" i="4"/>
  <c r="E152" i="4"/>
  <c r="C154" i="4"/>
  <c r="E156" i="4"/>
  <c r="J158" i="4"/>
  <c r="I128" i="4"/>
  <c r="H129" i="4"/>
  <c r="G130" i="4"/>
  <c r="F131" i="4"/>
  <c r="E132" i="4"/>
  <c r="D133" i="4"/>
  <c r="C134" i="4"/>
  <c r="B135" i="4"/>
  <c r="M135" i="4"/>
  <c r="M136" i="4"/>
  <c r="L137" i="4"/>
  <c r="K138" i="4"/>
  <c r="J139" i="4"/>
  <c r="I140" i="4"/>
  <c r="H141" i="4"/>
  <c r="G142" i="4"/>
  <c r="F143" i="4"/>
  <c r="E144" i="4"/>
  <c r="E145" i="4"/>
  <c r="D146" i="4"/>
  <c r="C147" i="4"/>
  <c r="B148" i="4"/>
  <c r="M148" i="4"/>
  <c r="L149" i="4"/>
  <c r="K150" i="4"/>
  <c r="J151" i="4"/>
  <c r="I152" i="4"/>
  <c r="I153" i="4"/>
  <c r="I154" i="4"/>
  <c r="I155" i="4"/>
  <c r="K156" i="4"/>
  <c r="M157" i="4"/>
  <c r="B11" i="2"/>
  <c r="E6" i="3"/>
  <c r="B10" i="2"/>
  <c r="B17" i="2" s="1"/>
  <c r="L104" i="4"/>
  <c r="K105" i="4"/>
  <c r="J106" i="4"/>
  <c r="I107" i="4"/>
  <c r="I108" i="4"/>
  <c r="H109" i="4"/>
  <c r="G110" i="4"/>
  <c r="F111" i="4"/>
  <c r="E112" i="4"/>
  <c r="D113" i="4"/>
  <c r="C114" i="4"/>
  <c r="B115" i="4"/>
  <c r="M115" i="4"/>
  <c r="M116" i="4"/>
  <c r="L117" i="4"/>
  <c r="K118" i="4"/>
  <c r="J119" i="4"/>
  <c r="I120" i="4"/>
  <c r="H121" i="4"/>
  <c r="G122" i="4"/>
  <c r="F123" i="4"/>
  <c r="E124" i="4"/>
  <c r="E125" i="4"/>
  <c r="D126" i="4"/>
  <c r="C127" i="4"/>
  <c r="B128" i="4"/>
  <c r="M128" i="4"/>
  <c r="L129" i="4"/>
  <c r="K130" i="4"/>
  <c r="J131" i="4"/>
  <c r="I132" i="4"/>
  <c r="I133" i="4"/>
  <c r="H134" i="4"/>
  <c r="G135" i="4"/>
  <c r="F136" i="4"/>
  <c r="E137" i="4"/>
  <c r="D138" i="4"/>
  <c r="C139" i="4"/>
  <c r="B140" i="4"/>
  <c r="M140" i="4"/>
  <c r="M141" i="4"/>
  <c r="L142" i="4"/>
  <c r="K143" i="4"/>
  <c r="J144" i="4"/>
  <c r="I145" i="4"/>
  <c r="H146" i="4"/>
  <c r="G147" i="4"/>
  <c r="F148" i="4"/>
  <c r="E149" i="4"/>
  <c r="E150" i="4"/>
  <c r="D151" i="4"/>
  <c r="C152" i="4"/>
  <c r="B153" i="4"/>
  <c r="M153" i="4"/>
  <c r="M154" i="4"/>
  <c r="C156" i="4"/>
  <c r="D157" i="4"/>
  <c r="B61" i="4"/>
  <c r="D60" i="4"/>
  <c r="F59" i="4"/>
  <c r="H58" i="4"/>
  <c r="J57" i="4"/>
  <c r="L56" i="4"/>
  <c r="B56" i="4"/>
  <c r="D55" i="4"/>
  <c r="F158" i="4"/>
  <c r="H157" i="4"/>
  <c r="J156" i="4"/>
  <c r="L155" i="4"/>
  <c r="B155" i="4"/>
  <c r="D154" i="4"/>
  <c r="E158" i="4"/>
  <c r="G157" i="4"/>
  <c r="I156" i="4"/>
  <c r="H6" i="3"/>
  <c r="F116" i="4"/>
  <c r="E117" i="4"/>
  <c r="D118" i="4"/>
  <c r="C119" i="4"/>
  <c r="B120" i="4"/>
  <c r="M120" i="4"/>
  <c r="M121" i="4"/>
  <c r="L122" i="4"/>
  <c r="K123" i="4"/>
  <c r="J124" i="4"/>
  <c r="I125" i="4"/>
  <c r="H126" i="4"/>
  <c r="G127" i="4"/>
  <c r="F128" i="4"/>
  <c r="E129" i="4"/>
  <c r="E130" i="4"/>
  <c r="D131" i="4"/>
  <c r="C132" i="4"/>
  <c r="B133" i="4"/>
  <c r="M133" i="4"/>
  <c r="L134" i="4"/>
  <c r="K135" i="4"/>
  <c r="J136" i="4"/>
  <c r="I137" i="4"/>
  <c r="I138" i="4"/>
  <c r="H139" i="4"/>
  <c r="G140" i="4"/>
  <c r="F141" i="4"/>
  <c r="E142" i="4"/>
  <c r="D143" i="4"/>
  <c r="C144" i="4"/>
  <c r="B145" i="4"/>
  <c r="M145" i="4"/>
  <c r="M146" i="4"/>
  <c r="L147" i="4"/>
  <c r="K148" i="4"/>
  <c r="J149" i="4"/>
  <c r="I150" i="4"/>
  <c r="H151" i="4"/>
  <c r="G152" i="4"/>
  <c r="F153" i="4"/>
  <c r="G154" i="4"/>
  <c r="G155" i="4"/>
  <c r="G156" i="4"/>
  <c r="K157" i="4"/>
  <c r="L158" i="4"/>
  <c r="H102" i="4"/>
  <c r="G103" i="4"/>
  <c r="G104" i="4"/>
  <c r="F105" i="4"/>
  <c r="E106" i="4"/>
  <c r="D107" i="4"/>
  <c r="C108" i="4"/>
  <c r="B109" i="4"/>
  <c r="M109" i="4"/>
  <c r="L110" i="4"/>
  <c r="K111" i="4"/>
  <c r="K112" i="4"/>
  <c r="J113" i="4"/>
  <c r="I114" i="4"/>
  <c r="H115" i="4"/>
  <c r="G116" i="4"/>
  <c r="F117" i="4"/>
  <c r="E118" i="4"/>
  <c r="D119" i="4"/>
  <c r="C120" i="4"/>
  <c r="C121" i="4"/>
  <c r="B122" i="4"/>
  <c r="M122" i="4"/>
  <c r="L123" i="4"/>
  <c r="K124" i="4"/>
  <c r="J125" i="4"/>
  <c r="I126" i="4"/>
  <c r="H127" i="4"/>
  <c r="G128" i="4"/>
  <c r="G129" i="4"/>
  <c r="F130" i="4"/>
  <c r="E131" i="4"/>
  <c r="D132" i="4"/>
  <c r="C133" i="4"/>
  <c r="B134" i="4"/>
  <c r="M134" i="4"/>
  <c r="L135" i="4"/>
  <c r="K136" i="4"/>
  <c r="K137" i="4"/>
  <c r="J138" i="4"/>
  <c r="I139" i="4"/>
  <c r="H140" i="4"/>
  <c r="G141" i="4"/>
  <c r="F142" i="4"/>
  <c r="E143" i="4"/>
  <c r="D144" i="4"/>
  <c r="C145" i="4"/>
  <c r="C146" i="4"/>
  <c r="B147" i="4"/>
  <c r="M147" i="4"/>
  <c r="L148" i="4"/>
  <c r="K149" i="4"/>
  <c r="J150" i="4"/>
  <c r="I151" i="4"/>
  <c r="H152" i="4"/>
  <c r="G153" i="4"/>
  <c r="H154" i="4"/>
  <c r="H155" i="4"/>
  <c r="H156" i="4"/>
  <c r="L157" i="4"/>
  <c r="M158" i="4"/>
  <c r="E6" i="5"/>
  <c r="D14" i="3"/>
  <c r="G15" i="3"/>
  <c r="M16" i="3"/>
  <c r="F18" i="3"/>
  <c r="I19" i="3"/>
  <c r="C21" i="3"/>
  <c r="H22" i="3"/>
  <c r="K23" i="3"/>
  <c r="E25" i="3"/>
  <c r="J26" i="3"/>
  <c r="M27" i="3"/>
  <c r="G29" i="3"/>
  <c r="L30" i="3"/>
  <c r="C32" i="3"/>
  <c r="I33" i="3"/>
  <c r="B35" i="3"/>
  <c r="E36" i="3"/>
  <c r="K37" i="3"/>
  <c r="D39" i="3"/>
  <c r="G40" i="3"/>
  <c r="M41" i="3"/>
  <c r="F43" i="3"/>
  <c r="I44" i="3"/>
  <c r="C46" i="3"/>
  <c r="H47" i="3"/>
  <c r="K48" i="3"/>
  <c r="E50" i="3"/>
  <c r="J51" i="3"/>
  <c r="M52" i="3"/>
  <c r="G54" i="3"/>
  <c r="L55" i="3"/>
  <c r="C57" i="3"/>
  <c r="I58" i="3"/>
  <c r="B60" i="3"/>
  <c r="E61" i="3"/>
  <c r="K62" i="3"/>
  <c r="D64" i="3"/>
  <c r="G65" i="3"/>
  <c r="M66" i="3"/>
  <c r="F68" i="3"/>
  <c r="I69" i="3"/>
  <c r="C71" i="3"/>
  <c r="H72" i="3"/>
  <c r="K73" i="3"/>
  <c r="E75" i="3"/>
  <c r="D77" i="3"/>
  <c r="B79" i="3"/>
  <c r="B81" i="3"/>
  <c r="D83" i="3"/>
  <c r="M84" i="3"/>
  <c r="B87" i="3"/>
  <c r="C89" i="3"/>
  <c r="L90" i="3"/>
  <c r="B93" i="3"/>
  <c r="B95" i="3"/>
  <c r="K96" i="3"/>
  <c r="B99" i="3"/>
  <c r="M100" i="3"/>
  <c r="D103" i="3"/>
  <c r="J105" i="3"/>
  <c r="B108" i="3"/>
  <c r="B110" i="3"/>
  <c r="H112" i="3"/>
  <c r="M114" i="3"/>
  <c r="L116" i="3"/>
  <c r="F119" i="3"/>
  <c r="K121" i="3"/>
  <c r="B124" i="3"/>
  <c r="G127" i="3"/>
  <c r="L130" i="3"/>
  <c r="B135" i="3"/>
  <c r="K141" i="3"/>
  <c r="L148" i="3"/>
  <c r="K155" i="3"/>
  <c r="F14" i="3"/>
  <c r="H15" i="3"/>
  <c r="B17" i="3"/>
  <c r="H18" i="3"/>
  <c r="J19" i="3"/>
  <c r="D21" i="3"/>
  <c r="J22" i="3"/>
  <c r="L23" i="3"/>
  <c r="F25" i="3"/>
  <c r="L26" i="3"/>
  <c r="B28" i="3"/>
  <c r="H29" i="3"/>
  <c r="B31" i="3"/>
  <c r="D32" i="3"/>
  <c r="J33" i="3"/>
  <c r="D35" i="3"/>
  <c r="F36" i="3"/>
  <c r="L37" i="3"/>
  <c r="F39" i="3"/>
  <c r="H40" i="3"/>
  <c r="B42" i="3"/>
  <c r="H43" i="3"/>
  <c r="J44" i="3"/>
  <c r="D46" i="3"/>
  <c r="J47" i="3"/>
  <c r="L48" i="3"/>
  <c r="F50" i="3"/>
  <c r="L51" i="3"/>
  <c r="B53" i="3"/>
  <c r="H54" i="3"/>
  <c r="B56" i="3"/>
  <c r="D57" i="3"/>
  <c r="J58" i="3"/>
  <c r="D60" i="3"/>
  <c r="F61" i="3"/>
  <c r="L62" i="3"/>
  <c r="F64" i="3"/>
  <c r="H65" i="3"/>
  <c r="B67" i="3"/>
  <c r="H68" i="3"/>
  <c r="J69" i="3"/>
  <c r="D71" i="3"/>
  <c r="J72" i="3"/>
  <c r="L73" i="3"/>
  <c r="F75" i="3"/>
  <c r="G77" i="3"/>
  <c r="C79" i="3"/>
  <c r="D81" i="3"/>
  <c r="F83" i="3"/>
  <c r="B85" i="3"/>
  <c r="D87" i="3"/>
  <c r="E89" i="3"/>
  <c r="M90" i="3"/>
  <c r="D93" i="3"/>
  <c r="D95" i="3"/>
  <c r="L96" i="3"/>
  <c r="C99" i="3"/>
  <c r="F101" i="3"/>
  <c r="E103" i="3"/>
  <c r="K105" i="3"/>
  <c r="E108" i="3"/>
  <c r="C110" i="3"/>
  <c r="I112" i="3"/>
  <c r="C115" i="3"/>
  <c r="D117" i="3"/>
  <c r="J119" i="3"/>
  <c r="D122" i="3"/>
  <c r="C124" i="3"/>
  <c r="B128" i="3"/>
  <c r="M130" i="3"/>
  <c r="C135" i="3"/>
  <c r="L141" i="3"/>
  <c r="B149" i="3"/>
  <c r="L155" i="3"/>
  <c r="B6" i="2"/>
  <c r="G14" i="3"/>
  <c r="L15" i="3"/>
  <c r="C17" i="3"/>
  <c r="I18" i="3"/>
  <c r="B20" i="3"/>
  <c r="E21" i="3"/>
  <c r="K22" i="3"/>
  <c r="D24" i="3"/>
  <c r="G25" i="3"/>
  <c r="M26" i="3"/>
  <c r="F28" i="3"/>
  <c r="I29" i="3"/>
  <c r="C31" i="3"/>
  <c r="H32" i="3"/>
  <c r="K33" i="3"/>
  <c r="E35" i="3"/>
  <c r="J36" i="3"/>
  <c r="M37" i="3"/>
  <c r="G39" i="3"/>
  <c r="L40" i="3"/>
  <c r="C42" i="3"/>
  <c r="I43" i="3"/>
  <c r="B45" i="3"/>
  <c r="E46" i="3"/>
  <c r="K47" i="3"/>
  <c r="D49" i="3"/>
  <c r="G50" i="3"/>
  <c r="M51" i="3"/>
  <c r="F53" i="3"/>
  <c r="I54" i="3"/>
  <c r="C56" i="3"/>
  <c r="H57" i="3"/>
  <c r="K58" i="3"/>
  <c r="E60" i="3"/>
  <c r="J61" i="3"/>
  <c r="M62" i="3"/>
  <c r="G64" i="3"/>
  <c r="L65" i="3"/>
  <c r="C67" i="3"/>
  <c r="I68" i="3"/>
  <c r="B70" i="3"/>
  <c r="E71" i="3"/>
  <c r="K72" i="3"/>
  <c r="D74" i="3"/>
  <c r="G75" i="3"/>
  <c r="H77" i="3"/>
  <c r="H79" i="3"/>
  <c r="F81" i="3"/>
  <c r="G83" i="3"/>
  <c r="H85" i="3"/>
  <c r="F87" i="3"/>
  <c r="F89" i="3"/>
  <c r="H91" i="3"/>
  <c r="E93" i="3"/>
  <c r="F95" i="3"/>
  <c r="G97" i="3"/>
  <c r="D99" i="3"/>
  <c r="H101" i="3"/>
  <c r="L103" i="3"/>
  <c r="L105" i="3"/>
  <c r="F108" i="3"/>
  <c r="K110" i="3"/>
  <c r="J112" i="3"/>
  <c r="D115" i="3"/>
  <c r="I117" i="3"/>
  <c r="L119" i="3"/>
  <c r="F122" i="3"/>
  <c r="J124" i="3"/>
  <c r="D128" i="3"/>
  <c r="I131" i="3"/>
  <c r="F136" i="3"/>
  <c r="E143" i="3"/>
  <c r="C150" i="3"/>
  <c r="D157" i="3"/>
  <c r="B13" i="3"/>
  <c r="H14" i="3"/>
  <c r="B16" i="3"/>
  <c r="D17" i="3"/>
  <c r="J18" i="3"/>
  <c r="D20" i="3"/>
  <c r="F21" i="3"/>
  <c r="L22" i="3"/>
  <c r="F24" i="3"/>
  <c r="H25" i="3"/>
  <c r="B27" i="3"/>
  <c r="H28" i="3"/>
  <c r="J29" i="3"/>
  <c r="D31" i="3"/>
  <c r="J32" i="3"/>
  <c r="L33" i="3"/>
  <c r="F35" i="3"/>
  <c r="L36" i="3"/>
  <c r="B38" i="3"/>
  <c r="H39" i="3"/>
  <c r="B41" i="3"/>
  <c r="D42" i="3"/>
  <c r="J43" i="3"/>
  <c r="D45" i="3"/>
  <c r="F46" i="3"/>
  <c r="L47" i="3"/>
  <c r="F49" i="3"/>
  <c r="H50" i="3"/>
  <c r="B52" i="3"/>
  <c r="H53" i="3"/>
  <c r="J54" i="3"/>
  <c r="D56" i="3"/>
  <c r="J57" i="3"/>
  <c r="L58" i="3"/>
  <c r="F60" i="3"/>
  <c r="L61" i="3"/>
  <c r="B63" i="3"/>
  <c r="H64" i="3"/>
  <c r="B66" i="3"/>
  <c r="D67" i="3"/>
  <c r="J68" i="3"/>
  <c r="D70" i="3"/>
  <c r="F71" i="3"/>
  <c r="L72" i="3"/>
  <c r="F74" i="3"/>
  <c r="H75" i="3"/>
  <c r="I77" i="3"/>
  <c r="L79" i="3"/>
  <c r="H81" i="3"/>
  <c r="H83" i="3"/>
  <c r="K85" i="3"/>
  <c r="G87" i="3"/>
  <c r="H89" i="3"/>
  <c r="J91" i="3"/>
  <c r="F93" i="3"/>
  <c r="H95" i="3"/>
  <c r="I97" i="3"/>
  <c r="E99" i="3"/>
  <c r="I101" i="3"/>
  <c r="C104" i="3"/>
  <c r="M105" i="3"/>
  <c r="G108" i="3"/>
  <c r="M110" i="3"/>
  <c r="B113" i="3"/>
  <c r="H115" i="3"/>
  <c r="B118" i="3"/>
  <c r="M119" i="3"/>
  <c r="G122" i="3"/>
  <c r="C125" i="3"/>
  <c r="E128" i="3"/>
  <c r="D132" i="3"/>
  <c r="H136" i="3"/>
  <c r="F143" i="3"/>
  <c r="D150" i="3"/>
  <c r="E161" i="3"/>
  <c r="G160" i="3"/>
  <c r="I159" i="3"/>
  <c r="K158" i="3"/>
  <c r="M157" i="3"/>
  <c r="C157" i="3"/>
  <c r="E156" i="3"/>
  <c r="G155" i="3"/>
  <c r="I154" i="3"/>
  <c r="K153" i="3"/>
  <c r="M152" i="3"/>
  <c r="C152" i="3"/>
  <c r="E151" i="3"/>
  <c r="G150" i="3"/>
  <c r="I149" i="3"/>
  <c r="K148" i="3"/>
  <c r="M147" i="3"/>
  <c r="C147" i="3"/>
  <c r="E146" i="3"/>
  <c r="G145" i="3"/>
  <c r="I144" i="3"/>
  <c r="K143" i="3"/>
  <c r="M142" i="3"/>
  <c r="C142" i="3"/>
  <c r="E141" i="3"/>
  <c r="G140" i="3"/>
  <c r="I139" i="3"/>
  <c r="K138" i="3"/>
  <c r="M137" i="3"/>
  <c r="C137" i="3"/>
  <c r="E136" i="3"/>
  <c r="G135" i="3"/>
  <c r="I134" i="3"/>
  <c r="K133" i="3"/>
  <c r="M132" i="3"/>
  <c r="C132" i="3"/>
  <c r="E131" i="3"/>
  <c r="G130" i="3"/>
  <c r="I129" i="3"/>
  <c r="K128" i="3"/>
  <c r="M127" i="3"/>
  <c r="C127" i="3"/>
  <c r="E126" i="3"/>
  <c r="G125" i="3"/>
  <c r="I124" i="3"/>
  <c r="K123" i="3"/>
  <c r="M122" i="3"/>
  <c r="C122" i="3"/>
  <c r="E121" i="3"/>
  <c r="G120" i="3"/>
  <c r="I119" i="3"/>
  <c r="K118" i="3"/>
  <c r="M117" i="3"/>
  <c r="C117" i="3"/>
  <c r="E116" i="3"/>
  <c r="G115" i="3"/>
  <c r="I114" i="3"/>
  <c r="K113" i="3"/>
  <c r="M112" i="3"/>
  <c r="C112" i="3"/>
  <c r="E111" i="3"/>
  <c r="G110" i="3"/>
  <c r="I109" i="3"/>
  <c r="K108" i="3"/>
  <c r="M107" i="3"/>
  <c r="C107" i="3"/>
  <c r="E106" i="3"/>
  <c r="G105" i="3"/>
  <c r="I104" i="3"/>
  <c r="K103" i="3"/>
  <c r="M102" i="3"/>
  <c r="C102" i="3"/>
  <c r="E101" i="3"/>
  <c r="G100" i="3"/>
  <c r="I99" i="3"/>
  <c r="K98" i="3"/>
  <c r="M97" i="3"/>
  <c r="C97" i="3"/>
  <c r="E96" i="3"/>
  <c r="G95" i="3"/>
  <c r="I94" i="3"/>
  <c r="K93" i="3"/>
  <c r="M92" i="3"/>
  <c r="C92" i="3"/>
  <c r="E91" i="3"/>
  <c r="G90" i="3"/>
  <c r="I89" i="3"/>
  <c r="K88" i="3"/>
  <c r="M87" i="3"/>
  <c r="C87" i="3"/>
  <c r="E86" i="3"/>
  <c r="G85" i="3"/>
  <c r="I84" i="3"/>
  <c r="K83" i="3"/>
  <c r="M82" i="3"/>
  <c r="C82" i="3"/>
  <c r="E81" i="3"/>
  <c r="G80" i="3"/>
  <c r="I79" i="3"/>
  <c r="K78" i="3"/>
  <c r="M77" i="3"/>
  <c r="C77" i="3"/>
  <c r="E76" i="3"/>
  <c r="D161" i="3"/>
  <c r="F160" i="3"/>
  <c r="H159" i="3"/>
  <c r="J158" i="3"/>
  <c r="L157" i="3"/>
  <c r="B157" i="3"/>
  <c r="D156" i="3"/>
  <c r="F155" i="3"/>
  <c r="H154" i="3"/>
  <c r="J153" i="3"/>
  <c r="L152" i="3"/>
  <c r="B152" i="3"/>
  <c r="D151" i="3"/>
  <c r="F150" i="3"/>
  <c r="H149" i="3"/>
  <c r="J148" i="3"/>
  <c r="L147" i="3"/>
  <c r="B147" i="3"/>
  <c r="D146" i="3"/>
  <c r="F145" i="3"/>
  <c r="H144" i="3"/>
  <c r="J143" i="3"/>
  <c r="L142" i="3"/>
  <c r="B142" i="3"/>
  <c r="D141" i="3"/>
  <c r="F140" i="3"/>
  <c r="H139" i="3"/>
  <c r="J138" i="3"/>
  <c r="L137" i="3"/>
  <c r="B137" i="3"/>
  <c r="D136" i="3"/>
  <c r="F135" i="3"/>
  <c r="H134" i="3"/>
  <c r="J133" i="3"/>
  <c r="L132" i="3"/>
  <c r="B132" i="3"/>
  <c r="D131" i="3"/>
  <c r="F130" i="3"/>
  <c r="H129" i="3"/>
  <c r="J128" i="3"/>
  <c r="L127" i="3"/>
  <c r="B127" i="3"/>
  <c r="D126" i="3"/>
  <c r="F125" i="3"/>
  <c r="H124" i="3"/>
  <c r="J123" i="3"/>
  <c r="L122" i="3"/>
  <c r="B122" i="3"/>
  <c r="D121" i="3"/>
  <c r="F120" i="3"/>
  <c r="H119" i="3"/>
  <c r="J118" i="3"/>
  <c r="L117" i="3"/>
  <c r="B117" i="3"/>
  <c r="D116" i="3"/>
  <c r="F115" i="3"/>
  <c r="H114" i="3"/>
  <c r="J113" i="3"/>
  <c r="L112" i="3"/>
  <c r="B112" i="3"/>
  <c r="D111" i="3"/>
  <c r="F110" i="3"/>
  <c r="H109" i="3"/>
  <c r="J108" i="3"/>
  <c r="L107" i="3"/>
  <c r="B107" i="3"/>
  <c r="D106" i="3"/>
  <c r="F105" i="3"/>
  <c r="H104" i="3"/>
  <c r="J103" i="3"/>
  <c r="L102" i="3"/>
  <c r="B102" i="3"/>
  <c r="D101" i="3"/>
  <c r="M161" i="3"/>
  <c r="C161" i="3"/>
  <c r="E160" i="3"/>
  <c r="G159" i="3"/>
  <c r="I158" i="3"/>
  <c r="K157" i="3"/>
  <c r="M156" i="3"/>
  <c r="C156" i="3"/>
  <c r="E155" i="3"/>
  <c r="G154" i="3"/>
  <c r="I153" i="3"/>
  <c r="K152" i="3"/>
  <c r="M151" i="3"/>
  <c r="C151" i="3"/>
  <c r="E150" i="3"/>
  <c r="G149" i="3"/>
  <c r="I148" i="3"/>
  <c r="K147" i="3"/>
  <c r="M146" i="3"/>
  <c r="C146" i="3"/>
  <c r="E145" i="3"/>
  <c r="G144" i="3"/>
  <c r="I143" i="3"/>
  <c r="K142" i="3"/>
  <c r="M141" i="3"/>
  <c r="C141" i="3"/>
  <c r="E140" i="3"/>
  <c r="G139" i="3"/>
  <c r="I138" i="3"/>
  <c r="K137" i="3"/>
  <c r="M136" i="3"/>
  <c r="C136" i="3"/>
  <c r="E135" i="3"/>
  <c r="G134" i="3"/>
  <c r="I133" i="3"/>
  <c r="K132" i="3"/>
  <c r="M131" i="3"/>
  <c r="C131" i="3"/>
  <c r="E130" i="3"/>
  <c r="G129" i="3"/>
  <c r="I128" i="3"/>
  <c r="K127" i="3"/>
  <c r="M126" i="3"/>
  <c r="C126" i="3"/>
  <c r="E125" i="3"/>
  <c r="G124" i="3"/>
  <c r="I123" i="3"/>
  <c r="K122" i="3"/>
  <c r="M121" i="3"/>
  <c r="C121" i="3"/>
  <c r="E120" i="3"/>
  <c r="G119" i="3"/>
  <c r="I118" i="3"/>
  <c r="K117" i="3"/>
  <c r="M116" i="3"/>
  <c r="C116" i="3"/>
  <c r="E115" i="3"/>
  <c r="G114" i="3"/>
  <c r="I113" i="3"/>
  <c r="K112" i="3"/>
  <c r="M111" i="3"/>
  <c r="C111" i="3"/>
  <c r="E110" i="3"/>
  <c r="G109" i="3"/>
  <c r="I108" i="3"/>
  <c r="K107" i="3"/>
  <c r="M106" i="3"/>
  <c r="C106" i="3"/>
  <c r="E105" i="3"/>
  <c r="G104" i="3"/>
  <c r="I103" i="3"/>
  <c r="K102" i="3"/>
  <c r="M101" i="3"/>
  <c r="C101" i="3"/>
  <c r="E100" i="3"/>
  <c r="G99" i="3"/>
  <c r="I98" i="3"/>
  <c r="K97" i="3"/>
  <c r="M96" i="3"/>
  <c r="C96" i="3"/>
  <c r="E95" i="3"/>
  <c r="G94" i="3"/>
  <c r="I93" i="3"/>
  <c r="K92" i="3"/>
  <c r="M91" i="3"/>
  <c r="C91" i="3"/>
  <c r="E90" i="3"/>
  <c r="G89" i="3"/>
  <c r="I88" i="3"/>
  <c r="K87" i="3"/>
  <c r="M86" i="3"/>
  <c r="C86" i="3"/>
  <c r="E85" i="3"/>
  <c r="G84" i="3"/>
  <c r="I83" i="3"/>
  <c r="K82" i="3"/>
  <c r="M81" i="3"/>
  <c r="C81" i="3"/>
  <c r="E80" i="3"/>
  <c r="G79" i="3"/>
  <c r="I78" i="3"/>
  <c r="K77" i="3"/>
  <c r="M76" i="3"/>
  <c r="C76" i="3"/>
  <c r="G161" i="3"/>
  <c r="I160" i="3"/>
  <c r="K159" i="3"/>
  <c r="M158" i="3"/>
  <c r="C158" i="3"/>
  <c r="E157" i="3"/>
  <c r="G156" i="3"/>
  <c r="I155" i="3"/>
  <c r="K154" i="3"/>
  <c r="M153" i="3"/>
  <c r="C153" i="3"/>
  <c r="E152" i="3"/>
  <c r="G151" i="3"/>
  <c r="I150" i="3"/>
  <c r="K149" i="3"/>
  <c r="M148" i="3"/>
  <c r="C148" i="3"/>
  <c r="E147" i="3"/>
  <c r="G146" i="3"/>
  <c r="I145" i="3"/>
  <c r="K144" i="3"/>
  <c r="M143" i="3"/>
  <c r="C143" i="3"/>
  <c r="E142" i="3"/>
  <c r="G141" i="3"/>
  <c r="I140" i="3"/>
  <c r="K139" i="3"/>
  <c r="M138" i="3"/>
  <c r="C138" i="3"/>
  <c r="E137" i="3"/>
  <c r="G136" i="3"/>
  <c r="I135" i="3"/>
  <c r="K134" i="3"/>
  <c r="M133" i="3"/>
  <c r="C133" i="3"/>
  <c r="E132" i="3"/>
  <c r="G131" i="3"/>
  <c r="I130" i="3"/>
  <c r="K129" i="3"/>
  <c r="M128" i="3"/>
  <c r="C128" i="3"/>
  <c r="E127" i="3"/>
  <c r="G126" i="3"/>
  <c r="I125" i="3"/>
  <c r="K124" i="3"/>
  <c r="M123" i="3"/>
  <c r="C123" i="3"/>
  <c r="E122" i="3"/>
  <c r="G121" i="3"/>
  <c r="I120" i="3"/>
  <c r="K119" i="3"/>
  <c r="M118" i="3"/>
  <c r="C118" i="3"/>
  <c r="E117" i="3"/>
  <c r="G116" i="3"/>
  <c r="I115" i="3"/>
  <c r="K114" i="3"/>
  <c r="M113" i="3"/>
  <c r="C113" i="3"/>
  <c r="E112" i="3"/>
  <c r="G111" i="3"/>
  <c r="I110" i="3"/>
  <c r="K109" i="3"/>
  <c r="M108" i="3"/>
  <c r="C108" i="3"/>
  <c r="E107" i="3"/>
  <c r="G106" i="3"/>
  <c r="I105" i="3"/>
  <c r="K104" i="3"/>
  <c r="M103" i="3"/>
  <c r="C103" i="3"/>
  <c r="E102" i="3"/>
  <c r="G101" i="3"/>
  <c r="I100" i="3"/>
  <c r="K99" i="3"/>
  <c r="M98" i="3"/>
  <c r="C98" i="3"/>
  <c r="E97" i="3"/>
  <c r="G96" i="3"/>
  <c r="I95" i="3"/>
  <c r="K94" i="3"/>
  <c r="M93" i="3"/>
  <c r="C93" i="3"/>
  <c r="E92" i="3"/>
  <c r="G91" i="3"/>
  <c r="I90" i="3"/>
  <c r="K89" i="3"/>
  <c r="M88" i="3"/>
  <c r="C88" i="3"/>
  <c r="E87" i="3"/>
  <c r="G86" i="3"/>
  <c r="I85" i="3"/>
  <c r="K84" i="3"/>
  <c r="M83" i="3"/>
  <c r="C83" i="3"/>
  <c r="E82" i="3"/>
  <c r="G81" i="3"/>
  <c r="I80" i="3"/>
  <c r="K79" i="3"/>
  <c r="M78" i="3"/>
  <c r="C78" i="3"/>
  <c r="E77" i="3"/>
  <c r="G76" i="3"/>
  <c r="I75" i="3"/>
  <c r="L161" i="3"/>
  <c r="J160" i="3"/>
  <c r="D159" i="3"/>
  <c r="J157" i="3"/>
  <c r="H156" i="3"/>
  <c r="B155" i="3"/>
  <c r="H153" i="3"/>
  <c r="F152" i="3"/>
  <c r="L150" i="3"/>
  <c r="F149" i="3"/>
  <c r="D148" i="3"/>
  <c r="J146" i="3"/>
  <c r="D145" i="3"/>
  <c r="B144" i="3"/>
  <c r="H142" i="3"/>
  <c r="B141" i="3"/>
  <c r="L139" i="3"/>
  <c r="F138" i="3"/>
  <c r="L136" i="3"/>
  <c r="J135" i="3"/>
  <c r="D134" i="3"/>
  <c r="J132" i="3"/>
  <c r="H131" i="3"/>
  <c r="B130" i="3"/>
  <c r="H128" i="3"/>
  <c r="F127" i="3"/>
  <c r="L125" i="3"/>
  <c r="F124" i="3"/>
  <c r="D123" i="3"/>
  <c r="J121" i="3"/>
  <c r="D120" i="3"/>
  <c r="B119" i="3"/>
  <c r="H117" i="3"/>
  <c r="B116" i="3"/>
  <c r="L114" i="3"/>
  <c r="F113" i="3"/>
  <c r="L111" i="3"/>
  <c r="J110" i="3"/>
  <c r="D109" i="3"/>
  <c r="J107" i="3"/>
  <c r="H106" i="3"/>
  <c r="B105" i="3"/>
  <c r="H103" i="3"/>
  <c r="F102" i="3"/>
  <c r="L100" i="3"/>
  <c r="J99" i="3"/>
  <c r="G98" i="3"/>
  <c r="F97" i="3"/>
  <c r="B96" i="3"/>
  <c r="M94" i="3"/>
  <c r="J93" i="3"/>
  <c r="H92" i="3"/>
  <c r="F91" i="3"/>
  <c r="C90" i="3"/>
  <c r="B89" i="3"/>
  <c r="J87" i="3"/>
  <c r="I86" i="3"/>
  <c r="F85" i="3"/>
  <c r="D84" i="3"/>
  <c r="B83" i="3"/>
  <c r="K81" i="3"/>
  <c r="J80" i="3"/>
  <c r="F79" i="3"/>
  <c r="E78" i="3"/>
  <c r="B77" i="3"/>
  <c r="L75" i="3"/>
  <c r="M74" i="3"/>
  <c r="C74" i="3"/>
  <c r="E73" i="3"/>
  <c r="G72" i="3"/>
  <c r="I71" i="3"/>
  <c r="K70" i="3"/>
  <c r="M69" i="3"/>
  <c r="C69" i="3"/>
  <c r="E68" i="3"/>
  <c r="G67" i="3"/>
  <c r="I66" i="3"/>
  <c r="K65" i="3"/>
  <c r="M64" i="3"/>
  <c r="C64" i="3"/>
  <c r="E63" i="3"/>
  <c r="G62" i="3"/>
  <c r="I61" i="3"/>
  <c r="K60" i="3"/>
  <c r="M59" i="3"/>
  <c r="C59" i="3"/>
  <c r="E58" i="3"/>
  <c r="G57" i="3"/>
  <c r="I56" i="3"/>
  <c r="K55" i="3"/>
  <c r="M54" i="3"/>
  <c r="C54" i="3"/>
  <c r="E53" i="3"/>
  <c r="G52" i="3"/>
  <c r="I51" i="3"/>
  <c r="K50" i="3"/>
  <c r="M49" i="3"/>
  <c r="C49" i="3"/>
  <c r="E48" i="3"/>
  <c r="G47" i="3"/>
  <c r="I46" i="3"/>
  <c r="K45" i="3"/>
  <c r="M44" i="3"/>
  <c r="C44" i="3"/>
  <c r="E43" i="3"/>
  <c r="G42" i="3"/>
  <c r="I41" i="3"/>
  <c r="K40" i="3"/>
  <c r="M39" i="3"/>
  <c r="C39" i="3"/>
  <c r="E38" i="3"/>
  <c r="G37" i="3"/>
  <c r="I36" i="3"/>
  <c r="K35" i="3"/>
  <c r="M34" i="3"/>
  <c r="C34" i="3"/>
  <c r="E33" i="3"/>
  <c r="G32" i="3"/>
  <c r="I31" i="3"/>
  <c r="K30" i="3"/>
  <c r="M29" i="3"/>
  <c r="C29" i="3"/>
  <c r="E28" i="3"/>
  <c r="G27" i="3"/>
  <c r="I26" i="3"/>
  <c r="K25" i="3"/>
  <c r="M24" i="3"/>
  <c r="C24" i="3"/>
  <c r="E23" i="3"/>
  <c r="G22" i="3"/>
  <c r="I21" i="3"/>
  <c r="K20" i="3"/>
  <c r="M19" i="3"/>
  <c r="C19" i="3"/>
  <c r="E18" i="3"/>
  <c r="G17" i="3"/>
  <c r="I16" i="3"/>
  <c r="K15" i="3"/>
  <c r="M14" i="3"/>
  <c r="C14" i="3"/>
  <c r="E13" i="3"/>
  <c r="K161" i="3"/>
  <c r="H160" i="3"/>
  <c r="C159" i="3"/>
  <c r="I157" i="3"/>
  <c r="F156" i="3"/>
  <c r="M154" i="3"/>
  <c r="G153" i="3"/>
  <c r="D152" i="3"/>
  <c r="K150" i="3"/>
  <c r="E149" i="3"/>
  <c r="B148" i="3"/>
  <c r="I146" i="3"/>
  <c r="C145" i="3"/>
  <c r="L143" i="3"/>
  <c r="G142" i="3"/>
  <c r="M140" i="3"/>
  <c r="J139" i="3"/>
  <c r="E138" i="3"/>
  <c r="K136" i="3"/>
  <c r="H135" i="3"/>
  <c r="C134" i="3"/>
  <c r="I132" i="3"/>
  <c r="F131" i="3"/>
  <c r="M129" i="3"/>
  <c r="G128" i="3"/>
  <c r="D127" i="3"/>
  <c r="K125" i="3"/>
  <c r="E124" i="3"/>
  <c r="B123" i="3"/>
  <c r="I121" i="3"/>
  <c r="C120" i="3"/>
  <c r="L118" i="3"/>
  <c r="G117" i="3"/>
  <c r="M115" i="3"/>
  <c r="J114" i="3"/>
  <c r="E113" i="3"/>
  <c r="K111" i="3"/>
  <c r="H110" i="3"/>
  <c r="C109" i="3"/>
  <c r="I107" i="3"/>
  <c r="F106" i="3"/>
  <c r="M104" i="3"/>
  <c r="G103" i="3"/>
  <c r="D102" i="3"/>
  <c r="K100" i="3"/>
  <c r="H99" i="3"/>
  <c r="F98" i="3"/>
  <c r="D97" i="3"/>
  <c r="M95" i="3"/>
  <c r="L94" i="3"/>
  <c r="H93" i="3"/>
  <c r="G92" i="3"/>
  <c r="D91" i="3"/>
  <c r="B90" i="3"/>
  <c r="L88" i="3"/>
  <c r="I87" i="3"/>
  <c r="H86" i="3"/>
  <c r="D85" i="3"/>
  <c r="C84" i="3"/>
  <c r="L82" i="3"/>
  <c r="J81" i="3"/>
  <c r="H80" i="3"/>
  <c r="E79" i="3"/>
  <c r="D78" i="3"/>
  <c r="L76" i="3"/>
  <c r="K75" i="3"/>
  <c r="L74" i="3"/>
  <c r="B74" i="3"/>
  <c r="D73" i="3"/>
  <c r="F72" i="3"/>
  <c r="H71" i="3"/>
  <c r="J70" i="3"/>
  <c r="L69" i="3"/>
  <c r="B69" i="3"/>
  <c r="D68" i="3"/>
  <c r="F67" i="3"/>
  <c r="H66" i="3"/>
  <c r="J65" i="3"/>
  <c r="L64" i="3"/>
  <c r="B64" i="3"/>
  <c r="D63" i="3"/>
  <c r="F62" i="3"/>
  <c r="H61" i="3"/>
  <c r="J60" i="3"/>
  <c r="L59" i="3"/>
  <c r="B59" i="3"/>
  <c r="D58" i="3"/>
  <c r="F57" i="3"/>
  <c r="H56" i="3"/>
  <c r="J55" i="3"/>
  <c r="L54" i="3"/>
  <c r="B54" i="3"/>
  <c r="D53" i="3"/>
  <c r="F52" i="3"/>
  <c r="H51" i="3"/>
  <c r="J50" i="3"/>
  <c r="L49" i="3"/>
  <c r="B49" i="3"/>
  <c r="D48" i="3"/>
  <c r="F47" i="3"/>
  <c r="H46" i="3"/>
  <c r="J45" i="3"/>
  <c r="L44" i="3"/>
  <c r="B44" i="3"/>
  <c r="D43" i="3"/>
  <c r="F42" i="3"/>
  <c r="H41" i="3"/>
  <c r="J40" i="3"/>
  <c r="L39" i="3"/>
  <c r="B39" i="3"/>
  <c r="D38" i="3"/>
  <c r="F37" i="3"/>
  <c r="H36" i="3"/>
  <c r="J35" i="3"/>
  <c r="L34" i="3"/>
  <c r="B34" i="3"/>
  <c r="D33" i="3"/>
  <c r="F32" i="3"/>
  <c r="H31" i="3"/>
  <c r="J30" i="3"/>
  <c r="L29" i="3"/>
  <c r="B29" i="3"/>
  <c r="D28" i="3"/>
  <c r="F27" i="3"/>
  <c r="H26" i="3"/>
  <c r="J25" i="3"/>
  <c r="L24" i="3"/>
  <c r="B24" i="3"/>
  <c r="D23" i="3"/>
  <c r="F22" i="3"/>
  <c r="H21" i="3"/>
  <c r="J20" i="3"/>
  <c r="L19" i="3"/>
  <c r="B19" i="3"/>
  <c r="D18" i="3"/>
  <c r="F17" i="3"/>
  <c r="H16" i="3"/>
  <c r="J15" i="3"/>
  <c r="L14" i="3"/>
  <c r="B14" i="3"/>
  <c r="D13" i="3"/>
  <c r="J161" i="3"/>
  <c r="D160" i="3"/>
  <c r="B159" i="3"/>
  <c r="H157" i="3"/>
  <c r="B156" i="3"/>
  <c r="L154" i="3"/>
  <c r="F153" i="3"/>
  <c r="L151" i="3"/>
  <c r="J150" i="3"/>
  <c r="D149" i="3"/>
  <c r="J147" i="3"/>
  <c r="H146" i="3"/>
  <c r="B145" i="3"/>
  <c r="H143" i="3"/>
  <c r="F142" i="3"/>
  <c r="L140" i="3"/>
  <c r="F139" i="3"/>
  <c r="D138" i="3"/>
  <c r="J136" i="3"/>
  <c r="D135" i="3"/>
  <c r="B134" i="3"/>
  <c r="H132" i="3"/>
  <c r="B131" i="3"/>
  <c r="L129" i="3"/>
  <c r="F128" i="3"/>
  <c r="L126" i="3"/>
  <c r="J125" i="3"/>
  <c r="D124" i="3"/>
  <c r="J122" i="3"/>
  <c r="H121" i="3"/>
  <c r="B120" i="3"/>
  <c r="H118" i="3"/>
  <c r="F117" i="3"/>
  <c r="L115" i="3"/>
  <c r="F114" i="3"/>
  <c r="D113" i="3"/>
  <c r="J111" i="3"/>
  <c r="D110" i="3"/>
  <c r="B109" i="3"/>
  <c r="H107" i="3"/>
  <c r="B106" i="3"/>
  <c r="L104" i="3"/>
  <c r="F103" i="3"/>
  <c r="L101" i="3"/>
  <c r="J100" i="3"/>
  <c r="F99" i="3"/>
  <c r="E98" i="3"/>
  <c r="B97" i="3"/>
  <c r="L95" i="3"/>
  <c r="J94" i="3"/>
  <c r="G93" i="3"/>
  <c r="F92" i="3"/>
  <c r="B91" i="3"/>
  <c r="M89" i="3"/>
  <c r="J88" i="3"/>
  <c r="H87" i="3"/>
  <c r="F86" i="3"/>
  <c r="C85" i="3"/>
  <c r="B84" i="3"/>
  <c r="J82" i="3"/>
  <c r="I81" i="3"/>
  <c r="F80" i="3"/>
  <c r="D79" i="3"/>
  <c r="B78" i="3"/>
  <c r="K76" i="3"/>
  <c r="J75" i="3"/>
  <c r="K74" i="3"/>
  <c r="M73" i="3"/>
  <c r="C73" i="3"/>
  <c r="E72" i="3"/>
  <c r="G71" i="3"/>
  <c r="I70" i="3"/>
  <c r="K69" i="3"/>
  <c r="M68" i="3"/>
  <c r="C68" i="3"/>
  <c r="E67" i="3"/>
  <c r="G66" i="3"/>
  <c r="I65" i="3"/>
  <c r="K64" i="3"/>
  <c r="M63" i="3"/>
  <c r="C63" i="3"/>
  <c r="E62" i="3"/>
  <c r="G61" i="3"/>
  <c r="I60" i="3"/>
  <c r="K59" i="3"/>
  <c r="M58" i="3"/>
  <c r="C58" i="3"/>
  <c r="E57" i="3"/>
  <c r="G56" i="3"/>
  <c r="I55" i="3"/>
  <c r="K54" i="3"/>
  <c r="M53" i="3"/>
  <c r="C53" i="3"/>
  <c r="E52" i="3"/>
  <c r="G51" i="3"/>
  <c r="I50" i="3"/>
  <c r="K49" i="3"/>
  <c r="M48" i="3"/>
  <c r="C48" i="3"/>
  <c r="E47" i="3"/>
  <c r="G46" i="3"/>
  <c r="I45" i="3"/>
  <c r="K44" i="3"/>
  <c r="M43" i="3"/>
  <c r="C43" i="3"/>
  <c r="E42" i="3"/>
  <c r="G41" i="3"/>
  <c r="I40" i="3"/>
  <c r="K39" i="3"/>
  <c r="M38" i="3"/>
  <c r="C38" i="3"/>
  <c r="E37" i="3"/>
  <c r="G36" i="3"/>
  <c r="I35" i="3"/>
  <c r="K34" i="3"/>
  <c r="M33" i="3"/>
  <c r="C33" i="3"/>
  <c r="E32" i="3"/>
  <c r="G31" i="3"/>
  <c r="I30" i="3"/>
  <c r="K29" i="3"/>
  <c r="M28" i="3"/>
  <c r="C28" i="3"/>
  <c r="E27" i="3"/>
  <c r="G26" i="3"/>
  <c r="I25" i="3"/>
  <c r="K24" i="3"/>
  <c r="M23" i="3"/>
  <c r="C23" i="3"/>
  <c r="E22" i="3"/>
  <c r="G21" i="3"/>
  <c r="I20" i="3"/>
  <c r="K19" i="3"/>
  <c r="M18" i="3"/>
  <c r="C18" i="3"/>
  <c r="E17" i="3"/>
  <c r="G16" i="3"/>
  <c r="I15" i="3"/>
  <c r="K14" i="3"/>
  <c r="M13" i="3"/>
  <c r="C13" i="3"/>
  <c r="I161" i="3"/>
  <c r="C160" i="3"/>
  <c r="L158" i="3"/>
  <c r="G157" i="3"/>
  <c r="M155" i="3"/>
  <c r="J154" i="3"/>
  <c r="E153" i="3"/>
  <c r="K151" i="3"/>
  <c r="H150" i="3"/>
  <c r="C149" i="3"/>
  <c r="I147" i="3"/>
  <c r="F146" i="3"/>
  <c r="M144" i="3"/>
  <c r="G143" i="3"/>
  <c r="D142" i="3"/>
  <c r="K140" i="3"/>
  <c r="E139" i="3"/>
  <c r="B138" i="3"/>
  <c r="I136" i="3"/>
  <c r="H161" i="3"/>
  <c r="B161" i="3"/>
  <c r="L159" i="3"/>
  <c r="F158" i="3"/>
  <c r="L156" i="3"/>
  <c r="J155" i="3"/>
  <c r="D154" i="3"/>
  <c r="J152" i="3"/>
  <c r="H151" i="3"/>
  <c r="B150" i="3"/>
  <c r="H148" i="3"/>
  <c r="F147" i="3"/>
  <c r="L145" i="3"/>
  <c r="F144" i="3"/>
  <c r="D143" i="3"/>
  <c r="J141" i="3"/>
  <c r="D140" i="3"/>
  <c r="B139" i="3"/>
  <c r="H137" i="3"/>
  <c r="B136" i="3"/>
  <c r="L134" i="3"/>
  <c r="F133" i="3"/>
  <c r="L131" i="3"/>
  <c r="J130" i="3"/>
  <c r="D129" i="3"/>
  <c r="J127" i="3"/>
  <c r="H126" i="3"/>
  <c r="B125" i="3"/>
  <c r="M160" i="3"/>
  <c r="J159" i="3"/>
  <c r="E158" i="3"/>
  <c r="K156" i="3"/>
  <c r="H155" i="3"/>
  <c r="C154" i="3"/>
  <c r="I152" i="3"/>
  <c r="F151" i="3"/>
  <c r="M149" i="3"/>
  <c r="G148" i="3"/>
  <c r="D147" i="3"/>
  <c r="K145" i="3"/>
  <c r="E144" i="3"/>
  <c r="B143" i="3"/>
  <c r="I141" i="3"/>
  <c r="C140" i="3"/>
  <c r="L138" i="3"/>
  <c r="G137" i="3"/>
  <c r="M135" i="3"/>
  <c r="J134" i="3"/>
  <c r="E133" i="3"/>
  <c r="K131" i="3"/>
  <c r="H130" i="3"/>
  <c r="C129" i="3"/>
  <c r="I127" i="3"/>
  <c r="F126" i="3"/>
  <c r="M124" i="3"/>
  <c r="L160" i="3"/>
  <c r="F159" i="3"/>
  <c r="D158" i="3"/>
  <c r="J156" i="3"/>
  <c r="D155" i="3"/>
  <c r="B154" i="3"/>
  <c r="H152" i="3"/>
  <c r="B151" i="3"/>
  <c r="L149" i="3"/>
  <c r="F148" i="3"/>
  <c r="L146" i="3"/>
  <c r="J145" i="3"/>
  <c r="D144" i="3"/>
  <c r="J142" i="3"/>
  <c r="H141" i="3"/>
  <c r="B140" i="3"/>
  <c r="H138" i="3"/>
  <c r="F137" i="3"/>
  <c r="L135" i="3"/>
  <c r="F134" i="3"/>
  <c r="D133" i="3"/>
  <c r="J131" i="3"/>
  <c r="D130" i="3"/>
  <c r="B129" i="3"/>
  <c r="H127" i="3"/>
  <c r="B126" i="3"/>
  <c r="L124" i="3"/>
  <c r="F123" i="3"/>
  <c r="L121" i="3"/>
  <c r="J120" i="3"/>
  <c r="D119" i="3"/>
  <c r="J117" i="3"/>
  <c r="H116" i="3"/>
  <c r="B115" i="3"/>
  <c r="H113" i="3"/>
  <c r="F112" i="3"/>
  <c r="L110" i="3"/>
  <c r="F109" i="3"/>
  <c r="D108" i="3"/>
  <c r="J106" i="3"/>
  <c r="D105" i="3"/>
  <c r="B104" i="3"/>
  <c r="H102" i="3"/>
  <c r="B101" i="3"/>
  <c r="M99" i="3"/>
  <c r="J98" i="3"/>
  <c r="H97" i="3"/>
  <c r="F96" i="3"/>
  <c r="C95" i="3"/>
  <c r="B94" i="3"/>
  <c r="J92" i="3"/>
  <c r="I91" i="3"/>
  <c r="F90" i="3"/>
  <c r="D89" i="3"/>
  <c r="B88" i="3"/>
  <c r="K86" i="3"/>
  <c r="J85" i="3"/>
  <c r="F84" i="3"/>
  <c r="E83" i="3"/>
  <c r="B82" i="3"/>
  <c r="L80" i="3"/>
  <c r="J79" i="3"/>
  <c r="G78" i="3"/>
  <c r="F77" i="3"/>
  <c r="B76" i="3"/>
  <c r="C75" i="3"/>
  <c r="E74" i="3"/>
  <c r="G73" i="3"/>
  <c r="I72" i="3"/>
  <c r="K71" i="3"/>
  <c r="M70" i="3"/>
  <c r="C70" i="3"/>
  <c r="E69" i="3"/>
  <c r="G68" i="3"/>
  <c r="I67" i="3"/>
  <c r="K66" i="3"/>
  <c r="M65" i="3"/>
  <c r="C65" i="3"/>
  <c r="E64" i="3"/>
  <c r="G63" i="3"/>
  <c r="I62" i="3"/>
  <c r="K61" i="3"/>
  <c r="M60" i="3"/>
  <c r="C60" i="3"/>
  <c r="E59" i="3"/>
  <c r="G58" i="3"/>
  <c r="I57" i="3"/>
  <c r="K56" i="3"/>
  <c r="M55" i="3"/>
  <c r="C55" i="3"/>
  <c r="E54" i="3"/>
  <c r="G53" i="3"/>
  <c r="I52" i="3"/>
  <c r="K51" i="3"/>
  <c r="M50" i="3"/>
  <c r="C50" i="3"/>
  <c r="E49" i="3"/>
  <c r="G48" i="3"/>
  <c r="I47" i="3"/>
  <c r="K46" i="3"/>
  <c r="M45" i="3"/>
  <c r="C45" i="3"/>
  <c r="E44" i="3"/>
  <c r="G43" i="3"/>
  <c r="I42" i="3"/>
  <c r="K41" i="3"/>
  <c r="M40" i="3"/>
  <c r="C40" i="3"/>
  <c r="E39" i="3"/>
  <c r="G38" i="3"/>
  <c r="I37" i="3"/>
  <c r="K36" i="3"/>
  <c r="M35" i="3"/>
  <c r="C35" i="3"/>
  <c r="E34" i="3"/>
  <c r="G33" i="3"/>
  <c r="I32" i="3"/>
  <c r="K31" i="3"/>
  <c r="M30" i="3"/>
  <c r="C30" i="3"/>
  <c r="E29" i="3"/>
  <c r="G28" i="3"/>
  <c r="I27" i="3"/>
  <c r="K26" i="3"/>
  <c r="M25" i="3"/>
  <c r="C25" i="3"/>
  <c r="E24" i="3"/>
  <c r="G23" i="3"/>
  <c r="I22" i="3"/>
  <c r="K21" i="3"/>
  <c r="M20" i="3"/>
  <c r="C20" i="3"/>
  <c r="E19" i="3"/>
  <c r="G18" i="3"/>
  <c r="I17" i="3"/>
  <c r="K16" i="3"/>
  <c r="M15" i="3"/>
  <c r="C15" i="3"/>
  <c r="E14" i="3"/>
  <c r="G13" i="3"/>
  <c r="K160" i="3"/>
  <c r="E159" i="3"/>
  <c r="B158" i="3"/>
  <c r="I156" i="3"/>
  <c r="C155" i="3"/>
  <c r="L153" i="3"/>
  <c r="G152" i="3"/>
  <c r="M150" i="3"/>
  <c r="J149" i="3"/>
  <c r="E148" i="3"/>
  <c r="K146" i="3"/>
  <c r="H145" i="3"/>
  <c r="C144" i="3"/>
  <c r="I142" i="3"/>
  <c r="F141" i="3"/>
  <c r="M139" i="3"/>
  <c r="G138" i="3"/>
  <c r="D137" i="3"/>
  <c r="K135" i="3"/>
  <c r="E134" i="3"/>
  <c r="B133" i="3"/>
  <c r="F13" i="3"/>
  <c r="I14" i="3"/>
  <c r="C16" i="3"/>
  <c r="H17" i="3"/>
  <c r="K18" i="3"/>
  <c r="E20" i="3"/>
  <c r="J21" i="3"/>
  <c r="M22" i="3"/>
  <c r="G24" i="3"/>
  <c r="L25" i="3"/>
  <c r="C27" i="3"/>
  <c r="I28" i="3"/>
  <c r="B30" i="3"/>
  <c r="E31" i="3"/>
  <c r="K32" i="3"/>
  <c r="D34" i="3"/>
  <c r="G35" i="3"/>
  <c r="M36" i="3"/>
  <c r="F38" i="3"/>
  <c r="I39" i="3"/>
  <c r="C41" i="3"/>
  <c r="H42" i="3"/>
  <c r="K43" i="3"/>
  <c r="E45" i="3"/>
  <c r="J46" i="3"/>
  <c r="M47" i="3"/>
  <c r="G49" i="3"/>
  <c r="L50" i="3"/>
  <c r="C52" i="3"/>
  <c r="I53" i="3"/>
  <c r="B55" i="3"/>
  <c r="E56" i="3"/>
  <c r="K57" i="3"/>
  <c r="D59" i="3"/>
  <c r="G60" i="3"/>
  <c r="M61" i="3"/>
  <c r="F63" i="3"/>
  <c r="I64" i="3"/>
  <c r="C66" i="3"/>
  <c r="H67" i="3"/>
  <c r="K68" i="3"/>
  <c r="E70" i="3"/>
  <c r="J71" i="3"/>
  <c r="M72" i="3"/>
  <c r="G74" i="3"/>
  <c r="M75" i="3"/>
  <c r="J77" i="3"/>
  <c r="M79" i="3"/>
  <c r="L81" i="3"/>
  <c r="J83" i="3"/>
  <c r="L85" i="3"/>
  <c r="L87" i="3"/>
  <c r="J89" i="3"/>
  <c r="K91" i="3"/>
  <c r="L93" i="3"/>
  <c r="J95" i="3"/>
  <c r="J97" i="3"/>
  <c r="L99" i="3"/>
  <c r="J101" i="3"/>
  <c r="D104" i="3"/>
  <c r="I106" i="3"/>
  <c r="H108" i="3"/>
  <c r="B111" i="3"/>
  <c r="G113" i="3"/>
  <c r="J115" i="3"/>
  <c r="D118" i="3"/>
  <c r="H120" i="3"/>
  <c r="H122" i="3"/>
  <c r="D125" i="3"/>
  <c r="L128" i="3"/>
  <c r="F132" i="3"/>
  <c r="I137" i="3"/>
  <c r="J144" i="3"/>
  <c r="I151" i="3"/>
  <c r="G158" i="3"/>
  <c r="H13" i="3"/>
  <c r="J14" i="3"/>
  <c r="D16" i="3"/>
  <c r="J17" i="3"/>
  <c r="L18" i="3"/>
  <c r="F20" i="3"/>
  <c r="L21" i="3"/>
  <c r="B23" i="3"/>
  <c r="H24" i="3"/>
  <c r="B26" i="3"/>
  <c r="D27" i="3"/>
  <c r="J28" i="3"/>
  <c r="D30" i="3"/>
  <c r="F31" i="3"/>
  <c r="L32" i="3"/>
  <c r="F34" i="3"/>
  <c r="H35" i="3"/>
  <c r="B37" i="3"/>
  <c r="H38" i="3"/>
  <c r="J39" i="3"/>
  <c r="D41" i="3"/>
  <c r="J42" i="3"/>
  <c r="L43" i="3"/>
  <c r="F45" i="3"/>
  <c r="L46" i="3"/>
  <c r="B48" i="3"/>
  <c r="H49" i="3"/>
  <c r="B51" i="3"/>
  <c r="D52" i="3"/>
  <c r="J53" i="3"/>
  <c r="D55" i="3"/>
  <c r="F56" i="3"/>
  <c r="L57" i="3"/>
  <c r="F59" i="3"/>
  <c r="H60" i="3"/>
  <c r="B62" i="3"/>
  <c r="H63" i="3"/>
  <c r="J64" i="3"/>
  <c r="D66" i="3"/>
  <c r="J67" i="3"/>
  <c r="L68" i="3"/>
  <c r="F70" i="3"/>
  <c r="L71" i="3"/>
  <c r="B73" i="3"/>
  <c r="H74" i="3"/>
  <c r="D76" i="3"/>
  <c r="L77" i="3"/>
  <c r="B80" i="3"/>
  <c r="D82" i="3"/>
  <c r="L83" i="3"/>
  <c r="M85" i="3"/>
  <c r="D88" i="3"/>
  <c r="L89" i="3"/>
  <c r="L91" i="3"/>
  <c r="C94" i="3"/>
  <c r="K95" i="3"/>
  <c r="L97" i="3"/>
  <c r="B100" i="3"/>
  <c r="K101" i="3"/>
  <c r="E104" i="3"/>
  <c r="K106" i="3"/>
  <c r="L108" i="3"/>
  <c r="F111" i="3"/>
  <c r="L113" i="3"/>
  <c r="K115" i="3"/>
  <c r="E118" i="3"/>
  <c r="K120" i="3"/>
  <c r="I122" i="3"/>
  <c r="H125" i="3"/>
  <c r="E129" i="3"/>
  <c r="G132" i="3"/>
  <c r="J137" i="3"/>
  <c r="L144" i="3"/>
  <c r="J151" i="3"/>
  <c r="H158" i="3"/>
  <c r="I13" i="3"/>
  <c r="B15" i="3"/>
  <c r="E16" i="3"/>
  <c r="K17" i="3"/>
  <c r="D19" i="3"/>
  <c r="G20" i="3"/>
  <c r="M21" i="3"/>
  <c r="F23" i="3"/>
  <c r="I24" i="3"/>
  <c r="C26" i="3"/>
  <c r="H27" i="3"/>
  <c r="K28" i="3"/>
  <c r="E30" i="3"/>
  <c r="J31" i="3"/>
  <c r="M32" i="3"/>
  <c r="G34" i="3"/>
  <c r="L35" i="3"/>
  <c r="C37" i="3"/>
  <c r="I38" i="3"/>
  <c r="B40" i="3"/>
  <c r="E41" i="3"/>
  <c r="K42" i="3"/>
  <c r="D44" i="3"/>
  <c r="G45" i="3"/>
  <c r="M46" i="3"/>
  <c r="F48" i="3"/>
  <c r="I49" i="3"/>
  <c r="C51" i="3"/>
  <c r="H52" i="3"/>
  <c r="K53" i="3"/>
  <c r="E55" i="3"/>
  <c r="J56" i="3"/>
  <c r="M57" i="3"/>
  <c r="G59" i="3"/>
  <c r="L60" i="3"/>
  <c r="C62" i="3"/>
  <c r="I63" i="3"/>
  <c r="B65" i="3"/>
  <c r="E66" i="3"/>
  <c r="K67" i="3"/>
  <c r="D69" i="3"/>
  <c r="G70" i="3"/>
  <c r="M71" i="3"/>
  <c r="F73" i="3"/>
  <c r="I74" i="3"/>
  <c r="F76" i="3"/>
  <c r="F78" i="3"/>
  <c r="C80" i="3"/>
  <c r="F82" i="3"/>
  <c r="E84" i="3"/>
  <c r="B86" i="3"/>
  <c r="E88" i="3"/>
  <c r="D90" i="3"/>
  <c r="B92" i="3"/>
  <c r="D94" i="3"/>
  <c r="D96" i="3"/>
  <c r="B98" i="3"/>
  <c r="C100" i="3"/>
  <c r="G102" i="3"/>
  <c r="F104" i="3"/>
  <c r="L106" i="3"/>
  <c r="E109" i="3"/>
  <c r="H111" i="3"/>
  <c r="B114" i="3"/>
  <c r="F116" i="3"/>
  <c r="F118" i="3"/>
  <c r="L120" i="3"/>
  <c r="E123" i="3"/>
  <c r="M125" i="3"/>
  <c r="F129" i="3"/>
  <c r="G133" i="3"/>
  <c r="C139" i="3"/>
  <c r="M145" i="3"/>
  <c r="B153" i="3"/>
  <c r="M159" i="3"/>
  <c r="L61" i="4"/>
  <c r="J62" i="4"/>
  <c r="H63" i="4"/>
  <c r="F64" i="4"/>
  <c r="D65" i="4"/>
  <c r="B66" i="4"/>
  <c r="L66" i="4"/>
  <c r="J67" i="4"/>
  <c r="H68" i="4"/>
  <c r="F69" i="4"/>
  <c r="D70" i="4"/>
  <c r="B71" i="4"/>
  <c r="L71" i="4"/>
  <c r="J72" i="4"/>
  <c r="H73" i="4"/>
  <c r="F74" i="4"/>
  <c r="D75" i="4"/>
  <c r="B76" i="4"/>
  <c r="L76" i="4"/>
  <c r="J77" i="4"/>
  <c r="H78" i="4"/>
  <c r="F79" i="4"/>
  <c r="D80" i="4"/>
  <c r="B81" i="4"/>
  <c r="L81" i="4"/>
  <c r="J82" i="4"/>
  <c r="H83" i="4"/>
  <c r="F84" i="4"/>
  <c r="D85" i="4"/>
  <c r="B86" i="4"/>
  <c r="L86" i="4"/>
  <c r="J87" i="4"/>
  <c r="H88" i="4"/>
  <c r="F89" i="4"/>
  <c r="D90" i="4"/>
  <c r="B91" i="4"/>
  <c r="L91" i="4"/>
  <c r="J92" i="4"/>
  <c r="H93" i="4"/>
  <c r="F94" i="4"/>
  <c r="D95" i="4"/>
  <c r="B96" i="4"/>
  <c r="L96" i="4"/>
  <c r="J97" i="4"/>
  <c r="H98" i="4"/>
  <c r="F99" i="4"/>
  <c r="D100" i="4"/>
  <c r="B101" i="4"/>
  <c r="L101" i="4"/>
  <c r="J102" i="4"/>
  <c r="H103" i="4"/>
  <c r="F104" i="4"/>
  <c r="D105" i="4"/>
  <c r="B106" i="4"/>
  <c r="L106" i="4"/>
  <c r="J107" i="4"/>
  <c r="H108" i="4"/>
  <c r="F109" i="4"/>
  <c r="D110" i="4"/>
  <c r="B111" i="4"/>
  <c r="L111" i="4"/>
  <c r="J112" i="4"/>
  <c r="H113" i="4"/>
  <c r="F114" i="4"/>
  <c r="D115" i="4"/>
  <c r="B116" i="4"/>
  <c r="L116" i="4"/>
  <c r="J117" i="4"/>
  <c r="H118" i="4"/>
  <c r="F119" i="4"/>
  <c r="D120" i="4"/>
  <c r="B121" i="4"/>
  <c r="L121" i="4"/>
  <c r="J122" i="4"/>
  <c r="H123" i="4"/>
  <c r="F124" i="4"/>
  <c r="D125" i="4"/>
  <c r="B126" i="4"/>
  <c r="L126" i="4"/>
  <c r="J127" i="4"/>
  <c r="H128" i="4"/>
  <c r="F129" i="4"/>
  <c r="D130" i="4"/>
  <c r="B131" i="4"/>
  <c r="L131" i="4"/>
  <c r="J132" i="4"/>
  <c r="H133" i="4"/>
  <c r="F134" i="4"/>
  <c r="D135" i="4"/>
  <c r="B136" i="4"/>
  <c r="L136" i="4"/>
  <c r="J137" i="4"/>
  <c r="H138" i="4"/>
  <c r="F139" i="4"/>
  <c r="D140" i="4"/>
  <c r="B141" i="4"/>
  <c r="L141" i="4"/>
  <c r="J142" i="4"/>
  <c r="H143" i="4"/>
  <c r="F144" i="4"/>
  <c r="D145" i="4"/>
  <c r="B146" i="4"/>
  <c r="L146" i="4"/>
  <c r="J147" i="4"/>
  <c r="H148" i="4"/>
  <c r="F149" i="4"/>
  <c r="D150" i="4"/>
  <c r="B151" i="4"/>
  <c r="L151" i="4"/>
  <c r="J152" i="4"/>
  <c r="H153" i="4"/>
  <c r="F154" i="4"/>
  <c r="D155" i="4"/>
  <c r="B156" i="4"/>
  <c r="L156" i="4"/>
  <c r="J15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C118" i="6"/>
  <c r="E117" i="6"/>
  <c r="G116" i="6"/>
  <c r="I115" i="6"/>
  <c r="K114" i="6"/>
  <c r="M113" i="6"/>
  <c r="C113" i="6"/>
  <c r="E112" i="6"/>
  <c r="G111" i="6"/>
  <c r="I110" i="6"/>
  <c r="K109" i="6"/>
  <c r="M108" i="6"/>
  <c r="C108" i="6"/>
  <c r="E107" i="6"/>
  <c r="G106" i="6"/>
  <c r="I105" i="6"/>
  <c r="K104" i="6"/>
  <c r="M103" i="6"/>
  <c r="C103" i="6"/>
  <c r="E102" i="6"/>
  <c r="G101" i="6"/>
  <c r="I100" i="6"/>
  <c r="K99" i="6"/>
  <c r="M98" i="6"/>
  <c r="C98" i="6"/>
  <c r="E97" i="6"/>
  <c r="G96" i="6"/>
  <c r="I95" i="6"/>
  <c r="K94" i="6"/>
  <c r="M93" i="6"/>
  <c r="C93" i="6"/>
  <c r="E92" i="6"/>
  <c r="G91" i="6"/>
  <c r="I90" i="6"/>
  <c r="K89" i="6"/>
  <c r="M8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D97" i="6"/>
  <c r="F96" i="6"/>
  <c r="H95" i="6"/>
  <c r="J94" i="6"/>
  <c r="L93" i="6"/>
  <c r="B93" i="6"/>
  <c r="D92" i="6"/>
  <c r="F91" i="6"/>
  <c r="H90" i="6"/>
  <c r="J89" i="6"/>
  <c r="L8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K118" i="6"/>
  <c r="M117" i="6"/>
  <c r="C117" i="6"/>
  <c r="E116" i="6"/>
  <c r="G115" i="6"/>
  <c r="I114" i="6"/>
  <c r="K113" i="6"/>
  <c r="M112" i="6"/>
  <c r="C112" i="6"/>
  <c r="E111" i="6"/>
  <c r="G110" i="6"/>
  <c r="I109" i="6"/>
  <c r="K108" i="6"/>
  <c r="M107" i="6"/>
  <c r="C107" i="6"/>
  <c r="E106" i="6"/>
  <c r="G105" i="6"/>
  <c r="I104" i="6"/>
  <c r="K103" i="6"/>
  <c r="M102" i="6"/>
  <c r="C102" i="6"/>
  <c r="E101" i="6"/>
  <c r="G100" i="6"/>
  <c r="I99" i="6"/>
  <c r="K98" i="6"/>
  <c r="M97" i="6"/>
  <c r="C97" i="6"/>
  <c r="E96" i="6"/>
  <c r="G95" i="6"/>
  <c r="I94" i="6"/>
  <c r="K93" i="6"/>
  <c r="M92" i="6"/>
  <c r="C92" i="6"/>
  <c r="E91" i="6"/>
  <c r="G90" i="6"/>
  <c r="I89" i="6"/>
  <c r="K88" i="6"/>
  <c r="E158" i="6"/>
  <c r="G157" i="6"/>
  <c r="I156" i="6"/>
  <c r="K155" i="6"/>
  <c r="M154" i="6"/>
  <c r="C154" i="6"/>
  <c r="E153" i="6"/>
  <c r="G152" i="6"/>
  <c r="I151" i="6"/>
  <c r="K150" i="6"/>
  <c r="M149" i="6"/>
  <c r="C149" i="6"/>
  <c r="E148" i="6"/>
  <c r="G147" i="6"/>
  <c r="I146" i="6"/>
  <c r="K145" i="6"/>
  <c r="M144" i="6"/>
  <c r="C144" i="6"/>
  <c r="E143" i="6"/>
  <c r="G142" i="6"/>
  <c r="I141" i="6"/>
  <c r="K140" i="6"/>
  <c r="M139" i="6"/>
  <c r="C139" i="6"/>
  <c r="E138" i="6"/>
  <c r="G137" i="6"/>
  <c r="I136" i="6"/>
  <c r="K135" i="6"/>
  <c r="M134" i="6"/>
  <c r="C134" i="6"/>
  <c r="E133" i="6"/>
  <c r="G132" i="6"/>
  <c r="I131" i="6"/>
  <c r="K130" i="6"/>
  <c r="M129" i="6"/>
  <c r="C129" i="6"/>
  <c r="E128" i="6"/>
  <c r="G127" i="6"/>
  <c r="I126" i="6"/>
  <c r="K125" i="6"/>
  <c r="M124" i="6"/>
  <c r="C124" i="6"/>
  <c r="E123" i="6"/>
  <c r="G122" i="6"/>
  <c r="I121" i="6"/>
  <c r="K120" i="6"/>
  <c r="M119" i="6"/>
  <c r="C119" i="6"/>
  <c r="E118" i="6"/>
  <c r="G117" i="6"/>
  <c r="I116" i="6"/>
  <c r="K115" i="6"/>
  <c r="M114" i="6"/>
  <c r="C114" i="6"/>
  <c r="E113" i="6"/>
  <c r="G112" i="6"/>
  <c r="I111" i="6"/>
  <c r="K110" i="6"/>
  <c r="M109" i="6"/>
  <c r="C109" i="6"/>
  <c r="E108" i="6"/>
  <c r="G107" i="6"/>
  <c r="I106" i="6"/>
  <c r="K105" i="6"/>
  <c r="M104" i="6"/>
  <c r="C104" i="6"/>
  <c r="E103" i="6"/>
  <c r="G102" i="6"/>
  <c r="I101" i="6"/>
  <c r="K100" i="6"/>
  <c r="M99" i="6"/>
  <c r="C99" i="6"/>
  <c r="E98" i="6"/>
  <c r="G97" i="6"/>
  <c r="I96" i="6"/>
  <c r="K95" i="6"/>
  <c r="M94" i="6"/>
  <c r="C94" i="6"/>
  <c r="E93" i="6"/>
  <c r="G92" i="6"/>
  <c r="I91" i="6"/>
  <c r="K90" i="6"/>
  <c r="M89" i="6"/>
  <c r="C89" i="6"/>
  <c r="E88" i="6"/>
  <c r="J158" i="6"/>
  <c r="H157" i="6"/>
  <c r="B156" i="6"/>
  <c r="H154" i="6"/>
  <c r="F153" i="6"/>
  <c r="L151" i="6"/>
  <c r="F150" i="6"/>
  <c r="D149" i="6"/>
  <c r="J147" i="6"/>
  <c r="D146" i="6"/>
  <c r="B145" i="6"/>
  <c r="H143" i="6"/>
  <c r="B142" i="6"/>
  <c r="L140" i="6"/>
  <c r="F139" i="6"/>
  <c r="L137" i="6"/>
  <c r="J136" i="6"/>
  <c r="D135" i="6"/>
  <c r="J133" i="6"/>
  <c r="H132" i="6"/>
  <c r="B131" i="6"/>
  <c r="H129" i="6"/>
  <c r="F128" i="6"/>
  <c r="L126" i="6"/>
  <c r="F125" i="6"/>
  <c r="D124" i="6"/>
  <c r="J122" i="6"/>
  <c r="D121" i="6"/>
  <c r="B120" i="6"/>
  <c r="H118" i="6"/>
  <c r="B117" i="6"/>
  <c r="L115" i="6"/>
  <c r="F114" i="6"/>
  <c r="L112" i="6"/>
  <c r="J111" i="6"/>
  <c r="D110" i="6"/>
  <c r="J108" i="6"/>
  <c r="H107" i="6"/>
  <c r="B106" i="6"/>
  <c r="H104" i="6"/>
  <c r="F103" i="6"/>
  <c r="L101" i="6"/>
  <c r="F100" i="6"/>
  <c r="D99" i="6"/>
  <c r="J97" i="6"/>
  <c r="D96" i="6"/>
  <c r="B95" i="6"/>
  <c r="H93" i="6"/>
  <c r="B92" i="6"/>
  <c r="L90" i="6"/>
  <c r="F89" i="6"/>
  <c r="C88" i="6"/>
  <c r="E87" i="6"/>
  <c r="G86" i="6"/>
  <c r="I85" i="6"/>
  <c r="K84" i="6"/>
  <c r="M83" i="6"/>
  <c r="C83" i="6"/>
  <c r="E82" i="6"/>
  <c r="G81" i="6"/>
  <c r="I80" i="6"/>
  <c r="K79" i="6"/>
  <c r="M78" i="6"/>
  <c r="C78" i="6"/>
  <c r="E77" i="6"/>
  <c r="G76" i="6"/>
  <c r="I75" i="6"/>
  <c r="K74" i="6"/>
  <c r="M73" i="6"/>
  <c r="C73" i="6"/>
  <c r="E72" i="6"/>
  <c r="G71" i="6"/>
  <c r="I70" i="6"/>
  <c r="K69" i="6"/>
  <c r="M68" i="6"/>
  <c r="C68" i="6"/>
  <c r="E67" i="6"/>
  <c r="G66" i="6"/>
  <c r="I65" i="6"/>
  <c r="K64" i="6"/>
  <c r="M63" i="6"/>
  <c r="C63" i="6"/>
  <c r="E62" i="6"/>
  <c r="G61" i="6"/>
  <c r="I60" i="6"/>
  <c r="K59" i="6"/>
  <c r="M58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G118" i="6"/>
  <c r="M116" i="6"/>
  <c r="J115" i="6"/>
  <c r="E114" i="6"/>
  <c r="K112" i="6"/>
  <c r="H111" i="6"/>
  <c r="C110" i="6"/>
  <c r="I108" i="6"/>
  <c r="F107" i="6"/>
  <c r="M105" i="6"/>
  <c r="G104" i="6"/>
  <c r="D103" i="6"/>
  <c r="K101" i="6"/>
  <c r="E100" i="6"/>
  <c r="B99" i="6"/>
  <c r="I97" i="6"/>
  <c r="C96" i="6"/>
  <c r="L94" i="6"/>
  <c r="G93" i="6"/>
  <c r="M91" i="6"/>
  <c r="J90" i="6"/>
  <c r="E89" i="6"/>
  <c r="B88" i="6"/>
  <c r="D87" i="6"/>
  <c r="F86" i="6"/>
  <c r="H85" i="6"/>
  <c r="J84" i="6"/>
  <c r="L83" i="6"/>
  <c r="B83" i="6"/>
  <c r="D82" i="6"/>
  <c r="F81" i="6"/>
  <c r="H80" i="6"/>
  <c r="J79" i="6"/>
  <c r="L78" i="6"/>
  <c r="B78" i="6"/>
  <c r="D77" i="6"/>
  <c r="F76" i="6"/>
  <c r="H75" i="6"/>
  <c r="J74" i="6"/>
  <c r="L73" i="6"/>
  <c r="B73" i="6"/>
  <c r="D72" i="6"/>
  <c r="F71" i="6"/>
  <c r="H70" i="6"/>
  <c r="J69" i="6"/>
  <c r="L68" i="6"/>
  <c r="B68" i="6"/>
  <c r="D67" i="6"/>
  <c r="F66" i="6"/>
  <c r="H65" i="6"/>
  <c r="J64" i="6"/>
  <c r="L63" i="6"/>
  <c r="B63" i="6"/>
  <c r="D62" i="6"/>
  <c r="F61" i="6"/>
  <c r="H60" i="6"/>
  <c r="J59" i="6"/>
  <c r="L58" i="6"/>
  <c r="H158" i="6"/>
  <c r="B157" i="6"/>
  <c r="L155" i="6"/>
  <c r="F154" i="6"/>
  <c r="L152" i="6"/>
  <c r="J151" i="6"/>
  <c r="D150" i="6"/>
  <c r="J148" i="6"/>
  <c r="H147" i="6"/>
  <c r="B146" i="6"/>
  <c r="H144" i="6"/>
  <c r="F143" i="6"/>
  <c r="L141" i="6"/>
  <c r="F140" i="6"/>
  <c r="D139" i="6"/>
  <c r="J137" i="6"/>
  <c r="D136" i="6"/>
  <c r="B135" i="6"/>
  <c r="H133" i="6"/>
  <c r="B132" i="6"/>
  <c r="L130" i="6"/>
  <c r="F129" i="6"/>
  <c r="L127" i="6"/>
  <c r="J126" i="6"/>
  <c r="D125" i="6"/>
  <c r="J123" i="6"/>
  <c r="H122" i="6"/>
  <c r="B121" i="6"/>
  <c r="H119" i="6"/>
  <c r="F118" i="6"/>
  <c r="L116" i="6"/>
  <c r="F115" i="6"/>
  <c r="D114" i="6"/>
  <c r="J112" i="6"/>
  <c r="D111" i="6"/>
  <c r="B110" i="6"/>
  <c r="H108" i="6"/>
  <c r="B107" i="6"/>
  <c r="L105" i="6"/>
  <c r="F104" i="6"/>
  <c r="L102" i="6"/>
  <c r="J101" i="6"/>
  <c r="D100" i="6"/>
  <c r="J98" i="6"/>
  <c r="H97" i="6"/>
  <c r="B96" i="6"/>
  <c r="H94" i="6"/>
  <c r="F93" i="6"/>
  <c r="L91" i="6"/>
  <c r="F90" i="6"/>
  <c r="D89" i="6"/>
  <c r="M87" i="6"/>
  <c r="C87" i="6"/>
  <c r="E86" i="6"/>
  <c r="G85" i="6"/>
  <c r="I84" i="6"/>
  <c r="K83" i="6"/>
  <c r="M82" i="6"/>
  <c r="C82" i="6"/>
  <c r="E81" i="6"/>
  <c r="G80" i="6"/>
  <c r="I79" i="6"/>
  <c r="K78" i="6"/>
  <c r="M77" i="6"/>
  <c r="C77" i="6"/>
  <c r="E76" i="6"/>
  <c r="G75" i="6"/>
  <c r="I74" i="6"/>
  <c r="K73" i="6"/>
  <c r="M72" i="6"/>
  <c r="C72" i="6"/>
  <c r="E71" i="6"/>
  <c r="G70" i="6"/>
  <c r="I69" i="6"/>
  <c r="K68" i="6"/>
  <c r="M67" i="6"/>
  <c r="C67" i="6"/>
  <c r="E66" i="6"/>
  <c r="G65" i="6"/>
  <c r="I64" i="6"/>
  <c r="K63" i="6"/>
  <c r="M62" i="6"/>
  <c r="C62" i="6"/>
  <c r="E61" i="6"/>
  <c r="G60" i="6"/>
  <c r="I59" i="6"/>
  <c r="J157" i="6"/>
  <c r="D156" i="6"/>
  <c r="B155" i="6"/>
  <c r="H153" i="6"/>
  <c r="B152" i="6"/>
  <c r="L150" i="6"/>
  <c r="F149" i="6"/>
  <c r="L147" i="6"/>
  <c r="J146" i="6"/>
  <c r="D145" i="6"/>
  <c r="J143" i="6"/>
  <c r="H142" i="6"/>
  <c r="B141" i="6"/>
  <c r="H139" i="6"/>
  <c r="F138" i="6"/>
  <c r="L136" i="6"/>
  <c r="F135" i="6"/>
  <c r="D134" i="6"/>
  <c r="J132" i="6"/>
  <c r="D131" i="6"/>
  <c r="B130" i="6"/>
  <c r="H128" i="6"/>
  <c r="B127" i="6"/>
  <c r="L125" i="6"/>
  <c r="F124" i="6"/>
  <c r="L122" i="6"/>
  <c r="J121" i="6"/>
  <c r="D120" i="6"/>
  <c r="J118" i="6"/>
  <c r="H117" i="6"/>
  <c r="B116" i="6"/>
  <c r="H114" i="6"/>
  <c r="F113" i="6"/>
  <c r="L111" i="6"/>
  <c r="F110" i="6"/>
  <c r="D109" i="6"/>
  <c r="J107" i="6"/>
  <c r="D106" i="6"/>
  <c r="B105" i="6"/>
  <c r="H103" i="6"/>
  <c r="B102" i="6"/>
  <c r="L100" i="6"/>
  <c r="F99" i="6"/>
  <c r="L97" i="6"/>
  <c r="J96" i="6"/>
  <c r="D95" i="6"/>
  <c r="J93" i="6"/>
  <c r="H92" i="6"/>
  <c r="B91" i="6"/>
  <c r="H89" i="6"/>
  <c r="F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67" i="6"/>
  <c r="I66" i="6"/>
  <c r="K65" i="6"/>
  <c r="M64" i="6"/>
  <c r="C64" i="6"/>
  <c r="E63" i="6"/>
  <c r="G62" i="6"/>
  <c r="I61" i="6"/>
  <c r="K60" i="6"/>
  <c r="M59" i="6"/>
  <c r="G158" i="6"/>
  <c r="H156" i="6"/>
  <c r="B154" i="6"/>
  <c r="H151" i="6"/>
  <c r="G149" i="6"/>
  <c r="M146" i="6"/>
  <c r="G144" i="6"/>
  <c r="I142" i="6"/>
  <c r="C140" i="6"/>
  <c r="I137" i="6"/>
  <c r="J135" i="6"/>
  <c r="D133" i="6"/>
  <c r="J130" i="6"/>
  <c r="I128" i="6"/>
  <c r="C126" i="6"/>
  <c r="I123" i="6"/>
  <c r="K121" i="6"/>
  <c r="E119" i="6"/>
  <c r="K116" i="6"/>
  <c r="L114" i="6"/>
  <c r="F112" i="6"/>
  <c r="L109" i="6"/>
  <c r="K107" i="6"/>
  <c r="E105" i="6"/>
  <c r="K102" i="6"/>
  <c r="M100" i="6"/>
  <c r="G98" i="6"/>
  <c r="M95" i="6"/>
  <c r="B94" i="6"/>
  <c r="H91" i="6"/>
  <c r="B89" i="6"/>
  <c r="H87" i="6"/>
  <c r="B86" i="6"/>
  <c r="H84" i="6"/>
  <c r="F83" i="6"/>
  <c r="L81" i="6"/>
  <c r="F80" i="6"/>
  <c r="D79" i="6"/>
  <c r="J77" i="6"/>
  <c r="D76" i="6"/>
  <c r="B75" i="6"/>
  <c r="H73" i="6"/>
  <c r="B72" i="6"/>
  <c r="L70" i="6"/>
  <c r="F69" i="6"/>
  <c r="L67" i="6"/>
  <c r="J66" i="6"/>
  <c r="D65" i="6"/>
  <c r="J63" i="6"/>
  <c r="H62" i="6"/>
  <c r="B61" i="6"/>
  <c r="H59" i="6"/>
  <c r="H58" i="6"/>
  <c r="J57" i="6"/>
  <c r="L56" i="6"/>
  <c r="B56" i="6"/>
  <c r="D55" i="6"/>
  <c r="F54" i="6"/>
  <c r="H53" i="6"/>
  <c r="J52" i="6"/>
  <c r="L51" i="6"/>
  <c r="B51" i="6"/>
  <c r="D50" i="6"/>
  <c r="F49" i="6"/>
  <c r="H48" i="6"/>
  <c r="J47" i="6"/>
  <c r="L46" i="6"/>
  <c r="B46" i="6"/>
  <c r="D45" i="6"/>
  <c r="F44" i="6"/>
  <c r="H43" i="6"/>
  <c r="J42" i="6"/>
  <c r="L41" i="6"/>
  <c r="B41" i="6"/>
  <c r="D40" i="6"/>
  <c r="F39" i="6"/>
  <c r="H38" i="6"/>
  <c r="J37" i="6"/>
  <c r="L36" i="6"/>
  <c r="B36" i="6"/>
  <c r="D35" i="6"/>
  <c r="F34" i="6"/>
  <c r="H33" i="6"/>
  <c r="J32" i="6"/>
  <c r="L31" i="6"/>
  <c r="B31" i="6"/>
  <c r="D30" i="6"/>
  <c r="F29" i="6"/>
  <c r="H28" i="6"/>
  <c r="J27" i="6"/>
  <c r="L26" i="6"/>
  <c r="B26" i="6"/>
  <c r="D25" i="6"/>
  <c r="F24" i="6"/>
  <c r="H23" i="6"/>
  <c r="J22" i="6"/>
  <c r="L21" i="6"/>
  <c r="B21" i="6"/>
  <c r="D20" i="6"/>
  <c r="F19" i="6"/>
  <c r="H18" i="6"/>
  <c r="J17" i="6"/>
  <c r="L16" i="6"/>
  <c r="B16" i="6"/>
  <c r="D15" i="6"/>
  <c r="F14" i="6"/>
  <c r="H13" i="6"/>
  <c r="J12" i="6"/>
  <c r="L11" i="6"/>
  <c r="B11" i="6"/>
  <c r="D10" i="6"/>
  <c r="F158" i="6"/>
  <c r="C156" i="6"/>
  <c r="J153" i="6"/>
  <c r="D151" i="6"/>
  <c r="E149" i="6"/>
  <c r="L146" i="6"/>
  <c r="F144" i="6"/>
  <c r="F142" i="6"/>
  <c r="B140" i="6"/>
  <c r="H137" i="6"/>
  <c r="E135" i="6"/>
  <c r="L132" i="6"/>
  <c r="F130" i="6"/>
  <c r="G128" i="6"/>
  <c r="B126" i="6"/>
  <c r="H123" i="6"/>
  <c r="H121" i="6"/>
  <c r="D119" i="6"/>
  <c r="J116" i="6"/>
  <c r="G114" i="6"/>
  <c r="B112" i="6"/>
  <c r="H109" i="6"/>
  <c r="I107" i="6"/>
  <c r="D105" i="6"/>
  <c r="J102" i="6"/>
  <c r="J100" i="6"/>
  <c r="F98" i="6"/>
  <c r="L95" i="6"/>
  <c r="I93" i="6"/>
  <c r="D91" i="6"/>
  <c r="J88" i="6"/>
  <c r="F87" i="6"/>
  <c r="M85" i="6"/>
  <c r="G84" i="6"/>
  <c r="D83" i="6"/>
  <c r="K81" i="6"/>
  <c r="E80" i="6"/>
  <c r="B79" i="6"/>
  <c r="I77" i="6"/>
  <c r="C76" i="6"/>
  <c r="L74" i="6"/>
  <c r="G73" i="6"/>
  <c r="M71" i="6"/>
  <c r="J70" i="6"/>
  <c r="E69" i="6"/>
  <c r="K67" i="6"/>
  <c r="H66" i="6"/>
  <c r="C65" i="6"/>
  <c r="I63" i="6"/>
  <c r="F62" i="6"/>
  <c r="M60" i="6"/>
  <c r="G59" i="6"/>
  <c r="G58" i="6"/>
  <c r="I57" i="6"/>
  <c r="K56" i="6"/>
  <c r="M55" i="6"/>
  <c r="C55" i="6"/>
  <c r="E54" i="6"/>
  <c r="G53" i="6"/>
  <c r="I52" i="6"/>
  <c r="K51" i="6"/>
  <c r="M50" i="6"/>
  <c r="C50" i="6"/>
  <c r="E49" i="6"/>
  <c r="G48" i="6"/>
  <c r="I47" i="6"/>
  <c r="K46" i="6"/>
  <c r="M45" i="6"/>
  <c r="C45" i="6"/>
  <c r="E44" i="6"/>
  <c r="G43" i="6"/>
  <c r="I42" i="6"/>
  <c r="K41" i="6"/>
  <c r="M40" i="6"/>
  <c r="C40" i="6"/>
  <c r="E39" i="6"/>
  <c r="G38" i="6"/>
  <c r="I37" i="6"/>
  <c r="K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D158" i="6"/>
  <c r="J155" i="6"/>
  <c r="I153" i="6"/>
  <c r="C151" i="6"/>
  <c r="I148" i="6"/>
  <c r="K146" i="6"/>
  <c r="E144" i="6"/>
  <c r="K141" i="6"/>
  <c r="L139" i="6"/>
  <c r="F137" i="6"/>
  <c r="L134" i="6"/>
  <c r="K132" i="6"/>
  <c r="E130" i="6"/>
  <c r="K127" i="6"/>
  <c r="M125" i="6"/>
  <c r="G123" i="6"/>
  <c r="M120" i="6"/>
  <c r="B119" i="6"/>
  <c r="H116" i="6"/>
  <c r="B114" i="6"/>
  <c r="M111" i="6"/>
  <c r="G109" i="6"/>
  <c r="M106" i="6"/>
  <c r="C105" i="6"/>
  <c r="I102" i="6"/>
  <c r="C100" i="6"/>
  <c r="D98" i="6"/>
  <c r="J95" i="6"/>
  <c r="D93" i="6"/>
  <c r="C91" i="6"/>
  <c r="I88" i="6"/>
  <c r="B87" i="6"/>
  <c r="L85" i="6"/>
  <c r="F84" i="6"/>
  <c r="L82" i="6"/>
  <c r="J81" i="6"/>
  <c r="D80" i="6"/>
  <c r="J78" i="6"/>
  <c r="H77" i="6"/>
  <c r="B76" i="6"/>
  <c r="H74" i="6"/>
  <c r="F73" i="6"/>
  <c r="L71" i="6"/>
  <c r="F70" i="6"/>
  <c r="D69" i="6"/>
  <c r="J67" i="6"/>
  <c r="D66" i="6"/>
  <c r="B65" i="6"/>
  <c r="H63" i="6"/>
  <c r="B62" i="6"/>
  <c r="L60" i="6"/>
  <c r="F59" i="6"/>
  <c r="F58" i="6"/>
  <c r="H57" i="6"/>
  <c r="J56" i="6"/>
  <c r="L55" i="6"/>
  <c r="B55" i="6"/>
  <c r="D54" i="6"/>
  <c r="F53" i="6"/>
  <c r="H52" i="6"/>
  <c r="J51" i="6"/>
  <c r="L50" i="6"/>
  <c r="B50" i="6"/>
  <c r="D49" i="6"/>
  <c r="F48" i="6"/>
  <c r="H47" i="6"/>
  <c r="J46" i="6"/>
  <c r="L45" i="6"/>
  <c r="B45" i="6"/>
  <c r="D44" i="6"/>
  <c r="F43" i="6"/>
  <c r="H42" i="6"/>
  <c r="J41" i="6"/>
  <c r="L40" i="6"/>
  <c r="B40" i="6"/>
  <c r="D39" i="6"/>
  <c r="F38" i="6"/>
  <c r="H37" i="6"/>
  <c r="J36" i="6"/>
  <c r="L35" i="6"/>
  <c r="B35" i="6"/>
  <c r="D34" i="6"/>
  <c r="F33" i="6"/>
  <c r="H32" i="6"/>
  <c r="J31" i="6"/>
  <c r="L30" i="6"/>
  <c r="B30" i="6"/>
  <c r="D29" i="6"/>
  <c r="F28" i="6"/>
  <c r="H27" i="6"/>
  <c r="J26" i="6"/>
  <c r="L25" i="6"/>
  <c r="B25" i="6"/>
  <c r="D24" i="6"/>
  <c r="F23" i="6"/>
  <c r="H22" i="6"/>
  <c r="J21" i="6"/>
  <c r="L20" i="6"/>
  <c r="B20" i="6"/>
  <c r="D19" i="6"/>
  <c r="F18" i="6"/>
  <c r="H17" i="6"/>
  <c r="J16" i="6"/>
  <c r="L15" i="6"/>
  <c r="B15" i="6"/>
  <c r="D14" i="6"/>
  <c r="F13" i="6"/>
  <c r="H12" i="6"/>
  <c r="J11" i="6"/>
  <c r="L10" i="6"/>
  <c r="B10" i="6"/>
  <c r="L157" i="6"/>
  <c r="F155" i="6"/>
  <c r="G153" i="6"/>
  <c r="B151" i="6"/>
  <c r="K157" i="6"/>
  <c r="E155" i="6"/>
  <c r="K152" i="6"/>
  <c r="M150" i="6"/>
  <c r="G148" i="6"/>
  <c r="M145" i="6"/>
  <c r="B144" i="6"/>
  <c r="I157" i="6"/>
  <c r="D155" i="6"/>
  <c r="J152" i="6"/>
  <c r="J150" i="6"/>
  <c r="M156" i="6"/>
  <c r="L156" i="6"/>
  <c r="L154" i="6"/>
  <c r="H152" i="6"/>
  <c r="B150" i="6"/>
  <c r="K147" i="6"/>
  <c r="F145" i="6"/>
  <c r="L142" i="6"/>
  <c r="K156" i="6"/>
  <c r="E154" i="6"/>
  <c r="F152" i="6"/>
  <c r="L149" i="6"/>
  <c r="F147" i="6"/>
  <c r="E145" i="6"/>
  <c r="K142" i="6"/>
  <c r="E140" i="6"/>
  <c r="G138" i="6"/>
  <c r="M135" i="6"/>
  <c r="G133" i="6"/>
  <c r="H131" i="6"/>
  <c r="B129" i="6"/>
  <c r="H126" i="6"/>
  <c r="G124" i="6"/>
  <c r="M121" i="6"/>
  <c r="G119" i="6"/>
  <c r="I117" i="6"/>
  <c r="C115" i="6"/>
  <c r="I112" i="6"/>
  <c r="J110" i="6"/>
  <c r="D108" i="6"/>
  <c r="J105" i="6"/>
  <c r="I103" i="6"/>
  <c r="C101" i="6"/>
  <c r="I98" i="6"/>
  <c r="K96" i="6"/>
  <c r="E94" i="6"/>
  <c r="K91" i="6"/>
  <c r="L89" i="6"/>
  <c r="J87" i="6"/>
  <c r="D86" i="6"/>
  <c r="B85" i="6"/>
  <c r="H83" i="6"/>
  <c r="B82" i="6"/>
  <c r="L80" i="6"/>
  <c r="F79" i="6"/>
  <c r="L77" i="6"/>
  <c r="J76" i="6"/>
  <c r="D75" i="6"/>
  <c r="J73" i="6"/>
  <c r="H72" i="6"/>
  <c r="B71" i="6"/>
  <c r="H69" i="6"/>
  <c r="F68" i="6"/>
  <c r="L66" i="6"/>
  <c r="F65" i="6"/>
  <c r="D64" i="6"/>
  <c r="J62" i="6"/>
  <c r="D61" i="6"/>
  <c r="B60" i="6"/>
  <c r="J58" i="6"/>
  <c r="L57" i="6"/>
  <c r="B57" i="6"/>
  <c r="D56" i="6"/>
  <c r="F55" i="6"/>
  <c r="H54" i="6"/>
  <c r="J53" i="6"/>
  <c r="L52" i="6"/>
  <c r="B52" i="6"/>
  <c r="D51" i="6"/>
  <c r="F50" i="6"/>
  <c r="H49" i="6"/>
  <c r="J48" i="6"/>
  <c r="L47" i="6"/>
  <c r="B47" i="6"/>
  <c r="D46" i="6"/>
  <c r="F45" i="6"/>
  <c r="H44" i="6"/>
  <c r="J43" i="6"/>
  <c r="L42" i="6"/>
  <c r="B42" i="6"/>
  <c r="D41" i="6"/>
  <c r="F40" i="6"/>
  <c r="H39" i="6"/>
  <c r="J38" i="6"/>
  <c r="L37" i="6"/>
  <c r="B37" i="6"/>
  <c r="D36" i="6"/>
  <c r="F35" i="6"/>
  <c r="H34" i="6"/>
  <c r="J33" i="6"/>
  <c r="L32" i="6"/>
  <c r="B32" i="6"/>
  <c r="D31" i="6"/>
  <c r="F30" i="6"/>
  <c r="H29" i="6"/>
  <c r="J28" i="6"/>
  <c r="L27" i="6"/>
  <c r="B27" i="6"/>
  <c r="D26" i="6"/>
  <c r="F25" i="6"/>
  <c r="H24" i="6"/>
  <c r="J23" i="6"/>
  <c r="L22" i="6"/>
  <c r="B22" i="6"/>
  <c r="D21" i="6"/>
  <c r="F20" i="6"/>
  <c r="H19" i="6"/>
  <c r="J18" i="6"/>
  <c r="L17" i="6"/>
  <c r="B17" i="6"/>
  <c r="D16" i="6"/>
  <c r="F15" i="6"/>
  <c r="H14" i="6"/>
  <c r="J13" i="6"/>
  <c r="L12" i="6"/>
  <c r="B12" i="6"/>
  <c r="D11" i="6"/>
  <c r="F10" i="6"/>
  <c r="J156" i="6"/>
  <c r="D154" i="6"/>
  <c r="M151" i="6"/>
  <c r="H149" i="6"/>
  <c r="B147" i="6"/>
  <c r="C145" i="6"/>
  <c r="J142" i="6"/>
  <c r="C155" i="6"/>
  <c r="I143" i="6"/>
  <c r="J138" i="6"/>
  <c r="H134" i="6"/>
  <c r="J131" i="6"/>
  <c r="H127" i="6"/>
  <c r="F123" i="6"/>
  <c r="C120" i="6"/>
  <c r="M115" i="6"/>
  <c r="K111" i="6"/>
  <c r="F108" i="6"/>
  <c r="D104" i="6"/>
  <c r="B100" i="6"/>
  <c r="L96" i="6"/>
  <c r="J92" i="6"/>
  <c r="H88" i="6"/>
  <c r="H86" i="6"/>
  <c r="B84" i="6"/>
  <c r="H81" i="6"/>
  <c r="G79" i="6"/>
  <c r="M76" i="6"/>
  <c r="G74" i="6"/>
  <c r="I72" i="6"/>
  <c r="C70" i="6"/>
  <c r="I67" i="6"/>
  <c r="J65" i="6"/>
  <c r="D63" i="6"/>
  <c r="J60" i="6"/>
  <c r="K58" i="6"/>
  <c r="E57" i="6"/>
  <c r="K55" i="6"/>
  <c r="I54" i="6"/>
  <c r="C53" i="6"/>
  <c r="I51" i="6"/>
  <c r="G50" i="6"/>
  <c r="M48" i="6"/>
  <c r="G47" i="6"/>
  <c r="E46" i="6"/>
  <c r="K44" i="6"/>
  <c r="E43" i="6"/>
  <c r="C42" i="6"/>
  <c r="I40" i="6"/>
  <c r="C39" i="6"/>
  <c r="M37" i="6"/>
  <c r="G36" i="6"/>
  <c r="M34" i="6"/>
  <c r="K33" i="6"/>
  <c r="E32" i="6"/>
  <c r="K30" i="6"/>
  <c r="I29" i="6"/>
  <c r="C28" i="6"/>
  <c r="I26" i="6"/>
  <c r="G25" i="6"/>
  <c r="M23" i="6"/>
  <c r="G22" i="6"/>
  <c r="E21" i="6"/>
  <c r="K19" i="6"/>
  <c r="E18" i="6"/>
  <c r="C17" i="6"/>
  <c r="I15" i="6"/>
  <c r="C14" i="6"/>
  <c r="M12" i="6"/>
  <c r="G11" i="6"/>
  <c r="I152" i="6"/>
  <c r="D143" i="6"/>
  <c r="I138" i="6"/>
  <c r="G134" i="6"/>
  <c r="C131" i="6"/>
  <c r="F127" i="6"/>
  <c r="D123" i="6"/>
  <c r="F119" i="6"/>
  <c r="E115" i="6"/>
  <c r="C111" i="6"/>
  <c r="L107" i="6"/>
  <c r="B104" i="6"/>
  <c r="L99" i="6"/>
  <c r="H96" i="6"/>
  <c r="I92" i="6"/>
  <c r="G88" i="6"/>
  <c r="C86" i="6"/>
  <c r="J83" i="6"/>
  <c r="D81" i="6"/>
  <c r="E79" i="6"/>
  <c r="L76" i="6"/>
  <c r="F74" i="6"/>
  <c r="F72" i="6"/>
  <c r="B70" i="6"/>
  <c r="H67" i="6"/>
  <c r="E65" i="6"/>
  <c r="L62" i="6"/>
  <c r="F60" i="6"/>
  <c r="I58" i="6"/>
  <c r="D57" i="6"/>
  <c r="J55" i="6"/>
  <c r="G54" i="6"/>
  <c r="B53" i="6"/>
  <c r="H51" i="6"/>
  <c r="E50" i="6"/>
  <c r="L48" i="6"/>
  <c r="F47" i="6"/>
  <c r="C46" i="6"/>
  <c r="J44" i="6"/>
  <c r="D43" i="6"/>
  <c r="M41" i="6"/>
  <c r="H40" i="6"/>
  <c r="B39" i="6"/>
  <c r="K37" i="6"/>
  <c r="F36" i="6"/>
  <c r="L34" i="6"/>
  <c r="I33" i="6"/>
  <c r="D32" i="6"/>
  <c r="J30" i="6"/>
  <c r="G29" i="6"/>
  <c r="B28" i="6"/>
  <c r="H26" i="6"/>
  <c r="E25" i="6"/>
  <c r="L23" i="6"/>
  <c r="F22" i="6"/>
  <c r="C21" i="6"/>
  <c r="J19" i="6"/>
  <c r="D18" i="6"/>
  <c r="M16" i="6"/>
  <c r="H15" i="6"/>
  <c r="B14" i="6"/>
  <c r="K12" i="6"/>
  <c r="F11" i="6"/>
  <c r="C150" i="6"/>
  <c r="J141" i="6"/>
  <c r="H138" i="6"/>
  <c r="F134" i="6"/>
  <c r="D130" i="6"/>
  <c r="M126" i="6"/>
  <c r="K122" i="6"/>
  <c r="I118" i="6"/>
  <c r="D115" i="6"/>
  <c r="B111" i="6"/>
  <c r="L106" i="6"/>
  <c r="J103" i="6"/>
  <c r="H99" i="6"/>
  <c r="F95" i="6"/>
  <c r="F92" i="6"/>
  <c r="D88" i="6"/>
  <c r="J85" i="6"/>
  <c r="I83" i="6"/>
  <c r="C81" i="6"/>
  <c r="I78" i="6"/>
  <c r="K76" i="6"/>
  <c r="E74" i="6"/>
  <c r="K71" i="6"/>
  <c r="L69" i="6"/>
  <c r="F67" i="6"/>
  <c r="L64" i="6"/>
  <c r="K62" i="6"/>
  <c r="E60" i="6"/>
  <c r="E58" i="6"/>
  <c r="C57" i="6"/>
  <c r="I55" i="6"/>
  <c r="C54" i="6"/>
  <c r="M52" i="6"/>
  <c r="G51" i="6"/>
  <c r="M49" i="6"/>
  <c r="K48" i="6"/>
  <c r="E47" i="6"/>
  <c r="K45" i="6"/>
  <c r="I44" i="6"/>
  <c r="C43" i="6"/>
  <c r="I41" i="6"/>
  <c r="G40" i="6"/>
  <c r="M38" i="6"/>
  <c r="G37" i="6"/>
  <c r="E36" i="6"/>
  <c r="K34" i="6"/>
  <c r="E33" i="6"/>
  <c r="C32" i="6"/>
  <c r="I30" i="6"/>
  <c r="C29" i="6"/>
  <c r="M27" i="6"/>
  <c r="G26" i="6"/>
  <c r="M24" i="6"/>
  <c r="K23" i="6"/>
  <c r="E22" i="6"/>
  <c r="K20" i="6"/>
  <c r="I19" i="6"/>
  <c r="C18" i="6"/>
  <c r="I16" i="6"/>
  <c r="G15" i="6"/>
  <c r="M13" i="6"/>
  <c r="G12" i="6"/>
  <c r="E11" i="6"/>
  <c r="J145" i="6"/>
  <c r="G139" i="6"/>
  <c r="B136" i="6"/>
  <c r="L131" i="6"/>
  <c r="J127" i="6"/>
  <c r="H124" i="6"/>
  <c r="F120" i="6"/>
  <c r="D116" i="6"/>
  <c r="D113" i="6"/>
  <c r="B109" i="6"/>
  <c r="L104" i="6"/>
  <c r="D101" i="6"/>
  <c r="B97" i="6"/>
  <c r="L92" i="6"/>
  <c r="B90" i="6"/>
  <c r="K86" i="6"/>
  <c r="E84" i="6"/>
  <c r="F82" i="6"/>
  <c r="L79" i="6"/>
  <c r="F77" i="6"/>
  <c r="E75" i="6"/>
  <c r="K72" i="6"/>
  <c r="E70" i="6"/>
  <c r="G68" i="6"/>
  <c r="M65" i="6"/>
  <c r="G63" i="6"/>
  <c r="H61" i="6"/>
  <c r="C59" i="6"/>
  <c r="G57" i="6"/>
  <c r="E56" i="6"/>
  <c r="K54" i="6"/>
  <c r="E53" i="6"/>
  <c r="C52" i="6"/>
  <c r="I50" i="6"/>
  <c r="C49" i="6"/>
  <c r="M47" i="6"/>
  <c r="G46" i="6"/>
  <c r="M44" i="6"/>
  <c r="K43" i="6"/>
  <c r="E42" i="6"/>
  <c r="K40" i="6"/>
  <c r="I39" i="6"/>
  <c r="C38" i="6"/>
  <c r="I36" i="6"/>
  <c r="G35" i="6"/>
  <c r="M33" i="6"/>
  <c r="G32" i="6"/>
  <c r="E31" i="6"/>
  <c r="K29" i="6"/>
  <c r="E28" i="6"/>
  <c r="C27" i="6"/>
  <c r="I25" i="6"/>
  <c r="C24" i="6"/>
  <c r="M22" i="6"/>
  <c r="G21" i="6"/>
  <c r="M19" i="6"/>
  <c r="K18" i="6"/>
  <c r="E17" i="6"/>
  <c r="K15" i="6"/>
  <c r="I14" i="6"/>
  <c r="C13" i="6"/>
  <c r="I11" i="6"/>
  <c r="G10" i="6"/>
  <c r="H148" i="6"/>
  <c r="D140" i="6"/>
  <c r="F133" i="6"/>
  <c r="D126" i="6"/>
  <c r="J120" i="6"/>
  <c r="I113" i="6"/>
  <c r="K106" i="6"/>
  <c r="H101" i="6"/>
  <c r="G94" i="6"/>
  <c r="L87" i="6"/>
  <c r="L84" i="6"/>
  <c r="J80" i="6"/>
  <c r="H76" i="6"/>
  <c r="L72" i="6"/>
  <c r="J68" i="6"/>
  <c r="H64" i="6"/>
  <c r="J61" i="6"/>
  <c r="B58" i="6"/>
  <c r="H55" i="6"/>
  <c r="I53" i="6"/>
  <c r="C51" i="6"/>
  <c r="I48" i="6"/>
  <c r="H46" i="6"/>
  <c r="B44" i="6"/>
  <c r="H41" i="6"/>
  <c r="J39" i="6"/>
  <c r="D37" i="6"/>
  <c r="J34" i="6"/>
  <c r="K32" i="6"/>
  <c r="E30" i="6"/>
  <c r="K27" i="6"/>
  <c r="J25" i="6"/>
  <c r="D23" i="6"/>
  <c r="J20" i="6"/>
  <c r="L18" i="6"/>
  <c r="F16" i="6"/>
  <c r="L13" i="6"/>
  <c r="M11" i="6"/>
  <c r="F148" i="6"/>
  <c r="B139" i="6"/>
  <c r="I132" i="6"/>
  <c r="J125" i="6"/>
  <c r="E120" i="6"/>
  <c r="H113" i="6"/>
  <c r="J106" i="6"/>
  <c r="B101" i="6"/>
  <c r="F94" i="6"/>
  <c r="K87" i="6"/>
  <c r="D84" i="6"/>
  <c r="C80" i="6"/>
  <c r="M75" i="6"/>
  <c r="J72" i="6"/>
  <c r="I68" i="6"/>
  <c r="G64" i="6"/>
  <c r="C61" i="6"/>
  <c r="M57" i="6"/>
  <c r="G55" i="6"/>
  <c r="D53" i="6"/>
  <c r="K50" i="6"/>
  <c r="E48" i="6"/>
  <c r="F46" i="6"/>
  <c r="M43" i="6"/>
  <c r="G41" i="6"/>
  <c r="G39" i="6"/>
  <c r="C37" i="6"/>
  <c r="I34" i="6"/>
  <c r="F32" i="6"/>
  <c r="M29" i="6"/>
  <c r="G27" i="6"/>
  <c r="H25" i="6"/>
  <c r="C23" i="6"/>
  <c r="I20" i="6"/>
  <c r="I18" i="6"/>
  <c r="E16" i="6"/>
  <c r="K13" i="6"/>
  <c r="H11" i="6"/>
  <c r="D148" i="6"/>
  <c r="D138" i="6"/>
  <c r="M131" i="6"/>
  <c r="C125" i="6"/>
  <c r="D118" i="6"/>
  <c r="G113" i="6"/>
  <c r="H106" i="6"/>
  <c r="G99" i="6"/>
  <c r="D94" i="6"/>
  <c r="I87" i="6"/>
  <c r="G83" i="6"/>
  <c r="B80" i="6"/>
  <c r="L75" i="6"/>
  <c r="J71" i="6"/>
  <c r="H68" i="6"/>
  <c r="F64" i="6"/>
  <c r="D60" i="6"/>
  <c r="K57" i="6"/>
  <c r="E55" i="6"/>
  <c r="K52" i="6"/>
  <c r="J50" i="6"/>
  <c r="D48" i="6"/>
  <c r="J45" i="6"/>
  <c r="L43" i="6"/>
  <c r="F41" i="6"/>
  <c r="L38" i="6"/>
  <c r="M36" i="6"/>
  <c r="G34" i="6"/>
  <c r="M31" i="6"/>
  <c r="L29" i="6"/>
  <c r="F27" i="6"/>
  <c r="L24" i="6"/>
  <c r="B23" i="6"/>
  <c r="H20" i="6"/>
  <c r="B18" i="6"/>
  <c r="C16" i="6"/>
  <c r="I13" i="6"/>
  <c r="C11" i="6"/>
  <c r="H146" i="6"/>
  <c r="B137" i="6"/>
  <c r="K131" i="6"/>
  <c r="B125" i="6"/>
  <c r="L117" i="6"/>
  <c r="H112" i="6"/>
  <c r="C106" i="6"/>
  <c r="E99" i="6"/>
  <c r="K92" i="6"/>
  <c r="M86" i="6"/>
  <c r="K82" i="6"/>
  <c r="H79" i="6"/>
  <c r="J75" i="6"/>
  <c r="H71" i="6"/>
  <c r="D68" i="6"/>
  <c r="E64" i="6"/>
  <c r="C60" i="6"/>
  <c r="F57" i="6"/>
  <c r="M54" i="6"/>
  <c r="G52" i="6"/>
  <c r="H50" i="6"/>
  <c r="C48" i="6"/>
  <c r="I45" i="6"/>
  <c r="I43" i="6"/>
  <c r="E41" i="6"/>
  <c r="K38" i="6"/>
  <c r="H36" i="6"/>
  <c r="C34" i="6"/>
  <c r="I31" i="6"/>
  <c r="J29" i="6"/>
  <c r="E27" i="6"/>
  <c r="K24" i="6"/>
  <c r="K22" i="6"/>
  <c r="G20" i="6"/>
  <c r="M17" i="6"/>
  <c r="J15" i="6"/>
  <c r="E13" i="6"/>
  <c r="K10" i="6"/>
  <c r="L145" i="6"/>
  <c r="M136" i="6"/>
  <c r="C130" i="6"/>
  <c r="L124" i="6"/>
  <c r="K117" i="6"/>
  <c r="M110" i="6"/>
  <c r="F105" i="6"/>
  <c r="H98" i="6"/>
  <c r="J91" i="6"/>
  <c r="L86" i="6"/>
  <c r="J82" i="6"/>
  <c r="H78" i="6"/>
  <c r="F75" i="6"/>
  <c r="D71" i="6"/>
  <c r="B67" i="6"/>
  <c r="B64" i="6"/>
  <c r="L59" i="6"/>
  <c r="M56" i="6"/>
  <c r="L54" i="6"/>
  <c r="F52" i="6"/>
  <c r="L49" i="6"/>
  <c r="B48" i="6"/>
  <c r="H45" i="6"/>
  <c r="B43" i="6"/>
  <c r="C41" i="6"/>
  <c r="I38" i="6"/>
  <c r="C36" i="6"/>
  <c r="B34" i="6"/>
  <c r="H31" i="6"/>
  <c r="B29" i="6"/>
  <c r="D27" i="6"/>
  <c r="J24" i="6"/>
  <c r="D22" i="6"/>
  <c r="E20" i="6"/>
  <c r="K17" i="6"/>
  <c r="E15" i="6"/>
  <c r="D13" i="6"/>
  <c r="J10" i="6"/>
  <c r="D144" i="6"/>
  <c r="K136" i="6"/>
  <c r="L129" i="6"/>
  <c r="E124" i="6"/>
  <c r="J117" i="6"/>
  <c r="L110" i="6"/>
  <c r="E104" i="6"/>
  <c r="K97" i="6"/>
  <c r="M90" i="6"/>
  <c r="J86" i="6"/>
  <c r="I82" i="6"/>
  <c r="G78" i="6"/>
  <c r="C75" i="6"/>
  <c r="C71" i="6"/>
  <c r="M66" i="6"/>
  <c r="F63" i="6"/>
  <c r="E59" i="6"/>
  <c r="I56" i="6"/>
  <c r="J54" i="6"/>
  <c r="E52" i="6"/>
  <c r="K49" i="6"/>
  <c r="K47" i="6"/>
  <c r="G45" i="6"/>
  <c r="M42" i="6"/>
  <c r="J40" i="6"/>
  <c r="E38" i="6"/>
  <c r="K35" i="6"/>
  <c r="H141" i="6"/>
  <c r="C136" i="6"/>
  <c r="C141" i="6"/>
  <c r="E134" i="6"/>
  <c r="J128" i="6"/>
  <c r="L121" i="6"/>
  <c r="B115" i="6"/>
  <c r="E109" i="6"/>
  <c r="F102" i="6"/>
  <c r="E95" i="6"/>
  <c r="C90" i="6"/>
  <c r="D85" i="6"/>
  <c r="B81" i="6"/>
  <c r="K77" i="6"/>
  <c r="I73" i="6"/>
  <c r="G69" i="6"/>
  <c r="B66" i="6"/>
  <c r="L61" i="6"/>
  <c r="D58" i="6"/>
  <c r="F56" i="6"/>
  <c r="L53" i="6"/>
  <c r="F51" i="6"/>
  <c r="G49" i="6"/>
  <c r="M46" i="6"/>
  <c r="G44" i="6"/>
  <c r="F42" i="6"/>
  <c r="L39" i="6"/>
  <c r="F37" i="6"/>
  <c r="H35" i="6"/>
  <c r="B33" i="6"/>
  <c r="H30" i="6"/>
  <c r="I28" i="6"/>
  <c r="C26" i="6"/>
  <c r="I23" i="6"/>
  <c r="H21" i="6"/>
  <c r="B19" i="6"/>
  <c r="H16" i="6"/>
  <c r="J14" i="6"/>
  <c r="D12" i="6"/>
  <c r="D141" i="6"/>
  <c r="F117" i="6"/>
  <c r="M96" i="6"/>
  <c r="M80" i="6"/>
  <c r="K66" i="6"/>
  <c r="G56" i="6"/>
  <c r="B49" i="6"/>
  <c r="E40" i="6"/>
  <c r="D33" i="6"/>
  <c r="D28" i="6"/>
  <c r="M21" i="6"/>
  <c r="G16" i="6"/>
  <c r="H10" i="6"/>
  <c r="M140" i="6"/>
  <c r="C116" i="6"/>
  <c r="C95" i="6"/>
  <c r="F78" i="6"/>
  <c r="C66" i="6"/>
  <c r="C56" i="6"/>
  <c r="D47" i="6"/>
  <c r="M39" i="6"/>
  <c r="C33" i="6"/>
  <c r="M26" i="6"/>
  <c r="I21" i="6"/>
  <c r="M14" i="6"/>
  <c r="E10" i="6"/>
  <c r="L135" i="6"/>
  <c r="J113" i="6"/>
  <c r="E90" i="6"/>
  <c r="D78" i="6"/>
  <c r="L65" i="6"/>
  <c r="B54" i="6"/>
  <c r="C47" i="6"/>
  <c r="K39" i="6"/>
  <c r="M32" i="6"/>
  <c r="F26" i="6"/>
  <c r="F21" i="6"/>
  <c r="L14" i="6"/>
  <c r="B134" i="6"/>
  <c r="E129" i="6"/>
  <c r="D129" i="6"/>
  <c r="I127" i="6"/>
  <c r="B122" i="6"/>
  <c r="M101" i="6"/>
  <c r="H82" i="6"/>
  <c r="D70" i="6"/>
  <c r="C58" i="6"/>
  <c r="J49" i="6"/>
  <c r="G42" i="6"/>
  <c r="E35" i="6"/>
  <c r="L28" i="6"/>
  <c r="E23" i="6"/>
  <c r="F17" i="6"/>
  <c r="C12" i="6"/>
  <c r="F122" i="6"/>
  <c r="F85" i="6"/>
  <c r="I62" i="6"/>
  <c r="E51" i="6"/>
  <c r="E37" i="6"/>
  <c r="E26" i="6"/>
  <c r="G17" i="6"/>
  <c r="L120" i="6"/>
  <c r="E85" i="6"/>
  <c r="M61" i="6"/>
  <c r="I49" i="6"/>
  <c r="J35" i="6"/>
  <c r="K25" i="6"/>
  <c r="D17" i="6"/>
  <c r="E110" i="6"/>
  <c r="C85" i="6"/>
  <c r="K61" i="6"/>
  <c r="I46" i="6"/>
  <c r="I35" i="6"/>
  <c r="I24" i="6"/>
  <c r="K14" i="6"/>
  <c r="F109" i="6"/>
  <c r="M81" i="6"/>
  <c r="D59" i="6"/>
  <c r="E45" i="6"/>
  <c r="L33" i="6"/>
  <c r="G24" i="6"/>
  <c r="G14" i="6"/>
  <c r="G108" i="6"/>
  <c r="B77" i="6"/>
  <c r="B59" i="6"/>
  <c r="L44" i="6"/>
  <c r="G31" i="6"/>
  <c r="B24" i="6"/>
  <c r="B13" i="6"/>
  <c r="G103" i="6"/>
  <c r="D74" i="6"/>
  <c r="H56" i="6"/>
  <c r="C44" i="6"/>
  <c r="F31" i="6"/>
  <c r="C22" i="6"/>
  <c r="F12" i="6"/>
  <c r="H102" i="6"/>
  <c r="B74" i="6"/>
  <c r="M53" i="6"/>
  <c r="K42" i="6"/>
  <c r="C31" i="6"/>
  <c r="L19" i="6"/>
  <c r="E12" i="6"/>
  <c r="F97" i="6"/>
  <c r="D73" i="6"/>
  <c r="K53" i="6"/>
  <c r="D42" i="6"/>
  <c r="G30" i="6"/>
  <c r="G19" i="6"/>
  <c r="I10" i="6"/>
  <c r="D90" i="6"/>
  <c r="M70" i="6"/>
  <c r="D52" i="6"/>
  <c r="D38" i="6"/>
  <c r="M28" i="6"/>
  <c r="C19" i="6"/>
  <c r="G89" i="6"/>
  <c r="B69" i="6"/>
  <c r="M51" i="6"/>
  <c r="B38" i="6"/>
  <c r="K28" i="6"/>
  <c r="M18" i="6"/>
  <c r="J13" i="3"/>
  <c r="D15" i="3"/>
  <c r="F16" i="3"/>
  <c r="L17" i="3"/>
  <c r="F19" i="3"/>
  <c r="H20" i="3"/>
  <c r="B22" i="3"/>
  <c r="H23" i="3"/>
  <c r="J24" i="3"/>
  <c r="D26" i="3"/>
  <c r="J27" i="3"/>
  <c r="L28" i="3"/>
  <c r="F30" i="3"/>
  <c r="L31" i="3"/>
  <c r="B33" i="3"/>
  <c r="H34" i="3"/>
  <c r="B36" i="3"/>
  <c r="D37" i="3"/>
  <c r="J38" i="3"/>
  <c r="D40" i="3"/>
  <c r="F41" i="3"/>
  <c r="L42" i="3"/>
  <c r="F44" i="3"/>
  <c r="H45" i="3"/>
  <c r="B47" i="3"/>
  <c r="H48" i="3"/>
  <c r="J49" i="3"/>
  <c r="D51" i="3"/>
  <c r="J52" i="3"/>
  <c r="L53" i="3"/>
  <c r="F55" i="3"/>
  <c r="L56" i="3"/>
  <c r="B58" i="3"/>
  <c r="H59" i="3"/>
  <c r="B61" i="3"/>
  <c r="D62" i="3"/>
  <c r="J63" i="3"/>
  <c r="D65" i="3"/>
  <c r="F66" i="3"/>
  <c r="L67" i="3"/>
  <c r="F69" i="3"/>
  <c r="H70" i="3"/>
  <c r="B72" i="3"/>
  <c r="H73" i="3"/>
  <c r="J74" i="3"/>
  <c r="H76" i="3"/>
  <c r="H78" i="3"/>
  <c r="D80" i="3"/>
  <c r="G82" i="3"/>
  <c r="H84" i="3"/>
  <c r="D86" i="3"/>
  <c r="F88" i="3"/>
  <c r="H90" i="3"/>
  <c r="D92" i="3"/>
  <c r="E94" i="3"/>
  <c r="H96" i="3"/>
  <c r="D98" i="3"/>
  <c r="D100" i="3"/>
  <c r="I102" i="3"/>
  <c r="J104" i="3"/>
  <c r="D107" i="3"/>
  <c r="J109" i="3"/>
  <c r="I111" i="3"/>
  <c r="C114" i="3"/>
  <c r="I116" i="3"/>
  <c r="G118" i="3"/>
  <c r="M120" i="3"/>
  <c r="G123" i="3"/>
  <c r="I126" i="3"/>
  <c r="J129" i="3"/>
  <c r="H133" i="3"/>
  <c r="D139" i="3"/>
  <c r="B146" i="3"/>
  <c r="D153" i="3"/>
  <c r="B160" i="3"/>
  <c r="K13" i="3"/>
  <c r="E15" i="3"/>
  <c r="J16" i="3"/>
  <c r="M17" i="3"/>
  <c r="G19" i="3"/>
  <c r="L20" i="3"/>
  <c r="C22" i="3"/>
  <c r="I23" i="3"/>
  <c r="B25" i="3"/>
  <c r="E26" i="3"/>
  <c r="K27" i="3"/>
  <c r="D29" i="3"/>
  <c r="G30" i="3"/>
  <c r="M31" i="3"/>
  <c r="F33" i="3"/>
  <c r="I34" i="3"/>
  <c r="C36" i="3"/>
  <c r="H37" i="3"/>
  <c r="K38" i="3"/>
  <c r="E40" i="3"/>
  <c r="J41" i="3"/>
  <c r="M42" i="3"/>
  <c r="G44" i="3"/>
  <c r="L45" i="3"/>
  <c r="C47" i="3"/>
  <c r="I48" i="3"/>
  <c r="B50" i="3"/>
  <c r="E51" i="3"/>
  <c r="K52" i="3"/>
  <c r="D54" i="3"/>
  <c r="G55" i="3"/>
  <c r="M56" i="3"/>
  <c r="F58" i="3"/>
  <c r="I59" i="3"/>
  <c r="C61" i="3"/>
  <c r="H62" i="3"/>
  <c r="K63" i="3"/>
  <c r="E65" i="3"/>
  <c r="J66" i="3"/>
  <c r="M67" i="3"/>
  <c r="G69" i="3"/>
  <c r="L70" i="3"/>
  <c r="C72" i="3"/>
  <c r="I73" i="3"/>
  <c r="B75" i="3"/>
  <c r="I76" i="3"/>
  <c r="J78" i="3"/>
  <c r="K80" i="3"/>
  <c r="H82" i="3"/>
  <c r="J84" i="3"/>
  <c r="J86" i="3"/>
  <c r="G88" i="3"/>
  <c r="J90" i="3"/>
  <c r="I92" i="3"/>
  <c r="F94" i="3"/>
  <c r="I96" i="3"/>
  <c r="H98" i="3"/>
  <c r="F100" i="3"/>
  <c r="J102" i="3"/>
  <c r="C105" i="3"/>
  <c r="F107" i="3"/>
  <c r="L109" i="3"/>
  <c r="D112" i="3"/>
  <c r="D114" i="3"/>
  <c r="J116" i="3"/>
  <c r="C119" i="3"/>
  <c r="B121" i="3"/>
  <c r="H123" i="3"/>
  <c r="J126" i="3"/>
  <c r="C130" i="3"/>
  <c r="L133" i="3"/>
  <c r="H140" i="3"/>
  <c r="G147" i="3"/>
  <c r="E154" i="3"/>
  <c r="F161" i="3"/>
  <c r="L13" i="3"/>
  <c r="F15" i="3"/>
  <c r="L16" i="3"/>
  <c r="B18" i="3"/>
  <c r="H19" i="3"/>
  <c r="B21" i="3"/>
  <c r="D22" i="3"/>
  <c r="J23" i="3"/>
  <c r="D25" i="3"/>
  <c r="F26" i="3"/>
  <c r="L27" i="3"/>
  <c r="F29" i="3"/>
  <c r="H30" i="3"/>
  <c r="B32" i="3"/>
  <c r="H33" i="3"/>
  <c r="J34" i="3"/>
  <c r="D36" i="3"/>
  <c r="J37" i="3"/>
  <c r="L38" i="3"/>
  <c r="F40" i="3"/>
  <c r="L41" i="3"/>
  <c r="B43" i="3"/>
  <c r="H44" i="3"/>
  <c r="B46" i="3"/>
  <c r="D47" i="3"/>
  <c r="J48" i="3"/>
  <c r="D50" i="3"/>
  <c r="F51" i="3"/>
  <c r="L52" i="3"/>
  <c r="F54" i="3"/>
  <c r="H55" i="3"/>
  <c r="B57" i="3"/>
  <c r="H58" i="3"/>
  <c r="J59" i="3"/>
  <c r="D61" i="3"/>
  <c r="J62" i="3"/>
  <c r="L63" i="3"/>
  <c r="F65" i="3"/>
  <c r="L66" i="3"/>
  <c r="B68" i="3"/>
  <c r="H69" i="3"/>
  <c r="B71" i="3"/>
  <c r="D72" i="3"/>
  <c r="J73" i="3"/>
  <c r="D75" i="3"/>
  <c r="J76" i="3"/>
  <c r="L78" i="3"/>
  <c r="M80" i="3"/>
  <c r="I82" i="3"/>
  <c r="L84" i="3"/>
  <c r="L86" i="3"/>
  <c r="H88" i="3"/>
  <c r="K90" i="3"/>
  <c r="L92" i="3"/>
  <c r="H94" i="3"/>
  <c r="J96" i="3"/>
  <c r="L98" i="3"/>
  <c r="H100" i="3"/>
  <c r="B103" i="3"/>
  <c r="H105" i="3"/>
  <c r="G107" i="3"/>
  <c r="M109" i="3"/>
  <c r="G112" i="3"/>
  <c r="E114" i="3"/>
  <c r="K116" i="3"/>
  <c r="E119" i="3"/>
  <c r="F121" i="3"/>
  <c r="L123" i="3"/>
  <c r="K126" i="3"/>
  <c r="K130" i="3"/>
  <c r="M134" i="3"/>
  <c r="J140" i="3"/>
  <c r="H147" i="3"/>
  <c r="F154" i="3"/>
  <c r="B13" i="2" l="1"/>
  <c r="B18" i="2" s="1"/>
  <c r="B12" i="2"/>
</calcChain>
</file>

<file path=xl/sharedStrings.xml><?xml version="1.0" encoding="utf-8"?>
<sst xmlns="http://schemas.openxmlformats.org/spreadsheetml/2006/main" count="267" uniqueCount="114">
  <si>
    <t>RESUMEN Y MOVIMIENTOS INDIVIDUALES: IGNACIO</t>
  </si>
  <si>
    <t>Sincronización en tiempo real con la pestaña 'Detalles movimientos'</t>
  </si>
  <si>
    <t>TOTAL LITROS</t>
  </si>
  <si>
    <t>EXTRACCIÓN (L)</t>
  </si>
  <si>
    <t>TOTAL VENTAS ($)</t>
  </si>
  <si>
    <t>N° OPERACIONES</t>
  </si>
  <si>
    <t>Fecha</t>
  </si>
  <si>
    <t>Nombre Cliente</t>
  </si>
  <si>
    <t>Camión</t>
  </si>
  <si>
    <t>Vende</t>
  </si>
  <si>
    <t>Dirección</t>
  </si>
  <si>
    <t>Precio</t>
  </si>
  <si>
    <t>Litros</t>
  </si>
  <si>
    <t>Total</t>
  </si>
  <si>
    <t>Medio de pago</t>
  </si>
  <si>
    <t>Comisiones</t>
  </si>
  <si>
    <t>Observación</t>
  </si>
  <si>
    <t>Facturación / Detalles</t>
  </si>
  <si>
    <t>VENTAS GRANEL ECOGAS SPA</t>
  </si>
  <si>
    <t>Litros Vendidos</t>
  </si>
  <si>
    <t>Extraccion</t>
  </si>
  <si>
    <t>Total Recaudado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</si>
  <si>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</si>
  <si>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</si>
  <si>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</si>
  <si>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</si>
  <si>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</si>
  <si>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</si>
  <si>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</si>
  <si>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</si>
  <si>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</si>
  <si>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</si>
  <si>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</si>
  <si>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</si>
  <si>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</si>
  <si>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</si>
  <si>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</si>
  <si>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</si>
  <si>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</si>
  <si>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</si>
  <si>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</si>
  <si>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</si>
  <si>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</si>
  <si>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</si>
  <si>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</si>
  <si>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</si>
  <si>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</si>
  <si>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</si>
  <si>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</si>
  <si>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</si>
  <si>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</si>
  <si>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</si>
  <si>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</si>
  <si>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</si>
  <si>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</si>
  <si>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</si>
  <si>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</si>
  <si>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</si>
  <si>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</si>
  <si>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</si>
  <si>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</si>
  <si>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</si>
  <si>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</si>
  <si>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</si>
  <si>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</si>
  <si>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</si>
  <si>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</si>
  <si>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</si>
  <si>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</si>
  <si>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</si>
  <si>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</si>
  <si>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</si>
  <si>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</si>
  <si>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</si>
  <si>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</si>
  <si>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</si>
  <si>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</si>
  <si>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</si>
  <si>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</si>
  <si>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</si>
  <si>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</si>
  <si>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</si>
  <si>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</si>
  <si>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</si>
  <si>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</si>
  <si>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</si>
  <si>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</si>
  <si>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</si>
  <si>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</si>
  <si>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</si>
  <si>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</si>
  <si>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</si>
  <si>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COMISIONES PAGADAS ($)</t>
  </si>
  <si>
    <t>COMISIONES PENDIENTES ($)</t>
  </si>
  <si>
    <t>PERÍODO COMISIONES PAGADAS:</t>
  </si>
  <si>
    <t>PERÍODO COMISIONES PENDIENTES:</t>
  </si>
  <si>
    <t>RESUMEN Y MOVIMIENTOS INDIVIDUALES: TRIPULACION</t>
  </si>
  <si>
    <t>RESUMEN Y MOVIMIENTOS INDIVIDUALES: ENAP CARGA</t>
  </si>
  <si>
    <t>LITROS VENDIDOS</t>
  </si>
  <si>
    <t>LITROS COMPRADOS</t>
  </si>
  <si>
    <t>STOCK ACTUAL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</si>
  <si>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</si>
  <si>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</si>
  <si>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</si>
  <si>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</si>
  <si>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</si>
  <si>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</si>
  <si>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El Peñón 335 Puente Alto</t>
  </si>
  <si>
    <t>Transferencia dos</t>
  </si>
  <si>
    <t>Bar Barrio Alto</t>
  </si>
  <si>
    <t>BAR Tirua</t>
  </si>
  <si>
    <t>Brasas y Sabor SpA</t>
  </si>
  <si>
    <t>Pirque</t>
  </si>
  <si>
    <t>Puente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</si>
</sst>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b/>
      <sz val="12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54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165" fontId="9" fillId="3" borderId="5" xfId="0" applyNumberFormat="1" applyFont="1" applyFill="1" applyBorder="1" applyAlignment="1">
      <alignment horizontal="center" vertical="center"/>
    </xf>
    <xf numFmtId="0" fontId="0" fillId="8" borderId="1" xfId="0" applyFill="1" applyBorder="1"/>
    <xf numFmtId="0" fontId="14" fillId="9" borderId="5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42" fontId="1" fillId="0" borderId="0" xfId="1"/>
    <xf numFmtId="0" fontId="0" fillId="0" borderId="4" xfId="0" applyBorder="1"/>
    <xf numFmtId="3" fontId="9" fillId="3" borderId="5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8" fillId="3" borderId="5" xfId="0" applyFont="1" applyFill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U1000"/>
  <sheetViews>
    <sheetView showGridLines="0" tabSelected="1" topLeftCell="A6" zoomScaleNormal="100" workbookViewId="0">
      <selection activeCell="H35" sqref="H35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1" width="17" bestFit="1" customWidth="1"/>
    <col min="12" max="12" width="17.83203125" bestFit="1" customWidth="1"/>
    <col min="13" max="13" width="17.83203125" customWidth="1"/>
    <col min="14" max="14" width="31.33203125" bestFit="1" customWidth="1"/>
    <col min="15" max="15" width="31.33203125" style="23" customWidth="1"/>
    <col min="16" max="16" width="31.33203125" style="24" customWidth="1"/>
    <col min="18" max="21" width="13" hidden="1" customWidth="1"/>
  </cols>
  <sheetData>
    <row r="2" spans="3:21" ht="23" customHeight="1">
      <c r="C2" s="37" t="s">
        <v>18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9"/>
      <c r="P2" s="40"/>
    </row>
    <row r="3" spans="3:21" ht="17" customHeight="1" thickBot="1"/>
    <row r="4" spans="3:21" ht="19" customHeight="1"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19</v>
      </c>
      <c r="J4" s="4" t="s">
        <v>20</v>
      </c>
      <c r="K4" s="4" t="s">
        <v>21</v>
      </c>
      <c r="L4" s="4" t="s">
        <v>14</v>
      </c>
      <c r="M4" s="4" t="s">
        <v>15</v>
      </c>
      <c r="N4" s="25" t="s">
        <v>16</v>
      </c>
      <c r="O4" s="28" t="s">
        <v>22</v>
      </c>
      <c r="P4" s="28" t="s">
        <v>23</v>
      </c>
      <c r="R4" s="13" t="s">
        <v>24</v>
      </c>
      <c r="S4" s="13" t="s">
        <v>25</v>
      </c>
      <c r="T4" s="13" t="s">
        <v>26</v>
      </c>
      <c r="U4" s="13" t="s">
        <v>27</v>
      </c>
    </row>
    <row r="5" spans="3:21">
      <c r="C5" s="7">
        <v>46226</v>
      </c>
      <c r="D5" s="1" t="s">
        <v>28</v>
      </c>
      <c r="E5" s="5" t="s">
        <v>29</v>
      </c>
      <c r="F5" s="5" t="s">
        <v>28</v>
      </c>
      <c r="G5" s="1"/>
      <c r="H5" s="2"/>
      <c r="I5" s="5"/>
      <c r="J5" s="5"/>
      <c r="K5" s="6"/>
      <c r="L5" s="1" t="s">
        <v>28</v>
      </c>
      <c r="M5" s="6" t="str">
        <f>IF(F5="CJ", I5*200, "")</f>
        <v/>
      </c>
      <c r="N5" s="26" t="s">
        <v>30</v>
      </c>
      <c r="O5" s="12">
        <v>3836889</v>
      </c>
      <c r="P5" s="29">
        <v>11481</v>
      </c>
      <c r="R5" t="str">
        <f>IF(F5="CJ", COUNTIF(F$5:F5, "CJ"), "")</f>
        <v/>
      </c>
      <c r="S5" t="str">
        <f>IF(F5="Ignacio", COUNTIF(F$5:F5, "Ignacio"), "")</f>
        <v/>
      </c>
      <c r="T5" t="str">
        <f>IF(F5="Tripulacion", COUNTIF(F$5:F5, "Tripulacion"), "")</f>
        <v/>
      </c>
      <c r="U5">
        <f>IF(F5="ENAP carga", COUNTIF(F$5:F5, "ENAP carga"), "")</f>
        <v>1</v>
      </c>
    </row>
    <row r="6" spans="3:21">
      <c r="C6" s="7">
        <v>46230</v>
      </c>
      <c r="D6" s="1" t="s">
        <v>31</v>
      </c>
      <c r="E6" s="5" t="s">
        <v>29</v>
      </c>
      <c r="F6" s="5" t="s">
        <v>32</v>
      </c>
      <c r="G6" s="1"/>
      <c r="H6" s="2"/>
      <c r="I6" s="5"/>
      <c r="J6" s="5">
        <v>1403</v>
      </c>
      <c r="K6" s="6"/>
      <c r="L6" s="34" t="s">
        <v>20</v>
      </c>
      <c r="M6" s="6" t="str">
        <f>IF(F6="CJ", I6*200, "")</f>
        <v/>
      </c>
      <c r="N6" s="26" t="s">
        <v>20</v>
      </c>
      <c r="O6" s="12"/>
      <c r="P6" s="29"/>
      <c r="R6" t="str">
        <f>IF(F6="CJ", COUNTIF(F$5:F6, "CJ"), "")</f>
        <v/>
      </c>
      <c r="S6">
        <f>IF(F6="Ignacio", COUNTIF(F$5:F6, "Ignacio"), "")</f>
        <v>1</v>
      </c>
      <c r="T6" t="str">
        <f>IF(F6="Tripulacion", COUNTIF(F$5:F6, "Tripulacion"), "")</f>
        <v/>
      </c>
      <c r="U6" t="str">
        <f>IF(F6="ENAP carga", COUNTIF(F$5:F6, "ENAP carga"), "")</f>
        <v/>
      </c>
    </row>
    <row r="7" spans="3:21">
      <c r="C7" s="7">
        <v>46230</v>
      </c>
      <c r="D7" s="1" t="s">
        <v>33</v>
      </c>
      <c r="E7" s="5" t="s">
        <v>29</v>
      </c>
      <c r="F7" s="5" t="s">
        <v>34</v>
      </c>
      <c r="G7" s="1" t="s">
        <v>35</v>
      </c>
      <c r="H7" s="2">
        <v>1000</v>
      </c>
      <c r="I7" s="5">
        <v>179.2</v>
      </c>
      <c r="J7" s="5"/>
      <c r="K7" s="6">
        <f t="shared" ref="K7:K18" si="0">H7*I7</f>
        <v>179200</v>
      </c>
      <c r="L7" s="1" t="s">
        <v>36</v>
      </c>
      <c r="M7" s="12">
        <f t="shared" ref="M7:M13" si="1">I7*200</f>
        <v>35840</v>
      </c>
      <c r="N7" s="26" t="s">
        <v>37</v>
      </c>
      <c r="O7" s="12"/>
      <c r="P7" s="29"/>
      <c r="R7">
        <f>IF(F7="CJ", COUNTIF(F$5:F7, "CJ"), "")</f>
        <v>1</v>
      </c>
      <c r="S7" t="str">
        <f>IF(F7="Ignacio", COUNTIF(F$5:F7, "Ignacio"), "")</f>
        <v/>
      </c>
      <c r="T7" t="str">
        <f>IF(F7="Tripulacion", COUNTIF(F$5:F7, "Tripulacion"), "")</f>
        <v/>
      </c>
      <c r="U7" t="str">
        <f>IF(F7="ENAP carga", COUNTIF(F$5:F7, "ENAP carga"), "")</f>
        <v/>
      </c>
    </row>
    <row r="8" spans="3:21">
      <c r="C8" s="7">
        <v>46230</v>
      </c>
      <c r="D8" s="1" t="s">
        <v>38</v>
      </c>
      <c r="E8" s="5" t="s">
        <v>29</v>
      </c>
      <c r="F8" s="5" t="s">
        <v>34</v>
      </c>
      <c r="G8" s="1"/>
      <c r="H8" s="2">
        <v>1000</v>
      </c>
      <c r="I8" s="5">
        <v>518.1</v>
      </c>
      <c r="J8" s="5"/>
      <c r="K8" s="6">
        <f t="shared" si="0"/>
        <v>518100</v>
      </c>
      <c r="L8" s="1" t="s">
        <v>39</v>
      </c>
      <c r="M8" s="12">
        <f t="shared" si="1"/>
        <v>103620</v>
      </c>
      <c r="N8" s="26" t="s">
        <v>37</v>
      </c>
      <c r="O8" s="12"/>
      <c r="P8" s="29"/>
      <c r="R8">
        <f>IF(F8="CJ", COUNTIF(F$5:F8, "CJ"), "")</f>
        <v>2</v>
      </c>
      <c r="S8" t="str">
        <f>IF(F8="Ignacio", COUNTIF(F$5:F8, "Ignacio"), "")</f>
        <v/>
      </c>
      <c r="T8" t="str">
        <f>IF(F8="Tripulacion", COUNTIF(F$5:F8, "Tripulacion"), "")</f>
        <v/>
      </c>
      <c r="U8" t="str">
        <f>IF(F8="ENAP carga", COUNTIF(F$5:F8, "ENAP carga"), "")</f>
        <v/>
      </c>
    </row>
    <row r="9" spans="3:21">
      <c r="C9" s="7">
        <v>46230</v>
      </c>
      <c r="D9" s="1" t="s">
        <v>40</v>
      </c>
      <c r="E9" s="5" t="s">
        <v>29</v>
      </c>
      <c r="F9" s="5" t="s">
        <v>34</v>
      </c>
      <c r="G9" s="1"/>
      <c r="H9" s="2">
        <v>1000</v>
      </c>
      <c r="I9" s="5">
        <v>488.2</v>
      </c>
      <c r="J9" s="5"/>
      <c r="K9" s="6">
        <f t="shared" si="0"/>
        <v>488200</v>
      </c>
      <c r="L9" s="1" t="s">
        <v>39</v>
      </c>
      <c r="M9" s="12">
        <f t="shared" si="1"/>
        <v>97640</v>
      </c>
      <c r="N9" s="26" t="s">
        <v>37</v>
      </c>
      <c r="O9" s="12"/>
      <c r="P9" s="29"/>
      <c r="R9">
        <f>IF(F9="CJ", COUNTIF(F$5:F9, "CJ"), "")</f>
        <v>3</v>
      </c>
      <c r="S9" t="str">
        <f>IF(F9="Ignacio", COUNTIF(F$5:F9, "Ignacio"), "")</f>
        <v/>
      </c>
      <c r="T9" t="str">
        <f>IF(F9="Tripulacion", COUNTIF(F$5:F9, "Tripulacion"), "")</f>
        <v/>
      </c>
      <c r="U9" t="str">
        <f>IF(F9="ENAP carga", COUNTIF(F$5:F9, "ENAP carga"), "")</f>
        <v/>
      </c>
    </row>
    <row r="10" spans="3:21">
      <c r="C10" s="7">
        <v>46230</v>
      </c>
      <c r="D10" s="1" t="s">
        <v>41</v>
      </c>
      <c r="E10" s="5" t="s">
        <v>29</v>
      </c>
      <c r="F10" s="5" t="s">
        <v>34</v>
      </c>
      <c r="G10" s="1"/>
      <c r="H10" s="2">
        <v>1000</v>
      </c>
      <c r="I10" s="5">
        <v>500.3</v>
      </c>
      <c r="J10" s="5"/>
      <c r="K10" s="6">
        <f t="shared" si="0"/>
        <v>500300</v>
      </c>
      <c r="L10" s="1" t="s">
        <v>39</v>
      </c>
      <c r="M10" s="12">
        <f t="shared" si="1"/>
        <v>100060</v>
      </c>
      <c r="N10" s="26" t="s">
        <v>37</v>
      </c>
      <c r="O10" s="12"/>
      <c r="P10" s="29"/>
      <c r="R10">
        <f>IF(F10="CJ", COUNTIF(F$5:F10, "CJ"), "")</f>
        <v>4</v>
      </c>
      <c r="S10" t="str">
        <f>IF(F10="Ignacio", COUNTIF(F$5:F10, "Ignacio"), "")</f>
        <v/>
      </c>
      <c r="T10" t="str">
        <f>IF(F10="Tripulacion", COUNTIF(F$5:F10, "Tripulacion"), "")</f>
        <v/>
      </c>
      <c r="U10" t="str">
        <f>IF(F10="ENAP carga", COUNTIF(F$5:F10, "ENAP carga"), "")</f>
        <v/>
      </c>
    </row>
    <row r="11" spans="3:21">
      <c r="C11" s="7">
        <v>46230</v>
      </c>
      <c r="D11" s="1" t="s">
        <v>42</v>
      </c>
      <c r="E11" s="5" t="s">
        <v>29</v>
      </c>
      <c r="F11" s="5" t="s">
        <v>34</v>
      </c>
      <c r="G11" s="1"/>
      <c r="H11" s="2">
        <v>1000</v>
      </c>
      <c r="I11" s="5">
        <v>237.9</v>
      </c>
      <c r="J11" s="5"/>
      <c r="K11" s="6">
        <f t="shared" si="0"/>
        <v>237900</v>
      </c>
      <c r="L11" s="1" t="s">
        <v>39</v>
      </c>
      <c r="M11" s="12">
        <f t="shared" si="1"/>
        <v>47580</v>
      </c>
      <c r="N11" s="26" t="s">
        <v>37</v>
      </c>
      <c r="O11" s="12"/>
      <c r="P11" s="29"/>
      <c r="R11">
        <f>IF(F11="CJ", COUNTIF(F$5:F11, "CJ"), "")</f>
        <v>5</v>
      </c>
      <c r="S11" t="str">
        <f>IF(F11="Ignacio", COUNTIF(F$5:F11, "Ignacio"), "")</f>
        <v/>
      </c>
      <c r="T11" t="str">
        <f>IF(F11="Tripulacion", COUNTIF(F$5:F11, "Tripulacion"), "")</f>
        <v/>
      </c>
      <c r="U11" t="str">
        <f>IF(F11="ENAP carga", COUNTIF(F$5:F11, "ENAP carga"), "")</f>
        <v/>
      </c>
    </row>
    <row r="12" spans="3:21">
      <c r="C12" s="7">
        <v>46230</v>
      </c>
      <c r="D12" s="1" t="s">
        <v>43</v>
      </c>
      <c r="E12" s="5" t="s">
        <v>29</v>
      </c>
      <c r="F12" s="5" t="s">
        <v>34</v>
      </c>
      <c r="G12" s="1"/>
      <c r="H12" s="2">
        <v>1000</v>
      </c>
      <c r="I12" s="5">
        <v>205.1</v>
      </c>
      <c r="J12" s="5"/>
      <c r="K12" s="6">
        <f t="shared" si="0"/>
        <v>205100</v>
      </c>
      <c r="L12" s="1" t="s">
        <v>39</v>
      </c>
      <c r="M12" s="12">
        <f t="shared" si="1"/>
        <v>41020</v>
      </c>
      <c r="N12" s="26" t="s">
        <v>37</v>
      </c>
      <c r="O12" s="12"/>
      <c r="P12" s="29"/>
      <c r="R12">
        <f>IF(F12="CJ", COUNTIF(F$5:F12, "CJ"), "")</f>
        <v>6</v>
      </c>
      <c r="S12" t="str">
        <f>IF(F12="Ignacio", COUNTIF(F$5:F12, "Ignacio"), "")</f>
        <v/>
      </c>
      <c r="T12" t="str">
        <f>IF(F12="Tripulacion", COUNTIF(F$5:F12, "Tripulacion"), "")</f>
        <v/>
      </c>
      <c r="U12" t="str">
        <f>IF(F12="ENAP carga", COUNTIF(F$5:F12, "ENAP carga"), "")</f>
        <v/>
      </c>
    </row>
    <row r="13" spans="3:21">
      <c r="C13" s="7">
        <v>46230</v>
      </c>
      <c r="D13" s="1" t="s">
        <v>44</v>
      </c>
      <c r="E13" s="5" t="s">
        <v>29</v>
      </c>
      <c r="F13" s="5" t="s">
        <v>34</v>
      </c>
      <c r="G13" s="1"/>
      <c r="H13" s="2">
        <v>1000</v>
      </c>
      <c r="I13" s="5">
        <v>300</v>
      </c>
      <c r="J13" s="5"/>
      <c r="K13" s="6">
        <f t="shared" si="0"/>
        <v>300000</v>
      </c>
      <c r="L13" s="1" t="s">
        <v>45</v>
      </c>
      <c r="M13" s="12">
        <f t="shared" si="1"/>
        <v>60000</v>
      </c>
      <c r="N13" s="26" t="s">
        <v>37</v>
      </c>
      <c r="O13" s="12"/>
      <c r="P13" s="29"/>
      <c r="Q13" s="3">
        <f>SUM(I7:I13)</f>
        <v>2428.8000000000002</v>
      </c>
      <c r="R13" s="1">
        <f>IF(F13="CJ", COUNTIF(F$5:F13, "CJ"), "")</f>
        <v>7</v>
      </c>
      <c r="S13" s="2" t="str">
        <f>IF(F13="Ignacio", COUNTIF(F$5:F13, "Ignacio"), "")</f>
        <v/>
      </c>
      <c r="T13" s="1" t="str">
        <f>IF(F13="Tripulacion", COUNTIF(F$5:F13, "Tripulacion"), "")</f>
        <v/>
      </c>
      <c r="U13" t="str">
        <f>IF(F13="ENAP carga", COUNTIF(F$5:F13, "ENAP carga"), "")</f>
        <v/>
      </c>
    </row>
    <row r="14" spans="3:21">
      <c r="C14" s="7">
        <v>46231</v>
      </c>
      <c r="D14" s="1" t="s">
        <v>46</v>
      </c>
      <c r="E14" s="5" t="s">
        <v>29</v>
      </c>
      <c r="F14" s="5" t="s">
        <v>34</v>
      </c>
      <c r="G14" s="1"/>
      <c r="H14" s="2">
        <v>1000</v>
      </c>
      <c r="I14" s="5">
        <v>200</v>
      </c>
      <c r="J14" s="5"/>
      <c r="K14" s="6">
        <f t="shared" si="0"/>
        <v>200000</v>
      </c>
      <c r="L14" s="1" t="s">
        <v>45</v>
      </c>
      <c r="M14" s="6">
        <f>IF(F14="CJ", I14*200, "")</f>
        <v>40000</v>
      </c>
      <c r="N14" s="26"/>
      <c r="O14" s="12"/>
      <c r="P14" s="29"/>
      <c r="R14">
        <f>IF(F14="CJ", COUNTIF(F$5:F14, "CJ"), "")</f>
        <v>8</v>
      </c>
      <c r="S14" t="str">
        <f>IF(F14="Ignacio", COUNTIF(F$5:F14, "Ignacio"), "")</f>
        <v/>
      </c>
      <c r="T14" t="str">
        <f>IF(F14="Tripulacion", COUNTIF(F$5:F14, "Tripulacion"), "")</f>
        <v/>
      </c>
      <c r="U14" t="str">
        <f>IF(F14="ENAP carga", COUNTIF(F$5:F14, "ENAP carga"), "")</f>
        <v/>
      </c>
    </row>
    <row r="15" spans="3:21">
      <c r="C15" s="7">
        <v>46231</v>
      </c>
      <c r="D15" s="1" t="s">
        <v>47</v>
      </c>
      <c r="E15" s="5" t="s">
        <v>29</v>
      </c>
      <c r="F15" s="5" t="s">
        <v>48</v>
      </c>
      <c r="G15" s="1" t="s">
        <v>49</v>
      </c>
      <c r="H15" s="2">
        <v>0</v>
      </c>
      <c r="I15" s="5">
        <v>912</v>
      </c>
      <c r="J15" s="5"/>
      <c r="K15" s="6">
        <f t="shared" si="0"/>
        <v>0</v>
      </c>
      <c r="L15" s="1"/>
      <c r="M15" s="6" t="str">
        <f>IF(F15="CJ", I15*200, "")</f>
        <v/>
      </c>
      <c r="N15" s="26"/>
      <c r="O15" s="12"/>
      <c r="P15" s="29"/>
      <c r="R15" t="str">
        <f>IF(F15="CJ", COUNTIF(F$5:F15, "CJ"), "")</f>
        <v/>
      </c>
      <c r="S15" t="str">
        <f>IF(F15="Ignacio", COUNTIF(F$5:F15, "Ignacio"), "")</f>
        <v/>
      </c>
      <c r="T15">
        <f>IF(F15="Tripulacion", COUNTIF(F$5:F15, "Tripulacion"), "")</f>
        <v>1</v>
      </c>
      <c r="U15" t="str">
        <f>IF(F15="ENAP carga", COUNTIF(F$5:F15, "ENAP carga"), "")</f>
        <v/>
      </c>
    </row>
    <row r="16" spans="3:21" s="11" customFormat="1">
      <c r="C16" s="7">
        <v>46233</v>
      </c>
      <c r="D16" s="8" t="s">
        <v>50</v>
      </c>
      <c r="E16" s="5" t="s">
        <v>29</v>
      </c>
      <c r="F16" s="5" t="s">
        <v>34</v>
      </c>
      <c r="G16" s="8" t="s">
        <v>51</v>
      </c>
      <c r="H16" s="9">
        <v>1000</v>
      </c>
      <c r="I16" s="5">
        <v>747</v>
      </c>
      <c r="J16" s="5"/>
      <c r="K16" s="10">
        <f t="shared" si="0"/>
        <v>747000</v>
      </c>
      <c r="L16" s="8" t="s">
        <v>45</v>
      </c>
      <c r="M16" s="10">
        <f>IF(F16="CJ", I16*200, "")</f>
        <v>149400</v>
      </c>
      <c r="N16" s="27" t="s">
        <v>52</v>
      </c>
      <c r="O16" s="12"/>
      <c r="P16" s="29"/>
      <c r="Q16" t="s">
        <v>53</v>
      </c>
      <c r="R16">
        <f>IF(F16="CJ", COUNTIF(F$5:F16, "CJ"), "")</f>
        <v>9</v>
      </c>
      <c r="S16" t="str">
        <f>IF(F16="Ignacio", COUNTIF(F$5:F16, "Ignacio"), "")</f>
        <v/>
      </c>
      <c r="T16" t="str">
        <f>IF(F16="Tripulacion", COUNTIF(F$5:F16, "Tripulacion"), "")</f>
        <v/>
      </c>
      <c r="U16" t="str">
        <f>IF(F16="ENAP carga", COUNTIF(F$5:F16, "ENAP carga"), "")</f>
        <v/>
      </c>
    </row>
    <row r="17" spans="3:21">
      <c r="C17" s="7">
        <v>46237</v>
      </c>
      <c r="D17" s="1" t="s">
        <v>54</v>
      </c>
      <c r="E17" s="5" t="s">
        <v>29</v>
      </c>
      <c r="F17" s="5" t="s">
        <v>34</v>
      </c>
      <c r="G17" s="1" t="s">
        <v>55</v>
      </c>
      <c r="H17" s="2">
        <v>1100</v>
      </c>
      <c r="I17" s="5">
        <v>200</v>
      </c>
      <c r="J17" s="5"/>
      <c r="K17" s="6">
        <f t="shared" si="0"/>
        <v>220000</v>
      </c>
      <c r="L17" s="1" t="s">
        <v>45</v>
      </c>
      <c r="M17" s="6">
        <f>IF(F17="CJ", I17*200, "")</f>
        <v>40000</v>
      </c>
      <c r="N17" s="26"/>
      <c r="O17" s="12"/>
      <c r="P17" s="29"/>
      <c r="R17">
        <f>IF(F17="CJ", COUNTIF(F$5:F17, "CJ"), "")</f>
        <v>10</v>
      </c>
      <c r="S17" t="str">
        <f>IF(F17="Ignacio", COUNTIF(F$5:F17, "Ignacio"), "")</f>
        <v/>
      </c>
      <c r="T17" t="str">
        <f>IF(F17="Tripulacion", COUNTIF(F$5:F17, "Tripulacion"), "")</f>
        <v/>
      </c>
      <c r="U17" t="str">
        <f>IF(F17="ENAP carga", COUNTIF(F$5:F17, "ENAP carga"), "")</f>
        <v/>
      </c>
    </row>
    <row r="18" spans="3:21">
      <c r="C18" s="7">
        <v>46237</v>
      </c>
      <c r="D18" s="1" t="s">
        <v>56</v>
      </c>
      <c r="E18" s="5" t="s">
        <v>29</v>
      </c>
      <c r="F18" s="5" t="s">
        <v>34</v>
      </c>
      <c r="G18" s="1" t="s">
        <v>57</v>
      </c>
      <c r="H18" s="2">
        <v>1100</v>
      </c>
      <c r="I18" s="5">
        <v>350</v>
      </c>
      <c r="J18" s="5"/>
      <c r="K18" s="6">
        <f t="shared" si="0"/>
        <v>385000</v>
      </c>
      <c r="L18" s="1" t="s">
        <v>58</v>
      </c>
      <c r="M18" s="6">
        <f>IF(F18="CJ", I18*200, "")</f>
        <v>70000</v>
      </c>
      <c r="N18" s="26" t="s">
        <v>59</v>
      </c>
      <c r="O18" s="12"/>
      <c r="P18" s="29"/>
      <c r="R18">
        <f>IF(F18="CJ", COUNTIF(F$5:F18, "CJ"), "")</f>
        <v>11</v>
      </c>
      <c r="S18" t="str">
        <f>IF(F18="Ignacio", COUNTIF(F$5:F18, "Ignacio"), "")</f>
        <v/>
      </c>
      <c r="T18" t="str">
        <f>IF(F18="Tripulacion", COUNTIF(F$5:F18, "Tripulacion"), "")</f>
        <v/>
      </c>
      <c r="U18" t="str">
        <f>IF(F18="ENAP carga", COUNTIF(F$5:F18, "ENAP carga"), "")</f>
        <v/>
      </c>
    </row>
    <row r="19" spans="3:21">
      <c r="C19" s="7">
        <v>46238</v>
      </c>
      <c r="D19" s="1" t="s">
        <v>31</v>
      </c>
      <c r="E19" s="5" t="s">
        <v>29</v>
      </c>
      <c r="F19" s="5" t="s">
        <v>32</v>
      </c>
      <c r="G19" s="1"/>
      <c r="H19" s="2"/>
      <c r="J19" s="5">
        <v>1403</v>
      </c>
      <c r="K19" s="6"/>
      <c r="L19" s="34" t="s">
        <v>20</v>
      </c>
      <c r="M19" s="6" t="str">
        <f>IF(F19="CJ", J19*200, "")</f>
        <v/>
      </c>
      <c r="N19" s="26" t="s">
        <v>20</v>
      </c>
      <c r="O19" s="12"/>
      <c r="P19" s="29"/>
      <c r="R19" t="str">
        <f>IF(F19="CJ", COUNTIF(F$5:F19, "CJ"), "")</f>
        <v/>
      </c>
      <c r="S19">
        <f>IF(F19="Ignacio", COUNTIF(F$5:F19, "Ignacio"), "")</f>
        <v>2</v>
      </c>
      <c r="T19" t="str">
        <f>IF(F19="Tripulacion", COUNTIF(F$5:F19, "Tripulacion"), "")</f>
        <v/>
      </c>
      <c r="U19" t="str">
        <f>IF(F19="ENAP carga", COUNTIF(F$5:F19, "ENAP carga"), "")</f>
        <v/>
      </c>
    </row>
    <row r="20" spans="3:21">
      <c r="C20" s="7">
        <v>46239</v>
      </c>
      <c r="D20" s="1" t="s">
        <v>60</v>
      </c>
      <c r="E20" s="5" t="s">
        <v>29</v>
      </c>
      <c r="F20" s="5" t="s">
        <v>34</v>
      </c>
      <c r="G20" s="1" t="s">
        <v>61</v>
      </c>
      <c r="H20" s="2">
        <v>1100</v>
      </c>
      <c r="I20" s="5">
        <v>270</v>
      </c>
      <c r="J20" s="5"/>
      <c r="K20" s="6">
        <f>H20*I20</f>
        <v>297000</v>
      </c>
      <c r="L20" s="1" t="s">
        <v>45</v>
      </c>
      <c r="M20" s="6">
        <f>IF(F20="CJ", I20*200, "")</f>
        <v>54000</v>
      </c>
      <c r="N20" s="26" t="s">
        <v>52</v>
      </c>
      <c r="O20" s="12"/>
      <c r="P20" s="29"/>
      <c r="Q20" t="s">
        <v>62</v>
      </c>
      <c r="R20">
        <f>IF(F20="CJ", COUNTIF(F$5:F20, "CJ"), "")</f>
        <v>12</v>
      </c>
      <c r="S20" t="str">
        <f>IF(F20="Ignacio", COUNTIF(F$5:F20, "Ignacio"), "")</f>
        <v/>
      </c>
      <c r="T20" t="str">
        <f>IF(F20="Tripulacion", COUNTIF(F$5:F20, "Tripulacion"), "")</f>
        <v/>
      </c>
      <c r="U20" t="str">
        <f>IF(F20="ENAP carga", COUNTIF(F$5:F20, "ENAP carga"), "")</f>
        <v/>
      </c>
    </row>
    <row r="21" spans="3:21">
      <c r="C21" s="7">
        <v>46241</v>
      </c>
      <c r="D21" s="1" t="s">
        <v>63</v>
      </c>
      <c r="E21" s="5" t="s">
        <v>29</v>
      </c>
      <c r="F21" s="5" t="s">
        <v>48</v>
      </c>
      <c r="G21" s="1" t="s">
        <v>64</v>
      </c>
      <c r="H21" s="2">
        <v>1000</v>
      </c>
      <c r="I21" s="5">
        <v>350</v>
      </c>
      <c r="J21" s="5"/>
      <c r="K21" s="6">
        <f>H21*I21</f>
        <v>350000</v>
      </c>
      <c r="L21" s="1" t="s">
        <v>45</v>
      </c>
      <c r="M21" s="6" t="str">
        <f>IF(F21="CJ", I21*200, "")</f>
        <v/>
      </c>
      <c r="N21" s="26" t="s">
        <v>52</v>
      </c>
      <c r="O21" s="12"/>
      <c r="P21" s="29"/>
      <c r="Q21" t="s">
        <v>65</v>
      </c>
      <c r="R21" t="str">
        <f>IF(F21="CJ", COUNTIF(F$5:F21, "CJ"), "")</f>
        <v/>
      </c>
      <c r="S21" t="str">
        <f>IF(F21="Ignacio", COUNTIF(F$5:F21, "Ignacio"), "")</f>
        <v/>
      </c>
      <c r="T21">
        <f>IF(F21="Tripulacion", COUNTIF(F$5:F21, "Tripulacion"), "")</f>
        <v>2</v>
      </c>
      <c r="U21" t="str">
        <f>IF(F21="ENAP carga", COUNTIF(F$5:F21, "ENAP carga"), "")</f>
        <v/>
      </c>
    </row>
    <row r="22" spans="3:21">
      <c r="C22" s="7">
        <v>46241</v>
      </c>
      <c r="D22" s="1" t="s">
        <v>66</v>
      </c>
      <c r="E22" s="5" t="s">
        <v>29</v>
      </c>
      <c r="F22" s="5" t="s">
        <v>48</v>
      </c>
      <c r="G22" s="1" t="s">
        <v>67</v>
      </c>
      <c r="H22" s="2">
        <v>1000</v>
      </c>
      <c r="I22" s="5">
        <v>109</v>
      </c>
      <c r="J22" s="5"/>
      <c r="K22" s="6">
        <f>H22*I22</f>
        <v>109000</v>
      </c>
      <c r="L22" s="1" t="s">
        <v>45</v>
      </c>
      <c r="M22" s="6" t="str">
        <f>IF(F22="CJ", I22*200, "")</f>
        <v/>
      </c>
      <c r="N22" s="26"/>
      <c r="O22" s="12"/>
      <c r="P22" s="29"/>
      <c r="R22" t="str">
        <f>IF(F22="CJ", COUNTIF(F$5:F22, "CJ"), "")</f>
        <v/>
      </c>
      <c r="S22" t="str">
        <f>IF(F22="Ignacio", COUNTIF(F$5:F22, "Ignacio"), "")</f>
        <v/>
      </c>
      <c r="T22">
        <f>IF(F22="Tripulacion", COUNTIF(F$5:F22, "Tripulacion"), "")</f>
        <v>3</v>
      </c>
      <c r="U22" t="str">
        <f>IF(F22="ENAP carga", COUNTIF(F$5:F22, "ENAP carga"), "")</f>
        <v/>
      </c>
    </row>
    <row r="23" spans="3:21">
      <c r="C23" s="7">
        <v>46242</v>
      </c>
      <c r="D23" s="1" t="s">
        <v>31</v>
      </c>
      <c r="E23" s="5" t="s">
        <v>29</v>
      </c>
      <c r="F23" s="5" t="s">
        <v>32</v>
      </c>
      <c r="G23" s="1"/>
      <c r="H23" s="2"/>
      <c r="J23" s="5">
        <v>2219</v>
      </c>
      <c r="K23" s="6"/>
      <c r="L23" s="34" t="s">
        <v>20</v>
      </c>
      <c r="M23" s="6" t="str">
        <f>IF(F23="CJ", J23*200, "")</f>
        <v/>
      </c>
      <c r="N23" s="26" t="s">
        <v>20</v>
      </c>
      <c r="O23" s="12"/>
      <c r="P23" s="29"/>
      <c r="R23" t="str">
        <f>IF(F23="CJ", COUNTIF(F$5:F23, "CJ"), "")</f>
        <v/>
      </c>
      <c r="S23">
        <f>IF(F23="Ignacio", COUNTIF(F$5:F23, "Ignacio"), "")</f>
        <v>3</v>
      </c>
      <c r="T23" t="str">
        <f>IF(F23="Tripulacion", COUNTIF(F$5:F23, "Tripulacion"), "")</f>
        <v/>
      </c>
      <c r="U23" t="str">
        <f>IF(F23="ENAP carga", COUNTIF(F$5:F23, "ENAP carga"), "")</f>
        <v/>
      </c>
    </row>
    <row r="24" spans="3:21">
      <c r="C24" s="7">
        <v>46245</v>
      </c>
      <c r="D24" s="1" t="s">
        <v>68</v>
      </c>
      <c r="E24" s="5" t="s">
        <v>29</v>
      </c>
      <c r="F24" s="5" t="s">
        <v>34</v>
      </c>
      <c r="G24" s="1" t="s">
        <v>69</v>
      </c>
      <c r="H24" s="2">
        <v>1100</v>
      </c>
      <c r="I24" s="5">
        <v>404</v>
      </c>
      <c r="J24" s="5"/>
      <c r="K24" s="6">
        <f>H24*I24</f>
        <v>444400</v>
      </c>
      <c r="L24" s="1" t="s">
        <v>45</v>
      </c>
      <c r="M24" s="6">
        <f t="shared" ref="M24:M87" si="2">IF(F24="CJ", I24*200, "")</f>
        <v>80800</v>
      </c>
      <c r="N24" s="26"/>
      <c r="O24" s="12"/>
      <c r="P24" s="29"/>
      <c r="R24">
        <f>IF(F24="CJ", COUNTIF(F$5:F24, "CJ"), "")</f>
        <v>13</v>
      </c>
      <c r="S24" t="str">
        <f>IF(F24="Ignacio", COUNTIF(F$5:F24, "Ignacio"), "")</f>
        <v/>
      </c>
      <c r="T24" t="str">
        <f>IF(F24="Tripulacion", COUNTIF(F$5:F24, "Tripulacion"), "")</f>
        <v/>
      </c>
      <c r="U24" t="str">
        <f>IF(F24="ENAP carga", COUNTIF(F$5:F24, "ENAP carga"), "")</f>
        <v/>
      </c>
    </row>
    <row r="25" spans="3:21">
      <c r="C25" s="7">
        <v>46245</v>
      </c>
      <c r="D25" s="1" t="s">
        <v>70</v>
      </c>
      <c r="E25" s="5" t="s">
        <v>29</v>
      </c>
      <c r="F25" s="5" t="s">
        <v>34</v>
      </c>
      <c r="G25" s="1" t="s">
        <v>71</v>
      </c>
      <c r="H25" s="2">
        <v>1100</v>
      </c>
      <c r="I25" s="5">
        <v>509</v>
      </c>
      <c r="J25" s="5"/>
      <c r="K25" s="6">
        <f>H25*I25</f>
        <v>559900</v>
      </c>
      <c r="L25" s="1" t="s">
        <v>45</v>
      </c>
      <c r="M25" s="6">
        <f t="shared" si="2"/>
        <v>101800</v>
      </c>
      <c r="N25" s="26"/>
      <c r="O25" s="12"/>
      <c r="P25" s="29"/>
      <c r="R25">
        <f>IF(F25="CJ", COUNTIF(F$5:F25, "CJ"), "")</f>
        <v>14</v>
      </c>
      <c r="S25" t="str">
        <f>IF(F25="Ignacio", COUNTIF(F$5:F25, "Ignacio"), "")</f>
        <v/>
      </c>
      <c r="T25" t="str">
        <f>IF(F25="Tripulacion", COUNTIF(F$5:F25, "Tripulacion"), "")</f>
        <v/>
      </c>
      <c r="U25" t="str">
        <f>IF(F25="ENAP carga", COUNTIF(F$5:F25, "ENAP carga"), "")</f>
        <v/>
      </c>
    </row>
    <row r="26" spans="3:21">
      <c r="C26" s="7">
        <v>46246</v>
      </c>
      <c r="D26" s="1" t="s">
        <v>28</v>
      </c>
      <c r="E26" s="5" t="s">
        <v>72</v>
      </c>
      <c r="F26" s="5" t="s">
        <v>28</v>
      </c>
      <c r="G26" s="1"/>
      <c r="H26" s="2"/>
      <c r="I26" s="5"/>
      <c r="J26" s="5"/>
      <c r="K26" s="6">
        <f t="shared" ref="K26:K29" si="3">H26*I26</f>
        <v>0</v>
      </c>
      <c r="L26" s="1" t="s">
        <v>28</v>
      </c>
      <c r="M26" s="6" t="str">
        <f t="shared" si="2"/>
        <v/>
      </c>
      <c r="N26" s="26" t="s">
        <v>73</v>
      </c>
      <c r="O26" s="12">
        <v>3882182</v>
      </c>
      <c r="P26" s="29">
        <v>11617</v>
      </c>
      <c r="R26" t="str">
        <f>IF(F26="CJ", COUNTIF(F$5:F26, "CJ"), "")</f>
        <v/>
      </c>
      <c r="S26" t="str">
        <f>IF(F26="Ignacio", COUNTIF(F$5:F26, "Ignacio"), "")</f>
        <v/>
      </c>
      <c r="T26" t="str">
        <f>IF(F26="Tripulacion", COUNTIF(F$5:F26, "Tripulacion"), "")</f>
        <v/>
      </c>
      <c r="U26">
        <f>IF(F26="ENAP carga", COUNTIF(F$5:F26, "ENAP carga"), "")</f>
        <v>2</v>
      </c>
    </row>
    <row r="27" spans="3:21">
      <c r="C27" s="7">
        <v>46247</v>
      </c>
      <c r="D27" s="1" t="s">
        <v>31</v>
      </c>
      <c r="E27" s="5" t="s">
        <v>72</v>
      </c>
      <c r="F27" s="5" t="s">
        <v>32</v>
      </c>
      <c r="G27" s="1"/>
      <c r="H27" s="2"/>
      <c r="I27" s="5"/>
      <c r="J27" s="5">
        <v>11539</v>
      </c>
      <c r="K27" s="6">
        <f t="shared" si="3"/>
        <v>0</v>
      </c>
      <c r="L27" s="34" t="s">
        <v>20</v>
      </c>
      <c r="M27" s="6" t="str">
        <f t="shared" si="2"/>
        <v/>
      </c>
      <c r="N27" s="26" t="s">
        <v>20</v>
      </c>
      <c r="O27" s="12"/>
      <c r="P27" s="29"/>
      <c r="R27" t="str">
        <f>IF(F27="CJ", COUNTIF(F$5:F27, "CJ"), "")</f>
        <v/>
      </c>
      <c r="S27">
        <f>IF(F27="Ignacio", COUNTIF(F$5:F27, "Ignacio"), "")</f>
        <v>4</v>
      </c>
      <c r="T27" t="str">
        <f>IF(F27="Tripulacion", COUNTIF(F$5:F27, "Tripulacion"), "")</f>
        <v/>
      </c>
      <c r="U27" t="str">
        <f>IF(F27="ENAP carga", COUNTIF(F$5:F27, "ENAP carga"), "")</f>
        <v/>
      </c>
    </row>
    <row r="28" spans="3:21">
      <c r="C28" s="7">
        <v>46247</v>
      </c>
      <c r="D28" s="1" t="s">
        <v>28</v>
      </c>
      <c r="E28" s="5" t="s">
        <v>29</v>
      </c>
      <c r="F28" s="5" t="s">
        <v>28</v>
      </c>
      <c r="G28" s="1"/>
      <c r="H28" s="2"/>
      <c r="I28" s="5"/>
      <c r="J28" s="5"/>
      <c r="K28" s="6">
        <f t="shared" si="3"/>
        <v>0</v>
      </c>
      <c r="L28" s="1" t="s">
        <v>28</v>
      </c>
      <c r="M28" s="6" t="str">
        <f t="shared" si="2"/>
        <v/>
      </c>
      <c r="N28" s="26" t="s">
        <v>74</v>
      </c>
      <c r="O28" s="12">
        <v>3836889</v>
      </c>
      <c r="P28" s="29">
        <v>11481</v>
      </c>
      <c r="R28" t="str">
        <f>IF(F28="CJ", COUNTIF(F$5:F28, "CJ"), "")</f>
        <v/>
      </c>
      <c r="S28" t="str">
        <f>IF(F28="Ignacio", COUNTIF(F$5:F28, "Ignacio"), "")</f>
        <v/>
      </c>
      <c r="T28" t="str">
        <f>IF(F28="Tripulacion", COUNTIF(F$5:F28, "Tripulacion"), "")</f>
        <v/>
      </c>
      <c r="U28">
        <f>IF(F28="ENAP carga", COUNTIF(F$5:F28, "ENAP carga"), "")</f>
        <v>3</v>
      </c>
    </row>
    <row r="29" spans="3:21">
      <c r="C29" s="7">
        <v>46247</v>
      </c>
      <c r="D29" s="1" t="s">
        <v>101</v>
      </c>
      <c r="E29" s="5" t="s">
        <v>29</v>
      </c>
      <c r="F29" s="5" t="s">
        <v>48</v>
      </c>
      <c r="G29" s="1" t="s">
        <v>102</v>
      </c>
      <c r="H29" s="2">
        <v>1000</v>
      </c>
      <c r="I29" s="5">
        <v>256</v>
      </c>
      <c r="J29" s="5"/>
      <c r="K29" s="6">
        <f t="shared" si="3"/>
        <v>256000</v>
      </c>
      <c r="L29" s="1" t="s">
        <v>45</v>
      </c>
      <c r="M29" s="6" t="str">
        <f t="shared" si="2"/>
        <v/>
      </c>
      <c r="N29" s="26"/>
      <c r="O29" s="12"/>
      <c r="P29" s="29"/>
      <c r="Q29" t="s">
        <v>103</v>
      </c>
      <c r="R29" t="str">
        <f>IF(F29="CJ", COUNTIF(F$5:F29, "CJ"), "")</f>
        <v/>
      </c>
      <c r="S29" t="str">
        <f>IF(F29="Ignacio", COUNTIF(F$5:F29, "Ignacio"), "")</f>
        <v/>
      </c>
      <c r="T29">
        <f>IF(F29="Tripulacion", COUNTIF(F$5:F29, "Tripulacion"), "")</f>
        <v>4</v>
      </c>
      <c r="U29" t="str">
        <f>IF(F29="ENAP carga", COUNTIF(F$5:F29, "ENAP carga"), "")</f>
        <v/>
      </c>
    </row>
    <row r="30" spans="3:21">
      <c r="C30" s="7">
        <v>46248</v>
      </c>
      <c r="D30" s="1" t="s">
        <v>28</v>
      </c>
      <c r="E30" s="5" t="s">
        <v>72</v>
      </c>
      <c r="F30" s="5" t="s">
        <v>28</v>
      </c>
      <c r="G30" s="1"/>
      <c r="H30" s="2"/>
      <c r="I30" s="5"/>
      <c r="J30" s="5"/>
      <c r="K30" s="6"/>
      <c r="L30" s="1" t="s">
        <v>28</v>
      </c>
      <c r="M30" s="6" t="str">
        <f t="shared" si="2"/>
        <v/>
      </c>
      <c r="N30" s="26" t="s">
        <v>104</v>
      </c>
      <c r="O30" s="12">
        <v>3955528</v>
      </c>
      <c r="P30" s="29">
        <v>11656</v>
      </c>
      <c r="R30" t="str">
        <f>IF(F30="CJ", COUNTIF(F$5:F30, "CJ"), "")</f>
        <v/>
      </c>
      <c r="S30" t="str">
        <f>IF(F30="Ignacio", COUNTIF(F$5:F30, "Ignacio"), "")</f>
        <v/>
      </c>
      <c r="T30" t="str">
        <f>IF(F30="Tripulacion", COUNTIF(F$5:F30, "Tripulacion"), "")</f>
        <v/>
      </c>
      <c r="U30">
        <f>IF(F30="ENAP carga", COUNTIF(F$5:F30, "ENAP carga"), "")</f>
        <v>4</v>
      </c>
    </row>
    <row r="31" spans="3:21">
      <c r="C31" s="7">
        <v>46252</v>
      </c>
      <c r="D31" s="1" t="s">
        <v>28</v>
      </c>
      <c r="E31" s="5" t="s">
        <v>72</v>
      </c>
      <c r="F31" s="5" t="s">
        <v>28</v>
      </c>
      <c r="G31" s="1"/>
      <c r="H31" s="2"/>
      <c r="I31" s="5"/>
      <c r="J31" s="5"/>
      <c r="K31" s="6"/>
      <c r="L31" s="1" t="s">
        <v>28</v>
      </c>
      <c r="M31" s="6" t="str">
        <f t="shared" ref="M31" si="4">IF(F31="CJ", I31*200, "")</f>
        <v/>
      </c>
      <c r="N31" s="26" t="s">
        <v>105</v>
      </c>
      <c r="O31" s="12">
        <v>3889821</v>
      </c>
      <c r="P31" s="29">
        <v>11462</v>
      </c>
      <c r="R31" t="str">
        <f>IF(F31="CJ", COUNTIF(F$5:F31, "CJ"), "")</f>
        <v/>
      </c>
      <c r="S31" t="str">
        <f>IF(F31="Ignacio", COUNTIF(F$5:F31, "Ignacio"), "")</f>
        <v/>
      </c>
      <c r="T31" t="str">
        <f>IF(F31="Tripulacion", COUNTIF(F$5:F31, "Tripulacion"), "")</f>
        <v/>
      </c>
      <c r="U31">
        <f>IF(F31="ENAP carga", COUNTIF(F$5:F31, "ENAP carga"), "")</f>
        <v>5</v>
      </c>
    </row>
    <row r="32" spans="3:21">
      <c r="C32" s="7">
        <v>46253</v>
      </c>
      <c r="D32" s="1" t="s">
        <v>28</v>
      </c>
      <c r="E32" s="5" t="s">
        <v>72</v>
      </c>
      <c r="F32" s="5" t="s">
        <v>28</v>
      </c>
      <c r="G32" s="1"/>
      <c r="H32" s="2"/>
      <c r="I32" s="5"/>
      <c r="J32" s="5"/>
      <c r="K32" s="6"/>
      <c r="L32" s="1" t="s">
        <v>28</v>
      </c>
      <c r="M32" s="6" t="str">
        <f t="shared" si="2"/>
        <v/>
      </c>
      <c r="N32" s="26" t="s">
        <v>106</v>
      </c>
      <c r="O32" s="12">
        <v>3830686</v>
      </c>
      <c r="P32" s="29">
        <v>11288</v>
      </c>
      <c r="R32" t="str">
        <f>IF(F32="CJ", COUNTIF(F$5:F32, "CJ"), "")</f>
        <v/>
      </c>
      <c r="S32" t="str">
        <f>IF(F32="Ignacio", COUNTIF(F$5:F32, "Ignacio"), "")</f>
        <v/>
      </c>
      <c r="T32" t="str">
        <f>IF(F32="Tripulacion", COUNTIF(F$5:F32, "Tripulacion"), "")</f>
        <v/>
      </c>
      <c r="U32">
        <f>IF(F32="ENAP carga", COUNTIF(F$5:F32, "ENAP carga"), "")</f>
        <v>6</v>
      </c>
    </row>
    <row r="33" spans="3:21">
      <c r="C33" s="7">
        <v>46254</v>
      </c>
      <c r="D33" s="1" t="s">
        <v>109</v>
      </c>
      <c r="E33" s="5" t="s">
        <v>29</v>
      </c>
      <c r="F33" s="5" t="s">
        <v>34</v>
      </c>
      <c r="G33" s="1" t="s">
        <v>107</v>
      </c>
      <c r="H33" s="2">
        <v>1000</v>
      </c>
      <c r="I33" s="5">
        <v>294</v>
      </c>
      <c r="J33" s="5"/>
      <c r="K33" s="6">
        <f t="shared" ref="K33:K36" si="5">H33*I33</f>
        <v>294000</v>
      </c>
      <c r="L33" s="1" t="s">
        <v>108</v>
      </c>
      <c r="M33" s="6">
        <f t="shared" si="2"/>
        <v>58800</v>
      </c>
      <c r="N33" s="26"/>
      <c r="O33" s="12"/>
      <c r="P33" s="29"/>
      <c r="R33">
        <f>IF(F33="CJ", COUNTIF(F$5:F33, "CJ"), "")</f>
        <v>15</v>
      </c>
      <c r="S33" t="str">
        <f>IF(F33="Ignacio", COUNTIF(F$5:F33, "Ignacio"), "")</f>
        <v/>
      </c>
      <c r="T33" t="str">
        <f>IF(F33="Tripulacion", COUNTIF(F$5:F33, "Tripulacion"), "")</f>
        <v/>
      </c>
      <c r="U33" t="str">
        <f>IF(F33="ENAP carga", COUNTIF(F$5:F33, "ENAP carga"), "")</f>
        <v/>
      </c>
    </row>
    <row r="34" spans="3:21">
      <c r="C34" s="7">
        <v>46254</v>
      </c>
      <c r="D34" s="1" t="s">
        <v>110</v>
      </c>
      <c r="E34" s="5" t="s">
        <v>29</v>
      </c>
      <c r="F34" s="5" t="s">
        <v>34</v>
      </c>
      <c r="G34" s="1" t="s">
        <v>112</v>
      </c>
      <c r="H34" s="2">
        <v>1100</v>
      </c>
      <c r="I34" s="5">
        <v>500</v>
      </c>
      <c r="J34" s="5"/>
      <c r="K34" s="6">
        <f t="shared" si="5"/>
        <v>550000</v>
      </c>
      <c r="L34" s="1" t="s">
        <v>39</v>
      </c>
      <c r="M34" s="6">
        <f t="shared" si="2"/>
        <v>100000</v>
      </c>
      <c r="N34" s="26"/>
      <c r="O34" s="12"/>
      <c r="P34" s="29"/>
      <c r="R34">
        <f>IF(F34="CJ", COUNTIF(F$5:F34, "CJ"), "")</f>
        <v>16</v>
      </c>
      <c r="S34" t="str">
        <f>IF(F34="Ignacio", COUNTIF(F$5:F34, "Ignacio"), "")</f>
        <v/>
      </c>
      <c r="T34" t="str">
        <f>IF(F34="Tripulacion", COUNTIF(F$5:F34, "Tripulacion"), "")</f>
        <v/>
      </c>
      <c r="U34" t="str">
        <f>IF(F34="ENAP carga", COUNTIF(F$5:F34, "ENAP carga"), "")</f>
        <v/>
      </c>
    </row>
    <row r="35" spans="3:21">
      <c r="C35" s="7">
        <v>46254</v>
      </c>
      <c r="D35" s="1" t="s">
        <v>111</v>
      </c>
      <c r="E35" s="5" t="s">
        <v>29</v>
      </c>
      <c r="F35" s="5" t="s">
        <v>48</v>
      </c>
      <c r="G35" s="1" t="s">
        <v>113</v>
      </c>
      <c r="H35" s="2">
        <v>1100</v>
      </c>
      <c r="I35" s="5">
        <v>100</v>
      </c>
      <c r="J35" s="5"/>
      <c r="K35" s="6">
        <f t="shared" si="5"/>
        <v>110000</v>
      </c>
      <c r="L35" s="1" t="s">
        <v>45</v>
      </c>
      <c r="M35" s="6" t="str">
        <f t="shared" si="2"/>
        <v/>
      </c>
      <c r="N35" s="26"/>
      <c r="O35" s="12"/>
      <c r="P35" s="29"/>
      <c r="R35" t="str">
        <f>IF(F35="CJ", COUNTIF(F$5:F35, "CJ"), "")</f>
        <v/>
      </c>
      <c r="S35" t="str">
        <f>IF(F35="Ignacio", COUNTIF(F$5:F35, "Ignacio"), "")</f>
        <v/>
      </c>
      <c r="T35">
        <f>IF(F35="Tripulacion", COUNTIF(F$5:F35, "Tripulacion"), "")</f>
        <v>5</v>
      </c>
      <c r="U35" t="str">
        <f>IF(F35="ENAP carga", COUNTIF(F$5:F35, "ENAP carga"), "")</f>
        <v/>
      </c>
    </row>
    <row r="36" spans="3:21">
      <c r="C36" s="7"/>
      <c r="D36" s="1"/>
      <c r="E36" s="5"/>
      <c r="F36" s="5"/>
      <c r="G36" s="1"/>
      <c r="H36" s="2"/>
      <c r="I36" s="5"/>
      <c r="J36" s="5"/>
      <c r="K36" s="6"/>
      <c r="L36" s="1"/>
      <c r="M36" s="6" t="str">
        <f t="shared" si="2"/>
        <v/>
      </c>
      <c r="N36" s="26"/>
      <c r="O36" s="12"/>
      <c r="P36" s="29"/>
      <c r="R36" t="str">
        <f>IF(F36="CJ", COUNTIF(F$5:F36, "CJ"), "")</f>
        <v/>
      </c>
      <c r="S36" t="str">
        <f>IF(F36="Ignacio", COUNTIF(F$5:F36, "Ignacio"), "")</f>
        <v/>
      </c>
      <c r="T36" t="str">
        <f>IF(F36="Tripulacion", COUNTIF(F$5:F36, "Tripulacion"), "")</f>
        <v/>
      </c>
      <c r="U36" t="str">
        <f>IF(F36="ENAP carga", COUNTIF(F$5:F36, "ENAP carga"), "")</f>
        <v/>
      </c>
    </row>
    <row r="37" spans="3:21">
      <c r="C37" s="7"/>
      <c r="D37" s="1"/>
      <c r="E37" s="5"/>
      <c r="F37" s="5"/>
      <c r="G37" s="1"/>
      <c r="H37" s="2"/>
      <c r="I37" s="5"/>
      <c r="J37" s="5"/>
      <c r="K37" s="6"/>
      <c r="L37" s="1"/>
      <c r="M37" s="6" t="str">
        <f t="shared" si="2"/>
        <v/>
      </c>
      <c r="N37" s="26"/>
      <c r="O37" s="12"/>
      <c r="P37" s="29"/>
      <c r="R37" t="str">
        <f>IF(F37="CJ", COUNTIF(F$5:F37, "CJ"), "")</f>
        <v/>
      </c>
      <c r="S37" t="str">
        <f>IF(F37="Ignacio", COUNTIF(F$5:F37, "Ignacio"), "")</f>
        <v/>
      </c>
      <c r="T37" t="str">
        <f>IF(F37="Tripulacion", COUNTIF(F$5:F37, "Tripulacion"), "")</f>
        <v/>
      </c>
      <c r="U37" t="str">
        <f>IF(F37="ENAP carga", COUNTIF(F$5:F37, "ENAP carga"), "")</f>
        <v/>
      </c>
    </row>
    <row r="38" spans="3:21">
      <c r="C38" s="7"/>
      <c r="D38" s="1"/>
      <c r="E38" s="5"/>
      <c r="F38" s="5"/>
      <c r="G38" s="1"/>
      <c r="H38" s="2"/>
      <c r="I38" s="5"/>
      <c r="J38" s="5"/>
      <c r="K38" s="6"/>
      <c r="L38" s="1"/>
      <c r="M38" s="6" t="str">
        <f t="shared" si="2"/>
        <v/>
      </c>
      <c r="N38" s="26"/>
      <c r="O38" s="12"/>
      <c r="P38" s="29"/>
      <c r="R38" t="str">
        <f>IF(F38="CJ", COUNTIF(F$5:F38, "CJ"), "")</f>
        <v/>
      </c>
      <c r="S38" t="str">
        <f>IF(F38="Ignacio", COUNTIF(F$5:F38, "Ignacio"), "")</f>
        <v/>
      </c>
      <c r="T38" t="str">
        <f>IF(F38="Tripulacion", COUNTIF(F$5:F38, "Tripulacion"), "")</f>
        <v/>
      </c>
      <c r="U38" t="str">
        <f>IF(F38="ENAP carga", COUNTIF(F$5:F38, "ENAP carga"), "")</f>
        <v/>
      </c>
    </row>
    <row r="39" spans="3:21">
      <c r="C39" s="7"/>
      <c r="D39" s="1"/>
      <c r="E39" s="5"/>
      <c r="F39" s="5"/>
      <c r="G39" s="1"/>
      <c r="H39" s="2"/>
      <c r="I39" s="5"/>
      <c r="J39" s="5"/>
      <c r="K39" s="6"/>
      <c r="L39" s="1"/>
      <c r="M39" s="6" t="str">
        <f t="shared" si="2"/>
        <v/>
      </c>
      <c r="N39" s="26"/>
      <c r="O39" s="12"/>
      <c r="P39" s="29"/>
      <c r="R39" t="str">
        <f>IF(F39="CJ", COUNTIF(F$5:F39, "CJ"), "")</f>
        <v/>
      </c>
      <c r="S39" t="str">
        <f>IF(F39="Ignacio", COUNTIF(F$5:F39, "Ignacio"), "")</f>
        <v/>
      </c>
      <c r="T39" t="str">
        <f>IF(F39="Tripulacion", COUNTIF(F$5:F39, "Tripulacion"), "")</f>
        <v/>
      </c>
      <c r="U39" t="str">
        <f>IF(F39="ENAP carga", COUNTIF(F$5:F39, "ENAP carga"), "")</f>
        <v/>
      </c>
    </row>
    <row r="40" spans="3:21">
      <c r="C40" s="7"/>
      <c r="D40" s="1"/>
      <c r="E40" s="5"/>
      <c r="F40" s="5"/>
      <c r="G40" s="1"/>
      <c r="H40" s="2"/>
      <c r="I40" s="5"/>
      <c r="J40" s="5"/>
      <c r="K40" s="6"/>
      <c r="L40" s="1"/>
      <c r="M40" s="6" t="str">
        <f t="shared" si="2"/>
        <v/>
      </c>
      <c r="N40" s="26"/>
      <c r="O40" s="12"/>
      <c r="P40" s="29"/>
      <c r="R40" t="str">
        <f>IF(F40="CJ", COUNTIF(F$5:F40, "CJ"), "")</f>
        <v/>
      </c>
      <c r="S40" t="str">
        <f>IF(F40="Ignacio", COUNTIF(F$5:F40, "Ignacio"), "")</f>
        <v/>
      </c>
      <c r="T40" t="str">
        <f>IF(F40="Tripulacion", COUNTIF(F$5:F40, "Tripulacion"), "")</f>
        <v/>
      </c>
      <c r="U40" t="str">
        <f>IF(F40="ENAP carga", COUNTIF(F$5:F40, "ENAP carga"), "")</f>
        <v/>
      </c>
    </row>
    <row r="41" spans="3:21">
      <c r="C41" s="7"/>
      <c r="D41" s="1"/>
      <c r="E41" s="5"/>
      <c r="F41" s="5"/>
      <c r="G41" s="1"/>
      <c r="H41" s="2"/>
      <c r="I41" s="5"/>
      <c r="J41" s="5"/>
      <c r="K41" s="6"/>
      <c r="L41" s="1"/>
      <c r="M41" s="6" t="str">
        <f t="shared" si="2"/>
        <v/>
      </c>
      <c r="N41" s="26"/>
      <c r="O41" s="12"/>
      <c r="P41" s="29"/>
      <c r="R41" t="str">
        <f>IF(F41="CJ", COUNTIF(F$5:F41, "CJ"), "")</f>
        <v/>
      </c>
      <c r="S41" t="str">
        <f>IF(F41="Ignacio", COUNTIF(F$5:F41, "Ignacio"), "")</f>
        <v/>
      </c>
      <c r="T41" t="str">
        <f>IF(F41="Tripulacion", COUNTIF(F$5:F41, "Tripulacion"), "")</f>
        <v/>
      </c>
      <c r="U41" t="str">
        <f>IF(F41="ENAP carga", COUNTIF(F$5:F41, "ENAP carga"), "")</f>
        <v/>
      </c>
    </row>
    <row r="42" spans="3:21">
      <c r="C42" s="7"/>
      <c r="D42" s="1"/>
      <c r="E42" s="5"/>
      <c r="F42" s="5"/>
      <c r="G42" s="1"/>
      <c r="H42" s="2"/>
      <c r="I42" s="5"/>
      <c r="J42" s="5"/>
      <c r="K42" s="6"/>
      <c r="L42" s="1"/>
      <c r="M42" s="6" t="str">
        <f t="shared" si="2"/>
        <v/>
      </c>
      <c r="N42" s="26"/>
      <c r="O42" s="12"/>
      <c r="P42" s="29"/>
      <c r="R42" t="str">
        <f>IF(F42="CJ", COUNTIF(F$5:F42, "CJ"), "")</f>
        <v/>
      </c>
      <c r="S42" t="str">
        <f>IF(F42="Ignacio", COUNTIF(F$5:F42, "Ignacio"), "")</f>
        <v/>
      </c>
      <c r="T42" t="str">
        <f>IF(F42="Tripulacion", COUNTIF(F$5:F42, "Tripulacion"), "")</f>
        <v/>
      </c>
      <c r="U42" t="str">
        <f>IF(F42="ENAP carga", COUNTIF(F$5:F42, "ENAP carga"), "")</f>
        <v/>
      </c>
    </row>
    <row r="43" spans="3:21">
      <c r="C43" s="7"/>
      <c r="D43" s="1"/>
      <c r="E43" s="5"/>
      <c r="F43" s="5"/>
      <c r="G43" s="1"/>
      <c r="H43" s="2"/>
      <c r="I43" s="5"/>
      <c r="J43" s="5"/>
      <c r="K43" s="6"/>
      <c r="L43" s="1"/>
      <c r="M43" s="6" t="str">
        <f t="shared" si="2"/>
        <v/>
      </c>
      <c r="N43" s="26"/>
      <c r="O43" s="12"/>
      <c r="P43" s="29"/>
      <c r="R43" t="str">
        <f>IF(F43="CJ", COUNTIF(F$5:F43, "CJ"), "")</f>
        <v/>
      </c>
      <c r="S43" t="str">
        <f>IF(F43="Ignacio", COUNTIF(F$5:F43, "Ignacio"), "")</f>
        <v/>
      </c>
      <c r="T43" t="str">
        <f>IF(F43="Tripulacion", COUNTIF(F$5:F43, "Tripulacion"), "")</f>
        <v/>
      </c>
      <c r="U43" t="str">
        <f>IF(F43="ENAP carga", COUNTIF(F$5:F43, "ENAP carga"), "")</f>
        <v/>
      </c>
    </row>
    <row r="44" spans="3:21">
      <c r="C44" s="7"/>
      <c r="D44" s="1"/>
      <c r="E44" s="5"/>
      <c r="F44" s="5"/>
      <c r="G44" s="1"/>
      <c r="H44" s="2"/>
      <c r="I44" s="5"/>
      <c r="J44" s="5"/>
      <c r="K44" s="6"/>
      <c r="L44" s="1"/>
      <c r="M44" s="6" t="str">
        <f t="shared" si="2"/>
        <v/>
      </c>
      <c r="N44" s="26"/>
      <c r="O44" s="12"/>
      <c r="P44" s="29"/>
      <c r="R44" t="str">
        <f>IF(F44="CJ", COUNTIF(F$5:F44, "CJ"), "")</f>
        <v/>
      </c>
      <c r="S44" t="str">
        <f>IF(F44="Ignacio", COUNTIF(F$5:F44, "Ignacio"), "")</f>
        <v/>
      </c>
      <c r="T44" t="str">
        <f>IF(F44="Tripulacion", COUNTIF(F$5:F44, "Tripulacion"), "")</f>
        <v/>
      </c>
      <c r="U44" t="str">
        <f>IF(F44="ENAP carga", COUNTIF(F$5:F44, "ENAP carga"), "")</f>
        <v/>
      </c>
    </row>
    <row r="45" spans="3:21">
      <c r="C45" s="7"/>
      <c r="D45" s="1"/>
      <c r="E45" s="5"/>
      <c r="F45" s="5"/>
      <c r="G45" s="1"/>
      <c r="H45" s="2"/>
      <c r="I45" s="5"/>
      <c r="J45" s="5"/>
      <c r="K45" s="6"/>
      <c r="L45" s="1"/>
      <c r="M45" s="6" t="str">
        <f t="shared" si="2"/>
        <v/>
      </c>
      <c r="N45" s="26"/>
      <c r="O45" s="12"/>
      <c r="P45" s="29"/>
      <c r="R45" t="str">
        <f>IF(F45="CJ", COUNTIF(F$5:F45, "CJ"), "")</f>
        <v/>
      </c>
      <c r="S45" t="str">
        <f>IF(F45="Ignacio", COUNTIF(F$5:F45, "Ignacio"), "")</f>
        <v/>
      </c>
      <c r="T45" t="str">
        <f>IF(F45="Tripulacion", COUNTIF(F$5:F45, "Tripulacion"), "")</f>
        <v/>
      </c>
      <c r="U45" t="str">
        <f>IF(F45="ENAP carga", COUNTIF(F$5:F45, "ENAP carga"), "")</f>
        <v/>
      </c>
    </row>
    <row r="46" spans="3:21">
      <c r="C46" s="7"/>
      <c r="D46" s="1"/>
      <c r="E46" s="5"/>
      <c r="F46" s="5"/>
      <c r="G46" s="1"/>
      <c r="H46" s="2"/>
      <c r="I46" s="5"/>
      <c r="J46" s="5"/>
      <c r="K46" s="6"/>
      <c r="L46" s="1"/>
      <c r="M46" s="6" t="str">
        <f t="shared" si="2"/>
        <v/>
      </c>
      <c r="N46" s="26"/>
      <c r="O46" s="12"/>
      <c r="P46" s="29"/>
      <c r="R46" t="str">
        <f>IF(F46="CJ", COUNTIF(F$5:F46, "CJ"), "")</f>
        <v/>
      </c>
      <c r="S46" t="str">
        <f>IF(F46="Ignacio", COUNTIF(F$5:F46, "Ignacio"), "")</f>
        <v/>
      </c>
      <c r="T46" t="str">
        <f>IF(F46="Tripulacion", COUNTIF(F$5:F46, "Tripulacion"), "")</f>
        <v/>
      </c>
      <c r="U46" t="str">
        <f>IF(F46="ENAP carga", COUNTIF(F$5:F46, "ENAP carga"), "")</f>
        <v/>
      </c>
    </row>
    <row r="47" spans="3:21">
      <c r="C47" s="7"/>
      <c r="D47" s="1"/>
      <c r="E47" s="5"/>
      <c r="F47" s="5"/>
      <c r="G47" s="1"/>
      <c r="H47" s="2"/>
      <c r="I47" s="5"/>
      <c r="J47" s="5"/>
      <c r="K47" s="6"/>
      <c r="L47" s="1"/>
      <c r="M47" s="6" t="str">
        <f t="shared" si="2"/>
        <v/>
      </c>
      <c r="N47" s="26"/>
      <c r="O47" s="12"/>
      <c r="P47" s="29"/>
      <c r="R47" t="str">
        <f>IF(F47="CJ", COUNTIF(F$5:F47, "CJ"), "")</f>
        <v/>
      </c>
      <c r="S47" t="str">
        <f>IF(F47="Ignacio", COUNTIF(F$5:F47, "Ignacio"), "")</f>
        <v/>
      </c>
      <c r="T47" t="str">
        <f>IF(F47="Tripulacion", COUNTIF(F$5:F47, "Tripulacion"), "")</f>
        <v/>
      </c>
      <c r="U47" t="str">
        <f>IF(F47="ENAP carga", COUNTIF(F$5:F47, "ENAP carga"), "")</f>
        <v/>
      </c>
    </row>
    <row r="48" spans="3:21">
      <c r="C48" s="7"/>
      <c r="D48" s="1"/>
      <c r="E48" s="5"/>
      <c r="F48" s="5"/>
      <c r="G48" s="1"/>
      <c r="H48" s="2"/>
      <c r="I48" s="5"/>
      <c r="J48" s="5"/>
      <c r="K48" s="6"/>
      <c r="L48" s="1"/>
      <c r="M48" s="6" t="str">
        <f t="shared" si="2"/>
        <v/>
      </c>
      <c r="N48" s="26"/>
      <c r="O48" s="12"/>
      <c r="P48" s="29"/>
      <c r="R48" t="str">
        <f>IF(F48="CJ", COUNTIF(F$5:F48, "CJ"), "")</f>
        <v/>
      </c>
      <c r="S48" t="str">
        <f>IF(F48="Ignacio", COUNTIF(F$5:F48, "Ignacio"), "")</f>
        <v/>
      </c>
      <c r="T48" t="str">
        <f>IF(F48="Tripulacion", COUNTIF(F$5:F48, "Tripulacion"), "")</f>
        <v/>
      </c>
      <c r="U48" t="str">
        <f>IF(F48="ENAP carga", COUNTIF(F$5:F48, "ENAP carga"), "")</f>
        <v/>
      </c>
    </row>
    <row r="49" spans="3:21">
      <c r="C49" s="7"/>
      <c r="D49" s="1"/>
      <c r="E49" s="5"/>
      <c r="F49" s="5"/>
      <c r="G49" s="1"/>
      <c r="H49" s="2"/>
      <c r="I49" s="5"/>
      <c r="J49" s="5"/>
      <c r="K49" s="6"/>
      <c r="L49" s="1"/>
      <c r="M49" s="6" t="str">
        <f t="shared" si="2"/>
        <v/>
      </c>
      <c r="N49" s="26"/>
      <c r="O49" s="12"/>
      <c r="P49" s="29"/>
      <c r="R49" t="str">
        <f>IF(F49="CJ", COUNTIF(F$5:F49, "CJ"), "")</f>
        <v/>
      </c>
      <c r="S49" t="str">
        <f>IF(F49="Ignacio", COUNTIF(F$5:F49, "Ignacio"), "")</f>
        <v/>
      </c>
      <c r="T49" t="str">
        <f>IF(F49="Tripulacion", COUNTIF(F$5:F49, "Tripulacion"), "")</f>
        <v/>
      </c>
      <c r="U49" t="str">
        <f>IF(F49="ENAP carga", COUNTIF(F$5:F49, "ENAP carga"), "")</f>
        <v/>
      </c>
    </row>
    <row r="50" spans="3:21">
      <c r="C50" s="7"/>
      <c r="D50" s="1"/>
      <c r="E50" s="5"/>
      <c r="F50" s="5"/>
      <c r="G50" s="1"/>
      <c r="H50" s="2"/>
      <c r="I50" s="5"/>
      <c r="J50" s="5"/>
      <c r="K50" s="6"/>
      <c r="L50" s="1"/>
      <c r="M50" s="6" t="str">
        <f t="shared" si="2"/>
        <v/>
      </c>
      <c r="N50" s="26"/>
      <c r="O50" s="12"/>
      <c r="P50" s="29"/>
      <c r="R50" t="str">
        <f>IF(F50="CJ", COUNTIF(F$5:F50, "CJ"), "")</f>
        <v/>
      </c>
      <c r="S50" t="str">
        <f>IF(F50="Ignacio", COUNTIF(F$5:F50, "Ignacio"), "")</f>
        <v/>
      </c>
      <c r="T50" t="str">
        <f>IF(F50="Tripulacion", COUNTIF(F$5:F50, "Tripulacion"), "")</f>
        <v/>
      </c>
      <c r="U50" t="str">
        <f>IF(F50="ENAP carga", COUNTIF(F$5:F50, "ENAP carga"), "")</f>
        <v/>
      </c>
    </row>
    <row r="51" spans="3:21">
      <c r="C51" s="7"/>
      <c r="D51" s="1"/>
      <c r="E51" s="5"/>
      <c r="F51" s="5"/>
      <c r="G51" s="1"/>
      <c r="H51" s="2"/>
      <c r="I51" s="5"/>
      <c r="J51" s="5"/>
      <c r="K51" s="6"/>
      <c r="L51" s="1"/>
      <c r="M51" s="6" t="str">
        <f t="shared" si="2"/>
        <v/>
      </c>
      <c r="N51" s="26"/>
      <c r="O51" s="12"/>
      <c r="P51" s="29"/>
      <c r="R51" t="str">
        <f>IF(F51="CJ", COUNTIF(F$5:F51, "CJ"), "")</f>
        <v/>
      </c>
      <c r="S51" t="str">
        <f>IF(F51="Ignacio", COUNTIF(F$5:F51, "Ignacio"), "")</f>
        <v/>
      </c>
      <c r="T51" t="str">
        <f>IF(F51="Tripulacion", COUNTIF(F$5:F51, "Tripulacion"), "")</f>
        <v/>
      </c>
      <c r="U51" t="str">
        <f>IF(F51="ENAP carga", COUNTIF(F$5:F51, "ENAP carga"), "")</f>
        <v/>
      </c>
    </row>
    <row r="52" spans="3:21">
      <c r="C52" s="7"/>
      <c r="D52" s="1"/>
      <c r="E52" s="5"/>
      <c r="F52" s="5"/>
      <c r="G52" s="1"/>
      <c r="H52" s="2"/>
      <c r="I52" s="5"/>
      <c r="J52" s="5"/>
      <c r="K52" s="6"/>
      <c r="L52" s="1"/>
      <c r="M52" s="6" t="str">
        <f t="shared" si="2"/>
        <v/>
      </c>
      <c r="N52" s="26"/>
      <c r="O52" s="12"/>
      <c r="P52" s="29"/>
      <c r="R52" t="str">
        <f>IF(F52="CJ", COUNTIF(F$5:F52, "CJ"), "")</f>
        <v/>
      </c>
      <c r="S52" t="str">
        <f>IF(F52="Ignacio", COUNTIF(F$5:F52, "Ignacio"), "")</f>
        <v/>
      </c>
      <c r="T52" t="str">
        <f>IF(F52="Tripulacion", COUNTIF(F$5:F52, "Tripulacion"), "")</f>
        <v/>
      </c>
      <c r="U52" t="str">
        <f>IF(F52="ENAP carga", COUNTIF(F$5:F52, "ENAP carga"), "")</f>
        <v/>
      </c>
    </row>
    <row r="53" spans="3:21">
      <c r="C53" s="7"/>
      <c r="D53" s="1"/>
      <c r="E53" s="5"/>
      <c r="F53" s="5"/>
      <c r="G53" s="1"/>
      <c r="H53" s="2"/>
      <c r="I53" s="5"/>
      <c r="J53" s="5"/>
      <c r="K53" s="6"/>
      <c r="L53" s="1"/>
      <c r="M53" s="6" t="str">
        <f t="shared" si="2"/>
        <v/>
      </c>
      <c r="N53" s="26"/>
      <c r="O53" s="12"/>
      <c r="P53" s="29"/>
      <c r="R53" t="str">
        <f>IF(F53="CJ", COUNTIF(F$5:F53, "CJ"), "")</f>
        <v/>
      </c>
      <c r="S53" t="str">
        <f>IF(F53="Ignacio", COUNTIF(F$5:F53, "Ignacio"), "")</f>
        <v/>
      </c>
      <c r="T53" t="str">
        <f>IF(F53="Tripulacion", COUNTIF(F$5:F53, "Tripulacion"), "")</f>
        <v/>
      </c>
      <c r="U53" t="str">
        <f>IF(F53="ENAP carga", COUNTIF(F$5:F53, "ENAP carga"), "")</f>
        <v/>
      </c>
    </row>
    <row r="54" spans="3:21">
      <c r="C54" s="7"/>
      <c r="D54" s="1"/>
      <c r="E54" s="5"/>
      <c r="F54" s="5"/>
      <c r="G54" s="1"/>
      <c r="H54" s="2"/>
      <c r="I54" s="5"/>
      <c r="J54" s="5"/>
      <c r="K54" s="6"/>
      <c r="L54" s="1"/>
      <c r="M54" s="6" t="str">
        <f t="shared" si="2"/>
        <v/>
      </c>
      <c r="N54" s="26"/>
      <c r="O54" s="12"/>
      <c r="P54" s="29"/>
      <c r="R54" t="str">
        <f>IF(F54="CJ", COUNTIF(F$5:F54, "CJ"), "")</f>
        <v/>
      </c>
      <c r="S54" t="str">
        <f>IF(F54="Ignacio", COUNTIF(F$5:F54, "Ignacio"), "")</f>
        <v/>
      </c>
      <c r="T54" t="str">
        <f>IF(F54="Tripulacion", COUNTIF(F$5:F54, "Tripulacion"), "")</f>
        <v/>
      </c>
      <c r="U54" t="str">
        <f>IF(F54="ENAP carga", COUNTIF(F$5:F54, "ENAP carga"), "")</f>
        <v/>
      </c>
    </row>
    <row r="55" spans="3:21">
      <c r="C55" s="7"/>
      <c r="D55" s="1"/>
      <c r="E55" s="5"/>
      <c r="F55" s="5"/>
      <c r="G55" s="1"/>
      <c r="H55" s="2"/>
      <c r="I55" s="5"/>
      <c r="J55" s="5"/>
      <c r="K55" s="6"/>
      <c r="L55" s="1"/>
      <c r="M55" s="6" t="str">
        <f t="shared" si="2"/>
        <v/>
      </c>
      <c r="N55" s="26"/>
      <c r="O55" s="12"/>
      <c r="P55" s="29"/>
      <c r="R55" t="str">
        <f>IF(F55="CJ", COUNTIF(F$5:F55, "CJ"), "")</f>
        <v/>
      </c>
      <c r="S55" t="str">
        <f>IF(F55="Ignacio", COUNTIF(F$5:F55, "Ignacio"), "")</f>
        <v/>
      </c>
      <c r="T55" t="str">
        <f>IF(F55="Tripulacion", COUNTIF(F$5:F55, "Tripulacion"), "")</f>
        <v/>
      </c>
      <c r="U55" t="str">
        <f>IF(F55="ENAP carga", COUNTIF(F$5:F55, "ENAP carga"), "")</f>
        <v/>
      </c>
    </row>
    <row r="56" spans="3:21">
      <c r="C56" s="7"/>
      <c r="D56" s="1"/>
      <c r="E56" s="5"/>
      <c r="F56" s="5"/>
      <c r="G56" s="1"/>
      <c r="H56" s="2"/>
      <c r="I56" s="5"/>
      <c r="J56" s="5"/>
      <c r="K56" s="6"/>
      <c r="L56" s="1"/>
      <c r="M56" s="6" t="str">
        <f t="shared" si="2"/>
        <v/>
      </c>
      <c r="N56" s="26"/>
      <c r="O56" s="12"/>
      <c r="P56" s="29"/>
      <c r="R56" t="str">
        <f>IF(F56="CJ", COUNTIF(F$5:F56, "CJ"), "")</f>
        <v/>
      </c>
      <c r="S56" t="str">
        <f>IF(F56="Ignacio", COUNTIF(F$5:F56, "Ignacio"), "")</f>
        <v/>
      </c>
      <c r="T56" t="str">
        <f>IF(F56="Tripulacion", COUNTIF(F$5:F56, "Tripulacion"), "")</f>
        <v/>
      </c>
      <c r="U56" t="str">
        <f>IF(F56="ENAP carga", COUNTIF(F$5:F56, "ENAP carga"), "")</f>
        <v/>
      </c>
    </row>
    <row r="57" spans="3:21">
      <c r="C57" s="7"/>
      <c r="D57" s="1"/>
      <c r="E57" s="5"/>
      <c r="F57" s="5"/>
      <c r="G57" s="1"/>
      <c r="H57" s="2"/>
      <c r="I57" s="5"/>
      <c r="J57" s="5"/>
      <c r="K57" s="6"/>
      <c r="L57" s="1"/>
      <c r="M57" s="6" t="str">
        <f t="shared" si="2"/>
        <v/>
      </c>
      <c r="N57" s="26"/>
      <c r="O57" s="12"/>
      <c r="P57" s="29"/>
      <c r="R57" t="str">
        <f>IF(F57="CJ", COUNTIF(F$5:F57, "CJ"), "")</f>
        <v/>
      </c>
      <c r="S57" t="str">
        <f>IF(F57="Ignacio", COUNTIF(F$5:F57, "Ignacio"), "")</f>
        <v/>
      </c>
      <c r="T57" t="str">
        <f>IF(F57="Tripulacion", COUNTIF(F$5:F57, "Tripulacion"), "")</f>
        <v/>
      </c>
      <c r="U57" t="str">
        <f>IF(F57="ENAP carga", COUNTIF(F$5:F57, "ENAP carga"), "")</f>
        <v/>
      </c>
    </row>
    <row r="58" spans="3:21">
      <c r="C58" s="7"/>
      <c r="D58" s="1"/>
      <c r="E58" s="5"/>
      <c r="F58" s="5"/>
      <c r="G58" s="1"/>
      <c r="H58" s="2"/>
      <c r="I58" s="5"/>
      <c r="J58" s="5"/>
      <c r="K58" s="6"/>
      <c r="L58" s="1"/>
      <c r="M58" s="6" t="str">
        <f t="shared" si="2"/>
        <v/>
      </c>
      <c r="N58" s="26"/>
      <c r="O58" s="12"/>
      <c r="P58" s="29"/>
      <c r="R58" t="str">
        <f>IF(F58="CJ", COUNTIF(F$5:F58, "CJ"), "")</f>
        <v/>
      </c>
      <c r="S58" t="str">
        <f>IF(F58="Ignacio", COUNTIF(F$5:F58, "Ignacio"), "")</f>
        <v/>
      </c>
      <c r="T58" t="str">
        <f>IF(F58="Tripulacion", COUNTIF(F$5:F58, "Tripulacion"), "")</f>
        <v/>
      </c>
      <c r="U58" t="str">
        <f>IF(F58="ENAP carga", COUNTIF(F$5:F58, "ENAP carga"), "")</f>
        <v/>
      </c>
    </row>
    <row r="59" spans="3:21">
      <c r="C59" s="7"/>
      <c r="D59" s="1"/>
      <c r="E59" s="5"/>
      <c r="F59" s="5"/>
      <c r="G59" s="1"/>
      <c r="H59" s="2"/>
      <c r="I59" s="5"/>
      <c r="J59" s="5"/>
      <c r="K59" s="6"/>
      <c r="L59" s="1"/>
      <c r="M59" s="6" t="str">
        <f t="shared" si="2"/>
        <v/>
      </c>
      <c r="N59" s="26"/>
      <c r="O59" s="12"/>
      <c r="P59" s="29"/>
      <c r="R59" t="str">
        <f>IF(F59="CJ", COUNTIF(F$5:F59, "CJ"), "")</f>
        <v/>
      </c>
      <c r="S59" t="str">
        <f>IF(F59="Ignacio", COUNTIF(F$5:F59, "Ignacio"), "")</f>
        <v/>
      </c>
      <c r="T59" t="str">
        <f>IF(F59="Tripulacion", COUNTIF(F$5:F59, "Tripulacion"), "")</f>
        <v/>
      </c>
      <c r="U59" t="str">
        <f>IF(F59="ENAP carga", COUNTIF(F$5:F59, "ENAP carga"), "")</f>
        <v/>
      </c>
    </row>
    <row r="60" spans="3:21">
      <c r="C60" s="7"/>
      <c r="D60" s="1"/>
      <c r="E60" s="5"/>
      <c r="F60" s="5"/>
      <c r="G60" s="1"/>
      <c r="H60" s="2"/>
      <c r="I60" s="5"/>
      <c r="J60" s="5"/>
      <c r="K60" s="6"/>
      <c r="L60" s="1"/>
      <c r="M60" s="6" t="str">
        <f t="shared" si="2"/>
        <v/>
      </c>
      <c r="N60" s="26"/>
      <c r="O60" s="12"/>
      <c r="P60" s="29"/>
      <c r="R60" t="str">
        <f>IF(F60="CJ", COUNTIF(F$5:F60, "CJ"), "")</f>
        <v/>
      </c>
      <c r="S60" t="str">
        <f>IF(F60="Ignacio", COUNTIF(F$5:F60, "Ignacio"), "")</f>
        <v/>
      </c>
      <c r="T60" t="str">
        <f>IF(F60="Tripulacion", COUNTIF(F$5:F60, "Tripulacion"), "")</f>
        <v/>
      </c>
      <c r="U60" t="str">
        <f>IF(F60="ENAP carga", COUNTIF(F$5:F60, "ENAP carga"), "")</f>
        <v/>
      </c>
    </row>
    <row r="61" spans="3:21">
      <c r="C61" s="7"/>
      <c r="D61" s="1"/>
      <c r="E61" s="5"/>
      <c r="F61" s="5"/>
      <c r="G61" s="1"/>
      <c r="H61" s="2"/>
      <c r="I61" s="5"/>
      <c r="J61" s="5"/>
      <c r="K61" s="6"/>
      <c r="L61" s="1"/>
      <c r="M61" s="6" t="str">
        <f t="shared" si="2"/>
        <v/>
      </c>
      <c r="N61" s="26"/>
      <c r="O61" s="12"/>
      <c r="P61" s="29"/>
      <c r="R61" t="str">
        <f>IF(F61="CJ", COUNTIF(F$5:F61, "CJ"), "")</f>
        <v/>
      </c>
      <c r="S61" t="str">
        <f>IF(F61="Ignacio", COUNTIF(F$5:F61, "Ignacio"), "")</f>
        <v/>
      </c>
      <c r="T61" t="str">
        <f>IF(F61="Tripulacion", COUNTIF(F$5:F61, "Tripulacion"), "")</f>
        <v/>
      </c>
      <c r="U61" t="str">
        <f>IF(F61="ENAP carga", COUNTIF(F$5:F61, "ENAP carga"), "")</f>
        <v/>
      </c>
    </row>
    <row r="62" spans="3:21">
      <c r="M62" s="22" t="str">
        <f t="shared" si="2"/>
        <v/>
      </c>
      <c r="R62" t="str">
        <f>IF(F62="CJ", COUNTIF(F$5:F62, "CJ"), "")</f>
        <v/>
      </c>
      <c r="S62" t="str">
        <f>IF(F62="Ignacio", COUNTIF(F$5:F62, "Ignacio"), "")</f>
        <v/>
      </c>
      <c r="T62" t="str">
        <f>IF(F62="Tripulacion", COUNTIF(F$5:F62, "Tripulacion"), "")</f>
        <v/>
      </c>
      <c r="U62" t="str">
        <f>IF(F62="ENAP carga", COUNTIF(F$5:F62, "ENAP carga"), "")</f>
        <v/>
      </c>
    </row>
    <row r="63" spans="3:21">
      <c r="M63" s="22" t="str">
        <f t="shared" si="2"/>
        <v/>
      </c>
      <c r="R63" t="str">
        <f>IF(F63="CJ", COUNTIF(F$5:F63, "CJ"), "")</f>
        <v/>
      </c>
      <c r="S63" t="str">
        <f>IF(F63="Ignacio", COUNTIF(F$5:F63, "Ignacio"), "")</f>
        <v/>
      </c>
      <c r="T63" t="str">
        <f>IF(F63="Tripulacion", COUNTIF(F$5:F63, "Tripulacion"), "")</f>
        <v/>
      </c>
      <c r="U63" t="str">
        <f>IF(F63="ENAP carga", COUNTIF(F$5:F63, "ENAP carga"), "")</f>
        <v/>
      </c>
    </row>
    <row r="64" spans="3:21">
      <c r="M64" s="22" t="str">
        <f t="shared" si="2"/>
        <v/>
      </c>
      <c r="R64" t="str">
        <f>IF(F64="CJ", COUNTIF(F$5:F64, "CJ"), "")</f>
        <v/>
      </c>
      <c r="S64" t="str">
        <f>IF(F64="Ignacio", COUNTIF(F$5:F64, "Ignacio"), "")</f>
        <v/>
      </c>
      <c r="T64" t="str">
        <f>IF(F64="Tripulacion", COUNTIF(F$5:F64, "Tripulacion"), "")</f>
        <v/>
      </c>
      <c r="U64" t="str">
        <f>IF(F64="ENAP carga", COUNTIF(F$5:F64, "ENAP carga"), "")</f>
        <v/>
      </c>
    </row>
    <row r="65" spans="13:21">
      <c r="M65" s="22" t="str">
        <f t="shared" si="2"/>
        <v/>
      </c>
      <c r="R65" t="str">
        <f>IF(F65="CJ", COUNTIF(F$5:F65, "CJ"), "")</f>
        <v/>
      </c>
      <c r="S65" t="str">
        <f>IF(F65="Ignacio", COUNTIF(F$5:F65, "Ignacio"), "")</f>
        <v/>
      </c>
      <c r="T65" t="str">
        <f>IF(F65="Tripulacion", COUNTIF(F$5:F65, "Tripulacion"), "")</f>
        <v/>
      </c>
      <c r="U65" t="str">
        <f>IF(F65="ENAP carga", COUNTIF(F$5:F65, "ENAP carga"), "")</f>
        <v/>
      </c>
    </row>
    <row r="66" spans="13:21">
      <c r="M66" s="22" t="str">
        <f t="shared" si="2"/>
        <v/>
      </c>
      <c r="R66" t="str">
        <f>IF(F66="CJ", COUNTIF(F$5:F66, "CJ"), "")</f>
        <v/>
      </c>
      <c r="S66" t="str">
        <f>IF(F66="Ignacio", COUNTIF(F$5:F66, "Ignacio"), "")</f>
        <v/>
      </c>
      <c r="T66" t="str">
        <f>IF(F66="Tripulacion", COUNTIF(F$5:F66, "Tripulacion"), "")</f>
        <v/>
      </c>
      <c r="U66" t="str">
        <f>IF(F66="ENAP carga", COUNTIF(F$5:F66, "ENAP carga"), "")</f>
        <v/>
      </c>
    </row>
    <row r="67" spans="13:21">
      <c r="M67" s="22" t="str">
        <f t="shared" si="2"/>
        <v/>
      </c>
      <c r="R67" t="str">
        <f>IF(F67="CJ", COUNTIF(F$5:F67, "CJ"), "")</f>
        <v/>
      </c>
      <c r="S67" t="str">
        <f>IF(F67="Ignacio", COUNTIF(F$5:F67, "Ignacio"), "")</f>
        <v/>
      </c>
      <c r="T67" t="str">
        <f>IF(F67="Tripulacion", COUNTIF(F$5:F67, "Tripulacion"), "")</f>
        <v/>
      </c>
      <c r="U67" t="str">
        <f>IF(F67="ENAP carga", COUNTIF(F$5:F67, "ENAP carga"), "")</f>
        <v/>
      </c>
    </row>
    <row r="68" spans="13:21">
      <c r="M68" s="22" t="str">
        <f t="shared" si="2"/>
        <v/>
      </c>
      <c r="R68" t="str">
        <f>IF(F68="CJ", COUNTIF(F$5:F68, "CJ"), "")</f>
        <v/>
      </c>
      <c r="S68" t="str">
        <f>IF(F68="Ignacio", COUNTIF(F$5:F68, "Ignacio"), "")</f>
        <v/>
      </c>
      <c r="T68" t="str">
        <f>IF(F68="Tripulacion", COUNTIF(F$5:F68, "Tripulacion"), "")</f>
        <v/>
      </c>
      <c r="U68" t="str">
        <f>IF(F68="ENAP carga", COUNTIF(F$5:F68, "ENAP carga"), "")</f>
        <v/>
      </c>
    </row>
    <row r="69" spans="13:21">
      <c r="M69" s="22" t="str">
        <f t="shared" si="2"/>
        <v/>
      </c>
      <c r="R69" t="str">
        <f>IF(F69="CJ", COUNTIF(F$5:F69, "CJ"), "")</f>
        <v/>
      </c>
      <c r="S69" t="str">
        <f>IF(F69="Ignacio", COUNTIF(F$5:F69, "Ignacio"), "")</f>
        <v/>
      </c>
      <c r="T69" t="str">
        <f>IF(F69="Tripulacion", COUNTIF(F$5:F69, "Tripulacion"), "")</f>
        <v/>
      </c>
      <c r="U69" t="str">
        <f>IF(F69="ENAP carga", COUNTIF(F$5:F69, "ENAP carga"), "")</f>
        <v/>
      </c>
    </row>
    <row r="70" spans="13:21">
      <c r="M70" s="22" t="str">
        <f t="shared" si="2"/>
        <v/>
      </c>
      <c r="R70" t="str">
        <f>IF(F70="CJ", COUNTIF(F$5:F70, "CJ"), "")</f>
        <v/>
      </c>
      <c r="S70" t="str">
        <f>IF(F70="Ignacio", COUNTIF(F$5:F70, "Ignacio"), "")</f>
        <v/>
      </c>
      <c r="T70" t="str">
        <f>IF(F70="Tripulacion", COUNTIF(F$5:F70, "Tripulacion"), "")</f>
        <v/>
      </c>
      <c r="U70" t="str">
        <f>IF(F70="ENAP carga", COUNTIF(F$5:F70, "ENAP carga"), "")</f>
        <v/>
      </c>
    </row>
    <row r="71" spans="13:21">
      <c r="M71" s="22" t="str">
        <f t="shared" si="2"/>
        <v/>
      </c>
      <c r="R71" t="str">
        <f>IF(F71="CJ", COUNTIF(F$5:F71, "CJ"), "")</f>
        <v/>
      </c>
      <c r="S71" t="str">
        <f>IF(F71="Ignacio", COUNTIF(F$5:F71, "Ignacio"), "")</f>
        <v/>
      </c>
      <c r="T71" t="str">
        <f>IF(F71="Tripulacion", COUNTIF(F$5:F71, "Tripulacion"), "")</f>
        <v/>
      </c>
      <c r="U71" t="str">
        <f>IF(F71="ENAP carga", COUNTIF(F$5:F71, "ENAP carga"), "")</f>
        <v/>
      </c>
    </row>
    <row r="72" spans="13:21">
      <c r="M72" s="22" t="str">
        <f t="shared" si="2"/>
        <v/>
      </c>
      <c r="R72" t="str">
        <f>IF(F72="CJ", COUNTIF(F$5:F72, "CJ"), "")</f>
        <v/>
      </c>
      <c r="S72" t="str">
        <f>IF(F72="Ignacio", COUNTIF(F$5:F72, "Ignacio"), "")</f>
        <v/>
      </c>
      <c r="T72" t="str">
        <f>IF(F72="Tripulacion", COUNTIF(F$5:F72, "Tripulacion"), "")</f>
        <v/>
      </c>
      <c r="U72" t="str">
        <f>IF(F72="ENAP carga", COUNTIF(F$5:F72, "ENAP carga"), "")</f>
        <v/>
      </c>
    </row>
    <row r="73" spans="13:21">
      <c r="M73" s="22" t="str">
        <f t="shared" si="2"/>
        <v/>
      </c>
      <c r="R73" t="str">
        <f>IF(F73="CJ", COUNTIF(F$5:F73, "CJ"), "")</f>
        <v/>
      </c>
      <c r="S73" t="str">
        <f>IF(F73="Ignacio", COUNTIF(F$5:F73, "Ignacio"), "")</f>
        <v/>
      </c>
      <c r="T73" t="str">
        <f>IF(F73="Tripulacion", COUNTIF(F$5:F73, "Tripulacion"), "")</f>
        <v/>
      </c>
      <c r="U73" t="str">
        <f>IF(F73="ENAP carga", COUNTIF(F$5:F73, "ENAP carga"), "")</f>
        <v/>
      </c>
    </row>
    <row r="74" spans="13:21">
      <c r="M74" s="22" t="str">
        <f t="shared" si="2"/>
        <v/>
      </c>
      <c r="R74" t="str">
        <f>IF(F74="CJ", COUNTIF(F$5:F74, "CJ"), "")</f>
        <v/>
      </c>
      <c r="S74" t="str">
        <f>IF(F74="Ignacio", COUNTIF(F$5:F74, "Ignacio"), "")</f>
        <v/>
      </c>
      <c r="T74" t="str">
        <f>IF(F74="Tripulacion", COUNTIF(F$5:F74, "Tripulacion"), "")</f>
        <v/>
      </c>
      <c r="U74" t="str">
        <f>IF(F74="ENAP carga", COUNTIF(F$5:F74, "ENAP carga"), "")</f>
        <v/>
      </c>
    </row>
    <row r="75" spans="13:21">
      <c r="M75" s="22" t="str">
        <f t="shared" si="2"/>
        <v/>
      </c>
      <c r="R75" t="str">
        <f>IF(F75="CJ", COUNTIF(F$5:F75, "CJ"), "")</f>
        <v/>
      </c>
      <c r="S75" t="str">
        <f>IF(F75="Ignacio", COUNTIF(F$5:F75, "Ignacio"), "")</f>
        <v/>
      </c>
      <c r="T75" t="str">
        <f>IF(F75="Tripulacion", COUNTIF(F$5:F75, "Tripulacion"), "")</f>
        <v/>
      </c>
      <c r="U75" t="str">
        <f>IF(F75="ENAP carga", COUNTIF(F$5:F75, "ENAP carga"), "")</f>
        <v/>
      </c>
    </row>
    <row r="76" spans="13:21">
      <c r="M76" s="22" t="str">
        <f t="shared" si="2"/>
        <v/>
      </c>
      <c r="R76" t="str">
        <f>IF(F76="CJ", COUNTIF(F$5:F76, "CJ"), "")</f>
        <v/>
      </c>
      <c r="S76" t="str">
        <f>IF(F76="Ignacio", COUNTIF(F$5:F76, "Ignacio"), "")</f>
        <v/>
      </c>
      <c r="T76" t="str">
        <f>IF(F76="Tripulacion", COUNTIF(F$5:F76, "Tripulacion"), "")</f>
        <v/>
      </c>
      <c r="U76" t="str">
        <f>IF(F76="ENAP carga", COUNTIF(F$5:F76, "ENAP carga"), "")</f>
        <v/>
      </c>
    </row>
    <row r="77" spans="13:21">
      <c r="M77" s="22" t="str">
        <f t="shared" si="2"/>
        <v/>
      </c>
      <c r="R77" t="str">
        <f>IF(F77="CJ", COUNTIF(F$5:F77, "CJ"), "")</f>
        <v/>
      </c>
      <c r="S77" t="str">
        <f>IF(F77="Ignacio", COUNTIF(F$5:F77, "Ignacio"), "")</f>
        <v/>
      </c>
      <c r="T77" t="str">
        <f>IF(F77="Tripulacion", COUNTIF(F$5:F77, "Tripulacion"), "")</f>
        <v/>
      </c>
      <c r="U77" t="str">
        <f>IF(F77="ENAP carga", COUNTIF(F$5:F77, "ENAP carga"), "")</f>
        <v/>
      </c>
    </row>
    <row r="78" spans="13:21">
      <c r="M78" s="22" t="str">
        <f t="shared" si="2"/>
        <v/>
      </c>
      <c r="R78" t="str">
        <f>IF(F78="CJ", COUNTIF(F$5:F78, "CJ"), "")</f>
        <v/>
      </c>
      <c r="S78" t="str">
        <f>IF(F78="Ignacio", COUNTIF(F$5:F78, "Ignacio"), "")</f>
        <v/>
      </c>
      <c r="T78" t="str">
        <f>IF(F78="Tripulacion", COUNTIF(F$5:F78, "Tripulacion"), "")</f>
        <v/>
      </c>
      <c r="U78" t="str">
        <f>IF(F78="ENAP carga", COUNTIF(F$5:F78, "ENAP carga"), "")</f>
        <v/>
      </c>
    </row>
    <row r="79" spans="13:21">
      <c r="M79" s="22" t="str">
        <f t="shared" si="2"/>
        <v/>
      </c>
      <c r="R79" t="str">
        <f>IF(F79="CJ", COUNTIF(F$5:F79, "CJ"), "")</f>
        <v/>
      </c>
      <c r="S79" t="str">
        <f>IF(F79="Ignacio", COUNTIF(F$5:F79, "Ignacio"), "")</f>
        <v/>
      </c>
      <c r="T79" t="str">
        <f>IF(F79="Tripulacion", COUNTIF(F$5:F79, "Tripulacion"), "")</f>
        <v/>
      </c>
      <c r="U79" t="str">
        <f>IF(F79="ENAP carga", COUNTIF(F$5:F79, "ENAP carga"), "")</f>
        <v/>
      </c>
    </row>
    <row r="80" spans="13:21">
      <c r="M80" s="22" t="str">
        <f t="shared" si="2"/>
        <v/>
      </c>
      <c r="R80" t="str">
        <f>IF(F80="CJ", COUNTIF(F$5:F80, "CJ"), "")</f>
        <v/>
      </c>
      <c r="S80" t="str">
        <f>IF(F80="Ignacio", COUNTIF(F$5:F80, "Ignacio"), "")</f>
        <v/>
      </c>
      <c r="T80" t="str">
        <f>IF(F80="Tripulacion", COUNTIF(F$5:F80, "Tripulacion"), "")</f>
        <v/>
      </c>
      <c r="U80" t="str">
        <f>IF(F80="ENAP carga", COUNTIF(F$5:F80, "ENAP carga"), "")</f>
        <v/>
      </c>
    </row>
    <row r="81" spans="13:21">
      <c r="M81" s="22" t="str">
        <f t="shared" si="2"/>
        <v/>
      </c>
      <c r="R81" t="str">
        <f>IF(F81="CJ", COUNTIF(F$5:F81, "CJ"), "")</f>
        <v/>
      </c>
      <c r="S81" t="str">
        <f>IF(F81="Ignacio", COUNTIF(F$5:F81, "Ignacio"), "")</f>
        <v/>
      </c>
      <c r="T81" t="str">
        <f>IF(F81="Tripulacion", COUNTIF(F$5:F81, "Tripulacion"), "")</f>
        <v/>
      </c>
      <c r="U81" t="str">
        <f>IF(F81="ENAP carga", COUNTIF(F$5:F81, "ENAP carga"), "")</f>
        <v/>
      </c>
    </row>
    <row r="82" spans="13:21">
      <c r="M82" s="22" t="str">
        <f t="shared" si="2"/>
        <v/>
      </c>
      <c r="R82" t="str">
        <f>IF(F82="CJ", COUNTIF(F$5:F82, "CJ"), "")</f>
        <v/>
      </c>
      <c r="S82" t="str">
        <f>IF(F82="Ignacio", COUNTIF(F$5:F82, "Ignacio"), "")</f>
        <v/>
      </c>
      <c r="T82" t="str">
        <f>IF(F82="Tripulacion", COUNTIF(F$5:F82, "Tripulacion"), "")</f>
        <v/>
      </c>
      <c r="U82" t="str">
        <f>IF(F82="ENAP carga", COUNTIF(F$5:F82, "ENAP carga"), "")</f>
        <v/>
      </c>
    </row>
    <row r="83" spans="13:21">
      <c r="M83" s="22" t="str">
        <f t="shared" si="2"/>
        <v/>
      </c>
      <c r="R83" t="str">
        <f>IF(F83="CJ", COUNTIF(F$5:F83, "CJ"), "")</f>
        <v/>
      </c>
      <c r="S83" t="str">
        <f>IF(F83="Ignacio", COUNTIF(F$5:F83, "Ignacio"), "")</f>
        <v/>
      </c>
      <c r="T83" t="str">
        <f>IF(F83="Tripulacion", COUNTIF(F$5:F83, "Tripulacion"), "")</f>
        <v/>
      </c>
      <c r="U83" t="str">
        <f>IF(F83="ENAP carga", COUNTIF(F$5:F83, "ENAP carga"), "")</f>
        <v/>
      </c>
    </row>
    <row r="84" spans="13:21">
      <c r="M84" s="22" t="str">
        <f t="shared" si="2"/>
        <v/>
      </c>
      <c r="R84" t="str">
        <f>IF(F84="CJ", COUNTIF(F$5:F84, "CJ"), "")</f>
        <v/>
      </c>
      <c r="S84" t="str">
        <f>IF(F84="Ignacio", COUNTIF(F$5:F84, "Ignacio"), "")</f>
        <v/>
      </c>
      <c r="T84" t="str">
        <f>IF(F84="Tripulacion", COUNTIF(F$5:F84, "Tripulacion"), "")</f>
        <v/>
      </c>
      <c r="U84" t="str">
        <f>IF(F84="ENAP carga", COUNTIF(F$5:F84, "ENAP carga"), "")</f>
        <v/>
      </c>
    </row>
    <row r="85" spans="13:21">
      <c r="M85" s="22" t="str">
        <f t="shared" si="2"/>
        <v/>
      </c>
      <c r="R85" t="str">
        <f>IF(F85="CJ", COUNTIF(F$5:F85, "CJ"), "")</f>
        <v/>
      </c>
      <c r="S85" t="str">
        <f>IF(F85="Ignacio", COUNTIF(F$5:F85, "Ignacio"), "")</f>
        <v/>
      </c>
      <c r="T85" t="str">
        <f>IF(F85="Tripulacion", COUNTIF(F$5:F85, "Tripulacion"), "")</f>
        <v/>
      </c>
      <c r="U85" t="str">
        <f>IF(F85="ENAP carga", COUNTIF(F$5:F85, "ENAP carga"), "")</f>
        <v/>
      </c>
    </row>
    <row r="86" spans="13:21">
      <c r="M86" s="22" t="str">
        <f t="shared" si="2"/>
        <v/>
      </c>
      <c r="R86" t="str">
        <f>IF(F86="CJ", COUNTIF(F$5:F86, "CJ"), "")</f>
        <v/>
      </c>
      <c r="S86" t="str">
        <f>IF(F86="Ignacio", COUNTIF(F$5:F86, "Ignacio"), "")</f>
        <v/>
      </c>
      <c r="T86" t="str">
        <f>IF(F86="Tripulacion", COUNTIF(F$5:F86, "Tripulacion"), "")</f>
        <v/>
      </c>
      <c r="U86" t="str">
        <f>IF(F86="ENAP carga", COUNTIF(F$5:F86, "ENAP carga"), "")</f>
        <v/>
      </c>
    </row>
    <row r="87" spans="13:21">
      <c r="M87" s="22" t="str">
        <f t="shared" si="2"/>
        <v/>
      </c>
      <c r="R87" t="str">
        <f>IF(F87="CJ", COUNTIF(F$5:F87, "CJ"), "")</f>
        <v/>
      </c>
      <c r="S87" t="str">
        <f>IF(F87="Ignacio", COUNTIF(F$5:F87, "Ignacio"), "")</f>
        <v/>
      </c>
      <c r="T87" t="str">
        <f>IF(F87="Tripulacion", COUNTIF(F$5:F87, "Tripulacion"), "")</f>
        <v/>
      </c>
      <c r="U87" t="str">
        <f>IF(F87="ENAP carga", COUNTIF(F$5:F87, "ENAP carga"), "")</f>
        <v/>
      </c>
    </row>
    <row r="88" spans="13:21">
      <c r="M88" s="22" t="str">
        <f t="shared" ref="M88:M151" si="6">IF(F88="CJ", I88*200, "")</f>
        <v/>
      </c>
      <c r="R88" t="str">
        <f>IF(F88="CJ", COUNTIF(F$5:F88, "CJ"), "")</f>
        <v/>
      </c>
      <c r="S88" t="str">
        <f>IF(F88="Ignacio", COUNTIF(F$5:F88, "Ignacio"), "")</f>
        <v/>
      </c>
      <c r="T88" t="str">
        <f>IF(F88="Tripulacion", COUNTIF(F$5:F88, "Tripulacion"), "")</f>
        <v/>
      </c>
      <c r="U88" t="str">
        <f>IF(F88="ENAP carga", COUNTIF(F$5:F88, "ENAP carga"), "")</f>
        <v/>
      </c>
    </row>
    <row r="89" spans="13:21">
      <c r="M89" s="22" t="str">
        <f t="shared" si="6"/>
        <v/>
      </c>
      <c r="R89" t="str">
        <f>IF(F89="CJ", COUNTIF(F$5:F89, "CJ"), "")</f>
        <v/>
      </c>
      <c r="S89" t="str">
        <f>IF(F89="Ignacio", COUNTIF(F$5:F89, "Ignacio"), "")</f>
        <v/>
      </c>
      <c r="T89" t="str">
        <f>IF(F89="Tripulacion", COUNTIF(F$5:F89, "Tripulacion"), "")</f>
        <v/>
      </c>
      <c r="U89" t="str">
        <f>IF(F89="ENAP carga", COUNTIF(F$5:F89, "ENAP carga"), "")</f>
        <v/>
      </c>
    </row>
    <row r="90" spans="13:21">
      <c r="M90" s="22" t="str">
        <f t="shared" si="6"/>
        <v/>
      </c>
      <c r="R90" t="str">
        <f>IF(F90="CJ", COUNTIF(F$5:F90, "CJ"), "")</f>
        <v/>
      </c>
      <c r="S90" t="str">
        <f>IF(F90="Ignacio", COUNTIF(F$5:F90, "Ignacio"), "")</f>
        <v/>
      </c>
      <c r="T90" t="str">
        <f>IF(F90="Tripulacion", COUNTIF(F$5:F90, "Tripulacion"), "")</f>
        <v/>
      </c>
      <c r="U90" t="str">
        <f>IF(F90="ENAP carga", COUNTIF(F$5:F90, "ENAP carga"), "")</f>
        <v/>
      </c>
    </row>
    <row r="91" spans="13:21">
      <c r="M91" s="22" t="str">
        <f t="shared" si="6"/>
        <v/>
      </c>
      <c r="R91" t="str">
        <f>IF(F91="CJ", COUNTIF(F$5:F91, "CJ"), "")</f>
        <v/>
      </c>
      <c r="S91" t="str">
        <f>IF(F91="Ignacio", COUNTIF(F$5:F91, "Ignacio"), "")</f>
        <v/>
      </c>
      <c r="T91" t="str">
        <f>IF(F91="Tripulacion", COUNTIF(F$5:F91, "Tripulacion"), "")</f>
        <v/>
      </c>
      <c r="U91" t="str">
        <f>IF(F91="ENAP carga", COUNTIF(F$5:F91, "ENAP carga"), "")</f>
        <v/>
      </c>
    </row>
    <row r="92" spans="13:21">
      <c r="M92" s="22" t="str">
        <f t="shared" si="6"/>
        <v/>
      </c>
      <c r="R92" t="str">
        <f>IF(F92="CJ", COUNTIF(F$5:F92, "CJ"), "")</f>
        <v/>
      </c>
      <c r="S92" t="str">
        <f>IF(F92="Ignacio", COUNTIF(F$5:F92, "Ignacio"), "")</f>
        <v/>
      </c>
      <c r="T92" t="str">
        <f>IF(F92="Tripulacion", COUNTIF(F$5:F92, "Tripulacion"), "")</f>
        <v/>
      </c>
      <c r="U92" t="str">
        <f>IF(F92="ENAP carga", COUNTIF(F$5:F92, "ENAP carga"), "")</f>
        <v/>
      </c>
    </row>
    <row r="93" spans="13:21">
      <c r="M93" s="22" t="str">
        <f t="shared" si="6"/>
        <v/>
      </c>
      <c r="R93" t="str">
        <f>IF(F93="CJ", COUNTIF(F$5:F93, "CJ"), "")</f>
        <v/>
      </c>
      <c r="S93" t="str">
        <f>IF(F93="Ignacio", COUNTIF(F$5:F93, "Ignacio"), "")</f>
        <v/>
      </c>
      <c r="T93" t="str">
        <f>IF(F93="Tripulacion", COUNTIF(F$5:F93, "Tripulacion"), "")</f>
        <v/>
      </c>
      <c r="U93" t="str">
        <f>IF(F93="ENAP carga", COUNTIF(F$5:F93, "ENAP carga"), "")</f>
        <v/>
      </c>
    </row>
    <row r="94" spans="13:21">
      <c r="M94" s="22" t="str">
        <f t="shared" si="6"/>
        <v/>
      </c>
      <c r="R94" t="str">
        <f>IF(F94="CJ", COUNTIF(F$5:F94, "CJ"), "")</f>
        <v/>
      </c>
      <c r="S94" t="str">
        <f>IF(F94="Ignacio", COUNTIF(F$5:F94, "Ignacio"), "")</f>
        <v/>
      </c>
      <c r="T94" t="str">
        <f>IF(F94="Tripulacion", COUNTIF(F$5:F94, "Tripulacion"), "")</f>
        <v/>
      </c>
      <c r="U94" t="str">
        <f>IF(F94="ENAP carga", COUNTIF(F$5:F94, "ENAP carga"), "")</f>
        <v/>
      </c>
    </row>
    <row r="95" spans="13:21">
      <c r="M95" s="22" t="str">
        <f t="shared" si="6"/>
        <v/>
      </c>
      <c r="R95" t="str">
        <f>IF(F95="CJ", COUNTIF(F$5:F95, "CJ"), "")</f>
        <v/>
      </c>
      <c r="S95" t="str">
        <f>IF(F95="Ignacio", COUNTIF(F$5:F95, "Ignacio"), "")</f>
        <v/>
      </c>
      <c r="T95" t="str">
        <f>IF(F95="Tripulacion", COUNTIF(F$5:F95, "Tripulacion"), "")</f>
        <v/>
      </c>
      <c r="U95" t="str">
        <f>IF(F95="ENAP carga", COUNTIF(F$5:F95, "ENAP carga"), "")</f>
        <v/>
      </c>
    </row>
    <row r="96" spans="13:21">
      <c r="M96" s="22" t="str">
        <f t="shared" si="6"/>
        <v/>
      </c>
      <c r="R96" t="str">
        <f>IF(F96="CJ", COUNTIF(F$5:F96, "CJ"), "")</f>
        <v/>
      </c>
      <c r="S96" t="str">
        <f>IF(F96="Ignacio", COUNTIF(F$5:F96, "Ignacio"), "")</f>
        <v/>
      </c>
      <c r="T96" t="str">
        <f>IF(F96="Tripulacion", COUNTIF(F$5:F96, "Tripulacion"), "")</f>
        <v/>
      </c>
      <c r="U96" t="str">
        <f>IF(F96="ENAP carga", COUNTIF(F$5:F96, "ENAP carga"), "")</f>
        <v/>
      </c>
    </row>
    <row r="97" spans="13:21">
      <c r="M97" s="22" t="str">
        <f t="shared" si="6"/>
        <v/>
      </c>
      <c r="R97" t="str">
        <f>IF(F97="CJ", COUNTIF(F$5:F97, "CJ"), "")</f>
        <v/>
      </c>
      <c r="S97" t="str">
        <f>IF(F97="Ignacio", COUNTIF(F$5:F97, "Ignacio"), "")</f>
        <v/>
      </c>
      <c r="T97" t="str">
        <f>IF(F97="Tripulacion", COUNTIF(F$5:F97, "Tripulacion"), "")</f>
        <v/>
      </c>
      <c r="U97" t="str">
        <f>IF(F97="ENAP carga", COUNTIF(F$5:F97, "ENAP carga"), "")</f>
        <v/>
      </c>
    </row>
    <row r="98" spans="13:21">
      <c r="M98" s="22" t="str">
        <f t="shared" si="6"/>
        <v/>
      </c>
      <c r="R98" t="str">
        <f>IF(F98="CJ", COUNTIF(F$5:F98, "CJ"), "")</f>
        <v/>
      </c>
      <c r="S98" t="str">
        <f>IF(F98="Ignacio", COUNTIF(F$5:F98, "Ignacio"), "")</f>
        <v/>
      </c>
      <c r="T98" t="str">
        <f>IF(F98="Tripulacion", COUNTIF(F$5:F98, "Tripulacion"), "")</f>
        <v/>
      </c>
      <c r="U98" t="str">
        <f>IF(F98="ENAP carga", COUNTIF(F$5:F98, "ENAP carga"), "")</f>
        <v/>
      </c>
    </row>
    <row r="99" spans="13:21">
      <c r="M99" s="22" t="str">
        <f t="shared" si="6"/>
        <v/>
      </c>
      <c r="R99" t="str">
        <f>IF(F99="CJ", COUNTIF(F$5:F99, "CJ"), "")</f>
        <v/>
      </c>
      <c r="S99" t="str">
        <f>IF(F99="Ignacio", COUNTIF(F$5:F99, "Ignacio"), "")</f>
        <v/>
      </c>
      <c r="T99" t="str">
        <f>IF(F99="Tripulacion", COUNTIF(F$5:F99, "Tripulacion"), "")</f>
        <v/>
      </c>
      <c r="U99" t="str">
        <f>IF(F99="ENAP carga", COUNTIF(F$5:F99, "ENAP carga"), "")</f>
        <v/>
      </c>
    </row>
    <row r="100" spans="13:21">
      <c r="M100" s="22" t="str">
        <f t="shared" si="6"/>
        <v/>
      </c>
      <c r="R100" t="str">
        <f>IF(F100="CJ", COUNTIF(F$5:F100, "CJ"), "")</f>
        <v/>
      </c>
      <c r="S100" t="str">
        <f>IF(F100="Ignacio", COUNTIF(F$5:F100, "Ignacio"), "")</f>
        <v/>
      </c>
      <c r="T100" t="str">
        <f>IF(F100="Tripulacion", COUNTIF(F$5:F100, "Tripulacion"), "")</f>
        <v/>
      </c>
      <c r="U100" t="str">
        <f>IF(F100="ENAP carga", COUNTIF(F$5:F100, "ENAP carga"), "")</f>
        <v/>
      </c>
    </row>
    <row r="101" spans="13:21">
      <c r="M101" s="22" t="str">
        <f t="shared" si="6"/>
        <v/>
      </c>
      <c r="R101" t="str">
        <f>IF(F101="CJ", COUNTIF(F$5:F101, "CJ"), "")</f>
        <v/>
      </c>
      <c r="S101" t="str">
        <f>IF(F101="Ignacio", COUNTIF(F$5:F101, "Ignacio"), "")</f>
        <v/>
      </c>
      <c r="T101" t="str">
        <f>IF(F101="Tripulacion", COUNTIF(F$5:F101, "Tripulacion"), "")</f>
        <v/>
      </c>
      <c r="U101" t="str">
        <f>IF(F101="ENAP carga", COUNTIF(F$5:F101, "ENAP carga"), "")</f>
        <v/>
      </c>
    </row>
    <row r="102" spans="13:21">
      <c r="M102" s="22" t="str">
        <f t="shared" si="6"/>
        <v/>
      </c>
      <c r="R102" t="str">
        <f>IF(F102="CJ", COUNTIF(F$5:F102, "CJ"), "")</f>
        <v/>
      </c>
      <c r="S102" t="str">
        <f>IF(F102="Ignacio", COUNTIF(F$5:F102, "Ignacio"), "")</f>
        <v/>
      </c>
      <c r="T102" t="str">
        <f>IF(F102="Tripulacion", COUNTIF(F$5:F102, "Tripulacion"), "")</f>
        <v/>
      </c>
      <c r="U102" t="str">
        <f>IF(F102="ENAP carga", COUNTIF(F$5:F102, "ENAP carga"), "")</f>
        <v/>
      </c>
    </row>
    <row r="103" spans="13:21">
      <c r="M103" s="22" t="str">
        <f t="shared" si="6"/>
        <v/>
      </c>
      <c r="R103" t="str">
        <f>IF(F103="CJ", COUNTIF(F$5:F103, "CJ"), "")</f>
        <v/>
      </c>
      <c r="S103" t="str">
        <f>IF(F103="Ignacio", COUNTIF(F$5:F103, "Ignacio"), "")</f>
        <v/>
      </c>
      <c r="T103" t="str">
        <f>IF(F103="Tripulacion", COUNTIF(F$5:F103, "Tripulacion"), "")</f>
        <v/>
      </c>
      <c r="U103" t="str">
        <f>IF(F103="ENAP carga", COUNTIF(F$5:F103, "ENAP carga"), "")</f>
        <v/>
      </c>
    </row>
    <row r="104" spans="13:21">
      <c r="M104" s="22" t="str">
        <f t="shared" si="6"/>
        <v/>
      </c>
      <c r="R104" t="str">
        <f>IF(F104="CJ", COUNTIF(F$5:F104, "CJ"), "")</f>
        <v/>
      </c>
      <c r="S104" t="str">
        <f>IF(F104="Ignacio", COUNTIF(F$5:F104, "Ignacio"), "")</f>
        <v/>
      </c>
      <c r="T104" t="str">
        <f>IF(F104="Tripulacion", COUNTIF(F$5:F104, "Tripulacion"), "")</f>
        <v/>
      </c>
      <c r="U104" t="str">
        <f>IF(F104="ENAP carga", COUNTIF(F$5:F104, "ENAP carga"), "")</f>
        <v/>
      </c>
    </row>
    <row r="105" spans="13:21">
      <c r="M105" s="22" t="str">
        <f t="shared" si="6"/>
        <v/>
      </c>
      <c r="R105" t="str">
        <f>IF(F105="CJ", COUNTIF(F$5:F105, "CJ"), "")</f>
        <v/>
      </c>
      <c r="S105" t="str">
        <f>IF(F105="Ignacio", COUNTIF(F$5:F105, "Ignacio"), "")</f>
        <v/>
      </c>
      <c r="T105" t="str">
        <f>IF(F105="Tripulacion", COUNTIF(F$5:F105, "Tripulacion"), "")</f>
        <v/>
      </c>
      <c r="U105" t="str">
        <f>IF(F105="ENAP carga", COUNTIF(F$5:F105, "ENAP carga"), "")</f>
        <v/>
      </c>
    </row>
    <row r="106" spans="13:21">
      <c r="M106" s="22" t="str">
        <f t="shared" si="6"/>
        <v/>
      </c>
      <c r="R106" t="str">
        <f>IF(F106="CJ", COUNTIF(F$5:F106, "CJ"), "")</f>
        <v/>
      </c>
      <c r="S106" t="str">
        <f>IF(F106="Ignacio", COUNTIF(F$5:F106, "Ignacio"), "")</f>
        <v/>
      </c>
      <c r="T106" t="str">
        <f>IF(F106="Tripulacion", COUNTIF(F$5:F106, "Tripulacion"), "")</f>
        <v/>
      </c>
      <c r="U106" t="str">
        <f>IF(F106="ENAP carga", COUNTIF(F$5:F106, "ENAP carga"), "")</f>
        <v/>
      </c>
    </row>
    <row r="107" spans="13:21">
      <c r="M107" s="22" t="str">
        <f t="shared" si="6"/>
        <v/>
      </c>
      <c r="R107" t="str">
        <f>IF(F107="CJ", COUNTIF(F$5:F107, "CJ"), "")</f>
        <v/>
      </c>
      <c r="S107" t="str">
        <f>IF(F107="Ignacio", COUNTIF(F$5:F107, "Ignacio"), "")</f>
        <v/>
      </c>
      <c r="T107" t="str">
        <f>IF(F107="Tripulacion", COUNTIF(F$5:F107, "Tripulacion"), "")</f>
        <v/>
      </c>
      <c r="U107" t="str">
        <f>IF(F107="ENAP carga", COUNTIF(F$5:F107, "ENAP carga"), "")</f>
        <v/>
      </c>
    </row>
    <row r="108" spans="13:21">
      <c r="M108" s="22" t="str">
        <f t="shared" si="6"/>
        <v/>
      </c>
      <c r="R108" t="str">
        <f>IF(F108="CJ", COUNTIF(F$5:F108, "CJ"), "")</f>
        <v/>
      </c>
      <c r="S108" t="str">
        <f>IF(F108="Ignacio", COUNTIF(F$5:F108, "Ignacio"), "")</f>
        <v/>
      </c>
      <c r="T108" t="str">
        <f>IF(F108="Tripulacion", COUNTIF(F$5:F108, "Tripulacion"), "")</f>
        <v/>
      </c>
      <c r="U108" t="str">
        <f>IF(F108="ENAP carga", COUNTIF(F$5:F108, "ENAP carga"), "")</f>
        <v/>
      </c>
    </row>
    <row r="109" spans="13:21">
      <c r="M109" s="22" t="str">
        <f t="shared" si="6"/>
        <v/>
      </c>
      <c r="R109" t="str">
        <f>IF(F109="CJ", COUNTIF(F$5:F109, "CJ"), "")</f>
        <v/>
      </c>
      <c r="S109" t="str">
        <f>IF(F109="Ignacio", COUNTIF(F$5:F109, "Ignacio"), "")</f>
        <v/>
      </c>
      <c r="T109" t="str">
        <f>IF(F109="Tripulacion", COUNTIF(F$5:F109, "Tripulacion"), "")</f>
        <v/>
      </c>
      <c r="U109" t="str">
        <f>IF(F109="ENAP carga", COUNTIF(F$5:F109, "ENAP carga"), "")</f>
        <v/>
      </c>
    </row>
    <row r="110" spans="13:21">
      <c r="M110" s="22" t="str">
        <f t="shared" si="6"/>
        <v/>
      </c>
      <c r="R110" t="str">
        <f>IF(F110="CJ", COUNTIF(F$5:F110, "CJ"), "")</f>
        <v/>
      </c>
      <c r="S110" t="str">
        <f>IF(F110="Ignacio", COUNTIF(F$5:F110, "Ignacio"), "")</f>
        <v/>
      </c>
      <c r="T110" t="str">
        <f>IF(F110="Tripulacion", COUNTIF(F$5:F110, "Tripulacion"), "")</f>
        <v/>
      </c>
      <c r="U110" t="str">
        <f>IF(F110="ENAP carga", COUNTIF(F$5:F110, "ENAP carga"), "")</f>
        <v/>
      </c>
    </row>
    <row r="111" spans="13:21">
      <c r="M111" s="22" t="str">
        <f t="shared" si="6"/>
        <v/>
      </c>
      <c r="R111" t="str">
        <f>IF(F111="CJ", COUNTIF(F$5:F111, "CJ"), "")</f>
        <v/>
      </c>
      <c r="S111" t="str">
        <f>IF(F111="Ignacio", COUNTIF(F$5:F111, "Ignacio"), "")</f>
        <v/>
      </c>
      <c r="T111" t="str">
        <f>IF(F111="Tripulacion", COUNTIF(F$5:F111, "Tripulacion"), "")</f>
        <v/>
      </c>
      <c r="U111" t="str">
        <f>IF(F111="ENAP carga", COUNTIF(F$5:F111, "ENAP carga"), "")</f>
        <v/>
      </c>
    </row>
    <row r="112" spans="13:21">
      <c r="M112" s="22" t="str">
        <f t="shared" si="6"/>
        <v/>
      </c>
      <c r="R112" t="str">
        <f>IF(F112="CJ", COUNTIF(F$5:F112, "CJ"), "")</f>
        <v/>
      </c>
      <c r="S112" t="str">
        <f>IF(F112="Ignacio", COUNTIF(F$5:F112, "Ignacio"), "")</f>
        <v/>
      </c>
      <c r="T112" t="str">
        <f>IF(F112="Tripulacion", COUNTIF(F$5:F112, "Tripulacion"), "")</f>
        <v/>
      </c>
      <c r="U112" t="str">
        <f>IF(F112="ENAP carga", COUNTIF(F$5:F112, "ENAP carga"), "")</f>
        <v/>
      </c>
    </row>
    <row r="113" spans="13:21">
      <c r="M113" s="22" t="str">
        <f t="shared" si="6"/>
        <v/>
      </c>
      <c r="R113" t="str">
        <f>IF(F113="CJ", COUNTIF(F$5:F113, "CJ"), "")</f>
        <v/>
      </c>
      <c r="S113" t="str">
        <f>IF(F113="Ignacio", COUNTIF(F$5:F113, "Ignacio"), "")</f>
        <v/>
      </c>
      <c r="T113" t="str">
        <f>IF(F113="Tripulacion", COUNTIF(F$5:F113, "Tripulacion"), "")</f>
        <v/>
      </c>
      <c r="U113" t="str">
        <f>IF(F113="ENAP carga", COUNTIF(F$5:F113, "ENAP carga"), "")</f>
        <v/>
      </c>
    </row>
    <row r="114" spans="13:21">
      <c r="M114" s="22" t="str">
        <f t="shared" si="6"/>
        <v/>
      </c>
      <c r="R114" t="str">
        <f>IF(F114="CJ", COUNTIF(F$5:F114, "CJ"), "")</f>
        <v/>
      </c>
      <c r="S114" t="str">
        <f>IF(F114="Ignacio", COUNTIF(F$5:F114, "Ignacio"), "")</f>
        <v/>
      </c>
      <c r="T114" t="str">
        <f>IF(F114="Tripulacion", COUNTIF(F$5:F114, "Tripulacion"), "")</f>
        <v/>
      </c>
      <c r="U114" t="str">
        <f>IF(F114="ENAP carga", COUNTIF(F$5:F114, "ENAP carga"), "")</f>
        <v/>
      </c>
    </row>
    <row r="115" spans="13:21">
      <c r="M115" s="22" t="str">
        <f t="shared" si="6"/>
        <v/>
      </c>
      <c r="R115" t="str">
        <f>IF(F115="CJ", COUNTIF(F$5:F115, "CJ"), "")</f>
        <v/>
      </c>
      <c r="S115" t="str">
        <f>IF(F115="Ignacio", COUNTIF(F$5:F115, "Ignacio"), "")</f>
        <v/>
      </c>
      <c r="T115" t="str">
        <f>IF(F115="Tripulacion", COUNTIF(F$5:F115, "Tripulacion"), "")</f>
        <v/>
      </c>
      <c r="U115" t="str">
        <f>IF(F115="ENAP carga", COUNTIF(F$5:F115, "ENAP carga"), "")</f>
        <v/>
      </c>
    </row>
    <row r="116" spans="13:21">
      <c r="M116" s="22" t="str">
        <f t="shared" si="6"/>
        <v/>
      </c>
      <c r="R116" t="str">
        <f>IF(F116="CJ", COUNTIF(F$5:F116, "CJ"), "")</f>
        <v/>
      </c>
      <c r="S116" t="str">
        <f>IF(F116="Ignacio", COUNTIF(F$5:F116, "Ignacio"), "")</f>
        <v/>
      </c>
      <c r="T116" t="str">
        <f>IF(F116="Tripulacion", COUNTIF(F$5:F116, "Tripulacion"), "")</f>
        <v/>
      </c>
      <c r="U116" t="str">
        <f>IF(F116="ENAP carga", COUNTIF(F$5:F116, "ENAP carga"), "")</f>
        <v/>
      </c>
    </row>
    <row r="117" spans="13:21">
      <c r="M117" s="22" t="str">
        <f t="shared" si="6"/>
        <v/>
      </c>
      <c r="R117" t="str">
        <f>IF(F117="CJ", COUNTIF(F$5:F117, "CJ"), "")</f>
        <v/>
      </c>
      <c r="S117" t="str">
        <f>IF(F117="Ignacio", COUNTIF(F$5:F117, "Ignacio"), "")</f>
        <v/>
      </c>
      <c r="T117" t="str">
        <f>IF(F117="Tripulacion", COUNTIF(F$5:F117, "Tripulacion"), "")</f>
        <v/>
      </c>
      <c r="U117" t="str">
        <f>IF(F117="ENAP carga", COUNTIF(F$5:F117, "ENAP carga"), "")</f>
        <v/>
      </c>
    </row>
    <row r="118" spans="13:21">
      <c r="M118" s="22" t="str">
        <f t="shared" si="6"/>
        <v/>
      </c>
      <c r="R118" t="str">
        <f>IF(F118="CJ", COUNTIF(F$5:F118, "CJ"), "")</f>
        <v/>
      </c>
      <c r="S118" t="str">
        <f>IF(F118="Ignacio", COUNTIF(F$5:F118, "Ignacio"), "")</f>
        <v/>
      </c>
      <c r="T118" t="str">
        <f>IF(F118="Tripulacion", COUNTIF(F$5:F118, "Tripulacion"), "")</f>
        <v/>
      </c>
      <c r="U118" t="str">
        <f>IF(F118="ENAP carga", COUNTIF(F$5:F118, "ENAP carga"), "")</f>
        <v/>
      </c>
    </row>
    <row r="119" spans="13:21">
      <c r="M119" s="22" t="str">
        <f t="shared" si="6"/>
        <v/>
      </c>
      <c r="R119" t="str">
        <f>IF(F119="CJ", COUNTIF(F$5:F119, "CJ"), "")</f>
        <v/>
      </c>
      <c r="S119" t="str">
        <f>IF(F119="Ignacio", COUNTIF(F$5:F119, "Ignacio"), "")</f>
        <v/>
      </c>
      <c r="T119" t="str">
        <f>IF(F119="Tripulacion", COUNTIF(F$5:F119, "Tripulacion"), "")</f>
        <v/>
      </c>
      <c r="U119" t="str">
        <f>IF(F119="ENAP carga", COUNTIF(F$5:F119, "ENAP carga"), "")</f>
        <v/>
      </c>
    </row>
    <row r="120" spans="13:21">
      <c r="M120" s="22" t="str">
        <f t="shared" si="6"/>
        <v/>
      </c>
      <c r="R120" t="str">
        <f>IF(F120="CJ", COUNTIF(F$5:F120, "CJ"), "")</f>
        <v/>
      </c>
      <c r="S120" t="str">
        <f>IF(F120="Ignacio", COUNTIF(F$5:F120, "Ignacio"), "")</f>
        <v/>
      </c>
      <c r="T120" t="str">
        <f>IF(F120="Tripulacion", COUNTIF(F$5:F120, "Tripulacion"), "")</f>
        <v/>
      </c>
      <c r="U120" t="str">
        <f>IF(F120="ENAP carga", COUNTIF(F$5:F120, "ENAP carga"), "")</f>
        <v/>
      </c>
    </row>
    <row r="121" spans="13:21">
      <c r="M121" s="22" t="str">
        <f t="shared" si="6"/>
        <v/>
      </c>
      <c r="R121" t="str">
        <f>IF(F121="CJ", COUNTIF(F$5:F121, "CJ"), "")</f>
        <v/>
      </c>
      <c r="S121" t="str">
        <f>IF(F121="Ignacio", COUNTIF(F$5:F121, "Ignacio"), "")</f>
        <v/>
      </c>
      <c r="T121" t="str">
        <f>IF(F121="Tripulacion", COUNTIF(F$5:F121, "Tripulacion"), "")</f>
        <v/>
      </c>
      <c r="U121" t="str">
        <f>IF(F121="ENAP carga", COUNTIF(F$5:F121, "ENAP carga"), "")</f>
        <v/>
      </c>
    </row>
    <row r="122" spans="13:21">
      <c r="M122" s="22" t="str">
        <f t="shared" si="6"/>
        <v/>
      </c>
      <c r="R122" t="str">
        <f>IF(F122="CJ", COUNTIF(F$5:F122, "CJ"), "")</f>
        <v/>
      </c>
      <c r="S122" t="str">
        <f>IF(F122="Ignacio", COUNTIF(F$5:F122, "Ignacio"), "")</f>
        <v/>
      </c>
      <c r="T122" t="str">
        <f>IF(F122="Tripulacion", COUNTIF(F$5:F122, "Tripulacion"), "")</f>
        <v/>
      </c>
      <c r="U122" t="str">
        <f>IF(F122="ENAP carga", COUNTIF(F$5:F122, "ENAP carga"), "")</f>
        <v/>
      </c>
    </row>
    <row r="123" spans="13:21">
      <c r="M123" s="22" t="str">
        <f t="shared" si="6"/>
        <v/>
      </c>
      <c r="R123" t="str">
        <f>IF(F123="CJ", COUNTIF(F$5:F123, "CJ"), "")</f>
        <v/>
      </c>
      <c r="S123" t="str">
        <f>IF(F123="Ignacio", COUNTIF(F$5:F123, "Ignacio"), "")</f>
        <v/>
      </c>
      <c r="T123" t="str">
        <f>IF(F123="Tripulacion", COUNTIF(F$5:F123, "Tripulacion"), "")</f>
        <v/>
      </c>
      <c r="U123" t="str">
        <f>IF(F123="ENAP carga", COUNTIF(F$5:F123, "ENAP carga"), "")</f>
        <v/>
      </c>
    </row>
    <row r="124" spans="13:21">
      <c r="M124" s="22" t="str">
        <f t="shared" si="6"/>
        <v/>
      </c>
      <c r="R124" t="str">
        <f>IF(F124="CJ", COUNTIF(F$5:F124, "CJ"), "")</f>
        <v/>
      </c>
      <c r="S124" t="str">
        <f>IF(F124="Ignacio", COUNTIF(F$5:F124, "Ignacio"), "")</f>
        <v/>
      </c>
      <c r="T124" t="str">
        <f>IF(F124="Tripulacion", COUNTIF(F$5:F124, "Tripulacion"), "")</f>
        <v/>
      </c>
      <c r="U124" t="str">
        <f>IF(F124="ENAP carga", COUNTIF(F$5:F124, "ENAP carga"), "")</f>
        <v/>
      </c>
    </row>
    <row r="125" spans="13:21">
      <c r="M125" s="22" t="str">
        <f t="shared" si="6"/>
        <v/>
      </c>
      <c r="R125" t="str">
        <f>IF(F125="CJ", COUNTIF(F$5:F125, "CJ"), "")</f>
        <v/>
      </c>
      <c r="S125" t="str">
        <f>IF(F125="Ignacio", COUNTIF(F$5:F125, "Ignacio"), "")</f>
        <v/>
      </c>
      <c r="T125" t="str">
        <f>IF(F125="Tripulacion", COUNTIF(F$5:F125, "Tripulacion"), "")</f>
        <v/>
      </c>
      <c r="U125" t="str">
        <f>IF(F125="ENAP carga", COUNTIF(F$5:F125, "ENAP carga"), "")</f>
        <v/>
      </c>
    </row>
    <row r="126" spans="13:21">
      <c r="M126" s="22" t="str">
        <f t="shared" si="6"/>
        <v/>
      </c>
      <c r="R126" t="str">
        <f>IF(F126="CJ", COUNTIF(F$5:F126, "CJ"), "")</f>
        <v/>
      </c>
      <c r="S126" t="str">
        <f>IF(F126="Ignacio", COUNTIF(F$5:F126, "Ignacio"), "")</f>
        <v/>
      </c>
      <c r="T126" t="str">
        <f>IF(F126="Tripulacion", COUNTIF(F$5:F126, "Tripulacion"), "")</f>
        <v/>
      </c>
      <c r="U126" t="str">
        <f>IF(F126="ENAP carga", COUNTIF(F$5:F126, "ENAP carga"), "")</f>
        <v/>
      </c>
    </row>
    <row r="127" spans="13:21">
      <c r="M127" s="22" t="str">
        <f t="shared" si="6"/>
        <v/>
      </c>
      <c r="R127" t="str">
        <f>IF(F127="CJ", COUNTIF(F$5:F127, "CJ"), "")</f>
        <v/>
      </c>
      <c r="S127" t="str">
        <f>IF(F127="Ignacio", COUNTIF(F$5:F127, "Ignacio"), "")</f>
        <v/>
      </c>
      <c r="T127" t="str">
        <f>IF(F127="Tripulacion", COUNTIF(F$5:F127, "Tripulacion"), "")</f>
        <v/>
      </c>
      <c r="U127" t="str">
        <f>IF(F127="ENAP carga", COUNTIF(F$5:F127, "ENAP carga"), "")</f>
        <v/>
      </c>
    </row>
    <row r="128" spans="13:21">
      <c r="M128" s="22" t="str">
        <f t="shared" si="6"/>
        <v/>
      </c>
      <c r="R128" t="str">
        <f>IF(F128="CJ", COUNTIF(F$5:F128, "CJ"), "")</f>
        <v/>
      </c>
      <c r="S128" t="str">
        <f>IF(F128="Ignacio", COUNTIF(F$5:F128, "Ignacio"), "")</f>
        <v/>
      </c>
      <c r="T128" t="str">
        <f>IF(F128="Tripulacion", COUNTIF(F$5:F128, "Tripulacion"), "")</f>
        <v/>
      </c>
      <c r="U128" t="str">
        <f>IF(F128="ENAP carga", COUNTIF(F$5:F128, "ENAP carga"), "")</f>
        <v/>
      </c>
    </row>
    <row r="129" spans="13:21">
      <c r="M129" s="22" t="str">
        <f t="shared" si="6"/>
        <v/>
      </c>
      <c r="R129" t="str">
        <f>IF(F129="CJ", COUNTIF(F$5:F129, "CJ"), "")</f>
        <v/>
      </c>
      <c r="S129" t="str">
        <f>IF(F129="Ignacio", COUNTIF(F$5:F129, "Ignacio"), "")</f>
        <v/>
      </c>
      <c r="T129" t="str">
        <f>IF(F129="Tripulacion", COUNTIF(F$5:F129, "Tripulacion"), "")</f>
        <v/>
      </c>
      <c r="U129" t="str">
        <f>IF(F129="ENAP carga", COUNTIF(F$5:F129, "ENAP carga"), "")</f>
        <v/>
      </c>
    </row>
    <row r="130" spans="13:21">
      <c r="M130" s="22" t="str">
        <f t="shared" si="6"/>
        <v/>
      </c>
      <c r="R130" t="str">
        <f>IF(F130="CJ", COUNTIF(F$5:F130, "CJ"), "")</f>
        <v/>
      </c>
      <c r="S130" t="str">
        <f>IF(F130="Ignacio", COUNTIF(F$5:F130, "Ignacio"), "")</f>
        <v/>
      </c>
      <c r="T130" t="str">
        <f>IF(F130="Tripulacion", COUNTIF(F$5:F130, "Tripulacion"), "")</f>
        <v/>
      </c>
      <c r="U130" t="str">
        <f>IF(F130="ENAP carga", COUNTIF(F$5:F130, "ENAP carga"), "")</f>
        <v/>
      </c>
    </row>
    <row r="131" spans="13:21">
      <c r="M131" s="22" t="str">
        <f t="shared" si="6"/>
        <v/>
      </c>
      <c r="R131" t="str">
        <f>IF(F131="CJ", COUNTIF(F$5:F131, "CJ"), "")</f>
        <v/>
      </c>
      <c r="S131" t="str">
        <f>IF(F131="Ignacio", COUNTIF(F$5:F131, "Ignacio"), "")</f>
        <v/>
      </c>
      <c r="T131" t="str">
        <f>IF(F131="Tripulacion", COUNTIF(F$5:F131, "Tripulacion"), "")</f>
        <v/>
      </c>
      <c r="U131" t="str">
        <f>IF(F131="ENAP carga", COUNTIF(F$5:F131, "ENAP carga"), "")</f>
        <v/>
      </c>
    </row>
    <row r="132" spans="13:21">
      <c r="M132" s="22" t="str">
        <f t="shared" si="6"/>
        <v/>
      </c>
      <c r="R132" t="str">
        <f>IF(F132="CJ", COUNTIF(F$5:F132, "CJ"), "")</f>
        <v/>
      </c>
      <c r="S132" t="str">
        <f>IF(F132="Ignacio", COUNTIF(F$5:F132, "Ignacio"), "")</f>
        <v/>
      </c>
      <c r="T132" t="str">
        <f>IF(F132="Tripulacion", COUNTIF(F$5:F132, "Tripulacion"), "")</f>
        <v/>
      </c>
      <c r="U132" t="str">
        <f>IF(F132="ENAP carga", COUNTIF(F$5:F132, "ENAP carga"), "")</f>
        <v/>
      </c>
    </row>
    <row r="133" spans="13:21">
      <c r="M133" s="22" t="str">
        <f t="shared" si="6"/>
        <v/>
      </c>
      <c r="R133" t="str">
        <f>IF(F133="CJ", COUNTIF(F$5:F133, "CJ"), "")</f>
        <v/>
      </c>
      <c r="S133" t="str">
        <f>IF(F133="Ignacio", COUNTIF(F$5:F133, "Ignacio"), "")</f>
        <v/>
      </c>
      <c r="T133" t="str">
        <f>IF(F133="Tripulacion", COUNTIF(F$5:F133, "Tripulacion"), "")</f>
        <v/>
      </c>
      <c r="U133" t="str">
        <f>IF(F133="ENAP carga", COUNTIF(F$5:F133, "ENAP carga"), "")</f>
        <v/>
      </c>
    </row>
    <row r="134" spans="13:21">
      <c r="M134" s="22" t="str">
        <f t="shared" si="6"/>
        <v/>
      </c>
      <c r="R134" t="str">
        <f>IF(F134="CJ", COUNTIF(F$5:F134, "CJ"), "")</f>
        <v/>
      </c>
      <c r="S134" t="str">
        <f>IF(F134="Ignacio", COUNTIF(F$5:F134, "Ignacio"), "")</f>
        <v/>
      </c>
      <c r="T134" t="str">
        <f>IF(F134="Tripulacion", COUNTIF(F$5:F134, "Tripulacion"), "")</f>
        <v/>
      </c>
      <c r="U134" t="str">
        <f>IF(F134="ENAP carga", COUNTIF(F$5:F134, "ENAP carga"), "")</f>
        <v/>
      </c>
    </row>
    <row r="135" spans="13:21">
      <c r="M135" s="22" t="str">
        <f t="shared" si="6"/>
        <v/>
      </c>
      <c r="R135" t="str">
        <f>IF(F135="CJ", COUNTIF(F$5:F135, "CJ"), "")</f>
        <v/>
      </c>
      <c r="S135" t="str">
        <f>IF(F135="Ignacio", COUNTIF(F$5:F135, "Ignacio"), "")</f>
        <v/>
      </c>
      <c r="T135" t="str">
        <f>IF(F135="Tripulacion", COUNTIF(F$5:F135, "Tripulacion"), "")</f>
        <v/>
      </c>
      <c r="U135" t="str">
        <f>IF(F135="ENAP carga", COUNTIF(F$5:F135, "ENAP carga"), "")</f>
        <v/>
      </c>
    </row>
    <row r="136" spans="13:21">
      <c r="M136" s="22" t="str">
        <f t="shared" si="6"/>
        <v/>
      </c>
      <c r="R136" t="str">
        <f>IF(F136="CJ", COUNTIF(F$5:F136, "CJ"), "")</f>
        <v/>
      </c>
      <c r="S136" t="str">
        <f>IF(F136="Ignacio", COUNTIF(F$5:F136, "Ignacio"), "")</f>
        <v/>
      </c>
      <c r="T136" t="str">
        <f>IF(F136="Tripulacion", COUNTIF(F$5:F136, "Tripulacion"), "")</f>
        <v/>
      </c>
      <c r="U136" t="str">
        <f>IF(F136="ENAP carga", COUNTIF(F$5:F136, "ENAP carga"), "")</f>
        <v/>
      </c>
    </row>
    <row r="137" spans="13:21">
      <c r="M137" s="22" t="str">
        <f t="shared" si="6"/>
        <v/>
      </c>
      <c r="R137" t="str">
        <f>IF(F137="CJ", COUNTIF(F$5:F137, "CJ"), "")</f>
        <v/>
      </c>
      <c r="S137" t="str">
        <f>IF(F137="Ignacio", COUNTIF(F$5:F137, "Ignacio"), "")</f>
        <v/>
      </c>
      <c r="T137" t="str">
        <f>IF(F137="Tripulacion", COUNTIF(F$5:F137, "Tripulacion"), "")</f>
        <v/>
      </c>
      <c r="U137" t="str">
        <f>IF(F137="ENAP carga", COUNTIF(F$5:F137, "ENAP carga"), "")</f>
        <v/>
      </c>
    </row>
    <row r="138" spans="13:21">
      <c r="M138" s="22" t="str">
        <f t="shared" si="6"/>
        <v/>
      </c>
      <c r="R138" t="str">
        <f>IF(F138="CJ", COUNTIF(F$5:F138, "CJ"), "")</f>
        <v/>
      </c>
      <c r="S138" t="str">
        <f>IF(F138="Ignacio", COUNTIF(F$5:F138, "Ignacio"), "")</f>
        <v/>
      </c>
      <c r="T138" t="str">
        <f>IF(F138="Tripulacion", COUNTIF(F$5:F138, "Tripulacion"), "")</f>
        <v/>
      </c>
      <c r="U138" t="str">
        <f>IF(F138="ENAP carga", COUNTIF(F$5:F138, "ENAP carga"), "")</f>
        <v/>
      </c>
    </row>
    <row r="139" spans="13:21">
      <c r="M139" s="22" t="str">
        <f t="shared" si="6"/>
        <v/>
      </c>
      <c r="R139" t="str">
        <f>IF(F139="CJ", COUNTIF(F$5:F139, "CJ"), "")</f>
        <v/>
      </c>
      <c r="S139" t="str">
        <f>IF(F139="Ignacio", COUNTIF(F$5:F139, "Ignacio"), "")</f>
        <v/>
      </c>
      <c r="T139" t="str">
        <f>IF(F139="Tripulacion", COUNTIF(F$5:F139, "Tripulacion"), "")</f>
        <v/>
      </c>
      <c r="U139" t="str">
        <f>IF(F139="ENAP carga", COUNTIF(F$5:F139, "ENAP carga"), "")</f>
        <v/>
      </c>
    </row>
    <row r="140" spans="13:21">
      <c r="M140" s="22" t="str">
        <f t="shared" si="6"/>
        <v/>
      </c>
      <c r="R140" t="str">
        <f>IF(F140="CJ", COUNTIF(F$5:F140, "CJ"), "")</f>
        <v/>
      </c>
      <c r="S140" t="str">
        <f>IF(F140="Ignacio", COUNTIF(F$5:F140, "Ignacio"), "")</f>
        <v/>
      </c>
      <c r="T140" t="str">
        <f>IF(F140="Tripulacion", COUNTIF(F$5:F140, "Tripulacion"), "")</f>
        <v/>
      </c>
      <c r="U140" t="str">
        <f>IF(F140="ENAP carga", COUNTIF(F$5:F140, "ENAP carga"), "")</f>
        <v/>
      </c>
    </row>
    <row r="141" spans="13:21">
      <c r="M141" s="22" t="str">
        <f t="shared" si="6"/>
        <v/>
      </c>
      <c r="R141" t="str">
        <f>IF(F141="CJ", COUNTIF(F$5:F141, "CJ"), "")</f>
        <v/>
      </c>
      <c r="S141" t="str">
        <f>IF(F141="Ignacio", COUNTIF(F$5:F141, "Ignacio"), "")</f>
        <v/>
      </c>
      <c r="T141" t="str">
        <f>IF(F141="Tripulacion", COUNTIF(F$5:F141, "Tripulacion"), "")</f>
        <v/>
      </c>
      <c r="U141" t="str">
        <f>IF(F141="ENAP carga", COUNTIF(F$5:F141, "ENAP carga"), "")</f>
        <v/>
      </c>
    </row>
    <row r="142" spans="13:21">
      <c r="M142" s="22" t="str">
        <f t="shared" si="6"/>
        <v/>
      </c>
      <c r="R142" t="str">
        <f>IF(F142="CJ", COUNTIF(F$5:F142, "CJ"), "")</f>
        <v/>
      </c>
      <c r="S142" t="str">
        <f>IF(F142="Ignacio", COUNTIF(F$5:F142, "Ignacio"), "")</f>
        <v/>
      </c>
      <c r="T142" t="str">
        <f>IF(F142="Tripulacion", COUNTIF(F$5:F142, "Tripulacion"), "")</f>
        <v/>
      </c>
      <c r="U142" t="str">
        <f>IF(F142="ENAP carga", COUNTIF(F$5:F142, "ENAP carga"), "")</f>
        <v/>
      </c>
    </row>
    <row r="143" spans="13:21">
      <c r="M143" s="22" t="str">
        <f t="shared" si="6"/>
        <v/>
      </c>
      <c r="R143" t="str">
        <f>IF(F143="CJ", COUNTIF(F$5:F143, "CJ"), "")</f>
        <v/>
      </c>
      <c r="S143" t="str">
        <f>IF(F143="Ignacio", COUNTIF(F$5:F143, "Ignacio"), "")</f>
        <v/>
      </c>
      <c r="T143" t="str">
        <f>IF(F143="Tripulacion", COUNTIF(F$5:F143, "Tripulacion"), "")</f>
        <v/>
      </c>
      <c r="U143" t="str">
        <f>IF(F143="ENAP carga", COUNTIF(F$5:F143, "ENAP carga"), "")</f>
        <v/>
      </c>
    </row>
    <row r="144" spans="13:21">
      <c r="M144" s="22" t="str">
        <f t="shared" si="6"/>
        <v/>
      </c>
      <c r="R144" t="str">
        <f>IF(F144="CJ", COUNTIF(F$5:F144, "CJ"), "")</f>
        <v/>
      </c>
      <c r="S144" t="str">
        <f>IF(F144="Ignacio", COUNTIF(F$5:F144, "Ignacio"), "")</f>
        <v/>
      </c>
      <c r="T144" t="str">
        <f>IF(F144="Tripulacion", COUNTIF(F$5:F144, "Tripulacion"), "")</f>
        <v/>
      </c>
      <c r="U144" t="str">
        <f>IF(F144="ENAP carga", COUNTIF(F$5:F144, "ENAP carga"), "")</f>
        <v/>
      </c>
    </row>
    <row r="145" spans="13:21">
      <c r="M145" s="22" t="str">
        <f t="shared" si="6"/>
        <v/>
      </c>
      <c r="R145" t="str">
        <f>IF(F145="CJ", COUNTIF(F$5:F145, "CJ"), "")</f>
        <v/>
      </c>
      <c r="S145" t="str">
        <f>IF(F145="Ignacio", COUNTIF(F$5:F145, "Ignacio"), "")</f>
        <v/>
      </c>
      <c r="T145" t="str">
        <f>IF(F145="Tripulacion", COUNTIF(F$5:F145, "Tripulacion"), "")</f>
        <v/>
      </c>
      <c r="U145" t="str">
        <f>IF(F145="ENAP carga", COUNTIF(F$5:F145, "ENAP carga"), "")</f>
        <v/>
      </c>
    </row>
    <row r="146" spans="13:21">
      <c r="M146" s="22" t="str">
        <f t="shared" si="6"/>
        <v/>
      </c>
      <c r="R146" t="str">
        <f>IF(F146="CJ", COUNTIF(F$5:F146, "CJ"), "")</f>
        <v/>
      </c>
      <c r="S146" t="str">
        <f>IF(F146="Ignacio", COUNTIF(F$5:F146, "Ignacio"), "")</f>
        <v/>
      </c>
      <c r="T146" t="str">
        <f>IF(F146="Tripulacion", COUNTIF(F$5:F146, "Tripulacion"), "")</f>
        <v/>
      </c>
      <c r="U146" t="str">
        <f>IF(F146="ENAP carga", COUNTIF(F$5:F146, "ENAP carga"), "")</f>
        <v/>
      </c>
    </row>
    <row r="147" spans="13:21">
      <c r="M147" s="22" t="str">
        <f t="shared" si="6"/>
        <v/>
      </c>
      <c r="R147" t="str">
        <f>IF(F147="CJ", COUNTIF(F$5:F147, "CJ"), "")</f>
        <v/>
      </c>
      <c r="S147" t="str">
        <f>IF(F147="Ignacio", COUNTIF(F$5:F147, "Ignacio"), "")</f>
        <v/>
      </c>
      <c r="T147" t="str">
        <f>IF(F147="Tripulacion", COUNTIF(F$5:F147, "Tripulacion"), "")</f>
        <v/>
      </c>
      <c r="U147" t="str">
        <f>IF(F147="ENAP carga", COUNTIF(F$5:F147, "ENAP carga"), "")</f>
        <v/>
      </c>
    </row>
    <row r="148" spans="13:21">
      <c r="M148" s="22" t="str">
        <f t="shared" si="6"/>
        <v/>
      </c>
      <c r="R148" t="str">
        <f>IF(F148="CJ", COUNTIF(F$5:F148, "CJ"), "")</f>
        <v/>
      </c>
      <c r="S148" t="str">
        <f>IF(F148="Ignacio", COUNTIF(F$5:F148, "Ignacio"), "")</f>
        <v/>
      </c>
      <c r="T148" t="str">
        <f>IF(F148="Tripulacion", COUNTIF(F$5:F148, "Tripulacion"), "")</f>
        <v/>
      </c>
      <c r="U148" t="str">
        <f>IF(F148="ENAP carga", COUNTIF(F$5:F148, "ENAP carga"), "")</f>
        <v/>
      </c>
    </row>
    <row r="149" spans="13:21">
      <c r="M149" s="22" t="str">
        <f t="shared" si="6"/>
        <v/>
      </c>
      <c r="R149" t="str">
        <f>IF(F149="CJ", COUNTIF(F$5:F149, "CJ"), "")</f>
        <v/>
      </c>
      <c r="S149" t="str">
        <f>IF(F149="Ignacio", COUNTIF(F$5:F149, "Ignacio"), "")</f>
        <v/>
      </c>
      <c r="T149" t="str">
        <f>IF(F149="Tripulacion", COUNTIF(F$5:F149, "Tripulacion"), "")</f>
        <v/>
      </c>
      <c r="U149" t="str">
        <f>IF(F149="ENAP carga", COUNTIF(F$5:F149, "ENAP carga"), "")</f>
        <v/>
      </c>
    </row>
    <row r="150" spans="13:21">
      <c r="M150" s="22" t="str">
        <f t="shared" si="6"/>
        <v/>
      </c>
      <c r="R150" t="str">
        <f>IF(F150="CJ", COUNTIF(F$5:F150, "CJ"), "")</f>
        <v/>
      </c>
      <c r="S150" t="str">
        <f>IF(F150="Ignacio", COUNTIF(F$5:F150, "Ignacio"), "")</f>
        <v/>
      </c>
      <c r="T150" t="str">
        <f>IF(F150="Tripulacion", COUNTIF(F$5:F150, "Tripulacion"), "")</f>
        <v/>
      </c>
      <c r="U150" t="str">
        <f>IF(F150="ENAP carga", COUNTIF(F$5:F150, "ENAP carga"), "")</f>
        <v/>
      </c>
    </row>
    <row r="151" spans="13:21">
      <c r="M151" s="22" t="str">
        <f t="shared" si="6"/>
        <v/>
      </c>
      <c r="R151" t="str">
        <f>IF(F151="CJ", COUNTIF(F$5:F151, "CJ"), "")</f>
        <v/>
      </c>
      <c r="S151" t="str">
        <f>IF(F151="Ignacio", COUNTIF(F$5:F151, "Ignacio"), "")</f>
        <v/>
      </c>
      <c r="T151" t="str">
        <f>IF(F151="Tripulacion", COUNTIF(F$5:F151, "Tripulacion"), "")</f>
        <v/>
      </c>
      <c r="U151" t="str">
        <f>IF(F151="ENAP carga", COUNTIF(F$5:F151, "ENAP carga"), "")</f>
        <v/>
      </c>
    </row>
    <row r="152" spans="13:21">
      <c r="M152" s="22" t="str">
        <f t="shared" ref="M152:M215" si="7">IF(F152="CJ", I152*200, "")</f>
        <v/>
      </c>
      <c r="R152" t="str">
        <f>IF(F152="CJ", COUNTIF(F$5:F152, "CJ"), "")</f>
        <v/>
      </c>
      <c r="S152" t="str">
        <f>IF(F152="Ignacio", COUNTIF(F$5:F152, "Ignacio"), "")</f>
        <v/>
      </c>
      <c r="T152" t="str">
        <f>IF(F152="Tripulacion", COUNTIF(F$5:F152, "Tripulacion"), "")</f>
        <v/>
      </c>
      <c r="U152" t="str">
        <f>IF(F152="ENAP carga", COUNTIF(F$5:F152, "ENAP carga"), "")</f>
        <v/>
      </c>
    </row>
    <row r="153" spans="13:21">
      <c r="M153" s="22" t="str">
        <f t="shared" si="7"/>
        <v/>
      </c>
      <c r="R153" t="str">
        <f>IF(F153="CJ", COUNTIF(F$5:F153, "CJ"), "")</f>
        <v/>
      </c>
      <c r="S153" t="str">
        <f>IF(F153="Ignacio", COUNTIF(F$5:F153, "Ignacio"), "")</f>
        <v/>
      </c>
      <c r="T153" t="str">
        <f>IF(F153="Tripulacion", COUNTIF(F$5:F153, "Tripulacion"), "")</f>
        <v/>
      </c>
      <c r="U153" t="str">
        <f>IF(F153="ENAP carga", COUNTIF(F$5:F153, "ENAP carga"), "")</f>
        <v/>
      </c>
    </row>
    <row r="154" spans="13:21">
      <c r="M154" s="22" t="str">
        <f t="shared" si="7"/>
        <v/>
      </c>
      <c r="R154" t="str">
        <f>IF(F154="CJ", COUNTIF(F$5:F154, "CJ"), "")</f>
        <v/>
      </c>
      <c r="S154" t="str">
        <f>IF(F154="Ignacio", COUNTIF(F$5:F154, "Ignacio"), "")</f>
        <v/>
      </c>
      <c r="T154" t="str">
        <f>IF(F154="Tripulacion", COUNTIF(F$5:F154, "Tripulacion"), "")</f>
        <v/>
      </c>
      <c r="U154" t="str">
        <f>IF(F154="ENAP carga", COUNTIF(F$5:F154, "ENAP carga"), "")</f>
        <v/>
      </c>
    </row>
    <row r="155" spans="13:21">
      <c r="M155" s="22" t="str">
        <f t="shared" si="7"/>
        <v/>
      </c>
      <c r="R155" t="str">
        <f>IF(F155="CJ", COUNTIF(F$5:F155, "CJ"), "")</f>
        <v/>
      </c>
      <c r="S155" t="str">
        <f>IF(F155="Ignacio", COUNTIF(F$5:F155, "Ignacio"), "")</f>
        <v/>
      </c>
      <c r="T155" t="str">
        <f>IF(F155="Tripulacion", COUNTIF(F$5:F155, "Tripulacion"), "")</f>
        <v/>
      </c>
      <c r="U155" t="str">
        <f>IF(F155="ENAP carga", COUNTIF(F$5:F155, "ENAP carga"), "")</f>
        <v/>
      </c>
    </row>
    <row r="156" spans="13:21">
      <c r="M156" s="22" t="str">
        <f t="shared" si="7"/>
        <v/>
      </c>
      <c r="R156" t="str">
        <f>IF(F156="CJ", COUNTIF(F$5:F156, "CJ"), "")</f>
        <v/>
      </c>
      <c r="S156" t="str">
        <f>IF(F156="Ignacio", COUNTIF(F$5:F156, "Ignacio"), "")</f>
        <v/>
      </c>
      <c r="T156" t="str">
        <f>IF(F156="Tripulacion", COUNTIF(F$5:F156, "Tripulacion"), "")</f>
        <v/>
      </c>
      <c r="U156" t="str">
        <f>IF(F156="ENAP carga", COUNTIF(F$5:F156, "ENAP carga"), "")</f>
        <v/>
      </c>
    </row>
    <row r="157" spans="13:21">
      <c r="M157" s="22" t="str">
        <f t="shared" si="7"/>
        <v/>
      </c>
      <c r="R157" t="str">
        <f>IF(F157="CJ", COUNTIF(F$5:F157, "CJ"), "")</f>
        <v/>
      </c>
      <c r="S157" t="str">
        <f>IF(F157="Ignacio", COUNTIF(F$5:F157, "Ignacio"), "")</f>
        <v/>
      </c>
      <c r="T157" t="str">
        <f>IF(F157="Tripulacion", COUNTIF(F$5:F157, "Tripulacion"), "")</f>
        <v/>
      </c>
      <c r="U157" t="str">
        <f>IF(F157="ENAP carga", COUNTIF(F$5:F157, "ENAP carga"), "")</f>
        <v/>
      </c>
    </row>
    <row r="158" spans="13:21">
      <c r="M158" s="22" t="str">
        <f t="shared" si="7"/>
        <v/>
      </c>
      <c r="R158" t="str">
        <f>IF(F158="CJ", COUNTIF(F$5:F158, "CJ"), "")</f>
        <v/>
      </c>
      <c r="S158" t="str">
        <f>IF(F158="Ignacio", COUNTIF(F$5:F158, "Ignacio"), "")</f>
        <v/>
      </c>
      <c r="T158" t="str">
        <f>IF(F158="Tripulacion", COUNTIF(F$5:F158, "Tripulacion"), "")</f>
        <v/>
      </c>
      <c r="U158" t="str">
        <f>IF(F158="ENAP carga", COUNTIF(F$5:F158, "ENAP carga"), "")</f>
        <v/>
      </c>
    </row>
    <row r="159" spans="13:21">
      <c r="M159" s="22" t="str">
        <f t="shared" si="7"/>
        <v/>
      </c>
      <c r="R159" t="str">
        <f>IF(F159="CJ", COUNTIF(F$5:F159, "CJ"), "")</f>
        <v/>
      </c>
      <c r="S159" t="str">
        <f>IF(F159="Ignacio", COUNTIF(F$5:F159, "Ignacio"), "")</f>
        <v/>
      </c>
      <c r="T159" t="str">
        <f>IF(F159="Tripulacion", COUNTIF(F$5:F159, "Tripulacion"), "")</f>
        <v/>
      </c>
      <c r="U159" t="str">
        <f>IF(F159="ENAP carga", COUNTIF(F$5:F159, "ENAP carga"), "")</f>
        <v/>
      </c>
    </row>
    <row r="160" spans="13:21">
      <c r="M160" s="22" t="str">
        <f t="shared" si="7"/>
        <v/>
      </c>
      <c r="R160" t="str">
        <f>IF(F160="CJ", COUNTIF(F$5:F160, "CJ"), "")</f>
        <v/>
      </c>
      <c r="S160" t="str">
        <f>IF(F160="Ignacio", COUNTIF(F$5:F160, "Ignacio"), "")</f>
        <v/>
      </c>
      <c r="T160" t="str">
        <f>IF(F160="Tripulacion", COUNTIF(F$5:F160, "Tripulacion"), "")</f>
        <v/>
      </c>
      <c r="U160" t="str">
        <f>IF(F160="ENAP carga", COUNTIF(F$5:F160, "ENAP carga"), "")</f>
        <v/>
      </c>
    </row>
    <row r="161" spans="13:21">
      <c r="M161" s="22" t="str">
        <f t="shared" si="7"/>
        <v/>
      </c>
      <c r="R161" t="str">
        <f>IF(F161="CJ", COUNTIF(F$5:F161, "CJ"), "")</f>
        <v/>
      </c>
      <c r="S161" t="str">
        <f>IF(F161="Ignacio", COUNTIF(F$5:F161, "Ignacio"), "")</f>
        <v/>
      </c>
      <c r="T161" t="str">
        <f>IF(F161="Tripulacion", COUNTIF(F$5:F161, "Tripulacion"), "")</f>
        <v/>
      </c>
      <c r="U161" t="str">
        <f>IF(F161="ENAP carga", COUNTIF(F$5:F161, "ENAP carga"), "")</f>
        <v/>
      </c>
    </row>
    <row r="162" spans="13:21">
      <c r="M162" s="22" t="str">
        <f t="shared" si="7"/>
        <v/>
      </c>
      <c r="R162" t="str">
        <f>IF(F162="CJ", COUNTIF(F$5:F162, "CJ"), "")</f>
        <v/>
      </c>
      <c r="S162" t="str">
        <f>IF(F162="Ignacio", COUNTIF(F$5:F162, "Ignacio"), "")</f>
        <v/>
      </c>
      <c r="T162" t="str">
        <f>IF(F162="Tripulacion", COUNTIF(F$5:F162, "Tripulacion"), "")</f>
        <v/>
      </c>
      <c r="U162" t="str">
        <f>IF(F162="ENAP carga", COUNTIF(F$5:F162, "ENAP carga"), "")</f>
        <v/>
      </c>
    </row>
    <row r="163" spans="13:21">
      <c r="M163" s="22" t="str">
        <f t="shared" si="7"/>
        <v/>
      </c>
      <c r="R163" t="str">
        <f>IF(F163="CJ", COUNTIF(F$5:F163, "CJ"), "")</f>
        <v/>
      </c>
      <c r="S163" t="str">
        <f>IF(F163="Ignacio", COUNTIF(F$5:F163, "Ignacio"), "")</f>
        <v/>
      </c>
      <c r="T163" t="str">
        <f>IF(F163="Tripulacion", COUNTIF(F$5:F163, "Tripulacion"), "")</f>
        <v/>
      </c>
      <c r="U163" t="str">
        <f>IF(F163="ENAP carga", COUNTIF(F$5:F163, "ENAP carga"), "")</f>
        <v/>
      </c>
    </row>
    <row r="164" spans="13:21">
      <c r="M164" s="22" t="str">
        <f t="shared" si="7"/>
        <v/>
      </c>
      <c r="R164" t="str">
        <f>IF(F164="CJ", COUNTIF(F$5:F164, "CJ"), "")</f>
        <v/>
      </c>
      <c r="S164" t="str">
        <f>IF(F164="Ignacio", COUNTIF(F$5:F164, "Ignacio"), "")</f>
        <v/>
      </c>
      <c r="T164" t="str">
        <f>IF(F164="Tripulacion", COUNTIF(F$5:F164, "Tripulacion"), "")</f>
        <v/>
      </c>
      <c r="U164" t="str">
        <f>IF(F164="ENAP carga", COUNTIF(F$5:F164, "ENAP carga"), "")</f>
        <v/>
      </c>
    </row>
    <row r="165" spans="13:21">
      <c r="M165" s="22" t="str">
        <f t="shared" si="7"/>
        <v/>
      </c>
      <c r="R165" t="str">
        <f>IF(F165="CJ", COUNTIF(F$5:F165, "CJ"), "")</f>
        <v/>
      </c>
      <c r="S165" t="str">
        <f>IF(F165="Ignacio", COUNTIF(F$5:F165, "Ignacio"), "")</f>
        <v/>
      </c>
      <c r="T165" t="str">
        <f>IF(F165="Tripulacion", COUNTIF(F$5:F165, "Tripulacion"), "")</f>
        <v/>
      </c>
      <c r="U165" t="str">
        <f>IF(F165="ENAP carga", COUNTIF(F$5:F165, "ENAP carga"), "")</f>
        <v/>
      </c>
    </row>
    <row r="166" spans="13:21">
      <c r="M166" s="22" t="str">
        <f t="shared" si="7"/>
        <v/>
      </c>
      <c r="R166" t="str">
        <f>IF(F166="CJ", COUNTIF(F$5:F166, "CJ"), "")</f>
        <v/>
      </c>
      <c r="S166" t="str">
        <f>IF(F166="Ignacio", COUNTIF(F$5:F166, "Ignacio"), "")</f>
        <v/>
      </c>
      <c r="T166" t="str">
        <f>IF(F166="Tripulacion", COUNTIF(F$5:F166, "Tripulacion"), "")</f>
        <v/>
      </c>
      <c r="U166" t="str">
        <f>IF(F166="ENAP carga", COUNTIF(F$5:F166, "ENAP carga"), "")</f>
        <v/>
      </c>
    </row>
    <row r="167" spans="13:21">
      <c r="M167" s="22" t="str">
        <f t="shared" si="7"/>
        <v/>
      </c>
      <c r="R167" t="str">
        <f>IF(F167="CJ", COUNTIF(F$5:F167, "CJ"), "")</f>
        <v/>
      </c>
      <c r="S167" t="str">
        <f>IF(F167="Ignacio", COUNTIF(F$5:F167, "Ignacio"), "")</f>
        <v/>
      </c>
      <c r="T167" t="str">
        <f>IF(F167="Tripulacion", COUNTIF(F$5:F167, "Tripulacion"), "")</f>
        <v/>
      </c>
      <c r="U167" t="str">
        <f>IF(F167="ENAP carga", COUNTIF(F$5:F167, "ENAP carga"), "")</f>
        <v/>
      </c>
    </row>
    <row r="168" spans="13:21">
      <c r="M168" s="22" t="str">
        <f t="shared" si="7"/>
        <v/>
      </c>
      <c r="R168" t="str">
        <f>IF(F168="CJ", COUNTIF(F$5:F168, "CJ"), "")</f>
        <v/>
      </c>
      <c r="S168" t="str">
        <f>IF(F168="Ignacio", COUNTIF(F$5:F168, "Ignacio"), "")</f>
        <v/>
      </c>
      <c r="T168" t="str">
        <f>IF(F168="Tripulacion", COUNTIF(F$5:F168, "Tripulacion"), "")</f>
        <v/>
      </c>
      <c r="U168" t="str">
        <f>IF(F168="ENAP carga", COUNTIF(F$5:F168, "ENAP carga"), "")</f>
        <v/>
      </c>
    </row>
    <row r="169" spans="13:21">
      <c r="M169" s="22" t="str">
        <f t="shared" si="7"/>
        <v/>
      </c>
      <c r="R169" t="str">
        <f>IF(F169="CJ", COUNTIF(F$5:F169, "CJ"), "")</f>
        <v/>
      </c>
      <c r="S169" t="str">
        <f>IF(F169="Ignacio", COUNTIF(F$5:F169, "Ignacio"), "")</f>
        <v/>
      </c>
      <c r="T169" t="str">
        <f>IF(F169="Tripulacion", COUNTIF(F$5:F169, "Tripulacion"), "")</f>
        <v/>
      </c>
      <c r="U169" t="str">
        <f>IF(F169="ENAP carga", COUNTIF(F$5:F169, "ENAP carga"), "")</f>
        <v/>
      </c>
    </row>
    <row r="170" spans="13:21">
      <c r="M170" s="22" t="str">
        <f t="shared" si="7"/>
        <v/>
      </c>
      <c r="R170" t="str">
        <f>IF(F170="CJ", COUNTIF(F$5:F170, "CJ"), "")</f>
        <v/>
      </c>
      <c r="S170" t="str">
        <f>IF(F170="Ignacio", COUNTIF(F$5:F170, "Ignacio"), "")</f>
        <v/>
      </c>
      <c r="T170" t="str">
        <f>IF(F170="Tripulacion", COUNTIF(F$5:F170, "Tripulacion"), "")</f>
        <v/>
      </c>
      <c r="U170" t="str">
        <f>IF(F170="ENAP carga", COUNTIF(F$5:F170, "ENAP carga"), "")</f>
        <v/>
      </c>
    </row>
    <row r="171" spans="13:21">
      <c r="M171" s="22" t="str">
        <f t="shared" si="7"/>
        <v/>
      </c>
      <c r="R171" t="str">
        <f>IF(F171="CJ", COUNTIF(F$5:F171, "CJ"), "")</f>
        <v/>
      </c>
      <c r="S171" t="str">
        <f>IF(F171="Ignacio", COUNTIF(F$5:F171, "Ignacio"), "")</f>
        <v/>
      </c>
      <c r="T171" t="str">
        <f>IF(F171="Tripulacion", COUNTIF(F$5:F171, "Tripulacion"), "")</f>
        <v/>
      </c>
      <c r="U171" t="str">
        <f>IF(F171="ENAP carga", COUNTIF(F$5:F171, "ENAP carga"), "")</f>
        <v/>
      </c>
    </row>
    <row r="172" spans="13:21">
      <c r="M172" s="22" t="str">
        <f t="shared" si="7"/>
        <v/>
      </c>
      <c r="R172" t="str">
        <f>IF(F172="CJ", COUNTIF(F$5:F172, "CJ"), "")</f>
        <v/>
      </c>
      <c r="S172" t="str">
        <f>IF(F172="Ignacio", COUNTIF(F$5:F172, "Ignacio"), "")</f>
        <v/>
      </c>
      <c r="T172" t="str">
        <f>IF(F172="Tripulacion", COUNTIF(F$5:F172, "Tripulacion"), "")</f>
        <v/>
      </c>
      <c r="U172" t="str">
        <f>IF(F172="ENAP carga", COUNTIF(F$5:F172, "ENAP carga"), "")</f>
        <v/>
      </c>
    </row>
    <row r="173" spans="13:21">
      <c r="M173" s="22" t="str">
        <f t="shared" si="7"/>
        <v/>
      </c>
      <c r="R173" t="str">
        <f>IF(F173="CJ", COUNTIF(F$5:F173, "CJ"), "")</f>
        <v/>
      </c>
      <c r="S173" t="str">
        <f>IF(F173="Ignacio", COUNTIF(F$5:F173, "Ignacio"), "")</f>
        <v/>
      </c>
      <c r="T173" t="str">
        <f>IF(F173="Tripulacion", COUNTIF(F$5:F173, "Tripulacion"), "")</f>
        <v/>
      </c>
      <c r="U173" t="str">
        <f>IF(F173="ENAP carga", COUNTIF(F$5:F173, "ENAP carga"), "")</f>
        <v/>
      </c>
    </row>
    <row r="174" spans="13:21">
      <c r="M174" s="22" t="str">
        <f t="shared" si="7"/>
        <v/>
      </c>
      <c r="R174" t="str">
        <f>IF(F174="CJ", COUNTIF(F$5:F174, "CJ"), "")</f>
        <v/>
      </c>
      <c r="S174" t="str">
        <f>IF(F174="Ignacio", COUNTIF(F$5:F174, "Ignacio"), "")</f>
        <v/>
      </c>
      <c r="T174" t="str">
        <f>IF(F174="Tripulacion", COUNTIF(F$5:F174, "Tripulacion"), "")</f>
        <v/>
      </c>
      <c r="U174" t="str">
        <f>IF(F174="ENAP carga", COUNTIF(F$5:F174, "ENAP carga"), "")</f>
        <v/>
      </c>
    </row>
    <row r="175" spans="13:21">
      <c r="M175" s="22" t="str">
        <f t="shared" si="7"/>
        <v/>
      </c>
      <c r="R175" t="str">
        <f>IF(F175="CJ", COUNTIF(F$5:F175, "CJ"), "")</f>
        <v/>
      </c>
      <c r="S175" t="str">
        <f>IF(F175="Ignacio", COUNTIF(F$5:F175, "Ignacio"), "")</f>
        <v/>
      </c>
      <c r="T175" t="str">
        <f>IF(F175="Tripulacion", COUNTIF(F$5:F175, "Tripulacion"), "")</f>
        <v/>
      </c>
      <c r="U175" t="str">
        <f>IF(F175="ENAP carga", COUNTIF(F$5:F175, "ENAP carga"), "")</f>
        <v/>
      </c>
    </row>
    <row r="176" spans="13:21">
      <c r="M176" s="22" t="str">
        <f t="shared" si="7"/>
        <v/>
      </c>
      <c r="R176" t="str">
        <f>IF(F176="CJ", COUNTIF(F$5:F176, "CJ"), "")</f>
        <v/>
      </c>
      <c r="S176" t="str">
        <f>IF(F176="Ignacio", COUNTIF(F$5:F176, "Ignacio"), "")</f>
        <v/>
      </c>
      <c r="T176" t="str">
        <f>IF(F176="Tripulacion", COUNTIF(F$5:F176, "Tripulacion"), "")</f>
        <v/>
      </c>
      <c r="U176" t="str">
        <f>IF(F176="ENAP carga", COUNTIF(F$5:F176, "ENAP carga"), "")</f>
        <v/>
      </c>
    </row>
    <row r="177" spans="13:21">
      <c r="M177" s="22" t="str">
        <f t="shared" si="7"/>
        <v/>
      </c>
      <c r="R177" t="str">
        <f>IF(F177="CJ", COUNTIF(F$5:F177, "CJ"), "")</f>
        <v/>
      </c>
      <c r="S177" t="str">
        <f>IF(F177="Ignacio", COUNTIF(F$5:F177, "Ignacio"), "")</f>
        <v/>
      </c>
      <c r="T177" t="str">
        <f>IF(F177="Tripulacion", COUNTIF(F$5:F177, "Tripulacion"), "")</f>
        <v/>
      </c>
      <c r="U177" t="str">
        <f>IF(F177="ENAP carga", COUNTIF(F$5:F177, "ENAP carga"), "")</f>
        <v/>
      </c>
    </row>
    <row r="178" spans="13:21">
      <c r="M178" s="22" t="str">
        <f t="shared" si="7"/>
        <v/>
      </c>
      <c r="R178" t="str">
        <f>IF(F178="CJ", COUNTIF(F$5:F178, "CJ"), "")</f>
        <v/>
      </c>
      <c r="S178" t="str">
        <f>IF(F178="Ignacio", COUNTIF(F$5:F178, "Ignacio"), "")</f>
        <v/>
      </c>
      <c r="T178" t="str">
        <f>IF(F178="Tripulacion", COUNTIF(F$5:F178, "Tripulacion"), "")</f>
        <v/>
      </c>
      <c r="U178" t="str">
        <f>IF(F178="ENAP carga", COUNTIF(F$5:F178, "ENAP carga"), "")</f>
        <v/>
      </c>
    </row>
    <row r="179" spans="13:21">
      <c r="M179" s="22" t="str">
        <f t="shared" si="7"/>
        <v/>
      </c>
      <c r="R179" t="str">
        <f>IF(F179="CJ", COUNTIF(F$5:F179, "CJ"), "")</f>
        <v/>
      </c>
      <c r="S179" t="str">
        <f>IF(F179="Ignacio", COUNTIF(F$5:F179, "Ignacio"), "")</f>
        <v/>
      </c>
      <c r="T179" t="str">
        <f>IF(F179="Tripulacion", COUNTIF(F$5:F179, "Tripulacion"), "")</f>
        <v/>
      </c>
      <c r="U179" t="str">
        <f>IF(F179="ENAP carga", COUNTIF(F$5:F179, "ENAP carga"), "")</f>
        <v/>
      </c>
    </row>
    <row r="180" spans="13:21">
      <c r="M180" s="22" t="str">
        <f t="shared" si="7"/>
        <v/>
      </c>
      <c r="R180" t="str">
        <f>IF(F180="CJ", COUNTIF(F$5:F180, "CJ"), "")</f>
        <v/>
      </c>
      <c r="S180" t="str">
        <f>IF(F180="Ignacio", COUNTIF(F$5:F180, "Ignacio"), "")</f>
        <v/>
      </c>
      <c r="T180" t="str">
        <f>IF(F180="Tripulacion", COUNTIF(F$5:F180, "Tripulacion"), "")</f>
        <v/>
      </c>
      <c r="U180" t="str">
        <f>IF(F180="ENAP carga", COUNTIF(F$5:F180, "ENAP carga"), "")</f>
        <v/>
      </c>
    </row>
    <row r="181" spans="13:21">
      <c r="M181" s="22" t="str">
        <f t="shared" si="7"/>
        <v/>
      </c>
      <c r="R181" t="str">
        <f>IF(F181="CJ", COUNTIF(F$5:F181, "CJ"), "")</f>
        <v/>
      </c>
      <c r="S181" t="str">
        <f>IF(F181="Ignacio", COUNTIF(F$5:F181, "Ignacio"), "")</f>
        <v/>
      </c>
      <c r="T181" t="str">
        <f>IF(F181="Tripulacion", COUNTIF(F$5:F181, "Tripulacion"), "")</f>
        <v/>
      </c>
      <c r="U181" t="str">
        <f>IF(F181="ENAP carga", COUNTIF(F$5:F181, "ENAP carga"), "")</f>
        <v/>
      </c>
    </row>
    <row r="182" spans="13:21">
      <c r="M182" s="22" t="str">
        <f t="shared" si="7"/>
        <v/>
      </c>
      <c r="R182" t="str">
        <f>IF(F182="CJ", COUNTIF(F$5:F182, "CJ"), "")</f>
        <v/>
      </c>
      <c r="S182" t="str">
        <f>IF(F182="Ignacio", COUNTIF(F$5:F182, "Ignacio"), "")</f>
        <v/>
      </c>
      <c r="T182" t="str">
        <f>IF(F182="Tripulacion", COUNTIF(F$5:F182, "Tripulacion"), "")</f>
        <v/>
      </c>
      <c r="U182" t="str">
        <f>IF(F182="ENAP carga", COUNTIF(F$5:F182, "ENAP carga"), "")</f>
        <v/>
      </c>
    </row>
    <row r="183" spans="13:21">
      <c r="M183" s="22" t="str">
        <f t="shared" si="7"/>
        <v/>
      </c>
      <c r="R183" t="str">
        <f>IF(F183="CJ", COUNTIF(F$5:F183, "CJ"), "")</f>
        <v/>
      </c>
      <c r="S183" t="str">
        <f>IF(F183="Ignacio", COUNTIF(F$5:F183, "Ignacio"), "")</f>
        <v/>
      </c>
      <c r="T183" t="str">
        <f>IF(F183="Tripulacion", COUNTIF(F$5:F183, "Tripulacion"), "")</f>
        <v/>
      </c>
      <c r="U183" t="str">
        <f>IF(F183="ENAP carga", COUNTIF(F$5:F183, "ENAP carga"), "")</f>
        <v/>
      </c>
    </row>
    <row r="184" spans="13:21">
      <c r="M184" s="22" t="str">
        <f t="shared" si="7"/>
        <v/>
      </c>
      <c r="R184" t="str">
        <f>IF(F184="CJ", COUNTIF(F$5:F184, "CJ"), "")</f>
        <v/>
      </c>
      <c r="S184" t="str">
        <f>IF(F184="Ignacio", COUNTIF(F$5:F184, "Ignacio"), "")</f>
        <v/>
      </c>
      <c r="T184" t="str">
        <f>IF(F184="Tripulacion", COUNTIF(F$5:F184, "Tripulacion"), "")</f>
        <v/>
      </c>
      <c r="U184" t="str">
        <f>IF(F184="ENAP carga", COUNTIF(F$5:F184, "ENAP carga"), "")</f>
        <v/>
      </c>
    </row>
    <row r="185" spans="13:21">
      <c r="M185" s="22" t="str">
        <f t="shared" si="7"/>
        <v/>
      </c>
      <c r="R185" t="str">
        <f>IF(F185="CJ", COUNTIF(F$5:F185, "CJ"), "")</f>
        <v/>
      </c>
      <c r="S185" t="str">
        <f>IF(F185="Ignacio", COUNTIF(F$5:F185, "Ignacio"), "")</f>
        <v/>
      </c>
      <c r="T185" t="str">
        <f>IF(F185="Tripulacion", COUNTIF(F$5:F185, "Tripulacion"), "")</f>
        <v/>
      </c>
      <c r="U185" t="str">
        <f>IF(F185="ENAP carga", COUNTIF(F$5:F185, "ENAP carga"), "")</f>
        <v/>
      </c>
    </row>
    <row r="186" spans="13:21">
      <c r="M186" s="22" t="str">
        <f t="shared" si="7"/>
        <v/>
      </c>
      <c r="R186" t="str">
        <f>IF(F186="CJ", COUNTIF(F$5:F186, "CJ"), "")</f>
        <v/>
      </c>
      <c r="S186" t="str">
        <f>IF(F186="Ignacio", COUNTIF(F$5:F186, "Ignacio"), "")</f>
        <v/>
      </c>
      <c r="T186" t="str">
        <f>IF(F186="Tripulacion", COUNTIF(F$5:F186, "Tripulacion"), "")</f>
        <v/>
      </c>
      <c r="U186" t="str">
        <f>IF(F186="ENAP carga", COUNTIF(F$5:F186, "ENAP carga"), "")</f>
        <v/>
      </c>
    </row>
    <row r="187" spans="13:21">
      <c r="M187" s="22" t="str">
        <f t="shared" si="7"/>
        <v/>
      </c>
      <c r="R187" t="str">
        <f>IF(F187="CJ", COUNTIF(F$5:F187, "CJ"), "")</f>
        <v/>
      </c>
      <c r="S187" t="str">
        <f>IF(F187="Ignacio", COUNTIF(F$5:F187, "Ignacio"), "")</f>
        <v/>
      </c>
      <c r="T187" t="str">
        <f>IF(F187="Tripulacion", COUNTIF(F$5:F187, "Tripulacion"), "")</f>
        <v/>
      </c>
      <c r="U187" t="str">
        <f>IF(F187="ENAP carga", COUNTIF(F$5:F187, "ENAP carga"), "")</f>
        <v/>
      </c>
    </row>
    <row r="188" spans="13:21">
      <c r="M188" s="22" t="str">
        <f t="shared" si="7"/>
        <v/>
      </c>
      <c r="R188" t="str">
        <f>IF(F188="CJ", COUNTIF(F$5:F188, "CJ"), "")</f>
        <v/>
      </c>
      <c r="S188" t="str">
        <f>IF(F188="Ignacio", COUNTIF(F$5:F188, "Ignacio"), "")</f>
        <v/>
      </c>
      <c r="T188" t="str">
        <f>IF(F188="Tripulacion", COUNTIF(F$5:F188, "Tripulacion"), "")</f>
        <v/>
      </c>
      <c r="U188" t="str">
        <f>IF(F188="ENAP carga", COUNTIF(F$5:F188, "ENAP carga"), "")</f>
        <v/>
      </c>
    </row>
    <row r="189" spans="13:21">
      <c r="M189" s="22" t="str">
        <f t="shared" si="7"/>
        <v/>
      </c>
      <c r="R189" t="str">
        <f>IF(F189="CJ", COUNTIF(F$5:F189, "CJ"), "")</f>
        <v/>
      </c>
      <c r="S189" t="str">
        <f>IF(F189="Ignacio", COUNTIF(F$5:F189, "Ignacio"), "")</f>
        <v/>
      </c>
      <c r="T189" t="str">
        <f>IF(F189="Tripulacion", COUNTIF(F$5:F189, "Tripulacion"), "")</f>
        <v/>
      </c>
      <c r="U189" t="str">
        <f>IF(F189="ENAP carga", COUNTIF(F$5:F189, "ENAP carga"), "")</f>
        <v/>
      </c>
    </row>
    <row r="190" spans="13:21">
      <c r="M190" s="22" t="str">
        <f t="shared" si="7"/>
        <v/>
      </c>
      <c r="R190" t="str">
        <f>IF(F190="CJ", COUNTIF(F$5:F190, "CJ"), "")</f>
        <v/>
      </c>
      <c r="S190" t="str">
        <f>IF(F190="Ignacio", COUNTIF(F$5:F190, "Ignacio"), "")</f>
        <v/>
      </c>
      <c r="T190" t="str">
        <f>IF(F190="Tripulacion", COUNTIF(F$5:F190, "Tripulacion"), "")</f>
        <v/>
      </c>
      <c r="U190" t="str">
        <f>IF(F190="ENAP carga", COUNTIF(F$5:F190, "ENAP carga"), "")</f>
        <v/>
      </c>
    </row>
    <row r="191" spans="13:21">
      <c r="M191" s="22" t="str">
        <f t="shared" si="7"/>
        <v/>
      </c>
      <c r="R191" t="str">
        <f>IF(F191="CJ", COUNTIF(F$5:F191, "CJ"), "")</f>
        <v/>
      </c>
      <c r="S191" t="str">
        <f>IF(F191="Ignacio", COUNTIF(F$5:F191, "Ignacio"), "")</f>
        <v/>
      </c>
      <c r="T191" t="str">
        <f>IF(F191="Tripulacion", COUNTIF(F$5:F191, "Tripulacion"), "")</f>
        <v/>
      </c>
      <c r="U191" t="str">
        <f>IF(F191="ENAP carga", COUNTIF(F$5:F191, "ENAP carga"), "")</f>
        <v/>
      </c>
    </row>
    <row r="192" spans="13:21">
      <c r="M192" s="22" t="str">
        <f t="shared" si="7"/>
        <v/>
      </c>
      <c r="R192" t="str">
        <f>IF(F192="CJ", COUNTIF(F$5:F192, "CJ"), "")</f>
        <v/>
      </c>
      <c r="S192" t="str">
        <f>IF(F192="Ignacio", COUNTIF(F$5:F192, "Ignacio"), "")</f>
        <v/>
      </c>
      <c r="T192" t="str">
        <f>IF(F192="Tripulacion", COUNTIF(F$5:F192, "Tripulacion"), "")</f>
        <v/>
      </c>
      <c r="U192" t="str">
        <f>IF(F192="ENAP carga", COUNTIF(F$5:F192, "ENAP carga"), "")</f>
        <v/>
      </c>
    </row>
    <row r="193" spans="13:21">
      <c r="M193" s="22" t="str">
        <f t="shared" si="7"/>
        <v/>
      </c>
      <c r="R193" t="str">
        <f>IF(F193="CJ", COUNTIF(F$5:F193, "CJ"), "")</f>
        <v/>
      </c>
      <c r="S193" t="str">
        <f>IF(F193="Ignacio", COUNTIF(F$5:F193, "Ignacio"), "")</f>
        <v/>
      </c>
      <c r="T193" t="str">
        <f>IF(F193="Tripulacion", COUNTIF(F$5:F193, "Tripulacion"), "")</f>
        <v/>
      </c>
      <c r="U193" t="str">
        <f>IF(F193="ENAP carga", COUNTIF(F$5:F193, "ENAP carga"), "")</f>
        <v/>
      </c>
    </row>
    <row r="194" spans="13:21">
      <c r="M194" s="22" t="str">
        <f t="shared" si="7"/>
        <v/>
      </c>
      <c r="R194" t="str">
        <f>IF(F194="CJ", COUNTIF(F$5:F194, "CJ"), "")</f>
        <v/>
      </c>
      <c r="S194" t="str">
        <f>IF(F194="Ignacio", COUNTIF(F$5:F194, "Ignacio"), "")</f>
        <v/>
      </c>
      <c r="T194" t="str">
        <f>IF(F194="Tripulacion", COUNTIF(F$5:F194, "Tripulacion"), "")</f>
        <v/>
      </c>
      <c r="U194" t="str">
        <f>IF(F194="ENAP carga", COUNTIF(F$5:F194, "ENAP carga"), "")</f>
        <v/>
      </c>
    </row>
    <row r="195" spans="13:21">
      <c r="M195" s="22" t="str">
        <f t="shared" si="7"/>
        <v/>
      </c>
      <c r="R195" t="str">
        <f>IF(F195="CJ", COUNTIF(F$5:F195, "CJ"), "")</f>
        <v/>
      </c>
      <c r="S195" t="str">
        <f>IF(F195="Ignacio", COUNTIF(F$5:F195, "Ignacio"), "")</f>
        <v/>
      </c>
      <c r="T195" t="str">
        <f>IF(F195="Tripulacion", COUNTIF(F$5:F195, "Tripulacion"), "")</f>
        <v/>
      </c>
      <c r="U195" t="str">
        <f>IF(F195="ENAP carga", COUNTIF(F$5:F195, "ENAP carga"), "")</f>
        <v/>
      </c>
    </row>
    <row r="196" spans="13:21">
      <c r="M196" s="22" t="str">
        <f t="shared" si="7"/>
        <v/>
      </c>
      <c r="R196" t="str">
        <f>IF(F196="CJ", COUNTIF(F$5:F196, "CJ"), "")</f>
        <v/>
      </c>
      <c r="S196" t="str">
        <f>IF(F196="Ignacio", COUNTIF(F$5:F196, "Ignacio"), "")</f>
        <v/>
      </c>
      <c r="T196" t="str">
        <f>IF(F196="Tripulacion", COUNTIF(F$5:F196, "Tripulacion"), "")</f>
        <v/>
      </c>
      <c r="U196" t="str">
        <f>IF(F196="ENAP carga", COUNTIF(F$5:F196, "ENAP carga"), "")</f>
        <v/>
      </c>
    </row>
    <row r="197" spans="13:21">
      <c r="M197" s="22" t="str">
        <f t="shared" si="7"/>
        <v/>
      </c>
      <c r="R197" t="str">
        <f>IF(F197="CJ", COUNTIF(F$5:F197, "CJ"), "")</f>
        <v/>
      </c>
      <c r="S197" t="str">
        <f>IF(F197="Ignacio", COUNTIF(F$5:F197, "Ignacio"), "")</f>
        <v/>
      </c>
      <c r="T197" t="str">
        <f>IF(F197="Tripulacion", COUNTIF(F$5:F197, "Tripulacion"), "")</f>
        <v/>
      </c>
      <c r="U197" t="str">
        <f>IF(F197="ENAP carga", COUNTIF(F$5:F197, "ENAP carga"), "")</f>
        <v/>
      </c>
    </row>
    <row r="198" spans="13:21">
      <c r="M198" s="22" t="str">
        <f t="shared" si="7"/>
        <v/>
      </c>
      <c r="R198" t="str">
        <f>IF(F198="CJ", COUNTIF(F$5:F198, "CJ"), "")</f>
        <v/>
      </c>
      <c r="S198" t="str">
        <f>IF(F198="Ignacio", COUNTIF(F$5:F198, "Ignacio"), "")</f>
        <v/>
      </c>
      <c r="T198" t="str">
        <f>IF(F198="Tripulacion", COUNTIF(F$5:F198, "Tripulacion"), "")</f>
        <v/>
      </c>
      <c r="U198" t="str">
        <f>IF(F198="ENAP carga", COUNTIF(F$5:F198, "ENAP carga"), "")</f>
        <v/>
      </c>
    </row>
    <row r="199" spans="13:21">
      <c r="M199" s="22" t="str">
        <f t="shared" si="7"/>
        <v/>
      </c>
      <c r="R199" t="str">
        <f>IF(F199="CJ", COUNTIF(F$5:F199, "CJ"), "")</f>
        <v/>
      </c>
      <c r="S199" t="str">
        <f>IF(F199="Ignacio", COUNTIF(F$5:F199, "Ignacio"), "")</f>
        <v/>
      </c>
      <c r="T199" t="str">
        <f>IF(F199="Tripulacion", COUNTIF(F$5:F199, "Tripulacion"), "")</f>
        <v/>
      </c>
      <c r="U199" t="str">
        <f>IF(F199="ENAP carga", COUNTIF(F$5:F199, "ENAP carga"), "")</f>
        <v/>
      </c>
    </row>
    <row r="200" spans="13:21">
      <c r="M200" s="22" t="str">
        <f t="shared" si="7"/>
        <v/>
      </c>
      <c r="R200" t="str">
        <f>IF(F200="CJ", COUNTIF(F$5:F200, "CJ"), "")</f>
        <v/>
      </c>
      <c r="S200" t="str">
        <f>IF(F200="Ignacio", COUNTIF(F$5:F200, "Ignacio"), "")</f>
        <v/>
      </c>
      <c r="T200" t="str">
        <f>IF(F200="Tripulacion", COUNTIF(F$5:F200, "Tripulacion"), "")</f>
        <v/>
      </c>
      <c r="U200" t="str">
        <f>IF(F200="ENAP carga", COUNTIF(F$5:F200, "ENAP carga"), "")</f>
        <v/>
      </c>
    </row>
    <row r="201" spans="13:21">
      <c r="M201" s="22" t="str">
        <f t="shared" si="7"/>
        <v/>
      </c>
      <c r="R201" t="str">
        <f>IF(F201="CJ", COUNTIF(F$5:F201, "CJ"), "")</f>
        <v/>
      </c>
      <c r="S201" t="str">
        <f>IF(F201="Ignacio", COUNTIF(F$5:F201, "Ignacio"), "")</f>
        <v/>
      </c>
      <c r="T201" t="str">
        <f>IF(F201="Tripulacion", COUNTIF(F$5:F201, "Tripulacion"), "")</f>
        <v/>
      </c>
      <c r="U201" t="str">
        <f>IF(F201="ENAP carga", COUNTIF(F$5:F201, "ENAP carga"), "")</f>
        <v/>
      </c>
    </row>
    <row r="202" spans="13:21">
      <c r="M202" s="22" t="str">
        <f t="shared" si="7"/>
        <v/>
      </c>
      <c r="R202" t="str">
        <f>IF(F202="CJ", COUNTIF(F$5:F202, "CJ"), "")</f>
        <v/>
      </c>
      <c r="S202" t="str">
        <f>IF(F202="Ignacio", COUNTIF(F$5:F202, "Ignacio"), "")</f>
        <v/>
      </c>
      <c r="T202" t="str">
        <f>IF(F202="Tripulacion", COUNTIF(F$5:F202, "Tripulacion"), "")</f>
        <v/>
      </c>
      <c r="U202" t="str">
        <f>IF(F202="ENAP carga", COUNTIF(F$5:F202, "ENAP carga"), "")</f>
        <v/>
      </c>
    </row>
    <row r="203" spans="13:21">
      <c r="M203" s="22" t="str">
        <f t="shared" si="7"/>
        <v/>
      </c>
      <c r="R203" t="str">
        <f>IF(F203="CJ", COUNTIF(F$5:F203, "CJ"), "")</f>
        <v/>
      </c>
      <c r="S203" t="str">
        <f>IF(F203="Ignacio", COUNTIF(F$5:F203, "Ignacio"), "")</f>
        <v/>
      </c>
      <c r="T203" t="str">
        <f>IF(F203="Tripulacion", COUNTIF(F$5:F203, "Tripulacion"), "")</f>
        <v/>
      </c>
      <c r="U203" t="str">
        <f>IF(F203="ENAP carga", COUNTIF(F$5:F203, "ENAP carga"), "")</f>
        <v/>
      </c>
    </row>
    <row r="204" spans="13:21">
      <c r="M204" s="22" t="str">
        <f t="shared" si="7"/>
        <v/>
      </c>
      <c r="R204" t="str">
        <f>IF(F204="CJ", COUNTIF(F$5:F204, "CJ"), "")</f>
        <v/>
      </c>
      <c r="S204" t="str">
        <f>IF(F204="Ignacio", COUNTIF(F$5:F204, "Ignacio"), "")</f>
        <v/>
      </c>
      <c r="T204" t="str">
        <f>IF(F204="Tripulacion", COUNTIF(F$5:F204, "Tripulacion"), "")</f>
        <v/>
      </c>
      <c r="U204" t="str">
        <f>IF(F204="ENAP carga", COUNTIF(F$5:F204, "ENAP carga"), "")</f>
        <v/>
      </c>
    </row>
    <row r="205" spans="13:21">
      <c r="M205" s="22" t="str">
        <f t="shared" si="7"/>
        <v/>
      </c>
      <c r="R205" t="str">
        <f>IF(F205="CJ", COUNTIF(F$5:F205, "CJ"), "")</f>
        <v/>
      </c>
      <c r="S205" t="str">
        <f>IF(F205="Ignacio", COUNTIF(F$5:F205, "Ignacio"), "")</f>
        <v/>
      </c>
      <c r="T205" t="str">
        <f>IF(F205="Tripulacion", COUNTIF(F$5:F205, "Tripulacion"), "")</f>
        <v/>
      </c>
      <c r="U205" t="str">
        <f>IF(F205="ENAP carga", COUNTIF(F$5:F205, "ENAP carga"), "")</f>
        <v/>
      </c>
    </row>
    <row r="206" spans="13:21">
      <c r="M206" s="22" t="str">
        <f t="shared" si="7"/>
        <v/>
      </c>
      <c r="R206" t="str">
        <f>IF(F206="CJ", COUNTIF(F$5:F206, "CJ"), "")</f>
        <v/>
      </c>
      <c r="S206" t="str">
        <f>IF(F206="Ignacio", COUNTIF(F$5:F206, "Ignacio"), "")</f>
        <v/>
      </c>
      <c r="T206" t="str">
        <f>IF(F206="Tripulacion", COUNTIF(F$5:F206, "Tripulacion"), "")</f>
        <v/>
      </c>
      <c r="U206" t="str">
        <f>IF(F206="ENAP carga", COUNTIF(F$5:F206, "ENAP carga"), "")</f>
        <v/>
      </c>
    </row>
    <row r="207" spans="13:21">
      <c r="M207" s="22" t="str">
        <f t="shared" si="7"/>
        <v/>
      </c>
      <c r="R207" t="str">
        <f>IF(F207="CJ", COUNTIF(F$5:F207, "CJ"), "")</f>
        <v/>
      </c>
      <c r="S207" t="str">
        <f>IF(F207="Ignacio", COUNTIF(F$5:F207, "Ignacio"), "")</f>
        <v/>
      </c>
      <c r="T207" t="str">
        <f>IF(F207="Tripulacion", COUNTIF(F$5:F207, "Tripulacion"), "")</f>
        <v/>
      </c>
      <c r="U207" t="str">
        <f>IF(F207="ENAP carga", COUNTIF(F$5:F207, "ENAP carga"), "")</f>
        <v/>
      </c>
    </row>
    <row r="208" spans="13:21">
      <c r="M208" s="22" t="str">
        <f t="shared" si="7"/>
        <v/>
      </c>
      <c r="R208" t="str">
        <f>IF(F208="CJ", COUNTIF(F$5:F208, "CJ"), "")</f>
        <v/>
      </c>
      <c r="S208" t="str">
        <f>IF(F208="Ignacio", COUNTIF(F$5:F208, "Ignacio"), "")</f>
        <v/>
      </c>
      <c r="T208" t="str">
        <f>IF(F208="Tripulacion", COUNTIF(F$5:F208, "Tripulacion"), "")</f>
        <v/>
      </c>
      <c r="U208" t="str">
        <f>IF(F208="ENAP carga", COUNTIF(F$5:F208, "ENAP carga"), "")</f>
        <v/>
      </c>
    </row>
    <row r="209" spans="13:21">
      <c r="M209" s="22" t="str">
        <f t="shared" si="7"/>
        <v/>
      </c>
      <c r="R209" t="str">
        <f>IF(F209="CJ", COUNTIF(F$5:F209, "CJ"), "")</f>
        <v/>
      </c>
      <c r="S209" t="str">
        <f>IF(F209="Ignacio", COUNTIF(F$5:F209, "Ignacio"), "")</f>
        <v/>
      </c>
      <c r="T209" t="str">
        <f>IF(F209="Tripulacion", COUNTIF(F$5:F209, "Tripulacion"), "")</f>
        <v/>
      </c>
      <c r="U209" t="str">
        <f>IF(F209="ENAP carga", COUNTIF(F$5:F209, "ENAP carga"), "")</f>
        <v/>
      </c>
    </row>
    <row r="210" spans="13:21">
      <c r="M210" s="22" t="str">
        <f t="shared" si="7"/>
        <v/>
      </c>
      <c r="R210" t="str">
        <f>IF(F210="CJ", COUNTIF(F$5:F210, "CJ"), "")</f>
        <v/>
      </c>
      <c r="S210" t="str">
        <f>IF(F210="Ignacio", COUNTIF(F$5:F210, "Ignacio"), "")</f>
        <v/>
      </c>
      <c r="T210" t="str">
        <f>IF(F210="Tripulacion", COUNTIF(F$5:F210, "Tripulacion"), "")</f>
        <v/>
      </c>
      <c r="U210" t="str">
        <f>IF(F210="ENAP carga", COUNTIF(F$5:F210, "ENAP carga"), "")</f>
        <v/>
      </c>
    </row>
    <row r="211" spans="13:21">
      <c r="M211" s="22" t="str">
        <f t="shared" si="7"/>
        <v/>
      </c>
      <c r="R211" t="str">
        <f>IF(F211="CJ", COUNTIF(F$5:F211, "CJ"), "")</f>
        <v/>
      </c>
      <c r="S211" t="str">
        <f>IF(F211="Ignacio", COUNTIF(F$5:F211, "Ignacio"), "")</f>
        <v/>
      </c>
      <c r="T211" t="str">
        <f>IF(F211="Tripulacion", COUNTIF(F$5:F211, "Tripulacion"), "")</f>
        <v/>
      </c>
      <c r="U211" t="str">
        <f>IF(F211="ENAP carga", COUNTIF(F$5:F211, "ENAP carga"), "")</f>
        <v/>
      </c>
    </row>
    <row r="212" spans="13:21">
      <c r="M212" s="22" t="str">
        <f t="shared" si="7"/>
        <v/>
      </c>
      <c r="R212" t="str">
        <f>IF(F212="CJ", COUNTIF(F$5:F212, "CJ"), "")</f>
        <v/>
      </c>
      <c r="S212" t="str">
        <f>IF(F212="Ignacio", COUNTIF(F$5:F212, "Ignacio"), "")</f>
        <v/>
      </c>
      <c r="T212" t="str">
        <f>IF(F212="Tripulacion", COUNTIF(F$5:F212, "Tripulacion"), "")</f>
        <v/>
      </c>
      <c r="U212" t="str">
        <f>IF(F212="ENAP carga", COUNTIF(F$5:F212, "ENAP carga"), "")</f>
        <v/>
      </c>
    </row>
    <row r="213" spans="13:21">
      <c r="M213" s="22" t="str">
        <f t="shared" si="7"/>
        <v/>
      </c>
      <c r="R213" t="str">
        <f>IF(F213="CJ", COUNTIF(F$5:F213, "CJ"), "")</f>
        <v/>
      </c>
      <c r="S213" t="str">
        <f>IF(F213="Ignacio", COUNTIF(F$5:F213, "Ignacio"), "")</f>
        <v/>
      </c>
      <c r="T213" t="str">
        <f>IF(F213="Tripulacion", COUNTIF(F$5:F213, "Tripulacion"), "")</f>
        <v/>
      </c>
      <c r="U213" t="str">
        <f>IF(F213="ENAP carga", COUNTIF(F$5:F213, "ENAP carga"), "")</f>
        <v/>
      </c>
    </row>
    <row r="214" spans="13:21">
      <c r="M214" s="22" t="str">
        <f t="shared" si="7"/>
        <v/>
      </c>
      <c r="R214" t="str">
        <f>IF(F214="CJ", COUNTIF(F$5:F214, "CJ"), "")</f>
        <v/>
      </c>
      <c r="S214" t="str">
        <f>IF(F214="Ignacio", COUNTIF(F$5:F214, "Ignacio"), "")</f>
        <v/>
      </c>
      <c r="T214" t="str">
        <f>IF(F214="Tripulacion", COUNTIF(F$5:F214, "Tripulacion"), "")</f>
        <v/>
      </c>
      <c r="U214" t="str">
        <f>IF(F214="ENAP carga", COUNTIF(F$5:F214, "ENAP carga"), "")</f>
        <v/>
      </c>
    </row>
    <row r="215" spans="13:21">
      <c r="M215" s="22" t="str">
        <f t="shared" si="7"/>
        <v/>
      </c>
      <c r="R215" t="str">
        <f>IF(F215="CJ", COUNTIF(F$5:F215, "CJ"), "")</f>
        <v/>
      </c>
      <c r="S215" t="str">
        <f>IF(F215="Ignacio", COUNTIF(F$5:F215, "Ignacio"), "")</f>
        <v/>
      </c>
      <c r="T215" t="str">
        <f>IF(F215="Tripulacion", COUNTIF(F$5:F215, "Tripulacion"), "")</f>
        <v/>
      </c>
      <c r="U215" t="str">
        <f>IF(F215="ENAP carga", COUNTIF(F$5:F215, "ENAP carga"), "")</f>
        <v/>
      </c>
    </row>
    <row r="216" spans="13:21">
      <c r="M216" s="22" t="str">
        <f t="shared" ref="M216:M279" si="8">IF(F216="CJ", I216*200, "")</f>
        <v/>
      </c>
      <c r="R216" t="str">
        <f>IF(F216="CJ", COUNTIF(F$5:F216, "CJ"), "")</f>
        <v/>
      </c>
      <c r="S216" t="str">
        <f>IF(F216="Ignacio", COUNTIF(F$5:F216, "Ignacio"), "")</f>
        <v/>
      </c>
      <c r="T216" t="str">
        <f>IF(F216="Tripulacion", COUNTIF(F$5:F216, "Tripulacion"), "")</f>
        <v/>
      </c>
      <c r="U216" t="str">
        <f>IF(F216="ENAP carga", COUNTIF(F$5:F216, "ENAP carga"), "")</f>
        <v/>
      </c>
    </row>
    <row r="217" spans="13:21">
      <c r="M217" s="22" t="str">
        <f t="shared" si="8"/>
        <v/>
      </c>
      <c r="R217" t="str">
        <f>IF(F217="CJ", COUNTIF(F$5:F217, "CJ"), "")</f>
        <v/>
      </c>
      <c r="S217" t="str">
        <f>IF(F217="Ignacio", COUNTIF(F$5:F217, "Ignacio"), "")</f>
        <v/>
      </c>
      <c r="T217" t="str">
        <f>IF(F217="Tripulacion", COUNTIF(F$5:F217, "Tripulacion"), "")</f>
        <v/>
      </c>
      <c r="U217" t="str">
        <f>IF(F217="ENAP carga", COUNTIF(F$5:F217, "ENAP carga"), "")</f>
        <v/>
      </c>
    </row>
    <row r="218" spans="13:21">
      <c r="M218" s="22" t="str">
        <f t="shared" si="8"/>
        <v/>
      </c>
      <c r="R218" t="str">
        <f>IF(F218="CJ", COUNTIF(F$5:F218, "CJ"), "")</f>
        <v/>
      </c>
      <c r="S218" t="str">
        <f>IF(F218="Ignacio", COUNTIF(F$5:F218, "Ignacio"), "")</f>
        <v/>
      </c>
      <c r="T218" t="str">
        <f>IF(F218="Tripulacion", COUNTIF(F$5:F218, "Tripulacion"), "")</f>
        <v/>
      </c>
      <c r="U218" t="str">
        <f>IF(F218="ENAP carga", COUNTIF(F$5:F218, "ENAP carga"), "")</f>
        <v/>
      </c>
    </row>
    <row r="219" spans="13:21">
      <c r="M219" s="22" t="str">
        <f t="shared" si="8"/>
        <v/>
      </c>
      <c r="R219" t="str">
        <f>IF(F219="CJ", COUNTIF(F$5:F219, "CJ"), "")</f>
        <v/>
      </c>
      <c r="S219" t="str">
        <f>IF(F219="Ignacio", COUNTIF(F$5:F219, "Ignacio"), "")</f>
        <v/>
      </c>
      <c r="T219" t="str">
        <f>IF(F219="Tripulacion", COUNTIF(F$5:F219, "Tripulacion"), "")</f>
        <v/>
      </c>
      <c r="U219" t="str">
        <f>IF(F219="ENAP carga", COUNTIF(F$5:F219, "ENAP carga"), "")</f>
        <v/>
      </c>
    </row>
    <row r="220" spans="13:21">
      <c r="M220" s="22" t="str">
        <f t="shared" si="8"/>
        <v/>
      </c>
      <c r="R220" t="str">
        <f>IF(F220="CJ", COUNTIF(F$5:F220, "CJ"), "")</f>
        <v/>
      </c>
      <c r="S220" t="str">
        <f>IF(F220="Ignacio", COUNTIF(F$5:F220, "Ignacio"), "")</f>
        <v/>
      </c>
      <c r="T220" t="str">
        <f>IF(F220="Tripulacion", COUNTIF(F$5:F220, "Tripulacion"), "")</f>
        <v/>
      </c>
      <c r="U220" t="str">
        <f>IF(F220="ENAP carga", COUNTIF(F$5:F220, "ENAP carga"), "")</f>
        <v/>
      </c>
    </row>
    <row r="221" spans="13:21">
      <c r="M221" s="22" t="str">
        <f t="shared" si="8"/>
        <v/>
      </c>
      <c r="R221" t="str">
        <f>IF(F221="CJ", COUNTIF(F$5:F221, "CJ"), "")</f>
        <v/>
      </c>
      <c r="S221" t="str">
        <f>IF(F221="Ignacio", COUNTIF(F$5:F221, "Ignacio"), "")</f>
        <v/>
      </c>
      <c r="T221" t="str">
        <f>IF(F221="Tripulacion", COUNTIF(F$5:F221, "Tripulacion"), "")</f>
        <v/>
      </c>
      <c r="U221" t="str">
        <f>IF(F221="ENAP carga", COUNTIF(F$5:F221, "ENAP carga"), "")</f>
        <v/>
      </c>
    </row>
    <row r="222" spans="13:21">
      <c r="M222" s="22" t="str">
        <f t="shared" si="8"/>
        <v/>
      </c>
      <c r="R222" t="str">
        <f>IF(F222="CJ", COUNTIF(F$5:F222, "CJ"), "")</f>
        <v/>
      </c>
      <c r="S222" t="str">
        <f>IF(F222="Ignacio", COUNTIF(F$5:F222, "Ignacio"), "")</f>
        <v/>
      </c>
      <c r="T222" t="str">
        <f>IF(F222="Tripulacion", COUNTIF(F$5:F222, "Tripulacion"), "")</f>
        <v/>
      </c>
      <c r="U222" t="str">
        <f>IF(F222="ENAP carga", COUNTIF(F$5:F222, "ENAP carga"), "")</f>
        <v/>
      </c>
    </row>
    <row r="223" spans="13:21">
      <c r="M223" s="22" t="str">
        <f t="shared" si="8"/>
        <v/>
      </c>
      <c r="R223" t="str">
        <f>IF(F223="CJ", COUNTIF(F$5:F223, "CJ"), "")</f>
        <v/>
      </c>
      <c r="S223" t="str">
        <f>IF(F223="Ignacio", COUNTIF(F$5:F223, "Ignacio"), "")</f>
        <v/>
      </c>
      <c r="T223" t="str">
        <f>IF(F223="Tripulacion", COUNTIF(F$5:F223, "Tripulacion"), "")</f>
        <v/>
      </c>
      <c r="U223" t="str">
        <f>IF(F223="ENAP carga", COUNTIF(F$5:F223, "ENAP carga"), "")</f>
        <v/>
      </c>
    </row>
    <row r="224" spans="13:21">
      <c r="M224" s="22" t="str">
        <f t="shared" si="8"/>
        <v/>
      </c>
      <c r="R224" t="str">
        <f>IF(F224="CJ", COUNTIF(F$5:F224, "CJ"), "")</f>
        <v/>
      </c>
      <c r="S224" t="str">
        <f>IF(F224="Ignacio", COUNTIF(F$5:F224, "Ignacio"), "")</f>
        <v/>
      </c>
      <c r="T224" t="str">
        <f>IF(F224="Tripulacion", COUNTIF(F$5:F224, "Tripulacion"), "")</f>
        <v/>
      </c>
      <c r="U224" t="str">
        <f>IF(F224="ENAP carga", COUNTIF(F$5:F224, "ENAP carga"), "")</f>
        <v/>
      </c>
    </row>
    <row r="225" spans="13:21">
      <c r="M225" s="22" t="str">
        <f t="shared" si="8"/>
        <v/>
      </c>
      <c r="R225" t="str">
        <f>IF(F225="CJ", COUNTIF(F$5:F225, "CJ"), "")</f>
        <v/>
      </c>
      <c r="S225" t="str">
        <f>IF(F225="Ignacio", COUNTIF(F$5:F225, "Ignacio"), "")</f>
        <v/>
      </c>
      <c r="T225" t="str">
        <f>IF(F225="Tripulacion", COUNTIF(F$5:F225, "Tripulacion"), "")</f>
        <v/>
      </c>
      <c r="U225" t="str">
        <f>IF(F225="ENAP carga", COUNTIF(F$5:F225, "ENAP carga"), "")</f>
        <v/>
      </c>
    </row>
    <row r="226" spans="13:21">
      <c r="M226" s="22" t="str">
        <f t="shared" si="8"/>
        <v/>
      </c>
      <c r="R226" t="str">
        <f>IF(F226="CJ", COUNTIF(F$5:F226, "CJ"), "")</f>
        <v/>
      </c>
      <c r="S226" t="str">
        <f>IF(F226="Ignacio", COUNTIF(F$5:F226, "Ignacio"), "")</f>
        <v/>
      </c>
      <c r="T226" t="str">
        <f>IF(F226="Tripulacion", COUNTIF(F$5:F226, "Tripulacion"), "")</f>
        <v/>
      </c>
      <c r="U226" t="str">
        <f>IF(F226="ENAP carga", COUNTIF(F$5:F226, "ENAP carga"), "")</f>
        <v/>
      </c>
    </row>
    <row r="227" spans="13:21">
      <c r="M227" s="22" t="str">
        <f t="shared" si="8"/>
        <v/>
      </c>
      <c r="R227" t="str">
        <f>IF(F227="CJ", COUNTIF(F$5:F227, "CJ"), "")</f>
        <v/>
      </c>
      <c r="S227" t="str">
        <f>IF(F227="Ignacio", COUNTIF(F$5:F227, "Ignacio"), "")</f>
        <v/>
      </c>
      <c r="T227" t="str">
        <f>IF(F227="Tripulacion", COUNTIF(F$5:F227, "Tripulacion"), "")</f>
        <v/>
      </c>
      <c r="U227" t="str">
        <f>IF(F227="ENAP carga", COUNTIF(F$5:F227, "ENAP carga"), "")</f>
        <v/>
      </c>
    </row>
    <row r="228" spans="13:21">
      <c r="M228" s="22" t="str">
        <f t="shared" si="8"/>
        <v/>
      </c>
      <c r="R228" t="str">
        <f>IF(F228="CJ", COUNTIF(F$5:F228, "CJ"), "")</f>
        <v/>
      </c>
      <c r="S228" t="str">
        <f>IF(F228="Ignacio", COUNTIF(F$5:F228, "Ignacio"), "")</f>
        <v/>
      </c>
      <c r="T228" t="str">
        <f>IF(F228="Tripulacion", COUNTIF(F$5:F228, "Tripulacion"), "")</f>
        <v/>
      </c>
      <c r="U228" t="str">
        <f>IF(F228="ENAP carga", COUNTIF(F$5:F228, "ENAP carga"), "")</f>
        <v/>
      </c>
    </row>
    <row r="229" spans="13:21">
      <c r="M229" s="22" t="str">
        <f t="shared" si="8"/>
        <v/>
      </c>
      <c r="R229" t="str">
        <f>IF(F229="CJ", COUNTIF(F$5:F229, "CJ"), "")</f>
        <v/>
      </c>
      <c r="S229" t="str">
        <f>IF(F229="Ignacio", COUNTIF(F$5:F229, "Ignacio"), "")</f>
        <v/>
      </c>
      <c r="T229" t="str">
        <f>IF(F229="Tripulacion", COUNTIF(F$5:F229, "Tripulacion"), "")</f>
        <v/>
      </c>
      <c r="U229" t="str">
        <f>IF(F229="ENAP carga", COUNTIF(F$5:F229, "ENAP carga"), "")</f>
        <v/>
      </c>
    </row>
    <row r="230" spans="13:21">
      <c r="M230" s="22" t="str">
        <f t="shared" si="8"/>
        <v/>
      </c>
      <c r="R230" t="str">
        <f>IF(F230="CJ", COUNTIF(F$5:F230, "CJ"), "")</f>
        <v/>
      </c>
      <c r="S230" t="str">
        <f>IF(F230="Ignacio", COUNTIF(F$5:F230, "Ignacio"), "")</f>
        <v/>
      </c>
      <c r="T230" t="str">
        <f>IF(F230="Tripulacion", COUNTIF(F$5:F230, "Tripulacion"), "")</f>
        <v/>
      </c>
      <c r="U230" t="str">
        <f>IF(F230="ENAP carga", COUNTIF(F$5:F230, "ENAP carga"), "")</f>
        <v/>
      </c>
    </row>
    <row r="231" spans="13:21">
      <c r="M231" s="22" t="str">
        <f t="shared" si="8"/>
        <v/>
      </c>
      <c r="R231" t="str">
        <f>IF(F231="CJ", COUNTIF(F$5:F231, "CJ"), "")</f>
        <v/>
      </c>
      <c r="S231" t="str">
        <f>IF(F231="Ignacio", COUNTIF(F$5:F231, "Ignacio"), "")</f>
        <v/>
      </c>
      <c r="T231" t="str">
        <f>IF(F231="Tripulacion", COUNTIF(F$5:F231, "Tripulacion"), "")</f>
        <v/>
      </c>
      <c r="U231" t="str">
        <f>IF(F231="ENAP carga", COUNTIF(F$5:F231, "ENAP carga"), "")</f>
        <v/>
      </c>
    </row>
    <row r="232" spans="13:21">
      <c r="M232" s="22" t="str">
        <f t="shared" si="8"/>
        <v/>
      </c>
      <c r="R232" t="str">
        <f>IF(F232="CJ", COUNTIF(F$5:F232, "CJ"), "")</f>
        <v/>
      </c>
      <c r="S232" t="str">
        <f>IF(F232="Ignacio", COUNTIF(F$5:F232, "Ignacio"), "")</f>
        <v/>
      </c>
      <c r="T232" t="str">
        <f>IF(F232="Tripulacion", COUNTIF(F$5:F232, "Tripulacion"), "")</f>
        <v/>
      </c>
      <c r="U232" t="str">
        <f>IF(F232="ENAP carga", COUNTIF(F$5:F232, "ENAP carga"), "")</f>
        <v/>
      </c>
    </row>
    <row r="233" spans="13:21">
      <c r="M233" s="22" t="str">
        <f t="shared" si="8"/>
        <v/>
      </c>
      <c r="R233" t="str">
        <f>IF(F233="CJ", COUNTIF(F$5:F233, "CJ"), "")</f>
        <v/>
      </c>
      <c r="S233" t="str">
        <f>IF(F233="Ignacio", COUNTIF(F$5:F233, "Ignacio"), "")</f>
        <v/>
      </c>
      <c r="T233" t="str">
        <f>IF(F233="Tripulacion", COUNTIF(F$5:F233, "Tripulacion"), "")</f>
        <v/>
      </c>
      <c r="U233" t="str">
        <f>IF(F233="ENAP carga", COUNTIF(F$5:F233, "ENAP carga"), "")</f>
        <v/>
      </c>
    </row>
    <row r="234" spans="13:21">
      <c r="M234" s="22" t="str">
        <f t="shared" si="8"/>
        <v/>
      </c>
      <c r="R234" t="str">
        <f>IF(F234="CJ", COUNTIF(F$5:F234, "CJ"), "")</f>
        <v/>
      </c>
      <c r="S234" t="str">
        <f>IF(F234="Ignacio", COUNTIF(F$5:F234, "Ignacio"), "")</f>
        <v/>
      </c>
      <c r="T234" t="str">
        <f>IF(F234="Tripulacion", COUNTIF(F$5:F234, "Tripulacion"), "")</f>
        <v/>
      </c>
      <c r="U234" t="str">
        <f>IF(F234="ENAP carga", COUNTIF(F$5:F234, "ENAP carga"), "")</f>
        <v/>
      </c>
    </row>
    <row r="235" spans="13:21">
      <c r="M235" s="22" t="str">
        <f t="shared" si="8"/>
        <v/>
      </c>
      <c r="R235" t="str">
        <f>IF(F235="CJ", COUNTIF(F$5:F235, "CJ"), "")</f>
        <v/>
      </c>
      <c r="S235" t="str">
        <f>IF(F235="Ignacio", COUNTIF(F$5:F235, "Ignacio"), "")</f>
        <v/>
      </c>
      <c r="T235" t="str">
        <f>IF(F235="Tripulacion", COUNTIF(F$5:F235, "Tripulacion"), "")</f>
        <v/>
      </c>
      <c r="U235" t="str">
        <f>IF(F235="ENAP carga", COUNTIF(F$5:F235, "ENAP carga"), "")</f>
        <v/>
      </c>
    </row>
    <row r="236" spans="13:21">
      <c r="M236" s="22" t="str">
        <f t="shared" si="8"/>
        <v/>
      </c>
      <c r="R236" t="str">
        <f>IF(F236="CJ", COUNTIF(F$5:F236, "CJ"), "")</f>
        <v/>
      </c>
      <c r="S236" t="str">
        <f>IF(F236="Ignacio", COUNTIF(F$5:F236, "Ignacio"), "")</f>
        <v/>
      </c>
      <c r="T236" t="str">
        <f>IF(F236="Tripulacion", COUNTIF(F$5:F236, "Tripulacion"), "")</f>
        <v/>
      </c>
      <c r="U236" t="str">
        <f>IF(F236="ENAP carga", COUNTIF(F$5:F236, "ENAP carga"), "")</f>
        <v/>
      </c>
    </row>
    <row r="237" spans="13:21">
      <c r="M237" s="22" t="str">
        <f t="shared" si="8"/>
        <v/>
      </c>
      <c r="R237" t="str">
        <f>IF(F237="CJ", COUNTIF(F$5:F237, "CJ"), "")</f>
        <v/>
      </c>
      <c r="S237" t="str">
        <f>IF(F237="Ignacio", COUNTIF(F$5:F237, "Ignacio"), "")</f>
        <v/>
      </c>
      <c r="T237" t="str">
        <f>IF(F237="Tripulacion", COUNTIF(F$5:F237, "Tripulacion"), "")</f>
        <v/>
      </c>
      <c r="U237" t="str">
        <f>IF(F237="ENAP carga", COUNTIF(F$5:F237, "ENAP carga"), "")</f>
        <v/>
      </c>
    </row>
    <row r="238" spans="13:21">
      <c r="M238" s="22" t="str">
        <f t="shared" si="8"/>
        <v/>
      </c>
      <c r="R238" t="str">
        <f>IF(F238="CJ", COUNTIF(F$5:F238, "CJ"), "")</f>
        <v/>
      </c>
      <c r="S238" t="str">
        <f>IF(F238="Ignacio", COUNTIF(F$5:F238, "Ignacio"), "")</f>
        <v/>
      </c>
      <c r="T238" t="str">
        <f>IF(F238="Tripulacion", COUNTIF(F$5:F238, "Tripulacion"), "")</f>
        <v/>
      </c>
      <c r="U238" t="str">
        <f>IF(F238="ENAP carga", COUNTIF(F$5:F238, "ENAP carga"), "")</f>
        <v/>
      </c>
    </row>
    <row r="239" spans="13:21">
      <c r="M239" s="22" t="str">
        <f t="shared" si="8"/>
        <v/>
      </c>
      <c r="R239" t="str">
        <f>IF(F239="CJ", COUNTIF(F$5:F239, "CJ"), "")</f>
        <v/>
      </c>
      <c r="S239" t="str">
        <f>IF(F239="Ignacio", COUNTIF(F$5:F239, "Ignacio"), "")</f>
        <v/>
      </c>
      <c r="T239" t="str">
        <f>IF(F239="Tripulacion", COUNTIF(F$5:F239, "Tripulacion"), "")</f>
        <v/>
      </c>
      <c r="U239" t="str">
        <f>IF(F239="ENAP carga", COUNTIF(F$5:F239, "ENAP carga"), "")</f>
        <v/>
      </c>
    </row>
    <row r="240" spans="13:21">
      <c r="M240" s="22" t="str">
        <f t="shared" si="8"/>
        <v/>
      </c>
      <c r="R240" t="str">
        <f>IF(F240="CJ", COUNTIF(F$5:F240, "CJ"), "")</f>
        <v/>
      </c>
      <c r="S240" t="str">
        <f>IF(F240="Ignacio", COUNTIF(F$5:F240, "Ignacio"), "")</f>
        <v/>
      </c>
      <c r="T240" t="str">
        <f>IF(F240="Tripulacion", COUNTIF(F$5:F240, "Tripulacion"), "")</f>
        <v/>
      </c>
      <c r="U240" t="str">
        <f>IF(F240="ENAP carga", COUNTIF(F$5:F240, "ENAP carga"), "")</f>
        <v/>
      </c>
    </row>
    <row r="241" spans="13:21">
      <c r="M241" s="22" t="str">
        <f t="shared" si="8"/>
        <v/>
      </c>
      <c r="R241" t="str">
        <f>IF(F241="CJ", COUNTIF(F$5:F241, "CJ"), "")</f>
        <v/>
      </c>
      <c r="S241" t="str">
        <f>IF(F241="Ignacio", COUNTIF(F$5:F241, "Ignacio"), "")</f>
        <v/>
      </c>
      <c r="T241" t="str">
        <f>IF(F241="Tripulacion", COUNTIF(F$5:F241, "Tripulacion"), "")</f>
        <v/>
      </c>
      <c r="U241" t="str">
        <f>IF(F241="ENAP carga", COUNTIF(F$5:F241, "ENAP carga"), "")</f>
        <v/>
      </c>
    </row>
    <row r="242" spans="13:21">
      <c r="M242" s="22" t="str">
        <f t="shared" si="8"/>
        <v/>
      </c>
      <c r="R242" t="str">
        <f>IF(F242="CJ", COUNTIF(F$5:F242, "CJ"), "")</f>
        <v/>
      </c>
      <c r="S242" t="str">
        <f>IF(F242="Ignacio", COUNTIF(F$5:F242, "Ignacio"), "")</f>
        <v/>
      </c>
      <c r="T242" t="str">
        <f>IF(F242="Tripulacion", COUNTIF(F$5:F242, "Tripulacion"), "")</f>
        <v/>
      </c>
      <c r="U242" t="str">
        <f>IF(F242="ENAP carga", COUNTIF(F$5:F242, "ENAP carga"), "")</f>
        <v/>
      </c>
    </row>
    <row r="243" spans="13:21">
      <c r="M243" s="22" t="str">
        <f t="shared" si="8"/>
        <v/>
      </c>
      <c r="R243" t="str">
        <f>IF(F243="CJ", COUNTIF(F$5:F243, "CJ"), "")</f>
        <v/>
      </c>
      <c r="S243" t="str">
        <f>IF(F243="Ignacio", COUNTIF(F$5:F243, "Ignacio"), "")</f>
        <v/>
      </c>
      <c r="T243" t="str">
        <f>IF(F243="Tripulacion", COUNTIF(F$5:F243, "Tripulacion"), "")</f>
        <v/>
      </c>
      <c r="U243" t="str">
        <f>IF(F243="ENAP carga", COUNTIF(F$5:F243, "ENAP carga"), "")</f>
        <v/>
      </c>
    </row>
    <row r="244" spans="13:21">
      <c r="M244" s="22" t="str">
        <f t="shared" si="8"/>
        <v/>
      </c>
      <c r="R244" t="str">
        <f>IF(F244="CJ", COUNTIF(F$5:F244, "CJ"), "")</f>
        <v/>
      </c>
      <c r="S244" t="str">
        <f>IF(F244="Ignacio", COUNTIF(F$5:F244, "Ignacio"), "")</f>
        <v/>
      </c>
      <c r="T244" t="str">
        <f>IF(F244="Tripulacion", COUNTIF(F$5:F244, "Tripulacion"), "")</f>
        <v/>
      </c>
      <c r="U244" t="str">
        <f>IF(F244="ENAP carga", COUNTIF(F$5:F244, "ENAP carga"), "")</f>
        <v/>
      </c>
    </row>
    <row r="245" spans="13:21">
      <c r="M245" s="22" t="str">
        <f t="shared" si="8"/>
        <v/>
      </c>
      <c r="R245" t="str">
        <f>IF(F245="CJ", COUNTIF(F$5:F245, "CJ"), "")</f>
        <v/>
      </c>
      <c r="S245" t="str">
        <f>IF(F245="Ignacio", COUNTIF(F$5:F245, "Ignacio"), "")</f>
        <v/>
      </c>
      <c r="T245" t="str">
        <f>IF(F245="Tripulacion", COUNTIF(F$5:F245, "Tripulacion"), "")</f>
        <v/>
      </c>
      <c r="U245" t="str">
        <f>IF(F245="ENAP carga", COUNTIF(F$5:F245, "ENAP carga"), "")</f>
        <v/>
      </c>
    </row>
    <row r="246" spans="13:21">
      <c r="M246" s="22" t="str">
        <f t="shared" si="8"/>
        <v/>
      </c>
      <c r="R246" t="str">
        <f>IF(F246="CJ", COUNTIF(F$5:F246, "CJ"), "")</f>
        <v/>
      </c>
      <c r="S246" t="str">
        <f>IF(F246="Ignacio", COUNTIF(F$5:F246, "Ignacio"), "")</f>
        <v/>
      </c>
      <c r="T246" t="str">
        <f>IF(F246="Tripulacion", COUNTIF(F$5:F246, "Tripulacion"), "")</f>
        <v/>
      </c>
      <c r="U246" t="str">
        <f>IF(F246="ENAP carga", COUNTIF(F$5:F246, "ENAP carga"), "")</f>
        <v/>
      </c>
    </row>
    <row r="247" spans="13:21">
      <c r="M247" s="22" t="str">
        <f t="shared" si="8"/>
        <v/>
      </c>
      <c r="R247" t="str">
        <f>IF(F247="CJ", COUNTIF(F$5:F247, "CJ"), "")</f>
        <v/>
      </c>
      <c r="S247" t="str">
        <f>IF(F247="Ignacio", COUNTIF(F$5:F247, "Ignacio"), "")</f>
        <v/>
      </c>
      <c r="T247" t="str">
        <f>IF(F247="Tripulacion", COUNTIF(F$5:F247, "Tripulacion"), "")</f>
        <v/>
      </c>
      <c r="U247" t="str">
        <f>IF(F247="ENAP carga", COUNTIF(F$5:F247, "ENAP carga"), "")</f>
        <v/>
      </c>
    </row>
    <row r="248" spans="13:21">
      <c r="M248" s="22" t="str">
        <f t="shared" si="8"/>
        <v/>
      </c>
      <c r="R248" t="str">
        <f>IF(F248="CJ", COUNTIF(F$5:F248, "CJ"), "")</f>
        <v/>
      </c>
      <c r="S248" t="str">
        <f>IF(F248="Ignacio", COUNTIF(F$5:F248, "Ignacio"), "")</f>
        <v/>
      </c>
      <c r="T248" t="str">
        <f>IF(F248="Tripulacion", COUNTIF(F$5:F248, "Tripulacion"), "")</f>
        <v/>
      </c>
      <c r="U248" t="str">
        <f>IF(F248="ENAP carga", COUNTIF(F$5:F248, "ENAP carga"), "")</f>
        <v/>
      </c>
    </row>
    <row r="249" spans="13:21">
      <c r="M249" s="22" t="str">
        <f t="shared" si="8"/>
        <v/>
      </c>
      <c r="R249" t="str">
        <f>IF(F249="CJ", COUNTIF(F$5:F249, "CJ"), "")</f>
        <v/>
      </c>
      <c r="S249" t="str">
        <f>IF(F249="Ignacio", COUNTIF(F$5:F249, "Ignacio"), "")</f>
        <v/>
      </c>
      <c r="T249" t="str">
        <f>IF(F249="Tripulacion", COUNTIF(F$5:F249, "Tripulacion"), "")</f>
        <v/>
      </c>
      <c r="U249" t="str">
        <f>IF(F249="ENAP carga", COUNTIF(F$5:F249, "ENAP carga"), "")</f>
        <v/>
      </c>
    </row>
    <row r="250" spans="13:21">
      <c r="M250" s="22" t="str">
        <f t="shared" si="8"/>
        <v/>
      </c>
      <c r="R250" t="str">
        <f>IF(F250="CJ", COUNTIF(F$5:F250, "CJ"), "")</f>
        <v/>
      </c>
      <c r="S250" t="str">
        <f>IF(F250="Ignacio", COUNTIF(F$5:F250, "Ignacio"), "")</f>
        <v/>
      </c>
      <c r="T250" t="str">
        <f>IF(F250="Tripulacion", COUNTIF(F$5:F250, "Tripulacion"), "")</f>
        <v/>
      </c>
      <c r="U250" t="str">
        <f>IF(F250="ENAP carga", COUNTIF(F$5:F250, "ENAP carga"), "")</f>
        <v/>
      </c>
    </row>
    <row r="251" spans="13:21">
      <c r="M251" s="22" t="str">
        <f t="shared" si="8"/>
        <v/>
      </c>
      <c r="R251" t="str">
        <f>IF(F251="CJ", COUNTIF(F$5:F251, "CJ"), "")</f>
        <v/>
      </c>
      <c r="S251" t="str">
        <f>IF(F251="Ignacio", COUNTIF(F$5:F251, "Ignacio"), "")</f>
        <v/>
      </c>
      <c r="T251" t="str">
        <f>IF(F251="Tripulacion", COUNTIF(F$5:F251, "Tripulacion"), "")</f>
        <v/>
      </c>
      <c r="U251" t="str">
        <f>IF(F251="ENAP carga", COUNTIF(F$5:F251, "ENAP carga"), "")</f>
        <v/>
      </c>
    </row>
    <row r="252" spans="13:21">
      <c r="M252" s="22" t="str">
        <f t="shared" si="8"/>
        <v/>
      </c>
      <c r="R252" t="str">
        <f>IF(F252="CJ", COUNTIF(F$5:F252, "CJ"), "")</f>
        <v/>
      </c>
      <c r="S252" t="str">
        <f>IF(F252="Ignacio", COUNTIF(F$5:F252, "Ignacio"), "")</f>
        <v/>
      </c>
      <c r="T252" t="str">
        <f>IF(F252="Tripulacion", COUNTIF(F$5:F252, "Tripulacion"), "")</f>
        <v/>
      </c>
      <c r="U252" t="str">
        <f>IF(F252="ENAP carga", COUNTIF(F$5:F252, "ENAP carga"), "")</f>
        <v/>
      </c>
    </row>
    <row r="253" spans="13:21">
      <c r="M253" s="22" t="str">
        <f t="shared" si="8"/>
        <v/>
      </c>
      <c r="R253" t="str">
        <f>IF(F253="CJ", COUNTIF(F$5:F253, "CJ"), "")</f>
        <v/>
      </c>
      <c r="S253" t="str">
        <f>IF(F253="Ignacio", COUNTIF(F$5:F253, "Ignacio"), "")</f>
        <v/>
      </c>
      <c r="T253" t="str">
        <f>IF(F253="Tripulacion", COUNTIF(F$5:F253, "Tripulacion"), "")</f>
        <v/>
      </c>
      <c r="U253" t="str">
        <f>IF(F253="ENAP carga", COUNTIF(F$5:F253, "ENAP carga"), "")</f>
        <v/>
      </c>
    </row>
    <row r="254" spans="13:21">
      <c r="M254" s="22" t="str">
        <f t="shared" si="8"/>
        <v/>
      </c>
      <c r="R254" t="str">
        <f>IF(F254="CJ", COUNTIF(F$5:F254, "CJ"), "")</f>
        <v/>
      </c>
      <c r="S254" t="str">
        <f>IF(F254="Ignacio", COUNTIF(F$5:F254, "Ignacio"), "")</f>
        <v/>
      </c>
      <c r="T254" t="str">
        <f>IF(F254="Tripulacion", COUNTIF(F$5:F254, "Tripulacion"), "")</f>
        <v/>
      </c>
      <c r="U254" t="str">
        <f>IF(F254="ENAP carga", COUNTIF(F$5:F254, "ENAP carga"), "")</f>
        <v/>
      </c>
    </row>
    <row r="255" spans="13:21">
      <c r="M255" s="22" t="str">
        <f t="shared" si="8"/>
        <v/>
      </c>
      <c r="R255" t="str">
        <f>IF(F255="CJ", COUNTIF(F$5:F255, "CJ"), "")</f>
        <v/>
      </c>
      <c r="S255" t="str">
        <f>IF(F255="Ignacio", COUNTIF(F$5:F255, "Ignacio"), "")</f>
        <v/>
      </c>
      <c r="T255" t="str">
        <f>IF(F255="Tripulacion", COUNTIF(F$5:F255, "Tripulacion"), "")</f>
        <v/>
      </c>
      <c r="U255" t="str">
        <f>IF(F255="ENAP carga", COUNTIF(F$5:F255, "ENAP carga"), "")</f>
        <v/>
      </c>
    </row>
    <row r="256" spans="13:21">
      <c r="M256" s="22" t="str">
        <f t="shared" si="8"/>
        <v/>
      </c>
      <c r="R256" t="str">
        <f>IF(F256="CJ", COUNTIF(F$5:F256, "CJ"), "")</f>
        <v/>
      </c>
      <c r="S256" t="str">
        <f>IF(F256="Ignacio", COUNTIF(F$5:F256, "Ignacio"), "")</f>
        <v/>
      </c>
      <c r="T256" t="str">
        <f>IF(F256="Tripulacion", COUNTIF(F$5:F256, "Tripulacion"), "")</f>
        <v/>
      </c>
      <c r="U256" t="str">
        <f>IF(F256="ENAP carga", COUNTIF(F$5:F256, "ENAP carga"), "")</f>
        <v/>
      </c>
    </row>
    <row r="257" spans="13:21">
      <c r="M257" s="22" t="str">
        <f t="shared" si="8"/>
        <v/>
      </c>
      <c r="R257" t="str">
        <f>IF(F257="CJ", COUNTIF(F$5:F257, "CJ"), "")</f>
        <v/>
      </c>
      <c r="S257" t="str">
        <f>IF(F257="Ignacio", COUNTIF(F$5:F257, "Ignacio"), "")</f>
        <v/>
      </c>
      <c r="T257" t="str">
        <f>IF(F257="Tripulacion", COUNTIF(F$5:F257, "Tripulacion"), "")</f>
        <v/>
      </c>
      <c r="U257" t="str">
        <f>IF(F257="ENAP carga", COUNTIF(F$5:F257, "ENAP carga"), "")</f>
        <v/>
      </c>
    </row>
    <row r="258" spans="13:21">
      <c r="M258" s="22" t="str">
        <f t="shared" si="8"/>
        <v/>
      </c>
      <c r="R258" t="str">
        <f>IF(F258="CJ", COUNTIF(F$5:F258, "CJ"), "")</f>
        <v/>
      </c>
      <c r="S258" t="str">
        <f>IF(F258="Ignacio", COUNTIF(F$5:F258, "Ignacio"), "")</f>
        <v/>
      </c>
      <c r="T258" t="str">
        <f>IF(F258="Tripulacion", COUNTIF(F$5:F258, "Tripulacion"), "")</f>
        <v/>
      </c>
      <c r="U258" t="str">
        <f>IF(F258="ENAP carga", COUNTIF(F$5:F258, "ENAP carga"), "")</f>
        <v/>
      </c>
    </row>
    <row r="259" spans="13:21">
      <c r="M259" s="22" t="str">
        <f t="shared" si="8"/>
        <v/>
      </c>
      <c r="R259" t="str">
        <f>IF(F259="CJ", COUNTIF(F$5:F259, "CJ"), "")</f>
        <v/>
      </c>
      <c r="S259" t="str">
        <f>IF(F259="Ignacio", COUNTIF(F$5:F259, "Ignacio"), "")</f>
        <v/>
      </c>
      <c r="T259" t="str">
        <f>IF(F259="Tripulacion", COUNTIF(F$5:F259, "Tripulacion"), "")</f>
        <v/>
      </c>
      <c r="U259" t="str">
        <f>IF(F259="ENAP carga", COUNTIF(F$5:F259, "ENAP carga"), "")</f>
        <v/>
      </c>
    </row>
    <row r="260" spans="13:21">
      <c r="M260" s="22" t="str">
        <f t="shared" si="8"/>
        <v/>
      </c>
      <c r="R260" t="str">
        <f>IF(F260="CJ", COUNTIF(F$5:F260, "CJ"), "")</f>
        <v/>
      </c>
      <c r="S260" t="str">
        <f>IF(F260="Ignacio", COUNTIF(F$5:F260, "Ignacio"), "")</f>
        <v/>
      </c>
      <c r="T260" t="str">
        <f>IF(F260="Tripulacion", COUNTIF(F$5:F260, "Tripulacion"), "")</f>
        <v/>
      </c>
      <c r="U260" t="str">
        <f>IF(F260="ENAP carga", COUNTIF(F$5:F260, "ENAP carga"), "")</f>
        <v/>
      </c>
    </row>
    <row r="261" spans="13:21">
      <c r="M261" s="22" t="str">
        <f t="shared" si="8"/>
        <v/>
      </c>
      <c r="R261" t="str">
        <f>IF(F261="CJ", COUNTIF(F$5:F261, "CJ"), "")</f>
        <v/>
      </c>
      <c r="S261" t="str">
        <f>IF(F261="Ignacio", COUNTIF(F$5:F261, "Ignacio"), "")</f>
        <v/>
      </c>
      <c r="T261" t="str">
        <f>IF(F261="Tripulacion", COUNTIF(F$5:F261, "Tripulacion"), "")</f>
        <v/>
      </c>
      <c r="U261" t="str">
        <f>IF(F261="ENAP carga", COUNTIF(F$5:F261, "ENAP carga"), "")</f>
        <v/>
      </c>
    </row>
    <row r="262" spans="13:21">
      <c r="M262" s="22" t="str">
        <f t="shared" si="8"/>
        <v/>
      </c>
      <c r="R262" t="str">
        <f>IF(F262="CJ", COUNTIF(F$5:F262, "CJ"), "")</f>
        <v/>
      </c>
      <c r="S262" t="str">
        <f>IF(F262="Ignacio", COUNTIF(F$5:F262, "Ignacio"), "")</f>
        <v/>
      </c>
      <c r="T262" t="str">
        <f>IF(F262="Tripulacion", COUNTIF(F$5:F262, "Tripulacion"), "")</f>
        <v/>
      </c>
      <c r="U262" t="str">
        <f>IF(F262="ENAP carga", COUNTIF(F$5:F262, "ENAP carga"), "")</f>
        <v/>
      </c>
    </row>
    <row r="263" spans="13:21">
      <c r="M263" s="22" t="str">
        <f t="shared" si="8"/>
        <v/>
      </c>
      <c r="R263" t="str">
        <f>IF(F263="CJ", COUNTIF(F$5:F263, "CJ"), "")</f>
        <v/>
      </c>
      <c r="S263" t="str">
        <f>IF(F263="Ignacio", COUNTIF(F$5:F263, "Ignacio"), "")</f>
        <v/>
      </c>
      <c r="T263" t="str">
        <f>IF(F263="Tripulacion", COUNTIF(F$5:F263, "Tripulacion"), "")</f>
        <v/>
      </c>
      <c r="U263" t="str">
        <f>IF(F263="ENAP carga", COUNTIF(F$5:F263, "ENAP carga"), "")</f>
        <v/>
      </c>
    </row>
    <row r="264" spans="13:21">
      <c r="M264" s="22" t="str">
        <f t="shared" si="8"/>
        <v/>
      </c>
      <c r="R264" t="str">
        <f>IF(F264="CJ", COUNTIF(F$5:F264, "CJ"), "")</f>
        <v/>
      </c>
      <c r="S264" t="str">
        <f>IF(F264="Ignacio", COUNTIF(F$5:F264, "Ignacio"), "")</f>
        <v/>
      </c>
      <c r="T264" t="str">
        <f>IF(F264="Tripulacion", COUNTIF(F$5:F264, "Tripulacion"), "")</f>
        <v/>
      </c>
      <c r="U264" t="str">
        <f>IF(F264="ENAP carga", COUNTIF(F$5:F264, "ENAP carga"), "")</f>
        <v/>
      </c>
    </row>
    <row r="265" spans="13:21">
      <c r="M265" s="22" t="str">
        <f t="shared" si="8"/>
        <v/>
      </c>
      <c r="R265" t="str">
        <f>IF(F265="CJ", COUNTIF(F$5:F265, "CJ"), "")</f>
        <v/>
      </c>
      <c r="S265" t="str">
        <f>IF(F265="Ignacio", COUNTIF(F$5:F265, "Ignacio"), "")</f>
        <v/>
      </c>
      <c r="T265" t="str">
        <f>IF(F265="Tripulacion", COUNTIF(F$5:F265, "Tripulacion"), "")</f>
        <v/>
      </c>
      <c r="U265" t="str">
        <f>IF(F265="ENAP carga", COUNTIF(F$5:F265, "ENAP carga"), "")</f>
        <v/>
      </c>
    </row>
    <row r="266" spans="13:21">
      <c r="M266" s="22" t="str">
        <f t="shared" si="8"/>
        <v/>
      </c>
      <c r="R266" t="str">
        <f>IF(F266="CJ", COUNTIF(F$5:F266, "CJ"), "")</f>
        <v/>
      </c>
      <c r="S266" t="str">
        <f>IF(F266="Ignacio", COUNTIF(F$5:F266, "Ignacio"), "")</f>
        <v/>
      </c>
      <c r="T266" t="str">
        <f>IF(F266="Tripulacion", COUNTIF(F$5:F266, "Tripulacion"), "")</f>
        <v/>
      </c>
      <c r="U266" t="str">
        <f>IF(F266="ENAP carga", COUNTIF(F$5:F266, "ENAP carga"), "")</f>
        <v/>
      </c>
    </row>
    <row r="267" spans="13:21">
      <c r="M267" s="22" t="str">
        <f t="shared" si="8"/>
        <v/>
      </c>
      <c r="R267" t="str">
        <f>IF(F267="CJ", COUNTIF(F$5:F267, "CJ"), "")</f>
        <v/>
      </c>
      <c r="S267" t="str">
        <f>IF(F267="Ignacio", COUNTIF(F$5:F267, "Ignacio"), "")</f>
        <v/>
      </c>
      <c r="T267" t="str">
        <f>IF(F267="Tripulacion", COUNTIF(F$5:F267, "Tripulacion"), "")</f>
        <v/>
      </c>
      <c r="U267" t="str">
        <f>IF(F267="ENAP carga", COUNTIF(F$5:F267, "ENAP carga"), "")</f>
        <v/>
      </c>
    </row>
    <row r="268" spans="13:21">
      <c r="M268" s="22" t="str">
        <f t="shared" si="8"/>
        <v/>
      </c>
      <c r="R268" t="str">
        <f>IF(F268="CJ", COUNTIF(F$5:F268, "CJ"), "")</f>
        <v/>
      </c>
      <c r="S268" t="str">
        <f>IF(F268="Ignacio", COUNTIF(F$5:F268, "Ignacio"), "")</f>
        <v/>
      </c>
      <c r="T268" t="str">
        <f>IF(F268="Tripulacion", COUNTIF(F$5:F268, "Tripulacion"), "")</f>
        <v/>
      </c>
      <c r="U268" t="str">
        <f>IF(F268="ENAP carga", COUNTIF(F$5:F268, "ENAP carga"), "")</f>
        <v/>
      </c>
    </row>
    <row r="269" spans="13:21">
      <c r="M269" s="22" t="str">
        <f t="shared" si="8"/>
        <v/>
      </c>
      <c r="R269" t="str">
        <f>IF(F269="CJ", COUNTIF(F$5:F269, "CJ"), "")</f>
        <v/>
      </c>
      <c r="S269" t="str">
        <f>IF(F269="Ignacio", COUNTIF(F$5:F269, "Ignacio"), "")</f>
        <v/>
      </c>
      <c r="T269" t="str">
        <f>IF(F269="Tripulacion", COUNTIF(F$5:F269, "Tripulacion"), "")</f>
        <v/>
      </c>
      <c r="U269" t="str">
        <f>IF(F269="ENAP carga", COUNTIF(F$5:F269, "ENAP carga"), "")</f>
        <v/>
      </c>
    </row>
    <row r="270" spans="13:21">
      <c r="M270" s="22" t="str">
        <f t="shared" si="8"/>
        <v/>
      </c>
      <c r="R270" t="str">
        <f>IF(F270="CJ", COUNTIF(F$5:F270, "CJ"), "")</f>
        <v/>
      </c>
      <c r="S270" t="str">
        <f>IF(F270="Ignacio", COUNTIF(F$5:F270, "Ignacio"), "")</f>
        <v/>
      </c>
      <c r="T270" t="str">
        <f>IF(F270="Tripulacion", COUNTIF(F$5:F270, "Tripulacion"), "")</f>
        <v/>
      </c>
      <c r="U270" t="str">
        <f>IF(F270="ENAP carga", COUNTIF(F$5:F270, "ENAP carga"), "")</f>
        <v/>
      </c>
    </row>
    <row r="271" spans="13:21">
      <c r="M271" s="22" t="str">
        <f t="shared" si="8"/>
        <v/>
      </c>
      <c r="R271" t="str">
        <f>IF(F271="CJ", COUNTIF(F$5:F271, "CJ"), "")</f>
        <v/>
      </c>
      <c r="S271" t="str">
        <f>IF(F271="Ignacio", COUNTIF(F$5:F271, "Ignacio"), "")</f>
        <v/>
      </c>
      <c r="T271" t="str">
        <f>IF(F271="Tripulacion", COUNTIF(F$5:F271, "Tripulacion"), "")</f>
        <v/>
      </c>
      <c r="U271" t="str">
        <f>IF(F271="ENAP carga", COUNTIF(F$5:F271, "ENAP carga"), "")</f>
        <v/>
      </c>
    </row>
    <row r="272" spans="13:21">
      <c r="M272" s="22" t="str">
        <f t="shared" si="8"/>
        <v/>
      </c>
      <c r="R272" t="str">
        <f>IF(F272="CJ", COUNTIF(F$5:F272, "CJ"), "")</f>
        <v/>
      </c>
      <c r="S272" t="str">
        <f>IF(F272="Ignacio", COUNTIF(F$5:F272, "Ignacio"), "")</f>
        <v/>
      </c>
      <c r="T272" t="str">
        <f>IF(F272="Tripulacion", COUNTIF(F$5:F272, "Tripulacion"), "")</f>
        <v/>
      </c>
      <c r="U272" t="str">
        <f>IF(F272="ENAP carga", COUNTIF(F$5:F272, "ENAP carga"), "")</f>
        <v/>
      </c>
    </row>
    <row r="273" spans="13:21">
      <c r="M273" s="22" t="str">
        <f t="shared" si="8"/>
        <v/>
      </c>
      <c r="R273" t="str">
        <f>IF(F273="CJ", COUNTIF(F$5:F273, "CJ"), "")</f>
        <v/>
      </c>
      <c r="S273" t="str">
        <f>IF(F273="Ignacio", COUNTIF(F$5:F273, "Ignacio"), "")</f>
        <v/>
      </c>
      <c r="T273" t="str">
        <f>IF(F273="Tripulacion", COUNTIF(F$5:F273, "Tripulacion"), "")</f>
        <v/>
      </c>
      <c r="U273" t="str">
        <f>IF(F273="ENAP carga", COUNTIF(F$5:F273, "ENAP carga"), "")</f>
        <v/>
      </c>
    </row>
    <row r="274" spans="13:21">
      <c r="M274" s="22" t="str">
        <f t="shared" si="8"/>
        <v/>
      </c>
      <c r="R274" t="str">
        <f>IF(F274="CJ", COUNTIF(F$5:F274, "CJ"), "")</f>
        <v/>
      </c>
      <c r="S274" t="str">
        <f>IF(F274="Ignacio", COUNTIF(F$5:F274, "Ignacio"), "")</f>
        <v/>
      </c>
      <c r="T274" t="str">
        <f>IF(F274="Tripulacion", COUNTIF(F$5:F274, "Tripulacion"), "")</f>
        <v/>
      </c>
      <c r="U274" t="str">
        <f>IF(F274="ENAP carga", COUNTIF(F$5:F274, "ENAP carga"), "")</f>
        <v/>
      </c>
    </row>
    <row r="275" spans="13:21">
      <c r="M275" s="22" t="str">
        <f t="shared" si="8"/>
        <v/>
      </c>
      <c r="R275" t="str">
        <f>IF(F275="CJ", COUNTIF(F$5:F275, "CJ"), "")</f>
        <v/>
      </c>
      <c r="S275" t="str">
        <f>IF(F275="Ignacio", COUNTIF(F$5:F275, "Ignacio"), "")</f>
        <v/>
      </c>
      <c r="T275" t="str">
        <f>IF(F275="Tripulacion", COUNTIF(F$5:F275, "Tripulacion"), "")</f>
        <v/>
      </c>
      <c r="U275" t="str">
        <f>IF(F275="ENAP carga", COUNTIF(F$5:F275, "ENAP carga"), "")</f>
        <v/>
      </c>
    </row>
    <row r="276" spans="13:21">
      <c r="M276" s="22" t="str">
        <f t="shared" si="8"/>
        <v/>
      </c>
      <c r="R276" t="str">
        <f>IF(F276="CJ", COUNTIF(F$5:F276, "CJ"), "")</f>
        <v/>
      </c>
      <c r="S276" t="str">
        <f>IF(F276="Ignacio", COUNTIF(F$5:F276, "Ignacio"), "")</f>
        <v/>
      </c>
      <c r="T276" t="str">
        <f>IF(F276="Tripulacion", COUNTIF(F$5:F276, "Tripulacion"), "")</f>
        <v/>
      </c>
      <c r="U276" t="str">
        <f>IF(F276="ENAP carga", COUNTIF(F$5:F276, "ENAP carga"), "")</f>
        <v/>
      </c>
    </row>
    <row r="277" spans="13:21">
      <c r="M277" s="22" t="str">
        <f t="shared" si="8"/>
        <v/>
      </c>
      <c r="R277" t="str">
        <f>IF(F277="CJ", COUNTIF(F$5:F277, "CJ"), "")</f>
        <v/>
      </c>
      <c r="S277" t="str">
        <f>IF(F277="Ignacio", COUNTIF(F$5:F277, "Ignacio"), "")</f>
        <v/>
      </c>
      <c r="T277" t="str">
        <f>IF(F277="Tripulacion", COUNTIF(F$5:F277, "Tripulacion"), "")</f>
        <v/>
      </c>
      <c r="U277" t="str">
        <f>IF(F277="ENAP carga", COUNTIF(F$5:F277, "ENAP carga"), "")</f>
        <v/>
      </c>
    </row>
    <row r="278" spans="13:21">
      <c r="M278" s="22" t="str">
        <f t="shared" si="8"/>
        <v/>
      </c>
      <c r="R278" t="str">
        <f>IF(F278="CJ", COUNTIF(F$5:F278, "CJ"), "")</f>
        <v/>
      </c>
      <c r="S278" t="str">
        <f>IF(F278="Ignacio", COUNTIF(F$5:F278, "Ignacio"), "")</f>
        <v/>
      </c>
      <c r="T278" t="str">
        <f>IF(F278="Tripulacion", COUNTIF(F$5:F278, "Tripulacion"), "")</f>
        <v/>
      </c>
      <c r="U278" t="str">
        <f>IF(F278="ENAP carga", COUNTIF(F$5:F278, "ENAP carga"), "")</f>
        <v/>
      </c>
    </row>
    <row r="279" spans="13:21">
      <c r="M279" s="22" t="str">
        <f t="shared" si="8"/>
        <v/>
      </c>
      <c r="R279" t="str">
        <f>IF(F279="CJ", COUNTIF(F$5:F279, "CJ"), "")</f>
        <v/>
      </c>
      <c r="S279" t="str">
        <f>IF(F279="Ignacio", COUNTIF(F$5:F279, "Ignacio"), "")</f>
        <v/>
      </c>
      <c r="T279" t="str">
        <f>IF(F279="Tripulacion", COUNTIF(F$5:F279, "Tripulacion"), "")</f>
        <v/>
      </c>
      <c r="U279" t="str">
        <f>IF(F279="ENAP carga", COUNTIF(F$5:F279, "ENAP carga"), "")</f>
        <v/>
      </c>
    </row>
    <row r="280" spans="13:21">
      <c r="M280" s="22" t="str">
        <f t="shared" ref="M280:M343" si="9">IF(F280="CJ", I280*200, "")</f>
        <v/>
      </c>
      <c r="R280" t="str">
        <f>IF(F280="CJ", COUNTIF(F$5:F280, "CJ"), "")</f>
        <v/>
      </c>
      <c r="S280" t="str">
        <f>IF(F280="Ignacio", COUNTIF(F$5:F280, "Ignacio"), "")</f>
        <v/>
      </c>
      <c r="T280" t="str">
        <f>IF(F280="Tripulacion", COUNTIF(F$5:F280, "Tripulacion"), "")</f>
        <v/>
      </c>
      <c r="U280" t="str">
        <f>IF(F280="ENAP carga", COUNTIF(F$5:F280, "ENAP carga"), "")</f>
        <v/>
      </c>
    </row>
    <row r="281" spans="13:21">
      <c r="M281" s="22" t="str">
        <f t="shared" si="9"/>
        <v/>
      </c>
      <c r="R281" t="str">
        <f>IF(F281="CJ", COUNTIF(F$5:F281, "CJ"), "")</f>
        <v/>
      </c>
      <c r="S281" t="str">
        <f>IF(F281="Ignacio", COUNTIF(F$5:F281, "Ignacio"), "")</f>
        <v/>
      </c>
      <c r="T281" t="str">
        <f>IF(F281="Tripulacion", COUNTIF(F$5:F281, "Tripulacion"), "")</f>
        <v/>
      </c>
      <c r="U281" t="str">
        <f>IF(F281="ENAP carga", COUNTIF(F$5:F281, "ENAP carga"), "")</f>
        <v/>
      </c>
    </row>
    <row r="282" spans="13:21">
      <c r="M282" s="22" t="str">
        <f t="shared" si="9"/>
        <v/>
      </c>
      <c r="R282" t="str">
        <f>IF(F282="CJ", COUNTIF(F$5:F282, "CJ"), "")</f>
        <v/>
      </c>
      <c r="S282" t="str">
        <f>IF(F282="Ignacio", COUNTIF(F$5:F282, "Ignacio"), "")</f>
        <v/>
      </c>
      <c r="T282" t="str">
        <f>IF(F282="Tripulacion", COUNTIF(F$5:F282, "Tripulacion"), "")</f>
        <v/>
      </c>
      <c r="U282" t="str">
        <f>IF(F282="ENAP carga", COUNTIF(F$5:F282, "ENAP carga"), "")</f>
        <v/>
      </c>
    </row>
    <row r="283" spans="13:21">
      <c r="M283" s="22" t="str">
        <f t="shared" si="9"/>
        <v/>
      </c>
      <c r="R283" t="str">
        <f>IF(F283="CJ", COUNTIF(F$5:F283, "CJ"), "")</f>
        <v/>
      </c>
      <c r="S283" t="str">
        <f>IF(F283="Ignacio", COUNTIF(F$5:F283, "Ignacio"), "")</f>
        <v/>
      </c>
      <c r="T283" t="str">
        <f>IF(F283="Tripulacion", COUNTIF(F$5:F283, "Tripulacion"), "")</f>
        <v/>
      </c>
      <c r="U283" t="str">
        <f>IF(F283="ENAP carga", COUNTIF(F$5:F283, "ENAP carga"), "")</f>
        <v/>
      </c>
    </row>
    <row r="284" spans="13:21">
      <c r="M284" s="22" t="str">
        <f t="shared" si="9"/>
        <v/>
      </c>
      <c r="R284" t="str">
        <f>IF(F284="CJ", COUNTIF(F$5:F284, "CJ"), "")</f>
        <v/>
      </c>
      <c r="S284" t="str">
        <f>IF(F284="Ignacio", COUNTIF(F$5:F284, "Ignacio"), "")</f>
        <v/>
      </c>
      <c r="T284" t="str">
        <f>IF(F284="Tripulacion", COUNTIF(F$5:F284, "Tripulacion"), "")</f>
        <v/>
      </c>
      <c r="U284" t="str">
        <f>IF(F284="ENAP carga", COUNTIF(F$5:F284, "ENAP carga"), "")</f>
        <v/>
      </c>
    </row>
    <row r="285" spans="13:21">
      <c r="M285" s="22" t="str">
        <f t="shared" si="9"/>
        <v/>
      </c>
      <c r="R285" t="str">
        <f>IF(F285="CJ", COUNTIF(F$5:F285, "CJ"), "")</f>
        <v/>
      </c>
      <c r="S285" t="str">
        <f>IF(F285="Ignacio", COUNTIF(F$5:F285, "Ignacio"), "")</f>
        <v/>
      </c>
      <c r="T285" t="str">
        <f>IF(F285="Tripulacion", COUNTIF(F$5:F285, "Tripulacion"), "")</f>
        <v/>
      </c>
      <c r="U285" t="str">
        <f>IF(F285="ENAP carga", COUNTIF(F$5:F285, "ENAP carga"), "")</f>
        <v/>
      </c>
    </row>
    <row r="286" spans="13:21">
      <c r="M286" s="22" t="str">
        <f t="shared" si="9"/>
        <v/>
      </c>
      <c r="R286" t="str">
        <f>IF(F286="CJ", COUNTIF(F$5:F286, "CJ"), "")</f>
        <v/>
      </c>
      <c r="S286" t="str">
        <f>IF(F286="Ignacio", COUNTIF(F$5:F286, "Ignacio"), "")</f>
        <v/>
      </c>
      <c r="T286" t="str">
        <f>IF(F286="Tripulacion", COUNTIF(F$5:F286, "Tripulacion"), "")</f>
        <v/>
      </c>
      <c r="U286" t="str">
        <f>IF(F286="ENAP carga", COUNTIF(F$5:F286, "ENAP carga"), "")</f>
        <v/>
      </c>
    </row>
    <row r="287" spans="13:21">
      <c r="M287" s="22" t="str">
        <f t="shared" si="9"/>
        <v/>
      </c>
      <c r="R287" t="str">
        <f>IF(F287="CJ", COUNTIF(F$5:F287, "CJ"), "")</f>
        <v/>
      </c>
      <c r="S287" t="str">
        <f>IF(F287="Ignacio", COUNTIF(F$5:F287, "Ignacio"), "")</f>
        <v/>
      </c>
      <c r="T287" t="str">
        <f>IF(F287="Tripulacion", COUNTIF(F$5:F287, "Tripulacion"), "")</f>
        <v/>
      </c>
      <c r="U287" t="str">
        <f>IF(F287="ENAP carga", COUNTIF(F$5:F287, "ENAP carga"), "")</f>
        <v/>
      </c>
    </row>
    <row r="288" spans="13:21">
      <c r="M288" s="22" t="str">
        <f t="shared" si="9"/>
        <v/>
      </c>
      <c r="R288" t="str">
        <f>IF(F288="CJ", COUNTIF(F$5:F288, "CJ"), "")</f>
        <v/>
      </c>
      <c r="S288" t="str">
        <f>IF(F288="Ignacio", COUNTIF(F$5:F288, "Ignacio"), "")</f>
        <v/>
      </c>
      <c r="T288" t="str">
        <f>IF(F288="Tripulacion", COUNTIF(F$5:F288, "Tripulacion"), "")</f>
        <v/>
      </c>
      <c r="U288" t="str">
        <f>IF(F288="ENAP carga", COUNTIF(F$5:F288, "ENAP carga"), "")</f>
        <v/>
      </c>
    </row>
    <row r="289" spans="13:21">
      <c r="M289" s="22" t="str">
        <f t="shared" si="9"/>
        <v/>
      </c>
      <c r="R289" t="str">
        <f>IF(F289="CJ", COUNTIF(F$5:F289, "CJ"), "")</f>
        <v/>
      </c>
      <c r="S289" t="str">
        <f>IF(F289="Ignacio", COUNTIF(F$5:F289, "Ignacio"), "")</f>
        <v/>
      </c>
      <c r="T289" t="str">
        <f>IF(F289="Tripulacion", COUNTIF(F$5:F289, "Tripulacion"), "")</f>
        <v/>
      </c>
      <c r="U289" t="str">
        <f>IF(F289="ENAP carga", COUNTIF(F$5:F289, "ENAP carga"), "")</f>
        <v/>
      </c>
    </row>
    <row r="290" spans="13:21">
      <c r="M290" s="22" t="str">
        <f t="shared" si="9"/>
        <v/>
      </c>
      <c r="R290" t="str">
        <f>IF(F290="CJ", COUNTIF(F$5:F290, "CJ"), "")</f>
        <v/>
      </c>
      <c r="S290" t="str">
        <f>IF(F290="Ignacio", COUNTIF(F$5:F290, "Ignacio"), "")</f>
        <v/>
      </c>
      <c r="T290" t="str">
        <f>IF(F290="Tripulacion", COUNTIF(F$5:F290, "Tripulacion"), "")</f>
        <v/>
      </c>
      <c r="U290" t="str">
        <f>IF(F290="ENAP carga", COUNTIF(F$5:F290, "ENAP carga"), "")</f>
        <v/>
      </c>
    </row>
    <row r="291" spans="13:21">
      <c r="M291" s="22" t="str">
        <f t="shared" si="9"/>
        <v/>
      </c>
      <c r="R291" t="str">
        <f>IF(F291="CJ", COUNTIF(F$5:F291, "CJ"), "")</f>
        <v/>
      </c>
      <c r="S291" t="str">
        <f>IF(F291="Ignacio", COUNTIF(F$5:F291, "Ignacio"), "")</f>
        <v/>
      </c>
      <c r="T291" t="str">
        <f>IF(F291="Tripulacion", COUNTIF(F$5:F291, "Tripulacion"), "")</f>
        <v/>
      </c>
      <c r="U291" t="str">
        <f>IF(F291="ENAP carga", COUNTIF(F$5:F291, "ENAP carga"), "")</f>
        <v/>
      </c>
    </row>
    <row r="292" spans="13:21">
      <c r="M292" s="22" t="str">
        <f t="shared" si="9"/>
        <v/>
      </c>
      <c r="R292" t="str">
        <f>IF(F292="CJ", COUNTIF(F$5:F292, "CJ"), "")</f>
        <v/>
      </c>
      <c r="S292" t="str">
        <f>IF(F292="Ignacio", COUNTIF(F$5:F292, "Ignacio"), "")</f>
        <v/>
      </c>
      <c r="T292" t="str">
        <f>IF(F292="Tripulacion", COUNTIF(F$5:F292, "Tripulacion"), "")</f>
        <v/>
      </c>
      <c r="U292" t="str">
        <f>IF(F292="ENAP carga", COUNTIF(F$5:F292, "ENAP carga"), "")</f>
        <v/>
      </c>
    </row>
    <row r="293" spans="13:21">
      <c r="M293" s="22" t="str">
        <f t="shared" si="9"/>
        <v/>
      </c>
      <c r="R293" t="str">
        <f>IF(F293="CJ", COUNTIF(F$5:F293, "CJ"), "")</f>
        <v/>
      </c>
      <c r="S293" t="str">
        <f>IF(F293="Ignacio", COUNTIF(F$5:F293, "Ignacio"), "")</f>
        <v/>
      </c>
      <c r="T293" t="str">
        <f>IF(F293="Tripulacion", COUNTIF(F$5:F293, "Tripulacion"), "")</f>
        <v/>
      </c>
      <c r="U293" t="str">
        <f>IF(F293="ENAP carga", COUNTIF(F$5:F293, "ENAP carga"), "")</f>
        <v/>
      </c>
    </row>
    <row r="294" spans="13:21">
      <c r="M294" s="22" t="str">
        <f t="shared" si="9"/>
        <v/>
      </c>
      <c r="R294" t="str">
        <f>IF(F294="CJ", COUNTIF(F$5:F294, "CJ"), "")</f>
        <v/>
      </c>
      <c r="S294" t="str">
        <f>IF(F294="Ignacio", COUNTIF(F$5:F294, "Ignacio"), "")</f>
        <v/>
      </c>
      <c r="T294" t="str">
        <f>IF(F294="Tripulacion", COUNTIF(F$5:F294, "Tripulacion"), "")</f>
        <v/>
      </c>
      <c r="U294" t="str">
        <f>IF(F294="ENAP carga", COUNTIF(F$5:F294, "ENAP carga"), "")</f>
        <v/>
      </c>
    </row>
    <row r="295" spans="13:21">
      <c r="M295" s="22" t="str">
        <f t="shared" si="9"/>
        <v/>
      </c>
      <c r="R295" t="str">
        <f>IF(F295="CJ", COUNTIF(F$5:F295, "CJ"), "")</f>
        <v/>
      </c>
      <c r="S295" t="str">
        <f>IF(F295="Ignacio", COUNTIF(F$5:F295, "Ignacio"), "")</f>
        <v/>
      </c>
      <c r="T295" t="str">
        <f>IF(F295="Tripulacion", COUNTIF(F$5:F295, "Tripulacion"), "")</f>
        <v/>
      </c>
      <c r="U295" t="str">
        <f>IF(F295="ENAP carga", COUNTIF(F$5:F295, "ENAP carga"), "")</f>
        <v/>
      </c>
    </row>
    <row r="296" spans="13:21">
      <c r="M296" s="22" t="str">
        <f t="shared" si="9"/>
        <v/>
      </c>
      <c r="R296" t="str">
        <f>IF(F296="CJ", COUNTIF(F$5:F296, "CJ"), "")</f>
        <v/>
      </c>
      <c r="S296" t="str">
        <f>IF(F296="Ignacio", COUNTIF(F$5:F296, "Ignacio"), "")</f>
        <v/>
      </c>
      <c r="T296" t="str">
        <f>IF(F296="Tripulacion", COUNTIF(F$5:F296, "Tripulacion"), "")</f>
        <v/>
      </c>
      <c r="U296" t="str">
        <f>IF(F296="ENAP carga", COUNTIF(F$5:F296, "ENAP carga"), "")</f>
        <v/>
      </c>
    </row>
    <row r="297" spans="13:21">
      <c r="M297" s="22" t="str">
        <f t="shared" si="9"/>
        <v/>
      </c>
      <c r="R297" t="str">
        <f>IF(F297="CJ", COUNTIF(F$5:F297, "CJ"), "")</f>
        <v/>
      </c>
      <c r="S297" t="str">
        <f>IF(F297="Ignacio", COUNTIF(F$5:F297, "Ignacio"), "")</f>
        <v/>
      </c>
      <c r="T297" t="str">
        <f>IF(F297="Tripulacion", COUNTIF(F$5:F297, "Tripulacion"), "")</f>
        <v/>
      </c>
      <c r="U297" t="str">
        <f>IF(F297="ENAP carga", COUNTIF(F$5:F297, "ENAP carga"), "")</f>
        <v/>
      </c>
    </row>
    <row r="298" spans="13:21">
      <c r="M298" s="22" t="str">
        <f t="shared" si="9"/>
        <v/>
      </c>
      <c r="R298" t="str">
        <f>IF(F298="CJ", COUNTIF(F$5:F298, "CJ"), "")</f>
        <v/>
      </c>
      <c r="S298" t="str">
        <f>IF(F298="Ignacio", COUNTIF(F$5:F298, "Ignacio"), "")</f>
        <v/>
      </c>
      <c r="T298" t="str">
        <f>IF(F298="Tripulacion", COUNTIF(F$5:F298, "Tripulacion"), "")</f>
        <v/>
      </c>
      <c r="U298" t="str">
        <f>IF(F298="ENAP carga", COUNTIF(F$5:F298, "ENAP carga"), "")</f>
        <v/>
      </c>
    </row>
    <row r="299" spans="13:21">
      <c r="M299" s="22" t="str">
        <f t="shared" si="9"/>
        <v/>
      </c>
      <c r="R299" t="str">
        <f>IF(F299="CJ", COUNTIF(F$5:F299, "CJ"), "")</f>
        <v/>
      </c>
      <c r="S299" t="str">
        <f>IF(F299="Ignacio", COUNTIF(F$5:F299, "Ignacio"), "")</f>
        <v/>
      </c>
      <c r="T299" t="str">
        <f>IF(F299="Tripulacion", COUNTIF(F$5:F299, "Tripulacion"), "")</f>
        <v/>
      </c>
      <c r="U299" t="str">
        <f>IF(F299="ENAP carga", COUNTIF(F$5:F299, "ENAP carga"), "")</f>
        <v/>
      </c>
    </row>
    <row r="300" spans="13:21">
      <c r="M300" s="22" t="str">
        <f t="shared" si="9"/>
        <v/>
      </c>
      <c r="R300" t="str">
        <f>IF(F300="CJ", COUNTIF(F$5:F300, "CJ"), "")</f>
        <v/>
      </c>
      <c r="S300" t="str">
        <f>IF(F300="Ignacio", COUNTIF(F$5:F300, "Ignacio"), "")</f>
        <v/>
      </c>
      <c r="T300" t="str">
        <f>IF(F300="Tripulacion", COUNTIF(F$5:F300, "Tripulacion"), "")</f>
        <v/>
      </c>
      <c r="U300" t="str">
        <f>IF(F300="ENAP carga", COUNTIF(F$5:F300, "ENAP carga"), "")</f>
        <v/>
      </c>
    </row>
    <row r="301" spans="13:21">
      <c r="M301" s="22" t="str">
        <f t="shared" si="9"/>
        <v/>
      </c>
      <c r="R301" t="str">
        <f>IF(F301="CJ", COUNTIF(F$5:F301, "CJ"), "")</f>
        <v/>
      </c>
      <c r="S301" t="str">
        <f>IF(F301="Ignacio", COUNTIF(F$5:F301, "Ignacio"), "")</f>
        <v/>
      </c>
      <c r="T301" t="str">
        <f>IF(F301="Tripulacion", COUNTIF(F$5:F301, "Tripulacion"), "")</f>
        <v/>
      </c>
      <c r="U301" t="str">
        <f>IF(F301="ENAP carga", COUNTIF(F$5:F301, "ENAP carga"), "")</f>
        <v/>
      </c>
    </row>
    <row r="302" spans="13:21">
      <c r="M302" s="22" t="str">
        <f t="shared" si="9"/>
        <v/>
      </c>
      <c r="R302" t="str">
        <f>IF(F302="CJ", COUNTIF(F$5:F302, "CJ"), "")</f>
        <v/>
      </c>
      <c r="S302" t="str">
        <f>IF(F302="Ignacio", COUNTIF(F$5:F302, "Ignacio"), "")</f>
        <v/>
      </c>
      <c r="T302" t="str">
        <f>IF(F302="Tripulacion", COUNTIF(F$5:F302, "Tripulacion"), "")</f>
        <v/>
      </c>
      <c r="U302" t="str">
        <f>IF(F302="ENAP carga", COUNTIF(F$5:F302, "ENAP carga"), "")</f>
        <v/>
      </c>
    </row>
    <row r="303" spans="13:21">
      <c r="M303" s="22" t="str">
        <f t="shared" si="9"/>
        <v/>
      </c>
      <c r="R303" t="str">
        <f>IF(F303="CJ", COUNTIF(F$5:F303, "CJ"), "")</f>
        <v/>
      </c>
      <c r="S303" t="str">
        <f>IF(F303="Ignacio", COUNTIF(F$5:F303, "Ignacio"), "")</f>
        <v/>
      </c>
      <c r="T303" t="str">
        <f>IF(F303="Tripulacion", COUNTIF(F$5:F303, "Tripulacion"), "")</f>
        <v/>
      </c>
      <c r="U303" t="str">
        <f>IF(F303="ENAP carga", COUNTIF(F$5:F303, "ENAP carga"), "")</f>
        <v/>
      </c>
    </row>
    <row r="304" spans="13:21">
      <c r="M304" s="22" t="str">
        <f t="shared" si="9"/>
        <v/>
      </c>
      <c r="R304" t="str">
        <f>IF(F304="CJ", COUNTIF(F$5:F304, "CJ"), "")</f>
        <v/>
      </c>
      <c r="S304" t="str">
        <f>IF(F304="Ignacio", COUNTIF(F$5:F304, "Ignacio"), "")</f>
        <v/>
      </c>
      <c r="T304" t="str">
        <f>IF(F304="Tripulacion", COUNTIF(F$5:F304, "Tripulacion"), "")</f>
        <v/>
      </c>
      <c r="U304" t="str">
        <f>IF(F304="ENAP carga", COUNTIF(F$5:F304, "ENAP carga"), "")</f>
        <v/>
      </c>
    </row>
    <row r="305" spans="13:21">
      <c r="M305" s="22" t="str">
        <f t="shared" si="9"/>
        <v/>
      </c>
      <c r="R305" t="str">
        <f>IF(F305="CJ", COUNTIF(F$5:F305, "CJ"), "")</f>
        <v/>
      </c>
      <c r="S305" t="str">
        <f>IF(F305="Ignacio", COUNTIF(F$5:F305, "Ignacio"), "")</f>
        <v/>
      </c>
      <c r="T305" t="str">
        <f>IF(F305="Tripulacion", COUNTIF(F$5:F305, "Tripulacion"), "")</f>
        <v/>
      </c>
      <c r="U305" t="str">
        <f>IF(F305="ENAP carga", COUNTIF(F$5:F305, "ENAP carga"), "")</f>
        <v/>
      </c>
    </row>
    <row r="306" spans="13:21">
      <c r="M306" s="22" t="str">
        <f t="shared" si="9"/>
        <v/>
      </c>
      <c r="R306" t="str">
        <f>IF(F306="CJ", COUNTIF(F$5:F306, "CJ"), "")</f>
        <v/>
      </c>
      <c r="S306" t="str">
        <f>IF(F306="Ignacio", COUNTIF(F$5:F306, "Ignacio"), "")</f>
        <v/>
      </c>
      <c r="T306" t="str">
        <f>IF(F306="Tripulacion", COUNTIF(F$5:F306, "Tripulacion"), "")</f>
        <v/>
      </c>
      <c r="U306" t="str">
        <f>IF(F306="ENAP carga", COUNTIF(F$5:F306, "ENAP carga"), "")</f>
        <v/>
      </c>
    </row>
    <row r="307" spans="13:21">
      <c r="M307" s="22" t="str">
        <f t="shared" si="9"/>
        <v/>
      </c>
      <c r="R307" t="str">
        <f>IF(F307="CJ", COUNTIF(F$5:F307, "CJ"), "")</f>
        <v/>
      </c>
      <c r="S307" t="str">
        <f>IF(F307="Ignacio", COUNTIF(F$5:F307, "Ignacio"), "")</f>
        <v/>
      </c>
      <c r="T307" t="str">
        <f>IF(F307="Tripulacion", COUNTIF(F$5:F307, "Tripulacion"), "")</f>
        <v/>
      </c>
      <c r="U307" t="str">
        <f>IF(F307="ENAP carga", COUNTIF(F$5:F307, "ENAP carga"), "")</f>
        <v/>
      </c>
    </row>
    <row r="308" spans="13:21">
      <c r="M308" s="22" t="str">
        <f t="shared" si="9"/>
        <v/>
      </c>
      <c r="R308" t="str">
        <f>IF(F308="CJ", COUNTIF(F$5:F308, "CJ"), "")</f>
        <v/>
      </c>
      <c r="S308" t="str">
        <f>IF(F308="Ignacio", COUNTIF(F$5:F308, "Ignacio"), "")</f>
        <v/>
      </c>
      <c r="T308" t="str">
        <f>IF(F308="Tripulacion", COUNTIF(F$5:F308, "Tripulacion"), "")</f>
        <v/>
      </c>
      <c r="U308" t="str">
        <f>IF(F308="ENAP carga", COUNTIF(F$5:F308, "ENAP carga"), "")</f>
        <v/>
      </c>
    </row>
    <row r="309" spans="13:21">
      <c r="M309" s="22" t="str">
        <f t="shared" si="9"/>
        <v/>
      </c>
      <c r="R309" t="str">
        <f>IF(F309="CJ", COUNTIF(F$5:F309, "CJ"), "")</f>
        <v/>
      </c>
      <c r="S309" t="str">
        <f>IF(F309="Ignacio", COUNTIF(F$5:F309, "Ignacio"), "")</f>
        <v/>
      </c>
      <c r="T309" t="str">
        <f>IF(F309="Tripulacion", COUNTIF(F$5:F309, "Tripulacion"), "")</f>
        <v/>
      </c>
      <c r="U309" t="str">
        <f>IF(F309="ENAP carga", COUNTIF(F$5:F309, "ENAP carga"), "")</f>
        <v/>
      </c>
    </row>
    <row r="310" spans="13:21">
      <c r="M310" s="22" t="str">
        <f t="shared" si="9"/>
        <v/>
      </c>
      <c r="R310" t="str">
        <f>IF(F310="CJ", COUNTIF(F$5:F310, "CJ"), "")</f>
        <v/>
      </c>
      <c r="S310" t="str">
        <f>IF(F310="Ignacio", COUNTIF(F$5:F310, "Ignacio"), "")</f>
        <v/>
      </c>
      <c r="T310" t="str">
        <f>IF(F310="Tripulacion", COUNTIF(F$5:F310, "Tripulacion"), "")</f>
        <v/>
      </c>
      <c r="U310" t="str">
        <f>IF(F310="ENAP carga", COUNTIF(F$5:F310, "ENAP carga"), "")</f>
        <v/>
      </c>
    </row>
    <row r="311" spans="13:21">
      <c r="M311" s="22" t="str">
        <f t="shared" si="9"/>
        <v/>
      </c>
      <c r="R311" t="str">
        <f>IF(F311="CJ", COUNTIF(F$5:F311, "CJ"), "")</f>
        <v/>
      </c>
      <c r="S311" t="str">
        <f>IF(F311="Ignacio", COUNTIF(F$5:F311, "Ignacio"), "")</f>
        <v/>
      </c>
      <c r="T311" t="str">
        <f>IF(F311="Tripulacion", COUNTIF(F$5:F311, "Tripulacion"), "")</f>
        <v/>
      </c>
      <c r="U311" t="str">
        <f>IF(F311="ENAP carga", COUNTIF(F$5:F311, "ENAP carga"), "")</f>
        <v/>
      </c>
    </row>
    <row r="312" spans="13:21">
      <c r="M312" s="22" t="str">
        <f t="shared" si="9"/>
        <v/>
      </c>
      <c r="R312" t="str">
        <f>IF(F312="CJ", COUNTIF(F$5:F312, "CJ"), "")</f>
        <v/>
      </c>
      <c r="S312" t="str">
        <f>IF(F312="Ignacio", COUNTIF(F$5:F312, "Ignacio"), "")</f>
        <v/>
      </c>
      <c r="T312" t="str">
        <f>IF(F312="Tripulacion", COUNTIF(F$5:F312, "Tripulacion"), "")</f>
        <v/>
      </c>
      <c r="U312" t="str">
        <f>IF(F312="ENAP carga", COUNTIF(F$5:F312, "ENAP carga"), "")</f>
        <v/>
      </c>
    </row>
    <row r="313" spans="13:21">
      <c r="M313" s="22" t="str">
        <f t="shared" si="9"/>
        <v/>
      </c>
      <c r="R313" t="str">
        <f>IF(F313="CJ", COUNTIF(F$5:F313, "CJ"), "")</f>
        <v/>
      </c>
      <c r="S313" t="str">
        <f>IF(F313="Ignacio", COUNTIF(F$5:F313, "Ignacio"), "")</f>
        <v/>
      </c>
      <c r="T313" t="str">
        <f>IF(F313="Tripulacion", COUNTIF(F$5:F313, "Tripulacion"), "")</f>
        <v/>
      </c>
      <c r="U313" t="str">
        <f>IF(F313="ENAP carga", COUNTIF(F$5:F313, "ENAP carga"), "")</f>
        <v/>
      </c>
    </row>
    <row r="314" spans="13:21">
      <c r="M314" s="22" t="str">
        <f t="shared" si="9"/>
        <v/>
      </c>
      <c r="R314" t="str">
        <f>IF(F314="CJ", COUNTIF(F$5:F314, "CJ"), "")</f>
        <v/>
      </c>
      <c r="S314" t="str">
        <f>IF(F314="Ignacio", COUNTIF(F$5:F314, "Ignacio"), "")</f>
        <v/>
      </c>
      <c r="T314" t="str">
        <f>IF(F314="Tripulacion", COUNTIF(F$5:F314, "Tripulacion"), "")</f>
        <v/>
      </c>
      <c r="U314" t="str">
        <f>IF(F314="ENAP carga", COUNTIF(F$5:F314, "ENAP carga"), "")</f>
        <v/>
      </c>
    </row>
    <row r="315" spans="13:21">
      <c r="M315" s="22" t="str">
        <f t="shared" si="9"/>
        <v/>
      </c>
      <c r="R315" t="str">
        <f>IF(F315="CJ", COUNTIF(F$5:F315, "CJ"), "")</f>
        <v/>
      </c>
      <c r="S315" t="str">
        <f>IF(F315="Ignacio", COUNTIF(F$5:F315, "Ignacio"), "")</f>
        <v/>
      </c>
      <c r="T315" t="str">
        <f>IF(F315="Tripulacion", COUNTIF(F$5:F315, "Tripulacion"), "")</f>
        <v/>
      </c>
      <c r="U315" t="str">
        <f>IF(F315="ENAP carga", COUNTIF(F$5:F315, "ENAP carga"), "")</f>
        <v/>
      </c>
    </row>
    <row r="316" spans="13:21">
      <c r="M316" s="22" t="str">
        <f t="shared" si="9"/>
        <v/>
      </c>
      <c r="R316" t="str">
        <f>IF(F316="CJ", COUNTIF(F$5:F316, "CJ"), "")</f>
        <v/>
      </c>
      <c r="S316" t="str">
        <f>IF(F316="Ignacio", COUNTIF(F$5:F316, "Ignacio"), "")</f>
        <v/>
      </c>
      <c r="T316" t="str">
        <f>IF(F316="Tripulacion", COUNTIF(F$5:F316, "Tripulacion"), "")</f>
        <v/>
      </c>
      <c r="U316" t="str">
        <f>IF(F316="ENAP carga", COUNTIF(F$5:F316, "ENAP carga"), "")</f>
        <v/>
      </c>
    </row>
    <row r="317" spans="13:21">
      <c r="M317" s="22" t="str">
        <f t="shared" si="9"/>
        <v/>
      </c>
      <c r="R317" t="str">
        <f>IF(F317="CJ", COUNTIF(F$5:F317, "CJ"), "")</f>
        <v/>
      </c>
      <c r="S317" t="str">
        <f>IF(F317="Ignacio", COUNTIF(F$5:F317, "Ignacio"), "")</f>
        <v/>
      </c>
      <c r="T317" t="str">
        <f>IF(F317="Tripulacion", COUNTIF(F$5:F317, "Tripulacion"), "")</f>
        <v/>
      </c>
      <c r="U317" t="str">
        <f>IF(F317="ENAP carga", COUNTIF(F$5:F317, "ENAP carga"), "")</f>
        <v/>
      </c>
    </row>
    <row r="318" spans="13:21">
      <c r="M318" s="22" t="str">
        <f t="shared" si="9"/>
        <v/>
      </c>
      <c r="R318" t="str">
        <f>IF(F318="CJ", COUNTIF(F$5:F318, "CJ"), "")</f>
        <v/>
      </c>
      <c r="S318" t="str">
        <f>IF(F318="Ignacio", COUNTIF(F$5:F318, "Ignacio"), "")</f>
        <v/>
      </c>
      <c r="T318" t="str">
        <f>IF(F318="Tripulacion", COUNTIF(F$5:F318, "Tripulacion"), "")</f>
        <v/>
      </c>
      <c r="U318" t="str">
        <f>IF(F318="ENAP carga", COUNTIF(F$5:F318, "ENAP carga"), "")</f>
        <v/>
      </c>
    </row>
    <row r="319" spans="13:21">
      <c r="M319" s="22" t="str">
        <f t="shared" si="9"/>
        <v/>
      </c>
      <c r="R319" t="str">
        <f>IF(F319="CJ", COUNTIF(F$5:F319, "CJ"), "")</f>
        <v/>
      </c>
      <c r="S319" t="str">
        <f>IF(F319="Ignacio", COUNTIF(F$5:F319, "Ignacio"), "")</f>
        <v/>
      </c>
      <c r="T319" t="str">
        <f>IF(F319="Tripulacion", COUNTIF(F$5:F319, "Tripulacion"), "")</f>
        <v/>
      </c>
      <c r="U319" t="str">
        <f>IF(F319="ENAP carga", COUNTIF(F$5:F319, "ENAP carga"), "")</f>
        <v/>
      </c>
    </row>
    <row r="320" spans="13:21">
      <c r="M320" s="22" t="str">
        <f t="shared" si="9"/>
        <v/>
      </c>
      <c r="R320" t="str">
        <f>IF(F320="CJ", COUNTIF(F$5:F320, "CJ"), "")</f>
        <v/>
      </c>
      <c r="S320" t="str">
        <f>IF(F320="Ignacio", COUNTIF(F$5:F320, "Ignacio"), "")</f>
        <v/>
      </c>
      <c r="T320" t="str">
        <f>IF(F320="Tripulacion", COUNTIF(F$5:F320, "Tripulacion"), "")</f>
        <v/>
      </c>
      <c r="U320" t="str">
        <f>IF(F320="ENAP carga", COUNTIF(F$5:F320, "ENAP carga"), "")</f>
        <v/>
      </c>
    </row>
    <row r="321" spans="13:21">
      <c r="M321" s="22" t="str">
        <f t="shared" si="9"/>
        <v/>
      </c>
      <c r="R321" t="str">
        <f>IF(F321="CJ", COUNTIF(F$5:F321, "CJ"), "")</f>
        <v/>
      </c>
      <c r="S321" t="str">
        <f>IF(F321="Ignacio", COUNTIF(F$5:F321, "Ignacio"), "")</f>
        <v/>
      </c>
      <c r="T321" t="str">
        <f>IF(F321="Tripulacion", COUNTIF(F$5:F321, "Tripulacion"), "")</f>
        <v/>
      </c>
      <c r="U321" t="str">
        <f>IF(F321="ENAP carga", COUNTIF(F$5:F321, "ENAP carga"), "")</f>
        <v/>
      </c>
    </row>
    <row r="322" spans="13:21">
      <c r="M322" s="22" t="str">
        <f t="shared" si="9"/>
        <v/>
      </c>
      <c r="R322" t="str">
        <f>IF(F322="CJ", COUNTIF(F$5:F322, "CJ"), "")</f>
        <v/>
      </c>
      <c r="S322" t="str">
        <f>IF(F322="Ignacio", COUNTIF(F$5:F322, "Ignacio"), "")</f>
        <v/>
      </c>
      <c r="T322" t="str">
        <f>IF(F322="Tripulacion", COUNTIF(F$5:F322, "Tripulacion"), "")</f>
        <v/>
      </c>
      <c r="U322" t="str">
        <f>IF(F322="ENAP carga", COUNTIF(F$5:F322, "ENAP carga"), "")</f>
        <v/>
      </c>
    </row>
    <row r="323" spans="13:21">
      <c r="M323" s="22" t="str">
        <f t="shared" si="9"/>
        <v/>
      </c>
      <c r="R323" t="str">
        <f>IF(F323="CJ", COUNTIF(F$5:F323, "CJ"), "")</f>
        <v/>
      </c>
      <c r="S323" t="str">
        <f>IF(F323="Ignacio", COUNTIF(F$5:F323, "Ignacio"), "")</f>
        <v/>
      </c>
      <c r="T323" t="str">
        <f>IF(F323="Tripulacion", COUNTIF(F$5:F323, "Tripulacion"), "")</f>
        <v/>
      </c>
      <c r="U323" t="str">
        <f>IF(F323="ENAP carga", COUNTIF(F$5:F323, "ENAP carga"), "")</f>
        <v/>
      </c>
    </row>
    <row r="324" spans="13:21">
      <c r="M324" s="22" t="str">
        <f t="shared" si="9"/>
        <v/>
      </c>
      <c r="R324" t="str">
        <f>IF(F324="CJ", COUNTIF(F$5:F324, "CJ"), "")</f>
        <v/>
      </c>
      <c r="S324" t="str">
        <f>IF(F324="Ignacio", COUNTIF(F$5:F324, "Ignacio"), "")</f>
        <v/>
      </c>
      <c r="T324" t="str">
        <f>IF(F324="Tripulacion", COUNTIF(F$5:F324, "Tripulacion"), "")</f>
        <v/>
      </c>
      <c r="U324" t="str">
        <f>IF(F324="ENAP carga", COUNTIF(F$5:F324, "ENAP carga"), "")</f>
        <v/>
      </c>
    </row>
    <row r="325" spans="13:21">
      <c r="M325" s="22" t="str">
        <f t="shared" si="9"/>
        <v/>
      </c>
      <c r="R325" t="str">
        <f>IF(F325="CJ", COUNTIF(F$5:F325, "CJ"), "")</f>
        <v/>
      </c>
      <c r="S325" t="str">
        <f>IF(F325="Ignacio", COUNTIF(F$5:F325, "Ignacio"), "")</f>
        <v/>
      </c>
      <c r="T325" t="str">
        <f>IF(F325="Tripulacion", COUNTIF(F$5:F325, "Tripulacion"), "")</f>
        <v/>
      </c>
      <c r="U325" t="str">
        <f>IF(F325="ENAP carga", COUNTIF(F$5:F325, "ENAP carga"), "")</f>
        <v/>
      </c>
    </row>
    <row r="326" spans="13:21">
      <c r="M326" s="22" t="str">
        <f t="shared" si="9"/>
        <v/>
      </c>
      <c r="R326" t="str">
        <f>IF(F326="CJ", COUNTIF(F$5:F326, "CJ"), "")</f>
        <v/>
      </c>
      <c r="S326" t="str">
        <f>IF(F326="Ignacio", COUNTIF(F$5:F326, "Ignacio"), "")</f>
        <v/>
      </c>
      <c r="T326" t="str">
        <f>IF(F326="Tripulacion", COUNTIF(F$5:F326, "Tripulacion"), "")</f>
        <v/>
      </c>
      <c r="U326" t="str">
        <f>IF(F326="ENAP carga", COUNTIF(F$5:F326, "ENAP carga"), "")</f>
        <v/>
      </c>
    </row>
    <row r="327" spans="13:21">
      <c r="M327" s="22" t="str">
        <f t="shared" si="9"/>
        <v/>
      </c>
      <c r="R327" t="str">
        <f>IF(F327="CJ", COUNTIF(F$5:F327, "CJ"), "")</f>
        <v/>
      </c>
      <c r="S327" t="str">
        <f>IF(F327="Ignacio", COUNTIF(F$5:F327, "Ignacio"), "")</f>
        <v/>
      </c>
      <c r="T327" t="str">
        <f>IF(F327="Tripulacion", COUNTIF(F$5:F327, "Tripulacion"), "")</f>
        <v/>
      </c>
      <c r="U327" t="str">
        <f>IF(F327="ENAP carga", COUNTIF(F$5:F327, "ENAP carga"), "")</f>
        <v/>
      </c>
    </row>
    <row r="328" spans="13:21">
      <c r="M328" s="22" t="str">
        <f t="shared" si="9"/>
        <v/>
      </c>
      <c r="R328" t="str">
        <f>IF(F328="CJ", COUNTIF(F$5:F328, "CJ"), "")</f>
        <v/>
      </c>
      <c r="S328" t="str">
        <f>IF(F328="Ignacio", COUNTIF(F$5:F328, "Ignacio"), "")</f>
        <v/>
      </c>
      <c r="T328" t="str">
        <f>IF(F328="Tripulacion", COUNTIF(F$5:F328, "Tripulacion"), "")</f>
        <v/>
      </c>
      <c r="U328" t="str">
        <f>IF(F328="ENAP carga", COUNTIF(F$5:F328, "ENAP carga"), "")</f>
        <v/>
      </c>
    </row>
    <row r="329" spans="13:21">
      <c r="M329" s="22" t="str">
        <f t="shared" si="9"/>
        <v/>
      </c>
      <c r="R329" t="str">
        <f>IF(F329="CJ", COUNTIF(F$5:F329, "CJ"), "")</f>
        <v/>
      </c>
      <c r="S329" t="str">
        <f>IF(F329="Ignacio", COUNTIF(F$5:F329, "Ignacio"), "")</f>
        <v/>
      </c>
      <c r="T329" t="str">
        <f>IF(F329="Tripulacion", COUNTIF(F$5:F329, "Tripulacion"), "")</f>
        <v/>
      </c>
      <c r="U329" t="str">
        <f>IF(F329="ENAP carga", COUNTIF(F$5:F329, "ENAP carga"), "")</f>
        <v/>
      </c>
    </row>
    <row r="330" spans="13:21">
      <c r="M330" s="22" t="str">
        <f t="shared" si="9"/>
        <v/>
      </c>
      <c r="R330" t="str">
        <f>IF(F330="CJ", COUNTIF(F$5:F330, "CJ"), "")</f>
        <v/>
      </c>
      <c r="S330" t="str">
        <f>IF(F330="Ignacio", COUNTIF(F$5:F330, "Ignacio"), "")</f>
        <v/>
      </c>
      <c r="T330" t="str">
        <f>IF(F330="Tripulacion", COUNTIF(F$5:F330, "Tripulacion"), "")</f>
        <v/>
      </c>
      <c r="U330" t="str">
        <f>IF(F330="ENAP carga", COUNTIF(F$5:F330, "ENAP carga"), "")</f>
        <v/>
      </c>
    </row>
    <row r="331" spans="13:21">
      <c r="M331" s="22" t="str">
        <f t="shared" si="9"/>
        <v/>
      </c>
      <c r="R331" t="str">
        <f>IF(F331="CJ", COUNTIF(F$5:F331, "CJ"), "")</f>
        <v/>
      </c>
      <c r="S331" t="str">
        <f>IF(F331="Ignacio", COUNTIF(F$5:F331, "Ignacio"), "")</f>
        <v/>
      </c>
      <c r="T331" t="str">
        <f>IF(F331="Tripulacion", COUNTIF(F$5:F331, "Tripulacion"), "")</f>
        <v/>
      </c>
      <c r="U331" t="str">
        <f>IF(F331="ENAP carga", COUNTIF(F$5:F331, "ENAP carga"), "")</f>
        <v/>
      </c>
    </row>
    <row r="332" spans="13:21">
      <c r="M332" s="22" t="str">
        <f t="shared" si="9"/>
        <v/>
      </c>
      <c r="R332" t="str">
        <f>IF(F332="CJ", COUNTIF(F$5:F332, "CJ"), "")</f>
        <v/>
      </c>
      <c r="S332" t="str">
        <f>IF(F332="Ignacio", COUNTIF(F$5:F332, "Ignacio"), "")</f>
        <v/>
      </c>
      <c r="T332" t="str">
        <f>IF(F332="Tripulacion", COUNTIF(F$5:F332, "Tripulacion"), "")</f>
        <v/>
      </c>
      <c r="U332" t="str">
        <f>IF(F332="ENAP carga", COUNTIF(F$5:F332, "ENAP carga"), "")</f>
        <v/>
      </c>
    </row>
    <row r="333" spans="13:21">
      <c r="M333" s="22" t="str">
        <f t="shared" si="9"/>
        <v/>
      </c>
      <c r="R333" t="str">
        <f>IF(F333="CJ", COUNTIF(F$5:F333, "CJ"), "")</f>
        <v/>
      </c>
      <c r="S333" t="str">
        <f>IF(F333="Ignacio", COUNTIF(F$5:F333, "Ignacio"), "")</f>
        <v/>
      </c>
      <c r="T333" t="str">
        <f>IF(F333="Tripulacion", COUNTIF(F$5:F333, "Tripulacion"), "")</f>
        <v/>
      </c>
      <c r="U333" t="str">
        <f>IF(F333="ENAP carga", COUNTIF(F$5:F333, "ENAP carga"), "")</f>
        <v/>
      </c>
    </row>
    <row r="334" spans="13:21">
      <c r="M334" s="22" t="str">
        <f t="shared" si="9"/>
        <v/>
      </c>
      <c r="R334" t="str">
        <f>IF(F334="CJ", COUNTIF(F$5:F334, "CJ"), "")</f>
        <v/>
      </c>
      <c r="S334" t="str">
        <f>IF(F334="Ignacio", COUNTIF(F$5:F334, "Ignacio"), "")</f>
        <v/>
      </c>
      <c r="T334" t="str">
        <f>IF(F334="Tripulacion", COUNTIF(F$5:F334, "Tripulacion"), "")</f>
        <v/>
      </c>
      <c r="U334" t="str">
        <f>IF(F334="ENAP carga", COUNTIF(F$5:F334, "ENAP carga"), "")</f>
        <v/>
      </c>
    </row>
    <row r="335" spans="13:21">
      <c r="M335" s="22" t="str">
        <f t="shared" si="9"/>
        <v/>
      </c>
      <c r="R335" t="str">
        <f>IF(F335="CJ", COUNTIF(F$5:F335, "CJ"), "")</f>
        <v/>
      </c>
      <c r="S335" t="str">
        <f>IF(F335="Ignacio", COUNTIF(F$5:F335, "Ignacio"), "")</f>
        <v/>
      </c>
      <c r="T335" t="str">
        <f>IF(F335="Tripulacion", COUNTIF(F$5:F335, "Tripulacion"), "")</f>
        <v/>
      </c>
      <c r="U335" t="str">
        <f>IF(F335="ENAP carga", COUNTIF(F$5:F335, "ENAP carga"), "")</f>
        <v/>
      </c>
    </row>
    <row r="336" spans="13:21">
      <c r="M336" s="22" t="str">
        <f t="shared" si="9"/>
        <v/>
      </c>
      <c r="R336" t="str">
        <f>IF(F336="CJ", COUNTIF(F$5:F336, "CJ"), "")</f>
        <v/>
      </c>
      <c r="S336" t="str">
        <f>IF(F336="Ignacio", COUNTIF(F$5:F336, "Ignacio"), "")</f>
        <v/>
      </c>
      <c r="T336" t="str">
        <f>IF(F336="Tripulacion", COUNTIF(F$5:F336, "Tripulacion"), "")</f>
        <v/>
      </c>
      <c r="U336" t="str">
        <f>IF(F336="ENAP carga", COUNTIF(F$5:F336, "ENAP carga"), "")</f>
        <v/>
      </c>
    </row>
    <row r="337" spans="13:21">
      <c r="M337" s="22" t="str">
        <f t="shared" si="9"/>
        <v/>
      </c>
      <c r="R337" t="str">
        <f>IF(F337="CJ", COUNTIF(F$5:F337, "CJ"), "")</f>
        <v/>
      </c>
      <c r="S337" t="str">
        <f>IF(F337="Ignacio", COUNTIF(F$5:F337, "Ignacio"), "")</f>
        <v/>
      </c>
      <c r="T337" t="str">
        <f>IF(F337="Tripulacion", COUNTIF(F$5:F337, "Tripulacion"), "")</f>
        <v/>
      </c>
      <c r="U337" t="str">
        <f>IF(F337="ENAP carga", COUNTIF(F$5:F337, "ENAP carga"), "")</f>
        <v/>
      </c>
    </row>
    <row r="338" spans="13:21">
      <c r="M338" s="22" t="str">
        <f t="shared" si="9"/>
        <v/>
      </c>
      <c r="R338" t="str">
        <f>IF(F338="CJ", COUNTIF(F$5:F338, "CJ"), "")</f>
        <v/>
      </c>
      <c r="S338" t="str">
        <f>IF(F338="Ignacio", COUNTIF(F$5:F338, "Ignacio"), "")</f>
        <v/>
      </c>
      <c r="T338" t="str">
        <f>IF(F338="Tripulacion", COUNTIF(F$5:F338, "Tripulacion"), "")</f>
        <v/>
      </c>
      <c r="U338" t="str">
        <f>IF(F338="ENAP carga", COUNTIF(F$5:F338, "ENAP carga"), "")</f>
        <v/>
      </c>
    </row>
    <row r="339" spans="13:21">
      <c r="M339" s="22" t="str">
        <f t="shared" si="9"/>
        <v/>
      </c>
      <c r="R339" t="str">
        <f>IF(F339="CJ", COUNTIF(F$5:F339, "CJ"), "")</f>
        <v/>
      </c>
      <c r="S339" t="str">
        <f>IF(F339="Ignacio", COUNTIF(F$5:F339, "Ignacio"), "")</f>
        <v/>
      </c>
      <c r="T339" t="str">
        <f>IF(F339="Tripulacion", COUNTIF(F$5:F339, "Tripulacion"), "")</f>
        <v/>
      </c>
      <c r="U339" t="str">
        <f>IF(F339="ENAP carga", COUNTIF(F$5:F339, "ENAP carga"), "")</f>
        <v/>
      </c>
    </row>
    <row r="340" spans="13:21">
      <c r="M340" s="22" t="str">
        <f t="shared" si="9"/>
        <v/>
      </c>
      <c r="R340" t="str">
        <f>IF(F340="CJ", COUNTIF(F$5:F340, "CJ"), "")</f>
        <v/>
      </c>
      <c r="S340" t="str">
        <f>IF(F340="Ignacio", COUNTIF(F$5:F340, "Ignacio"), "")</f>
        <v/>
      </c>
      <c r="T340" t="str">
        <f>IF(F340="Tripulacion", COUNTIF(F$5:F340, "Tripulacion"), "")</f>
        <v/>
      </c>
      <c r="U340" t="str">
        <f>IF(F340="ENAP carga", COUNTIF(F$5:F340, "ENAP carga"), "")</f>
        <v/>
      </c>
    </row>
    <row r="341" spans="13:21">
      <c r="M341" s="22" t="str">
        <f t="shared" si="9"/>
        <v/>
      </c>
      <c r="R341" t="str">
        <f>IF(F341="CJ", COUNTIF(F$5:F341, "CJ"), "")</f>
        <v/>
      </c>
      <c r="S341" t="str">
        <f>IF(F341="Ignacio", COUNTIF(F$5:F341, "Ignacio"), "")</f>
        <v/>
      </c>
      <c r="T341" t="str">
        <f>IF(F341="Tripulacion", COUNTIF(F$5:F341, "Tripulacion"), "")</f>
        <v/>
      </c>
      <c r="U341" t="str">
        <f>IF(F341="ENAP carga", COUNTIF(F$5:F341, "ENAP carga"), "")</f>
        <v/>
      </c>
    </row>
    <row r="342" spans="13:21">
      <c r="M342" s="22" t="str">
        <f t="shared" si="9"/>
        <v/>
      </c>
      <c r="R342" t="str">
        <f>IF(F342="CJ", COUNTIF(F$5:F342, "CJ"), "")</f>
        <v/>
      </c>
      <c r="S342" t="str">
        <f>IF(F342="Ignacio", COUNTIF(F$5:F342, "Ignacio"), "")</f>
        <v/>
      </c>
      <c r="T342" t="str">
        <f>IF(F342="Tripulacion", COUNTIF(F$5:F342, "Tripulacion"), "")</f>
        <v/>
      </c>
      <c r="U342" t="str">
        <f>IF(F342="ENAP carga", COUNTIF(F$5:F342, "ENAP carga"), "")</f>
        <v/>
      </c>
    </row>
    <row r="343" spans="13:21">
      <c r="M343" s="22" t="str">
        <f t="shared" si="9"/>
        <v/>
      </c>
      <c r="R343" t="str">
        <f>IF(F343="CJ", COUNTIF(F$5:F343, "CJ"), "")</f>
        <v/>
      </c>
      <c r="S343" t="str">
        <f>IF(F343="Ignacio", COUNTIF(F$5:F343, "Ignacio"), "")</f>
        <v/>
      </c>
      <c r="T343" t="str">
        <f>IF(F343="Tripulacion", COUNTIF(F$5:F343, "Tripulacion"), "")</f>
        <v/>
      </c>
      <c r="U343" t="str">
        <f>IF(F343="ENAP carga", COUNTIF(F$5:F343, "ENAP carga"), "")</f>
        <v/>
      </c>
    </row>
    <row r="344" spans="13:21">
      <c r="M344" s="22" t="str">
        <f t="shared" ref="M344:M407" si="10">IF(F344="CJ", I344*200, "")</f>
        <v/>
      </c>
      <c r="R344" t="str">
        <f>IF(F344="CJ", COUNTIF(F$5:F344, "CJ"), "")</f>
        <v/>
      </c>
      <c r="S344" t="str">
        <f>IF(F344="Ignacio", COUNTIF(F$5:F344, "Ignacio"), "")</f>
        <v/>
      </c>
      <c r="T344" t="str">
        <f>IF(F344="Tripulacion", COUNTIF(F$5:F344, "Tripulacion"), "")</f>
        <v/>
      </c>
      <c r="U344" t="str">
        <f>IF(F344="ENAP carga", COUNTIF(F$5:F344, "ENAP carga"), "")</f>
        <v/>
      </c>
    </row>
    <row r="345" spans="13:21">
      <c r="M345" s="22" t="str">
        <f t="shared" si="10"/>
        <v/>
      </c>
      <c r="R345" t="str">
        <f>IF(F345="CJ", COUNTIF(F$5:F345, "CJ"), "")</f>
        <v/>
      </c>
      <c r="S345" t="str">
        <f>IF(F345="Ignacio", COUNTIF(F$5:F345, "Ignacio"), "")</f>
        <v/>
      </c>
      <c r="T345" t="str">
        <f>IF(F345="Tripulacion", COUNTIF(F$5:F345, "Tripulacion"), "")</f>
        <v/>
      </c>
      <c r="U345" t="str">
        <f>IF(F345="ENAP carga", COUNTIF(F$5:F345, "ENAP carga"), "")</f>
        <v/>
      </c>
    </row>
    <row r="346" spans="13:21">
      <c r="M346" s="22" t="str">
        <f t="shared" si="10"/>
        <v/>
      </c>
      <c r="R346" t="str">
        <f>IF(F346="CJ", COUNTIF(F$5:F346, "CJ"), "")</f>
        <v/>
      </c>
      <c r="S346" t="str">
        <f>IF(F346="Ignacio", COUNTIF(F$5:F346, "Ignacio"), "")</f>
        <v/>
      </c>
      <c r="T346" t="str">
        <f>IF(F346="Tripulacion", COUNTIF(F$5:F346, "Tripulacion"), "")</f>
        <v/>
      </c>
      <c r="U346" t="str">
        <f>IF(F346="ENAP carga", COUNTIF(F$5:F346, "ENAP carga"), "")</f>
        <v/>
      </c>
    </row>
    <row r="347" spans="13:21">
      <c r="M347" s="22" t="str">
        <f t="shared" si="10"/>
        <v/>
      </c>
      <c r="R347" t="str">
        <f>IF(F347="CJ", COUNTIF(F$5:F347, "CJ"), "")</f>
        <v/>
      </c>
      <c r="S347" t="str">
        <f>IF(F347="Ignacio", COUNTIF(F$5:F347, "Ignacio"), "")</f>
        <v/>
      </c>
      <c r="T347" t="str">
        <f>IF(F347="Tripulacion", COUNTIF(F$5:F347, "Tripulacion"), "")</f>
        <v/>
      </c>
      <c r="U347" t="str">
        <f>IF(F347="ENAP carga", COUNTIF(F$5:F347, "ENAP carga"), "")</f>
        <v/>
      </c>
    </row>
    <row r="348" spans="13:21">
      <c r="M348" s="22" t="str">
        <f t="shared" si="10"/>
        <v/>
      </c>
      <c r="R348" t="str">
        <f>IF(F348="CJ", COUNTIF(F$5:F348, "CJ"), "")</f>
        <v/>
      </c>
      <c r="S348" t="str">
        <f>IF(F348="Ignacio", COUNTIF(F$5:F348, "Ignacio"), "")</f>
        <v/>
      </c>
      <c r="T348" t="str">
        <f>IF(F348="Tripulacion", COUNTIF(F$5:F348, "Tripulacion"), "")</f>
        <v/>
      </c>
      <c r="U348" t="str">
        <f>IF(F348="ENAP carga", COUNTIF(F$5:F348, "ENAP carga"), "")</f>
        <v/>
      </c>
    </row>
    <row r="349" spans="13:21">
      <c r="M349" s="22" t="str">
        <f t="shared" si="10"/>
        <v/>
      </c>
      <c r="R349" t="str">
        <f>IF(F349="CJ", COUNTIF(F$5:F349, "CJ"), "")</f>
        <v/>
      </c>
      <c r="S349" t="str">
        <f>IF(F349="Ignacio", COUNTIF(F$5:F349, "Ignacio"), "")</f>
        <v/>
      </c>
      <c r="T349" t="str">
        <f>IF(F349="Tripulacion", COUNTIF(F$5:F349, "Tripulacion"), "")</f>
        <v/>
      </c>
      <c r="U349" t="str">
        <f>IF(F349="ENAP carga", COUNTIF(F$5:F349, "ENAP carga"), "")</f>
        <v/>
      </c>
    </row>
    <row r="350" spans="13:21">
      <c r="M350" s="22" t="str">
        <f t="shared" si="10"/>
        <v/>
      </c>
      <c r="R350" t="str">
        <f>IF(F350="CJ", COUNTIF(F$5:F350, "CJ"), "")</f>
        <v/>
      </c>
      <c r="S350" t="str">
        <f>IF(F350="Ignacio", COUNTIF(F$5:F350, "Ignacio"), "")</f>
        <v/>
      </c>
      <c r="T350" t="str">
        <f>IF(F350="Tripulacion", COUNTIF(F$5:F350, "Tripulacion"), "")</f>
        <v/>
      </c>
      <c r="U350" t="str">
        <f>IF(F350="ENAP carga", COUNTIF(F$5:F350, "ENAP carga"), "")</f>
        <v/>
      </c>
    </row>
    <row r="351" spans="13:21">
      <c r="M351" s="22" t="str">
        <f t="shared" si="10"/>
        <v/>
      </c>
      <c r="R351" t="str">
        <f>IF(F351="CJ", COUNTIF(F$5:F351, "CJ"), "")</f>
        <v/>
      </c>
      <c r="S351" t="str">
        <f>IF(F351="Ignacio", COUNTIF(F$5:F351, "Ignacio"), "")</f>
        <v/>
      </c>
      <c r="T351" t="str">
        <f>IF(F351="Tripulacion", COUNTIF(F$5:F351, "Tripulacion"), "")</f>
        <v/>
      </c>
      <c r="U351" t="str">
        <f>IF(F351="ENAP carga", COUNTIF(F$5:F351, "ENAP carga"), "")</f>
        <v/>
      </c>
    </row>
    <row r="352" spans="13:21">
      <c r="M352" s="22" t="str">
        <f t="shared" si="10"/>
        <v/>
      </c>
      <c r="R352" t="str">
        <f>IF(F352="CJ", COUNTIF(F$5:F352, "CJ"), "")</f>
        <v/>
      </c>
      <c r="S352" t="str">
        <f>IF(F352="Ignacio", COUNTIF(F$5:F352, "Ignacio"), "")</f>
        <v/>
      </c>
      <c r="T352" t="str">
        <f>IF(F352="Tripulacion", COUNTIF(F$5:F352, "Tripulacion"), "")</f>
        <v/>
      </c>
      <c r="U352" t="str">
        <f>IF(F352="ENAP carga", COUNTIF(F$5:F352, "ENAP carga"), "")</f>
        <v/>
      </c>
    </row>
    <row r="353" spans="13:21">
      <c r="M353" s="22" t="str">
        <f t="shared" si="10"/>
        <v/>
      </c>
      <c r="R353" t="str">
        <f>IF(F353="CJ", COUNTIF(F$5:F353, "CJ"), "")</f>
        <v/>
      </c>
      <c r="S353" t="str">
        <f>IF(F353="Ignacio", COUNTIF(F$5:F353, "Ignacio"), "")</f>
        <v/>
      </c>
      <c r="T353" t="str">
        <f>IF(F353="Tripulacion", COUNTIF(F$5:F353, "Tripulacion"), "")</f>
        <v/>
      </c>
      <c r="U353" t="str">
        <f>IF(F353="ENAP carga", COUNTIF(F$5:F353, "ENAP carga"), "")</f>
        <v/>
      </c>
    </row>
    <row r="354" spans="13:21">
      <c r="M354" s="22" t="str">
        <f t="shared" si="10"/>
        <v/>
      </c>
      <c r="R354" t="str">
        <f>IF(F354="CJ", COUNTIF(F$5:F354, "CJ"), "")</f>
        <v/>
      </c>
      <c r="S354" t="str">
        <f>IF(F354="Ignacio", COUNTIF(F$5:F354, "Ignacio"), "")</f>
        <v/>
      </c>
      <c r="T354" t="str">
        <f>IF(F354="Tripulacion", COUNTIF(F$5:F354, "Tripulacion"), "")</f>
        <v/>
      </c>
      <c r="U354" t="str">
        <f>IF(F354="ENAP carga", COUNTIF(F$5:F354, "ENAP carga"), "")</f>
        <v/>
      </c>
    </row>
    <row r="355" spans="13:21">
      <c r="M355" s="22" t="str">
        <f t="shared" si="10"/>
        <v/>
      </c>
      <c r="R355" t="str">
        <f>IF(F355="CJ", COUNTIF(F$5:F355, "CJ"), "")</f>
        <v/>
      </c>
      <c r="S355" t="str">
        <f>IF(F355="Ignacio", COUNTIF(F$5:F355, "Ignacio"), "")</f>
        <v/>
      </c>
      <c r="T355" t="str">
        <f>IF(F355="Tripulacion", COUNTIF(F$5:F355, "Tripulacion"), "")</f>
        <v/>
      </c>
      <c r="U355" t="str">
        <f>IF(F355="ENAP carga", COUNTIF(F$5:F355, "ENAP carga"), "")</f>
        <v/>
      </c>
    </row>
    <row r="356" spans="13:21">
      <c r="M356" s="22" t="str">
        <f t="shared" si="10"/>
        <v/>
      </c>
      <c r="R356" t="str">
        <f>IF(F356="CJ", COUNTIF(F$5:F356, "CJ"), "")</f>
        <v/>
      </c>
      <c r="S356" t="str">
        <f>IF(F356="Ignacio", COUNTIF(F$5:F356, "Ignacio"), "")</f>
        <v/>
      </c>
      <c r="T356" t="str">
        <f>IF(F356="Tripulacion", COUNTIF(F$5:F356, "Tripulacion"), "")</f>
        <v/>
      </c>
      <c r="U356" t="str">
        <f>IF(F356="ENAP carga", COUNTIF(F$5:F356, "ENAP carga"), "")</f>
        <v/>
      </c>
    </row>
    <row r="357" spans="13:21">
      <c r="M357" s="22" t="str">
        <f t="shared" si="10"/>
        <v/>
      </c>
      <c r="R357" t="str">
        <f>IF(F357="CJ", COUNTIF(F$5:F357, "CJ"), "")</f>
        <v/>
      </c>
      <c r="S357" t="str">
        <f>IF(F357="Ignacio", COUNTIF(F$5:F357, "Ignacio"), "")</f>
        <v/>
      </c>
      <c r="T357" t="str">
        <f>IF(F357="Tripulacion", COUNTIF(F$5:F357, "Tripulacion"), "")</f>
        <v/>
      </c>
      <c r="U357" t="str">
        <f>IF(F357="ENAP carga", COUNTIF(F$5:F357, "ENAP carga"), "")</f>
        <v/>
      </c>
    </row>
    <row r="358" spans="13:21">
      <c r="M358" s="22" t="str">
        <f t="shared" si="10"/>
        <v/>
      </c>
      <c r="R358" t="str">
        <f>IF(F358="CJ", COUNTIF(F$5:F358, "CJ"), "")</f>
        <v/>
      </c>
      <c r="S358" t="str">
        <f>IF(F358="Ignacio", COUNTIF(F$5:F358, "Ignacio"), "")</f>
        <v/>
      </c>
      <c r="T358" t="str">
        <f>IF(F358="Tripulacion", COUNTIF(F$5:F358, "Tripulacion"), "")</f>
        <v/>
      </c>
      <c r="U358" t="str">
        <f>IF(F358="ENAP carga", COUNTIF(F$5:F358, "ENAP carga"), "")</f>
        <v/>
      </c>
    </row>
    <row r="359" spans="13:21">
      <c r="M359" s="22" t="str">
        <f t="shared" si="10"/>
        <v/>
      </c>
      <c r="R359" t="str">
        <f>IF(F359="CJ", COUNTIF(F$5:F359, "CJ"), "")</f>
        <v/>
      </c>
      <c r="S359" t="str">
        <f>IF(F359="Ignacio", COUNTIF(F$5:F359, "Ignacio"), "")</f>
        <v/>
      </c>
      <c r="T359" t="str">
        <f>IF(F359="Tripulacion", COUNTIF(F$5:F359, "Tripulacion"), "")</f>
        <v/>
      </c>
      <c r="U359" t="str">
        <f>IF(F359="ENAP carga", COUNTIF(F$5:F359, "ENAP carga"), "")</f>
        <v/>
      </c>
    </row>
    <row r="360" spans="13:21">
      <c r="M360" s="22" t="str">
        <f t="shared" si="10"/>
        <v/>
      </c>
      <c r="R360" t="str">
        <f>IF(F360="CJ", COUNTIF(F$5:F360, "CJ"), "")</f>
        <v/>
      </c>
      <c r="S360" t="str">
        <f>IF(F360="Ignacio", COUNTIF(F$5:F360, "Ignacio"), "")</f>
        <v/>
      </c>
      <c r="T360" t="str">
        <f>IF(F360="Tripulacion", COUNTIF(F$5:F360, "Tripulacion"), "")</f>
        <v/>
      </c>
      <c r="U360" t="str">
        <f>IF(F360="ENAP carga", COUNTIF(F$5:F360, "ENAP carga"), "")</f>
        <v/>
      </c>
    </row>
    <row r="361" spans="13:21">
      <c r="M361" s="22" t="str">
        <f t="shared" si="10"/>
        <v/>
      </c>
      <c r="R361" t="str">
        <f>IF(F361="CJ", COUNTIF(F$5:F361, "CJ"), "")</f>
        <v/>
      </c>
      <c r="S361" t="str">
        <f>IF(F361="Ignacio", COUNTIF(F$5:F361, "Ignacio"), "")</f>
        <v/>
      </c>
      <c r="T361" t="str">
        <f>IF(F361="Tripulacion", COUNTIF(F$5:F361, "Tripulacion"), "")</f>
        <v/>
      </c>
      <c r="U361" t="str">
        <f>IF(F361="ENAP carga", COUNTIF(F$5:F361, "ENAP carga"), "")</f>
        <v/>
      </c>
    </row>
    <row r="362" spans="13:21">
      <c r="M362" s="22" t="str">
        <f t="shared" si="10"/>
        <v/>
      </c>
      <c r="R362" t="str">
        <f>IF(F362="CJ", COUNTIF(F$5:F362, "CJ"), "")</f>
        <v/>
      </c>
      <c r="S362" t="str">
        <f>IF(F362="Ignacio", COUNTIF(F$5:F362, "Ignacio"), "")</f>
        <v/>
      </c>
      <c r="T362" t="str">
        <f>IF(F362="Tripulacion", COUNTIF(F$5:F362, "Tripulacion"), "")</f>
        <v/>
      </c>
      <c r="U362" t="str">
        <f>IF(F362="ENAP carga", COUNTIF(F$5:F362, "ENAP carga"), "")</f>
        <v/>
      </c>
    </row>
    <row r="363" spans="13:21">
      <c r="M363" s="22" t="str">
        <f t="shared" si="10"/>
        <v/>
      </c>
      <c r="R363" t="str">
        <f>IF(F363="CJ", COUNTIF(F$5:F363, "CJ"), "")</f>
        <v/>
      </c>
      <c r="S363" t="str">
        <f>IF(F363="Ignacio", COUNTIF(F$5:F363, "Ignacio"), "")</f>
        <v/>
      </c>
      <c r="T363" t="str">
        <f>IF(F363="Tripulacion", COUNTIF(F$5:F363, "Tripulacion"), "")</f>
        <v/>
      </c>
      <c r="U363" t="str">
        <f>IF(F363="ENAP carga", COUNTIF(F$5:F363, "ENAP carga"), "")</f>
        <v/>
      </c>
    </row>
    <row r="364" spans="13:21">
      <c r="M364" s="22" t="str">
        <f t="shared" si="10"/>
        <v/>
      </c>
      <c r="R364" t="str">
        <f>IF(F364="CJ", COUNTIF(F$5:F364, "CJ"), "")</f>
        <v/>
      </c>
      <c r="S364" t="str">
        <f>IF(F364="Ignacio", COUNTIF(F$5:F364, "Ignacio"), "")</f>
        <v/>
      </c>
      <c r="T364" t="str">
        <f>IF(F364="Tripulacion", COUNTIF(F$5:F364, "Tripulacion"), "")</f>
        <v/>
      </c>
      <c r="U364" t="str">
        <f>IF(F364="ENAP carga", COUNTIF(F$5:F364, "ENAP carga"), "")</f>
        <v/>
      </c>
    </row>
    <row r="365" spans="13:21">
      <c r="M365" s="22" t="str">
        <f t="shared" si="10"/>
        <v/>
      </c>
      <c r="R365" t="str">
        <f>IF(F365="CJ", COUNTIF(F$5:F365, "CJ"), "")</f>
        <v/>
      </c>
      <c r="S365" t="str">
        <f>IF(F365="Ignacio", COUNTIF(F$5:F365, "Ignacio"), "")</f>
        <v/>
      </c>
      <c r="T365" t="str">
        <f>IF(F365="Tripulacion", COUNTIF(F$5:F365, "Tripulacion"), "")</f>
        <v/>
      </c>
      <c r="U365" t="str">
        <f>IF(F365="ENAP carga", COUNTIF(F$5:F365, "ENAP carga"), "")</f>
        <v/>
      </c>
    </row>
    <row r="366" spans="13:21">
      <c r="M366" s="22" t="str">
        <f t="shared" si="10"/>
        <v/>
      </c>
      <c r="R366" t="str">
        <f>IF(F366="CJ", COUNTIF(F$5:F366, "CJ"), "")</f>
        <v/>
      </c>
      <c r="S366" t="str">
        <f>IF(F366="Ignacio", COUNTIF(F$5:F366, "Ignacio"), "")</f>
        <v/>
      </c>
      <c r="T366" t="str">
        <f>IF(F366="Tripulacion", COUNTIF(F$5:F366, "Tripulacion"), "")</f>
        <v/>
      </c>
      <c r="U366" t="str">
        <f>IF(F366="ENAP carga", COUNTIF(F$5:F366, "ENAP carga"), "")</f>
        <v/>
      </c>
    </row>
    <row r="367" spans="13:21">
      <c r="M367" s="22" t="str">
        <f t="shared" si="10"/>
        <v/>
      </c>
      <c r="R367" t="str">
        <f>IF(F367="CJ", COUNTIF(F$5:F367, "CJ"), "")</f>
        <v/>
      </c>
      <c r="S367" t="str">
        <f>IF(F367="Ignacio", COUNTIF(F$5:F367, "Ignacio"), "")</f>
        <v/>
      </c>
      <c r="T367" t="str">
        <f>IF(F367="Tripulacion", COUNTIF(F$5:F367, "Tripulacion"), "")</f>
        <v/>
      </c>
      <c r="U367" t="str">
        <f>IF(F367="ENAP carga", COUNTIF(F$5:F367, "ENAP carga"), "")</f>
        <v/>
      </c>
    </row>
    <row r="368" spans="13:21">
      <c r="M368" s="22" t="str">
        <f t="shared" si="10"/>
        <v/>
      </c>
      <c r="R368" t="str">
        <f>IF(F368="CJ", COUNTIF(F$5:F368, "CJ"), "")</f>
        <v/>
      </c>
      <c r="S368" t="str">
        <f>IF(F368="Ignacio", COUNTIF(F$5:F368, "Ignacio"), "")</f>
        <v/>
      </c>
      <c r="T368" t="str">
        <f>IF(F368="Tripulacion", COUNTIF(F$5:F368, "Tripulacion"), "")</f>
        <v/>
      </c>
      <c r="U368" t="str">
        <f>IF(F368="ENAP carga", COUNTIF(F$5:F368, "ENAP carga"), "")</f>
        <v/>
      </c>
    </row>
    <row r="369" spans="13:21">
      <c r="M369" s="22" t="str">
        <f t="shared" si="10"/>
        <v/>
      </c>
      <c r="R369" t="str">
        <f>IF(F369="CJ", COUNTIF(F$5:F369, "CJ"), "")</f>
        <v/>
      </c>
      <c r="S369" t="str">
        <f>IF(F369="Ignacio", COUNTIF(F$5:F369, "Ignacio"), "")</f>
        <v/>
      </c>
      <c r="T369" t="str">
        <f>IF(F369="Tripulacion", COUNTIF(F$5:F369, "Tripulacion"), "")</f>
        <v/>
      </c>
      <c r="U369" t="str">
        <f>IF(F369="ENAP carga", COUNTIF(F$5:F369, "ENAP carga"), "")</f>
        <v/>
      </c>
    </row>
    <row r="370" spans="13:21">
      <c r="M370" s="22" t="str">
        <f t="shared" si="10"/>
        <v/>
      </c>
      <c r="R370" t="str">
        <f>IF(F370="CJ", COUNTIF(F$5:F370, "CJ"), "")</f>
        <v/>
      </c>
      <c r="S370" t="str">
        <f>IF(F370="Ignacio", COUNTIF(F$5:F370, "Ignacio"), "")</f>
        <v/>
      </c>
      <c r="T370" t="str">
        <f>IF(F370="Tripulacion", COUNTIF(F$5:F370, "Tripulacion"), "")</f>
        <v/>
      </c>
      <c r="U370" t="str">
        <f>IF(F370="ENAP carga", COUNTIF(F$5:F370, "ENAP carga"), "")</f>
        <v/>
      </c>
    </row>
    <row r="371" spans="13:21">
      <c r="M371" s="22" t="str">
        <f t="shared" si="10"/>
        <v/>
      </c>
      <c r="R371" t="str">
        <f>IF(F371="CJ", COUNTIF(F$5:F371, "CJ"), "")</f>
        <v/>
      </c>
      <c r="S371" t="str">
        <f>IF(F371="Ignacio", COUNTIF(F$5:F371, "Ignacio"), "")</f>
        <v/>
      </c>
      <c r="T371" t="str">
        <f>IF(F371="Tripulacion", COUNTIF(F$5:F371, "Tripulacion"), "")</f>
        <v/>
      </c>
      <c r="U371" t="str">
        <f>IF(F371="ENAP carga", COUNTIF(F$5:F371, "ENAP carga"), "")</f>
        <v/>
      </c>
    </row>
    <row r="372" spans="13:21">
      <c r="M372" s="22" t="str">
        <f t="shared" si="10"/>
        <v/>
      </c>
      <c r="R372" t="str">
        <f>IF(F372="CJ", COUNTIF(F$5:F372, "CJ"), "")</f>
        <v/>
      </c>
      <c r="S372" t="str">
        <f>IF(F372="Ignacio", COUNTIF(F$5:F372, "Ignacio"), "")</f>
        <v/>
      </c>
      <c r="T372" t="str">
        <f>IF(F372="Tripulacion", COUNTIF(F$5:F372, "Tripulacion"), "")</f>
        <v/>
      </c>
      <c r="U372" t="str">
        <f>IF(F372="ENAP carga", COUNTIF(F$5:F372, "ENAP carga"), "")</f>
        <v/>
      </c>
    </row>
    <row r="373" spans="13:21">
      <c r="M373" s="22" t="str">
        <f t="shared" si="10"/>
        <v/>
      </c>
      <c r="R373" t="str">
        <f>IF(F373="CJ", COUNTIF(F$5:F373, "CJ"), "")</f>
        <v/>
      </c>
      <c r="S373" t="str">
        <f>IF(F373="Ignacio", COUNTIF(F$5:F373, "Ignacio"), "")</f>
        <v/>
      </c>
      <c r="T373" t="str">
        <f>IF(F373="Tripulacion", COUNTIF(F$5:F373, "Tripulacion"), "")</f>
        <v/>
      </c>
      <c r="U373" t="str">
        <f>IF(F373="ENAP carga", COUNTIF(F$5:F373, "ENAP carga"), "")</f>
        <v/>
      </c>
    </row>
    <row r="374" spans="13:21">
      <c r="M374" s="22" t="str">
        <f t="shared" si="10"/>
        <v/>
      </c>
      <c r="R374" t="str">
        <f>IF(F374="CJ", COUNTIF(F$5:F374, "CJ"), "")</f>
        <v/>
      </c>
      <c r="S374" t="str">
        <f>IF(F374="Ignacio", COUNTIF(F$5:F374, "Ignacio"), "")</f>
        <v/>
      </c>
      <c r="T374" t="str">
        <f>IF(F374="Tripulacion", COUNTIF(F$5:F374, "Tripulacion"), "")</f>
        <v/>
      </c>
      <c r="U374" t="str">
        <f>IF(F374="ENAP carga", COUNTIF(F$5:F374, "ENAP carga"), "")</f>
        <v/>
      </c>
    </row>
    <row r="375" spans="13:21">
      <c r="M375" s="22" t="str">
        <f t="shared" si="10"/>
        <v/>
      </c>
      <c r="R375" t="str">
        <f>IF(F375="CJ", COUNTIF(F$5:F375, "CJ"), "")</f>
        <v/>
      </c>
      <c r="S375" t="str">
        <f>IF(F375="Ignacio", COUNTIF(F$5:F375, "Ignacio"), "")</f>
        <v/>
      </c>
      <c r="T375" t="str">
        <f>IF(F375="Tripulacion", COUNTIF(F$5:F375, "Tripulacion"), "")</f>
        <v/>
      </c>
      <c r="U375" t="str">
        <f>IF(F375="ENAP carga", COUNTIF(F$5:F375, "ENAP carga"), "")</f>
        <v/>
      </c>
    </row>
    <row r="376" spans="13:21">
      <c r="M376" s="22" t="str">
        <f t="shared" si="10"/>
        <v/>
      </c>
      <c r="R376" t="str">
        <f>IF(F376="CJ", COUNTIF(F$5:F376, "CJ"), "")</f>
        <v/>
      </c>
      <c r="S376" t="str">
        <f>IF(F376="Ignacio", COUNTIF(F$5:F376, "Ignacio"), "")</f>
        <v/>
      </c>
      <c r="T376" t="str">
        <f>IF(F376="Tripulacion", COUNTIF(F$5:F376, "Tripulacion"), "")</f>
        <v/>
      </c>
      <c r="U376" t="str">
        <f>IF(F376="ENAP carga", COUNTIF(F$5:F376, "ENAP carga"), "")</f>
        <v/>
      </c>
    </row>
    <row r="377" spans="13:21">
      <c r="M377" s="22" t="str">
        <f t="shared" si="10"/>
        <v/>
      </c>
      <c r="R377" t="str">
        <f>IF(F377="CJ", COUNTIF(F$5:F377, "CJ"), "")</f>
        <v/>
      </c>
      <c r="S377" t="str">
        <f>IF(F377="Ignacio", COUNTIF(F$5:F377, "Ignacio"), "")</f>
        <v/>
      </c>
      <c r="T377" t="str">
        <f>IF(F377="Tripulacion", COUNTIF(F$5:F377, "Tripulacion"), "")</f>
        <v/>
      </c>
      <c r="U377" t="str">
        <f>IF(F377="ENAP carga", COUNTIF(F$5:F377, "ENAP carga"), "")</f>
        <v/>
      </c>
    </row>
    <row r="378" spans="13:21">
      <c r="M378" s="22" t="str">
        <f t="shared" si="10"/>
        <v/>
      </c>
      <c r="R378" t="str">
        <f>IF(F378="CJ", COUNTIF(F$5:F378, "CJ"), "")</f>
        <v/>
      </c>
      <c r="S378" t="str">
        <f>IF(F378="Ignacio", COUNTIF(F$5:F378, "Ignacio"), "")</f>
        <v/>
      </c>
      <c r="T378" t="str">
        <f>IF(F378="Tripulacion", COUNTIF(F$5:F378, "Tripulacion"), "")</f>
        <v/>
      </c>
      <c r="U378" t="str">
        <f>IF(F378="ENAP carga", COUNTIF(F$5:F378, "ENAP carga"), "")</f>
        <v/>
      </c>
    </row>
    <row r="379" spans="13:21">
      <c r="M379" s="22" t="str">
        <f t="shared" si="10"/>
        <v/>
      </c>
      <c r="R379" t="str">
        <f>IF(F379="CJ", COUNTIF(F$5:F379, "CJ"), "")</f>
        <v/>
      </c>
      <c r="S379" t="str">
        <f>IF(F379="Ignacio", COUNTIF(F$5:F379, "Ignacio"), "")</f>
        <v/>
      </c>
      <c r="T379" t="str">
        <f>IF(F379="Tripulacion", COUNTIF(F$5:F379, "Tripulacion"), "")</f>
        <v/>
      </c>
      <c r="U379" t="str">
        <f>IF(F379="ENAP carga", COUNTIF(F$5:F379, "ENAP carga"), "")</f>
        <v/>
      </c>
    </row>
    <row r="380" spans="13:21">
      <c r="M380" s="22" t="str">
        <f t="shared" si="10"/>
        <v/>
      </c>
      <c r="R380" t="str">
        <f>IF(F380="CJ", COUNTIF(F$5:F380, "CJ"), "")</f>
        <v/>
      </c>
      <c r="S380" t="str">
        <f>IF(F380="Ignacio", COUNTIF(F$5:F380, "Ignacio"), "")</f>
        <v/>
      </c>
      <c r="T380" t="str">
        <f>IF(F380="Tripulacion", COUNTIF(F$5:F380, "Tripulacion"), "")</f>
        <v/>
      </c>
      <c r="U380" t="str">
        <f>IF(F380="ENAP carga", COUNTIF(F$5:F380, "ENAP carga"), "")</f>
        <v/>
      </c>
    </row>
    <row r="381" spans="13:21">
      <c r="M381" s="22" t="str">
        <f t="shared" si="10"/>
        <v/>
      </c>
      <c r="R381" t="str">
        <f>IF(F381="CJ", COUNTIF(F$5:F381, "CJ"), "")</f>
        <v/>
      </c>
      <c r="S381" t="str">
        <f>IF(F381="Ignacio", COUNTIF(F$5:F381, "Ignacio"), "")</f>
        <v/>
      </c>
      <c r="T381" t="str">
        <f>IF(F381="Tripulacion", COUNTIF(F$5:F381, "Tripulacion"), "")</f>
        <v/>
      </c>
      <c r="U381" t="str">
        <f>IF(F381="ENAP carga", COUNTIF(F$5:F381, "ENAP carga"), "")</f>
        <v/>
      </c>
    </row>
    <row r="382" spans="13:21">
      <c r="M382" s="22" t="str">
        <f t="shared" si="10"/>
        <v/>
      </c>
      <c r="R382" t="str">
        <f>IF(F382="CJ", COUNTIF(F$5:F382, "CJ"), "")</f>
        <v/>
      </c>
      <c r="S382" t="str">
        <f>IF(F382="Ignacio", COUNTIF(F$5:F382, "Ignacio"), "")</f>
        <v/>
      </c>
      <c r="T382" t="str">
        <f>IF(F382="Tripulacion", COUNTIF(F$5:F382, "Tripulacion"), "")</f>
        <v/>
      </c>
      <c r="U382" t="str">
        <f>IF(F382="ENAP carga", COUNTIF(F$5:F382, "ENAP carga"), "")</f>
        <v/>
      </c>
    </row>
    <row r="383" spans="13:21">
      <c r="M383" s="22" t="str">
        <f t="shared" si="10"/>
        <v/>
      </c>
      <c r="R383" t="str">
        <f>IF(F383="CJ", COUNTIF(F$5:F383, "CJ"), "")</f>
        <v/>
      </c>
      <c r="S383" t="str">
        <f>IF(F383="Ignacio", COUNTIF(F$5:F383, "Ignacio"), "")</f>
        <v/>
      </c>
      <c r="T383" t="str">
        <f>IF(F383="Tripulacion", COUNTIF(F$5:F383, "Tripulacion"), "")</f>
        <v/>
      </c>
      <c r="U383" t="str">
        <f>IF(F383="ENAP carga", COUNTIF(F$5:F383, "ENAP carga"), "")</f>
        <v/>
      </c>
    </row>
    <row r="384" spans="13:21">
      <c r="M384" s="22" t="str">
        <f t="shared" si="10"/>
        <v/>
      </c>
      <c r="R384" t="str">
        <f>IF(F384="CJ", COUNTIF(F$5:F384, "CJ"), "")</f>
        <v/>
      </c>
      <c r="S384" t="str">
        <f>IF(F384="Ignacio", COUNTIF(F$5:F384, "Ignacio"), "")</f>
        <v/>
      </c>
      <c r="T384" t="str">
        <f>IF(F384="Tripulacion", COUNTIF(F$5:F384, "Tripulacion"), "")</f>
        <v/>
      </c>
      <c r="U384" t="str">
        <f>IF(F384="ENAP carga", COUNTIF(F$5:F384, "ENAP carga"), "")</f>
        <v/>
      </c>
    </row>
    <row r="385" spans="13:21">
      <c r="M385" s="22" t="str">
        <f t="shared" si="10"/>
        <v/>
      </c>
      <c r="R385" t="str">
        <f>IF(F385="CJ", COUNTIF(F$5:F385, "CJ"), "")</f>
        <v/>
      </c>
      <c r="S385" t="str">
        <f>IF(F385="Ignacio", COUNTIF(F$5:F385, "Ignacio"), "")</f>
        <v/>
      </c>
      <c r="T385" t="str">
        <f>IF(F385="Tripulacion", COUNTIF(F$5:F385, "Tripulacion"), "")</f>
        <v/>
      </c>
      <c r="U385" t="str">
        <f>IF(F385="ENAP carga", COUNTIF(F$5:F385, "ENAP carga"), "")</f>
        <v/>
      </c>
    </row>
    <row r="386" spans="13:21">
      <c r="M386" s="22" t="str">
        <f t="shared" si="10"/>
        <v/>
      </c>
      <c r="R386" t="str">
        <f>IF(F386="CJ", COUNTIF(F$5:F386, "CJ"), "")</f>
        <v/>
      </c>
      <c r="S386" t="str">
        <f>IF(F386="Ignacio", COUNTIF(F$5:F386, "Ignacio"), "")</f>
        <v/>
      </c>
      <c r="T386" t="str">
        <f>IF(F386="Tripulacion", COUNTIF(F$5:F386, "Tripulacion"), "")</f>
        <v/>
      </c>
      <c r="U386" t="str">
        <f>IF(F386="ENAP carga", COUNTIF(F$5:F386, "ENAP carga"), "")</f>
        <v/>
      </c>
    </row>
    <row r="387" spans="13:21">
      <c r="M387" s="22" t="str">
        <f t="shared" si="10"/>
        <v/>
      </c>
      <c r="R387" t="str">
        <f>IF(F387="CJ", COUNTIF(F$5:F387, "CJ"), "")</f>
        <v/>
      </c>
      <c r="S387" t="str">
        <f>IF(F387="Ignacio", COUNTIF(F$5:F387, "Ignacio"), "")</f>
        <v/>
      </c>
      <c r="T387" t="str">
        <f>IF(F387="Tripulacion", COUNTIF(F$5:F387, "Tripulacion"), "")</f>
        <v/>
      </c>
      <c r="U387" t="str">
        <f>IF(F387="ENAP carga", COUNTIF(F$5:F387, "ENAP carga"), "")</f>
        <v/>
      </c>
    </row>
    <row r="388" spans="13:21">
      <c r="M388" s="22" t="str">
        <f t="shared" si="10"/>
        <v/>
      </c>
      <c r="R388" t="str">
        <f>IF(F388="CJ", COUNTIF(F$5:F388, "CJ"), "")</f>
        <v/>
      </c>
      <c r="S388" t="str">
        <f>IF(F388="Ignacio", COUNTIF(F$5:F388, "Ignacio"), "")</f>
        <v/>
      </c>
      <c r="T388" t="str">
        <f>IF(F388="Tripulacion", COUNTIF(F$5:F388, "Tripulacion"), "")</f>
        <v/>
      </c>
      <c r="U388" t="str">
        <f>IF(F388="ENAP carga", COUNTIF(F$5:F388, "ENAP carga"), "")</f>
        <v/>
      </c>
    </row>
    <row r="389" spans="13:21">
      <c r="M389" s="22" t="str">
        <f t="shared" si="10"/>
        <v/>
      </c>
      <c r="R389" t="str">
        <f>IF(F389="CJ", COUNTIF(F$5:F389, "CJ"), "")</f>
        <v/>
      </c>
      <c r="S389" t="str">
        <f>IF(F389="Ignacio", COUNTIF(F$5:F389, "Ignacio"), "")</f>
        <v/>
      </c>
      <c r="T389" t="str">
        <f>IF(F389="Tripulacion", COUNTIF(F$5:F389, "Tripulacion"), "")</f>
        <v/>
      </c>
      <c r="U389" t="str">
        <f>IF(F389="ENAP carga", COUNTIF(F$5:F389, "ENAP carga"), "")</f>
        <v/>
      </c>
    </row>
    <row r="390" spans="13:21">
      <c r="M390" s="22" t="str">
        <f t="shared" si="10"/>
        <v/>
      </c>
      <c r="R390" t="str">
        <f>IF(F390="CJ", COUNTIF(F$5:F390, "CJ"), "")</f>
        <v/>
      </c>
      <c r="S390" t="str">
        <f>IF(F390="Ignacio", COUNTIF(F$5:F390, "Ignacio"), "")</f>
        <v/>
      </c>
      <c r="T390" t="str">
        <f>IF(F390="Tripulacion", COUNTIF(F$5:F390, "Tripulacion"), "")</f>
        <v/>
      </c>
      <c r="U390" t="str">
        <f>IF(F390="ENAP carga", COUNTIF(F$5:F390, "ENAP carga"), "")</f>
        <v/>
      </c>
    </row>
    <row r="391" spans="13:21">
      <c r="M391" s="22" t="str">
        <f t="shared" si="10"/>
        <v/>
      </c>
      <c r="R391" t="str">
        <f>IF(F391="CJ", COUNTIF(F$5:F391, "CJ"), "")</f>
        <v/>
      </c>
      <c r="S391" t="str">
        <f>IF(F391="Ignacio", COUNTIF(F$5:F391, "Ignacio"), "")</f>
        <v/>
      </c>
      <c r="T391" t="str">
        <f>IF(F391="Tripulacion", COUNTIF(F$5:F391, "Tripulacion"), "")</f>
        <v/>
      </c>
      <c r="U391" t="str">
        <f>IF(F391="ENAP carga", COUNTIF(F$5:F391, "ENAP carga"), "")</f>
        <v/>
      </c>
    </row>
    <row r="392" spans="13:21">
      <c r="M392" s="22" t="str">
        <f t="shared" si="10"/>
        <v/>
      </c>
      <c r="R392" t="str">
        <f>IF(F392="CJ", COUNTIF(F$5:F392, "CJ"), "")</f>
        <v/>
      </c>
      <c r="S392" t="str">
        <f>IF(F392="Ignacio", COUNTIF(F$5:F392, "Ignacio"), "")</f>
        <v/>
      </c>
      <c r="T392" t="str">
        <f>IF(F392="Tripulacion", COUNTIF(F$5:F392, "Tripulacion"), "")</f>
        <v/>
      </c>
      <c r="U392" t="str">
        <f>IF(F392="ENAP carga", COUNTIF(F$5:F392, "ENAP carga"), "")</f>
        <v/>
      </c>
    </row>
    <row r="393" spans="13:21">
      <c r="M393" s="22" t="str">
        <f t="shared" si="10"/>
        <v/>
      </c>
      <c r="R393" t="str">
        <f>IF(F393="CJ", COUNTIF(F$5:F393, "CJ"), "")</f>
        <v/>
      </c>
      <c r="S393" t="str">
        <f>IF(F393="Ignacio", COUNTIF(F$5:F393, "Ignacio"), "")</f>
        <v/>
      </c>
      <c r="T393" t="str">
        <f>IF(F393="Tripulacion", COUNTIF(F$5:F393, "Tripulacion"), "")</f>
        <v/>
      </c>
      <c r="U393" t="str">
        <f>IF(F393="ENAP carga", COUNTIF(F$5:F393, "ENAP carga"), "")</f>
        <v/>
      </c>
    </row>
    <row r="394" spans="13:21">
      <c r="M394" s="22" t="str">
        <f t="shared" si="10"/>
        <v/>
      </c>
      <c r="R394" t="str">
        <f>IF(F394="CJ", COUNTIF(F$5:F394, "CJ"), "")</f>
        <v/>
      </c>
      <c r="S394" t="str">
        <f>IF(F394="Ignacio", COUNTIF(F$5:F394, "Ignacio"), "")</f>
        <v/>
      </c>
      <c r="T394" t="str">
        <f>IF(F394="Tripulacion", COUNTIF(F$5:F394, "Tripulacion"), "")</f>
        <v/>
      </c>
      <c r="U394" t="str">
        <f>IF(F394="ENAP carga", COUNTIF(F$5:F394, "ENAP carga"), "")</f>
        <v/>
      </c>
    </row>
    <row r="395" spans="13:21">
      <c r="M395" s="22" t="str">
        <f t="shared" si="10"/>
        <v/>
      </c>
      <c r="R395" t="str">
        <f>IF(F395="CJ", COUNTIF(F$5:F395, "CJ"), "")</f>
        <v/>
      </c>
      <c r="S395" t="str">
        <f>IF(F395="Ignacio", COUNTIF(F$5:F395, "Ignacio"), "")</f>
        <v/>
      </c>
      <c r="T395" t="str">
        <f>IF(F395="Tripulacion", COUNTIF(F$5:F395, "Tripulacion"), "")</f>
        <v/>
      </c>
      <c r="U395" t="str">
        <f>IF(F395="ENAP carga", COUNTIF(F$5:F395, "ENAP carga"), "")</f>
        <v/>
      </c>
    </row>
    <row r="396" spans="13:21">
      <c r="M396" s="22" t="str">
        <f t="shared" si="10"/>
        <v/>
      </c>
      <c r="R396" t="str">
        <f>IF(F396="CJ", COUNTIF(F$5:F396, "CJ"), "")</f>
        <v/>
      </c>
      <c r="S396" t="str">
        <f>IF(F396="Ignacio", COUNTIF(F$5:F396, "Ignacio"), "")</f>
        <v/>
      </c>
      <c r="T396" t="str">
        <f>IF(F396="Tripulacion", COUNTIF(F$5:F396, "Tripulacion"), "")</f>
        <v/>
      </c>
      <c r="U396" t="str">
        <f>IF(F396="ENAP carga", COUNTIF(F$5:F396, "ENAP carga"), "")</f>
        <v/>
      </c>
    </row>
    <row r="397" spans="13:21">
      <c r="M397" s="22" t="str">
        <f t="shared" si="10"/>
        <v/>
      </c>
      <c r="R397" t="str">
        <f>IF(F397="CJ", COUNTIF(F$5:F397, "CJ"), "")</f>
        <v/>
      </c>
      <c r="S397" t="str">
        <f>IF(F397="Ignacio", COUNTIF(F$5:F397, "Ignacio"), "")</f>
        <v/>
      </c>
      <c r="T397" t="str">
        <f>IF(F397="Tripulacion", COUNTIF(F$5:F397, "Tripulacion"), "")</f>
        <v/>
      </c>
      <c r="U397" t="str">
        <f>IF(F397="ENAP carga", COUNTIF(F$5:F397, "ENAP carga"), "")</f>
        <v/>
      </c>
    </row>
    <row r="398" spans="13:21">
      <c r="M398" s="22" t="str">
        <f t="shared" si="10"/>
        <v/>
      </c>
      <c r="R398" t="str">
        <f>IF(F398="CJ", COUNTIF(F$5:F398, "CJ"), "")</f>
        <v/>
      </c>
      <c r="S398" t="str">
        <f>IF(F398="Ignacio", COUNTIF(F$5:F398, "Ignacio"), "")</f>
        <v/>
      </c>
      <c r="T398" t="str">
        <f>IF(F398="Tripulacion", COUNTIF(F$5:F398, "Tripulacion"), "")</f>
        <v/>
      </c>
      <c r="U398" t="str">
        <f>IF(F398="ENAP carga", COUNTIF(F$5:F398, "ENAP carga"), "")</f>
        <v/>
      </c>
    </row>
    <row r="399" spans="13:21">
      <c r="M399" s="22" t="str">
        <f t="shared" si="10"/>
        <v/>
      </c>
      <c r="R399" t="str">
        <f>IF(F399="CJ", COUNTIF(F$5:F399, "CJ"), "")</f>
        <v/>
      </c>
      <c r="S399" t="str">
        <f>IF(F399="Ignacio", COUNTIF(F$5:F399, "Ignacio"), "")</f>
        <v/>
      </c>
      <c r="T399" t="str">
        <f>IF(F399="Tripulacion", COUNTIF(F$5:F399, "Tripulacion"), "")</f>
        <v/>
      </c>
      <c r="U399" t="str">
        <f>IF(F399="ENAP carga", COUNTIF(F$5:F399, "ENAP carga"), "")</f>
        <v/>
      </c>
    </row>
    <row r="400" spans="13:21">
      <c r="M400" s="22" t="str">
        <f t="shared" si="10"/>
        <v/>
      </c>
      <c r="R400" t="str">
        <f>IF(F400="CJ", COUNTIF(F$5:F400, "CJ"), "")</f>
        <v/>
      </c>
      <c r="S400" t="str">
        <f>IF(F400="Ignacio", COUNTIF(F$5:F400, "Ignacio"), "")</f>
        <v/>
      </c>
      <c r="T400" t="str">
        <f>IF(F400="Tripulacion", COUNTIF(F$5:F400, "Tripulacion"), "")</f>
        <v/>
      </c>
      <c r="U400" t="str">
        <f>IF(F400="ENAP carga", COUNTIF(F$5:F400, "ENAP carga"), "")</f>
        <v/>
      </c>
    </row>
    <row r="401" spans="13:21">
      <c r="M401" s="22" t="str">
        <f t="shared" si="10"/>
        <v/>
      </c>
      <c r="R401" t="str">
        <f>IF(F401="CJ", COUNTIF(F$5:F401, "CJ"), "")</f>
        <v/>
      </c>
      <c r="S401" t="str">
        <f>IF(F401="Ignacio", COUNTIF(F$5:F401, "Ignacio"), "")</f>
        <v/>
      </c>
      <c r="T401" t="str">
        <f>IF(F401="Tripulacion", COUNTIF(F$5:F401, "Tripulacion"), "")</f>
        <v/>
      </c>
      <c r="U401" t="str">
        <f>IF(F401="ENAP carga", COUNTIF(F$5:F401, "ENAP carga"), "")</f>
        <v/>
      </c>
    </row>
    <row r="402" spans="13:21">
      <c r="M402" s="22" t="str">
        <f t="shared" si="10"/>
        <v/>
      </c>
      <c r="R402" t="str">
        <f>IF(F402="CJ", COUNTIF(F$5:F402, "CJ"), "")</f>
        <v/>
      </c>
      <c r="S402" t="str">
        <f>IF(F402="Ignacio", COUNTIF(F$5:F402, "Ignacio"), "")</f>
        <v/>
      </c>
      <c r="T402" t="str">
        <f>IF(F402="Tripulacion", COUNTIF(F$5:F402, "Tripulacion"), "")</f>
        <v/>
      </c>
      <c r="U402" t="str">
        <f>IF(F402="ENAP carga", COUNTIF(F$5:F402, "ENAP carga"), "")</f>
        <v/>
      </c>
    </row>
    <row r="403" spans="13:21">
      <c r="M403" s="22" t="str">
        <f t="shared" si="10"/>
        <v/>
      </c>
      <c r="R403" t="str">
        <f>IF(F403="CJ", COUNTIF(F$5:F403, "CJ"), "")</f>
        <v/>
      </c>
      <c r="S403" t="str">
        <f>IF(F403="Ignacio", COUNTIF(F$5:F403, "Ignacio"), "")</f>
        <v/>
      </c>
      <c r="T403" t="str">
        <f>IF(F403="Tripulacion", COUNTIF(F$5:F403, "Tripulacion"), "")</f>
        <v/>
      </c>
      <c r="U403" t="str">
        <f>IF(F403="ENAP carga", COUNTIF(F$5:F403, "ENAP carga"), "")</f>
        <v/>
      </c>
    </row>
    <row r="404" spans="13:21">
      <c r="M404" s="22" t="str">
        <f t="shared" si="10"/>
        <v/>
      </c>
      <c r="R404" t="str">
        <f>IF(F404="CJ", COUNTIF(F$5:F404, "CJ"), "")</f>
        <v/>
      </c>
      <c r="S404" t="str">
        <f>IF(F404="Ignacio", COUNTIF(F$5:F404, "Ignacio"), "")</f>
        <v/>
      </c>
      <c r="T404" t="str">
        <f>IF(F404="Tripulacion", COUNTIF(F$5:F404, "Tripulacion"), "")</f>
        <v/>
      </c>
      <c r="U404" t="str">
        <f>IF(F404="ENAP carga", COUNTIF(F$5:F404, "ENAP carga"), "")</f>
        <v/>
      </c>
    </row>
    <row r="405" spans="13:21">
      <c r="M405" s="22" t="str">
        <f t="shared" si="10"/>
        <v/>
      </c>
      <c r="R405" t="str">
        <f>IF(F405="CJ", COUNTIF(F$5:F405, "CJ"), "")</f>
        <v/>
      </c>
      <c r="S405" t="str">
        <f>IF(F405="Ignacio", COUNTIF(F$5:F405, "Ignacio"), "")</f>
        <v/>
      </c>
      <c r="T405" t="str">
        <f>IF(F405="Tripulacion", COUNTIF(F$5:F405, "Tripulacion"), "")</f>
        <v/>
      </c>
      <c r="U405" t="str">
        <f>IF(F405="ENAP carga", COUNTIF(F$5:F405, "ENAP carga"), "")</f>
        <v/>
      </c>
    </row>
    <row r="406" spans="13:21">
      <c r="M406" s="22" t="str">
        <f t="shared" si="10"/>
        <v/>
      </c>
      <c r="R406" t="str">
        <f>IF(F406="CJ", COUNTIF(F$5:F406, "CJ"), "")</f>
        <v/>
      </c>
      <c r="S406" t="str">
        <f>IF(F406="Ignacio", COUNTIF(F$5:F406, "Ignacio"), "")</f>
        <v/>
      </c>
      <c r="T406" t="str">
        <f>IF(F406="Tripulacion", COUNTIF(F$5:F406, "Tripulacion"), "")</f>
        <v/>
      </c>
      <c r="U406" t="str">
        <f>IF(F406="ENAP carga", COUNTIF(F$5:F406, "ENAP carga"), "")</f>
        <v/>
      </c>
    </row>
    <row r="407" spans="13:21">
      <c r="M407" s="22" t="str">
        <f t="shared" si="10"/>
        <v/>
      </c>
      <c r="R407" t="str">
        <f>IF(F407="CJ", COUNTIF(F$5:F407, "CJ"), "")</f>
        <v/>
      </c>
      <c r="S407" t="str">
        <f>IF(F407="Ignacio", COUNTIF(F$5:F407, "Ignacio"), "")</f>
        <v/>
      </c>
      <c r="T407" t="str">
        <f>IF(F407="Tripulacion", COUNTIF(F$5:F407, "Tripulacion"), "")</f>
        <v/>
      </c>
      <c r="U407" t="str">
        <f>IF(F407="ENAP carga", COUNTIF(F$5:F407, "ENAP carga"), "")</f>
        <v/>
      </c>
    </row>
    <row r="408" spans="13:21">
      <c r="M408" s="22" t="str">
        <f t="shared" ref="M408:M471" si="11">IF(F408="CJ", I408*200, "")</f>
        <v/>
      </c>
      <c r="R408" t="str">
        <f>IF(F408="CJ", COUNTIF(F$5:F408, "CJ"), "")</f>
        <v/>
      </c>
      <c r="S408" t="str">
        <f>IF(F408="Ignacio", COUNTIF(F$5:F408, "Ignacio"), "")</f>
        <v/>
      </c>
      <c r="T408" t="str">
        <f>IF(F408="Tripulacion", COUNTIF(F$5:F408, "Tripulacion"), "")</f>
        <v/>
      </c>
      <c r="U408" t="str">
        <f>IF(F408="ENAP carga", COUNTIF(F$5:F408, "ENAP carga"), "")</f>
        <v/>
      </c>
    </row>
    <row r="409" spans="13:21">
      <c r="M409" s="22" t="str">
        <f t="shared" si="11"/>
        <v/>
      </c>
      <c r="R409" t="str">
        <f>IF(F409="CJ", COUNTIF(F$5:F409, "CJ"), "")</f>
        <v/>
      </c>
      <c r="S409" t="str">
        <f>IF(F409="Ignacio", COUNTIF(F$5:F409, "Ignacio"), "")</f>
        <v/>
      </c>
      <c r="T409" t="str">
        <f>IF(F409="Tripulacion", COUNTIF(F$5:F409, "Tripulacion"), "")</f>
        <v/>
      </c>
      <c r="U409" t="str">
        <f>IF(F409="ENAP carga", COUNTIF(F$5:F409, "ENAP carga"), "")</f>
        <v/>
      </c>
    </row>
    <row r="410" spans="13:21">
      <c r="M410" s="22" t="str">
        <f t="shared" si="11"/>
        <v/>
      </c>
      <c r="R410" t="str">
        <f>IF(F410="CJ", COUNTIF(F$5:F410, "CJ"), "")</f>
        <v/>
      </c>
      <c r="S410" t="str">
        <f>IF(F410="Ignacio", COUNTIF(F$5:F410, "Ignacio"), "")</f>
        <v/>
      </c>
      <c r="T410" t="str">
        <f>IF(F410="Tripulacion", COUNTIF(F$5:F410, "Tripulacion"), "")</f>
        <v/>
      </c>
      <c r="U410" t="str">
        <f>IF(F410="ENAP carga", COUNTIF(F$5:F410, "ENAP carga"), "")</f>
        <v/>
      </c>
    </row>
    <row r="411" spans="13:21">
      <c r="M411" s="22" t="str">
        <f t="shared" si="11"/>
        <v/>
      </c>
      <c r="R411" t="str">
        <f>IF(F411="CJ", COUNTIF(F$5:F411, "CJ"), "")</f>
        <v/>
      </c>
      <c r="S411" t="str">
        <f>IF(F411="Ignacio", COUNTIF(F$5:F411, "Ignacio"), "")</f>
        <v/>
      </c>
      <c r="T411" t="str">
        <f>IF(F411="Tripulacion", COUNTIF(F$5:F411, "Tripulacion"), "")</f>
        <v/>
      </c>
      <c r="U411" t="str">
        <f>IF(F411="ENAP carga", COUNTIF(F$5:F411, "ENAP carga"), "")</f>
        <v/>
      </c>
    </row>
    <row r="412" spans="13:21">
      <c r="M412" s="22" t="str">
        <f t="shared" si="11"/>
        <v/>
      </c>
      <c r="R412" t="str">
        <f>IF(F412="CJ", COUNTIF(F$5:F412, "CJ"), "")</f>
        <v/>
      </c>
      <c r="S412" t="str">
        <f>IF(F412="Ignacio", COUNTIF(F$5:F412, "Ignacio"), "")</f>
        <v/>
      </c>
      <c r="T412" t="str">
        <f>IF(F412="Tripulacion", COUNTIF(F$5:F412, "Tripulacion"), "")</f>
        <v/>
      </c>
      <c r="U412" t="str">
        <f>IF(F412="ENAP carga", COUNTIF(F$5:F412, "ENAP carga"), "")</f>
        <v/>
      </c>
    </row>
    <row r="413" spans="13:21">
      <c r="M413" s="22" t="str">
        <f t="shared" si="11"/>
        <v/>
      </c>
      <c r="R413" t="str">
        <f>IF(F413="CJ", COUNTIF(F$5:F413, "CJ"), "")</f>
        <v/>
      </c>
      <c r="S413" t="str">
        <f>IF(F413="Ignacio", COUNTIF(F$5:F413, "Ignacio"), "")</f>
        <v/>
      </c>
      <c r="T413" t="str">
        <f>IF(F413="Tripulacion", COUNTIF(F$5:F413, "Tripulacion"), "")</f>
        <v/>
      </c>
      <c r="U413" t="str">
        <f>IF(F413="ENAP carga", COUNTIF(F$5:F413, "ENAP carga"), "")</f>
        <v/>
      </c>
    </row>
    <row r="414" spans="13:21">
      <c r="M414" s="22" t="str">
        <f t="shared" si="11"/>
        <v/>
      </c>
      <c r="R414" t="str">
        <f>IF(F414="CJ", COUNTIF(F$5:F414, "CJ"), "")</f>
        <v/>
      </c>
      <c r="S414" t="str">
        <f>IF(F414="Ignacio", COUNTIF(F$5:F414, "Ignacio"), "")</f>
        <v/>
      </c>
      <c r="T414" t="str">
        <f>IF(F414="Tripulacion", COUNTIF(F$5:F414, "Tripulacion"), "")</f>
        <v/>
      </c>
      <c r="U414" t="str">
        <f>IF(F414="ENAP carga", COUNTIF(F$5:F414, "ENAP carga"), "")</f>
        <v/>
      </c>
    </row>
    <row r="415" spans="13:21">
      <c r="M415" s="22" t="str">
        <f t="shared" si="11"/>
        <v/>
      </c>
      <c r="R415" t="str">
        <f>IF(F415="CJ", COUNTIF(F$5:F415, "CJ"), "")</f>
        <v/>
      </c>
      <c r="S415" t="str">
        <f>IF(F415="Ignacio", COUNTIF(F$5:F415, "Ignacio"), "")</f>
        <v/>
      </c>
      <c r="T415" t="str">
        <f>IF(F415="Tripulacion", COUNTIF(F$5:F415, "Tripulacion"), "")</f>
        <v/>
      </c>
      <c r="U415" t="str">
        <f>IF(F415="ENAP carga", COUNTIF(F$5:F415, "ENAP carga"), "")</f>
        <v/>
      </c>
    </row>
    <row r="416" spans="13:21">
      <c r="M416" s="22" t="str">
        <f t="shared" si="11"/>
        <v/>
      </c>
      <c r="R416" t="str">
        <f>IF(F416="CJ", COUNTIF(F$5:F416, "CJ"), "")</f>
        <v/>
      </c>
      <c r="S416" t="str">
        <f>IF(F416="Ignacio", COUNTIF(F$5:F416, "Ignacio"), "")</f>
        <v/>
      </c>
      <c r="T416" t="str">
        <f>IF(F416="Tripulacion", COUNTIF(F$5:F416, "Tripulacion"), "")</f>
        <v/>
      </c>
      <c r="U416" t="str">
        <f>IF(F416="ENAP carga", COUNTIF(F$5:F416, "ENAP carga"), "")</f>
        <v/>
      </c>
    </row>
    <row r="417" spans="13:21">
      <c r="M417" s="22" t="str">
        <f t="shared" si="11"/>
        <v/>
      </c>
      <c r="R417" t="str">
        <f>IF(F417="CJ", COUNTIF(F$5:F417, "CJ"), "")</f>
        <v/>
      </c>
      <c r="S417" t="str">
        <f>IF(F417="Ignacio", COUNTIF(F$5:F417, "Ignacio"), "")</f>
        <v/>
      </c>
      <c r="T417" t="str">
        <f>IF(F417="Tripulacion", COUNTIF(F$5:F417, "Tripulacion"), "")</f>
        <v/>
      </c>
      <c r="U417" t="str">
        <f>IF(F417="ENAP carga", COUNTIF(F$5:F417, "ENAP carga"), "")</f>
        <v/>
      </c>
    </row>
    <row r="418" spans="13:21">
      <c r="M418" s="22" t="str">
        <f t="shared" si="11"/>
        <v/>
      </c>
      <c r="R418" t="str">
        <f>IF(F418="CJ", COUNTIF(F$5:F418, "CJ"), "")</f>
        <v/>
      </c>
      <c r="S418" t="str">
        <f>IF(F418="Ignacio", COUNTIF(F$5:F418, "Ignacio"), "")</f>
        <v/>
      </c>
      <c r="T418" t="str">
        <f>IF(F418="Tripulacion", COUNTIF(F$5:F418, "Tripulacion"), "")</f>
        <v/>
      </c>
      <c r="U418" t="str">
        <f>IF(F418="ENAP carga", COUNTIF(F$5:F418, "ENAP carga"), "")</f>
        <v/>
      </c>
    </row>
    <row r="419" spans="13:21">
      <c r="M419" s="22" t="str">
        <f t="shared" si="11"/>
        <v/>
      </c>
      <c r="R419" t="str">
        <f>IF(F419="CJ", COUNTIF(F$5:F419, "CJ"), "")</f>
        <v/>
      </c>
      <c r="S419" t="str">
        <f>IF(F419="Ignacio", COUNTIF(F$5:F419, "Ignacio"), "")</f>
        <v/>
      </c>
      <c r="T419" t="str">
        <f>IF(F419="Tripulacion", COUNTIF(F$5:F419, "Tripulacion"), "")</f>
        <v/>
      </c>
      <c r="U419" t="str">
        <f>IF(F419="ENAP carga", COUNTIF(F$5:F419, "ENAP carga"), "")</f>
        <v/>
      </c>
    </row>
    <row r="420" spans="13:21">
      <c r="M420" s="22" t="str">
        <f t="shared" si="11"/>
        <v/>
      </c>
      <c r="R420" t="str">
        <f>IF(F420="CJ", COUNTIF(F$5:F420, "CJ"), "")</f>
        <v/>
      </c>
      <c r="S420" t="str">
        <f>IF(F420="Ignacio", COUNTIF(F$5:F420, "Ignacio"), "")</f>
        <v/>
      </c>
      <c r="T420" t="str">
        <f>IF(F420="Tripulacion", COUNTIF(F$5:F420, "Tripulacion"), "")</f>
        <v/>
      </c>
      <c r="U420" t="str">
        <f>IF(F420="ENAP carga", COUNTIF(F$5:F420, "ENAP carga"), "")</f>
        <v/>
      </c>
    </row>
    <row r="421" spans="13:21">
      <c r="M421" s="22" t="str">
        <f t="shared" si="11"/>
        <v/>
      </c>
      <c r="R421" t="str">
        <f>IF(F421="CJ", COUNTIF(F$5:F421, "CJ"), "")</f>
        <v/>
      </c>
      <c r="S421" t="str">
        <f>IF(F421="Ignacio", COUNTIF(F$5:F421, "Ignacio"), "")</f>
        <v/>
      </c>
      <c r="T421" t="str">
        <f>IF(F421="Tripulacion", COUNTIF(F$5:F421, "Tripulacion"), "")</f>
        <v/>
      </c>
      <c r="U421" t="str">
        <f>IF(F421="ENAP carga", COUNTIF(F$5:F421, "ENAP carga"), "")</f>
        <v/>
      </c>
    </row>
    <row r="422" spans="13:21">
      <c r="M422" s="22" t="str">
        <f t="shared" si="11"/>
        <v/>
      </c>
      <c r="R422" t="str">
        <f>IF(F422="CJ", COUNTIF(F$5:F422, "CJ"), "")</f>
        <v/>
      </c>
      <c r="S422" t="str">
        <f>IF(F422="Ignacio", COUNTIF(F$5:F422, "Ignacio"), "")</f>
        <v/>
      </c>
      <c r="T422" t="str">
        <f>IF(F422="Tripulacion", COUNTIF(F$5:F422, "Tripulacion"), "")</f>
        <v/>
      </c>
      <c r="U422" t="str">
        <f>IF(F422="ENAP carga", COUNTIF(F$5:F422, "ENAP carga"), "")</f>
        <v/>
      </c>
    </row>
    <row r="423" spans="13:21">
      <c r="M423" s="22" t="str">
        <f t="shared" si="11"/>
        <v/>
      </c>
      <c r="R423" t="str">
        <f>IF(F423="CJ", COUNTIF(F$5:F423, "CJ"), "")</f>
        <v/>
      </c>
      <c r="S423" t="str">
        <f>IF(F423="Ignacio", COUNTIF(F$5:F423, "Ignacio"), "")</f>
        <v/>
      </c>
      <c r="T423" t="str">
        <f>IF(F423="Tripulacion", COUNTIF(F$5:F423, "Tripulacion"), "")</f>
        <v/>
      </c>
      <c r="U423" t="str">
        <f>IF(F423="ENAP carga", COUNTIF(F$5:F423, "ENAP carga"), "")</f>
        <v/>
      </c>
    </row>
    <row r="424" spans="13:21">
      <c r="M424" s="22" t="str">
        <f t="shared" si="11"/>
        <v/>
      </c>
      <c r="R424" t="str">
        <f>IF(F424="CJ", COUNTIF(F$5:F424, "CJ"), "")</f>
        <v/>
      </c>
      <c r="S424" t="str">
        <f>IF(F424="Ignacio", COUNTIF(F$5:F424, "Ignacio"), "")</f>
        <v/>
      </c>
      <c r="T424" t="str">
        <f>IF(F424="Tripulacion", COUNTIF(F$5:F424, "Tripulacion"), "")</f>
        <v/>
      </c>
      <c r="U424" t="str">
        <f>IF(F424="ENAP carga", COUNTIF(F$5:F424, "ENAP carga"), "")</f>
        <v/>
      </c>
    </row>
    <row r="425" spans="13:21">
      <c r="M425" s="22" t="str">
        <f t="shared" si="11"/>
        <v/>
      </c>
      <c r="R425" t="str">
        <f>IF(F425="CJ", COUNTIF(F$5:F425, "CJ"), "")</f>
        <v/>
      </c>
      <c r="S425" t="str">
        <f>IF(F425="Ignacio", COUNTIF(F$5:F425, "Ignacio"), "")</f>
        <v/>
      </c>
      <c r="T425" t="str">
        <f>IF(F425="Tripulacion", COUNTIF(F$5:F425, "Tripulacion"), "")</f>
        <v/>
      </c>
      <c r="U425" t="str">
        <f>IF(F425="ENAP carga", COUNTIF(F$5:F425, "ENAP carga"), "")</f>
        <v/>
      </c>
    </row>
    <row r="426" spans="13:21">
      <c r="M426" s="22" t="str">
        <f t="shared" si="11"/>
        <v/>
      </c>
      <c r="R426" t="str">
        <f>IF(F426="CJ", COUNTIF(F$5:F426, "CJ"), "")</f>
        <v/>
      </c>
      <c r="S426" t="str">
        <f>IF(F426="Ignacio", COUNTIF(F$5:F426, "Ignacio"), "")</f>
        <v/>
      </c>
      <c r="T426" t="str">
        <f>IF(F426="Tripulacion", COUNTIF(F$5:F426, "Tripulacion"), "")</f>
        <v/>
      </c>
      <c r="U426" t="str">
        <f>IF(F426="ENAP carga", COUNTIF(F$5:F426, "ENAP carga"), "")</f>
        <v/>
      </c>
    </row>
    <row r="427" spans="13:21">
      <c r="M427" s="22" t="str">
        <f t="shared" si="11"/>
        <v/>
      </c>
      <c r="R427" t="str">
        <f>IF(F427="CJ", COUNTIF(F$5:F427, "CJ"), "")</f>
        <v/>
      </c>
      <c r="S427" t="str">
        <f>IF(F427="Ignacio", COUNTIF(F$5:F427, "Ignacio"), "")</f>
        <v/>
      </c>
      <c r="T427" t="str">
        <f>IF(F427="Tripulacion", COUNTIF(F$5:F427, "Tripulacion"), "")</f>
        <v/>
      </c>
      <c r="U427" t="str">
        <f>IF(F427="ENAP carga", COUNTIF(F$5:F427, "ENAP carga"), "")</f>
        <v/>
      </c>
    </row>
    <row r="428" spans="13:21">
      <c r="M428" s="22" t="str">
        <f t="shared" si="11"/>
        <v/>
      </c>
      <c r="R428" t="str">
        <f>IF(F428="CJ", COUNTIF(F$5:F428, "CJ"), "")</f>
        <v/>
      </c>
      <c r="S428" t="str">
        <f>IF(F428="Ignacio", COUNTIF(F$5:F428, "Ignacio"), "")</f>
        <v/>
      </c>
      <c r="T428" t="str">
        <f>IF(F428="Tripulacion", COUNTIF(F$5:F428, "Tripulacion"), "")</f>
        <v/>
      </c>
      <c r="U428" t="str">
        <f>IF(F428="ENAP carga", COUNTIF(F$5:F428, "ENAP carga"), "")</f>
        <v/>
      </c>
    </row>
    <row r="429" spans="13:21">
      <c r="M429" s="22" t="str">
        <f t="shared" si="11"/>
        <v/>
      </c>
      <c r="R429" t="str">
        <f>IF(F429="CJ", COUNTIF(F$5:F429, "CJ"), "")</f>
        <v/>
      </c>
      <c r="S429" t="str">
        <f>IF(F429="Ignacio", COUNTIF(F$5:F429, "Ignacio"), "")</f>
        <v/>
      </c>
      <c r="T429" t="str">
        <f>IF(F429="Tripulacion", COUNTIF(F$5:F429, "Tripulacion"), "")</f>
        <v/>
      </c>
      <c r="U429" t="str">
        <f>IF(F429="ENAP carga", COUNTIF(F$5:F429, "ENAP carga"), "")</f>
        <v/>
      </c>
    </row>
    <row r="430" spans="13:21">
      <c r="M430" s="22" t="str">
        <f t="shared" si="11"/>
        <v/>
      </c>
      <c r="R430" t="str">
        <f>IF(F430="CJ", COUNTIF(F$5:F430, "CJ"), "")</f>
        <v/>
      </c>
      <c r="S430" t="str">
        <f>IF(F430="Ignacio", COUNTIF(F$5:F430, "Ignacio"), "")</f>
        <v/>
      </c>
      <c r="T430" t="str">
        <f>IF(F430="Tripulacion", COUNTIF(F$5:F430, "Tripulacion"), "")</f>
        <v/>
      </c>
      <c r="U430" t="str">
        <f>IF(F430="ENAP carga", COUNTIF(F$5:F430, "ENAP carga"), "")</f>
        <v/>
      </c>
    </row>
    <row r="431" spans="13:21">
      <c r="M431" s="22" t="str">
        <f t="shared" si="11"/>
        <v/>
      </c>
      <c r="R431" t="str">
        <f>IF(F431="CJ", COUNTIF(F$5:F431, "CJ"), "")</f>
        <v/>
      </c>
      <c r="S431" t="str">
        <f>IF(F431="Ignacio", COUNTIF(F$5:F431, "Ignacio"), "")</f>
        <v/>
      </c>
      <c r="T431" t="str">
        <f>IF(F431="Tripulacion", COUNTIF(F$5:F431, "Tripulacion"), "")</f>
        <v/>
      </c>
      <c r="U431" t="str">
        <f>IF(F431="ENAP carga", COUNTIF(F$5:F431, "ENAP carga"), "")</f>
        <v/>
      </c>
    </row>
    <row r="432" spans="13:21">
      <c r="M432" s="22" t="str">
        <f t="shared" si="11"/>
        <v/>
      </c>
      <c r="R432" t="str">
        <f>IF(F432="CJ", COUNTIF(F$5:F432, "CJ"), "")</f>
        <v/>
      </c>
      <c r="S432" t="str">
        <f>IF(F432="Ignacio", COUNTIF(F$5:F432, "Ignacio"), "")</f>
        <v/>
      </c>
      <c r="T432" t="str">
        <f>IF(F432="Tripulacion", COUNTIF(F$5:F432, "Tripulacion"), "")</f>
        <v/>
      </c>
      <c r="U432" t="str">
        <f>IF(F432="ENAP carga", COUNTIF(F$5:F432, "ENAP carga"), "")</f>
        <v/>
      </c>
    </row>
    <row r="433" spans="13:21">
      <c r="M433" s="22" t="str">
        <f t="shared" si="11"/>
        <v/>
      </c>
      <c r="R433" t="str">
        <f>IF(F433="CJ", COUNTIF(F$5:F433, "CJ"), "")</f>
        <v/>
      </c>
      <c r="S433" t="str">
        <f>IF(F433="Ignacio", COUNTIF(F$5:F433, "Ignacio"), "")</f>
        <v/>
      </c>
      <c r="T433" t="str">
        <f>IF(F433="Tripulacion", COUNTIF(F$5:F433, "Tripulacion"), "")</f>
        <v/>
      </c>
      <c r="U433" t="str">
        <f>IF(F433="ENAP carga", COUNTIF(F$5:F433, "ENAP carga"), "")</f>
        <v/>
      </c>
    </row>
    <row r="434" spans="13:21">
      <c r="M434" s="22" t="str">
        <f t="shared" si="11"/>
        <v/>
      </c>
      <c r="R434" t="str">
        <f>IF(F434="CJ", COUNTIF(F$5:F434, "CJ"), "")</f>
        <v/>
      </c>
      <c r="S434" t="str">
        <f>IF(F434="Ignacio", COUNTIF(F$5:F434, "Ignacio"), "")</f>
        <v/>
      </c>
      <c r="T434" t="str">
        <f>IF(F434="Tripulacion", COUNTIF(F$5:F434, "Tripulacion"), "")</f>
        <v/>
      </c>
      <c r="U434" t="str">
        <f>IF(F434="ENAP carga", COUNTIF(F$5:F434, "ENAP carga"), "")</f>
        <v/>
      </c>
    </row>
    <row r="435" spans="13:21">
      <c r="M435" s="22" t="str">
        <f t="shared" si="11"/>
        <v/>
      </c>
      <c r="R435" t="str">
        <f>IF(F435="CJ", COUNTIF(F$5:F435, "CJ"), "")</f>
        <v/>
      </c>
      <c r="S435" t="str">
        <f>IF(F435="Ignacio", COUNTIF(F$5:F435, "Ignacio"), "")</f>
        <v/>
      </c>
      <c r="T435" t="str">
        <f>IF(F435="Tripulacion", COUNTIF(F$5:F435, "Tripulacion"), "")</f>
        <v/>
      </c>
      <c r="U435" t="str">
        <f>IF(F435="ENAP carga", COUNTIF(F$5:F435, "ENAP carga"), "")</f>
        <v/>
      </c>
    </row>
    <row r="436" spans="13:21">
      <c r="M436" s="22" t="str">
        <f t="shared" si="11"/>
        <v/>
      </c>
      <c r="R436" t="str">
        <f>IF(F436="CJ", COUNTIF(F$5:F436, "CJ"), "")</f>
        <v/>
      </c>
      <c r="S436" t="str">
        <f>IF(F436="Ignacio", COUNTIF(F$5:F436, "Ignacio"), "")</f>
        <v/>
      </c>
      <c r="T436" t="str">
        <f>IF(F436="Tripulacion", COUNTIF(F$5:F436, "Tripulacion"), "")</f>
        <v/>
      </c>
      <c r="U436" t="str">
        <f>IF(F436="ENAP carga", COUNTIF(F$5:F436, "ENAP carga"), "")</f>
        <v/>
      </c>
    </row>
    <row r="437" spans="13:21">
      <c r="M437" s="22" t="str">
        <f t="shared" si="11"/>
        <v/>
      </c>
      <c r="R437" t="str">
        <f>IF(F437="CJ", COUNTIF(F$5:F437, "CJ"), "")</f>
        <v/>
      </c>
      <c r="S437" t="str">
        <f>IF(F437="Ignacio", COUNTIF(F$5:F437, "Ignacio"), "")</f>
        <v/>
      </c>
      <c r="T437" t="str">
        <f>IF(F437="Tripulacion", COUNTIF(F$5:F437, "Tripulacion"), "")</f>
        <v/>
      </c>
      <c r="U437" t="str">
        <f>IF(F437="ENAP carga", COUNTIF(F$5:F437, "ENAP carga"), "")</f>
        <v/>
      </c>
    </row>
    <row r="438" spans="13:21">
      <c r="M438" s="22" t="str">
        <f t="shared" si="11"/>
        <v/>
      </c>
      <c r="R438" t="str">
        <f>IF(F438="CJ", COUNTIF(F$5:F438, "CJ"), "")</f>
        <v/>
      </c>
      <c r="S438" t="str">
        <f>IF(F438="Ignacio", COUNTIF(F$5:F438, "Ignacio"), "")</f>
        <v/>
      </c>
      <c r="T438" t="str">
        <f>IF(F438="Tripulacion", COUNTIF(F$5:F438, "Tripulacion"), "")</f>
        <v/>
      </c>
      <c r="U438" t="str">
        <f>IF(F438="ENAP carga", COUNTIF(F$5:F438, "ENAP carga"), "")</f>
        <v/>
      </c>
    </row>
    <row r="439" spans="13:21">
      <c r="M439" s="22" t="str">
        <f t="shared" si="11"/>
        <v/>
      </c>
      <c r="R439" t="str">
        <f>IF(F439="CJ", COUNTIF(F$5:F439, "CJ"), "")</f>
        <v/>
      </c>
      <c r="S439" t="str">
        <f>IF(F439="Ignacio", COUNTIF(F$5:F439, "Ignacio"), "")</f>
        <v/>
      </c>
      <c r="T439" t="str">
        <f>IF(F439="Tripulacion", COUNTIF(F$5:F439, "Tripulacion"), "")</f>
        <v/>
      </c>
      <c r="U439" t="str">
        <f>IF(F439="ENAP carga", COUNTIF(F$5:F439, "ENAP carga"), "")</f>
        <v/>
      </c>
    </row>
    <row r="440" spans="13:21">
      <c r="M440" s="22" t="str">
        <f t="shared" si="11"/>
        <v/>
      </c>
      <c r="R440" t="str">
        <f>IF(F440="CJ", COUNTIF(F$5:F440, "CJ"), "")</f>
        <v/>
      </c>
      <c r="S440" t="str">
        <f>IF(F440="Ignacio", COUNTIF(F$5:F440, "Ignacio"), "")</f>
        <v/>
      </c>
      <c r="T440" t="str">
        <f>IF(F440="Tripulacion", COUNTIF(F$5:F440, "Tripulacion"), "")</f>
        <v/>
      </c>
      <c r="U440" t="str">
        <f>IF(F440="ENAP carga", COUNTIF(F$5:F440, "ENAP carga"), "")</f>
        <v/>
      </c>
    </row>
    <row r="441" spans="13:21">
      <c r="M441" s="22" t="str">
        <f t="shared" si="11"/>
        <v/>
      </c>
      <c r="R441" t="str">
        <f>IF(F441="CJ", COUNTIF(F$5:F441, "CJ"), "")</f>
        <v/>
      </c>
      <c r="S441" t="str">
        <f>IF(F441="Ignacio", COUNTIF(F$5:F441, "Ignacio"), "")</f>
        <v/>
      </c>
      <c r="T441" t="str">
        <f>IF(F441="Tripulacion", COUNTIF(F$5:F441, "Tripulacion"), "")</f>
        <v/>
      </c>
      <c r="U441" t="str">
        <f>IF(F441="ENAP carga", COUNTIF(F$5:F441, "ENAP carga"), "")</f>
        <v/>
      </c>
    </row>
    <row r="442" spans="13:21">
      <c r="M442" s="22" t="str">
        <f t="shared" si="11"/>
        <v/>
      </c>
      <c r="R442" t="str">
        <f>IF(F442="CJ", COUNTIF(F$5:F442, "CJ"), "")</f>
        <v/>
      </c>
      <c r="S442" t="str">
        <f>IF(F442="Ignacio", COUNTIF(F$5:F442, "Ignacio"), "")</f>
        <v/>
      </c>
      <c r="T442" t="str">
        <f>IF(F442="Tripulacion", COUNTIF(F$5:F442, "Tripulacion"), "")</f>
        <v/>
      </c>
      <c r="U442" t="str">
        <f>IF(F442="ENAP carga", COUNTIF(F$5:F442, "ENAP carga"), "")</f>
        <v/>
      </c>
    </row>
    <row r="443" spans="13:21">
      <c r="M443" s="22" t="str">
        <f t="shared" si="11"/>
        <v/>
      </c>
      <c r="R443" t="str">
        <f>IF(F443="CJ", COUNTIF(F$5:F443, "CJ"), "")</f>
        <v/>
      </c>
      <c r="S443" t="str">
        <f>IF(F443="Ignacio", COUNTIF(F$5:F443, "Ignacio"), "")</f>
        <v/>
      </c>
      <c r="T443" t="str">
        <f>IF(F443="Tripulacion", COUNTIF(F$5:F443, "Tripulacion"), "")</f>
        <v/>
      </c>
      <c r="U443" t="str">
        <f>IF(F443="ENAP carga", COUNTIF(F$5:F443, "ENAP carga"), "")</f>
        <v/>
      </c>
    </row>
    <row r="444" spans="13:21">
      <c r="M444" s="22" t="str">
        <f t="shared" si="11"/>
        <v/>
      </c>
      <c r="R444" t="str">
        <f>IF(F444="CJ", COUNTIF(F$5:F444, "CJ"), "")</f>
        <v/>
      </c>
      <c r="S444" t="str">
        <f>IF(F444="Ignacio", COUNTIF(F$5:F444, "Ignacio"), "")</f>
        <v/>
      </c>
      <c r="T444" t="str">
        <f>IF(F444="Tripulacion", COUNTIF(F$5:F444, "Tripulacion"), "")</f>
        <v/>
      </c>
      <c r="U444" t="str">
        <f>IF(F444="ENAP carga", COUNTIF(F$5:F444, "ENAP carga"), "")</f>
        <v/>
      </c>
    </row>
    <row r="445" spans="13:21">
      <c r="M445" s="22" t="str">
        <f t="shared" si="11"/>
        <v/>
      </c>
      <c r="R445" t="str">
        <f>IF(F445="CJ", COUNTIF(F$5:F445, "CJ"), "")</f>
        <v/>
      </c>
      <c r="S445" t="str">
        <f>IF(F445="Ignacio", COUNTIF(F$5:F445, "Ignacio"), "")</f>
        <v/>
      </c>
      <c r="T445" t="str">
        <f>IF(F445="Tripulacion", COUNTIF(F$5:F445, "Tripulacion"), "")</f>
        <v/>
      </c>
      <c r="U445" t="str">
        <f>IF(F445="ENAP carga", COUNTIF(F$5:F445, "ENAP carga"), "")</f>
        <v/>
      </c>
    </row>
    <row r="446" spans="13:21">
      <c r="M446" s="22" t="str">
        <f t="shared" si="11"/>
        <v/>
      </c>
      <c r="R446" t="str">
        <f>IF(F446="CJ", COUNTIF(F$5:F446, "CJ"), "")</f>
        <v/>
      </c>
      <c r="S446" t="str">
        <f>IF(F446="Ignacio", COUNTIF(F$5:F446, "Ignacio"), "")</f>
        <v/>
      </c>
      <c r="T446" t="str">
        <f>IF(F446="Tripulacion", COUNTIF(F$5:F446, "Tripulacion"), "")</f>
        <v/>
      </c>
      <c r="U446" t="str">
        <f>IF(F446="ENAP carga", COUNTIF(F$5:F446, "ENAP carga"), "")</f>
        <v/>
      </c>
    </row>
    <row r="447" spans="13:21">
      <c r="M447" s="22" t="str">
        <f t="shared" si="11"/>
        <v/>
      </c>
      <c r="R447" t="str">
        <f>IF(F447="CJ", COUNTIF(F$5:F447, "CJ"), "")</f>
        <v/>
      </c>
      <c r="S447" t="str">
        <f>IF(F447="Ignacio", COUNTIF(F$5:F447, "Ignacio"), "")</f>
        <v/>
      </c>
      <c r="T447" t="str">
        <f>IF(F447="Tripulacion", COUNTIF(F$5:F447, "Tripulacion"), "")</f>
        <v/>
      </c>
      <c r="U447" t="str">
        <f>IF(F447="ENAP carga", COUNTIF(F$5:F447, "ENAP carga"), "")</f>
        <v/>
      </c>
    </row>
    <row r="448" spans="13:21">
      <c r="M448" s="22" t="str">
        <f t="shared" si="11"/>
        <v/>
      </c>
      <c r="R448" t="str">
        <f>IF(F448="CJ", COUNTIF(F$5:F448, "CJ"), "")</f>
        <v/>
      </c>
      <c r="S448" t="str">
        <f>IF(F448="Ignacio", COUNTIF(F$5:F448, "Ignacio"), "")</f>
        <v/>
      </c>
      <c r="T448" t="str">
        <f>IF(F448="Tripulacion", COUNTIF(F$5:F448, "Tripulacion"), "")</f>
        <v/>
      </c>
      <c r="U448" t="str">
        <f>IF(F448="ENAP carga", COUNTIF(F$5:F448, "ENAP carga"), "")</f>
        <v/>
      </c>
    </row>
    <row r="449" spans="13:21">
      <c r="M449" s="22" t="str">
        <f t="shared" si="11"/>
        <v/>
      </c>
      <c r="R449" t="str">
        <f>IF(F449="CJ", COUNTIF(F$5:F449, "CJ"), "")</f>
        <v/>
      </c>
      <c r="S449" t="str">
        <f>IF(F449="Ignacio", COUNTIF(F$5:F449, "Ignacio"), "")</f>
        <v/>
      </c>
      <c r="T449" t="str">
        <f>IF(F449="Tripulacion", COUNTIF(F$5:F449, "Tripulacion"), "")</f>
        <v/>
      </c>
      <c r="U449" t="str">
        <f>IF(F449="ENAP carga", COUNTIF(F$5:F449, "ENAP carga"), "")</f>
        <v/>
      </c>
    </row>
    <row r="450" spans="13:21">
      <c r="M450" s="22" t="str">
        <f t="shared" si="11"/>
        <v/>
      </c>
      <c r="R450" t="str">
        <f>IF(F450="CJ", COUNTIF(F$5:F450, "CJ"), "")</f>
        <v/>
      </c>
      <c r="S450" t="str">
        <f>IF(F450="Ignacio", COUNTIF(F$5:F450, "Ignacio"), "")</f>
        <v/>
      </c>
      <c r="T450" t="str">
        <f>IF(F450="Tripulacion", COUNTIF(F$5:F450, "Tripulacion"), "")</f>
        <v/>
      </c>
      <c r="U450" t="str">
        <f>IF(F450="ENAP carga", COUNTIF(F$5:F450, "ENAP carga"), "")</f>
        <v/>
      </c>
    </row>
    <row r="451" spans="13:21">
      <c r="M451" s="22" t="str">
        <f t="shared" si="11"/>
        <v/>
      </c>
      <c r="R451" t="str">
        <f>IF(F451="CJ", COUNTIF(F$5:F451, "CJ"), "")</f>
        <v/>
      </c>
      <c r="S451" t="str">
        <f>IF(F451="Ignacio", COUNTIF(F$5:F451, "Ignacio"), "")</f>
        <v/>
      </c>
      <c r="T451" t="str">
        <f>IF(F451="Tripulacion", COUNTIF(F$5:F451, "Tripulacion"), "")</f>
        <v/>
      </c>
      <c r="U451" t="str">
        <f>IF(F451="ENAP carga", COUNTIF(F$5:F451, "ENAP carga"), "")</f>
        <v/>
      </c>
    </row>
    <row r="452" spans="13:21">
      <c r="M452" s="22" t="str">
        <f t="shared" si="11"/>
        <v/>
      </c>
      <c r="R452" t="str">
        <f>IF(F452="CJ", COUNTIF(F$5:F452, "CJ"), "")</f>
        <v/>
      </c>
      <c r="S452" t="str">
        <f>IF(F452="Ignacio", COUNTIF(F$5:F452, "Ignacio"), "")</f>
        <v/>
      </c>
      <c r="T452" t="str">
        <f>IF(F452="Tripulacion", COUNTIF(F$5:F452, "Tripulacion"), "")</f>
        <v/>
      </c>
      <c r="U452" t="str">
        <f>IF(F452="ENAP carga", COUNTIF(F$5:F452, "ENAP carga"), "")</f>
        <v/>
      </c>
    </row>
    <row r="453" spans="13:21">
      <c r="M453" s="22" t="str">
        <f t="shared" si="11"/>
        <v/>
      </c>
      <c r="R453" t="str">
        <f>IF(F453="CJ", COUNTIF(F$5:F453, "CJ"), "")</f>
        <v/>
      </c>
      <c r="S453" t="str">
        <f>IF(F453="Ignacio", COUNTIF(F$5:F453, "Ignacio"), "")</f>
        <v/>
      </c>
      <c r="T453" t="str">
        <f>IF(F453="Tripulacion", COUNTIF(F$5:F453, "Tripulacion"), "")</f>
        <v/>
      </c>
      <c r="U453" t="str">
        <f>IF(F453="ENAP carga", COUNTIF(F$5:F453, "ENAP carga"), "")</f>
        <v/>
      </c>
    </row>
    <row r="454" spans="13:21">
      <c r="M454" s="22" t="str">
        <f t="shared" si="11"/>
        <v/>
      </c>
      <c r="R454" t="str">
        <f>IF(F454="CJ", COUNTIF(F$5:F454, "CJ"), "")</f>
        <v/>
      </c>
      <c r="S454" t="str">
        <f>IF(F454="Ignacio", COUNTIF(F$5:F454, "Ignacio"), "")</f>
        <v/>
      </c>
      <c r="T454" t="str">
        <f>IF(F454="Tripulacion", COUNTIF(F$5:F454, "Tripulacion"), "")</f>
        <v/>
      </c>
      <c r="U454" t="str">
        <f>IF(F454="ENAP carga", COUNTIF(F$5:F454, "ENAP carga"), "")</f>
        <v/>
      </c>
    </row>
    <row r="455" spans="13:21">
      <c r="M455" s="22" t="str">
        <f t="shared" si="11"/>
        <v/>
      </c>
      <c r="R455" t="str">
        <f>IF(F455="CJ", COUNTIF(F$5:F455, "CJ"), "")</f>
        <v/>
      </c>
      <c r="S455" t="str">
        <f>IF(F455="Ignacio", COUNTIF(F$5:F455, "Ignacio"), "")</f>
        <v/>
      </c>
      <c r="T455" t="str">
        <f>IF(F455="Tripulacion", COUNTIF(F$5:F455, "Tripulacion"), "")</f>
        <v/>
      </c>
      <c r="U455" t="str">
        <f>IF(F455="ENAP carga", COUNTIF(F$5:F455, "ENAP carga"), "")</f>
        <v/>
      </c>
    </row>
    <row r="456" spans="13:21">
      <c r="M456" s="22" t="str">
        <f t="shared" si="11"/>
        <v/>
      </c>
      <c r="R456" t="str">
        <f>IF(F456="CJ", COUNTIF(F$5:F456, "CJ"), "")</f>
        <v/>
      </c>
      <c r="S456" t="str">
        <f>IF(F456="Ignacio", COUNTIF(F$5:F456, "Ignacio"), "")</f>
        <v/>
      </c>
      <c r="T456" t="str">
        <f>IF(F456="Tripulacion", COUNTIF(F$5:F456, "Tripulacion"), "")</f>
        <v/>
      </c>
      <c r="U456" t="str">
        <f>IF(F456="ENAP carga", COUNTIF(F$5:F456, "ENAP carga"), "")</f>
        <v/>
      </c>
    </row>
    <row r="457" spans="13:21">
      <c r="M457" s="22" t="str">
        <f t="shared" si="11"/>
        <v/>
      </c>
      <c r="R457" t="str">
        <f>IF(F457="CJ", COUNTIF(F$5:F457, "CJ"), "")</f>
        <v/>
      </c>
      <c r="S457" t="str">
        <f>IF(F457="Ignacio", COUNTIF(F$5:F457, "Ignacio"), "")</f>
        <v/>
      </c>
      <c r="T457" t="str">
        <f>IF(F457="Tripulacion", COUNTIF(F$5:F457, "Tripulacion"), "")</f>
        <v/>
      </c>
      <c r="U457" t="str">
        <f>IF(F457="ENAP carga", COUNTIF(F$5:F457, "ENAP carga"), "")</f>
        <v/>
      </c>
    </row>
    <row r="458" spans="13:21">
      <c r="M458" s="22" t="str">
        <f t="shared" si="11"/>
        <v/>
      </c>
      <c r="R458" t="str">
        <f>IF(F458="CJ", COUNTIF(F$5:F458, "CJ"), "")</f>
        <v/>
      </c>
      <c r="S458" t="str">
        <f>IF(F458="Ignacio", COUNTIF(F$5:F458, "Ignacio"), "")</f>
        <v/>
      </c>
      <c r="T458" t="str">
        <f>IF(F458="Tripulacion", COUNTIF(F$5:F458, "Tripulacion"), "")</f>
        <v/>
      </c>
      <c r="U458" t="str">
        <f>IF(F458="ENAP carga", COUNTIF(F$5:F458, "ENAP carga"), "")</f>
        <v/>
      </c>
    </row>
    <row r="459" spans="13:21">
      <c r="M459" s="22" t="str">
        <f t="shared" si="11"/>
        <v/>
      </c>
      <c r="R459" t="str">
        <f>IF(F459="CJ", COUNTIF(F$5:F459, "CJ"), "")</f>
        <v/>
      </c>
      <c r="S459" t="str">
        <f>IF(F459="Ignacio", COUNTIF(F$5:F459, "Ignacio"), "")</f>
        <v/>
      </c>
      <c r="T459" t="str">
        <f>IF(F459="Tripulacion", COUNTIF(F$5:F459, "Tripulacion"), "")</f>
        <v/>
      </c>
      <c r="U459" t="str">
        <f>IF(F459="ENAP carga", COUNTIF(F$5:F459, "ENAP carga"), "")</f>
        <v/>
      </c>
    </row>
    <row r="460" spans="13:21">
      <c r="M460" s="22" t="str">
        <f t="shared" si="11"/>
        <v/>
      </c>
      <c r="R460" t="str">
        <f>IF(F460="CJ", COUNTIF(F$5:F460, "CJ"), "")</f>
        <v/>
      </c>
      <c r="S460" t="str">
        <f>IF(F460="Ignacio", COUNTIF(F$5:F460, "Ignacio"), "")</f>
        <v/>
      </c>
      <c r="T460" t="str">
        <f>IF(F460="Tripulacion", COUNTIF(F$5:F460, "Tripulacion"), "")</f>
        <v/>
      </c>
      <c r="U460" t="str">
        <f>IF(F460="ENAP carga", COUNTIF(F$5:F460, "ENAP carga"), "")</f>
        <v/>
      </c>
    </row>
    <row r="461" spans="13:21">
      <c r="M461" s="22" t="str">
        <f t="shared" si="11"/>
        <v/>
      </c>
      <c r="R461" t="str">
        <f>IF(F461="CJ", COUNTIF(F$5:F461, "CJ"), "")</f>
        <v/>
      </c>
      <c r="S461" t="str">
        <f>IF(F461="Ignacio", COUNTIF(F$5:F461, "Ignacio"), "")</f>
        <v/>
      </c>
      <c r="T461" t="str">
        <f>IF(F461="Tripulacion", COUNTIF(F$5:F461, "Tripulacion"), "")</f>
        <v/>
      </c>
      <c r="U461" t="str">
        <f>IF(F461="ENAP carga", COUNTIF(F$5:F461, "ENAP carga"), "")</f>
        <v/>
      </c>
    </row>
    <row r="462" spans="13:21">
      <c r="M462" s="22" t="str">
        <f t="shared" si="11"/>
        <v/>
      </c>
      <c r="R462" t="str">
        <f>IF(F462="CJ", COUNTIF(F$5:F462, "CJ"), "")</f>
        <v/>
      </c>
      <c r="S462" t="str">
        <f>IF(F462="Ignacio", COUNTIF(F$5:F462, "Ignacio"), "")</f>
        <v/>
      </c>
      <c r="T462" t="str">
        <f>IF(F462="Tripulacion", COUNTIF(F$5:F462, "Tripulacion"), "")</f>
        <v/>
      </c>
      <c r="U462" t="str">
        <f>IF(F462="ENAP carga", COUNTIF(F$5:F462, "ENAP carga"), "")</f>
        <v/>
      </c>
    </row>
    <row r="463" spans="13:21">
      <c r="M463" s="22" t="str">
        <f t="shared" si="11"/>
        <v/>
      </c>
      <c r="R463" t="str">
        <f>IF(F463="CJ", COUNTIF(F$5:F463, "CJ"), "")</f>
        <v/>
      </c>
      <c r="S463" t="str">
        <f>IF(F463="Ignacio", COUNTIF(F$5:F463, "Ignacio"), "")</f>
        <v/>
      </c>
      <c r="T463" t="str">
        <f>IF(F463="Tripulacion", COUNTIF(F$5:F463, "Tripulacion"), "")</f>
        <v/>
      </c>
      <c r="U463" t="str">
        <f>IF(F463="ENAP carga", COUNTIF(F$5:F463, "ENAP carga"), "")</f>
        <v/>
      </c>
    </row>
    <row r="464" spans="13:21">
      <c r="M464" s="22" t="str">
        <f t="shared" si="11"/>
        <v/>
      </c>
      <c r="R464" t="str">
        <f>IF(F464="CJ", COUNTIF(F$5:F464, "CJ"), "")</f>
        <v/>
      </c>
      <c r="S464" t="str">
        <f>IF(F464="Ignacio", COUNTIF(F$5:F464, "Ignacio"), "")</f>
        <v/>
      </c>
      <c r="T464" t="str">
        <f>IF(F464="Tripulacion", COUNTIF(F$5:F464, "Tripulacion"), "")</f>
        <v/>
      </c>
      <c r="U464" t="str">
        <f>IF(F464="ENAP carga", COUNTIF(F$5:F464, "ENAP carga"), "")</f>
        <v/>
      </c>
    </row>
    <row r="465" spans="13:21">
      <c r="M465" s="22" t="str">
        <f t="shared" si="11"/>
        <v/>
      </c>
      <c r="R465" t="str">
        <f>IF(F465="CJ", COUNTIF(F$5:F465, "CJ"), "")</f>
        <v/>
      </c>
      <c r="S465" t="str">
        <f>IF(F465="Ignacio", COUNTIF(F$5:F465, "Ignacio"), "")</f>
        <v/>
      </c>
      <c r="T465" t="str">
        <f>IF(F465="Tripulacion", COUNTIF(F$5:F465, "Tripulacion"), "")</f>
        <v/>
      </c>
      <c r="U465" t="str">
        <f>IF(F465="ENAP carga", COUNTIF(F$5:F465, "ENAP carga"), "")</f>
        <v/>
      </c>
    </row>
    <row r="466" spans="13:21">
      <c r="M466" s="22" t="str">
        <f t="shared" si="11"/>
        <v/>
      </c>
      <c r="R466" t="str">
        <f>IF(F466="CJ", COUNTIF(F$5:F466, "CJ"), "")</f>
        <v/>
      </c>
      <c r="S466" t="str">
        <f>IF(F466="Ignacio", COUNTIF(F$5:F466, "Ignacio"), "")</f>
        <v/>
      </c>
      <c r="T466" t="str">
        <f>IF(F466="Tripulacion", COUNTIF(F$5:F466, "Tripulacion"), "")</f>
        <v/>
      </c>
      <c r="U466" t="str">
        <f>IF(F466="ENAP carga", COUNTIF(F$5:F466, "ENAP carga"), "")</f>
        <v/>
      </c>
    </row>
    <row r="467" spans="13:21">
      <c r="M467" s="22" t="str">
        <f t="shared" si="11"/>
        <v/>
      </c>
      <c r="R467" t="str">
        <f>IF(F467="CJ", COUNTIF(F$5:F467, "CJ"), "")</f>
        <v/>
      </c>
      <c r="S467" t="str">
        <f>IF(F467="Ignacio", COUNTIF(F$5:F467, "Ignacio"), "")</f>
        <v/>
      </c>
      <c r="T467" t="str">
        <f>IF(F467="Tripulacion", COUNTIF(F$5:F467, "Tripulacion"), "")</f>
        <v/>
      </c>
      <c r="U467" t="str">
        <f>IF(F467="ENAP carga", COUNTIF(F$5:F467, "ENAP carga"), "")</f>
        <v/>
      </c>
    </row>
    <row r="468" spans="13:21">
      <c r="M468" s="22" t="str">
        <f t="shared" si="11"/>
        <v/>
      </c>
      <c r="R468" t="str">
        <f>IF(F468="CJ", COUNTIF(F$5:F468, "CJ"), "")</f>
        <v/>
      </c>
      <c r="S468" t="str">
        <f>IF(F468="Ignacio", COUNTIF(F$5:F468, "Ignacio"), "")</f>
        <v/>
      </c>
      <c r="T468" t="str">
        <f>IF(F468="Tripulacion", COUNTIF(F$5:F468, "Tripulacion"), "")</f>
        <v/>
      </c>
      <c r="U468" t="str">
        <f>IF(F468="ENAP carga", COUNTIF(F$5:F468, "ENAP carga"), "")</f>
        <v/>
      </c>
    </row>
    <row r="469" spans="13:21">
      <c r="M469" s="22" t="str">
        <f t="shared" si="11"/>
        <v/>
      </c>
      <c r="R469" t="str">
        <f>IF(F469="CJ", COUNTIF(F$5:F469, "CJ"), "")</f>
        <v/>
      </c>
      <c r="S469" t="str">
        <f>IF(F469="Ignacio", COUNTIF(F$5:F469, "Ignacio"), "")</f>
        <v/>
      </c>
      <c r="T469" t="str">
        <f>IF(F469="Tripulacion", COUNTIF(F$5:F469, "Tripulacion"), "")</f>
        <v/>
      </c>
      <c r="U469" t="str">
        <f>IF(F469="ENAP carga", COUNTIF(F$5:F469, "ENAP carga"), "")</f>
        <v/>
      </c>
    </row>
    <row r="470" spans="13:21">
      <c r="M470" s="22" t="str">
        <f t="shared" si="11"/>
        <v/>
      </c>
      <c r="R470" t="str">
        <f>IF(F470="CJ", COUNTIF(F$5:F470, "CJ"), "")</f>
        <v/>
      </c>
      <c r="S470" t="str">
        <f>IF(F470="Ignacio", COUNTIF(F$5:F470, "Ignacio"), "")</f>
        <v/>
      </c>
      <c r="T470" t="str">
        <f>IF(F470="Tripulacion", COUNTIF(F$5:F470, "Tripulacion"), "")</f>
        <v/>
      </c>
      <c r="U470" t="str">
        <f>IF(F470="ENAP carga", COUNTIF(F$5:F470, "ENAP carga"), "")</f>
        <v/>
      </c>
    </row>
    <row r="471" spans="13:21">
      <c r="M471" s="22" t="str">
        <f t="shared" si="11"/>
        <v/>
      </c>
      <c r="R471" t="str">
        <f>IF(F471="CJ", COUNTIF(F$5:F471, "CJ"), "")</f>
        <v/>
      </c>
      <c r="S471" t="str">
        <f>IF(F471="Ignacio", COUNTIF(F$5:F471, "Ignacio"), "")</f>
        <v/>
      </c>
      <c r="T471" t="str">
        <f>IF(F471="Tripulacion", COUNTIF(F$5:F471, "Tripulacion"), "")</f>
        <v/>
      </c>
      <c r="U471" t="str">
        <f>IF(F471="ENAP carga", COUNTIF(F$5:F471, "ENAP carga"), "")</f>
        <v/>
      </c>
    </row>
    <row r="472" spans="13:21">
      <c r="M472" s="22" t="str">
        <f t="shared" ref="M472:M535" si="12">IF(F472="CJ", I472*200, "")</f>
        <v/>
      </c>
      <c r="R472" t="str">
        <f>IF(F472="CJ", COUNTIF(F$5:F472, "CJ"), "")</f>
        <v/>
      </c>
      <c r="S472" t="str">
        <f>IF(F472="Ignacio", COUNTIF(F$5:F472, "Ignacio"), "")</f>
        <v/>
      </c>
      <c r="T472" t="str">
        <f>IF(F472="Tripulacion", COUNTIF(F$5:F472, "Tripulacion"), "")</f>
        <v/>
      </c>
      <c r="U472" t="str">
        <f>IF(F472="ENAP carga", COUNTIF(F$5:F472, "ENAP carga"), "")</f>
        <v/>
      </c>
    </row>
    <row r="473" spans="13:21">
      <c r="M473" s="22" t="str">
        <f t="shared" si="12"/>
        <v/>
      </c>
      <c r="R473" t="str">
        <f>IF(F473="CJ", COUNTIF(F$5:F473, "CJ"), "")</f>
        <v/>
      </c>
      <c r="S473" t="str">
        <f>IF(F473="Ignacio", COUNTIF(F$5:F473, "Ignacio"), "")</f>
        <v/>
      </c>
      <c r="T473" t="str">
        <f>IF(F473="Tripulacion", COUNTIF(F$5:F473, "Tripulacion"), "")</f>
        <v/>
      </c>
      <c r="U473" t="str">
        <f>IF(F473="ENAP carga", COUNTIF(F$5:F473, "ENAP carga"), "")</f>
        <v/>
      </c>
    </row>
    <row r="474" spans="13:21">
      <c r="M474" s="22" t="str">
        <f t="shared" si="12"/>
        <v/>
      </c>
      <c r="R474" t="str">
        <f>IF(F474="CJ", COUNTIF(F$5:F474, "CJ"), "")</f>
        <v/>
      </c>
      <c r="S474" t="str">
        <f>IF(F474="Ignacio", COUNTIF(F$5:F474, "Ignacio"), "")</f>
        <v/>
      </c>
      <c r="T474" t="str">
        <f>IF(F474="Tripulacion", COUNTIF(F$5:F474, "Tripulacion"), "")</f>
        <v/>
      </c>
      <c r="U474" t="str">
        <f>IF(F474="ENAP carga", COUNTIF(F$5:F474, "ENAP carga"), "")</f>
        <v/>
      </c>
    </row>
    <row r="475" spans="13:21">
      <c r="M475" s="22" t="str">
        <f t="shared" si="12"/>
        <v/>
      </c>
      <c r="R475" t="str">
        <f>IF(F475="CJ", COUNTIF(F$5:F475, "CJ"), "")</f>
        <v/>
      </c>
      <c r="S475" t="str">
        <f>IF(F475="Ignacio", COUNTIF(F$5:F475, "Ignacio"), "")</f>
        <v/>
      </c>
      <c r="T475" t="str">
        <f>IF(F475="Tripulacion", COUNTIF(F$5:F475, "Tripulacion"), "")</f>
        <v/>
      </c>
      <c r="U475" t="str">
        <f>IF(F475="ENAP carga", COUNTIF(F$5:F475, "ENAP carga"), "")</f>
        <v/>
      </c>
    </row>
    <row r="476" spans="13:21">
      <c r="M476" s="22" t="str">
        <f t="shared" si="12"/>
        <v/>
      </c>
      <c r="R476" t="str">
        <f>IF(F476="CJ", COUNTIF(F$5:F476, "CJ"), "")</f>
        <v/>
      </c>
      <c r="S476" t="str">
        <f>IF(F476="Ignacio", COUNTIF(F$5:F476, "Ignacio"), "")</f>
        <v/>
      </c>
      <c r="T476" t="str">
        <f>IF(F476="Tripulacion", COUNTIF(F$5:F476, "Tripulacion"), "")</f>
        <v/>
      </c>
      <c r="U476" t="str">
        <f>IF(F476="ENAP carga", COUNTIF(F$5:F476, "ENAP carga"), "")</f>
        <v/>
      </c>
    </row>
    <row r="477" spans="13:21">
      <c r="M477" s="22" t="str">
        <f t="shared" si="12"/>
        <v/>
      </c>
      <c r="R477" t="str">
        <f>IF(F477="CJ", COUNTIF(F$5:F477, "CJ"), "")</f>
        <v/>
      </c>
      <c r="S477" t="str">
        <f>IF(F477="Ignacio", COUNTIF(F$5:F477, "Ignacio"), "")</f>
        <v/>
      </c>
      <c r="T477" t="str">
        <f>IF(F477="Tripulacion", COUNTIF(F$5:F477, "Tripulacion"), "")</f>
        <v/>
      </c>
      <c r="U477" t="str">
        <f>IF(F477="ENAP carga", COUNTIF(F$5:F477, "ENAP carga"), "")</f>
        <v/>
      </c>
    </row>
    <row r="478" spans="13:21">
      <c r="M478" s="22" t="str">
        <f t="shared" si="12"/>
        <v/>
      </c>
      <c r="R478" t="str">
        <f>IF(F478="CJ", COUNTIF(F$5:F478, "CJ"), "")</f>
        <v/>
      </c>
      <c r="S478" t="str">
        <f>IF(F478="Ignacio", COUNTIF(F$5:F478, "Ignacio"), "")</f>
        <v/>
      </c>
      <c r="T478" t="str">
        <f>IF(F478="Tripulacion", COUNTIF(F$5:F478, "Tripulacion"), "")</f>
        <v/>
      </c>
      <c r="U478" t="str">
        <f>IF(F478="ENAP carga", COUNTIF(F$5:F478, "ENAP carga"), "")</f>
        <v/>
      </c>
    </row>
    <row r="479" spans="13:21">
      <c r="M479" s="22" t="str">
        <f t="shared" si="12"/>
        <v/>
      </c>
      <c r="R479" t="str">
        <f>IF(F479="CJ", COUNTIF(F$5:F479, "CJ"), "")</f>
        <v/>
      </c>
      <c r="S479" t="str">
        <f>IF(F479="Ignacio", COUNTIF(F$5:F479, "Ignacio"), "")</f>
        <v/>
      </c>
      <c r="T479" t="str">
        <f>IF(F479="Tripulacion", COUNTIF(F$5:F479, "Tripulacion"), "")</f>
        <v/>
      </c>
      <c r="U479" t="str">
        <f>IF(F479="ENAP carga", COUNTIF(F$5:F479, "ENAP carga"), "")</f>
        <v/>
      </c>
    </row>
    <row r="480" spans="13:21">
      <c r="M480" s="22" t="str">
        <f t="shared" si="12"/>
        <v/>
      </c>
      <c r="R480" t="str">
        <f>IF(F480="CJ", COUNTIF(F$5:F480, "CJ"), "")</f>
        <v/>
      </c>
      <c r="S480" t="str">
        <f>IF(F480="Ignacio", COUNTIF(F$5:F480, "Ignacio"), "")</f>
        <v/>
      </c>
      <c r="T480" t="str">
        <f>IF(F480="Tripulacion", COUNTIF(F$5:F480, "Tripulacion"), "")</f>
        <v/>
      </c>
      <c r="U480" t="str">
        <f>IF(F480="ENAP carga", COUNTIF(F$5:F480, "ENAP carga"), "")</f>
        <v/>
      </c>
    </row>
    <row r="481" spans="13:21">
      <c r="M481" s="22" t="str">
        <f t="shared" si="12"/>
        <v/>
      </c>
      <c r="R481" t="str">
        <f>IF(F481="CJ", COUNTIF(F$5:F481, "CJ"), "")</f>
        <v/>
      </c>
      <c r="S481" t="str">
        <f>IF(F481="Ignacio", COUNTIF(F$5:F481, "Ignacio"), "")</f>
        <v/>
      </c>
      <c r="T481" t="str">
        <f>IF(F481="Tripulacion", COUNTIF(F$5:F481, "Tripulacion"), "")</f>
        <v/>
      </c>
      <c r="U481" t="str">
        <f>IF(F481="ENAP carga", COUNTIF(F$5:F481, "ENAP carga"), "")</f>
        <v/>
      </c>
    </row>
    <row r="482" spans="13:21">
      <c r="M482" s="22" t="str">
        <f t="shared" si="12"/>
        <v/>
      </c>
      <c r="R482" t="str">
        <f>IF(F482="CJ", COUNTIF(F$5:F482, "CJ"), "")</f>
        <v/>
      </c>
      <c r="S482" t="str">
        <f>IF(F482="Ignacio", COUNTIF(F$5:F482, "Ignacio"), "")</f>
        <v/>
      </c>
      <c r="T482" t="str">
        <f>IF(F482="Tripulacion", COUNTIF(F$5:F482, "Tripulacion"), "")</f>
        <v/>
      </c>
      <c r="U482" t="str">
        <f>IF(F482="ENAP carga", COUNTIF(F$5:F482, "ENAP carga"), "")</f>
        <v/>
      </c>
    </row>
    <row r="483" spans="13:21">
      <c r="M483" s="22" t="str">
        <f t="shared" si="12"/>
        <v/>
      </c>
      <c r="R483" t="str">
        <f>IF(F483="CJ", COUNTIF(F$5:F483, "CJ"), "")</f>
        <v/>
      </c>
      <c r="S483" t="str">
        <f>IF(F483="Ignacio", COUNTIF(F$5:F483, "Ignacio"), "")</f>
        <v/>
      </c>
      <c r="T483" t="str">
        <f>IF(F483="Tripulacion", COUNTIF(F$5:F483, "Tripulacion"), "")</f>
        <v/>
      </c>
      <c r="U483" t="str">
        <f>IF(F483="ENAP carga", COUNTIF(F$5:F483, "ENAP carga"), "")</f>
        <v/>
      </c>
    </row>
    <row r="484" spans="13:21">
      <c r="M484" s="22" t="str">
        <f t="shared" si="12"/>
        <v/>
      </c>
      <c r="R484" t="str">
        <f>IF(F484="CJ", COUNTIF(F$5:F484, "CJ"), "")</f>
        <v/>
      </c>
      <c r="S484" t="str">
        <f>IF(F484="Ignacio", COUNTIF(F$5:F484, "Ignacio"), "")</f>
        <v/>
      </c>
      <c r="T484" t="str">
        <f>IF(F484="Tripulacion", COUNTIF(F$5:F484, "Tripulacion"), "")</f>
        <v/>
      </c>
      <c r="U484" t="str">
        <f>IF(F484="ENAP carga", COUNTIF(F$5:F484, "ENAP carga"), "")</f>
        <v/>
      </c>
    </row>
    <row r="485" spans="13:21">
      <c r="M485" s="22" t="str">
        <f t="shared" si="12"/>
        <v/>
      </c>
      <c r="R485" t="str">
        <f>IF(F485="CJ", COUNTIF(F$5:F485, "CJ"), "")</f>
        <v/>
      </c>
      <c r="S485" t="str">
        <f>IF(F485="Ignacio", COUNTIF(F$5:F485, "Ignacio"), "")</f>
        <v/>
      </c>
      <c r="T485" t="str">
        <f>IF(F485="Tripulacion", COUNTIF(F$5:F485, "Tripulacion"), "")</f>
        <v/>
      </c>
      <c r="U485" t="str">
        <f>IF(F485="ENAP carga", COUNTIF(F$5:F485, "ENAP carga"), "")</f>
        <v/>
      </c>
    </row>
    <row r="486" spans="13:21">
      <c r="M486" s="22" t="str">
        <f t="shared" si="12"/>
        <v/>
      </c>
      <c r="R486" t="str">
        <f>IF(F486="CJ", COUNTIF(F$5:F486, "CJ"), "")</f>
        <v/>
      </c>
      <c r="S486" t="str">
        <f>IF(F486="Ignacio", COUNTIF(F$5:F486, "Ignacio"), "")</f>
        <v/>
      </c>
      <c r="T486" t="str">
        <f>IF(F486="Tripulacion", COUNTIF(F$5:F486, "Tripulacion"), "")</f>
        <v/>
      </c>
      <c r="U486" t="str">
        <f>IF(F486="ENAP carga", COUNTIF(F$5:F486, "ENAP carga"), "")</f>
        <v/>
      </c>
    </row>
    <row r="487" spans="13:21">
      <c r="M487" s="22" t="str">
        <f t="shared" si="12"/>
        <v/>
      </c>
      <c r="R487" t="str">
        <f>IF(F487="CJ", COUNTIF(F$5:F487, "CJ"), "")</f>
        <v/>
      </c>
      <c r="S487" t="str">
        <f>IF(F487="Ignacio", COUNTIF(F$5:F487, "Ignacio"), "")</f>
        <v/>
      </c>
      <c r="T487" t="str">
        <f>IF(F487="Tripulacion", COUNTIF(F$5:F487, "Tripulacion"), "")</f>
        <v/>
      </c>
      <c r="U487" t="str">
        <f>IF(F487="ENAP carga", COUNTIF(F$5:F487, "ENAP carga"), "")</f>
        <v/>
      </c>
    </row>
    <row r="488" spans="13:21">
      <c r="M488" s="22" t="str">
        <f t="shared" si="12"/>
        <v/>
      </c>
      <c r="R488" t="str">
        <f>IF(F488="CJ", COUNTIF(F$5:F488, "CJ"), "")</f>
        <v/>
      </c>
      <c r="S488" t="str">
        <f>IF(F488="Ignacio", COUNTIF(F$5:F488, "Ignacio"), "")</f>
        <v/>
      </c>
      <c r="T488" t="str">
        <f>IF(F488="Tripulacion", COUNTIF(F$5:F488, "Tripulacion"), "")</f>
        <v/>
      </c>
      <c r="U488" t="str">
        <f>IF(F488="ENAP carga", COUNTIF(F$5:F488, "ENAP carga"), "")</f>
        <v/>
      </c>
    </row>
    <row r="489" spans="13:21">
      <c r="M489" s="22" t="str">
        <f t="shared" si="12"/>
        <v/>
      </c>
      <c r="R489" t="str">
        <f>IF(F489="CJ", COUNTIF(F$5:F489, "CJ"), "")</f>
        <v/>
      </c>
      <c r="S489" t="str">
        <f>IF(F489="Ignacio", COUNTIF(F$5:F489, "Ignacio"), "")</f>
        <v/>
      </c>
      <c r="T489" t="str">
        <f>IF(F489="Tripulacion", COUNTIF(F$5:F489, "Tripulacion"), "")</f>
        <v/>
      </c>
      <c r="U489" t="str">
        <f>IF(F489="ENAP carga", COUNTIF(F$5:F489, "ENAP carga"), "")</f>
        <v/>
      </c>
    </row>
    <row r="490" spans="13:21">
      <c r="M490" s="22" t="str">
        <f t="shared" si="12"/>
        <v/>
      </c>
      <c r="R490" t="str">
        <f>IF(F490="CJ", COUNTIF(F$5:F490, "CJ"), "")</f>
        <v/>
      </c>
      <c r="S490" t="str">
        <f>IF(F490="Ignacio", COUNTIF(F$5:F490, "Ignacio"), "")</f>
        <v/>
      </c>
      <c r="T490" t="str">
        <f>IF(F490="Tripulacion", COUNTIF(F$5:F490, "Tripulacion"), "")</f>
        <v/>
      </c>
      <c r="U490" t="str">
        <f>IF(F490="ENAP carga", COUNTIF(F$5:F490, "ENAP carga"), "")</f>
        <v/>
      </c>
    </row>
    <row r="491" spans="13:21">
      <c r="M491" s="22" t="str">
        <f t="shared" si="12"/>
        <v/>
      </c>
      <c r="R491" t="str">
        <f>IF(F491="CJ", COUNTIF(F$5:F491, "CJ"), "")</f>
        <v/>
      </c>
      <c r="S491" t="str">
        <f>IF(F491="Ignacio", COUNTIF(F$5:F491, "Ignacio"), "")</f>
        <v/>
      </c>
      <c r="T491" t="str">
        <f>IF(F491="Tripulacion", COUNTIF(F$5:F491, "Tripulacion"), "")</f>
        <v/>
      </c>
      <c r="U491" t="str">
        <f>IF(F491="ENAP carga", COUNTIF(F$5:F491, "ENAP carga"), "")</f>
        <v/>
      </c>
    </row>
    <row r="492" spans="13:21">
      <c r="M492" s="22" t="str">
        <f t="shared" si="12"/>
        <v/>
      </c>
      <c r="R492" t="str">
        <f>IF(F492="CJ", COUNTIF(F$5:F492, "CJ"), "")</f>
        <v/>
      </c>
      <c r="S492" t="str">
        <f>IF(F492="Ignacio", COUNTIF(F$5:F492, "Ignacio"), "")</f>
        <v/>
      </c>
      <c r="T492" t="str">
        <f>IF(F492="Tripulacion", COUNTIF(F$5:F492, "Tripulacion"), "")</f>
        <v/>
      </c>
      <c r="U492" t="str">
        <f>IF(F492="ENAP carga", COUNTIF(F$5:F492, "ENAP carga"), "")</f>
        <v/>
      </c>
    </row>
    <row r="493" spans="13:21">
      <c r="M493" s="22" t="str">
        <f t="shared" si="12"/>
        <v/>
      </c>
      <c r="R493" t="str">
        <f>IF(F493="CJ", COUNTIF(F$5:F493, "CJ"), "")</f>
        <v/>
      </c>
      <c r="S493" t="str">
        <f>IF(F493="Ignacio", COUNTIF(F$5:F493, "Ignacio"), "")</f>
        <v/>
      </c>
      <c r="T493" t="str">
        <f>IF(F493="Tripulacion", COUNTIF(F$5:F493, "Tripulacion"), "")</f>
        <v/>
      </c>
      <c r="U493" t="str">
        <f>IF(F493="ENAP carga", COUNTIF(F$5:F493, "ENAP carga"), "")</f>
        <v/>
      </c>
    </row>
    <row r="494" spans="13:21">
      <c r="M494" s="22" t="str">
        <f t="shared" si="12"/>
        <v/>
      </c>
      <c r="R494" t="str">
        <f>IF(F494="CJ", COUNTIF(F$5:F494, "CJ"), "")</f>
        <v/>
      </c>
      <c r="S494" t="str">
        <f>IF(F494="Ignacio", COUNTIF(F$5:F494, "Ignacio"), "")</f>
        <v/>
      </c>
      <c r="T494" t="str">
        <f>IF(F494="Tripulacion", COUNTIF(F$5:F494, "Tripulacion"), "")</f>
        <v/>
      </c>
      <c r="U494" t="str">
        <f>IF(F494="ENAP carga", COUNTIF(F$5:F494, "ENAP carga"), "")</f>
        <v/>
      </c>
    </row>
    <row r="495" spans="13:21">
      <c r="M495" s="22" t="str">
        <f t="shared" si="12"/>
        <v/>
      </c>
      <c r="R495" t="str">
        <f>IF(F495="CJ", COUNTIF(F$5:F495, "CJ"), "")</f>
        <v/>
      </c>
      <c r="S495" t="str">
        <f>IF(F495="Ignacio", COUNTIF(F$5:F495, "Ignacio"), "")</f>
        <v/>
      </c>
      <c r="T495" t="str">
        <f>IF(F495="Tripulacion", COUNTIF(F$5:F495, "Tripulacion"), "")</f>
        <v/>
      </c>
      <c r="U495" t="str">
        <f>IF(F495="ENAP carga", COUNTIF(F$5:F495, "ENAP carga"), "")</f>
        <v/>
      </c>
    </row>
    <row r="496" spans="13:21">
      <c r="M496" s="22" t="str">
        <f t="shared" si="12"/>
        <v/>
      </c>
      <c r="R496" t="str">
        <f>IF(F496="CJ", COUNTIF(F$5:F496, "CJ"), "")</f>
        <v/>
      </c>
      <c r="S496" t="str">
        <f>IF(F496="Ignacio", COUNTIF(F$5:F496, "Ignacio"), "")</f>
        <v/>
      </c>
      <c r="T496" t="str">
        <f>IF(F496="Tripulacion", COUNTIF(F$5:F496, "Tripulacion"), "")</f>
        <v/>
      </c>
      <c r="U496" t="str">
        <f>IF(F496="ENAP carga", COUNTIF(F$5:F496, "ENAP carga"), "")</f>
        <v/>
      </c>
    </row>
    <row r="497" spans="13:21">
      <c r="M497" s="22" t="str">
        <f t="shared" si="12"/>
        <v/>
      </c>
      <c r="R497" t="str">
        <f>IF(F497="CJ", COUNTIF(F$5:F497, "CJ"), "")</f>
        <v/>
      </c>
      <c r="S497" t="str">
        <f>IF(F497="Ignacio", COUNTIF(F$5:F497, "Ignacio"), "")</f>
        <v/>
      </c>
      <c r="T497" t="str">
        <f>IF(F497="Tripulacion", COUNTIF(F$5:F497, "Tripulacion"), "")</f>
        <v/>
      </c>
      <c r="U497" t="str">
        <f>IF(F497="ENAP carga", COUNTIF(F$5:F497, "ENAP carga"), "")</f>
        <v/>
      </c>
    </row>
    <row r="498" spans="13:21">
      <c r="M498" s="22" t="str">
        <f t="shared" si="12"/>
        <v/>
      </c>
      <c r="R498" t="str">
        <f>IF(F498="CJ", COUNTIF(F$5:F498, "CJ"), "")</f>
        <v/>
      </c>
      <c r="S498" t="str">
        <f>IF(F498="Ignacio", COUNTIF(F$5:F498, "Ignacio"), "")</f>
        <v/>
      </c>
      <c r="T498" t="str">
        <f>IF(F498="Tripulacion", COUNTIF(F$5:F498, "Tripulacion"), "")</f>
        <v/>
      </c>
      <c r="U498" t="str">
        <f>IF(F498="ENAP carga", COUNTIF(F$5:F498, "ENAP carga"), "")</f>
        <v/>
      </c>
    </row>
    <row r="499" spans="13:21">
      <c r="M499" s="22" t="str">
        <f t="shared" si="12"/>
        <v/>
      </c>
      <c r="R499" t="str">
        <f>IF(F499="CJ", COUNTIF(F$5:F499, "CJ"), "")</f>
        <v/>
      </c>
      <c r="S499" t="str">
        <f>IF(F499="Ignacio", COUNTIF(F$5:F499, "Ignacio"), "")</f>
        <v/>
      </c>
      <c r="T499" t="str">
        <f>IF(F499="Tripulacion", COUNTIF(F$5:F499, "Tripulacion"), "")</f>
        <v/>
      </c>
      <c r="U499" t="str">
        <f>IF(F499="ENAP carga", COUNTIF(F$5:F499, "ENAP carga"), "")</f>
        <v/>
      </c>
    </row>
    <row r="500" spans="13:21">
      <c r="M500" s="22" t="str">
        <f t="shared" si="12"/>
        <v/>
      </c>
      <c r="R500" t="str">
        <f>IF(F500="CJ", COUNTIF(F$5:F500, "CJ"), "")</f>
        <v/>
      </c>
      <c r="S500" t="str">
        <f>IF(F500="Ignacio", COUNTIF(F$5:F500, "Ignacio"), "")</f>
        <v/>
      </c>
      <c r="T500" t="str">
        <f>IF(F500="Tripulacion", COUNTIF(F$5:F500, "Tripulacion"), "")</f>
        <v/>
      </c>
      <c r="U500" t="str">
        <f>IF(F500="ENAP carga", COUNTIF(F$5:F500, "ENAP carga"), "")</f>
        <v/>
      </c>
    </row>
    <row r="501" spans="13:21">
      <c r="M501" s="22" t="str">
        <f t="shared" si="12"/>
        <v/>
      </c>
      <c r="R501" t="str">
        <f>IF(F501="CJ", COUNTIF(F$5:F501, "CJ"), "")</f>
        <v/>
      </c>
      <c r="S501" t="str">
        <f>IF(F501="Ignacio", COUNTIF(F$5:F501, "Ignacio"), "")</f>
        <v/>
      </c>
      <c r="T501" t="str">
        <f>IF(F501="Tripulacion", COUNTIF(F$5:F501, "Tripulacion"), "")</f>
        <v/>
      </c>
      <c r="U501" t="str">
        <f>IF(F501="ENAP carga", COUNTIF(F$5:F501, "ENAP carga"), "")</f>
        <v/>
      </c>
    </row>
    <row r="502" spans="13:21">
      <c r="M502" s="22" t="str">
        <f t="shared" si="12"/>
        <v/>
      </c>
      <c r="R502" t="str">
        <f>IF(F502="CJ", COUNTIF(F$5:F502, "CJ"), "")</f>
        <v/>
      </c>
      <c r="S502" t="str">
        <f>IF(F502="Ignacio", COUNTIF(F$5:F502, "Ignacio"), "")</f>
        <v/>
      </c>
      <c r="T502" t="str">
        <f>IF(F502="Tripulacion", COUNTIF(F$5:F502, "Tripulacion"), "")</f>
        <v/>
      </c>
      <c r="U502" t="str">
        <f>IF(F502="ENAP carga", COUNTIF(F$5:F502, "ENAP carga"), "")</f>
        <v/>
      </c>
    </row>
    <row r="503" spans="13:21">
      <c r="M503" s="22" t="str">
        <f t="shared" si="12"/>
        <v/>
      </c>
      <c r="R503" t="str">
        <f>IF(F503="CJ", COUNTIF(F$5:F503, "CJ"), "")</f>
        <v/>
      </c>
      <c r="S503" t="str">
        <f>IF(F503="Ignacio", COUNTIF(F$5:F503, "Ignacio"), "")</f>
        <v/>
      </c>
      <c r="T503" t="str">
        <f>IF(F503="Tripulacion", COUNTIF(F$5:F503, "Tripulacion"), "")</f>
        <v/>
      </c>
      <c r="U503" t="str">
        <f>IF(F503="ENAP carga", COUNTIF(F$5:F503, "ENAP carga"), "")</f>
        <v/>
      </c>
    </row>
    <row r="504" spans="13:21">
      <c r="M504" s="22" t="str">
        <f t="shared" si="12"/>
        <v/>
      </c>
      <c r="R504" t="str">
        <f>IF(F504="CJ", COUNTIF(F$5:F504, "CJ"), "")</f>
        <v/>
      </c>
      <c r="S504" t="str">
        <f>IF(F504="Ignacio", COUNTIF(F$5:F504, "Ignacio"), "")</f>
        <v/>
      </c>
      <c r="T504" t="str">
        <f>IF(F504="Tripulacion", COUNTIF(F$5:F504, "Tripulacion"), "")</f>
        <v/>
      </c>
      <c r="U504" t="str">
        <f>IF(F504="ENAP carga", COUNTIF(F$5:F504, "ENAP carga"), "")</f>
        <v/>
      </c>
    </row>
    <row r="505" spans="13:21">
      <c r="M505" s="22" t="str">
        <f t="shared" si="12"/>
        <v/>
      </c>
      <c r="R505" t="str">
        <f>IF(F505="CJ", COUNTIF(F$5:F505, "CJ"), "")</f>
        <v/>
      </c>
      <c r="S505" t="str">
        <f>IF(F505="Ignacio", COUNTIF(F$5:F505, "Ignacio"), "")</f>
        <v/>
      </c>
      <c r="T505" t="str">
        <f>IF(F505="Tripulacion", COUNTIF(F$5:F505, "Tripulacion"), "")</f>
        <v/>
      </c>
      <c r="U505" t="str">
        <f>IF(F505="ENAP carga", COUNTIF(F$5:F505, "ENAP carga"), "")</f>
        <v/>
      </c>
    </row>
    <row r="506" spans="13:21">
      <c r="M506" s="22" t="str">
        <f t="shared" si="12"/>
        <v/>
      </c>
      <c r="R506" t="str">
        <f>IF(F506="CJ", COUNTIF(F$5:F506, "CJ"), "")</f>
        <v/>
      </c>
      <c r="S506" t="str">
        <f>IF(F506="Ignacio", COUNTIF(F$5:F506, "Ignacio"), "")</f>
        <v/>
      </c>
      <c r="T506" t="str">
        <f>IF(F506="Tripulacion", COUNTIF(F$5:F506, "Tripulacion"), "")</f>
        <v/>
      </c>
      <c r="U506" t="str">
        <f>IF(F506="ENAP carga", COUNTIF(F$5:F506, "ENAP carga"), "")</f>
        <v/>
      </c>
    </row>
    <row r="507" spans="13:21">
      <c r="M507" s="22" t="str">
        <f t="shared" si="12"/>
        <v/>
      </c>
      <c r="R507" t="str">
        <f>IF(F507="CJ", COUNTIF(F$5:F507, "CJ"), "")</f>
        <v/>
      </c>
      <c r="S507" t="str">
        <f>IF(F507="Ignacio", COUNTIF(F$5:F507, "Ignacio"), "")</f>
        <v/>
      </c>
      <c r="T507" t="str">
        <f>IF(F507="Tripulacion", COUNTIF(F$5:F507, "Tripulacion"), "")</f>
        <v/>
      </c>
      <c r="U507" t="str">
        <f>IF(F507="ENAP carga", COUNTIF(F$5:F507, "ENAP carga"), "")</f>
        <v/>
      </c>
    </row>
    <row r="508" spans="13:21">
      <c r="M508" s="22" t="str">
        <f t="shared" si="12"/>
        <v/>
      </c>
      <c r="R508" t="str">
        <f>IF(F508="CJ", COUNTIF(F$5:F508, "CJ"), "")</f>
        <v/>
      </c>
      <c r="S508" t="str">
        <f>IF(F508="Ignacio", COUNTIF(F$5:F508, "Ignacio"), "")</f>
        <v/>
      </c>
      <c r="T508" t="str">
        <f>IF(F508="Tripulacion", COUNTIF(F$5:F508, "Tripulacion"), "")</f>
        <v/>
      </c>
      <c r="U508" t="str">
        <f>IF(F508="ENAP carga", COUNTIF(F$5:F508, "ENAP carga"), "")</f>
        <v/>
      </c>
    </row>
    <row r="509" spans="13:21">
      <c r="M509" s="22" t="str">
        <f t="shared" si="12"/>
        <v/>
      </c>
      <c r="R509" t="str">
        <f>IF(F509="CJ", COUNTIF(F$5:F509, "CJ"), "")</f>
        <v/>
      </c>
      <c r="S509" t="str">
        <f>IF(F509="Ignacio", COUNTIF(F$5:F509, "Ignacio"), "")</f>
        <v/>
      </c>
      <c r="T509" t="str">
        <f>IF(F509="Tripulacion", COUNTIF(F$5:F509, "Tripulacion"), "")</f>
        <v/>
      </c>
      <c r="U509" t="str">
        <f>IF(F509="ENAP carga", COUNTIF(F$5:F509, "ENAP carga"), "")</f>
        <v/>
      </c>
    </row>
    <row r="510" spans="13:21">
      <c r="M510" s="22" t="str">
        <f t="shared" si="12"/>
        <v/>
      </c>
      <c r="R510" t="str">
        <f>IF(F510="CJ", COUNTIF(F$5:F510, "CJ"), "")</f>
        <v/>
      </c>
      <c r="S510" t="str">
        <f>IF(F510="Ignacio", COUNTIF(F$5:F510, "Ignacio"), "")</f>
        <v/>
      </c>
      <c r="T510" t="str">
        <f>IF(F510="Tripulacion", COUNTIF(F$5:F510, "Tripulacion"), "")</f>
        <v/>
      </c>
      <c r="U510" t="str">
        <f>IF(F510="ENAP carga", COUNTIF(F$5:F510, "ENAP carga"), "")</f>
        <v/>
      </c>
    </row>
    <row r="511" spans="13:21">
      <c r="M511" s="22" t="str">
        <f t="shared" si="12"/>
        <v/>
      </c>
      <c r="R511" t="str">
        <f>IF(F511="CJ", COUNTIF(F$5:F511, "CJ"), "")</f>
        <v/>
      </c>
      <c r="S511" t="str">
        <f>IF(F511="Ignacio", COUNTIF(F$5:F511, "Ignacio"), "")</f>
        <v/>
      </c>
      <c r="T511" t="str">
        <f>IF(F511="Tripulacion", COUNTIF(F$5:F511, "Tripulacion"), "")</f>
        <v/>
      </c>
      <c r="U511" t="str">
        <f>IF(F511="ENAP carga", COUNTIF(F$5:F511, "ENAP carga"), "")</f>
        <v/>
      </c>
    </row>
    <row r="512" spans="13:21">
      <c r="M512" s="22" t="str">
        <f t="shared" si="12"/>
        <v/>
      </c>
      <c r="R512" t="str">
        <f>IF(F512="CJ", COUNTIF(F$5:F512, "CJ"), "")</f>
        <v/>
      </c>
      <c r="S512" t="str">
        <f>IF(F512="Ignacio", COUNTIF(F$5:F512, "Ignacio"), "")</f>
        <v/>
      </c>
      <c r="T512" t="str">
        <f>IF(F512="Tripulacion", COUNTIF(F$5:F512, "Tripulacion"), "")</f>
        <v/>
      </c>
      <c r="U512" t="str">
        <f>IF(F512="ENAP carga", COUNTIF(F$5:F512, "ENAP carga"), "")</f>
        <v/>
      </c>
    </row>
    <row r="513" spans="13:21">
      <c r="M513" s="22" t="str">
        <f t="shared" si="12"/>
        <v/>
      </c>
      <c r="R513" t="str">
        <f>IF(F513="CJ", COUNTIF(F$5:F513, "CJ"), "")</f>
        <v/>
      </c>
      <c r="S513" t="str">
        <f>IF(F513="Ignacio", COUNTIF(F$5:F513, "Ignacio"), "")</f>
        <v/>
      </c>
      <c r="T513" t="str">
        <f>IF(F513="Tripulacion", COUNTIF(F$5:F513, "Tripulacion"), "")</f>
        <v/>
      </c>
      <c r="U513" t="str">
        <f>IF(F513="ENAP carga", COUNTIF(F$5:F513, "ENAP carga"), "")</f>
        <v/>
      </c>
    </row>
    <row r="514" spans="13:21">
      <c r="M514" s="22" t="str">
        <f t="shared" si="12"/>
        <v/>
      </c>
      <c r="R514" t="str">
        <f>IF(F514="CJ", COUNTIF(F$5:F514, "CJ"), "")</f>
        <v/>
      </c>
      <c r="S514" t="str">
        <f>IF(F514="Ignacio", COUNTIF(F$5:F514, "Ignacio"), "")</f>
        <v/>
      </c>
      <c r="T514" t="str">
        <f>IF(F514="Tripulacion", COUNTIF(F$5:F514, "Tripulacion"), "")</f>
        <v/>
      </c>
      <c r="U514" t="str">
        <f>IF(F514="ENAP carga", COUNTIF(F$5:F514, "ENAP carga"), "")</f>
        <v/>
      </c>
    </row>
    <row r="515" spans="13:21">
      <c r="M515" s="22" t="str">
        <f t="shared" si="12"/>
        <v/>
      </c>
      <c r="R515" t="str">
        <f>IF(F515="CJ", COUNTIF(F$5:F515, "CJ"), "")</f>
        <v/>
      </c>
      <c r="S515" t="str">
        <f>IF(F515="Ignacio", COUNTIF(F$5:F515, "Ignacio"), "")</f>
        <v/>
      </c>
      <c r="T515" t="str">
        <f>IF(F515="Tripulacion", COUNTIF(F$5:F515, "Tripulacion"), "")</f>
        <v/>
      </c>
      <c r="U515" t="str">
        <f>IF(F515="ENAP carga", COUNTIF(F$5:F515, "ENAP carga"), "")</f>
        <v/>
      </c>
    </row>
    <row r="516" spans="13:21">
      <c r="M516" s="22" t="str">
        <f t="shared" si="12"/>
        <v/>
      </c>
      <c r="R516" t="str">
        <f>IF(F516="CJ", COUNTIF(F$5:F516, "CJ"), "")</f>
        <v/>
      </c>
      <c r="S516" t="str">
        <f>IF(F516="Ignacio", COUNTIF(F$5:F516, "Ignacio"), "")</f>
        <v/>
      </c>
      <c r="T516" t="str">
        <f>IF(F516="Tripulacion", COUNTIF(F$5:F516, "Tripulacion"), "")</f>
        <v/>
      </c>
      <c r="U516" t="str">
        <f>IF(F516="ENAP carga", COUNTIF(F$5:F516, "ENAP carga"), "")</f>
        <v/>
      </c>
    </row>
    <row r="517" spans="13:21">
      <c r="M517" s="22" t="str">
        <f t="shared" si="12"/>
        <v/>
      </c>
      <c r="R517" t="str">
        <f>IF(F517="CJ", COUNTIF(F$5:F517, "CJ"), "")</f>
        <v/>
      </c>
      <c r="S517" t="str">
        <f>IF(F517="Ignacio", COUNTIF(F$5:F517, "Ignacio"), "")</f>
        <v/>
      </c>
      <c r="T517" t="str">
        <f>IF(F517="Tripulacion", COUNTIF(F$5:F517, "Tripulacion"), "")</f>
        <v/>
      </c>
      <c r="U517" t="str">
        <f>IF(F517="ENAP carga", COUNTIF(F$5:F517, "ENAP carga"), "")</f>
        <v/>
      </c>
    </row>
    <row r="518" spans="13:21">
      <c r="M518" s="22" t="str">
        <f t="shared" si="12"/>
        <v/>
      </c>
      <c r="R518" t="str">
        <f>IF(F518="CJ", COUNTIF(F$5:F518, "CJ"), "")</f>
        <v/>
      </c>
      <c r="S518" t="str">
        <f>IF(F518="Ignacio", COUNTIF(F$5:F518, "Ignacio"), "")</f>
        <v/>
      </c>
      <c r="T518" t="str">
        <f>IF(F518="Tripulacion", COUNTIF(F$5:F518, "Tripulacion"), "")</f>
        <v/>
      </c>
      <c r="U518" t="str">
        <f>IF(F518="ENAP carga", COUNTIF(F$5:F518, "ENAP carga"), "")</f>
        <v/>
      </c>
    </row>
    <row r="519" spans="13:21">
      <c r="M519" s="22" t="str">
        <f t="shared" si="12"/>
        <v/>
      </c>
      <c r="R519" t="str">
        <f>IF(F519="CJ", COUNTIF(F$5:F519, "CJ"), "")</f>
        <v/>
      </c>
      <c r="S519" t="str">
        <f>IF(F519="Ignacio", COUNTIF(F$5:F519, "Ignacio"), "")</f>
        <v/>
      </c>
      <c r="T519" t="str">
        <f>IF(F519="Tripulacion", COUNTIF(F$5:F519, "Tripulacion"), "")</f>
        <v/>
      </c>
      <c r="U519" t="str">
        <f>IF(F519="ENAP carga", COUNTIF(F$5:F519, "ENAP carga"), "")</f>
        <v/>
      </c>
    </row>
    <row r="520" spans="13:21">
      <c r="M520" s="22" t="str">
        <f t="shared" si="12"/>
        <v/>
      </c>
      <c r="R520" t="str">
        <f>IF(F520="CJ", COUNTIF(F$5:F520, "CJ"), "")</f>
        <v/>
      </c>
      <c r="S520" t="str">
        <f>IF(F520="Ignacio", COUNTIF(F$5:F520, "Ignacio"), "")</f>
        <v/>
      </c>
      <c r="T520" t="str">
        <f>IF(F520="Tripulacion", COUNTIF(F$5:F520, "Tripulacion"), "")</f>
        <v/>
      </c>
      <c r="U520" t="str">
        <f>IF(F520="ENAP carga", COUNTIF(F$5:F520, "ENAP carga"), "")</f>
        <v/>
      </c>
    </row>
    <row r="521" spans="13:21">
      <c r="M521" s="22" t="str">
        <f t="shared" si="12"/>
        <v/>
      </c>
      <c r="R521" t="str">
        <f>IF(F521="CJ", COUNTIF(F$5:F521, "CJ"), "")</f>
        <v/>
      </c>
      <c r="S521" t="str">
        <f>IF(F521="Ignacio", COUNTIF(F$5:F521, "Ignacio"), "")</f>
        <v/>
      </c>
      <c r="T521" t="str">
        <f>IF(F521="Tripulacion", COUNTIF(F$5:F521, "Tripulacion"), "")</f>
        <v/>
      </c>
      <c r="U521" t="str">
        <f>IF(F521="ENAP carga", COUNTIF(F$5:F521, "ENAP carga"), "")</f>
        <v/>
      </c>
    </row>
    <row r="522" spans="13:21">
      <c r="M522" s="22" t="str">
        <f t="shared" si="12"/>
        <v/>
      </c>
      <c r="R522" t="str">
        <f>IF(F522="CJ", COUNTIF(F$5:F522, "CJ"), "")</f>
        <v/>
      </c>
      <c r="S522" t="str">
        <f>IF(F522="Ignacio", COUNTIF(F$5:F522, "Ignacio"), "")</f>
        <v/>
      </c>
      <c r="T522" t="str">
        <f>IF(F522="Tripulacion", COUNTIF(F$5:F522, "Tripulacion"), "")</f>
        <v/>
      </c>
      <c r="U522" t="str">
        <f>IF(F522="ENAP carga", COUNTIF(F$5:F522, "ENAP carga"), "")</f>
        <v/>
      </c>
    </row>
    <row r="523" spans="13:21">
      <c r="M523" s="22" t="str">
        <f t="shared" si="12"/>
        <v/>
      </c>
      <c r="R523" t="str">
        <f>IF(F523="CJ", COUNTIF(F$5:F523, "CJ"), "")</f>
        <v/>
      </c>
      <c r="S523" t="str">
        <f>IF(F523="Ignacio", COUNTIF(F$5:F523, "Ignacio"), "")</f>
        <v/>
      </c>
      <c r="T523" t="str">
        <f>IF(F523="Tripulacion", COUNTIF(F$5:F523, "Tripulacion"), "")</f>
        <v/>
      </c>
      <c r="U523" t="str">
        <f>IF(F523="ENAP carga", COUNTIF(F$5:F523, "ENAP carga"), "")</f>
        <v/>
      </c>
    </row>
    <row r="524" spans="13:21">
      <c r="M524" s="22" t="str">
        <f t="shared" si="12"/>
        <v/>
      </c>
      <c r="R524" t="str">
        <f>IF(F524="CJ", COUNTIF(F$5:F524, "CJ"), "")</f>
        <v/>
      </c>
      <c r="S524" t="str">
        <f>IF(F524="Ignacio", COUNTIF(F$5:F524, "Ignacio"), "")</f>
        <v/>
      </c>
      <c r="T524" t="str">
        <f>IF(F524="Tripulacion", COUNTIF(F$5:F524, "Tripulacion"), "")</f>
        <v/>
      </c>
      <c r="U524" t="str">
        <f>IF(F524="ENAP carga", COUNTIF(F$5:F524, "ENAP carga"), "")</f>
        <v/>
      </c>
    </row>
    <row r="525" spans="13:21">
      <c r="M525" s="22" t="str">
        <f t="shared" si="12"/>
        <v/>
      </c>
      <c r="R525" t="str">
        <f>IF(F525="CJ", COUNTIF(F$5:F525, "CJ"), "")</f>
        <v/>
      </c>
      <c r="S525" t="str">
        <f>IF(F525="Ignacio", COUNTIF(F$5:F525, "Ignacio"), "")</f>
        <v/>
      </c>
      <c r="T525" t="str">
        <f>IF(F525="Tripulacion", COUNTIF(F$5:F525, "Tripulacion"), "")</f>
        <v/>
      </c>
      <c r="U525" t="str">
        <f>IF(F525="ENAP carga", COUNTIF(F$5:F525, "ENAP carga"), "")</f>
        <v/>
      </c>
    </row>
    <row r="526" spans="13:21">
      <c r="M526" s="22" t="str">
        <f t="shared" si="12"/>
        <v/>
      </c>
      <c r="R526" t="str">
        <f>IF(F526="CJ", COUNTIF(F$5:F526, "CJ"), "")</f>
        <v/>
      </c>
      <c r="S526" t="str">
        <f>IF(F526="Ignacio", COUNTIF(F$5:F526, "Ignacio"), "")</f>
        <v/>
      </c>
      <c r="T526" t="str">
        <f>IF(F526="Tripulacion", COUNTIF(F$5:F526, "Tripulacion"), "")</f>
        <v/>
      </c>
      <c r="U526" t="str">
        <f>IF(F526="ENAP carga", COUNTIF(F$5:F526, "ENAP carga"), "")</f>
        <v/>
      </c>
    </row>
    <row r="527" spans="13:21">
      <c r="M527" s="22" t="str">
        <f t="shared" si="12"/>
        <v/>
      </c>
      <c r="R527" t="str">
        <f>IF(F527="CJ", COUNTIF(F$5:F527, "CJ"), "")</f>
        <v/>
      </c>
      <c r="S527" t="str">
        <f>IF(F527="Ignacio", COUNTIF(F$5:F527, "Ignacio"), "")</f>
        <v/>
      </c>
      <c r="T527" t="str">
        <f>IF(F527="Tripulacion", COUNTIF(F$5:F527, "Tripulacion"), "")</f>
        <v/>
      </c>
      <c r="U527" t="str">
        <f>IF(F527="ENAP carga", COUNTIF(F$5:F527, "ENAP carga"), "")</f>
        <v/>
      </c>
    </row>
    <row r="528" spans="13:21">
      <c r="M528" s="22" t="str">
        <f t="shared" si="12"/>
        <v/>
      </c>
      <c r="R528" t="str">
        <f>IF(F528="CJ", COUNTIF(F$5:F528, "CJ"), "")</f>
        <v/>
      </c>
      <c r="S528" t="str">
        <f>IF(F528="Ignacio", COUNTIF(F$5:F528, "Ignacio"), "")</f>
        <v/>
      </c>
      <c r="T528" t="str">
        <f>IF(F528="Tripulacion", COUNTIF(F$5:F528, "Tripulacion"), "")</f>
        <v/>
      </c>
      <c r="U528" t="str">
        <f>IF(F528="ENAP carga", COUNTIF(F$5:F528, "ENAP carga"), "")</f>
        <v/>
      </c>
    </row>
    <row r="529" spans="13:21">
      <c r="M529" s="22" t="str">
        <f t="shared" si="12"/>
        <v/>
      </c>
      <c r="R529" t="str">
        <f>IF(F529="CJ", COUNTIF(F$5:F529, "CJ"), "")</f>
        <v/>
      </c>
      <c r="S529" t="str">
        <f>IF(F529="Ignacio", COUNTIF(F$5:F529, "Ignacio"), "")</f>
        <v/>
      </c>
      <c r="T529" t="str">
        <f>IF(F529="Tripulacion", COUNTIF(F$5:F529, "Tripulacion"), "")</f>
        <v/>
      </c>
      <c r="U529" t="str">
        <f>IF(F529="ENAP carga", COUNTIF(F$5:F529, "ENAP carga"), "")</f>
        <v/>
      </c>
    </row>
    <row r="530" spans="13:21">
      <c r="M530" s="22" t="str">
        <f t="shared" si="12"/>
        <v/>
      </c>
      <c r="R530" t="str">
        <f>IF(F530="CJ", COUNTIF(F$5:F530, "CJ"), "")</f>
        <v/>
      </c>
      <c r="S530" t="str">
        <f>IF(F530="Ignacio", COUNTIF(F$5:F530, "Ignacio"), "")</f>
        <v/>
      </c>
      <c r="T530" t="str">
        <f>IF(F530="Tripulacion", COUNTIF(F$5:F530, "Tripulacion"), "")</f>
        <v/>
      </c>
      <c r="U530" t="str">
        <f>IF(F530="ENAP carga", COUNTIF(F$5:F530, "ENAP carga"), "")</f>
        <v/>
      </c>
    </row>
    <row r="531" spans="13:21">
      <c r="M531" s="22" t="str">
        <f t="shared" si="12"/>
        <v/>
      </c>
      <c r="R531" t="str">
        <f>IF(F531="CJ", COUNTIF(F$5:F531, "CJ"), "")</f>
        <v/>
      </c>
      <c r="S531" t="str">
        <f>IF(F531="Ignacio", COUNTIF(F$5:F531, "Ignacio"), "")</f>
        <v/>
      </c>
      <c r="T531" t="str">
        <f>IF(F531="Tripulacion", COUNTIF(F$5:F531, "Tripulacion"), "")</f>
        <v/>
      </c>
      <c r="U531" t="str">
        <f>IF(F531="ENAP carga", COUNTIF(F$5:F531, "ENAP carga"), "")</f>
        <v/>
      </c>
    </row>
    <row r="532" spans="13:21">
      <c r="M532" s="22" t="str">
        <f t="shared" si="12"/>
        <v/>
      </c>
      <c r="R532" t="str">
        <f>IF(F532="CJ", COUNTIF(F$5:F532, "CJ"), "")</f>
        <v/>
      </c>
      <c r="S532" t="str">
        <f>IF(F532="Ignacio", COUNTIF(F$5:F532, "Ignacio"), "")</f>
        <v/>
      </c>
      <c r="T532" t="str">
        <f>IF(F532="Tripulacion", COUNTIF(F$5:F532, "Tripulacion"), "")</f>
        <v/>
      </c>
      <c r="U532" t="str">
        <f>IF(F532="ENAP carga", COUNTIF(F$5:F532, "ENAP carga"), "")</f>
        <v/>
      </c>
    </row>
    <row r="533" spans="13:21">
      <c r="M533" s="22" t="str">
        <f t="shared" si="12"/>
        <v/>
      </c>
      <c r="R533" t="str">
        <f>IF(F533="CJ", COUNTIF(F$5:F533, "CJ"), "")</f>
        <v/>
      </c>
      <c r="S533" t="str">
        <f>IF(F533="Ignacio", COUNTIF(F$5:F533, "Ignacio"), "")</f>
        <v/>
      </c>
      <c r="T533" t="str">
        <f>IF(F533="Tripulacion", COUNTIF(F$5:F533, "Tripulacion"), "")</f>
        <v/>
      </c>
      <c r="U533" t="str">
        <f>IF(F533="ENAP carga", COUNTIF(F$5:F533, "ENAP carga"), "")</f>
        <v/>
      </c>
    </row>
    <row r="534" spans="13:21">
      <c r="M534" s="22" t="str">
        <f t="shared" si="12"/>
        <v/>
      </c>
      <c r="R534" t="str">
        <f>IF(F534="CJ", COUNTIF(F$5:F534, "CJ"), "")</f>
        <v/>
      </c>
      <c r="S534" t="str">
        <f>IF(F534="Ignacio", COUNTIF(F$5:F534, "Ignacio"), "")</f>
        <v/>
      </c>
      <c r="T534" t="str">
        <f>IF(F534="Tripulacion", COUNTIF(F$5:F534, "Tripulacion"), "")</f>
        <v/>
      </c>
      <c r="U534" t="str">
        <f>IF(F534="ENAP carga", COUNTIF(F$5:F534, "ENAP carga"), "")</f>
        <v/>
      </c>
    </row>
    <row r="535" spans="13:21">
      <c r="M535" s="22" t="str">
        <f t="shared" si="12"/>
        <v/>
      </c>
      <c r="R535" t="str">
        <f>IF(F535="CJ", COUNTIF(F$5:F535, "CJ"), "")</f>
        <v/>
      </c>
      <c r="S535" t="str">
        <f>IF(F535="Ignacio", COUNTIF(F$5:F535, "Ignacio"), "")</f>
        <v/>
      </c>
      <c r="T535" t="str">
        <f>IF(F535="Tripulacion", COUNTIF(F$5:F535, "Tripulacion"), "")</f>
        <v/>
      </c>
      <c r="U535" t="str">
        <f>IF(F535="ENAP carga", COUNTIF(F$5:F535, "ENAP carga"), "")</f>
        <v/>
      </c>
    </row>
    <row r="536" spans="13:21">
      <c r="M536" s="22" t="str">
        <f t="shared" ref="M536:M599" si="13">IF(F536="CJ", I536*200, "")</f>
        <v/>
      </c>
      <c r="R536" t="str">
        <f>IF(F536="CJ", COUNTIF(F$5:F536, "CJ"), "")</f>
        <v/>
      </c>
      <c r="S536" t="str">
        <f>IF(F536="Ignacio", COUNTIF(F$5:F536, "Ignacio"), "")</f>
        <v/>
      </c>
      <c r="T536" t="str">
        <f>IF(F536="Tripulacion", COUNTIF(F$5:F536, "Tripulacion"), "")</f>
        <v/>
      </c>
      <c r="U536" t="str">
        <f>IF(F536="ENAP carga", COUNTIF(F$5:F536, "ENAP carga"), "")</f>
        <v/>
      </c>
    </row>
    <row r="537" spans="13:21">
      <c r="M537" s="22" t="str">
        <f t="shared" si="13"/>
        <v/>
      </c>
      <c r="R537" t="str">
        <f>IF(F537="CJ", COUNTIF(F$5:F537, "CJ"), "")</f>
        <v/>
      </c>
      <c r="S537" t="str">
        <f>IF(F537="Ignacio", COUNTIF(F$5:F537, "Ignacio"), "")</f>
        <v/>
      </c>
      <c r="T537" t="str">
        <f>IF(F537="Tripulacion", COUNTIF(F$5:F537, "Tripulacion"), "")</f>
        <v/>
      </c>
      <c r="U537" t="str">
        <f>IF(F537="ENAP carga", COUNTIF(F$5:F537, "ENAP carga"), "")</f>
        <v/>
      </c>
    </row>
    <row r="538" spans="13:21">
      <c r="M538" s="22" t="str">
        <f t="shared" si="13"/>
        <v/>
      </c>
      <c r="R538" t="str">
        <f>IF(F538="CJ", COUNTIF(F$5:F538, "CJ"), "")</f>
        <v/>
      </c>
      <c r="S538" t="str">
        <f>IF(F538="Ignacio", COUNTIF(F$5:F538, "Ignacio"), "")</f>
        <v/>
      </c>
      <c r="T538" t="str">
        <f>IF(F538="Tripulacion", COUNTIF(F$5:F538, "Tripulacion"), "")</f>
        <v/>
      </c>
      <c r="U538" t="str">
        <f>IF(F538="ENAP carga", COUNTIF(F$5:F538, "ENAP carga"), "")</f>
        <v/>
      </c>
    </row>
    <row r="539" spans="13:21">
      <c r="M539" s="22" t="str">
        <f t="shared" si="13"/>
        <v/>
      </c>
      <c r="R539" t="str">
        <f>IF(F539="CJ", COUNTIF(F$5:F539, "CJ"), "")</f>
        <v/>
      </c>
      <c r="S539" t="str">
        <f>IF(F539="Ignacio", COUNTIF(F$5:F539, "Ignacio"), "")</f>
        <v/>
      </c>
      <c r="T539" t="str">
        <f>IF(F539="Tripulacion", COUNTIF(F$5:F539, "Tripulacion"), "")</f>
        <v/>
      </c>
      <c r="U539" t="str">
        <f>IF(F539="ENAP carga", COUNTIF(F$5:F539, "ENAP carga"), "")</f>
        <v/>
      </c>
    </row>
    <row r="540" spans="13:21">
      <c r="M540" s="22" t="str">
        <f t="shared" si="13"/>
        <v/>
      </c>
      <c r="R540" t="str">
        <f>IF(F540="CJ", COUNTIF(F$5:F540, "CJ"), "")</f>
        <v/>
      </c>
      <c r="S540" t="str">
        <f>IF(F540="Ignacio", COUNTIF(F$5:F540, "Ignacio"), "")</f>
        <v/>
      </c>
      <c r="T540" t="str">
        <f>IF(F540="Tripulacion", COUNTIF(F$5:F540, "Tripulacion"), "")</f>
        <v/>
      </c>
      <c r="U540" t="str">
        <f>IF(F540="ENAP carga", COUNTIF(F$5:F540, "ENAP carga"), "")</f>
        <v/>
      </c>
    </row>
    <row r="541" spans="13:21">
      <c r="M541" s="22" t="str">
        <f t="shared" si="13"/>
        <v/>
      </c>
      <c r="R541" t="str">
        <f>IF(F541="CJ", COUNTIF(F$5:F541, "CJ"), "")</f>
        <v/>
      </c>
      <c r="S541" t="str">
        <f>IF(F541="Ignacio", COUNTIF(F$5:F541, "Ignacio"), "")</f>
        <v/>
      </c>
      <c r="T541" t="str">
        <f>IF(F541="Tripulacion", COUNTIF(F$5:F541, "Tripulacion"), "")</f>
        <v/>
      </c>
      <c r="U541" t="str">
        <f>IF(F541="ENAP carga", COUNTIF(F$5:F541, "ENAP carga"), "")</f>
        <v/>
      </c>
    </row>
    <row r="542" spans="13:21">
      <c r="M542" s="22" t="str">
        <f t="shared" si="13"/>
        <v/>
      </c>
      <c r="R542" t="str">
        <f>IF(F542="CJ", COUNTIF(F$5:F542, "CJ"), "")</f>
        <v/>
      </c>
      <c r="S542" t="str">
        <f>IF(F542="Ignacio", COUNTIF(F$5:F542, "Ignacio"), "")</f>
        <v/>
      </c>
      <c r="T542" t="str">
        <f>IF(F542="Tripulacion", COUNTIF(F$5:F542, "Tripulacion"), "")</f>
        <v/>
      </c>
      <c r="U542" t="str">
        <f>IF(F542="ENAP carga", COUNTIF(F$5:F542, "ENAP carga"), "")</f>
        <v/>
      </c>
    </row>
    <row r="543" spans="13:21">
      <c r="M543" s="22" t="str">
        <f t="shared" si="13"/>
        <v/>
      </c>
      <c r="R543" t="str">
        <f>IF(F543="CJ", COUNTIF(F$5:F543, "CJ"), "")</f>
        <v/>
      </c>
      <c r="S543" t="str">
        <f>IF(F543="Ignacio", COUNTIF(F$5:F543, "Ignacio"), "")</f>
        <v/>
      </c>
      <c r="T543" t="str">
        <f>IF(F543="Tripulacion", COUNTIF(F$5:F543, "Tripulacion"), "")</f>
        <v/>
      </c>
      <c r="U543" t="str">
        <f>IF(F543="ENAP carga", COUNTIF(F$5:F543, "ENAP carga"), "")</f>
        <v/>
      </c>
    </row>
    <row r="544" spans="13:21">
      <c r="M544" s="22" t="str">
        <f t="shared" si="13"/>
        <v/>
      </c>
      <c r="R544" t="str">
        <f>IF(F544="CJ", COUNTIF(F$5:F544, "CJ"), "")</f>
        <v/>
      </c>
      <c r="S544" t="str">
        <f>IF(F544="Ignacio", COUNTIF(F$5:F544, "Ignacio"), "")</f>
        <v/>
      </c>
      <c r="T544" t="str">
        <f>IF(F544="Tripulacion", COUNTIF(F$5:F544, "Tripulacion"), "")</f>
        <v/>
      </c>
      <c r="U544" t="str">
        <f>IF(F544="ENAP carga", COUNTIF(F$5:F544, "ENAP carga"), "")</f>
        <v/>
      </c>
    </row>
    <row r="545" spans="13:21">
      <c r="M545" s="22" t="str">
        <f t="shared" si="13"/>
        <v/>
      </c>
      <c r="R545" t="str">
        <f>IF(F545="CJ", COUNTIF(F$5:F545, "CJ"), "")</f>
        <v/>
      </c>
      <c r="S545" t="str">
        <f>IF(F545="Ignacio", COUNTIF(F$5:F545, "Ignacio"), "")</f>
        <v/>
      </c>
      <c r="T545" t="str">
        <f>IF(F545="Tripulacion", COUNTIF(F$5:F545, "Tripulacion"), "")</f>
        <v/>
      </c>
      <c r="U545" t="str">
        <f>IF(F545="ENAP carga", COUNTIF(F$5:F545, "ENAP carga"), "")</f>
        <v/>
      </c>
    </row>
    <row r="546" spans="13:21">
      <c r="M546" s="22" t="str">
        <f t="shared" si="13"/>
        <v/>
      </c>
      <c r="R546" t="str">
        <f>IF(F546="CJ", COUNTIF(F$5:F546, "CJ"), "")</f>
        <v/>
      </c>
      <c r="S546" t="str">
        <f>IF(F546="Ignacio", COUNTIF(F$5:F546, "Ignacio"), "")</f>
        <v/>
      </c>
      <c r="T546" t="str">
        <f>IF(F546="Tripulacion", COUNTIF(F$5:F546, "Tripulacion"), "")</f>
        <v/>
      </c>
      <c r="U546" t="str">
        <f>IF(F546="ENAP carga", COUNTIF(F$5:F546, "ENAP carga"), "")</f>
        <v/>
      </c>
    </row>
    <row r="547" spans="13:21">
      <c r="M547" s="22" t="str">
        <f t="shared" si="13"/>
        <v/>
      </c>
      <c r="R547" t="str">
        <f>IF(F547="CJ", COUNTIF(F$5:F547, "CJ"), "")</f>
        <v/>
      </c>
      <c r="S547" t="str">
        <f>IF(F547="Ignacio", COUNTIF(F$5:F547, "Ignacio"), "")</f>
        <v/>
      </c>
      <c r="T547" t="str">
        <f>IF(F547="Tripulacion", COUNTIF(F$5:F547, "Tripulacion"), "")</f>
        <v/>
      </c>
      <c r="U547" t="str">
        <f>IF(F547="ENAP carga", COUNTIF(F$5:F547, "ENAP carga"), "")</f>
        <v/>
      </c>
    </row>
    <row r="548" spans="13:21">
      <c r="M548" s="22" t="str">
        <f t="shared" si="13"/>
        <v/>
      </c>
      <c r="R548" t="str">
        <f>IF(F548="CJ", COUNTIF(F$5:F548, "CJ"), "")</f>
        <v/>
      </c>
      <c r="S548" t="str">
        <f>IF(F548="Ignacio", COUNTIF(F$5:F548, "Ignacio"), "")</f>
        <v/>
      </c>
      <c r="T548" t="str">
        <f>IF(F548="Tripulacion", COUNTIF(F$5:F548, "Tripulacion"), "")</f>
        <v/>
      </c>
      <c r="U548" t="str">
        <f>IF(F548="ENAP carga", COUNTIF(F$5:F548, "ENAP carga"), "")</f>
        <v/>
      </c>
    </row>
    <row r="549" spans="13:21">
      <c r="M549" s="22" t="str">
        <f t="shared" si="13"/>
        <v/>
      </c>
      <c r="R549" t="str">
        <f>IF(F549="CJ", COUNTIF(F$5:F549, "CJ"), "")</f>
        <v/>
      </c>
      <c r="S549" t="str">
        <f>IF(F549="Ignacio", COUNTIF(F$5:F549, "Ignacio"), "")</f>
        <v/>
      </c>
      <c r="T549" t="str">
        <f>IF(F549="Tripulacion", COUNTIF(F$5:F549, "Tripulacion"), "")</f>
        <v/>
      </c>
      <c r="U549" t="str">
        <f>IF(F549="ENAP carga", COUNTIF(F$5:F549, "ENAP carga"), "")</f>
        <v/>
      </c>
    </row>
    <row r="550" spans="13:21">
      <c r="M550" s="22" t="str">
        <f t="shared" si="13"/>
        <v/>
      </c>
      <c r="R550" t="str">
        <f>IF(F550="CJ", COUNTIF(F$5:F550, "CJ"), "")</f>
        <v/>
      </c>
      <c r="S550" t="str">
        <f>IF(F550="Ignacio", COUNTIF(F$5:F550, "Ignacio"), "")</f>
        <v/>
      </c>
      <c r="T550" t="str">
        <f>IF(F550="Tripulacion", COUNTIF(F$5:F550, "Tripulacion"), "")</f>
        <v/>
      </c>
      <c r="U550" t="str">
        <f>IF(F550="ENAP carga", COUNTIF(F$5:F550, "ENAP carga"), "")</f>
        <v/>
      </c>
    </row>
    <row r="551" spans="13:21">
      <c r="M551" s="22" t="str">
        <f t="shared" si="13"/>
        <v/>
      </c>
      <c r="R551" t="str">
        <f>IF(F551="CJ", COUNTIF(F$5:F551, "CJ"), "")</f>
        <v/>
      </c>
      <c r="S551" t="str">
        <f>IF(F551="Ignacio", COUNTIF(F$5:F551, "Ignacio"), "")</f>
        <v/>
      </c>
      <c r="T551" t="str">
        <f>IF(F551="Tripulacion", COUNTIF(F$5:F551, "Tripulacion"), "")</f>
        <v/>
      </c>
      <c r="U551" t="str">
        <f>IF(F551="ENAP carga", COUNTIF(F$5:F551, "ENAP carga"), "")</f>
        <v/>
      </c>
    </row>
    <row r="552" spans="13:21">
      <c r="M552" s="22" t="str">
        <f t="shared" si="13"/>
        <v/>
      </c>
      <c r="R552" t="str">
        <f>IF(F552="CJ", COUNTIF(F$5:F552, "CJ"), "")</f>
        <v/>
      </c>
      <c r="S552" t="str">
        <f>IF(F552="Ignacio", COUNTIF(F$5:F552, "Ignacio"), "")</f>
        <v/>
      </c>
      <c r="T552" t="str">
        <f>IF(F552="Tripulacion", COUNTIF(F$5:F552, "Tripulacion"), "")</f>
        <v/>
      </c>
      <c r="U552" t="str">
        <f>IF(F552="ENAP carga", COUNTIF(F$5:F552, "ENAP carga"), "")</f>
        <v/>
      </c>
    </row>
    <row r="553" spans="13:21">
      <c r="M553" s="22" t="str">
        <f t="shared" si="13"/>
        <v/>
      </c>
      <c r="R553" t="str">
        <f>IF(F553="CJ", COUNTIF(F$5:F553, "CJ"), "")</f>
        <v/>
      </c>
      <c r="S553" t="str">
        <f>IF(F553="Ignacio", COUNTIF(F$5:F553, "Ignacio"), "")</f>
        <v/>
      </c>
      <c r="T553" t="str">
        <f>IF(F553="Tripulacion", COUNTIF(F$5:F553, "Tripulacion"), "")</f>
        <v/>
      </c>
      <c r="U553" t="str">
        <f>IF(F553="ENAP carga", COUNTIF(F$5:F553, "ENAP carga"), "")</f>
        <v/>
      </c>
    </row>
    <row r="554" spans="13:21">
      <c r="M554" s="22" t="str">
        <f t="shared" si="13"/>
        <v/>
      </c>
      <c r="R554" t="str">
        <f>IF(F554="CJ", COUNTIF(F$5:F554, "CJ"), "")</f>
        <v/>
      </c>
      <c r="S554" t="str">
        <f>IF(F554="Ignacio", COUNTIF(F$5:F554, "Ignacio"), "")</f>
        <v/>
      </c>
      <c r="T554" t="str">
        <f>IF(F554="Tripulacion", COUNTIF(F$5:F554, "Tripulacion"), "")</f>
        <v/>
      </c>
      <c r="U554" t="str">
        <f>IF(F554="ENAP carga", COUNTIF(F$5:F554, "ENAP carga"), "")</f>
        <v/>
      </c>
    </row>
    <row r="555" spans="13:21">
      <c r="M555" s="22" t="str">
        <f t="shared" si="13"/>
        <v/>
      </c>
      <c r="R555" t="str">
        <f>IF(F555="CJ", COUNTIF(F$5:F555, "CJ"), "")</f>
        <v/>
      </c>
      <c r="S555" t="str">
        <f>IF(F555="Ignacio", COUNTIF(F$5:F555, "Ignacio"), "")</f>
        <v/>
      </c>
      <c r="T555" t="str">
        <f>IF(F555="Tripulacion", COUNTIF(F$5:F555, "Tripulacion"), "")</f>
        <v/>
      </c>
      <c r="U555" t="str">
        <f>IF(F555="ENAP carga", COUNTIF(F$5:F555, "ENAP carga"), "")</f>
        <v/>
      </c>
    </row>
    <row r="556" spans="13:21">
      <c r="M556" s="22" t="str">
        <f t="shared" si="13"/>
        <v/>
      </c>
      <c r="R556" t="str">
        <f>IF(F556="CJ", COUNTIF(F$5:F556, "CJ"), "")</f>
        <v/>
      </c>
      <c r="S556" t="str">
        <f>IF(F556="Ignacio", COUNTIF(F$5:F556, "Ignacio"), "")</f>
        <v/>
      </c>
      <c r="T556" t="str">
        <f>IF(F556="Tripulacion", COUNTIF(F$5:F556, "Tripulacion"), "")</f>
        <v/>
      </c>
      <c r="U556" t="str">
        <f>IF(F556="ENAP carga", COUNTIF(F$5:F556, "ENAP carga"), "")</f>
        <v/>
      </c>
    </row>
    <row r="557" spans="13:21">
      <c r="M557" s="22" t="str">
        <f t="shared" si="13"/>
        <v/>
      </c>
      <c r="R557" t="str">
        <f>IF(F557="CJ", COUNTIF(F$5:F557, "CJ"), "")</f>
        <v/>
      </c>
      <c r="S557" t="str">
        <f>IF(F557="Ignacio", COUNTIF(F$5:F557, "Ignacio"), "")</f>
        <v/>
      </c>
      <c r="T557" t="str">
        <f>IF(F557="Tripulacion", COUNTIF(F$5:F557, "Tripulacion"), "")</f>
        <v/>
      </c>
      <c r="U557" t="str">
        <f>IF(F557="ENAP carga", COUNTIF(F$5:F557, "ENAP carga"), "")</f>
        <v/>
      </c>
    </row>
    <row r="558" spans="13:21">
      <c r="M558" s="22" t="str">
        <f t="shared" si="13"/>
        <v/>
      </c>
      <c r="R558" t="str">
        <f>IF(F558="CJ", COUNTIF(F$5:F558, "CJ"), "")</f>
        <v/>
      </c>
      <c r="S558" t="str">
        <f>IF(F558="Ignacio", COUNTIF(F$5:F558, "Ignacio"), "")</f>
        <v/>
      </c>
      <c r="T558" t="str">
        <f>IF(F558="Tripulacion", COUNTIF(F$5:F558, "Tripulacion"), "")</f>
        <v/>
      </c>
      <c r="U558" t="str">
        <f>IF(F558="ENAP carga", COUNTIF(F$5:F558, "ENAP carga"), "")</f>
        <v/>
      </c>
    </row>
    <row r="559" spans="13:21">
      <c r="M559" s="22" t="str">
        <f t="shared" si="13"/>
        <v/>
      </c>
      <c r="R559" t="str">
        <f>IF(F559="CJ", COUNTIF(F$5:F559, "CJ"), "")</f>
        <v/>
      </c>
      <c r="S559" t="str">
        <f>IF(F559="Ignacio", COUNTIF(F$5:F559, "Ignacio"), "")</f>
        <v/>
      </c>
      <c r="T559" t="str">
        <f>IF(F559="Tripulacion", COUNTIF(F$5:F559, "Tripulacion"), "")</f>
        <v/>
      </c>
      <c r="U559" t="str">
        <f>IF(F559="ENAP carga", COUNTIF(F$5:F559, "ENAP carga"), "")</f>
        <v/>
      </c>
    </row>
    <row r="560" spans="13:21">
      <c r="M560" s="22" t="str">
        <f t="shared" si="13"/>
        <v/>
      </c>
      <c r="R560" t="str">
        <f>IF(F560="CJ", COUNTIF(F$5:F560, "CJ"), "")</f>
        <v/>
      </c>
      <c r="S560" t="str">
        <f>IF(F560="Ignacio", COUNTIF(F$5:F560, "Ignacio"), "")</f>
        <v/>
      </c>
      <c r="T560" t="str">
        <f>IF(F560="Tripulacion", COUNTIF(F$5:F560, "Tripulacion"), "")</f>
        <v/>
      </c>
      <c r="U560" t="str">
        <f>IF(F560="ENAP carga", COUNTIF(F$5:F560, "ENAP carga"), "")</f>
        <v/>
      </c>
    </row>
    <row r="561" spans="13:21">
      <c r="M561" s="22" t="str">
        <f t="shared" si="13"/>
        <v/>
      </c>
      <c r="R561" t="str">
        <f>IF(F561="CJ", COUNTIF(F$5:F561, "CJ"), "")</f>
        <v/>
      </c>
      <c r="S561" t="str">
        <f>IF(F561="Ignacio", COUNTIF(F$5:F561, "Ignacio"), "")</f>
        <v/>
      </c>
      <c r="T561" t="str">
        <f>IF(F561="Tripulacion", COUNTIF(F$5:F561, "Tripulacion"), "")</f>
        <v/>
      </c>
      <c r="U561" t="str">
        <f>IF(F561="ENAP carga", COUNTIF(F$5:F561, "ENAP carga"), "")</f>
        <v/>
      </c>
    </row>
    <row r="562" spans="13:21">
      <c r="M562" s="22" t="str">
        <f t="shared" si="13"/>
        <v/>
      </c>
      <c r="R562" t="str">
        <f>IF(F562="CJ", COUNTIF(F$5:F562, "CJ"), "")</f>
        <v/>
      </c>
      <c r="S562" t="str">
        <f>IF(F562="Ignacio", COUNTIF(F$5:F562, "Ignacio"), "")</f>
        <v/>
      </c>
      <c r="T562" t="str">
        <f>IF(F562="Tripulacion", COUNTIF(F$5:F562, "Tripulacion"), "")</f>
        <v/>
      </c>
      <c r="U562" t="str">
        <f>IF(F562="ENAP carga", COUNTIF(F$5:F562, "ENAP carga"), "")</f>
        <v/>
      </c>
    </row>
    <row r="563" spans="13:21">
      <c r="M563" s="22" t="str">
        <f t="shared" si="13"/>
        <v/>
      </c>
      <c r="R563" t="str">
        <f>IF(F563="CJ", COUNTIF(F$5:F563, "CJ"), "")</f>
        <v/>
      </c>
      <c r="S563" t="str">
        <f>IF(F563="Ignacio", COUNTIF(F$5:F563, "Ignacio"), "")</f>
        <v/>
      </c>
      <c r="T563" t="str">
        <f>IF(F563="Tripulacion", COUNTIF(F$5:F563, "Tripulacion"), "")</f>
        <v/>
      </c>
      <c r="U563" t="str">
        <f>IF(F563="ENAP carga", COUNTIF(F$5:F563, "ENAP carga"), "")</f>
        <v/>
      </c>
    </row>
    <row r="564" spans="13:21">
      <c r="M564" s="22" t="str">
        <f t="shared" si="13"/>
        <v/>
      </c>
      <c r="R564" t="str">
        <f>IF(F564="CJ", COUNTIF(F$5:F564, "CJ"), "")</f>
        <v/>
      </c>
      <c r="S564" t="str">
        <f>IF(F564="Ignacio", COUNTIF(F$5:F564, "Ignacio"), "")</f>
        <v/>
      </c>
      <c r="T564" t="str">
        <f>IF(F564="Tripulacion", COUNTIF(F$5:F564, "Tripulacion"), "")</f>
        <v/>
      </c>
      <c r="U564" t="str">
        <f>IF(F564="ENAP carga", COUNTIF(F$5:F564, "ENAP carga"), "")</f>
        <v/>
      </c>
    </row>
    <row r="565" spans="13:21">
      <c r="M565" s="22" t="str">
        <f t="shared" si="13"/>
        <v/>
      </c>
      <c r="R565" t="str">
        <f>IF(F565="CJ", COUNTIF(F$5:F565, "CJ"), "")</f>
        <v/>
      </c>
      <c r="S565" t="str">
        <f>IF(F565="Ignacio", COUNTIF(F$5:F565, "Ignacio"), "")</f>
        <v/>
      </c>
      <c r="T565" t="str">
        <f>IF(F565="Tripulacion", COUNTIF(F$5:F565, "Tripulacion"), "")</f>
        <v/>
      </c>
      <c r="U565" t="str">
        <f>IF(F565="ENAP carga", COUNTIF(F$5:F565, "ENAP carga"), "")</f>
        <v/>
      </c>
    </row>
    <row r="566" spans="13:21">
      <c r="M566" s="22" t="str">
        <f t="shared" si="13"/>
        <v/>
      </c>
      <c r="R566" t="str">
        <f>IF(F566="CJ", COUNTIF(F$5:F566, "CJ"), "")</f>
        <v/>
      </c>
      <c r="S566" t="str">
        <f>IF(F566="Ignacio", COUNTIF(F$5:F566, "Ignacio"), "")</f>
        <v/>
      </c>
      <c r="T566" t="str">
        <f>IF(F566="Tripulacion", COUNTIF(F$5:F566, "Tripulacion"), "")</f>
        <v/>
      </c>
      <c r="U566" t="str">
        <f>IF(F566="ENAP carga", COUNTIF(F$5:F566, "ENAP carga"), "")</f>
        <v/>
      </c>
    </row>
    <row r="567" spans="13:21">
      <c r="M567" s="22" t="str">
        <f t="shared" si="13"/>
        <v/>
      </c>
      <c r="R567" t="str">
        <f>IF(F567="CJ", COUNTIF(F$5:F567, "CJ"), "")</f>
        <v/>
      </c>
      <c r="S567" t="str">
        <f>IF(F567="Ignacio", COUNTIF(F$5:F567, "Ignacio"), "")</f>
        <v/>
      </c>
      <c r="T567" t="str">
        <f>IF(F567="Tripulacion", COUNTIF(F$5:F567, "Tripulacion"), "")</f>
        <v/>
      </c>
      <c r="U567" t="str">
        <f>IF(F567="ENAP carga", COUNTIF(F$5:F567, "ENAP carga"), "")</f>
        <v/>
      </c>
    </row>
    <row r="568" spans="13:21">
      <c r="M568" s="22" t="str">
        <f t="shared" si="13"/>
        <v/>
      </c>
      <c r="R568" t="str">
        <f>IF(F568="CJ", COUNTIF(F$5:F568, "CJ"), "")</f>
        <v/>
      </c>
      <c r="S568" t="str">
        <f>IF(F568="Ignacio", COUNTIF(F$5:F568, "Ignacio"), "")</f>
        <v/>
      </c>
      <c r="T568" t="str">
        <f>IF(F568="Tripulacion", COUNTIF(F$5:F568, "Tripulacion"), "")</f>
        <v/>
      </c>
      <c r="U568" t="str">
        <f>IF(F568="ENAP carga", COUNTIF(F$5:F568, "ENAP carga"), "")</f>
        <v/>
      </c>
    </row>
    <row r="569" spans="13:21">
      <c r="M569" s="22" t="str">
        <f t="shared" si="13"/>
        <v/>
      </c>
      <c r="R569" t="str">
        <f>IF(F569="CJ", COUNTIF(F$5:F569, "CJ"), "")</f>
        <v/>
      </c>
      <c r="S569" t="str">
        <f>IF(F569="Ignacio", COUNTIF(F$5:F569, "Ignacio"), "")</f>
        <v/>
      </c>
      <c r="T569" t="str">
        <f>IF(F569="Tripulacion", COUNTIF(F$5:F569, "Tripulacion"), "")</f>
        <v/>
      </c>
      <c r="U569" t="str">
        <f>IF(F569="ENAP carga", COUNTIF(F$5:F569, "ENAP carga"), "")</f>
        <v/>
      </c>
    </row>
    <row r="570" spans="13:21">
      <c r="M570" s="22" t="str">
        <f t="shared" si="13"/>
        <v/>
      </c>
      <c r="R570" t="str">
        <f>IF(F570="CJ", COUNTIF(F$5:F570, "CJ"), "")</f>
        <v/>
      </c>
      <c r="S570" t="str">
        <f>IF(F570="Ignacio", COUNTIF(F$5:F570, "Ignacio"), "")</f>
        <v/>
      </c>
      <c r="T570" t="str">
        <f>IF(F570="Tripulacion", COUNTIF(F$5:F570, "Tripulacion"), "")</f>
        <v/>
      </c>
      <c r="U570" t="str">
        <f>IF(F570="ENAP carga", COUNTIF(F$5:F570, "ENAP carga"), "")</f>
        <v/>
      </c>
    </row>
    <row r="571" spans="13:21">
      <c r="M571" s="22" t="str">
        <f t="shared" si="13"/>
        <v/>
      </c>
      <c r="R571" t="str">
        <f>IF(F571="CJ", COUNTIF(F$5:F571, "CJ"), "")</f>
        <v/>
      </c>
      <c r="S571" t="str">
        <f>IF(F571="Ignacio", COUNTIF(F$5:F571, "Ignacio"), "")</f>
        <v/>
      </c>
      <c r="T571" t="str">
        <f>IF(F571="Tripulacion", COUNTIF(F$5:F571, "Tripulacion"), "")</f>
        <v/>
      </c>
      <c r="U571" t="str">
        <f>IF(F571="ENAP carga", COUNTIF(F$5:F571, "ENAP carga"), "")</f>
        <v/>
      </c>
    </row>
    <row r="572" spans="13:21">
      <c r="M572" s="22" t="str">
        <f t="shared" si="13"/>
        <v/>
      </c>
      <c r="R572" t="str">
        <f>IF(F572="CJ", COUNTIF(F$5:F572, "CJ"), "")</f>
        <v/>
      </c>
      <c r="S572" t="str">
        <f>IF(F572="Ignacio", COUNTIF(F$5:F572, "Ignacio"), "")</f>
        <v/>
      </c>
      <c r="T572" t="str">
        <f>IF(F572="Tripulacion", COUNTIF(F$5:F572, "Tripulacion"), "")</f>
        <v/>
      </c>
      <c r="U572" t="str">
        <f>IF(F572="ENAP carga", COUNTIF(F$5:F572, "ENAP carga"), "")</f>
        <v/>
      </c>
    </row>
    <row r="573" spans="13:21">
      <c r="M573" s="22" t="str">
        <f t="shared" si="13"/>
        <v/>
      </c>
      <c r="R573" t="str">
        <f>IF(F573="CJ", COUNTIF(F$5:F573, "CJ"), "")</f>
        <v/>
      </c>
      <c r="S573" t="str">
        <f>IF(F573="Ignacio", COUNTIF(F$5:F573, "Ignacio"), "")</f>
        <v/>
      </c>
      <c r="T573" t="str">
        <f>IF(F573="Tripulacion", COUNTIF(F$5:F573, "Tripulacion"), "")</f>
        <v/>
      </c>
      <c r="U573" t="str">
        <f>IF(F573="ENAP carga", COUNTIF(F$5:F573, "ENAP carga"), "")</f>
        <v/>
      </c>
    </row>
    <row r="574" spans="13:21">
      <c r="M574" s="22" t="str">
        <f t="shared" si="13"/>
        <v/>
      </c>
      <c r="R574" t="str">
        <f>IF(F574="CJ", COUNTIF(F$5:F574, "CJ"), "")</f>
        <v/>
      </c>
      <c r="S574" t="str">
        <f>IF(F574="Ignacio", COUNTIF(F$5:F574, "Ignacio"), "")</f>
        <v/>
      </c>
      <c r="T574" t="str">
        <f>IF(F574="Tripulacion", COUNTIF(F$5:F574, "Tripulacion"), "")</f>
        <v/>
      </c>
      <c r="U574" t="str">
        <f>IF(F574="ENAP carga", COUNTIF(F$5:F574, "ENAP carga"), "")</f>
        <v/>
      </c>
    </row>
    <row r="575" spans="13:21">
      <c r="M575" s="22" t="str">
        <f t="shared" si="13"/>
        <v/>
      </c>
      <c r="R575" t="str">
        <f>IF(F575="CJ", COUNTIF(F$5:F575, "CJ"), "")</f>
        <v/>
      </c>
      <c r="S575" t="str">
        <f>IF(F575="Ignacio", COUNTIF(F$5:F575, "Ignacio"), "")</f>
        <v/>
      </c>
      <c r="T575" t="str">
        <f>IF(F575="Tripulacion", COUNTIF(F$5:F575, "Tripulacion"), "")</f>
        <v/>
      </c>
      <c r="U575" t="str">
        <f>IF(F575="ENAP carga", COUNTIF(F$5:F575, "ENAP carga"), "")</f>
        <v/>
      </c>
    </row>
    <row r="576" spans="13:21">
      <c r="M576" s="22" t="str">
        <f t="shared" si="13"/>
        <v/>
      </c>
      <c r="R576" t="str">
        <f>IF(F576="CJ", COUNTIF(F$5:F576, "CJ"), "")</f>
        <v/>
      </c>
      <c r="S576" t="str">
        <f>IF(F576="Ignacio", COUNTIF(F$5:F576, "Ignacio"), "")</f>
        <v/>
      </c>
      <c r="T576" t="str">
        <f>IF(F576="Tripulacion", COUNTIF(F$5:F576, "Tripulacion"), "")</f>
        <v/>
      </c>
      <c r="U576" t="str">
        <f>IF(F576="ENAP carga", COUNTIF(F$5:F576, "ENAP carga"), "")</f>
        <v/>
      </c>
    </row>
    <row r="577" spans="13:21">
      <c r="M577" s="22" t="str">
        <f t="shared" si="13"/>
        <v/>
      </c>
      <c r="R577" t="str">
        <f>IF(F577="CJ", COUNTIF(F$5:F577, "CJ"), "")</f>
        <v/>
      </c>
      <c r="S577" t="str">
        <f>IF(F577="Ignacio", COUNTIF(F$5:F577, "Ignacio"), "")</f>
        <v/>
      </c>
      <c r="T577" t="str">
        <f>IF(F577="Tripulacion", COUNTIF(F$5:F577, "Tripulacion"), "")</f>
        <v/>
      </c>
      <c r="U577" t="str">
        <f>IF(F577="ENAP carga", COUNTIF(F$5:F577, "ENAP carga"), "")</f>
        <v/>
      </c>
    </row>
    <row r="578" spans="13:21">
      <c r="M578" s="22" t="str">
        <f t="shared" si="13"/>
        <v/>
      </c>
      <c r="R578" t="str">
        <f>IF(F578="CJ", COUNTIF(F$5:F578, "CJ"), "")</f>
        <v/>
      </c>
      <c r="S578" t="str">
        <f>IF(F578="Ignacio", COUNTIF(F$5:F578, "Ignacio"), "")</f>
        <v/>
      </c>
      <c r="T578" t="str">
        <f>IF(F578="Tripulacion", COUNTIF(F$5:F578, "Tripulacion"), "")</f>
        <v/>
      </c>
      <c r="U578" t="str">
        <f>IF(F578="ENAP carga", COUNTIF(F$5:F578, "ENAP carga"), "")</f>
        <v/>
      </c>
    </row>
    <row r="579" spans="13:21">
      <c r="M579" s="22" t="str">
        <f t="shared" si="13"/>
        <v/>
      </c>
      <c r="R579" t="str">
        <f>IF(F579="CJ", COUNTIF(F$5:F579, "CJ"), "")</f>
        <v/>
      </c>
      <c r="S579" t="str">
        <f>IF(F579="Ignacio", COUNTIF(F$5:F579, "Ignacio"), "")</f>
        <v/>
      </c>
      <c r="T579" t="str">
        <f>IF(F579="Tripulacion", COUNTIF(F$5:F579, "Tripulacion"), "")</f>
        <v/>
      </c>
      <c r="U579" t="str">
        <f>IF(F579="ENAP carga", COUNTIF(F$5:F579, "ENAP carga"), "")</f>
        <v/>
      </c>
    </row>
    <row r="580" spans="13:21">
      <c r="M580" s="22" t="str">
        <f t="shared" si="13"/>
        <v/>
      </c>
      <c r="R580" t="str">
        <f>IF(F580="CJ", COUNTIF(F$5:F580, "CJ"), "")</f>
        <v/>
      </c>
      <c r="S580" t="str">
        <f>IF(F580="Ignacio", COUNTIF(F$5:F580, "Ignacio"), "")</f>
        <v/>
      </c>
      <c r="T580" t="str">
        <f>IF(F580="Tripulacion", COUNTIF(F$5:F580, "Tripulacion"), "")</f>
        <v/>
      </c>
      <c r="U580" t="str">
        <f>IF(F580="ENAP carga", COUNTIF(F$5:F580, "ENAP carga"), "")</f>
        <v/>
      </c>
    </row>
    <row r="581" spans="13:21">
      <c r="M581" s="22" t="str">
        <f t="shared" si="13"/>
        <v/>
      </c>
      <c r="R581" t="str">
        <f>IF(F581="CJ", COUNTIF(F$5:F581, "CJ"), "")</f>
        <v/>
      </c>
      <c r="S581" t="str">
        <f>IF(F581="Ignacio", COUNTIF(F$5:F581, "Ignacio"), "")</f>
        <v/>
      </c>
      <c r="T581" t="str">
        <f>IF(F581="Tripulacion", COUNTIF(F$5:F581, "Tripulacion"), "")</f>
        <v/>
      </c>
      <c r="U581" t="str">
        <f>IF(F581="ENAP carga", COUNTIF(F$5:F581, "ENAP carga"), "")</f>
        <v/>
      </c>
    </row>
    <row r="582" spans="13:21">
      <c r="M582" s="22" t="str">
        <f t="shared" si="13"/>
        <v/>
      </c>
      <c r="R582" t="str">
        <f>IF(F582="CJ", COUNTIF(F$5:F582, "CJ"), "")</f>
        <v/>
      </c>
      <c r="S582" t="str">
        <f>IF(F582="Ignacio", COUNTIF(F$5:F582, "Ignacio"), "")</f>
        <v/>
      </c>
      <c r="T582" t="str">
        <f>IF(F582="Tripulacion", COUNTIF(F$5:F582, "Tripulacion"), "")</f>
        <v/>
      </c>
      <c r="U582" t="str">
        <f>IF(F582="ENAP carga", COUNTIF(F$5:F582, "ENAP carga"), "")</f>
        <v/>
      </c>
    </row>
    <row r="583" spans="13:21">
      <c r="M583" s="22" t="str">
        <f t="shared" si="13"/>
        <v/>
      </c>
      <c r="R583" t="str">
        <f>IF(F583="CJ", COUNTIF(F$5:F583, "CJ"), "")</f>
        <v/>
      </c>
      <c r="S583" t="str">
        <f>IF(F583="Ignacio", COUNTIF(F$5:F583, "Ignacio"), "")</f>
        <v/>
      </c>
      <c r="T583" t="str">
        <f>IF(F583="Tripulacion", COUNTIF(F$5:F583, "Tripulacion"), "")</f>
        <v/>
      </c>
      <c r="U583" t="str">
        <f>IF(F583="ENAP carga", COUNTIF(F$5:F583, "ENAP carga"), "")</f>
        <v/>
      </c>
    </row>
    <row r="584" spans="13:21">
      <c r="M584" s="22" t="str">
        <f t="shared" si="13"/>
        <v/>
      </c>
      <c r="R584" t="str">
        <f>IF(F584="CJ", COUNTIF(F$5:F584, "CJ"), "")</f>
        <v/>
      </c>
      <c r="S584" t="str">
        <f>IF(F584="Ignacio", COUNTIF(F$5:F584, "Ignacio"), "")</f>
        <v/>
      </c>
      <c r="T584" t="str">
        <f>IF(F584="Tripulacion", COUNTIF(F$5:F584, "Tripulacion"), "")</f>
        <v/>
      </c>
      <c r="U584" t="str">
        <f>IF(F584="ENAP carga", COUNTIF(F$5:F584, "ENAP carga"), "")</f>
        <v/>
      </c>
    </row>
    <row r="585" spans="13:21">
      <c r="M585" s="22" t="str">
        <f t="shared" si="13"/>
        <v/>
      </c>
      <c r="R585" t="str">
        <f>IF(F585="CJ", COUNTIF(F$5:F585, "CJ"), "")</f>
        <v/>
      </c>
      <c r="S585" t="str">
        <f>IF(F585="Ignacio", COUNTIF(F$5:F585, "Ignacio"), "")</f>
        <v/>
      </c>
      <c r="T585" t="str">
        <f>IF(F585="Tripulacion", COUNTIF(F$5:F585, "Tripulacion"), "")</f>
        <v/>
      </c>
      <c r="U585" t="str">
        <f>IF(F585="ENAP carga", COUNTIF(F$5:F585, "ENAP carga"), "")</f>
        <v/>
      </c>
    </row>
    <row r="586" spans="13:21">
      <c r="M586" s="22" t="str">
        <f t="shared" si="13"/>
        <v/>
      </c>
      <c r="R586" t="str">
        <f>IF(F586="CJ", COUNTIF(F$5:F586, "CJ"), "")</f>
        <v/>
      </c>
      <c r="S586" t="str">
        <f>IF(F586="Ignacio", COUNTIF(F$5:F586, "Ignacio"), "")</f>
        <v/>
      </c>
      <c r="T586" t="str">
        <f>IF(F586="Tripulacion", COUNTIF(F$5:F586, "Tripulacion"), "")</f>
        <v/>
      </c>
      <c r="U586" t="str">
        <f>IF(F586="ENAP carga", COUNTIF(F$5:F586, "ENAP carga"), "")</f>
        <v/>
      </c>
    </row>
    <row r="587" spans="13:21">
      <c r="M587" s="22" t="str">
        <f t="shared" si="13"/>
        <v/>
      </c>
      <c r="R587" t="str">
        <f>IF(F587="CJ", COUNTIF(F$5:F587, "CJ"), "")</f>
        <v/>
      </c>
      <c r="S587" t="str">
        <f>IF(F587="Ignacio", COUNTIF(F$5:F587, "Ignacio"), "")</f>
        <v/>
      </c>
      <c r="T587" t="str">
        <f>IF(F587="Tripulacion", COUNTIF(F$5:F587, "Tripulacion"), "")</f>
        <v/>
      </c>
      <c r="U587" t="str">
        <f>IF(F587="ENAP carga", COUNTIF(F$5:F587, "ENAP carga"), "")</f>
        <v/>
      </c>
    </row>
    <row r="588" spans="13:21">
      <c r="M588" s="22" t="str">
        <f t="shared" si="13"/>
        <v/>
      </c>
      <c r="R588" t="str">
        <f>IF(F588="CJ", COUNTIF(F$5:F588, "CJ"), "")</f>
        <v/>
      </c>
      <c r="S588" t="str">
        <f>IF(F588="Ignacio", COUNTIF(F$5:F588, "Ignacio"), "")</f>
        <v/>
      </c>
      <c r="T588" t="str">
        <f>IF(F588="Tripulacion", COUNTIF(F$5:F588, "Tripulacion"), "")</f>
        <v/>
      </c>
      <c r="U588" t="str">
        <f>IF(F588="ENAP carga", COUNTIF(F$5:F588, "ENAP carga"), "")</f>
        <v/>
      </c>
    </row>
    <row r="589" spans="13:21">
      <c r="M589" s="22" t="str">
        <f t="shared" si="13"/>
        <v/>
      </c>
      <c r="R589" t="str">
        <f>IF(F589="CJ", COUNTIF(F$5:F589, "CJ"), "")</f>
        <v/>
      </c>
      <c r="S589" t="str">
        <f>IF(F589="Ignacio", COUNTIF(F$5:F589, "Ignacio"), "")</f>
        <v/>
      </c>
      <c r="T589" t="str">
        <f>IF(F589="Tripulacion", COUNTIF(F$5:F589, "Tripulacion"), "")</f>
        <v/>
      </c>
      <c r="U589" t="str">
        <f>IF(F589="ENAP carga", COUNTIF(F$5:F589, "ENAP carga"), "")</f>
        <v/>
      </c>
    </row>
    <row r="590" spans="13:21">
      <c r="M590" s="22" t="str">
        <f t="shared" si="13"/>
        <v/>
      </c>
      <c r="R590" t="str">
        <f>IF(F590="CJ", COUNTIF(F$5:F590, "CJ"), "")</f>
        <v/>
      </c>
      <c r="S590" t="str">
        <f>IF(F590="Ignacio", COUNTIF(F$5:F590, "Ignacio"), "")</f>
        <v/>
      </c>
      <c r="T590" t="str">
        <f>IF(F590="Tripulacion", COUNTIF(F$5:F590, "Tripulacion"), "")</f>
        <v/>
      </c>
      <c r="U590" t="str">
        <f>IF(F590="ENAP carga", COUNTIF(F$5:F590, "ENAP carga"), "")</f>
        <v/>
      </c>
    </row>
    <row r="591" spans="13:21">
      <c r="M591" s="22" t="str">
        <f t="shared" si="13"/>
        <v/>
      </c>
      <c r="R591" t="str">
        <f>IF(F591="CJ", COUNTIF(F$5:F591, "CJ"), "")</f>
        <v/>
      </c>
      <c r="S591" t="str">
        <f>IF(F591="Ignacio", COUNTIF(F$5:F591, "Ignacio"), "")</f>
        <v/>
      </c>
      <c r="T591" t="str">
        <f>IF(F591="Tripulacion", COUNTIF(F$5:F591, "Tripulacion"), "")</f>
        <v/>
      </c>
      <c r="U591" t="str">
        <f>IF(F591="ENAP carga", COUNTIF(F$5:F591, "ENAP carga"), "")</f>
        <v/>
      </c>
    </row>
    <row r="592" spans="13:21">
      <c r="M592" s="22" t="str">
        <f t="shared" si="13"/>
        <v/>
      </c>
      <c r="R592" t="str">
        <f>IF(F592="CJ", COUNTIF(F$5:F592, "CJ"), "")</f>
        <v/>
      </c>
      <c r="S592" t="str">
        <f>IF(F592="Ignacio", COUNTIF(F$5:F592, "Ignacio"), "")</f>
        <v/>
      </c>
      <c r="T592" t="str">
        <f>IF(F592="Tripulacion", COUNTIF(F$5:F592, "Tripulacion"), "")</f>
        <v/>
      </c>
      <c r="U592" t="str">
        <f>IF(F592="ENAP carga", COUNTIF(F$5:F592, "ENAP carga"), "")</f>
        <v/>
      </c>
    </row>
    <row r="593" spans="13:21">
      <c r="M593" s="22" t="str">
        <f t="shared" si="13"/>
        <v/>
      </c>
      <c r="R593" t="str">
        <f>IF(F593="CJ", COUNTIF(F$5:F593, "CJ"), "")</f>
        <v/>
      </c>
      <c r="S593" t="str">
        <f>IF(F593="Ignacio", COUNTIF(F$5:F593, "Ignacio"), "")</f>
        <v/>
      </c>
      <c r="T593" t="str">
        <f>IF(F593="Tripulacion", COUNTIF(F$5:F593, "Tripulacion"), "")</f>
        <v/>
      </c>
      <c r="U593" t="str">
        <f>IF(F593="ENAP carga", COUNTIF(F$5:F593, "ENAP carga"), "")</f>
        <v/>
      </c>
    </row>
    <row r="594" spans="13:21">
      <c r="M594" s="22" t="str">
        <f t="shared" si="13"/>
        <v/>
      </c>
      <c r="R594" t="str">
        <f>IF(F594="CJ", COUNTIF(F$5:F594, "CJ"), "")</f>
        <v/>
      </c>
      <c r="S594" t="str">
        <f>IF(F594="Ignacio", COUNTIF(F$5:F594, "Ignacio"), "")</f>
        <v/>
      </c>
      <c r="T594" t="str">
        <f>IF(F594="Tripulacion", COUNTIF(F$5:F594, "Tripulacion"), "")</f>
        <v/>
      </c>
      <c r="U594" t="str">
        <f>IF(F594="ENAP carga", COUNTIF(F$5:F594, "ENAP carga"), "")</f>
        <v/>
      </c>
    </row>
    <row r="595" spans="13:21">
      <c r="M595" s="22" t="str">
        <f t="shared" si="13"/>
        <v/>
      </c>
      <c r="R595" t="str">
        <f>IF(F595="CJ", COUNTIF(F$5:F595, "CJ"), "")</f>
        <v/>
      </c>
      <c r="S595" t="str">
        <f>IF(F595="Ignacio", COUNTIF(F$5:F595, "Ignacio"), "")</f>
        <v/>
      </c>
      <c r="T595" t="str">
        <f>IF(F595="Tripulacion", COUNTIF(F$5:F595, "Tripulacion"), "")</f>
        <v/>
      </c>
      <c r="U595" t="str">
        <f>IF(F595="ENAP carga", COUNTIF(F$5:F595, "ENAP carga"), "")</f>
        <v/>
      </c>
    </row>
    <row r="596" spans="13:21">
      <c r="M596" s="22" t="str">
        <f t="shared" si="13"/>
        <v/>
      </c>
      <c r="R596" t="str">
        <f>IF(F596="CJ", COUNTIF(F$5:F596, "CJ"), "")</f>
        <v/>
      </c>
      <c r="S596" t="str">
        <f>IF(F596="Ignacio", COUNTIF(F$5:F596, "Ignacio"), "")</f>
        <v/>
      </c>
      <c r="T596" t="str">
        <f>IF(F596="Tripulacion", COUNTIF(F$5:F596, "Tripulacion"), "")</f>
        <v/>
      </c>
      <c r="U596" t="str">
        <f>IF(F596="ENAP carga", COUNTIF(F$5:F596, "ENAP carga"), "")</f>
        <v/>
      </c>
    </row>
    <row r="597" spans="13:21">
      <c r="M597" s="22" t="str">
        <f t="shared" si="13"/>
        <v/>
      </c>
      <c r="R597" t="str">
        <f>IF(F597="CJ", COUNTIF(F$5:F597, "CJ"), "")</f>
        <v/>
      </c>
      <c r="S597" t="str">
        <f>IF(F597="Ignacio", COUNTIF(F$5:F597, "Ignacio"), "")</f>
        <v/>
      </c>
      <c r="T597" t="str">
        <f>IF(F597="Tripulacion", COUNTIF(F$5:F597, "Tripulacion"), "")</f>
        <v/>
      </c>
      <c r="U597" t="str">
        <f>IF(F597="ENAP carga", COUNTIF(F$5:F597, "ENAP carga"), "")</f>
        <v/>
      </c>
    </row>
    <row r="598" spans="13:21">
      <c r="M598" s="22" t="str">
        <f t="shared" si="13"/>
        <v/>
      </c>
      <c r="R598" t="str">
        <f>IF(F598="CJ", COUNTIF(F$5:F598, "CJ"), "")</f>
        <v/>
      </c>
      <c r="S598" t="str">
        <f>IF(F598="Ignacio", COUNTIF(F$5:F598, "Ignacio"), "")</f>
        <v/>
      </c>
      <c r="T598" t="str">
        <f>IF(F598="Tripulacion", COUNTIF(F$5:F598, "Tripulacion"), "")</f>
        <v/>
      </c>
      <c r="U598" t="str">
        <f>IF(F598="ENAP carga", COUNTIF(F$5:F598, "ENAP carga"), "")</f>
        <v/>
      </c>
    </row>
    <row r="599" spans="13:21">
      <c r="M599" s="22" t="str">
        <f t="shared" si="13"/>
        <v/>
      </c>
      <c r="R599" t="str">
        <f>IF(F599="CJ", COUNTIF(F$5:F599, "CJ"), "")</f>
        <v/>
      </c>
      <c r="S599" t="str">
        <f>IF(F599="Ignacio", COUNTIF(F$5:F599, "Ignacio"), "")</f>
        <v/>
      </c>
      <c r="T599" t="str">
        <f>IF(F599="Tripulacion", COUNTIF(F$5:F599, "Tripulacion"), "")</f>
        <v/>
      </c>
      <c r="U599" t="str">
        <f>IF(F599="ENAP carga", COUNTIF(F$5:F599, "ENAP carga"), "")</f>
        <v/>
      </c>
    </row>
    <row r="600" spans="13:21">
      <c r="M600" s="22" t="str">
        <f t="shared" ref="M600:M663" si="14">IF(F600="CJ", I600*200, "")</f>
        <v/>
      </c>
      <c r="R600" t="str">
        <f>IF(F600="CJ", COUNTIF(F$5:F600, "CJ"), "")</f>
        <v/>
      </c>
      <c r="S600" t="str">
        <f>IF(F600="Ignacio", COUNTIF(F$5:F600, "Ignacio"), "")</f>
        <v/>
      </c>
      <c r="T600" t="str">
        <f>IF(F600="Tripulacion", COUNTIF(F$5:F600, "Tripulacion"), "")</f>
        <v/>
      </c>
      <c r="U600" t="str">
        <f>IF(F600="ENAP carga", COUNTIF(F$5:F600, "ENAP carga"), "")</f>
        <v/>
      </c>
    </row>
    <row r="601" spans="13:21">
      <c r="M601" s="22" t="str">
        <f t="shared" si="14"/>
        <v/>
      </c>
      <c r="R601" t="str">
        <f>IF(F601="CJ", COUNTIF(F$5:F601, "CJ"), "")</f>
        <v/>
      </c>
      <c r="S601" t="str">
        <f>IF(F601="Ignacio", COUNTIF(F$5:F601, "Ignacio"), "")</f>
        <v/>
      </c>
      <c r="T601" t="str">
        <f>IF(F601="Tripulacion", COUNTIF(F$5:F601, "Tripulacion"), "")</f>
        <v/>
      </c>
      <c r="U601" t="str">
        <f>IF(F601="ENAP carga", COUNTIF(F$5:F601, "ENAP carga"), "")</f>
        <v/>
      </c>
    </row>
    <row r="602" spans="13:21">
      <c r="M602" s="22" t="str">
        <f t="shared" si="14"/>
        <v/>
      </c>
      <c r="R602" t="str">
        <f>IF(F602="CJ", COUNTIF(F$5:F602, "CJ"), "")</f>
        <v/>
      </c>
      <c r="S602" t="str">
        <f>IF(F602="Ignacio", COUNTIF(F$5:F602, "Ignacio"), "")</f>
        <v/>
      </c>
      <c r="T602" t="str">
        <f>IF(F602="Tripulacion", COUNTIF(F$5:F602, "Tripulacion"), "")</f>
        <v/>
      </c>
      <c r="U602" t="str">
        <f>IF(F602="ENAP carga", COUNTIF(F$5:F602, "ENAP carga"), "")</f>
        <v/>
      </c>
    </row>
    <row r="603" spans="13:21">
      <c r="M603" s="22" t="str">
        <f t="shared" si="14"/>
        <v/>
      </c>
      <c r="R603" t="str">
        <f>IF(F603="CJ", COUNTIF(F$5:F603, "CJ"), "")</f>
        <v/>
      </c>
      <c r="S603" t="str">
        <f>IF(F603="Ignacio", COUNTIF(F$5:F603, "Ignacio"), "")</f>
        <v/>
      </c>
      <c r="T603" t="str">
        <f>IF(F603="Tripulacion", COUNTIF(F$5:F603, "Tripulacion"), "")</f>
        <v/>
      </c>
      <c r="U603" t="str">
        <f>IF(F603="ENAP carga", COUNTIF(F$5:F603, "ENAP carga"), "")</f>
        <v/>
      </c>
    </row>
    <row r="604" spans="13:21">
      <c r="M604" s="22" t="str">
        <f t="shared" si="14"/>
        <v/>
      </c>
      <c r="R604" t="str">
        <f>IF(F604="CJ", COUNTIF(F$5:F604, "CJ"), "")</f>
        <v/>
      </c>
      <c r="S604" t="str">
        <f>IF(F604="Ignacio", COUNTIF(F$5:F604, "Ignacio"), "")</f>
        <v/>
      </c>
      <c r="T604" t="str">
        <f>IF(F604="Tripulacion", COUNTIF(F$5:F604, "Tripulacion"), "")</f>
        <v/>
      </c>
      <c r="U604" t="str">
        <f>IF(F604="ENAP carga", COUNTIF(F$5:F604, "ENAP carga"), "")</f>
        <v/>
      </c>
    </row>
    <row r="605" spans="13:21">
      <c r="M605" s="22" t="str">
        <f t="shared" si="14"/>
        <v/>
      </c>
      <c r="R605" t="str">
        <f>IF(F605="CJ", COUNTIF(F$5:F605, "CJ"), "")</f>
        <v/>
      </c>
      <c r="S605" t="str">
        <f>IF(F605="Ignacio", COUNTIF(F$5:F605, "Ignacio"), "")</f>
        <v/>
      </c>
      <c r="T605" t="str">
        <f>IF(F605="Tripulacion", COUNTIF(F$5:F605, "Tripulacion"), "")</f>
        <v/>
      </c>
      <c r="U605" t="str">
        <f>IF(F605="ENAP carga", COUNTIF(F$5:F605, "ENAP carga"), "")</f>
        <v/>
      </c>
    </row>
    <row r="606" spans="13:21">
      <c r="M606" s="22" t="str">
        <f t="shared" si="14"/>
        <v/>
      </c>
      <c r="R606" t="str">
        <f>IF(F606="CJ", COUNTIF(F$5:F606, "CJ"), "")</f>
        <v/>
      </c>
      <c r="S606" t="str">
        <f>IF(F606="Ignacio", COUNTIF(F$5:F606, "Ignacio"), "")</f>
        <v/>
      </c>
      <c r="T606" t="str">
        <f>IF(F606="Tripulacion", COUNTIF(F$5:F606, "Tripulacion"), "")</f>
        <v/>
      </c>
      <c r="U606" t="str">
        <f>IF(F606="ENAP carga", COUNTIF(F$5:F606, "ENAP carga"), "")</f>
        <v/>
      </c>
    </row>
    <row r="607" spans="13:21">
      <c r="M607" s="22" t="str">
        <f t="shared" si="14"/>
        <v/>
      </c>
      <c r="R607" t="str">
        <f>IF(F607="CJ", COUNTIF(F$5:F607, "CJ"), "")</f>
        <v/>
      </c>
      <c r="S607" t="str">
        <f>IF(F607="Ignacio", COUNTIF(F$5:F607, "Ignacio"), "")</f>
        <v/>
      </c>
      <c r="T607" t="str">
        <f>IF(F607="Tripulacion", COUNTIF(F$5:F607, "Tripulacion"), "")</f>
        <v/>
      </c>
      <c r="U607" t="str">
        <f>IF(F607="ENAP carga", COUNTIF(F$5:F607, "ENAP carga"), "")</f>
        <v/>
      </c>
    </row>
    <row r="608" spans="13:21">
      <c r="M608" s="22" t="str">
        <f t="shared" si="14"/>
        <v/>
      </c>
      <c r="R608" t="str">
        <f>IF(F608="CJ", COUNTIF(F$5:F608, "CJ"), "")</f>
        <v/>
      </c>
      <c r="S608" t="str">
        <f>IF(F608="Ignacio", COUNTIF(F$5:F608, "Ignacio"), "")</f>
        <v/>
      </c>
      <c r="T608" t="str">
        <f>IF(F608="Tripulacion", COUNTIF(F$5:F608, "Tripulacion"), "")</f>
        <v/>
      </c>
      <c r="U608" t="str">
        <f>IF(F608="ENAP carga", COUNTIF(F$5:F608, "ENAP carga"), "")</f>
        <v/>
      </c>
    </row>
    <row r="609" spans="13:21">
      <c r="M609" s="22" t="str">
        <f t="shared" si="14"/>
        <v/>
      </c>
      <c r="R609" t="str">
        <f>IF(F609="CJ", COUNTIF(F$5:F609, "CJ"), "")</f>
        <v/>
      </c>
      <c r="S609" t="str">
        <f>IF(F609="Ignacio", COUNTIF(F$5:F609, "Ignacio"), "")</f>
        <v/>
      </c>
      <c r="T609" t="str">
        <f>IF(F609="Tripulacion", COUNTIF(F$5:F609, "Tripulacion"), "")</f>
        <v/>
      </c>
      <c r="U609" t="str">
        <f>IF(F609="ENAP carga", COUNTIF(F$5:F609, "ENAP carga"), "")</f>
        <v/>
      </c>
    </row>
    <row r="610" spans="13:21">
      <c r="M610" s="22" t="str">
        <f t="shared" si="14"/>
        <v/>
      </c>
      <c r="R610" t="str">
        <f>IF(F610="CJ", COUNTIF(F$5:F610, "CJ"), "")</f>
        <v/>
      </c>
      <c r="S610" t="str">
        <f>IF(F610="Ignacio", COUNTIF(F$5:F610, "Ignacio"), "")</f>
        <v/>
      </c>
      <c r="T610" t="str">
        <f>IF(F610="Tripulacion", COUNTIF(F$5:F610, "Tripulacion"), "")</f>
        <v/>
      </c>
      <c r="U610" t="str">
        <f>IF(F610="ENAP carga", COUNTIF(F$5:F610, "ENAP carga"), "")</f>
        <v/>
      </c>
    </row>
    <row r="611" spans="13:21">
      <c r="M611" s="22" t="str">
        <f t="shared" si="14"/>
        <v/>
      </c>
      <c r="R611" t="str">
        <f>IF(F611="CJ", COUNTIF(F$5:F611, "CJ"), "")</f>
        <v/>
      </c>
      <c r="S611" t="str">
        <f>IF(F611="Ignacio", COUNTIF(F$5:F611, "Ignacio"), "")</f>
        <v/>
      </c>
      <c r="T611" t="str">
        <f>IF(F611="Tripulacion", COUNTIF(F$5:F611, "Tripulacion"), "")</f>
        <v/>
      </c>
      <c r="U611" t="str">
        <f>IF(F611="ENAP carga", COUNTIF(F$5:F611, "ENAP carga"), "")</f>
        <v/>
      </c>
    </row>
    <row r="612" spans="13:21">
      <c r="M612" s="22" t="str">
        <f t="shared" si="14"/>
        <v/>
      </c>
      <c r="R612" t="str">
        <f>IF(F612="CJ", COUNTIF(F$5:F612, "CJ"), "")</f>
        <v/>
      </c>
      <c r="S612" t="str">
        <f>IF(F612="Ignacio", COUNTIF(F$5:F612, "Ignacio"), "")</f>
        <v/>
      </c>
      <c r="T612" t="str">
        <f>IF(F612="Tripulacion", COUNTIF(F$5:F612, "Tripulacion"), "")</f>
        <v/>
      </c>
      <c r="U612" t="str">
        <f>IF(F612="ENAP carga", COUNTIF(F$5:F612, "ENAP carga"), "")</f>
        <v/>
      </c>
    </row>
    <row r="613" spans="13:21">
      <c r="M613" s="22" t="str">
        <f t="shared" si="14"/>
        <v/>
      </c>
      <c r="R613" t="str">
        <f>IF(F613="CJ", COUNTIF(F$5:F613, "CJ"), "")</f>
        <v/>
      </c>
      <c r="S613" t="str">
        <f>IF(F613="Ignacio", COUNTIF(F$5:F613, "Ignacio"), "")</f>
        <v/>
      </c>
      <c r="T613" t="str">
        <f>IF(F613="Tripulacion", COUNTIF(F$5:F613, "Tripulacion"), "")</f>
        <v/>
      </c>
      <c r="U613" t="str">
        <f>IF(F613="ENAP carga", COUNTIF(F$5:F613, "ENAP carga"), "")</f>
        <v/>
      </c>
    </row>
    <row r="614" spans="13:21">
      <c r="M614" s="22" t="str">
        <f t="shared" si="14"/>
        <v/>
      </c>
      <c r="R614" t="str">
        <f>IF(F614="CJ", COUNTIF(F$5:F614, "CJ"), "")</f>
        <v/>
      </c>
      <c r="S614" t="str">
        <f>IF(F614="Ignacio", COUNTIF(F$5:F614, "Ignacio"), "")</f>
        <v/>
      </c>
      <c r="T614" t="str">
        <f>IF(F614="Tripulacion", COUNTIF(F$5:F614, "Tripulacion"), "")</f>
        <v/>
      </c>
      <c r="U614" t="str">
        <f>IF(F614="ENAP carga", COUNTIF(F$5:F614, "ENAP carga"), "")</f>
        <v/>
      </c>
    </row>
    <row r="615" spans="13:21">
      <c r="M615" s="22" t="str">
        <f t="shared" si="14"/>
        <v/>
      </c>
      <c r="R615" t="str">
        <f>IF(F615="CJ", COUNTIF(F$5:F615, "CJ"), "")</f>
        <v/>
      </c>
      <c r="S615" t="str">
        <f>IF(F615="Ignacio", COUNTIF(F$5:F615, "Ignacio"), "")</f>
        <v/>
      </c>
      <c r="T615" t="str">
        <f>IF(F615="Tripulacion", COUNTIF(F$5:F615, "Tripulacion"), "")</f>
        <v/>
      </c>
      <c r="U615" t="str">
        <f>IF(F615="ENAP carga", COUNTIF(F$5:F615, "ENAP carga"), "")</f>
        <v/>
      </c>
    </row>
    <row r="616" spans="13:21">
      <c r="M616" s="22" t="str">
        <f t="shared" si="14"/>
        <v/>
      </c>
      <c r="R616" t="str">
        <f>IF(F616="CJ", COUNTIF(F$5:F616, "CJ"), "")</f>
        <v/>
      </c>
      <c r="S616" t="str">
        <f>IF(F616="Ignacio", COUNTIF(F$5:F616, "Ignacio"), "")</f>
        <v/>
      </c>
      <c r="T616" t="str">
        <f>IF(F616="Tripulacion", COUNTIF(F$5:F616, "Tripulacion"), "")</f>
        <v/>
      </c>
      <c r="U616" t="str">
        <f>IF(F616="ENAP carga", COUNTIF(F$5:F616, "ENAP carga"), "")</f>
        <v/>
      </c>
    </row>
    <row r="617" spans="13:21">
      <c r="M617" s="22" t="str">
        <f t="shared" si="14"/>
        <v/>
      </c>
      <c r="R617" t="str">
        <f>IF(F617="CJ", COUNTIF(F$5:F617, "CJ"), "")</f>
        <v/>
      </c>
      <c r="S617" t="str">
        <f>IF(F617="Ignacio", COUNTIF(F$5:F617, "Ignacio"), "")</f>
        <v/>
      </c>
      <c r="T617" t="str">
        <f>IF(F617="Tripulacion", COUNTIF(F$5:F617, "Tripulacion"), "")</f>
        <v/>
      </c>
      <c r="U617" t="str">
        <f>IF(F617="ENAP carga", COUNTIF(F$5:F617, "ENAP carga"), "")</f>
        <v/>
      </c>
    </row>
    <row r="618" spans="13:21">
      <c r="M618" s="22" t="str">
        <f t="shared" si="14"/>
        <v/>
      </c>
      <c r="R618" t="str">
        <f>IF(F618="CJ", COUNTIF(F$5:F618, "CJ"), "")</f>
        <v/>
      </c>
      <c r="S618" t="str">
        <f>IF(F618="Ignacio", COUNTIF(F$5:F618, "Ignacio"), "")</f>
        <v/>
      </c>
      <c r="T618" t="str">
        <f>IF(F618="Tripulacion", COUNTIF(F$5:F618, "Tripulacion"), "")</f>
        <v/>
      </c>
      <c r="U618" t="str">
        <f>IF(F618="ENAP carga", COUNTIF(F$5:F618, "ENAP carga"), "")</f>
        <v/>
      </c>
    </row>
    <row r="619" spans="13:21">
      <c r="M619" s="22" t="str">
        <f t="shared" si="14"/>
        <v/>
      </c>
      <c r="R619" t="str">
        <f>IF(F619="CJ", COUNTIF(F$5:F619, "CJ"), "")</f>
        <v/>
      </c>
      <c r="S619" t="str">
        <f>IF(F619="Ignacio", COUNTIF(F$5:F619, "Ignacio"), "")</f>
        <v/>
      </c>
      <c r="T619" t="str">
        <f>IF(F619="Tripulacion", COUNTIF(F$5:F619, "Tripulacion"), "")</f>
        <v/>
      </c>
      <c r="U619" t="str">
        <f>IF(F619="ENAP carga", COUNTIF(F$5:F619, "ENAP carga"), "")</f>
        <v/>
      </c>
    </row>
    <row r="620" spans="13:21">
      <c r="M620" s="22" t="str">
        <f t="shared" si="14"/>
        <v/>
      </c>
      <c r="R620" t="str">
        <f>IF(F620="CJ", COUNTIF(F$5:F620, "CJ"), "")</f>
        <v/>
      </c>
      <c r="S620" t="str">
        <f>IF(F620="Ignacio", COUNTIF(F$5:F620, "Ignacio"), "")</f>
        <v/>
      </c>
      <c r="T620" t="str">
        <f>IF(F620="Tripulacion", COUNTIF(F$5:F620, "Tripulacion"), "")</f>
        <v/>
      </c>
      <c r="U620" t="str">
        <f>IF(F620="ENAP carga", COUNTIF(F$5:F620, "ENAP carga"), "")</f>
        <v/>
      </c>
    </row>
    <row r="621" spans="13:21">
      <c r="M621" s="22" t="str">
        <f t="shared" si="14"/>
        <v/>
      </c>
      <c r="R621" t="str">
        <f>IF(F621="CJ", COUNTIF(F$5:F621, "CJ"), "")</f>
        <v/>
      </c>
      <c r="S621" t="str">
        <f>IF(F621="Ignacio", COUNTIF(F$5:F621, "Ignacio"), "")</f>
        <v/>
      </c>
      <c r="T621" t="str">
        <f>IF(F621="Tripulacion", COUNTIF(F$5:F621, "Tripulacion"), "")</f>
        <v/>
      </c>
      <c r="U621" t="str">
        <f>IF(F621="ENAP carga", COUNTIF(F$5:F621, "ENAP carga"), "")</f>
        <v/>
      </c>
    </row>
    <row r="622" spans="13:21">
      <c r="M622" s="22" t="str">
        <f t="shared" si="14"/>
        <v/>
      </c>
      <c r="R622" t="str">
        <f>IF(F622="CJ", COUNTIF(F$5:F622, "CJ"), "")</f>
        <v/>
      </c>
      <c r="S622" t="str">
        <f>IF(F622="Ignacio", COUNTIF(F$5:F622, "Ignacio"), "")</f>
        <v/>
      </c>
      <c r="T622" t="str">
        <f>IF(F622="Tripulacion", COUNTIF(F$5:F622, "Tripulacion"), "")</f>
        <v/>
      </c>
      <c r="U622" t="str">
        <f>IF(F622="ENAP carga", COUNTIF(F$5:F622, "ENAP carga"), "")</f>
        <v/>
      </c>
    </row>
    <row r="623" spans="13:21">
      <c r="M623" s="22" t="str">
        <f t="shared" si="14"/>
        <v/>
      </c>
      <c r="R623" t="str">
        <f>IF(F623="CJ", COUNTIF(F$5:F623, "CJ"), "")</f>
        <v/>
      </c>
      <c r="S623" t="str">
        <f>IF(F623="Ignacio", COUNTIF(F$5:F623, "Ignacio"), "")</f>
        <v/>
      </c>
      <c r="T623" t="str">
        <f>IF(F623="Tripulacion", COUNTIF(F$5:F623, "Tripulacion"), "")</f>
        <v/>
      </c>
      <c r="U623" t="str">
        <f>IF(F623="ENAP carga", COUNTIF(F$5:F623, "ENAP carga"), "")</f>
        <v/>
      </c>
    </row>
    <row r="624" spans="13:21">
      <c r="M624" s="22" t="str">
        <f t="shared" si="14"/>
        <v/>
      </c>
      <c r="R624" t="str">
        <f>IF(F624="CJ", COUNTIF(F$5:F624, "CJ"), "")</f>
        <v/>
      </c>
      <c r="S624" t="str">
        <f>IF(F624="Ignacio", COUNTIF(F$5:F624, "Ignacio"), "")</f>
        <v/>
      </c>
      <c r="T624" t="str">
        <f>IF(F624="Tripulacion", COUNTIF(F$5:F624, "Tripulacion"), "")</f>
        <v/>
      </c>
      <c r="U624" t="str">
        <f>IF(F624="ENAP carga", COUNTIF(F$5:F624, "ENAP carga"), "")</f>
        <v/>
      </c>
    </row>
    <row r="625" spans="13:21">
      <c r="M625" s="22" t="str">
        <f t="shared" si="14"/>
        <v/>
      </c>
      <c r="R625" t="str">
        <f>IF(F625="CJ", COUNTIF(F$5:F625, "CJ"), "")</f>
        <v/>
      </c>
      <c r="S625" t="str">
        <f>IF(F625="Ignacio", COUNTIF(F$5:F625, "Ignacio"), "")</f>
        <v/>
      </c>
      <c r="T625" t="str">
        <f>IF(F625="Tripulacion", COUNTIF(F$5:F625, "Tripulacion"), "")</f>
        <v/>
      </c>
      <c r="U625" t="str">
        <f>IF(F625="ENAP carga", COUNTIF(F$5:F625, "ENAP carga"), "")</f>
        <v/>
      </c>
    </row>
    <row r="626" spans="13:21">
      <c r="M626" s="22" t="str">
        <f t="shared" si="14"/>
        <v/>
      </c>
      <c r="R626" t="str">
        <f>IF(F626="CJ", COUNTIF(F$5:F626, "CJ"), "")</f>
        <v/>
      </c>
      <c r="S626" t="str">
        <f>IF(F626="Ignacio", COUNTIF(F$5:F626, "Ignacio"), "")</f>
        <v/>
      </c>
      <c r="T626" t="str">
        <f>IF(F626="Tripulacion", COUNTIF(F$5:F626, "Tripulacion"), "")</f>
        <v/>
      </c>
      <c r="U626" t="str">
        <f>IF(F626="ENAP carga", COUNTIF(F$5:F626, "ENAP carga"), "")</f>
        <v/>
      </c>
    </row>
    <row r="627" spans="13:21">
      <c r="M627" s="22" t="str">
        <f t="shared" si="14"/>
        <v/>
      </c>
      <c r="R627" t="str">
        <f>IF(F627="CJ", COUNTIF(F$5:F627, "CJ"), "")</f>
        <v/>
      </c>
      <c r="S627" t="str">
        <f>IF(F627="Ignacio", COUNTIF(F$5:F627, "Ignacio"), "")</f>
        <v/>
      </c>
      <c r="T627" t="str">
        <f>IF(F627="Tripulacion", COUNTIF(F$5:F627, "Tripulacion"), "")</f>
        <v/>
      </c>
      <c r="U627" t="str">
        <f>IF(F627="ENAP carga", COUNTIF(F$5:F627, "ENAP carga"), "")</f>
        <v/>
      </c>
    </row>
    <row r="628" spans="13:21">
      <c r="M628" s="22" t="str">
        <f t="shared" si="14"/>
        <v/>
      </c>
      <c r="R628" t="str">
        <f>IF(F628="CJ", COUNTIF(F$5:F628, "CJ"), "")</f>
        <v/>
      </c>
      <c r="S628" t="str">
        <f>IF(F628="Ignacio", COUNTIF(F$5:F628, "Ignacio"), "")</f>
        <v/>
      </c>
      <c r="T628" t="str">
        <f>IF(F628="Tripulacion", COUNTIF(F$5:F628, "Tripulacion"), "")</f>
        <v/>
      </c>
      <c r="U628" t="str">
        <f>IF(F628="ENAP carga", COUNTIF(F$5:F628, "ENAP carga"), "")</f>
        <v/>
      </c>
    </row>
    <row r="629" spans="13:21">
      <c r="M629" s="22" t="str">
        <f t="shared" si="14"/>
        <v/>
      </c>
      <c r="R629" t="str">
        <f>IF(F629="CJ", COUNTIF(F$5:F629, "CJ"), "")</f>
        <v/>
      </c>
      <c r="S629" t="str">
        <f>IF(F629="Ignacio", COUNTIF(F$5:F629, "Ignacio"), "")</f>
        <v/>
      </c>
      <c r="T629" t="str">
        <f>IF(F629="Tripulacion", COUNTIF(F$5:F629, "Tripulacion"), "")</f>
        <v/>
      </c>
      <c r="U629" t="str">
        <f>IF(F629="ENAP carga", COUNTIF(F$5:F629, "ENAP carga"), "")</f>
        <v/>
      </c>
    </row>
    <row r="630" spans="13:21">
      <c r="M630" s="22" t="str">
        <f t="shared" si="14"/>
        <v/>
      </c>
      <c r="R630" t="str">
        <f>IF(F630="CJ", COUNTIF(F$5:F630, "CJ"), "")</f>
        <v/>
      </c>
      <c r="S630" t="str">
        <f>IF(F630="Ignacio", COUNTIF(F$5:F630, "Ignacio"), "")</f>
        <v/>
      </c>
      <c r="T630" t="str">
        <f>IF(F630="Tripulacion", COUNTIF(F$5:F630, "Tripulacion"), "")</f>
        <v/>
      </c>
      <c r="U630" t="str">
        <f>IF(F630="ENAP carga", COUNTIF(F$5:F630, "ENAP carga"), "")</f>
        <v/>
      </c>
    </row>
    <row r="631" spans="13:21">
      <c r="M631" s="22" t="str">
        <f t="shared" si="14"/>
        <v/>
      </c>
      <c r="R631" t="str">
        <f>IF(F631="CJ", COUNTIF(F$5:F631, "CJ"), "")</f>
        <v/>
      </c>
      <c r="S631" t="str">
        <f>IF(F631="Ignacio", COUNTIF(F$5:F631, "Ignacio"), "")</f>
        <v/>
      </c>
      <c r="T631" t="str">
        <f>IF(F631="Tripulacion", COUNTIF(F$5:F631, "Tripulacion"), "")</f>
        <v/>
      </c>
      <c r="U631" t="str">
        <f>IF(F631="ENAP carga", COUNTIF(F$5:F631, "ENAP carga"), "")</f>
        <v/>
      </c>
    </row>
    <row r="632" spans="13:21">
      <c r="M632" s="22" t="str">
        <f t="shared" si="14"/>
        <v/>
      </c>
      <c r="R632" t="str">
        <f>IF(F632="CJ", COUNTIF(F$5:F632, "CJ"), "")</f>
        <v/>
      </c>
      <c r="S632" t="str">
        <f>IF(F632="Ignacio", COUNTIF(F$5:F632, "Ignacio"), "")</f>
        <v/>
      </c>
      <c r="T632" t="str">
        <f>IF(F632="Tripulacion", COUNTIF(F$5:F632, "Tripulacion"), "")</f>
        <v/>
      </c>
      <c r="U632" t="str">
        <f>IF(F632="ENAP carga", COUNTIF(F$5:F632, "ENAP carga"), "")</f>
        <v/>
      </c>
    </row>
    <row r="633" spans="13:21">
      <c r="M633" s="22" t="str">
        <f t="shared" si="14"/>
        <v/>
      </c>
      <c r="R633" t="str">
        <f>IF(F633="CJ", COUNTIF(F$5:F633, "CJ"), "")</f>
        <v/>
      </c>
      <c r="S633" t="str">
        <f>IF(F633="Ignacio", COUNTIF(F$5:F633, "Ignacio"), "")</f>
        <v/>
      </c>
      <c r="T633" t="str">
        <f>IF(F633="Tripulacion", COUNTIF(F$5:F633, "Tripulacion"), "")</f>
        <v/>
      </c>
      <c r="U633" t="str">
        <f>IF(F633="ENAP carga", COUNTIF(F$5:F633, "ENAP carga"), "")</f>
        <v/>
      </c>
    </row>
    <row r="634" spans="13:21">
      <c r="M634" s="22" t="str">
        <f t="shared" si="14"/>
        <v/>
      </c>
      <c r="R634" t="str">
        <f>IF(F634="CJ", COUNTIF(F$5:F634, "CJ"), "")</f>
        <v/>
      </c>
      <c r="S634" t="str">
        <f>IF(F634="Ignacio", COUNTIF(F$5:F634, "Ignacio"), "")</f>
        <v/>
      </c>
      <c r="T634" t="str">
        <f>IF(F634="Tripulacion", COUNTIF(F$5:F634, "Tripulacion"), "")</f>
        <v/>
      </c>
      <c r="U634" t="str">
        <f>IF(F634="ENAP carga", COUNTIF(F$5:F634, "ENAP carga"), "")</f>
        <v/>
      </c>
    </row>
    <row r="635" spans="13:21">
      <c r="M635" s="22" t="str">
        <f t="shared" si="14"/>
        <v/>
      </c>
      <c r="R635" t="str">
        <f>IF(F635="CJ", COUNTIF(F$5:F635, "CJ"), "")</f>
        <v/>
      </c>
      <c r="S635" t="str">
        <f>IF(F635="Ignacio", COUNTIF(F$5:F635, "Ignacio"), "")</f>
        <v/>
      </c>
      <c r="T635" t="str">
        <f>IF(F635="Tripulacion", COUNTIF(F$5:F635, "Tripulacion"), "")</f>
        <v/>
      </c>
      <c r="U635" t="str">
        <f>IF(F635="ENAP carga", COUNTIF(F$5:F635, "ENAP carga"), "")</f>
        <v/>
      </c>
    </row>
    <row r="636" spans="13:21">
      <c r="M636" s="22" t="str">
        <f t="shared" si="14"/>
        <v/>
      </c>
      <c r="R636" t="str">
        <f>IF(F636="CJ", COUNTIF(F$5:F636, "CJ"), "")</f>
        <v/>
      </c>
      <c r="S636" t="str">
        <f>IF(F636="Ignacio", COUNTIF(F$5:F636, "Ignacio"), "")</f>
        <v/>
      </c>
      <c r="T636" t="str">
        <f>IF(F636="Tripulacion", COUNTIF(F$5:F636, "Tripulacion"), "")</f>
        <v/>
      </c>
      <c r="U636" t="str">
        <f>IF(F636="ENAP carga", COUNTIF(F$5:F636, "ENAP carga"), "")</f>
        <v/>
      </c>
    </row>
    <row r="637" spans="13:21">
      <c r="M637" s="22" t="str">
        <f t="shared" si="14"/>
        <v/>
      </c>
      <c r="R637" t="str">
        <f>IF(F637="CJ", COUNTIF(F$5:F637, "CJ"), "")</f>
        <v/>
      </c>
      <c r="S637" t="str">
        <f>IF(F637="Ignacio", COUNTIF(F$5:F637, "Ignacio"), "")</f>
        <v/>
      </c>
      <c r="T637" t="str">
        <f>IF(F637="Tripulacion", COUNTIF(F$5:F637, "Tripulacion"), "")</f>
        <v/>
      </c>
      <c r="U637" t="str">
        <f>IF(F637="ENAP carga", COUNTIF(F$5:F637, "ENAP carga"), "")</f>
        <v/>
      </c>
    </row>
    <row r="638" spans="13:21">
      <c r="M638" s="22" t="str">
        <f t="shared" si="14"/>
        <v/>
      </c>
      <c r="R638" t="str">
        <f>IF(F638="CJ", COUNTIF(F$5:F638, "CJ"), "")</f>
        <v/>
      </c>
      <c r="S638" t="str">
        <f>IF(F638="Ignacio", COUNTIF(F$5:F638, "Ignacio"), "")</f>
        <v/>
      </c>
      <c r="T638" t="str">
        <f>IF(F638="Tripulacion", COUNTIF(F$5:F638, "Tripulacion"), "")</f>
        <v/>
      </c>
      <c r="U638" t="str">
        <f>IF(F638="ENAP carga", COUNTIF(F$5:F638, "ENAP carga"), "")</f>
        <v/>
      </c>
    </row>
    <row r="639" spans="13:21">
      <c r="M639" s="22" t="str">
        <f t="shared" si="14"/>
        <v/>
      </c>
      <c r="R639" t="str">
        <f>IF(F639="CJ", COUNTIF(F$5:F639, "CJ"), "")</f>
        <v/>
      </c>
      <c r="S639" t="str">
        <f>IF(F639="Ignacio", COUNTIF(F$5:F639, "Ignacio"), "")</f>
        <v/>
      </c>
      <c r="T639" t="str">
        <f>IF(F639="Tripulacion", COUNTIF(F$5:F639, "Tripulacion"), "")</f>
        <v/>
      </c>
      <c r="U639" t="str">
        <f>IF(F639="ENAP carga", COUNTIF(F$5:F639, "ENAP carga"), "")</f>
        <v/>
      </c>
    </row>
    <row r="640" spans="13:21">
      <c r="M640" s="22" t="str">
        <f t="shared" si="14"/>
        <v/>
      </c>
      <c r="R640" t="str">
        <f>IF(F640="CJ", COUNTIF(F$5:F640, "CJ"), "")</f>
        <v/>
      </c>
      <c r="S640" t="str">
        <f>IF(F640="Ignacio", COUNTIF(F$5:F640, "Ignacio"), "")</f>
        <v/>
      </c>
      <c r="T640" t="str">
        <f>IF(F640="Tripulacion", COUNTIF(F$5:F640, "Tripulacion"), "")</f>
        <v/>
      </c>
      <c r="U640" t="str">
        <f>IF(F640="ENAP carga", COUNTIF(F$5:F640, "ENAP carga"), "")</f>
        <v/>
      </c>
    </row>
    <row r="641" spans="13:21">
      <c r="M641" s="22" t="str">
        <f t="shared" si="14"/>
        <v/>
      </c>
      <c r="R641" t="str">
        <f>IF(F641="CJ", COUNTIF(F$5:F641, "CJ"), "")</f>
        <v/>
      </c>
      <c r="S641" t="str">
        <f>IF(F641="Ignacio", COUNTIF(F$5:F641, "Ignacio"), "")</f>
        <v/>
      </c>
      <c r="T641" t="str">
        <f>IF(F641="Tripulacion", COUNTIF(F$5:F641, "Tripulacion"), "")</f>
        <v/>
      </c>
      <c r="U641" t="str">
        <f>IF(F641="ENAP carga", COUNTIF(F$5:F641, "ENAP carga"), "")</f>
        <v/>
      </c>
    </row>
    <row r="642" spans="13:21">
      <c r="M642" s="22" t="str">
        <f t="shared" si="14"/>
        <v/>
      </c>
      <c r="R642" t="str">
        <f>IF(F642="CJ", COUNTIF(F$5:F642, "CJ"), "")</f>
        <v/>
      </c>
      <c r="S642" t="str">
        <f>IF(F642="Ignacio", COUNTIF(F$5:F642, "Ignacio"), "")</f>
        <v/>
      </c>
      <c r="T642" t="str">
        <f>IF(F642="Tripulacion", COUNTIF(F$5:F642, "Tripulacion"), "")</f>
        <v/>
      </c>
      <c r="U642" t="str">
        <f>IF(F642="ENAP carga", COUNTIF(F$5:F642, "ENAP carga"), "")</f>
        <v/>
      </c>
    </row>
    <row r="643" spans="13:21">
      <c r="M643" s="22" t="str">
        <f t="shared" si="14"/>
        <v/>
      </c>
      <c r="R643" t="str">
        <f>IF(F643="CJ", COUNTIF(F$5:F643, "CJ"), "")</f>
        <v/>
      </c>
      <c r="S643" t="str">
        <f>IF(F643="Ignacio", COUNTIF(F$5:F643, "Ignacio"), "")</f>
        <v/>
      </c>
      <c r="T643" t="str">
        <f>IF(F643="Tripulacion", COUNTIF(F$5:F643, "Tripulacion"), "")</f>
        <v/>
      </c>
      <c r="U643" t="str">
        <f>IF(F643="ENAP carga", COUNTIF(F$5:F643, "ENAP carga"), "")</f>
        <v/>
      </c>
    </row>
    <row r="644" spans="13:21">
      <c r="M644" s="22" t="str">
        <f t="shared" si="14"/>
        <v/>
      </c>
      <c r="R644" t="str">
        <f>IF(F644="CJ", COUNTIF(F$5:F644, "CJ"), "")</f>
        <v/>
      </c>
      <c r="S644" t="str">
        <f>IF(F644="Ignacio", COUNTIF(F$5:F644, "Ignacio"), "")</f>
        <v/>
      </c>
      <c r="T644" t="str">
        <f>IF(F644="Tripulacion", COUNTIF(F$5:F644, "Tripulacion"), "")</f>
        <v/>
      </c>
      <c r="U644" t="str">
        <f>IF(F644="ENAP carga", COUNTIF(F$5:F644, "ENAP carga"), "")</f>
        <v/>
      </c>
    </row>
    <row r="645" spans="13:21">
      <c r="M645" s="22" t="str">
        <f t="shared" si="14"/>
        <v/>
      </c>
      <c r="R645" t="str">
        <f>IF(F645="CJ", COUNTIF(F$5:F645, "CJ"), "")</f>
        <v/>
      </c>
      <c r="S645" t="str">
        <f>IF(F645="Ignacio", COUNTIF(F$5:F645, "Ignacio"), "")</f>
        <v/>
      </c>
      <c r="T645" t="str">
        <f>IF(F645="Tripulacion", COUNTIF(F$5:F645, "Tripulacion"), "")</f>
        <v/>
      </c>
      <c r="U645" t="str">
        <f>IF(F645="ENAP carga", COUNTIF(F$5:F645, "ENAP carga"), "")</f>
        <v/>
      </c>
    </row>
    <row r="646" spans="13:21">
      <c r="M646" s="22" t="str">
        <f t="shared" si="14"/>
        <v/>
      </c>
      <c r="R646" t="str">
        <f>IF(F646="CJ", COUNTIF(F$5:F646, "CJ"), "")</f>
        <v/>
      </c>
      <c r="S646" t="str">
        <f>IF(F646="Ignacio", COUNTIF(F$5:F646, "Ignacio"), "")</f>
        <v/>
      </c>
      <c r="T646" t="str">
        <f>IF(F646="Tripulacion", COUNTIF(F$5:F646, "Tripulacion"), "")</f>
        <v/>
      </c>
      <c r="U646" t="str">
        <f>IF(F646="ENAP carga", COUNTIF(F$5:F646, "ENAP carga"), "")</f>
        <v/>
      </c>
    </row>
    <row r="647" spans="13:21">
      <c r="M647" s="22" t="str">
        <f t="shared" si="14"/>
        <v/>
      </c>
      <c r="R647" t="str">
        <f>IF(F647="CJ", COUNTIF(F$5:F647, "CJ"), "")</f>
        <v/>
      </c>
      <c r="S647" t="str">
        <f>IF(F647="Ignacio", COUNTIF(F$5:F647, "Ignacio"), "")</f>
        <v/>
      </c>
      <c r="T647" t="str">
        <f>IF(F647="Tripulacion", COUNTIF(F$5:F647, "Tripulacion"), "")</f>
        <v/>
      </c>
      <c r="U647" t="str">
        <f>IF(F647="ENAP carga", COUNTIF(F$5:F647, "ENAP carga"), "")</f>
        <v/>
      </c>
    </row>
    <row r="648" spans="13:21">
      <c r="M648" s="22" t="str">
        <f t="shared" si="14"/>
        <v/>
      </c>
      <c r="R648" t="str">
        <f>IF(F648="CJ", COUNTIF(F$5:F648, "CJ"), "")</f>
        <v/>
      </c>
      <c r="S648" t="str">
        <f>IF(F648="Ignacio", COUNTIF(F$5:F648, "Ignacio"), "")</f>
        <v/>
      </c>
      <c r="T648" t="str">
        <f>IF(F648="Tripulacion", COUNTIF(F$5:F648, "Tripulacion"), "")</f>
        <v/>
      </c>
      <c r="U648" t="str">
        <f>IF(F648="ENAP carga", COUNTIF(F$5:F648, "ENAP carga"), "")</f>
        <v/>
      </c>
    </row>
    <row r="649" spans="13:21">
      <c r="M649" s="22" t="str">
        <f t="shared" si="14"/>
        <v/>
      </c>
      <c r="R649" t="str">
        <f>IF(F649="CJ", COUNTIF(F$5:F649, "CJ"), "")</f>
        <v/>
      </c>
      <c r="S649" t="str">
        <f>IF(F649="Ignacio", COUNTIF(F$5:F649, "Ignacio"), "")</f>
        <v/>
      </c>
      <c r="T649" t="str">
        <f>IF(F649="Tripulacion", COUNTIF(F$5:F649, "Tripulacion"), "")</f>
        <v/>
      </c>
      <c r="U649" t="str">
        <f>IF(F649="ENAP carga", COUNTIF(F$5:F649, "ENAP carga"), "")</f>
        <v/>
      </c>
    </row>
    <row r="650" spans="13:21">
      <c r="M650" s="22" t="str">
        <f t="shared" si="14"/>
        <v/>
      </c>
      <c r="R650" t="str">
        <f>IF(F650="CJ", COUNTIF(F$5:F650, "CJ"), "")</f>
        <v/>
      </c>
      <c r="S650" t="str">
        <f>IF(F650="Ignacio", COUNTIF(F$5:F650, "Ignacio"), "")</f>
        <v/>
      </c>
      <c r="T650" t="str">
        <f>IF(F650="Tripulacion", COUNTIF(F$5:F650, "Tripulacion"), "")</f>
        <v/>
      </c>
      <c r="U650" t="str">
        <f>IF(F650="ENAP carga", COUNTIF(F$5:F650, "ENAP carga"), "")</f>
        <v/>
      </c>
    </row>
    <row r="651" spans="13:21">
      <c r="M651" s="22" t="str">
        <f t="shared" si="14"/>
        <v/>
      </c>
      <c r="R651" t="str">
        <f>IF(F651="CJ", COUNTIF(F$5:F651, "CJ"), "")</f>
        <v/>
      </c>
      <c r="S651" t="str">
        <f>IF(F651="Ignacio", COUNTIF(F$5:F651, "Ignacio"), "")</f>
        <v/>
      </c>
      <c r="T651" t="str">
        <f>IF(F651="Tripulacion", COUNTIF(F$5:F651, "Tripulacion"), "")</f>
        <v/>
      </c>
      <c r="U651" t="str">
        <f>IF(F651="ENAP carga", COUNTIF(F$5:F651, "ENAP carga"), "")</f>
        <v/>
      </c>
    </row>
    <row r="652" spans="13:21">
      <c r="M652" s="22" t="str">
        <f t="shared" si="14"/>
        <v/>
      </c>
      <c r="R652" t="str">
        <f>IF(F652="CJ", COUNTIF(F$5:F652, "CJ"), "")</f>
        <v/>
      </c>
      <c r="S652" t="str">
        <f>IF(F652="Ignacio", COUNTIF(F$5:F652, "Ignacio"), "")</f>
        <v/>
      </c>
      <c r="T652" t="str">
        <f>IF(F652="Tripulacion", COUNTIF(F$5:F652, "Tripulacion"), "")</f>
        <v/>
      </c>
      <c r="U652" t="str">
        <f>IF(F652="ENAP carga", COUNTIF(F$5:F652, "ENAP carga"), "")</f>
        <v/>
      </c>
    </row>
    <row r="653" spans="13:21">
      <c r="M653" s="22" t="str">
        <f t="shared" si="14"/>
        <v/>
      </c>
      <c r="R653" t="str">
        <f>IF(F653="CJ", COUNTIF(F$5:F653, "CJ"), "")</f>
        <v/>
      </c>
      <c r="S653" t="str">
        <f>IF(F653="Ignacio", COUNTIF(F$5:F653, "Ignacio"), "")</f>
        <v/>
      </c>
      <c r="T653" t="str">
        <f>IF(F653="Tripulacion", COUNTIF(F$5:F653, "Tripulacion"), "")</f>
        <v/>
      </c>
      <c r="U653" t="str">
        <f>IF(F653="ENAP carga", COUNTIF(F$5:F653, "ENAP carga"), "")</f>
        <v/>
      </c>
    </row>
    <row r="654" spans="13:21">
      <c r="M654" s="22" t="str">
        <f t="shared" si="14"/>
        <v/>
      </c>
      <c r="R654" t="str">
        <f>IF(F654="CJ", COUNTIF(F$5:F654, "CJ"), "")</f>
        <v/>
      </c>
      <c r="S654" t="str">
        <f>IF(F654="Ignacio", COUNTIF(F$5:F654, "Ignacio"), "")</f>
        <v/>
      </c>
      <c r="T654" t="str">
        <f>IF(F654="Tripulacion", COUNTIF(F$5:F654, "Tripulacion"), "")</f>
        <v/>
      </c>
      <c r="U654" t="str">
        <f>IF(F654="ENAP carga", COUNTIF(F$5:F654, "ENAP carga"), "")</f>
        <v/>
      </c>
    </row>
    <row r="655" spans="13:21">
      <c r="M655" s="22" t="str">
        <f t="shared" si="14"/>
        <v/>
      </c>
      <c r="R655" t="str">
        <f>IF(F655="CJ", COUNTIF(F$5:F655, "CJ"), "")</f>
        <v/>
      </c>
      <c r="S655" t="str">
        <f>IF(F655="Ignacio", COUNTIF(F$5:F655, "Ignacio"), "")</f>
        <v/>
      </c>
      <c r="T655" t="str">
        <f>IF(F655="Tripulacion", COUNTIF(F$5:F655, "Tripulacion"), "")</f>
        <v/>
      </c>
      <c r="U655" t="str">
        <f>IF(F655="ENAP carga", COUNTIF(F$5:F655, "ENAP carga"), "")</f>
        <v/>
      </c>
    </row>
    <row r="656" spans="13:21">
      <c r="M656" s="22" t="str">
        <f t="shared" si="14"/>
        <v/>
      </c>
      <c r="R656" t="str">
        <f>IF(F656="CJ", COUNTIF(F$5:F656, "CJ"), "")</f>
        <v/>
      </c>
      <c r="S656" t="str">
        <f>IF(F656="Ignacio", COUNTIF(F$5:F656, "Ignacio"), "")</f>
        <v/>
      </c>
      <c r="T656" t="str">
        <f>IF(F656="Tripulacion", COUNTIF(F$5:F656, "Tripulacion"), "")</f>
        <v/>
      </c>
      <c r="U656" t="str">
        <f>IF(F656="ENAP carga", COUNTIF(F$5:F656, "ENAP carga"), "")</f>
        <v/>
      </c>
    </row>
    <row r="657" spans="13:21">
      <c r="M657" s="22" t="str">
        <f t="shared" si="14"/>
        <v/>
      </c>
      <c r="R657" t="str">
        <f>IF(F657="CJ", COUNTIF(F$5:F657, "CJ"), "")</f>
        <v/>
      </c>
      <c r="S657" t="str">
        <f>IF(F657="Ignacio", COUNTIF(F$5:F657, "Ignacio"), "")</f>
        <v/>
      </c>
      <c r="T657" t="str">
        <f>IF(F657="Tripulacion", COUNTIF(F$5:F657, "Tripulacion"), "")</f>
        <v/>
      </c>
      <c r="U657" t="str">
        <f>IF(F657="ENAP carga", COUNTIF(F$5:F657, "ENAP carga"), "")</f>
        <v/>
      </c>
    </row>
    <row r="658" spans="13:21">
      <c r="M658" s="22" t="str">
        <f t="shared" si="14"/>
        <v/>
      </c>
      <c r="R658" t="str">
        <f>IF(F658="CJ", COUNTIF(F$5:F658, "CJ"), "")</f>
        <v/>
      </c>
      <c r="S658" t="str">
        <f>IF(F658="Ignacio", COUNTIF(F$5:F658, "Ignacio"), "")</f>
        <v/>
      </c>
      <c r="T658" t="str">
        <f>IF(F658="Tripulacion", COUNTIF(F$5:F658, "Tripulacion"), "")</f>
        <v/>
      </c>
      <c r="U658" t="str">
        <f>IF(F658="ENAP carga", COUNTIF(F$5:F658, "ENAP carga"), "")</f>
        <v/>
      </c>
    </row>
    <row r="659" spans="13:21">
      <c r="M659" s="22" t="str">
        <f t="shared" si="14"/>
        <v/>
      </c>
      <c r="R659" t="str">
        <f>IF(F659="CJ", COUNTIF(F$5:F659, "CJ"), "")</f>
        <v/>
      </c>
      <c r="S659" t="str">
        <f>IF(F659="Ignacio", COUNTIF(F$5:F659, "Ignacio"), "")</f>
        <v/>
      </c>
      <c r="T659" t="str">
        <f>IF(F659="Tripulacion", COUNTIF(F$5:F659, "Tripulacion"), "")</f>
        <v/>
      </c>
      <c r="U659" t="str">
        <f>IF(F659="ENAP carga", COUNTIF(F$5:F659, "ENAP carga"), "")</f>
        <v/>
      </c>
    </row>
    <row r="660" spans="13:21">
      <c r="M660" s="22" t="str">
        <f t="shared" si="14"/>
        <v/>
      </c>
      <c r="R660" t="str">
        <f>IF(F660="CJ", COUNTIF(F$5:F660, "CJ"), "")</f>
        <v/>
      </c>
      <c r="S660" t="str">
        <f>IF(F660="Ignacio", COUNTIF(F$5:F660, "Ignacio"), "")</f>
        <v/>
      </c>
      <c r="T660" t="str">
        <f>IF(F660="Tripulacion", COUNTIF(F$5:F660, "Tripulacion"), "")</f>
        <v/>
      </c>
      <c r="U660" t="str">
        <f>IF(F660="ENAP carga", COUNTIF(F$5:F660, "ENAP carga"), "")</f>
        <v/>
      </c>
    </row>
    <row r="661" spans="13:21">
      <c r="M661" s="22" t="str">
        <f t="shared" si="14"/>
        <v/>
      </c>
      <c r="R661" t="str">
        <f>IF(F661="CJ", COUNTIF(F$5:F661, "CJ"), "")</f>
        <v/>
      </c>
      <c r="S661" t="str">
        <f>IF(F661="Ignacio", COUNTIF(F$5:F661, "Ignacio"), "")</f>
        <v/>
      </c>
      <c r="T661" t="str">
        <f>IF(F661="Tripulacion", COUNTIF(F$5:F661, "Tripulacion"), "")</f>
        <v/>
      </c>
      <c r="U661" t="str">
        <f>IF(F661="ENAP carga", COUNTIF(F$5:F661, "ENAP carga"), "")</f>
        <v/>
      </c>
    </row>
    <row r="662" spans="13:21">
      <c r="M662" s="22" t="str">
        <f t="shared" si="14"/>
        <v/>
      </c>
      <c r="R662" t="str">
        <f>IF(F662="CJ", COUNTIF(F$5:F662, "CJ"), "")</f>
        <v/>
      </c>
      <c r="S662" t="str">
        <f>IF(F662="Ignacio", COUNTIF(F$5:F662, "Ignacio"), "")</f>
        <v/>
      </c>
      <c r="T662" t="str">
        <f>IF(F662="Tripulacion", COUNTIF(F$5:F662, "Tripulacion"), "")</f>
        <v/>
      </c>
      <c r="U662" t="str">
        <f>IF(F662="ENAP carga", COUNTIF(F$5:F662, "ENAP carga"), "")</f>
        <v/>
      </c>
    </row>
    <row r="663" spans="13:21">
      <c r="M663" s="22" t="str">
        <f t="shared" si="14"/>
        <v/>
      </c>
      <c r="R663" t="str">
        <f>IF(F663="CJ", COUNTIF(F$5:F663, "CJ"), "")</f>
        <v/>
      </c>
      <c r="S663" t="str">
        <f>IF(F663="Ignacio", COUNTIF(F$5:F663, "Ignacio"), "")</f>
        <v/>
      </c>
      <c r="T663" t="str">
        <f>IF(F663="Tripulacion", COUNTIF(F$5:F663, "Tripulacion"), "")</f>
        <v/>
      </c>
      <c r="U663" t="str">
        <f>IF(F663="ENAP carga", COUNTIF(F$5:F663, "ENAP carga"), "")</f>
        <v/>
      </c>
    </row>
    <row r="664" spans="13:21">
      <c r="M664" s="22" t="str">
        <f t="shared" ref="M664:M727" si="15">IF(F664="CJ", I664*200, "")</f>
        <v/>
      </c>
      <c r="R664" t="str">
        <f>IF(F664="CJ", COUNTIF(F$5:F664, "CJ"), "")</f>
        <v/>
      </c>
      <c r="S664" t="str">
        <f>IF(F664="Ignacio", COUNTIF(F$5:F664, "Ignacio"), "")</f>
        <v/>
      </c>
      <c r="T664" t="str">
        <f>IF(F664="Tripulacion", COUNTIF(F$5:F664, "Tripulacion"), "")</f>
        <v/>
      </c>
      <c r="U664" t="str">
        <f>IF(F664="ENAP carga", COUNTIF(F$5:F664, "ENAP carga"), "")</f>
        <v/>
      </c>
    </row>
    <row r="665" spans="13:21">
      <c r="M665" s="22" t="str">
        <f t="shared" si="15"/>
        <v/>
      </c>
      <c r="R665" t="str">
        <f>IF(F665="CJ", COUNTIF(F$5:F665, "CJ"), "")</f>
        <v/>
      </c>
      <c r="S665" t="str">
        <f>IF(F665="Ignacio", COUNTIF(F$5:F665, "Ignacio"), "")</f>
        <v/>
      </c>
      <c r="T665" t="str">
        <f>IF(F665="Tripulacion", COUNTIF(F$5:F665, "Tripulacion"), "")</f>
        <v/>
      </c>
      <c r="U665" t="str">
        <f>IF(F665="ENAP carga", COUNTIF(F$5:F665, "ENAP carga"), "")</f>
        <v/>
      </c>
    </row>
    <row r="666" spans="13:21">
      <c r="M666" s="22" t="str">
        <f t="shared" si="15"/>
        <v/>
      </c>
      <c r="R666" t="str">
        <f>IF(F666="CJ", COUNTIF(F$5:F666, "CJ"), "")</f>
        <v/>
      </c>
      <c r="S666" t="str">
        <f>IF(F666="Ignacio", COUNTIF(F$5:F666, "Ignacio"), "")</f>
        <v/>
      </c>
      <c r="T666" t="str">
        <f>IF(F666="Tripulacion", COUNTIF(F$5:F666, "Tripulacion"), "")</f>
        <v/>
      </c>
      <c r="U666" t="str">
        <f>IF(F666="ENAP carga", COUNTIF(F$5:F666, "ENAP carga"), "")</f>
        <v/>
      </c>
    </row>
    <row r="667" spans="13:21">
      <c r="M667" s="22" t="str">
        <f t="shared" si="15"/>
        <v/>
      </c>
      <c r="R667" t="str">
        <f>IF(F667="CJ", COUNTIF(F$5:F667, "CJ"), "")</f>
        <v/>
      </c>
      <c r="S667" t="str">
        <f>IF(F667="Ignacio", COUNTIF(F$5:F667, "Ignacio"), "")</f>
        <v/>
      </c>
      <c r="T667" t="str">
        <f>IF(F667="Tripulacion", COUNTIF(F$5:F667, "Tripulacion"), "")</f>
        <v/>
      </c>
      <c r="U667" t="str">
        <f>IF(F667="ENAP carga", COUNTIF(F$5:F667, "ENAP carga"), "")</f>
        <v/>
      </c>
    </row>
    <row r="668" spans="13:21">
      <c r="M668" s="22" t="str">
        <f t="shared" si="15"/>
        <v/>
      </c>
      <c r="R668" t="str">
        <f>IF(F668="CJ", COUNTIF(F$5:F668, "CJ"), "")</f>
        <v/>
      </c>
      <c r="S668" t="str">
        <f>IF(F668="Ignacio", COUNTIF(F$5:F668, "Ignacio"), "")</f>
        <v/>
      </c>
      <c r="T668" t="str">
        <f>IF(F668="Tripulacion", COUNTIF(F$5:F668, "Tripulacion"), "")</f>
        <v/>
      </c>
      <c r="U668" t="str">
        <f>IF(F668="ENAP carga", COUNTIF(F$5:F668, "ENAP carga"), "")</f>
        <v/>
      </c>
    </row>
    <row r="669" spans="13:21">
      <c r="M669" s="22" t="str">
        <f t="shared" si="15"/>
        <v/>
      </c>
      <c r="R669" t="str">
        <f>IF(F669="CJ", COUNTIF(F$5:F669, "CJ"), "")</f>
        <v/>
      </c>
      <c r="S669" t="str">
        <f>IF(F669="Ignacio", COUNTIF(F$5:F669, "Ignacio"), "")</f>
        <v/>
      </c>
      <c r="T669" t="str">
        <f>IF(F669="Tripulacion", COUNTIF(F$5:F669, "Tripulacion"), "")</f>
        <v/>
      </c>
      <c r="U669" t="str">
        <f>IF(F669="ENAP carga", COUNTIF(F$5:F669, "ENAP carga"), "")</f>
        <v/>
      </c>
    </row>
    <row r="670" spans="13:21">
      <c r="M670" s="22" t="str">
        <f t="shared" si="15"/>
        <v/>
      </c>
      <c r="R670" t="str">
        <f>IF(F670="CJ", COUNTIF(F$5:F670, "CJ"), "")</f>
        <v/>
      </c>
      <c r="S670" t="str">
        <f>IF(F670="Ignacio", COUNTIF(F$5:F670, "Ignacio"), "")</f>
        <v/>
      </c>
      <c r="T670" t="str">
        <f>IF(F670="Tripulacion", COUNTIF(F$5:F670, "Tripulacion"), "")</f>
        <v/>
      </c>
      <c r="U670" t="str">
        <f>IF(F670="ENAP carga", COUNTIF(F$5:F670, "ENAP carga"), "")</f>
        <v/>
      </c>
    </row>
    <row r="671" spans="13:21">
      <c r="M671" s="22" t="str">
        <f t="shared" si="15"/>
        <v/>
      </c>
      <c r="R671" t="str">
        <f>IF(F671="CJ", COUNTIF(F$5:F671, "CJ"), "")</f>
        <v/>
      </c>
      <c r="S671" t="str">
        <f>IF(F671="Ignacio", COUNTIF(F$5:F671, "Ignacio"), "")</f>
        <v/>
      </c>
      <c r="T671" t="str">
        <f>IF(F671="Tripulacion", COUNTIF(F$5:F671, "Tripulacion"), "")</f>
        <v/>
      </c>
      <c r="U671" t="str">
        <f>IF(F671="ENAP carga", COUNTIF(F$5:F671, "ENAP carga"), "")</f>
        <v/>
      </c>
    </row>
    <row r="672" spans="13:21">
      <c r="M672" s="22" t="str">
        <f t="shared" si="15"/>
        <v/>
      </c>
      <c r="R672" t="str">
        <f>IF(F672="CJ", COUNTIF(F$5:F672, "CJ"), "")</f>
        <v/>
      </c>
      <c r="S672" t="str">
        <f>IF(F672="Ignacio", COUNTIF(F$5:F672, "Ignacio"), "")</f>
        <v/>
      </c>
      <c r="T672" t="str">
        <f>IF(F672="Tripulacion", COUNTIF(F$5:F672, "Tripulacion"), "")</f>
        <v/>
      </c>
      <c r="U672" t="str">
        <f>IF(F672="ENAP carga", COUNTIF(F$5:F672, "ENAP carga"), "")</f>
        <v/>
      </c>
    </row>
    <row r="673" spans="13:21">
      <c r="M673" s="22" t="str">
        <f t="shared" si="15"/>
        <v/>
      </c>
      <c r="R673" t="str">
        <f>IF(F673="CJ", COUNTIF(F$5:F673, "CJ"), "")</f>
        <v/>
      </c>
      <c r="S673" t="str">
        <f>IF(F673="Ignacio", COUNTIF(F$5:F673, "Ignacio"), "")</f>
        <v/>
      </c>
      <c r="T673" t="str">
        <f>IF(F673="Tripulacion", COUNTIF(F$5:F673, "Tripulacion"), "")</f>
        <v/>
      </c>
      <c r="U673" t="str">
        <f>IF(F673="ENAP carga", COUNTIF(F$5:F673, "ENAP carga"), "")</f>
        <v/>
      </c>
    </row>
    <row r="674" spans="13:21">
      <c r="M674" s="22" t="str">
        <f t="shared" si="15"/>
        <v/>
      </c>
      <c r="R674" t="str">
        <f>IF(F674="CJ", COUNTIF(F$5:F674, "CJ"), "")</f>
        <v/>
      </c>
      <c r="S674" t="str">
        <f>IF(F674="Ignacio", COUNTIF(F$5:F674, "Ignacio"), "")</f>
        <v/>
      </c>
      <c r="T674" t="str">
        <f>IF(F674="Tripulacion", COUNTIF(F$5:F674, "Tripulacion"), "")</f>
        <v/>
      </c>
      <c r="U674" t="str">
        <f>IF(F674="ENAP carga", COUNTIF(F$5:F674, "ENAP carga"), "")</f>
        <v/>
      </c>
    </row>
    <row r="675" spans="13:21">
      <c r="M675" s="22" t="str">
        <f t="shared" si="15"/>
        <v/>
      </c>
      <c r="R675" t="str">
        <f>IF(F675="CJ", COUNTIF(F$5:F675, "CJ"), "")</f>
        <v/>
      </c>
      <c r="S675" t="str">
        <f>IF(F675="Ignacio", COUNTIF(F$5:F675, "Ignacio"), "")</f>
        <v/>
      </c>
      <c r="T675" t="str">
        <f>IF(F675="Tripulacion", COUNTIF(F$5:F675, "Tripulacion"), "")</f>
        <v/>
      </c>
      <c r="U675" t="str">
        <f>IF(F675="ENAP carga", COUNTIF(F$5:F675, "ENAP carga"), "")</f>
        <v/>
      </c>
    </row>
    <row r="676" spans="13:21">
      <c r="M676" s="22" t="str">
        <f t="shared" si="15"/>
        <v/>
      </c>
      <c r="R676" t="str">
        <f>IF(F676="CJ", COUNTIF(F$5:F676, "CJ"), "")</f>
        <v/>
      </c>
      <c r="S676" t="str">
        <f>IF(F676="Ignacio", COUNTIF(F$5:F676, "Ignacio"), "")</f>
        <v/>
      </c>
      <c r="T676" t="str">
        <f>IF(F676="Tripulacion", COUNTIF(F$5:F676, "Tripulacion"), "")</f>
        <v/>
      </c>
      <c r="U676" t="str">
        <f>IF(F676="ENAP carga", COUNTIF(F$5:F676, "ENAP carga"), "")</f>
        <v/>
      </c>
    </row>
    <row r="677" spans="13:21">
      <c r="M677" s="22" t="str">
        <f t="shared" si="15"/>
        <v/>
      </c>
      <c r="R677" t="str">
        <f>IF(F677="CJ", COUNTIF(F$5:F677, "CJ"), "")</f>
        <v/>
      </c>
      <c r="S677" t="str">
        <f>IF(F677="Ignacio", COUNTIF(F$5:F677, "Ignacio"), "")</f>
        <v/>
      </c>
      <c r="T677" t="str">
        <f>IF(F677="Tripulacion", COUNTIF(F$5:F677, "Tripulacion"), "")</f>
        <v/>
      </c>
      <c r="U677" t="str">
        <f>IF(F677="ENAP carga", COUNTIF(F$5:F677, "ENAP carga"), "")</f>
        <v/>
      </c>
    </row>
    <row r="678" spans="13:21">
      <c r="M678" s="22" t="str">
        <f t="shared" si="15"/>
        <v/>
      </c>
      <c r="R678" t="str">
        <f>IF(F678="CJ", COUNTIF(F$5:F678, "CJ"), "")</f>
        <v/>
      </c>
      <c r="S678" t="str">
        <f>IF(F678="Ignacio", COUNTIF(F$5:F678, "Ignacio"), "")</f>
        <v/>
      </c>
      <c r="T678" t="str">
        <f>IF(F678="Tripulacion", COUNTIF(F$5:F678, "Tripulacion"), "")</f>
        <v/>
      </c>
      <c r="U678" t="str">
        <f>IF(F678="ENAP carga", COUNTIF(F$5:F678, "ENAP carga"), "")</f>
        <v/>
      </c>
    </row>
    <row r="679" spans="13:21">
      <c r="M679" s="22" t="str">
        <f t="shared" si="15"/>
        <v/>
      </c>
      <c r="R679" t="str">
        <f>IF(F679="CJ", COUNTIF(F$5:F679, "CJ"), "")</f>
        <v/>
      </c>
      <c r="S679" t="str">
        <f>IF(F679="Ignacio", COUNTIF(F$5:F679, "Ignacio"), "")</f>
        <v/>
      </c>
      <c r="T679" t="str">
        <f>IF(F679="Tripulacion", COUNTIF(F$5:F679, "Tripulacion"), "")</f>
        <v/>
      </c>
      <c r="U679" t="str">
        <f>IF(F679="ENAP carga", COUNTIF(F$5:F679, "ENAP carga"), "")</f>
        <v/>
      </c>
    </row>
    <row r="680" spans="13:21">
      <c r="M680" s="22" t="str">
        <f t="shared" si="15"/>
        <v/>
      </c>
      <c r="R680" t="str">
        <f>IF(F680="CJ", COUNTIF(F$5:F680, "CJ"), "")</f>
        <v/>
      </c>
      <c r="S680" t="str">
        <f>IF(F680="Ignacio", COUNTIF(F$5:F680, "Ignacio"), "")</f>
        <v/>
      </c>
      <c r="T680" t="str">
        <f>IF(F680="Tripulacion", COUNTIF(F$5:F680, "Tripulacion"), "")</f>
        <v/>
      </c>
      <c r="U680" t="str">
        <f>IF(F680="ENAP carga", COUNTIF(F$5:F680, "ENAP carga"), "")</f>
        <v/>
      </c>
    </row>
    <row r="681" spans="13:21">
      <c r="M681" s="22" t="str">
        <f t="shared" si="15"/>
        <v/>
      </c>
      <c r="R681" t="str">
        <f>IF(F681="CJ", COUNTIF(F$5:F681, "CJ"), "")</f>
        <v/>
      </c>
      <c r="S681" t="str">
        <f>IF(F681="Ignacio", COUNTIF(F$5:F681, "Ignacio"), "")</f>
        <v/>
      </c>
      <c r="T681" t="str">
        <f>IF(F681="Tripulacion", COUNTIF(F$5:F681, "Tripulacion"), "")</f>
        <v/>
      </c>
      <c r="U681" t="str">
        <f>IF(F681="ENAP carga", COUNTIF(F$5:F681, "ENAP carga"), "")</f>
        <v/>
      </c>
    </row>
    <row r="682" spans="13:21">
      <c r="M682" s="22" t="str">
        <f t="shared" si="15"/>
        <v/>
      </c>
      <c r="R682" t="str">
        <f>IF(F682="CJ", COUNTIF(F$5:F682, "CJ"), "")</f>
        <v/>
      </c>
      <c r="S682" t="str">
        <f>IF(F682="Ignacio", COUNTIF(F$5:F682, "Ignacio"), "")</f>
        <v/>
      </c>
      <c r="T682" t="str">
        <f>IF(F682="Tripulacion", COUNTIF(F$5:F682, "Tripulacion"), "")</f>
        <v/>
      </c>
      <c r="U682" t="str">
        <f>IF(F682="ENAP carga", COUNTIF(F$5:F682, "ENAP carga"), "")</f>
        <v/>
      </c>
    </row>
    <row r="683" spans="13:21">
      <c r="M683" s="22" t="str">
        <f t="shared" si="15"/>
        <v/>
      </c>
      <c r="R683" t="str">
        <f>IF(F683="CJ", COUNTIF(F$5:F683, "CJ"), "")</f>
        <v/>
      </c>
      <c r="S683" t="str">
        <f>IF(F683="Ignacio", COUNTIF(F$5:F683, "Ignacio"), "")</f>
        <v/>
      </c>
      <c r="T683" t="str">
        <f>IF(F683="Tripulacion", COUNTIF(F$5:F683, "Tripulacion"), "")</f>
        <v/>
      </c>
      <c r="U683" t="str">
        <f>IF(F683="ENAP carga", COUNTIF(F$5:F683, "ENAP carga"), "")</f>
        <v/>
      </c>
    </row>
    <row r="684" spans="13:21">
      <c r="M684" s="22" t="str">
        <f t="shared" si="15"/>
        <v/>
      </c>
      <c r="R684" t="str">
        <f>IF(F684="CJ", COUNTIF(F$5:F684, "CJ"), "")</f>
        <v/>
      </c>
      <c r="S684" t="str">
        <f>IF(F684="Ignacio", COUNTIF(F$5:F684, "Ignacio"), "")</f>
        <v/>
      </c>
      <c r="T684" t="str">
        <f>IF(F684="Tripulacion", COUNTIF(F$5:F684, "Tripulacion"), "")</f>
        <v/>
      </c>
      <c r="U684" t="str">
        <f>IF(F684="ENAP carga", COUNTIF(F$5:F684, "ENAP carga"), "")</f>
        <v/>
      </c>
    </row>
    <row r="685" spans="13:21">
      <c r="M685" s="22" t="str">
        <f t="shared" si="15"/>
        <v/>
      </c>
      <c r="R685" t="str">
        <f>IF(F685="CJ", COUNTIF(F$5:F685, "CJ"), "")</f>
        <v/>
      </c>
      <c r="S685" t="str">
        <f>IF(F685="Ignacio", COUNTIF(F$5:F685, "Ignacio"), "")</f>
        <v/>
      </c>
      <c r="T685" t="str">
        <f>IF(F685="Tripulacion", COUNTIF(F$5:F685, "Tripulacion"), "")</f>
        <v/>
      </c>
      <c r="U685" t="str">
        <f>IF(F685="ENAP carga", COUNTIF(F$5:F685, "ENAP carga"), "")</f>
        <v/>
      </c>
    </row>
    <row r="686" spans="13:21">
      <c r="M686" s="22" t="str">
        <f t="shared" si="15"/>
        <v/>
      </c>
      <c r="R686" t="str">
        <f>IF(F686="CJ", COUNTIF(F$5:F686, "CJ"), "")</f>
        <v/>
      </c>
      <c r="S686" t="str">
        <f>IF(F686="Ignacio", COUNTIF(F$5:F686, "Ignacio"), "")</f>
        <v/>
      </c>
      <c r="T686" t="str">
        <f>IF(F686="Tripulacion", COUNTIF(F$5:F686, "Tripulacion"), "")</f>
        <v/>
      </c>
      <c r="U686" t="str">
        <f>IF(F686="ENAP carga", COUNTIF(F$5:F686, "ENAP carga"), "")</f>
        <v/>
      </c>
    </row>
    <row r="687" spans="13:21">
      <c r="M687" s="22" t="str">
        <f t="shared" si="15"/>
        <v/>
      </c>
      <c r="R687" t="str">
        <f>IF(F687="CJ", COUNTIF(F$5:F687, "CJ"), "")</f>
        <v/>
      </c>
      <c r="S687" t="str">
        <f>IF(F687="Ignacio", COUNTIF(F$5:F687, "Ignacio"), "")</f>
        <v/>
      </c>
      <c r="T687" t="str">
        <f>IF(F687="Tripulacion", COUNTIF(F$5:F687, "Tripulacion"), "")</f>
        <v/>
      </c>
      <c r="U687" t="str">
        <f>IF(F687="ENAP carga", COUNTIF(F$5:F687, "ENAP carga"), "")</f>
        <v/>
      </c>
    </row>
    <row r="688" spans="13:21">
      <c r="M688" s="22" t="str">
        <f t="shared" si="15"/>
        <v/>
      </c>
      <c r="R688" t="str">
        <f>IF(F688="CJ", COUNTIF(F$5:F688, "CJ"), "")</f>
        <v/>
      </c>
      <c r="S688" t="str">
        <f>IF(F688="Ignacio", COUNTIF(F$5:F688, "Ignacio"), "")</f>
        <v/>
      </c>
      <c r="T688" t="str">
        <f>IF(F688="Tripulacion", COUNTIF(F$5:F688, "Tripulacion"), "")</f>
        <v/>
      </c>
      <c r="U688" t="str">
        <f>IF(F688="ENAP carga", COUNTIF(F$5:F688, "ENAP carga"), "")</f>
        <v/>
      </c>
    </row>
    <row r="689" spans="13:21">
      <c r="M689" s="22" t="str">
        <f t="shared" si="15"/>
        <v/>
      </c>
      <c r="R689" t="str">
        <f>IF(F689="CJ", COUNTIF(F$5:F689, "CJ"), "")</f>
        <v/>
      </c>
      <c r="S689" t="str">
        <f>IF(F689="Ignacio", COUNTIF(F$5:F689, "Ignacio"), "")</f>
        <v/>
      </c>
      <c r="T689" t="str">
        <f>IF(F689="Tripulacion", COUNTIF(F$5:F689, "Tripulacion"), "")</f>
        <v/>
      </c>
      <c r="U689" t="str">
        <f>IF(F689="ENAP carga", COUNTIF(F$5:F689, "ENAP carga"), "")</f>
        <v/>
      </c>
    </row>
    <row r="690" spans="13:21">
      <c r="M690" s="22" t="str">
        <f t="shared" si="15"/>
        <v/>
      </c>
      <c r="R690" t="str">
        <f>IF(F690="CJ", COUNTIF(F$5:F690, "CJ"), "")</f>
        <v/>
      </c>
      <c r="S690" t="str">
        <f>IF(F690="Ignacio", COUNTIF(F$5:F690, "Ignacio"), "")</f>
        <v/>
      </c>
      <c r="T690" t="str">
        <f>IF(F690="Tripulacion", COUNTIF(F$5:F690, "Tripulacion"), "")</f>
        <v/>
      </c>
      <c r="U690" t="str">
        <f>IF(F690="ENAP carga", COUNTIF(F$5:F690, "ENAP carga"), "")</f>
        <v/>
      </c>
    </row>
    <row r="691" spans="13:21">
      <c r="M691" s="22" t="str">
        <f t="shared" si="15"/>
        <v/>
      </c>
      <c r="R691" t="str">
        <f>IF(F691="CJ", COUNTIF(F$5:F691, "CJ"), "")</f>
        <v/>
      </c>
      <c r="S691" t="str">
        <f>IF(F691="Ignacio", COUNTIF(F$5:F691, "Ignacio"), "")</f>
        <v/>
      </c>
      <c r="T691" t="str">
        <f>IF(F691="Tripulacion", COUNTIF(F$5:F691, "Tripulacion"), "")</f>
        <v/>
      </c>
      <c r="U691" t="str">
        <f>IF(F691="ENAP carga", COUNTIF(F$5:F691, "ENAP carga"), "")</f>
        <v/>
      </c>
    </row>
    <row r="692" spans="13:21">
      <c r="M692" s="22" t="str">
        <f t="shared" si="15"/>
        <v/>
      </c>
      <c r="R692" t="str">
        <f>IF(F692="CJ", COUNTIF(F$5:F692, "CJ"), "")</f>
        <v/>
      </c>
      <c r="S692" t="str">
        <f>IF(F692="Ignacio", COUNTIF(F$5:F692, "Ignacio"), "")</f>
        <v/>
      </c>
      <c r="T692" t="str">
        <f>IF(F692="Tripulacion", COUNTIF(F$5:F692, "Tripulacion"), "")</f>
        <v/>
      </c>
      <c r="U692" t="str">
        <f>IF(F692="ENAP carga", COUNTIF(F$5:F692, "ENAP carga"), "")</f>
        <v/>
      </c>
    </row>
    <row r="693" spans="13:21">
      <c r="M693" s="22" t="str">
        <f t="shared" si="15"/>
        <v/>
      </c>
      <c r="R693" t="str">
        <f>IF(F693="CJ", COUNTIF(F$5:F693, "CJ"), "")</f>
        <v/>
      </c>
      <c r="S693" t="str">
        <f>IF(F693="Ignacio", COUNTIF(F$5:F693, "Ignacio"), "")</f>
        <v/>
      </c>
      <c r="T693" t="str">
        <f>IF(F693="Tripulacion", COUNTIF(F$5:F693, "Tripulacion"), "")</f>
        <v/>
      </c>
      <c r="U693" t="str">
        <f>IF(F693="ENAP carga", COUNTIF(F$5:F693, "ENAP carga"), "")</f>
        <v/>
      </c>
    </row>
    <row r="694" spans="13:21">
      <c r="M694" s="22" t="str">
        <f t="shared" si="15"/>
        <v/>
      </c>
      <c r="R694" t="str">
        <f>IF(F694="CJ", COUNTIF(F$5:F694, "CJ"), "")</f>
        <v/>
      </c>
      <c r="S694" t="str">
        <f>IF(F694="Ignacio", COUNTIF(F$5:F694, "Ignacio"), "")</f>
        <v/>
      </c>
      <c r="T694" t="str">
        <f>IF(F694="Tripulacion", COUNTIF(F$5:F694, "Tripulacion"), "")</f>
        <v/>
      </c>
      <c r="U694" t="str">
        <f>IF(F694="ENAP carga", COUNTIF(F$5:F694, "ENAP carga"), "")</f>
        <v/>
      </c>
    </row>
    <row r="695" spans="13:21">
      <c r="M695" s="22" t="str">
        <f t="shared" si="15"/>
        <v/>
      </c>
      <c r="R695" t="str">
        <f>IF(F695="CJ", COUNTIF(F$5:F695, "CJ"), "")</f>
        <v/>
      </c>
      <c r="S695" t="str">
        <f>IF(F695="Ignacio", COUNTIF(F$5:F695, "Ignacio"), "")</f>
        <v/>
      </c>
      <c r="T695" t="str">
        <f>IF(F695="Tripulacion", COUNTIF(F$5:F695, "Tripulacion"), "")</f>
        <v/>
      </c>
      <c r="U695" t="str">
        <f>IF(F695="ENAP carga", COUNTIF(F$5:F695, "ENAP carga"), "")</f>
        <v/>
      </c>
    </row>
    <row r="696" spans="13:21">
      <c r="M696" s="22" t="str">
        <f t="shared" si="15"/>
        <v/>
      </c>
      <c r="R696" t="str">
        <f>IF(F696="CJ", COUNTIF(F$5:F696, "CJ"), "")</f>
        <v/>
      </c>
      <c r="S696" t="str">
        <f>IF(F696="Ignacio", COUNTIF(F$5:F696, "Ignacio"), "")</f>
        <v/>
      </c>
      <c r="T696" t="str">
        <f>IF(F696="Tripulacion", COUNTIF(F$5:F696, "Tripulacion"), "")</f>
        <v/>
      </c>
      <c r="U696" t="str">
        <f>IF(F696="ENAP carga", COUNTIF(F$5:F696, "ENAP carga"), "")</f>
        <v/>
      </c>
    </row>
    <row r="697" spans="13:21">
      <c r="M697" s="22" t="str">
        <f t="shared" si="15"/>
        <v/>
      </c>
      <c r="R697" t="str">
        <f>IF(F697="CJ", COUNTIF(F$5:F697, "CJ"), "")</f>
        <v/>
      </c>
      <c r="S697" t="str">
        <f>IF(F697="Ignacio", COUNTIF(F$5:F697, "Ignacio"), "")</f>
        <v/>
      </c>
      <c r="T697" t="str">
        <f>IF(F697="Tripulacion", COUNTIF(F$5:F697, "Tripulacion"), "")</f>
        <v/>
      </c>
      <c r="U697" t="str">
        <f>IF(F697="ENAP carga", COUNTIF(F$5:F697, "ENAP carga"), "")</f>
        <v/>
      </c>
    </row>
    <row r="698" spans="13:21">
      <c r="M698" s="22" t="str">
        <f t="shared" si="15"/>
        <v/>
      </c>
      <c r="R698" t="str">
        <f>IF(F698="CJ", COUNTIF(F$5:F698, "CJ"), "")</f>
        <v/>
      </c>
      <c r="S698" t="str">
        <f>IF(F698="Ignacio", COUNTIF(F$5:F698, "Ignacio"), "")</f>
        <v/>
      </c>
      <c r="T698" t="str">
        <f>IF(F698="Tripulacion", COUNTIF(F$5:F698, "Tripulacion"), "")</f>
        <v/>
      </c>
      <c r="U698" t="str">
        <f>IF(F698="ENAP carga", COUNTIF(F$5:F698, "ENAP carga"), "")</f>
        <v/>
      </c>
    </row>
    <row r="699" spans="13:21">
      <c r="M699" s="22" t="str">
        <f t="shared" si="15"/>
        <v/>
      </c>
      <c r="R699" t="str">
        <f>IF(F699="CJ", COUNTIF(F$5:F699, "CJ"), "")</f>
        <v/>
      </c>
      <c r="S699" t="str">
        <f>IF(F699="Ignacio", COUNTIF(F$5:F699, "Ignacio"), "")</f>
        <v/>
      </c>
      <c r="T699" t="str">
        <f>IF(F699="Tripulacion", COUNTIF(F$5:F699, "Tripulacion"), "")</f>
        <v/>
      </c>
      <c r="U699" t="str">
        <f>IF(F699="ENAP carga", COUNTIF(F$5:F699, "ENAP carga"), "")</f>
        <v/>
      </c>
    </row>
    <row r="700" spans="13:21">
      <c r="M700" s="22" t="str">
        <f t="shared" si="15"/>
        <v/>
      </c>
      <c r="R700" t="str">
        <f>IF(F700="CJ", COUNTIF(F$5:F700, "CJ"), "")</f>
        <v/>
      </c>
      <c r="S700" t="str">
        <f>IF(F700="Ignacio", COUNTIF(F$5:F700, "Ignacio"), "")</f>
        <v/>
      </c>
      <c r="T700" t="str">
        <f>IF(F700="Tripulacion", COUNTIF(F$5:F700, "Tripulacion"), "")</f>
        <v/>
      </c>
      <c r="U700" t="str">
        <f>IF(F700="ENAP carga", COUNTIF(F$5:F700, "ENAP carga"), "")</f>
        <v/>
      </c>
    </row>
    <row r="701" spans="13:21">
      <c r="M701" s="22" t="str">
        <f t="shared" si="15"/>
        <v/>
      </c>
      <c r="R701" t="str">
        <f>IF(F701="CJ", COUNTIF(F$5:F701, "CJ"), "")</f>
        <v/>
      </c>
      <c r="S701" t="str">
        <f>IF(F701="Ignacio", COUNTIF(F$5:F701, "Ignacio"), "")</f>
        <v/>
      </c>
      <c r="T701" t="str">
        <f>IF(F701="Tripulacion", COUNTIF(F$5:F701, "Tripulacion"), "")</f>
        <v/>
      </c>
      <c r="U701" t="str">
        <f>IF(F701="ENAP carga", COUNTIF(F$5:F701, "ENAP carga"), "")</f>
        <v/>
      </c>
    </row>
    <row r="702" spans="13:21">
      <c r="M702" s="22" t="str">
        <f t="shared" si="15"/>
        <v/>
      </c>
      <c r="R702" t="str">
        <f>IF(F702="CJ", COUNTIF(F$5:F702, "CJ"), "")</f>
        <v/>
      </c>
      <c r="S702" t="str">
        <f>IF(F702="Ignacio", COUNTIF(F$5:F702, "Ignacio"), "")</f>
        <v/>
      </c>
      <c r="T702" t="str">
        <f>IF(F702="Tripulacion", COUNTIF(F$5:F702, "Tripulacion"), "")</f>
        <v/>
      </c>
      <c r="U702" t="str">
        <f>IF(F702="ENAP carga", COUNTIF(F$5:F702, "ENAP carga"), "")</f>
        <v/>
      </c>
    </row>
    <row r="703" spans="13:21">
      <c r="M703" s="22" t="str">
        <f t="shared" si="15"/>
        <v/>
      </c>
      <c r="R703" t="str">
        <f>IF(F703="CJ", COUNTIF(F$5:F703, "CJ"), "")</f>
        <v/>
      </c>
      <c r="S703" t="str">
        <f>IF(F703="Ignacio", COUNTIF(F$5:F703, "Ignacio"), "")</f>
        <v/>
      </c>
      <c r="T703" t="str">
        <f>IF(F703="Tripulacion", COUNTIF(F$5:F703, "Tripulacion"), "")</f>
        <v/>
      </c>
      <c r="U703" t="str">
        <f>IF(F703="ENAP carga", COUNTIF(F$5:F703, "ENAP carga"), "")</f>
        <v/>
      </c>
    </row>
    <row r="704" spans="13:21">
      <c r="M704" s="22" t="str">
        <f t="shared" si="15"/>
        <v/>
      </c>
      <c r="R704" t="str">
        <f>IF(F704="CJ", COUNTIF(F$5:F704, "CJ"), "")</f>
        <v/>
      </c>
      <c r="S704" t="str">
        <f>IF(F704="Ignacio", COUNTIF(F$5:F704, "Ignacio"), "")</f>
        <v/>
      </c>
      <c r="T704" t="str">
        <f>IF(F704="Tripulacion", COUNTIF(F$5:F704, "Tripulacion"), "")</f>
        <v/>
      </c>
      <c r="U704" t="str">
        <f>IF(F704="ENAP carga", COUNTIF(F$5:F704, "ENAP carga"), "")</f>
        <v/>
      </c>
    </row>
    <row r="705" spans="13:21">
      <c r="M705" s="22" t="str">
        <f t="shared" si="15"/>
        <v/>
      </c>
      <c r="R705" t="str">
        <f>IF(F705="CJ", COUNTIF(F$5:F705, "CJ"), "")</f>
        <v/>
      </c>
      <c r="S705" t="str">
        <f>IF(F705="Ignacio", COUNTIF(F$5:F705, "Ignacio"), "")</f>
        <v/>
      </c>
      <c r="T705" t="str">
        <f>IF(F705="Tripulacion", COUNTIF(F$5:F705, "Tripulacion"), "")</f>
        <v/>
      </c>
      <c r="U705" t="str">
        <f>IF(F705="ENAP carga", COUNTIF(F$5:F705, "ENAP carga"), "")</f>
        <v/>
      </c>
    </row>
    <row r="706" spans="13:21">
      <c r="M706" s="22" t="str">
        <f t="shared" si="15"/>
        <v/>
      </c>
      <c r="R706" t="str">
        <f>IF(F706="CJ", COUNTIF(F$5:F706, "CJ"), "")</f>
        <v/>
      </c>
      <c r="S706" t="str">
        <f>IF(F706="Ignacio", COUNTIF(F$5:F706, "Ignacio"), "")</f>
        <v/>
      </c>
      <c r="T706" t="str">
        <f>IF(F706="Tripulacion", COUNTIF(F$5:F706, "Tripulacion"), "")</f>
        <v/>
      </c>
      <c r="U706" t="str">
        <f>IF(F706="ENAP carga", COUNTIF(F$5:F706, "ENAP carga"), "")</f>
        <v/>
      </c>
    </row>
    <row r="707" spans="13:21">
      <c r="M707" s="22" t="str">
        <f t="shared" si="15"/>
        <v/>
      </c>
      <c r="R707" t="str">
        <f>IF(F707="CJ", COUNTIF(F$5:F707, "CJ"), "")</f>
        <v/>
      </c>
      <c r="S707" t="str">
        <f>IF(F707="Ignacio", COUNTIF(F$5:F707, "Ignacio"), "")</f>
        <v/>
      </c>
      <c r="T707" t="str">
        <f>IF(F707="Tripulacion", COUNTIF(F$5:F707, "Tripulacion"), "")</f>
        <v/>
      </c>
      <c r="U707" t="str">
        <f>IF(F707="ENAP carga", COUNTIF(F$5:F707, "ENAP carga"), "")</f>
        <v/>
      </c>
    </row>
    <row r="708" spans="13:21">
      <c r="M708" s="22" t="str">
        <f t="shared" si="15"/>
        <v/>
      </c>
      <c r="R708" t="str">
        <f>IF(F708="CJ", COUNTIF(F$5:F708, "CJ"), "")</f>
        <v/>
      </c>
      <c r="S708" t="str">
        <f>IF(F708="Ignacio", COUNTIF(F$5:F708, "Ignacio"), "")</f>
        <v/>
      </c>
      <c r="T708" t="str">
        <f>IF(F708="Tripulacion", COUNTIF(F$5:F708, "Tripulacion"), "")</f>
        <v/>
      </c>
      <c r="U708" t="str">
        <f>IF(F708="ENAP carga", COUNTIF(F$5:F708, "ENAP carga"), "")</f>
        <v/>
      </c>
    </row>
    <row r="709" spans="13:21">
      <c r="M709" s="22" t="str">
        <f t="shared" si="15"/>
        <v/>
      </c>
      <c r="R709" t="str">
        <f>IF(F709="CJ", COUNTIF(F$5:F709, "CJ"), "")</f>
        <v/>
      </c>
      <c r="S709" t="str">
        <f>IF(F709="Ignacio", COUNTIF(F$5:F709, "Ignacio"), "")</f>
        <v/>
      </c>
      <c r="T709" t="str">
        <f>IF(F709="Tripulacion", COUNTIF(F$5:F709, "Tripulacion"), "")</f>
        <v/>
      </c>
      <c r="U709" t="str">
        <f>IF(F709="ENAP carga", COUNTIF(F$5:F709, "ENAP carga"), "")</f>
        <v/>
      </c>
    </row>
    <row r="710" spans="13:21">
      <c r="M710" s="22" t="str">
        <f t="shared" si="15"/>
        <v/>
      </c>
      <c r="R710" t="str">
        <f>IF(F710="CJ", COUNTIF(F$5:F710, "CJ"), "")</f>
        <v/>
      </c>
      <c r="S710" t="str">
        <f>IF(F710="Ignacio", COUNTIF(F$5:F710, "Ignacio"), "")</f>
        <v/>
      </c>
      <c r="T710" t="str">
        <f>IF(F710="Tripulacion", COUNTIF(F$5:F710, "Tripulacion"), "")</f>
        <v/>
      </c>
      <c r="U710" t="str">
        <f>IF(F710="ENAP carga", COUNTIF(F$5:F710, "ENAP carga"), "")</f>
        <v/>
      </c>
    </row>
    <row r="711" spans="13:21">
      <c r="M711" s="22" t="str">
        <f t="shared" si="15"/>
        <v/>
      </c>
      <c r="R711" t="str">
        <f>IF(F711="CJ", COUNTIF(F$5:F711, "CJ"), "")</f>
        <v/>
      </c>
      <c r="S711" t="str">
        <f>IF(F711="Ignacio", COUNTIF(F$5:F711, "Ignacio"), "")</f>
        <v/>
      </c>
      <c r="T711" t="str">
        <f>IF(F711="Tripulacion", COUNTIF(F$5:F711, "Tripulacion"), "")</f>
        <v/>
      </c>
      <c r="U711" t="str">
        <f>IF(F711="ENAP carga", COUNTIF(F$5:F711, "ENAP carga"), "")</f>
        <v/>
      </c>
    </row>
    <row r="712" spans="13:21">
      <c r="M712" s="22" t="str">
        <f t="shared" si="15"/>
        <v/>
      </c>
      <c r="R712" t="str">
        <f>IF(F712="CJ", COUNTIF(F$5:F712, "CJ"), "")</f>
        <v/>
      </c>
      <c r="S712" t="str">
        <f>IF(F712="Ignacio", COUNTIF(F$5:F712, "Ignacio"), "")</f>
        <v/>
      </c>
      <c r="T712" t="str">
        <f>IF(F712="Tripulacion", COUNTIF(F$5:F712, "Tripulacion"), "")</f>
        <v/>
      </c>
      <c r="U712" t="str">
        <f>IF(F712="ENAP carga", COUNTIF(F$5:F712, "ENAP carga"), "")</f>
        <v/>
      </c>
    </row>
    <row r="713" spans="13:21">
      <c r="M713" s="22" t="str">
        <f t="shared" si="15"/>
        <v/>
      </c>
      <c r="R713" t="str">
        <f>IF(F713="CJ", COUNTIF(F$5:F713, "CJ"), "")</f>
        <v/>
      </c>
      <c r="S713" t="str">
        <f>IF(F713="Ignacio", COUNTIF(F$5:F713, "Ignacio"), "")</f>
        <v/>
      </c>
      <c r="T713" t="str">
        <f>IF(F713="Tripulacion", COUNTIF(F$5:F713, "Tripulacion"), "")</f>
        <v/>
      </c>
      <c r="U713" t="str">
        <f>IF(F713="ENAP carga", COUNTIF(F$5:F713, "ENAP carga"), "")</f>
        <v/>
      </c>
    </row>
    <row r="714" spans="13:21">
      <c r="M714" s="22" t="str">
        <f t="shared" si="15"/>
        <v/>
      </c>
      <c r="R714" t="str">
        <f>IF(F714="CJ", COUNTIF(F$5:F714, "CJ"), "")</f>
        <v/>
      </c>
      <c r="S714" t="str">
        <f>IF(F714="Ignacio", COUNTIF(F$5:F714, "Ignacio"), "")</f>
        <v/>
      </c>
      <c r="T714" t="str">
        <f>IF(F714="Tripulacion", COUNTIF(F$5:F714, "Tripulacion"), "")</f>
        <v/>
      </c>
      <c r="U714" t="str">
        <f>IF(F714="ENAP carga", COUNTIF(F$5:F714, "ENAP carga"), "")</f>
        <v/>
      </c>
    </row>
    <row r="715" spans="13:21">
      <c r="M715" s="22" t="str">
        <f t="shared" si="15"/>
        <v/>
      </c>
      <c r="R715" t="str">
        <f>IF(F715="CJ", COUNTIF(F$5:F715, "CJ"), "")</f>
        <v/>
      </c>
      <c r="S715" t="str">
        <f>IF(F715="Ignacio", COUNTIF(F$5:F715, "Ignacio"), "")</f>
        <v/>
      </c>
      <c r="T715" t="str">
        <f>IF(F715="Tripulacion", COUNTIF(F$5:F715, "Tripulacion"), "")</f>
        <v/>
      </c>
      <c r="U715" t="str">
        <f>IF(F715="ENAP carga", COUNTIF(F$5:F715, "ENAP carga"), "")</f>
        <v/>
      </c>
    </row>
    <row r="716" spans="13:21">
      <c r="M716" s="22" t="str">
        <f t="shared" si="15"/>
        <v/>
      </c>
      <c r="R716" t="str">
        <f>IF(F716="CJ", COUNTIF(F$5:F716, "CJ"), "")</f>
        <v/>
      </c>
      <c r="S716" t="str">
        <f>IF(F716="Ignacio", COUNTIF(F$5:F716, "Ignacio"), "")</f>
        <v/>
      </c>
      <c r="T716" t="str">
        <f>IF(F716="Tripulacion", COUNTIF(F$5:F716, "Tripulacion"), "")</f>
        <v/>
      </c>
      <c r="U716" t="str">
        <f>IF(F716="ENAP carga", COUNTIF(F$5:F716, "ENAP carga"), "")</f>
        <v/>
      </c>
    </row>
    <row r="717" spans="13:21">
      <c r="M717" s="22" t="str">
        <f t="shared" si="15"/>
        <v/>
      </c>
      <c r="R717" t="str">
        <f>IF(F717="CJ", COUNTIF(F$5:F717, "CJ"), "")</f>
        <v/>
      </c>
      <c r="S717" t="str">
        <f>IF(F717="Ignacio", COUNTIF(F$5:F717, "Ignacio"), "")</f>
        <v/>
      </c>
      <c r="T717" t="str">
        <f>IF(F717="Tripulacion", COUNTIF(F$5:F717, "Tripulacion"), "")</f>
        <v/>
      </c>
      <c r="U717" t="str">
        <f>IF(F717="ENAP carga", COUNTIF(F$5:F717, "ENAP carga"), "")</f>
        <v/>
      </c>
    </row>
    <row r="718" spans="13:21">
      <c r="M718" s="22" t="str">
        <f t="shared" si="15"/>
        <v/>
      </c>
      <c r="R718" t="str">
        <f>IF(F718="CJ", COUNTIF(F$5:F718, "CJ"), "")</f>
        <v/>
      </c>
      <c r="S718" t="str">
        <f>IF(F718="Ignacio", COUNTIF(F$5:F718, "Ignacio"), "")</f>
        <v/>
      </c>
      <c r="T718" t="str">
        <f>IF(F718="Tripulacion", COUNTIF(F$5:F718, "Tripulacion"), "")</f>
        <v/>
      </c>
      <c r="U718" t="str">
        <f>IF(F718="ENAP carga", COUNTIF(F$5:F718, "ENAP carga"), "")</f>
        <v/>
      </c>
    </row>
    <row r="719" spans="13:21">
      <c r="M719" s="22" t="str">
        <f t="shared" si="15"/>
        <v/>
      </c>
      <c r="R719" t="str">
        <f>IF(F719="CJ", COUNTIF(F$5:F719, "CJ"), "")</f>
        <v/>
      </c>
      <c r="S719" t="str">
        <f>IF(F719="Ignacio", COUNTIF(F$5:F719, "Ignacio"), "")</f>
        <v/>
      </c>
      <c r="T719" t="str">
        <f>IF(F719="Tripulacion", COUNTIF(F$5:F719, "Tripulacion"), "")</f>
        <v/>
      </c>
      <c r="U719" t="str">
        <f>IF(F719="ENAP carga", COUNTIF(F$5:F719, "ENAP carga"), "")</f>
        <v/>
      </c>
    </row>
    <row r="720" spans="13:21">
      <c r="M720" s="22" t="str">
        <f t="shared" si="15"/>
        <v/>
      </c>
      <c r="R720" t="str">
        <f>IF(F720="CJ", COUNTIF(F$5:F720, "CJ"), "")</f>
        <v/>
      </c>
      <c r="S720" t="str">
        <f>IF(F720="Ignacio", COUNTIF(F$5:F720, "Ignacio"), "")</f>
        <v/>
      </c>
      <c r="T720" t="str">
        <f>IF(F720="Tripulacion", COUNTIF(F$5:F720, "Tripulacion"), "")</f>
        <v/>
      </c>
      <c r="U720" t="str">
        <f>IF(F720="ENAP carga", COUNTIF(F$5:F720, "ENAP carga"), "")</f>
        <v/>
      </c>
    </row>
    <row r="721" spans="13:21">
      <c r="M721" s="22" t="str">
        <f t="shared" si="15"/>
        <v/>
      </c>
      <c r="R721" t="str">
        <f>IF(F721="CJ", COUNTIF(F$5:F721, "CJ"), "")</f>
        <v/>
      </c>
      <c r="S721" t="str">
        <f>IF(F721="Ignacio", COUNTIF(F$5:F721, "Ignacio"), "")</f>
        <v/>
      </c>
      <c r="T721" t="str">
        <f>IF(F721="Tripulacion", COUNTIF(F$5:F721, "Tripulacion"), "")</f>
        <v/>
      </c>
      <c r="U721" t="str">
        <f>IF(F721="ENAP carga", COUNTIF(F$5:F721, "ENAP carga"), "")</f>
        <v/>
      </c>
    </row>
    <row r="722" spans="13:21">
      <c r="M722" s="22" t="str">
        <f t="shared" si="15"/>
        <v/>
      </c>
      <c r="R722" t="str">
        <f>IF(F722="CJ", COUNTIF(F$5:F722, "CJ"), "")</f>
        <v/>
      </c>
      <c r="S722" t="str">
        <f>IF(F722="Ignacio", COUNTIF(F$5:F722, "Ignacio"), "")</f>
        <v/>
      </c>
      <c r="T722" t="str">
        <f>IF(F722="Tripulacion", COUNTIF(F$5:F722, "Tripulacion"), "")</f>
        <v/>
      </c>
      <c r="U722" t="str">
        <f>IF(F722="ENAP carga", COUNTIF(F$5:F722, "ENAP carga"), "")</f>
        <v/>
      </c>
    </row>
    <row r="723" spans="13:21">
      <c r="M723" s="22" t="str">
        <f t="shared" si="15"/>
        <v/>
      </c>
      <c r="R723" t="str">
        <f>IF(F723="CJ", COUNTIF(F$5:F723, "CJ"), "")</f>
        <v/>
      </c>
      <c r="S723" t="str">
        <f>IF(F723="Ignacio", COUNTIF(F$5:F723, "Ignacio"), "")</f>
        <v/>
      </c>
      <c r="T723" t="str">
        <f>IF(F723="Tripulacion", COUNTIF(F$5:F723, "Tripulacion"), "")</f>
        <v/>
      </c>
      <c r="U723" t="str">
        <f>IF(F723="ENAP carga", COUNTIF(F$5:F723, "ENAP carga"), "")</f>
        <v/>
      </c>
    </row>
    <row r="724" spans="13:21">
      <c r="M724" s="22" t="str">
        <f t="shared" si="15"/>
        <v/>
      </c>
      <c r="R724" t="str">
        <f>IF(F724="CJ", COUNTIF(F$5:F724, "CJ"), "")</f>
        <v/>
      </c>
      <c r="S724" t="str">
        <f>IF(F724="Ignacio", COUNTIF(F$5:F724, "Ignacio"), "")</f>
        <v/>
      </c>
      <c r="T724" t="str">
        <f>IF(F724="Tripulacion", COUNTIF(F$5:F724, "Tripulacion"), "")</f>
        <v/>
      </c>
      <c r="U724" t="str">
        <f>IF(F724="ENAP carga", COUNTIF(F$5:F724, "ENAP carga"), "")</f>
        <v/>
      </c>
    </row>
    <row r="725" spans="13:21">
      <c r="M725" s="22" t="str">
        <f t="shared" si="15"/>
        <v/>
      </c>
      <c r="R725" t="str">
        <f>IF(F725="CJ", COUNTIF(F$5:F725, "CJ"), "")</f>
        <v/>
      </c>
      <c r="S725" t="str">
        <f>IF(F725="Ignacio", COUNTIF(F$5:F725, "Ignacio"), "")</f>
        <v/>
      </c>
      <c r="T725" t="str">
        <f>IF(F725="Tripulacion", COUNTIF(F$5:F725, "Tripulacion"), "")</f>
        <v/>
      </c>
      <c r="U725" t="str">
        <f>IF(F725="ENAP carga", COUNTIF(F$5:F725, "ENAP carga"), "")</f>
        <v/>
      </c>
    </row>
    <row r="726" spans="13:21">
      <c r="M726" s="22" t="str">
        <f t="shared" si="15"/>
        <v/>
      </c>
      <c r="R726" t="str">
        <f>IF(F726="CJ", COUNTIF(F$5:F726, "CJ"), "")</f>
        <v/>
      </c>
      <c r="S726" t="str">
        <f>IF(F726="Ignacio", COUNTIF(F$5:F726, "Ignacio"), "")</f>
        <v/>
      </c>
      <c r="T726" t="str">
        <f>IF(F726="Tripulacion", COUNTIF(F$5:F726, "Tripulacion"), "")</f>
        <v/>
      </c>
      <c r="U726" t="str">
        <f>IF(F726="ENAP carga", COUNTIF(F$5:F726, "ENAP carga"), "")</f>
        <v/>
      </c>
    </row>
    <row r="727" spans="13:21">
      <c r="M727" s="22" t="str">
        <f t="shared" si="15"/>
        <v/>
      </c>
      <c r="R727" t="str">
        <f>IF(F727="CJ", COUNTIF(F$5:F727, "CJ"), "")</f>
        <v/>
      </c>
      <c r="S727" t="str">
        <f>IF(F727="Ignacio", COUNTIF(F$5:F727, "Ignacio"), "")</f>
        <v/>
      </c>
      <c r="T727" t="str">
        <f>IF(F727="Tripulacion", COUNTIF(F$5:F727, "Tripulacion"), "")</f>
        <v/>
      </c>
      <c r="U727" t="str">
        <f>IF(F727="ENAP carga", COUNTIF(F$5:F727, "ENAP carga"), "")</f>
        <v/>
      </c>
    </row>
    <row r="728" spans="13:21">
      <c r="M728" s="22" t="str">
        <f t="shared" ref="M728:M791" si="16">IF(F728="CJ", I728*200, "")</f>
        <v/>
      </c>
      <c r="R728" t="str">
        <f>IF(F728="CJ", COUNTIF(F$5:F728, "CJ"), "")</f>
        <v/>
      </c>
      <c r="S728" t="str">
        <f>IF(F728="Ignacio", COUNTIF(F$5:F728, "Ignacio"), "")</f>
        <v/>
      </c>
      <c r="T728" t="str">
        <f>IF(F728="Tripulacion", COUNTIF(F$5:F728, "Tripulacion"), "")</f>
        <v/>
      </c>
      <c r="U728" t="str">
        <f>IF(F728="ENAP carga", COUNTIF(F$5:F728, "ENAP carga"), "")</f>
        <v/>
      </c>
    </row>
    <row r="729" spans="13:21">
      <c r="M729" s="22" t="str">
        <f t="shared" si="16"/>
        <v/>
      </c>
      <c r="R729" t="str">
        <f>IF(F729="CJ", COUNTIF(F$5:F729, "CJ"), "")</f>
        <v/>
      </c>
      <c r="S729" t="str">
        <f>IF(F729="Ignacio", COUNTIF(F$5:F729, "Ignacio"), "")</f>
        <v/>
      </c>
      <c r="T729" t="str">
        <f>IF(F729="Tripulacion", COUNTIF(F$5:F729, "Tripulacion"), "")</f>
        <v/>
      </c>
      <c r="U729" t="str">
        <f>IF(F729="ENAP carga", COUNTIF(F$5:F729, "ENAP carga"), "")</f>
        <v/>
      </c>
    </row>
    <row r="730" spans="13:21">
      <c r="M730" s="22" t="str">
        <f t="shared" si="16"/>
        <v/>
      </c>
      <c r="R730" t="str">
        <f>IF(F730="CJ", COUNTIF(F$5:F730, "CJ"), "")</f>
        <v/>
      </c>
      <c r="S730" t="str">
        <f>IF(F730="Ignacio", COUNTIF(F$5:F730, "Ignacio"), "")</f>
        <v/>
      </c>
      <c r="T730" t="str">
        <f>IF(F730="Tripulacion", COUNTIF(F$5:F730, "Tripulacion"), "")</f>
        <v/>
      </c>
      <c r="U730" t="str">
        <f>IF(F730="ENAP carga", COUNTIF(F$5:F730, "ENAP carga"), "")</f>
        <v/>
      </c>
    </row>
    <row r="731" spans="13:21">
      <c r="M731" s="22" t="str">
        <f t="shared" si="16"/>
        <v/>
      </c>
      <c r="R731" t="str">
        <f>IF(F731="CJ", COUNTIF(F$5:F731, "CJ"), "")</f>
        <v/>
      </c>
      <c r="S731" t="str">
        <f>IF(F731="Ignacio", COUNTIF(F$5:F731, "Ignacio"), "")</f>
        <v/>
      </c>
      <c r="T731" t="str">
        <f>IF(F731="Tripulacion", COUNTIF(F$5:F731, "Tripulacion"), "")</f>
        <v/>
      </c>
      <c r="U731" t="str">
        <f>IF(F731="ENAP carga", COUNTIF(F$5:F731, "ENAP carga"), "")</f>
        <v/>
      </c>
    </row>
    <row r="732" spans="13:21">
      <c r="M732" s="22" t="str">
        <f t="shared" si="16"/>
        <v/>
      </c>
      <c r="R732" t="str">
        <f>IF(F732="CJ", COUNTIF(F$5:F732, "CJ"), "")</f>
        <v/>
      </c>
      <c r="S732" t="str">
        <f>IF(F732="Ignacio", COUNTIF(F$5:F732, "Ignacio"), "")</f>
        <v/>
      </c>
      <c r="T732" t="str">
        <f>IF(F732="Tripulacion", COUNTIF(F$5:F732, "Tripulacion"), "")</f>
        <v/>
      </c>
      <c r="U732" t="str">
        <f>IF(F732="ENAP carga", COUNTIF(F$5:F732, "ENAP carga"), "")</f>
        <v/>
      </c>
    </row>
    <row r="733" spans="13:21">
      <c r="M733" s="22" t="str">
        <f t="shared" si="16"/>
        <v/>
      </c>
      <c r="R733" t="str">
        <f>IF(F733="CJ", COUNTIF(F$5:F733, "CJ"), "")</f>
        <v/>
      </c>
      <c r="S733" t="str">
        <f>IF(F733="Ignacio", COUNTIF(F$5:F733, "Ignacio"), "")</f>
        <v/>
      </c>
      <c r="T733" t="str">
        <f>IF(F733="Tripulacion", COUNTIF(F$5:F733, "Tripulacion"), "")</f>
        <v/>
      </c>
      <c r="U733" t="str">
        <f>IF(F733="ENAP carga", COUNTIF(F$5:F733, "ENAP carga"), "")</f>
        <v/>
      </c>
    </row>
    <row r="734" spans="13:21">
      <c r="M734" s="22" t="str">
        <f t="shared" si="16"/>
        <v/>
      </c>
      <c r="R734" t="str">
        <f>IF(F734="CJ", COUNTIF(F$5:F734, "CJ"), "")</f>
        <v/>
      </c>
      <c r="S734" t="str">
        <f>IF(F734="Ignacio", COUNTIF(F$5:F734, "Ignacio"), "")</f>
        <v/>
      </c>
      <c r="T734" t="str">
        <f>IF(F734="Tripulacion", COUNTIF(F$5:F734, "Tripulacion"), "")</f>
        <v/>
      </c>
      <c r="U734" t="str">
        <f>IF(F734="ENAP carga", COUNTIF(F$5:F734, "ENAP carga"), "")</f>
        <v/>
      </c>
    </row>
    <row r="735" spans="13:21">
      <c r="M735" s="22" t="str">
        <f t="shared" si="16"/>
        <v/>
      </c>
      <c r="R735" t="str">
        <f>IF(F735="CJ", COUNTIF(F$5:F735, "CJ"), "")</f>
        <v/>
      </c>
      <c r="S735" t="str">
        <f>IF(F735="Ignacio", COUNTIF(F$5:F735, "Ignacio"), "")</f>
        <v/>
      </c>
      <c r="T735" t="str">
        <f>IF(F735="Tripulacion", COUNTIF(F$5:F735, "Tripulacion"), "")</f>
        <v/>
      </c>
      <c r="U735" t="str">
        <f>IF(F735="ENAP carga", COUNTIF(F$5:F735, "ENAP carga"), "")</f>
        <v/>
      </c>
    </row>
    <row r="736" spans="13:21">
      <c r="M736" s="22" t="str">
        <f t="shared" si="16"/>
        <v/>
      </c>
      <c r="R736" t="str">
        <f>IF(F736="CJ", COUNTIF(F$5:F736, "CJ"), "")</f>
        <v/>
      </c>
      <c r="S736" t="str">
        <f>IF(F736="Ignacio", COUNTIF(F$5:F736, "Ignacio"), "")</f>
        <v/>
      </c>
      <c r="T736" t="str">
        <f>IF(F736="Tripulacion", COUNTIF(F$5:F736, "Tripulacion"), "")</f>
        <v/>
      </c>
      <c r="U736" t="str">
        <f>IF(F736="ENAP carga", COUNTIF(F$5:F736, "ENAP carga"), "")</f>
        <v/>
      </c>
    </row>
    <row r="737" spans="13:21">
      <c r="M737" s="22" t="str">
        <f t="shared" si="16"/>
        <v/>
      </c>
      <c r="R737" t="str">
        <f>IF(F737="CJ", COUNTIF(F$5:F737, "CJ"), "")</f>
        <v/>
      </c>
      <c r="S737" t="str">
        <f>IF(F737="Ignacio", COUNTIF(F$5:F737, "Ignacio"), "")</f>
        <v/>
      </c>
      <c r="T737" t="str">
        <f>IF(F737="Tripulacion", COUNTIF(F$5:F737, "Tripulacion"), "")</f>
        <v/>
      </c>
      <c r="U737" t="str">
        <f>IF(F737="ENAP carga", COUNTIF(F$5:F737, "ENAP carga"), "")</f>
        <v/>
      </c>
    </row>
    <row r="738" spans="13:21">
      <c r="M738" s="22" t="str">
        <f t="shared" si="16"/>
        <v/>
      </c>
      <c r="R738" t="str">
        <f>IF(F738="CJ", COUNTIF(F$5:F738, "CJ"), "")</f>
        <v/>
      </c>
      <c r="S738" t="str">
        <f>IF(F738="Ignacio", COUNTIF(F$5:F738, "Ignacio"), "")</f>
        <v/>
      </c>
      <c r="T738" t="str">
        <f>IF(F738="Tripulacion", COUNTIF(F$5:F738, "Tripulacion"), "")</f>
        <v/>
      </c>
      <c r="U738" t="str">
        <f>IF(F738="ENAP carga", COUNTIF(F$5:F738, "ENAP carga"), "")</f>
        <v/>
      </c>
    </row>
    <row r="739" spans="13:21">
      <c r="M739" s="22" t="str">
        <f t="shared" si="16"/>
        <v/>
      </c>
      <c r="R739" t="str">
        <f>IF(F739="CJ", COUNTIF(F$5:F739, "CJ"), "")</f>
        <v/>
      </c>
      <c r="S739" t="str">
        <f>IF(F739="Ignacio", COUNTIF(F$5:F739, "Ignacio"), "")</f>
        <v/>
      </c>
      <c r="T739" t="str">
        <f>IF(F739="Tripulacion", COUNTIF(F$5:F739, "Tripulacion"), "")</f>
        <v/>
      </c>
      <c r="U739" t="str">
        <f>IF(F739="ENAP carga", COUNTIF(F$5:F739, "ENAP carga"), "")</f>
        <v/>
      </c>
    </row>
    <row r="740" spans="13:21">
      <c r="M740" s="22" t="str">
        <f t="shared" si="16"/>
        <v/>
      </c>
      <c r="R740" t="str">
        <f>IF(F740="CJ", COUNTIF(F$5:F740, "CJ"), "")</f>
        <v/>
      </c>
      <c r="S740" t="str">
        <f>IF(F740="Ignacio", COUNTIF(F$5:F740, "Ignacio"), "")</f>
        <v/>
      </c>
      <c r="T740" t="str">
        <f>IF(F740="Tripulacion", COUNTIF(F$5:F740, "Tripulacion"), "")</f>
        <v/>
      </c>
      <c r="U740" t="str">
        <f>IF(F740="ENAP carga", COUNTIF(F$5:F740, "ENAP carga"), "")</f>
        <v/>
      </c>
    </row>
    <row r="741" spans="13:21">
      <c r="M741" s="22" t="str">
        <f t="shared" si="16"/>
        <v/>
      </c>
      <c r="R741" t="str">
        <f>IF(F741="CJ", COUNTIF(F$5:F741, "CJ"), "")</f>
        <v/>
      </c>
      <c r="S741" t="str">
        <f>IF(F741="Ignacio", COUNTIF(F$5:F741, "Ignacio"), "")</f>
        <v/>
      </c>
      <c r="T741" t="str">
        <f>IF(F741="Tripulacion", COUNTIF(F$5:F741, "Tripulacion"), "")</f>
        <v/>
      </c>
      <c r="U741" t="str">
        <f>IF(F741="ENAP carga", COUNTIF(F$5:F741, "ENAP carga"), "")</f>
        <v/>
      </c>
    </row>
    <row r="742" spans="13:21">
      <c r="M742" s="22" t="str">
        <f t="shared" si="16"/>
        <v/>
      </c>
      <c r="R742" t="str">
        <f>IF(F742="CJ", COUNTIF(F$5:F742, "CJ"), "")</f>
        <v/>
      </c>
      <c r="S742" t="str">
        <f>IF(F742="Ignacio", COUNTIF(F$5:F742, "Ignacio"), "")</f>
        <v/>
      </c>
      <c r="T742" t="str">
        <f>IF(F742="Tripulacion", COUNTIF(F$5:F742, "Tripulacion"), "")</f>
        <v/>
      </c>
      <c r="U742" t="str">
        <f>IF(F742="ENAP carga", COUNTIF(F$5:F742, "ENAP carga"), "")</f>
        <v/>
      </c>
    </row>
    <row r="743" spans="13:21">
      <c r="M743" s="22" t="str">
        <f t="shared" si="16"/>
        <v/>
      </c>
      <c r="R743" t="str">
        <f>IF(F743="CJ", COUNTIF(F$5:F743, "CJ"), "")</f>
        <v/>
      </c>
      <c r="S743" t="str">
        <f>IF(F743="Ignacio", COUNTIF(F$5:F743, "Ignacio"), "")</f>
        <v/>
      </c>
      <c r="T743" t="str">
        <f>IF(F743="Tripulacion", COUNTIF(F$5:F743, "Tripulacion"), "")</f>
        <v/>
      </c>
      <c r="U743" t="str">
        <f>IF(F743="ENAP carga", COUNTIF(F$5:F743, "ENAP carga"), "")</f>
        <v/>
      </c>
    </row>
    <row r="744" spans="13:21">
      <c r="M744" s="22" t="str">
        <f t="shared" si="16"/>
        <v/>
      </c>
      <c r="R744" t="str">
        <f>IF(F744="CJ", COUNTIF(F$5:F744, "CJ"), "")</f>
        <v/>
      </c>
      <c r="S744" t="str">
        <f>IF(F744="Ignacio", COUNTIF(F$5:F744, "Ignacio"), "")</f>
        <v/>
      </c>
      <c r="T744" t="str">
        <f>IF(F744="Tripulacion", COUNTIF(F$5:F744, "Tripulacion"), "")</f>
        <v/>
      </c>
      <c r="U744" t="str">
        <f>IF(F744="ENAP carga", COUNTIF(F$5:F744, "ENAP carga"), "")</f>
        <v/>
      </c>
    </row>
    <row r="745" spans="13:21">
      <c r="M745" s="22" t="str">
        <f t="shared" si="16"/>
        <v/>
      </c>
      <c r="R745" t="str">
        <f>IF(F745="CJ", COUNTIF(F$5:F745, "CJ"), "")</f>
        <v/>
      </c>
      <c r="S745" t="str">
        <f>IF(F745="Ignacio", COUNTIF(F$5:F745, "Ignacio"), "")</f>
        <v/>
      </c>
      <c r="T745" t="str">
        <f>IF(F745="Tripulacion", COUNTIF(F$5:F745, "Tripulacion"), "")</f>
        <v/>
      </c>
      <c r="U745" t="str">
        <f>IF(F745="ENAP carga", COUNTIF(F$5:F745, "ENAP carga"), "")</f>
        <v/>
      </c>
    </row>
    <row r="746" spans="13:21">
      <c r="M746" s="22" t="str">
        <f t="shared" si="16"/>
        <v/>
      </c>
      <c r="R746" t="str">
        <f>IF(F746="CJ", COUNTIF(F$5:F746, "CJ"), "")</f>
        <v/>
      </c>
      <c r="S746" t="str">
        <f>IF(F746="Ignacio", COUNTIF(F$5:F746, "Ignacio"), "")</f>
        <v/>
      </c>
      <c r="T746" t="str">
        <f>IF(F746="Tripulacion", COUNTIF(F$5:F746, "Tripulacion"), "")</f>
        <v/>
      </c>
      <c r="U746" t="str">
        <f>IF(F746="ENAP carga", COUNTIF(F$5:F746, "ENAP carga"), "")</f>
        <v/>
      </c>
    </row>
    <row r="747" spans="13:21">
      <c r="M747" s="22" t="str">
        <f t="shared" si="16"/>
        <v/>
      </c>
      <c r="R747" t="str">
        <f>IF(F747="CJ", COUNTIF(F$5:F747, "CJ"), "")</f>
        <v/>
      </c>
      <c r="S747" t="str">
        <f>IF(F747="Ignacio", COUNTIF(F$5:F747, "Ignacio"), "")</f>
        <v/>
      </c>
      <c r="T747" t="str">
        <f>IF(F747="Tripulacion", COUNTIF(F$5:F747, "Tripulacion"), "")</f>
        <v/>
      </c>
      <c r="U747" t="str">
        <f>IF(F747="ENAP carga", COUNTIF(F$5:F747, "ENAP carga"), "")</f>
        <v/>
      </c>
    </row>
    <row r="748" spans="13:21">
      <c r="M748" s="22" t="str">
        <f t="shared" si="16"/>
        <v/>
      </c>
      <c r="R748" t="str">
        <f>IF(F748="CJ", COUNTIF(F$5:F748, "CJ"), "")</f>
        <v/>
      </c>
      <c r="S748" t="str">
        <f>IF(F748="Ignacio", COUNTIF(F$5:F748, "Ignacio"), "")</f>
        <v/>
      </c>
      <c r="T748" t="str">
        <f>IF(F748="Tripulacion", COUNTIF(F$5:F748, "Tripulacion"), "")</f>
        <v/>
      </c>
      <c r="U748" t="str">
        <f>IF(F748="ENAP carga", COUNTIF(F$5:F748, "ENAP carga"), "")</f>
        <v/>
      </c>
    </row>
    <row r="749" spans="13:21">
      <c r="M749" s="22" t="str">
        <f t="shared" si="16"/>
        <v/>
      </c>
      <c r="R749" t="str">
        <f>IF(F749="CJ", COUNTIF(F$5:F749, "CJ"), "")</f>
        <v/>
      </c>
      <c r="S749" t="str">
        <f>IF(F749="Ignacio", COUNTIF(F$5:F749, "Ignacio"), "")</f>
        <v/>
      </c>
      <c r="T749" t="str">
        <f>IF(F749="Tripulacion", COUNTIF(F$5:F749, "Tripulacion"), "")</f>
        <v/>
      </c>
      <c r="U749" t="str">
        <f>IF(F749="ENAP carga", COUNTIF(F$5:F749, "ENAP carga"), "")</f>
        <v/>
      </c>
    </row>
    <row r="750" spans="13:21">
      <c r="M750" s="22" t="str">
        <f t="shared" si="16"/>
        <v/>
      </c>
      <c r="R750" t="str">
        <f>IF(F750="CJ", COUNTIF(F$5:F750, "CJ"), "")</f>
        <v/>
      </c>
      <c r="S750" t="str">
        <f>IF(F750="Ignacio", COUNTIF(F$5:F750, "Ignacio"), "")</f>
        <v/>
      </c>
      <c r="T750" t="str">
        <f>IF(F750="Tripulacion", COUNTIF(F$5:F750, "Tripulacion"), "")</f>
        <v/>
      </c>
      <c r="U750" t="str">
        <f>IF(F750="ENAP carga", COUNTIF(F$5:F750, "ENAP carga"), "")</f>
        <v/>
      </c>
    </row>
    <row r="751" spans="13:21">
      <c r="M751" s="22" t="str">
        <f t="shared" si="16"/>
        <v/>
      </c>
      <c r="R751" t="str">
        <f>IF(F751="CJ", COUNTIF(F$5:F751, "CJ"), "")</f>
        <v/>
      </c>
      <c r="S751" t="str">
        <f>IF(F751="Ignacio", COUNTIF(F$5:F751, "Ignacio"), "")</f>
        <v/>
      </c>
      <c r="T751" t="str">
        <f>IF(F751="Tripulacion", COUNTIF(F$5:F751, "Tripulacion"), "")</f>
        <v/>
      </c>
      <c r="U751" t="str">
        <f>IF(F751="ENAP carga", COUNTIF(F$5:F751, "ENAP carga"), "")</f>
        <v/>
      </c>
    </row>
    <row r="752" spans="13:21">
      <c r="M752" s="22" t="str">
        <f t="shared" si="16"/>
        <v/>
      </c>
      <c r="R752" t="str">
        <f>IF(F752="CJ", COUNTIF(F$5:F752, "CJ"), "")</f>
        <v/>
      </c>
      <c r="S752" t="str">
        <f>IF(F752="Ignacio", COUNTIF(F$5:F752, "Ignacio"), "")</f>
        <v/>
      </c>
      <c r="T752" t="str">
        <f>IF(F752="Tripulacion", COUNTIF(F$5:F752, "Tripulacion"), "")</f>
        <v/>
      </c>
      <c r="U752" t="str">
        <f>IF(F752="ENAP carga", COUNTIF(F$5:F752, "ENAP carga"), "")</f>
        <v/>
      </c>
    </row>
    <row r="753" spans="13:21">
      <c r="M753" s="22" t="str">
        <f t="shared" si="16"/>
        <v/>
      </c>
      <c r="R753" t="str">
        <f>IF(F753="CJ", COUNTIF(F$5:F753, "CJ"), "")</f>
        <v/>
      </c>
      <c r="S753" t="str">
        <f>IF(F753="Ignacio", COUNTIF(F$5:F753, "Ignacio"), "")</f>
        <v/>
      </c>
      <c r="T753" t="str">
        <f>IF(F753="Tripulacion", COUNTIF(F$5:F753, "Tripulacion"), "")</f>
        <v/>
      </c>
      <c r="U753" t="str">
        <f>IF(F753="ENAP carga", COUNTIF(F$5:F753, "ENAP carga"), "")</f>
        <v/>
      </c>
    </row>
    <row r="754" spans="13:21">
      <c r="M754" s="22" t="str">
        <f t="shared" si="16"/>
        <v/>
      </c>
      <c r="R754" t="str">
        <f>IF(F754="CJ", COUNTIF(F$5:F754, "CJ"), "")</f>
        <v/>
      </c>
      <c r="S754" t="str">
        <f>IF(F754="Ignacio", COUNTIF(F$5:F754, "Ignacio"), "")</f>
        <v/>
      </c>
      <c r="T754" t="str">
        <f>IF(F754="Tripulacion", COUNTIF(F$5:F754, "Tripulacion"), "")</f>
        <v/>
      </c>
      <c r="U754" t="str">
        <f>IF(F754="ENAP carga", COUNTIF(F$5:F754, "ENAP carga"), "")</f>
        <v/>
      </c>
    </row>
    <row r="755" spans="13:21">
      <c r="M755" s="22" t="str">
        <f t="shared" si="16"/>
        <v/>
      </c>
      <c r="R755" t="str">
        <f>IF(F755="CJ", COUNTIF(F$5:F755, "CJ"), "")</f>
        <v/>
      </c>
      <c r="S755" t="str">
        <f>IF(F755="Ignacio", COUNTIF(F$5:F755, "Ignacio"), "")</f>
        <v/>
      </c>
      <c r="T755" t="str">
        <f>IF(F755="Tripulacion", COUNTIF(F$5:F755, "Tripulacion"), "")</f>
        <v/>
      </c>
      <c r="U755" t="str">
        <f>IF(F755="ENAP carga", COUNTIF(F$5:F755, "ENAP carga"), "")</f>
        <v/>
      </c>
    </row>
    <row r="756" spans="13:21">
      <c r="M756" s="22" t="str">
        <f t="shared" si="16"/>
        <v/>
      </c>
      <c r="R756" t="str">
        <f>IF(F756="CJ", COUNTIF(F$5:F756, "CJ"), "")</f>
        <v/>
      </c>
      <c r="S756" t="str">
        <f>IF(F756="Ignacio", COUNTIF(F$5:F756, "Ignacio"), "")</f>
        <v/>
      </c>
      <c r="T756" t="str">
        <f>IF(F756="Tripulacion", COUNTIF(F$5:F756, "Tripulacion"), "")</f>
        <v/>
      </c>
      <c r="U756" t="str">
        <f>IF(F756="ENAP carga", COUNTIF(F$5:F756, "ENAP carga"), "")</f>
        <v/>
      </c>
    </row>
    <row r="757" spans="13:21">
      <c r="M757" s="22" t="str">
        <f t="shared" si="16"/>
        <v/>
      </c>
      <c r="R757" t="str">
        <f>IF(F757="CJ", COUNTIF(F$5:F757, "CJ"), "")</f>
        <v/>
      </c>
      <c r="S757" t="str">
        <f>IF(F757="Ignacio", COUNTIF(F$5:F757, "Ignacio"), "")</f>
        <v/>
      </c>
      <c r="T757" t="str">
        <f>IF(F757="Tripulacion", COUNTIF(F$5:F757, "Tripulacion"), "")</f>
        <v/>
      </c>
      <c r="U757" t="str">
        <f>IF(F757="ENAP carga", COUNTIF(F$5:F757, "ENAP carga"), "")</f>
        <v/>
      </c>
    </row>
    <row r="758" spans="13:21">
      <c r="M758" s="22" t="str">
        <f t="shared" si="16"/>
        <v/>
      </c>
      <c r="R758" t="str">
        <f>IF(F758="CJ", COUNTIF(F$5:F758, "CJ"), "")</f>
        <v/>
      </c>
      <c r="S758" t="str">
        <f>IF(F758="Ignacio", COUNTIF(F$5:F758, "Ignacio"), "")</f>
        <v/>
      </c>
      <c r="T758" t="str">
        <f>IF(F758="Tripulacion", COUNTIF(F$5:F758, "Tripulacion"), "")</f>
        <v/>
      </c>
      <c r="U758" t="str">
        <f>IF(F758="ENAP carga", COUNTIF(F$5:F758, "ENAP carga"), "")</f>
        <v/>
      </c>
    </row>
    <row r="759" spans="13:21">
      <c r="M759" s="22" t="str">
        <f t="shared" si="16"/>
        <v/>
      </c>
      <c r="R759" t="str">
        <f>IF(F759="CJ", COUNTIF(F$5:F759, "CJ"), "")</f>
        <v/>
      </c>
      <c r="S759" t="str">
        <f>IF(F759="Ignacio", COUNTIF(F$5:F759, "Ignacio"), "")</f>
        <v/>
      </c>
      <c r="T759" t="str">
        <f>IF(F759="Tripulacion", COUNTIF(F$5:F759, "Tripulacion"), "")</f>
        <v/>
      </c>
      <c r="U759" t="str">
        <f>IF(F759="ENAP carga", COUNTIF(F$5:F759, "ENAP carga"), "")</f>
        <v/>
      </c>
    </row>
    <row r="760" spans="13:21">
      <c r="M760" s="22" t="str">
        <f t="shared" si="16"/>
        <v/>
      </c>
      <c r="R760" t="str">
        <f>IF(F760="CJ", COUNTIF(F$5:F760, "CJ"), "")</f>
        <v/>
      </c>
      <c r="S760" t="str">
        <f>IF(F760="Ignacio", COUNTIF(F$5:F760, "Ignacio"), "")</f>
        <v/>
      </c>
      <c r="T760" t="str">
        <f>IF(F760="Tripulacion", COUNTIF(F$5:F760, "Tripulacion"), "")</f>
        <v/>
      </c>
      <c r="U760" t="str">
        <f>IF(F760="ENAP carga", COUNTIF(F$5:F760, "ENAP carga"), "")</f>
        <v/>
      </c>
    </row>
    <row r="761" spans="13:21">
      <c r="M761" s="22" t="str">
        <f t="shared" si="16"/>
        <v/>
      </c>
      <c r="R761" t="str">
        <f>IF(F761="CJ", COUNTIF(F$5:F761, "CJ"), "")</f>
        <v/>
      </c>
      <c r="S761" t="str">
        <f>IF(F761="Ignacio", COUNTIF(F$5:F761, "Ignacio"), "")</f>
        <v/>
      </c>
      <c r="T761" t="str">
        <f>IF(F761="Tripulacion", COUNTIF(F$5:F761, "Tripulacion"), "")</f>
        <v/>
      </c>
      <c r="U761" t="str">
        <f>IF(F761="ENAP carga", COUNTIF(F$5:F761, "ENAP carga"), "")</f>
        <v/>
      </c>
    </row>
    <row r="762" spans="13:21">
      <c r="M762" s="22" t="str">
        <f t="shared" si="16"/>
        <v/>
      </c>
      <c r="R762" t="str">
        <f>IF(F762="CJ", COUNTIF(F$5:F762, "CJ"), "")</f>
        <v/>
      </c>
      <c r="S762" t="str">
        <f>IF(F762="Ignacio", COUNTIF(F$5:F762, "Ignacio"), "")</f>
        <v/>
      </c>
      <c r="T762" t="str">
        <f>IF(F762="Tripulacion", COUNTIF(F$5:F762, "Tripulacion"), "")</f>
        <v/>
      </c>
      <c r="U762" t="str">
        <f>IF(F762="ENAP carga", COUNTIF(F$5:F762, "ENAP carga"), "")</f>
        <v/>
      </c>
    </row>
    <row r="763" spans="13:21">
      <c r="M763" s="22" t="str">
        <f t="shared" si="16"/>
        <v/>
      </c>
      <c r="R763" t="str">
        <f>IF(F763="CJ", COUNTIF(F$5:F763, "CJ"), "")</f>
        <v/>
      </c>
      <c r="S763" t="str">
        <f>IF(F763="Ignacio", COUNTIF(F$5:F763, "Ignacio"), "")</f>
        <v/>
      </c>
      <c r="T763" t="str">
        <f>IF(F763="Tripulacion", COUNTIF(F$5:F763, "Tripulacion"), "")</f>
        <v/>
      </c>
      <c r="U763" t="str">
        <f>IF(F763="ENAP carga", COUNTIF(F$5:F763, "ENAP carga"), "")</f>
        <v/>
      </c>
    </row>
    <row r="764" spans="13:21">
      <c r="M764" s="22" t="str">
        <f t="shared" si="16"/>
        <v/>
      </c>
      <c r="R764" t="str">
        <f>IF(F764="CJ", COUNTIF(F$5:F764, "CJ"), "")</f>
        <v/>
      </c>
      <c r="S764" t="str">
        <f>IF(F764="Ignacio", COUNTIF(F$5:F764, "Ignacio"), "")</f>
        <v/>
      </c>
      <c r="T764" t="str">
        <f>IF(F764="Tripulacion", COUNTIF(F$5:F764, "Tripulacion"), "")</f>
        <v/>
      </c>
      <c r="U764" t="str">
        <f>IF(F764="ENAP carga", COUNTIF(F$5:F764, "ENAP carga"), "")</f>
        <v/>
      </c>
    </row>
    <row r="765" spans="13:21">
      <c r="M765" s="22" t="str">
        <f t="shared" si="16"/>
        <v/>
      </c>
      <c r="R765" t="str">
        <f>IF(F765="CJ", COUNTIF(F$5:F765, "CJ"), "")</f>
        <v/>
      </c>
      <c r="S765" t="str">
        <f>IF(F765="Ignacio", COUNTIF(F$5:F765, "Ignacio"), "")</f>
        <v/>
      </c>
      <c r="T765" t="str">
        <f>IF(F765="Tripulacion", COUNTIF(F$5:F765, "Tripulacion"), "")</f>
        <v/>
      </c>
      <c r="U765" t="str">
        <f>IF(F765="ENAP carga", COUNTIF(F$5:F765, "ENAP carga"), "")</f>
        <v/>
      </c>
    </row>
    <row r="766" spans="13:21">
      <c r="M766" s="22" t="str">
        <f t="shared" si="16"/>
        <v/>
      </c>
      <c r="R766" t="str">
        <f>IF(F766="CJ", COUNTIF(F$5:F766, "CJ"), "")</f>
        <v/>
      </c>
      <c r="S766" t="str">
        <f>IF(F766="Ignacio", COUNTIF(F$5:F766, "Ignacio"), "")</f>
        <v/>
      </c>
      <c r="T766" t="str">
        <f>IF(F766="Tripulacion", COUNTIF(F$5:F766, "Tripulacion"), "")</f>
        <v/>
      </c>
      <c r="U766" t="str">
        <f>IF(F766="ENAP carga", COUNTIF(F$5:F766, "ENAP carga"), "")</f>
        <v/>
      </c>
    </row>
    <row r="767" spans="13:21">
      <c r="M767" s="22" t="str">
        <f t="shared" si="16"/>
        <v/>
      </c>
      <c r="R767" t="str">
        <f>IF(F767="CJ", COUNTIF(F$5:F767, "CJ"), "")</f>
        <v/>
      </c>
      <c r="S767" t="str">
        <f>IF(F767="Ignacio", COUNTIF(F$5:F767, "Ignacio"), "")</f>
        <v/>
      </c>
      <c r="T767" t="str">
        <f>IF(F767="Tripulacion", COUNTIF(F$5:F767, "Tripulacion"), "")</f>
        <v/>
      </c>
      <c r="U767" t="str">
        <f>IF(F767="ENAP carga", COUNTIF(F$5:F767, "ENAP carga"), "")</f>
        <v/>
      </c>
    </row>
    <row r="768" spans="13:21">
      <c r="M768" s="22" t="str">
        <f t="shared" si="16"/>
        <v/>
      </c>
      <c r="R768" t="str">
        <f>IF(F768="CJ", COUNTIF(F$5:F768, "CJ"), "")</f>
        <v/>
      </c>
      <c r="S768" t="str">
        <f>IF(F768="Ignacio", COUNTIF(F$5:F768, "Ignacio"), "")</f>
        <v/>
      </c>
      <c r="T768" t="str">
        <f>IF(F768="Tripulacion", COUNTIF(F$5:F768, "Tripulacion"), "")</f>
        <v/>
      </c>
      <c r="U768" t="str">
        <f>IF(F768="ENAP carga", COUNTIF(F$5:F768, "ENAP carga"), "")</f>
        <v/>
      </c>
    </row>
    <row r="769" spans="13:21">
      <c r="M769" s="22" t="str">
        <f t="shared" si="16"/>
        <v/>
      </c>
      <c r="R769" t="str">
        <f>IF(F769="CJ", COUNTIF(F$5:F769, "CJ"), "")</f>
        <v/>
      </c>
      <c r="S769" t="str">
        <f>IF(F769="Ignacio", COUNTIF(F$5:F769, "Ignacio"), "")</f>
        <v/>
      </c>
      <c r="T769" t="str">
        <f>IF(F769="Tripulacion", COUNTIF(F$5:F769, "Tripulacion"), "")</f>
        <v/>
      </c>
      <c r="U769" t="str">
        <f>IF(F769="ENAP carga", COUNTIF(F$5:F769, "ENAP carga"), "")</f>
        <v/>
      </c>
    </row>
    <row r="770" spans="13:21">
      <c r="M770" s="22" t="str">
        <f t="shared" si="16"/>
        <v/>
      </c>
      <c r="R770" t="str">
        <f>IF(F770="CJ", COUNTIF(F$5:F770, "CJ"), "")</f>
        <v/>
      </c>
      <c r="S770" t="str">
        <f>IF(F770="Ignacio", COUNTIF(F$5:F770, "Ignacio"), "")</f>
        <v/>
      </c>
      <c r="T770" t="str">
        <f>IF(F770="Tripulacion", COUNTIF(F$5:F770, "Tripulacion"), "")</f>
        <v/>
      </c>
      <c r="U770" t="str">
        <f>IF(F770="ENAP carga", COUNTIF(F$5:F770, "ENAP carga"), "")</f>
        <v/>
      </c>
    </row>
    <row r="771" spans="13:21">
      <c r="M771" s="22" t="str">
        <f t="shared" si="16"/>
        <v/>
      </c>
      <c r="R771" t="str">
        <f>IF(F771="CJ", COUNTIF(F$5:F771, "CJ"), "")</f>
        <v/>
      </c>
      <c r="S771" t="str">
        <f>IF(F771="Ignacio", COUNTIF(F$5:F771, "Ignacio"), "")</f>
        <v/>
      </c>
      <c r="T771" t="str">
        <f>IF(F771="Tripulacion", COUNTIF(F$5:F771, "Tripulacion"), "")</f>
        <v/>
      </c>
      <c r="U771" t="str">
        <f>IF(F771="ENAP carga", COUNTIF(F$5:F771, "ENAP carga"), "")</f>
        <v/>
      </c>
    </row>
    <row r="772" spans="13:21">
      <c r="M772" s="22" t="str">
        <f t="shared" si="16"/>
        <v/>
      </c>
      <c r="R772" t="str">
        <f>IF(F772="CJ", COUNTIF(F$5:F772, "CJ"), "")</f>
        <v/>
      </c>
      <c r="S772" t="str">
        <f>IF(F772="Ignacio", COUNTIF(F$5:F772, "Ignacio"), "")</f>
        <v/>
      </c>
      <c r="T772" t="str">
        <f>IF(F772="Tripulacion", COUNTIF(F$5:F772, "Tripulacion"), "")</f>
        <v/>
      </c>
      <c r="U772" t="str">
        <f>IF(F772="ENAP carga", COUNTIF(F$5:F772, "ENAP carga"), "")</f>
        <v/>
      </c>
    </row>
    <row r="773" spans="13:21">
      <c r="M773" s="22" t="str">
        <f t="shared" si="16"/>
        <v/>
      </c>
      <c r="R773" t="str">
        <f>IF(F773="CJ", COUNTIF(F$5:F773, "CJ"), "")</f>
        <v/>
      </c>
      <c r="S773" t="str">
        <f>IF(F773="Ignacio", COUNTIF(F$5:F773, "Ignacio"), "")</f>
        <v/>
      </c>
      <c r="T773" t="str">
        <f>IF(F773="Tripulacion", COUNTIF(F$5:F773, "Tripulacion"), "")</f>
        <v/>
      </c>
      <c r="U773" t="str">
        <f>IF(F773="ENAP carga", COUNTIF(F$5:F773, "ENAP carga"), "")</f>
        <v/>
      </c>
    </row>
    <row r="774" spans="13:21">
      <c r="M774" s="22" t="str">
        <f t="shared" si="16"/>
        <v/>
      </c>
      <c r="R774" t="str">
        <f>IF(F774="CJ", COUNTIF(F$5:F774, "CJ"), "")</f>
        <v/>
      </c>
      <c r="S774" t="str">
        <f>IF(F774="Ignacio", COUNTIF(F$5:F774, "Ignacio"), "")</f>
        <v/>
      </c>
      <c r="T774" t="str">
        <f>IF(F774="Tripulacion", COUNTIF(F$5:F774, "Tripulacion"), "")</f>
        <v/>
      </c>
      <c r="U774" t="str">
        <f>IF(F774="ENAP carga", COUNTIF(F$5:F774, "ENAP carga"), "")</f>
        <v/>
      </c>
    </row>
    <row r="775" spans="13:21">
      <c r="M775" s="22" t="str">
        <f t="shared" si="16"/>
        <v/>
      </c>
      <c r="R775" t="str">
        <f>IF(F775="CJ", COUNTIF(F$5:F775, "CJ"), "")</f>
        <v/>
      </c>
      <c r="S775" t="str">
        <f>IF(F775="Ignacio", COUNTIF(F$5:F775, "Ignacio"), "")</f>
        <v/>
      </c>
      <c r="T775" t="str">
        <f>IF(F775="Tripulacion", COUNTIF(F$5:F775, "Tripulacion"), "")</f>
        <v/>
      </c>
      <c r="U775" t="str">
        <f>IF(F775="ENAP carga", COUNTIF(F$5:F775, "ENAP carga"), "")</f>
        <v/>
      </c>
    </row>
    <row r="776" spans="13:21">
      <c r="M776" s="22" t="str">
        <f t="shared" si="16"/>
        <v/>
      </c>
      <c r="R776" t="str">
        <f>IF(F776="CJ", COUNTIF(F$5:F776, "CJ"), "")</f>
        <v/>
      </c>
      <c r="S776" t="str">
        <f>IF(F776="Ignacio", COUNTIF(F$5:F776, "Ignacio"), "")</f>
        <v/>
      </c>
      <c r="T776" t="str">
        <f>IF(F776="Tripulacion", COUNTIF(F$5:F776, "Tripulacion"), "")</f>
        <v/>
      </c>
      <c r="U776" t="str">
        <f>IF(F776="ENAP carga", COUNTIF(F$5:F776, "ENAP carga"), "")</f>
        <v/>
      </c>
    </row>
    <row r="777" spans="13:21">
      <c r="M777" s="22" t="str">
        <f t="shared" si="16"/>
        <v/>
      </c>
      <c r="R777" t="str">
        <f>IF(F777="CJ", COUNTIF(F$5:F777, "CJ"), "")</f>
        <v/>
      </c>
      <c r="S777" t="str">
        <f>IF(F777="Ignacio", COUNTIF(F$5:F777, "Ignacio"), "")</f>
        <v/>
      </c>
      <c r="T777" t="str">
        <f>IF(F777="Tripulacion", COUNTIF(F$5:F777, "Tripulacion"), "")</f>
        <v/>
      </c>
      <c r="U777" t="str">
        <f>IF(F777="ENAP carga", COUNTIF(F$5:F777, "ENAP carga"), "")</f>
        <v/>
      </c>
    </row>
    <row r="778" spans="13:21">
      <c r="M778" s="22" t="str">
        <f t="shared" si="16"/>
        <v/>
      </c>
      <c r="R778" t="str">
        <f>IF(F778="CJ", COUNTIF(F$5:F778, "CJ"), "")</f>
        <v/>
      </c>
      <c r="S778" t="str">
        <f>IF(F778="Ignacio", COUNTIF(F$5:F778, "Ignacio"), "")</f>
        <v/>
      </c>
      <c r="T778" t="str">
        <f>IF(F778="Tripulacion", COUNTIF(F$5:F778, "Tripulacion"), "")</f>
        <v/>
      </c>
      <c r="U778" t="str">
        <f>IF(F778="ENAP carga", COUNTIF(F$5:F778, "ENAP carga"), "")</f>
        <v/>
      </c>
    </row>
    <row r="779" spans="13:21">
      <c r="M779" s="22" t="str">
        <f t="shared" si="16"/>
        <v/>
      </c>
      <c r="R779" t="str">
        <f>IF(F779="CJ", COUNTIF(F$5:F779, "CJ"), "")</f>
        <v/>
      </c>
      <c r="S779" t="str">
        <f>IF(F779="Ignacio", COUNTIF(F$5:F779, "Ignacio"), "")</f>
        <v/>
      </c>
      <c r="T779" t="str">
        <f>IF(F779="Tripulacion", COUNTIF(F$5:F779, "Tripulacion"), "")</f>
        <v/>
      </c>
      <c r="U779" t="str">
        <f>IF(F779="ENAP carga", COUNTIF(F$5:F779, "ENAP carga"), "")</f>
        <v/>
      </c>
    </row>
    <row r="780" spans="13:21">
      <c r="M780" s="22" t="str">
        <f t="shared" si="16"/>
        <v/>
      </c>
      <c r="R780" t="str">
        <f>IF(F780="CJ", COUNTIF(F$5:F780, "CJ"), "")</f>
        <v/>
      </c>
      <c r="S780" t="str">
        <f>IF(F780="Ignacio", COUNTIF(F$5:F780, "Ignacio"), "")</f>
        <v/>
      </c>
      <c r="T780" t="str">
        <f>IF(F780="Tripulacion", COUNTIF(F$5:F780, "Tripulacion"), "")</f>
        <v/>
      </c>
      <c r="U780" t="str">
        <f>IF(F780="ENAP carga", COUNTIF(F$5:F780, "ENAP carga"), "")</f>
        <v/>
      </c>
    </row>
    <row r="781" spans="13:21">
      <c r="M781" s="22" t="str">
        <f t="shared" si="16"/>
        <v/>
      </c>
      <c r="R781" t="str">
        <f>IF(F781="CJ", COUNTIF(F$5:F781, "CJ"), "")</f>
        <v/>
      </c>
      <c r="S781" t="str">
        <f>IF(F781="Ignacio", COUNTIF(F$5:F781, "Ignacio"), "")</f>
        <v/>
      </c>
      <c r="T781" t="str">
        <f>IF(F781="Tripulacion", COUNTIF(F$5:F781, "Tripulacion"), "")</f>
        <v/>
      </c>
      <c r="U781" t="str">
        <f>IF(F781="ENAP carga", COUNTIF(F$5:F781, "ENAP carga"), "")</f>
        <v/>
      </c>
    </row>
    <row r="782" spans="13:21">
      <c r="M782" s="22" t="str">
        <f t="shared" si="16"/>
        <v/>
      </c>
      <c r="R782" t="str">
        <f>IF(F782="CJ", COUNTIF(F$5:F782, "CJ"), "")</f>
        <v/>
      </c>
      <c r="S782" t="str">
        <f>IF(F782="Ignacio", COUNTIF(F$5:F782, "Ignacio"), "")</f>
        <v/>
      </c>
      <c r="T782" t="str">
        <f>IF(F782="Tripulacion", COUNTIF(F$5:F782, "Tripulacion"), "")</f>
        <v/>
      </c>
      <c r="U782" t="str">
        <f>IF(F782="ENAP carga", COUNTIF(F$5:F782, "ENAP carga"), "")</f>
        <v/>
      </c>
    </row>
    <row r="783" spans="13:21">
      <c r="M783" s="22" t="str">
        <f t="shared" si="16"/>
        <v/>
      </c>
      <c r="R783" t="str">
        <f>IF(F783="CJ", COUNTIF(F$5:F783, "CJ"), "")</f>
        <v/>
      </c>
      <c r="S783" t="str">
        <f>IF(F783="Ignacio", COUNTIF(F$5:F783, "Ignacio"), "")</f>
        <v/>
      </c>
      <c r="T783" t="str">
        <f>IF(F783="Tripulacion", COUNTIF(F$5:F783, "Tripulacion"), "")</f>
        <v/>
      </c>
      <c r="U783" t="str">
        <f>IF(F783="ENAP carga", COUNTIF(F$5:F783, "ENAP carga"), "")</f>
        <v/>
      </c>
    </row>
    <row r="784" spans="13:21">
      <c r="M784" s="22" t="str">
        <f t="shared" si="16"/>
        <v/>
      </c>
      <c r="R784" t="str">
        <f>IF(F784="CJ", COUNTIF(F$5:F784, "CJ"), "")</f>
        <v/>
      </c>
      <c r="S784" t="str">
        <f>IF(F784="Ignacio", COUNTIF(F$5:F784, "Ignacio"), "")</f>
        <v/>
      </c>
      <c r="T784" t="str">
        <f>IF(F784="Tripulacion", COUNTIF(F$5:F784, "Tripulacion"), "")</f>
        <v/>
      </c>
      <c r="U784" t="str">
        <f>IF(F784="ENAP carga", COUNTIF(F$5:F784, "ENAP carga"), "")</f>
        <v/>
      </c>
    </row>
    <row r="785" spans="13:21">
      <c r="M785" s="22" t="str">
        <f t="shared" si="16"/>
        <v/>
      </c>
      <c r="R785" t="str">
        <f>IF(F785="CJ", COUNTIF(F$5:F785, "CJ"), "")</f>
        <v/>
      </c>
      <c r="S785" t="str">
        <f>IF(F785="Ignacio", COUNTIF(F$5:F785, "Ignacio"), "")</f>
        <v/>
      </c>
      <c r="T785" t="str">
        <f>IF(F785="Tripulacion", COUNTIF(F$5:F785, "Tripulacion"), "")</f>
        <v/>
      </c>
      <c r="U785" t="str">
        <f>IF(F785="ENAP carga", COUNTIF(F$5:F785, "ENAP carga"), "")</f>
        <v/>
      </c>
    </row>
    <row r="786" spans="13:21">
      <c r="M786" s="22" t="str">
        <f t="shared" si="16"/>
        <v/>
      </c>
      <c r="R786" t="str">
        <f>IF(F786="CJ", COUNTIF(F$5:F786, "CJ"), "")</f>
        <v/>
      </c>
      <c r="S786" t="str">
        <f>IF(F786="Ignacio", COUNTIF(F$5:F786, "Ignacio"), "")</f>
        <v/>
      </c>
      <c r="T786" t="str">
        <f>IF(F786="Tripulacion", COUNTIF(F$5:F786, "Tripulacion"), "")</f>
        <v/>
      </c>
      <c r="U786" t="str">
        <f>IF(F786="ENAP carga", COUNTIF(F$5:F786, "ENAP carga"), "")</f>
        <v/>
      </c>
    </row>
    <row r="787" spans="13:21">
      <c r="M787" s="22" t="str">
        <f t="shared" si="16"/>
        <v/>
      </c>
      <c r="R787" t="str">
        <f>IF(F787="CJ", COUNTIF(F$5:F787, "CJ"), "")</f>
        <v/>
      </c>
      <c r="S787" t="str">
        <f>IF(F787="Ignacio", COUNTIF(F$5:F787, "Ignacio"), "")</f>
        <v/>
      </c>
      <c r="T787" t="str">
        <f>IF(F787="Tripulacion", COUNTIF(F$5:F787, "Tripulacion"), "")</f>
        <v/>
      </c>
      <c r="U787" t="str">
        <f>IF(F787="ENAP carga", COUNTIF(F$5:F787, "ENAP carga"), "")</f>
        <v/>
      </c>
    </row>
    <row r="788" spans="13:21">
      <c r="M788" s="22" t="str">
        <f t="shared" si="16"/>
        <v/>
      </c>
      <c r="R788" t="str">
        <f>IF(F788="CJ", COUNTIF(F$5:F788, "CJ"), "")</f>
        <v/>
      </c>
      <c r="S788" t="str">
        <f>IF(F788="Ignacio", COUNTIF(F$5:F788, "Ignacio"), "")</f>
        <v/>
      </c>
      <c r="T788" t="str">
        <f>IF(F788="Tripulacion", COUNTIF(F$5:F788, "Tripulacion"), "")</f>
        <v/>
      </c>
      <c r="U788" t="str">
        <f>IF(F788="ENAP carga", COUNTIF(F$5:F788, "ENAP carga"), "")</f>
        <v/>
      </c>
    </row>
    <row r="789" spans="13:21">
      <c r="M789" s="22" t="str">
        <f t="shared" si="16"/>
        <v/>
      </c>
      <c r="R789" t="str">
        <f>IF(F789="CJ", COUNTIF(F$5:F789, "CJ"), "")</f>
        <v/>
      </c>
      <c r="S789" t="str">
        <f>IF(F789="Ignacio", COUNTIF(F$5:F789, "Ignacio"), "")</f>
        <v/>
      </c>
      <c r="T789" t="str">
        <f>IF(F789="Tripulacion", COUNTIF(F$5:F789, "Tripulacion"), "")</f>
        <v/>
      </c>
      <c r="U789" t="str">
        <f>IF(F789="ENAP carga", COUNTIF(F$5:F789, "ENAP carga"), "")</f>
        <v/>
      </c>
    </row>
    <row r="790" spans="13:21">
      <c r="M790" s="22" t="str">
        <f t="shared" si="16"/>
        <v/>
      </c>
      <c r="R790" t="str">
        <f>IF(F790="CJ", COUNTIF(F$5:F790, "CJ"), "")</f>
        <v/>
      </c>
      <c r="S790" t="str">
        <f>IF(F790="Ignacio", COUNTIF(F$5:F790, "Ignacio"), "")</f>
        <v/>
      </c>
      <c r="T790" t="str">
        <f>IF(F790="Tripulacion", COUNTIF(F$5:F790, "Tripulacion"), "")</f>
        <v/>
      </c>
      <c r="U790" t="str">
        <f>IF(F790="ENAP carga", COUNTIF(F$5:F790, "ENAP carga"), "")</f>
        <v/>
      </c>
    </row>
    <row r="791" spans="13:21">
      <c r="M791" s="22" t="str">
        <f t="shared" si="16"/>
        <v/>
      </c>
      <c r="R791" t="str">
        <f>IF(F791="CJ", COUNTIF(F$5:F791, "CJ"), "")</f>
        <v/>
      </c>
      <c r="S791" t="str">
        <f>IF(F791="Ignacio", COUNTIF(F$5:F791, "Ignacio"), "")</f>
        <v/>
      </c>
      <c r="T791" t="str">
        <f>IF(F791="Tripulacion", COUNTIF(F$5:F791, "Tripulacion"), "")</f>
        <v/>
      </c>
      <c r="U791" t="str">
        <f>IF(F791="ENAP carga", COUNTIF(F$5:F791, "ENAP carga"), "")</f>
        <v/>
      </c>
    </row>
    <row r="792" spans="13:21">
      <c r="M792" s="22" t="str">
        <f t="shared" ref="M792:M855" si="17">IF(F792="CJ", I792*200, "")</f>
        <v/>
      </c>
      <c r="R792" t="str">
        <f>IF(F792="CJ", COUNTIF(F$5:F792, "CJ"), "")</f>
        <v/>
      </c>
      <c r="S792" t="str">
        <f>IF(F792="Ignacio", COUNTIF(F$5:F792, "Ignacio"), "")</f>
        <v/>
      </c>
      <c r="T792" t="str">
        <f>IF(F792="Tripulacion", COUNTIF(F$5:F792, "Tripulacion"), "")</f>
        <v/>
      </c>
      <c r="U792" t="str">
        <f>IF(F792="ENAP carga", COUNTIF(F$5:F792, "ENAP carga"), "")</f>
        <v/>
      </c>
    </row>
    <row r="793" spans="13:21">
      <c r="M793" s="22" t="str">
        <f t="shared" si="17"/>
        <v/>
      </c>
      <c r="R793" t="str">
        <f>IF(F793="CJ", COUNTIF(F$5:F793, "CJ"), "")</f>
        <v/>
      </c>
      <c r="S793" t="str">
        <f>IF(F793="Ignacio", COUNTIF(F$5:F793, "Ignacio"), "")</f>
        <v/>
      </c>
      <c r="T793" t="str">
        <f>IF(F793="Tripulacion", COUNTIF(F$5:F793, "Tripulacion"), "")</f>
        <v/>
      </c>
      <c r="U793" t="str">
        <f>IF(F793="ENAP carga", COUNTIF(F$5:F793, "ENAP carga"), "")</f>
        <v/>
      </c>
    </row>
    <row r="794" spans="13:21">
      <c r="M794" s="22" t="str">
        <f t="shared" si="17"/>
        <v/>
      </c>
      <c r="R794" t="str">
        <f>IF(F794="CJ", COUNTIF(F$5:F794, "CJ"), "")</f>
        <v/>
      </c>
      <c r="S794" t="str">
        <f>IF(F794="Ignacio", COUNTIF(F$5:F794, "Ignacio"), "")</f>
        <v/>
      </c>
      <c r="T794" t="str">
        <f>IF(F794="Tripulacion", COUNTIF(F$5:F794, "Tripulacion"), "")</f>
        <v/>
      </c>
      <c r="U794" t="str">
        <f>IF(F794="ENAP carga", COUNTIF(F$5:F794, "ENAP carga"), "")</f>
        <v/>
      </c>
    </row>
    <row r="795" spans="13:21">
      <c r="M795" s="22" t="str">
        <f t="shared" si="17"/>
        <v/>
      </c>
      <c r="R795" t="str">
        <f>IF(F795="CJ", COUNTIF(F$5:F795, "CJ"), "")</f>
        <v/>
      </c>
      <c r="S795" t="str">
        <f>IF(F795="Ignacio", COUNTIF(F$5:F795, "Ignacio"), "")</f>
        <v/>
      </c>
      <c r="T795" t="str">
        <f>IF(F795="Tripulacion", COUNTIF(F$5:F795, "Tripulacion"), "")</f>
        <v/>
      </c>
      <c r="U795" t="str">
        <f>IF(F795="ENAP carga", COUNTIF(F$5:F795, "ENAP carga"), "")</f>
        <v/>
      </c>
    </row>
    <row r="796" spans="13:21">
      <c r="M796" s="22" t="str">
        <f t="shared" si="17"/>
        <v/>
      </c>
      <c r="R796" t="str">
        <f>IF(F796="CJ", COUNTIF(F$5:F796, "CJ"), "")</f>
        <v/>
      </c>
      <c r="S796" t="str">
        <f>IF(F796="Ignacio", COUNTIF(F$5:F796, "Ignacio"), "")</f>
        <v/>
      </c>
      <c r="T796" t="str">
        <f>IF(F796="Tripulacion", COUNTIF(F$5:F796, "Tripulacion"), "")</f>
        <v/>
      </c>
      <c r="U796" t="str">
        <f>IF(F796="ENAP carga", COUNTIF(F$5:F796, "ENAP carga"), "")</f>
        <v/>
      </c>
    </row>
    <row r="797" spans="13:21">
      <c r="M797" s="22" t="str">
        <f t="shared" si="17"/>
        <v/>
      </c>
      <c r="R797" t="str">
        <f>IF(F797="CJ", COUNTIF(F$5:F797, "CJ"), "")</f>
        <v/>
      </c>
      <c r="S797" t="str">
        <f>IF(F797="Ignacio", COUNTIF(F$5:F797, "Ignacio"), "")</f>
        <v/>
      </c>
      <c r="T797" t="str">
        <f>IF(F797="Tripulacion", COUNTIF(F$5:F797, "Tripulacion"), "")</f>
        <v/>
      </c>
      <c r="U797" t="str">
        <f>IF(F797="ENAP carga", COUNTIF(F$5:F797, "ENAP carga"), "")</f>
        <v/>
      </c>
    </row>
    <row r="798" spans="13:21">
      <c r="M798" s="22" t="str">
        <f t="shared" si="17"/>
        <v/>
      </c>
      <c r="R798" t="str">
        <f>IF(F798="CJ", COUNTIF(F$5:F798, "CJ"), "")</f>
        <v/>
      </c>
      <c r="S798" t="str">
        <f>IF(F798="Ignacio", COUNTIF(F$5:F798, "Ignacio"), "")</f>
        <v/>
      </c>
      <c r="T798" t="str">
        <f>IF(F798="Tripulacion", COUNTIF(F$5:F798, "Tripulacion"), "")</f>
        <v/>
      </c>
      <c r="U798" t="str">
        <f>IF(F798="ENAP carga", COUNTIF(F$5:F798, "ENAP carga"), "")</f>
        <v/>
      </c>
    </row>
    <row r="799" spans="13:21">
      <c r="M799" s="22" t="str">
        <f t="shared" si="17"/>
        <v/>
      </c>
      <c r="R799" t="str">
        <f>IF(F799="CJ", COUNTIF(F$5:F799, "CJ"), "")</f>
        <v/>
      </c>
      <c r="S799" t="str">
        <f>IF(F799="Ignacio", COUNTIF(F$5:F799, "Ignacio"), "")</f>
        <v/>
      </c>
      <c r="T799" t="str">
        <f>IF(F799="Tripulacion", COUNTIF(F$5:F799, "Tripulacion"), "")</f>
        <v/>
      </c>
      <c r="U799" t="str">
        <f>IF(F799="ENAP carga", COUNTIF(F$5:F799, "ENAP carga"), "")</f>
        <v/>
      </c>
    </row>
    <row r="800" spans="13:21">
      <c r="M800" s="22" t="str">
        <f t="shared" si="17"/>
        <v/>
      </c>
      <c r="R800" t="str">
        <f>IF(F800="CJ", COUNTIF(F$5:F800, "CJ"), "")</f>
        <v/>
      </c>
      <c r="S800" t="str">
        <f>IF(F800="Ignacio", COUNTIF(F$5:F800, "Ignacio"), "")</f>
        <v/>
      </c>
      <c r="T800" t="str">
        <f>IF(F800="Tripulacion", COUNTIF(F$5:F800, "Tripulacion"), "")</f>
        <v/>
      </c>
      <c r="U800" t="str">
        <f>IF(F800="ENAP carga", COUNTIF(F$5:F800, "ENAP carga"), "")</f>
        <v/>
      </c>
    </row>
    <row r="801" spans="13:21">
      <c r="M801" s="22" t="str">
        <f t="shared" si="17"/>
        <v/>
      </c>
      <c r="R801" t="str">
        <f>IF(F801="CJ", COUNTIF(F$5:F801, "CJ"), "")</f>
        <v/>
      </c>
      <c r="S801" t="str">
        <f>IF(F801="Ignacio", COUNTIF(F$5:F801, "Ignacio"), "")</f>
        <v/>
      </c>
      <c r="T801" t="str">
        <f>IF(F801="Tripulacion", COUNTIF(F$5:F801, "Tripulacion"), "")</f>
        <v/>
      </c>
      <c r="U801" t="str">
        <f>IF(F801="ENAP carga", COUNTIF(F$5:F801, "ENAP carga"), "")</f>
        <v/>
      </c>
    </row>
    <row r="802" spans="13:21">
      <c r="M802" s="22" t="str">
        <f t="shared" si="17"/>
        <v/>
      </c>
      <c r="R802" t="str">
        <f>IF(F802="CJ", COUNTIF(F$5:F802, "CJ"), "")</f>
        <v/>
      </c>
      <c r="S802" t="str">
        <f>IF(F802="Ignacio", COUNTIF(F$5:F802, "Ignacio"), "")</f>
        <v/>
      </c>
      <c r="T802" t="str">
        <f>IF(F802="Tripulacion", COUNTIF(F$5:F802, "Tripulacion"), "")</f>
        <v/>
      </c>
      <c r="U802" t="str">
        <f>IF(F802="ENAP carga", COUNTIF(F$5:F802, "ENAP carga"), "")</f>
        <v/>
      </c>
    </row>
    <row r="803" spans="13:21">
      <c r="M803" s="22" t="str">
        <f t="shared" si="17"/>
        <v/>
      </c>
      <c r="R803" t="str">
        <f>IF(F803="CJ", COUNTIF(F$5:F803, "CJ"), "")</f>
        <v/>
      </c>
      <c r="S803" t="str">
        <f>IF(F803="Ignacio", COUNTIF(F$5:F803, "Ignacio"), "")</f>
        <v/>
      </c>
      <c r="T803" t="str">
        <f>IF(F803="Tripulacion", COUNTIF(F$5:F803, "Tripulacion"), "")</f>
        <v/>
      </c>
      <c r="U803" t="str">
        <f>IF(F803="ENAP carga", COUNTIF(F$5:F803, "ENAP carga"), "")</f>
        <v/>
      </c>
    </row>
    <row r="804" spans="13:21">
      <c r="M804" s="22" t="str">
        <f t="shared" si="17"/>
        <v/>
      </c>
      <c r="R804" t="str">
        <f>IF(F804="CJ", COUNTIF(F$5:F804, "CJ"), "")</f>
        <v/>
      </c>
      <c r="S804" t="str">
        <f>IF(F804="Ignacio", COUNTIF(F$5:F804, "Ignacio"), "")</f>
        <v/>
      </c>
      <c r="T804" t="str">
        <f>IF(F804="Tripulacion", COUNTIF(F$5:F804, "Tripulacion"), "")</f>
        <v/>
      </c>
      <c r="U804" t="str">
        <f>IF(F804="ENAP carga", COUNTIF(F$5:F804, "ENAP carga"), "")</f>
        <v/>
      </c>
    </row>
    <row r="805" spans="13:21">
      <c r="M805" s="22" t="str">
        <f t="shared" si="17"/>
        <v/>
      </c>
      <c r="R805" t="str">
        <f>IF(F805="CJ", COUNTIF(F$5:F805, "CJ"), "")</f>
        <v/>
      </c>
      <c r="S805" t="str">
        <f>IF(F805="Ignacio", COUNTIF(F$5:F805, "Ignacio"), "")</f>
        <v/>
      </c>
      <c r="T805" t="str">
        <f>IF(F805="Tripulacion", COUNTIF(F$5:F805, "Tripulacion"), "")</f>
        <v/>
      </c>
      <c r="U805" t="str">
        <f>IF(F805="ENAP carga", COUNTIF(F$5:F805, "ENAP carga"), "")</f>
        <v/>
      </c>
    </row>
    <row r="806" spans="13:21">
      <c r="M806" s="22" t="str">
        <f t="shared" si="17"/>
        <v/>
      </c>
      <c r="R806" t="str">
        <f>IF(F806="CJ", COUNTIF(F$5:F806, "CJ"), "")</f>
        <v/>
      </c>
      <c r="S806" t="str">
        <f>IF(F806="Ignacio", COUNTIF(F$5:F806, "Ignacio"), "")</f>
        <v/>
      </c>
      <c r="T806" t="str">
        <f>IF(F806="Tripulacion", COUNTIF(F$5:F806, "Tripulacion"), "")</f>
        <v/>
      </c>
      <c r="U806" t="str">
        <f>IF(F806="ENAP carga", COUNTIF(F$5:F806, "ENAP carga"), "")</f>
        <v/>
      </c>
    </row>
    <row r="807" spans="13:21">
      <c r="M807" s="22" t="str">
        <f t="shared" si="17"/>
        <v/>
      </c>
      <c r="R807" t="str">
        <f>IF(F807="CJ", COUNTIF(F$5:F807, "CJ"), "")</f>
        <v/>
      </c>
      <c r="S807" t="str">
        <f>IF(F807="Ignacio", COUNTIF(F$5:F807, "Ignacio"), "")</f>
        <v/>
      </c>
      <c r="T807" t="str">
        <f>IF(F807="Tripulacion", COUNTIF(F$5:F807, "Tripulacion"), "")</f>
        <v/>
      </c>
      <c r="U807" t="str">
        <f>IF(F807="ENAP carga", COUNTIF(F$5:F807, "ENAP carga"), "")</f>
        <v/>
      </c>
    </row>
    <row r="808" spans="13:21">
      <c r="M808" s="22" t="str">
        <f t="shared" si="17"/>
        <v/>
      </c>
      <c r="R808" t="str">
        <f>IF(F808="CJ", COUNTIF(F$5:F808, "CJ"), "")</f>
        <v/>
      </c>
      <c r="S808" t="str">
        <f>IF(F808="Ignacio", COUNTIF(F$5:F808, "Ignacio"), "")</f>
        <v/>
      </c>
      <c r="T808" t="str">
        <f>IF(F808="Tripulacion", COUNTIF(F$5:F808, "Tripulacion"), "")</f>
        <v/>
      </c>
      <c r="U808" t="str">
        <f>IF(F808="ENAP carga", COUNTIF(F$5:F808, "ENAP carga"), "")</f>
        <v/>
      </c>
    </row>
    <row r="809" spans="13:21">
      <c r="M809" s="22" t="str">
        <f t="shared" si="17"/>
        <v/>
      </c>
      <c r="R809" t="str">
        <f>IF(F809="CJ", COUNTIF(F$5:F809, "CJ"), "")</f>
        <v/>
      </c>
      <c r="S809" t="str">
        <f>IF(F809="Ignacio", COUNTIF(F$5:F809, "Ignacio"), "")</f>
        <v/>
      </c>
      <c r="T809" t="str">
        <f>IF(F809="Tripulacion", COUNTIF(F$5:F809, "Tripulacion"), "")</f>
        <v/>
      </c>
      <c r="U809" t="str">
        <f>IF(F809="ENAP carga", COUNTIF(F$5:F809, "ENAP carga"), "")</f>
        <v/>
      </c>
    </row>
    <row r="810" spans="13:21">
      <c r="M810" s="22" t="str">
        <f t="shared" si="17"/>
        <v/>
      </c>
      <c r="R810" t="str">
        <f>IF(F810="CJ", COUNTIF(F$5:F810, "CJ"), "")</f>
        <v/>
      </c>
      <c r="S810" t="str">
        <f>IF(F810="Ignacio", COUNTIF(F$5:F810, "Ignacio"), "")</f>
        <v/>
      </c>
      <c r="T810" t="str">
        <f>IF(F810="Tripulacion", COUNTIF(F$5:F810, "Tripulacion"), "")</f>
        <v/>
      </c>
      <c r="U810" t="str">
        <f>IF(F810="ENAP carga", COUNTIF(F$5:F810, "ENAP carga"), "")</f>
        <v/>
      </c>
    </row>
    <row r="811" spans="13:21">
      <c r="M811" s="22" t="str">
        <f t="shared" si="17"/>
        <v/>
      </c>
      <c r="R811" t="str">
        <f>IF(F811="CJ", COUNTIF(F$5:F811, "CJ"), "")</f>
        <v/>
      </c>
      <c r="S811" t="str">
        <f>IF(F811="Ignacio", COUNTIF(F$5:F811, "Ignacio"), "")</f>
        <v/>
      </c>
      <c r="T811" t="str">
        <f>IF(F811="Tripulacion", COUNTIF(F$5:F811, "Tripulacion"), "")</f>
        <v/>
      </c>
      <c r="U811" t="str">
        <f>IF(F811="ENAP carga", COUNTIF(F$5:F811, "ENAP carga"), "")</f>
        <v/>
      </c>
    </row>
    <row r="812" spans="13:21">
      <c r="M812" s="22" t="str">
        <f t="shared" si="17"/>
        <v/>
      </c>
      <c r="R812" t="str">
        <f>IF(F812="CJ", COUNTIF(F$5:F812, "CJ"), "")</f>
        <v/>
      </c>
      <c r="S812" t="str">
        <f>IF(F812="Ignacio", COUNTIF(F$5:F812, "Ignacio"), "")</f>
        <v/>
      </c>
      <c r="T812" t="str">
        <f>IF(F812="Tripulacion", COUNTIF(F$5:F812, "Tripulacion"), "")</f>
        <v/>
      </c>
      <c r="U812" t="str">
        <f>IF(F812="ENAP carga", COUNTIF(F$5:F812, "ENAP carga"), "")</f>
        <v/>
      </c>
    </row>
    <row r="813" spans="13:21">
      <c r="M813" s="22" t="str">
        <f t="shared" si="17"/>
        <v/>
      </c>
      <c r="R813" t="str">
        <f>IF(F813="CJ", COUNTIF(F$5:F813, "CJ"), "")</f>
        <v/>
      </c>
      <c r="S813" t="str">
        <f>IF(F813="Ignacio", COUNTIF(F$5:F813, "Ignacio"), "")</f>
        <v/>
      </c>
      <c r="T813" t="str">
        <f>IF(F813="Tripulacion", COUNTIF(F$5:F813, "Tripulacion"), "")</f>
        <v/>
      </c>
      <c r="U813" t="str">
        <f>IF(F813="ENAP carga", COUNTIF(F$5:F813, "ENAP carga"), "")</f>
        <v/>
      </c>
    </row>
    <row r="814" spans="13:21">
      <c r="M814" s="22" t="str">
        <f t="shared" si="17"/>
        <v/>
      </c>
      <c r="R814" t="str">
        <f>IF(F814="CJ", COUNTIF(F$5:F814, "CJ"), "")</f>
        <v/>
      </c>
      <c r="S814" t="str">
        <f>IF(F814="Ignacio", COUNTIF(F$5:F814, "Ignacio"), "")</f>
        <v/>
      </c>
      <c r="T814" t="str">
        <f>IF(F814="Tripulacion", COUNTIF(F$5:F814, "Tripulacion"), "")</f>
        <v/>
      </c>
      <c r="U814" t="str">
        <f>IF(F814="ENAP carga", COUNTIF(F$5:F814, "ENAP carga"), "")</f>
        <v/>
      </c>
    </row>
    <row r="815" spans="13:21">
      <c r="M815" s="22" t="str">
        <f t="shared" si="17"/>
        <v/>
      </c>
      <c r="R815" t="str">
        <f>IF(F815="CJ", COUNTIF(F$5:F815, "CJ"), "")</f>
        <v/>
      </c>
      <c r="S815" t="str">
        <f>IF(F815="Ignacio", COUNTIF(F$5:F815, "Ignacio"), "")</f>
        <v/>
      </c>
      <c r="T815" t="str">
        <f>IF(F815="Tripulacion", COUNTIF(F$5:F815, "Tripulacion"), "")</f>
        <v/>
      </c>
      <c r="U815" t="str">
        <f>IF(F815="ENAP carga", COUNTIF(F$5:F815, "ENAP carga"), "")</f>
        <v/>
      </c>
    </row>
    <row r="816" spans="13:21">
      <c r="M816" s="22" t="str">
        <f t="shared" si="17"/>
        <v/>
      </c>
      <c r="R816" t="str">
        <f>IF(F816="CJ", COUNTIF(F$5:F816, "CJ"), "")</f>
        <v/>
      </c>
      <c r="S816" t="str">
        <f>IF(F816="Ignacio", COUNTIF(F$5:F816, "Ignacio"), "")</f>
        <v/>
      </c>
      <c r="T816" t="str">
        <f>IF(F816="Tripulacion", COUNTIF(F$5:F816, "Tripulacion"), "")</f>
        <v/>
      </c>
      <c r="U816" t="str">
        <f>IF(F816="ENAP carga", COUNTIF(F$5:F816, "ENAP carga"), "")</f>
        <v/>
      </c>
    </row>
    <row r="817" spans="13:21">
      <c r="M817" s="22" t="str">
        <f t="shared" si="17"/>
        <v/>
      </c>
      <c r="R817" t="str">
        <f>IF(F817="CJ", COUNTIF(F$5:F817, "CJ"), "")</f>
        <v/>
      </c>
      <c r="S817" t="str">
        <f>IF(F817="Ignacio", COUNTIF(F$5:F817, "Ignacio"), "")</f>
        <v/>
      </c>
      <c r="T817" t="str">
        <f>IF(F817="Tripulacion", COUNTIF(F$5:F817, "Tripulacion"), "")</f>
        <v/>
      </c>
      <c r="U817" t="str">
        <f>IF(F817="ENAP carga", COUNTIF(F$5:F817, "ENAP carga"), "")</f>
        <v/>
      </c>
    </row>
    <row r="818" spans="13:21">
      <c r="M818" s="22" t="str">
        <f t="shared" si="17"/>
        <v/>
      </c>
      <c r="R818" t="str">
        <f>IF(F818="CJ", COUNTIF(F$5:F818, "CJ"), "")</f>
        <v/>
      </c>
      <c r="S818" t="str">
        <f>IF(F818="Ignacio", COUNTIF(F$5:F818, "Ignacio"), "")</f>
        <v/>
      </c>
      <c r="T818" t="str">
        <f>IF(F818="Tripulacion", COUNTIF(F$5:F818, "Tripulacion"), "")</f>
        <v/>
      </c>
      <c r="U818" t="str">
        <f>IF(F818="ENAP carga", COUNTIF(F$5:F818, "ENAP carga"), "")</f>
        <v/>
      </c>
    </row>
    <row r="819" spans="13:21">
      <c r="M819" s="22" t="str">
        <f t="shared" si="17"/>
        <v/>
      </c>
      <c r="R819" t="str">
        <f>IF(F819="CJ", COUNTIF(F$5:F819, "CJ"), "")</f>
        <v/>
      </c>
      <c r="S819" t="str">
        <f>IF(F819="Ignacio", COUNTIF(F$5:F819, "Ignacio"), "")</f>
        <v/>
      </c>
      <c r="T819" t="str">
        <f>IF(F819="Tripulacion", COUNTIF(F$5:F819, "Tripulacion"), "")</f>
        <v/>
      </c>
      <c r="U819" t="str">
        <f>IF(F819="ENAP carga", COUNTIF(F$5:F819, "ENAP carga"), "")</f>
        <v/>
      </c>
    </row>
    <row r="820" spans="13:21">
      <c r="M820" s="22" t="str">
        <f t="shared" si="17"/>
        <v/>
      </c>
      <c r="R820" t="str">
        <f>IF(F820="CJ", COUNTIF(F$5:F820, "CJ"), "")</f>
        <v/>
      </c>
      <c r="S820" t="str">
        <f>IF(F820="Ignacio", COUNTIF(F$5:F820, "Ignacio"), "")</f>
        <v/>
      </c>
      <c r="T820" t="str">
        <f>IF(F820="Tripulacion", COUNTIF(F$5:F820, "Tripulacion"), "")</f>
        <v/>
      </c>
      <c r="U820" t="str">
        <f>IF(F820="ENAP carga", COUNTIF(F$5:F820, "ENAP carga"), "")</f>
        <v/>
      </c>
    </row>
    <row r="821" spans="13:21">
      <c r="M821" s="22" t="str">
        <f t="shared" si="17"/>
        <v/>
      </c>
      <c r="R821" t="str">
        <f>IF(F821="CJ", COUNTIF(F$5:F821, "CJ"), "")</f>
        <v/>
      </c>
      <c r="S821" t="str">
        <f>IF(F821="Ignacio", COUNTIF(F$5:F821, "Ignacio"), "")</f>
        <v/>
      </c>
      <c r="T821" t="str">
        <f>IF(F821="Tripulacion", COUNTIF(F$5:F821, "Tripulacion"), "")</f>
        <v/>
      </c>
      <c r="U821" t="str">
        <f>IF(F821="ENAP carga", COUNTIF(F$5:F821, "ENAP carga"), "")</f>
        <v/>
      </c>
    </row>
    <row r="822" spans="13:21">
      <c r="M822" s="22" t="str">
        <f t="shared" si="17"/>
        <v/>
      </c>
      <c r="R822" t="str">
        <f>IF(F822="CJ", COUNTIF(F$5:F822, "CJ"), "")</f>
        <v/>
      </c>
      <c r="S822" t="str">
        <f>IF(F822="Ignacio", COUNTIF(F$5:F822, "Ignacio"), "")</f>
        <v/>
      </c>
      <c r="T822" t="str">
        <f>IF(F822="Tripulacion", COUNTIF(F$5:F822, "Tripulacion"), "")</f>
        <v/>
      </c>
      <c r="U822" t="str">
        <f>IF(F822="ENAP carga", COUNTIF(F$5:F822, "ENAP carga"), "")</f>
        <v/>
      </c>
    </row>
    <row r="823" spans="13:21">
      <c r="M823" s="22" t="str">
        <f t="shared" si="17"/>
        <v/>
      </c>
      <c r="R823" t="str">
        <f>IF(F823="CJ", COUNTIF(F$5:F823, "CJ"), "")</f>
        <v/>
      </c>
      <c r="S823" t="str">
        <f>IF(F823="Ignacio", COUNTIF(F$5:F823, "Ignacio"), "")</f>
        <v/>
      </c>
      <c r="T823" t="str">
        <f>IF(F823="Tripulacion", COUNTIF(F$5:F823, "Tripulacion"), "")</f>
        <v/>
      </c>
      <c r="U823" t="str">
        <f>IF(F823="ENAP carga", COUNTIF(F$5:F823, "ENAP carga"), "")</f>
        <v/>
      </c>
    </row>
    <row r="824" spans="13:21">
      <c r="M824" s="22" t="str">
        <f t="shared" si="17"/>
        <v/>
      </c>
      <c r="R824" t="str">
        <f>IF(F824="CJ", COUNTIF(F$5:F824, "CJ"), "")</f>
        <v/>
      </c>
      <c r="S824" t="str">
        <f>IF(F824="Ignacio", COUNTIF(F$5:F824, "Ignacio"), "")</f>
        <v/>
      </c>
      <c r="T824" t="str">
        <f>IF(F824="Tripulacion", COUNTIF(F$5:F824, "Tripulacion"), "")</f>
        <v/>
      </c>
      <c r="U824" t="str">
        <f>IF(F824="ENAP carga", COUNTIF(F$5:F824, "ENAP carga"), "")</f>
        <v/>
      </c>
    </row>
    <row r="825" spans="13:21">
      <c r="M825" s="22" t="str">
        <f t="shared" si="17"/>
        <v/>
      </c>
      <c r="R825" t="str">
        <f>IF(F825="CJ", COUNTIF(F$5:F825, "CJ"), "")</f>
        <v/>
      </c>
      <c r="S825" t="str">
        <f>IF(F825="Ignacio", COUNTIF(F$5:F825, "Ignacio"), "")</f>
        <v/>
      </c>
      <c r="T825" t="str">
        <f>IF(F825="Tripulacion", COUNTIF(F$5:F825, "Tripulacion"), "")</f>
        <v/>
      </c>
      <c r="U825" t="str">
        <f>IF(F825="ENAP carga", COUNTIF(F$5:F825, "ENAP carga"), "")</f>
        <v/>
      </c>
    </row>
    <row r="826" spans="13:21">
      <c r="M826" s="22" t="str">
        <f t="shared" si="17"/>
        <v/>
      </c>
      <c r="R826" t="str">
        <f>IF(F826="CJ", COUNTIF(F$5:F826, "CJ"), "")</f>
        <v/>
      </c>
      <c r="S826" t="str">
        <f>IF(F826="Ignacio", COUNTIF(F$5:F826, "Ignacio"), "")</f>
        <v/>
      </c>
      <c r="T826" t="str">
        <f>IF(F826="Tripulacion", COUNTIF(F$5:F826, "Tripulacion"), "")</f>
        <v/>
      </c>
      <c r="U826" t="str">
        <f>IF(F826="ENAP carga", COUNTIF(F$5:F826, "ENAP carga"), "")</f>
        <v/>
      </c>
    </row>
    <row r="827" spans="13:21">
      <c r="M827" s="22" t="str">
        <f t="shared" si="17"/>
        <v/>
      </c>
      <c r="R827" t="str">
        <f>IF(F827="CJ", COUNTIF(F$5:F827, "CJ"), "")</f>
        <v/>
      </c>
      <c r="S827" t="str">
        <f>IF(F827="Ignacio", COUNTIF(F$5:F827, "Ignacio"), "")</f>
        <v/>
      </c>
      <c r="T827" t="str">
        <f>IF(F827="Tripulacion", COUNTIF(F$5:F827, "Tripulacion"), "")</f>
        <v/>
      </c>
      <c r="U827" t="str">
        <f>IF(F827="ENAP carga", COUNTIF(F$5:F827, "ENAP carga"), "")</f>
        <v/>
      </c>
    </row>
    <row r="828" spans="13:21">
      <c r="M828" s="22" t="str">
        <f t="shared" si="17"/>
        <v/>
      </c>
      <c r="R828" t="str">
        <f>IF(F828="CJ", COUNTIF(F$5:F828, "CJ"), "")</f>
        <v/>
      </c>
      <c r="S828" t="str">
        <f>IF(F828="Ignacio", COUNTIF(F$5:F828, "Ignacio"), "")</f>
        <v/>
      </c>
      <c r="T828" t="str">
        <f>IF(F828="Tripulacion", COUNTIF(F$5:F828, "Tripulacion"), "")</f>
        <v/>
      </c>
      <c r="U828" t="str">
        <f>IF(F828="ENAP carga", COUNTIF(F$5:F828, "ENAP carga"), "")</f>
        <v/>
      </c>
    </row>
    <row r="829" spans="13:21">
      <c r="M829" s="22" t="str">
        <f t="shared" si="17"/>
        <v/>
      </c>
      <c r="R829" t="str">
        <f>IF(F829="CJ", COUNTIF(F$5:F829, "CJ"), "")</f>
        <v/>
      </c>
      <c r="S829" t="str">
        <f>IF(F829="Ignacio", COUNTIF(F$5:F829, "Ignacio"), "")</f>
        <v/>
      </c>
      <c r="T829" t="str">
        <f>IF(F829="Tripulacion", COUNTIF(F$5:F829, "Tripulacion"), "")</f>
        <v/>
      </c>
      <c r="U829" t="str">
        <f>IF(F829="ENAP carga", COUNTIF(F$5:F829, "ENAP carga"), "")</f>
        <v/>
      </c>
    </row>
    <row r="830" spans="13:21">
      <c r="M830" s="22" t="str">
        <f t="shared" si="17"/>
        <v/>
      </c>
      <c r="R830" t="str">
        <f>IF(F830="CJ", COUNTIF(F$5:F830, "CJ"), "")</f>
        <v/>
      </c>
      <c r="S830" t="str">
        <f>IF(F830="Ignacio", COUNTIF(F$5:F830, "Ignacio"), "")</f>
        <v/>
      </c>
      <c r="T830" t="str">
        <f>IF(F830="Tripulacion", COUNTIF(F$5:F830, "Tripulacion"), "")</f>
        <v/>
      </c>
      <c r="U830" t="str">
        <f>IF(F830="ENAP carga", COUNTIF(F$5:F830, "ENAP carga"), "")</f>
        <v/>
      </c>
    </row>
    <row r="831" spans="13:21">
      <c r="M831" s="22" t="str">
        <f t="shared" si="17"/>
        <v/>
      </c>
      <c r="R831" t="str">
        <f>IF(F831="CJ", COUNTIF(F$5:F831, "CJ"), "")</f>
        <v/>
      </c>
      <c r="S831" t="str">
        <f>IF(F831="Ignacio", COUNTIF(F$5:F831, "Ignacio"), "")</f>
        <v/>
      </c>
      <c r="T831" t="str">
        <f>IF(F831="Tripulacion", COUNTIF(F$5:F831, "Tripulacion"), "")</f>
        <v/>
      </c>
      <c r="U831" t="str">
        <f>IF(F831="ENAP carga", COUNTIF(F$5:F831, "ENAP carga"), "")</f>
        <v/>
      </c>
    </row>
    <row r="832" spans="13:21">
      <c r="M832" s="22" t="str">
        <f t="shared" si="17"/>
        <v/>
      </c>
      <c r="R832" t="str">
        <f>IF(F832="CJ", COUNTIF(F$5:F832, "CJ"), "")</f>
        <v/>
      </c>
      <c r="S832" t="str">
        <f>IF(F832="Ignacio", COUNTIF(F$5:F832, "Ignacio"), "")</f>
        <v/>
      </c>
      <c r="T832" t="str">
        <f>IF(F832="Tripulacion", COUNTIF(F$5:F832, "Tripulacion"), "")</f>
        <v/>
      </c>
      <c r="U832" t="str">
        <f>IF(F832="ENAP carga", COUNTIF(F$5:F832, "ENAP carga"), "")</f>
        <v/>
      </c>
    </row>
    <row r="833" spans="13:21">
      <c r="M833" s="22" t="str">
        <f t="shared" si="17"/>
        <v/>
      </c>
      <c r="R833" t="str">
        <f>IF(F833="CJ", COUNTIF(F$5:F833, "CJ"), "")</f>
        <v/>
      </c>
      <c r="S833" t="str">
        <f>IF(F833="Ignacio", COUNTIF(F$5:F833, "Ignacio"), "")</f>
        <v/>
      </c>
      <c r="T833" t="str">
        <f>IF(F833="Tripulacion", COUNTIF(F$5:F833, "Tripulacion"), "")</f>
        <v/>
      </c>
      <c r="U833" t="str">
        <f>IF(F833="ENAP carga", COUNTIF(F$5:F833, "ENAP carga"), "")</f>
        <v/>
      </c>
    </row>
    <row r="834" spans="13:21">
      <c r="M834" s="22" t="str">
        <f t="shared" si="17"/>
        <v/>
      </c>
      <c r="R834" t="str">
        <f>IF(F834="CJ", COUNTIF(F$5:F834, "CJ"), "")</f>
        <v/>
      </c>
      <c r="S834" t="str">
        <f>IF(F834="Ignacio", COUNTIF(F$5:F834, "Ignacio"), "")</f>
        <v/>
      </c>
      <c r="T834" t="str">
        <f>IF(F834="Tripulacion", COUNTIF(F$5:F834, "Tripulacion"), "")</f>
        <v/>
      </c>
      <c r="U834" t="str">
        <f>IF(F834="ENAP carga", COUNTIF(F$5:F834, "ENAP carga"), "")</f>
        <v/>
      </c>
    </row>
    <row r="835" spans="13:21">
      <c r="M835" s="22" t="str">
        <f t="shared" si="17"/>
        <v/>
      </c>
      <c r="R835" t="str">
        <f>IF(F835="CJ", COUNTIF(F$5:F835, "CJ"), "")</f>
        <v/>
      </c>
      <c r="S835" t="str">
        <f>IF(F835="Ignacio", COUNTIF(F$5:F835, "Ignacio"), "")</f>
        <v/>
      </c>
      <c r="T835" t="str">
        <f>IF(F835="Tripulacion", COUNTIF(F$5:F835, "Tripulacion"), "")</f>
        <v/>
      </c>
      <c r="U835" t="str">
        <f>IF(F835="ENAP carga", COUNTIF(F$5:F835, "ENAP carga"), "")</f>
        <v/>
      </c>
    </row>
    <row r="836" spans="13:21">
      <c r="M836" s="22" t="str">
        <f t="shared" si="17"/>
        <v/>
      </c>
      <c r="R836" t="str">
        <f>IF(F836="CJ", COUNTIF(F$5:F836, "CJ"), "")</f>
        <v/>
      </c>
      <c r="S836" t="str">
        <f>IF(F836="Ignacio", COUNTIF(F$5:F836, "Ignacio"), "")</f>
        <v/>
      </c>
      <c r="T836" t="str">
        <f>IF(F836="Tripulacion", COUNTIF(F$5:F836, "Tripulacion"), "")</f>
        <v/>
      </c>
      <c r="U836" t="str">
        <f>IF(F836="ENAP carga", COUNTIF(F$5:F836, "ENAP carga"), "")</f>
        <v/>
      </c>
    </row>
    <row r="837" spans="13:21">
      <c r="M837" s="22" t="str">
        <f t="shared" si="17"/>
        <v/>
      </c>
      <c r="R837" t="str">
        <f>IF(F837="CJ", COUNTIF(F$5:F837, "CJ"), "")</f>
        <v/>
      </c>
      <c r="S837" t="str">
        <f>IF(F837="Ignacio", COUNTIF(F$5:F837, "Ignacio"), "")</f>
        <v/>
      </c>
      <c r="T837" t="str">
        <f>IF(F837="Tripulacion", COUNTIF(F$5:F837, "Tripulacion"), "")</f>
        <v/>
      </c>
      <c r="U837" t="str">
        <f>IF(F837="ENAP carga", COUNTIF(F$5:F837, "ENAP carga"), "")</f>
        <v/>
      </c>
    </row>
    <row r="838" spans="13:21">
      <c r="M838" s="22" t="str">
        <f t="shared" si="17"/>
        <v/>
      </c>
      <c r="R838" t="str">
        <f>IF(F838="CJ", COUNTIF(F$5:F838, "CJ"), "")</f>
        <v/>
      </c>
      <c r="S838" t="str">
        <f>IF(F838="Ignacio", COUNTIF(F$5:F838, "Ignacio"), "")</f>
        <v/>
      </c>
      <c r="T838" t="str">
        <f>IF(F838="Tripulacion", COUNTIF(F$5:F838, "Tripulacion"), "")</f>
        <v/>
      </c>
      <c r="U838" t="str">
        <f>IF(F838="ENAP carga", COUNTIF(F$5:F838, "ENAP carga"), "")</f>
        <v/>
      </c>
    </row>
    <row r="839" spans="13:21">
      <c r="M839" s="22" t="str">
        <f t="shared" si="17"/>
        <v/>
      </c>
      <c r="R839" t="str">
        <f>IF(F839="CJ", COUNTIF(F$5:F839, "CJ"), "")</f>
        <v/>
      </c>
      <c r="S839" t="str">
        <f>IF(F839="Ignacio", COUNTIF(F$5:F839, "Ignacio"), "")</f>
        <v/>
      </c>
      <c r="T839" t="str">
        <f>IF(F839="Tripulacion", COUNTIF(F$5:F839, "Tripulacion"), "")</f>
        <v/>
      </c>
      <c r="U839" t="str">
        <f>IF(F839="ENAP carga", COUNTIF(F$5:F839, "ENAP carga"), "")</f>
        <v/>
      </c>
    </row>
    <row r="840" spans="13:21">
      <c r="M840" s="22" t="str">
        <f t="shared" si="17"/>
        <v/>
      </c>
      <c r="R840" t="str">
        <f>IF(F840="CJ", COUNTIF(F$5:F840, "CJ"), "")</f>
        <v/>
      </c>
      <c r="S840" t="str">
        <f>IF(F840="Ignacio", COUNTIF(F$5:F840, "Ignacio"), "")</f>
        <v/>
      </c>
      <c r="T840" t="str">
        <f>IF(F840="Tripulacion", COUNTIF(F$5:F840, "Tripulacion"), "")</f>
        <v/>
      </c>
      <c r="U840" t="str">
        <f>IF(F840="ENAP carga", COUNTIF(F$5:F840, "ENAP carga"), "")</f>
        <v/>
      </c>
    </row>
    <row r="841" spans="13:21">
      <c r="M841" s="22" t="str">
        <f t="shared" si="17"/>
        <v/>
      </c>
      <c r="R841" t="str">
        <f>IF(F841="CJ", COUNTIF(F$5:F841, "CJ"), "")</f>
        <v/>
      </c>
      <c r="S841" t="str">
        <f>IF(F841="Ignacio", COUNTIF(F$5:F841, "Ignacio"), "")</f>
        <v/>
      </c>
      <c r="T841" t="str">
        <f>IF(F841="Tripulacion", COUNTIF(F$5:F841, "Tripulacion"), "")</f>
        <v/>
      </c>
      <c r="U841" t="str">
        <f>IF(F841="ENAP carga", COUNTIF(F$5:F841, "ENAP carga"), "")</f>
        <v/>
      </c>
    </row>
    <row r="842" spans="13:21">
      <c r="M842" s="22" t="str">
        <f t="shared" si="17"/>
        <v/>
      </c>
      <c r="R842" t="str">
        <f>IF(F842="CJ", COUNTIF(F$5:F842, "CJ"), "")</f>
        <v/>
      </c>
      <c r="S842" t="str">
        <f>IF(F842="Ignacio", COUNTIF(F$5:F842, "Ignacio"), "")</f>
        <v/>
      </c>
      <c r="T842" t="str">
        <f>IF(F842="Tripulacion", COUNTIF(F$5:F842, "Tripulacion"), "")</f>
        <v/>
      </c>
      <c r="U842" t="str">
        <f>IF(F842="ENAP carga", COUNTIF(F$5:F842, "ENAP carga"), "")</f>
        <v/>
      </c>
    </row>
    <row r="843" spans="13:21">
      <c r="M843" s="22" t="str">
        <f t="shared" si="17"/>
        <v/>
      </c>
      <c r="R843" t="str">
        <f>IF(F843="CJ", COUNTIF(F$5:F843, "CJ"), "")</f>
        <v/>
      </c>
      <c r="S843" t="str">
        <f>IF(F843="Ignacio", COUNTIF(F$5:F843, "Ignacio"), "")</f>
        <v/>
      </c>
      <c r="T843" t="str">
        <f>IF(F843="Tripulacion", COUNTIF(F$5:F843, "Tripulacion"), "")</f>
        <v/>
      </c>
      <c r="U843" t="str">
        <f>IF(F843="ENAP carga", COUNTIF(F$5:F843, "ENAP carga"), "")</f>
        <v/>
      </c>
    </row>
    <row r="844" spans="13:21">
      <c r="M844" s="22" t="str">
        <f t="shared" si="17"/>
        <v/>
      </c>
      <c r="R844" t="str">
        <f>IF(F844="CJ", COUNTIF(F$5:F844, "CJ"), "")</f>
        <v/>
      </c>
      <c r="S844" t="str">
        <f>IF(F844="Ignacio", COUNTIF(F$5:F844, "Ignacio"), "")</f>
        <v/>
      </c>
      <c r="T844" t="str">
        <f>IF(F844="Tripulacion", COUNTIF(F$5:F844, "Tripulacion"), "")</f>
        <v/>
      </c>
      <c r="U844" t="str">
        <f>IF(F844="ENAP carga", COUNTIF(F$5:F844, "ENAP carga"), "")</f>
        <v/>
      </c>
    </row>
    <row r="845" spans="13:21">
      <c r="M845" s="22" t="str">
        <f t="shared" si="17"/>
        <v/>
      </c>
      <c r="R845" t="str">
        <f>IF(F845="CJ", COUNTIF(F$5:F845, "CJ"), "")</f>
        <v/>
      </c>
      <c r="S845" t="str">
        <f>IF(F845="Ignacio", COUNTIF(F$5:F845, "Ignacio"), "")</f>
        <v/>
      </c>
      <c r="T845" t="str">
        <f>IF(F845="Tripulacion", COUNTIF(F$5:F845, "Tripulacion"), "")</f>
        <v/>
      </c>
      <c r="U845" t="str">
        <f>IF(F845="ENAP carga", COUNTIF(F$5:F845, "ENAP carga"), "")</f>
        <v/>
      </c>
    </row>
    <row r="846" spans="13:21">
      <c r="M846" s="22" t="str">
        <f t="shared" si="17"/>
        <v/>
      </c>
      <c r="R846" t="str">
        <f>IF(F846="CJ", COUNTIF(F$5:F846, "CJ"), "")</f>
        <v/>
      </c>
      <c r="S846" t="str">
        <f>IF(F846="Ignacio", COUNTIF(F$5:F846, "Ignacio"), "")</f>
        <v/>
      </c>
      <c r="T846" t="str">
        <f>IF(F846="Tripulacion", COUNTIF(F$5:F846, "Tripulacion"), "")</f>
        <v/>
      </c>
      <c r="U846" t="str">
        <f>IF(F846="ENAP carga", COUNTIF(F$5:F846, "ENAP carga"), "")</f>
        <v/>
      </c>
    </row>
    <row r="847" spans="13:21">
      <c r="M847" s="22" t="str">
        <f t="shared" si="17"/>
        <v/>
      </c>
      <c r="R847" t="str">
        <f>IF(F847="CJ", COUNTIF(F$5:F847, "CJ"), "")</f>
        <v/>
      </c>
      <c r="S847" t="str">
        <f>IF(F847="Ignacio", COUNTIF(F$5:F847, "Ignacio"), "")</f>
        <v/>
      </c>
      <c r="T847" t="str">
        <f>IF(F847="Tripulacion", COUNTIF(F$5:F847, "Tripulacion"), "")</f>
        <v/>
      </c>
      <c r="U847" t="str">
        <f>IF(F847="ENAP carga", COUNTIF(F$5:F847, "ENAP carga"), "")</f>
        <v/>
      </c>
    </row>
    <row r="848" spans="13:21">
      <c r="M848" s="22" t="str">
        <f t="shared" si="17"/>
        <v/>
      </c>
      <c r="R848" t="str">
        <f>IF(F848="CJ", COUNTIF(F$5:F848, "CJ"), "")</f>
        <v/>
      </c>
      <c r="S848" t="str">
        <f>IF(F848="Ignacio", COUNTIF(F$5:F848, "Ignacio"), "")</f>
        <v/>
      </c>
      <c r="T848" t="str">
        <f>IF(F848="Tripulacion", COUNTIF(F$5:F848, "Tripulacion"), "")</f>
        <v/>
      </c>
      <c r="U848" t="str">
        <f>IF(F848="ENAP carga", COUNTIF(F$5:F848, "ENAP carga"), "")</f>
        <v/>
      </c>
    </row>
    <row r="849" spans="13:21">
      <c r="M849" s="22" t="str">
        <f t="shared" si="17"/>
        <v/>
      </c>
      <c r="R849" t="str">
        <f>IF(F849="CJ", COUNTIF(F$5:F849, "CJ"), "")</f>
        <v/>
      </c>
      <c r="S849" t="str">
        <f>IF(F849="Ignacio", COUNTIF(F$5:F849, "Ignacio"), "")</f>
        <v/>
      </c>
      <c r="T849" t="str">
        <f>IF(F849="Tripulacion", COUNTIF(F$5:F849, "Tripulacion"), "")</f>
        <v/>
      </c>
      <c r="U849" t="str">
        <f>IF(F849="ENAP carga", COUNTIF(F$5:F849, "ENAP carga"), "")</f>
        <v/>
      </c>
    </row>
    <row r="850" spans="13:21">
      <c r="M850" s="22" t="str">
        <f t="shared" si="17"/>
        <v/>
      </c>
      <c r="R850" t="str">
        <f>IF(F850="CJ", COUNTIF(F$5:F850, "CJ"), "")</f>
        <v/>
      </c>
      <c r="S850" t="str">
        <f>IF(F850="Ignacio", COUNTIF(F$5:F850, "Ignacio"), "")</f>
        <v/>
      </c>
      <c r="T850" t="str">
        <f>IF(F850="Tripulacion", COUNTIF(F$5:F850, "Tripulacion"), "")</f>
        <v/>
      </c>
      <c r="U850" t="str">
        <f>IF(F850="ENAP carga", COUNTIF(F$5:F850, "ENAP carga"), "")</f>
        <v/>
      </c>
    </row>
    <row r="851" spans="13:21">
      <c r="M851" s="22" t="str">
        <f t="shared" si="17"/>
        <v/>
      </c>
      <c r="R851" t="str">
        <f>IF(F851="CJ", COUNTIF(F$5:F851, "CJ"), "")</f>
        <v/>
      </c>
      <c r="S851" t="str">
        <f>IF(F851="Ignacio", COUNTIF(F$5:F851, "Ignacio"), "")</f>
        <v/>
      </c>
      <c r="T851" t="str">
        <f>IF(F851="Tripulacion", COUNTIF(F$5:F851, "Tripulacion"), "")</f>
        <v/>
      </c>
      <c r="U851" t="str">
        <f>IF(F851="ENAP carga", COUNTIF(F$5:F851, "ENAP carga"), "")</f>
        <v/>
      </c>
    </row>
    <row r="852" spans="13:21">
      <c r="M852" s="22" t="str">
        <f t="shared" si="17"/>
        <v/>
      </c>
      <c r="R852" t="str">
        <f>IF(F852="CJ", COUNTIF(F$5:F852, "CJ"), "")</f>
        <v/>
      </c>
      <c r="S852" t="str">
        <f>IF(F852="Ignacio", COUNTIF(F$5:F852, "Ignacio"), "")</f>
        <v/>
      </c>
      <c r="T852" t="str">
        <f>IF(F852="Tripulacion", COUNTIF(F$5:F852, "Tripulacion"), "")</f>
        <v/>
      </c>
      <c r="U852" t="str">
        <f>IF(F852="ENAP carga", COUNTIF(F$5:F852, "ENAP carga"), "")</f>
        <v/>
      </c>
    </row>
    <row r="853" spans="13:21">
      <c r="M853" s="22" t="str">
        <f t="shared" si="17"/>
        <v/>
      </c>
      <c r="R853" t="str">
        <f>IF(F853="CJ", COUNTIF(F$5:F853, "CJ"), "")</f>
        <v/>
      </c>
      <c r="S853" t="str">
        <f>IF(F853="Ignacio", COUNTIF(F$5:F853, "Ignacio"), "")</f>
        <v/>
      </c>
      <c r="T853" t="str">
        <f>IF(F853="Tripulacion", COUNTIF(F$5:F853, "Tripulacion"), "")</f>
        <v/>
      </c>
      <c r="U853" t="str">
        <f>IF(F853="ENAP carga", COUNTIF(F$5:F853, "ENAP carga"), "")</f>
        <v/>
      </c>
    </row>
    <row r="854" spans="13:21">
      <c r="M854" s="22" t="str">
        <f t="shared" si="17"/>
        <v/>
      </c>
      <c r="R854" t="str">
        <f>IF(F854="CJ", COUNTIF(F$5:F854, "CJ"), "")</f>
        <v/>
      </c>
      <c r="S854" t="str">
        <f>IF(F854="Ignacio", COUNTIF(F$5:F854, "Ignacio"), "")</f>
        <v/>
      </c>
      <c r="T854" t="str">
        <f>IF(F854="Tripulacion", COUNTIF(F$5:F854, "Tripulacion"), "")</f>
        <v/>
      </c>
      <c r="U854" t="str">
        <f>IF(F854="ENAP carga", COUNTIF(F$5:F854, "ENAP carga"), "")</f>
        <v/>
      </c>
    </row>
    <row r="855" spans="13:21">
      <c r="M855" s="22" t="str">
        <f t="shared" si="17"/>
        <v/>
      </c>
      <c r="R855" t="str">
        <f>IF(F855="CJ", COUNTIF(F$5:F855, "CJ"), "")</f>
        <v/>
      </c>
      <c r="S855" t="str">
        <f>IF(F855="Ignacio", COUNTIF(F$5:F855, "Ignacio"), "")</f>
        <v/>
      </c>
      <c r="T855" t="str">
        <f>IF(F855="Tripulacion", COUNTIF(F$5:F855, "Tripulacion"), "")</f>
        <v/>
      </c>
      <c r="U855" t="str">
        <f>IF(F855="ENAP carga", COUNTIF(F$5:F855, "ENAP carga"), "")</f>
        <v/>
      </c>
    </row>
    <row r="856" spans="13:21">
      <c r="M856" s="22" t="str">
        <f t="shared" ref="M856:M919" si="18">IF(F856="CJ", I856*200, "")</f>
        <v/>
      </c>
      <c r="R856" t="str">
        <f>IF(F856="CJ", COUNTIF(F$5:F856, "CJ"), "")</f>
        <v/>
      </c>
      <c r="S856" t="str">
        <f>IF(F856="Ignacio", COUNTIF(F$5:F856, "Ignacio"), "")</f>
        <v/>
      </c>
      <c r="T856" t="str">
        <f>IF(F856="Tripulacion", COUNTIF(F$5:F856, "Tripulacion"), "")</f>
        <v/>
      </c>
      <c r="U856" t="str">
        <f>IF(F856="ENAP carga", COUNTIF(F$5:F856, "ENAP carga"), "")</f>
        <v/>
      </c>
    </row>
    <row r="857" spans="13:21">
      <c r="M857" s="22" t="str">
        <f t="shared" si="18"/>
        <v/>
      </c>
      <c r="R857" t="str">
        <f>IF(F857="CJ", COUNTIF(F$5:F857, "CJ"), "")</f>
        <v/>
      </c>
      <c r="S857" t="str">
        <f>IF(F857="Ignacio", COUNTIF(F$5:F857, "Ignacio"), "")</f>
        <v/>
      </c>
      <c r="T857" t="str">
        <f>IF(F857="Tripulacion", COUNTIF(F$5:F857, "Tripulacion"), "")</f>
        <v/>
      </c>
      <c r="U857" t="str">
        <f>IF(F857="ENAP carga", COUNTIF(F$5:F857, "ENAP carga"), "")</f>
        <v/>
      </c>
    </row>
    <row r="858" spans="13:21">
      <c r="M858" s="22" t="str">
        <f t="shared" si="18"/>
        <v/>
      </c>
      <c r="R858" t="str">
        <f>IF(F858="CJ", COUNTIF(F$5:F858, "CJ"), "")</f>
        <v/>
      </c>
      <c r="S858" t="str">
        <f>IF(F858="Ignacio", COUNTIF(F$5:F858, "Ignacio"), "")</f>
        <v/>
      </c>
      <c r="T858" t="str">
        <f>IF(F858="Tripulacion", COUNTIF(F$5:F858, "Tripulacion"), "")</f>
        <v/>
      </c>
      <c r="U858" t="str">
        <f>IF(F858="ENAP carga", COUNTIF(F$5:F858, "ENAP carga"), "")</f>
        <v/>
      </c>
    </row>
    <row r="859" spans="13:21">
      <c r="M859" s="22" t="str">
        <f t="shared" si="18"/>
        <v/>
      </c>
      <c r="R859" t="str">
        <f>IF(F859="CJ", COUNTIF(F$5:F859, "CJ"), "")</f>
        <v/>
      </c>
      <c r="S859" t="str">
        <f>IF(F859="Ignacio", COUNTIF(F$5:F859, "Ignacio"), "")</f>
        <v/>
      </c>
      <c r="T859" t="str">
        <f>IF(F859="Tripulacion", COUNTIF(F$5:F859, "Tripulacion"), "")</f>
        <v/>
      </c>
      <c r="U859" t="str">
        <f>IF(F859="ENAP carga", COUNTIF(F$5:F859, "ENAP carga"), "")</f>
        <v/>
      </c>
    </row>
    <row r="860" spans="13:21">
      <c r="M860" s="22" t="str">
        <f t="shared" si="18"/>
        <v/>
      </c>
      <c r="R860" t="str">
        <f>IF(F860="CJ", COUNTIF(F$5:F860, "CJ"), "")</f>
        <v/>
      </c>
      <c r="S860" t="str">
        <f>IF(F860="Ignacio", COUNTIF(F$5:F860, "Ignacio"), "")</f>
        <v/>
      </c>
      <c r="T860" t="str">
        <f>IF(F860="Tripulacion", COUNTIF(F$5:F860, "Tripulacion"), "")</f>
        <v/>
      </c>
      <c r="U860" t="str">
        <f>IF(F860="ENAP carga", COUNTIF(F$5:F860, "ENAP carga"), "")</f>
        <v/>
      </c>
    </row>
    <row r="861" spans="13:21">
      <c r="M861" s="22" t="str">
        <f t="shared" si="18"/>
        <v/>
      </c>
      <c r="R861" t="str">
        <f>IF(F861="CJ", COUNTIF(F$5:F861, "CJ"), "")</f>
        <v/>
      </c>
      <c r="S861" t="str">
        <f>IF(F861="Ignacio", COUNTIF(F$5:F861, "Ignacio"), "")</f>
        <v/>
      </c>
      <c r="T861" t="str">
        <f>IF(F861="Tripulacion", COUNTIF(F$5:F861, "Tripulacion"), "")</f>
        <v/>
      </c>
      <c r="U861" t="str">
        <f>IF(F861="ENAP carga", COUNTIF(F$5:F861, "ENAP carga"), "")</f>
        <v/>
      </c>
    </row>
    <row r="862" spans="13:21">
      <c r="M862" s="22" t="str">
        <f t="shared" si="18"/>
        <v/>
      </c>
      <c r="R862" t="str">
        <f>IF(F862="CJ", COUNTIF(F$5:F862, "CJ"), "")</f>
        <v/>
      </c>
      <c r="S862" t="str">
        <f>IF(F862="Ignacio", COUNTIF(F$5:F862, "Ignacio"), "")</f>
        <v/>
      </c>
      <c r="T862" t="str">
        <f>IF(F862="Tripulacion", COUNTIF(F$5:F862, "Tripulacion"), "")</f>
        <v/>
      </c>
      <c r="U862" t="str">
        <f>IF(F862="ENAP carga", COUNTIF(F$5:F862, "ENAP carga"), "")</f>
        <v/>
      </c>
    </row>
    <row r="863" spans="13:21">
      <c r="M863" s="22" t="str">
        <f t="shared" si="18"/>
        <v/>
      </c>
      <c r="R863" t="str">
        <f>IF(F863="CJ", COUNTIF(F$5:F863, "CJ"), "")</f>
        <v/>
      </c>
      <c r="S863" t="str">
        <f>IF(F863="Ignacio", COUNTIF(F$5:F863, "Ignacio"), "")</f>
        <v/>
      </c>
      <c r="T863" t="str">
        <f>IF(F863="Tripulacion", COUNTIF(F$5:F863, "Tripulacion"), "")</f>
        <v/>
      </c>
      <c r="U863" t="str">
        <f>IF(F863="ENAP carga", COUNTIF(F$5:F863, "ENAP carga"), "")</f>
        <v/>
      </c>
    </row>
    <row r="864" spans="13:21">
      <c r="M864" s="22" t="str">
        <f t="shared" si="18"/>
        <v/>
      </c>
      <c r="R864" t="str">
        <f>IF(F864="CJ", COUNTIF(F$5:F864, "CJ"), "")</f>
        <v/>
      </c>
      <c r="S864" t="str">
        <f>IF(F864="Ignacio", COUNTIF(F$5:F864, "Ignacio"), "")</f>
        <v/>
      </c>
      <c r="T864" t="str">
        <f>IF(F864="Tripulacion", COUNTIF(F$5:F864, "Tripulacion"), "")</f>
        <v/>
      </c>
      <c r="U864" t="str">
        <f>IF(F864="ENAP carga", COUNTIF(F$5:F864, "ENAP carga"), "")</f>
        <v/>
      </c>
    </row>
    <row r="865" spans="13:21">
      <c r="M865" s="22" t="str">
        <f t="shared" si="18"/>
        <v/>
      </c>
      <c r="R865" t="str">
        <f>IF(F865="CJ", COUNTIF(F$5:F865, "CJ"), "")</f>
        <v/>
      </c>
      <c r="S865" t="str">
        <f>IF(F865="Ignacio", COUNTIF(F$5:F865, "Ignacio"), "")</f>
        <v/>
      </c>
      <c r="T865" t="str">
        <f>IF(F865="Tripulacion", COUNTIF(F$5:F865, "Tripulacion"), "")</f>
        <v/>
      </c>
      <c r="U865" t="str">
        <f>IF(F865="ENAP carga", COUNTIF(F$5:F865, "ENAP carga"), "")</f>
        <v/>
      </c>
    </row>
    <row r="866" spans="13:21">
      <c r="M866" s="22" t="str">
        <f t="shared" si="18"/>
        <v/>
      </c>
      <c r="R866" t="str">
        <f>IF(F866="CJ", COUNTIF(F$5:F866, "CJ"), "")</f>
        <v/>
      </c>
      <c r="S866" t="str">
        <f>IF(F866="Ignacio", COUNTIF(F$5:F866, "Ignacio"), "")</f>
        <v/>
      </c>
      <c r="T866" t="str">
        <f>IF(F866="Tripulacion", COUNTIF(F$5:F866, "Tripulacion"), "")</f>
        <v/>
      </c>
      <c r="U866" t="str">
        <f>IF(F866="ENAP carga", COUNTIF(F$5:F866, "ENAP carga"), "")</f>
        <v/>
      </c>
    </row>
    <row r="867" spans="13:21">
      <c r="M867" s="22" t="str">
        <f t="shared" si="18"/>
        <v/>
      </c>
      <c r="R867" t="str">
        <f>IF(F867="CJ", COUNTIF(F$5:F867, "CJ"), "")</f>
        <v/>
      </c>
      <c r="S867" t="str">
        <f>IF(F867="Ignacio", COUNTIF(F$5:F867, "Ignacio"), "")</f>
        <v/>
      </c>
      <c r="T867" t="str">
        <f>IF(F867="Tripulacion", COUNTIF(F$5:F867, "Tripulacion"), "")</f>
        <v/>
      </c>
      <c r="U867" t="str">
        <f>IF(F867="ENAP carga", COUNTIF(F$5:F867, "ENAP carga"), "")</f>
        <v/>
      </c>
    </row>
    <row r="868" spans="13:21">
      <c r="M868" s="22" t="str">
        <f t="shared" si="18"/>
        <v/>
      </c>
      <c r="R868" t="str">
        <f>IF(F868="CJ", COUNTIF(F$5:F868, "CJ"), "")</f>
        <v/>
      </c>
      <c r="S868" t="str">
        <f>IF(F868="Ignacio", COUNTIF(F$5:F868, "Ignacio"), "")</f>
        <v/>
      </c>
      <c r="T868" t="str">
        <f>IF(F868="Tripulacion", COUNTIF(F$5:F868, "Tripulacion"), "")</f>
        <v/>
      </c>
      <c r="U868" t="str">
        <f>IF(F868="ENAP carga", COUNTIF(F$5:F868, "ENAP carga"), "")</f>
        <v/>
      </c>
    </row>
    <row r="869" spans="13:21">
      <c r="M869" s="22" t="str">
        <f t="shared" si="18"/>
        <v/>
      </c>
      <c r="R869" t="str">
        <f>IF(F869="CJ", COUNTIF(F$5:F869, "CJ"), "")</f>
        <v/>
      </c>
      <c r="S869" t="str">
        <f>IF(F869="Ignacio", COUNTIF(F$5:F869, "Ignacio"), "")</f>
        <v/>
      </c>
      <c r="T869" t="str">
        <f>IF(F869="Tripulacion", COUNTIF(F$5:F869, "Tripulacion"), "")</f>
        <v/>
      </c>
      <c r="U869" t="str">
        <f>IF(F869="ENAP carga", COUNTIF(F$5:F869, "ENAP carga"), "")</f>
        <v/>
      </c>
    </row>
    <row r="870" spans="13:21">
      <c r="M870" s="22" t="str">
        <f t="shared" si="18"/>
        <v/>
      </c>
      <c r="R870" t="str">
        <f>IF(F870="CJ", COUNTIF(F$5:F870, "CJ"), "")</f>
        <v/>
      </c>
      <c r="S870" t="str">
        <f>IF(F870="Ignacio", COUNTIF(F$5:F870, "Ignacio"), "")</f>
        <v/>
      </c>
      <c r="T870" t="str">
        <f>IF(F870="Tripulacion", COUNTIF(F$5:F870, "Tripulacion"), "")</f>
        <v/>
      </c>
      <c r="U870" t="str">
        <f>IF(F870="ENAP carga", COUNTIF(F$5:F870, "ENAP carga"), "")</f>
        <v/>
      </c>
    </row>
    <row r="871" spans="13:21">
      <c r="M871" s="22" t="str">
        <f t="shared" si="18"/>
        <v/>
      </c>
      <c r="R871" t="str">
        <f>IF(F871="CJ", COUNTIF(F$5:F871, "CJ"), "")</f>
        <v/>
      </c>
      <c r="S871" t="str">
        <f>IF(F871="Ignacio", COUNTIF(F$5:F871, "Ignacio"), "")</f>
        <v/>
      </c>
      <c r="T871" t="str">
        <f>IF(F871="Tripulacion", COUNTIF(F$5:F871, "Tripulacion"), "")</f>
        <v/>
      </c>
      <c r="U871" t="str">
        <f>IF(F871="ENAP carga", COUNTIF(F$5:F871, "ENAP carga"), "")</f>
        <v/>
      </c>
    </row>
    <row r="872" spans="13:21">
      <c r="M872" s="22" t="str">
        <f t="shared" si="18"/>
        <v/>
      </c>
      <c r="R872" t="str">
        <f>IF(F872="CJ", COUNTIF(F$5:F872, "CJ"), "")</f>
        <v/>
      </c>
      <c r="S872" t="str">
        <f>IF(F872="Ignacio", COUNTIF(F$5:F872, "Ignacio"), "")</f>
        <v/>
      </c>
      <c r="T872" t="str">
        <f>IF(F872="Tripulacion", COUNTIF(F$5:F872, "Tripulacion"), "")</f>
        <v/>
      </c>
      <c r="U872" t="str">
        <f>IF(F872="ENAP carga", COUNTIF(F$5:F872, "ENAP carga"), "")</f>
        <v/>
      </c>
    </row>
    <row r="873" spans="13:21">
      <c r="M873" s="22" t="str">
        <f t="shared" si="18"/>
        <v/>
      </c>
      <c r="R873" t="str">
        <f>IF(F873="CJ", COUNTIF(F$5:F873, "CJ"), "")</f>
        <v/>
      </c>
      <c r="S873" t="str">
        <f>IF(F873="Ignacio", COUNTIF(F$5:F873, "Ignacio"), "")</f>
        <v/>
      </c>
      <c r="T873" t="str">
        <f>IF(F873="Tripulacion", COUNTIF(F$5:F873, "Tripulacion"), "")</f>
        <v/>
      </c>
      <c r="U873" t="str">
        <f>IF(F873="ENAP carga", COUNTIF(F$5:F873, "ENAP carga"), "")</f>
        <v/>
      </c>
    </row>
    <row r="874" spans="13:21">
      <c r="M874" s="22" t="str">
        <f t="shared" si="18"/>
        <v/>
      </c>
      <c r="R874" t="str">
        <f>IF(F874="CJ", COUNTIF(F$5:F874, "CJ"), "")</f>
        <v/>
      </c>
      <c r="S874" t="str">
        <f>IF(F874="Ignacio", COUNTIF(F$5:F874, "Ignacio"), "")</f>
        <v/>
      </c>
      <c r="T874" t="str">
        <f>IF(F874="Tripulacion", COUNTIF(F$5:F874, "Tripulacion"), "")</f>
        <v/>
      </c>
      <c r="U874" t="str">
        <f>IF(F874="ENAP carga", COUNTIF(F$5:F874, "ENAP carga"), "")</f>
        <v/>
      </c>
    </row>
    <row r="875" spans="13:21">
      <c r="M875" s="22" t="str">
        <f t="shared" si="18"/>
        <v/>
      </c>
      <c r="R875" t="str">
        <f>IF(F875="CJ", COUNTIF(F$5:F875, "CJ"), "")</f>
        <v/>
      </c>
      <c r="S875" t="str">
        <f>IF(F875="Ignacio", COUNTIF(F$5:F875, "Ignacio"), "")</f>
        <v/>
      </c>
      <c r="T875" t="str">
        <f>IF(F875="Tripulacion", COUNTIF(F$5:F875, "Tripulacion"), "")</f>
        <v/>
      </c>
      <c r="U875" t="str">
        <f>IF(F875="ENAP carga", COUNTIF(F$5:F875, "ENAP carga"), "")</f>
        <v/>
      </c>
    </row>
    <row r="876" spans="13:21">
      <c r="M876" s="22" t="str">
        <f t="shared" si="18"/>
        <v/>
      </c>
      <c r="R876" t="str">
        <f>IF(F876="CJ", COUNTIF(F$5:F876, "CJ"), "")</f>
        <v/>
      </c>
      <c r="S876" t="str">
        <f>IF(F876="Ignacio", COUNTIF(F$5:F876, "Ignacio"), "")</f>
        <v/>
      </c>
      <c r="T876" t="str">
        <f>IF(F876="Tripulacion", COUNTIF(F$5:F876, "Tripulacion"), "")</f>
        <v/>
      </c>
      <c r="U876" t="str">
        <f>IF(F876="ENAP carga", COUNTIF(F$5:F876, "ENAP carga"), "")</f>
        <v/>
      </c>
    </row>
    <row r="877" spans="13:21">
      <c r="M877" s="22" t="str">
        <f t="shared" si="18"/>
        <v/>
      </c>
      <c r="R877" t="str">
        <f>IF(F877="CJ", COUNTIF(F$5:F877, "CJ"), "")</f>
        <v/>
      </c>
      <c r="S877" t="str">
        <f>IF(F877="Ignacio", COUNTIF(F$5:F877, "Ignacio"), "")</f>
        <v/>
      </c>
      <c r="T877" t="str">
        <f>IF(F877="Tripulacion", COUNTIF(F$5:F877, "Tripulacion"), "")</f>
        <v/>
      </c>
      <c r="U877" t="str">
        <f>IF(F877="ENAP carga", COUNTIF(F$5:F877, "ENAP carga"), "")</f>
        <v/>
      </c>
    </row>
    <row r="878" spans="13:21">
      <c r="M878" s="22" t="str">
        <f t="shared" si="18"/>
        <v/>
      </c>
      <c r="R878" t="str">
        <f>IF(F878="CJ", COUNTIF(F$5:F878, "CJ"), "")</f>
        <v/>
      </c>
      <c r="S878" t="str">
        <f>IF(F878="Ignacio", COUNTIF(F$5:F878, "Ignacio"), "")</f>
        <v/>
      </c>
      <c r="T878" t="str">
        <f>IF(F878="Tripulacion", COUNTIF(F$5:F878, "Tripulacion"), "")</f>
        <v/>
      </c>
      <c r="U878" t="str">
        <f>IF(F878="ENAP carga", COUNTIF(F$5:F878, "ENAP carga"), "")</f>
        <v/>
      </c>
    </row>
    <row r="879" spans="13:21">
      <c r="M879" s="22" t="str">
        <f t="shared" si="18"/>
        <v/>
      </c>
      <c r="R879" t="str">
        <f>IF(F879="CJ", COUNTIF(F$5:F879, "CJ"), "")</f>
        <v/>
      </c>
      <c r="S879" t="str">
        <f>IF(F879="Ignacio", COUNTIF(F$5:F879, "Ignacio"), "")</f>
        <v/>
      </c>
      <c r="T879" t="str">
        <f>IF(F879="Tripulacion", COUNTIF(F$5:F879, "Tripulacion"), "")</f>
        <v/>
      </c>
      <c r="U879" t="str">
        <f>IF(F879="ENAP carga", COUNTIF(F$5:F879, "ENAP carga"), "")</f>
        <v/>
      </c>
    </row>
    <row r="880" spans="13:21">
      <c r="M880" s="22" t="str">
        <f t="shared" si="18"/>
        <v/>
      </c>
      <c r="R880" t="str">
        <f>IF(F880="CJ", COUNTIF(F$5:F880, "CJ"), "")</f>
        <v/>
      </c>
      <c r="S880" t="str">
        <f>IF(F880="Ignacio", COUNTIF(F$5:F880, "Ignacio"), "")</f>
        <v/>
      </c>
      <c r="T880" t="str">
        <f>IF(F880="Tripulacion", COUNTIF(F$5:F880, "Tripulacion"), "")</f>
        <v/>
      </c>
      <c r="U880" t="str">
        <f>IF(F880="ENAP carga", COUNTIF(F$5:F880, "ENAP carga"), "")</f>
        <v/>
      </c>
    </row>
    <row r="881" spans="13:21">
      <c r="M881" s="22" t="str">
        <f t="shared" si="18"/>
        <v/>
      </c>
      <c r="R881" t="str">
        <f>IF(F881="CJ", COUNTIF(F$5:F881, "CJ"), "")</f>
        <v/>
      </c>
      <c r="S881" t="str">
        <f>IF(F881="Ignacio", COUNTIF(F$5:F881, "Ignacio"), "")</f>
        <v/>
      </c>
      <c r="T881" t="str">
        <f>IF(F881="Tripulacion", COUNTIF(F$5:F881, "Tripulacion"), "")</f>
        <v/>
      </c>
      <c r="U881" t="str">
        <f>IF(F881="ENAP carga", COUNTIF(F$5:F881, "ENAP carga"), "")</f>
        <v/>
      </c>
    </row>
    <row r="882" spans="13:21">
      <c r="M882" s="22" t="str">
        <f t="shared" si="18"/>
        <v/>
      </c>
      <c r="R882" t="str">
        <f>IF(F882="CJ", COUNTIF(F$5:F882, "CJ"), "")</f>
        <v/>
      </c>
      <c r="S882" t="str">
        <f>IF(F882="Ignacio", COUNTIF(F$5:F882, "Ignacio"), "")</f>
        <v/>
      </c>
      <c r="T882" t="str">
        <f>IF(F882="Tripulacion", COUNTIF(F$5:F882, "Tripulacion"), "")</f>
        <v/>
      </c>
      <c r="U882" t="str">
        <f>IF(F882="ENAP carga", COUNTIF(F$5:F882, "ENAP carga"), "")</f>
        <v/>
      </c>
    </row>
    <row r="883" spans="13:21">
      <c r="M883" s="22" t="str">
        <f t="shared" si="18"/>
        <v/>
      </c>
      <c r="R883" t="str">
        <f>IF(F883="CJ", COUNTIF(F$5:F883, "CJ"), "")</f>
        <v/>
      </c>
      <c r="S883" t="str">
        <f>IF(F883="Ignacio", COUNTIF(F$5:F883, "Ignacio"), "")</f>
        <v/>
      </c>
      <c r="T883" t="str">
        <f>IF(F883="Tripulacion", COUNTIF(F$5:F883, "Tripulacion"), "")</f>
        <v/>
      </c>
      <c r="U883" t="str">
        <f>IF(F883="ENAP carga", COUNTIF(F$5:F883, "ENAP carga"), "")</f>
        <v/>
      </c>
    </row>
    <row r="884" spans="13:21">
      <c r="M884" s="22" t="str">
        <f t="shared" si="18"/>
        <v/>
      </c>
      <c r="R884" t="str">
        <f>IF(F884="CJ", COUNTIF(F$5:F884, "CJ"), "")</f>
        <v/>
      </c>
      <c r="S884" t="str">
        <f>IF(F884="Ignacio", COUNTIF(F$5:F884, "Ignacio"), "")</f>
        <v/>
      </c>
      <c r="T884" t="str">
        <f>IF(F884="Tripulacion", COUNTIF(F$5:F884, "Tripulacion"), "")</f>
        <v/>
      </c>
      <c r="U884" t="str">
        <f>IF(F884="ENAP carga", COUNTIF(F$5:F884, "ENAP carga"), "")</f>
        <v/>
      </c>
    </row>
    <row r="885" spans="13:21">
      <c r="M885" s="22" t="str">
        <f t="shared" si="18"/>
        <v/>
      </c>
      <c r="R885" t="str">
        <f>IF(F885="CJ", COUNTIF(F$5:F885, "CJ"), "")</f>
        <v/>
      </c>
      <c r="S885" t="str">
        <f>IF(F885="Ignacio", COUNTIF(F$5:F885, "Ignacio"), "")</f>
        <v/>
      </c>
      <c r="T885" t="str">
        <f>IF(F885="Tripulacion", COUNTIF(F$5:F885, "Tripulacion"), "")</f>
        <v/>
      </c>
      <c r="U885" t="str">
        <f>IF(F885="ENAP carga", COUNTIF(F$5:F885, "ENAP carga"), "")</f>
        <v/>
      </c>
    </row>
    <row r="886" spans="13:21">
      <c r="M886" s="22" t="str">
        <f t="shared" si="18"/>
        <v/>
      </c>
      <c r="R886" t="str">
        <f>IF(F886="CJ", COUNTIF(F$5:F886, "CJ"), "")</f>
        <v/>
      </c>
      <c r="S886" t="str">
        <f>IF(F886="Ignacio", COUNTIF(F$5:F886, "Ignacio"), "")</f>
        <v/>
      </c>
      <c r="T886" t="str">
        <f>IF(F886="Tripulacion", COUNTIF(F$5:F886, "Tripulacion"), "")</f>
        <v/>
      </c>
      <c r="U886" t="str">
        <f>IF(F886="ENAP carga", COUNTIF(F$5:F886, "ENAP carga"), "")</f>
        <v/>
      </c>
    </row>
    <row r="887" spans="13:21">
      <c r="M887" s="22" t="str">
        <f t="shared" si="18"/>
        <v/>
      </c>
      <c r="R887" t="str">
        <f>IF(F887="CJ", COUNTIF(F$5:F887, "CJ"), "")</f>
        <v/>
      </c>
      <c r="S887" t="str">
        <f>IF(F887="Ignacio", COUNTIF(F$5:F887, "Ignacio"), "")</f>
        <v/>
      </c>
      <c r="T887" t="str">
        <f>IF(F887="Tripulacion", COUNTIF(F$5:F887, "Tripulacion"), "")</f>
        <v/>
      </c>
      <c r="U887" t="str">
        <f>IF(F887="ENAP carga", COUNTIF(F$5:F887, "ENAP carga"), "")</f>
        <v/>
      </c>
    </row>
    <row r="888" spans="13:21">
      <c r="M888" s="22" t="str">
        <f t="shared" si="18"/>
        <v/>
      </c>
      <c r="R888" t="str">
        <f>IF(F888="CJ", COUNTIF(F$5:F888, "CJ"), "")</f>
        <v/>
      </c>
      <c r="S888" t="str">
        <f>IF(F888="Ignacio", COUNTIF(F$5:F888, "Ignacio"), "")</f>
        <v/>
      </c>
      <c r="T888" t="str">
        <f>IF(F888="Tripulacion", COUNTIF(F$5:F888, "Tripulacion"), "")</f>
        <v/>
      </c>
      <c r="U888" t="str">
        <f>IF(F888="ENAP carga", COUNTIF(F$5:F888, "ENAP carga"), "")</f>
        <v/>
      </c>
    </row>
    <row r="889" spans="13:21">
      <c r="M889" s="22" t="str">
        <f t="shared" si="18"/>
        <v/>
      </c>
      <c r="R889" t="str">
        <f>IF(F889="CJ", COUNTIF(F$5:F889, "CJ"), "")</f>
        <v/>
      </c>
      <c r="S889" t="str">
        <f>IF(F889="Ignacio", COUNTIF(F$5:F889, "Ignacio"), "")</f>
        <v/>
      </c>
      <c r="T889" t="str">
        <f>IF(F889="Tripulacion", COUNTIF(F$5:F889, "Tripulacion"), "")</f>
        <v/>
      </c>
      <c r="U889" t="str">
        <f>IF(F889="ENAP carga", COUNTIF(F$5:F889, "ENAP carga"), "")</f>
        <v/>
      </c>
    </row>
    <row r="890" spans="13:21">
      <c r="M890" s="22" t="str">
        <f t="shared" si="18"/>
        <v/>
      </c>
      <c r="R890" t="str">
        <f>IF(F890="CJ", COUNTIF(F$5:F890, "CJ"), "")</f>
        <v/>
      </c>
      <c r="S890" t="str">
        <f>IF(F890="Ignacio", COUNTIF(F$5:F890, "Ignacio"), "")</f>
        <v/>
      </c>
      <c r="T890" t="str">
        <f>IF(F890="Tripulacion", COUNTIF(F$5:F890, "Tripulacion"), "")</f>
        <v/>
      </c>
      <c r="U890" t="str">
        <f>IF(F890="ENAP carga", COUNTIF(F$5:F890, "ENAP carga"), "")</f>
        <v/>
      </c>
    </row>
    <row r="891" spans="13:21">
      <c r="M891" s="22" t="str">
        <f t="shared" si="18"/>
        <v/>
      </c>
      <c r="R891" t="str">
        <f>IF(F891="CJ", COUNTIF(F$5:F891, "CJ"), "")</f>
        <v/>
      </c>
      <c r="S891" t="str">
        <f>IF(F891="Ignacio", COUNTIF(F$5:F891, "Ignacio"), "")</f>
        <v/>
      </c>
      <c r="T891" t="str">
        <f>IF(F891="Tripulacion", COUNTIF(F$5:F891, "Tripulacion"), "")</f>
        <v/>
      </c>
      <c r="U891" t="str">
        <f>IF(F891="ENAP carga", COUNTIF(F$5:F891, "ENAP carga"), "")</f>
        <v/>
      </c>
    </row>
    <row r="892" spans="13:21">
      <c r="M892" s="22" t="str">
        <f t="shared" si="18"/>
        <v/>
      </c>
      <c r="R892" t="str">
        <f>IF(F892="CJ", COUNTIF(F$5:F892, "CJ"), "")</f>
        <v/>
      </c>
      <c r="S892" t="str">
        <f>IF(F892="Ignacio", COUNTIF(F$5:F892, "Ignacio"), "")</f>
        <v/>
      </c>
      <c r="T892" t="str">
        <f>IF(F892="Tripulacion", COUNTIF(F$5:F892, "Tripulacion"), "")</f>
        <v/>
      </c>
      <c r="U892" t="str">
        <f>IF(F892="ENAP carga", COUNTIF(F$5:F892, "ENAP carga"), "")</f>
        <v/>
      </c>
    </row>
    <row r="893" spans="13:21">
      <c r="M893" s="22" t="str">
        <f t="shared" si="18"/>
        <v/>
      </c>
      <c r="R893" t="str">
        <f>IF(F893="CJ", COUNTIF(F$5:F893, "CJ"), "")</f>
        <v/>
      </c>
      <c r="S893" t="str">
        <f>IF(F893="Ignacio", COUNTIF(F$5:F893, "Ignacio"), "")</f>
        <v/>
      </c>
      <c r="T893" t="str">
        <f>IF(F893="Tripulacion", COUNTIF(F$5:F893, "Tripulacion"), "")</f>
        <v/>
      </c>
      <c r="U893" t="str">
        <f>IF(F893="ENAP carga", COUNTIF(F$5:F893, "ENAP carga"), "")</f>
        <v/>
      </c>
    </row>
    <row r="894" spans="13:21">
      <c r="M894" s="22" t="str">
        <f t="shared" si="18"/>
        <v/>
      </c>
      <c r="R894" t="str">
        <f>IF(F894="CJ", COUNTIF(F$5:F894, "CJ"), "")</f>
        <v/>
      </c>
      <c r="S894" t="str">
        <f>IF(F894="Ignacio", COUNTIF(F$5:F894, "Ignacio"), "")</f>
        <v/>
      </c>
      <c r="T894" t="str">
        <f>IF(F894="Tripulacion", COUNTIF(F$5:F894, "Tripulacion"), "")</f>
        <v/>
      </c>
      <c r="U894" t="str">
        <f>IF(F894="ENAP carga", COUNTIF(F$5:F894, "ENAP carga"), "")</f>
        <v/>
      </c>
    </row>
    <row r="895" spans="13:21">
      <c r="M895" s="22" t="str">
        <f t="shared" si="18"/>
        <v/>
      </c>
      <c r="R895" t="str">
        <f>IF(F895="CJ", COUNTIF(F$5:F895, "CJ"), "")</f>
        <v/>
      </c>
      <c r="S895" t="str">
        <f>IF(F895="Ignacio", COUNTIF(F$5:F895, "Ignacio"), "")</f>
        <v/>
      </c>
      <c r="T895" t="str">
        <f>IF(F895="Tripulacion", COUNTIF(F$5:F895, "Tripulacion"), "")</f>
        <v/>
      </c>
      <c r="U895" t="str">
        <f>IF(F895="ENAP carga", COUNTIF(F$5:F895, "ENAP carga"), "")</f>
        <v/>
      </c>
    </row>
    <row r="896" spans="13:21">
      <c r="M896" s="22" t="str">
        <f t="shared" si="18"/>
        <v/>
      </c>
      <c r="R896" t="str">
        <f>IF(F896="CJ", COUNTIF(F$5:F896, "CJ"), "")</f>
        <v/>
      </c>
      <c r="S896" t="str">
        <f>IF(F896="Ignacio", COUNTIF(F$5:F896, "Ignacio"), "")</f>
        <v/>
      </c>
      <c r="T896" t="str">
        <f>IF(F896="Tripulacion", COUNTIF(F$5:F896, "Tripulacion"), "")</f>
        <v/>
      </c>
      <c r="U896" t="str">
        <f>IF(F896="ENAP carga", COUNTIF(F$5:F896, "ENAP carga"), "")</f>
        <v/>
      </c>
    </row>
    <row r="897" spans="13:21">
      <c r="M897" s="22" t="str">
        <f t="shared" si="18"/>
        <v/>
      </c>
      <c r="R897" t="str">
        <f>IF(F897="CJ", COUNTIF(F$5:F897, "CJ"), "")</f>
        <v/>
      </c>
      <c r="S897" t="str">
        <f>IF(F897="Ignacio", COUNTIF(F$5:F897, "Ignacio"), "")</f>
        <v/>
      </c>
      <c r="T897" t="str">
        <f>IF(F897="Tripulacion", COUNTIF(F$5:F897, "Tripulacion"), "")</f>
        <v/>
      </c>
      <c r="U897" t="str">
        <f>IF(F897="ENAP carga", COUNTIF(F$5:F897, "ENAP carga"), "")</f>
        <v/>
      </c>
    </row>
    <row r="898" spans="13:21">
      <c r="M898" s="22" t="str">
        <f t="shared" si="18"/>
        <v/>
      </c>
      <c r="R898" t="str">
        <f>IF(F898="CJ", COUNTIF(F$5:F898, "CJ"), "")</f>
        <v/>
      </c>
      <c r="S898" t="str">
        <f>IF(F898="Ignacio", COUNTIF(F$5:F898, "Ignacio"), "")</f>
        <v/>
      </c>
      <c r="T898" t="str">
        <f>IF(F898="Tripulacion", COUNTIF(F$5:F898, "Tripulacion"), "")</f>
        <v/>
      </c>
      <c r="U898" t="str">
        <f>IF(F898="ENAP carga", COUNTIF(F$5:F898, "ENAP carga"), "")</f>
        <v/>
      </c>
    </row>
    <row r="899" spans="13:21">
      <c r="M899" s="22" t="str">
        <f t="shared" si="18"/>
        <v/>
      </c>
      <c r="R899" t="str">
        <f>IF(F899="CJ", COUNTIF(F$5:F899, "CJ"), "")</f>
        <v/>
      </c>
      <c r="S899" t="str">
        <f>IF(F899="Ignacio", COUNTIF(F$5:F899, "Ignacio"), "")</f>
        <v/>
      </c>
      <c r="T899" t="str">
        <f>IF(F899="Tripulacion", COUNTIF(F$5:F899, "Tripulacion"), "")</f>
        <v/>
      </c>
      <c r="U899" t="str">
        <f>IF(F899="ENAP carga", COUNTIF(F$5:F899, "ENAP carga"), "")</f>
        <v/>
      </c>
    </row>
    <row r="900" spans="13:21">
      <c r="M900" s="22" t="str">
        <f t="shared" si="18"/>
        <v/>
      </c>
      <c r="R900" t="str">
        <f>IF(F900="CJ", COUNTIF(F$5:F900, "CJ"), "")</f>
        <v/>
      </c>
      <c r="S900" t="str">
        <f>IF(F900="Ignacio", COUNTIF(F$5:F900, "Ignacio"), "")</f>
        <v/>
      </c>
      <c r="T900" t="str">
        <f>IF(F900="Tripulacion", COUNTIF(F$5:F900, "Tripulacion"), "")</f>
        <v/>
      </c>
      <c r="U900" t="str">
        <f>IF(F900="ENAP carga", COUNTIF(F$5:F900, "ENAP carga"), "")</f>
        <v/>
      </c>
    </row>
    <row r="901" spans="13:21">
      <c r="M901" s="22" t="str">
        <f t="shared" si="18"/>
        <v/>
      </c>
      <c r="R901" t="str">
        <f>IF(F901="CJ", COUNTIF(F$5:F901, "CJ"), "")</f>
        <v/>
      </c>
      <c r="S901" t="str">
        <f>IF(F901="Ignacio", COUNTIF(F$5:F901, "Ignacio"), "")</f>
        <v/>
      </c>
      <c r="T901" t="str">
        <f>IF(F901="Tripulacion", COUNTIF(F$5:F901, "Tripulacion"), "")</f>
        <v/>
      </c>
      <c r="U901" t="str">
        <f>IF(F901="ENAP carga", COUNTIF(F$5:F901, "ENAP carga"), "")</f>
        <v/>
      </c>
    </row>
    <row r="902" spans="13:21">
      <c r="M902" s="22" t="str">
        <f t="shared" si="18"/>
        <v/>
      </c>
      <c r="R902" t="str">
        <f>IF(F902="CJ", COUNTIF(F$5:F902, "CJ"), "")</f>
        <v/>
      </c>
      <c r="S902" t="str">
        <f>IF(F902="Ignacio", COUNTIF(F$5:F902, "Ignacio"), "")</f>
        <v/>
      </c>
      <c r="T902" t="str">
        <f>IF(F902="Tripulacion", COUNTIF(F$5:F902, "Tripulacion"), "")</f>
        <v/>
      </c>
      <c r="U902" t="str">
        <f>IF(F902="ENAP carga", COUNTIF(F$5:F902, "ENAP carga"), "")</f>
        <v/>
      </c>
    </row>
    <row r="903" spans="13:21">
      <c r="M903" s="22" t="str">
        <f t="shared" si="18"/>
        <v/>
      </c>
      <c r="R903" t="str">
        <f>IF(F903="CJ", COUNTIF(F$5:F903, "CJ"), "")</f>
        <v/>
      </c>
      <c r="S903" t="str">
        <f>IF(F903="Ignacio", COUNTIF(F$5:F903, "Ignacio"), "")</f>
        <v/>
      </c>
      <c r="T903" t="str">
        <f>IF(F903="Tripulacion", COUNTIF(F$5:F903, "Tripulacion"), "")</f>
        <v/>
      </c>
      <c r="U903" t="str">
        <f>IF(F903="ENAP carga", COUNTIF(F$5:F903, "ENAP carga"), "")</f>
        <v/>
      </c>
    </row>
    <row r="904" spans="13:21">
      <c r="M904" s="22" t="str">
        <f t="shared" si="18"/>
        <v/>
      </c>
      <c r="R904" t="str">
        <f>IF(F904="CJ", COUNTIF(F$5:F904, "CJ"), "")</f>
        <v/>
      </c>
      <c r="S904" t="str">
        <f>IF(F904="Ignacio", COUNTIF(F$5:F904, "Ignacio"), "")</f>
        <v/>
      </c>
      <c r="T904" t="str">
        <f>IF(F904="Tripulacion", COUNTIF(F$5:F904, "Tripulacion"), "")</f>
        <v/>
      </c>
      <c r="U904" t="str">
        <f>IF(F904="ENAP carga", COUNTIF(F$5:F904, "ENAP carga"), "")</f>
        <v/>
      </c>
    </row>
    <row r="905" spans="13:21">
      <c r="M905" s="22" t="str">
        <f t="shared" si="18"/>
        <v/>
      </c>
      <c r="R905" t="str">
        <f>IF(F905="CJ", COUNTIF(F$5:F905, "CJ"), "")</f>
        <v/>
      </c>
      <c r="S905" t="str">
        <f>IF(F905="Ignacio", COUNTIF(F$5:F905, "Ignacio"), "")</f>
        <v/>
      </c>
      <c r="T905" t="str">
        <f>IF(F905="Tripulacion", COUNTIF(F$5:F905, "Tripulacion"), "")</f>
        <v/>
      </c>
      <c r="U905" t="str">
        <f>IF(F905="ENAP carga", COUNTIF(F$5:F905, "ENAP carga"), "")</f>
        <v/>
      </c>
    </row>
    <row r="906" spans="13:21">
      <c r="M906" s="22" t="str">
        <f t="shared" si="18"/>
        <v/>
      </c>
      <c r="R906" t="str">
        <f>IF(F906="CJ", COUNTIF(F$5:F906, "CJ"), "")</f>
        <v/>
      </c>
      <c r="S906" t="str">
        <f>IF(F906="Ignacio", COUNTIF(F$5:F906, "Ignacio"), "")</f>
        <v/>
      </c>
      <c r="T906" t="str">
        <f>IF(F906="Tripulacion", COUNTIF(F$5:F906, "Tripulacion"), "")</f>
        <v/>
      </c>
      <c r="U906" t="str">
        <f>IF(F906="ENAP carga", COUNTIF(F$5:F906, "ENAP carga"), "")</f>
        <v/>
      </c>
    </row>
    <row r="907" spans="13:21">
      <c r="M907" s="22" t="str">
        <f t="shared" si="18"/>
        <v/>
      </c>
      <c r="R907" t="str">
        <f>IF(F907="CJ", COUNTIF(F$5:F907, "CJ"), "")</f>
        <v/>
      </c>
      <c r="S907" t="str">
        <f>IF(F907="Ignacio", COUNTIF(F$5:F907, "Ignacio"), "")</f>
        <v/>
      </c>
      <c r="T907" t="str">
        <f>IF(F907="Tripulacion", COUNTIF(F$5:F907, "Tripulacion"), "")</f>
        <v/>
      </c>
      <c r="U907" t="str">
        <f>IF(F907="ENAP carga", COUNTIF(F$5:F907, "ENAP carga"), "")</f>
        <v/>
      </c>
    </row>
    <row r="908" spans="13:21">
      <c r="M908" s="22" t="str">
        <f t="shared" si="18"/>
        <v/>
      </c>
      <c r="R908" t="str">
        <f>IF(F908="CJ", COUNTIF(F$5:F908, "CJ"), "")</f>
        <v/>
      </c>
      <c r="S908" t="str">
        <f>IF(F908="Ignacio", COUNTIF(F$5:F908, "Ignacio"), "")</f>
        <v/>
      </c>
      <c r="T908" t="str">
        <f>IF(F908="Tripulacion", COUNTIF(F$5:F908, "Tripulacion"), "")</f>
        <v/>
      </c>
      <c r="U908" t="str">
        <f>IF(F908="ENAP carga", COUNTIF(F$5:F908, "ENAP carga"), "")</f>
        <v/>
      </c>
    </row>
    <row r="909" spans="13:21">
      <c r="M909" s="22" t="str">
        <f t="shared" si="18"/>
        <v/>
      </c>
      <c r="R909" t="str">
        <f>IF(F909="CJ", COUNTIF(F$5:F909, "CJ"), "")</f>
        <v/>
      </c>
      <c r="S909" t="str">
        <f>IF(F909="Ignacio", COUNTIF(F$5:F909, "Ignacio"), "")</f>
        <v/>
      </c>
      <c r="T909" t="str">
        <f>IF(F909="Tripulacion", COUNTIF(F$5:F909, "Tripulacion"), "")</f>
        <v/>
      </c>
      <c r="U909" t="str">
        <f>IF(F909="ENAP carga", COUNTIF(F$5:F909, "ENAP carga"), "")</f>
        <v/>
      </c>
    </row>
    <row r="910" spans="13:21">
      <c r="M910" s="22" t="str">
        <f t="shared" si="18"/>
        <v/>
      </c>
      <c r="R910" t="str">
        <f>IF(F910="CJ", COUNTIF(F$5:F910, "CJ"), "")</f>
        <v/>
      </c>
      <c r="S910" t="str">
        <f>IF(F910="Ignacio", COUNTIF(F$5:F910, "Ignacio"), "")</f>
        <v/>
      </c>
      <c r="T910" t="str">
        <f>IF(F910="Tripulacion", COUNTIF(F$5:F910, "Tripulacion"), "")</f>
        <v/>
      </c>
      <c r="U910" t="str">
        <f>IF(F910="ENAP carga", COUNTIF(F$5:F910, "ENAP carga"), "")</f>
        <v/>
      </c>
    </row>
    <row r="911" spans="13:21">
      <c r="M911" s="22" t="str">
        <f t="shared" si="18"/>
        <v/>
      </c>
      <c r="R911" t="str">
        <f>IF(F911="CJ", COUNTIF(F$5:F911, "CJ"), "")</f>
        <v/>
      </c>
      <c r="S911" t="str">
        <f>IF(F911="Ignacio", COUNTIF(F$5:F911, "Ignacio"), "")</f>
        <v/>
      </c>
      <c r="T911" t="str">
        <f>IF(F911="Tripulacion", COUNTIF(F$5:F911, "Tripulacion"), "")</f>
        <v/>
      </c>
      <c r="U911" t="str">
        <f>IF(F911="ENAP carga", COUNTIF(F$5:F911, "ENAP carga"), "")</f>
        <v/>
      </c>
    </row>
    <row r="912" spans="13:21">
      <c r="M912" s="22" t="str">
        <f t="shared" si="18"/>
        <v/>
      </c>
      <c r="R912" t="str">
        <f>IF(F912="CJ", COUNTIF(F$5:F912, "CJ"), "")</f>
        <v/>
      </c>
      <c r="S912" t="str">
        <f>IF(F912="Ignacio", COUNTIF(F$5:F912, "Ignacio"), "")</f>
        <v/>
      </c>
      <c r="T912" t="str">
        <f>IF(F912="Tripulacion", COUNTIF(F$5:F912, "Tripulacion"), "")</f>
        <v/>
      </c>
      <c r="U912" t="str">
        <f>IF(F912="ENAP carga", COUNTIF(F$5:F912, "ENAP carga"), "")</f>
        <v/>
      </c>
    </row>
    <row r="913" spans="13:21">
      <c r="M913" s="22" t="str">
        <f t="shared" si="18"/>
        <v/>
      </c>
      <c r="R913" t="str">
        <f>IF(F913="CJ", COUNTIF(F$5:F913, "CJ"), "")</f>
        <v/>
      </c>
      <c r="S913" t="str">
        <f>IF(F913="Ignacio", COUNTIF(F$5:F913, "Ignacio"), "")</f>
        <v/>
      </c>
      <c r="T913" t="str">
        <f>IF(F913="Tripulacion", COUNTIF(F$5:F913, "Tripulacion"), "")</f>
        <v/>
      </c>
      <c r="U913" t="str">
        <f>IF(F913="ENAP carga", COUNTIF(F$5:F913, "ENAP carga"), "")</f>
        <v/>
      </c>
    </row>
    <row r="914" spans="13:21">
      <c r="M914" s="22" t="str">
        <f t="shared" si="18"/>
        <v/>
      </c>
      <c r="R914" t="str">
        <f>IF(F914="CJ", COUNTIF(F$5:F914, "CJ"), "")</f>
        <v/>
      </c>
      <c r="S914" t="str">
        <f>IF(F914="Ignacio", COUNTIF(F$5:F914, "Ignacio"), "")</f>
        <v/>
      </c>
      <c r="T914" t="str">
        <f>IF(F914="Tripulacion", COUNTIF(F$5:F914, "Tripulacion"), "")</f>
        <v/>
      </c>
      <c r="U914" t="str">
        <f>IF(F914="ENAP carga", COUNTIF(F$5:F914, "ENAP carga"), "")</f>
        <v/>
      </c>
    </row>
    <row r="915" spans="13:21">
      <c r="M915" s="22" t="str">
        <f t="shared" si="18"/>
        <v/>
      </c>
      <c r="R915" t="str">
        <f>IF(F915="CJ", COUNTIF(F$5:F915, "CJ"), "")</f>
        <v/>
      </c>
      <c r="S915" t="str">
        <f>IF(F915="Ignacio", COUNTIF(F$5:F915, "Ignacio"), "")</f>
        <v/>
      </c>
      <c r="T915" t="str">
        <f>IF(F915="Tripulacion", COUNTIF(F$5:F915, "Tripulacion"), "")</f>
        <v/>
      </c>
      <c r="U915" t="str">
        <f>IF(F915="ENAP carga", COUNTIF(F$5:F915, "ENAP carga"), "")</f>
        <v/>
      </c>
    </row>
    <row r="916" spans="13:21">
      <c r="M916" s="22" t="str">
        <f t="shared" si="18"/>
        <v/>
      </c>
      <c r="R916" t="str">
        <f>IF(F916="CJ", COUNTIF(F$5:F916, "CJ"), "")</f>
        <v/>
      </c>
      <c r="S916" t="str">
        <f>IF(F916="Ignacio", COUNTIF(F$5:F916, "Ignacio"), "")</f>
        <v/>
      </c>
      <c r="T916" t="str">
        <f>IF(F916="Tripulacion", COUNTIF(F$5:F916, "Tripulacion"), "")</f>
        <v/>
      </c>
      <c r="U916" t="str">
        <f>IF(F916="ENAP carga", COUNTIF(F$5:F916, "ENAP carga"), "")</f>
        <v/>
      </c>
    </row>
    <row r="917" spans="13:21">
      <c r="M917" s="22" t="str">
        <f t="shared" si="18"/>
        <v/>
      </c>
      <c r="R917" t="str">
        <f>IF(F917="CJ", COUNTIF(F$5:F917, "CJ"), "")</f>
        <v/>
      </c>
      <c r="S917" t="str">
        <f>IF(F917="Ignacio", COUNTIF(F$5:F917, "Ignacio"), "")</f>
        <v/>
      </c>
      <c r="T917" t="str">
        <f>IF(F917="Tripulacion", COUNTIF(F$5:F917, "Tripulacion"), "")</f>
        <v/>
      </c>
      <c r="U917" t="str">
        <f>IF(F917="ENAP carga", COUNTIF(F$5:F917, "ENAP carga"), "")</f>
        <v/>
      </c>
    </row>
    <row r="918" spans="13:21">
      <c r="M918" s="22" t="str">
        <f t="shared" si="18"/>
        <v/>
      </c>
      <c r="R918" t="str">
        <f>IF(F918="CJ", COUNTIF(F$5:F918, "CJ"), "")</f>
        <v/>
      </c>
      <c r="S918" t="str">
        <f>IF(F918="Ignacio", COUNTIF(F$5:F918, "Ignacio"), "")</f>
        <v/>
      </c>
      <c r="T918" t="str">
        <f>IF(F918="Tripulacion", COUNTIF(F$5:F918, "Tripulacion"), "")</f>
        <v/>
      </c>
      <c r="U918" t="str">
        <f>IF(F918="ENAP carga", COUNTIF(F$5:F918, "ENAP carga"), "")</f>
        <v/>
      </c>
    </row>
    <row r="919" spans="13:21">
      <c r="M919" s="22" t="str">
        <f t="shared" si="18"/>
        <v/>
      </c>
      <c r="R919" t="str">
        <f>IF(F919="CJ", COUNTIF(F$5:F919, "CJ"), "")</f>
        <v/>
      </c>
      <c r="S919" t="str">
        <f>IF(F919="Ignacio", COUNTIF(F$5:F919, "Ignacio"), "")</f>
        <v/>
      </c>
      <c r="T919" t="str">
        <f>IF(F919="Tripulacion", COUNTIF(F$5:F919, "Tripulacion"), "")</f>
        <v/>
      </c>
      <c r="U919" t="str">
        <f>IF(F919="ENAP carga", COUNTIF(F$5:F919, "ENAP carga"), "")</f>
        <v/>
      </c>
    </row>
    <row r="920" spans="13:21">
      <c r="M920" s="22" t="str">
        <f t="shared" ref="M920:M983" si="19">IF(F920="CJ", I920*200, "")</f>
        <v/>
      </c>
      <c r="R920" t="str">
        <f>IF(F920="CJ", COUNTIF(F$5:F920, "CJ"), "")</f>
        <v/>
      </c>
      <c r="S920" t="str">
        <f>IF(F920="Ignacio", COUNTIF(F$5:F920, "Ignacio"), "")</f>
        <v/>
      </c>
      <c r="T920" t="str">
        <f>IF(F920="Tripulacion", COUNTIF(F$5:F920, "Tripulacion"), "")</f>
        <v/>
      </c>
      <c r="U920" t="str">
        <f>IF(F920="ENAP carga", COUNTIF(F$5:F920, "ENAP carga"), "")</f>
        <v/>
      </c>
    </row>
    <row r="921" spans="13:21">
      <c r="M921" s="22" t="str">
        <f t="shared" si="19"/>
        <v/>
      </c>
      <c r="R921" t="str">
        <f>IF(F921="CJ", COUNTIF(F$5:F921, "CJ"), "")</f>
        <v/>
      </c>
      <c r="S921" t="str">
        <f>IF(F921="Ignacio", COUNTIF(F$5:F921, "Ignacio"), "")</f>
        <v/>
      </c>
      <c r="T921" t="str">
        <f>IF(F921="Tripulacion", COUNTIF(F$5:F921, "Tripulacion"), "")</f>
        <v/>
      </c>
      <c r="U921" t="str">
        <f>IF(F921="ENAP carga", COUNTIF(F$5:F921, "ENAP carga"), "")</f>
        <v/>
      </c>
    </row>
    <row r="922" spans="13:21">
      <c r="M922" s="22" t="str">
        <f t="shared" si="19"/>
        <v/>
      </c>
      <c r="R922" t="str">
        <f>IF(F922="CJ", COUNTIF(F$5:F922, "CJ"), "")</f>
        <v/>
      </c>
      <c r="S922" t="str">
        <f>IF(F922="Ignacio", COUNTIF(F$5:F922, "Ignacio"), "")</f>
        <v/>
      </c>
      <c r="T922" t="str">
        <f>IF(F922="Tripulacion", COUNTIF(F$5:F922, "Tripulacion"), "")</f>
        <v/>
      </c>
      <c r="U922" t="str">
        <f>IF(F922="ENAP carga", COUNTIF(F$5:F922, "ENAP carga"), "")</f>
        <v/>
      </c>
    </row>
    <row r="923" spans="13:21">
      <c r="M923" s="22" t="str">
        <f t="shared" si="19"/>
        <v/>
      </c>
      <c r="R923" t="str">
        <f>IF(F923="CJ", COUNTIF(F$5:F923, "CJ"), "")</f>
        <v/>
      </c>
      <c r="S923" t="str">
        <f>IF(F923="Ignacio", COUNTIF(F$5:F923, "Ignacio"), "")</f>
        <v/>
      </c>
      <c r="T923" t="str">
        <f>IF(F923="Tripulacion", COUNTIF(F$5:F923, "Tripulacion"), "")</f>
        <v/>
      </c>
      <c r="U923" t="str">
        <f>IF(F923="ENAP carga", COUNTIF(F$5:F923, "ENAP carga"), "")</f>
        <v/>
      </c>
    </row>
    <row r="924" spans="13:21">
      <c r="M924" s="22" t="str">
        <f t="shared" si="19"/>
        <v/>
      </c>
      <c r="R924" t="str">
        <f>IF(F924="CJ", COUNTIF(F$5:F924, "CJ"), "")</f>
        <v/>
      </c>
      <c r="S924" t="str">
        <f>IF(F924="Ignacio", COUNTIF(F$5:F924, "Ignacio"), "")</f>
        <v/>
      </c>
      <c r="T924" t="str">
        <f>IF(F924="Tripulacion", COUNTIF(F$5:F924, "Tripulacion"), "")</f>
        <v/>
      </c>
      <c r="U924" t="str">
        <f>IF(F924="ENAP carga", COUNTIF(F$5:F924, "ENAP carga"), "")</f>
        <v/>
      </c>
    </row>
    <row r="925" spans="13:21">
      <c r="M925" s="22" t="str">
        <f t="shared" si="19"/>
        <v/>
      </c>
      <c r="R925" t="str">
        <f>IF(F925="CJ", COUNTIF(F$5:F925, "CJ"), "")</f>
        <v/>
      </c>
      <c r="S925" t="str">
        <f>IF(F925="Ignacio", COUNTIF(F$5:F925, "Ignacio"), "")</f>
        <v/>
      </c>
      <c r="T925" t="str">
        <f>IF(F925="Tripulacion", COUNTIF(F$5:F925, "Tripulacion"), "")</f>
        <v/>
      </c>
      <c r="U925" t="str">
        <f>IF(F925="ENAP carga", COUNTIF(F$5:F925, "ENAP carga"), "")</f>
        <v/>
      </c>
    </row>
    <row r="926" spans="13:21">
      <c r="M926" s="22" t="str">
        <f t="shared" si="19"/>
        <v/>
      </c>
      <c r="R926" t="str">
        <f>IF(F926="CJ", COUNTIF(F$5:F926, "CJ"), "")</f>
        <v/>
      </c>
      <c r="S926" t="str">
        <f>IF(F926="Ignacio", COUNTIF(F$5:F926, "Ignacio"), "")</f>
        <v/>
      </c>
      <c r="T926" t="str">
        <f>IF(F926="Tripulacion", COUNTIF(F$5:F926, "Tripulacion"), "")</f>
        <v/>
      </c>
      <c r="U926" t="str">
        <f>IF(F926="ENAP carga", COUNTIF(F$5:F926, "ENAP carga"), "")</f>
        <v/>
      </c>
    </row>
    <row r="927" spans="13:21">
      <c r="M927" s="22" t="str">
        <f t="shared" si="19"/>
        <v/>
      </c>
      <c r="R927" t="str">
        <f>IF(F927="CJ", COUNTIF(F$5:F927, "CJ"), "")</f>
        <v/>
      </c>
      <c r="S927" t="str">
        <f>IF(F927="Ignacio", COUNTIF(F$5:F927, "Ignacio"), "")</f>
        <v/>
      </c>
      <c r="T927" t="str">
        <f>IF(F927="Tripulacion", COUNTIF(F$5:F927, "Tripulacion"), "")</f>
        <v/>
      </c>
      <c r="U927" t="str">
        <f>IF(F927="ENAP carga", COUNTIF(F$5:F927, "ENAP carga"), "")</f>
        <v/>
      </c>
    </row>
    <row r="928" spans="13:21">
      <c r="M928" s="22" t="str">
        <f t="shared" si="19"/>
        <v/>
      </c>
      <c r="R928" t="str">
        <f>IF(F928="CJ", COUNTIF(F$5:F928, "CJ"), "")</f>
        <v/>
      </c>
      <c r="S928" t="str">
        <f>IF(F928="Ignacio", COUNTIF(F$5:F928, "Ignacio"), "")</f>
        <v/>
      </c>
      <c r="T928" t="str">
        <f>IF(F928="Tripulacion", COUNTIF(F$5:F928, "Tripulacion"), "")</f>
        <v/>
      </c>
      <c r="U928" t="str">
        <f>IF(F928="ENAP carga", COUNTIF(F$5:F928, "ENAP carga"), "")</f>
        <v/>
      </c>
    </row>
    <row r="929" spans="13:21">
      <c r="M929" s="22" t="str">
        <f t="shared" si="19"/>
        <v/>
      </c>
      <c r="R929" t="str">
        <f>IF(F929="CJ", COUNTIF(F$5:F929, "CJ"), "")</f>
        <v/>
      </c>
      <c r="S929" t="str">
        <f>IF(F929="Ignacio", COUNTIF(F$5:F929, "Ignacio"), "")</f>
        <v/>
      </c>
      <c r="T929" t="str">
        <f>IF(F929="Tripulacion", COUNTIF(F$5:F929, "Tripulacion"), "")</f>
        <v/>
      </c>
      <c r="U929" t="str">
        <f>IF(F929="ENAP carga", COUNTIF(F$5:F929, "ENAP carga"), "")</f>
        <v/>
      </c>
    </row>
    <row r="930" spans="13:21">
      <c r="M930" s="22" t="str">
        <f t="shared" si="19"/>
        <v/>
      </c>
      <c r="R930" t="str">
        <f>IF(F930="CJ", COUNTIF(F$5:F930, "CJ"), "")</f>
        <v/>
      </c>
      <c r="S930" t="str">
        <f>IF(F930="Ignacio", COUNTIF(F$5:F930, "Ignacio"), "")</f>
        <v/>
      </c>
      <c r="T930" t="str">
        <f>IF(F930="Tripulacion", COUNTIF(F$5:F930, "Tripulacion"), "")</f>
        <v/>
      </c>
      <c r="U930" t="str">
        <f>IF(F930="ENAP carga", COUNTIF(F$5:F930, "ENAP carga"), "")</f>
        <v/>
      </c>
    </row>
    <row r="931" spans="13:21">
      <c r="M931" s="22" t="str">
        <f t="shared" si="19"/>
        <v/>
      </c>
      <c r="R931" t="str">
        <f>IF(F931="CJ", COUNTIF(F$5:F931, "CJ"), "")</f>
        <v/>
      </c>
      <c r="S931" t="str">
        <f>IF(F931="Ignacio", COUNTIF(F$5:F931, "Ignacio"), "")</f>
        <v/>
      </c>
      <c r="T931" t="str">
        <f>IF(F931="Tripulacion", COUNTIF(F$5:F931, "Tripulacion"), "")</f>
        <v/>
      </c>
      <c r="U931" t="str">
        <f>IF(F931="ENAP carga", COUNTIF(F$5:F931, "ENAP carga"), "")</f>
        <v/>
      </c>
    </row>
    <row r="932" spans="13:21">
      <c r="M932" s="22" t="str">
        <f t="shared" si="19"/>
        <v/>
      </c>
      <c r="R932" t="str">
        <f>IF(F932="CJ", COUNTIF(F$5:F932, "CJ"), "")</f>
        <v/>
      </c>
      <c r="S932" t="str">
        <f>IF(F932="Ignacio", COUNTIF(F$5:F932, "Ignacio"), "")</f>
        <v/>
      </c>
      <c r="T932" t="str">
        <f>IF(F932="Tripulacion", COUNTIF(F$5:F932, "Tripulacion"), "")</f>
        <v/>
      </c>
      <c r="U932" t="str">
        <f>IF(F932="ENAP carga", COUNTIF(F$5:F932, "ENAP carga"), "")</f>
        <v/>
      </c>
    </row>
    <row r="933" spans="13:21">
      <c r="M933" s="22" t="str">
        <f t="shared" si="19"/>
        <v/>
      </c>
      <c r="R933" t="str">
        <f>IF(F933="CJ", COUNTIF(F$5:F933, "CJ"), "")</f>
        <v/>
      </c>
      <c r="S933" t="str">
        <f>IF(F933="Ignacio", COUNTIF(F$5:F933, "Ignacio"), "")</f>
        <v/>
      </c>
      <c r="T933" t="str">
        <f>IF(F933="Tripulacion", COUNTIF(F$5:F933, "Tripulacion"), "")</f>
        <v/>
      </c>
      <c r="U933" t="str">
        <f>IF(F933="ENAP carga", COUNTIF(F$5:F933, "ENAP carga"), "")</f>
        <v/>
      </c>
    </row>
    <row r="934" spans="13:21">
      <c r="M934" s="22" t="str">
        <f t="shared" si="19"/>
        <v/>
      </c>
      <c r="R934" t="str">
        <f>IF(F934="CJ", COUNTIF(F$5:F934, "CJ"), "")</f>
        <v/>
      </c>
      <c r="S934" t="str">
        <f>IF(F934="Ignacio", COUNTIF(F$5:F934, "Ignacio"), "")</f>
        <v/>
      </c>
      <c r="T934" t="str">
        <f>IF(F934="Tripulacion", COUNTIF(F$5:F934, "Tripulacion"), "")</f>
        <v/>
      </c>
      <c r="U934" t="str">
        <f>IF(F934="ENAP carga", COUNTIF(F$5:F934, "ENAP carga"), "")</f>
        <v/>
      </c>
    </row>
    <row r="935" spans="13:21">
      <c r="M935" s="22" t="str">
        <f t="shared" si="19"/>
        <v/>
      </c>
      <c r="R935" t="str">
        <f>IF(F935="CJ", COUNTIF(F$5:F935, "CJ"), "")</f>
        <v/>
      </c>
      <c r="S935" t="str">
        <f>IF(F935="Ignacio", COUNTIF(F$5:F935, "Ignacio"), "")</f>
        <v/>
      </c>
      <c r="T935" t="str">
        <f>IF(F935="Tripulacion", COUNTIF(F$5:F935, "Tripulacion"), "")</f>
        <v/>
      </c>
      <c r="U935" t="str">
        <f>IF(F935="ENAP carga", COUNTIF(F$5:F935, "ENAP carga"), "")</f>
        <v/>
      </c>
    </row>
    <row r="936" spans="13:21">
      <c r="M936" s="22" t="str">
        <f t="shared" si="19"/>
        <v/>
      </c>
      <c r="R936" t="str">
        <f>IF(F936="CJ", COUNTIF(F$5:F936, "CJ"), "")</f>
        <v/>
      </c>
      <c r="S936" t="str">
        <f>IF(F936="Ignacio", COUNTIF(F$5:F936, "Ignacio"), "")</f>
        <v/>
      </c>
      <c r="T936" t="str">
        <f>IF(F936="Tripulacion", COUNTIF(F$5:F936, "Tripulacion"), "")</f>
        <v/>
      </c>
      <c r="U936" t="str">
        <f>IF(F936="ENAP carga", COUNTIF(F$5:F936, "ENAP carga"), "")</f>
        <v/>
      </c>
    </row>
    <row r="937" spans="13:21">
      <c r="M937" s="22" t="str">
        <f t="shared" si="19"/>
        <v/>
      </c>
      <c r="R937" t="str">
        <f>IF(F937="CJ", COUNTIF(F$5:F937, "CJ"), "")</f>
        <v/>
      </c>
      <c r="S937" t="str">
        <f>IF(F937="Ignacio", COUNTIF(F$5:F937, "Ignacio"), "")</f>
        <v/>
      </c>
      <c r="T937" t="str">
        <f>IF(F937="Tripulacion", COUNTIF(F$5:F937, "Tripulacion"), "")</f>
        <v/>
      </c>
      <c r="U937" t="str">
        <f>IF(F937="ENAP carga", COUNTIF(F$5:F937, "ENAP carga"), "")</f>
        <v/>
      </c>
    </row>
    <row r="938" spans="13:21">
      <c r="M938" s="22" t="str">
        <f t="shared" si="19"/>
        <v/>
      </c>
      <c r="R938" t="str">
        <f>IF(F938="CJ", COUNTIF(F$5:F938, "CJ"), "")</f>
        <v/>
      </c>
      <c r="S938" t="str">
        <f>IF(F938="Ignacio", COUNTIF(F$5:F938, "Ignacio"), "")</f>
        <v/>
      </c>
      <c r="T938" t="str">
        <f>IF(F938="Tripulacion", COUNTIF(F$5:F938, "Tripulacion"), "")</f>
        <v/>
      </c>
      <c r="U938" t="str">
        <f>IF(F938="ENAP carga", COUNTIF(F$5:F938, "ENAP carga"), "")</f>
        <v/>
      </c>
    </row>
    <row r="939" spans="13:21">
      <c r="M939" s="22" t="str">
        <f t="shared" si="19"/>
        <v/>
      </c>
      <c r="R939" t="str">
        <f>IF(F939="CJ", COUNTIF(F$5:F939, "CJ"), "")</f>
        <v/>
      </c>
      <c r="S939" t="str">
        <f>IF(F939="Ignacio", COUNTIF(F$5:F939, "Ignacio"), "")</f>
        <v/>
      </c>
      <c r="T939" t="str">
        <f>IF(F939="Tripulacion", COUNTIF(F$5:F939, "Tripulacion"), "")</f>
        <v/>
      </c>
      <c r="U939" t="str">
        <f>IF(F939="ENAP carga", COUNTIF(F$5:F939, "ENAP carga"), "")</f>
        <v/>
      </c>
    </row>
    <row r="940" spans="13:21">
      <c r="M940" s="22" t="str">
        <f t="shared" si="19"/>
        <v/>
      </c>
      <c r="R940" t="str">
        <f>IF(F940="CJ", COUNTIF(F$5:F940, "CJ"), "")</f>
        <v/>
      </c>
      <c r="S940" t="str">
        <f>IF(F940="Ignacio", COUNTIF(F$5:F940, "Ignacio"), "")</f>
        <v/>
      </c>
      <c r="T940" t="str">
        <f>IF(F940="Tripulacion", COUNTIF(F$5:F940, "Tripulacion"), "")</f>
        <v/>
      </c>
      <c r="U940" t="str">
        <f>IF(F940="ENAP carga", COUNTIF(F$5:F940, "ENAP carga"), "")</f>
        <v/>
      </c>
    </row>
    <row r="941" spans="13:21">
      <c r="M941" s="22" t="str">
        <f t="shared" si="19"/>
        <v/>
      </c>
      <c r="R941" t="str">
        <f>IF(F941="CJ", COUNTIF(F$5:F941, "CJ"), "")</f>
        <v/>
      </c>
      <c r="S941" t="str">
        <f>IF(F941="Ignacio", COUNTIF(F$5:F941, "Ignacio"), "")</f>
        <v/>
      </c>
      <c r="T941" t="str">
        <f>IF(F941="Tripulacion", COUNTIF(F$5:F941, "Tripulacion"), "")</f>
        <v/>
      </c>
      <c r="U941" t="str">
        <f>IF(F941="ENAP carga", COUNTIF(F$5:F941, "ENAP carga"), "")</f>
        <v/>
      </c>
    </row>
    <row r="942" spans="13:21">
      <c r="M942" s="22" t="str">
        <f t="shared" si="19"/>
        <v/>
      </c>
      <c r="R942" t="str">
        <f>IF(F942="CJ", COUNTIF(F$5:F942, "CJ"), "")</f>
        <v/>
      </c>
      <c r="S942" t="str">
        <f>IF(F942="Ignacio", COUNTIF(F$5:F942, "Ignacio"), "")</f>
        <v/>
      </c>
      <c r="T942" t="str">
        <f>IF(F942="Tripulacion", COUNTIF(F$5:F942, "Tripulacion"), "")</f>
        <v/>
      </c>
      <c r="U942" t="str">
        <f>IF(F942="ENAP carga", COUNTIF(F$5:F942, "ENAP carga"), "")</f>
        <v/>
      </c>
    </row>
    <row r="943" spans="13:21">
      <c r="M943" s="22" t="str">
        <f t="shared" si="19"/>
        <v/>
      </c>
      <c r="R943" t="str">
        <f>IF(F943="CJ", COUNTIF(F$5:F943, "CJ"), "")</f>
        <v/>
      </c>
      <c r="S943" t="str">
        <f>IF(F943="Ignacio", COUNTIF(F$5:F943, "Ignacio"), "")</f>
        <v/>
      </c>
      <c r="T943" t="str">
        <f>IF(F943="Tripulacion", COUNTIF(F$5:F943, "Tripulacion"), "")</f>
        <v/>
      </c>
      <c r="U943" t="str">
        <f>IF(F943="ENAP carga", COUNTIF(F$5:F943, "ENAP carga"), "")</f>
        <v/>
      </c>
    </row>
    <row r="944" spans="13:21">
      <c r="M944" s="22" t="str">
        <f t="shared" si="19"/>
        <v/>
      </c>
      <c r="R944" t="str">
        <f>IF(F944="CJ", COUNTIF(F$5:F944, "CJ"), "")</f>
        <v/>
      </c>
      <c r="S944" t="str">
        <f>IF(F944="Ignacio", COUNTIF(F$5:F944, "Ignacio"), "")</f>
        <v/>
      </c>
      <c r="T944" t="str">
        <f>IF(F944="Tripulacion", COUNTIF(F$5:F944, "Tripulacion"), "")</f>
        <v/>
      </c>
      <c r="U944" t="str">
        <f>IF(F944="ENAP carga", COUNTIF(F$5:F944, "ENAP carga"), "")</f>
        <v/>
      </c>
    </row>
    <row r="945" spans="13:21">
      <c r="M945" s="22" t="str">
        <f t="shared" si="19"/>
        <v/>
      </c>
      <c r="R945" t="str">
        <f>IF(F945="CJ", COUNTIF(F$5:F945, "CJ"), "")</f>
        <v/>
      </c>
      <c r="S945" t="str">
        <f>IF(F945="Ignacio", COUNTIF(F$5:F945, "Ignacio"), "")</f>
        <v/>
      </c>
      <c r="T945" t="str">
        <f>IF(F945="Tripulacion", COUNTIF(F$5:F945, "Tripulacion"), "")</f>
        <v/>
      </c>
      <c r="U945" t="str">
        <f>IF(F945="ENAP carga", COUNTIF(F$5:F945, "ENAP carga"), "")</f>
        <v/>
      </c>
    </row>
    <row r="946" spans="13:21">
      <c r="M946" s="22" t="str">
        <f t="shared" si="19"/>
        <v/>
      </c>
      <c r="R946" t="str">
        <f>IF(F946="CJ", COUNTIF(F$5:F946, "CJ"), "")</f>
        <v/>
      </c>
      <c r="S946" t="str">
        <f>IF(F946="Ignacio", COUNTIF(F$5:F946, "Ignacio"), "")</f>
        <v/>
      </c>
      <c r="T946" t="str">
        <f>IF(F946="Tripulacion", COUNTIF(F$5:F946, "Tripulacion"), "")</f>
        <v/>
      </c>
      <c r="U946" t="str">
        <f>IF(F946="ENAP carga", COUNTIF(F$5:F946, "ENAP carga"), "")</f>
        <v/>
      </c>
    </row>
    <row r="947" spans="13:21">
      <c r="M947" s="22" t="str">
        <f t="shared" si="19"/>
        <v/>
      </c>
      <c r="R947" t="str">
        <f>IF(F947="CJ", COUNTIF(F$5:F947, "CJ"), "")</f>
        <v/>
      </c>
      <c r="S947" t="str">
        <f>IF(F947="Ignacio", COUNTIF(F$5:F947, "Ignacio"), "")</f>
        <v/>
      </c>
      <c r="T947" t="str">
        <f>IF(F947="Tripulacion", COUNTIF(F$5:F947, "Tripulacion"), "")</f>
        <v/>
      </c>
      <c r="U947" t="str">
        <f>IF(F947="ENAP carga", COUNTIF(F$5:F947, "ENAP carga"), "")</f>
        <v/>
      </c>
    </row>
    <row r="948" spans="13:21">
      <c r="M948" s="22" t="str">
        <f t="shared" si="19"/>
        <v/>
      </c>
      <c r="R948" t="str">
        <f>IF(F948="CJ", COUNTIF(F$5:F948, "CJ"), "")</f>
        <v/>
      </c>
      <c r="S948" t="str">
        <f>IF(F948="Ignacio", COUNTIF(F$5:F948, "Ignacio"), "")</f>
        <v/>
      </c>
      <c r="T948" t="str">
        <f>IF(F948="Tripulacion", COUNTIF(F$5:F948, "Tripulacion"), "")</f>
        <v/>
      </c>
      <c r="U948" t="str">
        <f>IF(F948="ENAP carga", COUNTIF(F$5:F948, "ENAP carga"), "")</f>
        <v/>
      </c>
    </row>
    <row r="949" spans="13:21">
      <c r="M949" s="22" t="str">
        <f t="shared" si="19"/>
        <v/>
      </c>
      <c r="R949" t="str">
        <f>IF(F949="CJ", COUNTIF(F$5:F949, "CJ"), "")</f>
        <v/>
      </c>
      <c r="S949" t="str">
        <f>IF(F949="Ignacio", COUNTIF(F$5:F949, "Ignacio"), "")</f>
        <v/>
      </c>
      <c r="T949" t="str">
        <f>IF(F949="Tripulacion", COUNTIF(F$5:F949, "Tripulacion"), "")</f>
        <v/>
      </c>
      <c r="U949" t="str">
        <f>IF(F949="ENAP carga", COUNTIF(F$5:F949, "ENAP carga"), "")</f>
        <v/>
      </c>
    </row>
    <row r="950" spans="13:21">
      <c r="M950" s="22" t="str">
        <f t="shared" si="19"/>
        <v/>
      </c>
      <c r="R950" t="str">
        <f>IF(F950="CJ", COUNTIF(F$5:F950, "CJ"), "")</f>
        <v/>
      </c>
      <c r="S950" t="str">
        <f>IF(F950="Ignacio", COUNTIF(F$5:F950, "Ignacio"), "")</f>
        <v/>
      </c>
      <c r="T950" t="str">
        <f>IF(F950="Tripulacion", COUNTIF(F$5:F950, "Tripulacion"), "")</f>
        <v/>
      </c>
      <c r="U950" t="str">
        <f>IF(F950="ENAP carga", COUNTIF(F$5:F950, "ENAP carga"), "")</f>
        <v/>
      </c>
    </row>
    <row r="951" spans="13:21">
      <c r="M951" s="22" t="str">
        <f t="shared" si="19"/>
        <v/>
      </c>
      <c r="R951" t="str">
        <f>IF(F951="CJ", COUNTIF(F$5:F951, "CJ"), "")</f>
        <v/>
      </c>
      <c r="S951" t="str">
        <f>IF(F951="Ignacio", COUNTIF(F$5:F951, "Ignacio"), "")</f>
        <v/>
      </c>
      <c r="T951" t="str">
        <f>IF(F951="Tripulacion", COUNTIF(F$5:F951, "Tripulacion"), "")</f>
        <v/>
      </c>
      <c r="U951" t="str">
        <f>IF(F951="ENAP carga", COUNTIF(F$5:F951, "ENAP carga"), "")</f>
        <v/>
      </c>
    </row>
    <row r="952" spans="13:21">
      <c r="M952" s="22" t="str">
        <f t="shared" si="19"/>
        <v/>
      </c>
      <c r="R952" t="str">
        <f>IF(F952="CJ", COUNTIF(F$5:F952, "CJ"), "")</f>
        <v/>
      </c>
      <c r="S952" t="str">
        <f>IF(F952="Ignacio", COUNTIF(F$5:F952, "Ignacio"), "")</f>
        <v/>
      </c>
      <c r="T952" t="str">
        <f>IF(F952="Tripulacion", COUNTIF(F$5:F952, "Tripulacion"), "")</f>
        <v/>
      </c>
      <c r="U952" t="str">
        <f>IF(F952="ENAP carga", COUNTIF(F$5:F952, "ENAP carga"), "")</f>
        <v/>
      </c>
    </row>
    <row r="953" spans="13:21">
      <c r="M953" s="22" t="str">
        <f t="shared" si="19"/>
        <v/>
      </c>
      <c r="R953" t="str">
        <f>IF(F953="CJ", COUNTIF(F$5:F953, "CJ"), "")</f>
        <v/>
      </c>
      <c r="S953" t="str">
        <f>IF(F953="Ignacio", COUNTIF(F$5:F953, "Ignacio"), "")</f>
        <v/>
      </c>
      <c r="T953" t="str">
        <f>IF(F953="Tripulacion", COUNTIF(F$5:F953, "Tripulacion"), "")</f>
        <v/>
      </c>
      <c r="U953" t="str">
        <f>IF(F953="ENAP carga", COUNTIF(F$5:F953, "ENAP carga"), "")</f>
        <v/>
      </c>
    </row>
    <row r="954" spans="13:21">
      <c r="M954" s="22" t="str">
        <f t="shared" si="19"/>
        <v/>
      </c>
      <c r="R954" t="str">
        <f>IF(F954="CJ", COUNTIF(F$5:F954, "CJ"), "")</f>
        <v/>
      </c>
      <c r="S954" t="str">
        <f>IF(F954="Ignacio", COUNTIF(F$5:F954, "Ignacio"), "")</f>
        <v/>
      </c>
      <c r="T954" t="str">
        <f>IF(F954="Tripulacion", COUNTIF(F$5:F954, "Tripulacion"), "")</f>
        <v/>
      </c>
      <c r="U954" t="str">
        <f>IF(F954="ENAP carga", COUNTIF(F$5:F954, "ENAP carga"), "")</f>
        <v/>
      </c>
    </row>
    <row r="955" spans="13:21">
      <c r="M955" s="22" t="str">
        <f t="shared" si="19"/>
        <v/>
      </c>
      <c r="R955" t="str">
        <f>IF(F955="CJ", COUNTIF(F$5:F955, "CJ"), "")</f>
        <v/>
      </c>
      <c r="S955" t="str">
        <f>IF(F955="Ignacio", COUNTIF(F$5:F955, "Ignacio"), "")</f>
        <v/>
      </c>
      <c r="T955" t="str">
        <f>IF(F955="Tripulacion", COUNTIF(F$5:F955, "Tripulacion"), "")</f>
        <v/>
      </c>
      <c r="U955" t="str">
        <f>IF(F955="ENAP carga", COUNTIF(F$5:F955, "ENAP carga"), "")</f>
        <v/>
      </c>
    </row>
    <row r="956" spans="13:21">
      <c r="M956" s="22" t="str">
        <f t="shared" si="19"/>
        <v/>
      </c>
      <c r="R956" t="str">
        <f>IF(F956="CJ", COUNTIF(F$5:F956, "CJ"), "")</f>
        <v/>
      </c>
      <c r="S956" t="str">
        <f>IF(F956="Ignacio", COUNTIF(F$5:F956, "Ignacio"), "")</f>
        <v/>
      </c>
      <c r="T956" t="str">
        <f>IF(F956="Tripulacion", COUNTIF(F$5:F956, "Tripulacion"), "")</f>
        <v/>
      </c>
      <c r="U956" t="str">
        <f>IF(F956="ENAP carga", COUNTIF(F$5:F956, "ENAP carga"), "")</f>
        <v/>
      </c>
    </row>
    <row r="957" spans="13:21">
      <c r="M957" s="22" t="str">
        <f t="shared" si="19"/>
        <v/>
      </c>
      <c r="R957" t="str">
        <f>IF(F957="CJ", COUNTIF(F$5:F957, "CJ"), "")</f>
        <v/>
      </c>
      <c r="S957" t="str">
        <f>IF(F957="Ignacio", COUNTIF(F$5:F957, "Ignacio"), "")</f>
        <v/>
      </c>
      <c r="T957" t="str">
        <f>IF(F957="Tripulacion", COUNTIF(F$5:F957, "Tripulacion"), "")</f>
        <v/>
      </c>
      <c r="U957" t="str">
        <f>IF(F957="ENAP carga", COUNTIF(F$5:F957, "ENAP carga"), "")</f>
        <v/>
      </c>
    </row>
    <row r="958" spans="13:21">
      <c r="M958" s="22" t="str">
        <f t="shared" si="19"/>
        <v/>
      </c>
      <c r="R958" t="str">
        <f>IF(F958="CJ", COUNTIF(F$5:F958, "CJ"), "")</f>
        <v/>
      </c>
      <c r="S958" t="str">
        <f>IF(F958="Ignacio", COUNTIF(F$5:F958, "Ignacio"), "")</f>
        <v/>
      </c>
      <c r="T958" t="str">
        <f>IF(F958="Tripulacion", COUNTIF(F$5:F958, "Tripulacion"), "")</f>
        <v/>
      </c>
      <c r="U958" t="str">
        <f>IF(F958="ENAP carga", COUNTIF(F$5:F958, "ENAP carga"), "")</f>
        <v/>
      </c>
    </row>
    <row r="959" spans="13:21">
      <c r="M959" s="22" t="str">
        <f t="shared" si="19"/>
        <v/>
      </c>
      <c r="R959" t="str">
        <f>IF(F959="CJ", COUNTIF(F$5:F959, "CJ"), "")</f>
        <v/>
      </c>
      <c r="S959" t="str">
        <f>IF(F959="Ignacio", COUNTIF(F$5:F959, "Ignacio"), "")</f>
        <v/>
      </c>
      <c r="T959" t="str">
        <f>IF(F959="Tripulacion", COUNTIF(F$5:F959, "Tripulacion"), "")</f>
        <v/>
      </c>
      <c r="U959" t="str">
        <f>IF(F959="ENAP carga", COUNTIF(F$5:F959, "ENAP carga"), "")</f>
        <v/>
      </c>
    </row>
    <row r="960" spans="13:21">
      <c r="M960" s="22" t="str">
        <f t="shared" si="19"/>
        <v/>
      </c>
      <c r="R960" t="str">
        <f>IF(F960="CJ", COUNTIF(F$5:F960, "CJ"), "")</f>
        <v/>
      </c>
      <c r="S960" t="str">
        <f>IF(F960="Ignacio", COUNTIF(F$5:F960, "Ignacio"), "")</f>
        <v/>
      </c>
      <c r="T960" t="str">
        <f>IF(F960="Tripulacion", COUNTIF(F$5:F960, "Tripulacion"), "")</f>
        <v/>
      </c>
      <c r="U960" t="str">
        <f>IF(F960="ENAP carga", COUNTIF(F$5:F960, "ENAP carga"), "")</f>
        <v/>
      </c>
    </row>
    <row r="961" spans="13:21">
      <c r="M961" s="22" t="str">
        <f t="shared" si="19"/>
        <v/>
      </c>
      <c r="R961" t="str">
        <f>IF(F961="CJ", COUNTIF(F$5:F961, "CJ"), "")</f>
        <v/>
      </c>
      <c r="S961" t="str">
        <f>IF(F961="Ignacio", COUNTIF(F$5:F961, "Ignacio"), "")</f>
        <v/>
      </c>
      <c r="T961" t="str">
        <f>IF(F961="Tripulacion", COUNTIF(F$5:F961, "Tripulacion"), "")</f>
        <v/>
      </c>
      <c r="U961" t="str">
        <f>IF(F961="ENAP carga", COUNTIF(F$5:F961, "ENAP carga"), "")</f>
        <v/>
      </c>
    </row>
    <row r="962" spans="13:21">
      <c r="M962" s="22" t="str">
        <f t="shared" si="19"/>
        <v/>
      </c>
      <c r="R962" t="str">
        <f>IF(F962="CJ", COUNTIF(F$5:F962, "CJ"), "")</f>
        <v/>
      </c>
      <c r="S962" t="str">
        <f>IF(F962="Ignacio", COUNTIF(F$5:F962, "Ignacio"), "")</f>
        <v/>
      </c>
      <c r="T962" t="str">
        <f>IF(F962="Tripulacion", COUNTIF(F$5:F962, "Tripulacion"), "")</f>
        <v/>
      </c>
      <c r="U962" t="str">
        <f>IF(F962="ENAP carga", COUNTIF(F$5:F962, "ENAP carga"), "")</f>
        <v/>
      </c>
    </row>
    <row r="963" spans="13:21">
      <c r="M963" s="22" t="str">
        <f t="shared" si="19"/>
        <v/>
      </c>
      <c r="R963" t="str">
        <f>IF(F963="CJ", COUNTIF(F$5:F963, "CJ"), "")</f>
        <v/>
      </c>
      <c r="S963" t="str">
        <f>IF(F963="Ignacio", COUNTIF(F$5:F963, "Ignacio"), "")</f>
        <v/>
      </c>
      <c r="T963" t="str">
        <f>IF(F963="Tripulacion", COUNTIF(F$5:F963, "Tripulacion"), "")</f>
        <v/>
      </c>
      <c r="U963" t="str">
        <f>IF(F963="ENAP carga", COUNTIF(F$5:F963, "ENAP carga"), "")</f>
        <v/>
      </c>
    </row>
    <row r="964" spans="13:21">
      <c r="M964" s="22" t="str">
        <f t="shared" si="19"/>
        <v/>
      </c>
      <c r="R964" t="str">
        <f>IF(F964="CJ", COUNTIF(F$5:F964, "CJ"), "")</f>
        <v/>
      </c>
      <c r="S964" t="str">
        <f>IF(F964="Ignacio", COUNTIF(F$5:F964, "Ignacio"), "")</f>
        <v/>
      </c>
      <c r="T964" t="str">
        <f>IF(F964="Tripulacion", COUNTIF(F$5:F964, "Tripulacion"), "")</f>
        <v/>
      </c>
      <c r="U964" t="str">
        <f>IF(F964="ENAP carga", COUNTIF(F$5:F964, "ENAP carga"), "")</f>
        <v/>
      </c>
    </row>
    <row r="965" spans="13:21">
      <c r="M965" s="22" t="str">
        <f t="shared" si="19"/>
        <v/>
      </c>
      <c r="R965" t="str">
        <f>IF(F965="CJ", COUNTIF(F$5:F965, "CJ"), "")</f>
        <v/>
      </c>
      <c r="S965" t="str">
        <f>IF(F965="Ignacio", COUNTIF(F$5:F965, "Ignacio"), "")</f>
        <v/>
      </c>
      <c r="T965" t="str">
        <f>IF(F965="Tripulacion", COUNTIF(F$5:F965, "Tripulacion"), "")</f>
        <v/>
      </c>
      <c r="U965" t="str">
        <f>IF(F965="ENAP carga", COUNTIF(F$5:F965, "ENAP carga"), "")</f>
        <v/>
      </c>
    </row>
    <row r="966" spans="13:21">
      <c r="M966" s="22" t="str">
        <f t="shared" si="19"/>
        <v/>
      </c>
      <c r="R966" t="str">
        <f>IF(F966="CJ", COUNTIF(F$5:F966, "CJ"), "")</f>
        <v/>
      </c>
      <c r="S966" t="str">
        <f>IF(F966="Ignacio", COUNTIF(F$5:F966, "Ignacio"), "")</f>
        <v/>
      </c>
      <c r="T966" t="str">
        <f>IF(F966="Tripulacion", COUNTIF(F$5:F966, "Tripulacion"), "")</f>
        <v/>
      </c>
      <c r="U966" t="str">
        <f>IF(F966="ENAP carga", COUNTIF(F$5:F966, "ENAP carga"), "")</f>
        <v/>
      </c>
    </row>
    <row r="967" spans="13:21">
      <c r="M967" s="22" t="str">
        <f t="shared" si="19"/>
        <v/>
      </c>
      <c r="R967" t="str">
        <f>IF(F967="CJ", COUNTIF(F$5:F967, "CJ"), "")</f>
        <v/>
      </c>
      <c r="S967" t="str">
        <f>IF(F967="Ignacio", COUNTIF(F$5:F967, "Ignacio"), "")</f>
        <v/>
      </c>
      <c r="T967" t="str">
        <f>IF(F967="Tripulacion", COUNTIF(F$5:F967, "Tripulacion"), "")</f>
        <v/>
      </c>
      <c r="U967" t="str">
        <f>IF(F967="ENAP carga", COUNTIF(F$5:F967, "ENAP carga"), "")</f>
        <v/>
      </c>
    </row>
    <row r="968" spans="13:21">
      <c r="M968" s="22" t="str">
        <f t="shared" si="19"/>
        <v/>
      </c>
      <c r="R968" t="str">
        <f>IF(F968="CJ", COUNTIF(F$5:F968, "CJ"), "")</f>
        <v/>
      </c>
      <c r="S968" t="str">
        <f>IF(F968="Ignacio", COUNTIF(F$5:F968, "Ignacio"), "")</f>
        <v/>
      </c>
      <c r="T968" t="str">
        <f>IF(F968="Tripulacion", COUNTIF(F$5:F968, "Tripulacion"), "")</f>
        <v/>
      </c>
      <c r="U968" t="str">
        <f>IF(F968="ENAP carga", COUNTIF(F$5:F968, "ENAP carga"), "")</f>
        <v/>
      </c>
    </row>
    <row r="969" spans="13:21">
      <c r="M969" s="22" t="str">
        <f t="shared" si="19"/>
        <v/>
      </c>
      <c r="R969" t="str">
        <f>IF(F969="CJ", COUNTIF(F$5:F969, "CJ"), "")</f>
        <v/>
      </c>
      <c r="S969" t="str">
        <f>IF(F969="Ignacio", COUNTIF(F$5:F969, "Ignacio"), "")</f>
        <v/>
      </c>
      <c r="T969" t="str">
        <f>IF(F969="Tripulacion", COUNTIF(F$5:F969, "Tripulacion"), "")</f>
        <v/>
      </c>
      <c r="U969" t="str">
        <f>IF(F969="ENAP carga", COUNTIF(F$5:F969, "ENAP carga"), "")</f>
        <v/>
      </c>
    </row>
    <row r="970" spans="13:21">
      <c r="M970" s="22" t="str">
        <f t="shared" si="19"/>
        <v/>
      </c>
      <c r="R970" t="str">
        <f>IF(F970="CJ", COUNTIF(F$5:F970, "CJ"), "")</f>
        <v/>
      </c>
      <c r="S970" t="str">
        <f>IF(F970="Ignacio", COUNTIF(F$5:F970, "Ignacio"), "")</f>
        <v/>
      </c>
      <c r="T970" t="str">
        <f>IF(F970="Tripulacion", COUNTIF(F$5:F970, "Tripulacion"), "")</f>
        <v/>
      </c>
      <c r="U970" t="str">
        <f>IF(F970="ENAP carga", COUNTIF(F$5:F970, "ENAP carga"), "")</f>
        <v/>
      </c>
    </row>
    <row r="971" spans="13:21">
      <c r="M971" s="22" t="str">
        <f t="shared" si="19"/>
        <v/>
      </c>
      <c r="R971" t="str">
        <f>IF(F971="CJ", COUNTIF(F$5:F971, "CJ"), "")</f>
        <v/>
      </c>
      <c r="S971" t="str">
        <f>IF(F971="Ignacio", COUNTIF(F$5:F971, "Ignacio"), "")</f>
        <v/>
      </c>
      <c r="T971" t="str">
        <f>IF(F971="Tripulacion", COUNTIF(F$5:F971, "Tripulacion"), "")</f>
        <v/>
      </c>
      <c r="U971" t="str">
        <f>IF(F971="ENAP carga", COUNTIF(F$5:F971, "ENAP carga"), "")</f>
        <v/>
      </c>
    </row>
    <row r="972" spans="13:21">
      <c r="M972" s="22" t="str">
        <f t="shared" si="19"/>
        <v/>
      </c>
      <c r="R972" t="str">
        <f>IF(F972="CJ", COUNTIF(F$5:F972, "CJ"), "")</f>
        <v/>
      </c>
      <c r="S972" t="str">
        <f>IF(F972="Ignacio", COUNTIF(F$5:F972, "Ignacio"), "")</f>
        <v/>
      </c>
      <c r="T972" t="str">
        <f>IF(F972="Tripulacion", COUNTIF(F$5:F972, "Tripulacion"), "")</f>
        <v/>
      </c>
      <c r="U972" t="str">
        <f>IF(F972="ENAP carga", COUNTIF(F$5:F972, "ENAP carga"), "")</f>
        <v/>
      </c>
    </row>
    <row r="973" spans="13:21">
      <c r="M973" s="22" t="str">
        <f t="shared" si="19"/>
        <v/>
      </c>
      <c r="R973" t="str">
        <f>IF(F973="CJ", COUNTIF(F$5:F973, "CJ"), "")</f>
        <v/>
      </c>
      <c r="S973" t="str">
        <f>IF(F973="Ignacio", COUNTIF(F$5:F973, "Ignacio"), "")</f>
        <v/>
      </c>
      <c r="T973" t="str">
        <f>IF(F973="Tripulacion", COUNTIF(F$5:F973, "Tripulacion"), "")</f>
        <v/>
      </c>
      <c r="U973" t="str">
        <f>IF(F973="ENAP carga", COUNTIF(F$5:F973, "ENAP carga"), "")</f>
        <v/>
      </c>
    </row>
    <row r="974" spans="13:21">
      <c r="M974" s="22" t="str">
        <f t="shared" si="19"/>
        <v/>
      </c>
      <c r="R974" t="str">
        <f>IF(F974="CJ", COUNTIF(F$5:F974, "CJ"), "")</f>
        <v/>
      </c>
      <c r="S974" t="str">
        <f>IF(F974="Ignacio", COUNTIF(F$5:F974, "Ignacio"), "")</f>
        <v/>
      </c>
      <c r="T974" t="str">
        <f>IF(F974="Tripulacion", COUNTIF(F$5:F974, "Tripulacion"), "")</f>
        <v/>
      </c>
      <c r="U974" t="str">
        <f>IF(F974="ENAP carga", COUNTIF(F$5:F974, "ENAP carga"), "")</f>
        <v/>
      </c>
    </row>
    <row r="975" spans="13:21">
      <c r="M975" s="22" t="str">
        <f t="shared" si="19"/>
        <v/>
      </c>
      <c r="R975" t="str">
        <f>IF(F975="CJ", COUNTIF(F$5:F975, "CJ"), "")</f>
        <v/>
      </c>
      <c r="S975" t="str">
        <f>IF(F975="Ignacio", COUNTIF(F$5:F975, "Ignacio"), "")</f>
        <v/>
      </c>
      <c r="T975" t="str">
        <f>IF(F975="Tripulacion", COUNTIF(F$5:F975, "Tripulacion"), "")</f>
        <v/>
      </c>
      <c r="U975" t="str">
        <f>IF(F975="ENAP carga", COUNTIF(F$5:F975, "ENAP carga"), "")</f>
        <v/>
      </c>
    </row>
    <row r="976" spans="13:21">
      <c r="M976" s="22" t="str">
        <f t="shared" si="19"/>
        <v/>
      </c>
      <c r="R976" t="str">
        <f>IF(F976="CJ", COUNTIF(F$5:F976, "CJ"), "")</f>
        <v/>
      </c>
      <c r="S976" t="str">
        <f>IF(F976="Ignacio", COUNTIF(F$5:F976, "Ignacio"), "")</f>
        <v/>
      </c>
      <c r="T976" t="str">
        <f>IF(F976="Tripulacion", COUNTIF(F$5:F976, "Tripulacion"), "")</f>
        <v/>
      </c>
      <c r="U976" t="str">
        <f>IF(F976="ENAP carga", COUNTIF(F$5:F976, "ENAP carga"), "")</f>
        <v/>
      </c>
    </row>
    <row r="977" spans="13:21">
      <c r="M977" s="22" t="str">
        <f t="shared" si="19"/>
        <v/>
      </c>
      <c r="R977" t="str">
        <f>IF(F977="CJ", COUNTIF(F$5:F977, "CJ"), "")</f>
        <v/>
      </c>
      <c r="S977" t="str">
        <f>IF(F977="Ignacio", COUNTIF(F$5:F977, "Ignacio"), "")</f>
        <v/>
      </c>
      <c r="T977" t="str">
        <f>IF(F977="Tripulacion", COUNTIF(F$5:F977, "Tripulacion"), "")</f>
        <v/>
      </c>
      <c r="U977" t="str">
        <f>IF(F977="ENAP carga", COUNTIF(F$5:F977, "ENAP carga"), "")</f>
        <v/>
      </c>
    </row>
    <row r="978" spans="13:21">
      <c r="M978" s="22" t="str">
        <f t="shared" si="19"/>
        <v/>
      </c>
      <c r="R978" t="str">
        <f>IF(F978="CJ", COUNTIF(F$5:F978, "CJ"), "")</f>
        <v/>
      </c>
      <c r="S978" t="str">
        <f>IF(F978="Ignacio", COUNTIF(F$5:F978, "Ignacio"), "")</f>
        <v/>
      </c>
      <c r="T978" t="str">
        <f>IF(F978="Tripulacion", COUNTIF(F$5:F978, "Tripulacion"), "")</f>
        <v/>
      </c>
      <c r="U978" t="str">
        <f>IF(F978="ENAP carga", COUNTIF(F$5:F978, "ENAP carga"), "")</f>
        <v/>
      </c>
    </row>
    <row r="979" spans="13:21">
      <c r="M979" s="22" t="str">
        <f t="shared" si="19"/>
        <v/>
      </c>
      <c r="R979" t="str">
        <f>IF(F979="CJ", COUNTIF(F$5:F979, "CJ"), "")</f>
        <v/>
      </c>
      <c r="S979" t="str">
        <f>IF(F979="Ignacio", COUNTIF(F$5:F979, "Ignacio"), "")</f>
        <v/>
      </c>
      <c r="T979" t="str">
        <f>IF(F979="Tripulacion", COUNTIF(F$5:F979, "Tripulacion"), "")</f>
        <v/>
      </c>
      <c r="U979" t="str">
        <f>IF(F979="ENAP carga", COUNTIF(F$5:F979, "ENAP carga"), "")</f>
        <v/>
      </c>
    </row>
    <row r="980" spans="13:21">
      <c r="M980" s="22" t="str">
        <f t="shared" si="19"/>
        <v/>
      </c>
      <c r="R980" t="str">
        <f>IF(F980="CJ", COUNTIF(F$5:F980, "CJ"), "")</f>
        <v/>
      </c>
      <c r="S980" t="str">
        <f>IF(F980="Ignacio", COUNTIF(F$5:F980, "Ignacio"), "")</f>
        <v/>
      </c>
      <c r="T980" t="str">
        <f>IF(F980="Tripulacion", COUNTIF(F$5:F980, "Tripulacion"), "")</f>
        <v/>
      </c>
      <c r="U980" t="str">
        <f>IF(F980="ENAP carga", COUNTIF(F$5:F980, "ENAP carga"), "")</f>
        <v/>
      </c>
    </row>
    <row r="981" spans="13:21">
      <c r="M981" s="22" t="str">
        <f t="shared" si="19"/>
        <v/>
      </c>
      <c r="R981" t="str">
        <f>IF(F981="CJ", COUNTIF(F$5:F981, "CJ"), "")</f>
        <v/>
      </c>
      <c r="S981" t="str">
        <f>IF(F981="Ignacio", COUNTIF(F$5:F981, "Ignacio"), "")</f>
        <v/>
      </c>
      <c r="T981" t="str">
        <f>IF(F981="Tripulacion", COUNTIF(F$5:F981, "Tripulacion"), "")</f>
        <v/>
      </c>
      <c r="U981" t="str">
        <f>IF(F981="ENAP carga", COUNTIF(F$5:F981, "ENAP carga"), "")</f>
        <v/>
      </c>
    </row>
    <row r="982" spans="13:21">
      <c r="M982" s="22" t="str">
        <f t="shared" si="19"/>
        <v/>
      </c>
      <c r="R982" t="str">
        <f>IF(F982="CJ", COUNTIF(F$5:F982, "CJ"), "")</f>
        <v/>
      </c>
      <c r="S982" t="str">
        <f>IF(F982="Ignacio", COUNTIF(F$5:F982, "Ignacio"), "")</f>
        <v/>
      </c>
      <c r="T982" t="str">
        <f>IF(F982="Tripulacion", COUNTIF(F$5:F982, "Tripulacion"), "")</f>
        <v/>
      </c>
      <c r="U982" t="str">
        <f>IF(F982="ENAP carga", COUNTIF(F$5:F982, "ENAP carga"), "")</f>
        <v/>
      </c>
    </row>
    <row r="983" spans="13:21">
      <c r="M983" s="22" t="str">
        <f t="shared" si="19"/>
        <v/>
      </c>
      <c r="R983" t="str">
        <f>IF(F983="CJ", COUNTIF(F$5:F983, "CJ"), "")</f>
        <v/>
      </c>
      <c r="S983" t="str">
        <f>IF(F983="Ignacio", COUNTIF(F$5:F983, "Ignacio"), "")</f>
        <v/>
      </c>
      <c r="T983" t="str">
        <f>IF(F983="Tripulacion", COUNTIF(F$5:F983, "Tripulacion"), "")</f>
        <v/>
      </c>
      <c r="U983" t="str">
        <f>IF(F983="ENAP carga", COUNTIF(F$5:F983, "ENAP carga"), "")</f>
        <v/>
      </c>
    </row>
    <row r="984" spans="13:21">
      <c r="M984" s="22" t="str">
        <f t="shared" ref="M984:M1000" si="20">IF(F984="CJ", I984*200, "")</f>
        <v/>
      </c>
      <c r="R984" t="str">
        <f>IF(F984="CJ", COUNTIF(F$5:F984, "CJ"), "")</f>
        <v/>
      </c>
      <c r="S984" t="str">
        <f>IF(F984="Ignacio", COUNTIF(F$5:F984, "Ignacio"), "")</f>
        <v/>
      </c>
      <c r="T984" t="str">
        <f>IF(F984="Tripulacion", COUNTIF(F$5:F984, "Tripulacion"), "")</f>
        <v/>
      </c>
      <c r="U984" t="str">
        <f>IF(F984="ENAP carga", COUNTIF(F$5:F984, "ENAP carga"), "")</f>
        <v/>
      </c>
    </row>
    <row r="985" spans="13:21">
      <c r="M985" s="22" t="str">
        <f t="shared" si="20"/>
        <v/>
      </c>
      <c r="R985" t="str">
        <f>IF(F985="CJ", COUNTIF(F$5:F985, "CJ"), "")</f>
        <v/>
      </c>
      <c r="S985" t="str">
        <f>IF(F985="Ignacio", COUNTIF(F$5:F985, "Ignacio"), "")</f>
        <v/>
      </c>
      <c r="T985" t="str">
        <f>IF(F985="Tripulacion", COUNTIF(F$5:F985, "Tripulacion"), "")</f>
        <v/>
      </c>
      <c r="U985" t="str">
        <f>IF(F985="ENAP carga", COUNTIF(F$5:F985, "ENAP carga"), "")</f>
        <v/>
      </c>
    </row>
    <row r="986" spans="13:21">
      <c r="M986" s="22" t="str">
        <f t="shared" si="20"/>
        <v/>
      </c>
      <c r="R986" t="str">
        <f>IF(F986="CJ", COUNTIF(F$5:F986, "CJ"), "")</f>
        <v/>
      </c>
      <c r="S986" t="str">
        <f>IF(F986="Ignacio", COUNTIF(F$5:F986, "Ignacio"), "")</f>
        <v/>
      </c>
      <c r="T986" t="str">
        <f>IF(F986="Tripulacion", COUNTIF(F$5:F986, "Tripulacion"), "")</f>
        <v/>
      </c>
      <c r="U986" t="str">
        <f>IF(F986="ENAP carga", COUNTIF(F$5:F986, "ENAP carga"), "")</f>
        <v/>
      </c>
    </row>
    <row r="987" spans="13:21">
      <c r="M987" s="22" t="str">
        <f t="shared" si="20"/>
        <v/>
      </c>
      <c r="R987" t="str">
        <f>IF(F987="CJ", COUNTIF(F$5:F987, "CJ"), "")</f>
        <v/>
      </c>
      <c r="S987" t="str">
        <f>IF(F987="Ignacio", COUNTIF(F$5:F987, "Ignacio"), "")</f>
        <v/>
      </c>
      <c r="T987" t="str">
        <f>IF(F987="Tripulacion", COUNTIF(F$5:F987, "Tripulacion"), "")</f>
        <v/>
      </c>
      <c r="U987" t="str">
        <f>IF(F987="ENAP carga", COUNTIF(F$5:F987, "ENAP carga"), "")</f>
        <v/>
      </c>
    </row>
    <row r="988" spans="13:21">
      <c r="M988" s="22" t="str">
        <f t="shared" si="20"/>
        <v/>
      </c>
      <c r="R988" t="str">
        <f>IF(F988="CJ", COUNTIF(F$5:F988, "CJ"), "")</f>
        <v/>
      </c>
      <c r="S988" t="str">
        <f>IF(F988="Ignacio", COUNTIF(F$5:F988, "Ignacio"), "")</f>
        <v/>
      </c>
      <c r="T988" t="str">
        <f>IF(F988="Tripulacion", COUNTIF(F$5:F988, "Tripulacion"), "")</f>
        <v/>
      </c>
      <c r="U988" t="str">
        <f>IF(F988="ENAP carga", COUNTIF(F$5:F988, "ENAP carga"), "")</f>
        <v/>
      </c>
    </row>
    <row r="989" spans="13:21">
      <c r="M989" s="22" t="str">
        <f t="shared" si="20"/>
        <v/>
      </c>
      <c r="R989" t="str">
        <f>IF(F989="CJ", COUNTIF(F$5:F989, "CJ"), "")</f>
        <v/>
      </c>
      <c r="S989" t="str">
        <f>IF(F989="Ignacio", COUNTIF(F$5:F989, "Ignacio"), "")</f>
        <v/>
      </c>
      <c r="T989" t="str">
        <f>IF(F989="Tripulacion", COUNTIF(F$5:F989, "Tripulacion"), "")</f>
        <v/>
      </c>
      <c r="U989" t="str">
        <f>IF(F989="ENAP carga", COUNTIF(F$5:F989, "ENAP carga"), "")</f>
        <v/>
      </c>
    </row>
    <row r="990" spans="13:21">
      <c r="M990" s="22" t="str">
        <f t="shared" si="20"/>
        <v/>
      </c>
      <c r="R990" t="str">
        <f>IF(F990="CJ", COUNTIF(F$5:F990, "CJ"), "")</f>
        <v/>
      </c>
      <c r="S990" t="str">
        <f>IF(F990="Ignacio", COUNTIF(F$5:F990, "Ignacio"), "")</f>
        <v/>
      </c>
      <c r="T990" t="str">
        <f>IF(F990="Tripulacion", COUNTIF(F$5:F990, "Tripulacion"), "")</f>
        <v/>
      </c>
      <c r="U990" t="str">
        <f>IF(F990="ENAP carga", COUNTIF(F$5:F990, "ENAP carga"), "")</f>
        <v/>
      </c>
    </row>
    <row r="991" spans="13:21">
      <c r="M991" s="22" t="str">
        <f t="shared" si="20"/>
        <v/>
      </c>
      <c r="R991" t="str">
        <f>IF(F991="CJ", COUNTIF(F$5:F991, "CJ"), "")</f>
        <v/>
      </c>
      <c r="S991" t="str">
        <f>IF(F991="Ignacio", COUNTIF(F$5:F991, "Ignacio"), "")</f>
        <v/>
      </c>
      <c r="T991" t="str">
        <f>IF(F991="Tripulacion", COUNTIF(F$5:F991, "Tripulacion"), "")</f>
        <v/>
      </c>
      <c r="U991" t="str">
        <f>IF(F991="ENAP carga", COUNTIF(F$5:F991, "ENAP carga"), "")</f>
        <v/>
      </c>
    </row>
    <row r="992" spans="13:21">
      <c r="M992" s="22" t="str">
        <f t="shared" si="20"/>
        <v/>
      </c>
      <c r="R992" t="str">
        <f>IF(F992="CJ", COUNTIF(F$5:F992, "CJ"), "")</f>
        <v/>
      </c>
      <c r="S992" t="str">
        <f>IF(F992="Ignacio", COUNTIF(F$5:F992, "Ignacio"), "")</f>
        <v/>
      </c>
      <c r="T992" t="str">
        <f>IF(F992="Tripulacion", COUNTIF(F$5:F992, "Tripulacion"), "")</f>
        <v/>
      </c>
      <c r="U992" t="str">
        <f>IF(F992="ENAP carga", COUNTIF(F$5:F992, "ENAP carga"), "")</f>
        <v/>
      </c>
    </row>
    <row r="993" spans="13:21">
      <c r="M993" s="22" t="str">
        <f t="shared" si="20"/>
        <v/>
      </c>
      <c r="R993" t="str">
        <f>IF(F993="CJ", COUNTIF(F$5:F993, "CJ"), "")</f>
        <v/>
      </c>
      <c r="S993" t="str">
        <f>IF(F993="Ignacio", COUNTIF(F$5:F993, "Ignacio"), "")</f>
        <v/>
      </c>
      <c r="T993" t="str">
        <f>IF(F993="Tripulacion", COUNTIF(F$5:F993, "Tripulacion"), "")</f>
        <v/>
      </c>
      <c r="U993" t="str">
        <f>IF(F993="ENAP carga", COUNTIF(F$5:F993, "ENAP carga"), "")</f>
        <v/>
      </c>
    </row>
    <row r="994" spans="13:21">
      <c r="M994" s="22" t="str">
        <f t="shared" si="20"/>
        <v/>
      </c>
      <c r="R994" t="str">
        <f>IF(F994="CJ", COUNTIF(F$5:F994, "CJ"), "")</f>
        <v/>
      </c>
      <c r="S994" t="str">
        <f>IF(F994="Ignacio", COUNTIF(F$5:F994, "Ignacio"), "")</f>
        <v/>
      </c>
      <c r="T994" t="str">
        <f>IF(F994="Tripulacion", COUNTIF(F$5:F994, "Tripulacion"), "")</f>
        <v/>
      </c>
      <c r="U994" t="str">
        <f>IF(F994="ENAP carga", COUNTIF(F$5:F994, "ENAP carga"), "")</f>
        <v/>
      </c>
    </row>
    <row r="995" spans="13:21">
      <c r="M995" s="22" t="str">
        <f t="shared" si="20"/>
        <v/>
      </c>
      <c r="R995" t="str">
        <f>IF(F995="CJ", COUNTIF(F$5:F995, "CJ"), "")</f>
        <v/>
      </c>
      <c r="S995" t="str">
        <f>IF(F995="Ignacio", COUNTIF(F$5:F995, "Ignacio"), "")</f>
        <v/>
      </c>
      <c r="T995" t="str">
        <f>IF(F995="Tripulacion", COUNTIF(F$5:F995, "Tripulacion"), "")</f>
        <v/>
      </c>
      <c r="U995" t="str">
        <f>IF(F995="ENAP carga", COUNTIF(F$5:F995, "ENAP carga"), "")</f>
        <v/>
      </c>
    </row>
    <row r="996" spans="13:21">
      <c r="M996" s="22" t="str">
        <f t="shared" si="20"/>
        <v/>
      </c>
      <c r="R996" t="str">
        <f>IF(F996="CJ", COUNTIF(F$5:F996, "CJ"), "")</f>
        <v/>
      </c>
      <c r="S996" t="str">
        <f>IF(F996="Ignacio", COUNTIF(F$5:F996, "Ignacio"), "")</f>
        <v/>
      </c>
      <c r="T996" t="str">
        <f>IF(F996="Tripulacion", COUNTIF(F$5:F996, "Tripulacion"), "")</f>
        <v/>
      </c>
      <c r="U996" t="str">
        <f>IF(F996="ENAP carga", COUNTIF(F$5:F996, "ENAP carga"), "")</f>
        <v/>
      </c>
    </row>
    <row r="997" spans="13:21">
      <c r="M997" s="22" t="str">
        <f t="shared" si="20"/>
        <v/>
      </c>
      <c r="R997" t="str">
        <f>IF(F997="CJ", COUNTIF(F$5:F997, "CJ"), "")</f>
        <v/>
      </c>
      <c r="S997" t="str">
        <f>IF(F997="Ignacio", COUNTIF(F$5:F997, "Ignacio"), "")</f>
        <v/>
      </c>
      <c r="T997" t="str">
        <f>IF(F997="Tripulacion", COUNTIF(F$5:F997, "Tripulacion"), "")</f>
        <v/>
      </c>
      <c r="U997" t="str">
        <f>IF(F997="ENAP carga", COUNTIF(F$5:F997, "ENAP carga"), "")</f>
        <v/>
      </c>
    </row>
    <row r="998" spans="13:21">
      <c r="M998" s="22" t="str">
        <f t="shared" si="20"/>
        <v/>
      </c>
      <c r="R998" t="str">
        <f>IF(F998="CJ", COUNTIF(F$5:F998, "CJ"), "")</f>
        <v/>
      </c>
      <c r="S998" t="str">
        <f>IF(F998="Ignacio", COUNTIF(F$5:F998, "Ignacio"), "")</f>
        <v/>
      </c>
      <c r="T998" t="str">
        <f>IF(F998="Tripulacion", COUNTIF(F$5:F998, "Tripulacion"), "")</f>
        <v/>
      </c>
      <c r="U998" t="str">
        <f>IF(F998="ENAP carga", COUNTIF(F$5:F998, "ENAP carga"), "")</f>
        <v/>
      </c>
    </row>
    <row r="999" spans="13:21">
      <c r="M999" s="22" t="str">
        <f t="shared" si="20"/>
        <v/>
      </c>
      <c r="R999" t="str">
        <f>IF(F999="CJ", COUNTIF(F$5:F999, "CJ"), "")</f>
        <v/>
      </c>
      <c r="S999" t="str">
        <f>IF(F999="Ignacio", COUNTIF(F$5:F999, "Ignacio"), "")</f>
        <v/>
      </c>
      <c r="T999" t="str">
        <f>IF(F999="Tripulacion", COUNTIF(F$5:F999, "Tripulacion"), "")</f>
        <v/>
      </c>
      <c r="U999" t="str">
        <f>IF(F999="ENAP carga", COUNTIF(F$5:F999, "ENAP carga"), "")</f>
        <v/>
      </c>
    </row>
    <row r="1000" spans="13:21">
      <c r="M1000" s="22" t="str">
        <f t="shared" si="20"/>
        <v/>
      </c>
      <c r="R1000" t="str">
        <f>IF(F1000="CJ", COUNTIF(F$5:F1000, "CJ"), "")</f>
        <v/>
      </c>
      <c r="S1000" t="str">
        <f>IF(F1000="Ignacio", COUNTIF(F$5:F1000, "Ignacio"), "")</f>
        <v/>
      </c>
      <c r="T1000" t="str">
        <f>IF(F1000="Tripulacion", COUNTIF(F$5:F1000, "Tripulacion"), "")</f>
        <v/>
      </c>
      <c r="U1000" t="str">
        <f>IF(F1000="ENAP carga", COUNTIF(F$5:F1000, "ENAP carga"), "")</f>
        <v/>
      </c>
    </row>
  </sheetData>
  <mergeCells count="1">
    <mergeCell ref="C2:P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3" width="18" customWidth="1"/>
    <col min="4" max="4" width="15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97</v>
      </c>
    </row>
    <row r="3" spans="2:13">
      <c r="B3" s="15" t="s">
        <v>1</v>
      </c>
    </row>
    <row r="5" spans="2:13">
      <c r="B5" s="35" t="s">
        <v>98</v>
      </c>
      <c r="C5" s="36" t="s">
        <v>99</v>
      </c>
      <c r="D5" s="36" t="s">
        <v>100</v>
      </c>
      <c r="H5" s="45" t="s">
        <v>5</v>
      </c>
      <c r="I5" s="46"/>
    </row>
    <row r="6" spans="2:13" ht="24">
      <c r="B6" s="33">
        <f>'Análisis de Negocio'!B5</f>
        <v>7629.8</v>
      </c>
      <c r="C6" s="33">
        <f>SUMIFS('Detalles movimientos'!P$5:P$1000, 'Detalles movimientos'!F$5:F$1000, "ENAP carga")</f>
        <v>68985</v>
      </c>
      <c r="D6" s="33">
        <f>C6-B6</f>
        <v>61355.199999999997</v>
      </c>
      <c r="H6" s="41">
        <f>COUNTIFS('Detalles movimientos'!F$5:F$1000, "ENAP carga")</f>
        <v>6</v>
      </c>
      <c r="I6" s="42"/>
    </row>
    <row r="7" spans="2:13"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movimientos'!$U$5:$U$1000, 0)), "")</f>
        <v>46226</v>
      </c>
      <c r="C10" s="18" t="str">
        <f>IFERROR(INDEX('Detalles movimientos'!D$5:D$1000, MATCH(1, 'Detalles movimientos'!$U$5:$U$1000, 0)), "")</f>
        <v>ENAP carga</v>
      </c>
      <c r="D10" s="19" t="str">
        <f>IFERROR(INDEX('Detalles movimientos'!E$5:E$1000, MATCH(1, 'Detalles movimientos'!$U$5:$U$1000, 0)), "")</f>
        <v>VJYL61</v>
      </c>
      <c r="E10" s="19" t="str">
        <f>IFERROR(INDEX('Detalles movimientos'!F$5:F$1000, MATCH(1, 'Detalles movimientos'!$U$5:$U$1000, 0)), "")</f>
        <v>ENAP carga</v>
      </c>
      <c r="F10" s="18">
        <f>IFERROR(INDEX('Detalles movimientos'!G$5:G$1000, MATCH(1, 'Detalles movimientos'!$U$5:$U$1000, 0)), "")</f>
        <v>0</v>
      </c>
      <c r="G10" s="20">
        <f>IFERROR(INDEX('Detalles movimientos'!H$5:H$1000, MATCH(1, 'Detalles movimientos'!$U$5:$U$1000, 0)), "")</f>
        <v>0</v>
      </c>
      <c r="H10" s="21">
        <f>IFERROR(INDEX('Detalles movimientos'!I$5:I$1000, MATCH(1, 'Detalles movimientos'!$U$5:$U$1000, 0)), "")</f>
        <v>0</v>
      </c>
      <c r="I10" s="20">
        <f>IFERROR(INDEX('Detalles movimientos'!K$5:K$1000, MATCH(1, 'Detalles movimientos'!$U$5:$U$1000, 0)), "")</f>
        <v>0</v>
      </c>
      <c r="J10" s="19" t="str">
        <f>IFERROR(INDEX('Detalles movimientos'!L$5:L$1000, MATCH(1, 'Detalles movimientos'!$U$5:$U$1000, 0)), "")</f>
        <v>ENAP carga</v>
      </c>
      <c r="K10" s="20" t="str">
        <f>IFERROR(INDEX('Detalles movimientos'!M$5:M$1000, MATCH(1, 'Detalles movimientos'!$U$5:$U$1000, 0)), "")</f>
        <v/>
      </c>
      <c r="L10" s="18" t="str">
        <f>IFERROR(INDEX('Detalles movimientos'!N$5:N$1000, MATCH(1, 'Detalles movimientos'!$U$5:$U$1000, 0)), "")</f>
        <v>Guía N° xxxxx</v>
      </c>
      <c r="M10" s="18">
        <f>IFERROR(INDEX('Detalles movimientos'!Q$5:Q$1000, MATCH(1, 'Detalles movimientos'!$U$5:$U$1000, 0)), "")</f>
        <v>0</v>
      </c>
    </row>
    <row r="11" spans="2:13">
      <c r="B11" s="17">
        <f>IFERROR(INDEX('Detalles movimientos'!C$5:C$1000, MATCH(2, 'Detalles movimientos'!$U$5:$U$1000, 0)), "")</f>
        <v>46246</v>
      </c>
      <c r="C11" s="18" t="str">
        <f>IFERROR(INDEX('Detalles movimientos'!D$5:D$1000, MATCH(2, 'Detalles movimientos'!$U$5:$U$1000, 0)), "")</f>
        <v>ENAP carga</v>
      </c>
      <c r="D11" s="19" t="str">
        <f>IFERROR(INDEX('Detalles movimientos'!E$5:E$1000, MATCH(2, 'Detalles movimientos'!$U$5:$U$1000, 0)), "")</f>
        <v>VJYL42</v>
      </c>
      <c r="E11" s="19" t="str">
        <f>IFERROR(INDEX('Detalles movimientos'!F$5:F$1000, MATCH(2, 'Detalles movimientos'!$U$5:$U$1000, 0)), "")</f>
        <v>ENAP carga</v>
      </c>
      <c r="F11" s="18">
        <f>IFERROR(INDEX('Detalles movimientos'!G$5:G$1000, MATCH(2, 'Detalles movimientos'!$U$5:$U$1000, 0)), "")</f>
        <v>0</v>
      </c>
      <c r="G11" s="20">
        <f>IFERROR(INDEX('Detalles movimientos'!H$5:H$1000, MATCH(2, 'Detalles movimientos'!$U$5:$U$1000, 0)), "")</f>
        <v>0</v>
      </c>
      <c r="H11" s="21">
        <f>IFERROR(INDEX('Detalles movimientos'!I$5:I$1000, MATCH(2, 'Detalles movimientos'!$U$5:$U$1000, 0)), "")</f>
        <v>0</v>
      </c>
      <c r="I11" s="20">
        <f>IFERROR(INDEX('Detalles movimientos'!K$5:K$1000, MATCH(2, 'Detalles movimientos'!$U$5:$U$1000, 0)), "")</f>
        <v>0</v>
      </c>
      <c r="J11" s="19" t="str">
        <f>IFERROR(INDEX('Detalles movimientos'!L$5:L$1000, MATCH(2, 'Detalles movimientos'!$U$5:$U$1000, 0)), "")</f>
        <v>ENAP carga</v>
      </c>
      <c r="K11" s="20" t="str">
        <f>IFERROR(INDEX('Detalles movimientos'!M$5:M$1000, MATCH(2, 'Detalles movimientos'!$U$5:$U$1000, 0)), "")</f>
        <v/>
      </c>
      <c r="L11" s="18" t="str">
        <f>IFERROR(INDEX('Detalles movimientos'!N$5:N$1000, MATCH(2, 'Detalles movimientos'!$U$5:$U$1000, 0)), "")</f>
        <v>Guía N° 2356186</v>
      </c>
      <c r="M11" s="18">
        <f>IFERROR(INDEX('Detalles movimientos'!Q$5:Q$1000, MATCH(2, 'Detalles movimientos'!$U$5:$U$1000, 0)), "")</f>
        <v>0</v>
      </c>
    </row>
    <row r="12" spans="2:13">
      <c r="B12" s="17">
        <f>IFERROR(INDEX('Detalles movimientos'!C$5:C$1000, MATCH(3, 'Detalles movimientos'!$U$5:$U$1000, 0)), "")</f>
        <v>46247</v>
      </c>
      <c r="C12" s="18" t="str">
        <f>IFERROR(INDEX('Detalles movimientos'!D$5:D$1000, MATCH(3, 'Detalles movimientos'!$U$5:$U$1000, 0)), "")</f>
        <v>ENAP carga</v>
      </c>
      <c r="D12" s="19" t="str">
        <f>IFERROR(INDEX('Detalles movimientos'!E$5:E$1000, MATCH(3, 'Detalles movimientos'!$U$5:$U$1000, 0)), "")</f>
        <v>VJYL61</v>
      </c>
      <c r="E12" s="19" t="str">
        <f>IFERROR(INDEX('Detalles movimientos'!F$5:F$1000, MATCH(3, 'Detalles movimientos'!$U$5:$U$1000, 0)), "")</f>
        <v>ENAP carga</v>
      </c>
      <c r="F12" s="18">
        <f>IFERROR(INDEX('Detalles movimientos'!G$5:G$1000, MATCH(3, 'Detalles movimientos'!$U$5:$U$1000, 0)), "")</f>
        <v>0</v>
      </c>
      <c r="G12" s="20">
        <f>IFERROR(INDEX('Detalles movimientos'!H$5:H$1000, MATCH(3, 'Detalles movimientos'!$U$5:$U$1000, 0)), "")</f>
        <v>0</v>
      </c>
      <c r="H12" s="21">
        <f>IFERROR(INDEX('Detalles movimientos'!I$5:I$1000, MATCH(3, 'Detalles movimientos'!$U$5:$U$1000, 0)), "")</f>
        <v>0</v>
      </c>
      <c r="I12" s="20">
        <f>IFERROR(INDEX('Detalles movimientos'!K$5:K$1000, MATCH(3, 'Detalles movimientos'!$U$5:$U$1000, 0)), "")</f>
        <v>0</v>
      </c>
      <c r="J12" s="19" t="str">
        <f>IFERROR(INDEX('Detalles movimientos'!L$5:L$1000, MATCH(3, 'Detalles movimientos'!$U$5:$U$1000, 0)), "")</f>
        <v>ENAP carga</v>
      </c>
      <c r="K12" s="20" t="str">
        <f>IFERROR(INDEX('Detalles movimientos'!M$5:M$1000, MATCH(3, 'Detalles movimientos'!$U$5:$U$1000, 0)), "")</f>
        <v/>
      </c>
      <c r="L12" s="18" t="str">
        <f>IFERROR(INDEX('Detalles movimientos'!N$5:N$1000, MATCH(3, 'Detalles movimientos'!$U$5:$U$1000, 0)), "")</f>
        <v>Guía N° 2356453</v>
      </c>
      <c r="M12" s="18">
        <f>IFERROR(INDEX('Detalles movimientos'!Q$5:Q$1000, MATCH(3, 'Detalles movimientos'!$U$5:$U$1000, 0)), "")</f>
        <v>0</v>
      </c>
    </row>
    <row r="13" spans="2:13">
      <c r="B13" s="17">
        <f>IFERROR(INDEX('Detalles movimientos'!C$5:C$1000, MATCH(4, 'Detalles movimientos'!$U$5:$U$1000, 0)), "")</f>
        <v>46248</v>
      </c>
      <c r="C13" s="18" t="str">
        <f>IFERROR(INDEX('Detalles movimientos'!D$5:D$1000, MATCH(4, 'Detalles movimientos'!$U$5:$U$1000, 0)), "")</f>
        <v>ENAP carga</v>
      </c>
      <c r="D13" s="19" t="str">
        <f>IFERROR(INDEX('Detalles movimientos'!E$5:E$1000, MATCH(4, 'Detalles movimientos'!$U$5:$U$1000, 0)), "")</f>
        <v>VJYL42</v>
      </c>
      <c r="E13" s="19" t="str">
        <f>IFERROR(INDEX('Detalles movimientos'!F$5:F$1000, MATCH(4, 'Detalles movimientos'!$U$5:$U$1000, 0)), "")</f>
        <v>ENAP carga</v>
      </c>
      <c r="F13" s="18">
        <f>IFERROR(INDEX('Detalles movimientos'!G$5:G$1000, MATCH(4, 'Detalles movimientos'!$U$5:$U$1000, 0)), "")</f>
        <v>0</v>
      </c>
      <c r="G13" s="20">
        <f>IFERROR(INDEX('Detalles movimientos'!H$5:H$1000, MATCH(4, 'Detalles movimientos'!$U$5:$U$1000, 0)), "")</f>
        <v>0</v>
      </c>
      <c r="H13" s="21">
        <f>IFERROR(INDEX('Detalles movimientos'!I$5:I$1000, MATCH(4, 'Detalles movimientos'!$U$5:$U$1000, 0)), "")</f>
        <v>0</v>
      </c>
      <c r="I13" s="20">
        <f>IFERROR(INDEX('Detalles movimientos'!K$5:K$1000, MATCH(4, 'Detalles movimientos'!$U$5:$U$1000, 0)), "")</f>
        <v>0</v>
      </c>
      <c r="J13" s="19" t="str">
        <f>IFERROR(INDEX('Detalles movimientos'!L$5:L$1000, MATCH(4, 'Detalles movimientos'!$U$5:$U$1000, 0)), "")</f>
        <v>ENAP carga</v>
      </c>
      <c r="K13" s="20" t="str">
        <f>IFERROR(INDEX('Detalles movimientos'!M$5:M$1000, MATCH(4, 'Detalles movimientos'!$U$5:$U$1000, 0)), "")</f>
        <v/>
      </c>
      <c r="L13" s="18" t="str">
        <f>IFERROR(INDEX('Detalles movimientos'!N$5:N$1000, MATCH(4, 'Detalles movimientos'!$U$5:$U$1000, 0)), "")</f>
        <v>Guía N° 2356889</v>
      </c>
      <c r="M13" s="18">
        <f>IFERROR(INDEX('Detalles movimientos'!Q$5:Q$1000, MATCH(4, 'Detalles movimientos'!$U$5:$U$1000, 0)), "")</f>
        <v>0</v>
      </c>
    </row>
    <row r="14" spans="2:13">
      <c r="B14" s="17">
        <f>IFERROR(INDEX('Detalles movimientos'!C$5:C$1000, MATCH(5, 'Detalles movimientos'!$U$5:$U$1000, 0)), "")</f>
        <v>46252</v>
      </c>
      <c r="C14" s="18" t="str">
        <f>IFERROR(INDEX('Detalles movimientos'!D$5:D$1000, MATCH(5, 'Detalles movimientos'!$U$5:$U$1000, 0)), "")</f>
        <v>ENAP carga</v>
      </c>
      <c r="D14" s="19" t="str">
        <f>IFERROR(INDEX('Detalles movimientos'!E$5:E$1000, MATCH(5, 'Detalles movimientos'!$U$5:$U$1000, 0)), "")</f>
        <v>VJYL42</v>
      </c>
      <c r="E14" s="19" t="str">
        <f>IFERROR(INDEX('Detalles movimientos'!F$5:F$1000, MATCH(5, 'Detalles movimientos'!$U$5:$U$1000, 0)), "")</f>
        <v>ENAP carga</v>
      </c>
      <c r="F14" s="18">
        <f>IFERROR(INDEX('Detalles movimientos'!G$5:G$1000, MATCH(5, 'Detalles movimientos'!$U$5:$U$1000, 0)), "")</f>
        <v>0</v>
      </c>
      <c r="G14" s="20">
        <f>IFERROR(INDEX('Detalles movimientos'!H$5:H$1000, MATCH(5, 'Detalles movimientos'!$U$5:$U$1000, 0)), "")</f>
        <v>0</v>
      </c>
      <c r="H14" s="21">
        <f>IFERROR(INDEX('Detalles movimientos'!I$5:I$1000, MATCH(5, 'Detalles movimientos'!$U$5:$U$1000, 0)), "")</f>
        <v>0</v>
      </c>
      <c r="I14" s="20">
        <f>IFERROR(INDEX('Detalles movimientos'!K$5:K$1000, MATCH(5, 'Detalles movimientos'!$U$5:$U$1000, 0)), "")</f>
        <v>0</v>
      </c>
      <c r="J14" s="19" t="str">
        <f>IFERROR(INDEX('Detalles movimientos'!L$5:L$1000, MATCH(5, 'Detalles movimientos'!$U$5:$U$1000, 0)), "")</f>
        <v>ENAP carga</v>
      </c>
      <c r="K14" s="20" t="str">
        <f>IFERROR(INDEX('Detalles movimientos'!M$5:M$1000, MATCH(5, 'Detalles movimientos'!$U$5:$U$1000, 0)), "")</f>
        <v/>
      </c>
      <c r="L14" s="18" t="str">
        <f>IFERROR(INDEX('Detalles movimientos'!N$5:N$1000, MATCH(5, 'Detalles movimientos'!$U$5:$U$1000, 0)), "")</f>
        <v>Guía N° 2358078</v>
      </c>
      <c r="M14" s="18">
        <f>IFERROR(INDEX('Detalles movimientos'!Q$5:Q$1000, MATCH(5, 'Detalles movimientos'!$U$5:$U$1000, 0)), "")</f>
        <v>0</v>
      </c>
    </row>
    <row r="15" spans="2:13">
      <c r="B15" s="17">
        <f>IFERROR(INDEX('Detalles movimientos'!C$5:C$1000, MATCH(6, 'Detalles movimientos'!$U$5:$U$1000, 0)), "")</f>
        <v>46253</v>
      </c>
      <c r="C15" s="18" t="str">
        <f>IFERROR(INDEX('Detalles movimientos'!D$5:D$1000, MATCH(6, 'Detalles movimientos'!$U$5:$U$1000, 0)), "")</f>
        <v>ENAP carga</v>
      </c>
      <c r="D15" s="19" t="str">
        <f>IFERROR(INDEX('Detalles movimientos'!E$5:E$1000, MATCH(6, 'Detalles movimientos'!$U$5:$U$1000, 0)), "")</f>
        <v>VJYL42</v>
      </c>
      <c r="E15" s="19" t="str">
        <f>IFERROR(INDEX('Detalles movimientos'!F$5:F$1000, MATCH(6, 'Detalles movimientos'!$U$5:$U$1000, 0)), "")</f>
        <v>ENAP carga</v>
      </c>
      <c r="F15" s="18">
        <f>IFERROR(INDEX('Detalles movimientos'!G$5:G$1000, MATCH(6, 'Detalles movimientos'!$U$5:$U$1000, 0)), "")</f>
        <v>0</v>
      </c>
      <c r="G15" s="20">
        <f>IFERROR(INDEX('Detalles movimientos'!H$5:H$1000, MATCH(6, 'Detalles movimientos'!$U$5:$U$1000, 0)), "")</f>
        <v>0</v>
      </c>
      <c r="H15" s="21">
        <f>IFERROR(INDEX('Detalles movimientos'!I$5:I$1000, MATCH(6, 'Detalles movimientos'!$U$5:$U$1000, 0)), "")</f>
        <v>0</v>
      </c>
      <c r="I15" s="20">
        <f>IFERROR(INDEX('Detalles movimientos'!K$5:K$1000, MATCH(6, 'Detalles movimientos'!$U$5:$U$1000, 0)), "")</f>
        <v>0</v>
      </c>
      <c r="J15" s="19" t="str">
        <f>IFERROR(INDEX('Detalles movimientos'!L$5:L$1000, MATCH(6, 'Detalles movimientos'!$U$5:$U$1000, 0)), "")</f>
        <v>ENAP carga</v>
      </c>
      <c r="K15" s="20" t="str">
        <f>IFERROR(INDEX('Detalles movimientos'!M$5:M$1000, MATCH(6, 'Detalles movimientos'!$U$5:$U$1000, 0)), "")</f>
        <v/>
      </c>
      <c r="L15" s="18" t="str">
        <f>IFERROR(INDEX('Detalles movimientos'!N$5:N$1000, MATCH(6, 'Detalles movimientos'!$U$5:$U$1000, 0)), "")</f>
        <v>Guía N° 2358522</v>
      </c>
      <c r="M15" s="18">
        <f>IFERROR(INDEX('Detalles movimientos'!Q$5:Q$1000, MATCH(6, 'Detalles movimientos'!$U$5:$U$1000, 0)), "")</f>
        <v>0</v>
      </c>
    </row>
    <row r="16" spans="2:13">
      <c r="B16" s="17" t="str">
        <f>IFERROR(INDEX('Detalles movimientos'!C$5:C$1000, MATCH(7, 'Detalles movimientos'!$U$5:$U$1000, 0)), "")</f>
        <v/>
      </c>
      <c r="C16" s="18" t="str">
        <f>IFERROR(INDEX('Detalles movimientos'!D$5:D$1000, MATCH(7, 'Detalles movimientos'!$U$5:$U$1000, 0)), "")</f>
        <v/>
      </c>
      <c r="D16" s="19" t="str">
        <f>IFERROR(INDEX('Detalles movimientos'!E$5:E$1000, MATCH(7, 'Detalles movimientos'!$U$5:$U$1000, 0)), "")</f>
        <v/>
      </c>
      <c r="E16" s="19" t="str">
        <f>IFERROR(INDEX('Detalles movimientos'!F$5:F$1000, MATCH(7, 'Detalles movimientos'!$U$5:$U$1000, 0)), "")</f>
        <v/>
      </c>
      <c r="F16" s="18" t="str">
        <f>IFERROR(INDEX('Detalles movimientos'!G$5:G$1000, MATCH(7, 'Detalles movimientos'!$U$5:$U$1000, 0)), "")</f>
        <v/>
      </c>
      <c r="G16" s="20" t="str">
        <f>IFERROR(INDEX('Detalles movimientos'!H$5:H$1000, MATCH(7, 'Detalles movimientos'!$U$5:$U$1000, 0)), "")</f>
        <v/>
      </c>
      <c r="H16" s="21" t="str">
        <f>IFERROR(INDEX('Detalles movimientos'!I$5:I$1000, MATCH(7, 'Detalles movimientos'!$U$5:$U$1000, 0)), "")</f>
        <v/>
      </c>
      <c r="I16" s="20" t="str">
        <f>IFERROR(INDEX('Detalles movimientos'!K$5:K$1000, MATCH(7, 'Detalles movimientos'!$U$5:$U$1000, 0)), "")</f>
        <v/>
      </c>
      <c r="J16" s="19" t="str">
        <f>IFERROR(INDEX('Detalles movimientos'!L$5:L$1000, MATCH(7, 'Detalles movimientos'!$U$5:$U$1000, 0)), "")</f>
        <v/>
      </c>
      <c r="K16" s="20" t="str">
        <f>IFERROR(INDEX('Detalles movimientos'!M$5:M$1000, MATCH(7, 'Detalles movimientos'!$U$5:$U$1000, 0)), "")</f>
        <v/>
      </c>
      <c r="L16" s="18" t="str">
        <f>IFERROR(INDEX('Detalles movimientos'!N$5:N$1000, MATCH(7, 'Detalles movimientos'!$U$5:$U$1000, 0)), "")</f>
        <v/>
      </c>
      <c r="M16" s="18" t="str">
        <f>IFERROR(INDEX('Detalles movimientos'!Q$5:Q$1000, MATCH(7, 'Detalles movimientos'!$U$5:$U$1000, 0)), "")</f>
        <v/>
      </c>
    </row>
    <row r="17" spans="2:13">
      <c r="B17" s="17" t="str">
        <f>IFERROR(INDEX('Detalles movimientos'!C$5:C$1000, MATCH(8, 'Detalles movimientos'!$U$5:$U$1000, 0)), "")</f>
        <v/>
      </c>
      <c r="C17" s="18" t="str">
        <f>IFERROR(INDEX('Detalles movimientos'!D$5:D$1000, MATCH(8, 'Detalles movimientos'!$U$5:$U$1000, 0)), "")</f>
        <v/>
      </c>
      <c r="D17" s="19" t="str">
        <f>IFERROR(INDEX('Detalles movimientos'!E$5:E$1000, MATCH(8, 'Detalles movimientos'!$U$5:$U$1000, 0)), "")</f>
        <v/>
      </c>
      <c r="E17" s="19" t="str">
        <f>IFERROR(INDEX('Detalles movimientos'!F$5:F$1000, MATCH(8, 'Detalles movimientos'!$U$5:$U$1000, 0)), "")</f>
        <v/>
      </c>
      <c r="F17" s="18" t="str">
        <f>IFERROR(INDEX('Detalles movimientos'!G$5:G$1000, MATCH(8, 'Detalles movimientos'!$U$5:$U$1000, 0)), "")</f>
        <v/>
      </c>
      <c r="G17" s="20" t="str">
        <f>IFERROR(INDEX('Detalles movimientos'!H$5:H$1000, MATCH(8, 'Detalles movimientos'!$U$5:$U$1000, 0)), "")</f>
        <v/>
      </c>
      <c r="H17" s="21" t="str">
        <f>IFERROR(INDEX('Detalles movimientos'!I$5:I$1000, MATCH(8, 'Detalles movimientos'!$U$5:$U$1000, 0)), "")</f>
        <v/>
      </c>
      <c r="I17" s="20" t="str">
        <f>IFERROR(INDEX('Detalles movimientos'!K$5:K$1000, MATCH(8, 'Detalles movimientos'!$U$5:$U$1000, 0)), "")</f>
        <v/>
      </c>
      <c r="J17" s="19" t="str">
        <f>IFERROR(INDEX('Detalles movimientos'!L$5:L$1000, MATCH(8, 'Detalles movimientos'!$U$5:$U$1000, 0)), "")</f>
        <v/>
      </c>
      <c r="K17" s="20" t="str">
        <f>IFERROR(INDEX('Detalles movimientos'!M$5:M$1000, MATCH(8, 'Detalles movimientos'!$U$5:$U$1000, 0)), "")</f>
        <v/>
      </c>
      <c r="L17" s="18" t="str">
        <f>IFERROR(INDEX('Detalles movimientos'!N$5:N$1000, MATCH(8, 'Detalles movimientos'!$U$5:$U$1000, 0)), "")</f>
        <v/>
      </c>
      <c r="M17" s="18" t="str">
        <f>IFERROR(INDEX('Detalles movimientos'!Q$5:Q$1000, MATCH(8, 'Detalles movimientos'!$U$5:$U$1000, 0)), "")</f>
        <v/>
      </c>
    </row>
    <row r="18" spans="2:13">
      <c r="B18" s="17" t="str">
        <f>IFERROR(INDEX('Detalles movimientos'!C$5:C$1000, MATCH(9, 'Detalles movimientos'!$U$5:$U$1000, 0)), "")</f>
        <v/>
      </c>
      <c r="C18" s="18" t="str">
        <f>IFERROR(INDEX('Detalles movimientos'!D$5:D$1000, MATCH(9, 'Detalles movimientos'!$U$5:$U$1000, 0)), "")</f>
        <v/>
      </c>
      <c r="D18" s="19" t="str">
        <f>IFERROR(INDEX('Detalles movimientos'!E$5:E$1000, MATCH(9, 'Detalles movimientos'!$U$5:$U$1000, 0)), "")</f>
        <v/>
      </c>
      <c r="E18" s="19" t="str">
        <f>IFERROR(INDEX('Detalles movimientos'!F$5:F$1000, MATCH(9, 'Detalles movimientos'!$U$5:$U$1000, 0)), "")</f>
        <v/>
      </c>
      <c r="F18" s="18" t="str">
        <f>IFERROR(INDEX('Detalles movimientos'!G$5:G$1000, MATCH(9, 'Detalles movimientos'!$U$5:$U$1000, 0)), "")</f>
        <v/>
      </c>
      <c r="G18" s="20" t="str">
        <f>IFERROR(INDEX('Detalles movimientos'!H$5:H$1000, MATCH(9, 'Detalles movimientos'!$U$5:$U$1000, 0)), "")</f>
        <v/>
      </c>
      <c r="H18" s="21" t="str">
        <f>IFERROR(INDEX('Detalles movimientos'!I$5:I$1000, MATCH(9, 'Detalles movimientos'!$U$5:$U$1000, 0)), "")</f>
        <v/>
      </c>
      <c r="I18" s="20" t="str">
        <f>IFERROR(INDEX('Detalles movimientos'!K$5:K$1000, MATCH(9, 'Detalles movimientos'!$U$5:$U$1000, 0)), "")</f>
        <v/>
      </c>
      <c r="J18" s="19" t="str">
        <f>IFERROR(INDEX('Detalles movimientos'!L$5:L$1000, MATCH(9, 'Detalles movimientos'!$U$5:$U$1000, 0)), "")</f>
        <v/>
      </c>
      <c r="K18" s="20" t="str">
        <f>IFERROR(INDEX('Detalles movimientos'!M$5:M$1000, MATCH(9, 'Detalles movimientos'!$U$5:$U$1000, 0)), "")</f>
        <v/>
      </c>
      <c r="L18" s="18" t="str">
        <f>IFERROR(INDEX('Detalles movimientos'!N$5:N$1000, MATCH(9, 'Detalles movimientos'!$U$5:$U$1000, 0)), "")</f>
        <v/>
      </c>
      <c r="M18" s="18" t="str">
        <f>IFERROR(INDEX('Detalles movimientos'!Q$5:Q$1000, MATCH(9, 'Detalles movimientos'!$U$5:$U$1000, 0)), "")</f>
        <v/>
      </c>
    </row>
    <row r="19" spans="2:13">
      <c r="B19" s="17" t="str">
        <f>IFERROR(INDEX('Detalles movimientos'!C$5:C$1000, MATCH(10, 'Detalles movimientos'!$U$5:$U$1000, 0)), "")</f>
        <v/>
      </c>
      <c r="C19" s="18" t="str">
        <f>IFERROR(INDEX('Detalles movimientos'!D$5:D$1000, MATCH(10, 'Detalles movimientos'!$U$5:$U$1000, 0)), "")</f>
        <v/>
      </c>
      <c r="D19" s="19" t="str">
        <f>IFERROR(INDEX('Detalles movimientos'!E$5:E$1000, MATCH(10, 'Detalles movimientos'!$U$5:$U$1000, 0)), "")</f>
        <v/>
      </c>
      <c r="E19" s="19" t="str">
        <f>IFERROR(INDEX('Detalles movimientos'!F$5:F$1000, MATCH(10, 'Detalles movimientos'!$U$5:$U$1000, 0)), "")</f>
        <v/>
      </c>
      <c r="F19" s="18" t="str">
        <f>IFERROR(INDEX('Detalles movimientos'!G$5:G$1000, MATCH(10, 'Detalles movimientos'!$U$5:$U$1000, 0)), "")</f>
        <v/>
      </c>
      <c r="G19" s="20" t="str">
        <f>IFERROR(INDEX('Detalles movimientos'!H$5:H$1000, MATCH(10, 'Detalles movimientos'!$U$5:$U$1000, 0)), "")</f>
        <v/>
      </c>
      <c r="H19" s="21" t="str">
        <f>IFERROR(INDEX('Detalles movimientos'!I$5:I$1000, MATCH(10, 'Detalles movimientos'!$U$5:$U$1000, 0)), "")</f>
        <v/>
      </c>
      <c r="I19" s="20" t="str">
        <f>IFERROR(INDEX('Detalles movimientos'!K$5:K$1000, MATCH(10, 'Detalles movimientos'!$U$5:$U$1000, 0)), "")</f>
        <v/>
      </c>
      <c r="J19" s="19" t="str">
        <f>IFERROR(INDEX('Detalles movimientos'!L$5:L$1000, MATCH(10, 'Detalles movimientos'!$U$5:$U$1000, 0)), "")</f>
        <v/>
      </c>
      <c r="K19" s="20" t="str">
        <f>IFERROR(INDEX('Detalles movimientos'!M$5:M$1000, MATCH(10, 'Detalles movimientos'!$U$5:$U$1000, 0)), "")</f>
        <v/>
      </c>
      <c r="L19" s="18" t="str">
        <f>IFERROR(INDEX('Detalles movimientos'!N$5:N$1000, MATCH(10, 'Detalles movimientos'!$U$5:$U$1000, 0)), "")</f>
        <v/>
      </c>
      <c r="M19" s="18" t="str">
        <f>IFERROR(INDEX('Detalles movimientos'!Q$5:Q$1000, MATCH(10, 'Detalles movimientos'!$U$5:$U$1000, 0)), "")</f>
        <v/>
      </c>
    </row>
    <row r="20" spans="2:13">
      <c r="B20" s="17" t="str">
        <f>IFERROR(INDEX('Detalles movimientos'!C$5:C$1000, MATCH(11, 'Detalles movimientos'!$U$5:$U$1000, 0)), "")</f>
        <v/>
      </c>
      <c r="C20" s="18" t="str">
        <f>IFERROR(INDEX('Detalles movimientos'!D$5:D$1000, MATCH(11, 'Detalles movimientos'!$U$5:$U$1000, 0)), "")</f>
        <v/>
      </c>
      <c r="D20" s="19" t="str">
        <f>IFERROR(INDEX('Detalles movimientos'!E$5:E$1000, MATCH(11, 'Detalles movimientos'!$U$5:$U$1000, 0)), "")</f>
        <v/>
      </c>
      <c r="E20" s="19" t="str">
        <f>IFERROR(INDEX('Detalles movimientos'!F$5:F$1000, MATCH(11, 'Detalles movimientos'!$U$5:$U$1000, 0)), "")</f>
        <v/>
      </c>
      <c r="F20" s="18" t="str">
        <f>IFERROR(INDEX('Detalles movimientos'!G$5:G$1000, MATCH(11, 'Detalles movimientos'!$U$5:$U$1000, 0)), "")</f>
        <v/>
      </c>
      <c r="G20" s="20" t="str">
        <f>IFERROR(INDEX('Detalles movimientos'!H$5:H$1000, MATCH(11, 'Detalles movimientos'!$U$5:$U$1000, 0)), "")</f>
        <v/>
      </c>
      <c r="H20" s="21" t="str">
        <f>IFERROR(INDEX('Detalles movimientos'!I$5:I$1000, MATCH(11, 'Detalles movimientos'!$U$5:$U$1000, 0)), "")</f>
        <v/>
      </c>
      <c r="I20" s="20" t="str">
        <f>IFERROR(INDEX('Detalles movimientos'!K$5:K$1000, MATCH(11, 'Detalles movimientos'!$U$5:$U$1000, 0)), "")</f>
        <v/>
      </c>
      <c r="J20" s="19" t="str">
        <f>IFERROR(INDEX('Detalles movimientos'!L$5:L$1000, MATCH(11, 'Detalles movimientos'!$U$5:$U$1000, 0)), "")</f>
        <v/>
      </c>
      <c r="K20" s="20" t="str">
        <f>IFERROR(INDEX('Detalles movimientos'!M$5:M$1000, MATCH(11, 'Detalles movimientos'!$U$5:$U$1000, 0)), "")</f>
        <v/>
      </c>
      <c r="L20" s="18" t="str">
        <f>IFERROR(INDEX('Detalles movimientos'!N$5:N$1000, MATCH(11, 'Detalles movimientos'!$U$5:$U$1000, 0)), "")</f>
        <v/>
      </c>
      <c r="M20" s="18" t="str">
        <f>IFERROR(INDEX('Detalles movimientos'!Q$5:Q$1000, MATCH(11, 'Detalles movimientos'!$U$5:$U$1000, 0)), "")</f>
        <v/>
      </c>
    </row>
    <row r="21" spans="2:13">
      <c r="B21" s="17" t="str">
        <f>IFERROR(INDEX('Detalles movimientos'!C$5:C$1000, MATCH(12, 'Detalles movimientos'!$U$5:$U$1000, 0)), "")</f>
        <v/>
      </c>
      <c r="C21" s="18" t="str">
        <f>IFERROR(INDEX('Detalles movimientos'!D$5:D$1000, MATCH(12, 'Detalles movimientos'!$U$5:$U$1000, 0)), "")</f>
        <v/>
      </c>
      <c r="D21" s="19" t="str">
        <f>IFERROR(INDEX('Detalles movimientos'!E$5:E$1000, MATCH(12, 'Detalles movimientos'!$U$5:$U$1000, 0)), "")</f>
        <v/>
      </c>
      <c r="E21" s="19" t="str">
        <f>IFERROR(INDEX('Detalles movimientos'!F$5:F$1000, MATCH(12, 'Detalles movimientos'!$U$5:$U$1000, 0)), "")</f>
        <v/>
      </c>
      <c r="F21" s="18" t="str">
        <f>IFERROR(INDEX('Detalles movimientos'!G$5:G$1000, MATCH(12, 'Detalles movimientos'!$U$5:$U$1000, 0)), "")</f>
        <v/>
      </c>
      <c r="G21" s="20" t="str">
        <f>IFERROR(INDEX('Detalles movimientos'!H$5:H$1000, MATCH(12, 'Detalles movimientos'!$U$5:$U$1000, 0)), "")</f>
        <v/>
      </c>
      <c r="H21" s="21" t="str">
        <f>IFERROR(INDEX('Detalles movimientos'!I$5:I$1000, MATCH(12, 'Detalles movimientos'!$U$5:$U$1000, 0)), "")</f>
        <v/>
      </c>
      <c r="I21" s="20" t="str">
        <f>IFERROR(INDEX('Detalles movimientos'!K$5:K$1000, MATCH(12, 'Detalles movimientos'!$U$5:$U$1000, 0)), "")</f>
        <v/>
      </c>
      <c r="J21" s="19" t="str">
        <f>IFERROR(INDEX('Detalles movimientos'!L$5:L$1000, MATCH(12, 'Detalles movimientos'!$U$5:$U$1000, 0)), "")</f>
        <v/>
      </c>
      <c r="K21" s="20" t="str">
        <f>IFERROR(INDEX('Detalles movimientos'!M$5:M$1000, MATCH(12, 'Detalles movimientos'!$U$5:$U$1000, 0)), "")</f>
        <v/>
      </c>
      <c r="L21" s="18" t="str">
        <f>IFERROR(INDEX('Detalles movimientos'!N$5:N$1000, MATCH(12, 'Detalles movimientos'!$U$5:$U$1000, 0)), "")</f>
        <v/>
      </c>
      <c r="M21" s="18" t="str">
        <f>IFERROR(INDEX('Detalles movimientos'!Q$5:Q$1000, MATCH(12, 'Detalles movimientos'!$U$5:$U$1000, 0)), "")</f>
        <v/>
      </c>
    </row>
    <row r="22" spans="2:13">
      <c r="B22" s="17" t="str">
        <f>IFERROR(INDEX('Detalles movimientos'!C$5:C$1000, MATCH(13, 'Detalles movimientos'!$U$5:$U$1000, 0)), "")</f>
        <v/>
      </c>
      <c r="C22" s="18" t="str">
        <f>IFERROR(INDEX('Detalles movimientos'!D$5:D$1000, MATCH(13, 'Detalles movimientos'!$U$5:$U$1000, 0)), "")</f>
        <v/>
      </c>
      <c r="D22" s="19" t="str">
        <f>IFERROR(INDEX('Detalles movimientos'!E$5:E$1000, MATCH(13, 'Detalles movimientos'!$U$5:$U$1000, 0)), "")</f>
        <v/>
      </c>
      <c r="E22" s="19" t="str">
        <f>IFERROR(INDEX('Detalles movimientos'!F$5:F$1000, MATCH(13, 'Detalles movimientos'!$U$5:$U$1000, 0)), "")</f>
        <v/>
      </c>
      <c r="F22" s="18" t="str">
        <f>IFERROR(INDEX('Detalles movimientos'!G$5:G$1000, MATCH(13, 'Detalles movimientos'!$U$5:$U$1000, 0)), "")</f>
        <v/>
      </c>
      <c r="G22" s="20" t="str">
        <f>IFERROR(INDEX('Detalles movimientos'!H$5:H$1000, MATCH(13, 'Detalles movimientos'!$U$5:$U$1000, 0)), "")</f>
        <v/>
      </c>
      <c r="H22" s="21" t="str">
        <f>IFERROR(INDEX('Detalles movimientos'!I$5:I$1000, MATCH(13, 'Detalles movimientos'!$U$5:$U$1000, 0)), "")</f>
        <v/>
      </c>
      <c r="I22" s="20" t="str">
        <f>IFERROR(INDEX('Detalles movimientos'!K$5:K$1000, MATCH(13, 'Detalles movimientos'!$U$5:$U$1000, 0)), "")</f>
        <v/>
      </c>
      <c r="J22" s="19" t="str">
        <f>IFERROR(INDEX('Detalles movimientos'!L$5:L$1000, MATCH(13, 'Detalles movimientos'!$U$5:$U$1000, 0)), "")</f>
        <v/>
      </c>
      <c r="K22" s="20" t="str">
        <f>IFERROR(INDEX('Detalles movimientos'!M$5:M$1000, MATCH(13, 'Detalles movimientos'!$U$5:$U$1000, 0)), "")</f>
        <v/>
      </c>
      <c r="L22" s="18" t="str">
        <f>IFERROR(INDEX('Detalles movimientos'!N$5:N$1000, MATCH(13, 'Detalles movimientos'!$U$5:$U$1000, 0)), "")</f>
        <v/>
      </c>
      <c r="M22" s="18" t="str">
        <f>IFERROR(INDEX('Detalles movimientos'!Q$5:Q$1000, MATCH(13, 'Detalles movimientos'!$U$5:$U$1000, 0)), "")</f>
        <v/>
      </c>
    </row>
    <row r="23" spans="2:13">
      <c r="B23" s="17" t="str">
        <f>IFERROR(INDEX('Detalles movimientos'!C$5:C$1000, MATCH(14, 'Detalles movimientos'!$U$5:$U$1000, 0)), "")</f>
        <v/>
      </c>
      <c r="C23" s="18" t="str">
        <f>IFERROR(INDEX('Detalles movimientos'!D$5:D$1000, MATCH(14, 'Detalles movimientos'!$U$5:$U$1000, 0)), "")</f>
        <v/>
      </c>
      <c r="D23" s="19" t="str">
        <f>IFERROR(INDEX('Detalles movimientos'!E$5:E$1000, MATCH(14, 'Detalles movimientos'!$U$5:$U$1000, 0)), "")</f>
        <v/>
      </c>
      <c r="E23" s="19" t="str">
        <f>IFERROR(INDEX('Detalles movimientos'!F$5:F$1000, MATCH(14, 'Detalles movimientos'!$U$5:$U$1000, 0)), "")</f>
        <v/>
      </c>
      <c r="F23" s="18" t="str">
        <f>IFERROR(INDEX('Detalles movimientos'!G$5:G$1000, MATCH(14, 'Detalles movimientos'!$U$5:$U$1000, 0)), "")</f>
        <v/>
      </c>
      <c r="G23" s="20" t="str">
        <f>IFERROR(INDEX('Detalles movimientos'!H$5:H$1000, MATCH(14, 'Detalles movimientos'!$U$5:$U$1000, 0)), "")</f>
        <v/>
      </c>
      <c r="H23" s="21" t="str">
        <f>IFERROR(INDEX('Detalles movimientos'!I$5:I$1000, MATCH(14, 'Detalles movimientos'!$U$5:$U$1000, 0)), "")</f>
        <v/>
      </c>
      <c r="I23" s="20" t="str">
        <f>IFERROR(INDEX('Detalles movimientos'!K$5:K$1000, MATCH(14, 'Detalles movimientos'!$U$5:$U$1000, 0)), "")</f>
        <v/>
      </c>
      <c r="J23" s="19" t="str">
        <f>IFERROR(INDEX('Detalles movimientos'!L$5:L$1000, MATCH(14, 'Detalles movimientos'!$U$5:$U$1000, 0)), "")</f>
        <v/>
      </c>
      <c r="K23" s="20" t="str">
        <f>IFERROR(INDEX('Detalles movimientos'!M$5:M$1000, MATCH(14, 'Detalles movimientos'!$U$5:$U$1000, 0)), "")</f>
        <v/>
      </c>
      <c r="L23" s="18" t="str">
        <f>IFERROR(INDEX('Detalles movimientos'!N$5:N$1000, MATCH(14, 'Detalles movimientos'!$U$5:$U$1000, 0)), "")</f>
        <v/>
      </c>
      <c r="M23" s="18" t="str">
        <f>IFERROR(INDEX('Detalles movimientos'!Q$5:Q$1000, MATCH(14, 'Detalles movimientos'!$U$5:$U$1000, 0)), "")</f>
        <v/>
      </c>
    </row>
    <row r="24" spans="2:13">
      <c r="B24" s="17" t="str">
        <f>IFERROR(INDEX('Detalles movimientos'!C$5:C$1000, MATCH(15, 'Detalles movimientos'!$U$5:$U$1000, 0)), "")</f>
        <v/>
      </c>
      <c r="C24" s="18" t="str">
        <f>IFERROR(INDEX('Detalles movimientos'!D$5:D$1000, MATCH(15, 'Detalles movimientos'!$U$5:$U$1000, 0)), "")</f>
        <v/>
      </c>
      <c r="D24" s="19" t="str">
        <f>IFERROR(INDEX('Detalles movimientos'!E$5:E$1000, MATCH(15, 'Detalles movimientos'!$U$5:$U$1000, 0)), "")</f>
        <v/>
      </c>
      <c r="E24" s="19" t="str">
        <f>IFERROR(INDEX('Detalles movimientos'!F$5:F$1000, MATCH(15, 'Detalles movimientos'!$U$5:$U$1000, 0)), "")</f>
        <v/>
      </c>
      <c r="F24" s="18" t="str">
        <f>IFERROR(INDEX('Detalles movimientos'!G$5:G$1000, MATCH(15, 'Detalles movimientos'!$U$5:$U$1000, 0)), "")</f>
        <v/>
      </c>
      <c r="G24" s="20" t="str">
        <f>IFERROR(INDEX('Detalles movimientos'!H$5:H$1000, MATCH(15, 'Detalles movimientos'!$U$5:$U$1000, 0)), "")</f>
        <v/>
      </c>
      <c r="H24" s="21" t="str">
        <f>IFERROR(INDEX('Detalles movimientos'!I$5:I$1000, MATCH(15, 'Detalles movimientos'!$U$5:$U$1000, 0)), "")</f>
        <v/>
      </c>
      <c r="I24" s="20" t="str">
        <f>IFERROR(INDEX('Detalles movimientos'!K$5:K$1000, MATCH(15, 'Detalles movimientos'!$U$5:$U$1000, 0)), "")</f>
        <v/>
      </c>
      <c r="J24" s="19" t="str">
        <f>IFERROR(INDEX('Detalles movimientos'!L$5:L$1000, MATCH(15, 'Detalles movimientos'!$U$5:$U$1000, 0)), "")</f>
        <v/>
      </c>
      <c r="K24" s="20" t="str">
        <f>IFERROR(INDEX('Detalles movimientos'!M$5:M$1000, MATCH(15, 'Detalles movimientos'!$U$5:$U$1000, 0)), "")</f>
        <v/>
      </c>
      <c r="L24" s="18" t="str">
        <f>IFERROR(INDEX('Detalles movimientos'!N$5:N$1000, MATCH(15, 'Detalles movimientos'!$U$5:$U$1000, 0)), "")</f>
        <v/>
      </c>
      <c r="M24" s="18" t="str">
        <f>IFERROR(INDEX('Detalles movimientos'!Q$5:Q$1000, MATCH(15, 'Detalles movimientos'!$U$5:$U$1000, 0)), "")</f>
        <v/>
      </c>
    </row>
    <row r="25" spans="2:13">
      <c r="B25" s="17" t="str">
        <f>IFERROR(INDEX('Detalles movimientos'!C$5:C$1000, MATCH(16, 'Detalles movimientos'!$U$5:$U$1000, 0)), "")</f>
        <v/>
      </c>
      <c r="C25" s="18" t="str">
        <f>IFERROR(INDEX('Detalles movimientos'!D$5:D$1000, MATCH(16, 'Detalles movimientos'!$U$5:$U$1000, 0)), "")</f>
        <v/>
      </c>
      <c r="D25" s="19" t="str">
        <f>IFERROR(INDEX('Detalles movimientos'!E$5:E$1000, MATCH(16, 'Detalles movimientos'!$U$5:$U$1000, 0)), "")</f>
        <v/>
      </c>
      <c r="E25" s="19" t="str">
        <f>IFERROR(INDEX('Detalles movimientos'!F$5:F$1000, MATCH(16, 'Detalles movimientos'!$U$5:$U$1000, 0)), "")</f>
        <v/>
      </c>
      <c r="F25" s="18" t="str">
        <f>IFERROR(INDEX('Detalles movimientos'!G$5:G$1000, MATCH(16, 'Detalles movimientos'!$U$5:$U$1000, 0)), "")</f>
        <v/>
      </c>
      <c r="G25" s="20" t="str">
        <f>IFERROR(INDEX('Detalles movimientos'!H$5:H$1000, MATCH(16, 'Detalles movimientos'!$U$5:$U$1000, 0)), "")</f>
        <v/>
      </c>
      <c r="H25" s="21" t="str">
        <f>IFERROR(INDEX('Detalles movimientos'!I$5:I$1000, MATCH(16, 'Detalles movimientos'!$U$5:$U$1000, 0)), "")</f>
        <v/>
      </c>
      <c r="I25" s="20" t="str">
        <f>IFERROR(INDEX('Detalles movimientos'!K$5:K$1000, MATCH(16, 'Detalles movimientos'!$U$5:$U$1000, 0)), "")</f>
        <v/>
      </c>
      <c r="J25" s="19" t="str">
        <f>IFERROR(INDEX('Detalles movimientos'!L$5:L$1000, MATCH(16, 'Detalles movimientos'!$U$5:$U$1000, 0)), "")</f>
        <v/>
      </c>
      <c r="K25" s="20" t="str">
        <f>IFERROR(INDEX('Detalles movimientos'!M$5:M$1000, MATCH(16, 'Detalles movimientos'!$U$5:$U$1000, 0)), "")</f>
        <v/>
      </c>
      <c r="L25" s="18" t="str">
        <f>IFERROR(INDEX('Detalles movimientos'!N$5:N$1000, MATCH(16, 'Detalles movimientos'!$U$5:$U$1000, 0)), "")</f>
        <v/>
      </c>
      <c r="M25" s="18" t="str">
        <f>IFERROR(INDEX('Detalles movimientos'!Q$5:Q$1000, MATCH(16, 'Detalles movimientos'!$U$5:$U$1000, 0)), "")</f>
        <v/>
      </c>
    </row>
    <row r="26" spans="2:13">
      <c r="B26" s="17" t="str">
        <f>IFERROR(INDEX('Detalles movimientos'!C$5:C$1000, MATCH(17, 'Detalles movimientos'!$U$5:$U$1000, 0)), "")</f>
        <v/>
      </c>
      <c r="C26" s="18" t="str">
        <f>IFERROR(INDEX('Detalles movimientos'!D$5:D$1000, MATCH(17, 'Detalles movimientos'!$U$5:$U$1000, 0)), "")</f>
        <v/>
      </c>
      <c r="D26" s="19" t="str">
        <f>IFERROR(INDEX('Detalles movimientos'!E$5:E$1000, MATCH(17, 'Detalles movimientos'!$U$5:$U$1000, 0)), "")</f>
        <v/>
      </c>
      <c r="E26" s="19" t="str">
        <f>IFERROR(INDEX('Detalles movimientos'!F$5:F$1000, MATCH(17, 'Detalles movimientos'!$U$5:$U$1000, 0)), "")</f>
        <v/>
      </c>
      <c r="F26" s="18" t="str">
        <f>IFERROR(INDEX('Detalles movimientos'!G$5:G$1000, MATCH(17, 'Detalles movimientos'!$U$5:$U$1000, 0)), "")</f>
        <v/>
      </c>
      <c r="G26" s="20" t="str">
        <f>IFERROR(INDEX('Detalles movimientos'!H$5:H$1000, MATCH(17, 'Detalles movimientos'!$U$5:$U$1000, 0)), "")</f>
        <v/>
      </c>
      <c r="H26" s="21" t="str">
        <f>IFERROR(INDEX('Detalles movimientos'!I$5:I$1000, MATCH(17, 'Detalles movimientos'!$U$5:$U$1000, 0)), "")</f>
        <v/>
      </c>
      <c r="I26" s="20" t="str">
        <f>IFERROR(INDEX('Detalles movimientos'!K$5:K$1000, MATCH(17, 'Detalles movimientos'!$U$5:$U$1000, 0)), "")</f>
        <v/>
      </c>
      <c r="J26" s="19" t="str">
        <f>IFERROR(INDEX('Detalles movimientos'!L$5:L$1000, MATCH(17, 'Detalles movimientos'!$U$5:$U$1000, 0)), "")</f>
        <v/>
      </c>
      <c r="K26" s="20" t="str">
        <f>IFERROR(INDEX('Detalles movimientos'!M$5:M$1000, MATCH(17, 'Detalles movimientos'!$U$5:$U$1000, 0)), "")</f>
        <v/>
      </c>
      <c r="L26" s="18" t="str">
        <f>IFERROR(INDEX('Detalles movimientos'!N$5:N$1000, MATCH(17, 'Detalles movimientos'!$U$5:$U$1000, 0)), "")</f>
        <v/>
      </c>
      <c r="M26" s="18" t="str">
        <f>IFERROR(INDEX('Detalles movimientos'!Q$5:Q$1000, MATCH(17, 'Detalles movimientos'!$U$5:$U$1000, 0)), "")</f>
        <v/>
      </c>
    </row>
    <row r="27" spans="2:13">
      <c r="B27" s="17" t="str">
        <f>IFERROR(INDEX('Detalles movimientos'!C$5:C$1000, MATCH(18, 'Detalles movimientos'!$U$5:$U$1000, 0)), "")</f>
        <v/>
      </c>
      <c r="C27" s="18" t="str">
        <f>IFERROR(INDEX('Detalles movimientos'!D$5:D$1000, MATCH(18, 'Detalles movimientos'!$U$5:$U$1000, 0)), "")</f>
        <v/>
      </c>
      <c r="D27" s="19" t="str">
        <f>IFERROR(INDEX('Detalles movimientos'!E$5:E$1000, MATCH(18, 'Detalles movimientos'!$U$5:$U$1000, 0)), "")</f>
        <v/>
      </c>
      <c r="E27" s="19" t="str">
        <f>IFERROR(INDEX('Detalles movimientos'!F$5:F$1000, MATCH(18, 'Detalles movimientos'!$U$5:$U$1000, 0)), "")</f>
        <v/>
      </c>
      <c r="F27" s="18" t="str">
        <f>IFERROR(INDEX('Detalles movimientos'!G$5:G$1000, MATCH(18, 'Detalles movimientos'!$U$5:$U$1000, 0)), "")</f>
        <v/>
      </c>
      <c r="G27" s="20" t="str">
        <f>IFERROR(INDEX('Detalles movimientos'!H$5:H$1000, MATCH(18, 'Detalles movimientos'!$U$5:$U$1000, 0)), "")</f>
        <v/>
      </c>
      <c r="H27" s="21" t="str">
        <f>IFERROR(INDEX('Detalles movimientos'!I$5:I$1000, MATCH(18, 'Detalles movimientos'!$U$5:$U$1000, 0)), "")</f>
        <v/>
      </c>
      <c r="I27" s="20" t="str">
        <f>IFERROR(INDEX('Detalles movimientos'!K$5:K$1000, MATCH(18, 'Detalles movimientos'!$U$5:$U$1000, 0)), "")</f>
        <v/>
      </c>
      <c r="J27" s="19" t="str">
        <f>IFERROR(INDEX('Detalles movimientos'!L$5:L$1000, MATCH(18, 'Detalles movimientos'!$U$5:$U$1000, 0)), "")</f>
        <v/>
      </c>
      <c r="K27" s="20" t="str">
        <f>IFERROR(INDEX('Detalles movimientos'!M$5:M$1000, MATCH(18, 'Detalles movimientos'!$U$5:$U$1000, 0)), "")</f>
        <v/>
      </c>
      <c r="L27" s="18" t="str">
        <f>IFERROR(INDEX('Detalles movimientos'!N$5:N$1000, MATCH(18, 'Detalles movimientos'!$U$5:$U$1000, 0)), "")</f>
        <v/>
      </c>
      <c r="M27" s="18" t="str">
        <f>IFERROR(INDEX('Detalles movimientos'!Q$5:Q$1000, MATCH(18, 'Detalles movimientos'!$U$5:$U$1000, 0)), "")</f>
        <v/>
      </c>
    </row>
    <row r="28" spans="2:13">
      <c r="B28" s="17" t="str">
        <f>IFERROR(INDEX('Detalles movimientos'!C$5:C$1000, MATCH(19, 'Detalles movimientos'!$U$5:$U$1000, 0)), "")</f>
        <v/>
      </c>
      <c r="C28" s="18" t="str">
        <f>IFERROR(INDEX('Detalles movimientos'!D$5:D$1000, MATCH(19, 'Detalles movimientos'!$U$5:$U$1000, 0)), "")</f>
        <v/>
      </c>
      <c r="D28" s="19" t="str">
        <f>IFERROR(INDEX('Detalles movimientos'!E$5:E$1000, MATCH(19, 'Detalles movimientos'!$U$5:$U$1000, 0)), "")</f>
        <v/>
      </c>
      <c r="E28" s="19" t="str">
        <f>IFERROR(INDEX('Detalles movimientos'!F$5:F$1000, MATCH(19, 'Detalles movimientos'!$U$5:$U$1000, 0)), "")</f>
        <v/>
      </c>
      <c r="F28" s="18" t="str">
        <f>IFERROR(INDEX('Detalles movimientos'!G$5:G$1000, MATCH(19, 'Detalles movimientos'!$U$5:$U$1000, 0)), "")</f>
        <v/>
      </c>
      <c r="G28" s="20" t="str">
        <f>IFERROR(INDEX('Detalles movimientos'!H$5:H$1000, MATCH(19, 'Detalles movimientos'!$U$5:$U$1000, 0)), "")</f>
        <v/>
      </c>
      <c r="H28" s="21" t="str">
        <f>IFERROR(INDEX('Detalles movimientos'!I$5:I$1000, MATCH(19, 'Detalles movimientos'!$U$5:$U$1000, 0)), "")</f>
        <v/>
      </c>
      <c r="I28" s="20" t="str">
        <f>IFERROR(INDEX('Detalles movimientos'!K$5:K$1000, MATCH(19, 'Detalles movimientos'!$U$5:$U$1000, 0)), "")</f>
        <v/>
      </c>
      <c r="J28" s="19" t="str">
        <f>IFERROR(INDEX('Detalles movimientos'!L$5:L$1000, MATCH(19, 'Detalles movimientos'!$U$5:$U$1000, 0)), "")</f>
        <v/>
      </c>
      <c r="K28" s="20" t="str">
        <f>IFERROR(INDEX('Detalles movimientos'!M$5:M$1000, MATCH(19, 'Detalles movimientos'!$U$5:$U$1000, 0)), "")</f>
        <v/>
      </c>
      <c r="L28" s="18" t="str">
        <f>IFERROR(INDEX('Detalles movimientos'!N$5:N$1000, MATCH(19, 'Detalles movimientos'!$U$5:$U$1000, 0)), "")</f>
        <v/>
      </c>
      <c r="M28" s="18" t="str">
        <f>IFERROR(INDEX('Detalles movimientos'!Q$5:Q$1000, MATCH(19, 'Detalles movimientos'!$U$5:$U$1000, 0)), "")</f>
        <v/>
      </c>
    </row>
    <row r="29" spans="2:13">
      <c r="B29" s="17" t="str">
        <f>IFERROR(INDEX('Detalles movimientos'!C$5:C$1000, MATCH(20, 'Detalles movimientos'!$U$5:$U$1000, 0)), "")</f>
        <v/>
      </c>
      <c r="C29" s="18" t="str">
        <f>IFERROR(INDEX('Detalles movimientos'!D$5:D$1000, MATCH(20, 'Detalles movimientos'!$U$5:$U$1000, 0)), "")</f>
        <v/>
      </c>
      <c r="D29" s="19" t="str">
        <f>IFERROR(INDEX('Detalles movimientos'!E$5:E$1000, MATCH(20, 'Detalles movimientos'!$U$5:$U$1000, 0)), "")</f>
        <v/>
      </c>
      <c r="E29" s="19" t="str">
        <f>IFERROR(INDEX('Detalles movimientos'!F$5:F$1000, MATCH(20, 'Detalles movimientos'!$U$5:$U$1000, 0)), "")</f>
        <v/>
      </c>
      <c r="F29" s="18" t="str">
        <f>IFERROR(INDEX('Detalles movimientos'!G$5:G$1000, MATCH(20, 'Detalles movimientos'!$U$5:$U$1000, 0)), "")</f>
        <v/>
      </c>
      <c r="G29" s="20" t="str">
        <f>IFERROR(INDEX('Detalles movimientos'!H$5:H$1000, MATCH(20, 'Detalles movimientos'!$U$5:$U$1000, 0)), "")</f>
        <v/>
      </c>
      <c r="H29" s="21" t="str">
        <f>IFERROR(INDEX('Detalles movimientos'!I$5:I$1000, MATCH(20, 'Detalles movimientos'!$U$5:$U$1000, 0)), "")</f>
        <v/>
      </c>
      <c r="I29" s="20" t="str">
        <f>IFERROR(INDEX('Detalles movimientos'!K$5:K$1000, MATCH(20, 'Detalles movimientos'!$U$5:$U$1000, 0)), "")</f>
        <v/>
      </c>
      <c r="J29" s="19" t="str">
        <f>IFERROR(INDEX('Detalles movimientos'!L$5:L$1000, MATCH(20, 'Detalles movimientos'!$U$5:$U$1000, 0)), "")</f>
        <v/>
      </c>
      <c r="K29" s="20" t="str">
        <f>IFERROR(INDEX('Detalles movimientos'!M$5:M$1000, MATCH(20, 'Detalles movimientos'!$U$5:$U$1000, 0)), "")</f>
        <v/>
      </c>
      <c r="L29" s="18" t="str">
        <f>IFERROR(INDEX('Detalles movimientos'!N$5:N$1000, MATCH(20, 'Detalles movimientos'!$U$5:$U$1000, 0)), "")</f>
        <v/>
      </c>
      <c r="M29" s="18" t="str">
        <f>IFERROR(INDEX('Detalles movimientos'!Q$5:Q$1000, MATCH(20, 'Detalles movimientos'!$U$5:$U$1000, 0)), "")</f>
        <v/>
      </c>
    </row>
    <row r="30" spans="2:13">
      <c r="B30" s="17" t="str">
        <f>IFERROR(INDEX('Detalles movimientos'!C$5:C$1000, MATCH(21, 'Detalles movimientos'!$U$5:$U$1000, 0)), "")</f>
        <v/>
      </c>
      <c r="C30" s="18" t="str">
        <f>IFERROR(INDEX('Detalles movimientos'!D$5:D$1000, MATCH(21, 'Detalles movimientos'!$U$5:$U$1000, 0)), "")</f>
        <v/>
      </c>
      <c r="D30" s="19" t="str">
        <f>IFERROR(INDEX('Detalles movimientos'!E$5:E$1000, MATCH(21, 'Detalles movimientos'!$U$5:$U$1000, 0)), "")</f>
        <v/>
      </c>
      <c r="E30" s="19" t="str">
        <f>IFERROR(INDEX('Detalles movimientos'!F$5:F$1000, MATCH(21, 'Detalles movimientos'!$U$5:$U$1000, 0)), "")</f>
        <v/>
      </c>
      <c r="F30" s="18" t="str">
        <f>IFERROR(INDEX('Detalles movimientos'!G$5:G$1000, MATCH(21, 'Detalles movimientos'!$U$5:$U$1000, 0)), "")</f>
        <v/>
      </c>
      <c r="G30" s="20" t="str">
        <f>IFERROR(INDEX('Detalles movimientos'!H$5:H$1000, MATCH(21, 'Detalles movimientos'!$U$5:$U$1000, 0)), "")</f>
        <v/>
      </c>
      <c r="H30" s="21" t="str">
        <f>IFERROR(INDEX('Detalles movimientos'!I$5:I$1000, MATCH(21, 'Detalles movimientos'!$U$5:$U$1000, 0)), "")</f>
        <v/>
      </c>
      <c r="I30" s="20" t="str">
        <f>IFERROR(INDEX('Detalles movimientos'!K$5:K$1000, MATCH(21, 'Detalles movimientos'!$U$5:$U$1000, 0)), "")</f>
        <v/>
      </c>
      <c r="J30" s="19" t="str">
        <f>IFERROR(INDEX('Detalles movimientos'!L$5:L$1000, MATCH(21, 'Detalles movimientos'!$U$5:$U$1000, 0)), "")</f>
        <v/>
      </c>
      <c r="K30" s="20" t="str">
        <f>IFERROR(INDEX('Detalles movimientos'!M$5:M$1000, MATCH(21, 'Detalles movimientos'!$U$5:$U$1000, 0)), "")</f>
        <v/>
      </c>
      <c r="L30" s="18" t="str">
        <f>IFERROR(INDEX('Detalles movimientos'!N$5:N$1000, MATCH(21, 'Detalles movimientos'!$U$5:$U$1000, 0)), "")</f>
        <v/>
      </c>
      <c r="M30" s="18" t="str">
        <f>IFERROR(INDEX('Detalles movimientos'!Q$5:Q$1000, MATCH(21, 'Detalles movimientos'!$U$5:$U$1000, 0)), "")</f>
        <v/>
      </c>
    </row>
    <row r="31" spans="2:13">
      <c r="B31" s="17" t="str">
        <f>IFERROR(INDEX('Detalles movimientos'!C$5:C$1000, MATCH(22, 'Detalles movimientos'!$U$5:$U$1000, 0)), "")</f>
        <v/>
      </c>
      <c r="C31" s="18" t="str">
        <f>IFERROR(INDEX('Detalles movimientos'!D$5:D$1000, MATCH(22, 'Detalles movimientos'!$U$5:$U$1000, 0)), "")</f>
        <v/>
      </c>
      <c r="D31" s="19" t="str">
        <f>IFERROR(INDEX('Detalles movimientos'!E$5:E$1000, MATCH(22, 'Detalles movimientos'!$U$5:$U$1000, 0)), "")</f>
        <v/>
      </c>
      <c r="E31" s="19" t="str">
        <f>IFERROR(INDEX('Detalles movimientos'!F$5:F$1000, MATCH(22, 'Detalles movimientos'!$U$5:$U$1000, 0)), "")</f>
        <v/>
      </c>
      <c r="F31" s="18" t="str">
        <f>IFERROR(INDEX('Detalles movimientos'!G$5:G$1000, MATCH(22, 'Detalles movimientos'!$U$5:$U$1000, 0)), "")</f>
        <v/>
      </c>
      <c r="G31" s="20" t="str">
        <f>IFERROR(INDEX('Detalles movimientos'!H$5:H$1000, MATCH(22, 'Detalles movimientos'!$U$5:$U$1000, 0)), "")</f>
        <v/>
      </c>
      <c r="H31" s="21" t="str">
        <f>IFERROR(INDEX('Detalles movimientos'!I$5:I$1000, MATCH(22, 'Detalles movimientos'!$U$5:$U$1000, 0)), "")</f>
        <v/>
      </c>
      <c r="I31" s="20" t="str">
        <f>IFERROR(INDEX('Detalles movimientos'!K$5:K$1000, MATCH(22, 'Detalles movimientos'!$U$5:$U$1000, 0)), "")</f>
        <v/>
      </c>
      <c r="J31" s="19" t="str">
        <f>IFERROR(INDEX('Detalles movimientos'!L$5:L$1000, MATCH(22, 'Detalles movimientos'!$U$5:$U$1000, 0)), "")</f>
        <v/>
      </c>
      <c r="K31" s="20" t="str">
        <f>IFERROR(INDEX('Detalles movimientos'!M$5:M$1000, MATCH(22, 'Detalles movimientos'!$U$5:$U$1000, 0)), "")</f>
        <v/>
      </c>
      <c r="L31" s="18" t="str">
        <f>IFERROR(INDEX('Detalles movimientos'!N$5:N$1000, MATCH(22, 'Detalles movimientos'!$U$5:$U$1000, 0)), "")</f>
        <v/>
      </c>
      <c r="M31" s="18" t="str">
        <f>IFERROR(INDEX('Detalles movimientos'!Q$5:Q$1000, MATCH(22, 'Detalles movimientos'!$U$5:$U$1000, 0)), "")</f>
        <v/>
      </c>
    </row>
    <row r="32" spans="2:13">
      <c r="B32" s="17" t="str">
        <f>IFERROR(INDEX('Detalles movimientos'!C$5:C$1000, MATCH(23, 'Detalles movimientos'!$U$5:$U$1000, 0)), "")</f>
        <v/>
      </c>
      <c r="C32" s="18" t="str">
        <f>IFERROR(INDEX('Detalles movimientos'!D$5:D$1000, MATCH(23, 'Detalles movimientos'!$U$5:$U$1000, 0)), "")</f>
        <v/>
      </c>
      <c r="D32" s="19" t="str">
        <f>IFERROR(INDEX('Detalles movimientos'!E$5:E$1000, MATCH(23, 'Detalles movimientos'!$U$5:$U$1000, 0)), "")</f>
        <v/>
      </c>
      <c r="E32" s="19" t="str">
        <f>IFERROR(INDEX('Detalles movimientos'!F$5:F$1000, MATCH(23, 'Detalles movimientos'!$U$5:$U$1000, 0)), "")</f>
        <v/>
      </c>
      <c r="F32" s="18" t="str">
        <f>IFERROR(INDEX('Detalles movimientos'!G$5:G$1000, MATCH(23, 'Detalles movimientos'!$U$5:$U$1000, 0)), "")</f>
        <v/>
      </c>
      <c r="G32" s="20" t="str">
        <f>IFERROR(INDEX('Detalles movimientos'!H$5:H$1000, MATCH(23, 'Detalles movimientos'!$U$5:$U$1000, 0)), "")</f>
        <v/>
      </c>
      <c r="H32" s="21" t="str">
        <f>IFERROR(INDEX('Detalles movimientos'!I$5:I$1000, MATCH(23, 'Detalles movimientos'!$U$5:$U$1000, 0)), "")</f>
        <v/>
      </c>
      <c r="I32" s="20" t="str">
        <f>IFERROR(INDEX('Detalles movimientos'!K$5:K$1000, MATCH(23, 'Detalles movimientos'!$U$5:$U$1000, 0)), "")</f>
        <v/>
      </c>
      <c r="J32" s="19" t="str">
        <f>IFERROR(INDEX('Detalles movimientos'!L$5:L$1000, MATCH(23, 'Detalles movimientos'!$U$5:$U$1000, 0)), "")</f>
        <v/>
      </c>
      <c r="K32" s="20" t="str">
        <f>IFERROR(INDEX('Detalles movimientos'!M$5:M$1000, MATCH(23, 'Detalles movimientos'!$U$5:$U$1000, 0)), "")</f>
        <v/>
      </c>
      <c r="L32" s="18" t="str">
        <f>IFERROR(INDEX('Detalles movimientos'!N$5:N$1000, MATCH(23, 'Detalles movimientos'!$U$5:$U$1000, 0)), "")</f>
        <v/>
      </c>
      <c r="M32" s="18" t="str">
        <f>IFERROR(INDEX('Detalles movimientos'!Q$5:Q$1000, MATCH(23, 'Detalles movimientos'!$U$5:$U$1000, 0)), "")</f>
        <v/>
      </c>
    </row>
    <row r="33" spans="2:13">
      <c r="B33" s="17" t="str">
        <f>IFERROR(INDEX('Detalles movimientos'!C$5:C$1000, MATCH(24, 'Detalles movimientos'!$U$5:$U$1000, 0)), "")</f>
        <v/>
      </c>
      <c r="C33" s="18" t="str">
        <f>IFERROR(INDEX('Detalles movimientos'!D$5:D$1000, MATCH(24, 'Detalles movimientos'!$U$5:$U$1000, 0)), "")</f>
        <v/>
      </c>
      <c r="D33" s="19" t="str">
        <f>IFERROR(INDEX('Detalles movimientos'!E$5:E$1000, MATCH(24, 'Detalles movimientos'!$U$5:$U$1000, 0)), "")</f>
        <v/>
      </c>
      <c r="E33" s="19" t="str">
        <f>IFERROR(INDEX('Detalles movimientos'!F$5:F$1000, MATCH(24, 'Detalles movimientos'!$U$5:$U$1000, 0)), "")</f>
        <v/>
      </c>
      <c r="F33" s="18" t="str">
        <f>IFERROR(INDEX('Detalles movimientos'!G$5:G$1000, MATCH(24, 'Detalles movimientos'!$U$5:$U$1000, 0)), "")</f>
        <v/>
      </c>
      <c r="G33" s="20" t="str">
        <f>IFERROR(INDEX('Detalles movimientos'!H$5:H$1000, MATCH(24, 'Detalles movimientos'!$U$5:$U$1000, 0)), "")</f>
        <v/>
      </c>
      <c r="H33" s="21" t="str">
        <f>IFERROR(INDEX('Detalles movimientos'!I$5:I$1000, MATCH(24, 'Detalles movimientos'!$U$5:$U$1000, 0)), "")</f>
        <v/>
      </c>
      <c r="I33" s="20" t="str">
        <f>IFERROR(INDEX('Detalles movimientos'!K$5:K$1000, MATCH(24, 'Detalles movimientos'!$U$5:$U$1000, 0)), "")</f>
        <v/>
      </c>
      <c r="J33" s="19" t="str">
        <f>IFERROR(INDEX('Detalles movimientos'!L$5:L$1000, MATCH(24, 'Detalles movimientos'!$U$5:$U$1000, 0)), "")</f>
        <v/>
      </c>
      <c r="K33" s="20" t="str">
        <f>IFERROR(INDEX('Detalles movimientos'!M$5:M$1000, MATCH(24, 'Detalles movimientos'!$U$5:$U$1000, 0)), "")</f>
        <v/>
      </c>
      <c r="L33" s="18" t="str">
        <f>IFERROR(INDEX('Detalles movimientos'!N$5:N$1000, MATCH(24, 'Detalles movimientos'!$U$5:$U$1000, 0)), "")</f>
        <v/>
      </c>
      <c r="M33" s="18" t="str">
        <f>IFERROR(INDEX('Detalles movimientos'!Q$5:Q$1000, MATCH(24, 'Detalles movimientos'!$U$5:$U$1000, 0)), "")</f>
        <v/>
      </c>
    </row>
    <row r="34" spans="2:13">
      <c r="B34" s="17" t="str">
        <f>IFERROR(INDEX('Detalles movimientos'!C$5:C$1000, MATCH(25, 'Detalles movimientos'!$U$5:$U$1000, 0)), "")</f>
        <v/>
      </c>
      <c r="C34" s="18" t="str">
        <f>IFERROR(INDEX('Detalles movimientos'!D$5:D$1000, MATCH(25, 'Detalles movimientos'!$U$5:$U$1000, 0)), "")</f>
        <v/>
      </c>
      <c r="D34" s="19" t="str">
        <f>IFERROR(INDEX('Detalles movimientos'!E$5:E$1000, MATCH(25, 'Detalles movimientos'!$U$5:$U$1000, 0)), "")</f>
        <v/>
      </c>
      <c r="E34" s="19" t="str">
        <f>IFERROR(INDEX('Detalles movimientos'!F$5:F$1000, MATCH(25, 'Detalles movimientos'!$U$5:$U$1000, 0)), "")</f>
        <v/>
      </c>
      <c r="F34" s="18" t="str">
        <f>IFERROR(INDEX('Detalles movimientos'!G$5:G$1000, MATCH(25, 'Detalles movimientos'!$U$5:$U$1000, 0)), "")</f>
        <v/>
      </c>
      <c r="G34" s="20" t="str">
        <f>IFERROR(INDEX('Detalles movimientos'!H$5:H$1000, MATCH(25, 'Detalles movimientos'!$U$5:$U$1000, 0)), "")</f>
        <v/>
      </c>
      <c r="H34" s="21" t="str">
        <f>IFERROR(INDEX('Detalles movimientos'!I$5:I$1000, MATCH(25, 'Detalles movimientos'!$U$5:$U$1000, 0)), "")</f>
        <v/>
      </c>
      <c r="I34" s="20" t="str">
        <f>IFERROR(INDEX('Detalles movimientos'!K$5:K$1000, MATCH(25, 'Detalles movimientos'!$U$5:$U$1000, 0)), "")</f>
        <v/>
      </c>
      <c r="J34" s="19" t="str">
        <f>IFERROR(INDEX('Detalles movimientos'!L$5:L$1000, MATCH(25, 'Detalles movimientos'!$U$5:$U$1000, 0)), "")</f>
        <v/>
      </c>
      <c r="K34" s="20" t="str">
        <f>IFERROR(INDEX('Detalles movimientos'!M$5:M$1000, MATCH(25, 'Detalles movimientos'!$U$5:$U$1000, 0)), "")</f>
        <v/>
      </c>
      <c r="L34" s="18" t="str">
        <f>IFERROR(INDEX('Detalles movimientos'!N$5:N$1000, MATCH(25, 'Detalles movimientos'!$U$5:$U$1000, 0)), "")</f>
        <v/>
      </c>
      <c r="M34" s="18" t="str">
        <f>IFERROR(INDEX('Detalles movimientos'!Q$5:Q$1000, MATCH(25, 'Detalles movimientos'!$U$5:$U$1000, 0)), "")</f>
        <v/>
      </c>
    </row>
    <row r="35" spans="2:13">
      <c r="B35" s="17" t="str">
        <f>IFERROR(INDEX('Detalles movimientos'!C$5:C$1000, MATCH(26, 'Detalles movimientos'!$U$5:$U$1000, 0)), "")</f>
        <v/>
      </c>
      <c r="C35" s="18" t="str">
        <f>IFERROR(INDEX('Detalles movimientos'!D$5:D$1000, MATCH(26, 'Detalles movimientos'!$U$5:$U$1000, 0)), "")</f>
        <v/>
      </c>
      <c r="D35" s="19" t="str">
        <f>IFERROR(INDEX('Detalles movimientos'!E$5:E$1000, MATCH(26, 'Detalles movimientos'!$U$5:$U$1000, 0)), "")</f>
        <v/>
      </c>
      <c r="E35" s="19" t="str">
        <f>IFERROR(INDEX('Detalles movimientos'!F$5:F$1000, MATCH(26, 'Detalles movimientos'!$U$5:$U$1000, 0)), "")</f>
        <v/>
      </c>
      <c r="F35" s="18" t="str">
        <f>IFERROR(INDEX('Detalles movimientos'!G$5:G$1000, MATCH(26, 'Detalles movimientos'!$U$5:$U$1000, 0)), "")</f>
        <v/>
      </c>
      <c r="G35" s="20" t="str">
        <f>IFERROR(INDEX('Detalles movimientos'!H$5:H$1000, MATCH(26, 'Detalles movimientos'!$U$5:$U$1000, 0)), "")</f>
        <v/>
      </c>
      <c r="H35" s="21" t="str">
        <f>IFERROR(INDEX('Detalles movimientos'!I$5:I$1000, MATCH(26, 'Detalles movimientos'!$U$5:$U$1000, 0)), "")</f>
        <v/>
      </c>
      <c r="I35" s="20" t="str">
        <f>IFERROR(INDEX('Detalles movimientos'!K$5:K$1000, MATCH(26, 'Detalles movimientos'!$U$5:$U$1000, 0)), "")</f>
        <v/>
      </c>
      <c r="J35" s="19" t="str">
        <f>IFERROR(INDEX('Detalles movimientos'!L$5:L$1000, MATCH(26, 'Detalles movimientos'!$U$5:$U$1000, 0)), "")</f>
        <v/>
      </c>
      <c r="K35" s="20" t="str">
        <f>IFERROR(INDEX('Detalles movimientos'!M$5:M$1000, MATCH(26, 'Detalles movimientos'!$U$5:$U$1000, 0)), "")</f>
        <v/>
      </c>
      <c r="L35" s="18" t="str">
        <f>IFERROR(INDEX('Detalles movimientos'!N$5:N$1000, MATCH(26, 'Detalles movimientos'!$U$5:$U$1000, 0)), "")</f>
        <v/>
      </c>
      <c r="M35" s="18" t="str">
        <f>IFERROR(INDEX('Detalles movimientos'!Q$5:Q$1000, MATCH(26, 'Detalles movimientos'!$U$5:$U$1000, 0)), "")</f>
        <v/>
      </c>
    </row>
    <row r="36" spans="2:13">
      <c r="B36" s="17" t="str">
        <f>IFERROR(INDEX('Detalles movimientos'!C$5:C$1000, MATCH(27, 'Detalles movimientos'!$U$5:$U$1000, 0)), "")</f>
        <v/>
      </c>
      <c r="C36" s="18" t="str">
        <f>IFERROR(INDEX('Detalles movimientos'!D$5:D$1000, MATCH(27, 'Detalles movimientos'!$U$5:$U$1000, 0)), "")</f>
        <v/>
      </c>
      <c r="D36" s="19" t="str">
        <f>IFERROR(INDEX('Detalles movimientos'!E$5:E$1000, MATCH(27, 'Detalles movimientos'!$U$5:$U$1000, 0)), "")</f>
        <v/>
      </c>
      <c r="E36" s="19" t="str">
        <f>IFERROR(INDEX('Detalles movimientos'!F$5:F$1000, MATCH(27, 'Detalles movimientos'!$U$5:$U$1000, 0)), "")</f>
        <v/>
      </c>
      <c r="F36" s="18" t="str">
        <f>IFERROR(INDEX('Detalles movimientos'!G$5:G$1000, MATCH(27, 'Detalles movimientos'!$U$5:$U$1000, 0)), "")</f>
        <v/>
      </c>
      <c r="G36" s="20" t="str">
        <f>IFERROR(INDEX('Detalles movimientos'!H$5:H$1000, MATCH(27, 'Detalles movimientos'!$U$5:$U$1000, 0)), "")</f>
        <v/>
      </c>
      <c r="H36" s="21" t="str">
        <f>IFERROR(INDEX('Detalles movimientos'!I$5:I$1000, MATCH(27, 'Detalles movimientos'!$U$5:$U$1000, 0)), "")</f>
        <v/>
      </c>
      <c r="I36" s="20" t="str">
        <f>IFERROR(INDEX('Detalles movimientos'!K$5:K$1000, MATCH(27, 'Detalles movimientos'!$U$5:$U$1000, 0)), "")</f>
        <v/>
      </c>
      <c r="J36" s="19" t="str">
        <f>IFERROR(INDEX('Detalles movimientos'!L$5:L$1000, MATCH(27, 'Detalles movimientos'!$U$5:$U$1000, 0)), "")</f>
        <v/>
      </c>
      <c r="K36" s="20" t="str">
        <f>IFERROR(INDEX('Detalles movimientos'!M$5:M$1000, MATCH(27, 'Detalles movimientos'!$U$5:$U$1000, 0)), "")</f>
        <v/>
      </c>
      <c r="L36" s="18" t="str">
        <f>IFERROR(INDEX('Detalles movimientos'!N$5:N$1000, MATCH(27, 'Detalles movimientos'!$U$5:$U$1000, 0)), "")</f>
        <v/>
      </c>
      <c r="M36" s="18" t="str">
        <f>IFERROR(INDEX('Detalles movimientos'!Q$5:Q$1000, MATCH(27, 'Detalles movimientos'!$U$5:$U$1000, 0)), "")</f>
        <v/>
      </c>
    </row>
    <row r="37" spans="2:13">
      <c r="B37" s="17" t="str">
        <f>IFERROR(INDEX('Detalles movimientos'!C$5:C$1000, MATCH(28, 'Detalles movimientos'!$U$5:$U$1000, 0)), "")</f>
        <v/>
      </c>
      <c r="C37" s="18" t="str">
        <f>IFERROR(INDEX('Detalles movimientos'!D$5:D$1000, MATCH(28, 'Detalles movimientos'!$U$5:$U$1000, 0)), "")</f>
        <v/>
      </c>
      <c r="D37" s="19" t="str">
        <f>IFERROR(INDEX('Detalles movimientos'!E$5:E$1000, MATCH(28, 'Detalles movimientos'!$U$5:$U$1000, 0)), "")</f>
        <v/>
      </c>
      <c r="E37" s="19" t="str">
        <f>IFERROR(INDEX('Detalles movimientos'!F$5:F$1000, MATCH(28, 'Detalles movimientos'!$U$5:$U$1000, 0)), "")</f>
        <v/>
      </c>
      <c r="F37" s="18" t="str">
        <f>IFERROR(INDEX('Detalles movimientos'!G$5:G$1000, MATCH(28, 'Detalles movimientos'!$U$5:$U$1000, 0)), "")</f>
        <v/>
      </c>
      <c r="G37" s="20" t="str">
        <f>IFERROR(INDEX('Detalles movimientos'!H$5:H$1000, MATCH(28, 'Detalles movimientos'!$U$5:$U$1000, 0)), "")</f>
        <v/>
      </c>
      <c r="H37" s="21" t="str">
        <f>IFERROR(INDEX('Detalles movimientos'!I$5:I$1000, MATCH(28, 'Detalles movimientos'!$U$5:$U$1000, 0)), "")</f>
        <v/>
      </c>
      <c r="I37" s="20" t="str">
        <f>IFERROR(INDEX('Detalles movimientos'!K$5:K$1000, MATCH(28, 'Detalles movimientos'!$U$5:$U$1000, 0)), "")</f>
        <v/>
      </c>
      <c r="J37" s="19" t="str">
        <f>IFERROR(INDEX('Detalles movimientos'!L$5:L$1000, MATCH(28, 'Detalles movimientos'!$U$5:$U$1000, 0)), "")</f>
        <v/>
      </c>
      <c r="K37" s="20" t="str">
        <f>IFERROR(INDEX('Detalles movimientos'!M$5:M$1000, MATCH(28, 'Detalles movimientos'!$U$5:$U$1000, 0)), "")</f>
        <v/>
      </c>
      <c r="L37" s="18" t="str">
        <f>IFERROR(INDEX('Detalles movimientos'!N$5:N$1000, MATCH(28, 'Detalles movimientos'!$U$5:$U$1000, 0)), "")</f>
        <v/>
      </c>
      <c r="M37" s="18" t="str">
        <f>IFERROR(INDEX('Detalles movimientos'!Q$5:Q$1000, MATCH(28, 'Detalles movimientos'!$U$5:$U$1000, 0)), "")</f>
        <v/>
      </c>
    </row>
    <row r="38" spans="2:13">
      <c r="B38" s="17" t="str">
        <f>IFERROR(INDEX('Detalles movimientos'!C$5:C$1000, MATCH(29, 'Detalles movimientos'!$U$5:$U$1000, 0)), "")</f>
        <v/>
      </c>
      <c r="C38" s="18" t="str">
        <f>IFERROR(INDEX('Detalles movimientos'!D$5:D$1000, MATCH(29, 'Detalles movimientos'!$U$5:$U$1000, 0)), "")</f>
        <v/>
      </c>
      <c r="D38" s="19" t="str">
        <f>IFERROR(INDEX('Detalles movimientos'!E$5:E$1000, MATCH(29, 'Detalles movimientos'!$U$5:$U$1000, 0)), "")</f>
        <v/>
      </c>
      <c r="E38" s="19" t="str">
        <f>IFERROR(INDEX('Detalles movimientos'!F$5:F$1000, MATCH(29, 'Detalles movimientos'!$U$5:$U$1000, 0)), "")</f>
        <v/>
      </c>
      <c r="F38" s="18" t="str">
        <f>IFERROR(INDEX('Detalles movimientos'!G$5:G$1000, MATCH(29, 'Detalles movimientos'!$U$5:$U$1000, 0)), "")</f>
        <v/>
      </c>
      <c r="G38" s="20" t="str">
        <f>IFERROR(INDEX('Detalles movimientos'!H$5:H$1000, MATCH(29, 'Detalles movimientos'!$U$5:$U$1000, 0)), "")</f>
        <v/>
      </c>
      <c r="H38" s="21" t="str">
        <f>IFERROR(INDEX('Detalles movimientos'!I$5:I$1000, MATCH(29, 'Detalles movimientos'!$U$5:$U$1000, 0)), "")</f>
        <v/>
      </c>
      <c r="I38" s="20" t="str">
        <f>IFERROR(INDEX('Detalles movimientos'!K$5:K$1000, MATCH(29, 'Detalles movimientos'!$U$5:$U$1000, 0)), "")</f>
        <v/>
      </c>
      <c r="J38" s="19" t="str">
        <f>IFERROR(INDEX('Detalles movimientos'!L$5:L$1000, MATCH(29, 'Detalles movimientos'!$U$5:$U$1000, 0)), "")</f>
        <v/>
      </c>
      <c r="K38" s="20" t="str">
        <f>IFERROR(INDEX('Detalles movimientos'!M$5:M$1000, MATCH(29, 'Detalles movimientos'!$U$5:$U$1000, 0)), "")</f>
        <v/>
      </c>
      <c r="L38" s="18" t="str">
        <f>IFERROR(INDEX('Detalles movimientos'!N$5:N$1000, MATCH(29, 'Detalles movimientos'!$U$5:$U$1000, 0)), "")</f>
        <v/>
      </c>
      <c r="M38" s="18" t="str">
        <f>IFERROR(INDEX('Detalles movimientos'!Q$5:Q$1000, MATCH(29, 'Detalles movimientos'!$U$5:$U$1000, 0)), "")</f>
        <v/>
      </c>
    </row>
    <row r="39" spans="2:13">
      <c r="B39" s="17" t="str">
        <f>IFERROR(INDEX('Detalles movimientos'!C$5:C$1000, MATCH(30, 'Detalles movimientos'!$U$5:$U$1000, 0)), "")</f>
        <v/>
      </c>
      <c r="C39" s="18" t="str">
        <f>IFERROR(INDEX('Detalles movimientos'!D$5:D$1000, MATCH(30, 'Detalles movimientos'!$U$5:$U$1000, 0)), "")</f>
        <v/>
      </c>
      <c r="D39" s="19" t="str">
        <f>IFERROR(INDEX('Detalles movimientos'!E$5:E$1000, MATCH(30, 'Detalles movimientos'!$U$5:$U$1000, 0)), "")</f>
        <v/>
      </c>
      <c r="E39" s="19" t="str">
        <f>IFERROR(INDEX('Detalles movimientos'!F$5:F$1000, MATCH(30, 'Detalles movimientos'!$U$5:$U$1000, 0)), "")</f>
        <v/>
      </c>
      <c r="F39" s="18" t="str">
        <f>IFERROR(INDEX('Detalles movimientos'!G$5:G$1000, MATCH(30, 'Detalles movimientos'!$U$5:$U$1000, 0)), "")</f>
        <v/>
      </c>
      <c r="G39" s="20" t="str">
        <f>IFERROR(INDEX('Detalles movimientos'!H$5:H$1000, MATCH(30, 'Detalles movimientos'!$U$5:$U$1000, 0)), "")</f>
        <v/>
      </c>
      <c r="H39" s="21" t="str">
        <f>IFERROR(INDEX('Detalles movimientos'!I$5:I$1000, MATCH(30, 'Detalles movimientos'!$U$5:$U$1000, 0)), "")</f>
        <v/>
      </c>
      <c r="I39" s="20" t="str">
        <f>IFERROR(INDEX('Detalles movimientos'!K$5:K$1000, MATCH(30, 'Detalles movimientos'!$U$5:$U$1000, 0)), "")</f>
        <v/>
      </c>
      <c r="J39" s="19" t="str">
        <f>IFERROR(INDEX('Detalles movimientos'!L$5:L$1000, MATCH(30, 'Detalles movimientos'!$U$5:$U$1000, 0)), "")</f>
        <v/>
      </c>
      <c r="K39" s="20" t="str">
        <f>IFERROR(INDEX('Detalles movimientos'!M$5:M$1000, MATCH(30, 'Detalles movimientos'!$U$5:$U$1000, 0)), "")</f>
        <v/>
      </c>
      <c r="L39" s="18" t="str">
        <f>IFERROR(INDEX('Detalles movimientos'!N$5:N$1000, MATCH(30, 'Detalles movimientos'!$U$5:$U$1000, 0)), "")</f>
        <v/>
      </c>
      <c r="M39" s="18" t="str">
        <f>IFERROR(INDEX('Detalles movimientos'!Q$5:Q$1000, MATCH(30, 'Detalles movimientos'!$U$5:$U$1000, 0)), "")</f>
        <v/>
      </c>
    </row>
    <row r="40" spans="2:13">
      <c r="B40" s="17" t="str">
        <f>IFERROR(INDEX('Detalles movimientos'!C$5:C$1000, MATCH(31, 'Detalles movimientos'!$U$5:$U$1000, 0)), "")</f>
        <v/>
      </c>
      <c r="C40" s="18" t="str">
        <f>IFERROR(INDEX('Detalles movimientos'!D$5:D$1000, MATCH(31, 'Detalles movimientos'!$U$5:$U$1000, 0)), "")</f>
        <v/>
      </c>
      <c r="D40" s="19" t="str">
        <f>IFERROR(INDEX('Detalles movimientos'!E$5:E$1000, MATCH(31, 'Detalles movimientos'!$U$5:$U$1000, 0)), "")</f>
        <v/>
      </c>
      <c r="E40" s="19" t="str">
        <f>IFERROR(INDEX('Detalles movimientos'!F$5:F$1000, MATCH(31, 'Detalles movimientos'!$U$5:$U$1000, 0)), "")</f>
        <v/>
      </c>
      <c r="F40" s="18" t="str">
        <f>IFERROR(INDEX('Detalles movimientos'!G$5:G$1000, MATCH(31, 'Detalles movimientos'!$U$5:$U$1000, 0)), "")</f>
        <v/>
      </c>
      <c r="G40" s="20" t="str">
        <f>IFERROR(INDEX('Detalles movimientos'!H$5:H$1000, MATCH(31, 'Detalles movimientos'!$U$5:$U$1000, 0)), "")</f>
        <v/>
      </c>
      <c r="H40" s="21" t="str">
        <f>IFERROR(INDEX('Detalles movimientos'!I$5:I$1000, MATCH(31, 'Detalles movimientos'!$U$5:$U$1000, 0)), "")</f>
        <v/>
      </c>
      <c r="I40" s="20" t="str">
        <f>IFERROR(INDEX('Detalles movimientos'!K$5:K$1000, MATCH(31, 'Detalles movimientos'!$U$5:$U$1000, 0)), "")</f>
        <v/>
      </c>
      <c r="J40" s="19" t="str">
        <f>IFERROR(INDEX('Detalles movimientos'!L$5:L$1000, MATCH(31, 'Detalles movimientos'!$U$5:$U$1000, 0)), "")</f>
        <v/>
      </c>
      <c r="K40" s="20" t="str">
        <f>IFERROR(INDEX('Detalles movimientos'!M$5:M$1000, MATCH(31, 'Detalles movimientos'!$U$5:$U$1000, 0)), "")</f>
        <v/>
      </c>
      <c r="L40" s="18" t="str">
        <f>IFERROR(INDEX('Detalles movimientos'!N$5:N$1000, MATCH(31, 'Detalles movimientos'!$U$5:$U$1000, 0)), "")</f>
        <v/>
      </c>
      <c r="M40" s="18" t="str">
        <f>IFERROR(INDEX('Detalles movimientos'!Q$5:Q$1000, MATCH(31, 'Detalles movimientos'!$U$5:$U$1000, 0)), "")</f>
        <v/>
      </c>
    </row>
    <row r="41" spans="2:13">
      <c r="B41" s="17" t="str">
        <f>IFERROR(INDEX('Detalles movimientos'!C$5:C$1000, MATCH(32, 'Detalles movimientos'!$U$5:$U$1000, 0)), "")</f>
        <v/>
      </c>
      <c r="C41" s="18" t="str">
        <f>IFERROR(INDEX('Detalles movimientos'!D$5:D$1000, MATCH(32, 'Detalles movimientos'!$U$5:$U$1000, 0)), "")</f>
        <v/>
      </c>
      <c r="D41" s="19" t="str">
        <f>IFERROR(INDEX('Detalles movimientos'!E$5:E$1000, MATCH(32, 'Detalles movimientos'!$U$5:$U$1000, 0)), "")</f>
        <v/>
      </c>
      <c r="E41" s="19" t="str">
        <f>IFERROR(INDEX('Detalles movimientos'!F$5:F$1000, MATCH(32, 'Detalles movimientos'!$U$5:$U$1000, 0)), "")</f>
        <v/>
      </c>
      <c r="F41" s="18" t="str">
        <f>IFERROR(INDEX('Detalles movimientos'!G$5:G$1000, MATCH(32, 'Detalles movimientos'!$U$5:$U$1000, 0)), "")</f>
        <v/>
      </c>
      <c r="G41" s="20" t="str">
        <f>IFERROR(INDEX('Detalles movimientos'!H$5:H$1000, MATCH(32, 'Detalles movimientos'!$U$5:$U$1000, 0)), "")</f>
        <v/>
      </c>
      <c r="H41" s="21" t="str">
        <f>IFERROR(INDEX('Detalles movimientos'!I$5:I$1000, MATCH(32, 'Detalles movimientos'!$U$5:$U$1000, 0)), "")</f>
        <v/>
      </c>
      <c r="I41" s="20" t="str">
        <f>IFERROR(INDEX('Detalles movimientos'!K$5:K$1000, MATCH(32, 'Detalles movimientos'!$U$5:$U$1000, 0)), "")</f>
        <v/>
      </c>
      <c r="J41" s="19" t="str">
        <f>IFERROR(INDEX('Detalles movimientos'!L$5:L$1000, MATCH(32, 'Detalles movimientos'!$U$5:$U$1000, 0)), "")</f>
        <v/>
      </c>
      <c r="K41" s="20" t="str">
        <f>IFERROR(INDEX('Detalles movimientos'!M$5:M$1000, MATCH(32, 'Detalles movimientos'!$U$5:$U$1000, 0)), "")</f>
        <v/>
      </c>
      <c r="L41" s="18" t="str">
        <f>IFERROR(INDEX('Detalles movimientos'!N$5:N$1000, MATCH(32, 'Detalles movimientos'!$U$5:$U$1000, 0)), "")</f>
        <v/>
      </c>
      <c r="M41" s="18" t="str">
        <f>IFERROR(INDEX('Detalles movimientos'!Q$5:Q$1000, MATCH(32, 'Detalles movimientos'!$U$5:$U$1000, 0)), "")</f>
        <v/>
      </c>
    </row>
    <row r="42" spans="2:13">
      <c r="B42" s="17" t="str">
        <f>IFERROR(INDEX('Detalles movimientos'!C$5:C$1000, MATCH(33, 'Detalles movimientos'!$U$5:$U$1000, 0)), "")</f>
        <v/>
      </c>
      <c r="C42" s="18" t="str">
        <f>IFERROR(INDEX('Detalles movimientos'!D$5:D$1000, MATCH(33, 'Detalles movimientos'!$U$5:$U$1000, 0)), "")</f>
        <v/>
      </c>
      <c r="D42" s="19" t="str">
        <f>IFERROR(INDEX('Detalles movimientos'!E$5:E$1000, MATCH(33, 'Detalles movimientos'!$U$5:$U$1000, 0)), "")</f>
        <v/>
      </c>
      <c r="E42" s="19" t="str">
        <f>IFERROR(INDEX('Detalles movimientos'!F$5:F$1000, MATCH(33, 'Detalles movimientos'!$U$5:$U$1000, 0)), "")</f>
        <v/>
      </c>
      <c r="F42" s="18" t="str">
        <f>IFERROR(INDEX('Detalles movimientos'!G$5:G$1000, MATCH(33, 'Detalles movimientos'!$U$5:$U$1000, 0)), "")</f>
        <v/>
      </c>
      <c r="G42" s="20" t="str">
        <f>IFERROR(INDEX('Detalles movimientos'!H$5:H$1000, MATCH(33, 'Detalles movimientos'!$U$5:$U$1000, 0)), "")</f>
        <v/>
      </c>
      <c r="H42" s="21" t="str">
        <f>IFERROR(INDEX('Detalles movimientos'!I$5:I$1000, MATCH(33, 'Detalles movimientos'!$U$5:$U$1000, 0)), "")</f>
        <v/>
      </c>
      <c r="I42" s="20" t="str">
        <f>IFERROR(INDEX('Detalles movimientos'!K$5:K$1000, MATCH(33, 'Detalles movimientos'!$U$5:$U$1000, 0)), "")</f>
        <v/>
      </c>
      <c r="J42" s="19" t="str">
        <f>IFERROR(INDEX('Detalles movimientos'!L$5:L$1000, MATCH(33, 'Detalles movimientos'!$U$5:$U$1000, 0)), "")</f>
        <v/>
      </c>
      <c r="K42" s="20" t="str">
        <f>IFERROR(INDEX('Detalles movimientos'!M$5:M$1000, MATCH(33, 'Detalles movimientos'!$U$5:$U$1000, 0)), "")</f>
        <v/>
      </c>
      <c r="L42" s="18" t="str">
        <f>IFERROR(INDEX('Detalles movimientos'!N$5:N$1000, MATCH(33, 'Detalles movimientos'!$U$5:$U$1000, 0)), "")</f>
        <v/>
      </c>
      <c r="M42" s="18" t="str">
        <f>IFERROR(INDEX('Detalles movimientos'!Q$5:Q$1000, MATCH(33, 'Detalles movimientos'!$U$5:$U$1000, 0)), "")</f>
        <v/>
      </c>
    </row>
    <row r="43" spans="2:13">
      <c r="B43" s="17" t="str">
        <f>IFERROR(INDEX('Detalles movimientos'!C$5:C$1000, MATCH(34, 'Detalles movimientos'!$U$5:$U$1000, 0)), "")</f>
        <v/>
      </c>
      <c r="C43" s="18" t="str">
        <f>IFERROR(INDEX('Detalles movimientos'!D$5:D$1000, MATCH(34, 'Detalles movimientos'!$U$5:$U$1000, 0)), "")</f>
        <v/>
      </c>
      <c r="D43" s="19" t="str">
        <f>IFERROR(INDEX('Detalles movimientos'!E$5:E$1000, MATCH(34, 'Detalles movimientos'!$U$5:$U$1000, 0)), "")</f>
        <v/>
      </c>
      <c r="E43" s="19" t="str">
        <f>IFERROR(INDEX('Detalles movimientos'!F$5:F$1000, MATCH(34, 'Detalles movimientos'!$U$5:$U$1000, 0)), "")</f>
        <v/>
      </c>
      <c r="F43" s="18" t="str">
        <f>IFERROR(INDEX('Detalles movimientos'!G$5:G$1000, MATCH(34, 'Detalles movimientos'!$U$5:$U$1000, 0)), "")</f>
        <v/>
      </c>
      <c r="G43" s="20" t="str">
        <f>IFERROR(INDEX('Detalles movimientos'!H$5:H$1000, MATCH(34, 'Detalles movimientos'!$U$5:$U$1000, 0)), "")</f>
        <v/>
      </c>
      <c r="H43" s="21" t="str">
        <f>IFERROR(INDEX('Detalles movimientos'!I$5:I$1000, MATCH(34, 'Detalles movimientos'!$U$5:$U$1000, 0)), "")</f>
        <v/>
      </c>
      <c r="I43" s="20" t="str">
        <f>IFERROR(INDEX('Detalles movimientos'!K$5:K$1000, MATCH(34, 'Detalles movimientos'!$U$5:$U$1000, 0)), "")</f>
        <v/>
      </c>
      <c r="J43" s="19" t="str">
        <f>IFERROR(INDEX('Detalles movimientos'!L$5:L$1000, MATCH(34, 'Detalles movimientos'!$U$5:$U$1000, 0)), "")</f>
        <v/>
      </c>
      <c r="K43" s="20" t="str">
        <f>IFERROR(INDEX('Detalles movimientos'!M$5:M$1000, MATCH(34, 'Detalles movimientos'!$U$5:$U$1000, 0)), "")</f>
        <v/>
      </c>
      <c r="L43" s="18" t="str">
        <f>IFERROR(INDEX('Detalles movimientos'!N$5:N$1000, MATCH(34, 'Detalles movimientos'!$U$5:$U$1000, 0)), "")</f>
        <v/>
      </c>
      <c r="M43" s="18" t="str">
        <f>IFERROR(INDEX('Detalles movimientos'!Q$5:Q$1000, MATCH(34, 'Detalles movimientos'!$U$5:$U$1000, 0)), "")</f>
        <v/>
      </c>
    </row>
    <row r="44" spans="2:13">
      <c r="B44" s="17" t="str">
        <f>IFERROR(INDEX('Detalles movimientos'!C$5:C$1000, MATCH(35, 'Detalles movimientos'!$U$5:$U$1000, 0)), "")</f>
        <v/>
      </c>
      <c r="C44" s="18" t="str">
        <f>IFERROR(INDEX('Detalles movimientos'!D$5:D$1000, MATCH(35, 'Detalles movimientos'!$U$5:$U$1000, 0)), "")</f>
        <v/>
      </c>
      <c r="D44" s="19" t="str">
        <f>IFERROR(INDEX('Detalles movimientos'!E$5:E$1000, MATCH(35, 'Detalles movimientos'!$U$5:$U$1000, 0)), "")</f>
        <v/>
      </c>
      <c r="E44" s="19" t="str">
        <f>IFERROR(INDEX('Detalles movimientos'!F$5:F$1000, MATCH(35, 'Detalles movimientos'!$U$5:$U$1000, 0)), "")</f>
        <v/>
      </c>
      <c r="F44" s="18" t="str">
        <f>IFERROR(INDEX('Detalles movimientos'!G$5:G$1000, MATCH(35, 'Detalles movimientos'!$U$5:$U$1000, 0)), "")</f>
        <v/>
      </c>
      <c r="G44" s="20" t="str">
        <f>IFERROR(INDEX('Detalles movimientos'!H$5:H$1000, MATCH(35, 'Detalles movimientos'!$U$5:$U$1000, 0)), "")</f>
        <v/>
      </c>
      <c r="H44" s="21" t="str">
        <f>IFERROR(INDEX('Detalles movimientos'!I$5:I$1000, MATCH(35, 'Detalles movimientos'!$U$5:$U$1000, 0)), "")</f>
        <v/>
      </c>
      <c r="I44" s="20" t="str">
        <f>IFERROR(INDEX('Detalles movimientos'!K$5:K$1000, MATCH(35, 'Detalles movimientos'!$U$5:$U$1000, 0)), "")</f>
        <v/>
      </c>
      <c r="J44" s="19" t="str">
        <f>IFERROR(INDEX('Detalles movimientos'!L$5:L$1000, MATCH(35, 'Detalles movimientos'!$U$5:$U$1000, 0)), "")</f>
        <v/>
      </c>
      <c r="K44" s="20" t="str">
        <f>IFERROR(INDEX('Detalles movimientos'!M$5:M$1000, MATCH(35, 'Detalles movimientos'!$U$5:$U$1000, 0)), "")</f>
        <v/>
      </c>
      <c r="L44" s="18" t="str">
        <f>IFERROR(INDEX('Detalles movimientos'!N$5:N$1000, MATCH(35, 'Detalles movimientos'!$U$5:$U$1000, 0)), "")</f>
        <v/>
      </c>
      <c r="M44" s="18" t="str">
        <f>IFERROR(INDEX('Detalles movimientos'!Q$5:Q$1000, MATCH(35, 'Detalles movimientos'!$U$5:$U$1000, 0)), "")</f>
        <v/>
      </c>
    </row>
    <row r="45" spans="2:13">
      <c r="B45" s="17" t="str">
        <f>IFERROR(INDEX('Detalles movimientos'!C$5:C$1000, MATCH(36, 'Detalles movimientos'!$U$5:$U$1000, 0)), "")</f>
        <v/>
      </c>
      <c r="C45" s="18" t="str">
        <f>IFERROR(INDEX('Detalles movimientos'!D$5:D$1000, MATCH(36, 'Detalles movimientos'!$U$5:$U$1000, 0)), "")</f>
        <v/>
      </c>
      <c r="D45" s="19" t="str">
        <f>IFERROR(INDEX('Detalles movimientos'!E$5:E$1000, MATCH(36, 'Detalles movimientos'!$U$5:$U$1000, 0)), "")</f>
        <v/>
      </c>
      <c r="E45" s="19" t="str">
        <f>IFERROR(INDEX('Detalles movimientos'!F$5:F$1000, MATCH(36, 'Detalles movimientos'!$U$5:$U$1000, 0)), "")</f>
        <v/>
      </c>
      <c r="F45" s="18" t="str">
        <f>IFERROR(INDEX('Detalles movimientos'!G$5:G$1000, MATCH(36, 'Detalles movimientos'!$U$5:$U$1000, 0)), "")</f>
        <v/>
      </c>
      <c r="G45" s="20" t="str">
        <f>IFERROR(INDEX('Detalles movimientos'!H$5:H$1000, MATCH(36, 'Detalles movimientos'!$U$5:$U$1000, 0)), "")</f>
        <v/>
      </c>
      <c r="H45" s="21" t="str">
        <f>IFERROR(INDEX('Detalles movimientos'!I$5:I$1000, MATCH(36, 'Detalles movimientos'!$U$5:$U$1000, 0)), "")</f>
        <v/>
      </c>
      <c r="I45" s="20" t="str">
        <f>IFERROR(INDEX('Detalles movimientos'!K$5:K$1000, MATCH(36, 'Detalles movimientos'!$U$5:$U$1000, 0)), "")</f>
        <v/>
      </c>
      <c r="J45" s="19" t="str">
        <f>IFERROR(INDEX('Detalles movimientos'!L$5:L$1000, MATCH(36, 'Detalles movimientos'!$U$5:$U$1000, 0)), "")</f>
        <v/>
      </c>
      <c r="K45" s="20" t="str">
        <f>IFERROR(INDEX('Detalles movimientos'!M$5:M$1000, MATCH(36, 'Detalles movimientos'!$U$5:$U$1000, 0)), "")</f>
        <v/>
      </c>
      <c r="L45" s="18" t="str">
        <f>IFERROR(INDEX('Detalles movimientos'!N$5:N$1000, MATCH(36, 'Detalles movimientos'!$U$5:$U$1000, 0)), "")</f>
        <v/>
      </c>
      <c r="M45" s="18" t="str">
        <f>IFERROR(INDEX('Detalles movimientos'!Q$5:Q$1000, MATCH(36, 'Detalles movimientos'!$U$5:$U$1000, 0)), "")</f>
        <v/>
      </c>
    </row>
    <row r="46" spans="2:13">
      <c r="B46" s="17" t="str">
        <f>IFERROR(INDEX('Detalles movimientos'!C$5:C$1000, MATCH(37, 'Detalles movimientos'!$U$5:$U$1000, 0)), "")</f>
        <v/>
      </c>
      <c r="C46" s="18" t="str">
        <f>IFERROR(INDEX('Detalles movimientos'!D$5:D$1000, MATCH(37, 'Detalles movimientos'!$U$5:$U$1000, 0)), "")</f>
        <v/>
      </c>
      <c r="D46" s="19" t="str">
        <f>IFERROR(INDEX('Detalles movimientos'!E$5:E$1000, MATCH(37, 'Detalles movimientos'!$U$5:$U$1000, 0)), "")</f>
        <v/>
      </c>
      <c r="E46" s="19" t="str">
        <f>IFERROR(INDEX('Detalles movimientos'!F$5:F$1000, MATCH(37, 'Detalles movimientos'!$U$5:$U$1000, 0)), "")</f>
        <v/>
      </c>
      <c r="F46" s="18" t="str">
        <f>IFERROR(INDEX('Detalles movimientos'!G$5:G$1000, MATCH(37, 'Detalles movimientos'!$U$5:$U$1000, 0)), "")</f>
        <v/>
      </c>
      <c r="G46" s="20" t="str">
        <f>IFERROR(INDEX('Detalles movimientos'!H$5:H$1000, MATCH(37, 'Detalles movimientos'!$U$5:$U$1000, 0)), "")</f>
        <v/>
      </c>
      <c r="H46" s="21" t="str">
        <f>IFERROR(INDEX('Detalles movimientos'!I$5:I$1000, MATCH(37, 'Detalles movimientos'!$U$5:$U$1000, 0)), "")</f>
        <v/>
      </c>
      <c r="I46" s="20" t="str">
        <f>IFERROR(INDEX('Detalles movimientos'!K$5:K$1000, MATCH(37, 'Detalles movimientos'!$U$5:$U$1000, 0)), "")</f>
        <v/>
      </c>
      <c r="J46" s="19" t="str">
        <f>IFERROR(INDEX('Detalles movimientos'!L$5:L$1000, MATCH(37, 'Detalles movimientos'!$U$5:$U$1000, 0)), "")</f>
        <v/>
      </c>
      <c r="K46" s="20" t="str">
        <f>IFERROR(INDEX('Detalles movimientos'!M$5:M$1000, MATCH(37, 'Detalles movimientos'!$U$5:$U$1000, 0)), "")</f>
        <v/>
      </c>
      <c r="L46" s="18" t="str">
        <f>IFERROR(INDEX('Detalles movimientos'!N$5:N$1000, MATCH(37, 'Detalles movimientos'!$U$5:$U$1000, 0)), "")</f>
        <v/>
      </c>
      <c r="M46" s="18" t="str">
        <f>IFERROR(INDEX('Detalles movimientos'!Q$5:Q$1000, MATCH(37, 'Detalles movimientos'!$U$5:$U$1000, 0)), "")</f>
        <v/>
      </c>
    </row>
    <row r="47" spans="2:13">
      <c r="B47" s="17" t="str">
        <f>IFERROR(INDEX('Detalles movimientos'!C$5:C$1000, MATCH(38, 'Detalles movimientos'!$U$5:$U$1000, 0)), "")</f>
        <v/>
      </c>
      <c r="C47" s="18" t="str">
        <f>IFERROR(INDEX('Detalles movimientos'!D$5:D$1000, MATCH(38, 'Detalles movimientos'!$U$5:$U$1000, 0)), "")</f>
        <v/>
      </c>
      <c r="D47" s="19" t="str">
        <f>IFERROR(INDEX('Detalles movimientos'!E$5:E$1000, MATCH(38, 'Detalles movimientos'!$U$5:$U$1000, 0)), "")</f>
        <v/>
      </c>
      <c r="E47" s="19" t="str">
        <f>IFERROR(INDEX('Detalles movimientos'!F$5:F$1000, MATCH(38, 'Detalles movimientos'!$U$5:$U$1000, 0)), "")</f>
        <v/>
      </c>
      <c r="F47" s="18" t="str">
        <f>IFERROR(INDEX('Detalles movimientos'!G$5:G$1000, MATCH(38, 'Detalles movimientos'!$U$5:$U$1000, 0)), "")</f>
        <v/>
      </c>
      <c r="G47" s="20" t="str">
        <f>IFERROR(INDEX('Detalles movimientos'!H$5:H$1000, MATCH(38, 'Detalles movimientos'!$U$5:$U$1000, 0)), "")</f>
        <v/>
      </c>
      <c r="H47" s="21" t="str">
        <f>IFERROR(INDEX('Detalles movimientos'!I$5:I$1000, MATCH(38, 'Detalles movimientos'!$U$5:$U$1000, 0)), "")</f>
        <v/>
      </c>
      <c r="I47" s="20" t="str">
        <f>IFERROR(INDEX('Detalles movimientos'!K$5:K$1000, MATCH(38, 'Detalles movimientos'!$U$5:$U$1000, 0)), "")</f>
        <v/>
      </c>
      <c r="J47" s="19" t="str">
        <f>IFERROR(INDEX('Detalles movimientos'!L$5:L$1000, MATCH(38, 'Detalles movimientos'!$U$5:$U$1000, 0)), "")</f>
        <v/>
      </c>
      <c r="K47" s="20" t="str">
        <f>IFERROR(INDEX('Detalles movimientos'!M$5:M$1000, MATCH(38, 'Detalles movimientos'!$U$5:$U$1000, 0)), "")</f>
        <v/>
      </c>
      <c r="L47" s="18" t="str">
        <f>IFERROR(INDEX('Detalles movimientos'!N$5:N$1000, MATCH(38, 'Detalles movimientos'!$U$5:$U$1000, 0)), "")</f>
        <v/>
      </c>
      <c r="M47" s="18" t="str">
        <f>IFERROR(INDEX('Detalles movimientos'!Q$5:Q$1000, MATCH(38, 'Detalles movimientos'!$U$5:$U$1000, 0)), "")</f>
        <v/>
      </c>
    </row>
    <row r="48" spans="2:13">
      <c r="B48" s="17" t="str">
        <f>IFERROR(INDEX('Detalles movimientos'!C$5:C$1000, MATCH(39, 'Detalles movimientos'!$U$5:$U$1000, 0)), "")</f>
        <v/>
      </c>
      <c r="C48" s="18" t="str">
        <f>IFERROR(INDEX('Detalles movimientos'!D$5:D$1000, MATCH(39, 'Detalles movimientos'!$U$5:$U$1000, 0)), "")</f>
        <v/>
      </c>
      <c r="D48" s="19" t="str">
        <f>IFERROR(INDEX('Detalles movimientos'!E$5:E$1000, MATCH(39, 'Detalles movimientos'!$U$5:$U$1000, 0)), "")</f>
        <v/>
      </c>
      <c r="E48" s="19" t="str">
        <f>IFERROR(INDEX('Detalles movimientos'!F$5:F$1000, MATCH(39, 'Detalles movimientos'!$U$5:$U$1000, 0)), "")</f>
        <v/>
      </c>
      <c r="F48" s="18" t="str">
        <f>IFERROR(INDEX('Detalles movimientos'!G$5:G$1000, MATCH(39, 'Detalles movimientos'!$U$5:$U$1000, 0)), "")</f>
        <v/>
      </c>
      <c r="G48" s="20" t="str">
        <f>IFERROR(INDEX('Detalles movimientos'!H$5:H$1000, MATCH(39, 'Detalles movimientos'!$U$5:$U$1000, 0)), "")</f>
        <v/>
      </c>
      <c r="H48" s="21" t="str">
        <f>IFERROR(INDEX('Detalles movimientos'!I$5:I$1000, MATCH(39, 'Detalles movimientos'!$U$5:$U$1000, 0)), "")</f>
        <v/>
      </c>
      <c r="I48" s="20" t="str">
        <f>IFERROR(INDEX('Detalles movimientos'!K$5:K$1000, MATCH(39, 'Detalles movimientos'!$U$5:$U$1000, 0)), "")</f>
        <v/>
      </c>
      <c r="J48" s="19" t="str">
        <f>IFERROR(INDEX('Detalles movimientos'!L$5:L$1000, MATCH(39, 'Detalles movimientos'!$U$5:$U$1000, 0)), "")</f>
        <v/>
      </c>
      <c r="K48" s="20" t="str">
        <f>IFERROR(INDEX('Detalles movimientos'!M$5:M$1000, MATCH(39, 'Detalles movimientos'!$U$5:$U$1000, 0)), "")</f>
        <v/>
      </c>
      <c r="L48" s="18" t="str">
        <f>IFERROR(INDEX('Detalles movimientos'!N$5:N$1000, MATCH(39, 'Detalles movimientos'!$U$5:$U$1000, 0)), "")</f>
        <v/>
      </c>
      <c r="M48" s="18" t="str">
        <f>IFERROR(INDEX('Detalles movimientos'!Q$5:Q$1000, MATCH(39, 'Detalles movimientos'!$U$5:$U$1000, 0)), "")</f>
        <v/>
      </c>
    </row>
    <row r="49" spans="2:13">
      <c r="B49" s="17" t="str">
        <f>IFERROR(INDEX('Detalles movimientos'!C$5:C$1000, MATCH(40, 'Detalles movimientos'!$U$5:$U$1000, 0)), "")</f>
        <v/>
      </c>
      <c r="C49" s="18" t="str">
        <f>IFERROR(INDEX('Detalles movimientos'!D$5:D$1000, MATCH(40, 'Detalles movimientos'!$U$5:$U$1000, 0)), "")</f>
        <v/>
      </c>
      <c r="D49" s="19" t="str">
        <f>IFERROR(INDEX('Detalles movimientos'!E$5:E$1000, MATCH(40, 'Detalles movimientos'!$U$5:$U$1000, 0)), "")</f>
        <v/>
      </c>
      <c r="E49" s="19" t="str">
        <f>IFERROR(INDEX('Detalles movimientos'!F$5:F$1000, MATCH(40, 'Detalles movimientos'!$U$5:$U$1000, 0)), "")</f>
        <v/>
      </c>
      <c r="F49" s="18" t="str">
        <f>IFERROR(INDEX('Detalles movimientos'!G$5:G$1000, MATCH(40, 'Detalles movimientos'!$U$5:$U$1000, 0)), "")</f>
        <v/>
      </c>
      <c r="G49" s="20" t="str">
        <f>IFERROR(INDEX('Detalles movimientos'!H$5:H$1000, MATCH(40, 'Detalles movimientos'!$U$5:$U$1000, 0)), "")</f>
        <v/>
      </c>
      <c r="H49" s="21" t="str">
        <f>IFERROR(INDEX('Detalles movimientos'!I$5:I$1000, MATCH(40, 'Detalles movimientos'!$U$5:$U$1000, 0)), "")</f>
        <v/>
      </c>
      <c r="I49" s="20" t="str">
        <f>IFERROR(INDEX('Detalles movimientos'!K$5:K$1000, MATCH(40, 'Detalles movimientos'!$U$5:$U$1000, 0)), "")</f>
        <v/>
      </c>
      <c r="J49" s="19" t="str">
        <f>IFERROR(INDEX('Detalles movimientos'!L$5:L$1000, MATCH(40, 'Detalles movimientos'!$U$5:$U$1000, 0)), "")</f>
        <v/>
      </c>
      <c r="K49" s="20" t="str">
        <f>IFERROR(INDEX('Detalles movimientos'!M$5:M$1000, MATCH(40, 'Detalles movimientos'!$U$5:$U$1000, 0)), "")</f>
        <v/>
      </c>
      <c r="L49" s="18" t="str">
        <f>IFERROR(INDEX('Detalles movimientos'!N$5:N$1000, MATCH(40, 'Detalles movimientos'!$U$5:$U$1000, 0)), "")</f>
        <v/>
      </c>
      <c r="M49" s="18" t="str">
        <f>IFERROR(INDEX('Detalles movimientos'!Q$5:Q$1000, MATCH(40, 'Detalles movimientos'!$U$5:$U$1000, 0)), "")</f>
        <v/>
      </c>
    </row>
    <row r="50" spans="2:13">
      <c r="B50" s="17" t="str">
        <f>IFERROR(INDEX('Detalles movimientos'!C$5:C$1000, MATCH(41, 'Detalles movimientos'!$U$5:$U$1000, 0)), "")</f>
        <v/>
      </c>
      <c r="C50" s="18" t="str">
        <f>IFERROR(INDEX('Detalles movimientos'!D$5:D$1000, MATCH(41, 'Detalles movimientos'!$U$5:$U$1000, 0)), "")</f>
        <v/>
      </c>
      <c r="D50" s="19" t="str">
        <f>IFERROR(INDEX('Detalles movimientos'!E$5:E$1000, MATCH(41, 'Detalles movimientos'!$U$5:$U$1000, 0)), "")</f>
        <v/>
      </c>
      <c r="E50" s="19" t="str">
        <f>IFERROR(INDEX('Detalles movimientos'!F$5:F$1000, MATCH(41, 'Detalles movimientos'!$U$5:$U$1000, 0)), "")</f>
        <v/>
      </c>
      <c r="F50" s="18" t="str">
        <f>IFERROR(INDEX('Detalles movimientos'!G$5:G$1000, MATCH(41, 'Detalles movimientos'!$U$5:$U$1000, 0)), "")</f>
        <v/>
      </c>
      <c r="G50" s="20" t="str">
        <f>IFERROR(INDEX('Detalles movimientos'!H$5:H$1000, MATCH(41, 'Detalles movimientos'!$U$5:$U$1000, 0)), "")</f>
        <v/>
      </c>
      <c r="H50" s="21" t="str">
        <f>IFERROR(INDEX('Detalles movimientos'!I$5:I$1000, MATCH(41, 'Detalles movimientos'!$U$5:$U$1000, 0)), "")</f>
        <v/>
      </c>
      <c r="I50" s="20" t="str">
        <f>IFERROR(INDEX('Detalles movimientos'!K$5:K$1000, MATCH(41, 'Detalles movimientos'!$U$5:$U$1000, 0)), "")</f>
        <v/>
      </c>
      <c r="J50" s="19" t="str">
        <f>IFERROR(INDEX('Detalles movimientos'!L$5:L$1000, MATCH(41, 'Detalles movimientos'!$U$5:$U$1000, 0)), "")</f>
        <v/>
      </c>
      <c r="K50" s="20" t="str">
        <f>IFERROR(INDEX('Detalles movimientos'!M$5:M$1000, MATCH(41, 'Detalles movimientos'!$U$5:$U$1000, 0)), "")</f>
        <v/>
      </c>
      <c r="L50" s="18" t="str">
        <f>IFERROR(INDEX('Detalles movimientos'!N$5:N$1000, MATCH(41, 'Detalles movimientos'!$U$5:$U$1000, 0)), "")</f>
        <v/>
      </c>
      <c r="M50" s="18" t="str">
        <f>IFERROR(INDEX('Detalles movimientos'!Q$5:Q$1000, MATCH(41, 'Detalles movimientos'!$U$5:$U$1000, 0)), "")</f>
        <v/>
      </c>
    </row>
    <row r="51" spans="2:13">
      <c r="B51" s="17" t="str">
        <f>IFERROR(INDEX('Detalles movimientos'!C$5:C$1000, MATCH(42, 'Detalles movimientos'!$U$5:$U$1000, 0)), "")</f>
        <v/>
      </c>
      <c r="C51" s="18" t="str">
        <f>IFERROR(INDEX('Detalles movimientos'!D$5:D$1000, MATCH(42, 'Detalles movimientos'!$U$5:$U$1000, 0)), "")</f>
        <v/>
      </c>
      <c r="D51" s="19" t="str">
        <f>IFERROR(INDEX('Detalles movimientos'!E$5:E$1000, MATCH(42, 'Detalles movimientos'!$U$5:$U$1000, 0)), "")</f>
        <v/>
      </c>
      <c r="E51" s="19" t="str">
        <f>IFERROR(INDEX('Detalles movimientos'!F$5:F$1000, MATCH(42, 'Detalles movimientos'!$U$5:$U$1000, 0)), "")</f>
        <v/>
      </c>
      <c r="F51" s="18" t="str">
        <f>IFERROR(INDEX('Detalles movimientos'!G$5:G$1000, MATCH(42, 'Detalles movimientos'!$U$5:$U$1000, 0)), "")</f>
        <v/>
      </c>
      <c r="G51" s="20" t="str">
        <f>IFERROR(INDEX('Detalles movimientos'!H$5:H$1000, MATCH(42, 'Detalles movimientos'!$U$5:$U$1000, 0)), "")</f>
        <v/>
      </c>
      <c r="H51" s="21" t="str">
        <f>IFERROR(INDEX('Detalles movimientos'!I$5:I$1000, MATCH(42, 'Detalles movimientos'!$U$5:$U$1000, 0)), "")</f>
        <v/>
      </c>
      <c r="I51" s="20" t="str">
        <f>IFERROR(INDEX('Detalles movimientos'!K$5:K$1000, MATCH(42, 'Detalles movimientos'!$U$5:$U$1000, 0)), "")</f>
        <v/>
      </c>
      <c r="J51" s="19" t="str">
        <f>IFERROR(INDEX('Detalles movimientos'!L$5:L$1000, MATCH(42, 'Detalles movimientos'!$U$5:$U$1000, 0)), "")</f>
        <v/>
      </c>
      <c r="K51" s="20" t="str">
        <f>IFERROR(INDEX('Detalles movimientos'!M$5:M$1000, MATCH(42, 'Detalles movimientos'!$U$5:$U$1000, 0)), "")</f>
        <v/>
      </c>
      <c r="L51" s="18" t="str">
        <f>IFERROR(INDEX('Detalles movimientos'!N$5:N$1000, MATCH(42, 'Detalles movimientos'!$U$5:$U$1000, 0)), "")</f>
        <v/>
      </c>
      <c r="M51" s="18" t="str">
        <f>IFERROR(INDEX('Detalles movimientos'!Q$5:Q$1000, MATCH(42, 'Detalles movimientos'!$U$5:$U$1000, 0)), "")</f>
        <v/>
      </c>
    </row>
    <row r="52" spans="2:13">
      <c r="B52" s="17" t="str">
        <f>IFERROR(INDEX('Detalles movimientos'!C$5:C$1000, MATCH(43, 'Detalles movimientos'!$U$5:$U$1000, 0)), "")</f>
        <v/>
      </c>
      <c r="C52" s="18" t="str">
        <f>IFERROR(INDEX('Detalles movimientos'!D$5:D$1000, MATCH(43, 'Detalles movimientos'!$U$5:$U$1000, 0)), "")</f>
        <v/>
      </c>
      <c r="D52" s="19" t="str">
        <f>IFERROR(INDEX('Detalles movimientos'!E$5:E$1000, MATCH(43, 'Detalles movimientos'!$U$5:$U$1000, 0)), "")</f>
        <v/>
      </c>
      <c r="E52" s="19" t="str">
        <f>IFERROR(INDEX('Detalles movimientos'!F$5:F$1000, MATCH(43, 'Detalles movimientos'!$U$5:$U$1000, 0)), "")</f>
        <v/>
      </c>
      <c r="F52" s="18" t="str">
        <f>IFERROR(INDEX('Detalles movimientos'!G$5:G$1000, MATCH(43, 'Detalles movimientos'!$U$5:$U$1000, 0)), "")</f>
        <v/>
      </c>
      <c r="G52" s="20" t="str">
        <f>IFERROR(INDEX('Detalles movimientos'!H$5:H$1000, MATCH(43, 'Detalles movimientos'!$U$5:$U$1000, 0)), "")</f>
        <v/>
      </c>
      <c r="H52" s="21" t="str">
        <f>IFERROR(INDEX('Detalles movimientos'!I$5:I$1000, MATCH(43, 'Detalles movimientos'!$U$5:$U$1000, 0)), "")</f>
        <v/>
      </c>
      <c r="I52" s="20" t="str">
        <f>IFERROR(INDEX('Detalles movimientos'!K$5:K$1000, MATCH(43, 'Detalles movimientos'!$U$5:$U$1000, 0)), "")</f>
        <v/>
      </c>
      <c r="J52" s="19" t="str">
        <f>IFERROR(INDEX('Detalles movimientos'!L$5:L$1000, MATCH(43, 'Detalles movimientos'!$U$5:$U$1000, 0)), "")</f>
        <v/>
      </c>
      <c r="K52" s="20" t="str">
        <f>IFERROR(INDEX('Detalles movimientos'!M$5:M$1000, MATCH(43, 'Detalles movimientos'!$U$5:$U$1000, 0)), "")</f>
        <v/>
      </c>
      <c r="L52" s="18" t="str">
        <f>IFERROR(INDEX('Detalles movimientos'!N$5:N$1000, MATCH(43, 'Detalles movimientos'!$U$5:$U$1000, 0)), "")</f>
        <v/>
      </c>
      <c r="M52" s="18" t="str">
        <f>IFERROR(INDEX('Detalles movimientos'!Q$5:Q$1000, MATCH(43, 'Detalles movimientos'!$U$5:$U$1000, 0)), "")</f>
        <v/>
      </c>
    </row>
    <row r="53" spans="2:13">
      <c r="B53" s="17" t="str">
        <f>IFERROR(INDEX('Detalles movimientos'!C$5:C$1000, MATCH(44, 'Detalles movimientos'!$U$5:$U$1000, 0)), "")</f>
        <v/>
      </c>
      <c r="C53" s="18" t="str">
        <f>IFERROR(INDEX('Detalles movimientos'!D$5:D$1000, MATCH(44, 'Detalles movimientos'!$U$5:$U$1000, 0)), "")</f>
        <v/>
      </c>
      <c r="D53" s="19" t="str">
        <f>IFERROR(INDEX('Detalles movimientos'!E$5:E$1000, MATCH(44, 'Detalles movimientos'!$U$5:$U$1000, 0)), "")</f>
        <v/>
      </c>
      <c r="E53" s="19" t="str">
        <f>IFERROR(INDEX('Detalles movimientos'!F$5:F$1000, MATCH(44, 'Detalles movimientos'!$U$5:$U$1000, 0)), "")</f>
        <v/>
      </c>
      <c r="F53" s="18" t="str">
        <f>IFERROR(INDEX('Detalles movimientos'!G$5:G$1000, MATCH(44, 'Detalles movimientos'!$U$5:$U$1000, 0)), "")</f>
        <v/>
      </c>
      <c r="G53" s="20" t="str">
        <f>IFERROR(INDEX('Detalles movimientos'!H$5:H$1000, MATCH(44, 'Detalles movimientos'!$U$5:$U$1000, 0)), "")</f>
        <v/>
      </c>
      <c r="H53" s="21" t="str">
        <f>IFERROR(INDEX('Detalles movimientos'!I$5:I$1000, MATCH(44, 'Detalles movimientos'!$U$5:$U$1000, 0)), "")</f>
        <v/>
      </c>
      <c r="I53" s="20" t="str">
        <f>IFERROR(INDEX('Detalles movimientos'!K$5:K$1000, MATCH(44, 'Detalles movimientos'!$U$5:$U$1000, 0)), "")</f>
        <v/>
      </c>
      <c r="J53" s="19" t="str">
        <f>IFERROR(INDEX('Detalles movimientos'!L$5:L$1000, MATCH(44, 'Detalles movimientos'!$U$5:$U$1000, 0)), "")</f>
        <v/>
      </c>
      <c r="K53" s="20" t="str">
        <f>IFERROR(INDEX('Detalles movimientos'!M$5:M$1000, MATCH(44, 'Detalles movimientos'!$U$5:$U$1000, 0)), "")</f>
        <v/>
      </c>
      <c r="L53" s="18" t="str">
        <f>IFERROR(INDEX('Detalles movimientos'!N$5:N$1000, MATCH(44, 'Detalles movimientos'!$U$5:$U$1000, 0)), "")</f>
        <v/>
      </c>
      <c r="M53" s="18" t="str">
        <f>IFERROR(INDEX('Detalles movimientos'!Q$5:Q$1000, MATCH(44, 'Detalles movimientos'!$U$5:$U$1000, 0)), "")</f>
        <v/>
      </c>
    </row>
    <row r="54" spans="2:13">
      <c r="B54" s="17" t="str">
        <f>IFERROR(INDEX('Detalles movimientos'!C$5:C$1000, MATCH(45, 'Detalles movimientos'!$U$5:$U$1000, 0)), "")</f>
        <v/>
      </c>
      <c r="C54" s="18" t="str">
        <f>IFERROR(INDEX('Detalles movimientos'!D$5:D$1000, MATCH(45, 'Detalles movimientos'!$U$5:$U$1000, 0)), "")</f>
        <v/>
      </c>
      <c r="D54" s="19" t="str">
        <f>IFERROR(INDEX('Detalles movimientos'!E$5:E$1000, MATCH(45, 'Detalles movimientos'!$U$5:$U$1000, 0)), "")</f>
        <v/>
      </c>
      <c r="E54" s="19" t="str">
        <f>IFERROR(INDEX('Detalles movimientos'!F$5:F$1000, MATCH(45, 'Detalles movimientos'!$U$5:$U$1000, 0)), "")</f>
        <v/>
      </c>
      <c r="F54" s="18" t="str">
        <f>IFERROR(INDEX('Detalles movimientos'!G$5:G$1000, MATCH(45, 'Detalles movimientos'!$U$5:$U$1000, 0)), "")</f>
        <v/>
      </c>
      <c r="G54" s="20" t="str">
        <f>IFERROR(INDEX('Detalles movimientos'!H$5:H$1000, MATCH(45, 'Detalles movimientos'!$U$5:$U$1000, 0)), "")</f>
        <v/>
      </c>
      <c r="H54" s="21" t="str">
        <f>IFERROR(INDEX('Detalles movimientos'!I$5:I$1000, MATCH(45, 'Detalles movimientos'!$U$5:$U$1000, 0)), "")</f>
        <v/>
      </c>
      <c r="I54" s="20" t="str">
        <f>IFERROR(INDEX('Detalles movimientos'!K$5:K$1000, MATCH(45, 'Detalles movimientos'!$U$5:$U$1000, 0)), "")</f>
        <v/>
      </c>
      <c r="J54" s="19" t="str">
        <f>IFERROR(INDEX('Detalles movimientos'!L$5:L$1000, MATCH(45, 'Detalles movimientos'!$U$5:$U$1000, 0)), "")</f>
        <v/>
      </c>
      <c r="K54" s="20" t="str">
        <f>IFERROR(INDEX('Detalles movimientos'!M$5:M$1000, MATCH(45, 'Detalles movimientos'!$U$5:$U$1000, 0)), "")</f>
        <v/>
      </c>
      <c r="L54" s="18" t="str">
        <f>IFERROR(INDEX('Detalles movimientos'!N$5:N$1000, MATCH(45, 'Detalles movimientos'!$U$5:$U$1000, 0)), "")</f>
        <v/>
      </c>
      <c r="M54" s="18" t="str">
        <f>IFERROR(INDEX('Detalles movimientos'!Q$5:Q$1000, MATCH(45, 'Detalles movimientos'!$U$5:$U$1000, 0)), "")</f>
        <v/>
      </c>
    </row>
    <row r="55" spans="2:13">
      <c r="B55" s="17" t="str">
        <f>IFERROR(INDEX('Detalles movimientos'!C$5:C$1000, MATCH(46, 'Detalles movimientos'!$U$5:$U$1000, 0)), "")</f>
        <v/>
      </c>
      <c r="C55" s="18" t="str">
        <f>IFERROR(INDEX('Detalles movimientos'!D$5:D$1000, MATCH(46, 'Detalles movimientos'!$U$5:$U$1000, 0)), "")</f>
        <v/>
      </c>
      <c r="D55" s="19" t="str">
        <f>IFERROR(INDEX('Detalles movimientos'!E$5:E$1000, MATCH(46, 'Detalles movimientos'!$U$5:$U$1000, 0)), "")</f>
        <v/>
      </c>
      <c r="E55" s="19" t="str">
        <f>IFERROR(INDEX('Detalles movimientos'!F$5:F$1000, MATCH(46, 'Detalles movimientos'!$U$5:$U$1000, 0)), "")</f>
        <v/>
      </c>
      <c r="F55" s="18" t="str">
        <f>IFERROR(INDEX('Detalles movimientos'!G$5:G$1000, MATCH(46, 'Detalles movimientos'!$U$5:$U$1000, 0)), "")</f>
        <v/>
      </c>
      <c r="G55" s="20" t="str">
        <f>IFERROR(INDEX('Detalles movimientos'!H$5:H$1000, MATCH(46, 'Detalles movimientos'!$U$5:$U$1000, 0)), "")</f>
        <v/>
      </c>
      <c r="H55" s="21" t="str">
        <f>IFERROR(INDEX('Detalles movimientos'!I$5:I$1000, MATCH(46, 'Detalles movimientos'!$U$5:$U$1000, 0)), "")</f>
        <v/>
      </c>
      <c r="I55" s="20" t="str">
        <f>IFERROR(INDEX('Detalles movimientos'!K$5:K$1000, MATCH(46, 'Detalles movimientos'!$U$5:$U$1000, 0)), "")</f>
        <v/>
      </c>
      <c r="J55" s="19" t="str">
        <f>IFERROR(INDEX('Detalles movimientos'!L$5:L$1000, MATCH(46, 'Detalles movimientos'!$U$5:$U$1000, 0)), "")</f>
        <v/>
      </c>
      <c r="K55" s="20" t="str">
        <f>IFERROR(INDEX('Detalles movimientos'!M$5:M$1000, MATCH(46, 'Detalles movimientos'!$U$5:$U$1000, 0)), "")</f>
        <v/>
      </c>
      <c r="L55" s="18" t="str">
        <f>IFERROR(INDEX('Detalles movimientos'!N$5:N$1000, MATCH(46, 'Detalles movimientos'!$U$5:$U$1000, 0)), "")</f>
        <v/>
      </c>
      <c r="M55" s="18" t="str">
        <f>IFERROR(INDEX('Detalles movimientos'!Q$5:Q$1000, MATCH(46, 'Detalles movimientos'!$U$5:$U$1000, 0)), "")</f>
        <v/>
      </c>
    </row>
    <row r="56" spans="2:13">
      <c r="B56" s="17" t="str">
        <f>IFERROR(INDEX('Detalles movimientos'!C$5:C$1000, MATCH(47, 'Detalles movimientos'!$U$5:$U$1000, 0)), "")</f>
        <v/>
      </c>
      <c r="C56" s="18" t="str">
        <f>IFERROR(INDEX('Detalles movimientos'!D$5:D$1000, MATCH(47, 'Detalles movimientos'!$U$5:$U$1000, 0)), "")</f>
        <v/>
      </c>
      <c r="D56" s="19" t="str">
        <f>IFERROR(INDEX('Detalles movimientos'!E$5:E$1000, MATCH(47, 'Detalles movimientos'!$U$5:$U$1000, 0)), "")</f>
        <v/>
      </c>
      <c r="E56" s="19" t="str">
        <f>IFERROR(INDEX('Detalles movimientos'!F$5:F$1000, MATCH(47, 'Detalles movimientos'!$U$5:$U$1000, 0)), "")</f>
        <v/>
      </c>
      <c r="F56" s="18" t="str">
        <f>IFERROR(INDEX('Detalles movimientos'!G$5:G$1000, MATCH(47, 'Detalles movimientos'!$U$5:$U$1000, 0)), "")</f>
        <v/>
      </c>
      <c r="G56" s="20" t="str">
        <f>IFERROR(INDEX('Detalles movimientos'!H$5:H$1000, MATCH(47, 'Detalles movimientos'!$U$5:$U$1000, 0)), "")</f>
        <v/>
      </c>
      <c r="H56" s="21" t="str">
        <f>IFERROR(INDEX('Detalles movimientos'!I$5:I$1000, MATCH(47, 'Detalles movimientos'!$U$5:$U$1000, 0)), "")</f>
        <v/>
      </c>
      <c r="I56" s="20" t="str">
        <f>IFERROR(INDEX('Detalles movimientos'!K$5:K$1000, MATCH(47, 'Detalles movimientos'!$U$5:$U$1000, 0)), "")</f>
        <v/>
      </c>
      <c r="J56" s="19" t="str">
        <f>IFERROR(INDEX('Detalles movimientos'!L$5:L$1000, MATCH(47, 'Detalles movimientos'!$U$5:$U$1000, 0)), "")</f>
        <v/>
      </c>
      <c r="K56" s="20" t="str">
        <f>IFERROR(INDEX('Detalles movimientos'!M$5:M$1000, MATCH(47, 'Detalles movimientos'!$U$5:$U$1000, 0)), "")</f>
        <v/>
      </c>
      <c r="L56" s="18" t="str">
        <f>IFERROR(INDEX('Detalles movimientos'!N$5:N$1000, MATCH(47, 'Detalles movimientos'!$U$5:$U$1000, 0)), "")</f>
        <v/>
      </c>
      <c r="M56" s="18" t="str">
        <f>IFERROR(INDEX('Detalles movimientos'!Q$5:Q$1000, MATCH(47, 'Detalles movimientos'!$U$5:$U$1000, 0)), "")</f>
        <v/>
      </c>
    </row>
    <row r="57" spans="2:13">
      <c r="B57" s="17" t="str">
        <f>IFERROR(INDEX('Detalles movimientos'!C$5:C$1000, MATCH(48, 'Detalles movimientos'!$U$5:$U$1000, 0)), "")</f>
        <v/>
      </c>
      <c r="C57" s="18" t="str">
        <f>IFERROR(INDEX('Detalles movimientos'!D$5:D$1000, MATCH(48, 'Detalles movimientos'!$U$5:$U$1000, 0)), "")</f>
        <v/>
      </c>
      <c r="D57" s="19" t="str">
        <f>IFERROR(INDEX('Detalles movimientos'!E$5:E$1000, MATCH(48, 'Detalles movimientos'!$U$5:$U$1000, 0)), "")</f>
        <v/>
      </c>
      <c r="E57" s="19" t="str">
        <f>IFERROR(INDEX('Detalles movimientos'!F$5:F$1000, MATCH(48, 'Detalles movimientos'!$U$5:$U$1000, 0)), "")</f>
        <v/>
      </c>
      <c r="F57" s="18" t="str">
        <f>IFERROR(INDEX('Detalles movimientos'!G$5:G$1000, MATCH(48, 'Detalles movimientos'!$U$5:$U$1000, 0)), "")</f>
        <v/>
      </c>
      <c r="G57" s="20" t="str">
        <f>IFERROR(INDEX('Detalles movimientos'!H$5:H$1000, MATCH(48, 'Detalles movimientos'!$U$5:$U$1000, 0)), "")</f>
        <v/>
      </c>
      <c r="H57" s="21" t="str">
        <f>IFERROR(INDEX('Detalles movimientos'!I$5:I$1000, MATCH(48, 'Detalles movimientos'!$U$5:$U$1000, 0)), "")</f>
        <v/>
      </c>
      <c r="I57" s="20" t="str">
        <f>IFERROR(INDEX('Detalles movimientos'!K$5:K$1000, MATCH(48, 'Detalles movimientos'!$U$5:$U$1000, 0)), "")</f>
        <v/>
      </c>
      <c r="J57" s="19" t="str">
        <f>IFERROR(INDEX('Detalles movimientos'!L$5:L$1000, MATCH(48, 'Detalles movimientos'!$U$5:$U$1000, 0)), "")</f>
        <v/>
      </c>
      <c r="K57" s="20" t="str">
        <f>IFERROR(INDEX('Detalles movimientos'!M$5:M$1000, MATCH(48, 'Detalles movimientos'!$U$5:$U$1000, 0)), "")</f>
        <v/>
      </c>
      <c r="L57" s="18" t="str">
        <f>IFERROR(INDEX('Detalles movimientos'!N$5:N$1000, MATCH(48, 'Detalles movimientos'!$U$5:$U$1000, 0)), "")</f>
        <v/>
      </c>
      <c r="M57" s="18" t="str">
        <f>IFERROR(INDEX('Detalles movimientos'!Q$5:Q$1000, MATCH(48, 'Detalles movimientos'!$U$5:$U$1000, 0)), "")</f>
        <v/>
      </c>
    </row>
    <row r="58" spans="2:13">
      <c r="B58" s="17" t="str">
        <f>IFERROR(INDEX('Detalles movimientos'!C$5:C$1000, MATCH(49, 'Detalles movimientos'!$U$5:$U$1000, 0)), "")</f>
        <v/>
      </c>
      <c r="C58" s="18" t="str">
        <f>IFERROR(INDEX('Detalles movimientos'!D$5:D$1000, MATCH(49, 'Detalles movimientos'!$U$5:$U$1000, 0)), "")</f>
        <v/>
      </c>
      <c r="D58" s="19" t="str">
        <f>IFERROR(INDEX('Detalles movimientos'!E$5:E$1000, MATCH(49, 'Detalles movimientos'!$U$5:$U$1000, 0)), "")</f>
        <v/>
      </c>
      <c r="E58" s="19" t="str">
        <f>IFERROR(INDEX('Detalles movimientos'!F$5:F$1000, MATCH(49, 'Detalles movimientos'!$U$5:$U$1000, 0)), "")</f>
        <v/>
      </c>
      <c r="F58" s="18" t="str">
        <f>IFERROR(INDEX('Detalles movimientos'!G$5:G$1000, MATCH(49, 'Detalles movimientos'!$U$5:$U$1000, 0)), "")</f>
        <v/>
      </c>
      <c r="G58" s="20" t="str">
        <f>IFERROR(INDEX('Detalles movimientos'!H$5:H$1000, MATCH(49, 'Detalles movimientos'!$U$5:$U$1000, 0)), "")</f>
        <v/>
      </c>
      <c r="H58" s="21" t="str">
        <f>IFERROR(INDEX('Detalles movimientos'!I$5:I$1000, MATCH(49, 'Detalles movimientos'!$U$5:$U$1000, 0)), "")</f>
        <v/>
      </c>
      <c r="I58" s="20" t="str">
        <f>IFERROR(INDEX('Detalles movimientos'!K$5:K$1000, MATCH(49, 'Detalles movimientos'!$U$5:$U$1000, 0)), "")</f>
        <v/>
      </c>
      <c r="J58" s="19" t="str">
        <f>IFERROR(INDEX('Detalles movimientos'!L$5:L$1000, MATCH(49, 'Detalles movimientos'!$U$5:$U$1000, 0)), "")</f>
        <v/>
      </c>
      <c r="K58" s="20" t="str">
        <f>IFERROR(INDEX('Detalles movimientos'!M$5:M$1000, MATCH(49, 'Detalles movimientos'!$U$5:$U$1000, 0)), "")</f>
        <v/>
      </c>
      <c r="L58" s="18" t="str">
        <f>IFERROR(INDEX('Detalles movimientos'!N$5:N$1000, MATCH(49, 'Detalles movimientos'!$U$5:$U$1000, 0)), "")</f>
        <v/>
      </c>
      <c r="M58" s="18" t="str">
        <f>IFERROR(INDEX('Detalles movimientos'!Q$5:Q$1000, MATCH(49, 'Detalles movimientos'!$U$5:$U$1000, 0)), "")</f>
        <v/>
      </c>
    </row>
    <row r="59" spans="2:13">
      <c r="B59" s="17" t="str">
        <f>IFERROR(INDEX('Detalles movimientos'!C$5:C$1000, MATCH(50, 'Detalles movimientos'!$U$5:$U$1000, 0)), "")</f>
        <v/>
      </c>
      <c r="C59" s="18" t="str">
        <f>IFERROR(INDEX('Detalles movimientos'!D$5:D$1000, MATCH(50, 'Detalles movimientos'!$U$5:$U$1000, 0)), "")</f>
        <v/>
      </c>
      <c r="D59" s="19" t="str">
        <f>IFERROR(INDEX('Detalles movimientos'!E$5:E$1000, MATCH(50, 'Detalles movimientos'!$U$5:$U$1000, 0)), "")</f>
        <v/>
      </c>
      <c r="E59" s="19" t="str">
        <f>IFERROR(INDEX('Detalles movimientos'!F$5:F$1000, MATCH(50, 'Detalles movimientos'!$U$5:$U$1000, 0)), "")</f>
        <v/>
      </c>
      <c r="F59" s="18" t="str">
        <f>IFERROR(INDEX('Detalles movimientos'!G$5:G$1000, MATCH(50, 'Detalles movimientos'!$U$5:$U$1000, 0)), "")</f>
        <v/>
      </c>
      <c r="G59" s="20" t="str">
        <f>IFERROR(INDEX('Detalles movimientos'!H$5:H$1000, MATCH(50, 'Detalles movimientos'!$U$5:$U$1000, 0)), "")</f>
        <v/>
      </c>
      <c r="H59" s="21" t="str">
        <f>IFERROR(INDEX('Detalles movimientos'!I$5:I$1000, MATCH(50, 'Detalles movimientos'!$U$5:$U$1000, 0)), "")</f>
        <v/>
      </c>
      <c r="I59" s="20" t="str">
        <f>IFERROR(INDEX('Detalles movimientos'!K$5:K$1000, MATCH(50, 'Detalles movimientos'!$U$5:$U$1000, 0)), "")</f>
        <v/>
      </c>
      <c r="J59" s="19" t="str">
        <f>IFERROR(INDEX('Detalles movimientos'!L$5:L$1000, MATCH(50, 'Detalles movimientos'!$U$5:$U$1000, 0)), "")</f>
        <v/>
      </c>
      <c r="K59" s="20" t="str">
        <f>IFERROR(INDEX('Detalles movimientos'!M$5:M$1000, MATCH(50, 'Detalles movimientos'!$U$5:$U$1000, 0)), "")</f>
        <v/>
      </c>
      <c r="L59" s="18" t="str">
        <f>IFERROR(INDEX('Detalles movimientos'!N$5:N$1000, MATCH(50, 'Detalles movimientos'!$U$5:$U$1000, 0)), "")</f>
        <v/>
      </c>
      <c r="M59" s="18" t="str">
        <f>IFERROR(INDEX('Detalles movimientos'!Q$5:Q$1000, MATCH(50, 'Detalles movimientos'!$U$5:$U$1000, 0)), "")</f>
        <v/>
      </c>
    </row>
    <row r="60" spans="2:13">
      <c r="B60" s="17" t="str">
        <f>IFERROR(INDEX('Detalles movimientos'!C$5:C$1000, MATCH(51, 'Detalles movimientos'!$U$5:$U$1000, 0)), "")</f>
        <v/>
      </c>
      <c r="C60" s="18" t="str">
        <f>IFERROR(INDEX('Detalles movimientos'!D$5:D$1000, MATCH(51, 'Detalles movimientos'!$U$5:$U$1000, 0)), "")</f>
        <v/>
      </c>
      <c r="D60" s="19" t="str">
        <f>IFERROR(INDEX('Detalles movimientos'!E$5:E$1000, MATCH(51, 'Detalles movimientos'!$U$5:$U$1000, 0)), "")</f>
        <v/>
      </c>
      <c r="E60" s="19" t="str">
        <f>IFERROR(INDEX('Detalles movimientos'!F$5:F$1000, MATCH(51, 'Detalles movimientos'!$U$5:$U$1000, 0)), "")</f>
        <v/>
      </c>
      <c r="F60" s="18" t="str">
        <f>IFERROR(INDEX('Detalles movimientos'!G$5:G$1000, MATCH(51, 'Detalles movimientos'!$U$5:$U$1000, 0)), "")</f>
        <v/>
      </c>
      <c r="G60" s="20" t="str">
        <f>IFERROR(INDEX('Detalles movimientos'!H$5:H$1000, MATCH(51, 'Detalles movimientos'!$U$5:$U$1000, 0)), "")</f>
        <v/>
      </c>
      <c r="H60" s="21" t="str">
        <f>IFERROR(INDEX('Detalles movimientos'!I$5:I$1000, MATCH(51, 'Detalles movimientos'!$U$5:$U$1000, 0)), "")</f>
        <v/>
      </c>
      <c r="I60" s="20" t="str">
        <f>IFERROR(INDEX('Detalles movimientos'!K$5:K$1000, MATCH(51, 'Detalles movimientos'!$U$5:$U$1000, 0)), "")</f>
        <v/>
      </c>
      <c r="J60" s="19" t="str">
        <f>IFERROR(INDEX('Detalles movimientos'!L$5:L$1000, MATCH(51, 'Detalles movimientos'!$U$5:$U$1000, 0)), "")</f>
        <v/>
      </c>
      <c r="K60" s="20" t="str">
        <f>IFERROR(INDEX('Detalles movimientos'!M$5:M$1000, MATCH(51, 'Detalles movimientos'!$U$5:$U$1000, 0)), "")</f>
        <v/>
      </c>
      <c r="L60" s="18" t="str">
        <f>IFERROR(INDEX('Detalles movimientos'!N$5:N$1000, MATCH(51, 'Detalles movimientos'!$U$5:$U$1000, 0)), "")</f>
        <v/>
      </c>
      <c r="M60" s="18" t="str">
        <f>IFERROR(INDEX('Detalles movimientos'!Q$5:Q$1000, MATCH(51, 'Detalles movimientos'!$U$5:$U$1000, 0)), "")</f>
        <v/>
      </c>
    </row>
    <row r="61" spans="2:13">
      <c r="B61" s="17" t="str">
        <f>IFERROR(INDEX('Detalles movimientos'!C$5:C$1000, MATCH(52, 'Detalles movimientos'!$U$5:$U$1000, 0)), "")</f>
        <v/>
      </c>
      <c r="C61" s="18" t="str">
        <f>IFERROR(INDEX('Detalles movimientos'!D$5:D$1000, MATCH(52, 'Detalles movimientos'!$U$5:$U$1000, 0)), "")</f>
        <v/>
      </c>
      <c r="D61" s="19" t="str">
        <f>IFERROR(INDEX('Detalles movimientos'!E$5:E$1000, MATCH(52, 'Detalles movimientos'!$U$5:$U$1000, 0)), "")</f>
        <v/>
      </c>
      <c r="E61" s="19" t="str">
        <f>IFERROR(INDEX('Detalles movimientos'!F$5:F$1000, MATCH(52, 'Detalles movimientos'!$U$5:$U$1000, 0)), "")</f>
        <v/>
      </c>
      <c r="F61" s="18" t="str">
        <f>IFERROR(INDEX('Detalles movimientos'!G$5:G$1000, MATCH(52, 'Detalles movimientos'!$U$5:$U$1000, 0)), "")</f>
        <v/>
      </c>
      <c r="G61" s="20" t="str">
        <f>IFERROR(INDEX('Detalles movimientos'!H$5:H$1000, MATCH(52, 'Detalles movimientos'!$U$5:$U$1000, 0)), "")</f>
        <v/>
      </c>
      <c r="H61" s="21" t="str">
        <f>IFERROR(INDEX('Detalles movimientos'!I$5:I$1000, MATCH(52, 'Detalles movimientos'!$U$5:$U$1000, 0)), "")</f>
        <v/>
      </c>
      <c r="I61" s="20" t="str">
        <f>IFERROR(INDEX('Detalles movimientos'!K$5:K$1000, MATCH(52, 'Detalles movimientos'!$U$5:$U$1000, 0)), "")</f>
        <v/>
      </c>
      <c r="J61" s="19" t="str">
        <f>IFERROR(INDEX('Detalles movimientos'!L$5:L$1000, MATCH(52, 'Detalles movimientos'!$U$5:$U$1000, 0)), "")</f>
        <v/>
      </c>
      <c r="K61" s="20" t="str">
        <f>IFERROR(INDEX('Detalles movimientos'!M$5:M$1000, MATCH(52, 'Detalles movimientos'!$U$5:$U$1000, 0)), "")</f>
        <v/>
      </c>
      <c r="L61" s="18" t="str">
        <f>IFERROR(INDEX('Detalles movimientos'!N$5:N$1000, MATCH(52, 'Detalles movimientos'!$U$5:$U$1000, 0)), "")</f>
        <v/>
      </c>
      <c r="M61" s="18" t="str">
        <f>IFERROR(INDEX('Detalles movimientos'!Q$5:Q$1000, MATCH(52, 'Detalles movimientos'!$U$5:$U$1000, 0)), "")</f>
        <v/>
      </c>
    </row>
    <row r="62" spans="2:13">
      <c r="B62" s="17" t="str">
        <f>IFERROR(INDEX('Detalles movimientos'!C$5:C$1000, MATCH(53, 'Detalles movimientos'!$U$5:$U$1000, 0)), "")</f>
        <v/>
      </c>
      <c r="C62" s="18" t="str">
        <f>IFERROR(INDEX('Detalles movimientos'!D$5:D$1000, MATCH(53, 'Detalles movimientos'!$U$5:$U$1000, 0)), "")</f>
        <v/>
      </c>
      <c r="D62" s="19" t="str">
        <f>IFERROR(INDEX('Detalles movimientos'!E$5:E$1000, MATCH(53, 'Detalles movimientos'!$U$5:$U$1000, 0)), "")</f>
        <v/>
      </c>
      <c r="E62" s="19" t="str">
        <f>IFERROR(INDEX('Detalles movimientos'!F$5:F$1000, MATCH(53, 'Detalles movimientos'!$U$5:$U$1000, 0)), "")</f>
        <v/>
      </c>
      <c r="F62" s="18" t="str">
        <f>IFERROR(INDEX('Detalles movimientos'!G$5:G$1000, MATCH(53, 'Detalles movimientos'!$U$5:$U$1000, 0)), "")</f>
        <v/>
      </c>
      <c r="G62" s="20" t="str">
        <f>IFERROR(INDEX('Detalles movimientos'!H$5:H$1000, MATCH(53, 'Detalles movimientos'!$U$5:$U$1000, 0)), "")</f>
        <v/>
      </c>
      <c r="H62" s="21" t="str">
        <f>IFERROR(INDEX('Detalles movimientos'!I$5:I$1000, MATCH(53, 'Detalles movimientos'!$U$5:$U$1000, 0)), "")</f>
        <v/>
      </c>
      <c r="I62" s="20" t="str">
        <f>IFERROR(INDEX('Detalles movimientos'!K$5:K$1000, MATCH(53, 'Detalles movimientos'!$U$5:$U$1000, 0)), "")</f>
        <v/>
      </c>
      <c r="J62" s="19" t="str">
        <f>IFERROR(INDEX('Detalles movimientos'!L$5:L$1000, MATCH(53, 'Detalles movimientos'!$U$5:$U$1000, 0)), "")</f>
        <v/>
      </c>
      <c r="K62" s="20" t="str">
        <f>IFERROR(INDEX('Detalles movimientos'!M$5:M$1000, MATCH(53, 'Detalles movimientos'!$U$5:$U$1000, 0)), "")</f>
        <v/>
      </c>
      <c r="L62" s="18" t="str">
        <f>IFERROR(INDEX('Detalles movimientos'!N$5:N$1000, MATCH(53, 'Detalles movimientos'!$U$5:$U$1000, 0)), "")</f>
        <v/>
      </c>
      <c r="M62" s="18" t="str">
        <f>IFERROR(INDEX('Detalles movimientos'!Q$5:Q$1000, MATCH(53, 'Detalles movimientos'!$U$5:$U$1000, 0)), "")</f>
        <v/>
      </c>
    </row>
    <row r="63" spans="2:13">
      <c r="B63" s="17" t="str">
        <f>IFERROR(INDEX('Detalles movimientos'!C$5:C$1000, MATCH(54, 'Detalles movimientos'!$U$5:$U$1000, 0)), "")</f>
        <v/>
      </c>
      <c r="C63" s="18" t="str">
        <f>IFERROR(INDEX('Detalles movimientos'!D$5:D$1000, MATCH(54, 'Detalles movimientos'!$U$5:$U$1000, 0)), "")</f>
        <v/>
      </c>
      <c r="D63" s="19" t="str">
        <f>IFERROR(INDEX('Detalles movimientos'!E$5:E$1000, MATCH(54, 'Detalles movimientos'!$U$5:$U$1000, 0)), "")</f>
        <v/>
      </c>
      <c r="E63" s="19" t="str">
        <f>IFERROR(INDEX('Detalles movimientos'!F$5:F$1000, MATCH(54, 'Detalles movimientos'!$U$5:$U$1000, 0)), "")</f>
        <v/>
      </c>
      <c r="F63" s="18" t="str">
        <f>IFERROR(INDEX('Detalles movimientos'!G$5:G$1000, MATCH(54, 'Detalles movimientos'!$U$5:$U$1000, 0)), "")</f>
        <v/>
      </c>
      <c r="G63" s="20" t="str">
        <f>IFERROR(INDEX('Detalles movimientos'!H$5:H$1000, MATCH(54, 'Detalles movimientos'!$U$5:$U$1000, 0)), "")</f>
        <v/>
      </c>
      <c r="H63" s="21" t="str">
        <f>IFERROR(INDEX('Detalles movimientos'!I$5:I$1000, MATCH(54, 'Detalles movimientos'!$U$5:$U$1000, 0)), "")</f>
        <v/>
      </c>
      <c r="I63" s="20" t="str">
        <f>IFERROR(INDEX('Detalles movimientos'!K$5:K$1000, MATCH(54, 'Detalles movimientos'!$U$5:$U$1000, 0)), "")</f>
        <v/>
      </c>
      <c r="J63" s="19" t="str">
        <f>IFERROR(INDEX('Detalles movimientos'!L$5:L$1000, MATCH(54, 'Detalles movimientos'!$U$5:$U$1000, 0)), "")</f>
        <v/>
      </c>
      <c r="K63" s="20" t="str">
        <f>IFERROR(INDEX('Detalles movimientos'!M$5:M$1000, MATCH(54, 'Detalles movimientos'!$U$5:$U$1000, 0)), "")</f>
        <v/>
      </c>
      <c r="L63" s="18" t="str">
        <f>IFERROR(INDEX('Detalles movimientos'!N$5:N$1000, MATCH(54, 'Detalles movimientos'!$U$5:$U$1000, 0)), "")</f>
        <v/>
      </c>
      <c r="M63" s="18" t="str">
        <f>IFERROR(INDEX('Detalles movimientos'!Q$5:Q$1000, MATCH(54, 'Detalles movimientos'!$U$5:$U$1000, 0)), "")</f>
        <v/>
      </c>
    </row>
    <row r="64" spans="2:13">
      <c r="B64" s="17" t="str">
        <f>IFERROR(INDEX('Detalles movimientos'!C$5:C$1000, MATCH(55, 'Detalles movimientos'!$U$5:$U$1000, 0)), "")</f>
        <v/>
      </c>
      <c r="C64" s="18" t="str">
        <f>IFERROR(INDEX('Detalles movimientos'!D$5:D$1000, MATCH(55, 'Detalles movimientos'!$U$5:$U$1000, 0)), "")</f>
        <v/>
      </c>
      <c r="D64" s="19" t="str">
        <f>IFERROR(INDEX('Detalles movimientos'!E$5:E$1000, MATCH(55, 'Detalles movimientos'!$U$5:$U$1000, 0)), "")</f>
        <v/>
      </c>
      <c r="E64" s="19" t="str">
        <f>IFERROR(INDEX('Detalles movimientos'!F$5:F$1000, MATCH(55, 'Detalles movimientos'!$U$5:$U$1000, 0)), "")</f>
        <v/>
      </c>
      <c r="F64" s="18" t="str">
        <f>IFERROR(INDEX('Detalles movimientos'!G$5:G$1000, MATCH(55, 'Detalles movimientos'!$U$5:$U$1000, 0)), "")</f>
        <v/>
      </c>
      <c r="G64" s="20" t="str">
        <f>IFERROR(INDEX('Detalles movimientos'!H$5:H$1000, MATCH(55, 'Detalles movimientos'!$U$5:$U$1000, 0)), "")</f>
        <v/>
      </c>
      <c r="H64" s="21" t="str">
        <f>IFERROR(INDEX('Detalles movimientos'!I$5:I$1000, MATCH(55, 'Detalles movimientos'!$U$5:$U$1000, 0)), "")</f>
        <v/>
      </c>
      <c r="I64" s="20" t="str">
        <f>IFERROR(INDEX('Detalles movimientos'!K$5:K$1000, MATCH(55, 'Detalles movimientos'!$U$5:$U$1000, 0)), "")</f>
        <v/>
      </c>
      <c r="J64" s="19" t="str">
        <f>IFERROR(INDEX('Detalles movimientos'!L$5:L$1000, MATCH(55, 'Detalles movimientos'!$U$5:$U$1000, 0)), "")</f>
        <v/>
      </c>
      <c r="K64" s="20" t="str">
        <f>IFERROR(INDEX('Detalles movimientos'!M$5:M$1000, MATCH(55, 'Detalles movimientos'!$U$5:$U$1000, 0)), "")</f>
        <v/>
      </c>
      <c r="L64" s="18" t="str">
        <f>IFERROR(INDEX('Detalles movimientos'!N$5:N$1000, MATCH(55, 'Detalles movimientos'!$U$5:$U$1000, 0)), "")</f>
        <v/>
      </c>
      <c r="M64" s="18" t="str">
        <f>IFERROR(INDEX('Detalles movimientos'!Q$5:Q$1000, MATCH(55, 'Detalles movimientos'!$U$5:$U$1000, 0)), "")</f>
        <v/>
      </c>
    </row>
    <row r="65" spans="2:13">
      <c r="B65" s="17" t="str">
        <f>IFERROR(INDEX('Detalles movimientos'!C$5:C$1000, MATCH(56, 'Detalles movimientos'!$U$5:$U$1000, 0)), "")</f>
        <v/>
      </c>
      <c r="C65" s="18" t="str">
        <f>IFERROR(INDEX('Detalles movimientos'!D$5:D$1000, MATCH(56, 'Detalles movimientos'!$U$5:$U$1000, 0)), "")</f>
        <v/>
      </c>
      <c r="D65" s="19" t="str">
        <f>IFERROR(INDEX('Detalles movimientos'!E$5:E$1000, MATCH(56, 'Detalles movimientos'!$U$5:$U$1000, 0)), "")</f>
        <v/>
      </c>
      <c r="E65" s="19" t="str">
        <f>IFERROR(INDEX('Detalles movimientos'!F$5:F$1000, MATCH(56, 'Detalles movimientos'!$U$5:$U$1000, 0)), "")</f>
        <v/>
      </c>
      <c r="F65" s="18" t="str">
        <f>IFERROR(INDEX('Detalles movimientos'!G$5:G$1000, MATCH(56, 'Detalles movimientos'!$U$5:$U$1000, 0)), "")</f>
        <v/>
      </c>
      <c r="G65" s="20" t="str">
        <f>IFERROR(INDEX('Detalles movimientos'!H$5:H$1000, MATCH(56, 'Detalles movimientos'!$U$5:$U$1000, 0)), "")</f>
        <v/>
      </c>
      <c r="H65" s="21" t="str">
        <f>IFERROR(INDEX('Detalles movimientos'!I$5:I$1000, MATCH(56, 'Detalles movimientos'!$U$5:$U$1000, 0)), "")</f>
        <v/>
      </c>
      <c r="I65" s="20" t="str">
        <f>IFERROR(INDEX('Detalles movimientos'!K$5:K$1000, MATCH(56, 'Detalles movimientos'!$U$5:$U$1000, 0)), "")</f>
        <v/>
      </c>
      <c r="J65" s="19" t="str">
        <f>IFERROR(INDEX('Detalles movimientos'!L$5:L$1000, MATCH(56, 'Detalles movimientos'!$U$5:$U$1000, 0)), "")</f>
        <v/>
      </c>
      <c r="K65" s="20" t="str">
        <f>IFERROR(INDEX('Detalles movimientos'!M$5:M$1000, MATCH(56, 'Detalles movimientos'!$U$5:$U$1000, 0)), "")</f>
        <v/>
      </c>
      <c r="L65" s="18" t="str">
        <f>IFERROR(INDEX('Detalles movimientos'!N$5:N$1000, MATCH(56, 'Detalles movimientos'!$U$5:$U$1000, 0)), "")</f>
        <v/>
      </c>
      <c r="M65" s="18" t="str">
        <f>IFERROR(INDEX('Detalles movimientos'!Q$5:Q$1000, MATCH(56, 'Detalles movimientos'!$U$5:$U$1000, 0)), "")</f>
        <v/>
      </c>
    </row>
    <row r="66" spans="2:13">
      <c r="B66" s="17" t="str">
        <f>IFERROR(INDEX('Detalles movimientos'!C$5:C$1000, MATCH(57, 'Detalles movimientos'!$U$5:$U$1000, 0)), "")</f>
        <v/>
      </c>
      <c r="C66" s="18" t="str">
        <f>IFERROR(INDEX('Detalles movimientos'!D$5:D$1000, MATCH(57, 'Detalles movimientos'!$U$5:$U$1000, 0)), "")</f>
        <v/>
      </c>
      <c r="D66" s="19" t="str">
        <f>IFERROR(INDEX('Detalles movimientos'!E$5:E$1000, MATCH(57, 'Detalles movimientos'!$U$5:$U$1000, 0)), "")</f>
        <v/>
      </c>
      <c r="E66" s="19" t="str">
        <f>IFERROR(INDEX('Detalles movimientos'!F$5:F$1000, MATCH(57, 'Detalles movimientos'!$U$5:$U$1000, 0)), "")</f>
        <v/>
      </c>
      <c r="F66" s="18" t="str">
        <f>IFERROR(INDEX('Detalles movimientos'!G$5:G$1000, MATCH(57, 'Detalles movimientos'!$U$5:$U$1000, 0)), "")</f>
        <v/>
      </c>
      <c r="G66" s="20" t="str">
        <f>IFERROR(INDEX('Detalles movimientos'!H$5:H$1000, MATCH(57, 'Detalles movimientos'!$U$5:$U$1000, 0)), "")</f>
        <v/>
      </c>
      <c r="H66" s="21" t="str">
        <f>IFERROR(INDEX('Detalles movimientos'!I$5:I$1000, MATCH(57, 'Detalles movimientos'!$U$5:$U$1000, 0)), "")</f>
        <v/>
      </c>
      <c r="I66" s="20" t="str">
        <f>IFERROR(INDEX('Detalles movimientos'!K$5:K$1000, MATCH(57, 'Detalles movimientos'!$U$5:$U$1000, 0)), "")</f>
        <v/>
      </c>
      <c r="J66" s="19" t="str">
        <f>IFERROR(INDEX('Detalles movimientos'!L$5:L$1000, MATCH(57, 'Detalles movimientos'!$U$5:$U$1000, 0)), "")</f>
        <v/>
      </c>
      <c r="K66" s="20" t="str">
        <f>IFERROR(INDEX('Detalles movimientos'!M$5:M$1000, MATCH(57, 'Detalles movimientos'!$U$5:$U$1000, 0)), "")</f>
        <v/>
      </c>
      <c r="L66" s="18" t="str">
        <f>IFERROR(INDEX('Detalles movimientos'!N$5:N$1000, MATCH(57, 'Detalles movimientos'!$U$5:$U$1000, 0)), "")</f>
        <v/>
      </c>
      <c r="M66" s="18" t="str">
        <f>IFERROR(INDEX('Detalles movimientos'!Q$5:Q$1000, MATCH(57, 'Detalles movimientos'!$U$5:$U$1000, 0)), "")</f>
        <v/>
      </c>
    </row>
    <row r="67" spans="2:13">
      <c r="B67" s="17" t="str">
        <f>IFERROR(INDEX('Detalles movimientos'!C$5:C$1000, MATCH(58, 'Detalles movimientos'!$U$5:$U$1000, 0)), "")</f>
        <v/>
      </c>
      <c r="C67" s="18" t="str">
        <f>IFERROR(INDEX('Detalles movimientos'!D$5:D$1000, MATCH(58, 'Detalles movimientos'!$U$5:$U$1000, 0)), "")</f>
        <v/>
      </c>
      <c r="D67" s="19" t="str">
        <f>IFERROR(INDEX('Detalles movimientos'!E$5:E$1000, MATCH(58, 'Detalles movimientos'!$U$5:$U$1000, 0)), "")</f>
        <v/>
      </c>
      <c r="E67" s="19" t="str">
        <f>IFERROR(INDEX('Detalles movimientos'!F$5:F$1000, MATCH(58, 'Detalles movimientos'!$U$5:$U$1000, 0)), "")</f>
        <v/>
      </c>
      <c r="F67" s="18" t="str">
        <f>IFERROR(INDEX('Detalles movimientos'!G$5:G$1000, MATCH(58, 'Detalles movimientos'!$U$5:$U$1000, 0)), "")</f>
        <v/>
      </c>
      <c r="G67" s="20" t="str">
        <f>IFERROR(INDEX('Detalles movimientos'!H$5:H$1000, MATCH(58, 'Detalles movimientos'!$U$5:$U$1000, 0)), "")</f>
        <v/>
      </c>
      <c r="H67" s="21" t="str">
        <f>IFERROR(INDEX('Detalles movimientos'!I$5:I$1000, MATCH(58, 'Detalles movimientos'!$U$5:$U$1000, 0)), "")</f>
        <v/>
      </c>
      <c r="I67" s="20" t="str">
        <f>IFERROR(INDEX('Detalles movimientos'!K$5:K$1000, MATCH(58, 'Detalles movimientos'!$U$5:$U$1000, 0)), "")</f>
        <v/>
      </c>
      <c r="J67" s="19" t="str">
        <f>IFERROR(INDEX('Detalles movimientos'!L$5:L$1000, MATCH(58, 'Detalles movimientos'!$U$5:$U$1000, 0)), "")</f>
        <v/>
      </c>
      <c r="K67" s="20" t="str">
        <f>IFERROR(INDEX('Detalles movimientos'!M$5:M$1000, MATCH(58, 'Detalles movimientos'!$U$5:$U$1000, 0)), "")</f>
        <v/>
      </c>
      <c r="L67" s="18" t="str">
        <f>IFERROR(INDEX('Detalles movimientos'!N$5:N$1000, MATCH(58, 'Detalles movimientos'!$U$5:$U$1000, 0)), "")</f>
        <v/>
      </c>
      <c r="M67" s="18" t="str">
        <f>IFERROR(INDEX('Detalles movimientos'!Q$5:Q$1000, MATCH(58, 'Detalles movimientos'!$U$5:$U$1000, 0)), "")</f>
        <v/>
      </c>
    </row>
    <row r="68" spans="2:13">
      <c r="B68" s="17" t="str">
        <f>IFERROR(INDEX('Detalles movimientos'!C$5:C$1000, MATCH(59, 'Detalles movimientos'!$U$5:$U$1000, 0)), "")</f>
        <v/>
      </c>
      <c r="C68" s="18" t="str">
        <f>IFERROR(INDEX('Detalles movimientos'!D$5:D$1000, MATCH(59, 'Detalles movimientos'!$U$5:$U$1000, 0)), "")</f>
        <v/>
      </c>
      <c r="D68" s="19" t="str">
        <f>IFERROR(INDEX('Detalles movimientos'!E$5:E$1000, MATCH(59, 'Detalles movimientos'!$U$5:$U$1000, 0)), "")</f>
        <v/>
      </c>
      <c r="E68" s="19" t="str">
        <f>IFERROR(INDEX('Detalles movimientos'!F$5:F$1000, MATCH(59, 'Detalles movimientos'!$U$5:$U$1000, 0)), "")</f>
        <v/>
      </c>
      <c r="F68" s="18" t="str">
        <f>IFERROR(INDEX('Detalles movimientos'!G$5:G$1000, MATCH(59, 'Detalles movimientos'!$U$5:$U$1000, 0)), "")</f>
        <v/>
      </c>
      <c r="G68" s="20" t="str">
        <f>IFERROR(INDEX('Detalles movimientos'!H$5:H$1000, MATCH(59, 'Detalles movimientos'!$U$5:$U$1000, 0)), "")</f>
        <v/>
      </c>
      <c r="H68" s="21" t="str">
        <f>IFERROR(INDEX('Detalles movimientos'!I$5:I$1000, MATCH(59, 'Detalles movimientos'!$U$5:$U$1000, 0)), "")</f>
        <v/>
      </c>
      <c r="I68" s="20" t="str">
        <f>IFERROR(INDEX('Detalles movimientos'!K$5:K$1000, MATCH(59, 'Detalles movimientos'!$U$5:$U$1000, 0)), "")</f>
        <v/>
      </c>
      <c r="J68" s="19" t="str">
        <f>IFERROR(INDEX('Detalles movimientos'!L$5:L$1000, MATCH(59, 'Detalles movimientos'!$U$5:$U$1000, 0)), "")</f>
        <v/>
      </c>
      <c r="K68" s="20" t="str">
        <f>IFERROR(INDEX('Detalles movimientos'!M$5:M$1000, MATCH(59, 'Detalles movimientos'!$U$5:$U$1000, 0)), "")</f>
        <v/>
      </c>
      <c r="L68" s="18" t="str">
        <f>IFERROR(INDEX('Detalles movimientos'!N$5:N$1000, MATCH(59, 'Detalles movimientos'!$U$5:$U$1000, 0)), "")</f>
        <v/>
      </c>
      <c r="M68" s="18" t="str">
        <f>IFERROR(INDEX('Detalles movimientos'!Q$5:Q$1000, MATCH(59, 'Detalles movimientos'!$U$5:$U$1000, 0)), "")</f>
        <v/>
      </c>
    </row>
    <row r="69" spans="2:13">
      <c r="B69" s="17" t="str">
        <f>IFERROR(INDEX('Detalles movimientos'!C$5:C$1000, MATCH(60, 'Detalles movimientos'!$U$5:$U$1000, 0)), "")</f>
        <v/>
      </c>
      <c r="C69" s="18" t="str">
        <f>IFERROR(INDEX('Detalles movimientos'!D$5:D$1000, MATCH(60, 'Detalles movimientos'!$U$5:$U$1000, 0)), "")</f>
        <v/>
      </c>
      <c r="D69" s="19" t="str">
        <f>IFERROR(INDEX('Detalles movimientos'!E$5:E$1000, MATCH(60, 'Detalles movimientos'!$U$5:$U$1000, 0)), "")</f>
        <v/>
      </c>
      <c r="E69" s="19" t="str">
        <f>IFERROR(INDEX('Detalles movimientos'!F$5:F$1000, MATCH(60, 'Detalles movimientos'!$U$5:$U$1000, 0)), "")</f>
        <v/>
      </c>
      <c r="F69" s="18" t="str">
        <f>IFERROR(INDEX('Detalles movimientos'!G$5:G$1000, MATCH(60, 'Detalles movimientos'!$U$5:$U$1000, 0)), "")</f>
        <v/>
      </c>
      <c r="G69" s="20" t="str">
        <f>IFERROR(INDEX('Detalles movimientos'!H$5:H$1000, MATCH(60, 'Detalles movimientos'!$U$5:$U$1000, 0)), "")</f>
        <v/>
      </c>
      <c r="H69" s="21" t="str">
        <f>IFERROR(INDEX('Detalles movimientos'!I$5:I$1000, MATCH(60, 'Detalles movimientos'!$U$5:$U$1000, 0)), "")</f>
        <v/>
      </c>
      <c r="I69" s="20" t="str">
        <f>IFERROR(INDEX('Detalles movimientos'!K$5:K$1000, MATCH(60, 'Detalles movimientos'!$U$5:$U$1000, 0)), "")</f>
        <v/>
      </c>
      <c r="J69" s="19" t="str">
        <f>IFERROR(INDEX('Detalles movimientos'!L$5:L$1000, MATCH(60, 'Detalles movimientos'!$U$5:$U$1000, 0)), "")</f>
        <v/>
      </c>
      <c r="K69" s="20" t="str">
        <f>IFERROR(INDEX('Detalles movimientos'!M$5:M$1000, MATCH(60, 'Detalles movimientos'!$U$5:$U$1000, 0)), "")</f>
        <v/>
      </c>
      <c r="L69" s="18" t="str">
        <f>IFERROR(INDEX('Detalles movimientos'!N$5:N$1000, MATCH(60, 'Detalles movimientos'!$U$5:$U$1000, 0)), "")</f>
        <v/>
      </c>
      <c r="M69" s="18" t="str">
        <f>IFERROR(INDEX('Detalles movimientos'!Q$5:Q$1000, MATCH(60, 'Detalles movimientos'!$U$5:$U$1000, 0)), "")</f>
        <v/>
      </c>
    </row>
    <row r="70" spans="2:13">
      <c r="B70" s="17" t="str">
        <f>IFERROR(INDEX('Detalles movimientos'!C$5:C$1000, MATCH(61, 'Detalles movimientos'!$U$5:$U$1000, 0)), "")</f>
        <v/>
      </c>
      <c r="C70" s="18" t="str">
        <f>IFERROR(INDEX('Detalles movimientos'!D$5:D$1000, MATCH(61, 'Detalles movimientos'!$U$5:$U$1000, 0)), "")</f>
        <v/>
      </c>
      <c r="D70" s="19" t="str">
        <f>IFERROR(INDEX('Detalles movimientos'!E$5:E$1000, MATCH(61, 'Detalles movimientos'!$U$5:$U$1000, 0)), "")</f>
        <v/>
      </c>
      <c r="E70" s="19" t="str">
        <f>IFERROR(INDEX('Detalles movimientos'!F$5:F$1000, MATCH(61, 'Detalles movimientos'!$U$5:$U$1000, 0)), "")</f>
        <v/>
      </c>
      <c r="F70" s="18" t="str">
        <f>IFERROR(INDEX('Detalles movimientos'!G$5:G$1000, MATCH(61, 'Detalles movimientos'!$U$5:$U$1000, 0)), "")</f>
        <v/>
      </c>
      <c r="G70" s="20" t="str">
        <f>IFERROR(INDEX('Detalles movimientos'!H$5:H$1000, MATCH(61, 'Detalles movimientos'!$U$5:$U$1000, 0)), "")</f>
        <v/>
      </c>
      <c r="H70" s="21" t="str">
        <f>IFERROR(INDEX('Detalles movimientos'!I$5:I$1000, MATCH(61, 'Detalles movimientos'!$U$5:$U$1000, 0)), "")</f>
        <v/>
      </c>
      <c r="I70" s="20" t="str">
        <f>IFERROR(INDEX('Detalles movimientos'!K$5:K$1000, MATCH(61, 'Detalles movimientos'!$U$5:$U$1000, 0)), "")</f>
        <v/>
      </c>
      <c r="J70" s="19" t="str">
        <f>IFERROR(INDEX('Detalles movimientos'!L$5:L$1000, MATCH(61, 'Detalles movimientos'!$U$5:$U$1000, 0)), "")</f>
        <v/>
      </c>
      <c r="K70" s="20" t="str">
        <f>IFERROR(INDEX('Detalles movimientos'!M$5:M$1000, MATCH(61, 'Detalles movimientos'!$U$5:$U$1000, 0)), "")</f>
        <v/>
      </c>
      <c r="L70" s="18" t="str">
        <f>IFERROR(INDEX('Detalles movimientos'!N$5:N$1000, MATCH(61, 'Detalles movimientos'!$U$5:$U$1000, 0)), "")</f>
        <v/>
      </c>
      <c r="M70" s="18" t="str">
        <f>IFERROR(INDEX('Detalles movimientos'!Q$5:Q$1000, MATCH(61, 'Detalles movimientos'!$U$5:$U$1000, 0)), "")</f>
        <v/>
      </c>
    </row>
    <row r="71" spans="2:13">
      <c r="B71" s="17" t="str">
        <f>IFERROR(INDEX('Detalles movimientos'!C$5:C$1000, MATCH(62, 'Detalles movimientos'!$U$5:$U$1000, 0)), "")</f>
        <v/>
      </c>
      <c r="C71" s="18" t="str">
        <f>IFERROR(INDEX('Detalles movimientos'!D$5:D$1000, MATCH(62, 'Detalles movimientos'!$U$5:$U$1000, 0)), "")</f>
        <v/>
      </c>
      <c r="D71" s="19" t="str">
        <f>IFERROR(INDEX('Detalles movimientos'!E$5:E$1000, MATCH(62, 'Detalles movimientos'!$U$5:$U$1000, 0)), "")</f>
        <v/>
      </c>
      <c r="E71" s="19" t="str">
        <f>IFERROR(INDEX('Detalles movimientos'!F$5:F$1000, MATCH(62, 'Detalles movimientos'!$U$5:$U$1000, 0)), "")</f>
        <v/>
      </c>
      <c r="F71" s="18" t="str">
        <f>IFERROR(INDEX('Detalles movimientos'!G$5:G$1000, MATCH(62, 'Detalles movimientos'!$U$5:$U$1000, 0)), "")</f>
        <v/>
      </c>
      <c r="G71" s="20" t="str">
        <f>IFERROR(INDEX('Detalles movimientos'!H$5:H$1000, MATCH(62, 'Detalles movimientos'!$U$5:$U$1000, 0)), "")</f>
        <v/>
      </c>
      <c r="H71" s="21" t="str">
        <f>IFERROR(INDEX('Detalles movimientos'!I$5:I$1000, MATCH(62, 'Detalles movimientos'!$U$5:$U$1000, 0)), "")</f>
        <v/>
      </c>
      <c r="I71" s="20" t="str">
        <f>IFERROR(INDEX('Detalles movimientos'!K$5:K$1000, MATCH(62, 'Detalles movimientos'!$U$5:$U$1000, 0)), "")</f>
        <v/>
      </c>
      <c r="J71" s="19" t="str">
        <f>IFERROR(INDEX('Detalles movimientos'!L$5:L$1000, MATCH(62, 'Detalles movimientos'!$U$5:$U$1000, 0)), "")</f>
        <v/>
      </c>
      <c r="K71" s="20" t="str">
        <f>IFERROR(INDEX('Detalles movimientos'!M$5:M$1000, MATCH(62, 'Detalles movimientos'!$U$5:$U$1000, 0)), "")</f>
        <v/>
      </c>
      <c r="L71" s="18" t="str">
        <f>IFERROR(INDEX('Detalles movimientos'!N$5:N$1000, MATCH(62, 'Detalles movimientos'!$U$5:$U$1000, 0)), "")</f>
        <v/>
      </c>
      <c r="M71" s="18" t="str">
        <f>IFERROR(INDEX('Detalles movimientos'!Q$5:Q$1000, MATCH(62, 'Detalles movimientos'!$U$5:$U$1000, 0)), "")</f>
        <v/>
      </c>
    </row>
    <row r="72" spans="2:13">
      <c r="B72" s="17" t="str">
        <f>IFERROR(INDEX('Detalles movimientos'!C$5:C$1000, MATCH(63, 'Detalles movimientos'!$U$5:$U$1000, 0)), "")</f>
        <v/>
      </c>
      <c r="C72" s="18" t="str">
        <f>IFERROR(INDEX('Detalles movimientos'!D$5:D$1000, MATCH(63, 'Detalles movimientos'!$U$5:$U$1000, 0)), "")</f>
        <v/>
      </c>
      <c r="D72" s="19" t="str">
        <f>IFERROR(INDEX('Detalles movimientos'!E$5:E$1000, MATCH(63, 'Detalles movimientos'!$U$5:$U$1000, 0)), "")</f>
        <v/>
      </c>
      <c r="E72" s="19" t="str">
        <f>IFERROR(INDEX('Detalles movimientos'!F$5:F$1000, MATCH(63, 'Detalles movimientos'!$U$5:$U$1000, 0)), "")</f>
        <v/>
      </c>
      <c r="F72" s="18" t="str">
        <f>IFERROR(INDEX('Detalles movimientos'!G$5:G$1000, MATCH(63, 'Detalles movimientos'!$U$5:$U$1000, 0)), "")</f>
        <v/>
      </c>
      <c r="G72" s="20" t="str">
        <f>IFERROR(INDEX('Detalles movimientos'!H$5:H$1000, MATCH(63, 'Detalles movimientos'!$U$5:$U$1000, 0)), "")</f>
        <v/>
      </c>
      <c r="H72" s="21" t="str">
        <f>IFERROR(INDEX('Detalles movimientos'!I$5:I$1000, MATCH(63, 'Detalles movimientos'!$U$5:$U$1000, 0)), "")</f>
        <v/>
      </c>
      <c r="I72" s="20" t="str">
        <f>IFERROR(INDEX('Detalles movimientos'!K$5:K$1000, MATCH(63, 'Detalles movimientos'!$U$5:$U$1000, 0)), "")</f>
        <v/>
      </c>
      <c r="J72" s="19" t="str">
        <f>IFERROR(INDEX('Detalles movimientos'!L$5:L$1000, MATCH(63, 'Detalles movimientos'!$U$5:$U$1000, 0)), "")</f>
        <v/>
      </c>
      <c r="K72" s="20" t="str">
        <f>IFERROR(INDEX('Detalles movimientos'!M$5:M$1000, MATCH(63, 'Detalles movimientos'!$U$5:$U$1000, 0)), "")</f>
        <v/>
      </c>
      <c r="L72" s="18" t="str">
        <f>IFERROR(INDEX('Detalles movimientos'!N$5:N$1000, MATCH(63, 'Detalles movimientos'!$U$5:$U$1000, 0)), "")</f>
        <v/>
      </c>
      <c r="M72" s="18" t="str">
        <f>IFERROR(INDEX('Detalles movimientos'!Q$5:Q$1000, MATCH(63, 'Detalles movimientos'!$U$5:$U$1000, 0)), "")</f>
        <v/>
      </c>
    </row>
    <row r="73" spans="2:13">
      <c r="B73" s="17" t="str">
        <f>IFERROR(INDEX('Detalles movimientos'!C$5:C$1000, MATCH(64, 'Detalles movimientos'!$U$5:$U$1000, 0)), "")</f>
        <v/>
      </c>
      <c r="C73" s="18" t="str">
        <f>IFERROR(INDEX('Detalles movimientos'!D$5:D$1000, MATCH(64, 'Detalles movimientos'!$U$5:$U$1000, 0)), "")</f>
        <v/>
      </c>
      <c r="D73" s="19" t="str">
        <f>IFERROR(INDEX('Detalles movimientos'!E$5:E$1000, MATCH(64, 'Detalles movimientos'!$U$5:$U$1000, 0)), "")</f>
        <v/>
      </c>
      <c r="E73" s="19" t="str">
        <f>IFERROR(INDEX('Detalles movimientos'!F$5:F$1000, MATCH(64, 'Detalles movimientos'!$U$5:$U$1000, 0)), "")</f>
        <v/>
      </c>
      <c r="F73" s="18" t="str">
        <f>IFERROR(INDEX('Detalles movimientos'!G$5:G$1000, MATCH(64, 'Detalles movimientos'!$U$5:$U$1000, 0)), "")</f>
        <v/>
      </c>
      <c r="G73" s="20" t="str">
        <f>IFERROR(INDEX('Detalles movimientos'!H$5:H$1000, MATCH(64, 'Detalles movimientos'!$U$5:$U$1000, 0)), "")</f>
        <v/>
      </c>
      <c r="H73" s="21" t="str">
        <f>IFERROR(INDEX('Detalles movimientos'!I$5:I$1000, MATCH(64, 'Detalles movimientos'!$U$5:$U$1000, 0)), "")</f>
        <v/>
      </c>
      <c r="I73" s="20" t="str">
        <f>IFERROR(INDEX('Detalles movimientos'!K$5:K$1000, MATCH(64, 'Detalles movimientos'!$U$5:$U$1000, 0)), "")</f>
        <v/>
      </c>
      <c r="J73" s="19" t="str">
        <f>IFERROR(INDEX('Detalles movimientos'!L$5:L$1000, MATCH(64, 'Detalles movimientos'!$U$5:$U$1000, 0)), "")</f>
        <v/>
      </c>
      <c r="K73" s="20" t="str">
        <f>IFERROR(INDEX('Detalles movimientos'!M$5:M$1000, MATCH(64, 'Detalles movimientos'!$U$5:$U$1000, 0)), "")</f>
        <v/>
      </c>
      <c r="L73" s="18" t="str">
        <f>IFERROR(INDEX('Detalles movimientos'!N$5:N$1000, MATCH(64, 'Detalles movimientos'!$U$5:$U$1000, 0)), "")</f>
        <v/>
      </c>
      <c r="M73" s="18" t="str">
        <f>IFERROR(INDEX('Detalles movimientos'!Q$5:Q$1000, MATCH(64, 'Detalles movimientos'!$U$5:$U$1000, 0)), "")</f>
        <v/>
      </c>
    </row>
    <row r="74" spans="2:13">
      <c r="B74" s="17" t="str">
        <f>IFERROR(INDEX('Detalles movimientos'!C$5:C$1000, MATCH(65, 'Detalles movimientos'!$U$5:$U$1000, 0)), "")</f>
        <v/>
      </c>
      <c r="C74" s="18" t="str">
        <f>IFERROR(INDEX('Detalles movimientos'!D$5:D$1000, MATCH(65, 'Detalles movimientos'!$U$5:$U$1000, 0)), "")</f>
        <v/>
      </c>
      <c r="D74" s="19" t="str">
        <f>IFERROR(INDEX('Detalles movimientos'!E$5:E$1000, MATCH(65, 'Detalles movimientos'!$U$5:$U$1000, 0)), "")</f>
        <v/>
      </c>
      <c r="E74" s="19" t="str">
        <f>IFERROR(INDEX('Detalles movimientos'!F$5:F$1000, MATCH(65, 'Detalles movimientos'!$U$5:$U$1000, 0)), "")</f>
        <v/>
      </c>
      <c r="F74" s="18" t="str">
        <f>IFERROR(INDEX('Detalles movimientos'!G$5:G$1000, MATCH(65, 'Detalles movimientos'!$U$5:$U$1000, 0)), "")</f>
        <v/>
      </c>
      <c r="G74" s="20" t="str">
        <f>IFERROR(INDEX('Detalles movimientos'!H$5:H$1000, MATCH(65, 'Detalles movimientos'!$U$5:$U$1000, 0)), "")</f>
        <v/>
      </c>
      <c r="H74" s="21" t="str">
        <f>IFERROR(INDEX('Detalles movimientos'!I$5:I$1000, MATCH(65, 'Detalles movimientos'!$U$5:$U$1000, 0)), "")</f>
        <v/>
      </c>
      <c r="I74" s="20" t="str">
        <f>IFERROR(INDEX('Detalles movimientos'!K$5:K$1000, MATCH(65, 'Detalles movimientos'!$U$5:$U$1000, 0)), "")</f>
        <v/>
      </c>
      <c r="J74" s="19" t="str">
        <f>IFERROR(INDEX('Detalles movimientos'!L$5:L$1000, MATCH(65, 'Detalles movimientos'!$U$5:$U$1000, 0)), "")</f>
        <v/>
      </c>
      <c r="K74" s="20" t="str">
        <f>IFERROR(INDEX('Detalles movimientos'!M$5:M$1000, MATCH(65, 'Detalles movimientos'!$U$5:$U$1000, 0)), "")</f>
        <v/>
      </c>
      <c r="L74" s="18" t="str">
        <f>IFERROR(INDEX('Detalles movimientos'!N$5:N$1000, MATCH(65, 'Detalles movimientos'!$U$5:$U$1000, 0)), "")</f>
        <v/>
      </c>
      <c r="M74" s="18" t="str">
        <f>IFERROR(INDEX('Detalles movimientos'!Q$5:Q$1000, MATCH(65, 'Detalles movimientos'!$U$5:$U$1000, 0)), "")</f>
        <v/>
      </c>
    </row>
    <row r="75" spans="2:13">
      <c r="B75" s="17" t="str">
        <f>IFERROR(INDEX('Detalles movimientos'!C$5:C$1000, MATCH(66, 'Detalles movimientos'!$U$5:$U$1000, 0)), "")</f>
        <v/>
      </c>
      <c r="C75" s="18" t="str">
        <f>IFERROR(INDEX('Detalles movimientos'!D$5:D$1000, MATCH(66, 'Detalles movimientos'!$U$5:$U$1000, 0)), "")</f>
        <v/>
      </c>
      <c r="D75" s="19" t="str">
        <f>IFERROR(INDEX('Detalles movimientos'!E$5:E$1000, MATCH(66, 'Detalles movimientos'!$U$5:$U$1000, 0)), "")</f>
        <v/>
      </c>
      <c r="E75" s="19" t="str">
        <f>IFERROR(INDEX('Detalles movimientos'!F$5:F$1000, MATCH(66, 'Detalles movimientos'!$U$5:$U$1000, 0)), "")</f>
        <v/>
      </c>
      <c r="F75" s="18" t="str">
        <f>IFERROR(INDEX('Detalles movimientos'!G$5:G$1000, MATCH(66, 'Detalles movimientos'!$U$5:$U$1000, 0)), "")</f>
        <v/>
      </c>
      <c r="G75" s="20" t="str">
        <f>IFERROR(INDEX('Detalles movimientos'!H$5:H$1000, MATCH(66, 'Detalles movimientos'!$U$5:$U$1000, 0)), "")</f>
        <v/>
      </c>
      <c r="H75" s="21" t="str">
        <f>IFERROR(INDEX('Detalles movimientos'!I$5:I$1000, MATCH(66, 'Detalles movimientos'!$U$5:$U$1000, 0)), "")</f>
        <v/>
      </c>
      <c r="I75" s="20" t="str">
        <f>IFERROR(INDEX('Detalles movimientos'!K$5:K$1000, MATCH(66, 'Detalles movimientos'!$U$5:$U$1000, 0)), "")</f>
        <v/>
      </c>
      <c r="J75" s="19" t="str">
        <f>IFERROR(INDEX('Detalles movimientos'!L$5:L$1000, MATCH(66, 'Detalles movimientos'!$U$5:$U$1000, 0)), "")</f>
        <v/>
      </c>
      <c r="K75" s="20" t="str">
        <f>IFERROR(INDEX('Detalles movimientos'!M$5:M$1000, MATCH(66, 'Detalles movimientos'!$U$5:$U$1000, 0)), "")</f>
        <v/>
      </c>
      <c r="L75" s="18" t="str">
        <f>IFERROR(INDEX('Detalles movimientos'!N$5:N$1000, MATCH(66, 'Detalles movimientos'!$U$5:$U$1000, 0)), "")</f>
        <v/>
      </c>
      <c r="M75" s="18" t="str">
        <f>IFERROR(INDEX('Detalles movimientos'!Q$5:Q$1000, MATCH(66, 'Detalles movimientos'!$U$5:$U$1000, 0)), "")</f>
        <v/>
      </c>
    </row>
    <row r="76" spans="2:13">
      <c r="B76" s="17" t="str">
        <f>IFERROR(INDEX('Detalles movimientos'!C$5:C$1000, MATCH(67, 'Detalles movimientos'!$U$5:$U$1000, 0)), "")</f>
        <v/>
      </c>
      <c r="C76" s="18" t="str">
        <f>IFERROR(INDEX('Detalles movimientos'!D$5:D$1000, MATCH(67, 'Detalles movimientos'!$U$5:$U$1000, 0)), "")</f>
        <v/>
      </c>
      <c r="D76" s="19" t="str">
        <f>IFERROR(INDEX('Detalles movimientos'!E$5:E$1000, MATCH(67, 'Detalles movimientos'!$U$5:$U$1000, 0)), "")</f>
        <v/>
      </c>
      <c r="E76" s="19" t="str">
        <f>IFERROR(INDEX('Detalles movimientos'!F$5:F$1000, MATCH(67, 'Detalles movimientos'!$U$5:$U$1000, 0)), "")</f>
        <v/>
      </c>
      <c r="F76" s="18" t="str">
        <f>IFERROR(INDEX('Detalles movimientos'!G$5:G$1000, MATCH(67, 'Detalles movimientos'!$U$5:$U$1000, 0)), "")</f>
        <v/>
      </c>
      <c r="G76" s="20" t="str">
        <f>IFERROR(INDEX('Detalles movimientos'!H$5:H$1000, MATCH(67, 'Detalles movimientos'!$U$5:$U$1000, 0)), "")</f>
        <v/>
      </c>
      <c r="H76" s="21" t="str">
        <f>IFERROR(INDEX('Detalles movimientos'!I$5:I$1000, MATCH(67, 'Detalles movimientos'!$U$5:$U$1000, 0)), "")</f>
        <v/>
      </c>
      <c r="I76" s="20" t="str">
        <f>IFERROR(INDEX('Detalles movimientos'!K$5:K$1000, MATCH(67, 'Detalles movimientos'!$U$5:$U$1000, 0)), "")</f>
        <v/>
      </c>
      <c r="J76" s="19" t="str">
        <f>IFERROR(INDEX('Detalles movimientos'!L$5:L$1000, MATCH(67, 'Detalles movimientos'!$U$5:$U$1000, 0)), "")</f>
        <v/>
      </c>
      <c r="K76" s="20" t="str">
        <f>IFERROR(INDEX('Detalles movimientos'!M$5:M$1000, MATCH(67, 'Detalles movimientos'!$U$5:$U$1000, 0)), "")</f>
        <v/>
      </c>
      <c r="L76" s="18" t="str">
        <f>IFERROR(INDEX('Detalles movimientos'!N$5:N$1000, MATCH(67, 'Detalles movimientos'!$U$5:$U$1000, 0)), "")</f>
        <v/>
      </c>
      <c r="M76" s="18" t="str">
        <f>IFERROR(INDEX('Detalles movimientos'!Q$5:Q$1000, MATCH(67, 'Detalles movimientos'!$U$5:$U$1000, 0)), "")</f>
        <v/>
      </c>
    </row>
    <row r="77" spans="2:13">
      <c r="B77" s="17" t="str">
        <f>IFERROR(INDEX('Detalles movimientos'!C$5:C$1000, MATCH(68, 'Detalles movimientos'!$U$5:$U$1000, 0)), "")</f>
        <v/>
      </c>
      <c r="C77" s="18" t="str">
        <f>IFERROR(INDEX('Detalles movimientos'!D$5:D$1000, MATCH(68, 'Detalles movimientos'!$U$5:$U$1000, 0)), "")</f>
        <v/>
      </c>
      <c r="D77" s="19" t="str">
        <f>IFERROR(INDEX('Detalles movimientos'!E$5:E$1000, MATCH(68, 'Detalles movimientos'!$U$5:$U$1000, 0)), "")</f>
        <v/>
      </c>
      <c r="E77" s="19" t="str">
        <f>IFERROR(INDEX('Detalles movimientos'!F$5:F$1000, MATCH(68, 'Detalles movimientos'!$U$5:$U$1000, 0)), "")</f>
        <v/>
      </c>
      <c r="F77" s="18" t="str">
        <f>IFERROR(INDEX('Detalles movimientos'!G$5:G$1000, MATCH(68, 'Detalles movimientos'!$U$5:$U$1000, 0)), "")</f>
        <v/>
      </c>
      <c r="G77" s="20" t="str">
        <f>IFERROR(INDEX('Detalles movimientos'!H$5:H$1000, MATCH(68, 'Detalles movimientos'!$U$5:$U$1000, 0)), "")</f>
        <v/>
      </c>
      <c r="H77" s="21" t="str">
        <f>IFERROR(INDEX('Detalles movimientos'!I$5:I$1000, MATCH(68, 'Detalles movimientos'!$U$5:$U$1000, 0)), "")</f>
        <v/>
      </c>
      <c r="I77" s="20" t="str">
        <f>IFERROR(INDEX('Detalles movimientos'!K$5:K$1000, MATCH(68, 'Detalles movimientos'!$U$5:$U$1000, 0)), "")</f>
        <v/>
      </c>
      <c r="J77" s="19" t="str">
        <f>IFERROR(INDEX('Detalles movimientos'!L$5:L$1000, MATCH(68, 'Detalles movimientos'!$U$5:$U$1000, 0)), "")</f>
        <v/>
      </c>
      <c r="K77" s="20" t="str">
        <f>IFERROR(INDEX('Detalles movimientos'!M$5:M$1000, MATCH(68, 'Detalles movimientos'!$U$5:$U$1000, 0)), "")</f>
        <v/>
      </c>
      <c r="L77" s="18" t="str">
        <f>IFERROR(INDEX('Detalles movimientos'!N$5:N$1000, MATCH(68, 'Detalles movimientos'!$U$5:$U$1000, 0)), "")</f>
        <v/>
      </c>
      <c r="M77" s="18" t="str">
        <f>IFERROR(INDEX('Detalles movimientos'!Q$5:Q$1000, MATCH(68, 'Detalles movimientos'!$U$5:$U$1000, 0)), "")</f>
        <v/>
      </c>
    </row>
    <row r="78" spans="2:13">
      <c r="B78" s="17" t="str">
        <f>IFERROR(INDEX('Detalles movimientos'!C$5:C$1000, MATCH(69, 'Detalles movimientos'!$U$5:$U$1000, 0)), "")</f>
        <v/>
      </c>
      <c r="C78" s="18" t="str">
        <f>IFERROR(INDEX('Detalles movimientos'!D$5:D$1000, MATCH(69, 'Detalles movimientos'!$U$5:$U$1000, 0)), "")</f>
        <v/>
      </c>
      <c r="D78" s="19" t="str">
        <f>IFERROR(INDEX('Detalles movimientos'!E$5:E$1000, MATCH(69, 'Detalles movimientos'!$U$5:$U$1000, 0)), "")</f>
        <v/>
      </c>
      <c r="E78" s="19" t="str">
        <f>IFERROR(INDEX('Detalles movimientos'!F$5:F$1000, MATCH(69, 'Detalles movimientos'!$U$5:$U$1000, 0)), "")</f>
        <v/>
      </c>
      <c r="F78" s="18" t="str">
        <f>IFERROR(INDEX('Detalles movimientos'!G$5:G$1000, MATCH(69, 'Detalles movimientos'!$U$5:$U$1000, 0)), "")</f>
        <v/>
      </c>
      <c r="G78" s="20" t="str">
        <f>IFERROR(INDEX('Detalles movimientos'!H$5:H$1000, MATCH(69, 'Detalles movimientos'!$U$5:$U$1000, 0)), "")</f>
        <v/>
      </c>
      <c r="H78" s="21" t="str">
        <f>IFERROR(INDEX('Detalles movimientos'!I$5:I$1000, MATCH(69, 'Detalles movimientos'!$U$5:$U$1000, 0)), "")</f>
        <v/>
      </c>
      <c r="I78" s="20" t="str">
        <f>IFERROR(INDEX('Detalles movimientos'!K$5:K$1000, MATCH(69, 'Detalles movimientos'!$U$5:$U$1000, 0)), "")</f>
        <v/>
      </c>
      <c r="J78" s="19" t="str">
        <f>IFERROR(INDEX('Detalles movimientos'!L$5:L$1000, MATCH(69, 'Detalles movimientos'!$U$5:$U$1000, 0)), "")</f>
        <v/>
      </c>
      <c r="K78" s="20" t="str">
        <f>IFERROR(INDEX('Detalles movimientos'!M$5:M$1000, MATCH(69, 'Detalles movimientos'!$U$5:$U$1000, 0)), "")</f>
        <v/>
      </c>
      <c r="L78" s="18" t="str">
        <f>IFERROR(INDEX('Detalles movimientos'!N$5:N$1000, MATCH(69, 'Detalles movimientos'!$U$5:$U$1000, 0)), "")</f>
        <v/>
      </c>
      <c r="M78" s="18" t="str">
        <f>IFERROR(INDEX('Detalles movimientos'!Q$5:Q$1000, MATCH(69, 'Detalles movimientos'!$U$5:$U$1000, 0)), "")</f>
        <v/>
      </c>
    </row>
    <row r="79" spans="2:13">
      <c r="B79" s="17" t="str">
        <f>IFERROR(INDEX('Detalles movimientos'!C$5:C$1000, MATCH(70, 'Detalles movimientos'!$U$5:$U$1000, 0)), "")</f>
        <v/>
      </c>
      <c r="C79" s="18" t="str">
        <f>IFERROR(INDEX('Detalles movimientos'!D$5:D$1000, MATCH(70, 'Detalles movimientos'!$U$5:$U$1000, 0)), "")</f>
        <v/>
      </c>
      <c r="D79" s="19" t="str">
        <f>IFERROR(INDEX('Detalles movimientos'!E$5:E$1000, MATCH(70, 'Detalles movimientos'!$U$5:$U$1000, 0)), "")</f>
        <v/>
      </c>
      <c r="E79" s="19" t="str">
        <f>IFERROR(INDEX('Detalles movimientos'!F$5:F$1000, MATCH(70, 'Detalles movimientos'!$U$5:$U$1000, 0)), "")</f>
        <v/>
      </c>
      <c r="F79" s="18" t="str">
        <f>IFERROR(INDEX('Detalles movimientos'!G$5:G$1000, MATCH(70, 'Detalles movimientos'!$U$5:$U$1000, 0)), "")</f>
        <v/>
      </c>
      <c r="G79" s="20" t="str">
        <f>IFERROR(INDEX('Detalles movimientos'!H$5:H$1000, MATCH(70, 'Detalles movimientos'!$U$5:$U$1000, 0)), "")</f>
        <v/>
      </c>
      <c r="H79" s="21" t="str">
        <f>IFERROR(INDEX('Detalles movimientos'!I$5:I$1000, MATCH(70, 'Detalles movimientos'!$U$5:$U$1000, 0)), "")</f>
        <v/>
      </c>
      <c r="I79" s="20" t="str">
        <f>IFERROR(INDEX('Detalles movimientos'!K$5:K$1000, MATCH(70, 'Detalles movimientos'!$U$5:$U$1000, 0)), "")</f>
        <v/>
      </c>
      <c r="J79" s="19" t="str">
        <f>IFERROR(INDEX('Detalles movimientos'!L$5:L$1000, MATCH(70, 'Detalles movimientos'!$U$5:$U$1000, 0)), "")</f>
        <v/>
      </c>
      <c r="K79" s="20" t="str">
        <f>IFERROR(INDEX('Detalles movimientos'!M$5:M$1000, MATCH(70, 'Detalles movimientos'!$U$5:$U$1000, 0)), "")</f>
        <v/>
      </c>
      <c r="L79" s="18" t="str">
        <f>IFERROR(INDEX('Detalles movimientos'!N$5:N$1000, MATCH(70, 'Detalles movimientos'!$U$5:$U$1000, 0)), "")</f>
        <v/>
      </c>
      <c r="M79" s="18" t="str">
        <f>IFERROR(INDEX('Detalles movimientos'!Q$5:Q$1000, MATCH(70, 'Detalles movimientos'!$U$5:$U$1000, 0)), "")</f>
        <v/>
      </c>
    </row>
    <row r="80" spans="2:13">
      <c r="B80" s="17" t="str">
        <f>IFERROR(INDEX('Detalles movimientos'!C$5:C$1000, MATCH(71, 'Detalles movimientos'!$U$5:$U$1000, 0)), "")</f>
        <v/>
      </c>
      <c r="C80" s="18" t="str">
        <f>IFERROR(INDEX('Detalles movimientos'!D$5:D$1000, MATCH(71, 'Detalles movimientos'!$U$5:$U$1000, 0)), "")</f>
        <v/>
      </c>
      <c r="D80" s="19" t="str">
        <f>IFERROR(INDEX('Detalles movimientos'!E$5:E$1000, MATCH(71, 'Detalles movimientos'!$U$5:$U$1000, 0)), "")</f>
        <v/>
      </c>
      <c r="E80" s="19" t="str">
        <f>IFERROR(INDEX('Detalles movimientos'!F$5:F$1000, MATCH(71, 'Detalles movimientos'!$U$5:$U$1000, 0)), "")</f>
        <v/>
      </c>
      <c r="F80" s="18" t="str">
        <f>IFERROR(INDEX('Detalles movimientos'!G$5:G$1000, MATCH(71, 'Detalles movimientos'!$U$5:$U$1000, 0)), "")</f>
        <v/>
      </c>
      <c r="G80" s="20" t="str">
        <f>IFERROR(INDEX('Detalles movimientos'!H$5:H$1000, MATCH(71, 'Detalles movimientos'!$U$5:$U$1000, 0)), "")</f>
        <v/>
      </c>
      <c r="H80" s="21" t="str">
        <f>IFERROR(INDEX('Detalles movimientos'!I$5:I$1000, MATCH(71, 'Detalles movimientos'!$U$5:$U$1000, 0)), "")</f>
        <v/>
      </c>
      <c r="I80" s="20" t="str">
        <f>IFERROR(INDEX('Detalles movimientos'!K$5:K$1000, MATCH(71, 'Detalles movimientos'!$U$5:$U$1000, 0)), "")</f>
        <v/>
      </c>
      <c r="J80" s="19" t="str">
        <f>IFERROR(INDEX('Detalles movimientos'!L$5:L$1000, MATCH(71, 'Detalles movimientos'!$U$5:$U$1000, 0)), "")</f>
        <v/>
      </c>
      <c r="K80" s="20" t="str">
        <f>IFERROR(INDEX('Detalles movimientos'!M$5:M$1000, MATCH(71, 'Detalles movimientos'!$U$5:$U$1000, 0)), "")</f>
        <v/>
      </c>
      <c r="L80" s="18" t="str">
        <f>IFERROR(INDEX('Detalles movimientos'!N$5:N$1000, MATCH(71, 'Detalles movimientos'!$U$5:$U$1000, 0)), "")</f>
        <v/>
      </c>
      <c r="M80" s="18" t="str">
        <f>IFERROR(INDEX('Detalles movimientos'!Q$5:Q$1000, MATCH(71, 'Detalles movimientos'!$U$5:$U$1000, 0)), "")</f>
        <v/>
      </c>
    </row>
    <row r="81" spans="2:13">
      <c r="B81" s="17" t="str">
        <f>IFERROR(INDEX('Detalles movimientos'!C$5:C$1000, MATCH(72, 'Detalles movimientos'!$U$5:$U$1000, 0)), "")</f>
        <v/>
      </c>
      <c r="C81" s="18" t="str">
        <f>IFERROR(INDEX('Detalles movimientos'!D$5:D$1000, MATCH(72, 'Detalles movimientos'!$U$5:$U$1000, 0)), "")</f>
        <v/>
      </c>
      <c r="D81" s="19" t="str">
        <f>IFERROR(INDEX('Detalles movimientos'!E$5:E$1000, MATCH(72, 'Detalles movimientos'!$U$5:$U$1000, 0)), "")</f>
        <v/>
      </c>
      <c r="E81" s="19" t="str">
        <f>IFERROR(INDEX('Detalles movimientos'!F$5:F$1000, MATCH(72, 'Detalles movimientos'!$U$5:$U$1000, 0)), "")</f>
        <v/>
      </c>
      <c r="F81" s="18" t="str">
        <f>IFERROR(INDEX('Detalles movimientos'!G$5:G$1000, MATCH(72, 'Detalles movimientos'!$U$5:$U$1000, 0)), "")</f>
        <v/>
      </c>
      <c r="G81" s="20" t="str">
        <f>IFERROR(INDEX('Detalles movimientos'!H$5:H$1000, MATCH(72, 'Detalles movimientos'!$U$5:$U$1000, 0)), "")</f>
        <v/>
      </c>
      <c r="H81" s="21" t="str">
        <f>IFERROR(INDEX('Detalles movimientos'!I$5:I$1000, MATCH(72, 'Detalles movimientos'!$U$5:$U$1000, 0)), "")</f>
        <v/>
      </c>
      <c r="I81" s="20" t="str">
        <f>IFERROR(INDEX('Detalles movimientos'!K$5:K$1000, MATCH(72, 'Detalles movimientos'!$U$5:$U$1000, 0)), "")</f>
        <v/>
      </c>
      <c r="J81" s="19" t="str">
        <f>IFERROR(INDEX('Detalles movimientos'!L$5:L$1000, MATCH(72, 'Detalles movimientos'!$U$5:$U$1000, 0)), "")</f>
        <v/>
      </c>
      <c r="K81" s="20" t="str">
        <f>IFERROR(INDEX('Detalles movimientos'!M$5:M$1000, MATCH(72, 'Detalles movimientos'!$U$5:$U$1000, 0)), "")</f>
        <v/>
      </c>
      <c r="L81" s="18" t="str">
        <f>IFERROR(INDEX('Detalles movimientos'!N$5:N$1000, MATCH(72, 'Detalles movimientos'!$U$5:$U$1000, 0)), "")</f>
        <v/>
      </c>
      <c r="M81" s="18" t="str">
        <f>IFERROR(INDEX('Detalles movimientos'!Q$5:Q$1000, MATCH(72, 'Detalles movimientos'!$U$5:$U$1000, 0)), "")</f>
        <v/>
      </c>
    </row>
    <row r="82" spans="2:13">
      <c r="B82" s="17" t="str">
        <f>IFERROR(INDEX('Detalles movimientos'!C$5:C$1000, MATCH(73, 'Detalles movimientos'!$U$5:$U$1000, 0)), "")</f>
        <v/>
      </c>
      <c r="C82" s="18" t="str">
        <f>IFERROR(INDEX('Detalles movimientos'!D$5:D$1000, MATCH(73, 'Detalles movimientos'!$U$5:$U$1000, 0)), "")</f>
        <v/>
      </c>
      <c r="D82" s="19" t="str">
        <f>IFERROR(INDEX('Detalles movimientos'!E$5:E$1000, MATCH(73, 'Detalles movimientos'!$U$5:$U$1000, 0)), "")</f>
        <v/>
      </c>
      <c r="E82" s="19" t="str">
        <f>IFERROR(INDEX('Detalles movimientos'!F$5:F$1000, MATCH(73, 'Detalles movimientos'!$U$5:$U$1000, 0)), "")</f>
        <v/>
      </c>
      <c r="F82" s="18" t="str">
        <f>IFERROR(INDEX('Detalles movimientos'!G$5:G$1000, MATCH(73, 'Detalles movimientos'!$U$5:$U$1000, 0)), "")</f>
        <v/>
      </c>
      <c r="G82" s="20" t="str">
        <f>IFERROR(INDEX('Detalles movimientos'!H$5:H$1000, MATCH(73, 'Detalles movimientos'!$U$5:$U$1000, 0)), "")</f>
        <v/>
      </c>
      <c r="H82" s="21" t="str">
        <f>IFERROR(INDEX('Detalles movimientos'!I$5:I$1000, MATCH(73, 'Detalles movimientos'!$U$5:$U$1000, 0)), "")</f>
        <v/>
      </c>
      <c r="I82" s="20" t="str">
        <f>IFERROR(INDEX('Detalles movimientos'!K$5:K$1000, MATCH(73, 'Detalles movimientos'!$U$5:$U$1000, 0)), "")</f>
        <v/>
      </c>
      <c r="J82" s="19" t="str">
        <f>IFERROR(INDEX('Detalles movimientos'!L$5:L$1000, MATCH(73, 'Detalles movimientos'!$U$5:$U$1000, 0)), "")</f>
        <v/>
      </c>
      <c r="K82" s="20" t="str">
        <f>IFERROR(INDEX('Detalles movimientos'!M$5:M$1000, MATCH(73, 'Detalles movimientos'!$U$5:$U$1000, 0)), "")</f>
        <v/>
      </c>
      <c r="L82" s="18" t="str">
        <f>IFERROR(INDEX('Detalles movimientos'!N$5:N$1000, MATCH(73, 'Detalles movimientos'!$U$5:$U$1000, 0)), "")</f>
        <v/>
      </c>
      <c r="M82" s="18" t="str">
        <f>IFERROR(INDEX('Detalles movimientos'!Q$5:Q$1000, MATCH(73, 'Detalles movimientos'!$U$5:$U$1000, 0)), "")</f>
        <v/>
      </c>
    </row>
    <row r="83" spans="2:13">
      <c r="B83" s="17" t="str">
        <f>IFERROR(INDEX('Detalles movimientos'!C$5:C$1000, MATCH(74, 'Detalles movimientos'!$U$5:$U$1000, 0)), "")</f>
        <v/>
      </c>
      <c r="C83" s="18" t="str">
        <f>IFERROR(INDEX('Detalles movimientos'!D$5:D$1000, MATCH(74, 'Detalles movimientos'!$U$5:$U$1000, 0)), "")</f>
        <v/>
      </c>
      <c r="D83" s="19" t="str">
        <f>IFERROR(INDEX('Detalles movimientos'!E$5:E$1000, MATCH(74, 'Detalles movimientos'!$U$5:$U$1000, 0)), "")</f>
        <v/>
      </c>
      <c r="E83" s="19" t="str">
        <f>IFERROR(INDEX('Detalles movimientos'!F$5:F$1000, MATCH(74, 'Detalles movimientos'!$U$5:$U$1000, 0)), "")</f>
        <v/>
      </c>
      <c r="F83" s="18" t="str">
        <f>IFERROR(INDEX('Detalles movimientos'!G$5:G$1000, MATCH(74, 'Detalles movimientos'!$U$5:$U$1000, 0)), "")</f>
        <v/>
      </c>
      <c r="G83" s="20" t="str">
        <f>IFERROR(INDEX('Detalles movimientos'!H$5:H$1000, MATCH(74, 'Detalles movimientos'!$U$5:$U$1000, 0)), "")</f>
        <v/>
      </c>
      <c r="H83" s="21" t="str">
        <f>IFERROR(INDEX('Detalles movimientos'!I$5:I$1000, MATCH(74, 'Detalles movimientos'!$U$5:$U$1000, 0)), "")</f>
        <v/>
      </c>
      <c r="I83" s="20" t="str">
        <f>IFERROR(INDEX('Detalles movimientos'!K$5:K$1000, MATCH(74, 'Detalles movimientos'!$U$5:$U$1000, 0)), "")</f>
        <v/>
      </c>
      <c r="J83" s="19" t="str">
        <f>IFERROR(INDEX('Detalles movimientos'!L$5:L$1000, MATCH(74, 'Detalles movimientos'!$U$5:$U$1000, 0)), "")</f>
        <v/>
      </c>
      <c r="K83" s="20" t="str">
        <f>IFERROR(INDEX('Detalles movimientos'!M$5:M$1000, MATCH(74, 'Detalles movimientos'!$U$5:$U$1000, 0)), "")</f>
        <v/>
      </c>
      <c r="L83" s="18" t="str">
        <f>IFERROR(INDEX('Detalles movimientos'!N$5:N$1000, MATCH(74, 'Detalles movimientos'!$U$5:$U$1000, 0)), "")</f>
        <v/>
      </c>
      <c r="M83" s="18" t="str">
        <f>IFERROR(INDEX('Detalles movimientos'!Q$5:Q$1000, MATCH(74, 'Detalles movimientos'!$U$5:$U$1000, 0)), "")</f>
        <v/>
      </c>
    </row>
    <row r="84" spans="2:13">
      <c r="B84" s="17" t="str">
        <f>IFERROR(INDEX('Detalles movimientos'!C$5:C$1000, MATCH(75, 'Detalles movimientos'!$U$5:$U$1000, 0)), "")</f>
        <v/>
      </c>
      <c r="C84" s="18" t="str">
        <f>IFERROR(INDEX('Detalles movimientos'!D$5:D$1000, MATCH(75, 'Detalles movimientos'!$U$5:$U$1000, 0)), "")</f>
        <v/>
      </c>
      <c r="D84" s="19" t="str">
        <f>IFERROR(INDEX('Detalles movimientos'!E$5:E$1000, MATCH(75, 'Detalles movimientos'!$U$5:$U$1000, 0)), "")</f>
        <v/>
      </c>
      <c r="E84" s="19" t="str">
        <f>IFERROR(INDEX('Detalles movimientos'!F$5:F$1000, MATCH(75, 'Detalles movimientos'!$U$5:$U$1000, 0)), "")</f>
        <v/>
      </c>
      <c r="F84" s="18" t="str">
        <f>IFERROR(INDEX('Detalles movimientos'!G$5:G$1000, MATCH(75, 'Detalles movimientos'!$U$5:$U$1000, 0)), "")</f>
        <v/>
      </c>
      <c r="G84" s="20" t="str">
        <f>IFERROR(INDEX('Detalles movimientos'!H$5:H$1000, MATCH(75, 'Detalles movimientos'!$U$5:$U$1000, 0)), "")</f>
        <v/>
      </c>
      <c r="H84" s="21" t="str">
        <f>IFERROR(INDEX('Detalles movimientos'!I$5:I$1000, MATCH(75, 'Detalles movimientos'!$U$5:$U$1000, 0)), "")</f>
        <v/>
      </c>
      <c r="I84" s="20" t="str">
        <f>IFERROR(INDEX('Detalles movimientos'!K$5:K$1000, MATCH(75, 'Detalles movimientos'!$U$5:$U$1000, 0)), "")</f>
        <v/>
      </c>
      <c r="J84" s="19" t="str">
        <f>IFERROR(INDEX('Detalles movimientos'!L$5:L$1000, MATCH(75, 'Detalles movimientos'!$U$5:$U$1000, 0)), "")</f>
        <v/>
      </c>
      <c r="K84" s="20" t="str">
        <f>IFERROR(INDEX('Detalles movimientos'!M$5:M$1000, MATCH(75, 'Detalles movimientos'!$U$5:$U$1000, 0)), "")</f>
        <v/>
      </c>
      <c r="L84" s="18" t="str">
        <f>IFERROR(INDEX('Detalles movimientos'!N$5:N$1000, MATCH(75, 'Detalles movimientos'!$U$5:$U$1000, 0)), "")</f>
        <v/>
      </c>
      <c r="M84" s="18" t="str">
        <f>IFERROR(INDEX('Detalles movimientos'!Q$5:Q$1000, MATCH(75, 'Detalles movimientos'!$U$5:$U$1000, 0)), "")</f>
        <v/>
      </c>
    </row>
    <row r="85" spans="2:13">
      <c r="B85" s="17" t="str">
        <f>IFERROR(INDEX('Detalles movimientos'!C$5:C$1000, MATCH(76, 'Detalles movimientos'!$U$5:$U$1000, 0)), "")</f>
        <v/>
      </c>
      <c r="C85" s="18" t="str">
        <f>IFERROR(INDEX('Detalles movimientos'!D$5:D$1000, MATCH(76, 'Detalles movimientos'!$U$5:$U$1000, 0)), "")</f>
        <v/>
      </c>
      <c r="D85" s="19" t="str">
        <f>IFERROR(INDEX('Detalles movimientos'!E$5:E$1000, MATCH(76, 'Detalles movimientos'!$U$5:$U$1000, 0)), "")</f>
        <v/>
      </c>
      <c r="E85" s="19" t="str">
        <f>IFERROR(INDEX('Detalles movimientos'!F$5:F$1000, MATCH(76, 'Detalles movimientos'!$U$5:$U$1000, 0)), "")</f>
        <v/>
      </c>
      <c r="F85" s="18" t="str">
        <f>IFERROR(INDEX('Detalles movimientos'!G$5:G$1000, MATCH(76, 'Detalles movimientos'!$U$5:$U$1000, 0)), "")</f>
        <v/>
      </c>
      <c r="G85" s="20" t="str">
        <f>IFERROR(INDEX('Detalles movimientos'!H$5:H$1000, MATCH(76, 'Detalles movimientos'!$U$5:$U$1000, 0)), "")</f>
        <v/>
      </c>
      <c r="H85" s="21" t="str">
        <f>IFERROR(INDEX('Detalles movimientos'!I$5:I$1000, MATCH(76, 'Detalles movimientos'!$U$5:$U$1000, 0)), "")</f>
        <v/>
      </c>
      <c r="I85" s="20" t="str">
        <f>IFERROR(INDEX('Detalles movimientos'!K$5:K$1000, MATCH(76, 'Detalles movimientos'!$U$5:$U$1000, 0)), "")</f>
        <v/>
      </c>
      <c r="J85" s="19" t="str">
        <f>IFERROR(INDEX('Detalles movimientos'!L$5:L$1000, MATCH(76, 'Detalles movimientos'!$U$5:$U$1000, 0)), "")</f>
        <v/>
      </c>
      <c r="K85" s="20" t="str">
        <f>IFERROR(INDEX('Detalles movimientos'!M$5:M$1000, MATCH(76, 'Detalles movimientos'!$U$5:$U$1000, 0)), "")</f>
        <v/>
      </c>
      <c r="L85" s="18" t="str">
        <f>IFERROR(INDEX('Detalles movimientos'!N$5:N$1000, MATCH(76, 'Detalles movimientos'!$U$5:$U$1000, 0)), "")</f>
        <v/>
      </c>
      <c r="M85" s="18" t="str">
        <f>IFERROR(INDEX('Detalles movimientos'!Q$5:Q$1000, MATCH(76, 'Detalles movimientos'!$U$5:$U$1000, 0)), "")</f>
        <v/>
      </c>
    </row>
    <row r="86" spans="2:13">
      <c r="B86" s="17" t="str">
        <f>IFERROR(INDEX('Detalles movimientos'!C$5:C$1000, MATCH(77, 'Detalles movimientos'!$U$5:$U$1000, 0)), "")</f>
        <v/>
      </c>
      <c r="C86" s="18" t="str">
        <f>IFERROR(INDEX('Detalles movimientos'!D$5:D$1000, MATCH(77, 'Detalles movimientos'!$U$5:$U$1000, 0)), "")</f>
        <v/>
      </c>
      <c r="D86" s="19" t="str">
        <f>IFERROR(INDEX('Detalles movimientos'!E$5:E$1000, MATCH(77, 'Detalles movimientos'!$U$5:$U$1000, 0)), "")</f>
        <v/>
      </c>
      <c r="E86" s="19" t="str">
        <f>IFERROR(INDEX('Detalles movimientos'!F$5:F$1000, MATCH(77, 'Detalles movimientos'!$U$5:$U$1000, 0)), "")</f>
        <v/>
      </c>
      <c r="F86" s="18" t="str">
        <f>IFERROR(INDEX('Detalles movimientos'!G$5:G$1000, MATCH(77, 'Detalles movimientos'!$U$5:$U$1000, 0)), "")</f>
        <v/>
      </c>
      <c r="G86" s="20" t="str">
        <f>IFERROR(INDEX('Detalles movimientos'!H$5:H$1000, MATCH(77, 'Detalles movimientos'!$U$5:$U$1000, 0)), "")</f>
        <v/>
      </c>
      <c r="H86" s="21" t="str">
        <f>IFERROR(INDEX('Detalles movimientos'!I$5:I$1000, MATCH(77, 'Detalles movimientos'!$U$5:$U$1000, 0)), "")</f>
        <v/>
      </c>
      <c r="I86" s="20" t="str">
        <f>IFERROR(INDEX('Detalles movimientos'!K$5:K$1000, MATCH(77, 'Detalles movimientos'!$U$5:$U$1000, 0)), "")</f>
        <v/>
      </c>
      <c r="J86" s="19" t="str">
        <f>IFERROR(INDEX('Detalles movimientos'!L$5:L$1000, MATCH(77, 'Detalles movimientos'!$U$5:$U$1000, 0)), "")</f>
        <v/>
      </c>
      <c r="K86" s="20" t="str">
        <f>IFERROR(INDEX('Detalles movimientos'!M$5:M$1000, MATCH(77, 'Detalles movimientos'!$U$5:$U$1000, 0)), "")</f>
        <v/>
      </c>
      <c r="L86" s="18" t="str">
        <f>IFERROR(INDEX('Detalles movimientos'!N$5:N$1000, MATCH(77, 'Detalles movimientos'!$U$5:$U$1000, 0)), "")</f>
        <v/>
      </c>
      <c r="M86" s="18" t="str">
        <f>IFERROR(INDEX('Detalles movimientos'!Q$5:Q$1000, MATCH(77, 'Detalles movimientos'!$U$5:$U$1000, 0)), "")</f>
        <v/>
      </c>
    </row>
    <row r="87" spans="2:13">
      <c r="B87" s="17" t="str">
        <f>IFERROR(INDEX('Detalles movimientos'!C$5:C$1000, MATCH(78, 'Detalles movimientos'!$U$5:$U$1000, 0)), "")</f>
        <v/>
      </c>
      <c r="C87" s="18" t="str">
        <f>IFERROR(INDEX('Detalles movimientos'!D$5:D$1000, MATCH(78, 'Detalles movimientos'!$U$5:$U$1000, 0)), "")</f>
        <v/>
      </c>
      <c r="D87" s="19" t="str">
        <f>IFERROR(INDEX('Detalles movimientos'!E$5:E$1000, MATCH(78, 'Detalles movimientos'!$U$5:$U$1000, 0)), "")</f>
        <v/>
      </c>
      <c r="E87" s="19" t="str">
        <f>IFERROR(INDEX('Detalles movimientos'!F$5:F$1000, MATCH(78, 'Detalles movimientos'!$U$5:$U$1000, 0)), "")</f>
        <v/>
      </c>
      <c r="F87" s="18" t="str">
        <f>IFERROR(INDEX('Detalles movimientos'!G$5:G$1000, MATCH(78, 'Detalles movimientos'!$U$5:$U$1000, 0)), "")</f>
        <v/>
      </c>
      <c r="G87" s="20" t="str">
        <f>IFERROR(INDEX('Detalles movimientos'!H$5:H$1000, MATCH(78, 'Detalles movimientos'!$U$5:$U$1000, 0)), "")</f>
        <v/>
      </c>
      <c r="H87" s="21" t="str">
        <f>IFERROR(INDEX('Detalles movimientos'!I$5:I$1000, MATCH(78, 'Detalles movimientos'!$U$5:$U$1000, 0)), "")</f>
        <v/>
      </c>
      <c r="I87" s="20" t="str">
        <f>IFERROR(INDEX('Detalles movimientos'!K$5:K$1000, MATCH(78, 'Detalles movimientos'!$U$5:$U$1000, 0)), "")</f>
        <v/>
      </c>
      <c r="J87" s="19" t="str">
        <f>IFERROR(INDEX('Detalles movimientos'!L$5:L$1000, MATCH(78, 'Detalles movimientos'!$U$5:$U$1000, 0)), "")</f>
        <v/>
      </c>
      <c r="K87" s="20" t="str">
        <f>IFERROR(INDEX('Detalles movimientos'!M$5:M$1000, MATCH(78, 'Detalles movimientos'!$U$5:$U$1000, 0)), "")</f>
        <v/>
      </c>
      <c r="L87" s="18" t="str">
        <f>IFERROR(INDEX('Detalles movimientos'!N$5:N$1000, MATCH(78, 'Detalles movimientos'!$U$5:$U$1000, 0)), "")</f>
        <v/>
      </c>
      <c r="M87" s="18" t="str">
        <f>IFERROR(INDEX('Detalles movimientos'!Q$5:Q$1000, MATCH(78, 'Detalles movimientos'!$U$5:$U$1000, 0)), "")</f>
        <v/>
      </c>
    </row>
    <row r="88" spans="2:13">
      <c r="B88" s="17" t="str">
        <f>IFERROR(INDEX('Detalles movimientos'!C$5:C$1000, MATCH(79, 'Detalles movimientos'!$U$5:$U$1000, 0)), "")</f>
        <v/>
      </c>
      <c r="C88" s="18" t="str">
        <f>IFERROR(INDEX('Detalles movimientos'!D$5:D$1000, MATCH(79, 'Detalles movimientos'!$U$5:$U$1000, 0)), "")</f>
        <v/>
      </c>
      <c r="D88" s="19" t="str">
        <f>IFERROR(INDEX('Detalles movimientos'!E$5:E$1000, MATCH(79, 'Detalles movimientos'!$U$5:$U$1000, 0)), "")</f>
        <v/>
      </c>
      <c r="E88" s="19" t="str">
        <f>IFERROR(INDEX('Detalles movimientos'!F$5:F$1000, MATCH(79, 'Detalles movimientos'!$U$5:$U$1000, 0)), "")</f>
        <v/>
      </c>
      <c r="F88" s="18" t="str">
        <f>IFERROR(INDEX('Detalles movimientos'!G$5:G$1000, MATCH(79, 'Detalles movimientos'!$U$5:$U$1000, 0)), "")</f>
        <v/>
      </c>
      <c r="G88" s="20" t="str">
        <f>IFERROR(INDEX('Detalles movimientos'!H$5:H$1000, MATCH(79, 'Detalles movimientos'!$U$5:$U$1000, 0)), "")</f>
        <v/>
      </c>
      <c r="H88" s="21" t="str">
        <f>IFERROR(INDEX('Detalles movimientos'!I$5:I$1000, MATCH(79, 'Detalles movimientos'!$U$5:$U$1000, 0)), "")</f>
        <v/>
      </c>
      <c r="I88" s="20" t="str">
        <f>IFERROR(INDEX('Detalles movimientos'!K$5:K$1000, MATCH(79, 'Detalles movimientos'!$U$5:$U$1000, 0)), "")</f>
        <v/>
      </c>
      <c r="J88" s="19" t="str">
        <f>IFERROR(INDEX('Detalles movimientos'!L$5:L$1000, MATCH(79, 'Detalles movimientos'!$U$5:$U$1000, 0)), "")</f>
        <v/>
      </c>
      <c r="K88" s="20" t="str">
        <f>IFERROR(INDEX('Detalles movimientos'!M$5:M$1000, MATCH(79, 'Detalles movimientos'!$U$5:$U$1000, 0)), "")</f>
        <v/>
      </c>
      <c r="L88" s="18" t="str">
        <f>IFERROR(INDEX('Detalles movimientos'!N$5:N$1000, MATCH(79, 'Detalles movimientos'!$U$5:$U$1000, 0)), "")</f>
        <v/>
      </c>
      <c r="M88" s="18" t="str">
        <f>IFERROR(INDEX('Detalles movimientos'!Q$5:Q$1000, MATCH(79, 'Detalles movimientos'!$U$5:$U$1000, 0)), "")</f>
        <v/>
      </c>
    </row>
    <row r="89" spans="2:13">
      <c r="B89" s="17" t="str">
        <f>IFERROR(INDEX('Detalles movimientos'!C$5:C$1000, MATCH(80, 'Detalles movimientos'!$U$5:$U$1000, 0)), "")</f>
        <v/>
      </c>
      <c r="C89" s="18" t="str">
        <f>IFERROR(INDEX('Detalles movimientos'!D$5:D$1000, MATCH(80, 'Detalles movimientos'!$U$5:$U$1000, 0)), "")</f>
        <v/>
      </c>
      <c r="D89" s="19" t="str">
        <f>IFERROR(INDEX('Detalles movimientos'!E$5:E$1000, MATCH(80, 'Detalles movimientos'!$U$5:$U$1000, 0)), "")</f>
        <v/>
      </c>
      <c r="E89" s="19" t="str">
        <f>IFERROR(INDEX('Detalles movimientos'!F$5:F$1000, MATCH(80, 'Detalles movimientos'!$U$5:$U$1000, 0)), "")</f>
        <v/>
      </c>
      <c r="F89" s="18" t="str">
        <f>IFERROR(INDEX('Detalles movimientos'!G$5:G$1000, MATCH(80, 'Detalles movimientos'!$U$5:$U$1000, 0)), "")</f>
        <v/>
      </c>
      <c r="G89" s="20" t="str">
        <f>IFERROR(INDEX('Detalles movimientos'!H$5:H$1000, MATCH(80, 'Detalles movimientos'!$U$5:$U$1000, 0)), "")</f>
        <v/>
      </c>
      <c r="H89" s="21" t="str">
        <f>IFERROR(INDEX('Detalles movimientos'!I$5:I$1000, MATCH(80, 'Detalles movimientos'!$U$5:$U$1000, 0)), "")</f>
        <v/>
      </c>
      <c r="I89" s="20" t="str">
        <f>IFERROR(INDEX('Detalles movimientos'!K$5:K$1000, MATCH(80, 'Detalles movimientos'!$U$5:$U$1000, 0)), "")</f>
        <v/>
      </c>
      <c r="J89" s="19" t="str">
        <f>IFERROR(INDEX('Detalles movimientos'!L$5:L$1000, MATCH(80, 'Detalles movimientos'!$U$5:$U$1000, 0)), "")</f>
        <v/>
      </c>
      <c r="K89" s="20" t="str">
        <f>IFERROR(INDEX('Detalles movimientos'!M$5:M$1000, MATCH(80, 'Detalles movimientos'!$U$5:$U$1000, 0)), "")</f>
        <v/>
      </c>
      <c r="L89" s="18" t="str">
        <f>IFERROR(INDEX('Detalles movimientos'!N$5:N$1000, MATCH(80, 'Detalles movimientos'!$U$5:$U$1000, 0)), "")</f>
        <v/>
      </c>
      <c r="M89" s="18" t="str">
        <f>IFERROR(INDEX('Detalles movimientos'!Q$5:Q$1000, MATCH(80, 'Detalles movimientos'!$U$5:$U$1000, 0)), "")</f>
        <v/>
      </c>
    </row>
    <row r="90" spans="2:13">
      <c r="B90" s="17" t="str">
        <f>IFERROR(INDEX('Detalles movimientos'!C$5:C$1000, MATCH(81, 'Detalles movimientos'!$U$5:$U$1000, 0)), "")</f>
        <v/>
      </c>
      <c r="C90" s="18" t="str">
        <f>IFERROR(INDEX('Detalles movimientos'!D$5:D$1000, MATCH(81, 'Detalles movimientos'!$U$5:$U$1000, 0)), "")</f>
        <v/>
      </c>
      <c r="D90" s="19" t="str">
        <f>IFERROR(INDEX('Detalles movimientos'!E$5:E$1000, MATCH(81, 'Detalles movimientos'!$U$5:$U$1000, 0)), "")</f>
        <v/>
      </c>
      <c r="E90" s="19" t="str">
        <f>IFERROR(INDEX('Detalles movimientos'!F$5:F$1000, MATCH(81, 'Detalles movimientos'!$U$5:$U$1000, 0)), "")</f>
        <v/>
      </c>
      <c r="F90" s="18" t="str">
        <f>IFERROR(INDEX('Detalles movimientos'!G$5:G$1000, MATCH(81, 'Detalles movimientos'!$U$5:$U$1000, 0)), "")</f>
        <v/>
      </c>
      <c r="G90" s="20" t="str">
        <f>IFERROR(INDEX('Detalles movimientos'!H$5:H$1000, MATCH(81, 'Detalles movimientos'!$U$5:$U$1000, 0)), "")</f>
        <v/>
      </c>
      <c r="H90" s="21" t="str">
        <f>IFERROR(INDEX('Detalles movimientos'!I$5:I$1000, MATCH(81, 'Detalles movimientos'!$U$5:$U$1000, 0)), "")</f>
        <v/>
      </c>
      <c r="I90" s="20" t="str">
        <f>IFERROR(INDEX('Detalles movimientos'!K$5:K$1000, MATCH(81, 'Detalles movimientos'!$U$5:$U$1000, 0)), "")</f>
        <v/>
      </c>
      <c r="J90" s="19" t="str">
        <f>IFERROR(INDEX('Detalles movimientos'!L$5:L$1000, MATCH(81, 'Detalles movimientos'!$U$5:$U$1000, 0)), "")</f>
        <v/>
      </c>
      <c r="K90" s="20" t="str">
        <f>IFERROR(INDEX('Detalles movimientos'!M$5:M$1000, MATCH(81, 'Detalles movimientos'!$U$5:$U$1000, 0)), "")</f>
        <v/>
      </c>
      <c r="L90" s="18" t="str">
        <f>IFERROR(INDEX('Detalles movimientos'!N$5:N$1000, MATCH(81, 'Detalles movimientos'!$U$5:$U$1000, 0)), "")</f>
        <v/>
      </c>
      <c r="M90" s="18" t="str">
        <f>IFERROR(INDEX('Detalles movimientos'!Q$5:Q$1000, MATCH(81, 'Detalles movimientos'!$U$5:$U$1000, 0)), "")</f>
        <v/>
      </c>
    </row>
    <row r="91" spans="2:13">
      <c r="B91" s="17" t="str">
        <f>IFERROR(INDEX('Detalles movimientos'!C$5:C$1000, MATCH(82, 'Detalles movimientos'!$U$5:$U$1000, 0)), "")</f>
        <v/>
      </c>
      <c r="C91" s="18" t="str">
        <f>IFERROR(INDEX('Detalles movimientos'!D$5:D$1000, MATCH(82, 'Detalles movimientos'!$U$5:$U$1000, 0)), "")</f>
        <v/>
      </c>
      <c r="D91" s="19" t="str">
        <f>IFERROR(INDEX('Detalles movimientos'!E$5:E$1000, MATCH(82, 'Detalles movimientos'!$U$5:$U$1000, 0)), "")</f>
        <v/>
      </c>
      <c r="E91" s="19" t="str">
        <f>IFERROR(INDEX('Detalles movimientos'!F$5:F$1000, MATCH(82, 'Detalles movimientos'!$U$5:$U$1000, 0)), "")</f>
        <v/>
      </c>
      <c r="F91" s="18" t="str">
        <f>IFERROR(INDEX('Detalles movimientos'!G$5:G$1000, MATCH(82, 'Detalles movimientos'!$U$5:$U$1000, 0)), "")</f>
        <v/>
      </c>
      <c r="G91" s="20" t="str">
        <f>IFERROR(INDEX('Detalles movimientos'!H$5:H$1000, MATCH(82, 'Detalles movimientos'!$U$5:$U$1000, 0)), "")</f>
        <v/>
      </c>
      <c r="H91" s="21" t="str">
        <f>IFERROR(INDEX('Detalles movimientos'!I$5:I$1000, MATCH(82, 'Detalles movimientos'!$U$5:$U$1000, 0)), "")</f>
        <v/>
      </c>
      <c r="I91" s="20" t="str">
        <f>IFERROR(INDEX('Detalles movimientos'!K$5:K$1000, MATCH(82, 'Detalles movimientos'!$U$5:$U$1000, 0)), "")</f>
        <v/>
      </c>
      <c r="J91" s="19" t="str">
        <f>IFERROR(INDEX('Detalles movimientos'!L$5:L$1000, MATCH(82, 'Detalles movimientos'!$U$5:$U$1000, 0)), "")</f>
        <v/>
      </c>
      <c r="K91" s="20" t="str">
        <f>IFERROR(INDEX('Detalles movimientos'!M$5:M$1000, MATCH(82, 'Detalles movimientos'!$U$5:$U$1000, 0)), "")</f>
        <v/>
      </c>
      <c r="L91" s="18" t="str">
        <f>IFERROR(INDEX('Detalles movimientos'!N$5:N$1000, MATCH(82, 'Detalles movimientos'!$U$5:$U$1000, 0)), "")</f>
        <v/>
      </c>
      <c r="M91" s="18" t="str">
        <f>IFERROR(INDEX('Detalles movimientos'!Q$5:Q$1000, MATCH(82, 'Detalles movimientos'!$U$5:$U$1000, 0)), "")</f>
        <v/>
      </c>
    </row>
    <row r="92" spans="2:13">
      <c r="B92" s="17" t="str">
        <f>IFERROR(INDEX('Detalles movimientos'!C$5:C$1000, MATCH(83, 'Detalles movimientos'!$U$5:$U$1000, 0)), "")</f>
        <v/>
      </c>
      <c r="C92" s="18" t="str">
        <f>IFERROR(INDEX('Detalles movimientos'!D$5:D$1000, MATCH(83, 'Detalles movimientos'!$U$5:$U$1000, 0)), "")</f>
        <v/>
      </c>
      <c r="D92" s="19" t="str">
        <f>IFERROR(INDEX('Detalles movimientos'!E$5:E$1000, MATCH(83, 'Detalles movimientos'!$U$5:$U$1000, 0)), "")</f>
        <v/>
      </c>
      <c r="E92" s="19" t="str">
        <f>IFERROR(INDEX('Detalles movimientos'!F$5:F$1000, MATCH(83, 'Detalles movimientos'!$U$5:$U$1000, 0)), "")</f>
        <v/>
      </c>
      <c r="F92" s="18" t="str">
        <f>IFERROR(INDEX('Detalles movimientos'!G$5:G$1000, MATCH(83, 'Detalles movimientos'!$U$5:$U$1000, 0)), "")</f>
        <v/>
      </c>
      <c r="G92" s="20" t="str">
        <f>IFERROR(INDEX('Detalles movimientos'!H$5:H$1000, MATCH(83, 'Detalles movimientos'!$U$5:$U$1000, 0)), "")</f>
        <v/>
      </c>
      <c r="H92" s="21" t="str">
        <f>IFERROR(INDEX('Detalles movimientos'!I$5:I$1000, MATCH(83, 'Detalles movimientos'!$U$5:$U$1000, 0)), "")</f>
        <v/>
      </c>
      <c r="I92" s="20" t="str">
        <f>IFERROR(INDEX('Detalles movimientos'!K$5:K$1000, MATCH(83, 'Detalles movimientos'!$U$5:$U$1000, 0)), "")</f>
        <v/>
      </c>
      <c r="J92" s="19" t="str">
        <f>IFERROR(INDEX('Detalles movimientos'!L$5:L$1000, MATCH(83, 'Detalles movimientos'!$U$5:$U$1000, 0)), "")</f>
        <v/>
      </c>
      <c r="K92" s="20" t="str">
        <f>IFERROR(INDEX('Detalles movimientos'!M$5:M$1000, MATCH(83, 'Detalles movimientos'!$U$5:$U$1000, 0)), "")</f>
        <v/>
      </c>
      <c r="L92" s="18" t="str">
        <f>IFERROR(INDEX('Detalles movimientos'!N$5:N$1000, MATCH(83, 'Detalles movimientos'!$U$5:$U$1000, 0)), "")</f>
        <v/>
      </c>
      <c r="M92" s="18" t="str">
        <f>IFERROR(INDEX('Detalles movimientos'!Q$5:Q$1000, MATCH(83, 'Detalles movimientos'!$U$5:$U$1000, 0)), "")</f>
        <v/>
      </c>
    </row>
    <row r="93" spans="2:13">
      <c r="B93" s="17" t="str">
        <f>IFERROR(INDEX('Detalles movimientos'!C$5:C$1000, MATCH(84, 'Detalles movimientos'!$U$5:$U$1000, 0)), "")</f>
        <v/>
      </c>
      <c r="C93" s="18" t="str">
        <f>IFERROR(INDEX('Detalles movimientos'!D$5:D$1000, MATCH(84, 'Detalles movimientos'!$U$5:$U$1000, 0)), "")</f>
        <v/>
      </c>
      <c r="D93" s="19" t="str">
        <f>IFERROR(INDEX('Detalles movimientos'!E$5:E$1000, MATCH(84, 'Detalles movimientos'!$U$5:$U$1000, 0)), "")</f>
        <v/>
      </c>
      <c r="E93" s="19" t="str">
        <f>IFERROR(INDEX('Detalles movimientos'!F$5:F$1000, MATCH(84, 'Detalles movimientos'!$U$5:$U$1000, 0)), "")</f>
        <v/>
      </c>
      <c r="F93" s="18" t="str">
        <f>IFERROR(INDEX('Detalles movimientos'!G$5:G$1000, MATCH(84, 'Detalles movimientos'!$U$5:$U$1000, 0)), "")</f>
        <v/>
      </c>
      <c r="G93" s="20" t="str">
        <f>IFERROR(INDEX('Detalles movimientos'!H$5:H$1000, MATCH(84, 'Detalles movimientos'!$U$5:$U$1000, 0)), "")</f>
        <v/>
      </c>
      <c r="H93" s="21" t="str">
        <f>IFERROR(INDEX('Detalles movimientos'!I$5:I$1000, MATCH(84, 'Detalles movimientos'!$U$5:$U$1000, 0)), "")</f>
        <v/>
      </c>
      <c r="I93" s="20" t="str">
        <f>IFERROR(INDEX('Detalles movimientos'!K$5:K$1000, MATCH(84, 'Detalles movimientos'!$U$5:$U$1000, 0)), "")</f>
        <v/>
      </c>
      <c r="J93" s="19" t="str">
        <f>IFERROR(INDEX('Detalles movimientos'!L$5:L$1000, MATCH(84, 'Detalles movimientos'!$U$5:$U$1000, 0)), "")</f>
        <v/>
      </c>
      <c r="K93" s="20" t="str">
        <f>IFERROR(INDEX('Detalles movimientos'!M$5:M$1000, MATCH(84, 'Detalles movimientos'!$U$5:$U$1000, 0)), "")</f>
        <v/>
      </c>
      <c r="L93" s="18" t="str">
        <f>IFERROR(INDEX('Detalles movimientos'!N$5:N$1000, MATCH(84, 'Detalles movimientos'!$U$5:$U$1000, 0)), "")</f>
        <v/>
      </c>
      <c r="M93" s="18" t="str">
        <f>IFERROR(INDEX('Detalles movimientos'!Q$5:Q$1000, MATCH(84, 'Detalles movimientos'!$U$5:$U$1000, 0)), "")</f>
        <v/>
      </c>
    </row>
    <row r="94" spans="2:13">
      <c r="B94" s="17" t="str">
        <f>IFERROR(INDEX('Detalles movimientos'!C$5:C$1000, MATCH(85, 'Detalles movimientos'!$U$5:$U$1000, 0)), "")</f>
        <v/>
      </c>
      <c r="C94" s="18" t="str">
        <f>IFERROR(INDEX('Detalles movimientos'!D$5:D$1000, MATCH(85, 'Detalles movimientos'!$U$5:$U$1000, 0)), "")</f>
        <v/>
      </c>
      <c r="D94" s="19" t="str">
        <f>IFERROR(INDEX('Detalles movimientos'!E$5:E$1000, MATCH(85, 'Detalles movimientos'!$U$5:$U$1000, 0)), "")</f>
        <v/>
      </c>
      <c r="E94" s="19" t="str">
        <f>IFERROR(INDEX('Detalles movimientos'!F$5:F$1000, MATCH(85, 'Detalles movimientos'!$U$5:$U$1000, 0)), "")</f>
        <v/>
      </c>
      <c r="F94" s="18" t="str">
        <f>IFERROR(INDEX('Detalles movimientos'!G$5:G$1000, MATCH(85, 'Detalles movimientos'!$U$5:$U$1000, 0)), "")</f>
        <v/>
      </c>
      <c r="G94" s="20" t="str">
        <f>IFERROR(INDEX('Detalles movimientos'!H$5:H$1000, MATCH(85, 'Detalles movimientos'!$U$5:$U$1000, 0)), "")</f>
        <v/>
      </c>
      <c r="H94" s="21" t="str">
        <f>IFERROR(INDEX('Detalles movimientos'!I$5:I$1000, MATCH(85, 'Detalles movimientos'!$U$5:$U$1000, 0)), "")</f>
        <v/>
      </c>
      <c r="I94" s="20" t="str">
        <f>IFERROR(INDEX('Detalles movimientos'!K$5:K$1000, MATCH(85, 'Detalles movimientos'!$U$5:$U$1000, 0)), "")</f>
        <v/>
      </c>
      <c r="J94" s="19" t="str">
        <f>IFERROR(INDEX('Detalles movimientos'!L$5:L$1000, MATCH(85, 'Detalles movimientos'!$U$5:$U$1000, 0)), "")</f>
        <v/>
      </c>
      <c r="K94" s="20" t="str">
        <f>IFERROR(INDEX('Detalles movimientos'!M$5:M$1000, MATCH(85, 'Detalles movimientos'!$U$5:$U$1000, 0)), "")</f>
        <v/>
      </c>
      <c r="L94" s="18" t="str">
        <f>IFERROR(INDEX('Detalles movimientos'!N$5:N$1000, MATCH(85, 'Detalles movimientos'!$U$5:$U$1000, 0)), "")</f>
        <v/>
      </c>
      <c r="M94" s="18" t="str">
        <f>IFERROR(INDEX('Detalles movimientos'!Q$5:Q$1000, MATCH(85, 'Detalles movimientos'!$U$5:$U$1000, 0)), "")</f>
        <v/>
      </c>
    </row>
    <row r="95" spans="2:13">
      <c r="B95" s="17" t="str">
        <f>IFERROR(INDEX('Detalles movimientos'!C$5:C$1000, MATCH(86, 'Detalles movimientos'!$U$5:$U$1000, 0)), "")</f>
        <v/>
      </c>
      <c r="C95" s="18" t="str">
        <f>IFERROR(INDEX('Detalles movimientos'!D$5:D$1000, MATCH(86, 'Detalles movimientos'!$U$5:$U$1000, 0)), "")</f>
        <v/>
      </c>
      <c r="D95" s="19" t="str">
        <f>IFERROR(INDEX('Detalles movimientos'!E$5:E$1000, MATCH(86, 'Detalles movimientos'!$U$5:$U$1000, 0)), "")</f>
        <v/>
      </c>
      <c r="E95" s="19" t="str">
        <f>IFERROR(INDEX('Detalles movimientos'!F$5:F$1000, MATCH(86, 'Detalles movimientos'!$U$5:$U$1000, 0)), "")</f>
        <v/>
      </c>
      <c r="F95" s="18" t="str">
        <f>IFERROR(INDEX('Detalles movimientos'!G$5:G$1000, MATCH(86, 'Detalles movimientos'!$U$5:$U$1000, 0)), "")</f>
        <v/>
      </c>
      <c r="G95" s="20" t="str">
        <f>IFERROR(INDEX('Detalles movimientos'!H$5:H$1000, MATCH(86, 'Detalles movimientos'!$U$5:$U$1000, 0)), "")</f>
        <v/>
      </c>
      <c r="H95" s="21" t="str">
        <f>IFERROR(INDEX('Detalles movimientos'!I$5:I$1000, MATCH(86, 'Detalles movimientos'!$U$5:$U$1000, 0)), "")</f>
        <v/>
      </c>
      <c r="I95" s="20" t="str">
        <f>IFERROR(INDEX('Detalles movimientos'!K$5:K$1000, MATCH(86, 'Detalles movimientos'!$U$5:$U$1000, 0)), "")</f>
        <v/>
      </c>
      <c r="J95" s="19" t="str">
        <f>IFERROR(INDEX('Detalles movimientos'!L$5:L$1000, MATCH(86, 'Detalles movimientos'!$U$5:$U$1000, 0)), "")</f>
        <v/>
      </c>
      <c r="K95" s="20" t="str">
        <f>IFERROR(INDEX('Detalles movimientos'!M$5:M$1000, MATCH(86, 'Detalles movimientos'!$U$5:$U$1000, 0)), "")</f>
        <v/>
      </c>
      <c r="L95" s="18" t="str">
        <f>IFERROR(INDEX('Detalles movimientos'!N$5:N$1000, MATCH(86, 'Detalles movimientos'!$U$5:$U$1000, 0)), "")</f>
        <v/>
      </c>
      <c r="M95" s="18" t="str">
        <f>IFERROR(INDEX('Detalles movimientos'!Q$5:Q$1000, MATCH(86, 'Detalles movimientos'!$U$5:$U$1000, 0)), "")</f>
        <v/>
      </c>
    </row>
    <row r="96" spans="2:13">
      <c r="B96" s="17" t="str">
        <f>IFERROR(INDEX('Detalles movimientos'!C$5:C$1000, MATCH(87, 'Detalles movimientos'!$U$5:$U$1000, 0)), "")</f>
        <v/>
      </c>
      <c r="C96" s="18" t="str">
        <f>IFERROR(INDEX('Detalles movimientos'!D$5:D$1000, MATCH(87, 'Detalles movimientos'!$U$5:$U$1000, 0)), "")</f>
        <v/>
      </c>
      <c r="D96" s="19" t="str">
        <f>IFERROR(INDEX('Detalles movimientos'!E$5:E$1000, MATCH(87, 'Detalles movimientos'!$U$5:$U$1000, 0)), "")</f>
        <v/>
      </c>
      <c r="E96" s="19" t="str">
        <f>IFERROR(INDEX('Detalles movimientos'!F$5:F$1000, MATCH(87, 'Detalles movimientos'!$U$5:$U$1000, 0)), "")</f>
        <v/>
      </c>
      <c r="F96" s="18" t="str">
        <f>IFERROR(INDEX('Detalles movimientos'!G$5:G$1000, MATCH(87, 'Detalles movimientos'!$U$5:$U$1000, 0)), "")</f>
        <v/>
      </c>
      <c r="G96" s="20" t="str">
        <f>IFERROR(INDEX('Detalles movimientos'!H$5:H$1000, MATCH(87, 'Detalles movimientos'!$U$5:$U$1000, 0)), "")</f>
        <v/>
      </c>
      <c r="H96" s="21" t="str">
        <f>IFERROR(INDEX('Detalles movimientos'!I$5:I$1000, MATCH(87, 'Detalles movimientos'!$U$5:$U$1000, 0)), "")</f>
        <v/>
      </c>
      <c r="I96" s="20" t="str">
        <f>IFERROR(INDEX('Detalles movimientos'!K$5:K$1000, MATCH(87, 'Detalles movimientos'!$U$5:$U$1000, 0)), "")</f>
        <v/>
      </c>
      <c r="J96" s="19" t="str">
        <f>IFERROR(INDEX('Detalles movimientos'!L$5:L$1000, MATCH(87, 'Detalles movimientos'!$U$5:$U$1000, 0)), "")</f>
        <v/>
      </c>
      <c r="K96" s="20" t="str">
        <f>IFERROR(INDEX('Detalles movimientos'!M$5:M$1000, MATCH(87, 'Detalles movimientos'!$U$5:$U$1000, 0)), "")</f>
        <v/>
      </c>
      <c r="L96" s="18" t="str">
        <f>IFERROR(INDEX('Detalles movimientos'!N$5:N$1000, MATCH(87, 'Detalles movimientos'!$U$5:$U$1000, 0)), "")</f>
        <v/>
      </c>
      <c r="M96" s="18" t="str">
        <f>IFERROR(INDEX('Detalles movimientos'!Q$5:Q$1000, MATCH(87, 'Detalles movimientos'!$U$5:$U$1000, 0)), "")</f>
        <v/>
      </c>
    </row>
    <row r="97" spans="2:13">
      <c r="B97" s="17" t="str">
        <f>IFERROR(INDEX('Detalles movimientos'!C$5:C$1000, MATCH(88, 'Detalles movimientos'!$U$5:$U$1000, 0)), "")</f>
        <v/>
      </c>
      <c r="C97" s="18" t="str">
        <f>IFERROR(INDEX('Detalles movimientos'!D$5:D$1000, MATCH(88, 'Detalles movimientos'!$U$5:$U$1000, 0)), "")</f>
        <v/>
      </c>
      <c r="D97" s="19" t="str">
        <f>IFERROR(INDEX('Detalles movimientos'!E$5:E$1000, MATCH(88, 'Detalles movimientos'!$U$5:$U$1000, 0)), "")</f>
        <v/>
      </c>
      <c r="E97" s="19" t="str">
        <f>IFERROR(INDEX('Detalles movimientos'!F$5:F$1000, MATCH(88, 'Detalles movimientos'!$U$5:$U$1000, 0)), "")</f>
        <v/>
      </c>
      <c r="F97" s="18" t="str">
        <f>IFERROR(INDEX('Detalles movimientos'!G$5:G$1000, MATCH(88, 'Detalles movimientos'!$U$5:$U$1000, 0)), "")</f>
        <v/>
      </c>
      <c r="G97" s="20" t="str">
        <f>IFERROR(INDEX('Detalles movimientos'!H$5:H$1000, MATCH(88, 'Detalles movimientos'!$U$5:$U$1000, 0)), "")</f>
        <v/>
      </c>
      <c r="H97" s="21" t="str">
        <f>IFERROR(INDEX('Detalles movimientos'!I$5:I$1000, MATCH(88, 'Detalles movimientos'!$U$5:$U$1000, 0)), "")</f>
        <v/>
      </c>
      <c r="I97" s="20" t="str">
        <f>IFERROR(INDEX('Detalles movimientos'!K$5:K$1000, MATCH(88, 'Detalles movimientos'!$U$5:$U$1000, 0)), "")</f>
        <v/>
      </c>
      <c r="J97" s="19" t="str">
        <f>IFERROR(INDEX('Detalles movimientos'!L$5:L$1000, MATCH(88, 'Detalles movimientos'!$U$5:$U$1000, 0)), "")</f>
        <v/>
      </c>
      <c r="K97" s="20" t="str">
        <f>IFERROR(INDEX('Detalles movimientos'!M$5:M$1000, MATCH(88, 'Detalles movimientos'!$U$5:$U$1000, 0)), "")</f>
        <v/>
      </c>
      <c r="L97" s="18" t="str">
        <f>IFERROR(INDEX('Detalles movimientos'!N$5:N$1000, MATCH(88, 'Detalles movimientos'!$U$5:$U$1000, 0)), "")</f>
        <v/>
      </c>
      <c r="M97" s="18" t="str">
        <f>IFERROR(INDEX('Detalles movimientos'!Q$5:Q$1000, MATCH(88, 'Detalles movimientos'!$U$5:$U$1000, 0)), "")</f>
        <v/>
      </c>
    </row>
    <row r="98" spans="2:13">
      <c r="B98" s="17" t="str">
        <f>IFERROR(INDEX('Detalles movimientos'!C$5:C$1000, MATCH(89, 'Detalles movimientos'!$U$5:$U$1000, 0)), "")</f>
        <v/>
      </c>
      <c r="C98" s="18" t="str">
        <f>IFERROR(INDEX('Detalles movimientos'!D$5:D$1000, MATCH(89, 'Detalles movimientos'!$U$5:$U$1000, 0)), "")</f>
        <v/>
      </c>
      <c r="D98" s="19" t="str">
        <f>IFERROR(INDEX('Detalles movimientos'!E$5:E$1000, MATCH(89, 'Detalles movimientos'!$U$5:$U$1000, 0)), "")</f>
        <v/>
      </c>
      <c r="E98" s="19" t="str">
        <f>IFERROR(INDEX('Detalles movimientos'!F$5:F$1000, MATCH(89, 'Detalles movimientos'!$U$5:$U$1000, 0)), "")</f>
        <v/>
      </c>
      <c r="F98" s="18" t="str">
        <f>IFERROR(INDEX('Detalles movimientos'!G$5:G$1000, MATCH(89, 'Detalles movimientos'!$U$5:$U$1000, 0)), "")</f>
        <v/>
      </c>
      <c r="G98" s="20" t="str">
        <f>IFERROR(INDEX('Detalles movimientos'!H$5:H$1000, MATCH(89, 'Detalles movimientos'!$U$5:$U$1000, 0)), "")</f>
        <v/>
      </c>
      <c r="H98" s="21" t="str">
        <f>IFERROR(INDEX('Detalles movimientos'!I$5:I$1000, MATCH(89, 'Detalles movimientos'!$U$5:$U$1000, 0)), "")</f>
        <v/>
      </c>
      <c r="I98" s="20" t="str">
        <f>IFERROR(INDEX('Detalles movimientos'!K$5:K$1000, MATCH(89, 'Detalles movimientos'!$U$5:$U$1000, 0)), "")</f>
        <v/>
      </c>
      <c r="J98" s="19" t="str">
        <f>IFERROR(INDEX('Detalles movimientos'!L$5:L$1000, MATCH(89, 'Detalles movimientos'!$U$5:$U$1000, 0)), "")</f>
        <v/>
      </c>
      <c r="K98" s="20" t="str">
        <f>IFERROR(INDEX('Detalles movimientos'!M$5:M$1000, MATCH(89, 'Detalles movimientos'!$U$5:$U$1000, 0)), "")</f>
        <v/>
      </c>
      <c r="L98" s="18" t="str">
        <f>IFERROR(INDEX('Detalles movimientos'!N$5:N$1000, MATCH(89, 'Detalles movimientos'!$U$5:$U$1000, 0)), "")</f>
        <v/>
      </c>
      <c r="M98" s="18" t="str">
        <f>IFERROR(INDEX('Detalles movimientos'!Q$5:Q$1000, MATCH(89, 'Detalles movimientos'!$U$5:$U$1000, 0)), "")</f>
        <v/>
      </c>
    </row>
    <row r="99" spans="2:13">
      <c r="B99" s="17" t="str">
        <f>IFERROR(INDEX('Detalles movimientos'!C$5:C$1000, MATCH(90, 'Detalles movimientos'!$U$5:$U$1000, 0)), "")</f>
        <v/>
      </c>
      <c r="C99" s="18" t="str">
        <f>IFERROR(INDEX('Detalles movimientos'!D$5:D$1000, MATCH(90, 'Detalles movimientos'!$U$5:$U$1000, 0)), "")</f>
        <v/>
      </c>
      <c r="D99" s="19" t="str">
        <f>IFERROR(INDEX('Detalles movimientos'!E$5:E$1000, MATCH(90, 'Detalles movimientos'!$U$5:$U$1000, 0)), "")</f>
        <v/>
      </c>
      <c r="E99" s="19" t="str">
        <f>IFERROR(INDEX('Detalles movimientos'!F$5:F$1000, MATCH(90, 'Detalles movimientos'!$U$5:$U$1000, 0)), "")</f>
        <v/>
      </c>
      <c r="F99" s="18" t="str">
        <f>IFERROR(INDEX('Detalles movimientos'!G$5:G$1000, MATCH(90, 'Detalles movimientos'!$U$5:$U$1000, 0)), "")</f>
        <v/>
      </c>
      <c r="G99" s="20" t="str">
        <f>IFERROR(INDEX('Detalles movimientos'!H$5:H$1000, MATCH(90, 'Detalles movimientos'!$U$5:$U$1000, 0)), "")</f>
        <v/>
      </c>
      <c r="H99" s="21" t="str">
        <f>IFERROR(INDEX('Detalles movimientos'!I$5:I$1000, MATCH(90, 'Detalles movimientos'!$U$5:$U$1000, 0)), "")</f>
        <v/>
      </c>
      <c r="I99" s="20" t="str">
        <f>IFERROR(INDEX('Detalles movimientos'!K$5:K$1000, MATCH(90, 'Detalles movimientos'!$U$5:$U$1000, 0)), "")</f>
        <v/>
      </c>
      <c r="J99" s="19" t="str">
        <f>IFERROR(INDEX('Detalles movimientos'!L$5:L$1000, MATCH(90, 'Detalles movimientos'!$U$5:$U$1000, 0)), "")</f>
        <v/>
      </c>
      <c r="K99" s="20" t="str">
        <f>IFERROR(INDEX('Detalles movimientos'!M$5:M$1000, MATCH(90, 'Detalles movimientos'!$U$5:$U$1000, 0)), "")</f>
        <v/>
      </c>
      <c r="L99" s="18" t="str">
        <f>IFERROR(INDEX('Detalles movimientos'!N$5:N$1000, MATCH(90, 'Detalles movimientos'!$U$5:$U$1000, 0)), "")</f>
        <v/>
      </c>
      <c r="M99" s="18" t="str">
        <f>IFERROR(INDEX('Detalles movimientos'!Q$5:Q$1000, MATCH(90, 'Detalles movimientos'!$U$5:$U$1000, 0)), "")</f>
        <v/>
      </c>
    </row>
    <row r="100" spans="2:13">
      <c r="B100" s="17" t="str">
        <f>IFERROR(INDEX('Detalles movimientos'!C$5:C$1000, MATCH(91, 'Detalles movimientos'!$U$5:$U$1000, 0)), "")</f>
        <v/>
      </c>
      <c r="C100" s="18" t="str">
        <f>IFERROR(INDEX('Detalles movimientos'!D$5:D$1000, MATCH(91, 'Detalles movimientos'!$U$5:$U$1000, 0)), "")</f>
        <v/>
      </c>
      <c r="D100" s="19" t="str">
        <f>IFERROR(INDEX('Detalles movimientos'!E$5:E$1000, MATCH(91, 'Detalles movimientos'!$U$5:$U$1000, 0)), "")</f>
        <v/>
      </c>
      <c r="E100" s="19" t="str">
        <f>IFERROR(INDEX('Detalles movimientos'!F$5:F$1000, MATCH(91, 'Detalles movimientos'!$U$5:$U$1000, 0)), "")</f>
        <v/>
      </c>
      <c r="F100" s="18" t="str">
        <f>IFERROR(INDEX('Detalles movimientos'!G$5:G$1000, MATCH(91, 'Detalles movimientos'!$U$5:$U$1000, 0)), "")</f>
        <v/>
      </c>
      <c r="G100" s="20" t="str">
        <f>IFERROR(INDEX('Detalles movimientos'!H$5:H$1000, MATCH(91, 'Detalles movimientos'!$U$5:$U$1000, 0)), "")</f>
        <v/>
      </c>
      <c r="H100" s="21" t="str">
        <f>IFERROR(INDEX('Detalles movimientos'!I$5:I$1000, MATCH(91, 'Detalles movimientos'!$U$5:$U$1000, 0)), "")</f>
        <v/>
      </c>
      <c r="I100" s="20" t="str">
        <f>IFERROR(INDEX('Detalles movimientos'!K$5:K$1000, MATCH(91, 'Detalles movimientos'!$U$5:$U$1000, 0)), "")</f>
        <v/>
      </c>
      <c r="J100" s="19" t="str">
        <f>IFERROR(INDEX('Detalles movimientos'!L$5:L$1000, MATCH(91, 'Detalles movimientos'!$U$5:$U$1000, 0)), "")</f>
        <v/>
      </c>
      <c r="K100" s="20" t="str">
        <f>IFERROR(INDEX('Detalles movimientos'!M$5:M$1000, MATCH(91, 'Detalles movimientos'!$U$5:$U$1000, 0)), "")</f>
        <v/>
      </c>
      <c r="L100" s="18" t="str">
        <f>IFERROR(INDEX('Detalles movimientos'!N$5:N$1000, MATCH(91, 'Detalles movimientos'!$U$5:$U$1000, 0)), "")</f>
        <v/>
      </c>
      <c r="M100" s="18" t="str">
        <f>IFERROR(INDEX('Detalles movimientos'!Q$5:Q$1000, MATCH(91, 'Detalles movimientos'!$U$5:$U$1000, 0)), "")</f>
        <v/>
      </c>
    </row>
    <row r="101" spans="2:13">
      <c r="B101" s="17" t="str">
        <f>IFERROR(INDEX('Detalles movimientos'!C$5:C$1000, MATCH(92, 'Detalles movimientos'!$U$5:$U$1000, 0)), "")</f>
        <v/>
      </c>
      <c r="C101" s="18" t="str">
        <f>IFERROR(INDEX('Detalles movimientos'!D$5:D$1000, MATCH(92, 'Detalles movimientos'!$U$5:$U$1000, 0)), "")</f>
        <v/>
      </c>
      <c r="D101" s="19" t="str">
        <f>IFERROR(INDEX('Detalles movimientos'!E$5:E$1000, MATCH(92, 'Detalles movimientos'!$U$5:$U$1000, 0)), "")</f>
        <v/>
      </c>
      <c r="E101" s="19" t="str">
        <f>IFERROR(INDEX('Detalles movimientos'!F$5:F$1000, MATCH(92, 'Detalles movimientos'!$U$5:$U$1000, 0)), "")</f>
        <v/>
      </c>
      <c r="F101" s="18" t="str">
        <f>IFERROR(INDEX('Detalles movimientos'!G$5:G$1000, MATCH(92, 'Detalles movimientos'!$U$5:$U$1000, 0)), "")</f>
        <v/>
      </c>
      <c r="G101" s="20" t="str">
        <f>IFERROR(INDEX('Detalles movimientos'!H$5:H$1000, MATCH(92, 'Detalles movimientos'!$U$5:$U$1000, 0)), "")</f>
        <v/>
      </c>
      <c r="H101" s="21" t="str">
        <f>IFERROR(INDEX('Detalles movimientos'!I$5:I$1000, MATCH(92, 'Detalles movimientos'!$U$5:$U$1000, 0)), "")</f>
        <v/>
      </c>
      <c r="I101" s="20" t="str">
        <f>IFERROR(INDEX('Detalles movimientos'!K$5:K$1000, MATCH(92, 'Detalles movimientos'!$U$5:$U$1000, 0)), "")</f>
        <v/>
      </c>
      <c r="J101" s="19" t="str">
        <f>IFERROR(INDEX('Detalles movimientos'!L$5:L$1000, MATCH(92, 'Detalles movimientos'!$U$5:$U$1000, 0)), "")</f>
        <v/>
      </c>
      <c r="K101" s="20" t="str">
        <f>IFERROR(INDEX('Detalles movimientos'!M$5:M$1000, MATCH(92, 'Detalles movimientos'!$U$5:$U$1000, 0)), "")</f>
        <v/>
      </c>
      <c r="L101" s="18" t="str">
        <f>IFERROR(INDEX('Detalles movimientos'!N$5:N$1000, MATCH(92, 'Detalles movimientos'!$U$5:$U$1000, 0)), "")</f>
        <v/>
      </c>
      <c r="M101" s="18" t="str">
        <f>IFERROR(INDEX('Detalles movimientos'!Q$5:Q$1000, MATCH(92, 'Detalles movimientos'!$U$5:$U$1000, 0)), "")</f>
        <v/>
      </c>
    </row>
    <row r="102" spans="2:13">
      <c r="B102" s="17" t="str">
        <f>IFERROR(INDEX('Detalles movimientos'!C$5:C$1000, MATCH(93, 'Detalles movimientos'!$U$5:$U$1000, 0)), "")</f>
        <v/>
      </c>
      <c r="C102" s="18" t="str">
        <f>IFERROR(INDEX('Detalles movimientos'!D$5:D$1000, MATCH(93, 'Detalles movimientos'!$U$5:$U$1000, 0)), "")</f>
        <v/>
      </c>
      <c r="D102" s="19" t="str">
        <f>IFERROR(INDEX('Detalles movimientos'!E$5:E$1000, MATCH(93, 'Detalles movimientos'!$U$5:$U$1000, 0)), "")</f>
        <v/>
      </c>
      <c r="E102" s="19" t="str">
        <f>IFERROR(INDEX('Detalles movimientos'!F$5:F$1000, MATCH(93, 'Detalles movimientos'!$U$5:$U$1000, 0)), "")</f>
        <v/>
      </c>
      <c r="F102" s="18" t="str">
        <f>IFERROR(INDEX('Detalles movimientos'!G$5:G$1000, MATCH(93, 'Detalles movimientos'!$U$5:$U$1000, 0)), "")</f>
        <v/>
      </c>
      <c r="G102" s="20" t="str">
        <f>IFERROR(INDEX('Detalles movimientos'!H$5:H$1000, MATCH(93, 'Detalles movimientos'!$U$5:$U$1000, 0)), "")</f>
        <v/>
      </c>
      <c r="H102" s="21" t="str">
        <f>IFERROR(INDEX('Detalles movimientos'!I$5:I$1000, MATCH(93, 'Detalles movimientos'!$U$5:$U$1000, 0)), "")</f>
        <v/>
      </c>
      <c r="I102" s="20" t="str">
        <f>IFERROR(INDEX('Detalles movimientos'!K$5:K$1000, MATCH(93, 'Detalles movimientos'!$U$5:$U$1000, 0)), "")</f>
        <v/>
      </c>
      <c r="J102" s="19" t="str">
        <f>IFERROR(INDEX('Detalles movimientos'!L$5:L$1000, MATCH(93, 'Detalles movimientos'!$U$5:$U$1000, 0)), "")</f>
        <v/>
      </c>
      <c r="K102" s="20" t="str">
        <f>IFERROR(INDEX('Detalles movimientos'!M$5:M$1000, MATCH(93, 'Detalles movimientos'!$U$5:$U$1000, 0)), "")</f>
        <v/>
      </c>
      <c r="L102" s="18" t="str">
        <f>IFERROR(INDEX('Detalles movimientos'!N$5:N$1000, MATCH(93, 'Detalles movimientos'!$U$5:$U$1000, 0)), "")</f>
        <v/>
      </c>
      <c r="M102" s="18" t="str">
        <f>IFERROR(INDEX('Detalles movimientos'!Q$5:Q$1000, MATCH(93, 'Detalles movimientos'!$U$5:$U$1000, 0)), "")</f>
        <v/>
      </c>
    </row>
    <row r="103" spans="2:13">
      <c r="B103" s="17" t="str">
        <f>IFERROR(INDEX('Detalles movimientos'!C$5:C$1000, MATCH(94, 'Detalles movimientos'!$U$5:$U$1000, 0)), "")</f>
        <v/>
      </c>
      <c r="C103" s="18" t="str">
        <f>IFERROR(INDEX('Detalles movimientos'!D$5:D$1000, MATCH(94, 'Detalles movimientos'!$U$5:$U$1000, 0)), "")</f>
        <v/>
      </c>
      <c r="D103" s="19" t="str">
        <f>IFERROR(INDEX('Detalles movimientos'!E$5:E$1000, MATCH(94, 'Detalles movimientos'!$U$5:$U$1000, 0)), "")</f>
        <v/>
      </c>
      <c r="E103" s="19" t="str">
        <f>IFERROR(INDEX('Detalles movimientos'!F$5:F$1000, MATCH(94, 'Detalles movimientos'!$U$5:$U$1000, 0)), "")</f>
        <v/>
      </c>
      <c r="F103" s="18" t="str">
        <f>IFERROR(INDEX('Detalles movimientos'!G$5:G$1000, MATCH(94, 'Detalles movimientos'!$U$5:$U$1000, 0)), "")</f>
        <v/>
      </c>
      <c r="G103" s="20" t="str">
        <f>IFERROR(INDEX('Detalles movimientos'!H$5:H$1000, MATCH(94, 'Detalles movimientos'!$U$5:$U$1000, 0)), "")</f>
        <v/>
      </c>
      <c r="H103" s="21" t="str">
        <f>IFERROR(INDEX('Detalles movimientos'!I$5:I$1000, MATCH(94, 'Detalles movimientos'!$U$5:$U$1000, 0)), "")</f>
        <v/>
      </c>
      <c r="I103" s="20" t="str">
        <f>IFERROR(INDEX('Detalles movimientos'!K$5:K$1000, MATCH(94, 'Detalles movimientos'!$U$5:$U$1000, 0)), "")</f>
        <v/>
      </c>
      <c r="J103" s="19" t="str">
        <f>IFERROR(INDEX('Detalles movimientos'!L$5:L$1000, MATCH(94, 'Detalles movimientos'!$U$5:$U$1000, 0)), "")</f>
        <v/>
      </c>
      <c r="K103" s="20" t="str">
        <f>IFERROR(INDEX('Detalles movimientos'!M$5:M$1000, MATCH(94, 'Detalles movimientos'!$U$5:$U$1000, 0)), "")</f>
        <v/>
      </c>
      <c r="L103" s="18" t="str">
        <f>IFERROR(INDEX('Detalles movimientos'!N$5:N$1000, MATCH(94, 'Detalles movimientos'!$U$5:$U$1000, 0)), "")</f>
        <v/>
      </c>
      <c r="M103" s="18" t="str">
        <f>IFERROR(INDEX('Detalles movimientos'!Q$5:Q$1000, MATCH(94, 'Detalles movimientos'!$U$5:$U$1000, 0)), "")</f>
        <v/>
      </c>
    </row>
    <row r="104" spans="2:13">
      <c r="B104" s="17" t="str">
        <f>IFERROR(INDEX('Detalles movimientos'!C$5:C$1000, MATCH(95, 'Detalles movimientos'!$U$5:$U$1000, 0)), "")</f>
        <v/>
      </c>
      <c r="C104" s="18" t="str">
        <f>IFERROR(INDEX('Detalles movimientos'!D$5:D$1000, MATCH(95, 'Detalles movimientos'!$U$5:$U$1000, 0)), "")</f>
        <v/>
      </c>
      <c r="D104" s="19" t="str">
        <f>IFERROR(INDEX('Detalles movimientos'!E$5:E$1000, MATCH(95, 'Detalles movimientos'!$U$5:$U$1000, 0)), "")</f>
        <v/>
      </c>
      <c r="E104" s="19" t="str">
        <f>IFERROR(INDEX('Detalles movimientos'!F$5:F$1000, MATCH(95, 'Detalles movimientos'!$U$5:$U$1000, 0)), "")</f>
        <v/>
      </c>
      <c r="F104" s="18" t="str">
        <f>IFERROR(INDEX('Detalles movimientos'!G$5:G$1000, MATCH(95, 'Detalles movimientos'!$U$5:$U$1000, 0)), "")</f>
        <v/>
      </c>
      <c r="G104" s="20" t="str">
        <f>IFERROR(INDEX('Detalles movimientos'!H$5:H$1000, MATCH(95, 'Detalles movimientos'!$U$5:$U$1000, 0)), "")</f>
        <v/>
      </c>
      <c r="H104" s="21" t="str">
        <f>IFERROR(INDEX('Detalles movimientos'!I$5:I$1000, MATCH(95, 'Detalles movimientos'!$U$5:$U$1000, 0)), "")</f>
        <v/>
      </c>
      <c r="I104" s="20" t="str">
        <f>IFERROR(INDEX('Detalles movimientos'!K$5:K$1000, MATCH(95, 'Detalles movimientos'!$U$5:$U$1000, 0)), "")</f>
        <v/>
      </c>
      <c r="J104" s="19" t="str">
        <f>IFERROR(INDEX('Detalles movimientos'!L$5:L$1000, MATCH(95, 'Detalles movimientos'!$U$5:$U$1000, 0)), "")</f>
        <v/>
      </c>
      <c r="K104" s="20" t="str">
        <f>IFERROR(INDEX('Detalles movimientos'!M$5:M$1000, MATCH(95, 'Detalles movimientos'!$U$5:$U$1000, 0)), "")</f>
        <v/>
      </c>
      <c r="L104" s="18" t="str">
        <f>IFERROR(INDEX('Detalles movimientos'!N$5:N$1000, MATCH(95, 'Detalles movimientos'!$U$5:$U$1000, 0)), "")</f>
        <v/>
      </c>
      <c r="M104" s="18" t="str">
        <f>IFERROR(INDEX('Detalles movimientos'!Q$5:Q$1000, MATCH(95, 'Detalles movimientos'!$U$5:$U$1000, 0)), "")</f>
        <v/>
      </c>
    </row>
    <row r="105" spans="2:13">
      <c r="B105" s="17" t="str">
        <f>IFERROR(INDEX('Detalles movimientos'!C$5:C$1000, MATCH(96, 'Detalles movimientos'!$U$5:$U$1000, 0)), "")</f>
        <v/>
      </c>
      <c r="C105" s="18" t="str">
        <f>IFERROR(INDEX('Detalles movimientos'!D$5:D$1000, MATCH(96, 'Detalles movimientos'!$U$5:$U$1000, 0)), "")</f>
        <v/>
      </c>
      <c r="D105" s="19" t="str">
        <f>IFERROR(INDEX('Detalles movimientos'!E$5:E$1000, MATCH(96, 'Detalles movimientos'!$U$5:$U$1000, 0)), "")</f>
        <v/>
      </c>
      <c r="E105" s="19" t="str">
        <f>IFERROR(INDEX('Detalles movimientos'!F$5:F$1000, MATCH(96, 'Detalles movimientos'!$U$5:$U$1000, 0)), "")</f>
        <v/>
      </c>
      <c r="F105" s="18" t="str">
        <f>IFERROR(INDEX('Detalles movimientos'!G$5:G$1000, MATCH(96, 'Detalles movimientos'!$U$5:$U$1000, 0)), "")</f>
        <v/>
      </c>
      <c r="G105" s="20" t="str">
        <f>IFERROR(INDEX('Detalles movimientos'!H$5:H$1000, MATCH(96, 'Detalles movimientos'!$U$5:$U$1000, 0)), "")</f>
        <v/>
      </c>
      <c r="H105" s="21" t="str">
        <f>IFERROR(INDEX('Detalles movimientos'!I$5:I$1000, MATCH(96, 'Detalles movimientos'!$U$5:$U$1000, 0)), "")</f>
        <v/>
      </c>
      <c r="I105" s="20" t="str">
        <f>IFERROR(INDEX('Detalles movimientos'!K$5:K$1000, MATCH(96, 'Detalles movimientos'!$U$5:$U$1000, 0)), "")</f>
        <v/>
      </c>
      <c r="J105" s="19" t="str">
        <f>IFERROR(INDEX('Detalles movimientos'!L$5:L$1000, MATCH(96, 'Detalles movimientos'!$U$5:$U$1000, 0)), "")</f>
        <v/>
      </c>
      <c r="K105" s="20" t="str">
        <f>IFERROR(INDEX('Detalles movimientos'!M$5:M$1000, MATCH(96, 'Detalles movimientos'!$U$5:$U$1000, 0)), "")</f>
        <v/>
      </c>
      <c r="L105" s="18" t="str">
        <f>IFERROR(INDEX('Detalles movimientos'!N$5:N$1000, MATCH(96, 'Detalles movimientos'!$U$5:$U$1000, 0)), "")</f>
        <v/>
      </c>
      <c r="M105" s="18" t="str">
        <f>IFERROR(INDEX('Detalles movimientos'!Q$5:Q$1000, MATCH(96, 'Detalles movimientos'!$U$5:$U$1000, 0)), "")</f>
        <v/>
      </c>
    </row>
    <row r="106" spans="2:13">
      <c r="B106" s="17" t="str">
        <f>IFERROR(INDEX('Detalles movimientos'!C$5:C$1000, MATCH(97, 'Detalles movimientos'!$U$5:$U$1000, 0)), "")</f>
        <v/>
      </c>
      <c r="C106" s="18" t="str">
        <f>IFERROR(INDEX('Detalles movimientos'!D$5:D$1000, MATCH(97, 'Detalles movimientos'!$U$5:$U$1000, 0)), "")</f>
        <v/>
      </c>
      <c r="D106" s="19" t="str">
        <f>IFERROR(INDEX('Detalles movimientos'!E$5:E$1000, MATCH(97, 'Detalles movimientos'!$U$5:$U$1000, 0)), "")</f>
        <v/>
      </c>
      <c r="E106" s="19" t="str">
        <f>IFERROR(INDEX('Detalles movimientos'!F$5:F$1000, MATCH(97, 'Detalles movimientos'!$U$5:$U$1000, 0)), "")</f>
        <v/>
      </c>
      <c r="F106" s="18" t="str">
        <f>IFERROR(INDEX('Detalles movimientos'!G$5:G$1000, MATCH(97, 'Detalles movimientos'!$U$5:$U$1000, 0)), "")</f>
        <v/>
      </c>
      <c r="G106" s="20" t="str">
        <f>IFERROR(INDEX('Detalles movimientos'!H$5:H$1000, MATCH(97, 'Detalles movimientos'!$U$5:$U$1000, 0)), "")</f>
        <v/>
      </c>
      <c r="H106" s="21" t="str">
        <f>IFERROR(INDEX('Detalles movimientos'!I$5:I$1000, MATCH(97, 'Detalles movimientos'!$U$5:$U$1000, 0)), "")</f>
        <v/>
      </c>
      <c r="I106" s="20" t="str">
        <f>IFERROR(INDEX('Detalles movimientos'!K$5:K$1000, MATCH(97, 'Detalles movimientos'!$U$5:$U$1000, 0)), "")</f>
        <v/>
      </c>
      <c r="J106" s="19" t="str">
        <f>IFERROR(INDEX('Detalles movimientos'!L$5:L$1000, MATCH(97, 'Detalles movimientos'!$U$5:$U$1000, 0)), "")</f>
        <v/>
      </c>
      <c r="K106" s="20" t="str">
        <f>IFERROR(INDEX('Detalles movimientos'!M$5:M$1000, MATCH(97, 'Detalles movimientos'!$U$5:$U$1000, 0)), "")</f>
        <v/>
      </c>
      <c r="L106" s="18" t="str">
        <f>IFERROR(INDEX('Detalles movimientos'!N$5:N$1000, MATCH(97, 'Detalles movimientos'!$U$5:$U$1000, 0)), "")</f>
        <v/>
      </c>
      <c r="M106" s="18" t="str">
        <f>IFERROR(INDEX('Detalles movimientos'!Q$5:Q$1000, MATCH(97, 'Detalles movimientos'!$U$5:$U$1000, 0)), "")</f>
        <v/>
      </c>
    </row>
    <row r="107" spans="2:13">
      <c r="B107" s="17" t="str">
        <f>IFERROR(INDEX('Detalles movimientos'!C$5:C$1000, MATCH(98, 'Detalles movimientos'!$U$5:$U$1000, 0)), "")</f>
        <v/>
      </c>
      <c r="C107" s="18" t="str">
        <f>IFERROR(INDEX('Detalles movimientos'!D$5:D$1000, MATCH(98, 'Detalles movimientos'!$U$5:$U$1000, 0)), "")</f>
        <v/>
      </c>
      <c r="D107" s="19" t="str">
        <f>IFERROR(INDEX('Detalles movimientos'!E$5:E$1000, MATCH(98, 'Detalles movimientos'!$U$5:$U$1000, 0)), "")</f>
        <v/>
      </c>
      <c r="E107" s="19" t="str">
        <f>IFERROR(INDEX('Detalles movimientos'!F$5:F$1000, MATCH(98, 'Detalles movimientos'!$U$5:$U$1000, 0)), "")</f>
        <v/>
      </c>
      <c r="F107" s="18" t="str">
        <f>IFERROR(INDEX('Detalles movimientos'!G$5:G$1000, MATCH(98, 'Detalles movimientos'!$U$5:$U$1000, 0)), "")</f>
        <v/>
      </c>
      <c r="G107" s="20" t="str">
        <f>IFERROR(INDEX('Detalles movimientos'!H$5:H$1000, MATCH(98, 'Detalles movimientos'!$U$5:$U$1000, 0)), "")</f>
        <v/>
      </c>
      <c r="H107" s="21" t="str">
        <f>IFERROR(INDEX('Detalles movimientos'!I$5:I$1000, MATCH(98, 'Detalles movimientos'!$U$5:$U$1000, 0)), "")</f>
        <v/>
      </c>
      <c r="I107" s="20" t="str">
        <f>IFERROR(INDEX('Detalles movimientos'!K$5:K$1000, MATCH(98, 'Detalles movimientos'!$U$5:$U$1000, 0)), "")</f>
        <v/>
      </c>
      <c r="J107" s="19" t="str">
        <f>IFERROR(INDEX('Detalles movimientos'!L$5:L$1000, MATCH(98, 'Detalles movimientos'!$U$5:$U$1000, 0)), "")</f>
        <v/>
      </c>
      <c r="K107" s="20" t="str">
        <f>IFERROR(INDEX('Detalles movimientos'!M$5:M$1000, MATCH(98, 'Detalles movimientos'!$U$5:$U$1000, 0)), "")</f>
        <v/>
      </c>
      <c r="L107" s="18" t="str">
        <f>IFERROR(INDEX('Detalles movimientos'!N$5:N$1000, MATCH(98, 'Detalles movimientos'!$U$5:$U$1000, 0)), "")</f>
        <v/>
      </c>
      <c r="M107" s="18" t="str">
        <f>IFERROR(INDEX('Detalles movimientos'!Q$5:Q$1000, MATCH(98, 'Detalles movimientos'!$U$5:$U$1000, 0)), "")</f>
        <v/>
      </c>
    </row>
    <row r="108" spans="2:13">
      <c r="B108" s="17" t="str">
        <f>IFERROR(INDEX('Detalles movimientos'!C$5:C$1000, MATCH(99, 'Detalles movimientos'!$U$5:$U$1000, 0)), "")</f>
        <v/>
      </c>
      <c r="C108" s="18" t="str">
        <f>IFERROR(INDEX('Detalles movimientos'!D$5:D$1000, MATCH(99, 'Detalles movimientos'!$U$5:$U$1000, 0)), "")</f>
        <v/>
      </c>
      <c r="D108" s="19" t="str">
        <f>IFERROR(INDEX('Detalles movimientos'!E$5:E$1000, MATCH(99, 'Detalles movimientos'!$U$5:$U$1000, 0)), "")</f>
        <v/>
      </c>
      <c r="E108" s="19" t="str">
        <f>IFERROR(INDEX('Detalles movimientos'!F$5:F$1000, MATCH(99, 'Detalles movimientos'!$U$5:$U$1000, 0)), "")</f>
        <v/>
      </c>
      <c r="F108" s="18" t="str">
        <f>IFERROR(INDEX('Detalles movimientos'!G$5:G$1000, MATCH(99, 'Detalles movimientos'!$U$5:$U$1000, 0)), "")</f>
        <v/>
      </c>
      <c r="G108" s="20" t="str">
        <f>IFERROR(INDEX('Detalles movimientos'!H$5:H$1000, MATCH(99, 'Detalles movimientos'!$U$5:$U$1000, 0)), "")</f>
        <v/>
      </c>
      <c r="H108" s="21" t="str">
        <f>IFERROR(INDEX('Detalles movimientos'!I$5:I$1000, MATCH(99, 'Detalles movimientos'!$U$5:$U$1000, 0)), "")</f>
        <v/>
      </c>
      <c r="I108" s="20" t="str">
        <f>IFERROR(INDEX('Detalles movimientos'!K$5:K$1000, MATCH(99, 'Detalles movimientos'!$U$5:$U$1000, 0)), "")</f>
        <v/>
      </c>
      <c r="J108" s="19" t="str">
        <f>IFERROR(INDEX('Detalles movimientos'!L$5:L$1000, MATCH(99, 'Detalles movimientos'!$U$5:$U$1000, 0)), "")</f>
        <v/>
      </c>
      <c r="K108" s="20" t="str">
        <f>IFERROR(INDEX('Detalles movimientos'!M$5:M$1000, MATCH(99, 'Detalles movimientos'!$U$5:$U$1000, 0)), "")</f>
        <v/>
      </c>
      <c r="L108" s="18" t="str">
        <f>IFERROR(INDEX('Detalles movimientos'!N$5:N$1000, MATCH(99, 'Detalles movimientos'!$U$5:$U$1000, 0)), "")</f>
        <v/>
      </c>
      <c r="M108" s="18" t="str">
        <f>IFERROR(INDEX('Detalles movimientos'!Q$5:Q$1000, MATCH(99, 'Detalles movimientos'!$U$5:$U$1000, 0)), "")</f>
        <v/>
      </c>
    </row>
    <row r="109" spans="2:13">
      <c r="B109" s="17" t="str">
        <f>IFERROR(INDEX('Detalles movimientos'!C$5:C$1000, MATCH(100, 'Detalles movimientos'!$U$5:$U$1000, 0)), "")</f>
        <v/>
      </c>
      <c r="C109" s="18" t="str">
        <f>IFERROR(INDEX('Detalles movimientos'!D$5:D$1000, MATCH(100, 'Detalles movimientos'!$U$5:$U$1000, 0)), "")</f>
        <v/>
      </c>
      <c r="D109" s="19" t="str">
        <f>IFERROR(INDEX('Detalles movimientos'!E$5:E$1000, MATCH(100, 'Detalles movimientos'!$U$5:$U$1000, 0)), "")</f>
        <v/>
      </c>
      <c r="E109" s="19" t="str">
        <f>IFERROR(INDEX('Detalles movimientos'!F$5:F$1000, MATCH(100, 'Detalles movimientos'!$U$5:$U$1000, 0)), "")</f>
        <v/>
      </c>
      <c r="F109" s="18" t="str">
        <f>IFERROR(INDEX('Detalles movimientos'!G$5:G$1000, MATCH(100, 'Detalles movimientos'!$U$5:$U$1000, 0)), "")</f>
        <v/>
      </c>
      <c r="G109" s="20" t="str">
        <f>IFERROR(INDEX('Detalles movimientos'!H$5:H$1000, MATCH(100, 'Detalles movimientos'!$U$5:$U$1000, 0)), "")</f>
        <v/>
      </c>
      <c r="H109" s="21" t="str">
        <f>IFERROR(INDEX('Detalles movimientos'!I$5:I$1000, MATCH(100, 'Detalles movimientos'!$U$5:$U$1000, 0)), "")</f>
        <v/>
      </c>
      <c r="I109" s="20" t="str">
        <f>IFERROR(INDEX('Detalles movimientos'!K$5:K$1000, MATCH(100, 'Detalles movimientos'!$U$5:$U$1000, 0)), "")</f>
        <v/>
      </c>
      <c r="J109" s="19" t="str">
        <f>IFERROR(INDEX('Detalles movimientos'!L$5:L$1000, MATCH(100, 'Detalles movimientos'!$U$5:$U$1000, 0)), "")</f>
        <v/>
      </c>
      <c r="K109" s="20" t="str">
        <f>IFERROR(INDEX('Detalles movimientos'!M$5:M$1000, MATCH(100, 'Detalles movimientos'!$U$5:$U$1000, 0)), "")</f>
        <v/>
      </c>
      <c r="L109" s="18" t="str">
        <f>IFERROR(INDEX('Detalles movimientos'!N$5:N$1000, MATCH(100, 'Detalles movimientos'!$U$5:$U$1000, 0)), "")</f>
        <v/>
      </c>
      <c r="M109" s="18" t="str">
        <f>IFERROR(INDEX('Detalles movimientos'!Q$5:Q$1000, MATCH(100, 'Detalles movimientos'!$U$5:$U$1000, 0)), "")</f>
        <v/>
      </c>
    </row>
    <row r="110" spans="2:13">
      <c r="B110" s="17" t="str">
        <f>IFERROR(INDEX('Detalles movimientos'!C$5:C$1000, MATCH(101, 'Detalles movimientos'!$U$5:$U$1000, 0)), "")</f>
        <v/>
      </c>
      <c r="C110" s="18" t="str">
        <f>IFERROR(INDEX('Detalles movimientos'!D$5:D$1000, MATCH(101, 'Detalles movimientos'!$U$5:$U$1000, 0)), "")</f>
        <v/>
      </c>
      <c r="D110" s="19" t="str">
        <f>IFERROR(INDEX('Detalles movimientos'!E$5:E$1000, MATCH(101, 'Detalles movimientos'!$U$5:$U$1000, 0)), "")</f>
        <v/>
      </c>
      <c r="E110" s="19" t="str">
        <f>IFERROR(INDEX('Detalles movimientos'!F$5:F$1000, MATCH(101, 'Detalles movimientos'!$U$5:$U$1000, 0)), "")</f>
        <v/>
      </c>
      <c r="F110" s="18" t="str">
        <f>IFERROR(INDEX('Detalles movimientos'!G$5:G$1000, MATCH(101, 'Detalles movimientos'!$U$5:$U$1000, 0)), "")</f>
        <v/>
      </c>
      <c r="G110" s="20" t="str">
        <f>IFERROR(INDEX('Detalles movimientos'!H$5:H$1000, MATCH(101, 'Detalles movimientos'!$U$5:$U$1000, 0)), "")</f>
        <v/>
      </c>
      <c r="H110" s="21" t="str">
        <f>IFERROR(INDEX('Detalles movimientos'!I$5:I$1000, MATCH(101, 'Detalles movimientos'!$U$5:$U$1000, 0)), "")</f>
        <v/>
      </c>
      <c r="I110" s="20" t="str">
        <f>IFERROR(INDEX('Detalles movimientos'!K$5:K$1000, MATCH(101, 'Detalles movimientos'!$U$5:$U$1000, 0)), "")</f>
        <v/>
      </c>
      <c r="J110" s="19" t="str">
        <f>IFERROR(INDEX('Detalles movimientos'!L$5:L$1000, MATCH(101, 'Detalles movimientos'!$U$5:$U$1000, 0)), "")</f>
        <v/>
      </c>
      <c r="K110" s="20" t="str">
        <f>IFERROR(INDEX('Detalles movimientos'!M$5:M$1000, MATCH(101, 'Detalles movimientos'!$U$5:$U$1000, 0)), "")</f>
        <v/>
      </c>
      <c r="L110" s="18" t="str">
        <f>IFERROR(INDEX('Detalles movimientos'!N$5:N$1000, MATCH(101, 'Detalles movimientos'!$U$5:$U$1000, 0)), "")</f>
        <v/>
      </c>
      <c r="M110" s="18" t="str">
        <f>IFERROR(INDEX('Detalles movimientos'!Q$5:Q$1000, MATCH(101, 'Detalles movimientos'!$U$5:$U$1000, 0)), "")</f>
        <v/>
      </c>
    </row>
    <row r="111" spans="2:13">
      <c r="B111" s="17" t="str">
        <f>IFERROR(INDEX('Detalles movimientos'!C$5:C$1000, MATCH(102, 'Detalles movimientos'!$U$5:$U$1000, 0)), "")</f>
        <v/>
      </c>
      <c r="C111" s="18" t="str">
        <f>IFERROR(INDEX('Detalles movimientos'!D$5:D$1000, MATCH(102, 'Detalles movimientos'!$U$5:$U$1000, 0)), "")</f>
        <v/>
      </c>
      <c r="D111" s="19" t="str">
        <f>IFERROR(INDEX('Detalles movimientos'!E$5:E$1000, MATCH(102, 'Detalles movimientos'!$U$5:$U$1000, 0)), "")</f>
        <v/>
      </c>
      <c r="E111" s="19" t="str">
        <f>IFERROR(INDEX('Detalles movimientos'!F$5:F$1000, MATCH(102, 'Detalles movimientos'!$U$5:$U$1000, 0)), "")</f>
        <v/>
      </c>
      <c r="F111" s="18" t="str">
        <f>IFERROR(INDEX('Detalles movimientos'!G$5:G$1000, MATCH(102, 'Detalles movimientos'!$U$5:$U$1000, 0)), "")</f>
        <v/>
      </c>
      <c r="G111" s="20" t="str">
        <f>IFERROR(INDEX('Detalles movimientos'!H$5:H$1000, MATCH(102, 'Detalles movimientos'!$U$5:$U$1000, 0)), "")</f>
        <v/>
      </c>
      <c r="H111" s="21" t="str">
        <f>IFERROR(INDEX('Detalles movimientos'!I$5:I$1000, MATCH(102, 'Detalles movimientos'!$U$5:$U$1000, 0)), "")</f>
        <v/>
      </c>
      <c r="I111" s="20" t="str">
        <f>IFERROR(INDEX('Detalles movimientos'!K$5:K$1000, MATCH(102, 'Detalles movimientos'!$U$5:$U$1000, 0)), "")</f>
        <v/>
      </c>
      <c r="J111" s="19" t="str">
        <f>IFERROR(INDEX('Detalles movimientos'!L$5:L$1000, MATCH(102, 'Detalles movimientos'!$U$5:$U$1000, 0)), "")</f>
        <v/>
      </c>
      <c r="K111" s="20" t="str">
        <f>IFERROR(INDEX('Detalles movimientos'!M$5:M$1000, MATCH(102, 'Detalles movimientos'!$U$5:$U$1000, 0)), "")</f>
        <v/>
      </c>
      <c r="L111" s="18" t="str">
        <f>IFERROR(INDEX('Detalles movimientos'!N$5:N$1000, MATCH(102, 'Detalles movimientos'!$U$5:$U$1000, 0)), "")</f>
        <v/>
      </c>
      <c r="M111" s="18" t="str">
        <f>IFERROR(INDEX('Detalles movimientos'!Q$5:Q$1000, MATCH(102, 'Detalles movimientos'!$U$5:$U$1000, 0)), "")</f>
        <v/>
      </c>
    </row>
    <row r="112" spans="2:13">
      <c r="B112" s="17" t="str">
        <f>IFERROR(INDEX('Detalles movimientos'!C$5:C$1000, MATCH(103, 'Detalles movimientos'!$U$5:$U$1000, 0)), "")</f>
        <v/>
      </c>
      <c r="C112" s="18" t="str">
        <f>IFERROR(INDEX('Detalles movimientos'!D$5:D$1000, MATCH(103, 'Detalles movimientos'!$U$5:$U$1000, 0)), "")</f>
        <v/>
      </c>
      <c r="D112" s="19" t="str">
        <f>IFERROR(INDEX('Detalles movimientos'!E$5:E$1000, MATCH(103, 'Detalles movimientos'!$U$5:$U$1000, 0)), "")</f>
        <v/>
      </c>
      <c r="E112" s="19" t="str">
        <f>IFERROR(INDEX('Detalles movimientos'!F$5:F$1000, MATCH(103, 'Detalles movimientos'!$U$5:$U$1000, 0)), "")</f>
        <v/>
      </c>
      <c r="F112" s="18" t="str">
        <f>IFERROR(INDEX('Detalles movimientos'!G$5:G$1000, MATCH(103, 'Detalles movimientos'!$U$5:$U$1000, 0)), "")</f>
        <v/>
      </c>
      <c r="G112" s="20" t="str">
        <f>IFERROR(INDEX('Detalles movimientos'!H$5:H$1000, MATCH(103, 'Detalles movimientos'!$U$5:$U$1000, 0)), "")</f>
        <v/>
      </c>
      <c r="H112" s="21" t="str">
        <f>IFERROR(INDEX('Detalles movimientos'!I$5:I$1000, MATCH(103, 'Detalles movimientos'!$U$5:$U$1000, 0)), "")</f>
        <v/>
      </c>
      <c r="I112" s="20" t="str">
        <f>IFERROR(INDEX('Detalles movimientos'!K$5:K$1000, MATCH(103, 'Detalles movimientos'!$U$5:$U$1000, 0)), "")</f>
        <v/>
      </c>
      <c r="J112" s="19" t="str">
        <f>IFERROR(INDEX('Detalles movimientos'!L$5:L$1000, MATCH(103, 'Detalles movimientos'!$U$5:$U$1000, 0)), "")</f>
        <v/>
      </c>
      <c r="K112" s="20" t="str">
        <f>IFERROR(INDEX('Detalles movimientos'!M$5:M$1000, MATCH(103, 'Detalles movimientos'!$U$5:$U$1000, 0)), "")</f>
        <v/>
      </c>
      <c r="L112" s="18" t="str">
        <f>IFERROR(INDEX('Detalles movimientos'!N$5:N$1000, MATCH(103, 'Detalles movimientos'!$U$5:$U$1000, 0)), "")</f>
        <v/>
      </c>
      <c r="M112" s="18" t="str">
        <f>IFERROR(INDEX('Detalles movimientos'!Q$5:Q$1000, MATCH(103, 'Detalles movimientos'!$U$5:$U$1000, 0)), "")</f>
        <v/>
      </c>
    </row>
    <row r="113" spans="2:13">
      <c r="B113" s="17" t="str">
        <f>IFERROR(INDEX('Detalles movimientos'!C$5:C$1000, MATCH(104, 'Detalles movimientos'!$U$5:$U$1000, 0)), "")</f>
        <v/>
      </c>
      <c r="C113" s="18" t="str">
        <f>IFERROR(INDEX('Detalles movimientos'!D$5:D$1000, MATCH(104, 'Detalles movimientos'!$U$5:$U$1000, 0)), "")</f>
        <v/>
      </c>
      <c r="D113" s="19" t="str">
        <f>IFERROR(INDEX('Detalles movimientos'!E$5:E$1000, MATCH(104, 'Detalles movimientos'!$U$5:$U$1000, 0)), "")</f>
        <v/>
      </c>
      <c r="E113" s="19" t="str">
        <f>IFERROR(INDEX('Detalles movimientos'!F$5:F$1000, MATCH(104, 'Detalles movimientos'!$U$5:$U$1000, 0)), "")</f>
        <v/>
      </c>
      <c r="F113" s="18" t="str">
        <f>IFERROR(INDEX('Detalles movimientos'!G$5:G$1000, MATCH(104, 'Detalles movimientos'!$U$5:$U$1000, 0)), "")</f>
        <v/>
      </c>
      <c r="G113" s="20" t="str">
        <f>IFERROR(INDEX('Detalles movimientos'!H$5:H$1000, MATCH(104, 'Detalles movimientos'!$U$5:$U$1000, 0)), "")</f>
        <v/>
      </c>
      <c r="H113" s="21" t="str">
        <f>IFERROR(INDEX('Detalles movimientos'!I$5:I$1000, MATCH(104, 'Detalles movimientos'!$U$5:$U$1000, 0)), "")</f>
        <v/>
      </c>
      <c r="I113" s="20" t="str">
        <f>IFERROR(INDEX('Detalles movimientos'!K$5:K$1000, MATCH(104, 'Detalles movimientos'!$U$5:$U$1000, 0)), "")</f>
        <v/>
      </c>
      <c r="J113" s="19" t="str">
        <f>IFERROR(INDEX('Detalles movimientos'!L$5:L$1000, MATCH(104, 'Detalles movimientos'!$U$5:$U$1000, 0)), "")</f>
        <v/>
      </c>
      <c r="K113" s="20" t="str">
        <f>IFERROR(INDEX('Detalles movimientos'!M$5:M$1000, MATCH(104, 'Detalles movimientos'!$U$5:$U$1000, 0)), "")</f>
        <v/>
      </c>
      <c r="L113" s="18" t="str">
        <f>IFERROR(INDEX('Detalles movimientos'!N$5:N$1000, MATCH(104, 'Detalles movimientos'!$U$5:$U$1000, 0)), "")</f>
        <v/>
      </c>
      <c r="M113" s="18" t="str">
        <f>IFERROR(INDEX('Detalles movimientos'!Q$5:Q$1000, MATCH(104, 'Detalles movimientos'!$U$5:$U$1000, 0)), "")</f>
        <v/>
      </c>
    </row>
    <row r="114" spans="2:13">
      <c r="B114" s="17" t="str">
        <f>IFERROR(INDEX('Detalles movimientos'!C$5:C$1000, MATCH(105, 'Detalles movimientos'!$U$5:$U$1000, 0)), "")</f>
        <v/>
      </c>
      <c r="C114" s="18" t="str">
        <f>IFERROR(INDEX('Detalles movimientos'!D$5:D$1000, MATCH(105, 'Detalles movimientos'!$U$5:$U$1000, 0)), "")</f>
        <v/>
      </c>
      <c r="D114" s="19" t="str">
        <f>IFERROR(INDEX('Detalles movimientos'!E$5:E$1000, MATCH(105, 'Detalles movimientos'!$U$5:$U$1000, 0)), "")</f>
        <v/>
      </c>
      <c r="E114" s="19" t="str">
        <f>IFERROR(INDEX('Detalles movimientos'!F$5:F$1000, MATCH(105, 'Detalles movimientos'!$U$5:$U$1000, 0)), "")</f>
        <v/>
      </c>
      <c r="F114" s="18" t="str">
        <f>IFERROR(INDEX('Detalles movimientos'!G$5:G$1000, MATCH(105, 'Detalles movimientos'!$U$5:$U$1000, 0)), "")</f>
        <v/>
      </c>
      <c r="G114" s="20" t="str">
        <f>IFERROR(INDEX('Detalles movimientos'!H$5:H$1000, MATCH(105, 'Detalles movimientos'!$U$5:$U$1000, 0)), "")</f>
        <v/>
      </c>
      <c r="H114" s="21" t="str">
        <f>IFERROR(INDEX('Detalles movimientos'!I$5:I$1000, MATCH(105, 'Detalles movimientos'!$U$5:$U$1000, 0)), "")</f>
        <v/>
      </c>
      <c r="I114" s="20" t="str">
        <f>IFERROR(INDEX('Detalles movimientos'!K$5:K$1000, MATCH(105, 'Detalles movimientos'!$U$5:$U$1000, 0)), "")</f>
        <v/>
      </c>
      <c r="J114" s="19" t="str">
        <f>IFERROR(INDEX('Detalles movimientos'!L$5:L$1000, MATCH(105, 'Detalles movimientos'!$U$5:$U$1000, 0)), "")</f>
        <v/>
      </c>
      <c r="K114" s="20" t="str">
        <f>IFERROR(INDEX('Detalles movimientos'!M$5:M$1000, MATCH(105, 'Detalles movimientos'!$U$5:$U$1000, 0)), "")</f>
        <v/>
      </c>
      <c r="L114" s="18" t="str">
        <f>IFERROR(INDEX('Detalles movimientos'!N$5:N$1000, MATCH(105, 'Detalles movimientos'!$U$5:$U$1000, 0)), "")</f>
        <v/>
      </c>
      <c r="M114" s="18" t="str">
        <f>IFERROR(INDEX('Detalles movimientos'!Q$5:Q$1000, MATCH(105, 'Detalles movimientos'!$U$5:$U$1000, 0)), "")</f>
        <v/>
      </c>
    </row>
    <row r="115" spans="2:13">
      <c r="B115" s="17" t="str">
        <f>IFERROR(INDEX('Detalles movimientos'!C$5:C$1000, MATCH(106, 'Detalles movimientos'!$U$5:$U$1000, 0)), "")</f>
        <v/>
      </c>
      <c r="C115" s="18" t="str">
        <f>IFERROR(INDEX('Detalles movimientos'!D$5:D$1000, MATCH(106, 'Detalles movimientos'!$U$5:$U$1000, 0)), "")</f>
        <v/>
      </c>
      <c r="D115" s="19" t="str">
        <f>IFERROR(INDEX('Detalles movimientos'!E$5:E$1000, MATCH(106, 'Detalles movimientos'!$U$5:$U$1000, 0)), "")</f>
        <v/>
      </c>
      <c r="E115" s="19" t="str">
        <f>IFERROR(INDEX('Detalles movimientos'!F$5:F$1000, MATCH(106, 'Detalles movimientos'!$U$5:$U$1000, 0)), "")</f>
        <v/>
      </c>
      <c r="F115" s="18" t="str">
        <f>IFERROR(INDEX('Detalles movimientos'!G$5:G$1000, MATCH(106, 'Detalles movimientos'!$U$5:$U$1000, 0)), "")</f>
        <v/>
      </c>
      <c r="G115" s="20" t="str">
        <f>IFERROR(INDEX('Detalles movimientos'!H$5:H$1000, MATCH(106, 'Detalles movimientos'!$U$5:$U$1000, 0)), "")</f>
        <v/>
      </c>
      <c r="H115" s="21" t="str">
        <f>IFERROR(INDEX('Detalles movimientos'!I$5:I$1000, MATCH(106, 'Detalles movimientos'!$U$5:$U$1000, 0)), "")</f>
        <v/>
      </c>
      <c r="I115" s="20" t="str">
        <f>IFERROR(INDEX('Detalles movimientos'!K$5:K$1000, MATCH(106, 'Detalles movimientos'!$U$5:$U$1000, 0)), "")</f>
        <v/>
      </c>
      <c r="J115" s="19" t="str">
        <f>IFERROR(INDEX('Detalles movimientos'!L$5:L$1000, MATCH(106, 'Detalles movimientos'!$U$5:$U$1000, 0)), "")</f>
        <v/>
      </c>
      <c r="K115" s="20" t="str">
        <f>IFERROR(INDEX('Detalles movimientos'!M$5:M$1000, MATCH(106, 'Detalles movimientos'!$U$5:$U$1000, 0)), "")</f>
        <v/>
      </c>
      <c r="L115" s="18" t="str">
        <f>IFERROR(INDEX('Detalles movimientos'!N$5:N$1000, MATCH(106, 'Detalles movimientos'!$U$5:$U$1000, 0)), "")</f>
        <v/>
      </c>
      <c r="M115" s="18" t="str">
        <f>IFERROR(INDEX('Detalles movimientos'!Q$5:Q$1000, MATCH(106, 'Detalles movimientos'!$U$5:$U$1000, 0)), "")</f>
        <v/>
      </c>
    </row>
    <row r="116" spans="2:13">
      <c r="B116" s="17" t="str">
        <f>IFERROR(INDEX('Detalles movimientos'!C$5:C$1000, MATCH(107, 'Detalles movimientos'!$U$5:$U$1000, 0)), "")</f>
        <v/>
      </c>
      <c r="C116" s="18" t="str">
        <f>IFERROR(INDEX('Detalles movimientos'!D$5:D$1000, MATCH(107, 'Detalles movimientos'!$U$5:$U$1000, 0)), "")</f>
        <v/>
      </c>
      <c r="D116" s="19" t="str">
        <f>IFERROR(INDEX('Detalles movimientos'!E$5:E$1000, MATCH(107, 'Detalles movimientos'!$U$5:$U$1000, 0)), "")</f>
        <v/>
      </c>
      <c r="E116" s="19" t="str">
        <f>IFERROR(INDEX('Detalles movimientos'!F$5:F$1000, MATCH(107, 'Detalles movimientos'!$U$5:$U$1000, 0)), "")</f>
        <v/>
      </c>
      <c r="F116" s="18" t="str">
        <f>IFERROR(INDEX('Detalles movimientos'!G$5:G$1000, MATCH(107, 'Detalles movimientos'!$U$5:$U$1000, 0)), "")</f>
        <v/>
      </c>
      <c r="G116" s="20" t="str">
        <f>IFERROR(INDEX('Detalles movimientos'!H$5:H$1000, MATCH(107, 'Detalles movimientos'!$U$5:$U$1000, 0)), "")</f>
        <v/>
      </c>
      <c r="H116" s="21" t="str">
        <f>IFERROR(INDEX('Detalles movimientos'!I$5:I$1000, MATCH(107, 'Detalles movimientos'!$U$5:$U$1000, 0)), "")</f>
        <v/>
      </c>
      <c r="I116" s="20" t="str">
        <f>IFERROR(INDEX('Detalles movimientos'!K$5:K$1000, MATCH(107, 'Detalles movimientos'!$U$5:$U$1000, 0)), "")</f>
        <v/>
      </c>
      <c r="J116" s="19" t="str">
        <f>IFERROR(INDEX('Detalles movimientos'!L$5:L$1000, MATCH(107, 'Detalles movimientos'!$U$5:$U$1000, 0)), "")</f>
        <v/>
      </c>
      <c r="K116" s="20" t="str">
        <f>IFERROR(INDEX('Detalles movimientos'!M$5:M$1000, MATCH(107, 'Detalles movimientos'!$U$5:$U$1000, 0)), "")</f>
        <v/>
      </c>
      <c r="L116" s="18" t="str">
        <f>IFERROR(INDEX('Detalles movimientos'!N$5:N$1000, MATCH(107, 'Detalles movimientos'!$U$5:$U$1000, 0)), "")</f>
        <v/>
      </c>
      <c r="M116" s="18" t="str">
        <f>IFERROR(INDEX('Detalles movimientos'!Q$5:Q$1000, MATCH(107, 'Detalles movimientos'!$U$5:$U$1000, 0)), "")</f>
        <v/>
      </c>
    </row>
    <row r="117" spans="2:13">
      <c r="B117" s="17" t="str">
        <f>IFERROR(INDEX('Detalles movimientos'!C$5:C$1000, MATCH(108, 'Detalles movimientos'!$U$5:$U$1000, 0)), "")</f>
        <v/>
      </c>
      <c r="C117" s="18" t="str">
        <f>IFERROR(INDEX('Detalles movimientos'!D$5:D$1000, MATCH(108, 'Detalles movimientos'!$U$5:$U$1000, 0)), "")</f>
        <v/>
      </c>
      <c r="D117" s="19" t="str">
        <f>IFERROR(INDEX('Detalles movimientos'!E$5:E$1000, MATCH(108, 'Detalles movimientos'!$U$5:$U$1000, 0)), "")</f>
        <v/>
      </c>
      <c r="E117" s="19" t="str">
        <f>IFERROR(INDEX('Detalles movimientos'!F$5:F$1000, MATCH(108, 'Detalles movimientos'!$U$5:$U$1000, 0)), "")</f>
        <v/>
      </c>
      <c r="F117" s="18" t="str">
        <f>IFERROR(INDEX('Detalles movimientos'!G$5:G$1000, MATCH(108, 'Detalles movimientos'!$U$5:$U$1000, 0)), "")</f>
        <v/>
      </c>
      <c r="G117" s="20" t="str">
        <f>IFERROR(INDEX('Detalles movimientos'!H$5:H$1000, MATCH(108, 'Detalles movimientos'!$U$5:$U$1000, 0)), "")</f>
        <v/>
      </c>
      <c r="H117" s="21" t="str">
        <f>IFERROR(INDEX('Detalles movimientos'!I$5:I$1000, MATCH(108, 'Detalles movimientos'!$U$5:$U$1000, 0)), "")</f>
        <v/>
      </c>
      <c r="I117" s="20" t="str">
        <f>IFERROR(INDEX('Detalles movimientos'!K$5:K$1000, MATCH(108, 'Detalles movimientos'!$U$5:$U$1000, 0)), "")</f>
        <v/>
      </c>
      <c r="J117" s="19" t="str">
        <f>IFERROR(INDEX('Detalles movimientos'!L$5:L$1000, MATCH(108, 'Detalles movimientos'!$U$5:$U$1000, 0)), "")</f>
        <v/>
      </c>
      <c r="K117" s="20" t="str">
        <f>IFERROR(INDEX('Detalles movimientos'!M$5:M$1000, MATCH(108, 'Detalles movimientos'!$U$5:$U$1000, 0)), "")</f>
        <v/>
      </c>
      <c r="L117" s="18" t="str">
        <f>IFERROR(INDEX('Detalles movimientos'!N$5:N$1000, MATCH(108, 'Detalles movimientos'!$U$5:$U$1000, 0)), "")</f>
        <v/>
      </c>
      <c r="M117" s="18" t="str">
        <f>IFERROR(INDEX('Detalles movimientos'!Q$5:Q$1000, MATCH(108, 'Detalles movimientos'!$U$5:$U$1000, 0)), "")</f>
        <v/>
      </c>
    </row>
    <row r="118" spans="2:13">
      <c r="B118" s="17" t="str">
        <f>IFERROR(INDEX('Detalles movimientos'!C$5:C$1000, MATCH(109, 'Detalles movimientos'!$U$5:$U$1000, 0)), "")</f>
        <v/>
      </c>
      <c r="C118" s="18" t="str">
        <f>IFERROR(INDEX('Detalles movimientos'!D$5:D$1000, MATCH(109, 'Detalles movimientos'!$U$5:$U$1000, 0)), "")</f>
        <v/>
      </c>
      <c r="D118" s="19" t="str">
        <f>IFERROR(INDEX('Detalles movimientos'!E$5:E$1000, MATCH(109, 'Detalles movimientos'!$U$5:$U$1000, 0)), "")</f>
        <v/>
      </c>
      <c r="E118" s="19" t="str">
        <f>IFERROR(INDEX('Detalles movimientos'!F$5:F$1000, MATCH(109, 'Detalles movimientos'!$U$5:$U$1000, 0)), "")</f>
        <v/>
      </c>
      <c r="F118" s="18" t="str">
        <f>IFERROR(INDEX('Detalles movimientos'!G$5:G$1000, MATCH(109, 'Detalles movimientos'!$U$5:$U$1000, 0)), "")</f>
        <v/>
      </c>
      <c r="G118" s="20" t="str">
        <f>IFERROR(INDEX('Detalles movimientos'!H$5:H$1000, MATCH(109, 'Detalles movimientos'!$U$5:$U$1000, 0)), "")</f>
        <v/>
      </c>
      <c r="H118" s="21" t="str">
        <f>IFERROR(INDEX('Detalles movimientos'!I$5:I$1000, MATCH(109, 'Detalles movimientos'!$U$5:$U$1000, 0)), "")</f>
        <v/>
      </c>
      <c r="I118" s="20" t="str">
        <f>IFERROR(INDEX('Detalles movimientos'!K$5:K$1000, MATCH(109, 'Detalles movimientos'!$U$5:$U$1000, 0)), "")</f>
        <v/>
      </c>
      <c r="J118" s="19" t="str">
        <f>IFERROR(INDEX('Detalles movimientos'!L$5:L$1000, MATCH(109, 'Detalles movimientos'!$U$5:$U$1000, 0)), "")</f>
        <v/>
      </c>
      <c r="K118" s="20" t="str">
        <f>IFERROR(INDEX('Detalles movimientos'!M$5:M$1000, MATCH(109, 'Detalles movimientos'!$U$5:$U$1000, 0)), "")</f>
        <v/>
      </c>
      <c r="L118" s="18" t="str">
        <f>IFERROR(INDEX('Detalles movimientos'!N$5:N$1000, MATCH(109, 'Detalles movimientos'!$U$5:$U$1000, 0)), "")</f>
        <v/>
      </c>
      <c r="M118" s="18" t="str">
        <f>IFERROR(INDEX('Detalles movimientos'!Q$5:Q$1000, MATCH(109, 'Detalles movimientos'!$U$5:$U$1000, 0)), "")</f>
        <v/>
      </c>
    </row>
    <row r="119" spans="2:13">
      <c r="B119" s="17" t="str">
        <f>IFERROR(INDEX('Detalles movimientos'!C$5:C$1000, MATCH(110, 'Detalles movimientos'!$U$5:$U$1000, 0)), "")</f>
        <v/>
      </c>
      <c r="C119" s="18" t="str">
        <f>IFERROR(INDEX('Detalles movimientos'!D$5:D$1000, MATCH(110, 'Detalles movimientos'!$U$5:$U$1000, 0)), "")</f>
        <v/>
      </c>
      <c r="D119" s="19" t="str">
        <f>IFERROR(INDEX('Detalles movimientos'!E$5:E$1000, MATCH(110, 'Detalles movimientos'!$U$5:$U$1000, 0)), "")</f>
        <v/>
      </c>
      <c r="E119" s="19" t="str">
        <f>IFERROR(INDEX('Detalles movimientos'!F$5:F$1000, MATCH(110, 'Detalles movimientos'!$U$5:$U$1000, 0)), "")</f>
        <v/>
      </c>
      <c r="F119" s="18" t="str">
        <f>IFERROR(INDEX('Detalles movimientos'!G$5:G$1000, MATCH(110, 'Detalles movimientos'!$U$5:$U$1000, 0)), "")</f>
        <v/>
      </c>
      <c r="G119" s="20" t="str">
        <f>IFERROR(INDEX('Detalles movimientos'!H$5:H$1000, MATCH(110, 'Detalles movimientos'!$U$5:$U$1000, 0)), "")</f>
        <v/>
      </c>
      <c r="H119" s="21" t="str">
        <f>IFERROR(INDEX('Detalles movimientos'!I$5:I$1000, MATCH(110, 'Detalles movimientos'!$U$5:$U$1000, 0)), "")</f>
        <v/>
      </c>
      <c r="I119" s="20" t="str">
        <f>IFERROR(INDEX('Detalles movimientos'!K$5:K$1000, MATCH(110, 'Detalles movimientos'!$U$5:$U$1000, 0)), "")</f>
        <v/>
      </c>
      <c r="J119" s="19" t="str">
        <f>IFERROR(INDEX('Detalles movimientos'!L$5:L$1000, MATCH(110, 'Detalles movimientos'!$U$5:$U$1000, 0)), "")</f>
        <v/>
      </c>
      <c r="K119" s="20" t="str">
        <f>IFERROR(INDEX('Detalles movimientos'!M$5:M$1000, MATCH(110, 'Detalles movimientos'!$U$5:$U$1000, 0)), "")</f>
        <v/>
      </c>
      <c r="L119" s="18" t="str">
        <f>IFERROR(INDEX('Detalles movimientos'!N$5:N$1000, MATCH(110, 'Detalles movimientos'!$U$5:$U$1000, 0)), "")</f>
        <v/>
      </c>
      <c r="M119" s="18" t="str">
        <f>IFERROR(INDEX('Detalles movimientos'!Q$5:Q$1000, MATCH(110, 'Detalles movimientos'!$U$5:$U$1000, 0)), "")</f>
        <v/>
      </c>
    </row>
    <row r="120" spans="2:13">
      <c r="B120" s="17" t="str">
        <f>IFERROR(INDEX('Detalles movimientos'!C$5:C$1000, MATCH(111, 'Detalles movimientos'!$U$5:$U$1000, 0)), "")</f>
        <v/>
      </c>
      <c r="C120" s="18" t="str">
        <f>IFERROR(INDEX('Detalles movimientos'!D$5:D$1000, MATCH(111, 'Detalles movimientos'!$U$5:$U$1000, 0)), "")</f>
        <v/>
      </c>
      <c r="D120" s="19" t="str">
        <f>IFERROR(INDEX('Detalles movimientos'!E$5:E$1000, MATCH(111, 'Detalles movimientos'!$U$5:$U$1000, 0)), "")</f>
        <v/>
      </c>
      <c r="E120" s="19" t="str">
        <f>IFERROR(INDEX('Detalles movimientos'!F$5:F$1000, MATCH(111, 'Detalles movimientos'!$U$5:$U$1000, 0)), "")</f>
        <v/>
      </c>
      <c r="F120" s="18" t="str">
        <f>IFERROR(INDEX('Detalles movimientos'!G$5:G$1000, MATCH(111, 'Detalles movimientos'!$U$5:$U$1000, 0)), "")</f>
        <v/>
      </c>
      <c r="G120" s="20" t="str">
        <f>IFERROR(INDEX('Detalles movimientos'!H$5:H$1000, MATCH(111, 'Detalles movimientos'!$U$5:$U$1000, 0)), "")</f>
        <v/>
      </c>
      <c r="H120" s="21" t="str">
        <f>IFERROR(INDEX('Detalles movimientos'!I$5:I$1000, MATCH(111, 'Detalles movimientos'!$U$5:$U$1000, 0)), "")</f>
        <v/>
      </c>
      <c r="I120" s="20" t="str">
        <f>IFERROR(INDEX('Detalles movimientos'!K$5:K$1000, MATCH(111, 'Detalles movimientos'!$U$5:$U$1000, 0)), "")</f>
        <v/>
      </c>
      <c r="J120" s="19" t="str">
        <f>IFERROR(INDEX('Detalles movimientos'!L$5:L$1000, MATCH(111, 'Detalles movimientos'!$U$5:$U$1000, 0)), "")</f>
        <v/>
      </c>
      <c r="K120" s="20" t="str">
        <f>IFERROR(INDEX('Detalles movimientos'!M$5:M$1000, MATCH(111, 'Detalles movimientos'!$U$5:$U$1000, 0)), "")</f>
        <v/>
      </c>
      <c r="L120" s="18" t="str">
        <f>IFERROR(INDEX('Detalles movimientos'!N$5:N$1000, MATCH(111, 'Detalles movimientos'!$U$5:$U$1000, 0)), "")</f>
        <v/>
      </c>
      <c r="M120" s="18" t="str">
        <f>IFERROR(INDEX('Detalles movimientos'!Q$5:Q$1000, MATCH(111, 'Detalles movimientos'!$U$5:$U$1000, 0)), "")</f>
        <v/>
      </c>
    </row>
    <row r="121" spans="2:13">
      <c r="B121" s="17" t="str">
        <f>IFERROR(INDEX('Detalles movimientos'!C$5:C$1000, MATCH(112, 'Detalles movimientos'!$U$5:$U$1000, 0)), "")</f>
        <v/>
      </c>
      <c r="C121" s="18" t="str">
        <f>IFERROR(INDEX('Detalles movimientos'!D$5:D$1000, MATCH(112, 'Detalles movimientos'!$U$5:$U$1000, 0)), "")</f>
        <v/>
      </c>
      <c r="D121" s="19" t="str">
        <f>IFERROR(INDEX('Detalles movimientos'!E$5:E$1000, MATCH(112, 'Detalles movimientos'!$U$5:$U$1000, 0)), "")</f>
        <v/>
      </c>
      <c r="E121" s="19" t="str">
        <f>IFERROR(INDEX('Detalles movimientos'!F$5:F$1000, MATCH(112, 'Detalles movimientos'!$U$5:$U$1000, 0)), "")</f>
        <v/>
      </c>
      <c r="F121" s="18" t="str">
        <f>IFERROR(INDEX('Detalles movimientos'!G$5:G$1000, MATCH(112, 'Detalles movimientos'!$U$5:$U$1000, 0)), "")</f>
        <v/>
      </c>
      <c r="G121" s="20" t="str">
        <f>IFERROR(INDEX('Detalles movimientos'!H$5:H$1000, MATCH(112, 'Detalles movimientos'!$U$5:$U$1000, 0)), "")</f>
        <v/>
      </c>
      <c r="H121" s="21" t="str">
        <f>IFERROR(INDEX('Detalles movimientos'!I$5:I$1000, MATCH(112, 'Detalles movimientos'!$U$5:$U$1000, 0)), "")</f>
        <v/>
      </c>
      <c r="I121" s="20" t="str">
        <f>IFERROR(INDEX('Detalles movimientos'!K$5:K$1000, MATCH(112, 'Detalles movimientos'!$U$5:$U$1000, 0)), "")</f>
        <v/>
      </c>
      <c r="J121" s="19" t="str">
        <f>IFERROR(INDEX('Detalles movimientos'!L$5:L$1000, MATCH(112, 'Detalles movimientos'!$U$5:$U$1000, 0)), "")</f>
        <v/>
      </c>
      <c r="K121" s="20" t="str">
        <f>IFERROR(INDEX('Detalles movimientos'!M$5:M$1000, MATCH(112, 'Detalles movimientos'!$U$5:$U$1000, 0)), "")</f>
        <v/>
      </c>
      <c r="L121" s="18" t="str">
        <f>IFERROR(INDEX('Detalles movimientos'!N$5:N$1000, MATCH(112, 'Detalles movimientos'!$U$5:$U$1000, 0)), "")</f>
        <v/>
      </c>
      <c r="M121" s="18" t="str">
        <f>IFERROR(INDEX('Detalles movimientos'!Q$5:Q$1000, MATCH(112, 'Detalles movimientos'!$U$5:$U$1000, 0)), "")</f>
        <v/>
      </c>
    </row>
    <row r="122" spans="2:13">
      <c r="B122" s="17" t="str">
        <f>IFERROR(INDEX('Detalles movimientos'!C$5:C$1000, MATCH(113, 'Detalles movimientos'!$U$5:$U$1000, 0)), "")</f>
        <v/>
      </c>
      <c r="C122" s="18" t="str">
        <f>IFERROR(INDEX('Detalles movimientos'!D$5:D$1000, MATCH(113, 'Detalles movimientos'!$U$5:$U$1000, 0)), "")</f>
        <v/>
      </c>
      <c r="D122" s="19" t="str">
        <f>IFERROR(INDEX('Detalles movimientos'!E$5:E$1000, MATCH(113, 'Detalles movimientos'!$U$5:$U$1000, 0)), "")</f>
        <v/>
      </c>
      <c r="E122" s="19" t="str">
        <f>IFERROR(INDEX('Detalles movimientos'!F$5:F$1000, MATCH(113, 'Detalles movimientos'!$U$5:$U$1000, 0)), "")</f>
        <v/>
      </c>
      <c r="F122" s="18" t="str">
        <f>IFERROR(INDEX('Detalles movimientos'!G$5:G$1000, MATCH(113, 'Detalles movimientos'!$U$5:$U$1000, 0)), "")</f>
        <v/>
      </c>
      <c r="G122" s="20" t="str">
        <f>IFERROR(INDEX('Detalles movimientos'!H$5:H$1000, MATCH(113, 'Detalles movimientos'!$U$5:$U$1000, 0)), "")</f>
        <v/>
      </c>
      <c r="H122" s="21" t="str">
        <f>IFERROR(INDEX('Detalles movimientos'!I$5:I$1000, MATCH(113, 'Detalles movimientos'!$U$5:$U$1000, 0)), "")</f>
        <v/>
      </c>
      <c r="I122" s="20" t="str">
        <f>IFERROR(INDEX('Detalles movimientos'!K$5:K$1000, MATCH(113, 'Detalles movimientos'!$U$5:$U$1000, 0)), "")</f>
        <v/>
      </c>
      <c r="J122" s="19" t="str">
        <f>IFERROR(INDEX('Detalles movimientos'!L$5:L$1000, MATCH(113, 'Detalles movimientos'!$U$5:$U$1000, 0)), "")</f>
        <v/>
      </c>
      <c r="K122" s="20" t="str">
        <f>IFERROR(INDEX('Detalles movimientos'!M$5:M$1000, MATCH(113, 'Detalles movimientos'!$U$5:$U$1000, 0)), "")</f>
        <v/>
      </c>
      <c r="L122" s="18" t="str">
        <f>IFERROR(INDEX('Detalles movimientos'!N$5:N$1000, MATCH(113, 'Detalles movimientos'!$U$5:$U$1000, 0)), "")</f>
        <v/>
      </c>
      <c r="M122" s="18" t="str">
        <f>IFERROR(INDEX('Detalles movimientos'!Q$5:Q$1000, MATCH(113, 'Detalles movimientos'!$U$5:$U$1000, 0)), "")</f>
        <v/>
      </c>
    </row>
    <row r="123" spans="2:13">
      <c r="B123" s="17" t="str">
        <f>IFERROR(INDEX('Detalles movimientos'!C$5:C$1000, MATCH(114, 'Detalles movimientos'!$U$5:$U$1000, 0)), "")</f>
        <v/>
      </c>
      <c r="C123" s="18" t="str">
        <f>IFERROR(INDEX('Detalles movimientos'!D$5:D$1000, MATCH(114, 'Detalles movimientos'!$U$5:$U$1000, 0)), "")</f>
        <v/>
      </c>
      <c r="D123" s="19" t="str">
        <f>IFERROR(INDEX('Detalles movimientos'!E$5:E$1000, MATCH(114, 'Detalles movimientos'!$U$5:$U$1000, 0)), "")</f>
        <v/>
      </c>
      <c r="E123" s="19" t="str">
        <f>IFERROR(INDEX('Detalles movimientos'!F$5:F$1000, MATCH(114, 'Detalles movimientos'!$U$5:$U$1000, 0)), "")</f>
        <v/>
      </c>
      <c r="F123" s="18" t="str">
        <f>IFERROR(INDEX('Detalles movimientos'!G$5:G$1000, MATCH(114, 'Detalles movimientos'!$U$5:$U$1000, 0)), "")</f>
        <v/>
      </c>
      <c r="G123" s="20" t="str">
        <f>IFERROR(INDEX('Detalles movimientos'!H$5:H$1000, MATCH(114, 'Detalles movimientos'!$U$5:$U$1000, 0)), "")</f>
        <v/>
      </c>
      <c r="H123" s="21" t="str">
        <f>IFERROR(INDEX('Detalles movimientos'!I$5:I$1000, MATCH(114, 'Detalles movimientos'!$U$5:$U$1000, 0)), "")</f>
        <v/>
      </c>
      <c r="I123" s="20" t="str">
        <f>IFERROR(INDEX('Detalles movimientos'!K$5:K$1000, MATCH(114, 'Detalles movimientos'!$U$5:$U$1000, 0)), "")</f>
        <v/>
      </c>
      <c r="J123" s="19" t="str">
        <f>IFERROR(INDEX('Detalles movimientos'!L$5:L$1000, MATCH(114, 'Detalles movimientos'!$U$5:$U$1000, 0)), "")</f>
        <v/>
      </c>
      <c r="K123" s="20" t="str">
        <f>IFERROR(INDEX('Detalles movimientos'!M$5:M$1000, MATCH(114, 'Detalles movimientos'!$U$5:$U$1000, 0)), "")</f>
        <v/>
      </c>
      <c r="L123" s="18" t="str">
        <f>IFERROR(INDEX('Detalles movimientos'!N$5:N$1000, MATCH(114, 'Detalles movimientos'!$U$5:$U$1000, 0)), "")</f>
        <v/>
      </c>
      <c r="M123" s="18" t="str">
        <f>IFERROR(INDEX('Detalles movimientos'!Q$5:Q$1000, MATCH(114, 'Detalles movimientos'!$U$5:$U$1000, 0)), "")</f>
        <v/>
      </c>
    </row>
    <row r="124" spans="2:13">
      <c r="B124" s="17" t="str">
        <f>IFERROR(INDEX('Detalles movimientos'!C$5:C$1000, MATCH(115, 'Detalles movimientos'!$U$5:$U$1000, 0)), "")</f>
        <v/>
      </c>
      <c r="C124" s="18" t="str">
        <f>IFERROR(INDEX('Detalles movimientos'!D$5:D$1000, MATCH(115, 'Detalles movimientos'!$U$5:$U$1000, 0)), "")</f>
        <v/>
      </c>
      <c r="D124" s="19" t="str">
        <f>IFERROR(INDEX('Detalles movimientos'!E$5:E$1000, MATCH(115, 'Detalles movimientos'!$U$5:$U$1000, 0)), "")</f>
        <v/>
      </c>
      <c r="E124" s="19" t="str">
        <f>IFERROR(INDEX('Detalles movimientos'!F$5:F$1000, MATCH(115, 'Detalles movimientos'!$U$5:$U$1000, 0)), "")</f>
        <v/>
      </c>
      <c r="F124" s="18" t="str">
        <f>IFERROR(INDEX('Detalles movimientos'!G$5:G$1000, MATCH(115, 'Detalles movimientos'!$U$5:$U$1000, 0)), "")</f>
        <v/>
      </c>
      <c r="G124" s="20" t="str">
        <f>IFERROR(INDEX('Detalles movimientos'!H$5:H$1000, MATCH(115, 'Detalles movimientos'!$U$5:$U$1000, 0)), "")</f>
        <v/>
      </c>
      <c r="H124" s="21" t="str">
        <f>IFERROR(INDEX('Detalles movimientos'!I$5:I$1000, MATCH(115, 'Detalles movimientos'!$U$5:$U$1000, 0)), "")</f>
        <v/>
      </c>
      <c r="I124" s="20" t="str">
        <f>IFERROR(INDEX('Detalles movimientos'!K$5:K$1000, MATCH(115, 'Detalles movimientos'!$U$5:$U$1000, 0)), "")</f>
        <v/>
      </c>
      <c r="J124" s="19" t="str">
        <f>IFERROR(INDEX('Detalles movimientos'!L$5:L$1000, MATCH(115, 'Detalles movimientos'!$U$5:$U$1000, 0)), "")</f>
        <v/>
      </c>
      <c r="K124" s="20" t="str">
        <f>IFERROR(INDEX('Detalles movimientos'!M$5:M$1000, MATCH(115, 'Detalles movimientos'!$U$5:$U$1000, 0)), "")</f>
        <v/>
      </c>
      <c r="L124" s="18" t="str">
        <f>IFERROR(INDEX('Detalles movimientos'!N$5:N$1000, MATCH(115, 'Detalles movimientos'!$U$5:$U$1000, 0)), "")</f>
        <v/>
      </c>
      <c r="M124" s="18" t="str">
        <f>IFERROR(INDEX('Detalles movimientos'!Q$5:Q$1000, MATCH(115, 'Detalles movimientos'!$U$5:$U$1000, 0)), "")</f>
        <v/>
      </c>
    </row>
    <row r="125" spans="2:13">
      <c r="B125" s="17" t="str">
        <f>IFERROR(INDEX('Detalles movimientos'!C$5:C$1000, MATCH(116, 'Detalles movimientos'!$U$5:$U$1000, 0)), "")</f>
        <v/>
      </c>
      <c r="C125" s="18" t="str">
        <f>IFERROR(INDEX('Detalles movimientos'!D$5:D$1000, MATCH(116, 'Detalles movimientos'!$U$5:$U$1000, 0)), "")</f>
        <v/>
      </c>
      <c r="D125" s="19" t="str">
        <f>IFERROR(INDEX('Detalles movimientos'!E$5:E$1000, MATCH(116, 'Detalles movimientos'!$U$5:$U$1000, 0)), "")</f>
        <v/>
      </c>
      <c r="E125" s="19" t="str">
        <f>IFERROR(INDEX('Detalles movimientos'!F$5:F$1000, MATCH(116, 'Detalles movimientos'!$U$5:$U$1000, 0)), "")</f>
        <v/>
      </c>
      <c r="F125" s="18" t="str">
        <f>IFERROR(INDEX('Detalles movimientos'!G$5:G$1000, MATCH(116, 'Detalles movimientos'!$U$5:$U$1000, 0)), "")</f>
        <v/>
      </c>
      <c r="G125" s="20" t="str">
        <f>IFERROR(INDEX('Detalles movimientos'!H$5:H$1000, MATCH(116, 'Detalles movimientos'!$U$5:$U$1000, 0)), "")</f>
        <v/>
      </c>
      <c r="H125" s="21" t="str">
        <f>IFERROR(INDEX('Detalles movimientos'!I$5:I$1000, MATCH(116, 'Detalles movimientos'!$U$5:$U$1000, 0)), "")</f>
        <v/>
      </c>
      <c r="I125" s="20" t="str">
        <f>IFERROR(INDEX('Detalles movimientos'!K$5:K$1000, MATCH(116, 'Detalles movimientos'!$U$5:$U$1000, 0)), "")</f>
        <v/>
      </c>
      <c r="J125" s="19" t="str">
        <f>IFERROR(INDEX('Detalles movimientos'!L$5:L$1000, MATCH(116, 'Detalles movimientos'!$U$5:$U$1000, 0)), "")</f>
        <v/>
      </c>
      <c r="K125" s="20" t="str">
        <f>IFERROR(INDEX('Detalles movimientos'!M$5:M$1000, MATCH(116, 'Detalles movimientos'!$U$5:$U$1000, 0)), "")</f>
        <v/>
      </c>
      <c r="L125" s="18" t="str">
        <f>IFERROR(INDEX('Detalles movimientos'!N$5:N$1000, MATCH(116, 'Detalles movimientos'!$U$5:$U$1000, 0)), "")</f>
        <v/>
      </c>
      <c r="M125" s="18" t="str">
        <f>IFERROR(INDEX('Detalles movimientos'!Q$5:Q$1000, MATCH(116, 'Detalles movimientos'!$U$5:$U$1000, 0)), "")</f>
        <v/>
      </c>
    </row>
    <row r="126" spans="2:13">
      <c r="B126" s="17" t="str">
        <f>IFERROR(INDEX('Detalles movimientos'!C$5:C$1000, MATCH(117, 'Detalles movimientos'!$U$5:$U$1000, 0)), "")</f>
        <v/>
      </c>
      <c r="C126" s="18" t="str">
        <f>IFERROR(INDEX('Detalles movimientos'!D$5:D$1000, MATCH(117, 'Detalles movimientos'!$U$5:$U$1000, 0)), "")</f>
        <v/>
      </c>
      <c r="D126" s="19" t="str">
        <f>IFERROR(INDEX('Detalles movimientos'!E$5:E$1000, MATCH(117, 'Detalles movimientos'!$U$5:$U$1000, 0)), "")</f>
        <v/>
      </c>
      <c r="E126" s="19" t="str">
        <f>IFERROR(INDEX('Detalles movimientos'!F$5:F$1000, MATCH(117, 'Detalles movimientos'!$U$5:$U$1000, 0)), "")</f>
        <v/>
      </c>
      <c r="F126" s="18" t="str">
        <f>IFERROR(INDEX('Detalles movimientos'!G$5:G$1000, MATCH(117, 'Detalles movimientos'!$U$5:$U$1000, 0)), "")</f>
        <v/>
      </c>
      <c r="G126" s="20" t="str">
        <f>IFERROR(INDEX('Detalles movimientos'!H$5:H$1000, MATCH(117, 'Detalles movimientos'!$U$5:$U$1000, 0)), "")</f>
        <v/>
      </c>
      <c r="H126" s="21" t="str">
        <f>IFERROR(INDEX('Detalles movimientos'!I$5:I$1000, MATCH(117, 'Detalles movimientos'!$U$5:$U$1000, 0)), "")</f>
        <v/>
      </c>
      <c r="I126" s="20" t="str">
        <f>IFERROR(INDEX('Detalles movimientos'!K$5:K$1000, MATCH(117, 'Detalles movimientos'!$U$5:$U$1000, 0)), "")</f>
        <v/>
      </c>
      <c r="J126" s="19" t="str">
        <f>IFERROR(INDEX('Detalles movimientos'!L$5:L$1000, MATCH(117, 'Detalles movimientos'!$U$5:$U$1000, 0)), "")</f>
        <v/>
      </c>
      <c r="K126" s="20" t="str">
        <f>IFERROR(INDEX('Detalles movimientos'!M$5:M$1000, MATCH(117, 'Detalles movimientos'!$U$5:$U$1000, 0)), "")</f>
        <v/>
      </c>
      <c r="L126" s="18" t="str">
        <f>IFERROR(INDEX('Detalles movimientos'!N$5:N$1000, MATCH(117, 'Detalles movimientos'!$U$5:$U$1000, 0)), "")</f>
        <v/>
      </c>
      <c r="M126" s="18" t="str">
        <f>IFERROR(INDEX('Detalles movimientos'!Q$5:Q$1000, MATCH(117, 'Detalles movimientos'!$U$5:$U$1000, 0)), "")</f>
        <v/>
      </c>
    </row>
    <row r="127" spans="2:13">
      <c r="B127" s="17" t="str">
        <f>IFERROR(INDEX('Detalles movimientos'!C$5:C$1000, MATCH(118, 'Detalles movimientos'!$U$5:$U$1000, 0)), "")</f>
        <v/>
      </c>
      <c r="C127" s="18" t="str">
        <f>IFERROR(INDEX('Detalles movimientos'!D$5:D$1000, MATCH(118, 'Detalles movimientos'!$U$5:$U$1000, 0)), "")</f>
        <v/>
      </c>
      <c r="D127" s="19" t="str">
        <f>IFERROR(INDEX('Detalles movimientos'!E$5:E$1000, MATCH(118, 'Detalles movimientos'!$U$5:$U$1000, 0)), "")</f>
        <v/>
      </c>
      <c r="E127" s="19" t="str">
        <f>IFERROR(INDEX('Detalles movimientos'!F$5:F$1000, MATCH(118, 'Detalles movimientos'!$U$5:$U$1000, 0)), "")</f>
        <v/>
      </c>
      <c r="F127" s="18" t="str">
        <f>IFERROR(INDEX('Detalles movimientos'!G$5:G$1000, MATCH(118, 'Detalles movimientos'!$U$5:$U$1000, 0)), "")</f>
        <v/>
      </c>
      <c r="G127" s="20" t="str">
        <f>IFERROR(INDEX('Detalles movimientos'!H$5:H$1000, MATCH(118, 'Detalles movimientos'!$U$5:$U$1000, 0)), "")</f>
        <v/>
      </c>
      <c r="H127" s="21" t="str">
        <f>IFERROR(INDEX('Detalles movimientos'!I$5:I$1000, MATCH(118, 'Detalles movimientos'!$U$5:$U$1000, 0)), "")</f>
        <v/>
      </c>
      <c r="I127" s="20" t="str">
        <f>IFERROR(INDEX('Detalles movimientos'!K$5:K$1000, MATCH(118, 'Detalles movimientos'!$U$5:$U$1000, 0)), "")</f>
        <v/>
      </c>
      <c r="J127" s="19" t="str">
        <f>IFERROR(INDEX('Detalles movimientos'!L$5:L$1000, MATCH(118, 'Detalles movimientos'!$U$5:$U$1000, 0)), "")</f>
        <v/>
      </c>
      <c r="K127" s="20" t="str">
        <f>IFERROR(INDEX('Detalles movimientos'!M$5:M$1000, MATCH(118, 'Detalles movimientos'!$U$5:$U$1000, 0)), "")</f>
        <v/>
      </c>
      <c r="L127" s="18" t="str">
        <f>IFERROR(INDEX('Detalles movimientos'!N$5:N$1000, MATCH(118, 'Detalles movimientos'!$U$5:$U$1000, 0)), "")</f>
        <v/>
      </c>
      <c r="M127" s="18" t="str">
        <f>IFERROR(INDEX('Detalles movimientos'!Q$5:Q$1000, MATCH(118, 'Detalles movimientos'!$U$5:$U$1000, 0)), "")</f>
        <v/>
      </c>
    </row>
    <row r="128" spans="2:13">
      <c r="B128" s="17" t="str">
        <f>IFERROR(INDEX('Detalles movimientos'!C$5:C$1000, MATCH(119, 'Detalles movimientos'!$U$5:$U$1000, 0)), "")</f>
        <v/>
      </c>
      <c r="C128" s="18" t="str">
        <f>IFERROR(INDEX('Detalles movimientos'!D$5:D$1000, MATCH(119, 'Detalles movimientos'!$U$5:$U$1000, 0)), "")</f>
        <v/>
      </c>
      <c r="D128" s="19" t="str">
        <f>IFERROR(INDEX('Detalles movimientos'!E$5:E$1000, MATCH(119, 'Detalles movimientos'!$U$5:$U$1000, 0)), "")</f>
        <v/>
      </c>
      <c r="E128" s="19" t="str">
        <f>IFERROR(INDEX('Detalles movimientos'!F$5:F$1000, MATCH(119, 'Detalles movimientos'!$U$5:$U$1000, 0)), "")</f>
        <v/>
      </c>
      <c r="F128" s="18" t="str">
        <f>IFERROR(INDEX('Detalles movimientos'!G$5:G$1000, MATCH(119, 'Detalles movimientos'!$U$5:$U$1000, 0)), "")</f>
        <v/>
      </c>
      <c r="G128" s="20" t="str">
        <f>IFERROR(INDEX('Detalles movimientos'!H$5:H$1000, MATCH(119, 'Detalles movimientos'!$U$5:$U$1000, 0)), "")</f>
        <v/>
      </c>
      <c r="H128" s="21" t="str">
        <f>IFERROR(INDEX('Detalles movimientos'!I$5:I$1000, MATCH(119, 'Detalles movimientos'!$U$5:$U$1000, 0)), "")</f>
        <v/>
      </c>
      <c r="I128" s="20" t="str">
        <f>IFERROR(INDEX('Detalles movimientos'!K$5:K$1000, MATCH(119, 'Detalles movimientos'!$U$5:$U$1000, 0)), "")</f>
        <v/>
      </c>
      <c r="J128" s="19" t="str">
        <f>IFERROR(INDEX('Detalles movimientos'!L$5:L$1000, MATCH(119, 'Detalles movimientos'!$U$5:$U$1000, 0)), "")</f>
        <v/>
      </c>
      <c r="K128" s="20" t="str">
        <f>IFERROR(INDEX('Detalles movimientos'!M$5:M$1000, MATCH(119, 'Detalles movimientos'!$U$5:$U$1000, 0)), "")</f>
        <v/>
      </c>
      <c r="L128" s="18" t="str">
        <f>IFERROR(INDEX('Detalles movimientos'!N$5:N$1000, MATCH(119, 'Detalles movimientos'!$U$5:$U$1000, 0)), "")</f>
        <v/>
      </c>
      <c r="M128" s="18" t="str">
        <f>IFERROR(INDEX('Detalles movimientos'!Q$5:Q$1000, MATCH(119, 'Detalles movimientos'!$U$5:$U$1000, 0)), "")</f>
        <v/>
      </c>
    </row>
    <row r="129" spans="2:13">
      <c r="B129" s="17" t="str">
        <f>IFERROR(INDEX('Detalles movimientos'!C$5:C$1000, MATCH(120, 'Detalles movimientos'!$U$5:$U$1000, 0)), "")</f>
        <v/>
      </c>
      <c r="C129" s="18" t="str">
        <f>IFERROR(INDEX('Detalles movimientos'!D$5:D$1000, MATCH(120, 'Detalles movimientos'!$U$5:$U$1000, 0)), "")</f>
        <v/>
      </c>
      <c r="D129" s="19" t="str">
        <f>IFERROR(INDEX('Detalles movimientos'!E$5:E$1000, MATCH(120, 'Detalles movimientos'!$U$5:$U$1000, 0)), "")</f>
        <v/>
      </c>
      <c r="E129" s="19" t="str">
        <f>IFERROR(INDEX('Detalles movimientos'!F$5:F$1000, MATCH(120, 'Detalles movimientos'!$U$5:$U$1000, 0)), "")</f>
        <v/>
      </c>
      <c r="F129" s="18" t="str">
        <f>IFERROR(INDEX('Detalles movimientos'!G$5:G$1000, MATCH(120, 'Detalles movimientos'!$U$5:$U$1000, 0)), "")</f>
        <v/>
      </c>
      <c r="G129" s="20" t="str">
        <f>IFERROR(INDEX('Detalles movimientos'!H$5:H$1000, MATCH(120, 'Detalles movimientos'!$U$5:$U$1000, 0)), "")</f>
        <v/>
      </c>
      <c r="H129" s="21" t="str">
        <f>IFERROR(INDEX('Detalles movimientos'!I$5:I$1000, MATCH(120, 'Detalles movimientos'!$U$5:$U$1000, 0)), "")</f>
        <v/>
      </c>
      <c r="I129" s="20" t="str">
        <f>IFERROR(INDEX('Detalles movimientos'!K$5:K$1000, MATCH(120, 'Detalles movimientos'!$U$5:$U$1000, 0)), "")</f>
        <v/>
      </c>
      <c r="J129" s="19" t="str">
        <f>IFERROR(INDEX('Detalles movimientos'!L$5:L$1000, MATCH(120, 'Detalles movimientos'!$U$5:$U$1000, 0)), "")</f>
        <v/>
      </c>
      <c r="K129" s="20" t="str">
        <f>IFERROR(INDEX('Detalles movimientos'!M$5:M$1000, MATCH(120, 'Detalles movimientos'!$U$5:$U$1000, 0)), "")</f>
        <v/>
      </c>
      <c r="L129" s="18" t="str">
        <f>IFERROR(INDEX('Detalles movimientos'!N$5:N$1000, MATCH(120, 'Detalles movimientos'!$U$5:$U$1000, 0)), "")</f>
        <v/>
      </c>
      <c r="M129" s="18" t="str">
        <f>IFERROR(INDEX('Detalles movimientos'!Q$5:Q$1000, MATCH(120, 'Detalles movimientos'!$U$5:$U$1000, 0)), "")</f>
        <v/>
      </c>
    </row>
    <row r="130" spans="2:13">
      <c r="B130" s="17" t="str">
        <f>IFERROR(INDEX('Detalles movimientos'!C$5:C$1000, MATCH(121, 'Detalles movimientos'!$U$5:$U$1000, 0)), "")</f>
        <v/>
      </c>
      <c r="C130" s="18" t="str">
        <f>IFERROR(INDEX('Detalles movimientos'!D$5:D$1000, MATCH(121, 'Detalles movimientos'!$U$5:$U$1000, 0)), "")</f>
        <v/>
      </c>
      <c r="D130" s="19" t="str">
        <f>IFERROR(INDEX('Detalles movimientos'!E$5:E$1000, MATCH(121, 'Detalles movimientos'!$U$5:$U$1000, 0)), "")</f>
        <v/>
      </c>
      <c r="E130" s="19" t="str">
        <f>IFERROR(INDEX('Detalles movimientos'!F$5:F$1000, MATCH(121, 'Detalles movimientos'!$U$5:$U$1000, 0)), "")</f>
        <v/>
      </c>
      <c r="F130" s="18" t="str">
        <f>IFERROR(INDEX('Detalles movimientos'!G$5:G$1000, MATCH(121, 'Detalles movimientos'!$U$5:$U$1000, 0)), "")</f>
        <v/>
      </c>
      <c r="G130" s="20" t="str">
        <f>IFERROR(INDEX('Detalles movimientos'!H$5:H$1000, MATCH(121, 'Detalles movimientos'!$U$5:$U$1000, 0)), "")</f>
        <v/>
      </c>
      <c r="H130" s="21" t="str">
        <f>IFERROR(INDEX('Detalles movimientos'!I$5:I$1000, MATCH(121, 'Detalles movimientos'!$U$5:$U$1000, 0)), "")</f>
        <v/>
      </c>
      <c r="I130" s="20" t="str">
        <f>IFERROR(INDEX('Detalles movimientos'!K$5:K$1000, MATCH(121, 'Detalles movimientos'!$U$5:$U$1000, 0)), "")</f>
        <v/>
      </c>
      <c r="J130" s="19" t="str">
        <f>IFERROR(INDEX('Detalles movimientos'!L$5:L$1000, MATCH(121, 'Detalles movimientos'!$U$5:$U$1000, 0)), "")</f>
        <v/>
      </c>
      <c r="K130" s="20" t="str">
        <f>IFERROR(INDEX('Detalles movimientos'!M$5:M$1000, MATCH(121, 'Detalles movimientos'!$U$5:$U$1000, 0)), "")</f>
        <v/>
      </c>
      <c r="L130" s="18" t="str">
        <f>IFERROR(INDEX('Detalles movimientos'!N$5:N$1000, MATCH(121, 'Detalles movimientos'!$U$5:$U$1000, 0)), "")</f>
        <v/>
      </c>
      <c r="M130" s="18" t="str">
        <f>IFERROR(INDEX('Detalles movimientos'!Q$5:Q$1000, MATCH(121, 'Detalles movimientos'!$U$5:$U$1000, 0)), "")</f>
        <v/>
      </c>
    </row>
    <row r="131" spans="2:13">
      <c r="B131" s="17" t="str">
        <f>IFERROR(INDEX('Detalles movimientos'!C$5:C$1000, MATCH(122, 'Detalles movimientos'!$U$5:$U$1000, 0)), "")</f>
        <v/>
      </c>
      <c r="C131" s="18" t="str">
        <f>IFERROR(INDEX('Detalles movimientos'!D$5:D$1000, MATCH(122, 'Detalles movimientos'!$U$5:$U$1000, 0)), "")</f>
        <v/>
      </c>
      <c r="D131" s="19" t="str">
        <f>IFERROR(INDEX('Detalles movimientos'!E$5:E$1000, MATCH(122, 'Detalles movimientos'!$U$5:$U$1000, 0)), "")</f>
        <v/>
      </c>
      <c r="E131" s="19" t="str">
        <f>IFERROR(INDEX('Detalles movimientos'!F$5:F$1000, MATCH(122, 'Detalles movimientos'!$U$5:$U$1000, 0)), "")</f>
        <v/>
      </c>
      <c r="F131" s="18" t="str">
        <f>IFERROR(INDEX('Detalles movimientos'!G$5:G$1000, MATCH(122, 'Detalles movimientos'!$U$5:$U$1000, 0)), "")</f>
        <v/>
      </c>
      <c r="G131" s="20" t="str">
        <f>IFERROR(INDEX('Detalles movimientos'!H$5:H$1000, MATCH(122, 'Detalles movimientos'!$U$5:$U$1000, 0)), "")</f>
        <v/>
      </c>
      <c r="H131" s="21" t="str">
        <f>IFERROR(INDEX('Detalles movimientos'!I$5:I$1000, MATCH(122, 'Detalles movimientos'!$U$5:$U$1000, 0)), "")</f>
        <v/>
      </c>
      <c r="I131" s="20" t="str">
        <f>IFERROR(INDEX('Detalles movimientos'!K$5:K$1000, MATCH(122, 'Detalles movimientos'!$U$5:$U$1000, 0)), "")</f>
        <v/>
      </c>
      <c r="J131" s="19" t="str">
        <f>IFERROR(INDEX('Detalles movimientos'!L$5:L$1000, MATCH(122, 'Detalles movimientos'!$U$5:$U$1000, 0)), "")</f>
        <v/>
      </c>
      <c r="K131" s="20" t="str">
        <f>IFERROR(INDEX('Detalles movimientos'!M$5:M$1000, MATCH(122, 'Detalles movimientos'!$U$5:$U$1000, 0)), "")</f>
        <v/>
      </c>
      <c r="L131" s="18" t="str">
        <f>IFERROR(INDEX('Detalles movimientos'!N$5:N$1000, MATCH(122, 'Detalles movimientos'!$U$5:$U$1000, 0)), "")</f>
        <v/>
      </c>
      <c r="M131" s="18" t="str">
        <f>IFERROR(INDEX('Detalles movimientos'!Q$5:Q$1000, MATCH(122, 'Detalles movimientos'!$U$5:$U$1000, 0)), "")</f>
        <v/>
      </c>
    </row>
    <row r="132" spans="2:13">
      <c r="B132" s="17" t="str">
        <f>IFERROR(INDEX('Detalles movimientos'!C$5:C$1000, MATCH(123, 'Detalles movimientos'!$U$5:$U$1000, 0)), "")</f>
        <v/>
      </c>
      <c r="C132" s="18" t="str">
        <f>IFERROR(INDEX('Detalles movimientos'!D$5:D$1000, MATCH(123, 'Detalles movimientos'!$U$5:$U$1000, 0)), "")</f>
        <v/>
      </c>
      <c r="D132" s="19" t="str">
        <f>IFERROR(INDEX('Detalles movimientos'!E$5:E$1000, MATCH(123, 'Detalles movimientos'!$U$5:$U$1000, 0)), "")</f>
        <v/>
      </c>
      <c r="E132" s="19" t="str">
        <f>IFERROR(INDEX('Detalles movimientos'!F$5:F$1000, MATCH(123, 'Detalles movimientos'!$U$5:$U$1000, 0)), "")</f>
        <v/>
      </c>
      <c r="F132" s="18" t="str">
        <f>IFERROR(INDEX('Detalles movimientos'!G$5:G$1000, MATCH(123, 'Detalles movimientos'!$U$5:$U$1000, 0)), "")</f>
        <v/>
      </c>
      <c r="G132" s="20" t="str">
        <f>IFERROR(INDEX('Detalles movimientos'!H$5:H$1000, MATCH(123, 'Detalles movimientos'!$U$5:$U$1000, 0)), "")</f>
        <v/>
      </c>
      <c r="H132" s="21" t="str">
        <f>IFERROR(INDEX('Detalles movimientos'!I$5:I$1000, MATCH(123, 'Detalles movimientos'!$U$5:$U$1000, 0)), "")</f>
        <v/>
      </c>
      <c r="I132" s="20" t="str">
        <f>IFERROR(INDEX('Detalles movimientos'!K$5:K$1000, MATCH(123, 'Detalles movimientos'!$U$5:$U$1000, 0)), "")</f>
        <v/>
      </c>
      <c r="J132" s="19" t="str">
        <f>IFERROR(INDEX('Detalles movimientos'!L$5:L$1000, MATCH(123, 'Detalles movimientos'!$U$5:$U$1000, 0)), "")</f>
        <v/>
      </c>
      <c r="K132" s="20" t="str">
        <f>IFERROR(INDEX('Detalles movimientos'!M$5:M$1000, MATCH(123, 'Detalles movimientos'!$U$5:$U$1000, 0)), "")</f>
        <v/>
      </c>
      <c r="L132" s="18" t="str">
        <f>IFERROR(INDEX('Detalles movimientos'!N$5:N$1000, MATCH(123, 'Detalles movimientos'!$U$5:$U$1000, 0)), "")</f>
        <v/>
      </c>
      <c r="M132" s="18" t="str">
        <f>IFERROR(INDEX('Detalles movimientos'!Q$5:Q$1000, MATCH(123, 'Detalles movimientos'!$U$5:$U$1000, 0)), "")</f>
        <v/>
      </c>
    </row>
    <row r="133" spans="2:13">
      <c r="B133" s="17" t="str">
        <f>IFERROR(INDEX('Detalles movimientos'!C$5:C$1000, MATCH(124, 'Detalles movimientos'!$U$5:$U$1000, 0)), "")</f>
        <v/>
      </c>
      <c r="C133" s="18" t="str">
        <f>IFERROR(INDEX('Detalles movimientos'!D$5:D$1000, MATCH(124, 'Detalles movimientos'!$U$5:$U$1000, 0)), "")</f>
        <v/>
      </c>
      <c r="D133" s="19" t="str">
        <f>IFERROR(INDEX('Detalles movimientos'!E$5:E$1000, MATCH(124, 'Detalles movimientos'!$U$5:$U$1000, 0)), "")</f>
        <v/>
      </c>
      <c r="E133" s="19" t="str">
        <f>IFERROR(INDEX('Detalles movimientos'!F$5:F$1000, MATCH(124, 'Detalles movimientos'!$U$5:$U$1000, 0)), "")</f>
        <v/>
      </c>
      <c r="F133" s="18" t="str">
        <f>IFERROR(INDEX('Detalles movimientos'!G$5:G$1000, MATCH(124, 'Detalles movimientos'!$U$5:$U$1000, 0)), "")</f>
        <v/>
      </c>
      <c r="G133" s="20" t="str">
        <f>IFERROR(INDEX('Detalles movimientos'!H$5:H$1000, MATCH(124, 'Detalles movimientos'!$U$5:$U$1000, 0)), "")</f>
        <v/>
      </c>
      <c r="H133" s="21" t="str">
        <f>IFERROR(INDEX('Detalles movimientos'!I$5:I$1000, MATCH(124, 'Detalles movimientos'!$U$5:$U$1000, 0)), "")</f>
        <v/>
      </c>
      <c r="I133" s="20" t="str">
        <f>IFERROR(INDEX('Detalles movimientos'!K$5:K$1000, MATCH(124, 'Detalles movimientos'!$U$5:$U$1000, 0)), "")</f>
        <v/>
      </c>
      <c r="J133" s="19" t="str">
        <f>IFERROR(INDEX('Detalles movimientos'!L$5:L$1000, MATCH(124, 'Detalles movimientos'!$U$5:$U$1000, 0)), "")</f>
        <v/>
      </c>
      <c r="K133" s="20" t="str">
        <f>IFERROR(INDEX('Detalles movimientos'!M$5:M$1000, MATCH(124, 'Detalles movimientos'!$U$5:$U$1000, 0)), "")</f>
        <v/>
      </c>
      <c r="L133" s="18" t="str">
        <f>IFERROR(INDEX('Detalles movimientos'!N$5:N$1000, MATCH(124, 'Detalles movimientos'!$U$5:$U$1000, 0)), "")</f>
        <v/>
      </c>
      <c r="M133" s="18" t="str">
        <f>IFERROR(INDEX('Detalles movimientos'!Q$5:Q$1000, MATCH(124, 'Detalles movimientos'!$U$5:$U$1000, 0)), "")</f>
        <v/>
      </c>
    </row>
    <row r="134" spans="2:13">
      <c r="B134" s="17" t="str">
        <f>IFERROR(INDEX('Detalles movimientos'!C$5:C$1000, MATCH(125, 'Detalles movimientos'!$U$5:$U$1000, 0)), "")</f>
        <v/>
      </c>
      <c r="C134" s="18" t="str">
        <f>IFERROR(INDEX('Detalles movimientos'!D$5:D$1000, MATCH(125, 'Detalles movimientos'!$U$5:$U$1000, 0)), "")</f>
        <v/>
      </c>
      <c r="D134" s="19" t="str">
        <f>IFERROR(INDEX('Detalles movimientos'!E$5:E$1000, MATCH(125, 'Detalles movimientos'!$U$5:$U$1000, 0)), "")</f>
        <v/>
      </c>
      <c r="E134" s="19" t="str">
        <f>IFERROR(INDEX('Detalles movimientos'!F$5:F$1000, MATCH(125, 'Detalles movimientos'!$U$5:$U$1000, 0)), "")</f>
        <v/>
      </c>
      <c r="F134" s="18" t="str">
        <f>IFERROR(INDEX('Detalles movimientos'!G$5:G$1000, MATCH(125, 'Detalles movimientos'!$U$5:$U$1000, 0)), "")</f>
        <v/>
      </c>
      <c r="G134" s="20" t="str">
        <f>IFERROR(INDEX('Detalles movimientos'!H$5:H$1000, MATCH(125, 'Detalles movimientos'!$U$5:$U$1000, 0)), "")</f>
        <v/>
      </c>
      <c r="H134" s="21" t="str">
        <f>IFERROR(INDEX('Detalles movimientos'!I$5:I$1000, MATCH(125, 'Detalles movimientos'!$U$5:$U$1000, 0)), "")</f>
        <v/>
      </c>
      <c r="I134" s="20" t="str">
        <f>IFERROR(INDEX('Detalles movimientos'!K$5:K$1000, MATCH(125, 'Detalles movimientos'!$U$5:$U$1000, 0)), "")</f>
        <v/>
      </c>
      <c r="J134" s="19" t="str">
        <f>IFERROR(INDEX('Detalles movimientos'!L$5:L$1000, MATCH(125, 'Detalles movimientos'!$U$5:$U$1000, 0)), "")</f>
        <v/>
      </c>
      <c r="K134" s="20" t="str">
        <f>IFERROR(INDEX('Detalles movimientos'!M$5:M$1000, MATCH(125, 'Detalles movimientos'!$U$5:$U$1000, 0)), "")</f>
        <v/>
      </c>
      <c r="L134" s="18" t="str">
        <f>IFERROR(INDEX('Detalles movimientos'!N$5:N$1000, MATCH(125, 'Detalles movimientos'!$U$5:$U$1000, 0)), "")</f>
        <v/>
      </c>
      <c r="M134" s="18" t="str">
        <f>IFERROR(INDEX('Detalles movimientos'!Q$5:Q$1000, MATCH(125, 'Detalles movimientos'!$U$5:$U$1000, 0)), "")</f>
        <v/>
      </c>
    </row>
    <row r="135" spans="2:13">
      <c r="B135" s="17" t="str">
        <f>IFERROR(INDEX('Detalles movimientos'!C$5:C$1000, MATCH(126, 'Detalles movimientos'!$U$5:$U$1000, 0)), "")</f>
        <v/>
      </c>
      <c r="C135" s="18" t="str">
        <f>IFERROR(INDEX('Detalles movimientos'!D$5:D$1000, MATCH(126, 'Detalles movimientos'!$U$5:$U$1000, 0)), "")</f>
        <v/>
      </c>
      <c r="D135" s="19" t="str">
        <f>IFERROR(INDEX('Detalles movimientos'!E$5:E$1000, MATCH(126, 'Detalles movimientos'!$U$5:$U$1000, 0)), "")</f>
        <v/>
      </c>
      <c r="E135" s="19" t="str">
        <f>IFERROR(INDEX('Detalles movimientos'!F$5:F$1000, MATCH(126, 'Detalles movimientos'!$U$5:$U$1000, 0)), "")</f>
        <v/>
      </c>
      <c r="F135" s="18" t="str">
        <f>IFERROR(INDEX('Detalles movimientos'!G$5:G$1000, MATCH(126, 'Detalles movimientos'!$U$5:$U$1000, 0)), "")</f>
        <v/>
      </c>
      <c r="G135" s="20" t="str">
        <f>IFERROR(INDEX('Detalles movimientos'!H$5:H$1000, MATCH(126, 'Detalles movimientos'!$U$5:$U$1000, 0)), "")</f>
        <v/>
      </c>
      <c r="H135" s="21" t="str">
        <f>IFERROR(INDEX('Detalles movimientos'!I$5:I$1000, MATCH(126, 'Detalles movimientos'!$U$5:$U$1000, 0)), "")</f>
        <v/>
      </c>
      <c r="I135" s="20" t="str">
        <f>IFERROR(INDEX('Detalles movimientos'!K$5:K$1000, MATCH(126, 'Detalles movimientos'!$U$5:$U$1000, 0)), "")</f>
        <v/>
      </c>
      <c r="J135" s="19" t="str">
        <f>IFERROR(INDEX('Detalles movimientos'!L$5:L$1000, MATCH(126, 'Detalles movimientos'!$U$5:$U$1000, 0)), "")</f>
        <v/>
      </c>
      <c r="K135" s="20" t="str">
        <f>IFERROR(INDEX('Detalles movimientos'!M$5:M$1000, MATCH(126, 'Detalles movimientos'!$U$5:$U$1000, 0)), "")</f>
        <v/>
      </c>
      <c r="L135" s="18" t="str">
        <f>IFERROR(INDEX('Detalles movimientos'!N$5:N$1000, MATCH(126, 'Detalles movimientos'!$U$5:$U$1000, 0)), "")</f>
        <v/>
      </c>
      <c r="M135" s="18" t="str">
        <f>IFERROR(INDEX('Detalles movimientos'!Q$5:Q$1000, MATCH(126, 'Detalles movimientos'!$U$5:$U$1000, 0)), "")</f>
        <v/>
      </c>
    </row>
    <row r="136" spans="2:13">
      <c r="B136" s="17" t="str">
        <f>IFERROR(INDEX('Detalles movimientos'!C$5:C$1000, MATCH(127, 'Detalles movimientos'!$U$5:$U$1000, 0)), "")</f>
        <v/>
      </c>
      <c r="C136" s="18" t="str">
        <f>IFERROR(INDEX('Detalles movimientos'!D$5:D$1000, MATCH(127, 'Detalles movimientos'!$U$5:$U$1000, 0)), "")</f>
        <v/>
      </c>
      <c r="D136" s="19" t="str">
        <f>IFERROR(INDEX('Detalles movimientos'!E$5:E$1000, MATCH(127, 'Detalles movimientos'!$U$5:$U$1000, 0)), "")</f>
        <v/>
      </c>
      <c r="E136" s="19" t="str">
        <f>IFERROR(INDEX('Detalles movimientos'!F$5:F$1000, MATCH(127, 'Detalles movimientos'!$U$5:$U$1000, 0)), "")</f>
        <v/>
      </c>
      <c r="F136" s="18" t="str">
        <f>IFERROR(INDEX('Detalles movimientos'!G$5:G$1000, MATCH(127, 'Detalles movimientos'!$U$5:$U$1000, 0)), "")</f>
        <v/>
      </c>
      <c r="G136" s="20" t="str">
        <f>IFERROR(INDEX('Detalles movimientos'!H$5:H$1000, MATCH(127, 'Detalles movimientos'!$U$5:$U$1000, 0)), "")</f>
        <v/>
      </c>
      <c r="H136" s="21" t="str">
        <f>IFERROR(INDEX('Detalles movimientos'!I$5:I$1000, MATCH(127, 'Detalles movimientos'!$U$5:$U$1000, 0)), "")</f>
        <v/>
      </c>
      <c r="I136" s="20" t="str">
        <f>IFERROR(INDEX('Detalles movimientos'!K$5:K$1000, MATCH(127, 'Detalles movimientos'!$U$5:$U$1000, 0)), "")</f>
        <v/>
      </c>
      <c r="J136" s="19" t="str">
        <f>IFERROR(INDEX('Detalles movimientos'!L$5:L$1000, MATCH(127, 'Detalles movimientos'!$U$5:$U$1000, 0)), "")</f>
        <v/>
      </c>
      <c r="K136" s="20" t="str">
        <f>IFERROR(INDEX('Detalles movimientos'!M$5:M$1000, MATCH(127, 'Detalles movimientos'!$U$5:$U$1000, 0)), "")</f>
        <v/>
      </c>
      <c r="L136" s="18" t="str">
        <f>IFERROR(INDEX('Detalles movimientos'!N$5:N$1000, MATCH(127, 'Detalles movimientos'!$U$5:$U$1000, 0)), "")</f>
        <v/>
      </c>
      <c r="M136" s="18" t="str">
        <f>IFERROR(INDEX('Detalles movimientos'!Q$5:Q$1000, MATCH(127, 'Detalles movimientos'!$U$5:$U$1000, 0)), "")</f>
        <v/>
      </c>
    </row>
    <row r="137" spans="2:13">
      <c r="B137" s="17" t="str">
        <f>IFERROR(INDEX('Detalles movimientos'!C$5:C$1000, MATCH(128, 'Detalles movimientos'!$U$5:$U$1000, 0)), "")</f>
        <v/>
      </c>
      <c r="C137" s="18" t="str">
        <f>IFERROR(INDEX('Detalles movimientos'!D$5:D$1000, MATCH(128, 'Detalles movimientos'!$U$5:$U$1000, 0)), "")</f>
        <v/>
      </c>
      <c r="D137" s="19" t="str">
        <f>IFERROR(INDEX('Detalles movimientos'!E$5:E$1000, MATCH(128, 'Detalles movimientos'!$U$5:$U$1000, 0)), "")</f>
        <v/>
      </c>
      <c r="E137" s="19" t="str">
        <f>IFERROR(INDEX('Detalles movimientos'!F$5:F$1000, MATCH(128, 'Detalles movimientos'!$U$5:$U$1000, 0)), "")</f>
        <v/>
      </c>
      <c r="F137" s="18" t="str">
        <f>IFERROR(INDEX('Detalles movimientos'!G$5:G$1000, MATCH(128, 'Detalles movimientos'!$U$5:$U$1000, 0)), "")</f>
        <v/>
      </c>
      <c r="G137" s="20" t="str">
        <f>IFERROR(INDEX('Detalles movimientos'!H$5:H$1000, MATCH(128, 'Detalles movimientos'!$U$5:$U$1000, 0)), "")</f>
        <v/>
      </c>
      <c r="H137" s="21" t="str">
        <f>IFERROR(INDEX('Detalles movimientos'!I$5:I$1000, MATCH(128, 'Detalles movimientos'!$U$5:$U$1000, 0)), "")</f>
        <v/>
      </c>
      <c r="I137" s="20" t="str">
        <f>IFERROR(INDEX('Detalles movimientos'!K$5:K$1000, MATCH(128, 'Detalles movimientos'!$U$5:$U$1000, 0)), "")</f>
        <v/>
      </c>
      <c r="J137" s="19" t="str">
        <f>IFERROR(INDEX('Detalles movimientos'!L$5:L$1000, MATCH(128, 'Detalles movimientos'!$U$5:$U$1000, 0)), "")</f>
        <v/>
      </c>
      <c r="K137" s="20" t="str">
        <f>IFERROR(INDEX('Detalles movimientos'!M$5:M$1000, MATCH(128, 'Detalles movimientos'!$U$5:$U$1000, 0)), "")</f>
        <v/>
      </c>
      <c r="L137" s="18" t="str">
        <f>IFERROR(INDEX('Detalles movimientos'!N$5:N$1000, MATCH(128, 'Detalles movimientos'!$U$5:$U$1000, 0)), "")</f>
        <v/>
      </c>
      <c r="M137" s="18" t="str">
        <f>IFERROR(INDEX('Detalles movimientos'!Q$5:Q$1000, MATCH(128, 'Detalles movimientos'!$U$5:$U$1000, 0)), "")</f>
        <v/>
      </c>
    </row>
    <row r="138" spans="2:13">
      <c r="B138" s="17" t="str">
        <f>IFERROR(INDEX('Detalles movimientos'!C$5:C$1000, MATCH(129, 'Detalles movimientos'!$U$5:$U$1000, 0)), "")</f>
        <v/>
      </c>
      <c r="C138" s="18" t="str">
        <f>IFERROR(INDEX('Detalles movimientos'!D$5:D$1000, MATCH(129, 'Detalles movimientos'!$U$5:$U$1000, 0)), "")</f>
        <v/>
      </c>
      <c r="D138" s="19" t="str">
        <f>IFERROR(INDEX('Detalles movimientos'!E$5:E$1000, MATCH(129, 'Detalles movimientos'!$U$5:$U$1000, 0)), "")</f>
        <v/>
      </c>
      <c r="E138" s="19" t="str">
        <f>IFERROR(INDEX('Detalles movimientos'!F$5:F$1000, MATCH(129, 'Detalles movimientos'!$U$5:$U$1000, 0)), "")</f>
        <v/>
      </c>
      <c r="F138" s="18" t="str">
        <f>IFERROR(INDEX('Detalles movimientos'!G$5:G$1000, MATCH(129, 'Detalles movimientos'!$U$5:$U$1000, 0)), "")</f>
        <v/>
      </c>
      <c r="G138" s="20" t="str">
        <f>IFERROR(INDEX('Detalles movimientos'!H$5:H$1000, MATCH(129, 'Detalles movimientos'!$U$5:$U$1000, 0)), "")</f>
        <v/>
      </c>
      <c r="H138" s="21" t="str">
        <f>IFERROR(INDEX('Detalles movimientos'!I$5:I$1000, MATCH(129, 'Detalles movimientos'!$U$5:$U$1000, 0)), "")</f>
        <v/>
      </c>
      <c r="I138" s="20" t="str">
        <f>IFERROR(INDEX('Detalles movimientos'!K$5:K$1000, MATCH(129, 'Detalles movimientos'!$U$5:$U$1000, 0)), "")</f>
        <v/>
      </c>
      <c r="J138" s="19" t="str">
        <f>IFERROR(INDEX('Detalles movimientos'!L$5:L$1000, MATCH(129, 'Detalles movimientos'!$U$5:$U$1000, 0)), "")</f>
        <v/>
      </c>
      <c r="K138" s="20" t="str">
        <f>IFERROR(INDEX('Detalles movimientos'!M$5:M$1000, MATCH(129, 'Detalles movimientos'!$U$5:$U$1000, 0)), "")</f>
        <v/>
      </c>
      <c r="L138" s="18" t="str">
        <f>IFERROR(INDEX('Detalles movimientos'!N$5:N$1000, MATCH(129, 'Detalles movimientos'!$U$5:$U$1000, 0)), "")</f>
        <v/>
      </c>
      <c r="M138" s="18" t="str">
        <f>IFERROR(INDEX('Detalles movimientos'!Q$5:Q$1000, MATCH(129, 'Detalles movimientos'!$U$5:$U$1000, 0)), "")</f>
        <v/>
      </c>
    </row>
    <row r="139" spans="2:13">
      <c r="B139" s="17" t="str">
        <f>IFERROR(INDEX('Detalles movimientos'!C$5:C$1000, MATCH(130, 'Detalles movimientos'!$U$5:$U$1000, 0)), "")</f>
        <v/>
      </c>
      <c r="C139" s="18" t="str">
        <f>IFERROR(INDEX('Detalles movimientos'!D$5:D$1000, MATCH(130, 'Detalles movimientos'!$U$5:$U$1000, 0)), "")</f>
        <v/>
      </c>
      <c r="D139" s="19" t="str">
        <f>IFERROR(INDEX('Detalles movimientos'!E$5:E$1000, MATCH(130, 'Detalles movimientos'!$U$5:$U$1000, 0)), "")</f>
        <v/>
      </c>
      <c r="E139" s="19" t="str">
        <f>IFERROR(INDEX('Detalles movimientos'!F$5:F$1000, MATCH(130, 'Detalles movimientos'!$U$5:$U$1000, 0)), "")</f>
        <v/>
      </c>
      <c r="F139" s="18" t="str">
        <f>IFERROR(INDEX('Detalles movimientos'!G$5:G$1000, MATCH(130, 'Detalles movimientos'!$U$5:$U$1000, 0)), "")</f>
        <v/>
      </c>
      <c r="G139" s="20" t="str">
        <f>IFERROR(INDEX('Detalles movimientos'!H$5:H$1000, MATCH(130, 'Detalles movimientos'!$U$5:$U$1000, 0)), "")</f>
        <v/>
      </c>
      <c r="H139" s="21" t="str">
        <f>IFERROR(INDEX('Detalles movimientos'!I$5:I$1000, MATCH(130, 'Detalles movimientos'!$U$5:$U$1000, 0)), "")</f>
        <v/>
      </c>
      <c r="I139" s="20" t="str">
        <f>IFERROR(INDEX('Detalles movimientos'!K$5:K$1000, MATCH(130, 'Detalles movimientos'!$U$5:$U$1000, 0)), "")</f>
        <v/>
      </c>
      <c r="J139" s="19" t="str">
        <f>IFERROR(INDEX('Detalles movimientos'!L$5:L$1000, MATCH(130, 'Detalles movimientos'!$U$5:$U$1000, 0)), "")</f>
        <v/>
      </c>
      <c r="K139" s="20" t="str">
        <f>IFERROR(INDEX('Detalles movimientos'!M$5:M$1000, MATCH(130, 'Detalles movimientos'!$U$5:$U$1000, 0)), "")</f>
        <v/>
      </c>
      <c r="L139" s="18" t="str">
        <f>IFERROR(INDEX('Detalles movimientos'!N$5:N$1000, MATCH(130, 'Detalles movimientos'!$U$5:$U$1000, 0)), "")</f>
        <v/>
      </c>
      <c r="M139" s="18" t="str">
        <f>IFERROR(INDEX('Detalles movimientos'!Q$5:Q$1000, MATCH(130, 'Detalles movimientos'!$U$5:$U$1000, 0)), "")</f>
        <v/>
      </c>
    </row>
    <row r="140" spans="2:13">
      <c r="B140" s="17" t="str">
        <f>IFERROR(INDEX('Detalles movimientos'!C$5:C$1000, MATCH(131, 'Detalles movimientos'!$U$5:$U$1000, 0)), "")</f>
        <v/>
      </c>
      <c r="C140" s="18" t="str">
        <f>IFERROR(INDEX('Detalles movimientos'!D$5:D$1000, MATCH(131, 'Detalles movimientos'!$U$5:$U$1000, 0)), "")</f>
        <v/>
      </c>
      <c r="D140" s="19" t="str">
        <f>IFERROR(INDEX('Detalles movimientos'!E$5:E$1000, MATCH(131, 'Detalles movimientos'!$U$5:$U$1000, 0)), "")</f>
        <v/>
      </c>
      <c r="E140" s="19" t="str">
        <f>IFERROR(INDEX('Detalles movimientos'!F$5:F$1000, MATCH(131, 'Detalles movimientos'!$U$5:$U$1000, 0)), "")</f>
        <v/>
      </c>
      <c r="F140" s="18" t="str">
        <f>IFERROR(INDEX('Detalles movimientos'!G$5:G$1000, MATCH(131, 'Detalles movimientos'!$U$5:$U$1000, 0)), "")</f>
        <v/>
      </c>
      <c r="G140" s="20" t="str">
        <f>IFERROR(INDEX('Detalles movimientos'!H$5:H$1000, MATCH(131, 'Detalles movimientos'!$U$5:$U$1000, 0)), "")</f>
        <v/>
      </c>
      <c r="H140" s="21" t="str">
        <f>IFERROR(INDEX('Detalles movimientos'!I$5:I$1000, MATCH(131, 'Detalles movimientos'!$U$5:$U$1000, 0)), "")</f>
        <v/>
      </c>
      <c r="I140" s="20" t="str">
        <f>IFERROR(INDEX('Detalles movimientos'!K$5:K$1000, MATCH(131, 'Detalles movimientos'!$U$5:$U$1000, 0)), "")</f>
        <v/>
      </c>
      <c r="J140" s="19" t="str">
        <f>IFERROR(INDEX('Detalles movimientos'!L$5:L$1000, MATCH(131, 'Detalles movimientos'!$U$5:$U$1000, 0)), "")</f>
        <v/>
      </c>
      <c r="K140" s="20" t="str">
        <f>IFERROR(INDEX('Detalles movimientos'!M$5:M$1000, MATCH(131, 'Detalles movimientos'!$U$5:$U$1000, 0)), "")</f>
        <v/>
      </c>
      <c r="L140" s="18" t="str">
        <f>IFERROR(INDEX('Detalles movimientos'!N$5:N$1000, MATCH(131, 'Detalles movimientos'!$U$5:$U$1000, 0)), "")</f>
        <v/>
      </c>
      <c r="M140" s="18" t="str">
        <f>IFERROR(INDEX('Detalles movimientos'!Q$5:Q$1000, MATCH(131, 'Detalles movimientos'!$U$5:$U$1000, 0)), "")</f>
        <v/>
      </c>
    </row>
    <row r="141" spans="2:13">
      <c r="B141" s="17" t="str">
        <f>IFERROR(INDEX('Detalles movimientos'!C$5:C$1000, MATCH(132, 'Detalles movimientos'!$U$5:$U$1000, 0)), "")</f>
        <v/>
      </c>
      <c r="C141" s="18" t="str">
        <f>IFERROR(INDEX('Detalles movimientos'!D$5:D$1000, MATCH(132, 'Detalles movimientos'!$U$5:$U$1000, 0)), "")</f>
        <v/>
      </c>
      <c r="D141" s="19" t="str">
        <f>IFERROR(INDEX('Detalles movimientos'!E$5:E$1000, MATCH(132, 'Detalles movimientos'!$U$5:$U$1000, 0)), "")</f>
        <v/>
      </c>
      <c r="E141" s="19" t="str">
        <f>IFERROR(INDEX('Detalles movimientos'!F$5:F$1000, MATCH(132, 'Detalles movimientos'!$U$5:$U$1000, 0)), "")</f>
        <v/>
      </c>
      <c r="F141" s="18" t="str">
        <f>IFERROR(INDEX('Detalles movimientos'!G$5:G$1000, MATCH(132, 'Detalles movimientos'!$U$5:$U$1000, 0)), "")</f>
        <v/>
      </c>
      <c r="G141" s="20" t="str">
        <f>IFERROR(INDEX('Detalles movimientos'!H$5:H$1000, MATCH(132, 'Detalles movimientos'!$U$5:$U$1000, 0)), "")</f>
        <v/>
      </c>
      <c r="H141" s="21" t="str">
        <f>IFERROR(INDEX('Detalles movimientos'!I$5:I$1000, MATCH(132, 'Detalles movimientos'!$U$5:$U$1000, 0)), "")</f>
        <v/>
      </c>
      <c r="I141" s="20" t="str">
        <f>IFERROR(INDEX('Detalles movimientos'!K$5:K$1000, MATCH(132, 'Detalles movimientos'!$U$5:$U$1000, 0)), "")</f>
        <v/>
      </c>
      <c r="J141" s="19" t="str">
        <f>IFERROR(INDEX('Detalles movimientos'!L$5:L$1000, MATCH(132, 'Detalles movimientos'!$U$5:$U$1000, 0)), "")</f>
        <v/>
      </c>
      <c r="K141" s="20" t="str">
        <f>IFERROR(INDEX('Detalles movimientos'!M$5:M$1000, MATCH(132, 'Detalles movimientos'!$U$5:$U$1000, 0)), "")</f>
        <v/>
      </c>
      <c r="L141" s="18" t="str">
        <f>IFERROR(INDEX('Detalles movimientos'!N$5:N$1000, MATCH(132, 'Detalles movimientos'!$U$5:$U$1000, 0)), "")</f>
        <v/>
      </c>
      <c r="M141" s="18" t="str">
        <f>IFERROR(INDEX('Detalles movimientos'!Q$5:Q$1000, MATCH(132, 'Detalles movimientos'!$U$5:$U$1000, 0)), "")</f>
        <v/>
      </c>
    </row>
    <row r="142" spans="2:13">
      <c r="B142" s="17" t="str">
        <f>IFERROR(INDEX('Detalles movimientos'!C$5:C$1000, MATCH(133, 'Detalles movimientos'!$U$5:$U$1000, 0)), "")</f>
        <v/>
      </c>
      <c r="C142" s="18" t="str">
        <f>IFERROR(INDEX('Detalles movimientos'!D$5:D$1000, MATCH(133, 'Detalles movimientos'!$U$5:$U$1000, 0)), "")</f>
        <v/>
      </c>
      <c r="D142" s="19" t="str">
        <f>IFERROR(INDEX('Detalles movimientos'!E$5:E$1000, MATCH(133, 'Detalles movimientos'!$U$5:$U$1000, 0)), "")</f>
        <v/>
      </c>
      <c r="E142" s="19" t="str">
        <f>IFERROR(INDEX('Detalles movimientos'!F$5:F$1000, MATCH(133, 'Detalles movimientos'!$U$5:$U$1000, 0)), "")</f>
        <v/>
      </c>
      <c r="F142" s="18" t="str">
        <f>IFERROR(INDEX('Detalles movimientos'!G$5:G$1000, MATCH(133, 'Detalles movimientos'!$U$5:$U$1000, 0)), "")</f>
        <v/>
      </c>
      <c r="G142" s="20" t="str">
        <f>IFERROR(INDEX('Detalles movimientos'!H$5:H$1000, MATCH(133, 'Detalles movimientos'!$U$5:$U$1000, 0)), "")</f>
        <v/>
      </c>
      <c r="H142" s="21" t="str">
        <f>IFERROR(INDEX('Detalles movimientos'!I$5:I$1000, MATCH(133, 'Detalles movimientos'!$U$5:$U$1000, 0)), "")</f>
        <v/>
      </c>
      <c r="I142" s="20" t="str">
        <f>IFERROR(INDEX('Detalles movimientos'!K$5:K$1000, MATCH(133, 'Detalles movimientos'!$U$5:$U$1000, 0)), "")</f>
        <v/>
      </c>
      <c r="J142" s="19" t="str">
        <f>IFERROR(INDEX('Detalles movimientos'!L$5:L$1000, MATCH(133, 'Detalles movimientos'!$U$5:$U$1000, 0)), "")</f>
        <v/>
      </c>
      <c r="K142" s="20" t="str">
        <f>IFERROR(INDEX('Detalles movimientos'!M$5:M$1000, MATCH(133, 'Detalles movimientos'!$U$5:$U$1000, 0)), "")</f>
        <v/>
      </c>
      <c r="L142" s="18" t="str">
        <f>IFERROR(INDEX('Detalles movimientos'!N$5:N$1000, MATCH(133, 'Detalles movimientos'!$U$5:$U$1000, 0)), "")</f>
        <v/>
      </c>
      <c r="M142" s="18" t="str">
        <f>IFERROR(INDEX('Detalles movimientos'!Q$5:Q$1000, MATCH(133, 'Detalles movimientos'!$U$5:$U$1000, 0)), "")</f>
        <v/>
      </c>
    </row>
    <row r="143" spans="2:13">
      <c r="B143" s="17" t="str">
        <f>IFERROR(INDEX('Detalles movimientos'!C$5:C$1000, MATCH(134, 'Detalles movimientos'!$U$5:$U$1000, 0)), "")</f>
        <v/>
      </c>
      <c r="C143" s="18" t="str">
        <f>IFERROR(INDEX('Detalles movimientos'!D$5:D$1000, MATCH(134, 'Detalles movimientos'!$U$5:$U$1000, 0)), "")</f>
        <v/>
      </c>
      <c r="D143" s="19" t="str">
        <f>IFERROR(INDEX('Detalles movimientos'!E$5:E$1000, MATCH(134, 'Detalles movimientos'!$U$5:$U$1000, 0)), "")</f>
        <v/>
      </c>
      <c r="E143" s="19" t="str">
        <f>IFERROR(INDEX('Detalles movimientos'!F$5:F$1000, MATCH(134, 'Detalles movimientos'!$U$5:$U$1000, 0)), "")</f>
        <v/>
      </c>
      <c r="F143" s="18" t="str">
        <f>IFERROR(INDEX('Detalles movimientos'!G$5:G$1000, MATCH(134, 'Detalles movimientos'!$U$5:$U$1000, 0)), "")</f>
        <v/>
      </c>
      <c r="G143" s="20" t="str">
        <f>IFERROR(INDEX('Detalles movimientos'!H$5:H$1000, MATCH(134, 'Detalles movimientos'!$U$5:$U$1000, 0)), "")</f>
        <v/>
      </c>
      <c r="H143" s="21" t="str">
        <f>IFERROR(INDEX('Detalles movimientos'!I$5:I$1000, MATCH(134, 'Detalles movimientos'!$U$5:$U$1000, 0)), "")</f>
        <v/>
      </c>
      <c r="I143" s="20" t="str">
        <f>IFERROR(INDEX('Detalles movimientos'!K$5:K$1000, MATCH(134, 'Detalles movimientos'!$U$5:$U$1000, 0)), "")</f>
        <v/>
      </c>
      <c r="J143" s="19" t="str">
        <f>IFERROR(INDEX('Detalles movimientos'!L$5:L$1000, MATCH(134, 'Detalles movimientos'!$U$5:$U$1000, 0)), "")</f>
        <v/>
      </c>
      <c r="K143" s="20" t="str">
        <f>IFERROR(INDEX('Detalles movimientos'!M$5:M$1000, MATCH(134, 'Detalles movimientos'!$U$5:$U$1000, 0)), "")</f>
        <v/>
      </c>
      <c r="L143" s="18" t="str">
        <f>IFERROR(INDEX('Detalles movimientos'!N$5:N$1000, MATCH(134, 'Detalles movimientos'!$U$5:$U$1000, 0)), "")</f>
        <v/>
      </c>
      <c r="M143" s="18" t="str">
        <f>IFERROR(INDEX('Detalles movimientos'!Q$5:Q$1000, MATCH(134, 'Detalles movimientos'!$U$5:$U$1000, 0)), "")</f>
        <v/>
      </c>
    </row>
    <row r="144" spans="2:13">
      <c r="B144" s="17" t="str">
        <f>IFERROR(INDEX('Detalles movimientos'!C$5:C$1000, MATCH(135, 'Detalles movimientos'!$U$5:$U$1000, 0)), "")</f>
        <v/>
      </c>
      <c r="C144" s="18" t="str">
        <f>IFERROR(INDEX('Detalles movimientos'!D$5:D$1000, MATCH(135, 'Detalles movimientos'!$U$5:$U$1000, 0)), "")</f>
        <v/>
      </c>
      <c r="D144" s="19" t="str">
        <f>IFERROR(INDEX('Detalles movimientos'!E$5:E$1000, MATCH(135, 'Detalles movimientos'!$U$5:$U$1000, 0)), "")</f>
        <v/>
      </c>
      <c r="E144" s="19" t="str">
        <f>IFERROR(INDEX('Detalles movimientos'!F$5:F$1000, MATCH(135, 'Detalles movimientos'!$U$5:$U$1000, 0)), "")</f>
        <v/>
      </c>
      <c r="F144" s="18" t="str">
        <f>IFERROR(INDEX('Detalles movimientos'!G$5:G$1000, MATCH(135, 'Detalles movimientos'!$U$5:$U$1000, 0)), "")</f>
        <v/>
      </c>
      <c r="G144" s="20" t="str">
        <f>IFERROR(INDEX('Detalles movimientos'!H$5:H$1000, MATCH(135, 'Detalles movimientos'!$U$5:$U$1000, 0)), "")</f>
        <v/>
      </c>
      <c r="H144" s="21" t="str">
        <f>IFERROR(INDEX('Detalles movimientos'!I$5:I$1000, MATCH(135, 'Detalles movimientos'!$U$5:$U$1000, 0)), "")</f>
        <v/>
      </c>
      <c r="I144" s="20" t="str">
        <f>IFERROR(INDEX('Detalles movimientos'!K$5:K$1000, MATCH(135, 'Detalles movimientos'!$U$5:$U$1000, 0)), "")</f>
        <v/>
      </c>
      <c r="J144" s="19" t="str">
        <f>IFERROR(INDEX('Detalles movimientos'!L$5:L$1000, MATCH(135, 'Detalles movimientos'!$U$5:$U$1000, 0)), "")</f>
        <v/>
      </c>
      <c r="K144" s="20" t="str">
        <f>IFERROR(INDEX('Detalles movimientos'!M$5:M$1000, MATCH(135, 'Detalles movimientos'!$U$5:$U$1000, 0)), "")</f>
        <v/>
      </c>
      <c r="L144" s="18" t="str">
        <f>IFERROR(INDEX('Detalles movimientos'!N$5:N$1000, MATCH(135, 'Detalles movimientos'!$U$5:$U$1000, 0)), "")</f>
        <v/>
      </c>
      <c r="M144" s="18" t="str">
        <f>IFERROR(INDEX('Detalles movimientos'!Q$5:Q$1000, MATCH(135, 'Detalles movimientos'!$U$5:$U$1000, 0)), "")</f>
        <v/>
      </c>
    </row>
    <row r="145" spans="2:13">
      <c r="B145" s="17" t="str">
        <f>IFERROR(INDEX('Detalles movimientos'!C$5:C$1000, MATCH(136, 'Detalles movimientos'!$U$5:$U$1000, 0)), "")</f>
        <v/>
      </c>
      <c r="C145" s="18" t="str">
        <f>IFERROR(INDEX('Detalles movimientos'!D$5:D$1000, MATCH(136, 'Detalles movimientos'!$U$5:$U$1000, 0)), "")</f>
        <v/>
      </c>
      <c r="D145" s="19" t="str">
        <f>IFERROR(INDEX('Detalles movimientos'!E$5:E$1000, MATCH(136, 'Detalles movimientos'!$U$5:$U$1000, 0)), "")</f>
        <v/>
      </c>
      <c r="E145" s="19" t="str">
        <f>IFERROR(INDEX('Detalles movimientos'!F$5:F$1000, MATCH(136, 'Detalles movimientos'!$U$5:$U$1000, 0)), "")</f>
        <v/>
      </c>
      <c r="F145" s="18" t="str">
        <f>IFERROR(INDEX('Detalles movimientos'!G$5:G$1000, MATCH(136, 'Detalles movimientos'!$U$5:$U$1000, 0)), "")</f>
        <v/>
      </c>
      <c r="G145" s="20" t="str">
        <f>IFERROR(INDEX('Detalles movimientos'!H$5:H$1000, MATCH(136, 'Detalles movimientos'!$U$5:$U$1000, 0)), "")</f>
        <v/>
      </c>
      <c r="H145" s="21" t="str">
        <f>IFERROR(INDEX('Detalles movimientos'!I$5:I$1000, MATCH(136, 'Detalles movimientos'!$U$5:$U$1000, 0)), "")</f>
        <v/>
      </c>
      <c r="I145" s="20" t="str">
        <f>IFERROR(INDEX('Detalles movimientos'!K$5:K$1000, MATCH(136, 'Detalles movimientos'!$U$5:$U$1000, 0)), "")</f>
        <v/>
      </c>
      <c r="J145" s="19" t="str">
        <f>IFERROR(INDEX('Detalles movimientos'!L$5:L$1000, MATCH(136, 'Detalles movimientos'!$U$5:$U$1000, 0)), "")</f>
        <v/>
      </c>
      <c r="K145" s="20" t="str">
        <f>IFERROR(INDEX('Detalles movimientos'!M$5:M$1000, MATCH(136, 'Detalles movimientos'!$U$5:$U$1000, 0)), "")</f>
        <v/>
      </c>
      <c r="L145" s="18" t="str">
        <f>IFERROR(INDEX('Detalles movimientos'!N$5:N$1000, MATCH(136, 'Detalles movimientos'!$U$5:$U$1000, 0)), "")</f>
        <v/>
      </c>
      <c r="M145" s="18" t="str">
        <f>IFERROR(INDEX('Detalles movimientos'!Q$5:Q$1000, MATCH(136, 'Detalles movimientos'!$U$5:$U$1000, 0)), "")</f>
        <v/>
      </c>
    </row>
    <row r="146" spans="2:13">
      <c r="B146" s="17" t="str">
        <f>IFERROR(INDEX('Detalles movimientos'!C$5:C$1000, MATCH(137, 'Detalles movimientos'!$U$5:$U$1000, 0)), "")</f>
        <v/>
      </c>
      <c r="C146" s="18" t="str">
        <f>IFERROR(INDEX('Detalles movimientos'!D$5:D$1000, MATCH(137, 'Detalles movimientos'!$U$5:$U$1000, 0)), "")</f>
        <v/>
      </c>
      <c r="D146" s="19" t="str">
        <f>IFERROR(INDEX('Detalles movimientos'!E$5:E$1000, MATCH(137, 'Detalles movimientos'!$U$5:$U$1000, 0)), "")</f>
        <v/>
      </c>
      <c r="E146" s="19" t="str">
        <f>IFERROR(INDEX('Detalles movimientos'!F$5:F$1000, MATCH(137, 'Detalles movimientos'!$U$5:$U$1000, 0)), "")</f>
        <v/>
      </c>
      <c r="F146" s="18" t="str">
        <f>IFERROR(INDEX('Detalles movimientos'!G$5:G$1000, MATCH(137, 'Detalles movimientos'!$U$5:$U$1000, 0)), "")</f>
        <v/>
      </c>
      <c r="G146" s="20" t="str">
        <f>IFERROR(INDEX('Detalles movimientos'!H$5:H$1000, MATCH(137, 'Detalles movimientos'!$U$5:$U$1000, 0)), "")</f>
        <v/>
      </c>
      <c r="H146" s="21" t="str">
        <f>IFERROR(INDEX('Detalles movimientos'!I$5:I$1000, MATCH(137, 'Detalles movimientos'!$U$5:$U$1000, 0)), "")</f>
        <v/>
      </c>
      <c r="I146" s="20" t="str">
        <f>IFERROR(INDEX('Detalles movimientos'!K$5:K$1000, MATCH(137, 'Detalles movimientos'!$U$5:$U$1000, 0)), "")</f>
        <v/>
      </c>
      <c r="J146" s="19" t="str">
        <f>IFERROR(INDEX('Detalles movimientos'!L$5:L$1000, MATCH(137, 'Detalles movimientos'!$U$5:$U$1000, 0)), "")</f>
        <v/>
      </c>
      <c r="K146" s="20" t="str">
        <f>IFERROR(INDEX('Detalles movimientos'!M$5:M$1000, MATCH(137, 'Detalles movimientos'!$U$5:$U$1000, 0)), "")</f>
        <v/>
      </c>
      <c r="L146" s="18" t="str">
        <f>IFERROR(INDEX('Detalles movimientos'!N$5:N$1000, MATCH(137, 'Detalles movimientos'!$U$5:$U$1000, 0)), "")</f>
        <v/>
      </c>
      <c r="M146" s="18" t="str">
        <f>IFERROR(INDEX('Detalles movimientos'!Q$5:Q$1000, MATCH(137, 'Detalles movimientos'!$U$5:$U$1000, 0)), "")</f>
        <v/>
      </c>
    </row>
    <row r="147" spans="2:13">
      <c r="B147" s="17" t="str">
        <f>IFERROR(INDEX('Detalles movimientos'!C$5:C$1000, MATCH(138, 'Detalles movimientos'!$U$5:$U$1000, 0)), "")</f>
        <v/>
      </c>
      <c r="C147" s="18" t="str">
        <f>IFERROR(INDEX('Detalles movimientos'!D$5:D$1000, MATCH(138, 'Detalles movimientos'!$U$5:$U$1000, 0)), "")</f>
        <v/>
      </c>
      <c r="D147" s="19" t="str">
        <f>IFERROR(INDEX('Detalles movimientos'!E$5:E$1000, MATCH(138, 'Detalles movimientos'!$U$5:$U$1000, 0)), "")</f>
        <v/>
      </c>
      <c r="E147" s="19" t="str">
        <f>IFERROR(INDEX('Detalles movimientos'!F$5:F$1000, MATCH(138, 'Detalles movimientos'!$U$5:$U$1000, 0)), "")</f>
        <v/>
      </c>
      <c r="F147" s="18" t="str">
        <f>IFERROR(INDEX('Detalles movimientos'!G$5:G$1000, MATCH(138, 'Detalles movimientos'!$U$5:$U$1000, 0)), "")</f>
        <v/>
      </c>
      <c r="G147" s="20" t="str">
        <f>IFERROR(INDEX('Detalles movimientos'!H$5:H$1000, MATCH(138, 'Detalles movimientos'!$U$5:$U$1000, 0)), "")</f>
        <v/>
      </c>
      <c r="H147" s="21" t="str">
        <f>IFERROR(INDEX('Detalles movimientos'!I$5:I$1000, MATCH(138, 'Detalles movimientos'!$U$5:$U$1000, 0)), "")</f>
        <v/>
      </c>
      <c r="I147" s="20" t="str">
        <f>IFERROR(INDEX('Detalles movimientos'!K$5:K$1000, MATCH(138, 'Detalles movimientos'!$U$5:$U$1000, 0)), "")</f>
        <v/>
      </c>
      <c r="J147" s="19" t="str">
        <f>IFERROR(INDEX('Detalles movimientos'!L$5:L$1000, MATCH(138, 'Detalles movimientos'!$U$5:$U$1000, 0)), "")</f>
        <v/>
      </c>
      <c r="K147" s="20" t="str">
        <f>IFERROR(INDEX('Detalles movimientos'!M$5:M$1000, MATCH(138, 'Detalles movimientos'!$U$5:$U$1000, 0)), "")</f>
        <v/>
      </c>
      <c r="L147" s="18" t="str">
        <f>IFERROR(INDEX('Detalles movimientos'!N$5:N$1000, MATCH(138, 'Detalles movimientos'!$U$5:$U$1000, 0)), "")</f>
        <v/>
      </c>
      <c r="M147" s="18" t="str">
        <f>IFERROR(INDEX('Detalles movimientos'!Q$5:Q$1000, MATCH(138, 'Detalles movimientos'!$U$5:$U$1000, 0)), "")</f>
        <v/>
      </c>
    </row>
    <row r="148" spans="2:13">
      <c r="B148" s="17" t="str">
        <f>IFERROR(INDEX('Detalles movimientos'!C$5:C$1000, MATCH(139, 'Detalles movimientos'!$U$5:$U$1000, 0)), "")</f>
        <v/>
      </c>
      <c r="C148" s="18" t="str">
        <f>IFERROR(INDEX('Detalles movimientos'!D$5:D$1000, MATCH(139, 'Detalles movimientos'!$U$5:$U$1000, 0)), "")</f>
        <v/>
      </c>
      <c r="D148" s="19" t="str">
        <f>IFERROR(INDEX('Detalles movimientos'!E$5:E$1000, MATCH(139, 'Detalles movimientos'!$U$5:$U$1000, 0)), "")</f>
        <v/>
      </c>
      <c r="E148" s="19" t="str">
        <f>IFERROR(INDEX('Detalles movimientos'!F$5:F$1000, MATCH(139, 'Detalles movimientos'!$U$5:$U$1000, 0)), "")</f>
        <v/>
      </c>
      <c r="F148" s="18" t="str">
        <f>IFERROR(INDEX('Detalles movimientos'!G$5:G$1000, MATCH(139, 'Detalles movimientos'!$U$5:$U$1000, 0)), "")</f>
        <v/>
      </c>
      <c r="G148" s="20" t="str">
        <f>IFERROR(INDEX('Detalles movimientos'!H$5:H$1000, MATCH(139, 'Detalles movimientos'!$U$5:$U$1000, 0)), "")</f>
        <v/>
      </c>
      <c r="H148" s="21" t="str">
        <f>IFERROR(INDEX('Detalles movimientos'!I$5:I$1000, MATCH(139, 'Detalles movimientos'!$U$5:$U$1000, 0)), "")</f>
        <v/>
      </c>
      <c r="I148" s="20" t="str">
        <f>IFERROR(INDEX('Detalles movimientos'!K$5:K$1000, MATCH(139, 'Detalles movimientos'!$U$5:$U$1000, 0)), "")</f>
        <v/>
      </c>
      <c r="J148" s="19" t="str">
        <f>IFERROR(INDEX('Detalles movimientos'!L$5:L$1000, MATCH(139, 'Detalles movimientos'!$U$5:$U$1000, 0)), "")</f>
        <v/>
      </c>
      <c r="K148" s="20" t="str">
        <f>IFERROR(INDEX('Detalles movimientos'!M$5:M$1000, MATCH(139, 'Detalles movimientos'!$U$5:$U$1000, 0)), "")</f>
        <v/>
      </c>
      <c r="L148" s="18" t="str">
        <f>IFERROR(INDEX('Detalles movimientos'!N$5:N$1000, MATCH(139, 'Detalles movimientos'!$U$5:$U$1000, 0)), "")</f>
        <v/>
      </c>
      <c r="M148" s="18" t="str">
        <f>IFERROR(INDEX('Detalles movimientos'!Q$5:Q$1000, MATCH(139, 'Detalles movimientos'!$U$5:$U$1000, 0)), "")</f>
        <v/>
      </c>
    </row>
    <row r="149" spans="2:13">
      <c r="B149" s="17" t="str">
        <f>IFERROR(INDEX('Detalles movimientos'!C$5:C$1000, MATCH(140, 'Detalles movimientos'!$U$5:$U$1000, 0)), "")</f>
        <v/>
      </c>
      <c r="C149" s="18" t="str">
        <f>IFERROR(INDEX('Detalles movimientos'!D$5:D$1000, MATCH(140, 'Detalles movimientos'!$U$5:$U$1000, 0)), "")</f>
        <v/>
      </c>
      <c r="D149" s="19" t="str">
        <f>IFERROR(INDEX('Detalles movimientos'!E$5:E$1000, MATCH(140, 'Detalles movimientos'!$U$5:$U$1000, 0)), "")</f>
        <v/>
      </c>
      <c r="E149" s="19" t="str">
        <f>IFERROR(INDEX('Detalles movimientos'!F$5:F$1000, MATCH(140, 'Detalles movimientos'!$U$5:$U$1000, 0)), "")</f>
        <v/>
      </c>
      <c r="F149" s="18" t="str">
        <f>IFERROR(INDEX('Detalles movimientos'!G$5:G$1000, MATCH(140, 'Detalles movimientos'!$U$5:$U$1000, 0)), "")</f>
        <v/>
      </c>
      <c r="G149" s="20" t="str">
        <f>IFERROR(INDEX('Detalles movimientos'!H$5:H$1000, MATCH(140, 'Detalles movimientos'!$U$5:$U$1000, 0)), "")</f>
        <v/>
      </c>
      <c r="H149" s="21" t="str">
        <f>IFERROR(INDEX('Detalles movimientos'!I$5:I$1000, MATCH(140, 'Detalles movimientos'!$U$5:$U$1000, 0)), "")</f>
        <v/>
      </c>
      <c r="I149" s="20" t="str">
        <f>IFERROR(INDEX('Detalles movimientos'!K$5:K$1000, MATCH(140, 'Detalles movimientos'!$U$5:$U$1000, 0)), "")</f>
        <v/>
      </c>
      <c r="J149" s="19" t="str">
        <f>IFERROR(INDEX('Detalles movimientos'!L$5:L$1000, MATCH(140, 'Detalles movimientos'!$U$5:$U$1000, 0)), "")</f>
        <v/>
      </c>
      <c r="K149" s="20" t="str">
        <f>IFERROR(INDEX('Detalles movimientos'!M$5:M$1000, MATCH(140, 'Detalles movimientos'!$U$5:$U$1000, 0)), "")</f>
        <v/>
      </c>
      <c r="L149" s="18" t="str">
        <f>IFERROR(INDEX('Detalles movimientos'!N$5:N$1000, MATCH(140, 'Detalles movimientos'!$U$5:$U$1000, 0)), "")</f>
        <v/>
      </c>
      <c r="M149" s="18" t="str">
        <f>IFERROR(INDEX('Detalles movimientos'!Q$5:Q$1000, MATCH(140, 'Detalles movimientos'!$U$5:$U$1000, 0)), "")</f>
        <v/>
      </c>
    </row>
    <row r="150" spans="2:13">
      <c r="B150" s="17" t="str">
        <f>IFERROR(INDEX('Detalles movimientos'!C$5:C$1000, MATCH(141, 'Detalles movimientos'!$U$5:$U$1000, 0)), "")</f>
        <v/>
      </c>
      <c r="C150" s="18" t="str">
        <f>IFERROR(INDEX('Detalles movimientos'!D$5:D$1000, MATCH(141, 'Detalles movimientos'!$U$5:$U$1000, 0)), "")</f>
        <v/>
      </c>
      <c r="D150" s="19" t="str">
        <f>IFERROR(INDEX('Detalles movimientos'!E$5:E$1000, MATCH(141, 'Detalles movimientos'!$U$5:$U$1000, 0)), "")</f>
        <v/>
      </c>
      <c r="E150" s="19" t="str">
        <f>IFERROR(INDEX('Detalles movimientos'!F$5:F$1000, MATCH(141, 'Detalles movimientos'!$U$5:$U$1000, 0)), "")</f>
        <v/>
      </c>
      <c r="F150" s="18" t="str">
        <f>IFERROR(INDEX('Detalles movimientos'!G$5:G$1000, MATCH(141, 'Detalles movimientos'!$U$5:$U$1000, 0)), "")</f>
        <v/>
      </c>
      <c r="G150" s="20" t="str">
        <f>IFERROR(INDEX('Detalles movimientos'!H$5:H$1000, MATCH(141, 'Detalles movimientos'!$U$5:$U$1000, 0)), "")</f>
        <v/>
      </c>
      <c r="H150" s="21" t="str">
        <f>IFERROR(INDEX('Detalles movimientos'!I$5:I$1000, MATCH(141, 'Detalles movimientos'!$U$5:$U$1000, 0)), "")</f>
        <v/>
      </c>
      <c r="I150" s="20" t="str">
        <f>IFERROR(INDEX('Detalles movimientos'!K$5:K$1000, MATCH(141, 'Detalles movimientos'!$U$5:$U$1000, 0)), "")</f>
        <v/>
      </c>
      <c r="J150" s="19" t="str">
        <f>IFERROR(INDEX('Detalles movimientos'!L$5:L$1000, MATCH(141, 'Detalles movimientos'!$U$5:$U$1000, 0)), "")</f>
        <v/>
      </c>
      <c r="K150" s="20" t="str">
        <f>IFERROR(INDEX('Detalles movimientos'!M$5:M$1000, MATCH(141, 'Detalles movimientos'!$U$5:$U$1000, 0)), "")</f>
        <v/>
      </c>
      <c r="L150" s="18" t="str">
        <f>IFERROR(INDEX('Detalles movimientos'!N$5:N$1000, MATCH(141, 'Detalles movimientos'!$U$5:$U$1000, 0)), "")</f>
        <v/>
      </c>
      <c r="M150" s="18" t="str">
        <f>IFERROR(INDEX('Detalles movimientos'!Q$5:Q$1000, MATCH(141, 'Detalles movimientos'!$U$5:$U$1000, 0)), "")</f>
        <v/>
      </c>
    </row>
    <row r="151" spans="2:13">
      <c r="B151" s="17" t="str">
        <f>IFERROR(INDEX('Detalles movimientos'!C$5:C$1000, MATCH(142, 'Detalles movimientos'!$U$5:$U$1000, 0)), "")</f>
        <v/>
      </c>
      <c r="C151" s="18" t="str">
        <f>IFERROR(INDEX('Detalles movimientos'!D$5:D$1000, MATCH(142, 'Detalles movimientos'!$U$5:$U$1000, 0)), "")</f>
        <v/>
      </c>
      <c r="D151" s="19" t="str">
        <f>IFERROR(INDEX('Detalles movimientos'!E$5:E$1000, MATCH(142, 'Detalles movimientos'!$U$5:$U$1000, 0)), "")</f>
        <v/>
      </c>
      <c r="E151" s="19" t="str">
        <f>IFERROR(INDEX('Detalles movimientos'!F$5:F$1000, MATCH(142, 'Detalles movimientos'!$U$5:$U$1000, 0)), "")</f>
        <v/>
      </c>
      <c r="F151" s="18" t="str">
        <f>IFERROR(INDEX('Detalles movimientos'!G$5:G$1000, MATCH(142, 'Detalles movimientos'!$U$5:$U$1000, 0)), "")</f>
        <v/>
      </c>
      <c r="G151" s="20" t="str">
        <f>IFERROR(INDEX('Detalles movimientos'!H$5:H$1000, MATCH(142, 'Detalles movimientos'!$U$5:$U$1000, 0)), "")</f>
        <v/>
      </c>
      <c r="H151" s="21" t="str">
        <f>IFERROR(INDEX('Detalles movimientos'!I$5:I$1000, MATCH(142, 'Detalles movimientos'!$U$5:$U$1000, 0)), "")</f>
        <v/>
      </c>
      <c r="I151" s="20" t="str">
        <f>IFERROR(INDEX('Detalles movimientos'!K$5:K$1000, MATCH(142, 'Detalles movimientos'!$U$5:$U$1000, 0)), "")</f>
        <v/>
      </c>
      <c r="J151" s="19" t="str">
        <f>IFERROR(INDEX('Detalles movimientos'!L$5:L$1000, MATCH(142, 'Detalles movimientos'!$U$5:$U$1000, 0)), "")</f>
        <v/>
      </c>
      <c r="K151" s="20" t="str">
        <f>IFERROR(INDEX('Detalles movimientos'!M$5:M$1000, MATCH(142, 'Detalles movimientos'!$U$5:$U$1000, 0)), "")</f>
        <v/>
      </c>
      <c r="L151" s="18" t="str">
        <f>IFERROR(INDEX('Detalles movimientos'!N$5:N$1000, MATCH(142, 'Detalles movimientos'!$U$5:$U$1000, 0)), "")</f>
        <v/>
      </c>
      <c r="M151" s="18" t="str">
        <f>IFERROR(INDEX('Detalles movimientos'!Q$5:Q$1000, MATCH(142, 'Detalles movimientos'!$U$5:$U$1000, 0)), "")</f>
        <v/>
      </c>
    </row>
    <row r="152" spans="2:13">
      <c r="B152" s="17" t="str">
        <f>IFERROR(INDEX('Detalles movimientos'!C$5:C$1000, MATCH(143, 'Detalles movimientos'!$U$5:$U$1000, 0)), "")</f>
        <v/>
      </c>
      <c r="C152" s="18" t="str">
        <f>IFERROR(INDEX('Detalles movimientos'!D$5:D$1000, MATCH(143, 'Detalles movimientos'!$U$5:$U$1000, 0)), "")</f>
        <v/>
      </c>
      <c r="D152" s="19" t="str">
        <f>IFERROR(INDEX('Detalles movimientos'!E$5:E$1000, MATCH(143, 'Detalles movimientos'!$U$5:$U$1000, 0)), "")</f>
        <v/>
      </c>
      <c r="E152" s="19" t="str">
        <f>IFERROR(INDEX('Detalles movimientos'!F$5:F$1000, MATCH(143, 'Detalles movimientos'!$U$5:$U$1000, 0)), "")</f>
        <v/>
      </c>
      <c r="F152" s="18" t="str">
        <f>IFERROR(INDEX('Detalles movimientos'!G$5:G$1000, MATCH(143, 'Detalles movimientos'!$U$5:$U$1000, 0)), "")</f>
        <v/>
      </c>
      <c r="G152" s="20" t="str">
        <f>IFERROR(INDEX('Detalles movimientos'!H$5:H$1000, MATCH(143, 'Detalles movimientos'!$U$5:$U$1000, 0)), "")</f>
        <v/>
      </c>
      <c r="H152" s="21" t="str">
        <f>IFERROR(INDEX('Detalles movimientos'!I$5:I$1000, MATCH(143, 'Detalles movimientos'!$U$5:$U$1000, 0)), "")</f>
        <v/>
      </c>
      <c r="I152" s="20" t="str">
        <f>IFERROR(INDEX('Detalles movimientos'!K$5:K$1000, MATCH(143, 'Detalles movimientos'!$U$5:$U$1000, 0)), "")</f>
        <v/>
      </c>
      <c r="J152" s="19" t="str">
        <f>IFERROR(INDEX('Detalles movimientos'!L$5:L$1000, MATCH(143, 'Detalles movimientos'!$U$5:$U$1000, 0)), "")</f>
        <v/>
      </c>
      <c r="K152" s="20" t="str">
        <f>IFERROR(INDEX('Detalles movimientos'!M$5:M$1000, MATCH(143, 'Detalles movimientos'!$U$5:$U$1000, 0)), "")</f>
        <v/>
      </c>
      <c r="L152" s="18" t="str">
        <f>IFERROR(INDEX('Detalles movimientos'!N$5:N$1000, MATCH(143, 'Detalles movimientos'!$U$5:$U$1000, 0)), "")</f>
        <v/>
      </c>
      <c r="M152" s="18" t="str">
        <f>IFERROR(INDEX('Detalles movimientos'!Q$5:Q$1000, MATCH(143, 'Detalles movimientos'!$U$5:$U$1000, 0)), "")</f>
        <v/>
      </c>
    </row>
    <row r="153" spans="2:13">
      <c r="B153" s="17" t="str">
        <f>IFERROR(INDEX('Detalles movimientos'!C$5:C$1000, MATCH(144, 'Detalles movimientos'!$U$5:$U$1000, 0)), "")</f>
        <v/>
      </c>
      <c r="C153" s="18" t="str">
        <f>IFERROR(INDEX('Detalles movimientos'!D$5:D$1000, MATCH(144, 'Detalles movimientos'!$U$5:$U$1000, 0)), "")</f>
        <v/>
      </c>
      <c r="D153" s="19" t="str">
        <f>IFERROR(INDEX('Detalles movimientos'!E$5:E$1000, MATCH(144, 'Detalles movimientos'!$U$5:$U$1000, 0)), "")</f>
        <v/>
      </c>
      <c r="E153" s="19" t="str">
        <f>IFERROR(INDEX('Detalles movimientos'!F$5:F$1000, MATCH(144, 'Detalles movimientos'!$U$5:$U$1000, 0)), "")</f>
        <v/>
      </c>
      <c r="F153" s="18" t="str">
        <f>IFERROR(INDEX('Detalles movimientos'!G$5:G$1000, MATCH(144, 'Detalles movimientos'!$U$5:$U$1000, 0)), "")</f>
        <v/>
      </c>
      <c r="G153" s="20" t="str">
        <f>IFERROR(INDEX('Detalles movimientos'!H$5:H$1000, MATCH(144, 'Detalles movimientos'!$U$5:$U$1000, 0)), "")</f>
        <v/>
      </c>
      <c r="H153" s="21" t="str">
        <f>IFERROR(INDEX('Detalles movimientos'!I$5:I$1000, MATCH(144, 'Detalles movimientos'!$U$5:$U$1000, 0)), "")</f>
        <v/>
      </c>
      <c r="I153" s="20" t="str">
        <f>IFERROR(INDEX('Detalles movimientos'!K$5:K$1000, MATCH(144, 'Detalles movimientos'!$U$5:$U$1000, 0)), "")</f>
        <v/>
      </c>
      <c r="J153" s="19" t="str">
        <f>IFERROR(INDEX('Detalles movimientos'!L$5:L$1000, MATCH(144, 'Detalles movimientos'!$U$5:$U$1000, 0)), "")</f>
        <v/>
      </c>
      <c r="K153" s="20" t="str">
        <f>IFERROR(INDEX('Detalles movimientos'!M$5:M$1000, MATCH(144, 'Detalles movimientos'!$U$5:$U$1000, 0)), "")</f>
        <v/>
      </c>
      <c r="L153" s="18" t="str">
        <f>IFERROR(INDEX('Detalles movimientos'!N$5:N$1000, MATCH(144, 'Detalles movimientos'!$U$5:$U$1000, 0)), "")</f>
        <v/>
      </c>
      <c r="M153" s="18" t="str">
        <f>IFERROR(INDEX('Detalles movimientos'!Q$5:Q$1000, MATCH(144, 'Detalles movimientos'!$U$5:$U$1000, 0)), "")</f>
        <v/>
      </c>
    </row>
    <row r="154" spans="2:13">
      <c r="B154" s="17" t="str">
        <f>IFERROR(INDEX('Detalles movimientos'!C$5:C$1000, MATCH(145, 'Detalles movimientos'!$U$5:$U$1000, 0)), "")</f>
        <v/>
      </c>
      <c r="C154" s="18" t="str">
        <f>IFERROR(INDEX('Detalles movimientos'!D$5:D$1000, MATCH(145, 'Detalles movimientos'!$U$5:$U$1000, 0)), "")</f>
        <v/>
      </c>
      <c r="D154" s="19" t="str">
        <f>IFERROR(INDEX('Detalles movimientos'!E$5:E$1000, MATCH(145, 'Detalles movimientos'!$U$5:$U$1000, 0)), "")</f>
        <v/>
      </c>
      <c r="E154" s="19" t="str">
        <f>IFERROR(INDEX('Detalles movimientos'!F$5:F$1000, MATCH(145, 'Detalles movimientos'!$U$5:$U$1000, 0)), "")</f>
        <v/>
      </c>
      <c r="F154" s="18" t="str">
        <f>IFERROR(INDEX('Detalles movimientos'!G$5:G$1000, MATCH(145, 'Detalles movimientos'!$U$5:$U$1000, 0)), "")</f>
        <v/>
      </c>
      <c r="G154" s="20" t="str">
        <f>IFERROR(INDEX('Detalles movimientos'!H$5:H$1000, MATCH(145, 'Detalles movimientos'!$U$5:$U$1000, 0)), "")</f>
        <v/>
      </c>
      <c r="H154" s="21" t="str">
        <f>IFERROR(INDEX('Detalles movimientos'!I$5:I$1000, MATCH(145, 'Detalles movimientos'!$U$5:$U$1000, 0)), "")</f>
        <v/>
      </c>
      <c r="I154" s="20" t="str">
        <f>IFERROR(INDEX('Detalles movimientos'!K$5:K$1000, MATCH(145, 'Detalles movimientos'!$U$5:$U$1000, 0)), "")</f>
        <v/>
      </c>
      <c r="J154" s="19" t="str">
        <f>IFERROR(INDEX('Detalles movimientos'!L$5:L$1000, MATCH(145, 'Detalles movimientos'!$U$5:$U$1000, 0)), "")</f>
        <v/>
      </c>
      <c r="K154" s="20" t="str">
        <f>IFERROR(INDEX('Detalles movimientos'!M$5:M$1000, MATCH(145, 'Detalles movimientos'!$U$5:$U$1000, 0)), "")</f>
        <v/>
      </c>
      <c r="L154" s="18" t="str">
        <f>IFERROR(INDEX('Detalles movimientos'!N$5:N$1000, MATCH(145, 'Detalles movimientos'!$U$5:$U$1000, 0)), "")</f>
        <v/>
      </c>
      <c r="M154" s="18" t="str">
        <f>IFERROR(INDEX('Detalles movimientos'!Q$5:Q$1000, MATCH(145, 'Detalles movimientos'!$U$5:$U$1000, 0)), "")</f>
        <v/>
      </c>
    </row>
    <row r="155" spans="2:13">
      <c r="B155" s="17" t="str">
        <f>IFERROR(INDEX('Detalles movimientos'!C$5:C$1000, MATCH(146, 'Detalles movimientos'!$U$5:$U$1000, 0)), "")</f>
        <v/>
      </c>
      <c r="C155" s="18" t="str">
        <f>IFERROR(INDEX('Detalles movimientos'!D$5:D$1000, MATCH(146, 'Detalles movimientos'!$U$5:$U$1000, 0)), "")</f>
        <v/>
      </c>
      <c r="D155" s="19" t="str">
        <f>IFERROR(INDEX('Detalles movimientos'!E$5:E$1000, MATCH(146, 'Detalles movimientos'!$U$5:$U$1000, 0)), "")</f>
        <v/>
      </c>
      <c r="E155" s="19" t="str">
        <f>IFERROR(INDEX('Detalles movimientos'!F$5:F$1000, MATCH(146, 'Detalles movimientos'!$U$5:$U$1000, 0)), "")</f>
        <v/>
      </c>
      <c r="F155" s="18" t="str">
        <f>IFERROR(INDEX('Detalles movimientos'!G$5:G$1000, MATCH(146, 'Detalles movimientos'!$U$5:$U$1000, 0)), "")</f>
        <v/>
      </c>
      <c r="G155" s="20" t="str">
        <f>IFERROR(INDEX('Detalles movimientos'!H$5:H$1000, MATCH(146, 'Detalles movimientos'!$U$5:$U$1000, 0)), "")</f>
        <v/>
      </c>
      <c r="H155" s="21" t="str">
        <f>IFERROR(INDEX('Detalles movimientos'!I$5:I$1000, MATCH(146, 'Detalles movimientos'!$U$5:$U$1000, 0)), "")</f>
        <v/>
      </c>
      <c r="I155" s="20" t="str">
        <f>IFERROR(INDEX('Detalles movimientos'!K$5:K$1000, MATCH(146, 'Detalles movimientos'!$U$5:$U$1000, 0)), "")</f>
        <v/>
      </c>
      <c r="J155" s="19" t="str">
        <f>IFERROR(INDEX('Detalles movimientos'!L$5:L$1000, MATCH(146, 'Detalles movimientos'!$U$5:$U$1000, 0)), "")</f>
        <v/>
      </c>
      <c r="K155" s="20" t="str">
        <f>IFERROR(INDEX('Detalles movimientos'!M$5:M$1000, MATCH(146, 'Detalles movimientos'!$U$5:$U$1000, 0)), "")</f>
        <v/>
      </c>
      <c r="L155" s="18" t="str">
        <f>IFERROR(INDEX('Detalles movimientos'!N$5:N$1000, MATCH(146, 'Detalles movimientos'!$U$5:$U$1000, 0)), "")</f>
        <v/>
      </c>
      <c r="M155" s="18" t="str">
        <f>IFERROR(INDEX('Detalles movimientos'!Q$5:Q$1000, MATCH(146, 'Detalles movimientos'!$U$5:$U$1000, 0)), "")</f>
        <v/>
      </c>
    </row>
    <row r="156" spans="2:13">
      <c r="B156" s="17" t="str">
        <f>IFERROR(INDEX('Detalles movimientos'!C$5:C$1000, MATCH(147, 'Detalles movimientos'!$U$5:$U$1000, 0)), "")</f>
        <v/>
      </c>
      <c r="C156" s="18" t="str">
        <f>IFERROR(INDEX('Detalles movimientos'!D$5:D$1000, MATCH(147, 'Detalles movimientos'!$U$5:$U$1000, 0)), "")</f>
        <v/>
      </c>
      <c r="D156" s="19" t="str">
        <f>IFERROR(INDEX('Detalles movimientos'!E$5:E$1000, MATCH(147, 'Detalles movimientos'!$U$5:$U$1000, 0)), "")</f>
        <v/>
      </c>
      <c r="E156" s="19" t="str">
        <f>IFERROR(INDEX('Detalles movimientos'!F$5:F$1000, MATCH(147, 'Detalles movimientos'!$U$5:$U$1000, 0)), "")</f>
        <v/>
      </c>
      <c r="F156" s="18" t="str">
        <f>IFERROR(INDEX('Detalles movimientos'!G$5:G$1000, MATCH(147, 'Detalles movimientos'!$U$5:$U$1000, 0)), "")</f>
        <v/>
      </c>
      <c r="G156" s="20" t="str">
        <f>IFERROR(INDEX('Detalles movimientos'!H$5:H$1000, MATCH(147, 'Detalles movimientos'!$U$5:$U$1000, 0)), "")</f>
        <v/>
      </c>
      <c r="H156" s="21" t="str">
        <f>IFERROR(INDEX('Detalles movimientos'!I$5:I$1000, MATCH(147, 'Detalles movimientos'!$U$5:$U$1000, 0)), "")</f>
        <v/>
      </c>
      <c r="I156" s="20" t="str">
        <f>IFERROR(INDEX('Detalles movimientos'!K$5:K$1000, MATCH(147, 'Detalles movimientos'!$U$5:$U$1000, 0)), "")</f>
        <v/>
      </c>
      <c r="J156" s="19" t="str">
        <f>IFERROR(INDEX('Detalles movimientos'!L$5:L$1000, MATCH(147, 'Detalles movimientos'!$U$5:$U$1000, 0)), "")</f>
        <v/>
      </c>
      <c r="K156" s="20" t="str">
        <f>IFERROR(INDEX('Detalles movimientos'!M$5:M$1000, MATCH(147, 'Detalles movimientos'!$U$5:$U$1000, 0)), "")</f>
        <v/>
      </c>
      <c r="L156" s="18" t="str">
        <f>IFERROR(INDEX('Detalles movimientos'!N$5:N$1000, MATCH(147, 'Detalles movimientos'!$U$5:$U$1000, 0)), "")</f>
        <v/>
      </c>
      <c r="M156" s="18" t="str">
        <f>IFERROR(INDEX('Detalles movimientos'!Q$5:Q$1000, MATCH(147, 'Detalles movimientos'!$U$5:$U$1000, 0)), "")</f>
        <v/>
      </c>
    </row>
    <row r="157" spans="2:13">
      <c r="B157" s="17" t="str">
        <f>IFERROR(INDEX('Detalles movimientos'!C$5:C$1000, MATCH(148, 'Detalles movimientos'!$U$5:$U$1000, 0)), "")</f>
        <v/>
      </c>
      <c r="C157" s="18" t="str">
        <f>IFERROR(INDEX('Detalles movimientos'!D$5:D$1000, MATCH(148, 'Detalles movimientos'!$U$5:$U$1000, 0)), "")</f>
        <v/>
      </c>
      <c r="D157" s="19" t="str">
        <f>IFERROR(INDEX('Detalles movimientos'!E$5:E$1000, MATCH(148, 'Detalles movimientos'!$U$5:$U$1000, 0)), "")</f>
        <v/>
      </c>
      <c r="E157" s="19" t="str">
        <f>IFERROR(INDEX('Detalles movimientos'!F$5:F$1000, MATCH(148, 'Detalles movimientos'!$U$5:$U$1000, 0)), "")</f>
        <v/>
      </c>
      <c r="F157" s="18" t="str">
        <f>IFERROR(INDEX('Detalles movimientos'!G$5:G$1000, MATCH(148, 'Detalles movimientos'!$U$5:$U$1000, 0)), "")</f>
        <v/>
      </c>
      <c r="G157" s="20" t="str">
        <f>IFERROR(INDEX('Detalles movimientos'!H$5:H$1000, MATCH(148, 'Detalles movimientos'!$U$5:$U$1000, 0)), "")</f>
        <v/>
      </c>
      <c r="H157" s="21" t="str">
        <f>IFERROR(INDEX('Detalles movimientos'!I$5:I$1000, MATCH(148, 'Detalles movimientos'!$U$5:$U$1000, 0)), "")</f>
        <v/>
      </c>
      <c r="I157" s="20" t="str">
        <f>IFERROR(INDEX('Detalles movimientos'!K$5:K$1000, MATCH(148, 'Detalles movimientos'!$U$5:$U$1000, 0)), "")</f>
        <v/>
      </c>
      <c r="J157" s="19" t="str">
        <f>IFERROR(INDEX('Detalles movimientos'!L$5:L$1000, MATCH(148, 'Detalles movimientos'!$U$5:$U$1000, 0)), "")</f>
        <v/>
      </c>
      <c r="K157" s="20" t="str">
        <f>IFERROR(INDEX('Detalles movimientos'!M$5:M$1000, MATCH(148, 'Detalles movimientos'!$U$5:$U$1000, 0)), "")</f>
        <v/>
      </c>
      <c r="L157" s="18" t="str">
        <f>IFERROR(INDEX('Detalles movimientos'!N$5:N$1000, MATCH(148, 'Detalles movimientos'!$U$5:$U$1000, 0)), "")</f>
        <v/>
      </c>
      <c r="M157" s="18" t="str">
        <f>IFERROR(INDEX('Detalles movimientos'!Q$5:Q$1000, MATCH(148, 'Detalles movimientos'!$U$5:$U$1000, 0)), "")</f>
        <v/>
      </c>
    </row>
    <row r="158" spans="2:13">
      <c r="B158" s="17" t="str">
        <f>IFERROR(INDEX('Detalles movimientos'!C$5:C$1000, MATCH(149, 'Detalles movimientos'!$U$5:$U$1000, 0)), "")</f>
        <v/>
      </c>
      <c r="C158" s="18" t="str">
        <f>IFERROR(INDEX('Detalles movimientos'!D$5:D$1000, MATCH(149, 'Detalles movimientos'!$U$5:$U$1000, 0)), "")</f>
        <v/>
      </c>
      <c r="D158" s="19" t="str">
        <f>IFERROR(INDEX('Detalles movimientos'!E$5:E$1000, MATCH(149, 'Detalles movimientos'!$U$5:$U$1000, 0)), "")</f>
        <v/>
      </c>
      <c r="E158" s="19" t="str">
        <f>IFERROR(INDEX('Detalles movimientos'!F$5:F$1000, MATCH(149, 'Detalles movimientos'!$U$5:$U$1000, 0)), "")</f>
        <v/>
      </c>
      <c r="F158" s="18" t="str">
        <f>IFERROR(INDEX('Detalles movimientos'!G$5:G$1000, MATCH(149, 'Detalles movimientos'!$U$5:$U$1000, 0)), "")</f>
        <v/>
      </c>
      <c r="G158" s="20" t="str">
        <f>IFERROR(INDEX('Detalles movimientos'!H$5:H$1000, MATCH(149, 'Detalles movimientos'!$U$5:$U$1000, 0)), "")</f>
        <v/>
      </c>
      <c r="H158" s="21" t="str">
        <f>IFERROR(INDEX('Detalles movimientos'!I$5:I$1000, MATCH(149, 'Detalles movimientos'!$U$5:$U$1000, 0)), "")</f>
        <v/>
      </c>
      <c r="I158" s="20" t="str">
        <f>IFERROR(INDEX('Detalles movimientos'!K$5:K$1000, MATCH(149, 'Detalles movimientos'!$U$5:$U$1000, 0)), "")</f>
        <v/>
      </c>
      <c r="J158" s="19" t="str">
        <f>IFERROR(INDEX('Detalles movimientos'!L$5:L$1000, MATCH(149, 'Detalles movimientos'!$U$5:$U$1000, 0)), "")</f>
        <v/>
      </c>
      <c r="K158" s="20" t="str">
        <f>IFERROR(INDEX('Detalles movimientos'!M$5:M$1000, MATCH(149, 'Detalles movimientos'!$U$5:$U$1000, 0)), "")</f>
        <v/>
      </c>
      <c r="L158" s="18" t="str">
        <f>IFERROR(INDEX('Detalles movimientos'!N$5:N$1000, MATCH(149, 'Detalles movimientos'!$U$5:$U$1000, 0)), "")</f>
        <v/>
      </c>
      <c r="M158" s="18" t="str">
        <f>IFERROR(INDEX('Detalles movimientos'!Q$5:Q$1000, MATCH(149, 'Detalles movimientos'!$U$5:$U$1000,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48" t="s">
        <v>75</v>
      </c>
      <c r="B1" s="38"/>
    </row>
    <row r="3" spans="1:2">
      <c r="A3" s="47" t="s">
        <v>76</v>
      </c>
      <c r="B3" s="38"/>
    </row>
    <row r="4" spans="1:2">
      <c r="A4" t="s">
        <v>77</v>
      </c>
      <c r="B4" s="30">
        <f>SUM('Detalles movimientos'!P:P)</f>
        <v>68985</v>
      </c>
    </row>
    <row r="5" spans="1:2">
      <c r="A5" t="s">
        <v>78</v>
      </c>
      <c r="B5" s="30">
        <f>SUM('Detalles movimientos'!I:I)</f>
        <v>7629.8</v>
      </c>
    </row>
    <row r="6" spans="1:2">
      <c r="A6" t="s">
        <v>79</v>
      </c>
      <c r="B6" s="30">
        <f>B4-B5</f>
        <v>61355.199999999997</v>
      </c>
    </row>
    <row r="7" spans="1:2">
      <c r="A7" s="47"/>
      <c r="B7" s="38"/>
    </row>
    <row r="8" spans="1:2">
      <c r="A8" s="47" t="s">
        <v>80</v>
      </c>
      <c r="B8" s="38"/>
    </row>
    <row r="9" spans="1:2">
      <c r="A9" t="s">
        <v>81</v>
      </c>
      <c r="B9" s="31">
        <f>SUM('Detalles movimientos'!O:O)</f>
        <v>23231995</v>
      </c>
    </row>
    <row r="10" spans="1:2">
      <c r="A10" t="s">
        <v>82</v>
      </c>
      <c r="B10" s="31">
        <f>SUM('Detalles movimientos'!K:K)</f>
        <v>6951100</v>
      </c>
    </row>
    <row r="11" spans="1:2">
      <c r="A11" t="s">
        <v>83</v>
      </c>
      <c r="B11" s="31">
        <f>SUM('Detalles movimientos'!M:M)</f>
        <v>1180560</v>
      </c>
    </row>
    <row r="12" spans="1:2">
      <c r="A12" t="s">
        <v>84</v>
      </c>
      <c r="B12" s="31">
        <f>B10-B9</f>
        <v>-16280895</v>
      </c>
    </row>
    <row r="13" spans="1:2">
      <c r="A13" t="s">
        <v>85</v>
      </c>
      <c r="B13" s="31">
        <f>B11-B10</f>
        <v>-5770540</v>
      </c>
    </row>
    <row r="14" spans="1:2">
      <c r="A14" s="47"/>
      <c r="B14" s="38"/>
    </row>
    <row r="15" spans="1:2">
      <c r="A15" s="47" t="s">
        <v>86</v>
      </c>
      <c r="B15" s="38"/>
    </row>
    <row r="16" spans="1:2">
      <c r="A16" t="s">
        <v>87</v>
      </c>
      <c r="B16" s="31">
        <f>IF(B4&gt;0, B9/B4, 0)</f>
        <v>336.76879031673553</v>
      </c>
    </row>
    <row r="17" spans="1:2">
      <c r="A17" t="s">
        <v>88</v>
      </c>
      <c r="B17" s="31">
        <f>IF(B5&gt;0, B10/B5, 0)</f>
        <v>911.0461611051403</v>
      </c>
    </row>
    <row r="18" spans="1:2">
      <c r="A18" t="s">
        <v>89</v>
      </c>
      <c r="B18" s="32">
        <f>IF(B10&gt;0, B13/B10, 0)</f>
        <v>-0.83016213261210459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90</v>
      </c>
    </row>
    <row r="3" spans="2:13">
      <c r="B3" s="15" t="s">
        <v>91</v>
      </c>
    </row>
    <row r="5" spans="2:13">
      <c r="B5" s="45" t="s">
        <v>2</v>
      </c>
      <c r="C5" s="46"/>
      <c r="E5" s="45" t="s">
        <v>4</v>
      </c>
      <c r="F5" s="46"/>
      <c r="H5" s="45" t="s">
        <v>92</v>
      </c>
      <c r="I5" s="46"/>
      <c r="K5" s="45" t="s">
        <v>93</v>
      </c>
      <c r="L5" s="46"/>
    </row>
    <row r="6" spans="2:13">
      <c r="B6" s="51">
        <f>SUMIFS('Detalles movimientos'!I$5:I$1000, 'Detalles movimientos'!F$5:F$1000, "CJ")</f>
        <v>5902.8</v>
      </c>
      <c r="C6" s="42"/>
      <c r="E6" s="53">
        <f>SUMIFS('Detalles movimientos'!K$5:K$1000, 'Detalles movimientos'!F$5:F$1000, "CJ")</f>
        <v>6126100</v>
      </c>
      <c r="F6" s="42"/>
      <c r="H6" s="53">
        <f>SUMIFS('Detalles movimientos'!M$5:M$1000, 'Detalles movimientos'!F$5:F$1000, "CJ", 'Detalles movimientos'!N$5:N$1000, "*Comision Pagada*")</f>
        <v>485760</v>
      </c>
      <c r="I6" s="42"/>
      <c r="K6" s="53">
        <f>SUMIFS('Detalles movimientos'!M$5:M$1000, 'Detalles movimientos'!F$5:F$1000, "CJ", 'Detalles movimientos'!N$5:N$1000, "&lt;&gt;*Comision Pagada*")</f>
        <v>694800</v>
      </c>
      <c r="L6" s="42"/>
    </row>
    <row r="7" spans="2:13">
      <c r="B7" s="43"/>
      <c r="C7" s="44"/>
      <c r="E7" s="43"/>
      <c r="F7" s="44"/>
      <c r="H7" s="43"/>
      <c r="I7" s="44"/>
      <c r="K7" s="43"/>
      <c r="L7" s="44"/>
    </row>
    <row r="9" spans="2:13">
      <c r="B9" s="52" t="s">
        <v>94</v>
      </c>
      <c r="C9" s="46"/>
      <c r="D9" s="49" t="str">
        <f>"Del " &amp; TEXT(_xlfn.MINIFS('Detalles movimientos'!C$5:C$1000, 'Detalles movimientos'!F$5:F$1000, "CJ", 'Detalles movimientos'!N$5:N$1000, "*Comision Pagada*"), "dd/mm/yyyy") &amp; " al " &amp; TEXT(_xlfn.MAXIFS('Detalles movimientos'!C$5:C$1000, 'Detalles movimientos'!F$5:F$1000, "CJ", 'Detalles movimientos'!N$5:N$1000, "*Comision Pagada*"), "dd/mm/yyyy")</f>
        <v>Del 27/07/2026 al 27/07/2026</v>
      </c>
      <c r="E9" s="50"/>
      <c r="F9" s="46"/>
      <c r="H9" s="52" t="s">
        <v>95</v>
      </c>
      <c r="I9" s="46"/>
      <c r="J9" s="49" t="str">
        <f>"Del " &amp; TEXT(_xlfn.MINIFS('Detalles movimientos'!C$5:C$1000, 'Detalles movimientos'!F$5:F$1000, "CJ", 'Detalles movimientos'!N$5:N$1000, "&lt;&gt;*Comision Pagada*", 'Detalles movimientos'!C$5:C$1000, "&gt;0"), "dd/mm/yyyy") &amp; " al " &amp; TEXT(_xlfn.MAXIFS('Detalles movimientos'!C$5:C$1000, 'Detalles movimientos'!F$5:F$1000, "CJ", 'Detalles movimientos'!N$5:N$1000, "&lt;&gt;*Comision Pagada*"), "dd/mm/yyyy")</f>
        <v>Del 28/07/2026 al 20/08/2026</v>
      </c>
      <c r="K9" s="50"/>
      <c r="L9" s="46"/>
    </row>
    <row r="12" spans="2:13" ht="25" customHeight="1">
      <c r="B12" s="16" t="s">
        <v>6</v>
      </c>
      <c r="C12" s="16" t="s">
        <v>7</v>
      </c>
      <c r="D12" s="16" t="s">
        <v>8</v>
      </c>
      <c r="E12" s="16" t="s">
        <v>9</v>
      </c>
      <c r="F12" s="16" t="s">
        <v>10</v>
      </c>
      <c r="G12" s="16" t="s">
        <v>11</v>
      </c>
      <c r="H12" s="16" t="s">
        <v>12</v>
      </c>
      <c r="I12" s="16" t="s">
        <v>13</v>
      </c>
      <c r="J12" s="16" t="s">
        <v>14</v>
      </c>
      <c r="K12" s="16" t="s">
        <v>15</v>
      </c>
      <c r="L12" s="16" t="s">
        <v>16</v>
      </c>
      <c r="M12" s="16" t="s">
        <v>17</v>
      </c>
    </row>
    <row r="13" spans="2:13">
      <c r="B13" s="17">
        <f>IFERROR(INDEX('Detalles movimientos'!C$5:C$1000, MATCH(1, 'Detalles movimientos'!$R$5:$R$1000, 0)), "")</f>
        <v>46230</v>
      </c>
      <c r="C13" s="18" t="str">
        <f>IFERROR(INDEX('Detalles movimientos'!D$5:D$1000, MATCH(1, 'Detalles movimientos'!$R$5:$R$1000, 0)), "")</f>
        <v>Ricardo Brisas del Raco</v>
      </c>
      <c r="D13" s="19" t="str">
        <f>IFERROR(INDEX('Detalles movimientos'!E$5:E$1000, MATCH(1, 'Detalles movimientos'!$R$5:$R$1000, 0)), "")</f>
        <v>VJYL61</v>
      </c>
      <c r="E13" s="19" t="str">
        <f>IFERROR(INDEX('Detalles movimientos'!F$5:F$1000, MATCH(1, 'Detalles movimientos'!$R$5:$R$1000, 0)), "")</f>
        <v>CJ</v>
      </c>
      <c r="F13" s="18" t="str">
        <f>IFERROR(INDEX('Detalles movimientos'!G$5:G$1000, MATCH(1, 'Detalles movimientos'!$R$5:$R$1000, 0)), "")</f>
        <v>Brisas del Raco</v>
      </c>
      <c r="G13" s="20">
        <f>IFERROR(INDEX('Detalles movimientos'!H$5:H$1000, MATCH(1, 'Detalles movimientos'!$R$5:$R$1000, 0)), "")</f>
        <v>1000</v>
      </c>
      <c r="H13" s="21">
        <f>IFERROR(INDEX('Detalles movimientos'!I$5:I$1000, MATCH(1, 'Detalles movimientos'!$R$5:$R$1000, 0)), "")</f>
        <v>179.2</v>
      </c>
      <c r="I13" s="20">
        <f>IFERROR(INDEX('Detalles movimientos'!K$5:K$1000, MATCH(1, 'Detalles movimientos'!$R$5:$R$1000, 0)), "")</f>
        <v>179200</v>
      </c>
      <c r="J13" s="19" t="str">
        <f>IFERROR(INDEX('Detalles movimientos'!L$5:L$1000, MATCH(1, 'Detalles movimientos'!$R$5:$R$1000, 0)), "")</f>
        <v>Tarjeta</v>
      </c>
      <c r="K13" s="20">
        <f>IFERROR(INDEX('Detalles movimientos'!M$5:M$1000, MATCH(1, 'Detalles movimientos'!$R$5:$R$1000, 0)), "")</f>
        <v>35840</v>
      </c>
      <c r="L13" s="18" t="str">
        <f>IFERROR(INDEX('Detalles movimientos'!N$5:N$1000, MATCH(1, 'Detalles movimientos'!$R$5:$R$1000, 0)), "")</f>
        <v>Comision Pagada</v>
      </c>
      <c r="M13" s="18">
        <f>IFERROR(INDEX('Detalles movimientos'!Q$5:Q$1000, MATCH(1, 'Detalles movimientos'!$R$5:$R$1000, 0)), "")</f>
        <v>0</v>
      </c>
    </row>
    <row r="14" spans="2:13">
      <c r="B14" s="17">
        <f>IFERROR(INDEX('Detalles movimientos'!C$5:C$1000, MATCH(2, 'Detalles movimientos'!$R$5:$R$1000, 0)), "")</f>
        <v>46230</v>
      </c>
      <c r="C14" s="18" t="str">
        <f>IFERROR(INDEX('Detalles movimientos'!D$5:D$1000, MATCH(2, 'Detalles movimientos'!$R$5:$R$1000, 0)), "")</f>
        <v>Ale Turko</v>
      </c>
      <c r="D14" s="19" t="str">
        <f>IFERROR(INDEX('Detalles movimientos'!E$5:E$1000, MATCH(2, 'Detalles movimientos'!$R$5:$R$1000, 0)), "")</f>
        <v>VJYL61</v>
      </c>
      <c r="E14" s="19" t="str">
        <f>IFERROR(INDEX('Detalles movimientos'!F$5:F$1000, MATCH(2, 'Detalles movimientos'!$R$5:$R$1000, 0)), "")</f>
        <v>CJ</v>
      </c>
      <c r="F14" s="18">
        <f>IFERROR(INDEX('Detalles movimientos'!G$5:G$1000, MATCH(2, 'Detalles movimientos'!$R$5:$R$1000, 0)), "")</f>
        <v>0</v>
      </c>
      <c r="G14" s="20">
        <f>IFERROR(INDEX('Detalles movimientos'!H$5:H$1000, MATCH(2, 'Detalles movimientos'!$R$5:$R$1000, 0)), "")</f>
        <v>1000</v>
      </c>
      <c r="H14" s="21">
        <f>IFERROR(INDEX('Detalles movimientos'!I$5:I$1000, MATCH(2, 'Detalles movimientos'!$R$5:$R$1000, 0)), "")</f>
        <v>518.1</v>
      </c>
      <c r="I14" s="20">
        <f>IFERROR(INDEX('Detalles movimientos'!K$5:K$1000, MATCH(2, 'Detalles movimientos'!$R$5:$R$1000, 0)), "")</f>
        <v>518100</v>
      </c>
      <c r="J14" s="19" t="str">
        <f>IFERROR(INDEX('Detalles movimientos'!L$5:L$1000, MATCH(2, 'Detalles movimientos'!$R$5:$R$1000, 0)), "")</f>
        <v>Pendiente de pago</v>
      </c>
      <c r="K14" s="20">
        <f>IFERROR(INDEX('Detalles movimientos'!M$5:M$1000, MATCH(2, 'Detalles movimientos'!$R$5:$R$1000, 0)), "")</f>
        <v>103620</v>
      </c>
      <c r="L14" s="18" t="str">
        <f>IFERROR(INDEX('Detalles movimientos'!N$5:N$1000, MATCH(2, 'Detalles movimientos'!$R$5:$R$1000, 0)), "")</f>
        <v>Comision Pagada</v>
      </c>
      <c r="M14" s="18">
        <f>IFERROR(INDEX('Detalles movimientos'!Q$5:Q$1000, MATCH(2, 'Detalles movimientos'!$R$5:$R$1000, 0)), "")</f>
        <v>0</v>
      </c>
    </row>
    <row r="15" spans="2:13">
      <c r="B15" s="17">
        <f>IFERROR(INDEX('Detalles movimientos'!C$5:C$1000, MATCH(3, 'Detalles movimientos'!$R$5:$R$1000, 0)), "")</f>
        <v>46230</v>
      </c>
      <c r="C15" s="18" t="str">
        <f>IFERROR(INDEX('Detalles movimientos'!D$5:D$1000, MATCH(3, 'Detalles movimientos'!$R$5:$R$1000, 0)), "")</f>
        <v xml:space="preserve">Tirua </v>
      </c>
      <c r="D15" s="19" t="str">
        <f>IFERROR(INDEX('Detalles movimientos'!E$5:E$1000, MATCH(3, 'Detalles movimientos'!$R$5:$R$1000, 0)), "")</f>
        <v>VJYL61</v>
      </c>
      <c r="E15" s="19" t="str">
        <f>IFERROR(INDEX('Detalles movimientos'!F$5:F$1000, MATCH(3, 'Detalles movimientos'!$R$5:$R$1000, 0)), "")</f>
        <v>CJ</v>
      </c>
      <c r="F15" s="18">
        <f>IFERROR(INDEX('Detalles movimientos'!G$5:G$1000, MATCH(3, 'Detalles movimientos'!$R$5:$R$1000, 0)), "")</f>
        <v>0</v>
      </c>
      <c r="G15" s="20">
        <f>IFERROR(INDEX('Detalles movimientos'!H$5:H$1000, MATCH(3, 'Detalles movimientos'!$R$5:$R$1000, 0)), "")</f>
        <v>1000</v>
      </c>
      <c r="H15" s="21">
        <f>IFERROR(INDEX('Detalles movimientos'!I$5:I$1000, MATCH(3, 'Detalles movimientos'!$R$5:$R$1000, 0)), "")</f>
        <v>488.2</v>
      </c>
      <c r="I15" s="20">
        <f>IFERROR(INDEX('Detalles movimientos'!K$5:K$1000, MATCH(3, 'Detalles movimientos'!$R$5:$R$1000, 0)), "")</f>
        <v>488200</v>
      </c>
      <c r="J15" s="19" t="str">
        <f>IFERROR(INDEX('Detalles movimientos'!L$5:L$1000, MATCH(3, 'Detalles movimientos'!$R$5:$R$1000, 0)), "")</f>
        <v>Pendiente de pago</v>
      </c>
      <c r="K15" s="20">
        <f>IFERROR(INDEX('Detalles movimientos'!M$5:M$1000, MATCH(3, 'Detalles movimientos'!$R$5:$R$1000, 0)), "")</f>
        <v>97640</v>
      </c>
      <c r="L15" s="18" t="str">
        <f>IFERROR(INDEX('Detalles movimientos'!N$5:N$1000, MATCH(3, 'Detalles movimientos'!$R$5:$R$1000, 0)), "")</f>
        <v>Comision Pagada</v>
      </c>
      <c r="M15" s="18">
        <f>IFERROR(INDEX('Detalles movimientos'!Q$5:Q$1000, MATCH(3, 'Detalles movimientos'!$R$5:$R$1000, 0)), "")</f>
        <v>0</v>
      </c>
    </row>
    <row r="16" spans="2:13">
      <c r="B16" s="17">
        <f>IFERROR(INDEX('Detalles movimientos'!C$5:C$1000, MATCH(4, 'Detalles movimientos'!$R$5:$R$1000, 0)), "")</f>
        <v>46230</v>
      </c>
      <c r="C16" s="18" t="str">
        <f>IFERROR(INDEX('Detalles movimientos'!D$5:D$1000, MATCH(4, 'Detalles movimientos'!$R$5:$R$1000, 0)), "")</f>
        <v xml:space="preserve">Ciao Italia </v>
      </c>
      <c r="D16" s="19" t="str">
        <f>IFERROR(INDEX('Detalles movimientos'!E$5:E$1000, MATCH(4, 'Detalles movimientos'!$R$5:$R$1000, 0)), "")</f>
        <v>VJYL61</v>
      </c>
      <c r="E16" s="19" t="str">
        <f>IFERROR(INDEX('Detalles movimientos'!F$5:F$1000, MATCH(4, 'Detalles movimientos'!$R$5:$R$1000, 0)), "")</f>
        <v>CJ</v>
      </c>
      <c r="F16" s="18">
        <f>IFERROR(INDEX('Detalles movimientos'!G$5:G$1000, MATCH(4, 'Detalles movimientos'!$R$5:$R$1000, 0)), "")</f>
        <v>0</v>
      </c>
      <c r="G16" s="20">
        <f>IFERROR(INDEX('Detalles movimientos'!H$5:H$1000, MATCH(4, 'Detalles movimientos'!$R$5:$R$1000, 0)), "")</f>
        <v>1000</v>
      </c>
      <c r="H16" s="21">
        <f>IFERROR(INDEX('Detalles movimientos'!I$5:I$1000, MATCH(4, 'Detalles movimientos'!$R$5:$R$1000, 0)), "")</f>
        <v>500.3</v>
      </c>
      <c r="I16" s="20">
        <f>IFERROR(INDEX('Detalles movimientos'!K$5:K$1000, MATCH(4, 'Detalles movimientos'!$R$5:$R$1000, 0)), "")</f>
        <v>500300</v>
      </c>
      <c r="J16" s="19" t="str">
        <f>IFERROR(INDEX('Detalles movimientos'!L$5:L$1000, MATCH(4, 'Detalles movimientos'!$R$5:$R$1000, 0)), "")</f>
        <v>Pendiente de pago</v>
      </c>
      <c r="K16" s="20">
        <f>IFERROR(INDEX('Detalles movimientos'!M$5:M$1000, MATCH(4, 'Detalles movimientos'!$R$5:$R$1000, 0)), "")</f>
        <v>100060</v>
      </c>
      <c r="L16" s="18" t="str">
        <f>IFERROR(INDEX('Detalles movimientos'!N$5:N$1000, MATCH(4, 'Detalles movimientos'!$R$5:$R$1000, 0)), "")</f>
        <v>Comision Pagada</v>
      </c>
      <c r="M16" s="18">
        <f>IFERROR(INDEX('Detalles movimientos'!Q$5:Q$1000, MATCH(4, 'Detalles movimientos'!$R$5:$R$1000, 0)), "")</f>
        <v>0</v>
      </c>
    </row>
    <row r="17" spans="2:13">
      <c r="B17" s="17">
        <f>IFERROR(INDEX('Detalles movimientos'!C$5:C$1000, MATCH(5, 'Detalles movimientos'!$R$5:$R$1000, 0)), "")</f>
        <v>46230</v>
      </c>
      <c r="C17" s="18" t="str">
        <f>IFERROR(INDEX('Detalles movimientos'!D$5:D$1000, MATCH(5, 'Detalles movimientos'!$R$5:$R$1000, 0)), "")</f>
        <v xml:space="preserve">Claudio Ulloa </v>
      </c>
      <c r="D17" s="19" t="str">
        <f>IFERROR(INDEX('Detalles movimientos'!E$5:E$1000, MATCH(5, 'Detalles movimientos'!$R$5:$R$1000, 0)), "")</f>
        <v>VJYL61</v>
      </c>
      <c r="E17" s="19" t="str">
        <f>IFERROR(INDEX('Detalles movimientos'!F$5:F$1000, MATCH(5, 'Detalles movimientos'!$R$5:$R$1000, 0)), "")</f>
        <v>CJ</v>
      </c>
      <c r="F17" s="18">
        <f>IFERROR(INDEX('Detalles movimientos'!G$5:G$1000, MATCH(5, 'Detalles movimientos'!$R$5:$R$1000, 0)), "")</f>
        <v>0</v>
      </c>
      <c r="G17" s="20">
        <f>IFERROR(INDEX('Detalles movimientos'!H$5:H$1000, MATCH(5, 'Detalles movimientos'!$R$5:$R$1000, 0)), "")</f>
        <v>1000</v>
      </c>
      <c r="H17" s="21">
        <f>IFERROR(INDEX('Detalles movimientos'!I$5:I$1000, MATCH(5, 'Detalles movimientos'!$R$5:$R$1000, 0)), "")</f>
        <v>237.9</v>
      </c>
      <c r="I17" s="20">
        <f>IFERROR(INDEX('Detalles movimientos'!K$5:K$1000, MATCH(5, 'Detalles movimientos'!$R$5:$R$1000, 0)), "")</f>
        <v>237900</v>
      </c>
      <c r="J17" s="19" t="str">
        <f>IFERROR(INDEX('Detalles movimientos'!L$5:L$1000, MATCH(5, 'Detalles movimientos'!$R$5:$R$1000, 0)), "")</f>
        <v>Pendiente de pago</v>
      </c>
      <c r="K17" s="20">
        <f>IFERROR(INDEX('Detalles movimientos'!M$5:M$1000, MATCH(5, 'Detalles movimientos'!$R$5:$R$1000, 0)), "")</f>
        <v>47580</v>
      </c>
      <c r="L17" s="18" t="str">
        <f>IFERROR(INDEX('Detalles movimientos'!N$5:N$1000, MATCH(5, 'Detalles movimientos'!$R$5:$R$1000, 0)), "")</f>
        <v>Comision Pagada</v>
      </c>
      <c r="M17" s="18">
        <f>IFERROR(INDEX('Detalles movimientos'!Q$5:Q$1000, MATCH(5, 'Detalles movimientos'!$R$5:$R$1000, 0)), "")</f>
        <v>0</v>
      </c>
    </row>
    <row r="18" spans="2:13">
      <c r="B18" s="17">
        <f>IFERROR(INDEX('Detalles movimientos'!C$5:C$1000, MATCH(6, 'Detalles movimientos'!$R$5:$R$1000, 0)), "")</f>
        <v>46230</v>
      </c>
      <c r="C18" s="18" t="str">
        <f>IFERROR(INDEX('Detalles movimientos'!D$5:D$1000, MATCH(6, 'Detalles movimientos'!$R$5:$R$1000, 0)), "")</f>
        <v>Francisco Ulloa</v>
      </c>
      <c r="D18" s="19" t="str">
        <f>IFERROR(INDEX('Detalles movimientos'!E$5:E$1000, MATCH(6, 'Detalles movimientos'!$R$5:$R$1000, 0)), "")</f>
        <v>VJYL61</v>
      </c>
      <c r="E18" s="19" t="str">
        <f>IFERROR(INDEX('Detalles movimientos'!F$5:F$1000, MATCH(6, 'Detalles movimientos'!$R$5:$R$1000, 0)), "")</f>
        <v>CJ</v>
      </c>
      <c r="F18" s="18">
        <f>IFERROR(INDEX('Detalles movimientos'!G$5:G$1000, MATCH(6, 'Detalles movimientos'!$R$5:$R$1000, 0)), "")</f>
        <v>0</v>
      </c>
      <c r="G18" s="20">
        <f>IFERROR(INDEX('Detalles movimientos'!H$5:H$1000, MATCH(6, 'Detalles movimientos'!$R$5:$R$1000, 0)), "")</f>
        <v>1000</v>
      </c>
      <c r="H18" s="21">
        <f>IFERROR(INDEX('Detalles movimientos'!I$5:I$1000, MATCH(6, 'Detalles movimientos'!$R$5:$R$1000, 0)), "")</f>
        <v>205.1</v>
      </c>
      <c r="I18" s="20">
        <f>IFERROR(INDEX('Detalles movimientos'!K$5:K$1000, MATCH(6, 'Detalles movimientos'!$R$5:$R$1000, 0)), "")</f>
        <v>205100</v>
      </c>
      <c r="J18" s="19" t="str">
        <f>IFERROR(INDEX('Detalles movimientos'!L$5:L$1000, MATCH(6, 'Detalles movimientos'!$R$5:$R$1000, 0)), "")</f>
        <v>Pendiente de pago</v>
      </c>
      <c r="K18" s="20">
        <f>IFERROR(INDEX('Detalles movimientos'!M$5:M$1000, MATCH(6, 'Detalles movimientos'!$R$5:$R$1000, 0)), "")</f>
        <v>41020</v>
      </c>
      <c r="L18" s="18" t="str">
        <f>IFERROR(INDEX('Detalles movimientos'!N$5:N$1000, MATCH(6, 'Detalles movimientos'!$R$5:$R$1000, 0)), "")</f>
        <v>Comision Pagada</v>
      </c>
      <c r="M18" s="18">
        <f>IFERROR(INDEX('Detalles movimientos'!Q$5:Q$1000, MATCH(6, 'Detalles movimientos'!$R$5:$R$1000, 0)), "")</f>
        <v>0</v>
      </c>
    </row>
    <row r="19" spans="2:13">
      <c r="B19" s="17">
        <f>IFERROR(INDEX('Detalles movimientos'!C$5:C$1000, MATCH(7, 'Detalles movimientos'!$R$5:$R$1000, 0)), "")</f>
        <v>46230</v>
      </c>
      <c r="C19" s="18" t="str">
        <f>IFERROR(INDEX('Detalles movimientos'!D$5:D$1000, MATCH(7, 'Detalles movimientos'!$R$5:$R$1000, 0)), "")</f>
        <v>Alicia Pavez</v>
      </c>
      <c r="D19" s="19" t="str">
        <f>IFERROR(INDEX('Detalles movimientos'!E$5:E$1000, MATCH(7, 'Detalles movimientos'!$R$5:$R$1000, 0)), "")</f>
        <v>VJYL61</v>
      </c>
      <c r="E19" s="19" t="str">
        <f>IFERROR(INDEX('Detalles movimientos'!F$5:F$1000, MATCH(7, 'Detalles movimientos'!$R$5:$R$1000, 0)), "")</f>
        <v>CJ</v>
      </c>
      <c r="F19" s="18">
        <f>IFERROR(INDEX('Detalles movimientos'!G$5:G$1000, MATCH(7, 'Detalles movimientos'!$R$5:$R$1000, 0)), "")</f>
        <v>0</v>
      </c>
      <c r="G19" s="20">
        <f>IFERROR(INDEX('Detalles movimientos'!H$5:H$1000, MATCH(7, 'Detalles movimientos'!$R$5:$R$1000, 0)), "")</f>
        <v>1000</v>
      </c>
      <c r="H19" s="21">
        <f>IFERROR(INDEX('Detalles movimientos'!I$5:I$1000, MATCH(7, 'Detalles movimientos'!$R$5:$R$1000, 0)), "")</f>
        <v>300</v>
      </c>
      <c r="I19" s="20">
        <f>IFERROR(INDEX('Detalles movimientos'!K$5:K$1000, MATCH(7, 'Detalles movimientos'!$R$5:$R$1000, 0)), "")</f>
        <v>300000</v>
      </c>
      <c r="J19" s="19" t="str">
        <f>IFERROR(INDEX('Detalles movimientos'!L$5:L$1000, MATCH(7, 'Detalles movimientos'!$R$5:$R$1000, 0)), "")</f>
        <v>Transferencia</v>
      </c>
      <c r="K19" s="20">
        <f>IFERROR(INDEX('Detalles movimientos'!M$5:M$1000, MATCH(7, 'Detalles movimientos'!$R$5:$R$1000, 0)), "")</f>
        <v>60000</v>
      </c>
      <c r="L19" s="18" t="str">
        <f>IFERROR(INDEX('Detalles movimientos'!N$5:N$1000, MATCH(7, 'Detalles movimientos'!$R$5:$R$1000, 0)), "")</f>
        <v>Comision Pagada</v>
      </c>
      <c r="M19" s="18">
        <f>IFERROR(INDEX('Detalles movimientos'!Q$5:Q$1000, MATCH(7, 'Detalles movimientos'!$R$5:$R$1000, 0)), "")</f>
        <v>2428.8000000000002</v>
      </c>
    </row>
    <row r="20" spans="2:13">
      <c r="B20" s="17">
        <f>IFERROR(INDEX('Detalles movimientos'!C$5:C$1000, MATCH(8, 'Detalles movimientos'!$R$5:$R$1000, 0)), "")</f>
        <v>46231</v>
      </c>
      <c r="C20" s="18" t="str">
        <f>IFERROR(INDEX('Detalles movimientos'!D$5:D$1000, MATCH(8, 'Detalles movimientos'!$R$5:$R$1000, 0)), "")</f>
        <v xml:space="preserve">Vanessa </v>
      </c>
      <c r="D20" s="19" t="str">
        <f>IFERROR(INDEX('Detalles movimientos'!E$5:E$1000, MATCH(8, 'Detalles movimientos'!$R$5:$R$1000, 0)), "")</f>
        <v>VJYL61</v>
      </c>
      <c r="E20" s="19" t="str">
        <f>IFERROR(INDEX('Detalles movimientos'!F$5:F$1000, MATCH(8, 'Detalles movimientos'!$R$5:$R$1000, 0)), "")</f>
        <v>CJ</v>
      </c>
      <c r="F20" s="18">
        <f>IFERROR(INDEX('Detalles movimientos'!G$5:G$1000, MATCH(8, 'Detalles movimientos'!$R$5:$R$1000, 0)), "")</f>
        <v>0</v>
      </c>
      <c r="G20" s="20">
        <f>IFERROR(INDEX('Detalles movimientos'!H$5:H$1000, MATCH(8, 'Detalles movimientos'!$R$5:$R$1000, 0)), "")</f>
        <v>1000</v>
      </c>
      <c r="H20" s="21">
        <f>IFERROR(INDEX('Detalles movimientos'!I$5:I$1000, MATCH(8, 'Detalles movimientos'!$R$5:$R$1000, 0)), "")</f>
        <v>200</v>
      </c>
      <c r="I20" s="20">
        <f>IFERROR(INDEX('Detalles movimientos'!K$5:K$1000, MATCH(8, 'Detalles movimientos'!$R$5:$R$1000, 0)), "")</f>
        <v>200000</v>
      </c>
      <c r="J20" s="19" t="str">
        <f>IFERROR(INDEX('Detalles movimientos'!L$5:L$1000, MATCH(8, 'Detalles movimientos'!$R$5:$R$1000, 0)), "")</f>
        <v>Transferencia</v>
      </c>
      <c r="K20" s="20">
        <f>IFERROR(INDEX('Detalles movimientos'!M$5:M$1000, MATCH(8, 'Detalles movimientos'!$R$5:$R$1000, 0)), "")</f>
        <v>40000</v>
      </c>
      <c r="L20" s="18">
        <f>IFERROR(INDEX('Detalles movimientos'!N$5:N$1000, MATCH(8, 'Detalles movimientos'!$R$5:$R$1000, 0)), "")</f>
        <v>0</v>
      </c>
      <c r="M20" s="18">
        <f>IFERROR(INDEX('Detalles movimientos'!Q$5:Q$1000, MATCH(8, 'Detalles movimientos'!$R$5:$R$1000, 0)), "")</f>
        <v>0</v>
      </c>
    </row>
    <row r="21" spans="2:13">
      <c r="B21" s="17">
        <f>IFERROR(INDEX('Detalles movimientos'!C$5:C$1000, MATCH(9, 'Detalles movimientos'!$R$5:$R$1000, 0)), "")</f>
        <v>46233</v>
      </c>
      <c r="C21" s="18" t="str">
        <f>IFERROR(INDEX('Detalles movimientos'!D$5:D$1000, MATCH(9, 'Detalles movimientos'!$R$5:$R$1000, 0)), "")</f>
        <v>Simon</v>
      </c>
      <c r="D21" s="19" t="str">
        <f>IFERROR(INDEX('Detalles movimientos'!E$5:E$1000, MATCH(9, 'Detalles movimientos'!$R$5:$R$1000, 0)), "")</f>
        <v>VJYL61</v>
      </c>
      <c r="E21" s="19" t="str">
        <f>IFERROR(INDEX('Detalles movimientos'!F$5:F$1000, MATCH(9, 'Detalles movimientos'!$R$5:$R$1000, 0)), "")</f>
        <v>CJ</v>
      </c>
      <c r="F21" s="18" t="str">
        <f>IFERROR(INDEX('Detalles movimientos'!G$5:G$1000, MATCH(9, 'Detalles movimientos'!$R$5:$R$1000, 0)), "")</f>
        <v>Camino el Chalaco 66B</v>
      </c>
      <c r="G21" s="20">
        <f>IFERROR(INDEX('Detalles movimientos'!H$5:H$1000, MATCH(9, 'Detalles movimientos'!$R$5:$R$1000, 0)), "")</f>
        <v>1000</v>
      </c>
      <c r="H21" s="21">
        <f>IFERROR(INDEX('Detalles movimientos'!I$5:I$1000, MATCH(9, 'Detalles movimientos'!$R$5:$R$1000, 0)), "")</f>
        <v>747</v>
      </c>
      <c r="I21" s="20">
        <f>IFERROR(INDEX('Detalles movimientos'!K$5:K$1000, MATCH(9, 'Detalles movimientos'!$R$5:$R$1000, 0)), "")</f>
        <v>747000</v>
      </c>
      <c r="J21" s="19" t="str">
        <f>IFERROR(INDEX('Detalles movimientos'!L$5:L$1000, MATCH(9, 'Detalles movimientos'!$R$5:$R$1000, 0)), "")</f>
        <v>Transferencia</v>
      </c>
      <c r="K21" s="20">
        <f>IFERROR(INDEX('Detalles movimientos'!M$5:M$1000, MATCH(9, 'Detalles movimientos'!$R$5:$R$1000, 0)), "")</f>
        <v>149400</v>
      </c>
      <c r="L21" s="18" t="str">
        <f>IFERROR(INDEX('Detalles movimientos'!N$5:N$1000, MATCH(9, 'Detalles movimientos'!$R$5:$R$1000, 0)), "")</f>
        <v>Factura</v>
      </c>
      <c r="M21" s="18" t="str">
        <f>IFERROR(INDEX('Detalles movimientos'!Q$5:Q$1000, MATCH(9, 'Detalles movimientos'!$R$5:$R$1000, 0)), "")</f>
        <v>Ebal spa - RUT: 77.625.623-4 - Av Gabriela 3264 La Pintana - Giro Construccion</v>
      </c>
    </row>
    <row r="22" spans="2:13">
      <c r="B22" s="17">
        <f>IFERROR(INDEX('Detalles movimientos'!C$5:C$1000, MATCH(10, 'Detalles movimientos'!$R$5:$R$1000, 0)), "")</f>
        <v>46237</v>
      </c>
      <c r="C22" s="18" t="str">
        <f>IFERROR(INDEX('Detalles movimientos'!D$5:D$1000, MATCH(10, 'Detalles movimientos'!$R$5:$R$1000, 0)), "")</f>
        <v>Manuel Vergara Ricci</v>
      </c>
      <c r="D22" s="19" t="str">
        <f>IFERROR(INDEX('Detalles movimientos'!E$5:E$1000, MATCH(10, 'Detalles movimientos'!$R$5:$R$1000, 0)), "")</f>
        <v>VJYL61</v>
      </c>
      <c r="E22" s="19" t="str">
        <f>IFERROR(INDEX('Detalles movimientos'!F$5:F$1000, MATCH(10, 'Detalles movimientos'!$R$5:$R$1000, 0)), "")</f>
        <v>CJ</v>
      </c>
      <c r="F22" s="18" t="str">
        <f>IFERROR(INDEX('Detalles movimientos'!G$5:G$1000, MATCH(10, 'Detalles movimientos'!$R$5:$R$1000, 0)), "")</f>
        <v>Avenida Virginia subercaseaux 4175 (parcela 15)</v>
      </c>
      <c r="G22" s="20">
        <f>IFERROR(INDEX('Detalles movimientos'!H$5:H$1000, MATCH(10, 'Detalles movimientos'!$R$5:$R$1000, 0)), "")</f>
        <v>1100</v>
      </c>
      <c r="H22" s="21">
        <f>IFERROR(INDEX('Detalles movimientos'!I$5:I$1000, MATCH(10, 'Detalles movimientos'!$R$5:$R$1000, 0)), "")</f>
        <v>200</v>
      </c>
      <c r="I22" s="20">
        <f>IFERROR(INDEX('Detalles movimientos'!K$5:K$1000, MATCH(10, 'Detalles movimientos'!$R$5:$R$1000, 0)), "")</f>
        <v>220000</v>
      </c>
      <c r="J22" s="19" t="str">
        <f>IFERROR(INDEX('Detalles movimientos'!L$5:L$1000, MATCH(10, 'Detalles movimientos'!$R$5:$R$1000, 0)), "")</f>
        <v>Transferencia</v>
      </c>
      <c r="K22" s="20">
        <f>IFERROR(INDEX('Detalles movimientos'!M$5:M$1000, MATCH(10, 'Detalles movimientos'!$R$5:$R$1000, 0)), "")</f>
        <v>40000</v>
      </c>
      <c r="L22" s="18">
        <f>IFERROR(INDEX('Detalles movimientos'!N$5:N$1000, MATCH(10, 'Detalles movimientos'!$R$5:$R$1000, 0)), "")</f>
        <v>0</v>
      </c>
      <c r="M22" s="18">
        <f>IFERROR(INDEX('Detalles movimientos'!Q$5:Q$1000, MATCH(10, 'Detalles movimientos'!$R$5:$R$1000, 0)), "")</f>
        <v>0</v>
      </c>
    </row>
    <row r="23" spans="2:13">
      <c r="B23" s="17">
        <f>IFERROR(INDEX('Detalles movimientos'!C$5:C$1000, MATCH(11, 'Detalles movimientos'!$R$5:$R$1000, 0)), "")</f>
        <v>46237</v>
      </c>
      <c r="C23" s="18" t="str">
        <f>IFERROR(INDEX('Detalles movimientos'!D$5:D$1000, MATCH(11, 'Detalles movimientos'!$R$5:$R$1000, 0)), "")</f>
        <v>Gabriela Rojas</v>
      </c>
      <c r="D23" s="19" t="str">
        <f>IFERROR(INDEX('Detalles movimientos'!E$5:E$1000, MATCH(11, 'Detalles movimientos'!$R$5:$R$1000, 0)), "")</f>
        <v>VJYL61</v>
      </c>
      <c r="E23" s="19" t="str">
        <f>IFERROR(INDEX('Detalles movimientos'!F$5:F$1000, MATCH(11, 'Detalles movimientos'!$R$5:$R$1000, 0)), "")</f>
        <v>CJ</v>
      </c>
      <c r="F23" s="18" t="str">
        <f>IFERROR(INDEX('Detalles movimientos'!G$5:G$1000, MATCH(11, 'Detalles movimientos'!$R$5:$R$1000, 0)), "")</f>
        <v>Camino de las flores 1262 Pirque</v>
      </c>
      <c r="G23" s="20">
        <f>IFERROR(INDEX('Detalles movimientos'!H$5:H$1000, MATCH(11, 'Detalles movimientos'!$R$5:$R$1000, 0)), "")</f>
        <v>1100</v>
      </c>
      <c r="H23" s="21">
        <f>IFERROR(INDEX('Detalles movimientos'!I$5:I$1000, MATCH(11, 'Detalles movimientos'!$R$5:$R$1000, 0)), "")</f>
        <v>350</v>
      </c>
      <c r="I23" s="20">
        <f>IFERROR(INDEX('Detalles movimientos'!K$5:K$1000, MATCH(11, 'Detalles movimientos'!$R$5:$R$1000, 0)), "")</f>
        <v>385000</v>
      </c>
      <c r="J23" s="19" t="str">
        <f>IFERROR(INDEX('Detalles movimientos'!L$5:L$1000, MATCH(11, 'Detalles movimientos'!$R$5:$R$1000, 0)), "")</f>
        <v>Transferencia en dos</v>
      </c>
      <c r="K23" s="20">
        <f>IFERROR(INDEX('Detalles movimientos'!M$5:M$1000, MATCH(11, 'Detalles movimientos'!$R$5:$R$1000, 0)), "")</f>
        <v>70000</v>
      </c>
      <c r="L23" s="18" t="str">
        <f>IFERROR(INDEX('Detalles movimientos'!N$5:N$1000, MATCH(11, 'Detalles movimientos'!$R$5:$R$1000, 0)), "")</f>
        <v>Quedó saldo de $35 mil para mañana</v>
      </c>
      <c r="M23" s="18">
        <f>IFERROR(INDEX('Detalles movimientos'!Q$5:Q$1000, MATCH(11, 'Detalles movimientos'!$R$5:$R$1000, 0)), "")</f>
        <v>0</v>
      </c>
    </row>
    <row r="24" spans="2:13">
      <c r="B24" s="17">
        <f>IFERROR(INDEX('Detalles movimientos'!C$5:C$1000, MATCH(12, 'Detalles movimientos'!$R$5:$R$1000, 0)), "")</f>
        <v>46239</v>
      </c>
      <c r="C24" s="18" t="str">
        <f>IFERROR(INDEX('Detalles movimientos'!D$5:D$1000, MATCH(12, 'Detalles movimientos'!$R$5:$R$1000, 0)), "")</f>
        <v>Casa de Reposo Brisas</v>
      </c>
      <c r="D24" s="19" t="str">
        <f>IFERROR(INDEX('Detalles movimientos'!E$5:E$1000, MATCH(12, 'Detalles movimientos'!$R$5:$R$1000, 0)), "")</f>
        <v>VJYL61</v>
      </c>
      <c r="E24" s="19" t="str">
        <f>IFERROR(INDEX('Detalles movimientos'!F$5:F$1000, MATCH(12, 'Detalles movimientos'!$R$5:$R$1000, 0)), "")</f>
        <v>CJ</v>
      </c>
      <c r="F24" s="18" t="str">
        <f>IFERROR(INDEX('Detalles movimientos'!G$5:G$1000, MATCH(12, 'Detalles movimientos'!$R$5:$R$1000, 0)), "")</f>
        <v>Brisas del raco parcela 36 Pirque</v>
      </c>
      <c r="G24" s="20">
        <f>IFERROR(INDEX('Detalles movimientos'!H$5:H$1000, MATCH(12, 'Detalles movimientos'!$R$5:$R$1000, 0)), "")</f>
        <v>1100</v>
      </c>
      <c r="H24" s="21">
        <f>IFERROR(INDEX('Detalles movimientos'!I$5:I$1000, MATCH(12, 'Detalles movimientos'!$R$5:$R$1000, 0)), "")</f>
        <v>270</v>
      </c>
      <c r="I24" s="20">
        <f>IFERROR(INDEX('Detalles movimientos'!K$5:K$1000, MATCH(12, 'Detalles movimientos'!$R$5:$R$1000, 0)), "")</f>
        <v>297000</v>
      </c>
      <c r="J24" s="19" t="str">
        <f>IFERROR(INDEX('Detalles movimientos'!L$5:L$1000, MATCH(12, 'Detalles movimientos'!$R$5:$R$1000, 0)), "")</f>
        <v>Transferencia</v>
      </c>
      <c r="K24" s="20">
        <f>IFERROR(INDEX('Detalles movimientos'!M$5:M$1000, MATCH(12, 'Detalles movimientos'!$R$5:$R$1000, 0)), "")</f>
        <v>54000</v>
      </c>
      <c r="L24" s="18" t="str">
        <f>IFERROR(INDEX('Detalles movimientos'!N$5:N$1000, MATCH(12, 'Detalles movimientos'!$R$5:$R$1000, 0)), "")</f>
        <v>Factura</v>
      </c>
      <c r="M24" s="18" t="str">
        <f>IFERROR(INDEX('Detalles movimientos'!Q$5:Q$1000, MATCH(12, 'Detalles movimientos'!$R$5:$R$1000, 0)), "")</f>
        <v>Residencia Adulto Mayor Amor Eterno SpA - Rut 76.699.397-4 - Los Almendros Parcela2B Pirque</v>
      </c>
    </row>
    <row r="25" spans="2:13">
      <c r="B25" s="17">
        <f>IFERROR(INDEX('Detalles movimientos'!C$5:C$1000, MATCH(13, 'Detalles movimientos'!$R$5:$R$1000, 0)), "")</f>
        <v>46245</v>
      </c>
      <c r="C25" s="18" t="str">
        <f>IFERROR(INDEX('Detalles movimientos'!D$5:D$1000, MATCH(13, 'Detalles movimientos'!$R$5:$R$1000, 0)), "")</f>
        <v>Eli Ciao Italia</v>
      </c>
      <c r="D25" s="19" t="str">
        <f>IFERROR(INDEX('Detalles movimientos'!E$5:E$1000, MATCH(13, 'Detalles movimientos'!$R$5:$R$1000, 0)), "")</f>
        <v>VJYL61</v>
      </c>
      <c r="E25" s="19" t="str">
        <f>IFERROR(INDEX('Detalles movimientos'!F$5:F$1000, MATCH(13, 'Detalles movimientos'!$R$5:$R$1000, 0)), "")</f>
        <v>CJ</v>
      </c>
      <c r="F25" s="18" t="str">
        <f>IFERROR(INDEX('Detalles movimientos'!G$5:G$1000, MATCH(13, 'Detalles movimientos'!$R$5:$R$1000, 0)), "")</f>
        <v>Camino rinconada san Vicente parcela 38</v>
      </c>
      <c r="G25" s="20">
        <f>IFERROR(INDEX('Detalles movimientos'!H$5:H$1000, MATCH(13, 'Detalles movimientos'!$R$5:$R$1000, 0)), "")</f>
        <v>1100</v>
      </c>
      <c r="H25" s="21">
        <f>IFERROR(INDEX('Detalles movimientos'!I$5:I$1000, MATCH(13, 'Detalles movimientos'!$R$5:$R$1000, 0)), "")</f>
        <v>404</v>
      </c>
      <c r="I25" s="20">
        <f>IFERROR(INDEX('Detalles movimientos'!K$5:K$1000, MATCH(13, 'Detalles movimientos'!$R$5:$R$1000, 0)), "")</f>
        <v>444400</v>
      </c>
      <c r="J25" s="19" t="str">
        <f>IFERROR(INDEX('Detalles movimientos'!L$5:L$1000, MATCH(13, 'Detalles movimientos'!$R$5:$R$1000, 0)), "")</f>
        <v>Transferencia</v>
      </c>
      <c r="K25" s="20">
        <f>IFERROR(INDEX('Detalles movimientos'!M$5:M$1000, MATCH(13, 'Detalles movimientos'!$R$5:$R$1000, 0)), "")</f>
        <v>80800</v>
      </c>
      <c r="L25" s="18">
        <f>IFERROR(INDEX('Detalles movimientos'!N$5:N$1000, MATCH(13, 'Detalles movimientos'!$R$5:$R$1000, 0)), "")</f>
        <v>0</v>
      </c>
      <c r="M25" s="18">
        <f>IFERROR(INDEX('Detalles movimientos'!Q$5:Q$1000, MATCH(13, 'Detalles movimientos'!$R$5:$R$1000, 0)), "")</f>
        <v>0</v>
      </c>
    </row>
    <row r="26" spans="2:13">
      <c r="B26" s="17">
        <f>IFERROR(INDEX('Detalles movimientos'!C$5:C$1000, MATCH(14, 'Detalles movimientos'!$R$5:$R$1000, 0)), "")</f>
        <v>46245</v>
      </c>
      <c r="C26" s="18" t="str">
        <f>IFERROR(INDEX('Detalles movimientos'!D$5:D$1000, MATCH(14, 'Detalles movimientos'!$R$5:$R$1000, 0)), "")</f>
        <v>Javier Quiroz</v>
      </c>
      <c r="D26" s="19" t="str">
        <f>IFERROR(INDEX('Detalles movimientos'!E$5:E$1000, MATCH(14, 'Detalles movimientos'!$R$5:$R$1000, 0)), "")</f>
        <v>VJYL61</v>
      </c>
      <c r="E26" s="19" t="str">
        <f>IFERROR(INDEX('Detalles movimientos'!F$5:F$1000, MATCH(14, 'Detalles movimientos'!$R$5:$R$1000, 0)), "")</f>
        <v>CJ</v>
      </c>
      <c r="F26" s="18" t="str">
        <f>IFERROR(INDEX('Detalles movimientos'!G$5:G$1000, MATCH(14, 'Detalles movimientos'!$R$5:$R$1000, 0)), "")</f>
        <v>Condominio majadas C parcela 5</v>
      </c>
      <c r="G26" s="20">
        <f>IFERROR(INDEX('Detalles movimientos'!H$5:H$1000, MATCH(14, 'Detalles movimientos'!$R$5:$R$1000, 0)), "")</f>
        <v>1100</v>
      </c>
      <c r="H26" s="21">
        <f>IFERROR(INDEX('Detalles movimientos'!I$5:I$1000, MATCH(14, 'Detalles movimientos'!$R$5:$R$1000, 0)), "")</f>
        <v>509</v>
      </c>
      <c r="I26" s="20">
        <f>IFERROR(INDEX('Detalles movimientos'!K$5:K$1000, MATCH(14, 'Detalles movimientos'!$R$5:$R$1000, 0)), "")</f>
        <v>559900</v>
      </c>
      <c r="J26" s="19" t="str">
        <f>IFERROR(INDEX('Detalles movimientos'!L$5:L$1000, MATCH(14, 'Detalles movimientos'!$R$5:$R$1000, 0)), "")</f>
        <v>Transferencia</v>
      </c>
      <c r="K26" s="20">
        <f>IFERROR(INDEX('Detalles movimientos'!M$5:M$1000, MATCH(14, 'Detalles movimientos'!$R$5:$R$1000, 0)), "")</f>
        <v>101800</v>
      </c>
      <c r="L26" s="18">
        <f>IFERROR(INDEX('Detalles movimientos'!N$5:N$1000, MATCH(14, 'Detalles movimientos'!$R$5:$R$1000, 0)), "")</f>
        <v>0</v>
      </c>
      <c r="M26" s="18">
        <f>IFERROR(INDEX('Detalles movimientos'!Q$5:Q$1000, MATCH(14, 'Detalles movimientos'!$R$5:$R$1000, 0)), "")</f>
        <v>0</v>
      </c>
    </row>
    <row r="27" spans="2:13">
      <c r="B27" s="17">
        <f>IFERROR(INDEX('Detalles movimientos'!C$5:C$1000, MATCH(15, 'Detalles movimientos'!$R$5:$R$1000, 0)), "")</f>
        <v>46254</v>
      </c>
      <c r="C27" s="18" t="str">
        <f>IFERROR(INDEX('Detalles movimientos'!D$5:D$1000, MATCH(15, 'Detalles movimientos'!$R$5:$R$1000, 0)), "")</f>
        <v>Bar Barrio Alto</v>
      </c>
      <c r="D27" s="19" t="str">
        <f>IFERROR(INDEX('Detalles movimientos'!E$5:E$1000, MATCH(15, 'Detalles movimientos'!$R$5:$R$1000, 0)), "")</f>
        <v>VJYL61</v>
      </c>
      <c r="E27" s="19" t="str">
        <f>IFERROR(INDEX('Detalles movimientos'!F$5:F$1000, MATCH(15, 'Detalles movimientos'!$R$5:$R$1000, 0)), "")</f>
        <v>CJ</v>
      </c>
      <c r="F27" s="18" t="str">
        <f>IFERROR(INDEX('Detalles movimientos'!G$5:G$1000, MATCH(15, 'Detalles movimientos'!$R$5:$R$1000, 0)), "")</f>
        <v>El Peñón 335 Puente Alto</v>
      </c>
      <c r="G27" s="20">
        <f>IFERROR(INDEX('Detalles movimientos'!H$5:H$1000, MATCH(15, 'Detalles movimientos'!$R$5:$R$1000, 0)), "")</f>
        <v>1000</v>
      </c>
      <c r="H27" s="21">
        <f>IFERROR(INDEX('Detalles movimientos'!I$5:I$1000, MATCH(15, 'Detalles movimientos'!$R$5:$R$1000, 0)), "")</f>
        <v>294</v>
      </c>
      <c r="I27" s="20">
        <f>IFERROR(INDEX('Detalles movimientos'!K$5:K$1000, MATCH(15, 'Detalles movimientos'!$R$5:$R$1000, 0)), "")</f>
        <v>294000</v>
      </c>
      <c r="J27" s="19" t="str">
        <f>IFERROR(INDEX('Detalles movimientos'!L$5:L$1000, MATCH(15, 'Detalles movimientos'!$R$5:$R$1000, 0)), "")</f>
        <v>Transferencia dos</v>
      </c>
      <c r="K27" s="20">
        <f>IFERROR(INDEX('Detalles movimientos'!M$5:M$1000, MATCH(15, 'Detalles movimientos'!$R$5:$R$1000, 0)), "")</f>
        <v>58800</v>
      </c>
      <c r="L27" s="18">
        <f>IFERROR(INDEX('Detalles movimientos'!N$5:N$1000, MATCH(15, 'Detalles movimientos'!$R$5:$R$1000, 0)), "")</f>
        <v>0</v>
      </c>
      <c r="M27" s="18">
        <f>IFERROR(INDEX('Detalles movimientos'!Q$5:Q$1000, MATCH(15, 'Detalles movimientos'!$R$5:$R$1000, 0)), "")</f>
        <v>0</v>
      </c>
    </row>
    <row r="28" spans="2:13">
      <c r="B28" s="17">
        <f>IFERROR(INDEX('Detalles movimientos'!C$5:C$1000, MATCH(16, 'Detalles movimientos'!$R$5:$R$1000, 0)), "")</f>
        <v>46254</v>
      </c>
      <c r="C28" s="18" t="str">
        <f>IFERROR(INDEX('Detalles movimientos'!D$5:D$1000, MATCH(16, 'Detalles movimientos'!$R$5:$R$1000, 0)), "")</f>
        <v>BAR Tirua</v>
      </c>
      <c r="D28" s="19" t="str">
        <f>IFERROR(INDEX('Detalles movimientos'!E$5:E$1000, MATCH(16, 'Detalles movimientos'!$R$5:$R$1000, 0)), "")</f>
        <v>VJYL61</v>
      </c>
      <c r="E28" s="19" t="str">
        <f>IFERROR(INDEX('Detalles movimientos'!F$5:F$1000, MATCH(16, 'Detalles movimientos'!$R$5:$R$1000, 0)), "")</f>
        <v>CJ</v>
      </c>
      <c r="F28" s="18" t="str">
        <f>IFERROR(INDEX('Detalles movimientos'!G$5:G$1000, MATCH(16, 'Detalles movimientos'!$R$5:$R$1000, 0)), "")</f>
        <v>Pirque</v>
      </c>
      <c r="G28" s="20">
        <f>IFERROR(INDEX('Detalles movimientos'!H$5:H$1000, MATCH(16, 'Detalles movimientos'!$R$5:$R$1000, 0)), "")</f>
        <v>1100</v>
      </c>
      <c r="H28" s="21">
        <f>IFERROR(INDEX('Detalles movimientos'!I$5:I$1000, MATCH(16, 'Detalles movimientos'!$R$5:$R$1000, 0)), "")</f>
        <v>500</v>
      </c>
      <c r="I28" s="20">
        <f>IFERROR(INDEX('Detalles movimientos'!K$5:K$1000, MATCH(16, 'Detalles movimientos'!$R$5:$R$1000, 0)), "")</f>
        <v>550000</v>
      </c>
      <c r="J28" s="19" t="str">
        <f>IFERROR(INDEX('Detalles movimientos'!L$5:L$1000, MATCH(16, 'Detalles movimientos'!$R$5:$R$1000, 0)), "")</f>
        <v>Pendiente de pago</v>
      </c>
      <c r="K28" s="20">
        <f>IFERROR(INDEX('Detalles movimientos'!M$5:M$1000, MATCH(16, 'Detalles movimientos'!$R$5:$R$1000, 0)), "")</f>
        <v>100000</v>
      </c>
      <c r="L28" s="18">
        <f>IFERROR(INDEX('Detalles movimientos'!N$5:N$1000, MATCH(16, 'Detalles movimientos'!$R$5:$R$1000, 0)), "")</f>
        <v>0</v>
      </c>
      <c r="M28" s="18">
        <f>IFERROR(INDEX('Detalles movimientos'!Q$5:Q$1000, MATCH(16, 'Detalles movimientos'!$R$5:$R$1000, 0)), "")</f>
        <v>0</v>
      </c>
    </row>
    <row r="29" spans="2:13">
      <c r="B29" s="17" t="str">
        <f>IFERROR(INDEX('Detalles movimientos'!C$5:C$1000, MATCH(17, 'Detalles movimientos'!$R$5:$R$1000, 0)), "")</f>
        <v/>
      </c>
      <c r="C29" s="18" t="str">
        <f>IFERROR(INDEX('Detalles movimientos'!D$5:D$1000, MATCH(17, 'Detalles movimientos'!$R$5:$R$1000, 0)), "")</f>
        <v/>
      </c>
      <c r="D29" s="19" t="str">
        <f>IFERROR(INDEX('Detalles movimientos'!E$5:E$1000, MATCH(17, 'Detalles movimientos'!$R$5:$R$1000, 0)), "")</f>
        <v/>
      </c>
      <c r="E29" s="19" t="str">
        <f>IFERROR(INDEX('Detalles movimientos'!F$5:F$1000, MATCH(17, 'Detalles movimientos'!$R$5:$R$1000, 0)), "")</f>
        <v/>
      </c>
      <c r="F29" s="18" t="str">
        <f>IFERROR(INDEX('Detalles movimientos'!G$5:G$1000, MATCH(17, 'Detalles movimientos'!$R$5:$R$1000, 0)), "")</f>
        <v/>
      </c>
      <c r="G29" s="20" t="str">
        <f>IFERROR(INDEX('Detalles movimientos'!H$5:H$1000, MATCH(17, 'Detalles movimientos'!$R$5:$R$1000, 0)), "")</f>
        <v/>
      </c>
      <c r="H29" s="21" t="str">
        <f>IFERROR(INDEX('Detalles movimientos'!I$5:I$1000, MATCH(17, 'Detalles movimientos'!$R$5:$R$1000, 0)), "")</f>
        <v/>
      </c>
      <c r="I29" s="20" t="str">
        <f>IFERROR(INDEX('Detalles movimientos'!K$5:K$1000, MATCH(17, 'Detalles movimientos'!$R$5:$R$1000, 0)), "")</f>
        <v/>
      </c>
      <c r="J29" s="19" t="str">
        <f>IFERROR(INDEX('Detalles movimientos'!L$5:L$1000, MATCH(17, 'Detalles movimientos'!$R$5:$R$1000, 0)), "")</f>
        <v/>
      </c>
      <c r="K29" s="20" t="str">
        <f>IFERROR(INDEX('Detalles movimientos'!M$5:M$1000, MATCH(17, 'Detalles movimientos'!$R$5:$R$1000, 0)), "")</f>
        <v/>
      </c>
      <c r="L29" s="18" t="str">
        <f>IFERROR(INDEX('Detalles movimientos'!N$5:N$1000, MATCH(17, 'Detalles movimientos'!$R$5:$R$1000, 0)), "")</f>
        <v/>
      </c>
      <c r="M29" s="18" t="str">
        <f>IFERROR(INDEX('Detalles movimientos'!Q$5:Q$1000, MATCH(17, 'Detalles movimientos'!$R$5:$R$1000, 0)), "")</f>
        <v/>
      </c>
    </row>
    <row r="30" spans="2:13">
      <c r="B30" s="17" t="str">
        <f>IFERROR(INDEX('Detalles movimientos'!C$5:C$1000, MATCH(18, 'Detalles movimientos'!$R$5:$R$1000, 0)), "")</f>
        <v/>
      </c>
      <c r="C30" s="18" t="str">
        <f>IFERROR(INDEX('Detalles movimientos'!D$5:D$1000, MATCH(18, 'Detalles movimientos'!$R$5:$R$1000, 0)), "")</f>
        <v/>
      </c>
      <c r="D30" s="19" t="str">
        <f>IFERROR(INDEX('Detalles movimientos'!E$5:E$1000, MATCH(18, 'Detalles movimientos'!$R$5:$R$1000, 0)), "")</f>
        <v/>
      </c>
      <c r="E30" s="19" t="str">
        <f>IFERROR(INDEX('Detalles movimientos'!F$5:F$1000, MATCH(18, 'Detalles movimientos'!$R$5:$R$1000, 0)), "")</f>
        <v/>
      </c>
      <c r="F30" s="18" t="str">
        <f>IFERROR(INDEX('Detalles movimientos'!G$5:G$1000, MATCH(18, 'Detalles movimientos'!$R$5:$R$1000, 0)), "")</f>
        <v/>
      </c>
      <c r="G30" s="20" t="str">
        <f>IFERROR(INDEX('Detalles movimientos'!H$5:H$1000, MATCH(18, 'Detalles movimientos'!$R$5:$R$1000, 0)), "")</f>
        <v/>
      </c>
      <c r="H30" s="21" t="str">
        <f>IFERROR(INDEX('Detalles movimientos'!I$5:I$1000, MATCH(18, 'Detalles movimientos'!$R$5:$R$1000, 0)), "")</f>
        <v/>
      </c>
      <c r="I30" s="20" t="str">
        <f>IFERROR(INDEX('Detalles movimientos'!K$5:K$1000, MATCH(18, 'Detalles movimientos'!$R$5:$R$1000, 0)), "")</f>
        <v/>
      </c>
      <c r="J30" s="19" t="str">
        <f>IFERROR(INDEX('Detalles movimientos'!L$5:L$1000, MATCH(18, 'Detalles movimientos'!$R$5:$R$1000, 0)), "")</f>
        <v/>
      </c>
      <c r="K30" s="20" t="str">
        <f>IFERROR(INDEX('Detalles movimientos'!M$5:M$1000, MATCH(18, 'Detalles movimientos'!$R$5:$R$1000, 0)), "")</f>
        <v/>
      </c>
      <c r="L30" s="18" t="str">
        <f>IFERROR(INDEX('Detalles movimientos'!N$5:N$1000, MATCH(18, 'Detalles movimientos'!$R$5:$R$1000, 0)), "")</f>
        <v/>
      </c>
      <c r="M30" s="18" t="str">
        <f>IFERROR(INDEX('Detalles movimientos'!Q$5:Q$1000, MATCH(18, 'Detalles movimientos'!$R$5:$R$1000, 0)), "")</f>
        <v/>
      </c>
    </row>
    <row r="31" spans="2:13">
      <c r="B31" s="17" t="str">
        <f>IFERROR(INDEX('Detalles movimientos'!C$5:C$1000, MATCH(19, 'Detalles movimientos'!$R$5:$R$1000, 0)), "")</f>
        <v/>
      </c>
      <c r="C31" s="18" t="str">
        <f>IFERROR(INDEX('Detalles movimientos'!D$5:D$1000, MATCH(19, 'Detalles movimientos'!$R$5:$R$1000, 0)), "")</f>
        <v/>
      </c>
      <c r="D31" s="19" t="str">
        <f>IFERROR(INDEX('Detalles movimientos'!E$5:E$1000, MATCH(19, 'Detalles movimientos'!$R$5:$R$1000, 0)), "")</f>
        <v/>
      </c>
      <c r="E31" s="19" t="str">
        <f>IFERROR(INDEX('Detalles movimientos'!F$5:F$1000, MATCH(19, 'Detalles movimientos'!$R$5:$R$1000, 0)), "")</f>
        <v/>
      </c>
      <c r="F31" s="18" t="str">
        <f>IFERROR(INDEX('Detalles movimientos'!G$5:G$1000, MATCH(19, 'Detalles movimientos'!$R$5:$R$1000, 0)), "")</f>
        <v/>
      </c>
      <c r="G31" s="20" t="str">
        <f>IFERROR(INDEX('Detalles movimientos'!H$5:H$1000, MATCH(19, 'Detalles movimientos'!$R$5:$R$1000, 0)), "")</f>
        <v/>
      </c>
      <c r="H31" s="21" t="str">
        <f>IFERROR(INDEX('Detalles movimientos'!I$5:I$1000, MATCH(19, 'Detalles movimientos'!$R$5:$R$1000, 0)), "")</f>
        <v/>
      </c>
      <c r="I31" s="20" t="str">
        <f>IFERROR(INDEX('Detalles movimientos'!K$5:K$1000, MATCH(19, 'Detalles movimientos'!$R$5:$R$1000, 0)), "")</f>
        <v/>
      </c>
      <c r="J31" s="19" t="str">
        <f>IFERROR(INDEX('Detalles movimientos'!L$5:L$1000, MATCH(19, 'Detalles movimientos'!$R$5:$R$1000, 0)), "")</f>
        <v/>
      </c>
      <c r="K31" s="20" t="str">
        <f>IFERROR(INDEX('Detalles movimientos'!M$5:M$1000, MATCH(19, 'Detalles movimientos'!$R$5:$R$1000, 0)), "")</f>
        <v/>
      </c>
      <c r="L31" s="18" t="str">
        <f>IFERROR(INDEX('Detalles movimientos'!N$5:N$1000, MATCH(19, 'Detalles movimientos'!$R$5:$R$1000, 0)), "")</f>
        <v/>
      </c>
      <c r="M31" s="18" t="str">
        <f>IFERROR(INDEX('Detalles movimientos'!Q$5:Q$1000, MATCH(19, 'Detalles movimientos'!$R$5:$R$1000, 0)), "")</f>
        <v/>
      </c>
    </row>
    <row r="32" spans="2:13">
      <c r="B32" s="17" t="str">
        <f>IFERROR(INDEX('Detalles movimientos'!C$5:C$1000, MATCH(20, 'Detalles movimientos'!$R$5:$R$1000, 0)), "")</f>
        <v/>
      </c>
      <c r="C32" s="18" t="str">
        <f>IFERROR(INDEX('Detalles movimientos'!D$5:D$1000, MATCH(20, 'Detalles movimientos'!$R$5:$R$1000, 0)), "")</f>
        <v/>
      </c>
      <c r="D32" s="19" t="str">
        <f>IFERROR(INDEX('Detalles movimientos'!E$5:E$1000, MATCH(20, 'Detalles movimientos'!$R$5:$R$1000, 0)), "")</f>
        <v/>
      </c>
      <c r="E32" s="19" t="str">
        <f>IFERROR(INDEX('Detalles movimientos'!F$5:F$1000, MATCH(20, 'Detalles movimientos'!$R$5:$R$1000, 0)), "")</f>
        <v/>
      </c>
      <c r="F32" s="18" t="str">
        <f>IFERROR(INDEX('Detalles movimientos'!G$5:G$1000, MATCH(20, 'Detalles movimientos'!$R$5:$R$1000, 0)), "")</f>
        <v/>
      </c>
      <c r="G32" s="20" t="str">
        <f>IFERROR(INDEX('Detalles movimientos'!H$5:H$1000, MATCH(20, 'Detalles movimientos'!$R$5:$R$1000, 0)), "")</f>
        <v/>
      </c>
      <c r="H32" s="21" t="str">
        <f>IFERROR(INDEX('Detalles movimientos'!I$5:I$1000, MATCH(20, 'Detalles movimientos'!$R$5:$R$1000, 0)), "")</f>
        <v/>
      </c>
      <c r="I32" s="20" t="str">
        <f>IFERROR(INDEX('Detalles movimientos'!K$5:K$1000, MATCH(20, 'Detalles movimientos'!$R$5:$R$1000, 0)), "")</f>
        <v/>
      </c>
      <c r="J32" s="19" t="str">
        <f>IFERROR(INDEX('Detalles movimientos'!L$5:L$1000, MATCH(20, 'Detalles movimientos'!$R$5:$R$1000, 0)), "")</f>
        <v/>
      </c>
      <c r="K32" s="20" t="str">
        <f>IFERROR(INDEX('Detalles movimientos'!M$5:M$1000, MATCH(20, 'Detalles movimientos'!$R$5:$R$1000, 0)), "")</f>
        <v/>
      </c>
      <c r="L32" s="18" t="str">
        <f>IFERROR(INDEX('Detalles movimientos'!N$5:N$1000, MATCH(20, 'Detalles movimientos'!$R$5:$R$1000, 0)), "")</f>
        <v/>
      </c>
      <c r="M32" s="18" t="str">
        <f>IFERROR(INDEX('Detalles movimientos'!Q$5:Q$1000, MATCH(20, 'Detalles movimientos'!$R$5:$R$1000, 0)), "")</f>
        <v/>
      </c>
    </row>
    <row r="33" spans="2:13">
      <c r="B33" s="17" t="str">
        <f>IFERROR(INDEX('Detalles movimientos'!C$5:C$1000, MATCH(21, 'Detalles movimientos'!$R$5:$R$1000, 0)), "")</f>
        <v/>
      </c>
      <c r="C33" s="18" t="str">
        <f>IFERROR(INDEX('Detalles movimientos'!D$5:D$1000, MATCH(21, 'Detalles movimientos'!$R$5:$R$1000, 0)), "")</f>
        <v/>
      </c>
      <c r="D33" s="19" t="str">
        <f>IFERROR(INDEX('Detalles movimientos'!E$5:E$1000, MATCH(21, 'Detalles movimientos'!$R$5:$R$1000, 0)), "")</f>
        <v/>
      </c>
      <c r="E33" s="19" t="str">
        <f>IFERROR(INDEX('Detalles movimientos'!F$5:F$1000, MATCH(21, 'Detalles movimientos'!$R$5:$R$1000, 0)), "")</f>
        <v/>
      </c>
      <c r="F33" s="18" t="str">
        <f>IFERROR(INDEX('Detalles movimientos'!G$5:G$1000, MATCH(21, 'Detalles movimientos'!$R$5:$R$1000, 0)), "")</f>
        <v/>
      </c>
      <c r="G33" s="20" t="str">
        <f>IFERROR(INDEX('Detalles movimientos'!H$5:H$1000, MATCH(21, 'Detalles movimientos'!$R$5:$R$1000, 0)), "")</f>
        <v/>
      </c>
      <c r="H33" s="21" t="str">
        <f>IFERROR(INDEX('Detalles movimientos'!I$5:I$1000, MATCH(21, 'Detalles movimientos'!$R$5:$R$1000, 0)), "")</f>
        <v/>
      </c>
      <c r="I33" s="20" t="str">
        <f>IFERROR(INDEX('Detalles movimientos'!K$5:K$1000, MATCH(21, 'Detalles movimientos'!$R$5:$R$1000, 0)), "")</f>
        <v/>
      </c>
      <c r="J33" s="19" t="str">
        <f>IFERROR(INDEX('Detalles movimientos'!L$5:L$1000, MATCH(21, 'Detalles movimientos'!$R$5:$R$1000, 0)), "")</f>
        <v/>
      </c>
      <c r="K33" s="20" t="str">
        <f>IFERROR(INDEX('Detalles movimientos'!M$5:M$1000, MATCH(21, 'Detalles movimientos'!$R$5:$R$1000, 0)), "")</f>
        <v/>
      </c>
      <c r="L33" s="18" t="str">
        <f>IFERROR(INDEX('Detalles movimientos'!N$5:N$1000, MATCH(21, 'Detalles movimientos'!$R$5:$R$1000, 0)), "")</f>
        <v/>
      </c>
      <c r="M33" s="18" t="str">
        <f>IFERROR(INDEX('Detalles movimientos'!Q$5:Q$1000, MATCH(21, 'Detalles movimientos'!$R$5:$R$1000, 0)), "")</f>
        <v/>
      </c>
    </row>
    <row r="34" spans="2:13">
      <c r="B34" s="17" t="str">
        <f>IFERROR(INDEX('Detalles movimientos'!C$5:C$1000, MATCH(22, 'Detalles movimientos'!$R$5:$R$1000, 0)), "")</f>
        <v/>
      </c>
      <c r="C34" s="18" t="str">
        <f>IFERROR(INDEX('Detalles movimientos'!D$5:D$1000, MATCH(22, 'Detalles movimientos'!$R$5:$R$1000, 0)), "")</f>
        <v/>
      </c>
      <c r="D34" s="19" t="str">
        <f>IFERROR(INDEX('Detalles movimientos'!E$5:E$1000, MATCH(22, 'Detalles movimientos'!$R$5:$R$1000, 0)), "")</f>
        <v/>
      </c>
      <c r="E34" s="19" t="str">
        <f>IFERROR(INDEX('Detalles movimientos'!F$5:F$1000, MATCH(22, 'Detalles movimientos'!$R$5:$R$1000, 0)), "")</f>
        <v/>
      </c>
      <c r="F34" s="18" t="str">
        <f>IFERROR(INDEX('Detalles movimientos'!G$5:G$1000, MATCH(22, 'Detalles movimientos'!$R$5:$R$1000, 0)), "")</f>
        <v/>
      </c>
      <c r="G34" s="20" t="str">
        <f>IFERROR(INDEX('Detalles movimientos'!H$5:H$1000, MATCH(22, 'Detalles movimientos'!$R$5:$R$1000, 0)), "")</f>
        <v/>
      </c>
      <c r="H34" s="21" t="str">
        <f>IFERROR(INDEX('Detalles movimientos'!I$5:I$1000, MATCH(22, 'Detalles movimientos'!$R$5:$R$1000, 0)), "")</f>
        <v/>
      </c>
      <c r="I34" s="20" t="str">
        <f>IFERROR(INDEX('Detalles movimientos'!K$5:K$1000, MATCH(22, 'Detalles movimientos'!$R$5:$R$1000, 0)), "")</f>
        <v/>
      </c>
      <c r="J34" s="19" t="str">
        <f>IFERROR(INDEX('Detalles movimientos'!L$5:L$1000, MATCH(22, 'Detalles movimientos'!$R$5:$R$1000, 0)), "")</f>
        <v/>
      </c>
      <c r="K34" s="20" t="str">
        <f>IFERROR(INDEX('Detalles movimientos'!M$5:M$1000, MATCH(22, 'Detalles movimientos'!$R$5:$R$1000, 0)), "")</f>
        <v/>
      </c>
      <c r="L34" s="18" t="str">
        <f>IFERROR(INDEX('Detalles movimientos'!N$5:N$1000, MATCH(22, 'Detalles movimientos'!$R$5:$R$1000, 0)), "")</f>
        <v/>
      </c>
      <c r="M34" s="18" t="str">
        <f>IFERROR(INDEX('Detalles movimientos'!Q$5:Q$1000, MATCH(22, 'Detalles movimientos'!$R$5:$R$1000, 0)), "")</f>
        <v/>
      </c>
    </row>
    <row r="35" spans="2:13">
      <c r="B35" s="17" t="str">
        <f>IFERROR(INDEX('Detalles movimientos'!C$5:C$1000, MATCH(23, 'Detalles movimientos'!$R$5:$R$1000, 0)), "")</f>
        <v/>
      </c>
      <c r="C35" s="18" t="str">
        <f>IFERROR(INDEX('Detalles movimientos'!D$5:D$1000, MATCH(23, 'Detalles movimientos'!$R$5:$R$1000, 0)), "")</f>
        <v/>
      </c>
      <c r="D35" s="19" t="str">
        <f>IFERROR(INDEX('Detalles movimientos'!E$5:E$1000, MATCH(23, 'Detalles movimientos'!$R$5:$R$1000, 0)), "")</f>
        <v/>
      </c>
      <c r="E35" s="19" t="str">
        <f>IFERROR(INDEX('Detalles movimientos'!F$5:F$1000, MATCH(23, 'Detalles movimientos'!$R$5:$R$1000, 0)), "")</f>
        <v/>
      </c>
      <c r="F35" s="18" t="str">
        <f>IFERROR(INDEX('Detalles movimientos'!G$5:G$1000, MATCH(23, 'Detalles movimientos'!$R$5:$R$1000, 0)), "")</f>
        <v/>
      </c>
      <c r="G35" s="20" t="str">
        <f>IFERROR(INDEX('Detalles movimientos'!H$5:H$1000, MATCH(23, 'Detalles movimientos'!$R$5:$R$1000, 0)), "")</f>
        <v/>
      </c>
      <c r="H35" s="21" t="str">
        <f>IFERROR(INDEX('Detalles movimientos'!I$5:I$1000, MATCH(23, 'Detalles movimientos'!$R$5:$R$1000, 0)), "")</f>
        <v/>
      </c>
      <c r="I35" s="20" t="str">
        <f>IFERROR(INDEX('Detalles movimientos'!K$5:K$1000, MATCH(23, 'Detalles movimientos'!$R$5:$R$1000, 0)), "")</f>
        <v/>
      </c>
      <c r="J35" s="19" t="str">
        <f>IFERROR(INDEX('Detalles movimientos'!L$5:L$1000, MATCH(23, 'Detalles movimientos'!$R$5:$R$1000, 0)), "")</f>
        <v/>
      </c>
      <c r="K35" s="20" t="str">
        <f>IFERROR(INDEX('Detalles movimientos'!M$5:M$1000, MATCH(23, 'Detalles movimientos'!$R$5:$R$1000, 0)), "")</f>
        <v/>
      </c>
      <c r="L35" s="18" t="str">
        <f>IFERROR(INDEX('Detalles movimientos'!N$5:N$1000, MATCH(23, 'Detalles movimientos'!$R$5:$R$1000, 0)), "")</f>
        <v/>
      </c>
      <c r="M35" s="18" t="str">
        <f>IFERROR(INDEX('Detalles movimientos'!Q$5:Q$1000, MATCH(23, 'Detalles movimientos'!$R$5:$R$1000, 0)), "")</f>
        <v/>
      </c>
    </row>
    <row r="36" spans="2:13">
      <c r="B36" s="17" t="str">
        <f>IFERROR(INDEX('Detalles movimientos'!C$5:C$1000, MATCH(24, 'Detalles movimientos'!$R$5:$R$1000, 0)), "")</f>
        <v/>
      </c>
      <c r="C36" s="18" t="str">
        <f>IFERROR(INDEX('Detalles movimientos'!D$5:D$1000, MATCH(24, 'Detalles movimientos'!$R$5:$R$1000, 0)), "")</f>
        <v/>
      </c>
      <c r="D36" s="19" t="str">
        <f>IFERROR(INDEX('Detalles movimientos'!E$5:E$1000, MATCH(24, 'Detalles movimientos'!$R$5:$R$1000, 0)), "")</f>
        <v/>
      </c>
      <c r="E36" s="19" t="str">
        <f>IFERROR(INDEX('Detalles movimientos'!F$5:F$1000, MATCH(24, 'Detalles movimientos'!$R$5:$R$1000, 0)), "")</f>
        <v/>
      </c>
      <c r="F36" s="18" t="str">
        <f>IFERROR(INDEX('Detalles movimientos'!G$5:G$1000, MATCH(24, 'Detalles movimientos'!$R$5:$R$1000, 0)), "")</f>
        <v/>
      </c>
      <c r="G36" s="20" t="str">
        <f>IFERROR(INDEX('Detalles movimientos'!H$5:H$1000, MATCH(24, 'Detalles movimientos'!$R$5:$R$1000, 0)), "")</f>
        <v/>
      </c>
      <c r="H36" s="21" t="str">
        <f>IFERROR(INDEX('Detalles movimientos'!I$5:I$1000, MATCH(24, 'Detalles movimientos'!$R$5:$R$1000, 0)), "")</f>
        <v/>
      </c>
      <c r="I36" s="20" t="str">
        <f>IFERROR(INDEX('Detalles movimientos'!K$5:K$1000, MATCH(24, 'Detalles movimientos'!$R$5:$R$1000, 0)), "")</f>
        <v/>
      </c>
      <c r="J36" s="19" t="str">
        <f>IFERROR(INDEX('Detalles movimientos'!L$5:L$1000, MATCH(24, 'Detalles movimientos'!$R$5:$R$1000, 0)), "")</f>
        <v/>
      </c>
      <c r="K36" s="20" t="str">
        <f>IFERROR(INDEX('Detalles movimientos'!M$5:M$1000, MATCH(24, 'Detalles movimientos'!$R$5:$R$1000, 0)), "")</f>
        <v/>
      </c>
      <c r="L36" s="18" t="str">
        <f>IFERROR(INDEX('Detalles movimientos'!N$5:N$1000, MATCH(24, 'Detalles movimientos'!$R$5:$R$1000, 0)), "")</f>
        <v/>
      </c>
      <c r="M36" s="18" t="str">
        <f>IFERROR(INDEX('Detalles movimientos'!Q$5:Q$1000, MATCH(24, 'Detalles movimientos'!$R$5:$R$1000, 0)), "")</f>
        <v/>
      </c>
    </row>
    <row r="37" spans="2:13">
      <c r="B37" s="17" t="str">
        <f>IFERROR(INDEX('Detalles movimientos'!C$5:C$1000, MATCH(25, 'Detalles movimientos'!$R$5:$R$1000, 0)), "")</f>
        <v/>
      </c>
      <c r="C37" s="18" t="str">
        <f>IFERROR(INDEX('Detalles movimientos'!D$5:D$1000, MATCH(25, 'Detalles movimientos'!$R$5:$R$1000, 0)), "")</f>
        <v/>
      </c>
      <c r="D37" s="19" t="str">
        <f>IFERROR(INDEX('Detalles movimientos'!E$5:E$1000, MATCH(25, 'Detalles movimientos'!$R$5:$R$1000, 0)), "")</f>
        <v/>
      </c>
      <c r="E37" s="19" t="str">
        <f>IFERROR(INDEX('Detalles movimientos'!F$5:F$1000, MATCH(25, 'Detalles movimientos'!$R$5:$R$1000, 0)), "")</f>
        <v/>
      </c>
      <c r="F37" s="18" t="str">
        <f>IFERROR(INDEX('Detalles movimientos'!G$5:G$1000, MATCH(25, 'Detalles movimientos'!$R$5:$R$1000, 0)), "")</f>
        <v/>
      </c>
      <c r="G37" s="20" t="str">
        <f>IFERROR(INDEX('Detalles movimientos'!H$5:H$1000, MATCH(25, 'Detalles movimientos'!$R$5:$R$1000, 0)), "")</f>
        <v/>
      </c>
      <c r="H37" s="21" t="str">
        <f>IFERROR(INDEX('Detalles movimientos'!I$5:I$1000, MATCH(25, 'Detalles movimientos'!$R$5:$R$1000, 0)), "")</f>
        <v/>
      </c>
      <c r="I37" s="20" t="str">
        <f>IFERROR(INDEX('Detalles movimientos'!K$5:K$1000, MATCH(25, 'Detalles movimientos'!$R$5:$R$1000, 0)), "")</f>
        <v/>
      </c>
      <c r="J37" s="19" t="str">
        <f>IFERROR(INDEX('Detalles movimientos'!L$5:L$1000, MATCH(25, 'Detalles movimientos'!$R$5:$R$1000, 0)), "")</f>
        <v/>
      </c>
      <c r="K37" s="20" t="str">
        <f>IFERROR(INDEX('Detalles movimientos'!M$5:M$1000, MATCH(25, 'Detalles movimientos'!$R$5:$R$1000, 0)), "")</f>
        <v/>
      </c>
      <c r="L37" s="18" t="str">
        <f>IFERROR(INDEX('Detalles movimientos'!N$5:N$1000, MATCH(25, 'Detalles movimientos'!$R$5:$R$1000, 0)), "")</f>
        <v/>
      </c>
      <c r="M37" s="18" t="str">
        <f>IFERROR(INDEX('Detalles movimientos'!Q$5:Q$1000, MATCH(25, 'Detalles movimientos'!$R$5:$R$1000, 0)), "")</f>
        <v/>
      </c>
    </row>
    <row r="38" spans="2:13">
      <c r="B38" s="17" t="str">
        <f>IFERROR(INDEX('Detalles movimientos'!C$5:C$1000, MATCH(26, 'Detalles movimientos'!$R$5:$R$1000, 0)), "")</f>
        <v/>
      </c>
      <c r="C38" s="18" t="str">
        <f>IFERROR(INDEX('Detalles movimientos'!D$5:D$1000, MATCH(26, 'Detalles movimientos'!$R$5:$R$1000, 0)), "")</f>
        <v/>
      </c>
      <c r="D38" s="19" t="str">
        <f>IFERROR(INDEX('Detalles movimientos'!E$5:E$1000, MATCH(26, 'Detalles movimientos'!$R$5:$R$1000, 0)), "")</f>
        <v/>
      </c>
      <c r="E38" s="19" t="str">
        <f>IFERROR(INDEX('Detalles movimientos'!F$5:F$1000, MATCH(26, 'Detalles movimientos'!$R$5:$R$1000, 0)), "")</f>
        <v/>
      </c>
      <c r="F38" s="18" t="str">
        <f>IFERROR(INDEX('Detalles movimientos'!G$5:G$1000, MATCH(26, 'Detalles movimientos'!$R$5:$R$1000, 0)), "")</f>
        <v/>
      </c>
      <c r="G38" s="20" t="str">
        <f>IFERROR(INDEX('Detalles movimientos'!H$5:H$1000, MATCH(26, 'Detalles movimientos'!$R$5:$R$1000, 0)), "")</f>
        <v/>
      </c>
      <c r="H38" s="21" t="str">
        <f>IFERROR(INDEX('Detalles movimientos'!I$5:I$1000, MATCH(26, 'Detalles movimientos'!$R$5:$R$1000, 0)), "")</f>
        <v/>
      </c>
      <c r="I38" s="20" t="str">
        <f>IFERROR(INDEX('Detalles movimientos'!K$5:K$1000, MATCH(26, 'Detalles movimientos'!$R$5:$R$1000, 0)), "")</f>
        <v/>
      </c>
      <c r="J38" s="19" t="str">
        <f>IFERROR(INDEX('Detalles movimientos'!L$5:L$1000, MATCH(26, 'Detalles movimientos'!$R$5:$R$1000, 0)), "")</f>
        <v/>
      </c>
      <c r="K38" s="20" t="str">
        <f>IFERROR(INDEX('Detalles movimientos'!M$5:M$1000, MATCH(26, 'Detalles movimientos'!$R$5:$R$1000, 0)), "")</f>
        <v/>
      </c>
      <c r="L38" s="18" t="str">
        <f>IFERROR(INDEX('Detalles movimientos'!N$5:N$1000, MATCH(26, 'Detalles movimientos'!$R$5:$R$1000, 0)), "")</f>
        <v/>
      </c>
      <c r="M38" s="18" t="str">
        <f>IFERROR(INDEX('Detalles movimientos'!Q$5:Q$1000, MATCH(26, 'Detalles movimientos'!$R$5:$R$1000, 0)), "")</f>
        <v/>
      </c>
    </row>
    <row r="39" spans="2:13">
      <c r="B39" s="17" t="str">
        <f>IFERROR(INDEX('Detalles movimientos'!C$5:C$1000, MATCH(27, 'Detalles movimientos'!$R$5:$R$1000, 0)), "")</f>
        <v/>
      </c>
      <c r="C39" s="18" t="str">
        <f>IFERROR(INDEX('Detalles movimientos'!D$5:D$1000, MATCH(27, 'Detalles movimientos'!$R$5:$R$1000, 0)), "")</f>
        <v/>
      </c>
      <c r="D39" s="19" t="str">
        <f>IFERROR(INDEX('Detalles movimientos'!E$5:E$1000, MATCH(27, 'Detalles movimientos'!$R$5:$R$1000, 0)), "")</f>
        <v/>
      </c>
      <c r="E39" s="19" t="str">
        <f>IFERROR(INDEX('Detalles movimientos'!F$5:F$1000, MATCH(27, 'Detalles movimientos'!$R$5:$R$1000, 0)), "")</f>
        <v/>
      </c>
      <c r="F39" s="18" t="str">
        <f>IFERROR(INDEX('Detalles movimientos'!G$5:G$1000, MATCH(27, 'Detalles movimientos'!$R$5:$R$1000, 0)), "")</f>
        <v/>
      </c>
      <c r="G39" s="20" t="str">
        <f>IFERROR(INDEX('Detalles movimientos'!H$5:H$1000, MATCH(27, 'Detalles movimientos'!$R$5:$R$1000, 0)), "")</f>
        <v/>
      </c>
      <c r="H39" s="21" t="str">
        <f>IFERROR(INDEX('Detalles movimientos'!I$5:I$1000, MATCH(27, 'Detalles movimientos'!$R$5:$R$1000, 0)), "")</f>
        <v/>
      </c>
      <c r="I39" s="20" t="str">
        <f>IFERROR(INDEX('Detalles movimientos'!K$5:K$1000, MATCH(27, 'Detalles movimientos'!$R$5:$R$1000, 0)), "")</f>
        <v/>
      </c>
      <c r="J39" s="19" t="str">
        <f>IFERROR(INDEX('Detalles movimientos'!L$5:L$1000, MATCH(27, 'Detalles movimientos'!$R$5:$R$1000, 0)), "")</f>
        <v/>
      </c>
      <c r="K39" s="20" t="str">
        <f>IFERROR(INDEX('Detalles movimientos'!M$5:M$1000, MATCH(27, 'Detalles movimientos'!$R$5:$R$1000, 0)), "")</f>
        <v/>
      </c>
      <c r="L39" s="18" t="str">
        <f>IFERROR(INDEX('Detalles movimientos'!N$5:N$1000, MATCH(27, 'Detalles movimientos'!$R$5:$R$1000, 0)), "")</f>
        <v/>
      </c>
      <c r="M39" s="18" t="str">
        <f>IFERROR(INDEX('Detalles movimientos'!Q$5:Q$1000, MATCH(27, 'Detalles movimientos'!$R$5:$R$1000, 0)), "")</f>
        <v/>
      </c>
    </row>
    <row r="40" spans="2:13">
      <c r="B40" s="17" t="str">
        <f>IFERROR(INDEX('Detalles movimientos'!C$5:C$1000, MATCH(28, 'Detalles movimientos'!$R$5:$R$1000, 0)), "")</f>
        <v/>
      </c>
      <c r="C40" s="18" t="str">
        <f>IFERROR(INDEX('Detalles movimientos'!D$5:D$1000, MATCH(28, 'Detalles movimientos'!$R$5:$R$1000, 0)), "")</f>
        <v/>
      </c>
      <c r="D40" s="19" t="str">
        <f>IFERROR(INDEX('Detalles movimientos'!E$5:E$1000, MATCH(28, 'Detalles movimientos'!$R$5:$R$1000, 0)), "")</f>
        <v/>
      </c>
      <c r="E40" s="19" t="str">
        <f>IFERROR(INDEX('Detalles movimientos'!F$5:F$1000, MATCH(28, 'Detalles movimientos'!$R$5:$R$1000, 0)), "")</f>
        <v/>
      </c>
      <c r="F40" s="18" t="str">
        <f>IFERROR(INDEX('Detalles movimientos'!G$5:G$1000, MATCH(28, 'Detalles movimientos'!$R$5:$R$1000, 0)), "")</f>
        <v/>
      </c>
      <c r="G40" s="20" t="str">
        <f>IFERROR(INDEX('Detalles movimientos'!H$5:H$1000, MATCH(28, 'Detalles movimientos'!$R$5:$R$1000, 0)), "")</f>
        <v/>
      </c>
      <c r="H40" s="21" t="str">
        <f>IFERROR(INDEX('Detalles movimientos'!I$5:I$1000, MATCH(28, 'Detalles movimientos'!$R$5:$R$1000, 0)), "")</f>
        <v/>
      </c>
      <c r="I40" s="20" t="str">
        <f>IFERROR(INDEX('Detalles movimientos'!K$5:K$1000, MATCH(28, 'Detalles movimientos'!$R$5:$R$1000, 0)), "")</f>
        <v/>
      </c>
      <c r="J40" s="19" t="str">
        <f>IFERROR(INDEX('Detalles movimientos'!L$5:L$1000, MATCH(28, 'Detalles movimientos'!$R$5:$R$1000, 0)), "")</f>
        <v/>
      </c>
      <c r="K40" s="20" t="str">
        <f>IFERROR(INDEX('Detalles movimientos'!M$5:M$1000, MATCH(28, 'Detalles movimientos'!$R$5:$R$1000, 0)), "")</f>
        <v/>
      </c>
      <c r="L40" s="18" t="str">
        <f>IFERROR(INDEX('Detalles movimientos'!N$5:N$1000, MATCH(28, 'Detalles movimientos'!$R$5:$R$1000, 0)), "")</f>
        <v/>
      </c>
      <c r="M40" s="18" t="str">
        <f>IFERROR(INDEX('Detalles movimientos'!Q$5:Q$1000, MATCH(28, 'Detalles movimientos'!$R$5:$R$1000, 0)), "")</f>
        <v/>
      </c>
    </row>
    <row r="41" spans="2:13">
      <c r="B41" s="17" t="str">
        <f>IFERROR(INDEX('Detalles movimientos'!C$5:C$1000, MATCH(29, 'Detalles movimientos'!$R$5:$R$1000, 0)), "")</f>
        <v/>
      </c>
      <c r="C41" s="18" t="str">
        <f>IFERROR(INDEX('Detalles movimientos'!D$5:D$1000, MATCH(29, 'Detalles movimientos'!$R$5:$R$1000, 0)), "")</f>
        <v/>
      </c>
      <c r="D41" s="19" t="str">
        <f>IFERROR(INDEX('Detalles movimientos'!E$5:E$1000, MATCH(29, 'Detalles movimientos'!$R$5:$R$1000, 0)), "")</f>
        <v/>
      </c>
      <c r="E41" s="19" t="str">
        <f>IFERROR(INDEX('Detalles movimientos'!F$5:F$1000, MATCH(29, 'Detalles movimientos'!$R$5:$R$1000, 0)), "")</f>
        <v/>
      </c>
      <c r="F41" s="18" t="str">
        <f>IFERROR(INDEX('Detalles movimientos'!G$5:G$1000, MATCH(29, 'Detalles movimientos'!$R$5:$R$1000, 0)), "")</f>
        <v/>
      </c>
      <c r="G41" s="20" t="str">
        <f>IFERROR(INDEX('Detalles movimientos'!H$5:H$1000, MATCH(29, 'Detalles movimientos'!$R$5:$R$1000, 0)), "")</f>
        <v/>
      </c>
      <c r="H41" s="21" t="str">
        <f>IFERROR(INDEX('Detalles movimientos'!I$5:I$1000, MATCH(29, 'Detalles movimientos'!$R$5:$R$1000, 0)), "")</f>
        <v/>
      </c>
      <c r="I41" s="20" t="str">
        <f>IFERROR(INDEX('Detalles movimientos'!K$5:K$1000, MATCH(29, 'Detalles movimientos'!$R$5:$R$1000, 0)), "")</f>
        <v/>
      </c>
      <c r="J41" s="19" t="str">
        <f>IFERROR(INDEX('Detalles movimientos'!L$5:L$1000, MATCH(29, 'Detalles movimientos'!$R$5:$R$1000, 0)), "")</f>
        <v/>
      </c>
      <c r="K41" s="20" t="str">
        <f>IFERROR(INDEX('Detalles movimientos'!M$5:M$1000, MATCH(29, 'Detalles movimientos'!$R$5:$R$1000, 0)), "")</f>
        <v/>
      </c>
      <c r="L41" s="18" t="str">
        <f>IFERROR(INDEX('Detalles movimientos'!N$5:N$1000, MATCH(29, 'Detalles movimientos'!$R$5:$R$1000, 0)), "")</f>
        <v/>
      </c>
      <c r="M41" s="18" t="str">
        <f>IFERROR(INDEX('Detalles movimientos'!Q$5:Q$1000, MATCH(29, 'Detalles movimientos'!$R$5:$R$1000, 0)), "")</f>
        <v/>
      </c>
    </row>
    <row r="42" spans="2:13">
      <c r="B42" s="17" t="str">
        <f>IFERROR(INDEX('Detalles movimientos'!C$5:C$1000, MATCH(30, 'Detalles movimientos'!$R$5:$R$1000, 0)), "")</f>
        <v/>
      </c>
      <c r="C42" s="18" t="str">
        <f>IFERROR(INDEX('Detalles movimientos'!D$5:D$1000, MATCH(30, 'Detalles movimientos'!$R$5:$R$1000, 0)), "")</f>
        <v/>
      </c>
      <c r="D42" s="19" t="str">
        <f>IFERROR(INDEX('Detalles movimientos'!E$5:E$1000, MATCH(30, 'Detalles movimientos'!$R$5:$R$1000, 0)), "")</f>
        <v/>
      </c>
      <c r="E42" s="19" t="str">
        <f>IFERROR(INDEX('Detalles movimientos'!F$5:F$1000, MATCH(30, 'Detalles movimientos'!$R$5:$R$1000, 0)), "")</f>
        <v/>
      </c>
      <c r="F42" s="18" t="str">
        <f>IFERROR(INDEX('Detalles movimientos'!G$5:G$1000, MATCH(30, 'Detalles movimientos'!$R$5:$R$1000, 0)), "")</f>
        <v/>
      </c>
      <c r="G42" s="20" t="str">
        <f>IFERROR(INDEX('Detalles movimientos'!H$5:H$1000, MATCH(30, 'Detalles movimientos'!$R$5:$R$1000, 0)), "")</f>
        <v/>
      </c>
      <c r="H42" s="21" t="str">
        <f>IFERROR(INDEX('Detalles movimientos'!I$5:I$1000, MATCH(30, 'Detalles movimientos'!$R$5:$R$1000, 0)), "")</f>
        <v/>
      </c>
      <c r="I42" s="20" t="str">
        <f>IFERROR(INDEX('Detalles movimientos'!K$5:K$1000, MATCH(30, 'Detalles movimientos'!$R$5:$R$1000, 0)), "")</f>
        <v/>
      </c>
      <c r="J42" s="19" t="str">
        <f>IFERROR(INDEX('Detalles movimientos'!L$5:L$1000, MATCH(30, 'Detalles movimientos'!$R$5:$R$1000, 0)), "")</f>
        <v/>
      </c>
      <c r="K42" s="20" t="str">
        <f>IFERROR(INDEX('Detalles movimientos'!M$5:M$1000, MATCH(30, 'Detalles movimientos'!$R$5:$R$1000, 0)), "")</f>
        <v/>
      </c>
      <c r="L42" s="18" t="str">
        <f>IFERROR(INDEX('Detalles movimientos'!N$5:N$1000, MATCH(30, 'Detalles movimientos'!$R$5:$R$1000, 0)), "")</f>
        <v/>
      </c>
      <c r="M42" s="18" t="str">
        <f>IFERROR(INDEX('Detalles movimientos'!Q$5:Q$1000, MATCH(30, 'Detalles movimientos'!$R$5:$R$1000, 0)), "")</f>
        <v/>
      </c>
    </row>
    <row r="43" spans="2:13">
      <c r="B43" s="17" t="str">
        <f>IFERROR(INDEX('Detalles movimientos'!C$5:C$1000, MATCH(31, 'Detalles movimientos'!$R$5:$R$1000, 0)), "")</f>
        <v/>
      </c>
      <c r="C43" s="18" t="str">
        <f>IFERROR(INDEX('Detalles movimientos'!D$5:D$1000, MATCH(31, 'Detalles movimientos'!$R$5:$R$1000, 0)), "")</f>
        <v/>
      </c>
      <c r="D43" s="19" t="str">
        <f>IFERROR(INDEX('Detalles movimientos'!E$5:E$1000, MATCH(31, 'Detalles movimientos'!$R$5:$R$1000, 0)), "")</f>
        <v/>
      </c>
      <c r="E43" s="19" t="str">
        <f>IFERROR(INDEX('Detalles movimientos'!F$5:F$1000, MATCH(31, 'Detalles movimientos'!$R$5:$R$1000, 0)), "")</f>
        <v/>
      </c>
      <c r="F43" s="18" t="str">
        <f>IFERROR(INDEX('Detalles movimientos'!G$5:G$1000, MATCH(31, 'Detalles movimientos'!$R$5:$R$1000, 0)), "")</f>
        <v/>
      </c>
      <c r="G43" s="20" t="str">
        <f>IFERROR(INDEX('Detalles movimientos'!H$5:H$1000, MATCH(31, 'Detalles movimientos'!$R$5:$R$1000, 0)), "")</f>
        <v/>
      </c>
      <c r="H43" s="21" t="str">
        <f>IFERROR(INDEX('Detalles movimientos'!I$5:I$1000, MATCH(31, 'Detalles movimientos'!$R$5:$R$1000, 0)), "")</f>
        <v/>
      </c>
      <c r="I43" s="20" t="str">
        <f>IFERROR(INDEX('Detalles movimientos'!K$5:K$1000, MATCH(31, 'Detalles movimientos'!$R$5:$R$1000, 0)), "")</f>
        <v/>
      </c>
      <c r="J43" s="19" t="str">
        <f>IFERROR(INDEX('Detalles movimientos'!L$5:L$1000, MATCH(31, 'Detalles movimientos'!$R$5:$R$1000, 0)), "")</f>
        <v/>
      </c>
      <c r="K43" s="20" t="str">
        <f>IFERROR(INDEX('Detalles movimientos'!M$5:M$1000, MATCH(31, 'Detalles movimientos'!$R$5:$R$1000, 0)), "")</f>
        <v/>
      </c>
      <c r="L43" s="18" t="str">
        <f>IFERROR(INDEX('Detalles movimientos'!N$5:N$1000, MATCH(31, 'Detalles movimientos'!$R$5:$R$1000, 0)), "")</f>
        <v/>
      </c>
      <c r="M43" s="18" t="str">
        <f>IFERROR(INDEX('Detalles movimientos'!Q$5:Q$1000, MATCH(31, 'Detalles movimientos'!$R$5:$R$1000, 0)), "")</f>
        <v/>
      </c>
    </row>
    <row r="44" spans="2:13">
      <c r="B44" s="17" t="str">
        <f>IFERROR(INDEX('Detalles movimientos'!C$5:C$1000, MATCH(32, 'Detalles movimientos'!$R$5:$R$1000, 0)), "")</f>
        <v/>
      </c>
      <c r="C44" s="18" t="str">
        <f>IFERROR(INDEX('Detalles movimientos'!D$5:D$1000, MATCH(32, 'Detalles movimientos'!$R$5:$R$1000, 0)), "")</f>
        <v/>
      </c>
      <c r="D44" s="19" t="str">
        <f>IFERROR(INDEX('Detalles movimientos'!E$5:E$1000, MATCH(32, 'Detalles movimientos'!$R$5:$R$1000, 0)), "")</f>
        <v/>
      </c>
      <c r="E44" s="19" t="str">
        <f>IFERROR(INDEX('Detalles movimientos'!F$5:F$1000, MATCH(32, 'Detalles movimientos'!$R$5:$R$1000, 0)), "")</f>
        <v/>
      </c>
      <c r="F44" s="18" t="str">
        <f>IFERROR(INDEX('Detalles movimientos'!G$5:G$1000, MATCH(32, 'Detalles movimientos'!$R$5:$R$1000, 0)), "")</f>
        <v/>
      </c>
      <c r="G44" s="20" t="str">
        <f>IFERROR(INDEX('Detalles movimientos'!H$5:H$1000, MATCH(32, 'Detalles movimientos'!$R$5:$R$1000, 0)), "")</f>
        <v/>
      </c>
      <c r="H44" s="21" t="str">
        <f>IFERROR(INDEX('Detalles movimientos'!I$5:I$1000, MATCH(32, 'Detalles movimientos'!$R$5:$R$1000, 0)), "")</f>
        <v/>
      </c>
      <c r="I44" s="20" t="str">
        <f>IFERROR(INDEX('Detalles movimientos'!K$5:K$1000, MATCH(32, 'Detalles movimientos'!$R$5:$R$1000, 0)), "")</f>
        <v/>
      </c>
      <c r="J44" s="19" t="str">
        <f>IFERROR(INDEX('Detalles movimientos'!L$5:L$1000, MATCH(32, 'Detalles movimientos'!$R$5:$R$1000, 0)), "")</f>
        <v/>
      </c>
      <c r="K44" s="20" t="str">
        <f>IFERROR(INDEX('Detalles movimientos'!M$5:M$1000, MATCH(32, 'Detalles movimientos'!$R$5:$R$1000, 0)), "")</f>
        <v/>
      </c>
      <c r="L44" s="18" t="str">
        <f>IFERROR(INDEX('Detalles movimientos'!N$5:N$1000, MATCH(32, 'Detalles movimientos'!$R$5:$R$1000, 0)), "")</f>
        <v/>
      </c>
      <c r="M44" s="18" t="str">
        <f>IFERROR(INDEX('Detalles movimientos'!Q$5:Q$1000, MATCH(32, 'Detalles movimientos'!$R$5:$R$1000, 0)), "")</f>
        <v/>
      </c>
    </row>
    <row r="45" spans="2:13">
      <c r="B45" s="17" t="str">
        <f>IFERROR(INDEX('Detalles movimientos'!C$5:C$1000, MATCH(33, 'Detalles movimientos'!$R$5:$R$1000, 0)), "")</f>
        <v/>
      </c>
      <c r="C45" s="18" t="str">
        <f>IFERROR(INDEX('Detalles movimientos'!D$5:D$1000, MATCH(33, 'Detalles movimientos'!$R$5:$R$1000, 0)), "")</f>
        <v/>
      </c>
      <c r="D45" s="19" t="str">
        <f>IFERROR(INDEX('Detalles movimientos'!E$5:E$1000, MATCH(33, 'Detalles movimientos'!$R$5:$R$1000, 0)), "")</f>
        <v/>
      </c>
      <c r="E45" s="19" t="str">
        <f>IFERROR(INDEX('Detalles movimientos'!F$5:F$1000, MATCH(33, 'Detalles movimientos'!$R$5:$R$1000, 0)), "")</f>
        <v/>
      </c>
      <c r="F45" s="18" t="str">
        <f>IFERROR(INDEX('Detalles movimientos'!G$5:G$1000, MATCH(33, 'Detalles movimientos'!$R$5:$R$1000, 0)), "")</f>
        <v/>
      </c>
      <c r="G45" s="20" t="str">
        <f>IFERROR(INDEX('Detalles movimientos'!H$5:H$1000, MATCH(33, 'Detalles movimientos'!$R$5:$R$1000, 0)), "")</f>
        <v/>
      </c>
      <c r="H45" s="21" t="str">
        <f>IFERROR(INDEX('Detalles movimientos'!I$5:I$1000, MATCH(33, 'Detalles movimientos'!$R$5:$R$1000, 0)), "")</f>
        <v/>
      </c>
      <c r="I45" s="20" t="str">
        <f>IFERROR(INDEX('Detalles movimientos'!K$5:K$1000, MATCH(33, 'Detalles movimientos'!$R$5:$R$1000, 0)), "")</f>
        <v/>
      </c>
      <c r="J45" s="19" t="str">
        <f>IFERROR(INDEX('Detalles movimientos'!L$5:L$1000, MATCH(33, 'Detalles movimientos'!$R$5:$R$1000, 0)), "")</f>
        <v/>
      </c>
      <c r="K45" s="20" t="str">
        <f>IFERROR(INDEX('Detalles movimientos'!M$5:M$1000, MATCH(33, 'Detalles movimientos'!$R$5:$R$1000, 0)), "")</f>
        <v/>
      </c>
      <c r="L45" s="18" t="str">
        <f>IFERROR(INDEX('Detalles movimientos'!N$5:N$1000, MATCH(33, 'Detalles movimientos'!$R$5:$R$1000, 0)), "")</f>
        <v/>
      </c>
      <c r="M45" s="18" t="str">
        <f>IFERROR(INDEX('Detalles movimientos'!Q$5:Q$1000, MATCH(33, 'Detalles movimientos'!$R$5:$R$1000, 0)), "")</f>
        <v/>
      </c>
    </row>
    <row r="46" spans="2:13">
      <c r="B46" s="17" t="str">
        <f>IFERROR(INDEX('Detalles movimientos'!C$5:C$1000, MATCH(34, 'Detalles movimientos'!$R$5:$R$1000, 0)), "")</f>
        <v/>
      </c>
      <c r="C46" s="18" t="str">
        <f>IFERROR(INDEX('Detalles movimientos'!D$5:D$1000, MATCH(34, 'Detalles movimientos'!$R$5:$R$1000, 0)), "")</f>
        <v/>
      </c>
      <c r="D46" s="19" t="str">
        <f>IFERROR(INDEX('Detalles movimientos'!E$5:E$1000, MATCH(34, 'Detalles movimientos'!$R$5:$R$1000, 0)), "")</f>
        <v/>
      </c>
      <c r="E46" s="19" t="str">
        <f>IFERROR(INDEX('Detalles movimientos'!F$5:F$1000, MATCH(34, 'Detalles movimientos'!$R$5:$R$1000, 0)), "")</f>
        <v/>
      </c>
      <c r="F46" s="18" t="str">
        <f>IFERROR(INDEX('Detalles movimientos'!G$5:G$1000, MATCH(34, 'Detalles movimientos'!$R$5:$R$1000, 0)), "")</f>
        <v/>
      </c>
      <c r="G46" s="20" t="str">
        <f>IFERROR(INDEX('Detalles movimientos'!H$5:H$1000, MATCH(34, 'Detalles movimientos'!$R$5:$R$1000, 0)), "")</f>
        <v/>
      </c>
      <c r="H46" s="21" t="str">
        <f>IFERROR(INDEX('Detalles movimientos'!I$5:I$1000, MATCH(34, 'Detalles movimientos'!$R$5:$R$1000, 0)), "")</f>
        <v/>
      </c>
      <c r="I46" s="20" t="str">
        <f>IFERROR(INDEX('Detalles movimientos'!K$5:K$1000, MATCH(34, 'Detalles movimientos'!$R$5:$R$1000, 0)), "")</f>
        <v/>
      </c>
      <c r="J46" s="19" t="str">
        <f>IFERROR(INDEX('Detalles movimientos'!L$5:L$1000, MATCH(34, 'Detalles movimientos'!$R$5:$R$1000, 0)), "")</f>
        <v/>
      </c>
      <c r="K46" s="20" t="str">
        <f>IFERROR(INDEX('Detalles movimientos'!M$5:M$1000, MATCH(34, 'Detalles movimientos'!$R$5:$R$1000, 0)), "")</f>
        <v/>
      </c>
      <c r="L46" s="18" t="str">
        <f>IFERROR(INDEX('Detalles movimientos'!N$5:N$1000, MATCH(34, 'Detalles movimientos'!$R$5:$R$1000, 0)), "")</f>
        <v/>
      </c>
      <c r="M46" s="18" t="str">
        <f>IFERROR(INDEX('Detalles movimientos'!Q$5:Q$1000, MATCH(34, 'Detalles movimientos'!$R$5:$R$1000, 0)), "")</f>
        <v/>
      </c>
    </row>
    <row r="47" spans="2:13">
      <c r="B47" s="17" t="str">
        <f>IFERROR(INDEX('Detalles movimientos'!C$5:C$1000, MATCH(35, 'Detalles movimientos'!$R$5:$R$1000, 0)), "")</f>
        <v/>
      </c>
      <c r="C47" s="18" t="str">
        <f>IFERROR(INDEX('Detalles movimientos'!D$5:D$1000, MATCH(35, 'Detalles movimientos'!$R$5:$R$1000, 0)), "")</f>
        <v/>
      </c>
      <c r="D47" s="19" t="str">
        <f>IFERROR(INDEX('Detalles movimientos'!E$5:E$1000, MATCH(35, 'Detalles movimientos'!$R$5:$R$1000, 0)), "")</f>
        <v/>
      </c>
      <c r="E47" s="19" t="str">
        <f>IFERROR(INDEX('Detalles movimientos'!F$5:F$1000, MATCH(35, 'Detalles movimientos'!$R$5:$R$1000, 0)), "")</f>
        <v/>
      </c>
      <c r="F47" s="18" t="str">
        <f>IFERROR(INDEX('Detalles movimientos'!G$5:G$1000, MATCH(35, 'Detalles movimientos'!$R$5:$R$1000, 0)), "")</f>
        <v/>
      </c>
      <c r="G47" s="20" t="str">
        <f>IFERROR(INDEX('Detalles movimientos'!H$5:H$1000, MATCH(35, 'Detalles movimientos'!$R$5:$R$1000, 0)), "")</f>
        <v/>
      </c>
      <c r="H47" s="21" t="str">
        <f>IFERROR(INDEX('Detalles movimientos'!I$5:I$1000, MATCH(35, 'Detalles movimientos'!$R$5:$R$1000, 0)), "")</f>
        <v/>
      </c>
      <c r="I47" s="20" t="str">
        <f>IFERROR(INDEX('Detalles movimientos'!K$5:K$1000, MATCH(35, 'Detalles movimientos'!$R$5:$R$1000, 0)), "")</f>
        <v/>
      </c>
      <c r="J47" s="19" t="str">
        <f>IFERROR(INDEX('Detalles movimientos'!L$5:L$1000, MATCH(35, 'Detalles movimientos'!$R$5:$R$1000, 0)), "")</f>
        <v/>
      </c>
      <c r="K47" s="20" t="str">
        <f>IFERROR(INDEX('Detalles movimientos'!M$5:M$1000, MATCH(35, 'Detalles movimientos'!$R$5:$R$1000, 0)), "")</f>
        <v/>
      </c>
      <c r="L47" s="18" t="str">
        <f>IFERROR(INDEX('Detalles movimientos'!N$5:N$1000, MATCH(35, 'Detalles movimientos'!$R$5:$R$1000, 0)), "")</f>
        <v/>
      </c>
      <c r="M47" s="18" t="str">
        <f>IFERROR(INDEX('Detalles movimientos'!Q$5:Q$1000, MATCH(35, 'Detalles movimientos'!$R$5:$R$1000, 0)), "")</f>
        <v/>
      </c>
    </row>
    <row r="48" spans="2:13">
      <c r="B48" s="17" t="str">
        <f>IFERROR(INDEX('Detalles movimientos'!C$5:C$1000, MATCH(36, 'Detalles movimientos'!$R$5:$R$1000, 0)), "")</f>
        <v/>
      </c>
      <c r="C48" s="18" t="str">
        <f>IFERROR(INDEX('Detalles movimientos'!D$5:D$1000, MATCH(36, 'Detalles movimientos'!$R$5:$R$1000, 0)), "")</f>
        <v/>
      </c>
      <c r="D48" s="19" t="str">
        <f>IFERROR(INDEX('Detalles movimientos'!E$5:E$1000, MATCH(36, 'Detalles movimientos'!$R$5:$R$1000, 0)), "")</f>
        <v/>
      </c>
      <c r="E48" s="19" t="str">
        <f>IFERROR(INDEX('Detalles movimientos'!F$5:F$1000, MATCH(36, 'Detalles movimientos'!$R$5:$R$1000, 0)), "")</f>
        <v/>
      </c>
      <c r="F48" s="18" t="str">
        <f>IFERROR(INDEX('Detalles movimientos'!G$5:G$1000, MATCH(36, 'Detalles movimientos'!$R$5:$R$1000, 0)), "")</f>
        <v/>
      </c>
      <c r="G48" s="20" t="str">
        <f>IFERROR(INDEX('Detalles movimientos'!H$5:H$1000, MATCH(36, 'Detalles movimientos'!$R$5:$R$1000, 0)), "")</f>
        <v/>
      </c>
      <c r="H48" s="21" t="str">
        <f>IFERROR(INDEX('Detalles movimientos'!I$5:I$1000, MATCH(36, 'Detalles movimientos'!$R$5:$R$1000, 0)), "")</f>
        <v/>
      </c>
      <c r="I48" s="20" t="str">
        <f>IFERROR(INDEX('Detalles movimientos'!K$5:K$1000, MATCH(36, 'Detalles movimientos'!$R$5:$R$1000, 0)), "")</f>
        <v/>
      </c>
      <c r="J48" s="19" t="str">
        <f>IFERROR(INDEX('Detalles movimientos'!L$5:L$1000, MATCH(36, 'Detalles movimientos'!$R$5:$R$1000, 0)), "")</f>
        <v/>
      </c>
      <c r="K48" s="20" t="str">
        <f>IFERROR(INDEX('Detalles movimientos'!M$5:M$1000, MATCH(36, 'Detalles movimientos'!$R$5:$R$1000, 0)), "")</f>
        <v/>
      </c>
      <c r="L48" s="18" t="str">
        <f>IFERROR(INDEX('Detalles movimientos'!N$5:N$1000, MATCH(36, 'Detalles movimientos'!$R$5:$R$1000, 0)), "")</f>
        <v/>
      </c>
      <c r="M48" s="18" t="str">
        <f>IFERROR(INDEX('Detalles movimientos'!Q$5:Q$1000, MATCH(36, 'Detalles movimientos'!$R$5:$R$1000, 0)), "")</f>
        <v/>
      </c>
    </row>
    <row r="49" spans="2:13">
      <c r="B49" s="17" t="str">
        <f>IFERROR(INDEX('Detalles movimientos'!C$5:C$1000, MATCH(37, 'Detalles movimientos'!$R$5:$R$1000, 0)), "")</f>
        <v/>
      </c>
      <c r="C49" s="18" t="str">
        <f>IFERROR(INDEX('Detalles movimientos'!D$5:D$1000, MATCH(37, 'Detalles movimientos'!$R$5:$R$1000, 0)), "")</f>
        <v/>
      </c>
      <c r="D49" s="19" t="str">
        <f>IFERROR(INDEX('Detalles movimientos'!E$5:E$1000, MATCH(37, 'Detalles movimientos'!$R$5:$R$1000, 0)), "")</f>
        <v/>
      </c>
      <c r="E49" s="19" t="str">
        <f>IFERROR(INDEX('Detalles movimientos'!F$5:F$1000, MATCH(37, 'Detalles movimientos'!$R$5:$R$1000, 0)), "")</f>
        <v/>
      </c>
      <c r="F49" s="18" t="str">
        <f>IFERROR(INDEX('Detalles movimientos'!G$5:G$1000, MATCH(37, 'Detalles movimientos'!$R$5:$R$1000, 0)), "")</f>
        <v/>
      </c>
      <c r="G49" s="20" t="str">
        <f>IFERROR(INDEX('Detalles movimientos'!H$5:H$1000, MATCH(37, 'Detalles movimientos'!$R$5:$R$1000, 0)), "")</f>
        <v/>
      </c>
      <c r="H49" s="21" t="str">
        <f>IFERROR(INDEX('Detalles movimientos'!I$5:I$1000, MATCH(37, 'Detalles movimientos'!$R$5:$R$1000, 0)), "")</f>
        <v/>
      </c>
      <c r="I49" s="20" t="str">
        <f>IFERROR(INDEX('Detalles movimientos'!K$5:K$1000, MATCH(37, 'Detalles movimientos'!$R$5:$R$1000, 0)), "")</f>
        <v/>
      </c>
      <c r="J49" s="19" t="str">
        <f>IFERROR(INDEX('Detalles movimientos'!L$5:L$1000, MATCH(37, 'Detalles movimientos'!$R$5:$R$1000, 0)), "")</f>
        <v/>
      </c>
      <c r="K49" s="20" t="str">
        <f>IFERROR(INDEX('Detalles movimientos'!M$5:M$1000, MATCH(37, 'Detalles movimientos'!$R$5:$R$1000, 0)), "")</f>
        <v/>
      </c>
      <c r="L49" s="18" t="str">
        <f>IFERROR(INDEX('Detalles movimientos'!N$5:N$1000, MATCH(37, 'Detalles movimientos'!$R$5:$R$1000, 0)), "")</f>
        <v/>
      </c>
      <c r="M49" s="18" t="str">
        <f>IFERROR(INDEX('Detalles movimientos'!Q$5:Q$1000, MATCH(37, 'Detalles movimientos'!$R$5:$R$1000, 0)), "")</f>
        <v/>
      </c>
    </row>
    <row r="50" spans="2:13">
      <c r="B50" s="17" t="str">
        <f>IFERROR(INDEX('Detalles movimientos'!C$5:C$1000, MATCH(38, 'Detalles movimientos'!$R$5:$R$1000, 0)), "")</f>
        <v/>
      </c>
      <c r="C50" s="18" t="str">
        <f>IFERROR(INDEX('Detalles movimientos'!D$5:D$1000, MATCH(38, 'Detalles movimientos'!$R$5:$R$1000, 0)), "")</f>
        <v/>
      </c>
      <c r="D50" s="19" t="str">
        <f>IFERROR(INDEX('Detalles movimientos'!E$5:E$1000, MATCH(38, 'Detalles movimientos'!$R$5:$R$1000, 0)), "")</f>
        <v/>
      </c>
      <c r="E50" s="19" t="str">
        <f>IFERROR(INDEX('Detalles movimientos'!F$5:F$1000, MATCH(38, 'Detalles movimientos'!$R$5:$R$1000, 0)), "")</f>
        <v/>
      </c>
      <c r="F50" s="18" t="str">
        <f>IFERROR(INDEX('Detalles movimientos'!G$5:G$1000, MATCH(38, 'Detalles movimientos'!$R$5:$R$1000, 0)), "")</f>
        <v/>
      </c>
      <c r="G50" s="20" t="str">
        <f>IFERROR(INDEX('Detalles movimientos'!H$5:H$1000, MATCH(38, 'Detalles movimientos'!$R$5:$R$1000, 0)), "")</f>
        <v/>
      </c>
      <c r="H50" s="21" t="str">
        <f>IFERROR(INDEX('Detalles movimientos'!I$5:I$1000, MATCH(38, 'Detalles movimientos'!$R$5:$R$1000, 0)), "")</f>
        <v/>
      </c>
      <c r="I50" s="20" t="str">
        <f>IFERROR(INDEX('Detalles movimientos'!K$5:K$1000, MATCH(38, 'Detalles movimientos'!$R$5:$R$1000, 0)), "")</f>
        <v/>
      </c>
      <c r="J50" s="19" t="str">
        <f>IFERROR(INDEX('Detalles movimientos'!L$5:L$1000, MATCH(38, 'Detalles movimientos'!$R$5:$R$1000, 0)), "")</f>
        <v/>
      </c>
      <c r="K50" s="20" t="str">
        <f>IFERROR(INDEX('Detalles movimientos'!M$5:M$1000, MATCH(38, 'Detalles movimientos'!$R$5:$R$1000, 0)), "")</f>
        <v/>
      </c>
      <c r="L50" s="18" t="str">
        <f>IFERROR(INDEX('Detalles movimientos'!N$5:N$1000, MATCH(38, 'Detalles movimientos'!$R$5:$R$1000, 0)), "")</f>
        <v/>
      </c>
      <c r="M50" s="18" t="str">
        <f>IFERROR(INDEX('Detalles movimientos'!Q$5:Q$1000, MATCH(38, 'Detalles movimientos'!$R$5:$R$1000, 0)), "")</f>
        <v/>
      </c>
    </row>
    <row r="51" spans="2:13">
      <c r="B51" s="17" t="str">
        <f>IFERROR(INDEX('Detalles movimientos'!C$5:C$1000, MATCH(39, 'Detalles movimientos'!$R$5:$R$1000, 0)), "")</f>
        <v/>
      </c>
      <c r="C51" s="18" t="str">
        <f>IFERROR(INDEX('Detalles movimientos'!D$5:D$1000, MATCH(39, 'Detalles movimientos'!$R$5:$R$1000, 0)), "")</f>
        <v/>
      </c>
      <c r="D51" s="19" t="str">
        <f>IFERROR(INDEX('Detalles movimientos'!E$5:E$1000, MATCH(39, 'Detalles movimientos'!$R$5:$R$1000, 0)), "")</f>
        <v/>
      </c>
      <c r="E51" s="19" t="str">
        <f>IFERROR(INDEX('Detalles movimientos'!F$5:F$1000, MATCH(39, 'Detalles movimientos'!$R$5:$R$1000, 0)), "")</f>
        <v/>
      </c>
      <c r="F51" s="18" t="str">
        <f>IFERROR(INDEX('Detalles movimientos'!G$5:G$1000, MATCH(39, 'Detalles movimientos'!$R$5:$R$1000, 0)), "")</f>
        <v/>
      </c>
      <c r="G51" s="20" t="str">
        <f>IFERROR(INDEX('Detalles movimientos'!H$5:H$1000, MATCH(39, 'Detalles movimientos'!$R$5:$R$1000, 0)), "")</f>
        <v/>
      </c>
      <c r="H51" s="21" t="str">
        <f>IFERROR(INDEX('Detalles movimientos'!I$5:I$1000, MATCH(39, 'Detalles movimientos'!$R$5:$R$1000, 0)), "")</f>
        <v/>
      </c>
      <c r="I51" s="20" t="str">
        <f>IFERROR(INDEX('Detalles movimientos'!K$5:K$1000, MATCH(39, 'Detalles movimientos'!$R$5:$R$1000, 0)), "")</f>
        <v/>
      </c>
      <c r="J51" s="19" t="str">
        <f>IFERROR(INDEX('Detalles movimientos'!L$5:L$1000, MATCH(39, 'Detalles movimientos'!$R$5:$R$1000, 0)), "")</f>
        <v/>
      </c>
      <c r="K51" s="20" t="str">
        <f>IFERROR(INDEX('Detalles movimientos'!M$5:M$1000, MATCH(39, 'Detalles movimientos'!$R$5:$R$1000, 0)), "")</f>
        <v/>
      </c>
      <c r="L51" s="18" t="str">
        <f>IFERROR(INDEX('Detalles movimientos'!N$5:N$1000, MATCH(39, 'Detalles movimientos'!$R$5:$R$1000, 0)), "")</f>
        <v/>
      </c>
      <c r="M51" s="18" t="str">
        <f>IFERROR(INDEX('Detalles movimientos'!Q$5:Q$1000, MATCH(39, 'Detalles movimientos'!$R$5:$R$1000, 0)), "")</f>
        <v/>
      </c>
    </row>
    <row r="52" spans="2:13">
      <c r="B52" s="17" t="str">
        <f>IFERROR(INDEX('Detalles movimientos'!C$5:C$1000, MATCH(40, 'Detalles movimientos'!$R$5:$R$1000, 0)), "")</f>
        <v/>
      </c>
      <c r="C52" s="18" t="str">
        <f>IFERROR(INDEX('Detalles movimientos'!D$5:D$1000, MATCH(40, 'Detalles movimientos'!$R$5:$R$1000, 0)), "")</f>
        <v/>
      </c>
      <c r="D52" s="19" t="str">
        <f>IFERROR(INDEX('Detalles movimientos'!E$5:E$1000, MATCH(40, 'Detalles movimientos'!$R$5:$R$1000, 0)), "")</f>
        <v/>
      </c>
      <c r="E52" s="19" t="str">
        <f>IFERROR(INDEX('Detalles movimientos'!F$5:F$1000, MATCH(40, 'Detalles movimientos'!$R$5:$R$1000, 0)), "")</f>
        <v/>
      </c>
      <c r="F52" s="18" t="str">
        <f>IFERROR(INDEX('Detalles movimientos'!G$5:G$1000, MATCH(40, 'Detalles movimientos'!$R$5:$R$1000, 0)), "")</f>
        <v/>
      </c>
      <c r="G52" s="20" t="str">
        <f>IFERROR(INDEX('Detalles movimientos'!H$5:H$1000, MATCH(40, 'Detalles movimientos'!$R$5:$R$1000, 0)), "")</f>
        <v/>
      </c>
      <c r="H52" s="21" t="str">
        <f>IFERROR(INDEX('Detalles movimientos'!I$5:I$1000, MATCH(40, 'Detalles movimientos'!$R$5:$R$1000, 0)), "")</f>
        <v/>
      </c>
      <c r="I52" s="20" t="str">
        <f>IFERROR(INDEX('Detalles movimientos'!K$5:K$1000, MATCH(40, 'Detalles movimientos'!$R$5:$R$1000, 0)), "")</f>
        <v/>
      </c>
      <c r="J52" s="19" t="str">
        <f>IFERROR(INDEX('Detalles movimientos'!L$5:L$1000, MATCH(40, 'Detalles movimientos'!$R$5:$R$1000, 0)), "")</f>
        <v/>
      </c>
      <c r="K52" s="20" t="str">
        <f>IFERROR(INDEX('Detalles movimientos'!M$5:M$1000, MATCH(40, 'Detalles movimientos'!$R$5:$R$1000, 0)), "")</f>
        <v/>
      </c>
      <c r="L52" s="18" t="str">
        <f>IFERROR(INDEX('Detalles movimientos'!N$5:N$1000, MATCH(40, 'Detalles movimientos'!$R$5:$R$1000, 0)), "")</f>
        <v/>
      </c>
      <c r="M52" s="18" t="str">
        <f>IFERROR(INDEX('Detalles movimientos'!Q$5:Q$1000, MATCH(40, 'Detalles movimientos'!$R$5:$R$1000, 0)), "")</f>
        <v/>
      </c>
    </row>
    <row r="53" spans="2:13">
      <c r="B53" s="17" t="str">
        <f>IFERROR(INDEX('Detalles movimientos'!C$5:C$1000, MATCH(41, 'Detalles movimientos'!$R$5:$R$1000, 0)), "")</f>
        <v/>
      </c>
      <c r="C53" s="18" t="str">
        <f>IFERROR(INDEX('Detalles movimientos'!D$5:D$1000, MATCH(41, 'Detalles movimientos'!$R$5:$R$1000, 0)), "")</f>
        <v/>
      </c>
      <c r="D53" s="19" t="str">
        <f>IFERROR(INDEX('Detalles movimientos'!E$5:E$1000, MATCH(41, 'Detalles movimientos'!$R$5:$R$1000, 0)), "")</f>
        <v/>
      </c>
      <c r="E53" s="19" t="str">
        <f>IFERROR(INDEX('Detalles movimientos'!F$5:F$1000, MATCH(41, 'Detalles movimientos'!$R$5:$R$1000, 0)), "")</f>
        <v/>
      </c>
      <c r="F53" s="18" t="str">
        <f>IFERROR(INDEX('Detalles movimientos'!G$5:G$1000, MATCH(41, 'Detalles movimientos'!$R$5:$R$1000, 0)), "")</f>
        <v/>
      </c>
      <c r="G53" s="20" t="str">
        <f>IFERROR(INDEX('Detalles movimientos'!H$5:H$1000, MATCH(41, 'Detalles movimientos'!$R$5:$R$1000, 0)), "")</f>
        <v/>
      </c>
      <c r="H53" s="21" t="str">
        <f>IFERROR(INDEX('Detalles movimientos'!I$5:I$1000, MATCH(41, 'Detalles movimientos'!$R$5:$R$1000, 0)), "")</f>
        <v/>
      </c>
      <c r="I53" s="20" t="str">
        <f>IFERROR(INDEX('Detalles movimientos'!K$5:K$1000, MATCH(41, 'Detalles movimientos'!$R$5:$R$1000, 0)), "")</f>
        <v/>
      </c>
      <c r="J53" s="19" t="str">
        <f>IFERROR(INDEX('Detalles movimientos'!L$5:L$1000, MATCH(41, 'Detalles movimientos'!$R$5:$R$1000, 0)), "")</f>
        <v/>
      </c>
      <c r="K53" s="20" t="str">
        <f>IFERROR(INDEX('Detalles movimientos'!M$5:M$1000, MATCH(41, 'Detalles movimientos'!$R$5:$R$1000, 0)), "")</f>
        <v/>
      </c>
      <c r="L53" s="18" t="str">
        <f>IFERROR(INDEX('Detalles movimientos'!N$5:N$1000, MATCH(41, 'Detalles movimientos'!$R$5:$R$1000, 0)), "")</f>
        <v/>
      </c>
      <c r="M53" s="18" t="str">
        <f>IFERROR(INDEX('Detalles movimientos'!Q$5:Q$1000, MATCH(41, 'Detalles movimientos'!$R$5:$R$1000, 0)), "")</f>
        <v/>
      </c>
    </row>
    <row r="54" spans="2:13">
      <c r="B54" s="17" t="str">
        <f>IFERROR(INDEX('Detalles movimientos'!C$5:C$1000, MATCH(42, 'Detalles movimientos'!$R$5:$R$1000, 0)), "")</f>
        <v/>
      </c>
      <c r="C54" s="18" t="str">
        <f>IFERROR(INDEX('Detalles movimientos'!D$5:D$1000, MATCH(42, 'Detalles movimientos'!$R$5:$R$1000, 0)), "")</f>
        <v/>
      </c>
      <c r="D54" s="19" t="str">
        <f>IFERROR(INDEX('Detalles movimientos'!E$5:E$1000, MATCH(42, 'Detalles movimientos'!$R$5:$R$1000, 0)), "")</f>
        <v/>
      </c>
      <c r="E54" s="19" t="str">
        <f>IFERROR(INDEX('Detalles movimientos'!F$5:F$1000, MATCH(42, 'Detalles movimientos'!$R$5:$R$1000, 0)), "")</f>
        <v/>
      </c>
      <c r="F54" s="18" t="str">
        <f>IFERROR(INDEX('Detalles movimientos'!G$5:G$1000, MATCH(42, 'Detalles movimientos'!$R$5:$R$1000, 0)), "")</f>
        <v/>
      </c>
      <c r="G54" s="20" t="str">
        <f>IFERROR(INDEX('Detalles movimientos'!H$5:H$1000, MATCH(42, 'Detalles movimientos'!$R$5:$R$1000, 0)), "")</f>
        <v/>
      </c>
      <c r="H54" s="21" t="str">
        <f>IFERROR(INDEX('Detalles movimientos'!I$5:I$1000, MATCH(42, 'Detalles movimientos'!$R$5:$R$1000, 0)), "")</f>
        <v/>
      </c>
      <c r="I54" s="20" t="str">
        <f>IFERROR(INDEX('Detalles movimientos'!K$5:K$1000, MATCH(42, 'Detalles movimientos'!$R$5:$R$1000, 0)), "")</f>
        <v/>
      </c>
      <c r="J54" s="19" t="str">
        <f>IFERROR(INDEX('Detalles movimientos'!L$5:L$1000, MATCH(42, 'Detalles movimientos'!$R$5:$R$1000, 0)), "")</f>
        <v/>
      </c>
      <c r="K54" s="20" t="str">
        <f>IFERROR(INDEX('Detalles movimientos'!M$5:M$1000, MATCH(42, 'Detalles movimientos'!$R$5:$R$1000, 0)), "")</f>
        <v/>
      </c>
      <c r="L54" s="18" t="str">
        <f>IFERROR(INDEX('Detalles movimientos'!N$5:N$1000, MATCH(42, 'Detalles movimientos'!$R$5:$R$1000, 0)), "")</f>
        <v/>
      </c>
      <c r="M54" s="18" t="str">
        <f>IFERROR(INDEX('Detalles movimientos'!Q$5:Q$1000, MATCH(42, 'Detalles movimientos'!$R$5:$R$1000, 0)), "")</f>
        <v/>
      </c>
    </row>
    <row r="55" spans="2:13">
      <c r="B55" s="17" t="str">
        <f>IFERROR(INDEX('Detalles movimientos'!C$5:C$1000, MATCH(43, 'Detalles movimientos'!$R$5:$R$1000, 0)), "")</f>
        <v/>
      </c>
      <c r="C55" s="18" t="str">
        <f>IFERROR(INDEX('Detalles movimientos'!D$5:D$1000, MATCH(43, 'Detalles movimientos'!$R$5:$R$1000, 0)), "")</f>
        <v/>
      </c>
      <c r="D55" s="19" t="str">
        <f>IFERROR(INDEX('Detalles movimientos'!E$5:E$1000, MATCH(43, 'Detalles movimientos'!$R$5:$R$1000, 0)), "")</f>
        <v/>
      </c>
      <c r="E55" s="19" t="str">
        <f>IFERROR(INDEX('Detalles movimientos'!F$5:F$1000, MATCH(43, 'Detalles movimientos'!$R$5:$R$1000, 0)), "")</f>
        <v/>
      </c>
      <c r="F55" s="18" t="str">
        <f>IFERROR(INDEX('Detalles movimientos'!G$5:G$1000, MATCH(43, 'Detalles movimientos'!$R$5:$R$1000, 0)), "")</f>
        <v/>
      </c>
      <c r="G55" s="20" t="str">
        <f>IFERROR(INDEX('Detalles movimientos'!H$5:H$1000, MATCH(43, 'Detalles movimientos'!$R$5:$R$1000, 0)), "")</f>
        <v/>
      </c>
      <c r="H55" s="21" t="str">
        <f>IFERROR(INDEX('Detalles movimientos'!I$5:I$1000, MATCH(43, 'Detalles movimientos'!$R$5:$R$1000, 0)), "")</f>
        <v/>
      </c>
      <c r="I55" s="20" t="str">
        <f>IFERROR(INDEX('Detalles movimientos'!K$5:K$1000, MATCH(43, 'Detalles movimientos'!$R$5:$R$1000, 0)), "")</f>
        <v/>
      </c>
      <c r="J55" s="19" t="str">
        <f>IFERROR(INDEX('Detalles movimientos'!L$5:L$1000, MATCH(43, 'Detalles movimientos'!$R$5:$R$1000, 0)), "")</f>
        <v/>
      </c>
      <c r="K55" s="20" t="str">
        <f>IFERROR(INDEX('Detalles movimientos'!M$5:M$1000, MATCH(43, 'Detalles movimientos'!$R$5:$R$1000, 0)), "")</f>
        <v/>
      </c>
      <c r="L55" s="18" t="str">
        <f>IFERROR(INDEX('Detalles movimientos'!N$5:N$1000, MATCH(43, 'Detalles movimientos'!$R$5:$R$1000, 0)), "")</f>
        <v/>
      </c>
      <c r="M55" s="18" t="str">
        <f>IFERROR(INDEX('Detalles movimientos'!Q$5:Q$1000, MATCH(43, 'Detalles movimientos'!$R$5:$R$1000, 0)), "")</f>
        <v/>
      </c>
    </row>
    <row r="56" spans="2:13">
      <c r="B56" s="17" t="str">
        <f>IFERROR(INDEX('Detalles movimientos'!C$5:C$1000, MATCH(44, 'Detalles movimientos'!$R$5:$R$1000, 0)), "")</f>
        <v/>
      </c>
      <c r="C56" s="18" t="str">
        <f>IFERROR(INDEX('Detalles movimientos'!D$5:D$1000, MATCH(44, 'Detalles movimientos'!$R$5:$R$1000, 0)), "")</f>
        <v/>
      </c>
      <c r="D56" s="19" t="str">
        <f>IFERROR(INDEX('Detalles movimientos'!E$5:E$1000, MATCH(44, 'Detalles movimientos'!$R$5:$R$1000, 0)), "")</f>
        <v/>
      </c>
      <c r="E56" s="19" t="str">
        <f>IFERROR(INDEX('Detalles movimientos'!F$5:F$1000, MATCH(44, 'Detalles movimientos'!$R$5:$R$1000, 0)), "")</f>
        <v/>
      </c>
      <c r="F56" s="18" t="str">
        <f>IFERROR(INDEX('Detalles movimientos'!G$5:G$1000, MATCH(44, 'Detalles movimientos'!$R$5:$R$1000, 0)), "")</f>
        <v/>
      </c>
      <c r="G56" s="20" t="str">
        <f>IFERROR(INDEX('Detalles movimientos'!H$5:H$1000, MATCH(44, 'Detalles movimientos'!$R$5:$R$1000, 0)), "")</f>
        <v/>
      </c>
      <c r="H56" s="21" t="str">
        <f>IFERROR(INDEX('Detalles movimientos'!I$5:I$1000, MATCH(44, 'Detalles movimientos'!$R$5:$R$1000, 0)), "")</f>
        <v/>
      </c>
      <c r="I56" s="20" t="str">
        <f>IFERROR(INDEX('Detalles movimientos'!K$5:K$1000, MATCH(44, 'Detalles movimientos'!$R$5:$R$1000, 0)), "")</f>
        <v/>
      </c>
      <c r="J56" s="19" t="str">
        <f>IFERROR(INDEX('Detalles movimientos'!L$5:L$1000, MATCH(44, 'Detalles movimientos'!$R$5:$R$1000, 0)), "")</f>
        <v/>
      </c>
      <c r="K56" s="20" t="str">
        <f>IFERROR(INDEX('Detalles movimientos'!M$5:M$1000, MATCH(44, 'Detalles movimientos'!$R$5:$R$1000, 0)), "")</f>
        <v/>
      </c>
      <c r="L56" s="18" t="str">
        <f>IFERROR(INDEX('Detalles movimientos'!N$5:N$1000, MATCH(44, 'Detalles movimientos'!$R$5:$R$1000, 0)), "")</f>
        <v/>
      </c>
      <c r="M56" s="18" t="str">
        <f>IFERROR(INDEX('Detalles movimientos'!Q$5:Q$1000, MATCH(44, 'Detalles movimientos'!$R$5:$R$1000, 0)), "")</f>
        <v/>
      </c>
    </row>
    <row r="57" spans="2:13">
      <c r="B57" s="17" t="str">
        <f>IFERROR(INDEX('Detalles movimientos'!C$5:C$1000, MATCH(45, 'Detalles movimientos'!$R$5:$R$1000, 0)), "")</f>
        <v/>
      </c>
      <c r="C57" s="18" t="str">
        <f>IFERROR(INDEX('Detalles movimientos'!D$5:D$1000, MATCH(45, 'Detalles movimientos'!$R$5:$R$1000, 0)), "")</f>
        <v/>
      </c>
      <c r="D57" s="19" t="str">
        <f>IFERROR(INDEX('Detalles movimientos'!E$5:E$1000, MATCH(45, 'Detalles movimientos'!$R$5:$R$1000, 0)), "")</f>
        <v/>
      </c>
      <c r="E57" s="19" t="str">
        <f>IFERROR(INDEX('Detalles movimientos'!F$5:F$1000, MATCH(45, 'Detalles movimientos'!$R$5:$R$1000, 0)), "")</f>
        <v/>
      </c>
      <c r="F57" s="18" t="str">
        <f>IFERROR(INDEX('Detalles movimientos'!G$5:G$1000, MATCH(45, 'Detalles movimientos'!$R$5:$R$1000, 0)), "")</f>
        <v/>
      </c>
      <c r="G57" s="20" t="str">
        <f>IFERROR(INDEX('Detalles movimientos'!H$5:H$1000, MATCH(45, 'Detalles movimientos'!$R$5:$R$1000, 0)), "")</f>
        <v/>
      </c>
      <c r="H57" s="21" t="str">
        <f>IFERROR(INDEX('Detalles movimientos'!I$5:I$1000, MATCH(45, 'Detalles movimientos'!$R$5:$R$1000, 0)), "")</f>
        <v/>
      </c>
      <c r="I57" s="20" t="str">
        <f>IFERROR(INDEX('Detalles movimientos'!K$5:K$1000, MATCH(45, 'Detalles movimientos'!$R$5:$R$1000, 0)), "")</f>
        <v/>
      </c>
      <c r="J57" s="19" t="str">
        <f>IFERROR(INDEX('Detalles movimientos'!L$5:L$1000, MATCH(45, 'Detalles movimientos'!$R$5:$R$1000, 0)), "")</f>
        <v/>
      </c>
      <c r="K57" s="20" t="str">
        <f>IFERROR(INDEX('Detalles movimientos'!M$5:M$1000, MATCH(45, 'Detalles movimientos'!$R$5:$R$1000, 0)), "")</f>
        <v/>
      </c>
      <c r="L57" s="18" t="str">
        <f>IFERROR(INDEX('Detalles movimientos'!N$5:N$1000, MATCH(45, 'Detalles movimientos'!$R$5:$R$1000, 0)), "")</f>
        <v/>
      </c>
      <c r="M57" s="18" t="str">
        <f>IFERROR(INDEX('Detalles movimientos'!Q$5:Q$1000, MATCH(45, 'Detalles movimientos'!$R$5:$R$1000, 0)), "")</f>
        <v/>
      </c>
    </row>
    <row r="58" spans="2:13">
      <c r="B58" s="17" t="str">
        <f>IFERROR(INDEX('Detalles movimientos'!C$5:C$1000, MATCH(46, 'Detalles movimientos'!$R$5:$R$1000, 0)), "")</f>
        <v/>
      </c>
      <c r="C58" s="18" t="str">
        <f>IFERROR(INDEX('Detalles movimientos'!D$5:D$1000, MATCH(46, 'Detalles movimientos'!$R$5:$R$1000, 0)), "")</f>
        <v/>
      </c>
      <c r="D58" s="19" t="str">
        <f>IFERROR(INDEX('Detalles movimientos'!E$5:E$1000, MATCH(46, 'Detalles movimientos'!$R$5:$R$1000, 0)), "")</f>
        <v/>
      </c>
      <c r="E58" s="19" t="str">
        <f>IFERROR(INDEX('Detalles movimientos'!F$5:F$1000, MATCH(46, 'Detalles movimientos'!$R$5:$R$1000, 0)), "")</f>
        <v/>
      </c>
      <c r="F58" s="18" t="str">
        <f>IFERROR(INDEX('Detalles movimientos'!G$5:G$1000, MATCH(46, 'Detalles movimientos'!$R$5:$R$1000, 0)), "")</f>
        <v/>
      </c>
      <c r="G58" s="20" t="str">
        <f>IFERROR(INDEX('Detalles movimientos'!H$5:H$1000, MATCH(46, 'Detalles movimientos'!$R$5:$R$1000, 0)), "")</f>
        <v/>
      </c>
      <c r="H58" s="21" t="str">
        <f>IFERROR(INDEX('Detalles movimientos'!I$5:I$1000, MATCH(46, 'Detalles movimientos'!$R$5:$R$1000, 0)), "")</f>
        <v/>
      </c>
      <c r="I58" s="20" t="str">
        <f>IFERROR(INDEX('Detalles movimientos'!K$5:K$1000, MATCH(46, 'Detalles movimientos'!$R$5:$R$1000, 0)), "")</f>
        <v/>
      </c>
      <c r="J58" s="19" t="str">
        <f>IFERROR(INDEX('Detalles movimientos'!L$5:L$1000, MATCH(46, 'Detalles movimientos'!$R$5:$R$1000, 0)), "")</f>
        <v/>
      </c>
      <c r="K58" s="20" t="str">
        <f>IFERROR(INDEX('Detalles movimientos'!M$5:M$1000, MATCH(46, 'Detalles movimientos'!$R$5:$R$1000, 0)), "")</f>
        <v/>
      </c>
      <c r="L58" s="18" t="str">
        <f>IFERROR(INDEX('Detalles movimientos'!N$5:N$1000, MATCH(46, 'Detalles movimientos'!$R$5:$R$1000, 0)), "")</f>
        <v/>
      </c>
      <c r="M58" s="18" t="str">
        <f>IFERROR(INDEX('Detalles movimientos'!Q$5:Q$1000, MATCH(46, 'Detalles movimientos'!$R$5:$R$1000, 0)), "")</f>
        <v/>
      </c>
    </row>
    <row r="59" spans="2:13">
      <c r="B59" s="17" t="str">
        <f>IFERROR(INDEX('Detalles movimientos'!C$5:C$1000, MATCH(47, 'Detalles movimientos'!$R$5:$R$1000, 0)), "")</f>
        <v/>
      </c>
      <c r="C59" s="18" t="str">
        <f>IFERROR(INDEX('Detalles movimientos'!D$5:D$1000, MATCH(47, 'Detalles movimientos'!$R$5:$R$1000, 0)), "")</f>
        <v/>
      </c>
      <c r="D59" s="19" t="str">
        <f>IFERROR(INDEX('Detalles movimientos'!E$5:E$1000, MATCH(47, 'Detalles movimientos'!$R$5:$R$1000, 0)), "")</f>
        <v/>
      </c>
      <c r="E59" s="19" t="str">
        <f>IFERROR(INDEX('Detalles movimientos'!F$5:F$1000, MATCH(47, 'Detalles movimientos'!$R$5:$R$1000, 0)), "")</f>
        <v/>
      </c>
      <c r="F59" s="18" t="str">
        <f>IFERROR(INDEX('Detalles movimientos'!G$5:G$1000, MATCH(47, 'Detalles movimientos'!$R$5:$R$1000, 0)), "")</f>
        <v/>
      </c>
      <c r="G59" s="20" t="str">
        <f>IFERROR(INDEX('Detalles movimientos'!H$5:H$1000, MATCH(47, 'Detalles movimientos'!$R$5:$R$1000, 0)), "")</f>
        <v/>
      </c>
      <c r="H59" s="21" t="str">
        <f>IFERROR(INDEX('Detalles movimientos'!I$5:I$1000, MATCH(47, 'Detalles movimientos'!$R$5:$R$1000, 0)), "")</f>
        <v/>
      </c>
      <c r="I59" s="20" t="str">
        <f>IFERROR(INDEX('Detalles movimientos'!K$5:K$1000, MATCH(47, 'Detalles movimientos'!$R$5:$R$1000, 0)), "")</f>
        <v/>
      </c>
      <c r="J59" s="19" t="str">
        <f>IFERROR(INDEX('Detalles movimientos'!L$5:L$1000, MATCH(47, 'Detalles movimientos'!$R$5:$R$1000, 0)), "")</f>
        <v/>
      </c>
      <c r="K59" s="20" t="str">
        <f>IFERROR(INDEX('Detalles movimientos'!M$5:M$1000, MATCH(47, 'Detalles movimientos'!$R$5:$R$1000, 0)), "")</f>
        <v/>
      </c>
      <c r="L59" s="18" t="str">
        <f>IFERROR(INDEX('Detalles movimientos'!N$5:N$1000, MATCH(47, 'Detalles movimientos'!$R$5:$R$1000, 0)), "")</f>
        <v/>
      </c>
      <c r="M59" s="18" t="str">
        <f>IFERROR(INDEX('Detalles movimientos'!Q$5:Q$1000, MATCH(47, 'Detalles movimientos'!$R$5:$R$1000, 0)), "")</f>
        <v/>
      </c>
    </row>
    <row r="60" spans="2:13">
      <c r="B60" s="17" t="str">
        <f>IFERROR(INDEX('Detalles movimientos'!C$5:C$1000, MATCH(48, 'Detalles movimientos'!$R$5:$R$1000, 0)), "")</f>
        <v/>
      </c>
      <c r="C60" s="18" t="str">
        <f>IFERROR(INDEX('Detalles movimientos'!D$5:D$1000, MATCH(48, 'Detalles movimientos'!$R$5:$R$1000, 0)), "")</f>
        <v/>
      </c>
      <c r="D60" s="19" t="str">
        <f>IFERROR(INDEX('Detalles movimientos'!E$5:E$1000, MATCH(48, 'Detalles movimientos'!$R$5:$R$1000, 0)), "")</f>
        <v/>
      </c>
      <c r="E60" s="19" t="str">
        <f>IFERROR(INDEX('Detalles movimientos'!F$5:F$1000, MATCH(48, 'Detalles movimientos'!$R$5:$R$1000, 0)), "")</f>
        <v/>
      </c>
      <c r="F60" s="18" t="str">
        <f>IFERROR(INDEX('Detalles movimientos'!G$5:G$1000, MATCH(48, 'Detalles movimientos'!$R$5:$R$1000, 0)), "")</f>
        <v/>
      </c>
      <c r="G60" s="20" t="str">
        <f>IFERROR(INDEX('Detalles movimientos'!H$5:H$1000, MATCH(48, 'Detalles movimientos'!$R$5:$R$1000, 0)), "")</f>
        <v/>
      </c>
      <c r="H60" s="21" t="str">
        <f>IFERROR(INDEX('Detalles movimientos'!I$5:I$1000, MATCH(48, 'Detalles movimientos'!$R$5:$R$1000, 0)), "")</f>
        <v/>
      </c>
      <c r="I60" s="20" t="str">
        <f>IFERROR(INDEX('Detalles movimientos'!K$5:K$1000, MATCH(48, 'Detalles movimientos'!$R$5:$R$1000, 0)), "")</f>
        <v/>
      </c>
      <c r="J60" s="19" t="str">
        <f>IFERROR(INDEX('Detalles movimientos'!L$5:L$1000, MATCH(48, 'Detalles movimientos'!$R$5:$R$1000, 0)), "")</f>
        <v/>
      </c>
      <c r="K60" s="20" t="str">
        <f>IFERROR(INDEX('Detalles movimientos'!M$5:M$1000, MATCH(48, 'Detalles movimientos'!$R$5:$R$1000, 0)), "")</f>
        <v/>
      </c>
      <c r="L60" s="18" t="str">
        <f>IFERROR(INDEX('Detalles movimientos'!N$5:N$1000, MATCH(48, 'Detalles movimientos'!$R$5:$R$1000, 0)), "")</f>
        <v/>
      </c>
      <c r="M60" s="18" t="str">
        <f>IFERROR(INDEX('Detalles movimientos'!Q$5:Q$1000, MATCH(48, 'Detalles movimientos'!$R$5:$R$1000, 0)), "")</f>
        <v/>
      </c>
    </row>
    <row r="61" spans="2:13">
      <c r="B61" s="17" t="str">
        <f>IFERROR(INDEX('Detalles movimientos'!C$5:C$1000, MATCH(49, 'Detalles movimientos'!$R$5:$R$1000, 0)), "")</f>
        <v/>
      </c>
      <c r="C61" s="18" t="str">
        <f>IFERROR(INDEX('Detalles movimientos'!D$5:D$1000, MATCH(49, 'Detalles movimientos'!$R$5:$R$1000, 0)), "")</f>
        <v/>
      </c>
      <c r="D61" s="19" t="str">
        <f>IFERROR(INDEX('Detalles movimientos'!E$5:E$1000, MATCH(49, 'Detalles movimientos'!$R$5:$R$1000, 0)), "")</f>
        <v/>
      </c>
      <c r="E61" s="19" t="str">
        <f>IFERROR(INDEX('Detalles movimientos'!F$5:F$1000, MATCH(49, 'Detalles movimientos'!$R$5:$R$1000, 0)), "")</f>
        <v/>
      </c>
      <c r="F61" s="18" t="str">
        <f>IFERROR(INDEX('Detalles movimientos'!G$5:G$1000, MATCH(49, 'Detalles movimientos'!$R$5:$R$1000, 0)), "")</f>
        <v/>
      </c>
      <c r="G61" s="20" t="str">
        <f>IFERROR(INDEX('Detalles movimientos'!H$5:H$1000, MATCH(49, 'Detalles movimientos'!$R$5:$R$1000, 0)), "")</f>
        <v/>
      </c>
      <c r="H61" s="21" t="str">
        <f>IFERROR(INDEX('Detalles movimientos'!I$5:I$1000, MATCH(49, 'Detalles movimientos'!$R$5:$R$1000, 0)), "")</f>
        <v/>
      </c>
      <c r="I61" s="20" t="str">
        <f>IFERROR(INDEX('Detalles movimientos'!K$5:K$1000, MATCH(49, 'Detalles movimientos'!$R$5:$R$1000, 0)), "")</f>
        <v/>
      </c>
      <c r="J61" s="19" t="str">
        <f>IFERROR(INDEX('Detalles movimientos'!L$5:L$1000, MATCH(49, 'Detalles movimientos'!$R$5:$R$1000, 0)), "")</f>
        <v/>
      </c>
      <c r="K61" s="20" t="str">
        <f>IFERROR(INDEX('Detalles movimientos'!M$5:M$1000, MATCH(49, 'Detalles movimientos'!$R$5:$R$1000, 0)), "")</f>
        <v/>
      </c>
      <c r="L61" s="18" t="str">
        <f>IFERROR(INDEX('Detalles movimientos'!N$5:N$1000, MATCH(49, 'Detalles movimientos'!$R$5:$R$1000, 0)), "")</f>
        <v/>
      </c>
      <c r="M61" s="18" t="str">
        <f>IFERROR(INDEX('Detalles movimientos'!Q$5:Q$1000, MATCH(49, 'Detalles movimientos'!$R$5:$R$1000, 0)), "")</f>
        <v/>
      </c>
    </row>
    <row r="62" spans="2:13">
      <c r="B62" s="17" t="str">
        <f>IFERROR(INDEX('Detalles movimientos'!C$5:C$1000, MATCH(50, 'Detalles movimientos'!$R$5:$R$1000, 0)), "")</f>
        <v/>
      </c>
      <c r="C62" s="18" t="str">
        <f>IFERROR(INDEX('Detalles movimientos'!D$5:D$1000, MATCH(50, 'Detalles movimientos'!$R$5:$R$1000, 0)), "")</f>
        <v/>
      </c>
      <c r="D62" s="19" t="str">
        <f>IFERROR(INDEX('Detalles movimientos'!E$5:E$1000, MATCH(50, 'Detalles movimientos'!$R$5:$R$1000, 0)), "")</f>
        <v/>
      </c>
      <c r="E62" s="19" t="str">
        <f>IFERROR(INDEX('Detalles movimientos'!F$5:F$1000, MATCH(50, 'Detalles movimientos'!$R$5:$R$1000, 0)), "")</f>
        <v/>
      </c>
      <c r="F62" s="18" t="str">
        <f>IFERROR(INDEX('Detalles movimientos'!G$5:G$1000, MATCH(50, 'Detalles movimientos'!$R$5:$R$1000, 0)), "")</f>
        <v/>
      </c>
      <c r="G62" s="20" t="str">
        <f>IFERROR(INDEX('Detalles movimientos'!H$5:H$1000, MATCH(50, 'Detalles movimientos'!$R$5:$R$1000, 0)), "")</f>
        <v/>
      </c>
      <c r="H62" s="21" t="str">
        <f>IFERROR(INDEX('Detalles movimientos'!I$5:I$1000, MATCH(50, 'Detalles movimientos'!$R$5:$R$1000, 0)), "")</f>
        <v/>
      </c>
      <c r="I62" s="20" t="str">
        <f>IFERROR(INDEX('Detalles movimientos'!K$5:K$1000, MATCH(50, 'Detalles movimientos'!$R$5:$R$1000, 0)), "")</f>
        <v/>
      </c>
      <c r="J62" s="19" t="str">
        <f>IFERROR(INDEX('Detalles movimientos'!L$5:L$1000, MATCH(50, 'Detalles movimientos'!$R$5:$R$1000, 0)), "")</f>
        <v/>
      </c>
      <c r="K62" s="20" t="str">
        <f>IFERROR(INDEX('Detalles movimientos'!M$5:M$1000, MATCH(50, 'Detalles movimientos'!$R$5:$R$1000, 0)), "")</f>
        <v/>
      </c>
      <c r="L62" s="18" t="str">
        <f>IFERROR(INDEX('Detalles movimientos'!N$5:N$1000, MATCH(50, 'Detalles movimientos'!$R$5:$R$1000, 0)), "")</f>
        <v/>
      </c>
      <c r="M62" s="18" t="str">
        <f>IFERROR(INDEX('Detalles movimientos'!Q$5:Q$1000, MATCH(50, 'Detalles movimientos'!$R$5:$R$1000, 0)), "")</f>
        <v/>
      </c>
    </row>
    <row r="63" spans="2:13">
      <c r="B63" s="17" t="str">
        <f>IFERROR(INDEX('Detalles movimientos'!C$5:C$1000, MATCH(51, 'Detalles movimientos'!$R$5:$R$1000, 0)), "")</f>
        <v/>
      </c>
      <c r="C63" s="18" t="str">
        <f>IFERROR(INDEX('Detalles movimientos'!D$5:D$1000, MATCH(51, 'Detalles movimientos'!$R$5:$R$1000, 0)), "")</f>
        <v/>
      </c>
      <c r="D63" s="19" t="str">
        <f>IFERROR(INDEX('Detalles movimientos'!E$5:E$1000, MATCH(51, 'Detalles movimientos'!$R$5:$R$1000, 0)), "")</f>
        <v/>
      </c>
      <c r="E63" s="19" t="str">
        <f>IFERROR(INDEX('Detalles movimientos'!F$5:F$1000, MATCH(51, 'Detalles movimientos'!$R$5:$R$1000, 0)), "")</f>
        <v/>
      </c>
      <c r="F63" s="18" t="str">
        <f>IFERROR(INDEX('Detalles movimientos'!G$5:G$1000, MATCH(51, 'Detalles movimientos'!$R$5:$R$1000, 0)), "")</f>
        <v/>
      </c>
      <c r="G63" s="20" t="str">
        <f>IFERROR(INDEX('Detalles movimientos'!H$5:H$1000, MATCH(51, 'Detalles movimientos'!$R$5:$R$1000, 0)), "")</f>
        <v/>
      </c>
      <c r="H63" s="21" t="str">
        <f>IFERROR(INDEX('Detalles movimientos'!I$5:I$1000, MATCH(51, 'Detalles movimientos'!$R$5:$R$1000, 0)), "")</f>
        <v/>
      </c>
      <c r="I63" s="20" t="str">
        <f>IFERROR(INDEX('Detalles movimientos'!K$5:K$1000, MATCH(51, 'Detalles movimientos'!$R$5:$R$1000, 0)), "")</f>
        <v/>
      </c>
      <c r="J63" s="19" t="str">
        <f>IFERROR(INDEX('Detalles movimientos'!L$5:L$1000, MATCH(51, 'Detalles movimientos'!$R$5:$R$1000, 0)), "")</f>
        <v/>
      </c>
      <c r="K63" s="20" t="str">
        <f>IFERROR(INDEX('Detalles movimientos'!M$5:M$1000, MATCH(51, 'Detalles movimientos'!$R$5:$R$1000, 0)), "")</f>
        <v/>
      </c>
      <c r="L63" s="18" t="str">
        <f>IFERROR(INDEX('Detalles movimientos'!N$5:N$1000, MATCH(51, 'Detalles movimientos'!$R$5:$R$1000, 0)), "")</f>
        <v/>
      </c>
      <c r="M63" s="18" t="str">
        <f>IFERROR(INDEX('Detalles movimientos'!Q$5:Q$1000, MATCH(51, 'Detalles movimientos'!$R$5:$R$1000, 0)), "")</f>
        <v/>
      </c>
    </row>
    <row r="64" spans="2:13">
      <c r="B64" s="17" t="str">
        <f>IFERROR(INDEX('Detalles movimientos'!C$5:C$1000, MATCH(52, 'Detalles movimientos'!$R$5:$R$1000, 0)), "")</f>
        <v/>
      </c>
      <c r="C64" s="18" t="str">
        <f>IFERROR(INDEX('Detalles movimientos'!D$5:D$1000, MATCH(52, 'Detalles movimientos'!$R$5:$R$1000, 0)), "")</f>
        <v/>
      </c>
      <c r="D64" s="19" t="str">
        <f>IFERROR(INDEX('Detalles movimientos'!E$5:E$1000, MATCH(52, 'Detalles movimientos'!$R$5:$R$1000, 0)), "")</f>
        <v/>
      </c>
      <c r="E64" s="19" t="str">
        <f>IFERROR(INDEX('Detalles movimientos'!F$5:F$1000, MATCH(52, 'Detalles movimientos'!$R$5:$R$1000, 0)), "")</f>
        <v/>
      </c>
      <c r="F64" s="18" t="str">
        <f>IFERROR(INDEX('Detalles movimientos'!G$5:G$1000, MATCH(52, 'Detalles movimientos'!$R$5:$R$1000, 0)), "")</f>
        <v/>
      </c>
      <c r="G64" s="20" t="str">
        <f>IFERROR(INDEX('Detalles movimientos'!H$5:H$1000, MATCH(52, 'Detalles movimientos'!$R$5:$R$1000, 0)), "")</f>
        <v/>
      </c>
      <c r="H64" s="21" t="str">
        <f>IFERROR(INDEX('Detalles movimientos'!I$5:I$1000, MATCH(52, 'Detalles movimientos'!$R$5:$R$1000, 0)), "")</f>
        <v/>
      </c>
      <c r="I64" s="20" t="str">
        <f>IFERROR(INDEX('Detalles movimientos'!K$5:K$1000, MATCH(52, 'Detalles movimientos'!$R$5:$R$1000, 0)), "")</f>
        <v/>
      </c>
      <c r="J64" s="19" t="str">
        <f>IFERROR(INDEX('Detalles movimientos'!L$5:L$1000, MATCH(52, 'Detalles movimientos'!$R$5:$R$1000, 0)), "")</f>
        <v/>
      </c>
      <c r="K64" s="20" t="str">
        <f>IFERROR(INDEX('Detalles movimientos'!M$5:M$1000, MATCH(52, 'Detalles movimientos'!$R$5:$R$1000, 0)), "")</f>
        <v/>
      </c>
      <c r="L64" s="18" t="str">
        <f>IFERROR(INDEX('Detalles movimientos'!N$5:N$1000, MATCH(52, 'Detalles movimientos'!$R$5:$R$1000, 0)), "")</f>
        <v/>
      </c>
      <c r="M64" s="18" t="str">
        <f>IFERROR(INDEX('Detalles movimientos'!Q$5:Q$1000, MATCH(52, 'Detalles movimientos'!$R$5:$R$1000, 0)), "")</f>
        <v/>
      </c>
    </row>
    <row r="65" spans="2:13">
      <c r="B65" s="17" t="str">
        <f>IFERROR(INDEX('Detalles movimientos'!C$5:C$1000, MATCH(53, 'Detalles movimientos'!$R$5:$R$1000, 0)), "")</f>
        <v/>
      </c>
      <c r="C65" s="18" t="str">
        <f>IFERROR(INDEX('Detalles movimientos'!D$5:D$1000, MATCH(53, 'Detalles movimientos'!$R$5:$R$1000, 0)), "")</f>
        <v/>
      </c>
      <c r="D65" s="19" t="str">
        <f>IFERROR(INDEX('Detalles movimientos'!E$5:E$1000, MATCH(53, 'Detalles movimientos'!$R$5:$R$1000, 0)), "")</f>
        <v/>
      </c>
      <c r="E65" s="19" t="str">
        <f>IFERROR(INDEX('Detalles movimientos'!F$5:F$1000, MATCH(53, 'Detalles movimientos'!$R$5:$R$1000, 0)), "")</f>
        <v/>
      </c>
      <c r="F65" s="18" t="str">
        <f>IFERROR(INDEX('Detalles movimientos'!G$5:G$1000, MATCH(53, 'Detalles movimientos'!$R$5:$R$1000, 0)), "")</f>
        <v/>
      </c>
      <c r="G65" s="20" t="str">
        <f>IFERROR(INDEX('Detalles movimientos'!H$5:H$1000, MATCH(53, 'Detalles movimientos'!$R$5:$R$1000, 0)), "")</f>
        <v/>
      </c>
      <c r="H65" s="21" t="str">
        <f>IFERROR(INDEX('Detalles movimientos'!I$5:I$1000, MATCH(53, 'Detalles movimientos'!$R$5:$R$1000, 0)), "")</f>
        <v/>
      </c>
      <c r="I65" s="20" t="str">
        <f>IFERROR(INDEX('Detalles movimientos'!K$5:K$1000, MATCH(53, 'Detalles movimientos'!$R$5:$R$1000, 0)), "")</f>
        <v/>
      </c>
      <c r="J65" s="19" t="str">
        <f>IFERROR(INDEX('Detalles movimientos'!L$5:L$1000, MATCH(53, 'Detalles movimientos'!$R$5:$R$1000, 0)), "")</f>
        <v/>
      </c>
      <c r="K65" s="20" t="str">
        <f>IFERROR(INDEX('Detalles movimientos'!M$5:M$1000, MATCH(53, 'Detalles movimientos'!$R$5:$R$1000, 0)), "")</f>
        <v/>
      </c>
      <c r="L65" s="18" t="str">
        <f>IFERROR(INDEX('Detalles movimientos'!N$5:N$1000, MATCH(53, 'Detalles movimientos'!$R$5:$R$1000, 0)), "")</f>
        <v/>
      </c>
      <c r="M65" s="18" t="str">
        <f>IFERROR(INDEX('Detalles movimientos'!Q$5:Q$1000, MATCH(53, 'Detalles movimientos'!$R$5:$R$1000, 0)), "")</f>
        <v/>
      </c>
    </row>
    <row r="66" spans="2:13">
      <c r="B66" s="17" t="str">
        <f>IFERROR(INDEX('Detalles movimientos'!C$5:C$1000, MATCH(54, 'Detalles movimientos'!$R$5:$R$1000, 0)), "")</f>
        <v/>
      </c>
      <c r="C66" s="18" t="str">
        <f>IFERROR(INDEX('Detalles movimientos'!D$5:D$1000, MATCH(54, 'Detalles movimientos'!$R$5:$R$1000, 0)), "")</f>
        <v/>
      </c>
      <c r="D66" s="19" t="str">
        <f>IFERROR(INDEX('Detalles movimientos'!E$5:E$1000, MATCH(54, 'Detalles movimientos'!$R$5:$R$1000, 0)), "")</f>
        <v/>
      </c>
      <c r="E66" s="19" t="str">
        <f>IFERROR(INDEX('Detalles movimientos'!F$5:F$1000, MATCH(54, 'Detalles movimientos'!$R$5:$R$1000, 0)), "")</f>
        <v/>
      </c>
      <c r="F66" s="18" t="str">
        <f>IFERROR(INDEX('Detalles movimientos'!G$5:G$1000, MATCH(54, 'Detalles movimientos'!$R$5:$R$1000, 0)), "")</f>
        <v/>
      </c>
      <c r="G66" s="20" t="str">
        <f>IFERROR(INDEX('Detalles movimientos'!H$5:H$1000, MATCH(54, 'Detalles movimientos'!$R$5:$R$1000, 0)), "")</f>
        <v/>
      </c>
      <c r="H66" s="21" t="str">
        <f>IFERROR(INDEX('Detalles movimientos'!I$5:I$1000, MATCH(54, 'Detalles movimientos'!$R$5:$R$1000, 0)), "")</f>
        <v/>
      </c>
      <c r="I66" s="20" t="str">
        <f>IFERROR(INDEX('Detalles movimientos'!K$5:K$1000, MATCH(54, 'Detalles movimientos'!$R$5:$R$1000, 0)), "")</f>
        <v/>
      </c>
      <c r="J66" s="19" t="str">
        <f>IFERROR(INDEX('Detalles movimientos'!L$5:L$1000, MATCH(54, 'Detalles movimientos'!$R$5:$R$1000, 0)), "")</f>
        <v/>
      </c>
      <c r="K66" s="20" t="str">
        <f>IFERROR(INDEX('Detalles movimientos'!M$5:M$1000, MATCH(54, 'Detalles movimientos'!$R$5:$R$1000, 0)), "")</f>
        <v/>
      </c>
      <c r="L66" s="18" t="str">
        <f>IFERROR(INDEX('Detalles movimientos'!N$5:N$1000, MATCH(54, 'Detalles movimientos'!$R$5:$R$1000, 0)), "")</f>
        <v/>
      </c>
      <c r="M66" s="18" t="str">
        <f>IFERROR(INDEX('Detalles movimientos'!Q$5:Q$1000, MATCH(54, 'Detalles movimientos'!$R$5:$R$1000, 0)), "")</f>
        <v/>
      </c>
    </row>
    <row r="67" spans="2:13">
      <c r="B67" s="17" t="str">
        <f>IFERROR(INDEX('Detalles movimientos'!C$5:C$1000, MATCH(55, 'Detalles movimientos'!$R$5:$R$1000, 0)), "")</f>
        <v/>
      </c>
      <c r="C67" s="18" t="str">
        <f>IFERROR(INDEX('Detalles movimientos'!D$5:D$1000, MATCH(55, 'Detalles movimientos'!$R$5:$R$1000, 0)), "")</f>
        <v/>
      </c>
      <c r="D67" s="19" t="str">
        <f>IFERROR(INDEX('Detalles movimientos'!E$5:E$1000, MATCH(55, 'Detalles movimientos'!$R$5:$R$1000, 0)), "")</f>
        <v/>
      </c>
      <c r="E67" s="19" t="str">
        <f>IFERROR(INDEX('Detalles movimientos'!F$5:F$1000, MATCH(55, 'Detalles movimientos'!$R$5:$R$1000, 0)), "")</f>
        <v/>
      </c>
      <c r="F67" s="18" t="str">
        <f>IFERROR(INDEX('Detalles movimientos'!G$5:G$1000, MATCH(55, 'Detalles movimientos'!$R$5:$R$1000, 0)), "")</f>
        <v/>
      </c>
      <c r="G67" s="20" t="str">
        <f>IFERROR(INDEX('Detalles movimientos'!H$5:H$1000, MATCH(55, 'Detalles movimientos'!$R$5:$R$1000, 0)), "")</f>
        <v/>
      </c>
      <c r="H67" s="21" t="str">
        <f>IFERROR(INDEX('Detalles movimientos'!I$5:I$1000, MATCH(55, 'Detalles movimientos'!$R$5:$R$1000, 0)), "")</f>
        <v/>
      </c>
      <c r="I67" s="20" t="str">
        <f>IFERROR(INDEX('Detalles movimientos'!K$5:K$1000, MATCH(55, 'Detalles movimientos'!$R$5:$R$1000, 0)), "")</f>
        <v/>
      </c>
      <c r="J67" s="19" t="str">
        <f>IFERROR(INDEX('Detalles movimientos'!L$5:L$1000, MATCH(55, 'Detalles movimientos'!$R$5:$R$1000, 0)), "")</f>
        <v/>
      </c>
      <c r="K67" s="20" t="str">
        <f>IFERROR(INDEX('Detalles movimientos'!M$5:M$1000, MATCH(55, 'Detalles movimientos'!$R$5:$R$1000, 0)), "")</f>
        <v/>
      </c>
      <c r="L67" s="18" t="str">
        <f>IFERROR(INDEX('Detalles movimientos'!N$5:N$1000, MATCH(55, 'Detalles movimientos'!$R$5:$R$1000, 0)), "")</f>
        <v/>
      </c>
      <c r="M67" s="18" t="str">
        <f>IFERROR(INDEX('Detalles movimientos'!Q$5:Q$1000, MATCH(55, 'Detalles movimientos'!$R$5:$R$1000, 0)), "")</f>
        <v/>
      </c>
    </row>
    <row r="68" spans="2:13">
      <c r="B68" s="17" t="str">
        <f>IFERROR(INDEX('Detalles movimientos'!C$5:C$1000, MATCH(56, 'Detalles movimientos'!$R$5:$R$1000, 0)), "")</f>
        <v/>
      </c>
      <c r="C68" s="18" t="str">
        <f>IFERROR(INDEX('Detalles movimientos'!D$5:D$1000, MATCH(56, 'Detalles movimientos'!$R$5:$R$1000, 0)), "")</f>
        <v/>
      </c>
      <c r="D68" s="19" t="str">
        <f>IFERROR(INDEX('Detalles movimientos'!E$5:E$1000, MATCH(56, 'Detalles movimientos'!$R$5:$R$1000, 0)), "")</f>
        <v/>
      </c>
      <c r="E68" s="19" t="str">
        <f>IFERROR(INDEX('Detalles movimientos'!F$5:F$1000, MATCH(56, 'Detalles movimientos'!$R$5:$R$1000, 0)), "")</f>
        <v/>
      </c>
      <c r="F68" s="18" t="str">
        <f>IFERROR(INDEX('Detalles movimientos'!G$5:G$1000, MATCH(56, 'Detalles movimientos'!$R$5:$R$1000, 0)), "")</f>
        <v/>
      </c>
      <c r="G68" s="20" t="str">
        <f>IFERROR(INDEX('Detalles movimientos'!H$5:H$1000, MATCH(56, 'Detalles movimientos'!$R$5:$R$1000, 0)), "")</f>
        <v/>
      </c>
      <c r="H68" s="21" t="str">
        <f>IFERROR(INDEX('Detalles movimientos'!I$5:I$1000, MATCH(56, 'Detalles movimientos'!$R$5:$R$1000, 0)), "")</f>
        <v/>
      </c>
      <c r="I68" s="20" t="str">
        <f>IFERROR(INDEX('Detalles movimientos'!K$5:K$1000, MATCH(56, 'Detalles movimientos'!$R$5:$R$1000, 0)), "")</f>
        <v/>
      </c>
      <c r="J68" s="19" t="str">
        <f>IFERROR(INDEX('Detalles movimientos'!L$5:L$1000, MATCH(56, 'Detalles movimientos'!$R$5:$R$1000, 0)), "")</f>
        <v/>
      </c>
      <c r="K68" s="20" t="str">
        <f>IFERROR(INDEX('Detalles movimientos'!M$5:M$1000, MATCH(56, 'Detalles movimientos'!$R$5:$R$1000, 0)), "")</f>
        <v/>
      </c>
      <c r="L68" s="18" t="str">
        <f>IFERROR(INDEX('Detalles movimientos'!N$5:N$1000, MATCH(56, 'Detalles movimientos'!$R$5:$R$1000, 0)), "")</f>
        <v/>
      </c>
      <c r="M68" s="18" t="str">
        <f>IFERROR(INDEX('Detalles movimientos'!Q$5:Q$1000, MATCH(56, 'Detalles movimientos'!$R$5:$R$1000, 0)), "")</f>
        <v/>
      </c>
    </row>
    <row r="69" spans="2:13">
      <c r="B69" s="17" t="str">
        <f>IFERROR(INDEX('Detalles movimientos'!C$5:C$1000, MATCH(57, 'Detalles movimientos'!$R$5:$R$1000, 0)), "")</f>
        <v/>
      </c>
      <c r="C69" s="18" t="str">
        <f>IFERROR(INDEX('Detalles movimientos'!D$5:D$1000, MATCH(57, 'Detalles movimientos'!$R$5:$R$1000, 0)), "")</f>
        <v/>
      </c>
      <c r="D69" s="19" t="str">
        <f>IFERROR(INDEX('Detalles movimientos'!E$5:E$1000, MATCH(57, 'Detalles movimientos'!$R$5:$R$1000, 0)), "")</f>
        <v/>
      </c>
      <c r="E69" s="19" t="str">
        <f>IFERROR(INDEX('Detalles movimientos'!F$5:F$1000, MATCH(57, 'Detalles movimientos'!$R$5:$R$1000, 0)), "")</f>
        <v/>
      </c>
      <c r="F69" s="18" t="str">
        <f>IFERROR(INDEX('Detalles movimientos'!G$5:G$1000, MATCH(57, 'Detalles movimientos'!$R$5:$R$1000, 0)), "")</f>
        <v/>
      </c>
      <c r="G69" s="20" t="str">
        <f>IFERROR(INDEX('Detalles movimientos'!H$5:H$1000, MATCH(57, 'Detalles movimientos'!$R$5:$R$1000, 0)), "")</f>
        <v/>
      </c>
      <c r="H69" s="21" t="str">
        <f>IFERROR(INDEX('Detalles movimientos'!I$5:I$1000, MATCH(57, 'Detalles movimientos'!$R$5:$R$1000, 0)), "")</f>
        <v/>
      </c>
      <c r="I69" s="20" t="str">
        <f>IFERROR(INDEX('Detalles movimientos'!K$5:K$1000, MATCH(57, 'Detalles movimientos'!$R$5:$R$1000, 0)), "")</f>
        <v/>
      </c>
      <c r="J69" s="19" t="str">
        <f>IFERROR(INDEX('Detalles movimientos'!L$5:L$1000, MATCH(57, 'Detalles movimientos'!$R$5:$R$1000, 0)), "")</f>
        <v/>
      </c>
      <c r="K69" s="20" t="str">
        <f>IFERROR(INDEX('Detalles movimientos'!M$5:M$1000, MATCH(57, 'Detalles movimientos'!$R$5:$R$1000, 0)), "")</f>
        <v/>
      </c>
      <c r="L69" s="18" t="str">
        <f>IFERROR(INDEX('Detalles movimientos'!N$5:N$1000, MATCH(57, 'Detalles movimientos'!$R$5:$R$1000, 0)), "")</f>
        <v/>
      </c>
      <c r="M69" s="18" t="str">
        <f>IFERROR(INDEX('Detalles movimientos'!Q$5:Q$1000, MATCH(57, 'Detalles movimientos'!$R$5:$R$1000, 0)), "")</f>
        <v/>
      </c>
    </row>
    <row r="70" spans="2:13">
      <c r="B70" s="17" t="str">
        <f>IFERROR(INDEX('Detalles movimientos'!C$5:C$1000, MATCH(58, 'Detalles movimientos'!$R$5:$R$1000, 0)), "")</f>
        <v/>
      </c>
      <c r="C70" s="18" t="str">
        <f>IFERROR(INDEX('Detalles movimientos'!D$5:D$1000, MATCH(58, 'Detalles movimientos'!$R$5:$R$1000, 0)), "")</f>
        <v/>
      </c>
      <c r="D70" s="19" t="str">
        <f>IFERROR(INDEX('Detalles movimientos'!E$5:E$1000, MATCH(58, 'Detalles movimientos'!$R$5:$R$1000, 0)), "")</f>
        <v/>
      </c>
      <c r="E70" s="19" t="str">
        <f>IFERROR(INDEX('Detalles movimientos'!F$5:F$1000, MATCH(58, 'Detalles movimientos'!$R$5:$R$1000, 0)), "")</f>
        <v/>
      </c>
      <c r="F70" s="18" t="str">
        <f>IFERROR(INDEX('Detalles movimientos'!G$5:G$1000, MATCH(58, 'Detalles movimientos'!$R$5:$R$1000, 0)), "")</f>
        <v/>
      </c>
      <c r="G70" s="20" t="str">
        <f>IFERROR(INDEX('Detalles movimientos'!H$5:H$1000, MATCH(58, 'Detalles movimientos'!$R$5:$R$1000, 0)), "")</f>
        <v/>
      </c>
      <c r="H70" s="21" t="str">
        <f>IFERROR(INDEX('Detalles movimientos'!I$5:I$1000, MATCH(58, 'Detalles movimientos'!$R$5:$R$1000, 0)), "")</f>
        <v/>
      </c>
      <c r="I70" s="20" t="str">
        <f>IFERROR(INDEX('Detalles movimientos'!K$5:K$1000, MATCH(58, 'Detalles movimientos'!$R$5:$R$1000, 0)), "")</f>
        <v/>
      </c>
      <c r="J70" s="19" t="str">
        <f>IFERROR(INDEX('Detalles movimientos'!L$5:L$1000, MATCH(58, 'Detalles movimientos'!$R$5:$R$1000, 0)), "")</f>
        <v/>
      </c>
      <c r="K70" s="20" t="str">
        <f>IFERROR(INDEX('Detalles movimientos'!M$5:M$1000, MATCH(58, 'Detalles movimientos'!$R$5:$R$1000, 0)), "")</f>
        <v/>
      </c>
      <c r="L70" s="18" t="str">
        <f>IFERROR(INDEX('Detalles movimientos'!N$5:N$1000, MATCH(58, 'Detalles movimientos'!$R$5:$R$1000, 0)), "")</f>
        <v/>
      </c>
      <c r="M70" s="18" t="str">
        <f>IFERROR(INDEX('Detalles movimientos'!Q$5:Q$1000, MATCH(58, 'Detalles movimientos'!$R$5:$R$1000, 0)), "")</f>
        <v/>
      </c>
    </row>
    <row r="71" spans="2:13">
      <c r="B71" s="17" t="str">
        <f>IFERROR(INDEX('Detalles movimientos'!C$5:C$1000, MATCH(59, 'Detalles movimientos'!$R$5:$R$1000, 0)), "")</f>
        <v/>
      </c>
      <c r="C71" s="18" t="str">
        <f>IFERROR(INDEX('Detalles movimientos'!D$5:D$1000, MATCH(59, 'Detalles movimientos'!$R$5:$R$1000, 0)), "")</f>
        <v/>
      </c>
      <c r="D71" s="19" t="str">
        <f>IFERROR(INDEX('Detalles movimientos'!E$5:E$1000, MATCH(59, 'Detalles movimientos'!$R$5:$R$1000, 0)), "")</f>
        <v/>
      </c>
      <c r="E71" s="19" t="str">
        <f>IFERROR(INDEX('Detalles movimientos'!F$5:F$1000, MATCH(59, 'Detalles movimientos'!$R$5:$R$1000, 0)), "")</f>
        <v/>
      </c>
      <c r="F71" s="18" t="str">
        <f>IFERROR(INDEX('Detalles movimientos'!G$5:G$1000, MATCH(59, 'Detalles movimientos'!$R$5:$R$1000, 0)), "")</f>
        <v/>
      </c>
      <c r="G71" s="20" t="str">
        <f>IFERROR(INDEX('Detalles movimientos'!H$5:H$1000, MATCH(59, 'Detalles movimientos'!$R$5:$R$1000, 0)), "")</f>
        <v/>
      </c>
      <c r="H71" s="21" t="str">
        <f>IFERROR(INDEX('Detalles movimientos'!I$5:I$1000, MATCH(59, 'Detalles movimientos'!$R$5:$R$1000, 0)), "")</f>
        <v/>
      </c>
      <c r="I71" s="20" t="str">
        <f>IFERROR(INDEX('Detalles movimientos'!K$5:K$1000, MATCH(59, 'Detalles movimientos'!$R$5:$R$1000, 0)), "")</f>
        <v/>
      </c>
      <c r="J71" s="19" t="str">
        <f>IFERROR(INDEX('Detalles movimientos'!L$5:L$1000, MATCH(59, 'Detalles movimientos'!$R$5:$R$1000, 0)), "")</f>
        <v/>
      </c>
      <c r="K71" s="20" t="str">
        <f>IFERROR(INDEX('Detalles movimientos'!M$5:M$1000, MATCH(59, 'Detalles movimientos'!$R$5:$R$1000, 0)), "")</f>
        <v/>
      </c>
      <c r="L71" s="18" t="str">
        <f>IFERROR(INDEX('Detalles movimientos'!N$5:N$1000, MATCH(59, 'Detalles movimientos'!$R$5:$R$1000, 0)), "")</f>
        <v/>
      </c>
      <c r="M71" s="18" t="str">
        <f>IFERROR(INDEX('Detalles movimientos'!Q$5:Q$1000, MATCH(59, 'Detalles movimientos'!$R$5:$R$1000, 0)), "")</f>
        <v/>
      </c>
    </row>
    <row r="72" spans="2:13">
      <c r="B72" s="17" t="str">
        <f>IFERROR(INDEX('Detalles movimientos'!C$5:C$1000, MATCH(60, 'Detalles movimientos'!$R$5:$R$1000, 0)), "")</f>
        <v/>
      </c>
      <c r="C72" s="18" t="str">
        <f>IFERROR(INDEX('Detalles movimientos'!D$5:D$1000, MATCH(60, 'Detalles movimientos'!$R$5:$R$1000, 0)), "")</f>
        <v/>
      </c>
      <c r="D72" s="19" t="str">
        <f>IFERROR(INDEX('Detalles movimientos'!E$5:E$1000, MATCH(60, 'Detalles movimientos'!$R$5:$R$1000, 0)), "")</f>
        <v/>
      </c>
      <c r="E72" s="19" t="str">
        <f>IFERROR(INDEX('Detalles movimientos'!F$5:F$1000, MATCH(60, 'Detalles movimientos'!$R$5:$R$1000, 0)), "")</f>
        <v/>
      </c>
      <c r="F72" s="18" t="str">
        <f>IFERROR(INDEX('Detalles movimientos'!G$5:G$1000, MATCH(60, 'Detalles movimientos'!$R$5:$R$1000, 0)), "")</f>
        <v/>
      </c>
      <c r="G72" s="20" t="str">
        <f>IFERROR(INDEX('Detalles movimientos'!H$5:H$1000, MATCH(60, 'Detalles movimientos'!$R$5:$R$1000, 0)), "")</f>
        <v/>
      </c>
      <c r="H72" s="21" t="str">
        <f>IFERROR(INDEX('Detalles movimientos'!I$5:I$1000, MATCH(60, 'Detalles movimientos'!$R$5:$R$1000, 0)), "")</f>
        <v/>
      </c>
      <c r="I72" s="20" t="str">
        <f>IFERROR(INDEX('Detalles movimientos'!K$5:K$1000, MATCH(60, 'Detalles movimientos'!$R$5:$R$1000, 0)), "")</f>
        <v/>
      </c>
      <c r="J72" s="19" t="str">
        <f>IFERROR(INDEX('Detalles movimientos'!L$5:L$1000, MATCH(60, 'Detalles movimientos'!$R$5:$R$1000, 0)), "")</f>
        <v/>
      </c>
      <c r="K72" s="20" t="str">
        <f>IFERROR(INDEX('Detalles movimientos'!M$5:M$1000, MATCH(60, 'Detalles movimientos'!$R$5:$R$1000, 0)), "")</f>
        <v/>
      </c>
      <c r="L72" s="18" t="str">
        <f>IFERROR(INDEX('Detalles movimientos'!N$5:N$1000, MATCH(60, 'Detalles movimientos'!$R$5:$R$1000, 0)), "")</f>
        <v/>
      </c>
      <c r="M72" s="18" t="str">
        <f>IFERROR(INDEX('Detalles movimientos'!Q$5:Q$1000, MATCH(60, 'Detalles movimientos'!$R$5:$R$1000, 0)), "")</f>
        <v/>
      </c>
    </row>
    <row r="73" spans="2:13">
      <c r="B73" s="17" t="str">
        <f>IFERROR(INDEX('Detalles movimientos'!C$5:C$1000, MATCH(61, 'Detalles movimientos'!$R$5:$R$1000, 0)), "")</f>
        <v/>
      </c>
      <c r="C73" s="18" t="str">
        <f>IFERROR(INDEX('Detalles movimientos'!D$5:D$1000, MATCH(61, 'Detalles movimientos'!$R$5:$R$1000, 0)), "")</f>
        <v/>
      </c>
      <c r="D73" s="19" t="str">
        <f>IFERROR(INDEX('Detalles movimientos'!E$5:E$1000, MATCH(61, 'Detalles movimientos'!$R$5:$R$1000, 0)), "")</f>
        <v/>
      </c>
      <c r="E73" s="19" t="str">
        <f>IFERROR(INDEX('Detalles movimientos'!F$5:F$1000, MATCH(61, 'Detalles movimientos'!$R$5:$R$1000, 0)), "")</f>
        <v/>
      </c>
      <c r="F73" s="18" t="str">
        <f>IFERROR(INDEX('Detalles movimientos'!G$5:G$1000, MATCH(61, 'Detalles movimientos'!$R$5:$R$1000, 0)), "")</f>
        <v/>
      </c>
      <c r="G73" s="20" t="str">
        <f>IFERROR(INDEX('Detalles movimientos'!H$5:H$1000, MATCH(61, 'Detalles movimientos'!$R$5:$R$1000, 0)), "")</f>
        <v/>
      </c>
      <c r="H73" s="21" t="str">
        <f>IFERROR(INDEX('Detalles movimientos'!I$5:I$1000, MATCH(61, 'Detalles movimientos'!$R$5:$R$1000, 0)), "")</f>
        <v/>
      </c>
      <c r="I73" s="20" t="str">
        <f>IFERROR(INDEX('Detalles movimientos'!K$5:K$1000, MATCH(61, 'Detalles movimientos'!$R$5:$R$1000, 0)), "")</f>
        <v/>
      </c>
      <c r="J73" s="19" t="str">
        <f>IFERROR(INDEX('Detalles movimientos'!L$5:L$1000, MATCH(61, 'Detalles movimientos'!$R$5:$R$1000, 0)), "")</f>
        <v/>
      </c>
      <c r="K73" s="20" t="str">
        <f>IFERROR(INDEX('Detalles movimientos'!M$5:M$1000, MATCH(61, 'Detalles movimientos'!$R$5:$R$1000, 0)), "")</f>
        <v/>
      </c>
      <c r="L73" s="18" t="str">
        <f>IFERROR(INDEX('Detalles movimientos'!N$5:N$1000, MATCH(61, 'Detalles movimientos'!$R$5:$R$1000, 0)), "")</f>
        <v/>
      </c>
      <c r="M73" s="18" t="str">
        <f>IFERROR(INDEX('Detalles movimientos'!Q$5:Q$1000, MATCH(61, 'Detalles movimientos'!$R$5:$R$1000, 0)), "")</f>
        <v/>
      </c>
    </row>
    <row r="74" spans="2:13">
      <c r="B74" s="17" t="str">
        <f>IFERROR(INDEX('Detalles movimientos'!C$5:C$1000, MATCH(62, 'Detalles movimientos'!$R$5:$R$1000, 0)), "")</f>
        <v/>
      </c>
      <c r="C74" s="18" t="str">
        <f>IFERROR(INDEX('Detalles movimientos'!D$5:D$1000, MATCH(62, 'Detalles movimientos'!$R$5:$R$1000, 0)), "")</f>
        <v/>
      </c>
      <c r="D74" s="19" t="str">
        <f>IFERROR(INDEX('Detalles movimientos'!E$5:E$1000, MATCH(62, 'Detalles movimientos'!$R$5:$R$1000, 0)), "")</f>
        <v/>
      </c>
      <c r="E74" s="19" t="str">
        <f>IFERROR(INDEX('Detalles movimientos'!F$5:F$1000, MATCH(62, 'Detalles movimientos'!$R$5:$R$1000, 0)), "")</f>
        <v/>
      </c>
      <c r="F74" s="18" t="str">
        <f>IFERROR(INDEX('Detalles movimientos'!G$5:G$1000, MATCH(62, 'Detalles movimientos'!$R$5:$R$1000, 0)), "")</f>
        <v/>
      </c>
      <c r="G74" s="20" t="str">
        <f>IFERROR(INDEX('Detalles movimientos'!H$5:H$1000, MATCH(62, 'Detalles movimientos'!$R$5:$R$1000, 0)), "")</f>
        <v/>
      </c>
      <c r="H74" s="21" t="str">
        <f>IFERROR(INDEX('Detalles movimientos'!I$5:I$1000, MATCH(62, 'Detalles movimientos'!$R$5:$R$1000, 0)), "")</f>
        <v/>
      </c>
      <c r="I74" s="20" t="str">
        <f>IFERROR(INDEX('Detalles movimientos'!K$5:K$1000, MATCH(62, 'Detalles movimientos'!$R$5:$R$1000, 0)), "")</f>
        <v/>
      </c>
      <c r="J74" s="19" t="str">
        <f>IFERROR(INDEX('Detalles movimientos'!L$5:L$1000, MATCH(62, 'Detalles movimientos'!$R$5:$R$1000, 0)), "")</f>
        <v/>
      </c>
      <c r="K74" s="20" t="str">
        <f>IFERROR(INDEX('Detalles movimientos'!M$5:M$1000, MATCH(62, 'Detalles movimientos'!$R$5:$R$1000, 0)), "")</f>
        <v/>
      </c>
      <c r="L74" s="18" t="str">
        <f>IFERROR(INDEX('Detalles movimientos'!N$5:N$1000, MATCH(62, 'Detalles movimientos'!$R$5:$R$1000, 0)), "")</f>
        <v/>
      </c>
      <c r="M74" s="18" t="str">
        <f>IFERROR(INDEX('Detalles movimientos'!Q$5:Q$1000, MATCH(62, 'Detalles movimientos'!$R$5:$R$1000, 0)), "")</f>
        <v/>
      </c>
    </row>
    <row r="75" spans="2:13">
      <c r="B75" s="17" t="str">
        <f>IFERROR(INDEX('Detalles movimientos'!C$5:C$1000, MATCH(63, 'Detalles movimientos'!$R$5:$R$1000, 0)), "")</f>
        <v/>
      </c>
      <c r="C75" s="18" t="str">
        <f>IFERROR(INDEX('Detalles movimientos'!D$5:D$1000, MATCH(63, 'Detalles movimientos'!$R$5:$R$1000, 0)), "")</f>
        <v/>
      </c>
      <c r="D75" s="19" t="str">
        <f>IFERROR(INDEX('Detalles movimientos'!E$5:E$1000, MATCH(63, 'Detalles movimientos'!$R$5:$R$1000, 0)), "")</f>
        <v/>
      </c>
      <c r="E75" s="19" t="str">
        <f>IFERROR(INDEX('Detalles movimientos'!F$5:F$1000, MATCH(63, 'Detalles movimientos'!$R$5:$R$1000, 0)), "")</f>
        <v/>
      </c>
      <c r="F75" s="18" t="str">
        <f>IFERROR(INDEX('Detalles movimientos'!G$5:G$1000, MATCH(63, 'Detalles movimientos'!$R$5:$R$1000, 0)), "")</f>
        <v/>
      </c>
      <c r="G75" s="20" t="str">
        <f>IFERROR(INDEX('Detalles movimientos'!H$5:H$1000, MATCH(63, 'Detalles movimientos'!$R$5:$R$1000, 0)), "")</f>
        <v/>
      </c>
      <c r="H75" s="21" t="str">
        <f>IFERROR(INDEX('Detalles movimientos'!I$5:I$1000, MATCH(63, 'Detalles movimientos'!$R$5:$R$1000, 0)), "")</f>
        <v/>
      </c>
      <c r="I75" s="20" t="str">
        <f>IFERROR(INDEX('Detalles movimientos'!K$5:K$1000, MATCH(63, 'Detalles movimientos'!$R$5:$R$1000, 0)), "")</f>
        <v/>
      </c>
      <c r="J75" s="19" t="str">
        <f>IFERROR(INDEX('Detalles movimientos'!L$5:L$1000, MATCH(63, 'Detalles movimientos'!$R$5:$R$1000, 0)), "")</f>
        <v/>
      </c>
      <c r="K75" s="20" t="str">
        <f>IFERROR(INDEX('Detalles movimientos'!M$5:M$1000, MATCH(63, 'Detalles movimientos'!$R$5:$R$1000, 0)), "")</f>
        <v/>
      </c>
      <c r="L75" s="18" t="str">
        <f>IFERROR(INDEX('Detalles movimientos'!N$5:N$1000, MATCH(63, 'Detalles movimientos'!$R$5:$R$1000, 0)), "")</f>
        <v/>
      </c>
      <c r="M75" s="18" t="str">
        <f>IFERROR(INDEX('Detalles movimientos'!Q$5:Q$1000, MATCH(63, 'Detalles movimientos'!$R$5:$R$1000, 0)), "")</f>
        <v/>
      </c>
    </row>
    <row r="76" spans="2:13">
      <c r="B76" s="17" t="str">
        <f>IFERROR(INDEX('Detalles movimientos'!C$5:C$1000, MATCH(64, 'Detalles movimientos'!$R$5:$R$1000, 0)), "")</f>
        <v/>
      </c>
      <c r="C76" s="18" t="str">
        <f>IFERROR(INDEX('Detalles movimientos'!D$5:D$1000, MATCH(64, 'Detalles movimientos'!$R$5:$R$1000, 0)), "")</f>
        <v/>
      </c>
      <c r="D76" s="19" t="str">
        <f>IFERROR(INDEX('Detalles movimientos'!E$5:E$1000, MATCH(64, 'Detalles movimientos'!$R$5:$R$1000, 0)), "")</f>
        <v/>
      </c>
      <c r="E76" s="19" t="str">
        <f>IFERROR(INDEX('Detalles movimientos'!F$5:F$1000, MATCH(64, 'Detalles movimientos'!$R$5:$R$1000, 0)), "")</f>
        <v/>
      </c>
      <c r="F76" s="18" t="str">
        <f>IFERROR(INDEX('Detalles movimientos'!G$5:G$1000, MATCH(64, 'Detalles movimientos'!$R$5:$R$1000, 0)), "")</f>
        <v/>
      </c>
      <c r="G76" s="20" t="str">
        <f>IFERROR(INDEX('Detalles movimientos'!H$5:H$1000, MATCH(64, 'Detalles movimientos'!$R$5:$R$1000, 0)), "")</f>
        <v/>
      </c>
      <c r="H76" s="21" t="str">
        <f>IFERROR(INDEX('Detalles movimientos'!I$5:I$1000, MATCH(64, 'Detalles movimientos'!$R$5:$R$1000, 0)), "")</f>
        <v/>
      </c>
      <c r="I76" s="20" t="str">
        <f>IFERROR(INDEX('Detalles movimientos'!K$5:K$1000, MATCH(64, 'Detalles movimientos'!$R$5:$R$1000, 0)), "")</f>
        <v/>
      </c>
      <c r="J76" s="19" t="str">
        <f>IFERROR(INDEX('Detalles movimientos'!L$5:L$1000, MATCH(64, 'Detalles movimientos'!$R$5:$R$1000, 0)), "")</f>
        <v/>
      </c>
      <c r="K76" s="20" t="str">
        <f>IFERROR(INDEX('Detalles movimientos'!M$5:M$1000, MATCH(64, 'Detalles movimientos'!$R$5:$R$1000, 0)), "")</f>
        <v/>
      </c>
      <c r="L76" s="18" t="str">
        <f>IFERROR(INDEX('Detalles movimientos'!N$5:N$1000, MATCH(64, 'Detalles movimientos'!$R$5:$R$1000, 0)), "")</f>
        <v/>
      </c>
      <c r="M76" s="18" t="str">
        <f>IFERROR(INDEX('Detalles movimientos'!Q$5:Q$1000, MATCH(64, 'Detalles movimientos'!$R$5:$R$1000, 0)), "")</f>
        <v/>
      </c>
    </row>
    <row r="77" spans="2:13">
      <c r="B77" s="17" t="str">
        <f>IFERROR(INDEX('Detalles movimientos'!C$5:C$1000, MATCH(65, 'Detalles movimientos'!$R$5:$R$1000, 0)), "")</f>
        <v/>
      </c>
      <c r="C77" s="18" t="str">
        <f>IFERROR(INDEX('Detalles movimientos'!D$5:D$1000, MATCH(65, 'Detalles movimientos'!$R$5:$R$1000, 0)), "")</f>
        <v/>
      </c>
      <c r="D77" s="19" t="str">
        <f>IFERROR(INDEX('Detalles movimientos'!E$5:E$1000, MATCH(65, 'Detalles movimientos'!$R$5:$R$1000, 0)), "")</f>
        <v/>
      </c>
      <c r="E77" s="19" t="str">
        <f>IFERROR(INDEX('Detalles movimientos'!F$5:F$1000, MATCH(65, 'Detalles movimientos'!$R$5:$R$1000, 0)), "")</f>
        <v/>
      </c>
      <c r="F77" s="18" t="str">
        <f>IFERROR(INDEX('Detalles movimientos'!G$5:G$1000, MATCH(65, 'Detalles movimientos'!$R$5:$R$1000, 0)), "")</f>
        <v/>
      </c>
      <c r="G77" s="20" t="str">
        <f>IFERROR(INDEX('Detalles movimientos'!H$5:H$1000, MATCH(65, 'Detalles movimientos'!$R$5:$R$1000, 0)), "")</f>
        <v/>
      </c>
      <c r="H77" s="21" t="str">
        <f>IFERROR(INDEX('Detalles movimientos'!I$5:I$1000, MATCH(65, 'Detalles movimientos'!$R$5:$R$1000, 0)), "")</f>
        <v/>
      </c>
      <c r="I77" s="20" t="str">
        <f>IFERROR(INDEX('Detalles movimientos'!K$5:K$1000, MATCH(65, 'Detalles movimientos'!$R$5:$R$1000, 0)), "")</f>
        <v/>
      </c>
      <c r="J77" s="19" t="str">
        <f>IFERROR(INDEX('Detalles movimientos'!L$5:L$1000, MATCH(65, 'Detalles movimientos'!$R$5:$R$1000, 0)), "")</f>
        <v/>
      </c>
      <c r="K77" s="20" t="str">
        <f>IFERROR(INDEX('Detalles movimientos'!M$5:M$1000, MATCH(65, 'Detalles movimientos'!$R$5:$R$1000, 0)), "")</f>
        <v/>
      </c>
      <c r="L77" s="18" t="str">
        <f>IFERROR(INDEX('Detalles movimientos'!N$5:N$1000, MATCH(65, 'Detalles movimientos'!$R$5:$R$1000, 0)), "")</f>
        <v/>
      </c>
      <c r="M77" s="18" t="str">
        <f>IFERROR(INDEX('Detalles movimientos'!Q$5:Q$1000, MATCH(65, 'Detalles movimientos'!$R$5:$R$1000, 0)), "")</f>
        <v/>
      </c>
    </row>
    <row r="78" spans="2:13">
      <c r="B78" s="17" t="str">
        <f>IFERROR(INDEX('Detalles movimientos'!C$5:C$1000, MATCH(66, 'Detalles movimientos'!$R$5:$R$1000, 0)), "")</f>
        <v/>
      </c>
      <c r="C78" s="18" t="str">
        <f>IFERROR(INDEX('Detalles movimientos'!D$5:D$1000, MATCH(66, 'Detalles movimientos'!$R$5:$R$1000, 0)), "")</f>
        <v/>
      </c>
      <c r="D78" s="19" t="str">
        <f>IFERROR(INDEX('Detalles movimientos'!E$5:E$1000, MATCH(66, 'Detalles movimientos'!$R$5:$R$1000, 0)), "")</f>
        <v/>
      </c>
      <c r="E78" s="19" t="str">
        <f>IFERROR(INDEX('Detalles movimientos'!F$5:F$1000, MATCH(66, 'Detalles movimientos'!$R$5:$R$1000, 0)), "")</f>
        <v/>
      </c>
      <c r="F78" s="18" t="str">
        <f>IFERROR(INDEX('Detalles movimientos'!G$5:G$1000, MATCH(66, 'Detalles movimientos'!$R$5:$R$1000, 0)), "")</f>
        <v/>
      </c>
      <c r="G78" s="20" t="str">
        <f>IFERROR(INDEX('Detalles movimientos'!H$5:H$1000, MATCH(66, 'Detalles movimientos'!$R$5:$R$1000, 0)), "")</f>
        <v/>
      </c>
      <c r="H78" s="21" t="str">
        <f>IFERROR(INDEX('Detalles movimientos'!I$5:I$1000, MATCH(66, 'Detalles movimientos'!$R$5:$R$1000, 0)), "")</f>
        <v/>
      </c>
      <c r="I78" s="20" t="str">
        <f>IFERROR(INDEX('Detalles movimientos'!K$5:K$1000, MATCH(66, 'Detalles movimientos'!$R$5:$R$1000, 0)), "")</f>
        <v/>
      </c>
      <c r="J78" s="19" t="str">
        <f>IFERROR(INDEX('Detalles movimientos'!L$5:L$1000, MATCH(66, 'Detalles movimientos'!$R$5:$R$1000, 0)), "")</f>
        <v/>
      </c>
      <c r="K78" s="20" t="str">
        <f>IFERROR(INDEX('Detalles movimientos'!M$5:M$1000, MATCH(66, 'Detalles movimientos'!$R$5:$R$1000, 0)), "")</f>
        <v/>
      </c>
      <c r="L78" s="18" t="str">
        <f>IFERROR(INDEX('Detalles movimientos'!N$5:N$1000, MATCH(66, 'Detalles movimientos'!$R$5:$R$1000, 0)), "")</f>
        <v/>
      </c>
      <c r="M78" s="18" t="str">
        <f>IFERROR(INDEX('Detalles movimientos'!Q$5:Q$1000, MATCH(66, 'Detalles movimientos'!$R$5:$R$1000, 0)), "")</f>
        <v/>
      </c>
    </row>
    <row r="79" spans="2:13">
      <c r="B79" s="17" t="str">
        <f>IFERROR(INDEX('Detalles movimientos'!C$5:C$1000, MATCH(67, 'Detalles movimientos'!$R$5:$R$1000, 0)), "")</f>
        <v/>
      </c>
      <c r="C79" s="18" t="str">
        <f>IFERROR(INDEX('Detalles movimientos'!D$5:D$1000, MATCH(67, 'Detalles movimientos'!$R$5:$R$1000, 0)), "")</f>
        <v/>
      </c>
      <c r="D79" s="19" t="str">
        <f>IFERROR(INDEX('Detalles movimientos'!E$5:E$1000, MATCH(67, 'Detalles movimientos'!$R$5:$R$1000, 0)), "")</f>
        <v/>
      </c>
      <c r="E79" s="19" t="str">
        <f>IFERROR(INDEX('Detalles movimientos'!F$5:F$1000, MATCH(67, 'Detalles movimientos'!$R$5:$R$1000, 0)), "")</f>
        <v/>
      </c>
      <c r="F79" s="18" t="str">
        <f>IFERROR(INDEX('Detalles movimientos'!G$5:G$1000, MATCH(67, 'Detalles movimientos'!$R$5:$R$1000, 0)), "")</f>
        <v/>
      </c>
      <c r="G79" s="20" t="str">
        <f>IFERROR(INDEX('Detalles movimientos'!H$5:H$1000, MATCH(67, 'Detalles movimientos'!$R$5:$R$1000, 0)), "")</f>
        <v/>
      </c>
      <c r="H79" s="21" t="str">
        <f>IFERROR(INDEX('Detalles movimientos'!I$5:I$1000, MATCH(67, 'Detalles movimientos'!$R$5:$R$1000, 0)), "")</f>
        <v/>
      </c>
      <c r="I79" s="20" t="str">
        <f>IFERROR(INDEX('Detalles movimientos'!K$5:K$1000, MATCH(67, 'Detalles movimientos'!$R$5:$R$1000, 0)), "")</f>
        <v/>
      </c>
      <c r="J79" s="19" t="str">
        <f>IFERROR(INDEX('Detalles movimientos'!L$5:L$1000, MATCH(67, 'Detalles movimientos'!$R$5:$R$1000, 0)), "")</f>
        <v/>
      </c>
      <c r="K79" s="20" t="str">
        <f>IFERROR(INDEX('Detalles movimientos'!M$5:M$1000, MATCH(67, 'Detalles movimientos'!$R$5:$R$1000, 0)), "")</f>
        <v/>
      </c>
      <c r="L79" s="18" t="str">
        <f>IFERROR(INDEX('Detalles movimientos'!N$5:N$1000, MATCH(67, 'Detalles movimientos'!$R$5:$R$1000, 0)), "")</f>
        <v/>
      </c>
      <c r="M79" s="18" t="str">
        <f>IFERROR(INDEX('Detalles movimientos'!Q$5:Q$1000, MATCH(67, 'Detalles movimientos'!$R$5:$R$1000, 0)), "")</f>
        <v/>
      </c>
    </row>
    <row r="80" spans="2:13">
      <c r="B80" s="17" t="str">
        <f>IFERROR(INDEX('Detalles movimientos'!C$5:C$1000, MATCH(68, 'Detalles movimientos'!$R$5:$R$1000, 0)), "")</f>
        <v/>
      </c>
      <c r="C80" s="18" t="str">
        <f>IFERROR(INDEX('Detalles movimientos'!D$5:D$1000, MATCH(68, 'Detalles movimientos'!$R$5:$R$1000, 0)), "")</f>
        <v/>
      </c>
      <c r="D80" s="19" t="str">
        <f>IFERROR(INDEX('Detalles movimientos'!E$5:E$1000, MATCH(68, 'Detalles movimientos'!$R$5:$R$1000, 0)), "")</f>
        <v/>
      </c>
      <c r="E80" s="19" t="str">
        <f>IFERROR(INDEX('Detalles movimientos'!F$5:F$1000, MATCH(68, 'Detalles movimientos'!$R$5:$R$1000, 0)), "")</f>
        <v/>
      </c>
      <c r="F80" s="18" t="str">
        <f>IFERROR(INDEX('Detalles movimientos'!G$5:G$1000, MATCH(68, 'Detalles movimientos'!$R$5:$R$1000, 0)), "")</f>
        <v/>
      </c>
      <c r="G80" s="20" t="str">
        <f>IFERROR(INDEX('Detalles movimientos'!H$5:H$1000, MATCH(68, 'Detalles movimientos'!$R$5:$R$1000, 0)), "")</f>
        <v/>
      </c>
      <c r="H80" s="21" t="str">
        <f>IFERROR(INDEX('Detalles movimientos'!I$5:I$1000, MATCH(68, 'Detalles movimientos'!$R$5:$R$1000, 0)), "")</f>
        <v/>
      </c>
      <c r="I80" s="20" t="str">
        <f>IFERROR(INDEX('Detalles movimientos'!K$5:K$1000, MATCH(68, 'Detalles movimientos'!$R$5:$R$1000, 0)), "")</f>
        <v/>
      </c>
      <c r="J80" s="19" t="str">
        <f>IFERROR(INDEX('Detalles movimientos'!L$5:L$1000, MATCH(68, 'Detalles movimientos'!$R$5:$R$1000, 0)), "")</f>
        <v/>
      </c>
      <c r="K80" s="20" t="str">
        <f>IFERROR(INDEX('Detalles movimientos'!M$5:M$1000, MATCH(68, 'Detalles movimientos'!$R$5:$R$1000, 0)), "")</f>
        <v/>
      </c>
      <c r="L80" s="18" t="str">
        <f>IFERROR(INDEX('Detalles movimientos'!N$5:N$1000, MATCH(68, 'Detalles movimientos'!$R$5:$R$1000, 0)), "")</f>
        <v/>
      </c>
      <c r="M80" s="18" t="str">
        <f>IFERROR(INDEX('Detalles movimientos'!Q$5:Q$1000, MATCH(68, 'Detalles movimientos'!$R$5:$R$1000, 0)), "")</f>
        <v/>
      </c>
    </row>
    <row r="81" spans="2:13">
      <c r="B81" s="17" t="str">
        <f>IFERROR(INDEX('Detalles movimientos'!C$5:C$1000, MATCH(69, 'Detalles movimientos'!$R$5:$R$1000, 0)), "")</f>
        <v/>
      </c>
      <c r="C81" s="18" t="str">
        <f>IFERROR(INDEX('Detalles movimientos'!D$5:D$1000, MATCH(69, 'Detalles movimientos'!$R$5:$R$1000, 0)), "")</f>
        <v/>
      </c>
      <c r="D81" s="19" t="str">
        <f>IFERROR(INDEX('Detalles movimientos'!E$5:E$1000, MATCH(69, 'Detalles movimientos'!$R$5:$R$1000, 0)), "")</f>
        <v/>
      </c>
      <c r="E81" s="19" t="str">
        <f>IFERROR(INDEX('Detalles movimientos'!F$5:F$1000, MATCH(69, 'Detalles movimientos'!$R$5:$R$1000, 0)), "")</f>
        <v/>
      </c>
      <c r="F81" s="18" t="str">
        <f>IFERROR(INDEX('Detalles movimientos'!G$5:G$1000, MATCH(69, 'Detalles movimientos'!$R$5:$R$1000, 0)), "")</f>
        <v/>
      </c>
      <c r="G81" s="20" t="str">
        <f>IFERROR(INDEX('Detalles movimientos'!H$5:H$1000, MATCH(69, 'Detalles movimientos'!$R$5:$R$1000, 0)), "")</f>
        <v/>
      </c>
      <c r="H81" s="21" t="str">
        <f>IFERROR(INDEX('Detalles movimientos'!I$5:I$1000, MATCH(69, 'Detalles movimientos'!$R$5:$R$1000, 0)), "")</f>
        <v/>
      </c>
      <c r="I81" s="20" t="str">
        <f>IFERROR(INDEX('Detalles movimientos'!K$5:K$1000, MATCH(69, 'Detalles movimientos'!$R$5:$R$1000, 0)), "")</f>
        <v/>
      </c>
      <c r="J81" s="19" t="str">
        <f>IFERROR(INDEX('Detalles movimientos'!L$5:L$1000, MATCH(69, 'Detalles movimientos'!$R$5:$R$1000, 0)), "")</f>
        <v/>
      </c>
      <c r="K81" s="20" t="str">
        <f>IFERROR(INDEX('Detalles movimientos'!M$5:M$1000, MATCH(69, 'Detalles movimientos'!$R$5:$R$1000, 0)), "")</f>
        <v/>
      </c>
      <c r="L81" s="18" t="str">
        <f>IFERROR(INDEX('Detalles movimientos'!N$5:N$1000, MATCH(69, 'Detalles movimientos'!$R$5:$R$1000, 0)), "")</f>
        <v/>
      </c>
      <c r="M81" s="18" t="str">
        <f>IFERROR(INDEX('Detalles movimientos'!Q$5:Q$1000, MATCH(69, 'Detalles movimientos'!$R$5:$R$1000, 0)), "")</f>
        <v/>
      </c>
    </row>
    <row r="82" spans="2:13">
      <c r="B82" s="17" t="str">
        <f>IFERROR(INDEX('Detalles movimientos'!C$5:C$1000, MATCH(70, 'Detalles movimientos'!$R$5:$R$1000, 0)), "")</f>
        <v/>
      </c>
      <c r="C82" s="18" t="str">
        <f>IFERROR(INDEX('Detalles movimientos'!D$5:D$1000, MATCH(70, 'Detalles movimientos'!$R$5:$R$1000, 0)), "")</f>
        <v/>
      </c>
      <c r="D82" s="19" t="str">
        <f>IFERROR(INDEX('Detalles movimientos'!E$5:E$1000, MATCH(70, 'Detalles movimientos'!$R$5:$R$1000, 0)), "")</f>
        <v/>
      </c>
      <c r="E82" s="19" t="str">
        <f>IFERROR(INDEX('Detalles movimientos'!F$5:F$1000, MATCH(70, 'Detalles movimientos'!$R$5:$R$1000, 0)), "")</f>
        <v/>
      </c>
      <c r="F82" s="18" t="str">
        <f>IFERROR(INDEX('Detalles movimientos'!G$5:G$1000, MATCH(70, 'Detalles movimientos'!$R$5:$R$1000, 0)), "")</f>
        <v/>
      </c>
      <c r="G82" s="20" t="str">
        <f>IFERROR(INDEX('Detalles movimientos'!H$5:H$1000, MATCH(70, 'Detalles movimientos'!$R$5:$R$1000, 0)), "")</f>
        <v/>
      </c>
      <c r="H82" s="21" t="str">
        <f>IFERROR(INDEX('Detalles movimientos'!I$5:I$1000, MATCH(70, 'Detalles movimientos'!$R$5:$R$1000, 0)), "")</f>
        <v/>
      </c>
      <c r="I82" s="20" t="str">
        <f>IFERROR(INDEX('Detalles movimientos'!K$5:K$1000, MATCH(70, 'Detalles movimientos'!$R$5:$R$1000, 0)), "")</f>
        <v/>
      </c>
      <c r="J82" s="19" t="str">
        <f>IFERROR(INDEX('Detalles movimientos'!L$5:L$1000, MATCH(70, 'Detalles movimientos'!$R$5:$R$1000, 0)), "")</f>
        <v/>
      </c>
      <c r="K82" s="20" t="str">
        <f>IFERROR(INDEX('Detalles movimientos'!M$5:M$1000, MATCH(70, 'Detalles movimientos'!$R$5:$R$1000, 0)), "")</f>
        <v/>
      </c>
      <c r="L82" s="18" t="str">
        <f>IFERROR(INDEX('Detalles movimientos'!N$5:N$1000, MATCH(70, 'Detalles movimientos'!$R$5:$R$1000, 0)), "")</f>
        <v/>
      </c>
      <c r="M82" s="18" t="str">
        <f>IFERROR(INDEX('Detalles movimientos'!Q$5:Q$1000, MATCH(70, 'Detalles movimientos'!$R$5:$R$1000, 0)), "")</f>
        <v/>
      </c>
    </row>
    <row r="83" spans="2:13">
      <c r="B83" s="17" t="str">
        <f>IFERROR(INDEX('Detalles movimientos'!C$5:C$1000, MATCH(71, 'Detalles movimientos'!$R$5:$R$1000, 0)), "")</f>
        <v/>
      </c>
      <c r="C83" s="18" t="str">
        <f>IFERROR(INDEX('Detalles movimientos'!D$5:D$1000, MATCH(71, 'Detalles movimientos'!$R$5:$R$1000, 0)), "")</f>
        <v/>
      </c>
      <c r="D83" s="19" t="str">
        <f>IFERROR(INDEX('Detalles movimientos'!E$5:E$1000, MATCH(71, 'Detalles movimientos'!$R$5:$R$1000, 0)), "")</f>
        <v/>
      </c>
      <c r="E83" s="19" t="str">
        <f>IFERROR(INDEX('Detalles movimientos'!F$5:F$1000, MATCH(71, 'Detalles movimientos'!$R$5:$R$1000, 0)), "")</f>
        <v/>
      </c>
      <c r="F83" s="18" t="str">
        <f>IFERROR(INDEX('Detalles movimientos'!G$5:G$1000, MATCH(71, 'Detalles movimientos'!$R$5:$R$1000, 0)), "")</f>
        <v/>
      </c>
      <c r="G83" s="20" t="str">
        <f>IFERROR(INDEX('Detalles movimientos'!H$5:H$1000, MATCH(71, 'Detalles movimientos'!$R$5:$R$1000, 0)), "")</f>
        <v/>
      </c>
      <c r="H83" s="21" t="str">
        <f>IFERROR(INDEX('Detalles movimientos'!I$5:I$1000, MATCH(71, 'Detalles movimientos'!$R$5:$R$1000, 0)), "")</f>
        <v/>
      </c>
      <c r="I83" s="20" t="str">
        <f>IFERROR(INDEX('Detalles movimientos'!K$5:K$1000, MATCH(71, 'Detalles movimientos'!$R$5:$R$1000, 0)), "")</f>
        <v/>
      </c>
      <c r="J83" s="19" t="str">
        <f>IFERROR(INDEX('Detalles movimientos'!L$5:L$1000, MATCH(71, 'Detalles movimientos'!$R$5:$R$1000, 0)), "")</f>
        <v/>
      </c>
      <c r="K83" s="20" t="str">
        <f>IFERROR(INDEX('Detalles movimientos'!M$5:M$1000, MATCH(71, 'Detalles movimientos'!$R$5:$R$1000, 0)), "")</f>
        <v/>
      </c>
      <c r="L83" s="18" t="str">
        <f>IFERROR(INDEX('Detalles movimientos'!N$5:N$1000, MATCH(71, 'Detalles movimientos'!$R$5:$R$1000, 0)), "")</f>
        <v/>
      </c>
      <c r="M83" s="18" t="str">
        <f>IFERROR(INDEX('Detalles movimientos'!Q$5:Q$1000, MATCH(71, 'Detalles movimientos'!$R$5:$R$1000, 0)), "")</f>
        <v/>
      </c>
    </row>
    <row r="84" spans="2:13">
      <c r="B84" s="17" t="str">
        <f>IFERROR(INDEX('Detalles movimientos'!C$5:C$1000, MATCH(72, 'Detalles movimientos'!$R$5:$R$1000, 0)), "")</f>
        <v/>
      </c>
      <c r="C84" s="18" t="str">
        <f>IFERROR(INDEX('Detalles movimientos'!D$5:D$1000, MATCH(72, 'Detalles movimientos'!$R$5:$R$1000, 0)), "")</f>
        <v/>
      </c>
      <c r="D84" s="19" t="str">
        <f>IFERROR(INDEX('Detalles movimientos'!E$5:E$1000, MATCH(72, 'Detalles movimientos'!$R$5:$R$1000, 0)), "")</f>
        <v/>
      </c>
      <c r="E84" s="19" t="str">
        <f>IFERROR(INDEX('Detalles movimientos'!F$5:F$1000, MATCH(72, 'Detalles movimientos'!$R$5:$R$1000, 0)), "")</f>
        <v/>
      </c>
      <c r="F84" s="18" t="str">
        <f>IFERROR(INDEX('Detalles movimientos'!G$5:G$1000, MATCH(72, 'Detalles movimientos'!$R$5:$R$1000, 0)), "")</f>
        <v/>
      </c>
      <c r="G84" s="20" t="str">
        <f>IFERROR(INDEX('Detalles movimientos'!H$5:H$1000, MATCH(72, 'Detalles movimientos'!$R$5:$R$1000, 0)), "")</f>
        <v/>
      </c>
      <c r="H84" s="21" t="str">
        <f>IFERROR(INDEX('Detalles movimientos'!I$5:I$1000, MATCH(72, 'Detalles movimientos'!$R$5:$R$1000, 0)), "")</f>
        <v/>
      </c>
      <c r="I84" s="20" t="str">
        <f>IFERROR(INDEX('Detalles movimientos'!K$5:K$1000, MATCH(72, 'Detalles movimientos'!$R$5:$R$1000, 0)), "")</f>
        <v/>
      </c>
      <c r="J84" s="19" t="str">
        <f>IFERROR(INDEX('Detalles movimientos'!L$5:L$1000, MATCH(72, 'Detalles movimientos'!$R$5:$R$1000, 0)), "")</f>
        <v/>
      </c>
      <c r="K84" s="20" t="str">
        <f>IFERROR(INDEX('Detalles movimientos'!M$5:M$1000, MATCH(72, 'Detalles movimientos'!$R$5:$R$1000, 0)), "")</f>
        <v/>
      </c>
      <c r="L84" s="18" t="str">
        <f>IFERROR(INDEX('Detalles movimientos'!N$5:N$1000, MATCH(72, 'Detalles movimientos'!$R$5:$R$1000, 0)), "")</f>
        <v/>
      </c>
      <c r="M84" s="18" t="str">
        <f>IFERROR(INDEX('Detalles movimientos'!Q$5:Q$1000, MATCH(72, 'Detalles movimientos'!$R$5:$R$1000, 0)), "")</f>
        <v/>
      </c>
    </row>
    <row r="85" spans="2:13">
      <c r="B85" s="17" t="str">
        <f>IFERROR(INDEX('Detalles movimientos'!C$5:C$1000, MATCH(73, 'Detalles movimientos'!$R$5:$R$1000, 0)), "")</f>
        <v/>
      </c>
      <c r="C85" s="18" t="str">
        <f>IFERROR(INDEX('Detalles movimientos'!D$5:D$1000, MATCH(73, 'Detalles movimientos'!$R$5:$R$1000, 0)), "")</f>
        <v/>
      </c>
      <c r="D85" s="19" t="str">
        <f>IFERROR(INDEX('Detalles movimientos'!E$5:E$1000, MATCH(73, 'Detalles movimientos'!$R$5:$R$1000, 0)), "")</f>
        <v/>
      </c>
      <c r="E85" s="19" t="str">
        <f>IFERROR(INDEX('Detalles movimientos'!F$5:F$1000, MATCH(73, 'Detalles movimientos'!$R$5:$R$1000, 0)), "")</f>
        <v/>
      </c>
      <c r="F85" s="18" t="str">
        <f>IFERROR(INDEX('Detalles movimientos'!G$5:G$1000, MATCH(73, 'Detalles movimientos'!$R$5:$R$1000, 0)), "")</f>
        <v/>
      </c>
      <c r="G85" s="20" t="str">
        <f>IFERROR(INDEX('Detalles movimientos'!H$5:H$1000, MATCH(73, 'Detalles movimientos'!$R$5:$R$1000, 0)), "")</f>
        <v/>
      </c>
      <c r="H85" s="21" t="str">
        <f>IFERROR(INDEX('Detalles movimientos'!I$5:I$1000, MATCH(73, 'Detalles movimientos'!$R$5:$R$1000, 0)), "")</f>
        <v/>
      </c>
      <c r="I85" s="20" t="str">
        <f>IFERROR(INDEX('Detalles movimientos'!K$5:K$1000, MATCH(73, 'Detalles movimientos'!$R$5:$R$1000, 0)), "")</f>
        <v/>
      </c>
      <c r="J85" s="19" t="str">
        <f>IFERROR(INDEX('Detalles movimientos'!L$5:L$1000, MATCH(73, 'Detalles movimientos'!$R$5:$R$1000, 0)), "")</f>
        <v/>
      </c>
      <c r="K85" s="20" t="str">
        <f>IFERROR(INDEX('Detalles movimientos'!M$5:M$1000, MATCH(73, 'Detalles movimientos'!$R$5:$R$1000, 0)), "")</f>
        <v/>
      </c>
      <c r="L85" s="18" t="str">
        <f>IFERROR(INDEX('Detalles movimientos'!N$5:N$1000, MATCH(73, 'Detalles movimientos'!$R$5:$R$1000, 0)), "")</f>
        <v/>
      </c>
      <c r="M85" s="18" t="str">
        <f>IFERROR(INDEX('Detalles movimientos'!Q$5:Q$1000, MATCH(73, 'Detalles movimientos'!$R$5:$R$1000, 0)), "")</f>
        <v/>
      </c>
    </row>
    <row r="86" spans="2:13">
      <c r="B86" s="17" t="str">
        <f>IFERROR(INDEX('Detalles movimientos'!C$5:C$1000, MATCH(74, 'Detalles movimientos'!$R$5:$R$1000, 0)), "")</f>
        <v/>
      </c>
      <c r="C86" s="18" t="str">
        <f>IFERROR(INDEX('Detalles movimientos'!D$5:D$1000, MATCH(74, 'Detalles movimientos'!$R$5:$R$1000, 0)), "")</f>
        <v/>
      </c>
      <c r="D86" s="19" t="str">
        <f>IFERROR(INDEX('Detalles movimientos'!E$5:E$1000, MATCH(74, 'Detalles movimientos'!$R$5:$R$1000, 0)), "")</f>
        <v/>
      </c>
      <c r="E86" s="19" t="str">
        <f>IFERROR(INDEX('Detalles movimientos'!F$5:F$1000, MATCH(74, 'Detalles movimientos'!$R$5:$R$1000, 0)), "")</f>
        <v/>
      </c>
      <c r="F86" s="18" t="str">
        <f>IFERROR(INDEX('Detalles movimientos'!G$5:G$1000, MATCH(74, 'Detalles movimientos'!$R$5:$R$1000, 0)), "")</f>
        <v/>
      </c>
      <c r="G86" s="20" t="str">
        <f>IFERROR(INDEX('Detalles movimientos'!H$5:H$1000, MATCH(74, 'Detalles movimientos'!$R$5:$R$1000, 0)), "")</f>
        <v/>
      </c>
      <c r="H86" s="21" t="str">
        <f>IFERROR(INDEX('Detalles movimientos'!I$5:I$1000, MATCH(74, 'Detalles movimientos'!$R$5:$R$1000, 0)), "")</f>
        <v/>
      </c>
      <c r="I86" s="20" t="str">
        <f>IFERROR(INDEX('Detalles movimientos'!K$5:K$1000, MATCH(74, 'Detalles movimientos'!$R$5:$R$1000, 0)), "")</f>
        <v/>
      </c>
      <c r="J86" s="19" t="str">
        <f>IFERROR(INDEX('Detalles movimientos'!L$5:L$1000, MATCH(74, 'Detalles movimientos'!$R$5:$R$1000, 0)), "")</f>
        <v/>
      </c>
      <c r="K86" s="20" t="str">
        <f>IFERROR(INDEX('Detalles movimientos'!M$5:M$1000, MATCH(74, 'Detalles movimientos'!$R$5:$R$1000, 0)), "")</f>
        <v/>
      </c>
      <c r="L86" s="18" t="str">
        <f>IFERROR(INDEX('Detalles movimientos'!N$5:N$1000, MATCH(74, 'Detalles movimientos'!$R$5:$R$1000, 0)), "")</f>
        <v/>
      </c>
      <c r="M86" s="18" t="str">
        <f>IFERROR(INDEX('Detalles movimientos'!Q$5:Q$1000, MATCH(74, 'Detalles movimientos'!$R$5:$R$1000, 0)), "")</f>
        <v/>
      </c>
    </row>
    <row r="87" spans="2:13">
      <c r="B87" s="17" t="str">
        <f>IFERROR(INDEX('Detalles movimientos'!C$5:C$1000, MATCH(75, 'Detalles movimientos'!$R$5:$R$1000, 0)), "")</f>
        <v/>
      </c>
      <c r="C87" s="18" t="str">
        <f>IFERROR(INDEX('Detalles movimientos'!D$5:D$1000, MATCH(75, 'Detalles movimientos'!$R$5:$R$1000, 0)), "")</f>
        <v/>
      </c>
      <c r="D87" s="19" t="str">
        <f>IFERROR(INDEX('Detalles movimientos'!E$5:E$1000, MATCH(75, 'Detalles movimientos'!$R$5:$R$1000, 0)), "")</f>
        <v/>
      </c>
      <c r="E87" s="19" t="str">
        <f>IFERROR(INDEX('Detalles movimientos'!F$5:F$1000, MATCH(75, 'Detalles movimientos'!$R$5:$R$1000, 0)), "")</f>
        <v/>
      </c>
      <c r="F87" s="18" t="str">
        <f>IFERROR(INDEX('Detalles movimientos'!G$5:G$1000, MATCH(75, 'Detalles movimientos'!$R$5:$R$1000, 0)), "")</f>
        <v/>
      </c>
      <c r="G87" s="20" t="str">
        <f>IFERROR(INDEX('Detalles movimientos'!H$5:H$1000, MATCH(75, 'Detalles movimientos'!$R$5:$R$1000, 0)), "")</f>
        <v/>
      </c>
      <c r="H87" s="21" t="str">
        <f>IFERROR(INDEX('Detalles movimientos'!I$5:I$1000, MATCH(75, 'Detalles movimientos'!$R$5:$R$1000, 0)), "")</f>
        <v/>
      </c>
      <c r="I87" s="20" t="str">
        <f>IFERROR(INDEX('Detalles movimientos'!K$5:K$1000, MATCH(75, 'Detalles movimientos'!$R$5:$R$1000, 0)), "")</f>
        <v/>
      </c>
      <c r="J87" s="19" t="str">
        <f>IFERROR(INDEX('Detalles movimientos'!L$5:L$1000, MATCH(75, 'Detalles movimientos'!$R$5:$R$1000, 0)), "")</f>
        <v/>
      </c>
      <c r="K87" s="20" t="str">
        <f>IFERROR(INDEX('Detalles movimientos'!M$5:M$1000, MATCH(75, 'Detalles movimientos'!$R$5:$R$1000, 0)), "")</f>
        <v/>
      </c>
      <c r="L87" s="18" t="str">
        <f>IFERROR(INDEX('Detalles movimientos'!N$5:N$1000, MATCH(75, 'Detalles movimientos'!$R$5:$R$1000, 0)), "")</f>
        <v/>
      </c>
      <c r="M87" s="18" t="str">
        <f>IFERROR(INDEX('Detalles movimientos'!Q$5:Q$1000, MATCH(75, 'Detalles movimientos'!$R$5:$R$1000, 0)), "")</f>
        <v/>
      </c>
    </row>
    <row r="88" spans="2:13">
      <c r="B88" s="17" t="str">
        <f>IFERROR(INDEX('Detalles movimientos'!C$5:C$1000, MATCH(76, 'Detalles movimientos'!$R$5:$R$1000, 0)), "")</f>
        <v/>
      </c>
      <c r="C88" s="18" t="str">
        <f>IFERROR(INDEX('Detalles movimientos'!D$5:D$1000, MATCH(76, 'Detalles movimientos'!$R$5:$R$1000, 0)), "")</f>
        <v/>
      </c>
      <c r="D88" s="19" t="str">
        <f>IFERROR(INDEX('Detalles movimientos'!E$5:E$1000, MATCH(76, 'Detalles movimientos'!$R$5:$R$1000, 0)), "")</f>
        <v/>
      </c>
      <c r="E88" s="19" t="str">
        <f>IFERROR(INDEX('Detalles movimientos'!F$5:F$1000, MATCH(76, 'Detalles movimientos'!$R$5:$R$1000, 0)), "")</f>
        <v/>
      </c>
      <c r="F88" s="18" t="str">
        <f>IFERROR(INDEX('Detalles movimientos'!G$5:G$1000, MATCH(76, 'Detalles movimientos'!$R$5:$R$1000, 0)), "")</f>
        <v/>
      </c>
      <c r="G88" s="20" t="str">
        <f>IFERROR(INDEX('Detalles movimientos'!H$5:H$1000, MATCH(76, 'Detalles movimientos'!$R$5:$R$1000, 0)), "")</f>
        <v/>
      </c>
      <c r="H88" s="21" t="str">
        <f>IFERROR(INDEX('Detalles movimientos'!I$5:I$1000, MATCH(76, 'Detalles movimientos'!$R$5:$R$1000, 0)), "")</f>
        <v/>
      </c>
      <c r="I88" s="20" t="str">
        <f>IFERROR(INDEX('Detalles movimientos'!K$5:K$1000, MATCH(76, 'Detalles movimientos'!$R$5:$R$1000, 0)), "")</f>
        <v/>
      </c>
      <c r="J88" s="19" t="str">
        <f>IFERROR(INDEX('Detalles movimientos'!L$5:L$1000, MATCH(76, 'Detalles movimientos'!$R$5:$R$1000, 0)), "")</f>
        <v/>
      </c>
      <c r="K88" s="20" t="str">
        <f>IFERROR(INDEX('Detalles movimientos'!M$5:M$1000, MATCH(76, 'Detalles movimientos'!$R$5:$R$1000, 0)), "")</f>
        <v/>
      </c>
      <c r="L88" s="18" t="str">
        <f>IFERROR(INDEX('Detalles movimientos'!N$5:N$1000, MATCH(76, 'Detalles movimientos'!$R$5:$R$1000, 0)), "")</f>
        <v/>
      </c>
      <c r="M88" s="18" t="str">
        <f>IFERROR(INDEX('Detalles movimientos'!Q$5:Q$1000, MATCH(76, 'Detalles movimientos'!$R$5:$R$1000, 0)), "")</f>
        <v/>
      </c>
    </row>
    <row r="89" spans="2:13">
      <c r="B89" s="17" t="str">
        <f>IFERROR(INDEX('Detalles movimientos'!C$5:C$1000, MATCH(77, 'Detalles movimientos'!$R$5:$R$1000, 0)), "")</f>
        <v/>
      </c>
      <c r="C89" s="18" t="str">
        <f>IFERROR(INDEX('Detalles movimientos'!D$5:D$1000, MATCH(77, 'Detalles movimientos'!$R$5:$R$1000, 0)), "")</f>
        <v/>
      </c>
      <c r="D89" s="19" t="str">
        <f>IFERROR(INDEX('Detalles movimientos'!E$5:E$1000, MATCH(77, 'Detalles movimientos'!$R$5:$R$1000, 0)), "")</f>
        <v/>
      </c>
      <c r="E89" s="19" t="str">
        <f>IFERROR(INDEX('Detalles movimientos'!F$5:F$1000, MATCH(77, 'Detalles movimientos'!$R$5:$R$1000, 0)), "")</f>
        <v/>
      </c>
      <c r="F89" s="18" t="str">
        <f>IFERROR(INDEX('Detalles movimientos'!G$5:G$1000, MATCH(77, 'Detalles movimientos'!$R$5:$R$1000, 0)), "")</f>
        <v/>
      </c>
      <c r="G89" s="20" t="str">
        <f>IFERROR(INDEX('Detalles movimientos'!H$5:H$1000, MATCH(77, 'Detalles movimientos'!$R$5:$R$1000, 0)), "")</f>
        <v/>
      </c>
      <c r="H89" s="21" t="str">
        <f>IFERROR(INDEX('Detalles movimientos'!I$5:I$1000, MATCH(77, 'Detalles movimientos'!$R$5:$R$1000, 0)), "")</f>
        <v/>
      </c>
      <c r="I89" s="20" t="str">
        <f>IFERROR(INDEX('Detalles movimientos'!K$5:K$1000, MATCH(77, 'Detalles movimientos'!$R$5:$R$1000, 0)), "")</f>
        <v/>
      </c>
      <c r="J89" s="19" t="str">
        <f>IFERROR(INDEX('Detalles movimientos'!L$5:L$1000, MATCH(77, 'Detalles movimientos'!$R$5:$R$1000, 0)), "")</f>
        <v/>
      </c>
      <c r="K89" s="20" t="str">
        <f>IFERROR(INDEX('Detalles movimientos'!M$5:M$1000, MATCH(77, 'Detalles movimientos'!$R$5:$R$1000, 0)), "")</f>
        <v/>
      </c>
      <c r="L89" s="18" t="str">
        <f>IFERROR(INDEX('Detalles movimientos'!N$5:N$1000, MATCH(77, 'Detalles movimientos'!$R$5:$R$1000, 0)), "")</f>
        <v/>
      </c>
      <c r="M89" s="18" t="str">
        <f>IFERROR(INDEX('Detalles movimientos'!Q$5:Q$1000, MATCH(77, 'Detalles movimientos'!$R$5:$R$1000, 0)), "")</f>
        <v/>
      </c>
    </row>
    <row r="90" spans="2:13">
      <c r="B90" s="17" t="str">
        <f>IFERROR(INDEX('Detalles movimientos'!C$5:C$1000, MATCH(78, 'Detalles movimientos'!$R$5:$R$1000, 0)), "")</f>
        <v/>
      </c>
      <c r="C90" s="18" t="str">
        <f>IFERROR(INDEX('Detalles movimientos'!D$5:D$1000, MATCH(78, 'Detalles movimientos'!$R$5:$R$1000, 0)), "")</f>
        <v/>
      </c>
      <c r="D90" s="19" t="str">
        <f>IFERROR(INDEX('Detalles movimientos'!E$5:E$1000, MATCH(78, 'Detalles movimientos'!$R$5:$R$1000, 0)), "")</f>
        <v/>
      </c>
      <c r="E90" s="19" t="str">
        <f>IFERROR(INDEX('Detalles movimientos'!F$5:F$1000, MATCH(78, 'Detalles movimientos'!$R$5:$R$1000, 0)), "")</f>
        <v/>
      </c>
      <c r="F90" s="18" t="str">
        <f>IFERROR(INDEX('Detalles movimientos'!G$5:G$1000, MATCH(78, 'Detalles movimientos'!$R$5:$R$1000, 0)), "")</f>
        <v/>
      </c>
      <c r="G90" s="20" t="str">
        <f>IFERROR(INDEX('Detalles movimientos'!H$5:H$1000, MATCH(78, 'Detalles movimientos'!$R$5:$R$1000, 0)), "")</f>
        <v/>
      </c>
      <c r="H90" s="21" t="str">
        <f>IFERROR(INDEX('Detalles movimientos'!I$5:I$1000, MATCH(78, 'Detalles movimientos'!$R$5:$R$1000, 0)), "")</f>
        <v/>
      </c>
      <c r="I90" s="20" t="str">
        <f>IFERROR(INDEX('Detalles movimientos'!K$5:K$1000, MATCH(78, 'Detalles movimientos'!$R$5:$R$1000, 0)), "")</f>
        <v/>
      </c>
      <c r="J90" s="19" t="str">
        <f>IFERROR(INDEX('Detalles movimientos'!L$5:L$1000, MATCH(78, 'Detalles movimientos'!$R$5:$R$1000, 0)), "")</f>
        <v/>
      </c>
      <c r="K90" s="20" t="str">
        <f>IFERROR(INDEX('Detalles movimientos'!M$5:M$1000, MATCH(78, 'Detalles movimientos'!$R$5:$R$1000, 0)), "")</f>
        <v/>
      </c>
      <c r="L90" s="18" t="str">
        <f>IFERROR(INDEX('Detalles movimientos'!N$5:N$1000, MATCH(78, 'Detalles movimientos'!$R$5:$R$1000, 0)), "")</f>
        <v/>
      </c>
      <c r="M90" s="18" t="str">
        <f>IFERROR(INDEX('Detalles movimientos'!Q$5:Q$1000, MATCH(78, 'Detalles movimientos'!$R$5:$R$1000, 0)), "")</f>
        <v/>
      </c>
    </row>
    <row r="91" spans="2:13">
      <c r="B91" s="17" t="str">
        <f>IFERROR(INDEX('Detalles movimientos'!C$5:C$1000, MATCH(79, 'Detalles movimientos'!$R$5:$R$1000, 0)), "")</f>
        <v/>
      </c>
      <c r="C91" s="18" t="str">
        <f>IFERROR(INDEX('Detalles movimientos'!D$5:D$1000, MATCH(79, 'Detalles movimientos'!$R$5:$R$1000, 0)), "")</f>
        <v/>
      </c>
      <c r="D91" s="19" t="str">
        <f>IFERROR(INDEX('Detalles movimientos'!E$5:E$1000, MATCH(79, 'Detalles movimientos'!$R$5:$R$1000, 0)), "")</f>
        <v/>
      </c>
      <c r="E91" s="19" t="str">
        <f>IFERROR(INDEX('Detalles movimientos'!F$5:F$1000, MATCH(79, 'Detalles movimientos'!$R$5:$R$1000, 0)), "")</f>
        <v/>
      </c>
      <c r="F91" s="18" t="str">
        <f>IFERROR(INDEX('Detalles movimientos'!G$5:G$1000, MATCH(79, 'Detalles movimientos'!$R$5:$R$1000, 0)), "")</f>
        <v/>
      </c>
      <c r="G91" s="20" t="str">
        <f>IFERROR(INDEX('Detalles movimientos'!H$5:H$1000, MATCH(79, 'Detalles movimientos'!$R$5:$R$1000, 0)), "")</f>
        <v/>
      </c>
      <c r="H91" s="21" t="str">
        <f>IFERROR(INDEX('Detalles movimientos'!I$5:I$1000, MATCH(79, 'Detalles movimientos'!$R$5:$R$1000, 0)), "")</f>
        <v/>
      </c>
      <c r="I91" s="20" t="str">
        <f>IFERROR(INDEX('Detalles movimientos'!K$5:K$1000, MATCH(79, 'Detalles movimientos'!$R$5:$R$1000, 0)), "")</f>
        <v/>
      </c>
      <c r="J91" s="19" t="str">
        <f>IFERROR(INDEX('Detalles movimientos'!L$5:L$1000, MATCH(79, 'Detalles movimientos'!$R$5:$R$1000, 0)), "")</f>
        <v/>
      </c>
      <c r="K91" s="20" t="str">
        <f>IFERROR(INDEX('Detalles movimientos'!M$5:M$1000, MATCH(79, 'Detalles movimientos'!$R$5:$R$1000, 0)), "")</f>
        <v/>
      </c>
      <c r="L91" s="18" t="str">
        <f>IFERROR(INDEX('Detalles movimientos'!N$5:N$1000, MATCH(79, 'Detalles movimientos'!$R$5:$R$1000, 0)), "")</f>
        <v/>
      </c>
      <c r="M91" s="18" t="str">
        <f>IFERROR(INDEX('Detalles movimientos'!Q$5:Q$1000, MATCH(79, 'Detalles movimientos'!$R$5:$R$1000, 0)), "")</f>
        <v/>
      </c>
    </row>
    <row r="92" spans="2:13">
      <c r="B92" s="17" t="str">
        <f>IFERROR(INDEX('Detalles movimientos'!C$5:C$1000, MATCH(80, 'Detalles movimientos'!$R$5:$R$1000, 0)), "")</f>
        <v/>
      </c>
      <c r="C92" s="18" t="str">
        <f>IFERROR(INDEX('Detalles movimientos'!D$5:D$1000, MATCH(80, 'Detalles movimientos'!$R$5:$R$1000, 0)), "")</f>
        <v/>
      </c>
      <c r="D92" s="19" t="str">
        <f>IFERROR(INDEX('Detalles movimientos'!E$5:E$1000, MATCH(80, 'Detalles movimientos'!$R$5:$R$1000, 0)), "")</f>
        <v/>
      </c>
      <c r="E92" s="19" t="str">
        <f>IFERROR(INDEX('Detalles movimientos'!F$5:F$1000, MATCH(80, 'Detalles movimientos'!$R$5:$R$1000, 0)), "")</f>
        <v/>
      </c>
      <c r="F92" s="18" t="str">
        <f>IFERROR(INDEX('Detalles movimientos'!G$5:G$1000, MATCH(80, 'Detalles movimientos'!$R$5:$R$1000, 0)), "")</f>
        <v/>
      </c>
      <c r="G92" s="20" t="str">
        <f>IFERROR(INDEX('Detalles movimientos'!H$5:H$1000, MATCH(80, 'Detalles movimientos'!$R$5:$R$1000, 0)), "")</f>
        <v/>
      </c>
      <c r="H92" s="21" t="str">
        <f>IFERROR(INDEX('Detalles movimientos'!I$5:I$1000, MATCH(80, 'Detalles movimientos'!$R$5:$R$1000, 0)), "")</f>
        <v/>
      </c>
      <c r="I92" s="20" t="str">
        <f>IFERROR(INDEX('Detalles movimientos'!K$5:K$1000, MATCH(80, 'Detalles movimientos'!$R$5:$R$1000, 0)), "")</f>
        <v/>
      </c>
      <c r="J92" s="19" t="str">
        <f>IFERROR(INDEX('Detalles movimientos'!L$5:L$1000, MATCH(80, 'Detalles movimientos'!$R$5:$R$1000, 0)), "")</f>
        <v/>
      </c>
      <c r="K92" s="20" t="str">
        <f>IFERROR(INDEX('Detalles movimientos'!M$5:M$1000, MATCH(80, 'Detalles movimientos'!$R$5:$R$1000, 0)), "")</f>
        <v/>
      </c>
      <c r="L92" s="18" t="str">
        <f>IFERROR(INDEX('Detalles movimientos'!N$5:N$1000, MATCH(80, 'Detalles movimientos'!$R$5:$R$1000, 0)), "")</f>
        <v/>
      </c>
      <c r="M92" s="18" t="str">
        <f>IFERROR(INDEX('Detalles movimientos'!Q$5:Q$1000, MATCH(80, 'Detalles movimientos'!$R$5:$R$1000, 0)), "")</f>
        <v/>
      </c>
    </row>
    <row r="93" spans="2:13">
      <c r="B93" s="17" t="str">
        <f>IFERROR(INDEX('Detalles movimientos'!C$5:C$1000, MATCH(81, 'Detalles movimientos'!$R$5:$R$1000, 0)), "")</f>
        <v/>
      </c>
      <c r="C93" s="18" t="str">
        <f>IFERROR(INDEX('Detalles movimientos'!D$5:D$1000, MATCH(81, 'Detalles movimientos'!$R$5:$R$1000, 0)), "")</f>
        <v/>
      </c>
      <c r="D93" s="19" t="str">
        <f>IFERROR(INDEX('Detalles movimientos'!E$5:E$1000, MATCH(81, 'Detalles movimientos'!$R$5:$R$1000, 0)), "")</f>
        <v/>
      </c>
      <c r="E93" s="19" t="str">
        <f>IFERROR(INDEX('Detalles movimientos'!F$5:F$1000, MATCH(81, 'Detalles movimientos'!$R$5:$R$1000, 0)), "")</f>
        <v/>
      </c>
      <c r="F93" s="18" t="str">
        <f>IFERROR(INDEX('Detalles movimientos'!G$5:G$1000, MATCH(81, 'Detalles movimientos'!$R$5:$R$1000, 0)), "")</f>
        <v/>
      </c>
      <c r="G93" s="20" t="str">
        <f>IFERROR(INDEX('Detalles movimientos'!H$5:H$1000, MATCH(81, 'Detalles movimientos'!$R$5:$R$1000, 0)), "")</f>
        <v/>
      </c>
      <c r="H93" s="21" t="str">
        <f>IFERROR(INDEX('Detalles movimientos'!I$5:I$1000, MATCH(81, 'Detalles movimientos'!$R$5:$R$1000, 0)), "")</f>
        <v/>
      </c>
      <c r="I93" s="20" t="str">
        <f>IFERROR(INDEX('Detalles movimientos'!K$5:K$1000, MATCH(81, 'Detalles movimientos'!$R$5:$R$1000, 0)), "")</f>
        <v/>
      </c>
      <c r="J93" s="19" t="str">
        <f>IFERROR(INDEX('Detalles movimientos'!L$5:L$1000, MATCH(81, 'Detalles movimientos'!$R$5:$R$1000, 0)), "")</f>
        <v/>
      </c>
      <c r="K93" s="20" t="str">
        <f>IFERROR(INDEX('Detalles movimientos'!M$5:M$1000, MATCH(81, 'Detalles movimientos'!$R$5:$R$1000, 0)), "")</f>
        <v/>
      </c>
      <c r="L93" s="18" t="str">
        <f>IFERROR(INDEX('Detalles movimientos'!N$5:N$1000, MATCH(81, 'Detalles movimientos'!$R$5:$R$1000, 0)), "")</f>
        <v/>
      </c>
      <c r="M93" s="18" t="str">
        <f>IFERROR(INDEX('Detalles movimientos'!Q$5:Q$1000, MATCH(81, 'Detalles movimientos'!$R$5:$R$1000, 0)), "")</f>
        <v/>
      </c>
    </row>
    <row r="94" spans="2:13">
      <c r="B94" s="17" t="str">
        <f>IFERROR(INDEX('Detalles movimientos'!C$5:C$1000, MATCH(82, 'Detalles movimientos'!$R$5:$R$1000, 0)), "")</f>
        <v/>
      </c>
      <c r="C94" s="18" t="str">
        <f>IFERROR(INDEX('Detalles movimientos'!D$5:D$1000, MATCH(82, 'Detalles movimientos'!$R$5:$R$1000, 0)), "")</f>
        <v/>
      </c>
      <c r="D94" s="19" t="str">
        <f>IFERROR(INDEX('Detalles movimientos'!E$5:E$1000, MATCH(82, 'Detalles movimientos'!$R$5:$R$1000, 0)), "")</f>
        <v/>
      </c>
      <c r="E94" s="19" t="str">
        <f>IFERROR(INDEX('Detalles movimientos'!F$5:F$1000, MATCH(82, 'Detalles movimientos'!$R$5:$R$1000, 0)), "")</f>
        <v/>
      </c>
      <c r="F94" s="18" t="str">
        <f>IFERROR(INDEX('Detalles movimientos'!G$5:G$1000, MATCH(82, 'Detalles movimientos'!$R$5:$R$1000, 0)), "")</f>
        <v/>
      </c>
      <c r="G94" s="20" t="str">
        <f>IFERROR(INDEX('Detalles movimientos'!H$5:H$1000, MATCH(82, 'Detalles movimientos'!$R$5:$R$1000, 0)), "")</f>
        <v/>
      </c>
      <c r="H94" s="21" t="str">
        <f>IFERROR(INDEX('Detalles movimientos'!I$5:I$1000, MATCH(82, 'Detalles movimientos'!$R$5:$R$1000, 0)), "")</f>
        <v/>
      </c>
      <c r="I94" s="20" t="str">
        <f>IFERROR(INDEX('Detalles movimientos'!K$5:K$1000, MATCH(82, 'Detalles movimientos'!$R$5:$R$1000, 0)), "")</f>
        <v/>
      </c>
      <c r="J94" s="19" t="str">
        <f>IFERROR(INDEX('Detalles movimientos'!L$5:L$1000, MATCH(82, 'Detalles movimientos'!$R$5:$R$1000, 0)), "")</f>
        <v/>
      </c>
      <c r="K94" s="20" t="str">
        <f>IFERROR(INDEX('Detalles movimientos'!M$5:M$1000, MATCH(82, 'Detalles movimientos'!$R$5:$R$1000, 0)), "")</f>
        <v/>
      </c>
      <c r="L94" s="18" t="str">
        <f>IFERROR(INDEX('Detalles movimientos'!N$5:N$1000, MATCH(82, 'Detalles movimientos'!$R$5:$R$1000, 0)), "")</f>
        <v/>
      </c>
      <c r="M94" s="18" t="str">
        <f>IFERROR(INDEX('Detalles movimientos'!Q$5:Q$1000, MATCH(82, 'Detalles movimientos'!$R$5:$R$1000, 0)), "")</f>
        <v/>
      </c>
    </row>
    <row r="95" spans="2:13">
      <c r="B95" s="17" t="str">
        <f>IFERROR(INDEX('Detalles movimientos'!C$5:C$1000, MATCH(83, 'Detalles movimientos'!$R$5:$R$1000, 0)), "")</f>
        <v/>
      </c>
      <c r="C95" s="18" t="str">
        <f>IFERROR(INDEX('Detalles movimientos'!D$5:D$1000, MATCH(83, 'Detalles movimientos'!$R$5:$R$1000, 0)), "")</f>
        <v/>
      </c>
      <c r="D95" s="19" t="str">
        <f>IFERROR(INDEX('Detalles movimientos'!E$5:E$1000, MATCH(83, 'Detalles movimientos'!$R$5:$R$1000, 0)), "")</f>
        <v/>
      </c>
      <c r="E95" s="19" t="str">
        <f>IFERROR(INDEX('Detalles movimientos'!F$5:F$1000, MATCH(83, 'Detalles movimientos'!$R$5:$R$1000, 0)), "")</f>
        <v/>
      </c>
      <c r="F95" s="18" t="str">
        <f>IFERROR(INDEX('Detalles movimientos'!G$5:G$1000, MATCH(83, 'Detalles movimientos'!$R$5:$R$1000, 0)), "")</f>
        <v/>
      </c>
      <c r="G95" s="20" t="str">
        <f>IFERROR(INDEX('Detalles movimientos'!H$5:H$1000, MATCH(83, 'Detalles movimientos'!$R$5:$R$1000, 0)), "")</f>
        <v/>
      </c>
      <c r="H95" s="21" t="str">
        <f>IFERROR(INDEX('Detalles movimientos'!I$5:I$1000, MATCH(83, 'Detalles movimientos'!$R$5:$R$1000, 0)), "")</f>
        <v/>
      </c>
      <c r="I95" s="20" t="str">
        <f>IFERROR(INDEX('Detalles movimientos'!K$5:K$1000, MATCH(83, 'Detalles movimientos'!$R$5:$R$1000, 0)), "")</f>
        <v/>
      </c>
      <c r="J95" s="19" t="str">
        <f>IFERROR(INDEX('Detalles movimientos'!L$5:L$1000, MATCH(83, 'Detalles movimientos'!$R$5:$R$1000, 0)), "")</f>
        <v/>
      </c>
      <c r="K95" s="20" t="str">
        <f>IFERROR(INDEX('Detalles movimientos'!M$5:M$1000, MATCH(83, 'Detalles movimientos'!$R$5:$R$1000, 0)), "")</f>
        <v/>
      </c>
      <c r="L95" s="18" t="str">
        <f>IFERROR(INDEX('Detalles movimientos'!N$5:N$1000, MATCH(83, 'Detalles movimientos'!$R$5:$R$1000, 0)), "")</f>
        <v/>
      </c>
      <c r="M95" s="18" t="str">
        <f>IFERROR(INDEX('Detalles movimientos'!Q$5:Q$1000, MATCH(83, 'Detalles movimientos'!$R$5:$R$1000, 0)), "")</f>
        <v/>
      </c>
    </row>
    <row r="96" spans="2:13">
      <c r="B96" s="17" t="str">
        <f>IFERROR(INDEX('Detalles movimientos'!C$5:C$1000, MATCH(84, 'Detalles movimientos'!$R$5:$R$1000, 0)), "")</f>
        <v/>
      </c>
      <c r="C96" s="18" t="str">
        <f>IFERROR(INDEX('Detalles movimientos'!D$5:D$1000, MATCH(84, 'Detalles movimientos'!$R$5:$R$1000, 0)), "")</f>
        <v/>
      </c>
      <c r="D96" s="19" t="str">
        <f>IFERROR(INDEX('Detalles movimientos'!E$5:E$1000, MATCH(84, 'Detalles movimientos'!$R$5:$R$1000, 0)), "")</f>
        <v/>
      </c>
      <c r="E96" s="19" t="str">
        <f>IFERROR(INDEX('Detalles movimientos'!F$5:F$1000, MATCH(84, 'Detalles movimientos'!$R$5:$R$1000, 0)), "")</f>
        <v/>
      </c>
      <c r="F96" s="18" t="str">
        <f>IFERROR(INDEX('Detalles movimientos'!G$5:G$1000, MATCH(84, 'Detalles movimientos'!$R$5:$R$1000, 0)), "")</f>
        <v/>
      </c>
      <c r="G96" s="20" t="str">
        <f>IFERROR(INDEX('Detalles movimientos'!H$5:H$1000, MATCH(84, 'Detalles movimientos'!$R$5:$R$1000, 0)), "")</f>
        <v/>
      </c>
      <c r="H96" s="21" t="str">
        <f>IFERROR(INDEX('Detalles movimientos'!I$5:I$1000, MATCH(84, 'Detalles movimientos'!$R$5:$R$1000, 0)), "")</f>
        <v/>
      </c>
      <c r="I96" s="20" t="str">
        <f>IFERROR(INDEX('Detalles movimientos'!K$5:K$1000, MATCH(84, 'Detalles movimientos'!$R$5:$R$1000, 0)), "")</f>
        <v/>
      </c>
      <c r="J96" s="19" t="str">
        <f>IFERROR(INDEX('Detalles movimientos'!L$5:L$1000, MATCH(84, 'Detalles movimientos'!$R$5:$R$1000, 0)), "")</f>
        <v/>
      </c>
      <c r="K96" s="20" t="str">
        <f>IFERROR(INDEX('Detalles movimientos'!M$5:M$1000, MATCH(84, 'Detalles movimientos'!$R$5:$R$1000, 0)), "")</f>
        <v/>
      </c>
      <c r="L96" s="18" t="str">
        <f>IFERROR(INDEX('Detalles movimientos'!N$5:N$1000, MATCH(84, 'Detalles movimientos'!$R$5:$R$1000, 0)), "")</f>
        <v/>
      </c>
      <c r="M96" s="18" t="str">
        <f>IFERROR(INDEX('Detalles movimientos'!Q$5:Q$1000, MATCH(84, 'Detalles movimientos'!$R$5:$R$1000, 0)), "")</f>
        <v/>
      </c>
    </row>
    <row r="97" spans="2:13">
      <c r="B97" s="17" t="str">
        <f>IFERROR(INDEX('Detalles movimientos'!C$5:C$1000, MATCH(85, 'Detalles movimientos'!$R$5:$R$1000, 0)), "")</f>
        <v/>
      </c>
      <c r="C97" s="18" t="str">
        <f>IFERROR(INDEX('Detalles movimientos'!D$5:D$1000, MATCH(85, 'Detalles movimientos'!$R$5:$R$1000, 0)), "")</f>
        <v/>
      </c>
      <c r="D97" s="19" t="str">
        <f>IFERROR(INDEX('Detalles movimientos'!E$5:E$1000, MATCH(85, 'Detalles movimientos'!$R$5:$R$1000, 0)), "")</f>
        <v/>
      </c>
      <c r="E97" s="19" t="str">
        <f>IFERROR(INDEX('Detalles movimientos'!F$5:F$1000, MATCH(85, 'Detalles movimientos'!$R$5:$R$1000, 0)), "")</f>
        <v/>
      </c>
      <c r="F97" s="18" t="str">
        <f>IFERROR(INDEX('Detalles movimientos'!G$5:G$1000, MATCH(85, 'Detalles movimientos'!$R$5:$R$1000, 0)), "")</f>
        <v/>
      </c>
      <c r="G97" s="20" t="str">
        <f>IFERROR(INDEX('Detalles movimientos'!H$5:H$1000, MATCH(85, 'Detalles movimientos'!$R$5:$R$1000, 0)), "")</f>
        <v/>
      </c>
      <c r="H97" s="21" t="str">
        <f>IFERROR(INDEX('Detalles movimientos'!I$5:I$1000, MATCH(85, 'Detalles movimientos'!$R$5:$R$1000, 0)), "")</f>
        <v/>
      </c>
      <c r="I97" s="20" t="str">
        <f>IFERROR(INDEX('Detalles movimientos'!K$5:K$1000, MATCH(85, 'Detalles movimientos'!$R$5:$R$1000, 0)), "")</f>
        <v/>
      </c>
      <c r="J97" s="19" t="str">
        <f>IFERROR(INDEX('Detalles movimientos'!L$5:L$1000, MATCH(85, 'Detalles movimientos'!$R$5:$R$1000, 0)), "")</f>
        <v/>
      </c>
      <c r="K97" s="20" t="str">
        <f>IFERROR(INDEX('Detalles movimientos'!M$5:M$1000, MATCH(85, 'Detalles movimientos'!$R$5:$R$1000, 0)), "")</f>
        <v/>
      </c>
      <c r="L97" s="18" t="str">
        <f>IFERROR(INDEX('Detalles movimientos'!N$5:N$1000, MATCH(85, 'Detalles movimientos'!$R$5:$R$1000, 0)), "")</f>
        <v/>
      </c>
      <c r="M97" s="18" t="str">
        <f>IFERROR(INDEX('Detalles movimientos'!Q$5:Q$1000, MATCH(85, 'Detalles movimientos'!$R$5:$R$1000, 0)), "")</f>
        <v/>
      </c>
    </row>
    <row r="98" spans="2:13">
      <c r="B98" s="17" t="str">
        <f>IFERROR(INDEX('Detalles movimientos'!C$5:C$1000, MATCH(86, 'Detalles movimientos'!$R$5:$R$1000, 0)), "")</f>
        <v/>
      </c>
      <c r="C98" s="18" t="str">
        <f>IFERROR(INDEX('Detalles movimientos'!D$5:D$1000, MATCH(86, 'Detalles movimientos'!$R$5:$R$1000, 0)), "")</f>
        <v/>
      </c>
      <c r="D98" s="19" t="str">
        <f>IFERROR(INDEX('Detalles movimientos'!E$5:E$1000, MATCH(86, 'Detalles movimientos'!$R$5:$R$1000, 0)), "")</f>
        <v/>
      </c>
      <c r="E98" s="19" t="str">
        <f>IFERROR(INDEX('Detalles movimientos'!F$5:F$1000, MATCH(86, 'Detalles movimientos'!$R$5:$R$1000, 0)), "")</f>
        <v/>
      </c>
      <c r="F98" s="18" t="str">
        <f>IFERROR(INDEX('Detalles movimientos'!G$5:G$1000, MATCH(86, 'Detalles movimientos'!$R$5:$R$1000, 0)), "")</f>
        <v/>
      </c>
      <c r="G98" s="20" t="str">
        <f>IFERROR(INDEX('Detalles movimientos'!H$5:H$1000, MATCH(86, 'Detalles movimientos'!$R$5:$R$1000, 0)), "")</f>
        <v/>
      </c>
      <c r="H98" s="21" t="str">
        <f>IFERROR(INDEX('Detalles movimientos'!I$5:I$1000, MATCH(86, 'Detalles movimientos'!$R$5:$R$1000, 0)), "")</f>
        <v/>
      </c>
      <c r="I98" s="20" t="str">
        <f>IFERROR(INDEX('Detalles movimientos'!K$5:K$1000, MATCH(86, 'Detalles movimientos'!$R$5:$R$1000, 0)), "")</f>
        <v/>
      </c>
      <c r="J98" s="19" t="str">
        <f>IFERROR(INDEX('Detalles movimientos'!L$5:L$1000, MATCH(86, 'Detalles movimientos'!$R$5:$R$1000, 0)), "")</f>
        <v/>
      </c>
      <c r="K98" s="20" t="str">
        <f>IFERROR(INDEX('Detalles movimientos'!M$5:M$1000, MATCH(86, 'Detalles movimientos'!$R$5:$R$1000, 0)), "")</f>
        <v/>
      </c>
      <c r="L98" s="18" t="str">
        <f>IFERROR(INDEX('Detalles movimientos'!N$5:N$1000, MATCH(86, 'Detalles movimientos'!$R$5:$R$1000, 0)), "")</f>
        <v/>
      </c>
      <c r="M98" s="18" t="str">
        <f>IFERROR(INDEX('Detalles movimientos'!Q$5:Q$1000, MATCH(86, 'Detalles movimientos'!$R$5:$R$1000, 0)), "")</f>
        <v/>
      </c>
    </row>
    <row r="99" spans="2:13">
      <c r="B99" s="17" t="str">
        <f>IFERROR(INDEX('Detalles movimientos'!C$5:C$1000, MATCH(87, 'Detalles movimientos'!$R$5:$R$1000, 0)), "")</f>
        <v/>
      </c>
      <c r="C99" s="18" t="str">
        <f>IFERROR(INDEX('Detalles movimientos'!D$5:D$1000, MATCH(87, 'Detalles movimientos'!$R$5:$R$1000, 0)), "")</f>
        <v/>
      </c>
      <c r="D99" s="19" t="str">
        <f>IFERROR(INDEX('Detalles movimientos'!E$5:E$1000, MATCH(87, 'Detalles movimientos'!$R$5:$R$1000, 0)), "")</f>
        <v/>
      </c>
      <c r="E99" s="19" t="str">
        <f>IFERROR(INDEX('Detalles movimientos'!F$5:F$1000, MATCH(87, 'Detalles movimientos'!$R$5:$R$1000, 0)), "")</f>
        <v/>
      </c>
      <c r="F99" s="18" t="str">
        <f>IFERROR(INDEX('Detalles movimientos'!G$5:G$1000, MATCH(87, 'Detalles movimientos'!$R$5:$R$1000, 0)), "")</f>
        <v/>
      </c>
      <c r="G99" s="20" t="str">
        <f>IFERROR(INDEX('Detalles movimientos'!H$5:H$1000, MATCH(87, 'Detalles movimientos'!$R$5:$R$1000, 0)), "")</f>
        <v/>
      </c>
      <c r="H99" s="21" t="str">
        <f>IFERROR(INDEX('Detalles movimientos'!I$5:I$1000, MATCH(87, 'Detalles movimientos'!$R$5:$R$1000, 0)), "")</f>
        <v/>
      </c>
      <c r="I99" s="20" t="str">
        <f>IFERROR(INDEX('Detalles movimientos'!K$5:K$1000, MATCH(87, 'Detalles movimientos'!$R$5:$R$1000, 0)), "")</f>
        <v/>
      </c>
      <c r="J99" s="19" t="str">
        <f>IFERROR(INDEX('Detalles movimientos'!L$5:L$1000, MATCH(87, 'Detalles movimientos'!$R$5:$R$1000, 0)), "")</f>
        <v/>
      </c>
      <c r="K99" s="20" t="str">
        <f>IFERROR(INDEX('Detalles movimientos'!M$5:M$1000, MATCH(87, 'Detalles movimientos'!$R$5:$R$1000, 0)), "")</f>
        <v/>
      </c>
      <c r="L99" s="18" t="str">
        <f>IFERROR(INDEX('Detalles movimientos'!N$5:N$1000, MATCH(87, 'Detalles movimientos'!$R$5:$R$1000, 0)), "")</f>
        <v/>
      </c>
      <c r="M99" s="18" t="str">
        <f>IFERROR(INDEX('Detalles movimientos'!Q$5:Q$1000, MATCH(87, 'Detalles movimientos'!$R$5:$R$1000, 0)), "")</f>
        <v/>
      </c>
    </row>
    <row r="100" spans="2:13">
      <c r="B100" s="17" t="str">
        <f>IFERROR(INDEX('Detalles movimientos'!C$5:C$1000, MATCH(88, 'Detalles movimientos'!$R$5:$R$1000, 0)), "")</f>
        <v/>
      </c>
      <c r="C100" s="18" t="str">
        <f>IFERROR(INDEX('Detalles movimientos'!D$5:D$1000, MATCH(88, 'Detalles movimientos'!$R$5:$R$1000, 0)), "")</f>
        <v/>
      </c>
      <c r="D100" s="19" t="str">
        <f>IFERROR(INDEX('Detalles movimientos'!E$5:E$1000, MATCH(88, 'Detalles movimientos'!$R$5:$R$1000, 0)), "")</f>
        <v/>
      </c>
      <c r="E100" s="19" t="str">
        <f>IFERROR(INDEX('Detalles movimientos'!F$5:F$1000, MATCH(88, 'Detalles movimientos'!$R$5:$R$1000, 0)), "")</f>
        <v/>
      </c>
      <c r="F100" s="18" t="str">
        <f>IFERROR(INDEX('Detalles movimientos'!G$5:G$1000, MATCH(88, 'Detalles movimientos'!$R$5:$R$1000, 0)), "")</f>
        <v/>
      </c>
      <c r="G100" s="20" t="str">
        <f>IFERROR(INDEX('Detalles movimientos'!H$5:H$1000, MATCH(88, 'Detalles movimientos'!$R$5:$R$1000, 0)), "")</f>
        <v/>
      </c>
      <c r="H100" s="21" t="str">
        <f>IFERROR(INDEX('Detalles movimientos'!I$5:I$1000, MATCH(88, 'Detalles movimientos'!$R$5:$R$1000, 0)), "")</f>
        <v/>
      </c>
      <c r="I100" s="20" t="str">
        <f>IFERROR(INDEX('Detalles movimientos'!K$5:K$1000, MATCH(88, 'Detalles movimientos'!$R$5:$R$1000, 0)), "")</f>
        <v/>
      </c>
      <c r="J100" s="19" t="str">
        <f>IFERROR(INDEX('Detalles movimientos'!L$5:L$1000, MATCH(88, 'Detalles movimientos'!$R$5:$R$1000, 0)), "")</f>
        <v/>
      </c>
      <c r="K100" s="20" t="str">
        <f>IFERROR(INDEX('Detalles movimientos'!M$5:M$1000, MATCH(88, 'Detalles movimientos'!$R$5:$R$1000, 0)), "")</f>
        <v/>
      </c>
      <c r="L100" s="18" t="str">
        <f>IFERROR(INDEX('Detalles movimientos'!N$5:N$1000, MATCH(88, 'Detalles movimientos'!$R$5:$R$1000, 0)), "")</f>
        <v/>
      </c>
      <c r="M100" s="18" t="str">
        <f>IFERROR(INDEX('Detalles movimientos'!Q$5:Q$1000, MATCH(88, 'Detalles movimientos'!$R$5:$R$1000, 0)), "")</f>
        <v/>
      </c>
    </row>
    <row r="101" spans="2:13">
      <c r="B101" s="17" t="str">
        <f>IFERROR(INDEX('Detalles movimientos'!C$5:C$1000, MATCH(89, 'Detalles movimientos'!$R$5:$R$1000, 0)), "")</f>
        <v/>
      </c>
      <c r="C101" s="18" t="str">
        <f>IFERROR(INDEX('Detalles movimientos'!D$5:D$1000, MATCH(89, 'Detalles movimientos'!$R$5:$R$1000, 0)), "")</f>
        <v/>
      </c>
      <c r="D101" s="19" t="str">
        <f>IFERROR(INDEX('Detalles movimientos'!E$5:E$1000, MATCH(89, 'Detalles movimientos'!$R$5:$R$1000, 0)), "")</f>
        <v/>
      </c>
      <c r="E101" s="19" t="str">
        <f>IFERROR(INDEX('Detalles movimientos'!F$5:F$1000, MATCH(89, 'Detalles movimientos'!$R$5:$R$1000, 0)), "")</f>
        <v/>
      </c>
      <c r="F101" s="18" t="str">
        <f>IFERROR(INDEX('Detalles movimientos'!G$5:G$1000, MATCH(89, 'Detalles movimientos'!$R$5:$R$1000, 0)), "")</f>
        <v/>
      </c>
      <c r="G101" s="20" t="str">
        <f>IFERROR(INDEX('Detalles movimientos'!H$5:H$1000, MATCH(89, 'Detalles movimientos'!$R$5:$R$1000, 0)), "")</f>
        <v/>
      </c>
      <c r="H101" s="21" t="str">
        <f>IFERROR(INDEX('Detalles movimientos'!I$5:I$1000, MATCH(89, 'Detalles movimientos'!$R$5:$R$1000, 0)), "")</f>
        <v/>
      </c>
      <c r="I101" s="20" t="str">
        <f>IFERROR(INDEX('Detalles movimientos'!K$5:K$1000, MATCH(89, 'Detalles movimientos'!$R$5:$R$1000, 0)), "")</f>
        <v/>
      </c>
      <c r="J101" s="19" t="str">
        <f>IFERROR(INDEX('Detalles movimientos'!L$5:L$1000, MATCH(89, 'Detalles movimientos'!$R$5:$R$1000, 0)), "")</f>
        <v/>
      </c>
      <c r="K101" s="20" t="str">
        <f>IFERROR(INDEX('Detalles movimientos'!M$5:M$1000, MATCH(89, 'Detalles movimientos'!$R$5:$R$1000, 0)), "")</f>
        <v/>
      </c>
      <c r="L101" s="18" t="str">
        <f>IFERROR(INDEX('Detalles movimientos'!N$5:N$1000, MATCH(89, 'Detalles movimientos'!$R$5:$R$1000, 0)), "")</f>
        <v/>
      </c>
      <c r="M101" s="18" t="str">
        <f>IFERROR(INDEX('Detalles movimientos'!Q$5:Q$1000, MATCH(89, 'Detalles movimientos'!$R$5:$R$1000, 0)), "")</f>
        <v/>
      </c>
    </row>
    <row r="102" spans="2:13">
      <c r="B102" s="17" t="str">
        <f>IFERROR(INDEX('Detalles movimientos'!C$5:C$1000, MATCH(90, 'Detalles movimientos'!$R$5:$R$1000, 0)), "")</f>
        <v/>
      </c>
      <c r="C102" s="18" t="str">
        <f>IFERROR(INDEX('Detalles movimientos'!D$5:D$1000, MATCH(90, 'Detalles movimientos'!$R$5:$R$1000, 0)), "")</f>
        <v/>
      </c>
      <c r="D102" s="19" t="str">
        <f>IFERROR(INDEX('Detalles movimientos'!E$5:E$1000, MATCH(90, 'Detalles movimientos'!$R$5:$R$1000, 0)), "")</f>
        <v/>
      </c>
      <c r="E102" s="19" t="str">
        <f>IFERROR(INDEX('Detalles movimientos'!F$5:F$1000, MATCH(90, 'Detalles movimientos'!$R$5:$R$1000, 0)), "")</f>
        <v/>
      </c>
      <c r="F102" s="18" t="str">
        <f>IFERROR(INDEX('Detalles movimientos'!G$5:G$1000, MATCH(90, 'Detalles movimientos'!$R$5:$R$1000, 0)), "")</f>
        <v/>
      </c>
      <c r="G102" s="20" t="str">
        <f>IFERROR(INDEX('Detalles movimientos'!H$5:H$1000, MATCH(90, 'Detalles movimientos'!$R$5:$R$1000, 0)), "")</f>
        <v/>
      </c>
      <c r="H102" s="21" t="str">
        <f>IFERROR(INDEX('Detalles movimientos'!I$5:I$1000, MATCH(90, 'Detalles movimientos'!$R$5:$R$1000, 0)), "")</f>
        <v/>
      </c>
      <c r="I102" s="20" t="str">
        <f>IFERROR(INDEX('Detalles movimientos'!K$5:K$1000, MATCH(90, 'Detalles movimientos'!$R$5:$R$1000, 0)), "")</f>
        <v/>
      </c>
      <c r="J102" s="19" t="str">
        <f>IFERROR(INDEX('Detalles movimientos'!L$5:L$1000, MATCH(90, 'Detalles movimientos'!$R$5:$R$1000, 0)), "")</f>
        <v/>
      </c>
      <c r="K102" s="20" t="str">
        <f>IFERROR(INDEX('Detalles movimientos'!M$5:M$1000, MATCH(90, 'Detalles movimientos'!$R$5:$R$1000, 0)), "")</f>
        <v/>
      </c>
      <c r="L102" s="18" t="str">
        <f>IFERROR(INDEX('Detalles movimientos'!N$5:N$1000, MATCH(90, 'Detalles movimientos'!$R$5:$R$1000, 0)), "")</f>
        <v/>
      </c>
      <c r="M102" s="18" t="str">
        <f>IFERROR(INDEX('Detalles movimientos'!Q$5:Q$1000, MATCH(90, 'Detalles movimientos'!$R$5:$R$1000, 0)), "")</f>
        <v/>
      </c>
    </row>
    <row r="103" spans="2:13">
      <c r="B103" s="17" t="str">
        <f>IFERROR(INDEX('Detalles movimientos'!C$5:C$1000, MATCH(91, 'Detalles movimientos'!$R$5:$R$1000, 0)), "")</f>
        <v/>
      </c>
      <c r="C103" s="18" t="str">
        <f>IFERROR(INDEX('Detalles movimientos'!D$5:D$1000, MATCH(91, 'Detalles movimientos'!$R$5:$R$1000, 0)), "")</f>
        <v/>
      </c>
      <c r="D103" s="19" t="str">
        <f>IFERROR(INDEX('Detalles movimientos'!E$5:E$1000, MATCH(91, 'Detalles movimientos'!$R$5:$R$1000, 0)), "")</f>
        <v/>
      </c>
      <c r="E103" s="19" t="str">
        <f>IFERROR(INDEX('Detalles movimientos'!F$5:F$1000, MATCH(91, 'Detalles movimientos'!$R$5:$R$1000, 0)), "")</f>
        <v/>
      </c>
      <c r="F103" s="18" t="str">
        <f>IFERROR(INDEX('Detalles movimientos'!G$5:G$1000, MATCH(91, 'Detalles movimientos'!$R$5:$R$1000, 0)), "")</f>
        <v/>
      </c>
      <c r="G103" s="20" t="str">
        <f>IFERROR(INDEX('Detalles movimientos'!H$5:H$1000, MATCH(91, 'Detalles movimientos'!$R$5:$R$1000, 0)), "")</f>
        <v/>
      </c>
      <c r="H103" s="21" t="str">
        <f>IFERROR(INDEX('Detalles movimientos'!I$5:I$1000, MATCH(91, 'Detalles movimientos'!$R$5:$R$1000, 0)), "")</f>
        <v/>
      </c>
      <c r="I103" s="20" t="str">
        <f>IFERROR(INDEX('Detalles movimientos'!K$5:K$1000, MATCH(91, 'Detalles movimientos'!$R$5:$R$1000, 0)), "")</f>
        <v/>
      </c>
      <c r="J103" s="19" t="str">
        <f>IFERROR(INDEX('Detalles movimientos'!L$5:L$1000, MATCH(91, 'Detalles movimientos'!$R$5:$R$1000, 0)), "")</f>
        <v/>
      </c>
      <c r="K103" s="20" t="str">
        <f>IFERROR(INDEX('Detalles movimientos'!M$5:M$1000, MATCH(91, 'Detalles movimientos'!$R$5:$R$1000, 0)), "")</f>
        <v/>
      </c>
      <c r="L103" s="18" t="str">
        <f>IFERROR(INDEX('Detalles movimientos'!N$5:N$1000, MATCH(91, 'Detalles movimientos'!$R$5:$R$1000, 0)), "")</f>
        <v/>
      </c>
      <c r="M103" s="18" t="str">
        <f>IFERROR(INDEX('Detalles movimientos'!Q$5:Q$1000, MATCH(91, 'Detalles movimientos'!$R$5:$R$1000, 0)), "")</f>
        <v/>
      </c>
    </row>
    <row r="104" spans="2:13">
      <c r="B104" s="17" t="str">
        <f>IFERROR(INDEX('Detalles movimientos'!C$5:C$1000, MATCH(92, 'Detalles movimientos'!$R$5:$R$1000, 0)), "")</f>
        <v/>
      </c>
      <c r="C104" s="18" t="str">
        <f>IFERROR(INDEX('Detalles movimientos'!D$5:D$1000, MATCH(92, 'Detalles movimientos'!$R$5:$R$1000, 0)), "")</f>
        <v/>
      </c>
      <c r="D104" s="19" t="str">
        <f>IFERROR(INDEX('Detalles movimientos'!E$5:E$1000, MATCH(92, 'Detalles movimientos'!$R$5:$R$1000, 0)), "")</f>
        <v/>
      </c>
      <c r="E104" s="19" t="str">
        <f>IFERROR(INDEX('Detalles movimientos'!F$5:F$1000, MATCH(92, 'Detalles movimientos'!$R$5:$R$1000, 0)), "")</f>
        <v/>
      </c>
      <c r="F104" s="18" t="str">
        <f>IFERROR(INDEX('Detalles movimientos'!G$5:G$1000, MATCH(92, 'Detalles movimientos'!$R$5:$R$1000, 0)), "")</f>
        <v/>
      </c>
      <c r="G104" s="20" t="str">
        <f>IFERROR(INDEX('Detalles movimientos'!H$5:H$1000, MATCH(92, 'Detalles movimientos'!$R$5:$R$1000, 0)), "")</f>
        <v/>
      </c>
      <c r="H104" s="21" t="str">
        <f>IFERROR(INDEX('Detalles movimientos'!I$5:I$1000, MATCH(92, 'Detalles movimientos'!$R$5:$R$1000, 0)), "")</f>
        <v/>
      </c>
      <c r="I104" s="20" t="str">
        <f>IFERROR(INDEX('Detalles movimientos'!K$5:K$1000, MATCH(92, 'Detalles movimientos'!$R$5:$R$1000, 0)), "")</f>
        <v/>
      </c>
      <c r="J104" s="19" t="str">
        <f>IFERROR(INDEX('Detalles movimientos'!L$5:L$1000, MATCH(92, 'Detalles movimientos'!$R$5:$R$1000, 0)), "")</f>
        <v/>
      </c>
      <c r="K104" s="20" t="str">
        <f>IFERROR(INDEX('Detalles movimientos'!M$5:M$1000, MATCH(92, 'Detalles movimientos'!$R$5:$R$1000, 0)), "")</f>
        <v/>
      </c>
      <c r="L104" s="18" t="str">
        <f>IFERROR(INDEX('Detalles movimientos'!N$5:N$1000, MATCH(92, 'Detalles movimientos'!$R$5:$R$1000, 0)), "")</f>
        <v/>
      </c>
      <c r="M104" s="18" t="str">
        <f>IFERROR(INDEX('Detalles movimientos'!Q$5:Q$1000, MATCH(92, 'Detalles movimientos'!$R$5:$R$1000, 0)), "")</f>
        <v/>
      </c>
    </row>
    <row r="105" spans="2:13">
      <c r="B105" s="17" t="str">
        <f>IFERROR(INDEX('Detalles movimientos'!C$5:C$1000, MATCH(93, 'Detalles movimientos'!$R$5:$R$1000, 0)), "")</f>
        <v/>
      </c>
      <c r="C105" s="18" t="str">
        <f>IFERROR(INDEX('Detalles movimientos'!D$5:D$1000, MATCH(93, 'Detalles movimientos'!$R$5:$R$1000, 0)), "")</f>
        <v/>
      </c>
      <c r="D105" s="19" t="str">
        <f>IFERROR(INDEX('Detalles movimientos'!E$5:E$1000, MATCH(93, 'Detalles movimientos'!$R$5:$R$1000, 0)), "")</f>
        <v/>
      </c>
      <c r="E105" s="19" t="str">
        <f>IFERROR(INDEX('Detalles movimientos'!F$5:F$1000, MATCH(93, 'Detalles movimientos'!$R$5:$R$1000, 0)), "")</f>
        <v/>
      </c>
      <c r="F105" s="18" t="str">
        <f>IFERROR(INDEX('Detalles movimientos'!G$5:G$1000, MATCH(93, 'Detalles movimientos'!$R$5:$R$1000, 0)), "")</f>
        <v/>
      </c>
      <c r="G105" s="20" t="str">
        <f>IFERROR(INDEX('Detalles movimientos'!H$5:H$1000, MATCH(93, 'Detalles movimientos'!$R$5:$R$1000, 0)), "")</f>
        <v/>
      </c>
      <c r="H105" s="21" t="str">
        <f>IFERROR(INDEX('Detalles movimientos'!I$5:I$1000, MATCH(93, 'Detalles movimientos'!$R$5:$R$1000, 0)), "")</f>
        <v/>
      </c>
      <c r="I105" s="20" t="str">
        <f>IFERROR(INDEX('Detalles movimientos'!K$5:K$1000, MATCH(93, 'Detalles movimientos'!$R$5:$R$1000, 0)), "")</f>
        <v/>
      </c>
      <c r="J105" s="19" t="str">
        <f>IFERROR(INDEX('Detalles movimientos'!L$5:L$1000, MATCH(93, 'Detalles movimientos'!$R$5:$R$1000, 0)), "")</f>
        <v/>
      </c>
      <c r="K105" s="20" t="str">
        <f>IFERROR(INDEX('Detalles movimientos'!M$5:M$1000, MATCH(93, 'Detalles movimientos'!$R$5:$R$1000, 0)), "")</f>
        <v/>
      </c>
      <c r="L105" s="18" t="str">
        <f>IFERROR(INDEX('Detalles movimientos'!N$5:N$1000, MATCH(93, 'Detalles movimientos'!$R$5:$R$1000, 0)), "")</f>
        <v/>
      </c>
      <c r="M105" s="18" t="str">
        <f>IFERROR(INDEX('Detalles movimientos'!Q$5:Q$1000, MATCH(93, 'Detalles movimientos'!$R$5:$R$1000, 0)), "")</f>
        <v/>
      </c>
    </row>
    <row r="106" spans="2:13">
      <c r="B106" s="17" t="str">
        <f>IFERROR(INDEX('Detalles movimientos'!C$5:C$1000, MATCH(94, 'Detalles movimientos'!$R$5:$R$1000, 0)), "")</f>
        <v/>
      </c>
      <c r="C106" s="18" t="str">
        <f>IFERROR(INDEX('Detalles movimientos'!D$5:D$1000, MATCH(94, 'Detalles movimientos'!$R$5:$R$1000, 0)), "")</f>
        <v/>
      </c>
      <c r="D106" s="19" t="str">
        <f>IFERROR(INDEX('Detalles movimientos'!E$5:E$1000, MATCH(94, 'Detalles movimientos'!$R$5:$R$1000, 0)), "")</f>
        <v/>
      </c>
      <c r="E106" s="19" t="str">
        <f>IFERROR(INDEX('Detalles movimientos'!F$5:F$1000, MATCH(94, 'Detalles movimientos'!$R$5:$R$1000, 0)), "")</f>
        <v/>
      </c>
      <c r="F106" s="18" t="str">
        <f>IFERROR(INDEX('Detalles movimientos'!G$5:G$1000, MATCH(94, 'Detalles movimientos'!$R$5:$R$1000, 0)), "")</f>
        <v/>
      </c>
      <c r="G106" s="20" t="str">
        <f>IFERROR(INDEX('Detalles movimientos'!H$5:H$1000, MATCH(94, 'Detalles movimientos'!$R$5:$R$1000, 0)), "")</f>
        <v/>
      </c>
      <c r="H106" s="21" t="str">
        <f>IFERROR(INDEX('Detalles movimientos'!I$5:I$1000, MATCH(94, 'Detalles movimientos'!$R$5:$R$1000, 0)), "")</f>
        <v/>
      </c>
      <c r="I106" s="20" t="str">
        <f>IFERROR(INDEX('Detalles movimientos'!K$5:K$1000, MATCH(94, 'Detalles movimientos'!$R$5:$R$1000, 0)), "")</f>
        <v/>
      </c>
      <c r="J106" s="19" t="str">
        <f>IFERROR(INDEX('Detalles movimientos'!L$5:L$1000, MATCH(94, 'Detalles movimientos'!$R$5:$R$1000, 0)), "")</f>
        <v/>
      </c>
      <c r="K106" s="20" t="str">
        <f>IFERROR(INDEX('Detalles movimientos'!M$5:M$1000, MATCH(94, 'Detalles movimientos'!$R$5:$R$1000, 0)), "")</f>
        <v/>
      </c>
      <c r="L106" s="18" t="str">
        <f>IFERROR(INDEX('Detalles movimientos'!N$5:N$1000, MATCH(94, 'Detalles movimientos'!$R$5:$R$1000, 0)), "")</f>
        <v/>
      </c>
      <c r="M106" s="18" t="str">
        <f>IFERROR(INDEX('Detalles movimientos'!Q$5:Q$1000, MATCH(94, 'Detalles movimientos'!$R$5:$R$1000, 0)), "")</f>
        <v/>
      </c>
    </row>
    <row r="107" spans="2:13">
      <c r="B107" s="17" t="str">
        <f>IFERROR(INDEX('Detalles movimientos'!C$5:C$1000, MATCH(95, 'Detalles movimientos'!$R$5:$R$1000, 0)), "")</f>
        <v/>
      </c>
      <c r="C107" s="18" t="str">
        <f>IFERROR(INDEX('Detalles movimientos'!D$5:D$1000, MATCH(95, 'Detalles movimientos'!$R$5:$R$1000, 0)), "")</f>
        <v/>
      </c>
      <c r="D107" s="19" t="str">
        <f>IFERROR(INDEX('Detalles movimientos'!E$5:E$1000, MATCH(95, 'Detalles movimientos'!$R$5:$R$1000, 0)), "")</f>
        <v/>
      </c>
      <c r="E107" s="19" t="str">
        <f>IFERROR(INDEX('Detalles movimientos'!F$5:F$1000, MATCH(95, 'Detalles movimientos'!$R$5:$R$1000, 0)), "")</f>
        <v/>
      </c>
      <c r="F107" s="18" t="str">
        <f>IFERROR(INDEX('Detalles movimientos'!G$5:G$1000, MATCH(95, 'Detalles movimientos'!$R$5:$R$1000, 0)), "")</f>
        <v/>
      </c>
      <c r="G107" s="20" t="str">
        <f>IFERROR(INDEX('Detalles movimientos'!H$5:H$1000, MATCH(95, 'Detalles movimientos'!$R$5:$R$1000, 0)), "")</f>
        <v/>
      </c>
      <c r="H107" s="21" t="str">
        <f>IFERROR(INDEX('Detalles movimientos'!I$5:I$1000, MATCH(95, 'Detalles movimientos'!$R$5:$R$1000, 0)), "")</f>
        <v/>
      </c>
      <c r="I107" s="20" t="str">
        <f>IFERROR(INDEX('Detalles movimientos'!K$5:K$1000, MATCH(95, 'Detalles movimientos'!$R$5:$R$1000, 0)), "")</f>
        <v/>
      </c>
      <c r="J107" s="19" t="str">
        <f>IFERROR(INDEX('Detalles movimientos'!L$5:L$1000, MATCH(95, 'Detalles movimientos'!$R$5:$R$1000, 0)), "")</f>
        <v/>
      </c>
      <c r="K107" s="20" t="str">
        <f>IFERROR(INDEX('Detalles movimientos'!M$5:M$1000, MATCH(95, 'Detalles movimientos'!$R$5:$R$1000, 0)), "")</f>
        <v/>
      </c>
      <c r="L107" s="18" t="str">
        <f>IFERROR(INDEX('Detalles movimientos'!N$5:N$1000, MATCH(95, 'Detalles movimientos'!$R$5:$R$1000, 0)), "")</f>
        <v/>
      </c>
      <c r="M107" s="18" t="str">
        <f>IFERROR(INDEX('Detalles movimientos'!Q$5:Q$1000, MATCH(95, 'Detalles movimientos'!$R$5:$R$1000, 0)), "")</f>
        <v/>
      </c>
    </row>
    <row r="108" spans="2:13">
      <c r="B108" s="17" t="str">
        <f>IFERROR(INDEX('Detalles movimientos'!C$5:C$1000, MATCH(96, 'Detalles movimientos'!$R$5:$R$1000, 0)), "")</f>
        <v/>
      </c>
      <c r="C108" s="18" t="str">
        <f>IFERROR(INDEX('Detalles movimientos'!D$5:D$1000, MATCH(96, 'Detalles movimientos'!$R$5:$R$1000, 0)), "")</f>
        <v/>
      </c>
      <c r="D108" s="19" t="str">
        <f>IFERROR(INDEX('Detalles movimientos'!E$5:E$1000, MATCH(96, 'Detalles movimientos'!$R$5:$R$1000, 0)), "")</f>
        <v/>
      </c>
      <c r="E108" s="19" t="str">
        <f>IFERROR(INDEX('Detalles movimientos'!F$5:F$1000, MATCH(96, 'Detalles movimientos'!$R$5:$R$1000, 0)), "")</f>
        <v/>
      </c>
      <c r="F108" s="18" t="str">
        <f>IFERROR(INDEX('Detalles movimientos'!G$5:G$1000, MATCH(96, 'Detalles movimientos'!$R$5:$R$1000, 0)), "")</f>
        <v/>
      </c>
      <c r="G108" s="20" t="str">
        <f>IFERROR(INDEX('Detalles movimientos'!H$5:H$1000, MATCH(96, 'Detalles movimientos'!$R$5:$R$1000, 0)), "")</f>
        <v/>
      </c>
      <c r="H108" s="21" t="str">
        <f>IFERROR(INDEX('Detalles movimientos'!I$5:I$1000, MATCH(96, 'Detalles movimientos'!$R$5:$R$1000, 0)), "")</f>
        <v/>
      </c>
      <c r="I108" s="20" t="str">
        <f>IFERROR(INDEX('Detalles movimientos'!K$5:K$1000, MATCH(96, 'Detalles movimientos'!$R$5:$R$1000, 0)), "")</f>
        <v/>
      </c>
      <c r="J108" s="19" t="str">
        <f>IFERROR(INDEX('Detalles movimientos'!L$5:L$1000, MATCH(96, 'Detalles movimientos'!$R$5:$R$1000, 0)), "")</f>
        <v/>
      </c>
      <c r="K108" s="20" t="str">
        <f>IFERROR(INDEX('Detalles movimientos'!M$5:M$1000, MATCH(96, 'Detalles movimientos'!$R$5:$R$1000, 0)), "")</f>
        <v/>
      </c>
      <c r="L108" s="18" t="str">
        <f>IFERROR(INDEX('Detalles movimientos'!N$5:N$1000, MATCH(96, 'Detalles movimientos'!$R$5:$R$1000, 0)), "")</f>
        <v/>
      </c>
      <c r="M108" s="18" t="str">
        <f>IFERROR(INDEX('Detalles movimientos'!Q$5:Q$1000, MATCH(96, 'Detalles movimientos'!$R$5:$R$1000, 0)), "")</f>
        <v/>
      </c>
    </row>
    <row r="109" spans="2:13">
      <c r="B109" s="17" t="str">
        <f>IFERROR(INDEX('Detalles movimientos'!C$5:C$1000, MATCH(97, 'Detalles movimientos'!$R$5:$R$1000, 0)), "")</f>
        <v/>
      </c>
      <c r="C109" s="18" t="str">
        <f>IFERROR(INDEX('Detalles movimientos'!D$5:D$1000, MATCH(97, 'Detalles movimientos'!$R$5:$R$1000, 0)), "")</f>
        <v/>
      </c>
      <c r="D109" s="19" t="str">
        <f>IFERROR(INDEX('Detalles movimientos'!E$5:E$1000, MATCH(97, 'Detalles movimientos'!$R$5:$R$1000, 0)), "")</f>
        <v/>
      </c>
      <c r="E109" s="19" t="str">
        <f>IFERROR(INDEX('Detalles movimientos'!F$5:F$1000, MATCH(97, 'Detalles movimientos'!$R$5:$R$1000, 0)), "")</f>
        <v/>
      </c>
      <c r="F109" s="18" t="str">
        <f>IFERROR(INDEX('Detalles movimientos'!G$5:G$1000, MATCH(97, 'Detalles movimientos'!$R$5:$R$1000, 0)), "")</f>
        <v/>
      </c>
      <c r="G109" s="20" t="str">
        <f>IFERROR(INDEX('Detalles movimientos'!H$5:H$1000, MATCH(97, 'Detalles movimientos'!$R$5:$R$1000, 0)), "")</f>
        <v/>
      </c>
      <c r="H109" s="21" t="str">
        <f>IFERROR(INDEX('Detalles movimientos'!I$5:I$1000, MATCH(97, 'Detalles movimientos'!$R$5:$R$1000, 0)), "")</f>
        <v/>
      </c>
      <c r="I109" s="20" t="str">
        <f>IFERROR(INDEX('Detalles movimientos'!K$5:K$1000, MATCH(97, 'Detalles movimientos'!$R$5:$R$1000, 0)), "")</f>
        <v/>
      </c>
      <c r="J109" s="19" t="str">
        <f>IFERROR(INDEX('Detalles movimientos'!L$5:L$1000, MATCH(97, 'Detalles movimientos'!$R$5:$R$1000, 0)), "")</f>
        <v/>
      </c>
      <c r="K109" s="20" t="str">
        <f>IFERROR(INDEX('Detalles movimientos'!M$5:M$1000, MATCH(97, 'Detalles movimientos'!$R$5:$R$1000, 0)), "")</f>
        <v/>
      </c>
      <c r="L109" s="18" t="str">
        <f>IFERROR(INDEX('Detalles movimientos'!N$5:N$1000, MATCH(97, 'Detalles movimientos'!$R$5:$R$1000, 0)), "")</f>
        <v/>
      </c>
      <c r="M109" s="18" t="str">
        <f>IFERROR(INDEX('Detalles movimientos'!Q$5:Q$1000, MATCH(97, 'Detalles movimientos'!$R$5:$R$1000, 0)), "")</f>
        <v/>
      </c>
    </row>
    <row r="110" spans="2:13">
      <c r="B110" s="17" t="str">
        <f>IFERROR(INDEX('Detalles movimientos'!C$5:C$1000, MATCH(98, 'Detalles movimientos'!$R$5:$R$1000, 0)), "")</f>
        <v/>
      </c>
      <c r="C110" s="18" t="str">
        <f>IFERROR(INDEX('Detalles movimientos'!D$5:D$1000, MATCH(98, 'Detalles movimientos'!$R$5:$R$1000, 0)), "")</f>
        <v/>
      </c>
      <c r="D110" s="19" t="str">
        <f>IFERROR(INDEX('Detalles movimientos'!E$5:E$1000, MATCH(98, 'Detalles movimientos'!$R$5:$R$1000, 0)), "")</f>
        <v/>
      </c>
      <c r="E110" s="19" t="str">
        <f>IFERROR(INDEX('Detalles movimientos'!F$5:F$1000, MATCH(98, 'Detalles movimientos'!$R$5:$R$1000, 0)), "")</f>
        <v/>
      </c>
      <c r="F110" s="18" t="str">
        <f>IFERROR(INDEX('Detalles movimientos'!G$5:G$1000, MATCH(98, 'Detalles movimientos'!$R$5:$R$1000, 0)), "")</f>
        <v/>
      </c>
      <c r="G110" s="20" t="str">
        <f>IFERROR(INDEX('Detalles movimientos'!H$5:H$1000, MATCH(98, 'Detalles movimientos'!$R$5:$R$1000, 0)), "")</f>
        <v/>
      </c>
      <c r="H110" s="21" t="str">
        <f>IFERROR(INDEX('Detalles movimientos'!I$5:I$1000, MATCH(98, 'Detalles movimientos'!$R$5:$R$1000, 0)), "")</f>
        <v/>
      </c>
      <c r="I110" s="20" t="str">
        <f>IFERROR(INDEX('Detalles movimientos'!K$5:K$1000, MATCH(98, 'Detalles movimientos'!$R$5:$R$1000, 0)), "")</f>
        <v/>
      </c>
      <c r="J110" s="19" t="str">
        <f>IFERROR(INDEX('Detalles movimientos'!L$5:L$1000, MATCH(98, 'Detalles movimientos'!$R$5:$R$1000, 0)), "")</f>
        <v/>
      </c>
      <c r="K110" s="20" t="str">
        <f>IFERROR(INDEX('Detalles movimientos'!M$5:M$1000, MATCH(98, 'Detalles movimientos'!$R$5:$R$1000, 0)), "")</f>
        <v/>
      </c>
      <c r="L110" s="18" t="str">
        <f>IFERROR(INDEX('Detalles movimientos'!N$5:N$1000, MATCH(98, 'Detalles movimientos'!$R$5:$R$1000, 0)), "")</f>
        <v/>
      </c>
      <c r="M110" s="18" t="str">
        <f>IFERROR(INDEX('Detalles movimientos'!Q$5:Q$1000, MATCH(98, 'Detalles movimientos'!$R$5:$R$1000, 0)), "")</f>
        <v/>
      </c>
    </row>
    <row r="111" spans="2:13">
      <c r="B111" s="17" t="str">
        <f>IFERROR(INDEX('Detalles movimientos'!C$5:C$1000, MATCH(99, 'Detalles movimientos'!$R$5:$R$1000, 0)), "")</f>
        <v/>
      </c>
      <c r="C111" s="18" t="str">
        <f>IFERROR(INDEX('Detalles movimientos'!D$5:D$1000, MATCH(99, 'Detalles movimientos'!$R$5:$R$1000, 0)), "")</f>
        <v/>
      </c>
      <c r="D111" s="19" t="str">
        <f>IFERROR(INDEX('Detalles movimientos'!E$5:E$1000, MATCH(99, 'Detalles movimientos'!$R$5:$R$1000, 0)), "")</f>
        <v/>
      </c>
      <c r="E111" s="19" t="str">
        <f>IFERROR(INDEX('Detalles movimientos'!F$5:F$1000, MATCH(99, 'Detalles movimientos'!$R$5:$R$1000, 0)), "")</f>
        <v/>
      </c>
      <c r="F111" s="18" t="str">
        <f>IFERROR(INDEX('Detalles movimientos'!G$5:G$1000, MATCH(99, 'Detalles movimientos'!$R$5:$R$1000, 0)), "")</f>
        <v/>
      </c>
      <c r="G111" s="20" t="str">
        <f>IFERROR(INDEX('Detalles movimientos'!H$5:H$1000, MATCH(99, 'Detalles movimientos'!$R$5:$R$1000, 0)), "")</f>
        <v/>
      </c>
      <c r="H111" s="21" t="str">
        <f>IFERROR(INDEX('Detalles movimientos'!I$5:I$1000, MATCH(99, 'Detalles movimientos'!$R$5:$R$1000, 0)), "")</f>
        <v/>
      </c>
      <c r="I111" s="20" t="str">
        <f>IFERROR(INDEX('Detalles movimientos'!K$5:K$1000, MATCH(99, 'Detalles movimientos'!$R$5:$R$1000, 0)), "")</f>
        <v/>
      </c>
      <c r="J111" s="19" t="str">
        <f>IFERROR(INDEX('Detalles movimientos'!L$5:L$1000, MATCH(99, 'Detalles movimientos'!$R$5:$R$1000, 0)), "")</f>
        <v/>
      </c>
      <c r="K111" s="20" t="str">
        <f>IFERROR(INDEX('Detalles movimientos'!M$5:M$1000, MATCH(99, 'Detalles movimientos'!$R$5:$R$1000, 0)), "")</f>
        <v/>
      </c>
      <c r="L111" s="18" t="str">
        <f>IFERROR(INDEX('Detalles movimientos'!N$5:N$1000, MATCH(99, 'Detalles movimientos'!$R$5:$R$1000, 0)), "")</f>
        <v/>
      </c>
      <c r="M111" s="18" t="str">
        <f>IFERROR(INDEX('Detalles movimientos'!Q$5:Q$1000, MATCH(99, 'Detalles movimientos'!$R$5:$R$1000, 0)), "")</f>
        <v/>
      </c>
    </row>
    <row r="112" spans="2:13">
      <c r="B112" s="17" t="str">
        <f>IFERROR(INDEX('Detalles movimientos'!C$5:C$1000, MATCH(100, 'Detalles movimientos'!$R$5:$R$1000, 0)), "")</f>
        <v/>
      </c>
      <c r="C112" s="18" t="str">
        <f>IFERROR(INDEX('Detalles movimientos'!D$5:D$1000, MATCH(100, 'Detalles movimientos'!$R$5:$R$1000, 0)), "")</f>
        <v/>
      </c>
      <c r="D112" s="19" t="str">
        <f>IFERROR(INDEX('Detalles movimientos'!E$5:E$1000, MATCH(100, 'Detalles movimientos'!$R$5:$R$1000, 0)), "")</f>
        <v/>
      </c>
      <c r="E112" s="19" t="str">
        <f>IFERROR(INDEX('Detalles movimientos'!F$5:F$1000, MATCH(100, 'Detalles movimientos'!$R$5:$R$1000, 0)), "")</f>
        <v/>
      </c>
      <c r="F112" s="18" t="str">
        <f>IFERROR(INDEX('Detalles movimientos'!G$5:G$1000, MATCH(100, 'Detalles movimientos'!$R$5:$R$1000, 0)), "")</f>
        <v/>
      </c>
      <c r="G112" s="20" t="str">
        <f>IFERROR(INDEX('Detalles movimientos'!H$5:H$1000, MATCH(100, 'Detalles movimientos'!$R$5:$R$1000, 0)), "")</f>
        <v/>
      </c>
      <c r="H112" s="21" t="str">
        <f>IFERROR(INDEX('Detalles movimientos'!I$5:I$1000, MATCH(100, 'Detalles movimientos'!$R$5:$R$1000, 0)), "")</f>
        <v/>
      </c>
      <c r="I112" s="20" t="str">
        <f>IFERROR(INDEX('Detalles movimientos'!K$5:K$1000, MATCH(100, 'Detalles movimientos'!$R$5:$R$1000, 0)), "")</f>
        <v/>
      </c>
      <c r="J112" s="19" t="str">
        <f>IFERROR(INDEX('Detalles movimientos'!L$5:L$1000, MATCH(100, 'Detalles movimientos'!$R$5:$R$1000, 0)), "")</f>
        <v/>
      </c>
      <c r="K112" s="20" t="str">
        <f>IFERROR(INDEX('Detalles movimientos'!M$5:M$1000, MATCH(100, 'Detalles movimientos'!$R$5:$R$1000, 0)), "")</f>
        <v/>
      </c>
      <c r="L112" s="18" t="str">
        <f>IFERROR(INDEX('Detalles movimientos'!N$5:N$1000, MATCH(100, 'Detalles movimientos'!$R$5:$R$1000, 0)), "")</f>
        <v/>
      </c>
      <c r="M112" s="18" t="str">
        <f>IFERROR(INDEX('Detalles movimientos'!Q$5:Q$1000, MATCH(100, 'Detalles movimientos'!$R$5:$R$1000, 0)), "")</f>
        <v/>
      </c>
    </row>
    <row r="113" spans="2:13">
      <c r="B113" s="17" t="str">
        <f>IFERROR(INDEX('Detalles movimientos'!C$5:C$1000, MATCH(101, 'Detalles movimientos'!$R$5:$R$1000, 0)), "")</f>
        <v/>
      </c>
      <c r="C113" s="18" t="str">
        <f>IFERROR(INDEX('Detalles movimientos'!D$5:D$1000, MATCH(101, 'Detalles movimientos'!$R$5:$R$1000, 0)), "")</f>
        <v/>
      </c>
      <c r="D113" s="19" t="str">
        <f>IFERROR(INDEX('Detalles movimientos'!E$5:E$1000, MATCH(101, 'Detalles movimientos'!$R$5:$R$1000, 0)), "")</f>
        <v/>
      </c>
      <c r="E113" s="19" t="str">
        <f>IFERROR(INDEX('Detalles movimientos'!F$5:F$1000, MATCH(101, 'Detalles movimientos'!$R$5:$R$1000, 0)), "")</f>
        <v/>
      </c>
      <c r="F113" s="18" t="str">
        <f>IFERROR(INDEX('Detalles movimientos'!G$5:G$1000, MATCH(101, 'Detalles movimientos'!$R$5:$R$1000, 0)), "")</f>
        <v/>
      </c>
      <c r="G113" s="20" t="str">
        <f>IFERROR(INDEX('Detalles movimientos'!H$5:H$1000, MATCH(101, 'Detalles movimientos'!$R$5:$R$1000, 0)), "")</f>
        <v/>
      </c>
      <c r="H113" s="21" t="str">
        <f>IFERROR(INDEX('Detalles movimientos'!I$5:I$1000, MATCH(101, 'Detalles movimientos'!$R$5:$R$1000, 0)), "")</f>
        <v/>
      </c>
      <c r="I113" s="20" t="str">
        <f>IFERROR(INDEX('Detalles movimientos'!K$5:K$1000, MATCH(101, 'Detalles movimientos'!$R$5:$R$1000, 0)), "")</f>
        <v/>
      </c>
      <c r="J113" s="19" t="str">
        <f>IFERROR(INDEX('Detalles movimientos'!L$5:L$1000, MATCH(101, 'Detalles movimientos'!$R$5:$R$1000, 0)), "")</f>
        <v/>
      </c>
      <c r="K113" s="20" t="str">
        <f>IFERROR(INDEX('Detalles movimientos'!M$5:M$1000, MATCH(101, 'Detalles movimientos'!$R$5:$R$1000, 0)), "")</f>
        <v/>
      </c>
      <c r="L113" s="18" t="str">
        <f>IFERROR(INDEX('Detalles movimientos'!N$5:N$1000, MATCH(101, 'Detalles movimientos'!$R$5:$R$1000, 0)), "")</f>
        <v/>
      </c>
      <c r="M113" s="18" t="str">
        <f>IFERROR(INDEX('Detalles movimientos'!Q$5:Q$1000, MATCH(101, 'Detalles movimientos'!$R$5:$R$1000, 0)), "")</f>
        <v/>
      </c>
    </row>
    <row r="114" spans="2:13">
      <c r="B114" s="17" t="str">
        <f>IFERROR(INDEX('Detalles movimientos'!C$5:C$1000, MATCH(102, 'Detalles movimientos'!$R$5:$R$1000, 0)), "")</f>
        <v/>
      </c>
      <c r="C114" s="18" t="str">
        <f>IFERROR(INDEX('Detalles movimientos'!D$5:D$1000, MATCH(102, 'Detalles movimientos'!$R$5:$R$1000, 0)), "")</f>
        <v/>
      </c>
      <c r="D114" s="19" t="str">
        <f>IFERROR(INDEX('Detalles movimientos'!E$5:E$1000, MATCH(102, 'Detalles movimientos'!$R$5:$R$1000, 0)), "")</f>
        <v/>
      </c>
      <c r="E114" s="19" t="str">
        <f>IFERROR(INDEX('Detalles movimientos'!F$5:F$1000, MATCH(102, 'Detalles movimientos'!$R$5:$R$1000, 0)), "")</f>
        <v/>
      </c>
      <c r="F114" s="18" t="str">
        <f>IFERROR(INDEX('Detalles movimientos'!G$5:G$1000, MATCH(102, 'Detalles movimientos'!$R$5:$R$1000, 0)), "")</f>
        <v/>
      </c>
      <c r="G114" s="20" t="str">
        <f>IFERROR(INDEX('Detalles movimientos'!H$5:H$1000, MATCH(102, 'Detalles movimientos'!$R$5:$R$1000, 0)), "")</f>
        <v/>
      </c>
      <c r="H114" s="21" t="str">
        <f>IFERROR(INDEX('Detalles movimientos'!I$5:I$1000, MATCH(102, 'Detalles movimientos'!$R$5:$R$1000, 0)), "")</f>
        <v/>
      </c>
      <c r="I114" s="20" t="str">
        <f>IFERROR(INDEX('Detalles movimientos'!K$5:K$1000, MATCH(102, 'Detalles movimientos'!$R$5:$R$1000, 0)), "")</f>
        <v/>
      </c>
      <c r="J114" s="19" t="str">
        <f>IFERROR(INDEX('Detalles movimientos'!L$5:L$1000, MATCH(102, 'Detalles movimientos'!$R$5:$R$1000, 0)), "")</f>
        <v/>
      </c>
      <c r="K114" s="20" t="str">
        <f>IFERROR(INDEX('Detalles movimientos'!M$5:M$1000, MATCH(102, 'Detalles movimientos'!$R$5:$R$1000, 0)), "")</f>
        <v/>
      </c>
      <c r="L114" s="18" t="str">
        <f>IFERROR(INDEX('Detalles movimientos'!N$5:N$1000, MATCH(102, 'Detalles movimientos'!$R$5:$R$1000, 0)), "")</f>
        <v/>
      </c>
      <c r="M114" s="18" t="str">
        <f>IFERROR(INDEX('Detalles movimientos'!Q$5:Q$1000, MATCH(102, 'Detalles movimientos'!$R$5:$R$1000, 0)), "")</f>
        <v/>
      </c>
    </row>
    <row r="115" spans="2:13">
      <c r="B115" s="17" t="str">
        <f>IFERROR(INDEX('Detalles movimientos'!C$5:C$1000, MATCH(103, 'Detalles movimientos'!$R$5:$R$1000, 0)), "")</f>
        <v/>
      </c>
      <c r="C115" s="18" t="str">
        <f>IFERROR(INDEX('Detalles movimientos'!D$5:D$1000, MATCH(103, 'Detalles movimientos'!$R$5:$R$1000, 0)), "")</f>
        <v/>
      </c>
      <c r="D115" s="19" t="str">
        <f>IFERROR(INDEX('Detalles movimientos'!E$5:E$1000, MATCH(103, 'Detalles movimientos'!$R$5:$R$1000, 0)), "")</f>
        <v/>
      </c>
      <c r="E115" s="19" t="str">
        <f>IFERROR(INDEX('Detalles movimientos'!F$5:F$1000, MATCH(103, 'Detalles movimientos'!$R$5:$R$1000, 0)), "")</f>
        <v/>
      </c>
      <c r="F115" s="18" t="str">
        <f>IFERROR(INDEX('Detalles movimientos'!G$5:G$1000, MATCH(103, 'Detalles movimientos'!$R$5:$R$1000, 0)), "")</f>
        <v/>
      </c>
      <c r="G115" s="20" t="str">
        <f>IFERROR(INDEX('Detalles movimientos'!H$5:H$1000, MATCH(103, 'Detalles movimientos'!$R$5:$R$1000, 0)), "")</f>
        <v/>
      </c>
      <c r="H115" s="21" t="str">
        <f>IFERROR(INDEX('Detalles movimientos'!I$5:I$1000, MATCH(103, 'Detalles movimientos'!$R$5:$R$1000, 0)), "")</f>
        <v/>
      </c>
      <c r="I115" s="20" t="str">
        <f>IFERROR(INDEX('Detalles movimientos'!K$5:K$1000, MATCH(103, 'Detalles movimientos'!$R$5:$R$1000, 0)), "")</f>
        <v/>
      </c>
      <c r="J115" s="19" t="str">
        <f>IFERROR(INDEX('Detalles movimientos'!L$5:L$1000, MATCH(103, 'Detalles movimientos'!$R$5:$R$1000, 0)), "")</f>
        <v/>
      </c>
      <c r="K115" s="20" t="str">
        <f>IFERROR(INDEX('Detalles movimientos'!M$5:M$1000, MATCH(103, 'Detalles movimientos'!$R$5:$R$1000, 0)), "")</f>
        <v/>
      </c>
      <c r="L115" s="18" t="str">
        <f>IFERROR(INDEX('Detalles movimientos'!N$5:N$1000, MATCH(103, 'Detalles movimientos'!$R$5:$R$1000, 0)), "")</f>
        <v/>
      </c>
      <c r="M115" s="18" t="str">
        <f>IFERROR(INDEX('Detalles movimientos'!Q$5:Q$1000, MATCH(103, 'Detalles movimientos'!$R$5:$R$1000, 0)), "")</f>
        <v/>
      </c>
    </row>
    <row r="116" spans="2:13">
      <c r="B116" s="17" t="str">
        <f>IFERROR(INDEX('Detalles movimientos'!C$5:C$1000, MATCH(104, 'Detalles movimientos'!$R$5:$R$1000, 0)), "")</f>
        <v/>
      </c>
      <c r="C116" s="18" t="str">
        <f>IFERROR(INDEX('Detalles movimientos'!D$5:D$1000, MATCH(104, 'Detalles movimientos'!$R$5:$R$1000, 0)), "")</f>
        <v/>
      </c>
      <c r="D116" s="19" t="str">
        <f>IFERROR(INDEX('Detalles movimientos'!E$5:E$1000, MATCH(104, 'Detalles movimientos'!$R$5:$R$1000, 0)), "")</f>
        <v/>
      </c>
      <c r="E116" s="19" t="str">
        <f>IFERROR(INDEX('Detalles movimientos'!F$5:F$1000, MATCH(104, 'Detalles movimientos'!$R$5:$R$1000, 0)), "")</f>
        <v/>
      </c>
      <c r="F116" s="18" t="str">
        <f>IFERROR(INDEX('Detalles movimientos'!G$5:G$1000, MATCH(104, 'Detalles movimientos'!$R$5:$R$1000, 0)), "")</f>
        <v/>
      </c>
      <c r="G116" s="20" t="str">
        <f>IFERROR(INDEX('Detalles movimientos'!H$5:H$1000, MATCH(104, 'Detalles movimientos'!$R$5:$R$1000, 0)), "")</f>
        <v/>
      </c>
      <c r="H116" s="21" t="str">
        <f>IFERROR(INDEX('Detalles movimientos'!I$5:I$1000, MATCH(104, 'Detalles movimientos'!$R$5:$R$1000, 0)), "")</f>
        <v/>
      </c>
      <c r="I116" s="20" t="str">
        <f>IFERROR(INDEX('Detalles movimientos'!K$5:K$1000, MATCH(104, 'Detalles movimientos'!$R$5:$R$1000, 0)), "")</f>
        <v/>
      </c>
      <c r="J116" s="19" t="str">
        <f>IFERROR(INDEX('Detalles movimientos'!L$5:L$1000, MATCH(104, 'Detalles movimientos'!$R$5:$R$1000, 0)), "")</f>
        <v/>
      </c>
      <c r="K116" s="20" t="str">
        <f>IFERROR(INDEX('Detalles movimientos'!M$5:M$1000, MATCH(104, 'Detalles movimientos'!$R$5:$R$1000, 0)), "")</f>
        <v/>
      </c>
      <c r="L116" s="18" t="str">
        <f>IFERROR(INDEX('Detalles movimientos'!N$5:N$1000, MATCH(104, 'Detalles movimientos'!$R$5:$R$1000, 0)), "")</f>
        <v/>
      </c>
      <c r="M116" s="18" t="str">
        <f>IFERROR(INDEX('Detalles movimientos'!Q$5:Q$1000, MATCH(104, 'Detalles movimientos'!$R$5:$R$1000, 0)), "")</f>
        <v/>
      </c>
    </row>
    <row r="117" spans="2:13">
      <c r="B117" s="17" t="str">
        <f>IFERROR(INDEX('Detalles movimientos'!C$5:C$1000, MATCH(105, 'Detalles movimientos'!$R$5:$R$1000, 0)), "")</f>
        <v/>
      </c>
      <c r="C117" s="18" t="str">
        <f>IFERROR(INDEX('Detalles movimientos'!D$5:D$1000, MATCH(105, 'Detalles movimientos'!$R$5:$R$1000, 0)), "")</f>
        <v/>
      </c>
      <c r="D117" s="19" t="str">
        <f>IFERROR(INDEX('Detalles movimientos'!E$5:E$1000, MATCH(105, 'Detalles movimientos'!$R$5:$R$1000, 0)), "")</f>
        <v/>
      </c>
      <c r="E117" s="19" t="str">
        <f>IFERROR(INDEX('Detalles movimientos'!F$5:F$1000, MATCH(105, 'Detalles movimientos'!$R$5:$R$1000, 0)), "")</f>
        <v/>
      </c>
      <c r="F117" s="18" t="str">
        <f>IFERROR(INDEX('Detalles movimientos'!G$5:G$1000, MATCH(105, 'Detalles movimientos'!$R$5:$R$1000, 0)), "")</f>
        <v/>
      </c>
      <c r="G117" s="20" t="str">
        <f>IFERROR(INDEX('Detalles movimientos'!H$5:H$1000, MATCH(105, 'Detalles movimientos'!$R$5:$R$1000, 0)), "")</f>
        <v/>
      </c>
      <c r="H117" s="21" t="str">
        <f>IFERROR(INDEX('Detalles movimientos'!I$5:I$1000, MATCH(105, 'Detalles movimientos'!$R$5:$R$1000, 0)), "")</f>
        <v/>
      </c>
      <c r="I117" s="20" t="str">
        <f>IFERROR(INDEX('Detalles movimientos'!K$5:K$1000, MATCH(105, 'Detalles movimientos'!$R$5:$R$1000, 0)), "")</f>
        <v/>
      </c>
      <c r="J117" s="19" t="str">
        <f>IFERROR(INDEX('Detalles movimientos'!L$5:L$1000, MATCH(105, 'Detalles movimientos'!$R$5:$R$1000, 0)), "")</f>
        <v/>
      </c>
      <c r="K117" s="20" t="str">
        <f>IFERROR(INDEX('Detalles movimientos'!M$5:M$1000, MATCH(105, 'Detalles movimientos'!$R$5:$R$1000, 0)), "")</f>
        <v/>
      </c>
      <c r="L117" s="18" t="str">
        <f>IFERROR(INDEX('Detalles movimientos'!N$5:N$1000, MATCH(105, 'Detalles movimientos'!$R$5:$R$1000, 0)), "")</f>
        <v/>
      </c>
      <c r="M117" s="18" t="str">
        <f>IFERROR(INDEX('Detalles movimientos'!Q$5:Q$1000, MATCH(105, 'Detalles movimientos'!$R$5:$R$1000, 0)), "")</f>
        <v/>
      </c>
    </row>
    <row r="118" spans="2:13">
      <c r="B118" s="17" t="str">
        <f>IFERROR(INDEX('Detalles movimientos'!C$5:C$1000, MATCH(106, 'Detalles movimientos'!$R$5:$R$1000, 0)), "")</f>
        <v/>
      </c>
      <c r="C118" s="18" t="str">
        <f>IFERROR(INDEX('Detalles movimientos'!D$5:D$1000, MATCH(106, 'Detalles movimientos'!$R$5:$R$1000, 0)), "")</f>
        <v/>
      </c>
      <c r="D118" s="19" t="str">
        <f>IFERROR(INDEX('Detalles movimientos'!E$5:E$1000, MATCH(106, 'Detalles movimientos'!$R$5:$R$1000, 0)), "")</f>
        <v/>
      </c>
      <c r="E118" s="19" t="str">
        <f>IFERROR(INDEX('Detalles movimientos'!F$5:F$1000, MATCH(106, 'Detalles movimientos'!$R$5:$R$1000, 0)), "")</f>
        <v/>
      </c>
      <c r="F118" s="18" t="str">
        <f>IFERROR(INDEX('Detalles movimientos'!G$5:G$1000, MATCH(106, 'Detalles movimientos'!$R$5:$R$1000, 0)), "")</f>
        <v/>
      </c>
      <c r="G118" s="20" t="str">
        <f>IFERROR(INDEX('Detalles movimientos'!H$5:H$1000, MATCH(106, 'Detalles movimientos'!$R$5:$R$1000, 0)), "")</f>
        <v/>
      </c>
      <c r="H118" s="21" t="str">
        <f>IFERROR(INDEX('Detalles movimientos'!I$5:I$1000, MATCH(106, 'Detalles movimientos'!$R$5:$R$1000, 0)), "")</f>
        <v/>
      </c>
      <c r="I118" s="20" t="str">
        <f>IFERROR(INDEX('Detalles movimientos'!K$5:K$1000, MATCH(106, 'Detalles movimientos'!$R$5:$R$1000, 0)), "")</f>
        <v/>
      </c>
      <c r="J118" s="19" t="str">
        <f>IFERROR(INDEX('Detalles movimientos'!L$5:L$1000, MATCH(106, 'Detalles movimientos'!$R$5:$R$1000, 0)), "")</f>
        <v/>
      </c>
      <c r="K118" s="20" t="str">
        <f>IFERROR(INDEX('Detalles movimientos'!M$5:M$1000, MATCH(106, 'Detalles movimientos'!$R$5:$R$1000, 0)), "")</f>
        <v/>
      </c>
      <c r="L118" s="18" t="str">
        <f>IFERROR(INDEX('Detalles movimientos'!N$5:N$1000, MATCH(106, 'Detalles movimientos'!$R$5:$R$1000, 0)), "")</f>
        <v/>
      </c>
      <c r="M118" s="18" t="str">
        <f>IFERROR(INDEX('Detalles movimientos'!Q$5:Q$1000, MATCH(106, 'Detalles movimientos'!$R$5:$R$1000, 0)), "")</f>
        <v/>
      </c>
    </row>
    <row r="119" spans="2:13">
      <c r="B119" s="17" t="str">
        <f>IFERROR(INDEX('Detalles movimientos'!C$5:C$1000, MATCH(107, 'Detalles movimientos'!$R$5:$R$1000, 0)), "")</f>
        <v/>
      </c>
      <c r="C119" s="18" t="str">
        <f>IFERROR(INDEX('Detalles movimientos'!D$5:D$1000, MATCH(107, 'Detalles movimientos'!$R$5:$R$1000, 0)), "")</f>
        <v/>
      </c>
      <c r="D119" s="19" t="str">
        <f>IFERROR(INDEX('Detalles movimientos'!E$5:E$1000, MATCH(107, 'Detalles movimientos'!$R$5:$R$1000, 0)), "")</f>
        <v/>
      </c>
      <c r="E119" s="19" t="str">
        <f>IFERROR(INDEX('Detalles movimientos'!F$5:F$1000, MATCH(107, 'Detalles movimientos'!$R$5:$R$1000, 0)), "")</f>
        <v/>
      </c>
      <c r="F119" s="18" t="str">
        <f>IFERROR(INDEX('Detalles movimientos'!G$5:G$1000, MATCH(107, 'Detalles movimientos'!$R$5:$R$1000, 0)), "")</f>
        <v/>
      </c>
      <c r="G119" s="20" t="str">
        <f>IFERROR(INDEX('Detalles movimientos'!H$5:H$1000, MATCH(107, 'Detalles movimientos'!$R$5:$R$1000, 0)), "")</f>
        <v/>
      </c>
      <c r="H119" s="21" t="str">
        <f>IFERROR(INDEX('Detalles movimientos'!I$5:I$1000, MATCH(107, 'Detalles movimientos'!$R$5:$R$1000, 0)), "")</f>
        <v/>
      </c>
      <c r="I119" s="20" t="str">
        <f>IFERROR(INDEX('Detalles movimientos'!K$5:K$1000, MATCH(107, 'Detalles movimientos'!$R$5:$R$1000, 0)), "")</f>
        <v/>
      </c>
      <c r="J119" s="19" t="str">
        <f>IFERROR(INDEX('Detalles movimientos'!L$5:L$1000, MATCH(107, 'Detalles movimientos'!$R$5:$R$1000, 0)), "")</f>
        <v/>
      </c>
      <c r="K119" s="20" t="str">
        <f>IFERROR(INDEX('Detalles movimientos'!M$5:M$1000, MATCH(107, 'Detalles movimientos'!$R$5:$R$1000, 0)), "")</f>
        <v/>
      </c>
      <c r="L119" s="18" t="str">
        <f>IFERROR(INDEX('Detalles movimientos'!N$5:N$1000, MATCH(107, 'Detalles movimientos'!$R$5:$R$1000, 0)), "")</f>
        <v/>
      </c>
      <c r="M119" s="18" t="str">
        <f>IFERROR(INDEX('Detalles movimientos'!Q$5:Q$1000, MATCH(107, 'Detalles movimientos'!$R$5:$R$1000, 0)), "")</f>
        <v/>
      </c>
    </row>
    <row r="120" spans="2:13">
      <c r="B120" s="17" t="str">
        <f>IFERROR(INDEX('Detalles movimientos'!C$5:C$1000, MATCH(108, 'Detalles movimientos'!$R$5:$R$1000, 0)), "")</f>
        <v/>
      </c>
      <c r="C120" s="18" t="str">
        <f>IFERROR(INDEX('Detalles movimientos'!D$5:D$1000, MATCH(108, 'Detalles movimientos'!$R$5:$R$1000, 0)), "")</f>
        <v/>
      </c>
      <c r="D120" s="19" t="str">
        <f>IFERROR(INDEX('Detalles movimientos'!E$5:E$1000, MATCH(108, 'Detalles movimientos'!$R$5:$R$1000, 0)), "")</f>
        <v/>
      </c>
      <c r="E120" s="19" t="str">
        <f>IFERROR(INDEX('Detalles movimientos'!F$5:F$1000, MATCH(108, 'Detalles movimientos'!$R$5:$R$1000, 0)), "")</f>
        <v/>
      </c>
      <c r="F120" s="18" t="str">
        <f>IFERROR(INDEX('Detalles movimientos'!G$5:G$1000, MATCH(108, 'Detalles movimientos'!$R$5:$R$1000, 0)), "")</f>
        <v/>
      </c>
      <c r="G120" s="20" t="str">
        <f>IFERROR(INDEX('Detalles movimientos'!H$5:H$1000, MATCH(108, 'Detalles movimientos'!$R$5:$R$1000, 0)), "")</f>
        <v/>
      </c>
      <c r="H120" s="21" t="str">
        <f>IFERROR(INDEX('Detalles movimientos'!I$5:I$1000, MATCH(108, 'Detalles movimientos'!$R$5:$R$1000, 0)), "")</f>
        <v/>
      </c>
      <c r="I120" s="20" t="str">
        <f>IFERROR(INDEX('Detalles movimientos'!K$5:K$1000, MATCH(108, 'Detalles movimientos'!$R$5:$R$1000, 0)), "")</f>
        <v/>
      </c>
      <c r="J120" s="19" t="str">
        <f>IFERROR(INDEX('Detalles movimientos'!L$5:L$1000, MATCH(108, 'Detalles movimientos'!$R$5:$R$1000, 0)), "")</f>
        <v/>
      </c>
      <c r="K120" s="20" t="str">
        <f>IFERROR(INDEX('Detalles movimientos'!M$5:M$1000, MATCH(108, 'Detalles movimientos'!$R$5:$R$1000, 0)), "")</f>
        <v/>
      </c>
      <c r="L120" s="18" t="str">
        <f>IFERROR(INDEX('Detalles movimientos'!N$5:N$1000, MATCH(108, 'Detalles movimientos'!$R$5:$R$1000, 0)), "")</f>
        <v/>
      </c>
      <c r="M120" s="18" t="str">
        <f>IFERROR(INDEX('Detalles movimientos'!Q$5:Q$1000, MATCH(108, 'Detalles movimientos'!$R$5:$R$1000, 0)), "")</f>
        <v/>
      </c>
    </row>
    <row r="121" spans="2:13">
      <c r="B121" s="17" t="str">
        <f>IFERROR(INDEX('Detalles movimientos'!C$5:C$1000, MATCH(109, 'Detalles movimientos'!$R$5:$R$1000, 0)), "")</f>
        <v/>
      </c>
      <c r="C121" s="18" t="str">
        <f>IFERROR(INDEX('Detalles movimientos'!D$5:D$1000, MATCH(109, 'Detalles movimientos'!$R$5:$R$1000, 0)), "")</f>
        <v/>
      </c>
      <c r="D121" s="19" t="str">
        <f>IFERROR(INDEX('Detalles movimientos'!E$5:E$1000, MATCH(109, 'Detalles movimientos'!$R$5:$R$1000, 0)), "")</f>
        <v/>
      </c>
      <c r="E121" s="19" t="str">
        <f>IFERROR(INDEX('Detalles movimientos'!F$5:F$1000, MATCH(109, 'Detalles movimientos'!$R$5:$R$1000, 0)), "")</f>
        <v/>
      </c>
      <c r="F121" s="18" t="str">
        <f>IFERROR(INDEX('Detalles movimientos'!G$5:G$1000, MATCH(109, 'Detalles movimientos'!$R$5:$R$1000, 0)), "")</f>
        <v/>
      </c>
      <c r="G121" s="20" t="str">
        <f>IFERROR(INDEX('Detalles movimientos'!H$5:H$1000, MATCH(109, 'Detalles movimientos'!$R$5:$R$1000, 0)), "")</f>
        <v/>
      </c>
      <c r="H121" s="21" t="str">
        <f>IFERROR(INDEX('Detalles movimientos'!I$5:I$1000, MATCH(109, 'Detalles movimientos'!$R$5:$R$1000, 0)), "")</f>
        <v/>
      </c>
      <c r="I121" s="20" t="str">
        <f>IFERROR(INDEX('Detalles movimientos'!K$5:K$1000, MATCH(109, 'Detalles movimientos'!$R$5:$R$1000, 0)), "")</f>
        <v/>
      </c>
      <c r="J121" s="19" t="str">
        <f>IFERROR(INDEX('Detalles movimientos'!L$5:L$1000, MATCH(109, 'Detalles movimientos'!$R$5:$R$1000, 0)), "")</f>
        <v/>
      </c>
      <c r="K121" s="20" t="str">
        <f>IFERROR(INDEX('Detalles movimientos'!M$5:M$1000, MATCH(109, 'Detalles movimientos'!$R$5:$R$1000, 0)), "")</f>
        <v/>
      </c>
      <c r="L121" s="18" t="str">
        <f>IFERROR(INDEX('Detalles movimientos'!N$5:N$1000, MATCH(109, 'Detalles movimientos'!$R$5:$R$1000, 0)), "")</f>
        <v/>
      </c>
      <c r="M121" s="18" t="str">
        <f>IFERROR(INDEX('Detalles movimientos'!Q$5:Q$1000, MATCH(109, 'Detalles movimientos'!$R$5:$R$1000, 0)), "")</f>
        <v/>
      </c>
    </row>
    <row r="122" spans="2:13">
      <c r="B122" s="17" t="str">
        <f>IFERROR(INDEX('Detalles movimientos'!C$5:C$1000, MATCH(110, 'Detalles movimientos'!$R$5:$R$1000, 0)), "")</f>
        <v/>
      </c>
      <c r="C122" s="18" t="str">
        <f>IFERROR(INDEX('Detalles movimientos'!D$5:D$1000, MATCH(110, 'Detalles movimientos'!$R$5:$R$1000, 0)), "")</f>
        <v/>
      </c>
      <c r="D122" s="19" t="str">
        <f>IFERROR(INDEX('Detalles movimientos'!E$5:E$1000, MATCH(110, 'Detalles movimientos'!$R$5:$R$1000, 0)), "")</f>
        <v/>
      </c>
      <c r="E122" s="19" t="str">
        <f>IFERROR(INDEX('Detalles movimientos'!F$5:F$1000, MATCH(110, 'Detalles movimientos'!$R$5:$R$1000, 0)), "")</f>
        <v/>
      </c>
      <c r="F122" s="18" t="str">
        <f>IFERROR(INDEX('Detalles movimientos'!G$5:G$1000, MATCH(110, 'Detalles movimientos'!$R$5:$R$1000, 0)), "")</f>
        <v/>
      </c>
      <c r="G122" s="20" t="str">
        <f>IFERROR(INDEX('Detalles movimientos'!H$5:H$1000, MATCH(110, 'Detalles movimientos'!$R$5:$R$1000, 0)), "")</f>
        <v/>
      </c>
      <c r="H122" s="21" t="str">
        <f>IFERROR(INDEX('Detalles movimientos'!I$5:I$1000, MATCH(110, 'Detalles movimientos'!$R$5:$R$1000, 0)), "")</f>
        <v/>
      </c>
      <c r="I122" s="20" t="str">
        <f>IFERROR(INDEX('Detalles movimientos'!K$5:K$1000, MATCH(110, 'Detalles movimientos'!$R$5:$R$1000, 0)), "")</f>
        <v/>
      </c>
      <c r="J122" s="19" t="str">
        <f>IFERROR(INDEX('Detalles movimientos'!L$5:L$1000, MATCH(110, 'Detalles movimientos'!$R$5:$R$1000, 0)), "")</f>
        <v/>
      </c>
      <c r="K122" s="20" t="str">
        <f>IFERROR(INDEX('Detalles movimientos'!M$5:M$1000, MATCH(110, 'Detalles movimientos'!$R$5:$R$1000, 0)), "")</f>
        <v/>
      </c>
      <c r="L122" s="18" t="str">
        <f>IFERROR(INDEX('Detalles movimientos'!N$5:N$1000, MATCH(110, 'Detalles movimientos'!$R$5:$R$1000, 0)), "")</f>
        <v/>
      </c>
      <c r="M122" s="18" t="str">
        <f>IFERROR(INDEX('Detalles movimientos'!Q$5:Q$1000, MATCH(110, 'Detalles movimientos'!$R$5:$R$1000, 0)), "")</f>
        <v/>
      </c>
    </row>
    <row r="123" spans="2:13">
      <c r="B123" s="17" t="str">
        <f>IFERROR(INDEX('Detalles movimientos'!C$5:C$1000, MATCH(111, 'Detalles movimientos'!$R$5:$R$1000, 0)), "")</f>
        <v/>
      </c>
      <c r="C123" s="18" t="str">
        <f>IFERROR(INDEX('Detalles movimientos'!D$5:D$1000, MATCH(111, 'Detalles movimientos'!$R$5:$R$1000, 0)), "")</f>
        <v/>
      </c>
      <c r="D123" s="19" t="str">
        <f>IFERROR(INDEX('Detalles movimientos'!E$5:E$1000, MATCH(111, 'Detalles movimientos'!$R$5:$R$1000, 0)), "")</f>
        <v/>
      </c>
      <c r="E123" s="19" t="str">
        <f>IFERROR(INDEX('Detalles movimientos'!F$5:F$1000, MATCH(111, 'Detalles movimientos'!$R$5:$R$1000, 0)), "")</f>
        <v/>
      </c>
      <c r="F123" s="18" t="str">
        <f>IFERROR(INDEX('Detalles movimientos'!G$5:G$1000, MATCH(111, 'Detalles movimientos'!$R$5:$R$1000, 0)), "")</f>
        <v/>
      </c>
      <c r="G123" s="20" t="str">
        <f>IFERROR(INDEX('Detalles movimientos'!H$5:H$1000, MATCH(111, 'Detalles movimientos'!$R$5:$R$1000, 0)), "")</f>
        <v/>
      </c>
      <c r="H123" s="21" t="str">
        <f>IFERROR(INDEX('Detalles movimientos'!I$5:I$1000, MATCH(111, 'Detalles movimientos'!$R$5:$R$1000, 0)), "")</f>
        <v/>
      </c>
      <c r="I123" s="20" t="str">
        <f>IFERROR(INDEX('Detalles movimientos'!K$5:K$1000, MATCH(111, 'Detalles movimientos'!$R$5:$R$1000, 0)), "")</f>
        <v/>
      </c>
      <c r="J123" s="19" t="str">
        <f>IFERROR(INDEX('Detalles movimientos'!L$5:L$1000, MATCH(111, 'Detalles movimientos'!$R$5:$R$1000, 0)), "")</f>
        <v/>
      </c>
      <c r="K123" s="20" t="str">
        <f>IFERROR(INDEX('Detalles movimientos'!M$5:M$1000, MATCH(111, 'Detalles movimientos'!$R$5:$R$1000, 0)), "")</f>
        <v/>
      </c>
      <c r="L123" s="18" t="str">
        <f>IFERROR(INDEX('Detalles movimientos'!N$5:N$1000, MATCH(111, 'Detalles movimientos'!$R$5:$R$1000, 0)), "")</f>
        <v/>
      </c>
      <c r="M123" s="18" t="str">
        <f>IFERROR(INDEX('Detalles movimientos'!Q$5:Q$1000, MATCH(111, 'Detalles movimientos'!$R$5:$R$1000, 0)), "")</f>
        <v/>
      </c>
    </row>
    <row r="124" spans="2:13">
      <c r="B124" s="17" t="str">
        <f>IFERROR(INDEX('Detalles movimientos'!C$5:C$1000, MATCH(112, 'Detalles movimientos'!$R$5:$R$1000, 0)), "")</f>
        <v/>
      </c>
      <c r="C124" s="18" t="str">
        <f>IFERROR(INDEX('Detalles movimientos'!D$5:D$1000, MATCH(112, 'Detalles movimientos'!$R$5:$R$1000, 0)), "")</f>
        <v/>
      </c>
      <c r="D124" s="19" t="str">
        <f>IFERROR(INDEX('Detalles movimientos'!E$5:E$1000, MATCH(112, 'Detalles movimientos'!$R$5:$R$1000, 0)), "")</f>
        <v/>
      </c>
      <c r="E124" s="19" t="str">
        <f>IFERROR(INDEX('Detalles movimientos'!F$5:F$1000, MATCH(112, 'Detalles movimientos'!$R$5:$R$1000, 0)), "")</f>
        <v/>
      </c>
      <c r="F124" s="18" t="str">
        <f>IFERROR(INDEX('Detalles movimientos'!G$5:G$1000, MATCH(112, 'Detalles movimientos'!$R$5:$R$1000, 0)), "")</f>
        <v/>
      </c>
      <c r="G124" s="20" t="str">
        <f>IFERROR(INDEX('Detalles movimientos'!H$5:H$1000, MATCH(112, 'Detalles movimientos'!$R$5:$R$1000, 0)), "")</f>
        <v/>
      </c>
      <c r="H124" s="21" t="str">
        <f>IFERROR(INDEX('Detalles movimientos'!I$5:I$1000, MATCH(112, 'Detalles movimientos'!$R$5:$R$1000, 0)), "")</f>
        <v/>
      </c>
      <c r="I124" s="20" t="str">
        <f>IFERROR(INDEX('Detalles movimientos'!K$5:K$1000, MATCH(112, 'Detalles movimientos'!$R$5:$R$1000, 0)), "")</f>
        <v/>
      </c>
      <c r="J124" s="19" t="str">
        <f>IFERROR(INDEX('Detalles movimientos'!L$5:L$1000, MATCH(112, 'Detalles movimientos'!$R$5:$R$1000, 0)), "")</f>
        <v/>
      </c>
      <c r="K124" s="20" t="str">
        <f>IFERROR(INDEX('Detalles movimientos'!M$5:M$1000, MATCH(112, 'Detalles movimientos'!$R$5:$R$1000, 0)), "")</f>
        <v/>
      </c>
      <c r="L124" s="18" t="str">
        <f>IFERROR(INDEX('Detalles movimientos'!N$5:N$1000, MATCH(112, 'Detalles movimientos'!$R$5:$R$1000, 0)), "")</f>
        <v/>
      </c>
      <c r="M124" s="18" t="str">
        <f>IFERROR(INDEX('Detalles movimientos'!Q$5:Q$1000, MATCH(112, 'Detalles movimientos'!$R$5:$R$1000, 0)), "")</f>
        <v/>
      </c>
    </row>
    <row r="125" spans="2:13">
      <c r="B125" s="17" t="str">
        <f>IFERROR(INDEX('Detalles movimientos'!C$5:C$1000, MATCH(113, 'Detalles movimientos'!$R$5:$R$1000, 0)), "")</f>
        <v/>
      </c>
      <c r="C125" s="18" t="str">
        <f>IFERROR(INDEX('Detalles movimientos'!D$5:D$1000, MATCH(113, 'Detalles movimientos'!$R$5:$R$1000, 0)), "")</f>
        <v/>
      </c>
      <c r="D125" s="19" t="str">
        <f>IFERROR(INDEX('Detalles movimientos'!E$5:E$1000, MATCH(113, 'Detalles movimientos'!$R$5:$R$1000, 0)), "")</f>
        <v/>
      </c>
      <c r="E125" s="19" t="str">
        <f>IFERROR(INDEX('Detalles movimientos'!F$5:F$1000, MATCH(113, 'Detalles movimientos'!$R$5:$R$1000, 0)), "")</f>
        <v/>
      </c>
      <c r="F125" s="18" t="str">
        <f>IFERROR(INDEX('Detalles movimientos'!G$5:G$1000, MATCH(113, 'Detalles movimientos'!$R$5:$R$1000, 0)), "")</f>
        <v/>
      </c>
      <c r="G125" s="20" t="str">
        <f>IFERROR(INDEX('Detalles movimientos'!H$5:H$1000, MATCH(113, 'Detalles movimientos'!$R$5:$R$1000, 0)), "")</f>
        <v/>
      </c>
      <c r="H125" s="21" t="str">
        <f>IFERROR(INDEX('Detalles movimientos'!I$5:I$1000, MATCH(113, 'Detalles movimientos'!$R$5:$R$1000, 0)), "")</f>
        <v/>
      </c>
      <c r="I125" s="20" t="str">
        <f>IFERROR(INDEX('Detalles movimientos'!K$5:K$1000, MATCH(113, 'Detalles movimientos'!$R$5:$R$1000, 0)), "")</f>
        <v/>
      </c>
      <c r="J125" s="19" t="str">
        <f>IFERROR(INDEX('Detalles movimientos'!L$5:L$1000, MATCH(113, 'Detalles movimientos'!$R$5:$R$1000, 0)), "")</f>
        <v/>
      </c>
      <c r="K125" s="20" t="str">
        <f>IFERROR(INDEX('Detalles movimientos'!M$5:M$1000, MATCH(113, 'Detalles movimientos'!$R$5:$R$1000, 0)), "")</f>
        <v/>
      </c>
      <c r="L125" s="18" t="str">
        <f>IFERROR(INDEX('Detalles movimientos'!N$5:N$1000, MATCH(113, 'Detalles movimientos'!$R$5:$R$1000, 0)), "")</f>
        <v/>
      </c>
      <c r="M125" s="18" t="str">
        <f>IFERROR(INDEX('Detalles movimientos'!Q$5:Q$1000, MATCH(113, 'Detalles movimientos'!$R$5:$R$1000, 0)), "")</f>
        <v/>
      </c>
    </row>
    <row r="126" spans="2:13">
      <c r="B126" s="17" t="str">
        <f>IFERROR(INDEX('Detalles movimientos'!C$5:C$1000, MATCH(114, 'Detalles movimientos'!$R$5:$R$1000, 0)), "")</f>
        <v/>
      </c>
      <c r="C126" s="18" t="str">
        <f>IFERROR(INDEX('Detalles movimientos'!D$5:D$1000, MATCH(114, 'Detalles movimientos'!$R$5:$R$1000, 0)), "")</f>
        <v/>
      </c>
      <c r="D126" s="19" t="str">
        <f>IFERROR(INDEX('Detalles movimientos'!E$5:E$1000, MATCH(114, 'Detalles movimientos'!$R$5:$R$1000, 0)), "")</f>
        <v/>
      </c>
      <c r="E126" s="19" t="str">
        <f>IFERROR(INDEX('Detalles movimientos'!F$5:F$1000, MATCH(114, 'Detalles movimientos'!$R$5:$R$1000, 0)), "")</f>
        <v/>
      </c>
      <c r="F126" s="18" t="str">
        <f>IFERROR(INDEX('Detalles movimientos'!G$5:G$1000, MATCH(114, 'Detalles movimientos'!$R$5:$R$1000, 0)), "")</f>
        <v/>
      </c>
      <c r="G126" s="20" t="str">
        <f>IFERROR(INDEX('Detalles movimientos'!H$5:H$1000, MATCH(114, 'Detalles movimientos'!$R$5:$R$1000, 0)), "")</f>
        <v/>
      </c>
      <c r="H126" s="21" t="str">
        <f>IFERROR(INDEX('Detalles movimientos'!I$5:I$1000, MATCH(114, 'Detalles movimientos'!$R$5:$R$1000, 0)), "")</f>
        <v/>
      </c>
      <c r="I126" s="20" t="str">
        <f>IFERROR(INDEX('Detalles movimientos'!K$5:K$1000, MATCH(114, 'Detalles movimientos'!$R$5:$R$1000, 0)), "")</f>
        <v/>
      </c>
      <c r="J126" s="19" t="str">
        <f>IFERROR(INDEX('Detalles movimientos'!L$5:L$1000, MATCH(114, 'Detalles movimientos'!$R$5:$R$1000, 0)), "")</f>
        <v/>
      </c>
      <c r="K126" s="20" t="str">
        <f>IFERROR(INDEX('Detalles movimientos'!M$5:M$1000, MATCH(114, 'Detalles movimientos'!$R$5:$R$1000, 0)), "")</f>
        <v/>
      </c>
      <c r="L126" s="18" t="str">
        <f>IFERROR(INDEX('Detalles movimientos'!N$5:N$1000, MATCH(114, 'Detalles movimientos'!$R$5:$R$1000, 0)), "")</f>
        <v/>
      </c>
      <c r="M126" s="18" t="str">
        <f>IFERROR(INDEX('Detalles movimientos'!Q$5:Q$1000, MATCH(114, 'Detalles movimientos'!$R$5:$R$1000, 0)), "")</f>
        <v/>
      </c>
    </row>
    <row r="127" spans="2:13">
      <c r="B127" s="17" t="str">
        <f>IFERROR(INDEX('Detalles movimientos'!C$5:C$1000, MATCH(115, 'Detalles movimientos'!$R$5:$R$1000, 0)), "")</f>
        <v/>
      </c>
      <c r="C127" s="18" t="str">
        <f>IFERROR(INDEX('Detalles movimientos'!D$5:D$1000, MATCH(115, 'Detalles movimientos'!$R$5:$R$1000, 0)), "")</f>
        <v/>
      </c>
      <c r="D127" s="19" t="str">
        <f>IFERROR(INDEX('Detalles movimientos'!E$5:E$1000, MATCH(115, 'Detalles movimientos'!$R$5:$R$1000, 0)), "")</f>
        <v/>
      </c>
      <c r="E127" s="19" t="str">
        <f>IFERROR(INDEX('Detalles movimientos'!F$5:F$1000, MATCH(115, 'Detalles movimientos'!$R$5:$R$1000, 0)), "")</f>
        <v/>
      </c>
      <c r="F127" s="18" t="str">
        <f>IFERROR(INDEX('Detalles movimientos'!G$5:G$1000, MATCH(115, 'Detalles movimientos'!$R$5:$R$1000, 0)), "")</f>
        <v/>
      </c>
      <c r="G127" s="20" t="str">
        <f>IFERROR(INDEX('Detalles movimientos'!H$5:H$1000, MATCH(115, 'Detalles movimientos'!$R$5:$R$1000, 0)), "")</f>
        <v/>
      </c>
      <c r="H127" s="21" t="str">
        <f>IFERROR(INDEX('Detalles movimientos'!I$5:I$1000, MATCH(115, 'Detalles movimientos'!$R$5:$R$1000, 0)), "")</f>
        <v/>
      </c>
      <c r="I127" s="20" t="str">
        <f>IFERROR(INDEX('Detalles movimientos'!K$5:K$1000, MATCH(115, 'Detalles movimientos'!$R$5:$R$1000, 0)), "")</f>
        <v/>
      </c>
      <c r="J127" s="19" t="str">
        <f>IFERROR(INDEX('Detalles movimientos'!L$5:L$1000, MATCH(115, 'Detalles movimientos'!$R$5:$R$1000, 0)), "")</f>
        <v/>
      </c>
      <c r="K127" s="20" t="str">
        <f>IFERROR(INDEX('Detalles movimientos'!M$5:M$1000, MATCH(115, 'Detalles movimientos'!$R$5:$R$1000, 0)), "")</f>
        <v/>
      </c>
      <c r="L127" s="18" t="str">
        <f>IFERROR(INDEX('Detalles movimientos'!N$5:N$1000, MATCH(115, 'Detalles movimientos'!$R$5:$R$1000, 0)), "")</f>
        <v/>
      </c>
      <c r="M127" s="18" t="str">
        <f>IFERROR(INDEX('Detalles movimientos'!Q$5:Q$1000, MATCH(115, 'Detalles movimientos'!$R$5:$R$1000, 0)), "")</f>
        <v/>
      </c>
    </row>
    <row r="128" spans="2:13">
      <c r="B128" s="17" t="str">
        <f>IFERROR(INDEX('Detalles movimientos'!C$5:C$1000, MATCH(116, 'Detalles movimientos'!$R$5:$R$1000, 0)), "")</f>
        <v/>
      </c>
      <c r="C128" s="18" t="str">
        <f>IFERROR(INDEX('Detalles movimientos'!D$5:D$1000, MATCH(116, 'Detalles movimientos'!$R$5:$R$1000, 0)), "")</f>
        <v/>
      </c>
      <c r="D128" s="19" t="str">
        <f>IFERROR(INDEX('Detalles movimientos'!E$5:E$1000, MATCH(116, 'Detalles movimientos'!$R$5:$R$1000, 0)), "")</f>
        <v/>
      </c>
      <c r="E128" s="19" t="str">
        <f>IFERROR(INDEX('Detalles movimientos'!F$5:F$1000, MATCH(116, 'Detalles movimientos'!$R$5:$R$1000, 0)), "")</f>
        <v/>
      </c>
      <c r="F128" s="18" t="str">
        <f>IFERROR(INDEX('Detalles movimientos'!G$5:G$1000, MATCH(116, 'Detalles movimientos'!$R$5:$R$1000, 0)), "")</f>
        <v/>
      </c>
      <c r="G128" s="20" t="str">
        <f>IFERROR(INDEX('Detalles movimientos'!H$5:H$1000, MATCH(116, 'Detalles movimientos'!$R$5:$R$1000, 0)), "")</f>
        <v/>
      </c>
      <c r="H128" s="21" t="str">
        <f>IFERROR(INDEX('Detalles movimientos'!I$5:I$1000, MATCH(116, 'Detalles movimientos'!$R$5:$R$1000, 0)), "")</f>
        <v/>
      </c>
      <c r="I128" s="20" t="str">
        <f>IFERROR(INDEX('Detalles movimientos'!K$5:K$1000, MATCH(116, 'Detalles movimientos'!$R$5:$R$1000, 0)), "")</f>
        <v/>
      </c>
      <c r="J128" s="19" t="str">
        <f>IFERROR(INDEX('Detalles movimientos'!L$5:L$1000, MATCH(116, 'Detalles movimientos'!$R$5:$R$1000, 0)), "")</f>
        <v/>
      </c>
      <c r="K128" s="20" t="str">
        <f>IFERROR(INDEX('Detalles movimientos'!M$5:M$1000, MATCH(116, 'Detalles movimientos'!$R$5:$R$1000, 0)), "")</f>
        <v/>
      </c>
      <c r="L128" s="18" t="str">
        <f>IFERROR(INDEX('Detalles movimientos'!N$5:N$1000, MATCH(116, 'Detalles movimientos'!$R$5:$R$1000, 0)), "")</f>
        <v/>
      </c>
      <c r="M128" s="18" t="str">
        <f>IFERROR(INDEX('Detalles movimientos'!Q$5:Q$1000, MATCH(116, 'Detalles movimientos'!$R$5:$R$1000, 0)), "")</f>
        <v/>
      </c>
    </row>
    <row r="129" spans="2:13">
      <c r="B129" s="17" t="str">
        <f>IFERROR(INDEX('Detalles movimientos'!C$5:C$1000, MATCH(117, 'Detalles movimientos'!$R$5:$R$1000, 0)), "")</f>
        <v/>
      </c>
      <c r="C129" s="18" t="str">
        <f>IFERROR(INDEX('Detalles movimientos'!D$5:D$1000, MATCH(117, 'Detalles movimientos'!$R$5:$R$1000, 0)), "")</f>
        <v/>
      </c>
      <c r="D129" s="19" t="str">
        <f>IFERROR(INDEX('Detalles movimientos'!E$5:E$1000, MATCH(117, 'Detalles movimientos'!$R$5:$R$1000, 0)), "")</f>
        <v/>
      </c>
      <c r="E129" s="19" t="str">
        <f>IFERROR(INDEX('Detalles movimientos'!F$5:F$1000, MATCH(117, 'Detalles movimientos'!$R$5:$R$1000, 0)), "")</f>
        <v/>
      </c>
      <c r="F129" s="18" t="str">
        <f>IFERROR(INDEX('Detalles movimientos'!G$5:G$1000, MATCH(117, 'Detalles movimientos'!$R$5:$R$1000, 0)), "")</f>
        <v/>
      </c>
      <c r="G129" s="20" t="str">
        <f>IFERROR(INDEX('Detalles movimientos'!H$5:H$1000, MATCH(117, 'Detalles movimientos'!$R$5:$R$1000, 0)), "")</f>
        <v/>
      </c>
      <c r="H129" s="21" t="str">
        <f>IFERROR(INDEX('Detalles movimientos'!I$5:I$1000, MATCH(117, 'Detalles movimientos'!$R$5:$R$1000, 0)), "")</f>
        <v/>
      </c>
      <c r="I129" s="20" t="str">
        <f>IFERROR(INDEX('Detalles movimientos'!K$5:K$1000, MATCH(117, 'Detalles movimientos'!$R$5:$R$1000, 0)), "")</f>
        <v/>
      </c>
      <c r="J129" s="19" t="str">
        <f>IFERROR(INDEX('Detalles movimientos'!L$5:L$1000, MATCH(117, 'Detalles movimientos'!$R$5:$R$1000, 0)), "")</f>
        <v/>
      </c>
      <c r="K129" s="20" t="str">
        <f>IFERROR(INDEX('Detalles movimientos'!M$5:M$1000, MATCH(117, 'Detalles movimientos'!$R$5:$R$1000, 0)), "")</f>
        <v/>
      </c>
      <c r="L129" s="18" t="str">
        <f>IFERROR(INDEX('Detalles movimientos'!N$5:N$1000, MATCH(117, 'Detalles movimientos'!$R$5:$R$1000, 0)), "")</f>
        <v/>
      </c>
      <c r="M129" s="18" t="str">
        <f>IFERROR(INDEX('Detalles movimientos'!Q$5:Q$1000, MATCH(117, 'Detalles movimientos'!$R$5:$R$1000, 0)), "")</f>
        <v/>
      </c>
    </row>
    <row r="130" spans="2:13">
      <c r="B130" s="17" t="str">
        <f>IFERROR(INDEX('Detalles movimientos'!C$5:C$1000, MATCH(118, 'Detalles movimientos'!$R$5:$R$1000, 0)), "")</f>
        <v/>
      </c>
      <c r="C130" s="18" t="str">
        <f>IFERROR(INDEX('Detalles movimientos'!D$5:D$1000, MATCH(118, 'Detalles movimientos'!$R$5:$R$1000, 0)), "")</f>
        <v/>
      </c>
      <c r="D130" s="19" t="str">
        <f>IFERROR(INDEX('Detalles movimientos'!E$5:E$1000, MATCH(118, 'Detalles movimientos'!$R$5:$R$1000, 0)), "")</f>
        <v/>
      </c>
      <c r="E130" s="19" t="str">
        <f>IFERROR(INDEX('Detalles movimientos'!F$5:F$1000, MATCH(118, 'Detalles movimientos'!$R$5:$R$1000, 0)), "")</f>
        <v/>
      </c>
      <c r="F130" s="18" t="str">
        <f>IFERROR(INDEX('Detalles movimientos'!G$5:G$1000, MATCH(118, 'Detalles movimientos'!$R$5:$R$1000, 0)), "")</f>
        <v/>
      </c>
      <c r="G130" s="20" t="str">
        <f>IFERROR(INDEX('Detalles movimientos'!H$5:H$1000, MATCH(118, 'Detalles movimientos'!$R$5:$R$1000, 0)), "")</f>
        <v/>
      </c>
      <c r="H130" s="21" t="str">
        <f>IFERROR(INDEX('Detalles movimientos'!I$5:I$1000, MATCH(118, 'Detalles movimientos'!$R$5:$R$1000, 0)), "")</f>
        <v/>
      </c>
      <c r="I130" s="20" t="str">
        <f>IFERROR(INDEX('Detalles movimientos'!K$5:K$1000, MATCH(118, 'Detalles movimientos'!$R$5:$R$1000, 0)), "")</f>
        <v/>
      </c>
      <c r="J130" s="19" t="str">
        <f>IFERROR(INDEX('Detalles movimientos'!L$5:L$1000, MATCH(118, 'Detalles movimientos'!$R$5:$R$1000, 0)), "")</f>
        <v/>
      </c>
      <c r="K130" s="20" t="str">
        <f>IFERROR(INDEX('Detalles movimientos'!M$5:M$1000, MATCH(118, 'Detalles movimientos'!$R$5:$R$1000, 0)), "")</f>
        <v/>
      </c>
      <c r="L130" s="18" t="str">
        <f>IFERROR(INDEX('Detalles movimientos'!N$5:N$1000, MATCH(118, 'Detalles movimientos'!$R$5:$R$1000, 0)), "")</f>
        <v/>
      </c>
      <c r="M130" s="18" t="str">
        <f>IFERROR(INDEX('Detalles movimientos'!Q$5:Q$1000, MATCH(118, 'Detalles movimientos'!$R$5:$R$1000, 0)), "")</f>
        <v/>
      </c>
    </row>
    <row r="131" spans="2:13">
      <c r="B131" s="17" t="str">
        <f>IFERROR(INDEX('Detalles movimientos'!C$5:C$1000, MATCH(119, 'Detalles movimientos'!$R$5:$R$1000, 0)), "")</f>
        <v/>
      </c>
      <c r="C131" s="18" t="str">
        <f>IFERROR(INDEX('Detalles movimientos'!D$5:D$1000, MATCH(119, 'Detalles movimientos'!$R$5:$R$1000, 0)), "")</f>
        <v/>
      </c>
      <c r="D131" s="19" t="str">
        <f>IFERROR(INDEX('Detalles movimientos'!E$5:E$1000, MATCH(119, 'Detalles movimientos'!$R$5:$R$1000, 0)), "")</f>
        <v/>
      </c>
      <c r="E131" s="19" t="str">
        <f>IFERROR(INDEX('Detalles movimientos'!F$5:F$1000, MATCH(119, 'Detalles movimientos'!$R$5:$R$1000, 0)), "")</f>
        <v/>
      </c>
      <c r="F131" s="18" t="str">
        <f>IFERROR(INDEX('Detalles movimientos'!G$5:G$1000, MATCH(119, 'Detalles movimientos'!$R$5:$R$1000, 0)), "")</f>
        <v/>
      </c>
      <c r="G131" s="20" t="str">
        <f>IFERROR(INDEX('Detalles movimientos'!H$5:H$1000, MATCH(119, 'Detalles movimientos'!$R$5:$R$1000, 0)), "")</f>
        <v/>
      </c>
      <c r="H131" s="21" t="str">
        <f>IFERROR(INDEX('Detalles movimientos'!I$5:I$1000, MATCH(119, 'Detalles movimientos'!$R$5:$R$1000, 0)), "")</f>
        <v/>
      </c>
      <c r="I131" s="20" t="str">
        <f>IFERROR(INDEX('Detalles movimientos'!K$5:K$1000, MATCH(119, 'Detalles movimientos'!$R$5:$R$1000, 0)), "")</f>
        <v/>
      </c>
      <c r="J131" s="19" t="str">
        <f>IFERROR(INDEX('Detalles movimientos'!L$5:L$1000, MATCH(119, 'Detalles movimientos'!$R$5:$R$1000, 0)), "")</f>
        <v/>
      </c>
      <c r="K131" s="20" t="str">
        <f>IFERROR(INDEX('Detalles movimientos'!M$5:M$1000, MATCH(119, 'Detalles movimientos'!$R$5:$R$1000, 0)), "")</f>
        <v/>
      </c>
      <c r="L131" s="18" t="str">
        <f>IFERROR(INDEX('Detalles movimientos'!N$5:N$1000, MATCH(119, 'Detalles movimientos'!$R$5:$R$1000, 0)), "")</f>
        <v/>
      </c>
      <c r="M131" s="18" t="str">
        <f>IFERROR(INDEX('Detalles movimientos'!Q$5:Q$1000, MATCH(119, 'Detalles movimientos'!$R$5:$R$1000, 0)), "")</f>
        <v/>
      </c>
    </row>
    <row r="132" spans="2:13">
      <c r="B132" s="17" t="str">
        <f>IFERROR(INDEX('Detalles movimientos'!C$5:C$1000, MATCH(120, 'Detalles movimientos'!$R$5:$R$1000, 0)), "")</f>
        <v/>
      </c>
      <c r="C132" s="18" t="str">
        <f>IFERROR(INDEX('Detalles movimientos'!D$5:D$1000, MATCH(120, 'Detalles movimientos'!$R$5:$R$1000, 0)), "")</f>
        <v/>
      </c>
      <c r="D132" s="19" t="str">
        <f>IFERROR(INDEX('Detalles movimientos'!E$5:E$1000, MATCH(120, 'Detalles movimientos'!$R$5:$R$1000, 0)), "")</f>
        <v/>
      </c>
      <c r="E132" s="19" t="str">
        <f>IFERROR(INDEX('Detalles movimientos'!F$5:F$1000, MATCH(120, 'Detalles movimientos'!$R$5:$R$1000, 0)), "")</f>
        <v/>
      </c>
      <c r="F132" s="18" t="str">
        <f>IFERROR(INDEX('Detalles movimientos'!G$5:G$1000, MATCH(120, 'Detalles movimientos'!$R$5:$R$1000, 0)), "")</f>
        <v/>
      </c>
      <c r="G132" s="20" t="str">
        <f>IFERROR(INDEX('Detalles movimientos'!H$5:H$1000, MATCH(120, 'Detalles movimientos'!$R$5:$R$1000, 0)), "")</f>
        <v/>
      </c>
      <c r="H132" s="21" t="str">
        <f>IFERROR(INDEX('Detalles movimientos'!I$5:I$1000, MATCH(120, 'Detalles movimientos'!$R$5:$R$1000, 0)), "")</f>
        <v/>
      </c>
      <c r="I132" s="20" t="str">
        <f>IFERROR(INDEX('Detalles movimientos'!K$5:K$1000, MATCH(120, 'Detalles movimientos'!$R$5:$R$1000, 0)), "")</f>
        <v/>
      </c>
      <c r="J132" s="19" t="str">
        <f>IFERROR(INDEX('Detalles movimientos'!L$5:L$1000, MATCH(120, 'Detalles movimientos'!$R$5:$R$1000, 0)), "")</f>
        <v/>
      </c>
      <c r="K132" s="20" t="str">
        <f>IFERROR(INDEX('Detalles movimientos'!M$5:M$1000, MATCH(120, 'Detalles movimientos'!$R$5:$R$1000, 0)), "")</f>
        <v/>
      </c>
      <c r="L132" s="18" t="str">
        <f>IFERROR(INDEX('Detalles movimientos'!N$5:N$1000, MATCH(120, 'Detalles movimientos'!$R$5:$R$1000, 0)), "")</f>
        <v/>
      </c>
      <c r="M132" s="18" t="str">
        <f>IFERROR(INDEX('Detalles movimientos'!Q$5:Q$1000, MATCH(120, 'Detalles movimientos'!$R$5:$R$1000, 0)), "")</f>
        <v/>
      </c>
    </row>
    <row r="133" spans="2:13">
      <c r="B133" s="17" t="str">
        <f>IFERROR(INDEX('Detalles movimientos'!C$5:C$1000, MATCH(121, 'Detalles movimientos'!$R$5:$R$1000, 0)), "")</f>
        <v/>
      </c>
      <c r="C133" s="18" t="str">
        <f>IFERROR(INDEX('Detalles movimientos'!D$5:D$1000, MATCH(121, 'Detalles movimientos'!$R$5:$R$1000, 0)), "")</f>
        <v/>
      </c>
      <c r="D133" s="19" t="str">
        <f>IFERROR(INDEX('Detalles movimientos'!E$5:E$1000, MATCH(121, 'Detalles movimientos'!$R$5:$R$1000, 0)), "")</f>
        <v/>
      </c>
      <c r="E133" s="19" t="str">
        <f>IFERROR(INDEX('Detalles movimientos'!F$5:F$1000, MATCH(121, 'Detalles movimientos'!$R$5:$R$1000, 0)), "")</f>
        <v/>
      </c>
      <c r="F133" s="18" t="str">
        <f>IFERROR(INDEX('Detalles movimientos'!G$5:G$1000, MATCH(121, 'Detalles movimientos'!$R$5:$R$1000, 0)), "")</f>
        <v/>
      </c>
      <c r="G133" s="20" t="str">
        <f>IFERROR(INDEX('Detalles movimientos'!H$5:H$1000, MATCH(121, 'Detalles movimientos'!$R$5:$R$1000, 0)), "")</f>
        <v/>
      </c>
      <c r="H133" s="21" t="str">
        <f>IFERROR(INDEX('Detalles movimientos'!I$5:I$1000, MATCH(121, 'Detalles movimientos'!$R$5:$R$1000, 0)), "")</f>
        <v/>
      </c>
      <c r="I133" s="20" t="str">
        <f>IFERROR(INDEX('Detalles movimientos'!K$5:K$1000, MATCH(121, 'Detalles movimientos'!$R$5:$R$1000, 0)), "")</f>
        <v/>
      </c>
      <c r="J133" s="19" t="str">
        <f>IFERROR(INDEX('Detalles movimientos'!L$5:L$1000, MATCH(121, 'Detalles movimientos'!$R$5:$R$1000, 0)), "")</f>
        <v/>
      </c>
      <c r="K133" s="20" t="str">
        <f>IFERROR(INDEX('Detalles movimientos'!M$5:M$1000, MATCH(121, 'Detalles movimientos'!$R$5:$R$1000, 0)), "")</f>
        <v/>
      </c>
      <c r="L133" s="18" t="str">
        <f>IFERROR(INDEX('Detalles movimientos'!N$5:N$1000, MATCH(121, 'Detalles movimientos'!$R$5:$R$1000, 0)), "")</f>
        <v/>
      </c>
      <c r="M133" s="18" t="str">
        <f>IFERROR(INDEX('Detalles movimientos'!Q$5:Q$1000, MATCH(121, 'Detalles movimientos'!$R$5:$R$1000, 0)), "")</f>
        <v/>
      </c>
    </row>
    <row r="134" spans="2:13">
      <c r="B134" s="17" t="str">
        <f>IFERROR(INDEX('Detalles movimientos'!C$5:C$1000, MATCH(122, 'Detalles movimientos'!$R$5:$R$1000, 0)), "")</f>
        <v/>
      </c>
      <c r="C134" s="18" t="str">
        <f>IFERROR(INDEX('Detalles movimientos'!D$5:D$1000, MATCH(122, 'Detalles movimientos'!$R$5:$R$1000, 0)), "")</f>
        <v/>
      </c>
      <c r="D134" s="19" t="str">
        <f>IFERROR(INDEX('Detalles movimientos'!E$5:E$1000, MATCH(122, 'Detalles movimientos'!$R$5:$R$1000, 0)), "")</f>
        <v/>
      </c>
      <c r="E134" s="19" t="str">
        <f>IFERROR(INDEX('Detalles movimientos'!F$5:F$1000, MATCH(122, 'Detalles movimientos'!$R$5:$R$1000, 0)), "")</f>
        <v/>
      </c>
      <c r="F134" s="18" t="str">
        <f>IFERROR(INDEX('Detalles movimientos'!G$5:G$1000, MATCH(122, 'Detalles movimientos'!$R$5:$R$1000, 0)), "")</f>
        <v/>
      </c>
      <c r="G134" s="20" t="str">
        <f>IFERROR(INDEX('Detalles movimientos'!H$5:H$1000, MATCH(122, 'Detalles movimientos'!$R$5:$R$1000, 0)), "")</f>
        <v/>
      </c>
      <c r="H134" s="21" t="str">
        <f>IFERROR(INDEX('Detalles movimientos'!I$5:I$1000, MATCH(122, 'Detalles movimientos'!$R$5:$R$1000, 0)), "")</f>
        <v/>
      </c>
      <c r="I134" s="20" t="str">
        <f>IFERROR(INDEX('Detalles movimientos'!K$5:K$1000, MATCH(122, 'Detalles movimientos'!$R$5:$R$1000, 0)), "")</f>
        <v/>
      </c>
      <c r="J134" s="19" t="str">
        <f>IFERROR(INDEX('Detalles movimientos'!L$5:L$1000, MATCH(122, 'Detalles movimientos'!$R$5:$R$1000, 0)), "")</f>
        <v/>
      </c>
      <c r="K134" s="20" t="str">
        <f>IFERROR(INDEX('Detalles movimientos'!M$5:M$1000, MATCH(122, 'Detalles movimientos'!$R$5:$R$1000, 0)), "")</f>
        <v/>
      </c>
      <c r="L134" s="18" t="str">
        <f>IFERROR(INDEX('Detalles movimientos'!N$5:N$1000, MATCH(122, 'Detalles movimientos'!$R$5:$R$1000, 0)), "")</f>
        <v/>
      </c>
      <c r="M134" s="18" t="str">
        <f>IFERROR(INDEX('Detalles movimientos'!Q$5:Q$1000, MATCH(122, 'Detalles movimientos'!$R$5:$R$1000, 0)), "")</f>
        <v/>
      </c>
    </row>
    <row r="135" spans="2:13">
      <c r="B135" s="17" t="str">
        <f>IFERROR(INDEX('Detalles movimientos'!C$5:C$1000, MATCH(123, 'Detalles movimientos'!$R$5:$R$1000, 0)), "")</f>
        <v/>
      </c>
      <c r="C135" s="18" t="str">
        <f>IFERROR(INDEX('Detalles movimientos'!D$5:D$1000, MATCH(123, 'Detalles movimientos'!$R$5:$R$1000, 0)), "")</f>
        <v/>
      </c>
      <c r="D135" s="19" t="str">
        <f>IFERROR(INDEX('Detalles movimientos'!E$5:E$1000, MATCH(123, 'Detalles movimientos'!$R$5:$R$1000, 0)), "")</f>
        <v/>
      </c>
      <c r="E135" s="19" t="str">
        <f>IFERROR(INDEX('Detalles movimientos'!F$5:F$1000, MATCH(123, 'Detalles movimientos'!$R$5:$R$1000, 0)), "")</f>
        <v/>
      </c>
      <c r="F135" s="18" t="str">
        <f>IFERROR(INDEX('Detalles movimientos'!G$5:G$1000, MATCH(123, 'Detalles movimientos'!$R$5:$R$1000, 0)), "")</f>
        <v/>
      </c>
      <c r="G135" s="20" t="str">
        <f>IFERROR(INDEX('Detalles movimientos'!H$5:H$1000, MATCH(123, 'Detalles movimientos'!$R$5:$R$1000, 0)), "")</f>
        <v/>
      </c>
      <c r="H135" s="21" t="str">
        <f>IFERROR(INDEX('Detalles movimientos'!I$5:I$1000, MATCH(123, 'Detalles movimientos'!$R$5:$R$1000, 0)), "")</f>
        <v/>
      </c>
      <c r="I135" s="20" t="str">
        <f>IFERROR(INDEX('Detalles movimientos'!K$5:K$1000, MATCH(123, 'Detalles movimientos'!$R$5:$R$1000, 0)), "")</f>
        <v/>
      </c>
      <c r="J135" s="19" t="str">
        <f>IFERROR(INDEX('Detalles movimientos'!L$5:L$1000, MATCH(123, 'Detalles movimientos'!$R$5:$R$1000, 0)), "")</f>
        <v/>
      </c>
      <c r="K135" s="20" t="str">
        <f>IFERROR(INDEX('Detalles movimientos'!M$5:M$1000, MATCH(123, 'Detalles movimientos'!$R$5:$R$1000, 0)), "")</f>
        <v/>
      </c>
      <c r="L135" s="18" t="str">
        <f>IFERROR(INDEX('Detalles movimientos'!N$5:N$1000, MATCH(123, 'Detalles movimientos'!$R$5:$R$1000, 0)), "")</f>
        <v/>
      </c>
      <c r="M135" s="18" t="str">
        <f>IFERROR(INDEX('Detalles movimientos'!Q$5:Q$1000, MATCH(123, 'Detalles movimientos'!$R$5:$R$1000, 0)), "")</f>
        <v/>
      </c>
    </row>
    <row r="136" spans="2:13">
      <c r="B136" s="17" t="str">
        <f>IFERROR(INDEX('Detalles movimientos'!C$5:C$1000, MATCH(124, 'Detalles movimientos'!$R$5:$R$1000, 0)), "")</f>
        <v/>
      </c>
      <c r="C136" s="18" t="str">
        <f>IFERROR(INDEX('Detalles movimientos'!D$5:D$1000, MATCH(124, 'Detalles movimientos'!$R$5:$R$1000, 0)), "")</f>
        <v/>
      </c>
      <c r="D136" s="19" t="str">
        <f>IFERROR(INDEX('Detalles movimientos'!E$5:E$1000, MATCH(124, 'Detalles movimientos'!$R$5:$R$1000, 0)), "")</f>
        <v/>
      </c>
      <c r="E136" s="19" t="str">
        <f>IFERROR(INDEX('Detalles movimientos'!F$5:F$1000, MATCH(124, 'Detalles movimientos'!$R$5:$R$1000, 0)), "")</f>
        <v/>
      </c>
      <c r="F136" s="18" t="str">
        <f>IFERROR(INDEX('Detalles movimientos'!G$5:G$1000, MATCH(124, 'Detalles movimientos'!$R$5:$R$1000, 0)), "")</f>
        <v/>
      </c>
      <c r="G136" s="20" t="str">
        <f>IFERROR(INDEX('Detalles movimientos'!H$5:H$1000, MATCH(124, 'Detalles movimientos'!$R$5:$R$1000, 0)), "")</f>
        <v/>
      </c>
      <c r="H136" s="21" t="str">
        <f>IFERROR(INDEX('Detalles movimientos'!I$5:I$1000, MATCH(124, 'Detalles movimientos'!$R$5:$R$1000, 0)), "")</f>
        <v/>
      </c>
      <c r="I136" s="20" t="str">
        <f>IFERROR(INDEX('Detalles movimientos'!K$5:K$1000, MATCH(124, 'Detalles movimientos'!$R$5:$R$1000, 0)), "")</f>
        <v/>
      </c>
      <c r="J136" s="19" t="str">
        <f>IFERROR(INDEX('Detalles movimientos'!L$5:L$1000, MATCH(124, 'Detalles movimientos'!$R$5:$R$1000, 0)), "")</f>
        <v/>
      </c>
      <c r="K136" s="20" t="str">
        <f>IFERROR(INDEX('Detalles movimientos'!M$5:M$1000, MATCH(124, 'Detalles movimientos'!$R$5:$R$1000, 0)), "")</f>
        <v/>
      </c>
      <c r="L136" s="18" t="str">
        <f>IFERROR(INDEX('Detalles movimientos'!N$5:N$1000, MATCH(124, 'Detalles movimientos'!$R$5:$R$1000, 0)), "")</f>
        <v/>
      </c>
      <c r="M136" s="18" t="str">
        <f>IFERROR(INDEX('Detalles movimientos'!Q$5:Q$1000, MATCH(124, 'Detalles movimientos'!$R$5:$R$1000, 0)), "")</f>
        <v/>
      </c>
    </row>
    <row r="137" spans="2:13">
      <c r="B137" s="17" t="str">
        <f>IFERROR(INDEX('Detalles movimientos'!C$5:C$1000, MATCH(125, 'Detalles movimientos'!$R$5:$R$1000, 0)), "")</f>
        <v/>
      </c>
      <c r="C137" s="18" t="str">
        <f>IFERROR(INDEX('Detalles movimientos'!D$5:D$1000, MATCH(125, 'Detalles movimientos'!$R$5:$R$1000, 0)), "")</f>
        <v/>
      </c>
      <c r="D137" s="19" t="str">
        <f>IFERROR(INDEX('Detalles movimientos'!E$5:E$1000, MATCH(125, 'Detalles movimientos'!$R$5:$R$1000, 0)), "")</f>
        <v/>
      </c>
      <c r="E137" s="19" t="str">
        <f>IFERROR(INDEX('Detalles movimientos'!F$5:F$1000, MATCH(125, 'Detalles movimientos'!$R$5:$R$1000, 0)), "")</f>
        <v/>
      </c>
      <c r="F137" s="18" t="str">
        <f>IFERROR(INDEX('Detalles movimientos'!G$5:G$1000, MATCH(125, 'Detalles movimientos'!$R$5:$R$1000, 0)), "")</f>
        <v/>
      </c>
      <c r="G137" s="20" t="str">
        <f>IFERROR(INDEX('Detalles movimientos'!H$5:H$1000, MATCH(125, 'Detalles movimientos'!$R$5:$R$1000, 0)), "")</f>
        <v/>
      </c>
      <c r="H137" s="21" t="str">
        <f>IFERROR(INDEX('Detalles movimientos'!I$5:I$1000, MATCH(125, 'Detalles movimientos'!$R$5:$R$1000, 0)), "")</f>
        <v/>
      </c>
      <c r="I137" s="20" t="str">
        <f>IFERROR(INDEX('Detalles movimientos'!K$5:K$1000, MATCH(125, 'Detalles movimientos'!$R$5:$R$1000, 0)), "")</f>
        <v/>
      </c>
      <c r="J137" s="19" t="str">
        <f>IFERROR(INDEX('Detalles movimientos'!L$5:L$1000, MATCH(125, 'Detalles movimientos'!$R$5:$R$1000, 0)), "")</f>
        <v/>
      </c>
      <c r="K137" s="20" t="str">
        <f>IFERROR(INDEX('Detalles movimientos'!M$5:M$1000, MATCH(125, 'Detalles movimientos'!$R$5:$R$1000, 0)), "")</f>
        <v/>
      </c>
      <c r="L137" s="18" t="str">
        <f>IFERROR(INDEX('Detalles movimientos'!N$5:N$1000, MATCH(125, 'Detalles movimientos'!$R$5:$R$1000, 0)), "")</f>
        <v/>
      </c>
      <c r="M137" s="18" t="str">
        <f>IFERROR(INDEX('Detalles movimientos'!Q$5:Q$1000, MATCH(125, 'Detalles movimientos'!$R$5:$R$1000, 0)), "")</f>
        <v/>
      </c>
    </row>
    <row r="138" spans="2:13">
      <c r="B138" s="17" t="str">
        <f>IFERROR(INDEX('Detalles movimientos'!C$5:C$1000, MATCH(126, 'Detalles movimientos'!$R$5:$R$1000, 0)), "")</f>
        <v/>
      </c>
      <c r="C138" s="18" t="str">
        <f>IFERROR(INDEX('Detalles movimientos'!D$5:D$1000, MATCH(126, 'Detalles movimientos'!$R$5:$R$1000, 0)), "")</f>
        <v/>
      </c>
      <c r="D138" s="19" t="str">
        <f>IFERROR(INDEX('Detalles movimientos'!E$5:E$1000, MATCH(126, 'Detalles movimientos'!$R$5:$R$1000, 0)), "")</f>
        <v/>
      </c>
      <c r="E138" s="19" t="str">
        <f>IFERROR(INDEX('Detalles movimientos'!F$5:F$1000, MATCH(126, 'Detalles movimientos'!$R$5:$R$1000, 0)), "")</f>
        <v/>
      </c>
      <c r="F138" s="18" t="str">
        <f>IFERROR(INDEX('Detalles movimientos'!G$5:G$1000, MATCH(126, 'Detalles movimientos'!$R$5:$R$1000, 0)), "")</f>
        <v/>
      </c>
      <c r="G138" s="20" t="str">
        <f>IFERROR(INDEX('Detalles movimientos'!H$5:H$1000, MATCH(126, 'Detalles movimientos'!$R$5:$R$1000, 0)), "")</f>
        <v/>
      </c>
      <c r="H138" s="21" t="str">
        <f>IFERROR(INDEX('Detalles movimientos'!I$5:I$1000, MATCH(126, 'Detalles movimientos'!$R$5:$R$1000, 0)), "")</f>
        <v/>
      </c>
      <c r="I138" s="20" t="str">
        <f>IFERROR(INDEX('Detalles movimientos'!K$5:K$1000, MATCH(126, 'Detalles movimientos'!$R$5:$R$1000, 0)), "")</f>
        <v/>
      </c>
      <c r="J138" s="19" t="str">
        <f>IFERROR(INDEX('Detalles movimientos'!L$5:L$1000, MATCH(126, 'Detalles movimientos'!$R$5:$R$1000, 0)), "")</f>
        <v/>
      </c>
      <c r="K138" s="20" t="str">
        <f>IFERROR(INDEX('Detalles movimientos'!M$5:M$1000, MATCH(126, 'Detalles movimientos'!$R$5:$R$1000, 0)), "")</f>
        <v/>
      </c>
      <c r="L138" s="18" t="str">
        <f>IFERROR(INDEX('Detalles movimientos'!N$5:N$1000, MATCH(126, 'Detalles movimientos'!$R$5:$R$1000, 0)), "")</f>
        <v/>
      </c>
      <c r="M138" s="18" t="str">
        <f>IFERROR(INDEX('Detalles movimientos'!Q$5:Q$1000, MATCH(126, 'Detalles movimientos'!$R$5:$R$1000, 0)), "")</f>
        <v/>
      </c>
    </row>
    <row r="139" spans="2:13">
      <c r="B139" s="17" t="str">
        <f>IFERROR(INDEX('Detalles movimientos'!C$5:C$1000, MATCH(127, 'Detalles movimientos'!$R$5:$R$1000, 0)), "")</f>
        <v/>
      </c>
      <c r="C139" s="18" t="str">
        <f>IFERROR(INDEX('Detalles movimientos'!D$5:D$1000, MATCH(127, 'Detalles movimientos'!$R$5:$R$1000, 0)), "")</f>
        <v/>
      </c>
      <c r="D139" s="19" t="str">
        <f>IFERROR(INDEX('Detalles movimientos'!E$5:E$1000, MATCH(127, 'Detalles movimientos'!$R$5:$R$1000, 0)), "")</f>
        <v/>
      </c>
      <c r="E139" s="19" t="str">
        <f>IFERROR(INDEX('Detalles movimientos'!F$5:F$1000, MATCH(127, 'Detalles movimientos'!$R$5:$R$1000, 0)), "")</f>
        <v/>
      </c>
      <c r="F139" s="18" t="str">
        <f>IFERROR(INDEX('Detalles movimientos'!G$5:G$1000, MATCH(127, 'Detalles movimientos'!$R$5:$R$1000, 0)), "")</f>
        <v/>
      </c>
      <c r="G139" s="20" t="str">
        <f>IFERROR(INDEX('Detalles movimientos'!H$5:H$1000, MATCH(127, 'Detalles movimientos'!$R$5:$R$1000, 0)), "")</f>
        <v/>
      </c>
      <c r="H139" s="21" t="str">
        <f>IFERROR(INDEX('Detalles movimientos'!I$5:I$1000, MATCH(127, 'Detalles movimientos'!$R$5:$R$1000, 0)), "")</f>
        <v/>
      </c>
      <c r="I139" s="20" t="str">
        <f>IFERROR(INDEX('Detalles movimientos'!K$5:K$1000, MATCH(127, 'Detalles movimientos'!$R$5:$R$1000, 0)), "")</f>
        <v/>
      </c>
      <c r="J139" s="19" t="str">
        <f>IFERROR(INDEX('Detalles movimientos'!L$5:L$1000, MATCH(127, 'Detalles movimientos'!$R$5:$R$1000, 0)), "")</f>
        <v/>
      </c>
      <c r="K139" s="20" t="str">
        <f>IFERROR(INDEX('Detalles movimientos'!M$5:M$1000, MATCH(127, 'Detalles movimientos'!$R$5:$R$1000, 0)), "")</f>
        <v/>
      </c>
      <c r="L139" s="18" t="str">
        <f>IFERROR(INDEX('Detalles movimientos'!N$5:N$1000, MATCH(127, 'Detalles movimientos'!$R$5:$R$1000, 0)), "")</f>
        <v/>
      </c>
      <c r="M139" s="18" t="str">
        <f>IFERROR(INDEX('Detalles movimientos'!Q$5:Q$1000, MATCH(127, 'Detalles movimientos'!$R$5:$R$1000, 0)), "")</f>
        <v/>
      </c>
    </row>
    <row r="140" spans="2:13">
      <c r="B140" s="17" t="str">
        <f>IFERROR(INDEX('Detalles movimientos'!C$5:C$1000, MATCH(128, 'Detalles movimientos'!$R$5:$R$1000, 0)), "")</f>
        <v/>
      </c>
      <c r="C140" s="18" t="str">
        <f>IFERROR(INDEX('Detalles movimientos'!D$5:D$1000, MATCH(128, 'Detalles movimientos'!$R$5:$R$1000, 0)), "")</f>
        <v/>
      </c>
      <c r="D140" s="19" t="str">
        <f>IFERROR(INDEX('Detalles movimientos'!E$5:E$1000, MATCH(128, 'Detalles movimientos'!$R$5:$R$1000, 0)), "")</f>
        <v/>
      </c>
      <c r="E140" s="19" t="str">
        <f>IFERROR(INDEX('Detalles movimientos'!F$5:F$1000, MATCH(128, 'Detalles movimientos'!$R$5:$R$1000, 0)), "")</f>
        <v/>
      </c>
      <c r="F140" s="18" t="str">
        <f>IFERROR(INDEX('Detalles movimientos'!G$5:G$1000, MATCH(128, 'Detalles movimientos'!$R$5:$R$1000, 0)), "")</f>
        <v/>
      </c>
      <c r="G140" s="20" t="str">
        <f>IFERROR(INDEX('Detalles movimientos'!H$5:H$1000, MATCH(128, 'Detalles movimientos'!$R$5:$R$1000, 0)), "")</f>
        <v/>
      </c>
      <c r="H140" s="21" t="str">
        <f>IFERROR(INDEX('Detalles movimientos'!I$5:I$1000, MATCH(128, 'Detalles movimientos'!$R$5:$R$1000, 0)), "")</f>
        <v/>
      </c>
      <c r="I140" s="20" t="str">
        <f>IFERROR(INDEX('Detalles movimientos'!K$5:K$1000, MATCH(128, 'Detalles movimientos'!$R$5:$R$1000, 0)), "")</f>
        <v/>
      </c>
      <c r="J140" s="19" t="str">
        <f>IFERROR(INDEX('Detalles movimientos'!L$5:L$1000, MATCH(128, 'Detalles movimientos'!$R$5:$R$1000, 0)), "")</f>
        <v/>
      </c>
      <c r="K140" s="20" t="str">
        <f>IFERROR(INDEX('Detalles movimientos'!M$5:M$1000, MATCH(128, 'Detalles movimientos'!$R$5:$R$1000, 0)), "")</f>
        <v/>
      </c>
      <c r="L140" s="18" t="str">
        <f>IFERROR(INDEX('Detalles movimientos'!N$5:N$1000, MATCH(128, 'Detalles movimientos'!$R$5:$R$1000, 0)), "")</f>
        <v/>
      </c>
      <c r="M140" s="18" t="str">
        <f>IFERROR(INDEX('Detalles movimientos'!Q$5:Q$1000, MATCH(128, 'Detalles movimientos'!$R$5:$R$1000, 0)), "")</f>
        <v/>
      </c>
    </row>
    <row r="141" spans="2:13">
      <c r="B141" s="17" t="str">
        <f>IFERROR(INDEX('Detalles movimientos'!C$5:C$1000, MATCH(129, 'Detalles movimientos'!$R$5:$R$1000, 0)), "")</f>
        <v/>
      </c>
      <c r="C141" s="18" t="str">
        <f>IFERROR(INDEX('Detalles movimientos'!D$5:D$1000, MATCH(129, 'Detalles movimientos'!$R$5:$R$1000, 0)), "")</f>
        <v/>
      </c>
      <c r="D141" s="19" t="str">
        <f>IFERROR(INDEX('Detalles movimientos'!E$5:E$1000, MATCH(129, 'Detalles movimientos'!$R$5:$R$1000, 0)), "")</f>
        <v/>
      </c>
      <c r="E141" s="19" t="str">
        <f>IFERROR(INDEX('Detalles movimientos'!F$5:F$1000, MATCH(129, 'Detalles movimientos'!$R$5:$R$1000, 0)), "")</f>
        <v/>
      </c>
      <c r="F141" s="18" t="str">
        <f>IFERROR(INDEX('Detalles movimientos'!G$5:G$1000, MATCH(129, 'Detalles movimientos'!$R$5:$R$1000, 0)), "")</f>
        <v/>
      </c>
      <c r="G141" s="20" t="str">
        <f>IFERROR(INDEX('Detalles movimientos'!H$5:H$1000, MATCH(129, 'Detalles movimientos'!$R$5:$R$1000, 0)), "")</f>
        <v/>
      </c>
      <c r="H141" s="21" t="str">
        <f>IFERROR(INDEX('Detalles movimientos'!I$5:I$1000, MATCH(129, 'Detalles movimientos'!$R$5:$R$1000, 0)), "")</f>
        <v/>
      </c>
      <c r="I141" s="20" t="str">
        <f>IFERROR(INDEX('Detalles movimientos'!K$5:K$1000, MATCH(129, 'Detalles movimientos'!$R$5:$R$1000, 0)), "")</f>
        <v/>
      </c>
      <c r="J141" s="19" t="str">
        <f>IFERROR(INDEX('Detalles movimientos'!L$5:L$1000, MATCH(129, 'Detalles movimientos'!$R$5:$R$1000, 0)), "")</f>
        <v/>
      </c>
      <c r="K141" s="20" t="str">
        <f>IFERROR(INDEX('Detalles movimientos'!M$5:M$1000, MATCH(129, 'Detalles movimientos'!$R$5:$R$1000, 0)), "")</f>
        <v/>
      </c>
      <c r="L141" s="18" t="str">
        <f>IFERROR(INDEX('Detalles movimientos'!N$5:N$1000, MATCH(129, 'Detalles movimientos'!$R$5:$R$1000, 0)), "")</f>
        <v/>
      </c>
      <c r="M141" s="18" t="str">
        <f>IFERROR(INDEX('Detalles movimientos'!Q$5:Q$1000, MATCH(129, 'Detalles movimientos'!$R$5:$R$1000, 0)), "")</f>
        <v/>
      </c>
    </row>
    <row r="142" spans="2:13">
      <c r="B142" s="17" t="str">
        <f>IFERROR(INDEX('Detalles movimientos'!C$5:C$1000, MATCH(130, 'Detalles movimientos'!$R$5:$R$1000, 0)), "")</f>
        <v/>
      </c>
      <c r="C142" s="18" t="str">
        <f>IFERROR(INDEX('Detalles movimientos'!D$5:D$1000, MATCH(130, 'Detalles movimientos'!$R$5:$R$1000, 0)), "")</f>
        <v/>
      </c>
      <c r="D142" s="19" t="str">
        <f>IFERROR(INDEX('Detalles movimientos'!E$5:E$1000, MATCH(130, 'Detalles movimientos'!$R$5:$R$1000, 0)), "")</f>
        <v/>
      </c>
      <c r="E142" s="19" t="str">
        <f>IFERROR(INDEX('Detalles movimientos'!F$5:F$1000, MATCH(130, 'Detalles movimientos'!$R$5:$R$1000, 0)), "")</f>
        <v/>
      </c>
      <c r="F142" s="18" t="str">
        <f>IFERROR(INDEX('Detalles movimientos'!G$5:G$1000, MATCH(130, 'Detalles movimientos'!$R$5:$R$1000, 0)), "")</f>
        <v/>
      </c>
      <c r="G142" s="20" t="str">
        <f>IFERROR(INDEX('Detalles movimientos'!H$5:H$1000, MATCH(130, 'Detalles movimientos'!$R$5:$R$1000, 0)), "")</f>
        <v/>
      </c>
      <c r="H142" s="21" t="str">
        <f>IFERROR(INDEX('Detalles movimientos'!I$5:I$1000, MATCH(130, 'Detalles movimientos'!$R$5:$R$1000, 0)), "")</f>
        <v/>
      </c>
      <c r="I142" s="20" t="str">
        <f>IFERROR(INDEX('Detalles movimientos'!K$5:K$1000, MATCH(130, 'Detalles movimientos'!$R$5:$R$1000, 0)), "")</f>
        <v/>
      </c>
      <c r="J142" s="19" t="str">
        <f>IFERROR(INDEX('Detalles movimientos'!L$5:L$1000, MATCH(130, 'Detalles movimientos'!$R$5:$R$1000, 0)), "")</f>
        <v/>
      </c>
      <c r="K142" s="20" t="str">
        <f>IFERROR(INDEX('Detalles movimientos'!M$5:M$1000, MATCH(130, 'Detalles movimientos'!$R$5:$R$1000, 0)), "")</f>
        <v/>
      </c>
      <c r="L142" s="18" t="str">
        <f>IFERROR(INDEX('Detalles movimientos'!N$5:N$1000, MATCH(130, 'Detalles movimientos'!$R$5:$R$1000, 0)), "")</f>
        <v/>
      </c>
      <c r="M142" s="18" t="str">
        <f>IFERROR(INDEX('Detalles movimientos'!Q$5:Q$1000, MATCH(130, 'Detalles movimientos'!$R$5:$R$1000, 0)), "")</f>
        <v/>
      </c>
    </row>
    <row r="143" spans="2:13">
      <c r="B143" s="17" t="str">
        <f>IFERROR(INDEX('Detalles movimientos'!C$5:C$1000, MATCH(131, 'Detalles movimientos'!$R$5:$R$1000, 0)), "")</f>
        <v/>
      </c>
      <c r="C143" s="18" t="str">
        <f>IFERROR(INDEX('Detalles movimientos'!D$5:D$1000, MATCH(131, 'Detalles movimientos'!$R$5:$R$1000, 0)), "")</f>
        <v/>
      </c>
      <c r="D143" s="19" t="str">
        <f>IFERROR(INDEX('Detalles movimientos'!E$5:E$1000, MATCH(131, 'Detalles movimientos'!$R$5:$R$1000, 0)), "")</f>
        <v/>
      </c>
      <c r="E143" s="19" t="str">
        <f>IFERROR(INDEX('Detalles movimientos'!F$5:F$1000, MATCH(131, 'Detalles movimientos'!$R$5:$R$1000, 0)), "")</f>
        <v/>
      </c>
      <c r="F143" s="18" t="str">
        <f>IFERROR(INDEX('Detalles movimientos'!G$5:G$1000, MATCH(131, 'Detalles movimientos'!$R$5:$R$1000, 0)), "")</f>
        <v/>
      </c>
      <c r="G143" s="20" t="str">
        <f>IFERROR(INDEX('Detalles movimientos'!H$5:H$1000, MATCH(131, 'Detalles movimientos'!$R$5:$R$1000, 0)), "")</f>
        <v/>
      </c>
      <c r="H143" s="21" t="str">
        <f>IFERROR(INDEX('Detalles movimientos'!I$5:I$1000, MATCH(131, 'Detalles movimientos'!$R$5:$R$1000, 0)), "")</f>
        <v/>
      </c>
      <c r="I143" s="20" t="str">
        <f>IFERROR(INDEX('Detalles movimientos'!K$5:K$1000, MATCH(131, 'Detalles movimientos'!$R$5:$R$1000, 0)), "")</f>
        <v/>
      </c>
      <c r="J143" s="19" t="str">
        <f>IFERROR(INDEX('Detalles movimientos'!L$5:L$1000, MATCH(131, 'Detalles movimientos'!$R$5:$R$1000, 0)), "")</f>
        <v/>
      </c>
      <c r="K143" s="20" t="str">
        <f>IFERROR(INDEX('Detalles movimientos'!M$5:M$1000, MATCH(131, 'Detalles movimientos'!$R$5:$R$1000, 0)), "")</f>
        <v/>
      </c>
      <c r="L143" s="18" t="str">
        <f>IFERROR(INDEX('Detalles movimientos'!N$5:N$1000, MATCH(131, 'Detalles movimientos'!$R$5:$R$1000, 0)), "")</f>
        <v/>
      </c>
      <c r="M143" s="18" t="str">
        <f>IFERROR(INDEX('Detalles movimientos'!Q$5:Q$1000, MATCH(131, 'Detalles movimientos'!$R$5:$R$1000, 0)), "")</f>
        <v/>
      </c>
    </row>
    <row r="144" spans="2:13">
      <c r="B144" s="17" t="str">
        <f>IFERROR(INDEX('Detalles movimientos'!C$5:C$1000, MATCH(132, 'Detalles movimientos'!$R$5:$R$1000, 0)), "")</f>
        <v/>
      </c>
      <c r="C144" s="18" t="str">
        <f>IFERROR(INDEX('Detalles movimientos'!D$5:D$1000, MATCH(132, 'Detalles movimientos'!$R$5:$R$1000, 0)), "")</f>
        <v/>
      </c>
      <c r="D144" s="19" t="str">
        <f>IFERROR(INDEX('Detalles movimientos'!E$5:E$1000, MATCH(132, 'Detalles movimientos'!$R$5:$R$1000, 0)), "")</f>
        <v/>
      </c>
      <c r="E144" s="19" t="str">
        <f>IFERROR(INDEX('Detalles movimientos'!F$5:F$1000, MATCH(132, 'Detalles movimientos'!$R$5:$R$1000, 0)), "")</f>
        <v/>
      </c>
      <c r="F144" s="18" t="str">
        <f>IFERROR(INDEX('Detalles movimientos'!G$5:G$1000, MATCH(132, 'Detalles movimientos'!$R$5:$R$1000, 0)), "")</f>
        <v/>
      </c>
      <c r="G144" s="20" t="str">
        <f>IFERROR(INDEX('Detalles movimientos'!H$5:H$1000, MATCH(132, 'Detalles movimientos'!$R$5:$R$1000, 0)), "")</f>
        <v/>
      </c>
      <c r="H144" s="21" t="str">
        <f>IFERROR(INDEX('Detalles movimientos'!I$5:I$1000, MATCH(132, 'Detalles movimientos'!$R$5:$R$1000, 0)), "")</f>
        <v/>
      </c>
      <c r="I144" s="20" t="str">
        <f>IFERROR(INDEX('Detalles movimientos'!K$5:K$1000, MATCH(132, 'Detalles movimientos'!$R$5:$R$1000, 0)), "")</f>
        <v/>
      </c>
      <c r="J144" s="19" t="str">
        <f>IFERROR(INDEX('Detalles movimientos'!L$5:L$1000, MATCH(132, 'Detalles movimientos'!$R$5:$R$1000, 0)), "")</f>
        <v/>
      </c>
      <c r="K144" s="20" t="str">
        <f>IFERROR(INDEX('Detalles movimientos'!M$5:M$1000, MATCH(132, 'Detalles movimientos'!$R$5:$R$1000, 0)), "")</f>
        <v/>
      </c>
      <c r="L144" s="18" t="str">
        <f>IFERROR(INDEX('Detalles movimientos'!N$5:N$1000, MATCH(132, 'Detalles movimientos'!$R$5:$R$1000, 0)), "")</f>
        <v/>
      </c>
      <c r="M144" s="18" t="str">
        <f>IFERROR(INDEX('Detalles movimientos'!Q$5:Q$1000, MATCH(132, 'Detalles movimientos'!$R$5:$R$1000, 0)), "")</f>
        <v/>
      </c>
    </row>
    <row r="145" spans="2:13">
      <c r="B145" s="17" t="str">
        <f>IFERROR(INDEX('Detalles movimientos'!C$5:C$1000, MATCH(133, 'Detalles movimientos'!$R$5:$R$1000, 0)), "")</f>
        <v/>
      </c>
      <c r="C145" s="18" t="str">
        <f>IFERROR(INDEX('Detalles movimientos'!D$5:D$1000, MATCH(133, 'Detalles movimientos'!$R$5:$R$1000, 0)), "")</f>
        <v/>
      </c>
      <c r="D145" s="19" t="str">
        <f>IFERROR(INDEX('Detalles movimientos'!E$5:E$1000, MATCH(133, 'Detalles movimientos'!$R$5:$R$1000, 0)), "")</f>
        <v/>
      </c>
      <c r="E145" s="19" t="str">
        <f>IFERROR(INDEX('Detalles movimientos'!F$5:F$1000, MATCH(133, 'Detalles movimientos'!$R$5:$R$1000, 0)), "")</f>
        <v/>
      </c>
      <c r="F145" s="18" t="str">
        <f>IFERROR(INDEX('Detalles movimientos'!G$5:G$1000, MATCH(133, 'Detalles movimientos'!$R$5:$R$1000, 0)), "")</f>
        <v/>
      </c>
      <c r="G145" s="20" t="str">
        <f>IFERROR(INDEX('Detalles movimientos'!H$5:H$1000, MATCH(133, 'Detalles movimientos'!$R$5:$R$1000, 0)), "")</f>
        <v/>
      </c>
      <c r="H145" s="21" t="str">
        <f>IFERROR(INDEX('Detalles movimientos'!I$5:I$1000, MATCH(133, 'Detalles movimientos'!$R$5:$R$1000, 0)), "")</f>
        <v/>
      </c>
      <c r="I145" s="20" t="str">
        <f>IFERROR(INDEX('Detalles movimientos'!K$5:K$1000, MATCH(133, 'Detalles movimientos'!$R$5:$R$1000, 0)), "")</f>
        <v/>
      </c>
      <c r="J145" s="19" t="str">
        <f>IFERROR(INDEX('Detalles movimientos'!L$5:L$1000, MATCH(133, 'Detalles movimientos'!$R$5:$R$1000, 0)), "")</f>
        <v/>
      </c>
      <c r="K145" s="20" t="str">
        <f>IFERROR(INDEX('Detalles movimientos'!M$5:M$1000, MATCH(133, 'Detalles movimientos'!$R$5:$R$1000, 0)), "")</f>
        <v/>
      </c>
      <c r="L145" s="18" t="str">
        <f>IFERROR(INDEX('Detalles movimientos'!N$5:N$1000, MATCH(133, 'Detalles movimientos'!$R$5:$R$1000, 0)), "")</f>
        <v/>
      </c>
      <c r="M145" s="18" t="str">
        <f>IFERROR(INDEX('Detalles movimientos'!Q$5:Q$1000, MATCH(133, 'Detalles movimientos'!$R$5:$R$1000, 0)), "")</f>
        <v/>
      </c>
    </row>
    <row r="146" spans="2:13">
      <c r="B146" s="17" t="str">
        <f>IFERROR(INDEX('Detalles movimientos'!C$5:C$1000, MATCH(134, 'Detalles movimientos'!$R$5:$R$1000, 0)), "")</f>
        <v/>
      </c>
      <c r="C146" s="18" t="str">
        <f>IFERROR(INDEX('Detalles movimientos'!D$5:D$1000, MATCH(134, 'Detalles movimientos'!$R$5:$R$1000, 0)), "")</f>
        <v/>
      </c>
      <c r="D146" s="19" t="str">
        <f>IFERROR(INDEX('Detalles movimientos'!E$5:E$1000, MATCH(134, 'Detalles movimientos'!$R$5:$R$1000, 0)), "")</f>
        <v/>
      </c>
      <c r="E146" s="19" t="str">
        <f>IFERROR(INDEX('Detalles movimientos'!F$5:F$1000, MATCH(134, 'Detalles movimientos'!$R$5:$R$1000, 0)), "")</f>
        <v/>
      </c>
      <c r="F146" s="18" t="str">
        <f>IFERROR(INDEX('Detalles movimientos'!G$5:G$1000, MATCH(134, 'Detalles movimientos'!$R$5:$R$1000, 0)), "")</f>
        <v/>
      </c>
      <c r="G146" s="20" t="str">
        <f>IFERROR(INDEX('Detalles movimientos'!H$5:H$1000, MATCH(134, 'Detalles movimientos'!$R$5:$R$1000, 0)), "")</f>
        <v/>
      </c>
      <c r="H146" s="21" t="str">
        <f>IFERROR(INDEX('Detalles movimientos'!I$5:I$1000, MATCH(134, 'Detalles movimientos'!$R$5:$R$1000, 0)), "")</f>
        <v/>
      </c>
      <c r="I146" s="20" t="str">
        <f>IFERROR(INDEX('Detalles movimientos'!K$5:K$1000, MATCH(134, 'Detalles movimientos'!$R$5:$R$1000, 0)), "")</f>
        <v/>
      </c>
      <c r="J146" s="19" t="str">
        <f>IFERROR(INDEX('Detalles movimientos'!L$5:L$1000, MATCH(134, 'Detalles movimientos'!$R$5:$R$1000, 0)), "")</f>
        <v/>
      </c>
      <c r="K146" s="20" t="str">
        <f>IFERROR(INDEX('Detalles movimientos'!M$5:M$1000, MATCH(134, 'Detalles movimientos'!$R$5:$R$1000, 0)), "")</f>
        <v/>
      </c>
      <c r="L146" s="18" t="str">
        <f>IFERROR(INDEX('Detalles movimientos'!N$5:N$1000, MATCH(134, 'Detalles movimientos'!$R$5:$R$1000, 0)), "")</f>
        <v/>
      </c>
      <c r="M146" s="18" t="str">
        <f>IFERROR(INDEX('Detalles movimientos'!Q$5:Q$1000, MATCH(134, 'Detalles movimientos'!$R$5:$R$1000, 0)), "")</f>
        <v/>
      </c>
    </row>
    <row r="147" spans="2:13">
      <c r="B147" s="17" t="str">
        <f>IFERROR(INDEX('Detalles movimientos'!C$5:C$1000, MATCH(135, 'Detalles movimientos'!$R$5:$R$1000, 0)), "")</f>
        <v/>
      </c>
      <c r="C147" s="18" t="str">
        <f>IFERROR(INDEX('Detalles movimientos'!D$5:D$1000, MATCH(135, 'Detalles movimientos'!$R$5:$R$1000, 0)), "")</f>
        <v/>
      </c>
      <c r="D147" s="19" t="str">
        <f>IFERROR(INDEX('Detalles movimientos'!E$5:E$1000, MATCH(135, 'Detalles movimientos'!$R$5:$R$1000, 0)), "")</f>
        <v/>
      </c>
      <c r="E147" s="19" t="str">
        <f>IFERROR(INDEX('Detalles movimientos'!F$5:F$1000, MATCH(135, 'Detalles movimientos'!$R$5:$R$1000, 0)), "")</f>
        <v/>
      </c>
      <c r="F147" s="18" t="str">
        <f>IFERROR(INDEX('Detalles movimientos'!G$5:G$1000, MATCH(135, 'Detalles movimientos'!$R$5:$R$1000, 0)), "")</f>
        <v/>
      </c>
      <c r="G147" s="20" t="str">
        <f>IFERROR(INDEX('Detalles movimientos'!H$5:H$1000, MATCH(135, 'Detalles movimientos'!$R$5:$R$1000, 0)), "")</f>
        <v/>
      </c>
      <c r="H147" s="21" t="str">
        <f>IFERROR(INDEX('Detalles movimientos'!I$5:I$1000, MATCH(135, 'Detalles movimientos'!$R$5:$R$1000, 0)), "")</f>
        <v/>
      </c>
      <c r="I147" s="20" t="str">
        <f>IFERROR(INDEX('Detalles movimientos'!K$5:K$1000, MATCH(135, 'Detalles movimientos'!$R$5:$R$1000, 0)), "")</f>
        <v/>
      </c>
      <c r="J147" s="19" t="str">
        <f>IFERROR(INDEX('Detalles movimientos'!L$5:L$1000, MATCH(135, 'Detalles movimientos'!$R$5:$R$1000, 0)), "")</f>
        <v/>
      </c>
      <c r="K147" s="20" t="str">
        <f>IFERROR(INDEX('Detalles movimientos'!M$5:M$1000, MATCH(135, 'Detalles movimientos'!$R$5:$R$1000, 0)), "")</f>
        <v/>
      </c>
      <c r="L147" s="18" t="str">
        <f>IFERROR(INDEX('Detalles movimientos'!N$5:N$1000, MATCH(135, 'Detalles movimientos'!$R$5:$R$1000, 0)), "")</f>
        <v/>
      </c>
      <c r="M147" s="18" t="str">
        <f>IFERROR(INDEX('Detalles movimientos'!Q$5:Q$1000, MATCH(135, 'Detalles movimientos'!$R$5:$R$1000, 0)), "")</f>
        <v/>
      </c>
    </row>
    <row r="148" spans="2:13">
      <c r="B148" s="17" t="str">
        <f>IFERROR(INDEX('Detalles movimientos'!C$5:C$1000, MATCH(136, 'Detalles movimientos'!$R$5:$R$1000, 0)), "")</f>
        <v/>
      </c>
      <c r="C148" s="18" t="str">
        <f>IFERROR(INDEX('Detalles movimientos'!D$5:D$1000, MATCH(136, 'Detalles movimientos'!$R$5:$R$1000, 0)), "")</f>
        <v/>
      </c>
      <c r="D148" s="19" t="str">
        <f>IFERROR(INDEX('Detalles movimientos'!E$5:E$1000, MATCH(136, 'Detalles movimientos'!$R$5:$R$1000, 0)), "")</f>
        <v/>
      </c>
      <c r="E148" s="19" t="str">
        <f>IFERROR(INDEX('Detalles movimientos'!F$5:F$1000, MATCH(136, 'Detalles movimientos'!$R$5:$R$1000, 0)), "")</f>
        <v/>
      </c>
      <c r="F148" s="18" t="str">
        <f>IFERROR(INDEX('Detalles movimientos'!G$5:G$1000, MATCH(136, 'Detalles movimientos'!$R$5:$R$1000, 0)), "")</f>
        <v/>
      </c>
      <c r="G148" s="20" t="str">
        <f>IFERROR(INDEX('Detalles movimientos'!H$5:H$1000, MATCH(136, 'Detalles movimientos'!$R$5:$R$1000, 0)), "")</f>
        <v/>
      </c>
      <c r="H148" s="21" t="str">
        <f>IFERROR(INDEX('Detalles movimientos'!I$5:I$1000, MATCH(136, 'Detalles movimientos'!$R$5:$R$1000, 0)), "")</f>
        <v/>
      </c>
      <c r="I148" s="20" t="str">
        <f>IFERROR(INDEX('Detalles movimientos'!K$5:K$1000, MATCH(136, 'Detalles movimientos'!$R$5:$R$1000, 0)), "")</f>
        <v/>
      </c>
      <c r="J148" s="19" t="str">
        <f>IFERROR(INDEX('Detalles movimientos'!L$5:L$1000, MATCH(136, 'Detalles movimientos'!$R$5:$R$1000, 0)), "")</f>
        <v/>
      </c>
      <c r="K148" s="20" t="str">
        <f>IFERROR(INDEX('Detalles movimientos'!M$5:M$1000, MATCH(136, 'Detalles movimientos'!$R$5:$R$1000, 0)), "")</f>
        <v/>
      </c>
      <c r="L148" s="18" t="str">
        <f>IFERROR(INDEX('Detalles movimientos'!N$5:N$1000, MATCH(136, 'Detalles movimientos'!$R$5:$R$1000, 0)), "")</f>
        <v/>
      </c>
      <c r="M148" s="18" t="str">
        <f>IFERROR(INDEX('Detalles movimientos'!Q$5:Q$1000, MATCH(136, 'Detalles movimientos'!$R$5:$R$1000, 0)), "")</f>
        <v/>
      </c>
    </row>
    <row r="149" spans="2:13">
      <c r="B149" s="17" t="str">
        <f>IFERROR(INDEX('Detalles movimientos'!C$5:C$1000, MATCH(137, 'Detalles movimientos'!$R$5:$R$1000, 0)), "")</f>
        <v/>
      </c>
      <c r="C149" s="18" t="str">
        <f>IFERROR(INDEX('Detalles movimientos'!D$5:D$1000, MATCH(137, 'Detalles movimientos'!$R$5:$R$1000, 0)), "")</f>
        <v/>
      </c>
      <c r="D149" s="19" t="str">
        <f>IFERROR(INDEX('Detalles movimientos'!E$5:E$1000, MATCH(137, 'Detalles movimientos'!$R$5:$R$1000, 0)), "")</f>
        <v/>
      </c>
      <c r="E149" s="19" t="str">
        <f>IFERROR(INDEX('Detalles movimientos'!F$5:F$1000, MATCH(137, 'Detalles movimientos'!$R$5:$R$1000, 0)), "")</f>
        <v/>
      </c>
      <c r="F149" s="18" t="str">
        <f>IFERROR(INDEX('Detalles movimientos'!G$5:G$1000, MATCH(137, 'Detalles movimientos'!$R$5:$R$1000, 0)), "")</f>
        <v/>
      </c>
      <c r="G149" s="20" t="str">
        <f>IFERROR(INDEX('Detalles movimientos'!H$5:H$1000, MATCH(137, 'Detalles movimientos'!$R$5:$R$1000, 0)), "")</f>
        <v/>
      </c>
      <c r="H149" s="21" t="str">
        <f>IFERROR(INDEX('Detalles movimientos'!I$5:I$1000, MATCH(137, 'Detalles movimientos'!$R$5:$R$1000, 0)), "")</f>
        <v/>
      </c>
      <c r="I149" s="20" t="str">
        <f>IFERROR(INDEX('Detalles movimientos'!K$5:K$1000, MATCH(137, 'Detalles movimientos'!$R$5:$R$1000, 0)), "")</f>
        <v/>
      </c>
      <c r="J149" s="19" t="str">
        <f>IFERROR(INDEX('Detalles movimientos'!L$5:L$1000, MATCH(137, 'Detalles movimientos'!$R$5:$R$1000, 0)), "")</f>
        <v/>
      </c>
      <c r="K149" s="20" t="str">
        <f>IFERROR(INDEX('Detalles movimientos'!M$5:M$1000, MATCH(137, 'Detalles movimientos'!$R$5:$R$1000, 0)), "")</f>
        <v/>
      </c>
      <c r="L149" s="18" t="str">
        <f>IFERROR(INDEX('Detalles movimientos'!N$5:N$1000, MATCH(137, 'Detalles movimientos'!$R$5:$R$1000, 0)), "")</f>
        <v/>
      </c>
      <c r="M149" s="18" t="str">
        <f>IFERROR(INDEX('Detalles movimientos'!Q$5:Q$1000, MATCH(137, 'Detalles movimientos'!$R$5:$R$1000, 0)), "")</f>
        <v/>
      </c>
    </row>
    <row r="150" spans="2:13">
      <c r="B150" s="17" t="str">
        <f>IFERROR(INDEX('Detalles movimientos'!C$5:C$1000, MATCH(138, 'Detalles movimientos'!$R$5:$R$1000, 0)), "")</f>
        <v/>
      </c>
      <c r="C150" s="18" t="str">
        <f>IFERROR(INDEX('Detalles movimientos'!D$5:D$1000, MATCH(138, 'Detalles movimientos'!$R$5:$R$1000, 0)), "")</f>
        <v/>
      </c>
      <c r="D150" s="19" t="str">
        <f>IFERROR(INDEX('Detalles movimientos'!E$5:E$1000, MATCH(138, 'Detalles movimientos'!$R$5:$R$1000, 0)), "")</f>
        <v/>
      </c>
      <c r="E150" s="19" t="str">
        <f>IFERROR(INDEX('Detalles movimientos'!F$5:F$1000, MATCH(138, 'Detalles movimientos'!$R$5:$R$1000, 0)), "")</f>
        <v/>
      </c>
      <c r="F150" s="18" t="str">
        <f>IFERROR(INDEX('Detalles movimientos'!G$5:G$1000, MATCH(138, 'Detalles movimientos'!$R$5:$R$1000, 0)), "")</f>
        <v/>
      </c>
      <c r="G150" s="20" t="str">
        <f>IFERROR(INDEX('Detalles movimientos'!H$5:H$1000, MATCH(138, 'Detalles movimientos'!$R$5:$R$1000, 0)), "")</f>
        <v/>
      </c>
      <c r="H150" s="21" t="str">
        <f>IFERROR(INDEX('Detalles movimientos'!I$5:I$1000, MATCH(138, 'Detalles movimientos'!$R$5:$R$1000, 0)), "")</f>
        <v/>
      </c>
      <c r="I150" s="20" t="str">
        <f>IFERROR(INDEX('Detalles movimientos'!K$5:K$1000, MATCH(138, 'Detalles movimientos'!$R$5:$R$1000, 0)), "")</f>
        <v/>
      </c>
      <c r="J150" s="19" t="str">
        <f>IFERROR(INDEX('Detalles movimientos'!L$5:L$1000, MATCH(138, 'Detalles movimientos'!$R$5:$R$1000, 0)), "")</f>
        <v/>
      </c>
      <c r="K150" s="20" t="str">
        <f>IFERROR(INDEX('Detalles movimientos'!M$5:M$1000, MATCH(138, 'Detalles movimientos'!$R$5:$R$1000, 0)), "")</f>
        <v/>
      </c>
      <c r="L150" s="18" t="str">
        <f>IFERROR(INDEX('Detalles movimientos'!N$5:N$1000, MATCH(138, 'Detalles movimientos'!$R$5:$R$1000, 0)), "")</f>
        <v/>
      </c>
      <c r="M150" s="18" t="str">
        <f>IFERROR(INDEX('Detalles movimientos'!Q$5:Q$1000, MATCH(138, 'Detalles movimientos'!$R$5:$R$1000, 0)), "")</f>
        <v/>
      </c>
    </row>
    <row r="151" spans="2:13">
      <c r="B151" s="17" t="str">
        <f>IFERROR(INDEX('Detalles movimientos'!C$5:C$1000, MATCH(139, 'Detalles movimientos'!$R$5:$R$1000, 0)), "")</f>
        <v/>
      </c>
      <c r="C151" s="18" t="str">
        <f>IFERROR(INDEX('Detalles movimientos'!D$5:D$1000, MATCH(139, 'Detalles movimientos'!$R$5:$R$1000, 0)), "")</f>
        <v/>
      </c>
      <c r="D151" s="19" t="str">
        <f>IFERROR(INDEX('Detalles movimientos'!E$5:E$1000, MATCH(139, 'Detalles movimientos'!$R$5:$R$1000, 0)), "")</f>
        <v/>
      </c>
      <c r="E151" s="19" t="str">
        <f>IFERROR(INDEX('Detalles movimientos'!F$5:F$1000, MATCH(139, 'Detalles movimientos'!$R$5:$R$1000, 0)), "")</f>
        <v/>
      </c>
      <c r="F151" s="18" t="str">
        <f>IFERROR(INDEX('Detalles movimientos'!G$5:G$1000, MATCH(139, 'Detalles movimientos'!$R$5:$R$1000, 0)), "")</f>
        <v/>
      </c>
      <c r="G151" s="20" t="str">
        <f>IFERROR(INDEX('Detalles movimientos'!H$5:H$1000, MATCH(139, 'Detalles movimientos'!$R$5:$R$1000, 0)), "")</f>
        <v/>
      </c>
      <c r="H151" s="21" t="str">
        <f>IFERROR(INDEX('Detalles movimientos'!I$5:I$1000, MATCH(139, 'Detalles movimientos'!$R$5:$R$1000, 0)), "")</f>
        <v/>
      </c>
      <c r="I151" s="20" t="str">
        <f>IFERROR(INDEX('Detalles movimientos'!K$5:K$1000, MATCH(139, 'Detalles movimientos'!$R$5:$R$1000, 0)), "")</f>
        <v/>
      </c>
      <c r="J151" s="19" t="str">
        <f>IFERROR(INDEX('Detalles movimientos'!L$5:L$1000, MATCH(139, 'Detalles movimientos'!$R$5:$R$1000, 0)), "")</f>
        <v/>
      </c>
      <c r="K151" s="20" t="str">
        <f>IFERROR(INDEX('Detalles movimientos'!M$5:M$1000, MATCH(139, 'Detalles movimientos'!$R$5:$R$1000, 0)), "")</f>
        <v/>
      </c>
      <c r="L151" s="18" t="str">
        <f>IFERROR(INDEX('Detalles movimientos'!N$5:N$1000, MATCH(139, 'Detalles movimientos'!$R$5:$R$1000, 0)), "")</f>
        <v/>
      </c>
      <c r="M151" s="18" t="str">
        <f>IFERROR(INDEX('Detalles movimientos'!Q$5:Q$1000, MATCH(139, 'Detalles movimientos'!$R$5:$R$1000, 0)), "")</f>
        <v/>
      </c>
    </row>
    <row r="152" spans="2:13">
      <c r="B152" s="17" t="str">
        <f>IFERROR(INDEX('Detalles movimientos'!C$5:C$1000, MATCH(140, 'Detalles movimientos'!$R$5:$R$1000, 0)), "")</f>
        <v/>
      </c>
      <c r="C152" s="18" t="str">
        <f>IFERROR(INDEX('Detalles movimientos'!D$5:D$1000, MATCH(140, 'Detalles movimientos'!$R$5:$R$1000, 0)), "")</f>
        <v/>
      </c>
      <c r="D152" s="19" t="str">
        <f>IFERROR(INDEX('Detalles movimientos'!E$5:E$1000, MATCH(140, 'Detalles movimientos'!$R$5:$R$1000, 0)), "")</f>
        <v/>
      </c>
      <c r="E152" s="19" t="str">
        <f>IFERROR(INDEX('Detalles movimientos'!F$5:F$1000, MATCH(140, 'Detalles movimientos'!$R$5:$R$1000, 0)), "")</f>
        <v/>
      </c>
      <c r="F152" s="18" t="str">
        <f>IFERROR(INDEX('Detalles movimientos'!G$5:G$1000, MATCH(140, 'Detalles movimientos'!$R$5:$R$1000, 0)), "")</f>
        <v/>
      </c>
      <c r="G152" s="20" t="str">
        <f>IFERROR(INDEX('Detalles movimientos'!H$5:H$1000, MATCH(140, 'Detalles movimientos'!$R$5:$R$1000, 0)), "")</f>
        <v/>
      </c>
      <c r="H152" s="21" t="str">
        <f>IFERROR(INDEX('Detalles movimientos'!I$5:I$1000, MATCH(140, 'Detalles movimientos'!$R$5:$R$1000, 0)), "")</f>
        <v/>
      </c>
      <c r="I152" s="20" t="str">
        <f>IFERROR(INDEX('Detalles movimientos'!K$5:K$1000, MATCH(140, 'Detalles movimientos'!$R$5:$R$1000, 0)), "")</f>
        <v/>
      </c>
      <c r="J152" s="19" t="str">
        <f>IFERROR(INDEX('Detalles movimientos'!L$5:L$1000, MATCH(140, 'Detalles movimientos'!$R$5:$R$1000, 0)), "")</f>
        <v/>
      </c>
      <c r="K152" s="20" t="str">
        <f>IFERROR(INDEX('Detalles movimientos'!M$5:M$1000, MATCH(140, 'Detalles movimientos'!$R$5:$R$1000, 0)), "")</f>
        <v/>
      </c>
      <c r="L152" s="18" t="str">
        <f>IFERROR(INDEX('Detalles movimientos'!N$5:N$1000, MATCH(140, 'Detalles movimientos'!$R$5:$R$1000, 0)), "")</f>
        <v/>
      </c>
      <c r="M152" s="18" t="str">
        <f>IFERROR(INDEX('Detalles movimientos'!Q$5:Q$1000, MATCH(140, 'Detalles movimientos'!$R$5:$R$1000, 0)), "")</f>
        <v/>
      </c>
    </row>
    <row r="153" spans="2:13">
      <c r="B153" s="17" t="str">
        <f>IFERROR(INDEX('Detalles movimientos'!C$5:C$1000, MATCH(141, 'Detalles movimientos'!$R$5:$R$1000, 0)), "")</f>
        <v/>
      </c>
      <c r="C153" s="18" t="str">
        <f>IFERROR(INDEX('Detalles movimientos'!D$5:D$1000, MATCH(141, 'Detalles movimientos'!$R$5:$R$1000, 0)), "")</f>
        <v/>
      </c>
      <c r="D153" s="19" t="str">
        <f>IFERROR(INDEX('Detalles movimientos'!E$5:E$1000, MATCH(141, 'Detalles movimientos'!$R$5:$R$1000, 0)), "")</f>
        <v/>
      </c>
      <c r="E153" s="19" t="str">
        <f>IFERROR(INDEX('Detalles movimientos'!F$5:F$1000, MATCH(141, 'Detalles movimientos'!$R$5:$R$1000, 0)), "")</f>
        <v/>
      </c>
      <c r="F153" s="18" t="str">
        <f>IFERROR(INDEX('Detalles movimientos'!G$5:G$1000, MATCH(141, 'Detalles movimientos'!$R$5:$R$1000, 0)), "")</f>
        <v/>
      </c>
      <c r="G153" s="20" t="str">
        <f>IFERROR(INDEX('Detalles movimientos'!H$5:H$1000, MATCH(141, 'Detalles movimientos'!$R$5:$R$1000, 0)), "")</f>
        <v/>
      </c>
      <c r="H153" s="21" t="str">
        <f>IFERROR(INDEX('Detalles movimientos'!I$5:I$1000, MATCH(141, 'Detalles movimientos'!$R$5:$R$1000, 0)), "")</f>
        <v/>
      </c>
      <c r="I153" s="20" t="str">
        <f>IFERROR(INDEX('Detalles movimientos'!K$5:K$1000, MATCH(141, 'Detalles movimientos'!$R$5:$R$1000, 0)), "")</f>
        <v/>
      </c>
      <c r="J153" s="19" t="str">
        <f>IFERROR(INDEX('Detalles movimientos'!L$5:L$1000, MATCH(141, 'Detalles movimientos'!$R$5:$R$1000, 0)), "")</f>
        <v/>
      </c>
      <c r="K153" s="20" t="str">
        <f>IFERROR(INDEX('Detalles movimientos'!M$5:M$1000, MATCH(141, 'Detalles movimientos'!$R$5:$R$1000, 0)), "")</f>
        <v/>
      </c>
      <c r="L153" s="18" t="str">
        <f>IFERROR(INDEX('Detalles movimientos'!N$5:N$1000, MATCH(141, 'Detalles movimientos'!$R$5:$R$1000, 0)), "")</f>
        <v/>
      </c>
      <c r="M153" s="18" t="str">
        <f>IFERROR(INDEX('Detalles movimientos'!Q$5:Q$1000, MATCH(141, 'Detalles movimientos'!$R$5:$R$1000, 0)), "")</f>
        <v/>
      </c>
    </row>
    <row r="154" spans="2:13">
      <c r="B154" s="17" t="str">
        <f>IFERROR(INDEX('Detalles movimientos'!C$5:C$1000, MATCH(142, 'Detalles movimientos'!$R$5:$R$1000, 0)), "")</f>
        <v/>
      </c>
      <c r="C154" s="18" t="str">
        <f>IFERROR(INDEX('Detalles movimientos'!D$5:D$1000, MATCH(142, 'Detalles movimientos'!$R$5:$R$1000, 0)), "")</f>
        <v/>
      </c>
      <c r="D154" s="19" t="str">
        <f>IFERROR(INDEX('Detalles movimientos'!E$5:E$1000, MATCH(142, 'Detalles movimientos'!$R$5:$R$1000, 0)), "")</f>
        <v/>
      </c>
      <c r="E154" s="19" t="str">
        <f>IFERROR(INDEX('Detalles movimientos'!F$5:F$1000, MATCH(142, 'Detalles movimientos'!$R$5:$R$1000, 0)), "")</f>
        <v/>
      </c>
      <c r="F154" s="18" t="str">
        <f>IFERROR(INDEX('Detalles movimientos'!G$5:G$1000, MATCH(142, 'Detalles movimientos'!$R$5:$R$1000, 0)), "")</f>
        <v/>
      </c>
      <c r="G154" s="20" t="str">
        <f>IFERROR(INDEX('Detalles movimientos'!H$5:H$1000, MATCH(142, 'Detalles movimientos'!$R$5:$R$1000, 0)), "")</f>
        <v/>
      </c>
      <c r="H154" s="21" t="str">
        <f>IFERROR(INDEX('Detalles movimientos'!I$5:I$1000, MATCH(142, 'Detalles movimientos'!$R$5:$R$1000, 0)), "")</f>
        <v/>
      </c>
      <c r="I154" s="20" t="str">
        <f>IFERROR(INDEX('Detalles movimientos'!K$5:K$1000, MATCH(142, 'Detalles movimientos'!$R$5:$R$1000, 0)), "")</f>
        <v/>
      </c>
      <c r="J154" s="19" t="str">
        <f>IFERROR(INDEX('Detalles movimientos'!L$5:L$1000, MATCH(142, 'Detalles movimientos'!$R$5:$R$1000, 0)), "")</f>
        <v/>
      </c>
      <c r="K154" s="20" t="str">
        <f>IFERROR(INDEX('Detalles movimientos'!M$5:M$1000, MATCH(142, 'Detalles movimientos'!$R$5:$R$1000, 0)), "")</f>
        <v/>
      </c>
      <c r="L154" s="18" t="str">
        <f>IFERROR(INDEX('Detalles movimientos'!N$5:N$1000, MATCH(142, 'Detalles movimientos'!$R$5:$R$1000, 0)), "")</f>
        <v/>
      </c>
      <c r="M154" s="18" t="str">
        <f>IFERROR(INDEX('Detalles movimientos'!Q$5:Q$1000, MATCH(142, 'Detalles movimientos'!$R$5:$R$1000, 0)), "")</f>
        <v/>
      </c>
    </row>
    <row r="155" spans="2:13">
      <c r="B155" s="17" t="str">
        <f>IFERROR(INDEX('Detalles movimientos'!C$5:C$1000, MATCH(143, 'Detalles movimientos'!$R$5:$R$1000, 0)), "")</f>
        <v/>
      </c>
      <c r="C155" s="18" t="str">
        <f>IFERROR(INDEX('Detalles movimientos'!D$5:D$1000, MATCH(143, 'Detalles movimientos'!$R$5:$R$1000, 0)), "")</f>
        <v/>
      </c>
      <c r="D155" s="19" t="str">
        <f>IFERROR(INDEX('Detalles movimientos'!E$5:E$1000, MATCH(143, 'Detalles movimientos'!$R$5:$R$1000, 0)), "")</f>
        <v/>
      </c>
      <c r="E155" s="19" t="str">
        <f>IFERROR(INDEX('Detalles movimientos'!F$5:F$1000, MATCH(143, 'Detalles movimientos'!$R$5:$R$1000, 0)), "")</f>
        <v/>
      </c>
      <c r="F155" s="18" t="str">
        <f>IFERROR(INDEX('Detalles movimientos'!G$5:G$1000, MATCH(143, 'Detalles movimientos'!$R$5:$R$1000, 0)), "")</f>
        <v/>
      </c>
      <c r="G155" s="20" t="str">
        <f>IFERROR(INDEX('Detalles movimientos'!H$5:H$1000, MATCH(143, 'Detalles movimientos'!$R$5:$R$1000, 0)), "")</f>
        <v/>
      </c>
      <c r="H155" s="21" t="str">
        <f>IFERROR(INDEX('Detalles movimientos'!I$5:I$1000, MATCH(143, 'Detalles movimientos'!$R$5:$R$1000, 0)), "")</f>
        <v/>
      </c>
      <c r="I155" s="20" t="str">
        <f>IFERROR(INDEX('Detalles movimientos'!K$5:K$1000, MATCH(143, 'Detalles movimientos'!$R$5:$R$1000, 0)), "")</f>
        <v/>
      </c>
      <c r="J155" s="19" t="str">
        <f>IFERROR(INDEX('Detalles movimientos'!L$5:L$1000, MATCH(143, 'Detalles movimientos'!$R$5:$R$1000, 0)), "")</f>
        <v/>
      </c>
      <c r="K155" s="20" t="str">
        <f>IFERROR(INDEX('Detalles movimientos'!M$5:M$1000, MATCH(143, 'Detalles movimientos'!$R$5:$R$1000, 0)), "")</f>
        <v/>
      </c>
      <c r="L155" s="18" t="str">
        <f>IFERROR(INDEX('Detalles movimientos'!N$5:N$1000, MATCH(143, 'Detalles movimientos'!$R$5:$R$1000, 0)), "")</f>
        <v/>
      </c>
      <c r="M155" s="18" t="str">
        <f>IFERROR(INDEX('Detalles movimientos'!Q$5:Q$1000, MATCH(143, 'Detalles movimientos'!$R$5:$R$1000, 0)), "")</f>
        <v/>
      </c>
    </row>
    <row r="156" spans="2:13">
      <c r="B156" s="17" t="str">
        <f>IFERROR(INDEX('Detalles movimientos'!C$5:C$1000, MATCH(144, 'Detalles movimientos'!$R$5:$R$1000, 0)), "")</f>
        <v/>
      </c>
      <c r="C156" s="18" t="str">
        <f>IFERROR(INDEX('Detalles movimientos'!D$5:D$1000, MATCH(144, 'Detalles movimientos'!$R$5:$R$1000, 0)), "")</f>
        <v/>
      </c>
      <c r="D156" s="19" t="str">
        <f>IFERROR(INDEX('Detalles movimientos'!E$5:E$1000, MATCH(144, 'Detalles movimientos'!$R$5:$R$1000, 0)), "")</f>
        <v/>
      </c>
      <c r="E156" s="19" t="str">
        <f>IFERROR(INDEX('Detalles movimientos'!F$5:F$1000, MATCH(144, 'Detalles movimientos'!$R$5:$R$1000, 0)), "")</f>
        <v/>
      </c>
      <c r="F156" s="18" t="str">
        <f>IFERROR(INDEX('Detalles movimientos'!G$5:G$1000, MATCH(144, 'Detalles movimientos'!$R$5:$R$1000, 0)), "")</f>
        <v/>
      </c>
      <c r="G156" s="20" t="str">
        <f>IFERROR(INDEX('Detalles movimientos'!H$5:H$1000, MATCH(144, 'Detalles movimientos'!$R$5:$R$1000, 0)), "")</f>
        <v/>
      </c>
      <c r="H156" s="21" t="str">
        <f>IFERROR(INDEX('Detalles movimientos'!I$5:I$1000, MATCH(144, 'Detalles movimientos'!$R$5:$R$1000, 0)), "")</f>
        <v/>
      </c>
      <c r="I156" s="20" t="str">
        <f>IFERROR(INDEX('Detalles movimientos'!K$5:K$1000, MATCH(144, 'Detalles movimientos'!$R$5:$R$1000, 0)), "")</f>
        <v/>
      </c>
      <c r="J156" s="19" t="str">
        <f>IFERROR(INDEX('Detalles movimientos'!L$5:L$1000, MATCH(144, 'Detalles movimientos'!$R$5:$R$1000, 0)), "")</f>
        <v/>
      </c>
      <c r="K156" s="20" t="str">
        <f>IFERROR(INDEX('Detalles movimientos'!M$5:M$1000, MATCH(144, 'Detalles movimientos'!$R$5:$R$1000, 0)), "")</f>
        <v/>
      </c>
      <c r="L156" s="18" t="str">
        <f>IFERROR(INDEX('Detalles movimientos'!N$5:N$1000, MATCH(144, 'Detalles movimientos'!$R$5:$R$1000, 0)), "")</f>
        <v/>
      </c>
      <c r="M156" s="18" t="str">
        <f>IFERROR(INDEX('Detalles movimientos'!Q$5:Q$1000, MATCH(144, 'Detalles movimientos'!$R$5:$R$1000, 0)), "")</f>
        <v/>
      </c>
    </row>
    <row r="157" spans="2:13">
      <c r="B157" s="17" t="str">
        <f>IFERROR(INDEX('Detalles movimientos'!C$5:C$1000, MATCH(145, 'Detalles movimientos'!$R$5:$R$1000, 0)), "")</f>
        <v/>
      </c>
      <c r="C157" s="18" t="str">
        <f>IFERROR(INDEX('Detalles movimientos'!D$5:D$1000, MATCH(145, 'Detalles movimientos'!$R$5:$R$1000, 0)), "")</f>
        <v/>
      </c>
      <c r="D157" s="19" t="str">
        <f>IFERROR(INDEX('Detalles movimientos'!E$5:E$1000, MATCH(145, 'Detalles movimientos'!$R$5:$R$1000, 0)), "")</f>
        <v/>
      </c>
      <c r="E157" s="19" t="str">
        <f>IFERROR(INDEX('Detalles movimientos'!F$5:F$1000, MATCH(145, 'Detalles movimientos'!$R$5:$R$1000, 0)), "")</f>
        <v/>
      </c>
      <c r="F157" s="18" t="str">
        <f>IFERROR(INDEX('Detalles movimientos'!G$5:G$1000, MATCH(145, 'Detalles movimientos'!$R$5:$R$1000, 0)), "")</f>
        <v/>
      </c>
      <c r="G157" s="20" t="str">
        <f>IFERROR(INDEX('Detalles movimientos'!H$5:H$1000, MATCH(145, 'Detalles movimientos'!$R$5:$R$1000, 0)), "")</f>
        <v/>
      </c>
      <c r="H157" s="21" t="str">
        <f>IFERROR(INDEX('Detalles movimientos'!I$5:I$1000, MATCH(145, 'Detalles movimientos'!$R$5:$R$1000, 0)), "")</f>
        <v/>
      </c>
      <c r="I157" s="20" t="str">
        <f>IFERROR(INDEX('Detalles movimientos'!K$5:K$1000, MATCH(145, 'Detalles movimientos'!$R$5:$R$1000, 0)), "")</f>
        <v/>
      </c>
      <c r="J157" s="19" t="str">
        <f>IFERROR(INDEX('Detalles movimientos'!L$5:L$1000, MATCH(145, 'Detalles movimientos'!$R$5:$R$1000, 0)), "")</f>
        <v/>
      </c>
      <c r="K157" s="20" t="str">
        <f>IFERROR(INDEX('Detalles movimientos'!M$5:M$1000, MATCH(145, 'Detalles movimientos'!$R$5:$R$1000, 0)), "")</f>
        <v/>
      </c>
      <c r="L157" s="18" t="str">
        <f>IFERROR(INDEX('Detalles movimientos'!N$5:N$1000, MATCH(145, 'Detalles movimientos'!$R$5:$R$1000, 0)), "")</f>
        <v/>
      </c>
      <c r="M157" s="18" t="str">
        <f>IFERROR(INDEX('Detalles movimientos'!Q$5:Q$1000, MATCH(145, 'Detalles movimientos'!$R$5:$R$1000, 0)), "")</f>
        <v/>
      </c>
    </row>
    <row r="158" spans="2:13">
      <c r="B158" s="17" t="str">
        <f>IFERROR(INDEX('Detalles movimientos'!C$5:C$1000, MATCH(146, 'Detalles movimientos'!$R$5:$R$1000, 0)), "")</f>
        <v/>
      </c>
      <c r="C158" s="18" t="str">
        <f>IFERROR(INDEX('Detalles movimientos'!D$5:D$1000, MATCH(146, 'Detalles movimientos'!$R$5:$R$1000, 0)), "")</f>
        <v/>
      </c>
      <c r="D158" s="19" t="str">
        <f>IFERROR(INDEX('Detalles movimientos'!E$5:E$1000, MATCH(146, 'Detalles movimientos'!$R$5:$R$1000, 0)), "")</f>
        <v/>
      </c>
      <c r="E158" s="19" t="str">
        <f>IFERROR(INDEX('Detalles movimientos'!F$5:F$1000, MATCH(146, 'Detalles movimientos'!$R$5:$R$1000, 0)), "")</f>
        <v/>
      </c>
      <c r="F158" s="18" t="str">
        <f>IFERROR(INDEX('Detalles movimientos'!G$5:G$1000, MATCH(146, 'Detalles movimientos'!$R$5:$R$1000, 0)), "")</f>
        <v/>
      </c>
      <c r="G158" s="20" t="str">
        <f>IFERROR(INDEX('Detalles movimientos'!H$5:H$1000, MATCH(146, 'Detalles movimientos'!$R$5:$R$1000, 0)), "")</f>
        <v/>
      </c>
      <c r="H158" s="21" t="str">
        <f>IFERROR(INDEX('Detalles movimientos'!I$5:I$1000, MATCH(146, 'Detalles movimientos'!$R$5:$R$1000, 0)), "")</f>
        <v/>
      </c>
      <c r="I158" s="20" t="str">
        <f>IFERROR(INDEX('Detalles movimientos'!K$5:K$1000, MATCH(146, 'Detalles movimientos'!$R$5:$R$1000, 0)), "")</f>
        <v/>
      </c>
      <c r="J158" s="19" t="str">
        <f>IFERROR(INDEX('Detalles movimientos'!L$5:L$1000, MATCH(146, 'Detalles movimientos'!$R$5:$R$1000, 0)), "")</f>
        <v/>
      </c>
      <c r="K158" s="20" t="str">
        <f>IFERROR(INDEX('Detalles movimientos'!M$5:M$1000, MATCH(146, 'Detalles movimientos'!$R$5:$R$1000, 0)), "")</f>
        <v/>
      </c>
      <c r="L158" s="18" t="str">
        <f>IFERROR(INDEX('Detalles movimientos'!N$5:N$1000, MATCH(146, 'Detalles movimientos'!$R$5:$R$1000, 0)), "")</f>
        <v/>
      </c>
      <c r="M158" s="18" t="str">
        <f>IFERROR(INDEX('Detalles movimientos'!Q$5:Q$1000, MATCH(146, 'Detalles movimientos'!$R$5:$R$1000, 0)), "")</f>
        <v/>
      </c>
    </row>
    <row r="159" spans="2:13">
      <c r="B159" s="17" t="str">
        <f>IFERROR(INDEX('Detalles movimientos'!C$5:C$1000, MATCH(147, 'Detalles movimientos'!$R$5:$R$1000, 0)), "")</f>
        <v/>
      </c>
      <c r="C159" s="18" t="str">
        <f>IFERROR(INDEX('Detalles movimientos'!D$5:D$1000, MATCH(147, 'Detalles movimientos'!$R$5:$R$1000, 0)), "")</f>
        <v/>
      </c>
      <c r="D159" s="19" t="str">
        <f>IFERROR(INDEX('Detalles movimientos'!E$5:E$1000, MATCH(147, 'Detalles movimientos'!$R$5:$R$1000, 0)), "")</f>
        <v/>
      </c>
      <c r="E159" s="19" t="str">
        <f>IFERROR(INDEX('Detalles movimientos'!F$5:F$1000, MATCH(147, 'Detalles movimientos'!$R$5:$R$1000, 0)), "")</f>
        <v/>
      </c>
      <c r="F159" s="18" t="str">
        <f>IFERROR(INDEX('Detalles movimientos'!G$5:G$1000, MATCH(147, 'Detalles movimientos'!$R$5:$R$1000, 0)), "")</f>
        <v/>
      </c>
      <c r="G159" s="20" t="str">
        <f>IFERROR(INDEX('Detalles movimientos'!H$5:H$1000, MATCH(147, 'Detalles movimientos'!$R$5:$R$1000, 0)), "")</f>
        <v/>
      </c>
      <c r="H159" s="21" t="str">
        <f>IFERROR(INDEX('Detalles movimientos'!I$5:I$1000, MATCH(147, 'Detalles movimientos'!$R$5:$R$1000, 0)), "")</f>
        <v/>
      </c>
      <c r="I159" s="20" t="str">
        <f>IFERROR(INDEX('Detalles movimientos'!K$5:K$1000, MATCH(147, 'Detalles movimientos'!$R$5:$R$1000, 0)), "")</f>
        <v/>
      </c>
      <c r="J159" s="19" t="str">
        <f>IFERROR(INDEX('Detalles movimientos'!L$5:L$1000, MATCH(147, 'Detalles movimientos'!$R$5:$R$1000, 0)), "")</f>
        <v/>
      </c>
      <c r="K159" s="20" t="str">
        <f>IFERROR(INDEX('Detalles movimientos'!M$5:M$1000, MATCH(147, 'Detalles movimientos'!$R$5:$R$1000, 0)), "")</f>
        <v/>
      </c>
      <c r="L159" s="18" t="str">
        <f>IFERROR(INDEX('Detalles movimientos'!N$5:N$1000, MATCH(147, 'Detalles movimientos'!$R$5:$R$1000, 0)), "")</f>
        <v/>
      </c>
      <c r="M159" s="18" t="str">
        <f>IFERROR(INDEX('Detalles movimientos'!Q$5:Q$1000, MATCH(147, 'Detalles movimientos'!$R$5:$R$1000, 0)), "")</f>
        <v/>
      </c>
    </row>
    <row r="160" spans="2:13">
      <c r="B160" s="17" t="str">
        <f>IFERROR(INDEX('Detalles movimientos'!C$5:C$1000, MATCH(148, 'Detalles movimientos'!$R$5:$R$1000, 0)), "")</f>
        <v/>
      </c>
      <c r="C160" s="18" t="str">
        <f>IFERROR(INDEX('Detalles movimientos'!D$5:D$1000, MATCH(148, 'Detalles movimientos'!$R$5:$R$1000, 0)), "")</f>
        <v/>
      </c>
      <c r="D160" s="19" t="str">
        <f>IFERROR(INDEX('Detalles movimientos'!E$5:E$1000, MATCH(148, 'Detalles movimientos'!$R$5:$R$1000, 0)), "")</f>
        <v/>
      </c>
      <c r="E160" s="19" t="str">
        <f>IFERROR(INDEX('Detalles movimientos'!F$5:F$1000, MATCH(148, 'Detalles movimientos'!$R$5:$R$1000, 0)), "")</f>
        <v/>
      </c>
      <c r="F160" s="18" t="str">
        <f>IFERROR(INDEX('Detalles movimientos'!G$5:G$1000, MATCH(148, 'Detalles movimientos'!$R$5:$R$1000, 0)), "")</f>
        <v/>
      </c>
      <c r="G160" s="20" t="str">
        <f>IFERROR(INDEX('Detalles movimientos'!H$5:H$1000, MATCH(148, 'Detalles movimientos'!$R$5:$R$1000, 0)), "")</f>
        <v/>
      </c>
      <c r="H160" s="21" t="str">
        <f>IFERROR(INDEX('Detalles movimientos'!I$5:I$1000, MATCH(148, 'Detalles movimientos'!$R$5:$R$1000, 0)), "")</f>
        <v/>
      </c>
      <c r="I160" s="20" t="str">
        <f>IFERROR(INDEX('Detalles movimientos'!K$5:K$1000, MATCH(148, 'Detalles movimientos'!$R$5:$R$1000, 0)), "")</f>
        <v/>
      </c>
      <c r="J160" s="19" t="str">
        <f>IFERROR(INDEX('Detalles movimientos'!L$5:L$1000, MATCH(148, 'Detalles movimientos'!$R$5:$R$1000, 0)), "")</f>
        <v/>
      </c>
      <c r="K160" s="20" t="str">
        <f>IFERROR(INDEX('Detalles movimientos'!M$5:M$1000, MATCH(148, 'Detalles movimientos'!$R$5:$R$1000, 0)), "")</f>
        <v/>
      </c>
      <c r="L160" s="18" t="str">
        <f>IFERROR(INDEX('Detalles movimientos'!N$5:N$1000, MATCH(148, 'Detalles movimientos'!$R$5:$R$1000, 0)), "")</f>
        <v/>
      </c>
      <c r="M160" s="18" t="str">
        <f>IFERROR(INDEX('Detalles movimientos'!Q$5:Q$1000, MATCH(148, 'Detalles movimientos'!$R$5:$R$1000, 0)), "")</f>
        <v/>
      </c>
    </row>
    <row r="161" spans="2:13">
      <c r="B161" s="17" t="str">
        <f>IFERROR(INDEX('Detalles movimientos'!C$5:C$1000, MATCH(149, 'Detalles movimientos'!$R$5:$R$1000, 0)), "")</f>
        <v/>
      </c>
      <c r="C161" s="18" t="str">
        <f>IFERROR(INDEX('Detalles movimientos'!D$5:D$1000, MATCH(149, 'Detalles movimientos'!$R$5:$R$1000, 0)), "")</f>
        <v/>
      </c>
      <c r="D161" s="19" t="str">
        <f>IFERROR(INDEX('Detalles movimientos'!E$5:E$1000, MATCH(149, 'Detalles movimientos'!$R$5:$R$1000, 0)), "")</f>
        <v/>
      </c>
      <c r="E161" s="19" t="str">
        <f>IFERROR(INDEX('Detalles movimientos'!F$5:F$1000, MATCH(149, 'Detalles movimientos'!$R$5:$R$1000, 0)), "")</f>
        <v/>
      </c>
      <c r="F161" s="18" t="str">
        <f>IFERROR(INDEX('Detalles movimientos'!G$5:G$1000, MATCH(149, 'Detalles movimientos'!$R$5:$R$1000, 0)), "")</f>
        <v/>
      </c>
      <c r="G161" s="20" t="str">
        <f>IFERROR(INDEX('Detalles movimientos'!H$5:H$1000, MATCH(149, 'Detalles movimientos'!$R$5:$R$1000, 0)), "")</f>
        <v/>
      </c>
      <c r="H161" s="21" t="str">
        <f>IFERROR(INDEX('Detalles movimientos'!I$5:I$1000, MATCH(149, 'Detalles movimientos'!$R$5:$R$1000, 0)), "")</f>
        <v/>
      </c>
      <c r="I161" s="20" t="str">
        <f>IFERROR(INDEX('Detalles movimientos'!K$5:K$1000, MATCH(149, 'Detalles movimientos'!$R$5:$R$1000, 0)), "")</f>
        <v/>
      </c>
      <c r="J161" s="19" t="str">
        <f>IFERROR(INDEX('Detalles movimientos'!L$5:L$1000, MATCH(149, 'Detalles movimientos'!$R$5:$R$1000, 0)), "")</f>
        <v/>
      </c>
      <c r="K161" s="20" t="str">
        <f>IFERROR(INDEX('Detalles movimientos'!M$5:M$1000, MATCH(149, 'Detalles movimientos'!$R$5:$R$1000, 0)), "")</f>
        <v/>
      </c>
      <c r="L161" s="18" t="str">
        <f>IFERROR(INDEX('Detalles movimientos'!N$5:N$1000, MATCH(149, 'Detalles movimientos'!$R$5:$R$1000, 0)), "")</f>
        <v/>
      </c>
      <c r="M161" s="18" t="str">
        <f>IFERROR(INDEX('Detalles movimientos'!Q$5:Q$1000, MATCH(149, 'Detalles movimientos'!$R$5:$R$1000,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3" width="15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0</v>
      </c>
    </row>
    <row r="3" spans="2:13">
      <c r="B3" s="15" t="s">
        <v>1</v>
      </c>
    </row>
    <row r="5" spans="2:13">
      <c r="C5" s="36" t="s">
        <v>3</v>
      </c>
      <c r="H5" s="45" t="s">
        <v>5</v>
      </c>
      <c r="I5" s="46"/>
    </row>
    <row r="6" spans="2:13" ht="24">
      <c r="C6" s="33">
        <f>SUMIFS('Detalles movimientos'!J$5:J$1000, 'Detalles movimientos'!F$5:F$1000, "Ignacio")</f>
        <v>16564</v>
      </c>
      <c r="H6" s="41">
        <f>COUNTIFS('Detalles movimientos'!F$5:F$1000, "Ignacio")</f>
        <v>4</v>
      </c>
      <c r="I6" s="42"/>
    </row>
    <row r="7" spans="2:13"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movimientos'!$S$5:$S$1000, 0)), "")</f>
        <v>46230</v>
      </c>
      <c r="C10" s="18" t="str">
        <f>IFERROR(INDEX('Detalles movimientos'!D$5:D$1000, MATCH(1, 'Detalles movimientos'!$S$5:$S$1000, 0)), "")</f>
        <v>Ignacio Guerrero</v>
      </c>
      <c r="D10" s="19" t="str">
        <f>IFERROR(INDEX('Detalles movimientos'!E$5:E$1000, MATCH(1, 'Detalles movimientos'!$S$5:$S$1000, 0)), "")</f>
        <v>VJYL61</v>
      </c>
      <c r="E10" s="19" t="str">
        <f>IFERROR(INDEX('Detalles movimientos'!F$5:F$1000, MATCH(1, 'Detalles movimientos'!$S$5:$S$1000, 0)), "")</f>
        <v>Ignacio</v>
      </c>
      <c r="F10" s="18">
        <f>IFERROR(INDEX('Detalles movimientos'!G$5:G$1000, MATCH(1, 'Detalles movimientos'!$S$5:$S$1000, 0)), "")</f>
        <v>0</v>
      </c>
      <c r="G10" s="20">
        <f>IFERROR(INDEX('Detalles movimientos'!H$5:H$1000, MATCH(1, 'Detalles movimientos'!$S$5:$S$1000, 0)), "")</f>
        <v>0</v>
      </c>
      <c r="H10" s="21">
        <f>IFERROR(INDEX('Detalles movimientos'!I$5:I$1000, MATCH(1, 'Detalles movimientos'!$S$5:$S$1000, 0)), "")</f>
        <v>0</v>
      </c>
      <c r="I10" s="20">
        <f>IFERROR(INDEX('Detalles movimientos'!K$5:K$1000, MATCH(1, 'Detalles movimientos'!$S$5:$S$1000, 0)), "")</f>
        <v>0</v>
      </c>
      <c r="J10" s="19" t="str">
        <f>IFERROR(INDEX('Detalles movimientos'!L$5:L$1000, MATCH(1, 'Detalles movimientos'!$S$5:$S$1000, 0)), "")</f>
        <v>Extraccion</v>
      </c>
      <c r="K10" s="20" t="str">
        <f>IFERROR(INDEX('Detalles movimientos'!M$5:M$1000, MATCH(1, 'Detalles movimientos'!$S$5:$S$1000, 0)), "")</f>
        <v/>
      </c>
      <c r="L10" s="18" t="str">
        <f>IFERROR(INDEX('Detalles movimientos'!N$5:N$1000, MATCH(1, 'Detalles movimientos'!$S$5:$S$1000, 0)), "")</f>
        <v>Extraccion</v>
      </c>
      <c r="M10" s="18">
        <f>IFERROR(INDEX('Detalles movimientos'!Q$5:Q$1000, MATCH(1, 'Detalles movimientos'!$S$5:$S$1000, 0)), "")</f>
        <v>0</v>
      </c>
    </row>
    <row r="11" spans="2:13">
      <c r="B11" s="17">
        <f>IFERROR(INDEX('Detalles movimientos'!C$5:C$1000, MATCH(2, 'Detalles movimientos'!$S$5:$S$1000, 0)), "")</f>
        <v>46238</v>
      </c>
      <c r="C11" s="18" t="str">
        <f>IFERROR(INDEX('Detalles movimientos'!D$5:D$1000, MATCH(2, 'Detalles movimientos'!$S$5:$S$1000, 0)), "")</f>
        <v>Ignacio Guerrero</v>
      </c>
      <c r="D11" s="19" t="str">
        <f>IFERROR(INDEX('Detalles movimientos'!E$5:E$1000, MATCH(2, 'Detalles movimientos'!$S$5:$S$1000, 0)), "")</f>
        <v>VJYL61</v>
      </c>
      <c r="E11" s="19" t="str">
        <f>IFERROR(INDEX('Detalles movimientos'!F$5:F$1000, MATCH(2, 'Detalles movimientos'!$S$5:$S$1000, 0)), "")</f>
        <v>Ignacio</v>
      </c>
      <c r="F11" s="18">
        <f>IFERROR(INDEX('Detalles movimientos'!G$5:G$1000, MATCH(2, 'Detalles movimientos'!$S$5:$S$1000, 0)), "")</f>
        <v>0</v>
      </c>
      <c r="G11" s="20">
        <f>IFERROR(INDEX('Detalles movimientos'!H$5:H$1000, MATCH(2, 'Detalles movimientos'!$S$5:$S$1000, 0)), "")</f>
        <v>0</v>
      </c>
      <c r="H11" s="21">
        <f>IFERROR(INDEX('Detalles movimientos'!I$5:I$1000, MATCH(2, 'Detalles movimientos'!$S$5:$S$1000, 0)), "")</f>
        <v>0</v>
      </c>
      <c r="I11" s="20">
        <f>IFERROR(INDEX('Detalles movimientos'!K$5:K$1000, MATCH(2, 'Detalles movimientos'!$S$5:$S$1000, 0)), "")</f>
        <v>0</v>
      </c>
      <c r="J11" s="19" t="str">
        <f>IFERROR(INDEX('Detalles movimientos'!L$5:L$1000, MATCH(2, 'Detalles movimientos'!$S$5:$S$1000, 0)), "")</f>
        <v>Extraccion</v>
      </c>
      <c r="K11" s="20" t="str">
        <f>IFERROR(INDEX('Detalles movimientos'!M$5:M$1000, MATCH(2, 'Detalles movimientos'!$S$5:$S$1000, 0)), "")</f>
        <v/>
      </c>
      <c r="L11" s="18" t="str">
        <f>IFERROR(INDEX('Detalles movimientos'!N$5:N$1000, MATCH(2, 'Detalles movimientos'!$S$5:$S$1000, 0)), "")</f>
        <v>Extraccion</v>
      </c>
      <c r="M11" s="18">
        <f>IFERROR(INDEX('Detalles movimientos'!Q$5:Q$1000, MATCH(2, 'Detalles movimientos'!$S$5:$S$1000, 0)), "")</f>
        <v>0</v>
      </c>
    </row>
    <row r="12" spans="2:13">
      <c r="B12" s="17">
        <f>IFERROR(INDEX('Detalles movimientos'!C$5:C$1000, MATCH(3, 'Detalles movimientos'!$S$5:$S$1000, 0)), "")</f>
        <v>46242</v>
      </c>
      <c r="C12" s="18" t="str">
        <f>IFERROR(INDEX('Detalles movimientos'!D$5:D$1000, MATCH(3, 'Detalles movimientos'!$S$5:$S$1000, 0)), "")</f>
        <v>Ignacio Guerrero</v>
      </c>
      <c r="D12" s="19" t="str">
        <f>IFERROR(INDEX('Detalles movimientos'!E$5:E$1000, MATCH(3, 'Detalles movimientos'!$S$5:$S$1000, 0)), "")</f>
        <v>VJYL61</v>
      </c>
      <c r="E12" s="19" t="str">
        <f>IFERROR(INDEX('Detalles movimientos'!F$5:F$1000, MATCH(3, 'Detalles movimientos'!$S$5:$S$1000, 0)), "")</f>
        <v>Ignacio</v>
      </c>
      <c r="F12" s="18">
        <f>IFERROR(INDEX('Detalles movimientos'!G$5:G$1000, MATCH(3, 'Detalles movimientos'!$S$5:$S$1000, 0)), "")</f>
        <v>0</v>
      </c>
      <c r="G12" s="20">
        <f>IFERROR(INDEX('Detalles movimientos'!H$5:H$1000, MATCH(3, 'Detalles movimientos'!$S$5:$S$1000, 0)), "")</f>
        <v>0</v>
      </c>
      <c r="H12" s="21">
        <f>IFERROR(INDEX('Detalles movimientos'!I$5:I$1000, MATCH(3, 'Detalles movimientos'!$S$5:$S$1000, 0)), "")</f>
        <v>0</v>
      </c>
      <c r="I12" s="20">
        <f>IFERROR(INDEX('Detalles movimientos'!K$5:K$1000, MATCH(3, 'Detalles movimientos'!$S$5:$S$1000, 0)), "")</f>
        <v>0</v>
      </c>
      <c r="J12" s="19" t="str">
        <f>IFERROR(INDEX('Detalles movimientos'!L$5:L$1000, MATCH(3, 'Detalles movimientos'!$S$5:$S$1000, 0)), "")</f>
        <v>Extraccion</v>
      </c>
      <c r="K12" s="20" t="str">
        <f>IFERROR(INDEX('Detalles movimientos'!M$5:M$1000, MATCH(3, 'Detalles movimientos'!$S$5:$S$1000, 0)), "")</f>
        <v/>
      </c>
      <c r="L12" s="18" t="str">
        <f>IFERROR(INDEX('Detalles movimientos'!N$5:N$1000, MATCH(3, 'Detalles movimientos'!$S$5:$S$1000, 0)), "")</f>
        <v>Extraccion</v>
      </c>
      <c r="M12" s="18">
        <f>IFERROR(INDEX('Detalles movimientos'!Q$5:Q$1000, MATCH(3, 'Detalles movimientos'!$S$5:$S$1000, 0)), "")</f>
        <v>0</v>
      </c>
    </row>
    <row r="13" spans="2:13">
      <c r="B13" s="17">
        <f>IFERROR(INDEX('Detalles movimientos'!C$5:C$1000, MATCH(4, 'Detalles movimientos'!$S$5:$S$1000, 0)), "")</f>
        <v>46247</v>
      </c>
      <c r="C13" s="18" t="str">
        <f>IFERROR(INDEX('Detalles movimientos'!D$5:D$1000, MATCH(4, 'Detalles movimientos'!$S$5:$S$1000, 0)), "")</f>
        <v>Ignacio Guerrero</v>
      </c>
      <c r="D13" s="19" t="str">
        <f>IFERROR(INDEX('Detalles movimientos'!E$5:E$1000, MATCH(4, 'Detalles movimientos'!$S$5:$S$1000, 0)), "")</f>
        <v>VJYL42</v>
      </c>
      <c r="E13" s="19" t="str">
        <f>IFERROR(INDEX('Detalles movimientos'!F$5:F$1000, MATCH(4, 'Detalles movimientos'!$S$5:$S$1000, 0)), "")</f>
        <v>Ignacio</v>
      </c>
      <c r="F13" s="18">
        <f>IFERROR(INDEX('Detalles movimientos'!G$5:G$1000, MATCH(4, 'Detalles movimientos'!$S$5:$S$1000, 0)), "")</f>
        <v>0</v>
      </c>
      <c r="G13" s="20">
        <f>IFERROR(INDEX('Detalles movimientos'!H$5:H$1000, MATCH(4, 'Detalles movimientos'!$S$5:$S$1000, 0)), "")</f>
        <v>0</v>
      </c>
      <c r="H13" s="21">
        <f>IFERROR(INDEX('Detalles movimientos'!I$5:I$1000, MATCH(4, 'Detalles movimientos'!$S$5:$S$1000, 0)), "")</f>
        <v>0</v>
      </c>
      <c r="I13" s="20">
        <f>IFERROR(INDEX('Detalles movimientos'!K$5:K$1000, MATCH(4, 'Detalles movimientos'!$S$5:$S$1000, 0)), "")</f>
        <v>0</v>
      </c>
      <c r="J13" s="19" t="str">
        <f>IFERROR(INDEX('Detalles movimientos'!L$5:L$1000, MATCH(4, 'Detalles movimientos'!$S$5:$S$1000, 0)), "")</f>
        <v>Extraccion</v>
      </c>
      <c r="K13" s="20" t="str">
        <f>IFERROR(INDEX('Detalles movimientos'!M$5:M$1000, MATCH(4, 'Detalles movimientos'!$S$5:$S$1000, 0)), "")</f>
        <v/>
      </c>
      <c r="L13" s="18" t="str">
        <f>IFERROR(INDEX('Detalles movimientos'!N$5:N$1000, MATCH(4, 'Detalles movimientos'!$S$5:$S$1000, 0)), "")</f>
        <v>Extraccion</v>
      </c>
      <c r="M13" s="18">
        <f>IFERROR(INDEX('Detalles movimientos'!Q$5:Q$1000, MATCH(4, 'Detalles movimientos'!$S$5:$S$1000, 0)), "")</f>
        <v>0</v>
      </c>
    </row>
    <row r="14" spans="2:13">
      <c r="B14" s="17" t="str">
        <f>IFERROR(INDEX('Detalles movimientos'!C$5:C$1000, MATCH(5, 'Detalles movimientos'!$S$5:$S$1000, 0)), "")</f>
        <v/>
      </c>
      <c r="C14" s="18" t="str">
        <f>IFERROR(INDEX('Detalles movimientos'!D$5:D$1000, MATCH(5, 'Detalles movimientos'!$S$5:$S$1000, 0)), "")</f>
        <v/>
      </c>
      <c r="D14" s="19" t="str">
        <f>IFERROR(INDEX('Detalles movimientos'!E$5:E$1000, MATCH(5, 'Detalles movimientos'!$S$5:$S$1000, 0)), "")</f>
        <v/>
      </c>
      <c r="E14" s="19" t="str">
        <f>IFERROR(INDEX('Detalles movimientos'!F$5:F$1000, MATCH(5, 'Detalles movimientos'!$S$5:$S$1000, 0)), "")</f>
        <v/>
      </c>
      <c r="F14" s="18" t="str">
        <f>IFERROR(INDEX('Detalles movimientos'!G$5:G$1000, MATCH(5, 'Detalles movimientos'!$S$5:$S$1000, 0)), "")</f>
        <v/>
      </c>
      <c r="G14" s="20" t="str">
        <f>IFERROR(INDEX('Detalles movimientos'!H$5:H$1000, MATCH(5, 'Detalles movimientos'!$S$5:$S$1000, 0)), "")</f>
        <v/>
      </c>
      <c r="H14" s="21" t="str">
        <f>IFERROR(INDEX('Detalles movimientos'!I$5:I$1000, MATCH(5, 'Detalles movimientos'!$S$5:$S$1000, 0)), "")</f>
        <v/>
      </c>
      <c r="I14" s="20" t="str">
        <f>IFERROR(INDEX('Detalles movimientos'!K$5:K$1000, MATCH(5, 'Detalles movimientos'!$S$5:$S$1000, 0)), "")</f>
        <v/>
      </c>
      <c r="J14" s="19" t="str">
        <f>IFERROR(INDEX('Detalles movimientos'!L$5:L$1000, MATCH(5, 'Detalles movimientos'!$S$5:$S$1000, 0)), "")</f>
        <v/>
      </c>
      <c r="K14" s="20" t="str">
        <f>IFERROR(INDEX('Detalles movimientos'!M$5:M$1000, MATCH(5, 'Detalles movimientos'!$S$5:$S$1000, 0)), "")</f>
        <v/>
      </c>
      <c r="L14" s="18" t="str">
        <f>IFERROR(INDEX('Detalles movimientos'!N$5:N$1000, MATCH(5, 'Detalles movimientos'!$S$5:$S$1000, 0)), "")</f>
        <v/>
      </c>
      <c r="M14" s="18" t="str">
        <f>IFERROR(INDEX('Detalles movimientos'!Q$5:Q$1000, MATCH(5, 'Detalles movimientos'!$S$5:$S$1000, 0)), "")</f>
        <v/>
      </c>
    </row>
    <row r="15" spans="2:13">
      <c r="B15" s="17" t="str">
        <f>IFERROR(INDEX('Detalles movimientos'!C$5:C$1000, MATCH(6, 'Detalles movimientos'!$S$5:$S$1000, 0)), "")</f>
        <v/>
      </c>
      <c r="C15" s="18" t="str">
        <f>IFERROR(INDEX('Detalles movimientos'!D$5:D$1000, MATCH(6, 'Detalles movimientos'!$S$5:$S$1000, 0)), "")</f>
        <v/>
      </c>
      <c r="D15" s="19" t="str">
        <f>IFERROR(INDEX('Detalles movimientos'!E$5:E$1000, MATCH(6, 'Detalles movimientos'!$S$5:$S$1000, 0)), "")</f>
        <v/>
      </c>
      <c r="E15" s="19" t="str">
        <f>IFERROR(INDEX('Detalles movimientos'!F$5:F$1000, MATCH(6, 'Detalles movimientos'!$S$5:$S$1000, 0)), "")</f>
        <v/>
      </c>
      <c r="F15" s="18" t="str">
        <f>IFERROR(INDEX('Detalles movimientos'!G$5:G$1000, MATCH(6, 'Detalles movimientos'!$S$5:$S$1000, 0)), "")</f>
        <v/>
      </c>
      <c r="G15" s="20" t="str">
        <f>IFERROR(INDEX('Detalles movimientos'!H$5:H$1000, MATCH(6, 'Detalles movimientos'!$S$5:$S$1000, 0)), "")</f>
        <v/>
      </c>
      <c r="H15" s="21" t="str">
        <f>IFERROR(INDEX('Detalles movimientos'!I$5:I$1000, MATCH(6, 'Detalles movimientos'!$S$5:$S$1000, 0)), "")</f>
        <v/>
      </c>
      <c r="I15" s="20" t="str">
        <f>IFERROR(INDEX('Detalles movimientos'!K$5:K$1000, MATCH(6, 'Detalles movimientos'!$S$5:$S$1000, 0)), "")</f>
        <v/>
      </c>
      <c r="J15" s="19" t="str">
        <f>IFERROR(INDEX('Detalles movimientos'!L$5:L$1000, MATCH(6, 'Detalles movimientos'!$S$5:$S$1000, 0)), "")</f>
        <v/>
      </c>
      <c r="K15" s="20" t="str">
        <f>IFERROR(INDEX('Detalles movimientos'!M$5:M$1000, MATCH(6, 'Detalles movimientos'!$S$5:$S$1000, 0)), "")</f>
        <v/>
      </c>
      <c r="L15" s="18" t="str">
        <f>IFERROR(INDEX('Detalles movimientos'!N$5:N$1000, MATCH(6, 'Detalles movimientos'!$S$5:$S$1000, 0)), "")</f>
        <v/>
      </c>
      <c r="M15" s="18" t="str">
        <f>IFERROR(INDEX('Detalles movimientos'!Q$5:Q$1000, MATCH(6, 'Detalles movimientos'!$S$5:$S$1000, 0)), "")</f>
        <v/>
      </c>
    </row>
    <row r="16" spans="2:13">
      <c r="B16" s="17" t="str">
        <f>IFERROR(INDEX('Detalles movimientos'!C$5:C$1000, MATCH(7, 'Detalles movimientos'!$S$5:$S$1000, 0)), "")</f>
        <v/>
      </c>
      <c r="C16" s="18" t="str">
        <f>IFERROR(INDEX('Detalles movimientos'!D$5:D$1000, MATCH(7, 'Detalles movimientos'!$S$5:$S$1000, 0)), "")</f>
        <v/>
      </c>
      <c r="D16" s="19" t="str">
        <f>IFERROR(INDEX('Detalles movimientos'!E$5:E$1000, MATCH(7, 'Detalles movimientos'!$S$5:$S$1000, 0)), "")</f>
        <v/>
      </c>
      <c r="E16" s="19" t="str">
        <f>IFERROR(INDEX('Detalles movimientos'!F$5:F$1000, MATCH(7, 'Detalles movimientos'!$S$5:$S$1000, 0)), "")</f>
        <v/>
      </c>
      <c r="F16" s="18" t="str">
        <f>IFERROR(INDEX('Detalles movimientos'!G$5:G$1000, MATCH(7, 'Detalles movimientos'!$S$5:$S$1000, 0)), "")</f>
        <v/>
      </c>
      <c r="G16" s="20" t="str">
        <f>IFERROR(INDEX('Detalles movimientos'!H$5:H$1000, MATCH(7, 'Detalles movimientos'!$S$5:$S$1000, 0)), "")</f>
        <v/>
      </c>
      <c r="H16" s="21" t="str">
        <f>IFERROR(INDEX('Detalles movimientos'!I$5:I$1000, MATCH(7, 'Detalles movimientos'!$S$5:$S$1000, 0)), "")</f>
        <v/>
      </c>
      <c r="I16" s="20" t="str">
        <f>IFERROR(INDEX('Detalles movimientos'!K$5:K$1000, MATCH(7, 'Detalles movimientos'!$S$5:$S$1000, 0)), "")</f>
        <v/>
      </c>
      <c r="J16" s="19" t="str">
        <f>IFERROR(INDEX('Detalles movimientos'!L$5:L$1000, MATCH(7, 'Detalles movimientos'!$S$5:$S$1000, 0)), "")</f>
        <v/>
      </c>
      <c r="K16" s="20" t="str">
        <f>IFERROR(INDEX('Detalles movimientos'!M$5:M$1000, MATCH(7, 'Detalles movimientos'!$S$5:$S$1000, 0)), "")</f>
        <v/>
      </c>
      <c r="L16" s="18" t="str">
        <f>IFERROR(INDEX('Detalles movimientos'!N$5:N$1000, MATCH(7, 'Detalles movimientos'!$S$5:$S$1000, 0)), "")</f>
        <v/>
      </c>
      <c r="M16" s="18" t="str">
        <f>IFERROR(INDEX('Detalles movimientos'!Q$5:Q$1000, MATCH(7, 'Detalles movimientos'!$S$5:$S$1000, 0)), "")</f>
        <v/>
      </c>
    </row>
    <row r="17" spans="2:13">
      <c r="B17" s="17" t="str">
        <f>IFERROR(INDEX('Detalles movimientos'!C$5:C$1000, MATCH(8, 'Detalles movimientos'!$S$5:$S$1000, 0)), "")</f>
        <v/>
      </c>
      <c r="C17" s="18" t="str">
        <f>IFERROR(INDEX('Detalles movimientos'!D$5:D$1000, MATCH(8, 'Detalles movimientos'!$S$5:$S$1000, 0)), "")</f>
        <v/>
      </c>
      <c r="D17" s="19" t="str">
        <f>IFERROR(INDEX('Detalles movimientos'!E$5:E$1000, MATCH(8, 'Detalles movimientos'!$S$5:$S$1000, 0)), "")</f>
        <v/>
      </c>
      <c r="E17" s="19" t="str">
        <f>IFERROR(INDEX('Detalles movimientos'!F$5:F$1000, MATCH(8, 'Detalles movimientos'!$S$5:$S$1000, 0)), "")</f>
        <v/>
      </c>
      <c r="F17" s="18" t="str">
        <f>IFERROR(INDEX('Detalles movimientos'!G$5:G$1000, MATCH(8, 'Detalles movimientos'!$S$5:$S$1000, 0)), "")</f>
        <v/>
      </c>
      <c r="G17" s="20" t="str">
        <f>IFERROR(INDEX('Detalles movimientos'!H$5:H$1000, MATCH(8, 'Detalles movimientos'!$S$5:$S$1000, 0)), "")</f>
        <v/>
      </c>
      <c r="H17" s="21" t="str">
        <f>IFERROR(INDEX('Detalles movimientos'!I$5:I$1000, MATCH(8, 'Detalles movimientos'!$S$5:$S$1000, 0)), "")</f>
        <v/>
      </c>
      <c r="I17" s="20" t="str">
        <f>IFERROR(INDEX('Detalles movimientos'!K$5:K$1000, MATCH(8, 'Detalles movimientos'!$S$5:$S$1000, 0)), "")</f>
        <v/>
      </c>
      <c r="J17" s="19" t="str">
        <f>IFERROR(INDEX('Detalles movimientos'!L$5:L$1000, MATCH(8, 'Detalles movimientos'!$S$5:$S$1000, 0)), "")</f>
        <v/>
      </c>
      <c r="K17" s="20" t="str">
        <f>IFERROR(INDEX('Detalles movimientos'!M$5:M$1000, MATCH(8, 'Detalles movimientos'!$S$5:$S$1000, 0)), "")</f>
        <v/>
      </c>
      <c r="L17" s="18" t="str">
        <f>IFERROR(INDEX('Detalles movimientos'!N$5:N$1000, MATCH(8, 'Detalles movimientos'!$S$5:$S$1000, 0)), "")</f>
        <v/>
      </c>
      <c r="M17" s="18" t="str">
        <f>IFERROR(INDEX('Detalles movimientos'!Q$5:Q$1000, MATCH(8, 'Detalles movimientos'!$S$5:$S$1000, 0)), "")</f>
        <v/>
      </c>
    </row>
    <row r="18" spans="2:13">
      <c r="B18" s="17" t="str">
        <f>IFERROR(INDEX('Detalles movimientos'!C$5:C$1000, MATCH(9, 'Detalles movimientos'!$S$5:$S$1000, 0)), "")</f>
        <v/>
      </c>
      <c r="C18" s="18" t="str">
        <f>IFERROR(INDEX('Detalles movimientos'!D$5:D$1000, MATCH(9, 'Detalles movimientos'!$S$5:$S$1000, 0)), "")</f>
        <v/>
      </c>
      <c r="D18" s="19" t="str">
        <f>IFERROR(INDEX('Detalles movimientos'!E$5:E$1000, MATCH(9, 'Detalles movimientos'!$S$5:$S$1000, 0)), "")</f>
        <v/>
      </c>
      <c r="E18" s="19" t="str">
        <f>IFERROR(INDEX('Detalles movimientos'!F$5:F$1000, MATCH(9, 'Detalles movimientos'!$S$5:$S$1000, 0)), "")</f>
        <v/>
      </c>
      <c r="F18" s="18" t="str">
        <f>IFERROR(INDEX('Detalles movimientos'!G$5:G$1000, MATCH(9, 'Detalles movimientos'!$S$5:$S$1000, 0)), "")</f>
        <v/>
      </c>
      <c r="G18" s="20" t="str">
        <f>IFERROR(INDEX('Detalles movimientos'!H$5:H$1000, MATCH(9, 'Detalles movimientos'!$S$5:$S$1000, 0)), "")</f>
        <v/>
      </c>
      <c r="H18" s="21" t="str">
        <f>IFERROR(INDEX('Detalles movimientos'!I$5:I$1000, MATCH(9, 'Detalles movimientos'!$S$5:$S$1000, 0)), "")</f>
        <v/>
      </c>
      <c r="I18" s="20" t="str">
        <f>IFERROR(INDEX('Detalles movimientos'!K$5:K$1000, MATCH(9, 'Detalles movimientos'!$S$5:$S$1000, 0)), "")</f>
        <v/>
      </c>
      <c r="J18" s="19" t="str">
        <f>IFERROR(INDEX('Detalles movimientos'!L$5:L$1000, MATCH(9, 'Detalles movimientos'!$S$5:$S$1000, 0)), "")</f>
        <v/>
      </c>
      <c r="K18" s="20" t="str">
        <f>IFERROR(INDEX('Detalles movimientos'!M$5:M$1000, MATCH(9, 'Detalles movimientos'!$S$5:$S$1000, 0)), "")</f>
        <v/>
      </c>
      <c r="L18" s="18" t="str">
        <f>IFERROR(INDEX('Detalles movimientos'!N$5:N$1000, MATCH(9, 'Detalles movimientos'!$S$5:$S$1000, 0)), "")</f>
        <v/>
      </c>
      <c r="M18" s="18" t="str">
        <f>IFERROR(INDEX('Detalles movimientos'!Q$5:Q$1000, MATCH(9, 'Detalles movimientos'!$S$5:$S$1000, 0)), "")</f>
        <v/>
      </c>
    </row>
    <row r="19" spans="2:13">
      <c r="B19" s="17" t="str">
        <f>IFERROR(INDEX('Detalles movimientos'!C$5:C$1000, MATCH(10, 'Detalles movimientos'!$S$5:$S$1000, 0)), "")</f>
        <v/>
      </c>
      <c r="C19" s="18" t="str">
        <f>IFERROR(INDEX('Detalles movimientos'!D$5:D$1000, MATCH(10, 'Detalles movimientos'!$S$5:$S$1000, 0)), "")</f>
        <v/>
      </c>
      <c r="D19" s="19" t="str">
        <f>IFERROR(INDEX('Detalles movimientos'!E$5:E$1000, MATCH(10, 'Detalles movimientos'!$S$5:$S$1000, 0)), "")</f>
        <v/>
      </c>
      <c r="E19" s="19" t="str">
        <f>IFERROR(INDEX('Detalles movimientos'!F$5:F$1000, MATCH(10, 'Detalles movimientos'!$S$5:$S$1000, 0)), "")</f>
        <v/>
      </c>
      <c r="F19" s="18" t="str">
        <f>IFERROR(INDEX('Detalles movimientos'!G$5:G$1000, MATCH(10, 'Detalles movimientos'!$S$5:$S$1000, 0)), "")</f>
        <v/>
      </c>
      <c r="G19" s="20" t="str">
        <f>IFERROR(INDEX('Detalles movimientos'!H$5:H$1000, MATCH(10, 'Detalles movimientos'!$S$5:$S$1000, 0)), "")</f>
        <v/>
      </c>
      <c r="H19" s="21" t="str">
        <f>IFERROR(INDEX('Detalles movimientos'!I$5:I$1000, MATCH(10, 'Detalles movimientos'!$S$5:$S$1000, 0)), "")</f>
        <v/>
      </c>
      <c r="I19" s="20" t="str">
        <f>IFERROR(INDEX('Detalles movimientos'!K$5:K$1000, MATCH(10, 'Detalles movimientos'!$S$5:$S$1000, 0)), "")</f>
        <v/>
      </c>
      <c r="J19" s="19" t="str">
        <f>IFERROR(INDEX('Detalles movimientos'!L$5:L$1000, MATCH(10, 'Detalles movimientos'!$S$5:$S$1000, 0)), "")</f>
        <v/>
      </c>
      <c r="K19" s="20" t="str">
        <f>IFERROR(INDEX('Detalles movimientos'!M$5:M$1000, MATCH(10, 'Detalles movimientos'!$S$5:$S$1000, 0)), "")</f>
        <v/>
      </c>
      <c r="L19" s="18" t="str">
        <f>IFERROR(INDEX('Detalles movimientos'!N$5:N$1000, MATCH(10, 'Detalles movimientos'!$S$5:$S$1000, 0)), "")</f>
        <v/>
      </c>
      <c r="M19" s="18" t="str">
        <f>IFERROR(INDEX('Detalles movimientos'!Q$5:Q$1000, MATCH(10, 'Detalles movimientos'!$S$5:$S$1000, 0)), "")</f>
        <v/>
      </c>
    </row>
    <row r="20" spans="2:13">
      <c r="B20" s="17" t="str">
        <f>IFERROR(INDEX('Detalles movimientos'!C$5:C$1000, MATCH(11, 'Detalles movimientos'!$S$5:$S$1000, 0)), "")</f>
        <v/>
      </c>
      <c r="C20" s="18" t="str">
        <f>IFERROR(INDEX('Detalles movimientos'!D$5:D$1000, MATCH(11, 'Detalles movimientos'!$S$5:$S$1000, 0)), "")</f>
        <v/>
      </c>
      <c r="D20" s="19" t="str">
        <f>IFERROR(INDEX('Detalles movimientos'!E$5:E$1000, MATCH(11, 'Detalles movimientos'!$S$5:$S$1000, 0)), "")</f>
        <v/>
      </c>
      <c r="E20" s="19" t="str">
        <f>IFERROR(INDEX('Detalles movimientos'!F$5:F$1000, MATCH(11, 'Detalles movimientos'!$S$5:$S$1000, 0)), "")</f>
        <v/>
      </c>
      <c r="F20" s="18" t="str">
        <f>IFERROR(INDEX('Detalles movimientos'!G$5:G$1000, MATCH(11, 'Detalles movimientos'!$S$5:$S$1000, 0)), "")</f>
        <v/>
      </c>
      <c r="G20" s="20" t="str">
        <f>IFERROR(INDEX('Detalles movimientos'!H$5:H$1000, MATCH(11, 'Detalles movimientos'!$S$5:$S$1000, 0)), "")</f>
        <v/>
      </c>
      <c r="H20" s="21" t="str">
        <f>IFERROR(INDEX('Detalles movimientos'!I$5:I$1000, MATCH(11, 'Detalles movimientos'!$S$5:$S$1000, 0)), "")</f>
        <v/>
      </c>
      <c r="I20" s="20" t="str">
        <f>IFERROR(INDEX('Detalles movimientos'!K$5:K$1000, MATCH(11, 'Detalles movimientos'!$S$5:$S$1000, 0)), "")</f>
        <v/>
      </c>
      <c r="J20" s="19" t="str">
        <f>IFERROR(INDEX('Detalles movimientos'!L$5:L$1000, MATCH(11, 'Detalles movimientos'!$S$5:$S$1000, 0)), "")</f>
        <v/>
      </c>
      <c r="K20" s="20" t="str">
        <f>IFERROR(INDEX('Detalles movimientos'!M$5:M$1000, MATCH(11, 'Detalles movimientos'!$S$5:$S$1000, 0)), "")</f>
        <v/>
      </c>
      <c r="L20" s="18" t="str">
        <f>IFERROR(INDEX('Detalles movimientos'!N$5:N$1000, MATCH(11, 'Detalles movimientos'!$S$5:$S$1000, 0)), "")</f>
        <v/>
      </c>
      <c r="M20" s="18" t="str">
        <f>IFERROR(INDEX('Detalles movimientos'!Q$5:Q$1000, MATCH(11, 'Detalles movimientos'!$S$5:$S$1000, 0)), "")</f>
        <v/>
      </c>
    </row>
    <row r="21" spans="2:13">
      <c r="B21" s="17" t="str">
        <f>IFERROR(INDEX('Detalles movimientos'!C$5:C$1000, MATCH(12, 'Detalles movimientos'!$S$5:$S$1000, 0)), "")</f>
        <v/>
      </c>
      <c r="C21" s="18" t="str">
        <f>IFERROR(INDEX('Detalles movimientos'!D$5:D$1000, MATCH(12, 'Detalles movimientos'!$S$5:$S$1000, 0)), "")</f>
        <v/>
      </c>
      <c r="D21" s="19" t="str">
        <f>IFERROR(INDEX('Detalles movimientos'!E$5:E$1000, MATCH(12, 'Detalles movimientos'!$S$5:$S$1000, 0)), "")</f>
        <v/>
      </c>
      <c r="E21" s="19" t="str">
        <f>IFERROR(INDEX('Detalles movimientos'!F$5:F$1000, MATCH(12, 'Detalles movimientos'!$S$5:$S$1000, 0)), "")</f>
        <v/>
      </c>
      <c r="F21" s="18" t="str">
        <f>IFERROR(INDEX('Detalles movimientos'!G$5:G$1000, MATCH(12, 'Detalles movimientos'!$S$5:$S$1000, 0)), "")</f>
        <v/>
      </c>
      <c r="G21" s="20" t="str">
        <f>IFERROR(INDEX('Detalles movimientos'!H$5:H$1000, MATCH(12, 'Detalles movimientos'!$S$5:$S$1000, 0)), "")</f>
        <v/>
      </c>
      <c r="H21" s="21" t="str">
        <f>IFERROR(INDEX('Detalles movimientos'!I$5:I$1000, MATCH(12, 'Detalles movimientos'!$S$5:$S$1000, 0)), "")</f>
        <v/>
      </c>
      <c r="I21" s="20" t="str">
        <f>IFERROR(INDEX('Detalles movimientos'!K$5:K$1000, MATCH(12, 'Detalles movimientos'!$S$5:$S$1000, 0)), "")</f>
        <v/>
      </c>
      <c r="J21" s="19" t="str">
        <f>IFERROR(INDEX('Detalles movimientos'!L$5:L$1000, MATCH(12, 'Detalles movimientos'!$S$5:$S$1000, 0)), "")</f>
        <v/>
      </c>
      <c r="K21" s="20" t="str">
        <f>IFERROR(INDEX('Detalles movimientos'!M$5:M$1000, MATCH(12, 'Detalles movimientos'!$S$5:$S$1000, 0)), "")</f>
        <v/>
      </c>
      <c r="L21" s="18" t="str">
        <f>IFERROR(INDEX('Detalles movimientos'!N$5:N$1000, MATCH(12, 'Detalles movimientos'!$S$5:$S$1000, 0)), "")</f>
        <v/>
      </c>
      <c r="M21" s="18" t="str">
        <f>IFERROR(INDEX('Detalles movimientos'!Q$5:Q$1000, MATCH(12, 'Detalles movimientos'!$S$5:$S$1000, 0)), "")</f>
        <v/>
      </c>
    </row>
    <row r="22" spans="2:13">
      <c r="B22" s="17" t="str">
        <f>IFERROR(INDEX('Detalles movimientos'!C$5:C$1000, MATCH(13, 'Detalles movimientos'!$S$5:$S$1000, 0)), "")</f>
        <v/>
      </c>
      <c r="C22" s="18" t="str">
        <f>IFERROR(INDEX('Detalles movimientos'!D$5:D$1000, MATCH(13, 'Detalles movimientos'!$S$5:$S$1000, 0)), "")</f>
        <v/>
      </c>
      <c r="D22" s="19" t="str">
        <f>IFERROR(INDEX('Detalles movimientos'!E$5:E$1000, MATCH(13, 'Detalles movimientos'!$S$5:$S$1000, 0)), "")</f>
        <v/>
      </c>
      <c r="E22" s="19" t="str">
        <f>IFERROR(INDEX('Detalles movimientos'!F$5:F$1000, MATCH(13, 'Detalles movimientos'!$S$5:$S$1000, 0)), "")</f>
        <v/>
      </c>
      <c r="F22" s="18" t="str">
        <f>IFERROR(INDEX('Detalles movimientos'!G$5:G$1000, MATCH(13, 'Detalles movimientos'!$S$5:$S$1000, 0)), "")</f>
        <v/>
      </c>
      <c r="G22" s="20" t="str">
        <f>IFERROR(INDEX('Detalles movimientos'!H$5:H$1000, MATCH(13, 'Detalles movimientos'!$S$5:$S$1000, 0)), "")</f>
        <v/>
      </c>
      <c r="H22" s="21" t="str">
        <f>IFERROR(INDEX('Detalles movimientos'!I$5:I$1000, MATCH(13, 'Detalles movimientos'!$S$5:$S$1000, 0)), "")</f>
        <v/>
      </c>
      <c r="I22" s="20" t="str">
        <f>IFERROR(INDEX('Detalles movimientos'!K$5:K$1000, MATCH(13, 'Detalles movimientos'!$S$5:$S$1000, 0)), "")</f>
        <v/>
      </c>
      <c r="J22" s="19" t="str">
        <f>IFERROR(INDEX('Detalles movimientos'!L$5:L$1000, MATCH(13, 'Detalles movimientos'!$S$5:$S$1000, 0)), "")</f>
        <v/>
      </c>
      <c r="K22" s="20" t="str">
        <f>IFERROR(INDEX('Detalles movimientos'!M$5:M$1000, MATCH(13, 'Detalles movimientos'!$S$5:$S$1000, 0)), "")</f>
        <v/>
      </c>
      <c r="L22" s="18" t="str">
        <f>IFERROR(INDEX('Detalles movimientos'!N$5:N$1000, MATCH(13, 'Detalles movimientos'!$S$5:$S$1000, 0)), "")</f>
        <v/>
      </c>
      <c r="M22" s="18" t="str">
        <f>IFERROR(INDEX('Detalles movimientos'!Q$5:Q$1000, MATCH(13, 'Detalles movimientos'!$S$5:$S$1000, 0)), "")</f>
        <v/>
      </c>
    </row>
    <row r="23" spans="2:13">
      <c r="B23" s="17" t="str">
        <f>IFERROR(INDEX('Detalles movimientos'!C$5:C$1000, MATCH(14, 'Detalles movimientos'!$S$5:$S$1000, 0)), "")</f>
        <v/>
      </c>
      <c r="C23" s="18" t="str">
        <f>IFERROR(INDEX('Detalles movimientos'!D$5:D$1000, MATCH(14, 'Detalles movimientos'!$S$5:$S$1000, 0)), "")</f>
        <v/>
      </c>
      <c r="D23" s="19" t="str">
        <f>IFERROR(INDEX('Detalles movimientos'!E$5:E$1000, MATCH(14, 'Detalles movimientos'!$S$5:$S$1000, 0)), "")</f>
        <v/>
      </c>
      <c r="E23" s="19" t="str">
        <f>IFERROR(INDEX('Detalles movimientos'!F$5:F$1000, MATCH(14, 'Detalles movimientos'!$S$5:$S$1000, 0)), "")</f>
        <v/>
      </c>
      <c r="F23" s="18" t="str">
        <f>IFERROR(INDEX('Detalles movimientos'!G$5:G$1000, MATCH(14, 'Detalles movimientos'!$S$5:$S$1000, 0)), "")</f>
        <v/>
      </c>
      <c r="G23" s="20" t="str">
        <f>IFERROR(INDEX('Detalles movimientos'!H$5:H$1000, MATCH(14, 'Detalles movimientos'!$S$5:$S$1000, 0)), "")</f>
        <v/>
      </c>
      <c r="H23" s="21" t="str">
        <f>IFERROR(INDEX('Detalles movimientos'!I$5:I$1000, MATCH(14, 'Detalles movimientos'!$S$5:$S$1000, 0)), "")</f>
        <v/>
      </c>
      <c r="I23" s="20" t="str">
        <f>IFERROR(INDEX('Detalles movimientos'!K$5:K$1000, MATCH(14, 'Detalles movimientos'!$S$5:$S$1000, 0)), "")</f>
        <v/>
      </c>
      <c r="J23" s="19" t="str">
        <f>IFERROR(INDEX('Detalles movimientos'!L$5:L$1000, MATCH(14, 'Detalles movimientos'!$S$5:$S$1000, 0)), "")</f>
        <v/>
      </c>
      <c r="K23" s="20" t="str">
        <f>IFERROR(INDEX('Detalles movimientos'!M$5:M$1000, MATCH(14, 'Detalles movimientos'!$S$5:$S$1000, 0)), "")</f>
        <v/>
      </c>
      <c r="L23" s="18" t="str">
        <f>IFERROR(INDEX('Detalles movimientos'!N$5:N$1000, MATCH(14, 'Detalles movimientos'!$S$5:$S$1000, 0)), "")</f>
        <v/>
      </c>
      <c r="M23" s="18" t="str">
        <f>IFERROR(INDEX('Detalles movimientos'!Q$5:Q$1000, MATCH(14, 'Detalles movimientos'!$S$5:$S$1000, 0)), "")</f>
        <v/>
      </c>
    </row>
    <row r="24" spans="2:13">
      <c r="B24" s="17" t="str">
        <f>IFERROR(INDEX('Detalles movimientos'!C$5:C$1000, MATCH(15, 'Detalles movimientos'!$S$5:$S$1000, 0)), "")</f>
        <v/>
      </c>
      <c r="C24" s="18" t="str">
        <f>IFERROR(INDEX('Detalles movimientos'!D$5:D$1000, MATCH(15, 'Detalles movimientos'!$S$5:$S$1000, 0)), "")</f>
        <v/>
      </c>
      <c r="D24" s="19" t="str">
        <f>IFERROR(INDEX('Detalles movimientos'!E$5:E$1000, MATCH(15, 'Detalles movimientos'!$S$5:$S$1000, 0)), "")</f>
        <v/>
      </c>
      <c r="E24" s="19" t="str">
        <f>IFERROR(INDEX('Detalles movimientos'!F$5:F$1000, MATCH(15, 'Detalles movimientos'!$S$5:$S$1000, 0)), "")</f>
        <v/>
      </c>
      <c r="F24" s="18" t="str">
        <f>IFERROR(INDEX('Detalles movimientos'!G$5:G$1000, MATCH(15, 'Detalles movimientos'!$S$5:$S$1000, 0)), "")</f>
        <v/>
      </c>
      <c r="G24" s="20" t="str">
        <f>IFERROR(INDEX('Detalles movimientos'!H$5:H$1000, MATCH(15, 'Detalles movimientos'!$S$5:$S$1000, 0)), "")</f>
        <v/>
      </c>
      <c r="H24" s="21" t="str">
        <f>IFERROR(INDEX('Detalles movimientos'!I$5:I$1000, MATCH(15, 'Detalles movimientos'!$S$5:$S$1000, 0)), "")</f>
        <v/>
      </c>
      <c r="I24" s="20" t="str">
        <f>IFERROR(INDEX('Detalles movimientos'!K$5:K$1000, MATCH(15, 'Detalles movimientos'!$S$5:$S$1000, 0)), "")</f>
        <v/>
      </c>
      <c r="J24" s="19" t="str">
        <f>IFERROR(INDEX('Detalles movimientos'!L$5:L$1000, MATCH(15, 'Detalles movimientos'!$S$5:$S$1000, 0)), "")</f>
        <v/>
      </c>
      <c r="K24" s="20" t="str">
        <f>IFERROR(INDEX('Detalles movimientos'!M$5:M$1000, MATCH(15, 'Detalles movimientos'!$S$5:$S$1000, 0)), "")</f>
        <v/>
      </c>
      <c r="L24" s="18" t="str">
        <f>IFERROR(INDEX('Detalles movimientos'!N$5:N$1000, MATCH(15, 'Detalles movimientos'!$S$5:$S$1000, 0)), "")</f>
        <v/>
      </c>
      <c r="M24" s="18" t="str">
        <f>IFERROR(INDEX('Detalles movimientos'!Q$5:Q$1000, MATCH(15, 'Detalles movimientos'!$S$5:$S$1000, 0)), "")</f>
        <v/>
      </c>
    </row>
    <row r="25" spans="2:13">
      <c r="B25" s="17" t="str">
        <f>IFERROR(INDEX('Detalles movimientos'!C$5:C$1000, MATCH(16, 'Detalles movimientos'!$S$5:$S$1000, 0)), "")</f>
        <v/>
      </c>
      <c r="C25" s="18" t="str">
        <f>IFERROR(INDEX('Detalles movimientos'!D$5:D$1000, MATCH(16, 'Detalles movimientos'!$S$5:$S$1000, 0)), "")</f>
        <v/>
      </c>
      <c r="D25" s="19" t="str">
        <f>IFERROR(INDEX('Detalles movimientos'!E$5:E$1000, MATCH(16, 'Detalles movimientos'!$S$5:$S$1000, 0)), "")</f>
        <v/>
      </c>
      <c r="E25" s="19" t="str">
        <f>IFERROR(INDEX('Detalles movimientos'!F$5:F$1000, MATCH(16, 'Detalles movimientos'!$S$5:$S$1000, 0)), "")</f>
        <v/>
      </c>
      <c r="F25" s="18" t="str">
        <f>IFERROR(INDEX('Detalles movimientos'!G$5:G$1000, MATCH(16, 'Detalles movimientos'!$S$5:$S$1000, 0)), "")</f>
        <v/>
      </c>
      <c r="G25" s="20" t="str">
        <f>IFERROR(INDEX('Detalles movimientos'!H$5:H$1000, MATCH(16, 'Detalles movimientos'!$S$5:$S$1000, 0)), "")</f>
        <v/>
      </c>
      <c r="H25" s="21" t="str">
        <f>IFERROR(INDEX('Detalles movimientos'!I$5:I$1000, MATCH(16, 'Detalles movimientos'!$S$5:$S$1000, 0)), "")</f>
        <v/>
      </c>
      <c r="I25" s="20" t="str">
        <f>IFERROR(INDEX('Detalles movimientos'!K$5:K$1000, MATCH(16, 'Detalles movimientos'!$S$5:$S$1000, 0)), "")</f>
        <v/>
      </c>
      <c r="J25" s="19" t="str">
        <f>IFERROR(INDEX('Detalles movimientos'!L$5:L$1000, MATCH(16, 'Detalles movimientos'!$S$5:$S$1000, 0)), "")</f>
        <v/>
      </c>
      <c r="K25" s="20" t="str">
        <f>IFERROR(INDEX('Detalles movimientos'!M$5:M$1000, MATCH(16, 'Detalles movimientos'!$S$5:$S$1000, 0)), "")</f>
        <v/>
      </c>
      <c r="L25" s="18" t="str">
        <f>IFERROR(INDEX('Detalles movimientos'!N$5:N$1000, MATCH(16, 'Detalles movimientos'!$S$5:$S$1000, 0)), "")</f>
        <v/>
      </c>
      <c r="M25" s="18" t="str">
        <f>IFERROR(INDEX('Detalles movimientos'!Q$5:Q$1000, MATCH(16, 'Detalles movimientos'!$S$5:$S$1000, 0)), "")</f>
        <v/>
      </c>
    </row>
    <row r="26" spans="2:13">
      <c r="B26" s="17" t="str">
        <f>IFERROR(INDEX('Detalles movimientos'!C$5:C$1000, MATCH(17, 'Detalles movimientos'!$S$5:$S$1000, 0)), "")</f>
        <v/>
      </c>
      <c r="C26" s="18" t="str">
        <f>IFERROR(INDEX('Detalles movimientos'!D$5:D$1000, MATCH(17, 'Detalles movimientos'!$S$5:$S$1000, 0)), "")</f>
        <v/>
      </c>
      <c r="D26" s="19" t="str">
        <f>IFERROR(INDEX('Detalles movimientos'!E$5:E$1000, MATCH(17, 'Detalles movimientos'!$S$5:$S$1000, 0)), "")</f>
        <v/>
      </c>
      <c r="E26" s="19" t="str">
        <f>IFERROR(INDEX('Detalles movimientos'!F$5:F$1000, MATCH(17, 'Detalles movimientos'!$S$5:$S$1000, 0)), "")</f>
        <v/>
      </c>
      <c r="F26" s="18" t="str">
        <f>IFERROR(INDEX('Detalles movimientos'!G$5:G$1000, MATCH(17, 'Detalles movimientos'!$S$5:$S$1000, 0)), "")</f>
        <v/>
      </c>
      <c r="G26" s="20" t="str">
        <f>IFERROR(INDEX('Detalles movimientos'!H$5:H$1000, MATCH(17, 'Detalles movimientos'!$S$5:$S$1000, 0)), "")</f>
        <v/>
      </c>
      <c r="H26" s="21" t="str">
        <f>IFERROR(INDEX('Detalles movimientos'!I$5:I$1000, MATCH(17, 'Detalles movimientos'!$S$5:$S$1000, 0)), "")</f>
        <v/>
      </c>
      <c r="I26" s="20" t="str">
        <f>IFERROR(INDEX('Detalles movimientos'!K$5:K$1000, MATCH(17, 'Detalles movimientos'!$S$5:$S$1000, 0)), "")</f>
        <v/>
      </c>
      <c r="J26" s="19" t="str">
        <f>IFERROR(INDEX('Detalles movimientos'!L$5:L$1000, MATCH(17, 'Detalles movimientos'!$S$5:$S$1000, 0)), "")</f>
        <v/>
      </c>
      <c r="K26" s="20" t="str">
        <f>IFERROR(INDEX('Detalles movimientos'!M$5:M$1000, MATCH(17, 'Detalles movimientos'!$S$5:$S$1000, 0)), "")</f>
        <v/>
      </c>
      <c r="L26" s="18" t="str">
        <f>IFERROR(INDEX('Detalles movimientos'!N$5:N$1000, MATCH(17, 'Detalles movimientos'!$S$5:$S$1000, 0)), "")</f>
        <v/>
      </c>
      <c r="M26" s="18" t="str">
        <f>IFERROR(INDEX('Detalles movimientos'!Q$5:Q$1000, MATCH(17, 'Detalles movimientos'!$S$5:$S$1000, 0)), "")</f>
        <v/>
      </c>
    </row>
    <row r="27" spans="2:13">
      <c r="B27" s="17" t="str">
        <f>IFERROR(INDEX('Detalles movimientos'!C$5:C$1000, MATCH(18, 'Detalles movimientos'!$S$5:$S$1000, 0)), "")</f>
        <v/>
      </c>
      <c r="C27" s="18" t="str">
        <f>IFERROR(INDEX('Detalles movimientos'!D$5:D$1000, MATCH(18, 'Detalles movimientos'!$S$5:$S$1000, 0)), "")</f>
        <v/>
      </c>
      <c r="D27" s="19" t="str">
        <f>IFERROR(INDEX('Detalles movimientos'!E$5:E$1000, MATCH(18, 'Detalles movimientos'!$S$5:$S$1000, 0)), "")</f>
        <v/>
      </c>
      <c r="E27" s="19" t="str">
        <f>IFERROR(INDEX('Detalles movimientos'!F$5:F$1000, MATCH(18, 'Detalles movimientos'!$S$5:$S$1000, 0)), "")</f>
        <v/>
      </c>
      <c r="F27" s="18" t="str">
        <f>IFERROR(INDEX('Detalles movimientos'!G$5:G$1000, MATCH(18, 'Detalles movimientos'!$S$5:$S$1000, 0)), "")</f>
        <v/>
      </c>
      <c r="G27" s="20" t="str">
        <f>IFERROR(INDEX('Detalles movimientos'!H$5:H$1000, MATCH(18, 'Detalles movimientos'!$S$5:$S$1000, 0)), "")</f>
        <v/>
      </c>
      <c r="H27" s="21" t="str">
        <f>IFERROR(INDEX('Detalles movimientos'!I$5:I$1000, MATCH(18, 'Detalles movimientos'!$S$5:$S$1000, 0)), "")</f>
        <v/>
      </c>
      <c r="I27" s="20" t="str">
        <f>IFERROR(INDEX('Detalles movimientos'!K$5:K$1000, MATCH(18, 'Detalles movimientos'!$S$5:$S$1000, 0)), "")</f>
        <v/>
      </c>
      <c r="J27" s="19" t="str">
        <f>IFERROR(INDEX('Detalles movimientos'!L$5:L$1000, MATCH(18, 'Detalles movimientos'!$S$5:$S$1000, 0)), "")</f>
        <v/>
      </c>
      <c r="K27" s="20" t="str">
        <f>IFERROR(INDEX('Detalles movimientos'!M$5:M$1000, MATCH(18, 'Detalles movimientos'!$S$5:$S$1000, 0)), "")</f>
        <v/>
      </c>
      <c r="L27" s="18" t="str">
        <f>IFERROR(INDEX('Detalles movimientos'!N$5:N$1000, MATCH(18, 'Detalles movimientos'!$S$5:$S$1000, 0)), "")</f>
        <v/>
      </c>
      <c r="M27" s="18" t="str">
        <f>IFERROR(INDEX('Detalles movimientos'!Q$5:Q$1000, MATCH(18, 'Detalles movimientos'!$S$5:$S$1000, 0)), "")</f>
        <v/>
      </c>
    </row>
    <row r="28" spans="2:13">
      <c r="B28" s="17" t="str">
        <f>IFERROR(INDEX('Detalles movimientos'!C$5:C$1000, MATCH(19, 'Detalles movimientos'!$S$5:$S$1000, 0)), "")</f>
        <v/>
      </c>
      <c r="C28" s="18" t="str">
        <f>IFERROR(INDEX('Detalles movimientos'!D$5:D$1000, MATCH(19, 'Detalles movimientos'!$S$5:$S$1000, 0)), "")</f>
        <v/>
      </c>
      <c r="D28" s="19" t="str">
        <f>IFERROR(INDEX('Detalles movimientos'!E$5:E$1000, MATCH(19, 'Detalles movimientos'!$S$5:$S$1000, 0)), "")</f>
        <v/>
      </c>
      <c r="E28" s="19" t="str">
        <f>IFERROR(INDEX('Detalles movimientos'!F$5:F$1000, MATCH(19, 'Detalles movimientos'!$S$5:$S$1000, 0)), "")</f>
        <v/>
      </c>
      <c r="F28" s="18" t="str">
        <f>IFERROR(INDEX('Detalles movimientos'!G$5:G$1000, MATCH(19, 'Detalles movimientos'!$S$5:$S$1000, 0)), "")</f>
        <v/>
      </c>
      <c r="G28" s="20" t="str">
        <f>IFERROR(INDEX('Detalles movimientos'!H$5:H$1000, MATCH(19, 'Detalles movimientos'!$S$5:$S$1000, 0)), "")</f>
        <v/>
      </c>
      <c r="H28" s="21" t="str">
        <f>IFERROR(INDEX('Detalles movimientos'!I$5:I$1000, MATCH(19, 'Detalles movimientos'!$S$5:$S$1000, 0)), "")</f>
        <v/>
      </c>
      <c r="I28" s="20" t="str">
        <f>IFERROR(INDEX('Detalles movimientos'!K$5:K$1000, MATCH(19, 'Detalles movimientos'!$S$5:$S$1000, 0)), "")</f>
        <v/>
      </c>
      <c r="J28" s="19" t="str">
        <f>IFERROR(INDEX('Detalles movimientos'!L$5:L$1000, MATCH(19, 'Detalles movimientos'!$S$5:$S$1000, 0)), "")</f>
        <v/>
      </c>
      <c r="K28" s="20" t="str">
        <f>IFERROR(INDEX('Detalles movimientos'!M$5:M$1000, MATCH(19, 'Detalles movimientos'!$S$5:$S$1000, 0)), "")</f>
        <v/>
      </c>
      <c r="L28" s="18" t="str">
        <f>IFERROR(INDEX('Detalles movimientos'!N$5:N$1000, MATCH(19, 'Detalles movimientos'!$S$5:$S$1000, 0)), "")</f>
        <v/>
      </c>
      <c r="M28" s="18" t="str">
        <f>IFERROR(INDEX('Detalles movimientos'!Q$5:Q$1000, MATCH(19, 'Detalles movimientos'!$S$5:$S$1000, 0)), "")</f>
        <v/>
      </c>
    </row>
    <row r="29" spans="2:13">
      <c r="B29" s="17" t="str">
        <f>IFERROR(INDEX('Detalles movimientos'!C$5:C$1000, MATCH(20, 'Detalles movimientos'!$S$5:$S$1000, 0)), "")</f>
        <v/>
      </c>
      <c r="C29" s="18" t="str">
        <f>IFERROR(INDEX('Detalles movimientos'!D$5:D$1000, MATCH(20, 'Detalles movimientos'!$S$5:$S$1000, 0)), "")</f>
        <v/>
      </c>
      <c r="D29" s="19" t="str">
        <f>IFERROR(INDEX('Detalles movimientos'!E$5:E$1000, MATCH(20, 'Detalles movimientos'!$S$5:$S$1000, 0)), "")</f>
        <v/>
      </c>
      <c r="E29" s="19" t="str">
        <f>IFERROR(INDEX('Detalles movimientos'!F$5:F$1000, MATCH(20, 'Detalles movimientos'!$S$5:$S$1000, 0)), "")</f>
        <v/>
      </c>
      <c r="F29" s="18" t="str">
        <f>IFERROR(INDEX('Detalles movimientos'!G$5:G$1000, MATCH(20, 'Detalles movimientos'!$S$5:$S$1000, 0)), "")</f>
        <v/>
      </c>
      <c r="G29" s="20" t="str">
        <f>IFERROR(INDEX('Detalles movimientos'!H$5:H$1000, MATCH(20, 'Detalles movimientos'!$S$5:$S$1000, 0)), "")</f>
        <v/>
      </c>
      <c r="H29" s="21" t="str">
        <f>IFERROR(INDEX('Detalles movimientos'!I$5:I$1000, MATCH(20, 'Detalles movimientos'!$S$5:$S$1000, 0)), "")</f>
        <v/>
      </c>
      <c r="I29" s="20" t="str">
        <f>IFERROR(INDEX('Detalles movimientos'!K$5:K$1000, MATCH(20, 'Detalles movimientos'!$S$5:$S$1000, 0)), "")</f>
        <v/>
      </c>
      <c r="J29" s="19" t="str">
        <f>IFERROR(INDEX('Detalles movimientos'!L$5:L$1000, MATCH(20, 'Detalles movimientos'!$S$5:$S$1000, 0)), "")</f>
        <v/>
      </c>
      <c r="K29" s="20" t="str">
        <f>IFERROR(INDEX('Detalles movimientos'!M$5:M$1000, MATCH(20, 'Detalles movimientos'!$S$5:$S$1000, 0)), "")</f>
        <v/>
      </c>
      <c r="L29" s="18" t="str">
        <f>IFERROR(INDEX('Detalles movimientos'!N$5:N$1000, MATCH(20, 'Detalles movimientos'!$S$5:$S$1000, 0)), "")</f>
        <v/>
      </c>
      <c r="M29" s="18" t="str">
        <f>IFERROR(INDEX('Detalles movimientos'!Q$5:Q$1000, MATCH(20, 'Detalles movimientos'!$S$5:$S$1000, 0)), "")</f>
        <v/>
      </c>
    </row>
    <row r="30" spans="2:13">
      <c r="B30" s="17" t="str">
        <f>IFERROR(INDEX('Detalles movimientos'!C$5:C$1000, MATCH(21, 'Detalles movimientos'!$S$5:$S$1000, 0)), "")</f>
        <v/>
      </c>
      <c r="C30" s="18" t="str">
        <f>IFERROR(INDEX('Detalles movimientos'!D$5:D$1000, MATCH(21, 'Detalles movimientos'!$S$5:$S$1000, 0)), "")</f>
        <v/>
      </c>
      <c r="D30" s="19" t="str">
        <f>IFERROR(INDEX('Detalles movimientos'!E$5:E$1000, MATCH(21, 'Detalles movimientos'!$S$5:$S$1000, 0)), "")</f>
        <v/>
      </c>
      <c r="E30" s="19" t="str">
        <f>IFERROR(INDEX('Detalles movimientos'!F$5:F$1000, MATCH(21, 'Detalles movimientos'!$S$5:$S$1000, 0)), "")</f>
        <v/>
      </c>
      <c r="F30" s="18" t="str">
        <f>IFERROR(INDEX('Detalles movimientos'!G$5:G$1000, MATCH(21, 'Detalles movimientos'!$S$5:$S$1000, 0)), "")</f>
        <v/>
      </c>
      <c r="G30" s="20" t="str">
        <f>IFERROR(INDEX('Detalles movimientos'!H$5:H$1000, MATCH(21, 'Detalles movimientos'!$S$5:$S$1000, 0)), "")</f>
        <v/>
      </c>
      <c r="H30" s="21" t="str">
        <f>IFERROR(INDEX('Detalles movimientos'!I$5:I$1000, MATCH(21, 'Detalles movimientos'!$S$5:$S$1000, 0)), "")</f>
        <v/>
      </c>
      <c r="I30" s="20" t="str">
        <f>IFERROR(INDEX('Detalles movimientos'!K$5:K$1000, MATCH(21, 'Detalles movimientos'!$S$5:$S$1000, 0)), "")</f>
        <v/>
      </c>
      <c r="J30" s="19" t="str">
        <f>IFERROR(INDEX('Detalles movimientos'!L$5:L$1000, MATCH(21, 'Detalles movimientos'!$S$5:$S$1000, 0)), "")</f>
        <v/>
      </c>
      <c r="K30" s="20" t="str">
        <f>IFERROR(INDEX('Detalles movimientos'!M$5:M$1000, MATCH(21, 'Detalles movimientos'!$S$5:$S$1000, 0)), "")</f>
        <v/>
      </c>
      <c r="L30" s="18" t="str">
        <f>IFERROR(INDEX('Detalles movimientos'!N$5:N$1000, MATCH(21, 'Detalles movimientos'!$S$5:$S$1000, 0)), "")</f>
        <v/>
      </c>
      <c r="M30" s="18" t="str">
        <f>IFERROR(INDEX('Detalles movimientos'!Q$5:Q$1000, MATCH(21, 'Detalles movimientos'!$S$5:$S$1000, 0)), "")</f>
        <v/>
      </c>
    </row>
    <row r="31" spans="2:13">
      <c r="B31" s="17" t="str">
        <f>IFERROR(INDEX('Detalles movimientos'!C$5:C$1000, MATCH(22, 'Detalles movimientos'!$S$5:$S$1000, 0)), "")</f>
        <v/>
      </c>
      <c r="C31" s="18" t="str">
        <f>IFERROR(INDEX('Detalles movimientos'!D$5:D$1000, MATCH(22, 'Detalles movimientos'!$S$5:$S$1000, 0)), "")</f>
        <v/>
      </c>
      <c r="D31" s="19" t="str">
        <f>IFERROR(INDEX('Detalles movimientos'!E$5:E$1000, MATCH(22, 'Detalles movimientos'!$S$5:$S$1000, 0)), "")</f>
        <v/>
      </c>
      <c r="E31" s="19" t="str">
        <f>IFERROR(INDEX('Detalles movimientos'!F$5:F$1000, MATCH(22, 'Detalles movimientos'!$S$5:$S$1000, 0)), "")</f>
        <v/>
      </c>
      <c r="F31" s="18" t="str">
        <f>IFERROR(INDEX('Detalles movimientos'!G$5:G$1000, MATCH(22, 'Detalles movimientos'!$S$5:$S$1000, 0)), "")</f>
        <v/>
      </c>
      <c r="G31" s="20" t="str">
        <f>IFERROR(INDEX('Detalles movimientos'!H$5:H$1000, MATCH(22, 'Detalles movimientos'!$S$5:$S$1000, 0)), "")</f>
        <v/>
      </c>
      <c r="H31" s="21" t="str">
        <f>IFERROR(INDEX('Detalles movimientos'!I$5:I$1000, MATCH(22, 'Detalles movimientos'!$S$5:$S$1000, 0)), "")</f>
        <v/>
      </c>
      <c r="I31" s="20" t="str">
        <f>IFERROR(INDEX('Detalles movimientos'!K$5:K$1000, MATCH(22, 'Detalles movimientos'!$S$5:$S$1000, 0)), "")</f>
        <v/>
      </c>
      <c r="J31" s="19" t="str">
        <f>IFERROR(INDEX('Detalles movimientos'!L$5:L$1000, MATCH(22, 'Detalles movimientos'!$S$5:$S$1000, 0)), "")</f>
        <v/>
      </c>
      <c r="K31" s="20" t="str">
        <f>IFERROR(INDEX('Detalles movimientos'!M$5:M$1000, MATCH(22, 'Detalles movimientos'!$S$5:$S$1000, 0)), "")</f>
        <v/>
      </c>
      <c r="L31" s="18" t="str">
        <f>IFERROR(INDEX('Detalles movimientos'!N$5:N$1000, MATCH(22, 'Detalles movimientos'!$S$5:$S$1000, 0)), "")</f>
        <v/>
      </c>
      <c r="M31" s="18" t="str">
        <f>IFERROR(INDEX('Detalles movimientos'!Q$5:Q$1000, MATCH(22, 'Detalles movimientos'!$S$5:$S$1000, 0)), "")</f>
        <v/>
      </c>
    </row>
    <row r="32" spans="2:13">
      <c r="B32" s="17" t="str">
        <f>IFERROR(INDEX('Detalles movimientos'!C$5:C$1000, MATCH(23, 'Detalles movimientos'!$S$5:$S$1000, 0)), "")</f>
        <v/>
      </c>
      <c r="C32" s="18" t="str">
        <f>IFERROR(INDEX('Detalles movimientos'!D$5:D$1000, MATCH(23, 'Detalles movimientos'!$S$5:$S$1000, 0)), "")</f>
        <v/>
      </c>
      <c r="D32" s="19" t="str">
        <f>IFERROR(INDEX('Detalles movimientos'!E$5:E$1000, MATCH(23, 'Detalles movimientos'!$S$5:$S$1000, 0)), "")</f>
        <v/>
      </c>
      <c r="E32" s="19" t="str">
        <f>IFERROR(INDEX('Detalles movimientos'!F$5:F$1000, MATCH(23, 'Detalles movimientos'!$S$5:$S$1000, 0)), "")</f>
        <v/>
      </c>
      <c r="F32" s="18" t="str">
        <f>IFERROR(INDEX('Detalles movimientos'!G$5:G$1000, MATCH(23, 'Detalles movimientos'!$S$5:$S$1000, 0)), "")</f>
        <v/>
      </c>
      <c r="G32" s="20" t="str">
        <f>IFERROR(INDEX('Detalles movimientos'!H$5:H$1000, MATCH(23, 'Detalles movimientos'!$S$5:$S$1000, 0)), "")</f>
        <v/>
      </c>
      <c r="H32" s="21" t="str">
        <f>IFERROR(INDEX('Detalles movimientos'!I$5:I$1000, MATCH(23, 'Detalles movimientos'!$S$5:$S$1000, 0)), "")</f>
        <v/>
      </c>
      <c r="I32" s="20" t="str">
        <f>IFERROR(INDEX('Detalles movimientos'!K$5:K$1000, MATCH(23, 'Detalles movimientos'!$S$5:$S$1000, 0)), "")</f>
        <v/>
      </c>
      <c r="J32" s="19" t="str">
        <f>IFERROR(INDEX('Detalles movimientos'!L$5:L$1000, MATCH(23, 'Detalles movimientos'!$S$5:$S$1000, 0)), "")</f>
        <v/>
      </c>
      <c r="K32" s="20" t="str">
        <f>IFERROR(INDEX('Detalles movimientos'!M$5:M$1000, MATCH(23, 'Detalles movimientos'!$S$5:$S$1000, 0)), "")</f>
        <v/>
      </c>
      <c r="L32" s="18" t="str">
        <f>IFERROR(INDEX('Detalles movimientos'!N$5:N$1000, MATCH(23, 'Detalles movimientos'!$S$5:$S$1000, 0)), "")</f>
        <v/>
      </c>
      <c r="M32" s="18" t="str">
        <f>IFERROR(INDEX('Detalles movimientos'!Q$5:Q$1000, MATCH(23, 'Detalles movimientos'!$S$5:$S$1000, 0)), "")</f>
        <v/>
      </c>
    </row>
    <row r="33" spans="2:13">
      <c r="B33" s="17" t="str">
        <f>IFERROR(INDEX('Detalles movimientos'!C$5:C$1000, MATCH(24, 'Detalles movimientos'!$S$5:$S$1000, 0)), "")</f>
        <v/>
      </c>
      <c r="C33" s="18" t="str">
        <f>IFERROR(INDEX('Detalles movimientos'!D$5:D$1000, MATCH(24, 'Detalles movimientos'!$S$5:$S$1000, 0)), "")</f>
        <v/>
      </c>
      <c r="D33" s="19" t="str">
        <f>IFERROR(INDEX('Detalles movimientos'!E$5:E$1000, MATCH(24, 'Detalles movimientos'!$S$5:$S$1000, 0)), "")</f>
        <v/>
      </c>
      <c r="E33" s="19" t="str">
        <f>IFERROR(INDEX('Detalles movimientos'!F$5:F$1000, MATCH(24, 'Detalles movimientos'!$S$5:$S$1000, 0)), "")</f>
        <v/>
      </c>
      <c r="F33" s="18" t="str">
        <f>IFERROR(INDEX('Detalles movimientos'!G$5:G$1000, MATCH(24, 'Detalles movimientos'!$S$5:$S$1000, 0)), "")</f>
        <v/>
      </c>
      <c r="G33" s="20" t="str">
        <f>IFERROR(INDEX('Detalles movimientos'!H$5:H$1000, MATCH(24, 'Detalles movimientos'!$S$5:$S$1000, 0)), "")</f>
        <v/>
      </c>
      <c r="H33" s="21" t="str">
        <f>IFERROR(INDEX('Detalles movimientos'!I$5:I$1000, MATCH(24, 'Detalles movimientos'!$S$5:$S$1000, 0)), "")</f>
        <v/>
      </c>
      <c r="I33" s="20" t="str">
        <f>IFERROR(INDEX('Detalles movimientos'!K$5:K$1000, MATCH(24, 'Detalles movimientos'!$S$5:$S$1000, 0)), "")</f>
        <v/>
      </c>
      <c r="J33" s="19" t="str">
        <f>IFERROR(INDEX('Detalles movimientos'!L$5:L$1000, MATCH(24, 'Detalles movimientos'!$S$5:$S$1000, 0)), "")</f>
        <v/>
      </c>
      <c r="K33" s="20" t="str">
        <f>IFERROR(INDEX('Detalles movimientos'!M$5:M$1000, MATCH(24, 'Detalles movimientos'!$S$5:$S$1000, 0)), "")</f>
        <v/>
      </c>
      <c r="L33" s="18" t="str">
        <f>IFERROR(INDEX('Detalles movimientos'!N$5:N$1000, MATCH(24, 'Detalles movimientos'!$S$5:$S$1000, 0)), "")</f>
        <v/>
      </c>
      <c r="M33" s="18" t="str">
        <f>IFERROR(INDEX('Detalles movimientos'!Q$5:Q$1000, MATCH(24, 'Detalles movimientos'!$S$5:$S$1000, 0)), "")</f>
        <v/>
      </c>
    </row>
    <row r="34" spans="2:13">
      <c r="B34" s="17" t="str">
        <f>IFERROR(INDEX('Detalles movimientos'!C$5:C$1000, MATCH(25, 'Detalles movimientos'!$S$5:$S$1000, 0)), "")</f>
        <v/>
      </c>
      <c r="C34" s="18" t="str">
        <f>IFERROR(INDEX('Detalles movimientos'!D$5:D$1000, MATCH(25, 'Detalles movimientos'!$S$5:$S$1000, 0)), "")</f>
        <v/>
      </c>
      <c r="D34" s="19" t="str">
        <f>IFERROR(INDEX('Detalles movimientos'!E$5:E$1000, MATCH(25, 'Detalles movimientos'!$S$5:$S$1000, 0)), "")</f>
        <v/>
      </c>
      <c r="E34" s="19" t="str">
        <f>IFERROR(INDEX('Detalles movimientos'!F$5:F$1000, MATCH(25, 'Detalles movimientos'!$S$5:$S$1000, 0)), "")</f>
        <v/>
      </c>
      <c r="F34" s="18" t="str">
        <f>IFERROR(INDEX('Detalles movimientos'!G$5:G$1000, MATCH(25, 'Detalles movimientos'!$S$5:$S$1000, 0)), "")</f>
        <v/>
      </c>
      <c r="G34" s="20" t="str">
        <f>IFERROR(INDEX('Detalles movimientos'!H$5:H$1000, MATCH(25, 'Detalles movimientos'!$S$5:$S$1000, 0)), "")</f>
        <v/>
      </c>
      <c r="H34" s="21" t="str">
        <f>IFERROR(INDEX('Detalles movimientos'!I$5:I$1000, MATCH(25, 'Detalles movimientos'!$S$5:$S$1000, 0)), "")</f>
        <v/>
      </c>
      <c r="I34" s="20" t="str">
        <f>IFERROR(INDEX('Detalles movimientos'!K$5:K$1000, MATCH(25, 'Detalles movimientos'!$S$5:$S$1000, 0)), "")</f>
        <v/>
      </c>
      <c r="J34" s="19" t="str">
        <f>IFERROR(INDEX('Detalles movimientos'!L$5:L$1000, MATCH(25, 'Detalles movimientos'!$S$5:$S$1000, 0)), "")</f>
        <v/>
      </c>
      <c r="K34" s="20" t="str">
        <f>IFERROR(INDEX('Detalles movimientos'!M$5:M$1000, MATCH(25, 'Detalles movimientos'!$S$5:$S$1000, 0)), "")</f>
        <v/>
      </c>
      <c r="L34" s="18" t="str">
        <f>IFERROR(INDEX('Detalles movimientos'!N$5:N$1000, MATCH(25, 'Detalles movimientos'!$S$5:$S$1000, 0)), "")</f>
        <v/>
      </c>
      <c r="M34" s="18" t="str">
        <f>IFERROR(INDEX('Detalles movimientos'!Q$5:Q$1000, MATCH(25, 'Detalles movimientos'!$S$5:$S$1000, 0)), "")</f>
        <v/>
      </c>
    </row>
    <row r="35" spans="2:13">
      <c r="B35" s="17" t="str">
        <f>IFERROR(INDEX('Detalles movimientos'!C$5:C$1000, MATCH(26, 'Detalles movimientos'!$S$5:$S$1000, 0)), "")</f>
        <v/>
      </c>
      <c r="C35" s="18" t="str">
        <f>IFERROR(INDEX('Detalles movimientos'!D$5:D$1000, MATCH(26, 'Detalles movimientos'!$S$5:$S$1000, 0)), "")</f>
        <v/>
      </c>
      <c r="D35" s="19" t="str">
        <f>IFERROR(INDEX('Detalles movimientos'!E$5:E$1000, MATCH(26, 'Detalles movimientos'!$S$5:$S$1000, 0)), "")</f>
        <v/>
      </c>
      <c r="E35" s="19" t="str">
        <f>IFERROR(INDEX('Detalles movimientos'!F$5:F$1000, MATCH(26, 'Detalles movimientos'!$S$5:$S$1000, 0)), "")</f>
        <v/>
      </c>
      <c r="F35" s="18" t="str">
        <f>IFERROR(INDEX('Detalles movimientos'!G$5:G$1000, MATCH(26, 'Detalles movimientos'!$S$5:$S$1000, 0)), "")</f>
        <v/>
      </c>
      <c r="G35" s="20" t="str">
        <f>IFERROR(INDEX('Detalles movimientos'!H$5:H$1000, MATCH(26, 'Detalles movimientos'!$S$5:$S$1000, 0)), "")</f>
        <v/>
      </c>
      <c r="H35" s="21" t="str">
        <f>IFERROR(INDEX('Detalles movimientos'!I$5:I$1000, MATCH(26, 'Detalles movimientos'!$S$5:$S$1000, 0)), "")</f>
        <v/>
      </c>
      <c r="I35" s="20" t="str">
        <f>IFERROR(INDEX('Detalles movimientos'!K$5:K$1000, MATCH(26, 'Detalles movimientos'!$S$5:$S$1000, 0)), "")</f>
        <v/>
      </c>
      <c r="J35" s="19" t="str">
        <f>IFERROR(INDEX('Detalles movimientos'!L$5:L$1000, MATCH(26, 'Detalles movimientos'!$S$5:$S$1000, 0)), "")</f>
        <v/>
      </c>
      <c r="K35" s="20" t="str">
        <f>IFERROR(INDEX('Detalles movimientos'!M$5:M$1000, MATCH(26, 'Detalles movimientos'!$S$5:$S$1000, 0)), "")</f>
        <v/>
      </c>
      <c r="L35" s="18" t="str">
        <f>IFERROR(INDEX('Detalles movimientos'!N$5:N$1000, MATCH(26, 'Detalles movimientos'!$S$5:$S$1000, 0)), "")</f>
        <v/>
      </c>
      <c r="M35" s="18" t="str">
        <f>IFERROR(INDEX('Detalles movimientos'!Q$5:Q$1000, MATCH(26, 'Detalles movimientos'!$S$5:$S$1000, 0)), "")</f>
        <v/>
      </c>
    </row>
    <row r="36" spans="2:13">
      <c r="B36" s="17" t="str">
        <f>IFERROR(INDEX('Detalles movimientos'!C$5:C$1000, MATCH(27, 'Detalles movimientos'!$S$5:$S$1000, 0)), "")</f>
        <v/>
      </c>
      <c r="C36" s="18" t="str">
        <f>IFERROR(INDEX('Detalles movimientos'!D$5:D$1000, MATCH(27, 'Detalles movimientos'!$S$5:$S$1000, 0)), "")</f>
        <v/>
      </c>
      <c r="D36" s="19" t="str">
        <f>IFERROR(INDEX('Detalles movimientos'!E$5:E$1000, MATCH(27, 'Detalles movimientos'!$S$5:$S$1000, 0)), "")</f>
        <v/>
      </c>
      <c r="E36" s="19" t="str">
        <f>IFERROR(INDEX('Detalles movimientos'!F$5:F$1000, MATCH(27, 'Detalles movimientos'!$S$5:$S$1000, 0)), "")</f>
        <v/>
      </c>
      <c r="F36" s="18" t="str">
        <f>IFERROR(INDEX('Detalles movimientos'!G$5:G$1000, MATCH(27, 'Detalles movimientos'!$S$5:$S$1000, 0)), "")</f>
        <v/>
      </c>
      <c r="G36" s="20" t="str">
        <f>IFERROR(INDEX('Detalles movimientos'!H$5:H$1000, MATCH(27, 'Detalles movimientos'!$S$5:$S$1000, 0)), "")</f>
        <v/>
      </c>
      <c r="H36" s="21" t="str">
        <f>IFERROR(INDEX('Detalles movimientos'!I$5:I$1000, MATCH(27, 'Detalles movimientos'!$S$5:$S$1000, 0)), "")</f>
        <v/>
      </c>
      <c r="I36" s="20" t="str">
        <f>IFERROR(INDEX('Detalles movimientos'!K$5:K$1000, MATCH(27, 'Detalles movimientos'!$S$5:$S$1000, 0)), "")</f>
        <v/>
      </c>
      <c r="J36" s="19" t="str">
        <f>IFERROR(INDEX('Detalles movimientos'!L$5:L$1000, MATCH(27, 'Detalles movimientos'!$S$5:$S$1000, 0)), "")</f>
        <v/>
      </c>
      <c r="K36" s="20" t="str">
        <f>IFERROR(INDEX('Detalles movimientos'!M$5:M$1000, MATCH(27, 'Detalles movimientos'!$S$5:$S$1000, 0)), "")</f>
        <v/>
      </c>
      <c r="L36" s="18" t="str">
        <f>IFERROR(INDEX('Detalles movimientos'!N$5:N$1000, MATCH(27, 'Detalles movimientos'!$S$5:$S$1000, 0)), "")</f>
        <v/>
      </c>
      <c r="M36" s="18" t="str">
        <f>IFERROR(INDEX('Detalles movimientos'!Q$5:Q$1000, MATCH(27, 'Detalles movimientos'!$S$5:$S$1000, 0)), "")</f>
        <v/>
      </c>
    </row>
    <row r="37" spans="2:13">
      <c r="B37" s="17" t="str">
        <f>IFERROR(INDEX('Detalles movimientos'!C$5:C$1000, MATCH(28, 'Detalles movimientos'!$S$5:$S$1000, 0)), "")</f>
        <v/>
      </c>
      <c r="C37" s="18" t="str">
        <f>IFERROR(INDEX('Detalles movimientos'!D$5:D$1000, MATCH(28, 'Detalles movimientos'!$S$5:$S$1000, 0)), "")</f>
        <v/>
      </c>
      <c r="D37" s="19" t="str">
        <f>IFERROR(INDEX('Detalles movimientos'!E$5:E$1000, MATCH(28, 'Detalles movimientos'!$S$5:$S$1000, 0)), "")</f>
        <v/>
      </c>
      <c r="E37" s="19" t="str">
        <f>IFERROR(INDEX('Detalles movimientos'!F$5:F$1000, MATCH(28, 'Detalles movimientos'!$S$5:$S$1000, 0)), "")</f>
        <v/>
      </c>
      <c r="F37" s="18" t="str">
        <f>IFERROR(INDEX('Detalles movimientos'!G$5:G$1000, MATCH(28, 'Detalles movimientos'!$S$5:$S$1000, 0)), "")</f>
        <v/>
      </c>
      <c r="G37" s="20" t="str">
        <f>IFERROR(INDEX('Detalles movimientos'!H$5:H$1000, MATCH(28, 'Detalles movimientos'!$S$5:$S$1000, 0)), "")</f>
        <v/>
      </c>
      <c r="H37" s="21" t="str">
        <f>IFERROR(INDEX('Detalles movimientos'!I$5:I$1000, MATCH(28, 'Detalles movimientos'!$S$5:$S$1000, 0)), "")</f>
        <v/>
      </c>
      <c r="I37" s="20" t="str">
        <f>IFERROR(INDEX('Detalles movimientos'!K$5:K$1000, MATCH(28, 'Detalles movimientos'!$S$5:$S$1000, 0)), "")</f>
        <v/>
      </c>
      <c r="J37" s="19" t="str">
        <f>IFERROR(INDEX('Detalles movimientos'!L$5:L$1000, MATCH(28, 'Detalles movimientos'!$S$5:$S$1000, 0)), "")</f>
        <v/>
      </c>
      <c r="K37" s="20" t="str">
        <f>IFERROR(INDEX('Detalles movimientos'!M$5:M$1000, MATCH(28, 'Detalles movimientos'!$S$5:$S$1000, 0)), "")</f>
        <v/>
      </c>
      <c r="L37" s="18" t="str">
        <f>IFERROR(INDEX('Detalles movimientos'!N$5:N$1000, MATCH(28, 'Detalles movimientos'!$S$5:$S$1000, 0)), "")</f>
        <v/>
      </c>
      <c r="M37" s="18" t="str">
        <f>IFERROR(INDEX('Detalles movimientos'!Q$5:Q$1000, MATCH(28, 'Detalles movimientos'!$S$5:$S$1000, 0)), "")</f>
        <v/>
      </c>
    </row>
    <row r="38" spans="2:13">
      <c r="B38" s="17" t="str">
        <f>IFERROR(INDEX('Detalles movimientos'!C$5:C$1000, MATCH(29, 'Detalles movimientos'!$S$5:$S$1000, 0)), "")</f>
        <v/>
      </c>
      <c r="C38" s="18" t="str">
        <f>IFERROR(INDEX('Detalles movimientos'!D$5:D$1000, MATCH(29, 'Detalles movimientos'!$S$5:$S$1000, 0)), "")</f>
        <v/>
      </c>
      <c r="D38" s="19" t="str">
        <f>IFERROR(INDEX('Detalles movimientos'!E$5:E$1000, MATCH(29, 'Detalles movimientos'!$S$5:$S$1000, 0)), "")</f>
        <v/>
      </c>
      <c r="E38" s="19" t="str">
        <f>IFERROR(INDEX('Detalles movimientos'!F$5:F$1000, MATCH(29, 'Detalles movimientos'!$S$5:$S$1000, 0)), "")</f>
        <v/>
      </c>
      <c r="F38" s="18" t="str">
        <f>IFERROR(INDEX('Detalles movimientos'!G$5:G$1000, MATCH(29, 'Detalles movimientos'!$S$5:$S$1000, 0)), "")</f>
        <v/>
      </c>
      <c r="G38" s="20" t="str">
        <f>IFERROR(INDEX('Detalles movimientos'!H$5:H$1000, MATCH(29, 'Detalles movimientos'!$S$5:$S$1000, 0)), "")</f>
        <v/>
      </c>
      <c r="H38" s="21" t="str">
        <f>IFERROR(INDEX('Detalles movimientos'!I$5:I$1000, MATCH(29, 'Detalles movimientos'!$S$5:$S$1000, 0)), "")</f>
        <v/>
      </c>
      <c r="I38" s="20" t="str">
        <f>IFERROR(INDEX('Detalles movimientos'!K$5:K$1000, MATCH(29, 'Detalles movimientos'!$S$5:$S$1000, 0)), "")</f>
        <v/>
      </c>
      <c r="J38" s="19" t="str">
        <f>IFERROR(INDEX('Detalles movimientos'!L$5:L$1000, MATCH(29, 'Detalles movimientos'!$S$5:$S$1000, 0)), "")</f>
        <v/>
      </c>
      <c r="K38" s="20" t="str">
        <f>IFERROR(INDEX('Detalles movimientos'!M$5:M$1000, MATCH(29, 'Detalles movimientos'!$S$5:$S$1000, 0)), "")</f>
        <v/>
      </c>
      <c r="L38" s="18" t="str">
        <f>IFERROR(INDEX('Detalles movimientos'!N$5:N$1000, MATCH(29, 'Detalles movimientos'!$S$5:$S$1000, 0)), "")</f>
        <v/>
      </c>
      <c r="M38" s="18" t="str">
        <f>IFERROR(INDEX('Detalles movimientos'!Q$5:Q$1000, MATCH(29, 'Detalles movimientos'!$S$5:$S$1000, 0)), "")</f>
        <v/>
      </c>
    </row>
    <row r="39" spans="2:13">
      <c r="B39" s="17" t="str">
        <f>IFERROR(INDEX('Detalles movimientos'!C$5:C$1000, MATCH(30, 'Detalles movimientos'!$S$5:$S$1000, 0)), "")</f>
        <v/>
      </c>
      <c r="C39" s="18" t="str">
        <f>IFERROR(INDEX('Detalles movimientos'!D$5:D$1000, MATCH(30, 'Detalles movimientos'!$S$5:$S$1000, 0)), "")</f>
        <v/>
      </c>
      <c r="D39" s="19" t="str">
        <f>IFERROR(INDEX('Detalles movimientos'!E$5:E$1000, MATCH(30, 'Detalles movimientos'!$S$5:$S$1000, 0)), "")</f>
        <v/>
      </c>
      <c r="E39" s="19" t="str">
        <f>IFERROR(INDEX('Detalles movimientos'!F$5:F$1000, MATCH(30, 'Detalles movimientos'!$S$5:$S$1000, 0)), "")</f>
        <v/>
      </c>
      <c r="F39" s="18" t="str">
        <f>IFERROR(INDEX('Detalles movimientos'!G$5:G$1000, MATCH(30, 'Detalles movimientos'!$S$5:$S$1000, 0)), "")</f>
        <v/>
      </c>
      <c r="G39" s="20" t="str">
        <f>IFERROR(INDEX('Detalles movimientos'!H$5:H$1000, MATCH(30, 'Detalles movimientos'!$S$5:$S$1000, 0)), "")</f>
        <v/>
      </c>
      <c r="H39" s="21" t="str">
        <f>IFERROR(INDEX('Detalles movimientos'!I$5:I$1000, MATCH(30, 'Detalles movimientos'!$S$5:$S$1000, 0)), "")</f>
        <v/>
      </c>
      <c r="I39" s="20" t="str">
        <f>IFERROR(INDEX('Detalles movimientos'!K$5:K$1000, MATCH(30, 'Detalles movimientos'!$S$5:$S$1000, 0)), "")</f>
        <v/>
      </c>
      <c r="J39" s="19" t="str">
        <f>IFERROR(INDEX('Detalles movimientos'!L$5:L$1000, MATCH(30, 'Detalles movimientos'!$S$5:$S$1000, 0)), "")</f>
        <v/>
      </c>
      <c r="K39" s="20" t="str">
        <f>IFERROR(INDEX('Detalles movimientos'!M$5:M$1000, MATCH(30, 'Detalles movimientos'!$S$5:$S$1000, 0)), "")</f>
        <v/>
      </c>
      <c r="L39" s="18" t="str">
        <f>IFERROR(INDEX('Detalles movimientos'!N$5:N$1000, MATCH(30, 'Detalles movimientos'!$S$5:$S$1000, 0)), "")</f>
        <v/>
      </c>
      <c r="M39" s="18" t="str">
        <f>IFERROR(INDEX('Detalles movimientos'!Q$5:Q$1000, MATCH(30, 'Detalles movimientos'!$S$5:$S$1000, 0)), "")</f>
        <v/>
      </c>
    </row>
    <row r="40" spans="2:13">
      <c r="B40" s="17" t="str">
        <f>IFERROR(INDEX('Detalles movimientos'!C$5:C$1000, MATCH(31, 'Detalles movimientos'!$S$5:$S$1000, 0)), "")</f>
        <v/>
      </c>
      <c r="C40" s="18" t="str">
        <f>IFERROR(INDEX('Detalles movimientos'!D$5:D$1000, MATCH(31, 'Detalles movimientos'!$S$5:$S$1000, 0)), "")</f>
        <v/>
      </c>
      <c r="D40" s="19" t="str">
        <f>IFERROR(INDEX('Detalles movimientos'!E$5:E$1000, MATCH(31, 'Detalles movimientos'!$S$5:$S$1000, 0)), "")</f>
        <v/>
      </c>
      <c r="E40" s="19" t="str">
        <f>IFERROR(INDEX('Detalles movimientos'!F$5:F$1000, MATCH(31, 'Detalles movimientos'!$S$5:$S$1000, 0)), "")</f>
        <v/>
      </c>
      <c r="F40" s="18" t="str">
        <f>IFERROR(INDEX('Detalles movimientos'!G$5:G$1000, MATCH(31, 'Detalles movimientos'!$S$5:$S$1000, 0)), "")</f>
        <v/>
      </c>
      <c r="G40" s="20" t="str">
        <f>IFERROR(INDEX('Detalles movimientos'!H$5:H$1000, MATCH(31, 'Detalles movimientos'!$S$5:$S$1000, 0)), "")</f>
        <v/>
      </c>
      <c r="H40" s="21" t="str">
        <f>IFERROR(INDEX('Detalles movimientos'!I$5:I$1000, MATCH(31, 'Detalles movimientos'!$S$5:$S$1000, 0)), "")</f>
        <v/>
      </c>
      <c r="I40" s="20" t="str">
        <f>IFERROR(INDEX('Detalles movimientos'!K$5:K$1000, MATCH(31, 'Detalles movimientos'!$S$5:$S$1000, 0)), "")</f>
        <v/>
      </c>
      <c r="J40" s="19" t="str">
        <f>IFERROR(INDEX('Detalles movimientos'!L$5:L$1000, MATCH(31, 'Detalles movimientos'!$S$5:$S$1000, 0)), "")</f>
        <v/>
      </c>
      <c r="K40" s="20" t="str">
        <f>IFERROR(INDEX('Detalles movimientos'!M$5:M$1000, MATCH(31, 'Detalles movimientos'!$S$5:$S$1000, 0)), "")</f>
        <v/>
      </c>
      <c r="L40" s="18" t="str">
        <f>IFERROR(INDEX('Detalles movimientos'!N$5:N$1000, MATCH(31, 'Detalles movimientos'!$S$5:$S$1000, 0)), "")</f>
        <v/>
      </c>
      <c r="M40" s="18" t="str">
        <f>IFERROR(INDEX('Detalles movimientos'!Q$5:Q$1000, MATCH(31, 'Detalles movimientos'!$S$5:$S$1000, 0)), "")</f>
        <v/>
      </c>
    </row>
    <row r="41" spans="2:13">
      <c r="B41" s="17" t="str">
        <f>IFERROR(INDEX('Detalles movimientos'!C$5:C$1000, MATCH(32, 'Detalles movimientos'!$S$5:$S$1000, 0)), "")</f>
        <v/>
      </c>
      <c r="C41" s="18" t="str">
        <f>IFERROR(INDEX('Detalles movimientos'!D$5:D$1000, MATCH(32, 'Detalles movimientos'!$S$5:$S$1000, 0)), "")</f>
        <v/>
      </c>
      <c r="D41" s="19" t="str">
        <f>IFERROR(INDEX('Detalles movimientos'!E$5:E$1000, MATCH(32, 'Detalles movimientos'!$S$5:$S$1000, 0)), "")</f>
        <v/>
      </c>
      <c r="E41" s="19" t="str">
        <f>IFERROR(INDEX('Detalles movimientos'!F$5:F$1000, MATCH(32, 'Detalles movimientos'!$S$5:$S$1000, 0)), "")</f>
        <v/>
      </c>
      <c r="F41" s="18" t="str">
        <f>IFERROR(INDEX('Detalles movimientos'!G$5:G$1000, MATCH(32, 'Detalles movimientos'!$S$5:$S$1000, 0)), "")</f>
        <v/>
      </c>
      <c r="G41" s="20" t="str">
        <f>IFERROR(INDEX('Detalles movimientos'!H$5:H$1000, MATCH(32, 'Detalles movimientos'!$S$5:$S$1000, 0)), "")</f>
        <v/>
      </c>
      <c r="H41" s="21" t="str">
        <f>IFERROR(INDEX('Detalles movimientos'!I$5:I$1000, MATCH(32, 'Detalles movimientos'!$S$5:$S$1000, 0)), "")</f>
        <v/>
      </c>
      <c r="I41" s="20" t="str">
        <f>IFERROR(INDEX('Detalles movimientos'!K$5:K$1000, MATCH(32, 'Detalles movimientos'!$S$5:$S$1000, 0)), "")</f>
        <v/>
      </c>
      <c r="J41" s="19" t="str">
        <f>IFERROR(INDEX('Detalles movimientos'!L$5:L$1000, MATCH(32, 'Detalles movimientos'!$S$5:$S$1000, 0)), "")</f>
        <v/>
      </c>
      <c r="K41" s="20" t="str">
        <f>IFERROR(INDEX('Detalles movimientos'!M$5:M$1000, MATCH(32, 'Detalles movimientos'!$S$5:$S$1000, 0)), "")</f>
        <v/>
      </c>
      <c r="L41" s="18" t="str">
        <f>IFERROR(INDEX('Detalles movimientos'!N$5:N$1000, MATCH(32, 'Detalles movimientos'!$S$5:$S$1000, 0)), "")</f>
        <v/>
      </c>
      <c r="M41" s="18" t="str">
        <f>IFERROR(INDEX('Detalles movimientos'!Q$5:Q$1000, MATCH(32, 'Detalles movimientos'!$S$5:$S$1000, 0)), "")</f>
        <v/>
      </c>
    </row>
    <row r="42" spans="2:13">
      <c r="B42" s="17" t="str">
        <f>IFERROR(INDEX('Detalles movimientos'!C$5:C$1000, MATCH(33, 'Detalles movimientos'!$S$5:$S$1000, 0)), "")</f>
        <v/>
      </c>
      <c r="C42" s="18" t="str">
        <f>IFERROR(INDEX('Detalles movimientos'!D$5:D$1000, MATCH(33, 'Detalles movimientos'!$S$5:$S$1000, 0)), "")</f>
        <v/>
      </c>
      <c r="D42" s="19" t="str">
        <f>IFERROR(INDEX('Detalles movimientos'!E$5:E$1000, MATCH(33, 'Detalles movimientos'!$S$5:$S$1000, 0)), "")</f>
        <v/>
      </c>
      <c r="E42" s="19" t="str">
        <f>IFERROR(INDEX('Detalles movimientos'!F$5:F$1000, MATCH(33, 'Detalles movimientos'!$S$5:$S$1000, 0)), "")</f>
        <v/>
      </c>
      <c r="F42" s="18" t="str">
        <f>IFERROR(INDEX('Detalles movimientos'!G$5:G$1000, MATCH(33, 'Detalles movimientos'!$S$5:$S$1000, 0)), "")</f>
        <v/>
      </c>
      <c r="G42" s="20" t="str">
        <f>IFERROR(INDEX('Detalles movimientos'!H$5:H$1000, MATCH(33, 'Detalles movimientos'!$S$5:$S$1000, 0)), "")</f>
        <v/>
      </c>
      <c r="H42" s="21" t="str">
        <f>IFERROR(INDEX('Detalles movimientos'!I$5:I$1000, MATCH(33, 'Detalles movimientos'!$S$5:$S$1000, 0)), "")</f>
        <v/>
      </c>
      <c r="I42" s="20" t="str">
        <f>IFERROR(INDEX('Detalles movimientos'!K$5:K$1000, MATCH(33, 'Detalles movimientos'!$S$5:$S$1000, 0)), "")</f>
        <v/>
      </c>
      <c r="J42" s="19" t="str">
        <f>IFERROR(INDEX('Detalles movimientos'!L$5:L$1000, MATCH(33, 'Detalles movimientos'!$S$5:$S$1000, 0)), "")</f>
        <v/>
      </c>
      <c r="K42" s="20" t="str">
        <f>IFERROR(INDEX('Detalles movimientos'!M$5:M$1000, MATCH(33, 'Detalles movimientos'!$S$5:$S$1000, 0)), "")</f>
        <v/>
      </c>
      <c r="L42" s="18" t="str">
        <f>IFERROR(INDEX('Detalles movimientos'!N$5:N$1000, MATCH(33, 'Detalles movimientos'!$S$5:$S$1000, 0)), "")</f>
        <v/>
      </c>
      <c r="M42" s="18" t="str">
        <f>IFERROR(INDEX('Detalles movimientos'!Q$5:Q$1000, MATCH(33, 'Detalles movimientos'!$S$5:$S$1000, 0)), "")</f>
        <v/>
      </c>
    </row>
    <row r="43" spans="2:13">
      <c r="B43" s="17" t="str">
        <f>IFERROR(INDEX('Detalles movimientos'!C$5:C$1000, MATCH(34, 'Detalles movimientos'!$S$5:$S$1000, 0)), "")</f>
        <v/>
      </c>
      <c r="C43" s="18" t="str">
        <f>IFERROR(INDEX('Detalles movimientos'!D$5:D$1000, MATCH(34, 'Detalles movimientos'!$S$5:$S$1000, 0)), "")</f>
        <v/>
      </c>
      <c r="D43" s="19" t="str">
        <f>IFERROR(INDEX('Detalles movimientos'!E$5:E$1000, MATCH(34, 'Detalles movimientos'!$S$5:$S$1000, 0)), "")</f>
        <v/>
      </c>
      <c r="E43" s="19" t="str">
        <f>IFERROR(INDEX('Detalles movimientos'!F$5:F$1000, MATCH(34, 'Detalles movimientos'!$S$5:$S$1000, 0)), "")</f>
        <v/>
      </c>
      <c r="F43" s="18" t="str">
        <f>IFERROR(INDEX('Detalles movimientos'!G$5:G$1000, MATCH(34, 'Detalles movimientos'!$S$5:$S$1000, 0)), "")</f>
        <v/>
      </c>
      <c r="G43" s="20" t="str">
        <f>IFERROR(INDEX('Detalles movimientos'!H$5:H$1000, MATCH(34, 'Detalles movimientos'!$S$5:$S$1000, 0)), "")</f>
        <v/>
      </c>
      <c r="H43" s="21" t="str">
        <f>IFERROR(INDEX('Detalles movimientos'!I$5:I$1000, MATCH(34, 'Detalles movimientos'!$S$5:$S$1000, 0)), "")</f>
        <v/>
      </c>
      <c r="I43" s="20" t="str">
        <f>IFERROR(INDEX('Detalles movimientos'!K$5:K$1000, MATCH(34, 'Detalles movimientos'!$S$5:$S$1000, 0)), "")</f>
        <v/>
      </c>
      <c r="J43" s="19" t="str">
        <f>IFERROR(INDEX('Detalles movimientos'!L$5:L$1000, MATCH(34, 'Detalles movimientos'!$S$5:$S$1000, 0)), "")</f>
        <v/>
      </c>
      <c r="K43" s="20" t="str">
        <f>IFERROR(INDEX('Detalles movimientos'!M$5:M$1000, MATCH(34, 'Detalles movimientos'!$S$5:$S$1000, 0)), "")</f>
        <v/>
      </c>
      <c r="L43" s="18" t="str">
        <f>IFERROR(INDEX('Detalles movimientos'!N$5:N$1000, MATCH(34, 'Detalles movimientos'!$S$5:$S$1000, 0)), "")</f>
        <v/>
      </c>
      <c r="M43" s="18" t="str">
        <f>IFERROR(INDEX('Detalles movimientos'!Q$5:Q$1000, MATCH(34, 'Detalles movimientos'!$S$5:$S$1000, 0)), "")</f>
        <v/>
      </c>
    </row>
    <row r="44" spans="2:13">
      <c r="B44" s="17" t="str">
        <f>IFERROR(INDEX('Detalles movimientos'!C$5:C$1000, MATCH(35, 'Detalles movimientos'!$S$5:$S$1000, 0)), "")</f>
        <v/>
      </c>
      <c r="C44" s="18" t="str">
        <f>IFERROR(INDEX('Detalles movimientos'!D$5:D$1000, MATCH(35, 'Detalles movimientos'!$S$5:$S$1000, 0)), "")</f>
        <v/>
      </c>
      <c r="D44" s="19" t="str">
        <f>IFERROR(INDEX('Detalles movimientos'!E$5:E$1000, MATCH(35, 'Detalles movimientos'!$S$5:$S$1000, 0)), "")</f>
        <v/>
      </c>
      <c r="E44" s="19" t="str">
        <f>IFERROR(INDEX('Detalles movimientos'!F$5:F$1000, MATCH(35, 'Detalles movimientos'!$S$5:$S$1000, 0)), "")</f>
        <v/>
      </c>
      <c r="F44" s="18" t="str">
        <f>IFERROR(INDEX('Detalles movimientos'!G$5:G$1000, MATCH(35, 'Detalles movimientos'!$S$5:$S$1000, 0)), "")</f>
        <v/>
      </c>
      <c r="G44" s="20" t="str">
        <f>IFERROR(INDEX('Detalles movimientos'!H$5:H$1000, MATCH(35, 'Detalles movimientos'!$S$5:$S$1000, 0)), "")</f>
        <v/>
      </c>
      <c r="H44" s="21" t="str">
        <f>IFERROR(INDEX('Detalles movimientos'!I$5:I$1000, MATCH(35, 'Detalles movimientos'!$S$5:$S$1000, 0)), "")</f>
        <v/>
      </c>
      <c r="I44" s="20" t="str">
        <f>IFERROR(INDEX('Detalles movimientos'!K$5:K$1000, MATCH(35, 'Detalles movimientos'!$S$5:$S$1000, 0)), "")</f>
        <v/>
      </c>
      <c r="J44" s="19" t="str">
        <f>IFERROR(INDEX('Detalles movimientos'!L$5:L$1000, MATCH(35, 'Detalles movimientos'!$S$5:$S$1000, 0)), "")</f>
        <v/>
      </c>
      <c r="K44" s="20" t="str">
        <f>IFERROR(INDEX('Detalles movimientos'!M$5:M$1000, MATCH(35, 'Detalles movimientos'!$S$5:$S$1000, 0)), "")</f>
        <v/>
      </c>
      <c r="L44" s="18" t="str">
        <f>IFERROR(INDEX('Detalles movimientos'!N$5:N$1000, MATCH(35, 'Detalles movimientos'!$S$5:$S$1000, 0)), "")</f>
        <v/>
      </c>
      <c r="M44" s="18" t="str">
        <f>IFERROR(INDEX('Detalles movimientos'!Q$5:Q$1000, MATCH(35, 'Detalles movimientos'!$S$5:$S$1000, 0)), "")</f>
        <v/>
      </c>
    </row>
    <row r="45" spans="2:13">
      <c r="B45" s="17" t="str">
        <f>IFERROR(INDEX('Detalles movimientos'!C$5:C$1000, MATCH(36, 'Detalles movimientos'!$S$5:$S$1000, 0)), "")</f>
        <v/>
      </c>
      <c r="C45" s="18" t="str">
        <f>IFERROR(INDEX('Detalles movimientos'!D$5:D$1000, MATCH(36, 'Detalles movimientos'!$S$5:$S$1000, 0)), "")</f>
        <v/>
      </c>
      <c r="D45" s="19" t="str">
        <f>IFERROR(INDEX('Detalles movimientos'!E$5:E$1000, MATCH(36, 'Detalles movimientos'!$S$5:$S$1000, 0)), "")</f>
        <v/>
      </c>
      <c r="E45" s="19" t="str">
        <f>IFERROR(INDEX('Detalles movimientos'!F$5:F$1000, MATCH(36, 'Detalles movimientos'!$S$5:$S$1000, 0)), "")</f>
        <v/>
      </c>
      <c r="F45" s="18" t="str">
        <f>IFERROR(INDEX('Detalles movimientos'!G$5:G$1000, MATCH(36, 'Detalles movimientos'!$S$5:$S$1000, 0)), "")</f>
        <v/>
      </c>
      <c r="G45" s="20" t="str">
        <f>IFERROR(INDEX('Detalles movimientos'!H$5:H$1000, MATCH(36, 'Detalles movimientos'!$S$5:$S$1000, 0)), "")</f>
        <v/>
      </c>
      <c r="H45" s="21" t="str">
        <f>IFERROR(INDEX('Detalles movimientos'!I$5:I$1000, MATCH(36, 'Detalles movimientos'!$S$5:$S$1000, 0)), "")</f>
        <v/>
      </c>
      <c r="I45" s="20" t="str">
        <f>IFERROR(INDEX('Detalles movimientos'!K$5:K$1000, MATCH(36, 'Detalles movimientos'!$S$5:$S$1000, 0)), "")</f>
        <v/>
      </c>
      <c r="J45" s="19" t="str">
        <f>IFERROR(INDEX('Detalles movimientos'!L$5:L$1000, MATCH(36, 'Detalles movimientos'!$S$5:$S$1000, 0)), "")</f>
        <v/>
      </c>
      <c r="K45" s="20" t="str">
        <f>IFERROR(INDEX('Detalles movimientos'!M$5:M$1000, MATCH(36, 'Detalles movimientos'!$S$5:$S$1000, 0)), "")</f>
        <v/>
      </c>
      <c r="L45" s="18" t="str">
        <f>IFERROR(INDEX('Detalles movimientos'!N$5:N$1000, MATCH(36, 'Detalles movimientos'!$S$5:$S$1000, 0)), "")</f>
        <v/>
      </c>
      <c r="M45" s="18" t="str">
        <f>IFERROR(INDEX('Detalles movimientos'!Q$5:Q$1000, MATCH(36, 'Detalles movimientos'!$S$5:$S$1000, 0)), "")</f>
        <v/>
      </c>
    </row>
    <row r="46" spans="2:13">
      <c r="B46" s="17" t="str">
        <f>IFERROR(INDEX('Detalles movimientos'!C$5:C$1000, MATCH(37, 'Detalles movimientos'!$S$5:$S$1000, 0)), "")</f>
        <v/>
      </c>
      <c r="C46" s="18" t="str">
        <f>IFERROR(INDEX('Detalles movimientos'!D$5:D$1000, MATCH(37, 'Detalles movimientos'!$S$5:$S$1000, 0)), "")</f>
        <v/>
      </c>
      <c r="D46" s="19" t="str">
        <f>IFERROR(INDEX('Detalles movimientos'!E$5:E$1000, MATCH(37, 'Detalles movimientos'!$S$5:$S$1000, 0)), "")</f>
        <v/>
      </c>
      <c r="E46" s="19" t="str">
        <f>IFERROR(INDEX('Detalles movimientos'!F$5:F$1000, MATCH(37, 'Detalles movimientos'!$S$5:$S$1000, 0)), "")</f>
        <v/>
      </c>
      <c r="F46" s="18" t="str">
        <f>IFERROR(INDEX('Detalles movimientos'!G$5:G$1000, MATCH(37, 'Detalles movimientos'!$S$5:$S$1000, 0)), "")</f>
        <v/>
      </c>
      <c r="G46" s="20" t="str">
        <f>IFERROR(INDEX('Detalles movimientos'!H$5:H$1000, MATCH(37, 'Detalles movimientos'!$S$5:$S$1000, 0)), "")</f>
        <v/>
      </c>
      <c r="H46" s="21" t="str">
        <f>IFERROR(INDEX('Detalles movimientos'!I$5:I$1000, MATCH(37, 'Detalles movimientos'!$S$5:$S$1000, 0)), "")</f>
        <v/>
      </c>
      <c r="I46" s="20" t="str">
        <f>IFERROR(INDEX('Detalles movimientos'!K$5:K$1000, MATCH(37, 'Detalles movimientos'!$S$5:$S$1000, 0)), "")</f>
        <v/>
      </c>
      <c r="J46" s="19" t="str">
        <f>IFERROR(INDEX('Detalles movimientos'!L$5:L$1000, MATCH(37, 'Detalles movimientos'!$S$5:$S$1000, 0)), "")</f>
        <v/>
      </c>
      <c r="K46" s="20" t="str">
        <f>IFERROR(INDEX('Detalles movimientos'!M$5:M$1000, MATCH(37, 'Detalles movimientos'!$S$5:$S$1000, 0)), "")</f>
        <v/>
      </c>
      <c r="L46" s="18" t="str">
        <f>IFERROR(INDEX('Detalles movimientos'!N$5:N$1000, MATCH(37, 'Detalles movimientos'!$S$5:$S$1000, 0)), "")</f>
        <v/>
      </c>
      <c r="M46" s="18" t="str">
        <f>IFERROR(INDEX('Detalles movimientos'!Q$5:Q$1000, MATCH(37, 'Detalles movimientos'!$S$5:$S$1000, 0)), "")</f>
        <v/>
      </c>
    </row>
    <row r="47" spans="2:13">
      <c r="B47" s="17" t="str">
        <f>IFERROR(INDEX('Detalles movimientos'!C$5:C$1000, MATCH(38, 'Detalles movimientos'!$S$5:$S$1000, 0)), "")</f>
        <v/>
      </c>
      <c r="C47" s="18" t="str">
        <f>IFERROR(INDEX('Detalles movimientos'!D$5:D$1000, MATCH(38, 'Detalles movimientos'!$S$5:$S$1000, 0)), "")</f>
        <v/>
      </c>
      <c r="D47" s="19" t="str">
        <f>IFERROR(INDEX('Detalles movimientos'!E$5:E$1000, MATCH(38, 'Detalles movimientos'!$S$5:$S$1000, 0)), "")</f>
        <v/>
      </c>
      <c r="E47" s="19" t="str">
        <f>IFERROR(INDEX('Detalles movimientos'!F$5:F$1000, MATCH(38, 'Detalles movimientos'!$S$5:$S$1000, 0)), "")</f>
        <v/>
      </c>
      <c r="F47" s="18" t="str">
        <f>IFERROR(INDEX('Detalles movimientos'!G$5:G$1000, MATCH(38, 'Detalles movimientos'!$S$5:$S$1000, 0)), "")</f>
        <v/>
      </c>
      <c r="G47" s="20" t="str">
        <f>IFERROR(INDEX('Detalles movimientos'!H$5:H$1000, MATCH(38, 'Detalles movimientos'!$S$5:$S$1000, 0)), "")</f>
        <v/>
      </c>
      <c r="H47" s="21" t="str">
        <f>IFERROR(INDEX('Detalles movimientos'!I$5:I$1000, MATCH(38, 'Detalles movimientos'!$S$5:$S$1000, 0)), "")</f>
        <v/>
      </c>
      <c r="I47" s="20" t="str">
        <f>IFERROR(INDEX('Detalles movimientos'!K$5:K$1000, MATCH(38, 'Detalles movimientos'!$S$5:$S$1000, 0)), "")</f>
        <v/>
      </c>
      <c r="J47" s="19" t="str">
        <f>IFERROR(INDEX('Detalles movimientos'!L$5:L$1000, MATCH(38, 'Detalles movimientos'!$S$5:$S$1000, 0)), "")</f>
        <v/>
      </c>
      <c r="K47" s="20" t="str">
        <f>IFERROR(INDEX('Detalles movimientos'!M$5:M$1000, MATCH(38, 'Detalles movimientos'!$S$5:$S$1000, 0)), "")</f>
        <v/>
      </c>
      <c r="L47" s="18" t="str">
        <f>IFERROR(INDEX('Detalles movimientos'!N$5:N$1000, MATCH(38, 'Detalles movimientos'!$S$5:$S$1000, 0)), "")</f>
        <v/>
      </c>
      <c r="M47" s="18" t="str">
        <f>IFERROR(INDEX('Detalles movimientos'!Q$5:Q$1000, MATCH(38, 'Detalles movimientos'!$S$5:$S$1000, 0)), "")</f>
        <v/>
      </c>
    </row>
    <row r="48" spans="2:13">
      <c r="B48" s="17" t="str">
        <f>IFERROR(INDEX('Detalles movimientos'!C$5:C$1000, MATCH(39, 'Detalles movimientos'!$S$5:$S$1000, 0)), "")</f>
        <v/>
      </c>
      <c r="C48" s="18" t="str">
        <f>IFERROR(INDEX('Detalles movimientos'!D$5:D$1000, MATCH(39, 'Detalles movimientos'!$S$5:$S$1000, 0)), "")</f>
        <v/>
      </c>
      <c r="D48" s="19" t="str">
        <f>IFERROR(INDEX('Detalles movimientos'!E$5:E$1000, MATCH(39, 'Detalles movimientos'!$S$5:$S$1000, 0)), "")</f>
        <v/>
      </c>
      <c r="E48" s="19" t="str">
        <f>IFERROR(INDEX('Detalles movimientos'!F$5:F$1000, MATCH(39, 'Detalles movimientos'!$S$5:$S$1000, 0)), "")</f>
        <v/>
      </c>
      <c r="F48" s="18" t="str">
        <f>IFERROR(INDEX('Detalles movimientos'!G$5:G$1000, MATCH(39, 'Detalles movimientos'!$S$5:$S$1000, 0)), "")</f>
        <v/>
      </c>
      <c r="G48" s="20" t="str">
        <f>IFERROR(INDEX('Detalles movimientos'!H$5:H$1000, MATCH(39, 'Detalles movimientos'!$S$5:$S$1000, 0)), "")</f>
        <v/>
      </c>
      <c r="H48" s="21" t="str">
        <f>IFERROR(INDEX('Detalles movimientos'!I$5:I$1000, MATCH(39, 'Detalles movimientos'!$S$5:$S$1000, 0)), "")</f>
        <v/>
      </c>
      <c r="I48" s="20" t="str">
        <f>IFERROR(INDEX('Detalles movimientos'!K$5:K$1000, MATCH(39, 'Detalles movimientos'!$S$5:$S$1000, 0)), "")</f>
        <v/>
      </c>
      <c r="J48" s="19" t="str">
        <f>IFERROR(INDEX('Detalles movimientos'!L$5:L$1000, MATCH(39, 'Detalles movimientos'!$S$5:$S$1000, 0)), "")</f>
        <v/>
      </c>
      <c r="K48" s="20" t="str">
        <f>IFERROR(INDEX('Detalles movimientos'!M$5:M$1000, MATCH(39, 'Detalles movimientos'!$S$5:$S$1000, 0)), "")</f>
        <v/>
      </c>
      <c r="L48" s="18" t="str">
        <f>IFERROR(INDEX('Detalles movimientos'!N$5:N$1000, MATCH(39, 'Detalles movimientos'!$S$5:$S$1000, 0)), "")</f>
        <v/>
      </c>
      <c r="M48" s="18" t="str">
        <f>IFERROR(INDEX('Detalles movimientos'!Q$5:Q$1000, MATCH(39, 'Detalles movimientos'!$S$5:$S$1000, 0)), "")</f>
        <v/>
      </c>
    </row>
    <row r="49" spans="2:13">
      <c r="B49" s="17" t="str">
        <f>IFERROR(INDEX('Detalles movimientos'!C$5:C$1000, MATCH(40, 'Detalles movimientos'!$S$5:$S$1000, 0)), "")</f>
        <v/>
      </c>
      <c r="C49" s="18" t="str">
        <f>IFERROR(INDEX('Detalles movimientos'!D$5:D$1000, MATCH(40, 'Detalles movimientos'!$S$5:$S$1000, 0)), "")</f>
        <v/>
      </c>
      <c r="D49" s="19" t="str">
        <f>IFERROR(INDEX('Detalles movimientos'!E$5:E$1000, MATCH(40, 'Detalles movimientos'!$S$5:$S$1000, 0)), "")</f>
        <v/>
      </c>
      <c r="E49" s="19" t="str">
        <f>IFERROR(INDEX('Detalles movimientos'!F$5:F$1000, MATCH(40, 'Detalles movimientos'!$S$5:$S$1000, 0)), "")</f>
        <v/>
      </c>
      <c r="F49" s="18" t="str">
        <f>IFERROR(INDEX('Detalles movimientos'!G$5:G$1000, MATCH(40, 'Detalles movimientos'!$S$5:$S$1000, 0)), "")</f>
        <v/>
      </c>
      <c r="G49" s="20" t="str">
        <f>IFERROR(INDEX('Detalles movimientos'!H$5:H$1000, MATCH(40, 'Detalles movimientos'!$S$5:$S$1000, 0)), "")</f>
        <v/>
      </c>
      <c r="H49" s="21" t="str">
        <f>IFERROR(INDEX('Detalles movimientos'!I$5:I$1000, MATCH(40, 'Detalles movimientos'!$S$5:$S$1000, 0)), "")</f>
        <v/>
      </c>
      <c r="I49" s="20" t="str">
        <f>IFERROR(INDEX('Detalles movimientos'!K$5:K$1000, MATCH(40, 'Detalles movimientos'!$S$5:$S$1000, 0)), "")</f>
        <v/>
      </c>
      <c r="J49" s="19" t="str">
        <f>IFERROR(INDEX('Detalles movimientos'!L$5:L$1000, MATCH(40, 'Detalles movimientos'!$S$5:$S$1000, 0)), "")</f>
        <v/>
      </c>
      <c r="K49" s="20" t="str">
        <f>IFERROR(INDEX('Detalles movimientos'!M$5:M$1000, MATCH(40, 'Detalles movimientos'!$S$5:$S$1000, 0)), "")</f>
        <v/>
      </c>
      <c r="L49" s="18" t="str">
        <f>IFERROR(INDEX('Detalles movimientos'!N$5:N$1000, MATCH(40, 'Detalles movimientos'!$S$5:$S$1000, 0)), "")</f>
        <v/>
      </c>
      <c r="M49" s="18" t="str">
        <f>IFERROR(INDEX('Detalles movimientos'!Q$5:Q$1000, MATCH(40, 'Detalles movimientos'!$S$5:$S$1000, 0)), "")</f>
        <v/>
      </c>
    </row>
    <row r="50" spans="2:13">
      <c r="B50" s="17" t="str">
        <f>IFERROR(INDEX('Detalles movimientos'!C$5:C$1000, MATCH(41, 'Detalles movimientos'!$S$5:$S$1000, 0)), "")</f>
        <v/>
      </c>
      <c r="C50" s="18" t="str">
        <f>IFERROR(INDEX('Detalles movimientos'!D$5:D$1000, MATCH(41, 'Detalles movimientos'!$S$5:$S$1000, 0)), "")</f>
        <v/>
      </c>
      <c r="D50" s="19" t="str">
        <f>IFERROR(INDEX('Detalles movimientos'!E$5:E$1000, MATCH(41, 'Detalles movimientos'!$S$5:$S$1000, 0)), "")</f>
        <v/>
      </c>
      <c r="E50" s="19" t="str">
        <f>IFERROR(INDEX('Detalles movimientos'!F$5:F$1000, MATCH(41, 'Detalles movimientos'!$S$5:$S$1000, 0)), "")</f>
        <v/>
      </c>
      <c r="F50" s="18" t="str">
        <f>IFERROR(INDEX('Detalles movimientos'!G$5:G$1000, MATCH(41, 'Detalles movimientos'!$S$5:$S$1000, 0)), "")</f>
        <v/>
      </c>
      <c r="G50" s="20" t="str">
        <f>IFERROR(INDEX('Detalles movimientos'!H$5:H$1000, MATCH(41, 'Detalles movimientos'!$S$5:$S$1000, 0)), "")</f>
        <v/>
      </c>
      <c r="H50" s="21" t="str">
        <f>IFERROR(INDEX('Detalles movimientos'!I$5:I$1000, MATCH(41, 'Detalles movimientos'!$S$5:$S$1000, 0)), "")</f>
        <v/>
      </c>
      <c r="I50" s="20" t="str">
        <f>IFERROR(INDEX('Detalles movimientos'!K$5:K$1000, MATCH(41, 'Detalles movimientos'!$S$5:$S$1000, 0)), "")</f>
        <v/>
      </c>
      <c r="J50" s="19" t="str">
        <f>IFERROR(INDEX('Detalles movimientos'!L$5:L$1000, MATCH(41, 'Detalles movimientos'!$S$5:$S$1000, 0)), "")</f>
        <v/>
      </c>
      <c r="K50" s="20" t="str">
        <f>IFERROR(INDEX('Detalles movimientos'!M$5:M$1000, MATCH(41, 'Detalles movimientos'!$S$5:$S$1000, 0)), "")</f>
        <v/>
      </c>
      <c r="L50" s="18" t="str">
        <f>IFERROR(INDEX('Detalles movimientos'!N$5:N$1000, MATCH(41, 'Detalles movimientos'!$S$5:$S$1000, 0)), "")</f>
        <v/>
      </c>
      <c r="M50" s="18" t="str">
        <f>IFERROR(INDEX('Detalles movimientos'!Q$5:Q$1000, MATCH(41, 'Detalles movimientos'!$S$5:$S$1000, 0)), "")</f>
        <v/>
      </c>
    </row>
    <row r="51" spans="2:13">
      <c r="B51" s="17" t="str">
        <f>IFERROR(INDEX('Detalles movimientos'!C$5:C$1000, MATCH(42, 'Detalles movimientos'!$S$5:$S$1000, 0)), "")</f>
        <v/>
      </c>
      <c r="C51" s="18" t="str">
        <f>IFERROR(INDEX('Detalles movimientos'!D$5:D$1000, MATCH(42, 'Detalles movimientos'!$S$5:$S$1000, 0)), "")</f>
        <v/>
      </c>
      <c r="D51" s="19" t="str">
        <f>IFERROR(INDEX('Detalles movimientos'!E$5:E$1000, MATCH(42, 'Detalles movimientos'!$S$5:$S$1000, 0)), "")</f>
        <v/>
      </c>
      <c r="E51" s="19" t="str">
        <f>IFERROR(INDEX('Detalles movimientos'!F$5:F$1000, MATCH(42, 'Detalles movimientos'!$S$5:$S$1000, 0)), "")</f>
        <v/>
      </c>
      <c r="F51" s="18" t="str">
        <f>IFERROR(INDEX('Detalles movimientos'!G$5:G$1000, MATCH(42, 'Detalles movimientos'!$S$5:$S$1000, 0)), "")</f>
        <v/>
      </c>
      <c r="G51" s="20" t="str">
        <f>IFERROR(INDEX('Detalles movimientos'!H$5:H$1000, MATCH(42, 'Detalles movimientos'!$S$5:$S$1000, 0)), "")</f>
        <v/>
      </c>
      <c r="H51" s="21" t="str">
        <f>IFERROR(INDEX('Detalles movimientos'!I$5:I$1000, MATCH(42, 'Detalles movimientos'!$S$5:$S$1000, 0)), "")</f>
        <v/>
      </c>
      <c r="I51" s="20" t="str">
        <f>IFERROR(INDEX('Detalles movimientos'!K$5:K$1000, MATCH(42, 'Detalles movimientos'!$S$5:$S$1000, 0)), "")</f>
        <v/>
      </c>
      <c r="J51" s="19" t="str">
        <f>IFERROR(INDEX('Detalles movimientos'!L$5:L$1000, MATCH(42, 'Detalles movimientos'!$S$5:$S$1000, 0)), "")</f>
        <v/>
      </c>
      <c r="K51" s="20" t="str">
        <f>IFERROR(INDEX('Detalles movimientos'!M$5:M$1000, MATCH(42, 'Detalles movimientos'!$S$5:$S$1000, 0)), "")</f>
        <v/>
      </c>
      <c r="L51" s="18" t="str">
        <f>IFERROR(INDEX('Detalles movimientos'!N$5:N$1000, MATCH(42, 'Detalles movimientos'!$S$5:$S$1000, 0)), "")</f>
        <v/>
      </c>
      <c r="M51" s="18" t="str">
        <f>IFERROR(INDEX('Detalles movimientos'!Q$5:Q$1000, MATCH(42, 'Detalles movimientos'!$S$5:$S$1000, 0)), "")</f>
        <v/>
      </c>
    </row>
    <row r="52" spans="2:13">
      <c r="B52" s="17" t="str">
        <f>IFERROR(INDEX('Detalles movimientos'!C$5:C$1000, MATCH(43, 'Detalles movimientos'!$S$5:$S$1000, 0)), "")</f>
        <v/>
      </c>
      <c r="C52" s="18" t="str">
        <f>IFERROR(INDEX('Detalles movimientos'!D$5:D$1000, MATCH(43, 'Detalles movimientos'!$S$5:$S$1000, 0)), "")</f>
        <v/>
      </c>
      <c r="D52" s="19" t="str">
        <f>IFERROR(INDEX('Detalles movimientos'!E$5:E$1000, MATCH(43, 'Detalles movimientos'!$S$5:$S$1000, 0)), "")</f>
        <v/>
      </c>
      <c r="E52" s="19" t="str">
        <f>IFERROR(INDEX('Detalles movimientos'!F$5:F$1000, MATCH(43, 'Detalles movimientos'!$S$5:$S$1000, 0)), "")</f>
        <v/>
      </c>
      <c r="F52" s="18" t="str">
        <f>IFERROR(INDEX('Detalles movimientos'!G$5:G$1000, MATCH(43, 'Detalles movimientos'!$S$5:$S$1000, 0)), "")</f>
        <v/>
      </c>
      <c r="G52" s="20" t="str">
        <f>IFERROR(INDEX('Detalles movimientos'!H$5:H$1000, MATCH(43, 'Detalles movimientos'!$S$5:$S$1000, 0)), "")</f>
        <v/>
      </c>
      <c r="H52" s="21" t="str">
        <f>IFERROR(INDEX('Detalles movimientos'!I$5:I$1000, MATCH(43, 'Detalles movimientos'!$S$5:$S$1000, 0)), "")</f>
        <v/>
      </c>
      <c r="I52" s="20" t="str">
        <f>IFERROR(INDEX('Detalles movimientos'!K$5:K$1000, MATCH(43, 'Detalles movimientos'!$S$5:$S$1000, 0)), "")</f>
        <v/>
      </c>
      <c r="J52" s="19" t="str">
        <f>IFERROR(INDEX('Detalles movimientos'!L$5:L$1000, MATCH(43, 'Detalles movimientos'!$S$5:$S$1000, 0)), "")</f>
        <v/>
      </c>
      <c r="K52" s="20" t="str">
        <f>IFERROR(INDEX('Detalles movimientos'!M$5:M$1000, MATCH(43, 'Detalles movimientos'!$S$5:$S$1000, 0)), "")</f>
        <v/>
      </c>
      <c r="L52" s="18" t="str">
        <f>IFERROR(INDEX('Detalles movimientos'!N$5:N$1000, MATCH(43, 'Detalles movimientos'!$S$5:$S$1000, 0)), "")</f>
        <v/>
      </c>
      <c r="M52" s="18" t="str">
        <f>IFERROR(INDEX('Detalles movimientos'!Q$5:Q$1000, MATCH(43, 'Detalles movimientos'!$S$5:$S$1000, 0)), "")</f>
        <v/>
      </c>
    </row>
    <row r="53" spans="2:13">
      <c r="B53" s="17" t="str">
        <f>IFERROR(INDEX('Detalles movimientos'!C$5:C$1000, MATCH(44, 'Detalles movimientos'!$S$5:$S$1000, 0)), "")</f>
        <v/>
      </c>
      <c r="C53" s="18" t="str">
        <f>IFERROR(INDEX('Detalles movimientos'!D$5:D$1000, MATCH(44, 'Detalles movimientos'!$S$5:$S$1000, 0)), "")</f>
        <v/>
      </c>
      <c r="D53" s="19" t="str">
        <f>IFERROR(INDEX('Detalles movimientos'!E$5:E$1000, MATCH(44, 'Detalles movimientos'!$S$5:$S$1000, 0)), "")</f>
        <v/>
      </c>
      <c r="E53" s="19" t="str">
        <f>IFERROR(INDEX('Detalles movimientos'!F$5:F$1000, MATCH(44, 'Detalles movimientos'!$S$5:$S$1000, 0)), "")</f>
        <v/>
      </c>
      <c r="F53" s="18" t="str">
        <f>IFERROR(INDEX('Detalles movimientos'!G$5:G$1000, MATCH(44, 'Detalles movimientos'!$S$5:$S$1000, 0)), "")</f>
        <v/>
      </c>
      <c r="G53" s="20" t="str">
        <f>IFERROR(INDEX('Detalles movimientos'!H$5:H$1000, MATCH(44, 'Detalles movimientos'!$S$5:$S$1000, 0)), "")</f>
        <v/>
      </c>
      <c r="H53" s="21" t="str">
        <f>IFERROR(INDEX('Detalles movimientos'!I$5:I$1000, MATCH(44, 'Detalles movimientos'!$S$5:$S$1000, 0)), "")</f>
        <v/>
      </c>
      <c r="I53" s="20" t="str">
        <f>IFERROR(INDEX('Detalles movimientos'!K$5:K$1000, MATCH(44, 'Detalles movimientos'!$S$5:$S$1000, 0)), "")</f>
        <v/>
      </c>
      <c r="J53" s="19" t="str">
        <f>IFERROR(INDEX('Detalles movimientos'!L$5:L$1000, MATCH(44, 'Detalles movimientos'!$S$5:$S$1000, 0)), "")</f>
        <v/>
      </c>
      <c r="K53" s="20" t="str">
        <f>IFERROR(INDEX('Detalles movimientos'!M$5:M$1000, MATCH(44, 'Detalles movimientos'!$S$5:$S$1000, 0)), "")</f>
        <v/>
      </c>
      <c r="L53" s="18" t="str">
        <f>IFERROR(INDEX('Detalles movimientos'!N$5:N$1000, MATCH(44, 'Detalles movimientos'!$S$5:$S$1000, 0)), "")</f>
        <v/>
      </c>
      <c r="M53" s="18" t="str">
        <f>IFERROR(INDEX('Detalles movimientos'!Q$5:Q$1000, MATCH(44, 'Detalles movimientos'!$S$5:$S$1000, 0)), "")</f>
        <v/>
      </c>
    </row>
    <row r="54" spans="2:13">
      <c r="B54" s="17" t="str">
        <f>IFERROR(INDEX('Detalles movimientos'!C$5:C$1000, MATCH(45, 'Detalles movimientos'!$S$5:$S$1000, 0)), "")</f>
        <v/>
      </c>
      <c r="C54" s="18" t="str">
        <f>IFERROR(INDEX('Detalles movimientos'!D$5:D$1000, MATCH(45, 'Detalles movimientos'!$S$5:$S$1000, 0)), "")</f>
        <v/>
      </c>
      <c r="D54" s="19" t="str">
        <f>IFERROR(INDEX('Detalles movimientos'!E$5:E$1000, MATCH(45, 'Detalles movimientos'!$S$5:$S$1000, 0)), "")</f>
        <v/>
      </c>
      <c r="E54" s="19" t="str">
        <f>IFERROR(INDEX('Detalles movimientos'!F$5:F$1000, MATCH(45, 'Detalles movimientos'!$S$5:$S$1000, 0)), "")</f>
        <v/>
      </c>
      <c r="F54" s="18" t="str">
        <f>IFERROR(INDEX('Detalles movimientos'!G$5:G$1000, MATCH(45, 'Detalles movimientos'!$S$5:$S$1000, 0)), "")</f>
        <v/>
      </c>
      <c r="G54" s="20" t="str">
        <f>IFERROR(INDEX('Detalles movimientos'!H$5:H$1000, MATCH(45, 'Detalles movimientos'!$S$5:$S$1000, 0)), "")</f>
        <v/>
      </c>
      <c r="H54" s="21" t="str">
        <f>IFERROR(INDEX('Detalles movimientos'!I$5:I$1000, MATCH(45, 'Detalles movimientos'!$S$5:$S$1000, 0)), "")</f>
        <v/>
      </c>
      <c r="I54" s="20" t="str">
        <f>IFERROR(INDEX('Detalles movimientos'!K$5:K$1000, MATCH(45, 'Detalles movimientos'!$S$5:$S$1000, 0)), "")</f>
        <v/>
      </c>
      <c r="J54" s="19" t="str">
        <f>IFERROR(INDEX('Detalles movimientos'!L$5:L$1000, MATCH(45, 'Detalles movimientos'!$S$5:$S$1000, 0)), "")</f>
        <v/>
      </c>
      <c r="K54" s="20" t="str">
        <f>IFERROR(INDEX('Detalles movimientos'!M$5:M$1000, MATCH(45, 'Detalles movimientos'!$S$5:$S$1000, 0)), "")</f>
        <v/>
      </c>
      <c r="L54" s="18" t="str">
        <f>IFERROR(INDEX('Detalles movimientos'!N$5:N$1000, MATCH(45, 'Detalles movimientos'!$S$5:$S$1000, 0)), "")</f>
        <v/>
      </c>
      <c r="M54" s="18" t="str">
        <f>IFERROR(INDEX('Detalles movimientos'!Q$5:Q$1000, MATCH(45, 'Detalles movimientos'!$S$5:$S$1000, 0)), "")</f>
        <v/>
      </c>
    </row>
    <row r="55" spans="2:13">
      <c r="B55" s="17" t="str">
        <f>IFERROR(INDEX('Detalles movimientos'!C$5:C$1000, MATCH(46, 'Detalles movimientos'!$S$5:$S$1000, 0)), "")</f>
        <v/>
      </c>
      <c r="C55" s="18" t="str">
        <f>IFERROR(INDEX('Detalles movimientos'!D$5:D$1000, MATCH(46, 'Detalles movimientos'!$S$5:$S$1000, 0)), "")</f>
        <v/>
      </c>
      <c r="D55" s="19" t="str">
        <f>IFERROR(INDEX('Detalles movimientos'!E$5:E$1000, MATCH(46, 'Detalles movimientos'!$S$5:$S$1000, 0)), "")</f>
        <v/>
      </c>
      <c r="E55" s="19" t="str">
        <f>IFERROR(INDEX('Detalles movimientos'!F$5:F$1000, MATCH(46, 'Detalles movimientos'!$S$5:$S$1000, 0)), "")</f>
        <v/>
      </c>
      <c r="F55" s="18" t="str">
        <f>IFERROR(INDEX('Detalles movimientos'!G$5:G$1000, MATCH(46, 'Detalles movimientos'!$S$5:$S$1000, 0)), "")</f>
        <v/>
      </c>
      <c r="G55" s="20" t="str">
        <f>IFERROR(INDEX('Detalles movimientos'!H$5:H$1000, MATCH(46, 'Detalles movimientos'!$S$5:$S$1000, 0)), "")</f>
        <v/>
      </c>
      <c r="H55" s="21" t="str">
        <f>IFERROR(INDEX('Detalles movimientos'!I$5:I$1000, MATCH(46, 'Detalles movimientos'!$S$5:$S$1000, 0)), "")</f>
        <v/>
      </c>
      <c r="I55" s="20" t="str">
        <f>IFERROR(INDEX('Detalles movimientos'!K$5:K$1000, MATCH(46, 'Detalles movimientos'!$S$5:$S$1000, 0)), "")</f>
        <v/>
      </c>
      <c r="J55" s="19" t="str">
        <f>IFERROR(INDEX('Detalles movimientos'!L$5:L$1000, MATCH(46, 'Detalles movimientos'!$S$5:$S$1000, 0)), "")</f>
        <v/>
      </c>
      <c r="K55" s="20" t="str">
        <f>IFERROR(INDEX('Detalles movimientos'!M$5:M$1000, MATCH(46, 'Detalles movimientos'!$S$5:$S$1000, 0)), "")</f>
        <v/>
      </c>
      <c r="L55" s="18" t="str">
        <f>IFERROR(INDEX('Detalles movimientos'!N$5:N$1000, MATCH(46, 'Detalles movimientos'!$S$5:$S$1000, 0)), "")</f>
        <v/>
      </c>
      <c r="M55" s="18" t="str">
        <f>IFERROR(INDEX('Detalles movimientos'!Q$5:Q$1000, MATCH(46, 'Detalles movimientos'!$S$5:$S$1000, 0)), "")</f>
        <v/>
      </c>
    </row>
    <row r="56" spans="2:13">
      <c r="B56" s="17" t="str">
        <f>IFERROR(INDEX('Detalles movimientos'!C$5:C$1000, MATCH(47, 'Detalles movimientos'!$S$5:$S$1000, 0)), "")</f>
        <v/>
      </c>
      <c r="C56" s="18" t="str">
        <f>IFERROR(INDEX('Detalles movimientos'!D$5:D$1000, MATCH(47, 'Detalles movimientos'!$S$5:$S$1000, 0)), "")</f>
        <v/>
      </c>
      <c r="D56" s="19" t="str">
        <f>IFERROR(INDEX('Detalles movimientos'!E$5:E$1000, MATCH(47, 'Detalles movimientos'!$S$5:$S$1000, 0)), "")</f>
        <v/>
      </c>
      <c r="E56" s="19" t="str">
        <f>IFERROR(INDEX('Detalles movimientos'!F$5:F$1000, MATCH(47, 'Detalles movimientos'!$S$5:$S$1000, 0)), "")</f>
        <v/>
      </c>
      <c r="F56" s="18" t="str">
        <f>IFERROR(INDEX('Detalles movimientos'!G$5:G$1000, MATCH(47, 'Detalles movimientos'!$S$5:$S$1000, 0)), "")</f>
        <v/>
      </c>
      <c r="G56" s="20" t="str">
        <f>IFERROR(INDEX('Detalles movimientos'!H$5:H$1000, MATCH(47, 'Detalles movimientos'!$S$5:$S$1000, 0)), "")</f>
        <v/>
      </c>
      <c r="H56" s="21" t="str">
        <f>IFERROR(INDEX('Detalles movimientos'!I$5:I$1000, MATCH(47, 'Detalles movimientos'!$S$5:$S$1000, 0)), "")</f>
        <v/>
      </c>
      <c r="I56" s="20" t="str">
        <f>IFERROR(INDEX('Detalles movimientos'!K$5:K$1000, MATCH(47, 'Detalles movimientos'!$S$5:$S$1000, 0)), "")</f>
        <v/>
      </c>
      <c r="J56" s="19" t="str">
        <f>IFERROR(INDEX('Detalles movimientos'!L$5:L$1000, MATCH(47, 'Detalles movimientos'!$S$5:$S$1000, 0)), "")</f>
        <v/>
      </c>
      <c r="K56" s="20" t="str">
        <f>IFERROR(INDEX('Detalles movimientos'!M$5:M$1000, MATCH(47, 'Detalles movimientos'!$S$5:$S$1000, 0)), "")</f>
        <v/>
      </c>
      <c r="L56" s="18" t="str">
        <f>IFERROR(INDEX('Detalles movimientos'!N$5:N$1000, MATCH(47, 'Detalles movimientos'!$S$5:$S$1000, 0)), "")</f>
        <v/>
      </c>
      <c r="M56" s="18" t="str">
        <f>IFERROR(INDEX('Detalles movimientos'!Q$5:Q$1000, MATCH(47, 'Detalles movimientos'!$S$5:$S$1000, 0)), "")</f>
        <v/>
      </c>
    </row>
    <row r="57" spans="2:13">
      <c r="B57" s="17" t="str">
        <f>IFERROR(INDEX('Detalles movimientos'!C$5:C$1000, MATCH(48, 'Detalles movimientos'!$S$5:$S$1000, 0)), "")</f>
        <v/>
      </c>
      <c r="C57" s="18" t="str">
        <f>IFERROR(INDEX('Detalles movimientos'!D$5:D$1000, MATCH(48, 'Detalles movimientos'!$S$5:$S$1000, 0)), "")</f>
        <v/>
      </c>
      <c r="D57" s="19" t="str">
        <f>IFERROR(INDEX('Detalles movimientos'!E$5:E$1000, MATCH(48, 'Detalles movimientos'!$S$5:$S$1000, 0)), "")</f>
        <v/>
      </c>
      <c r="E57" s="19" t="str">
        <f>IFERROR(INDEX('Detalles movimientos'!F$5:F$1000, MATCH(48, 'Detalles movimientos'!$S$5:$S$1000, 0)), "")</f>
        <v/>
      </c>
      <c r="F57" s="18" t="str">
        <f>IFERROR(INDEX('Detalles movimientos'!G$5:G$1000, MATCH(48, 'Detalles movimientos'!$S$5:$S$1000, 0)), "")</f>
        <v/>
      </c>
      <c r="G57" s="20" t="str">
        <f>IFERROR(INDEX('Detalles movimientos'!H$5:H$1000, MATCH(48, 'Detalles movimientos'!$S$5:$S$1000, 0)), "")</f>
        <v/>
      </c>
      <c r="H57" s="21" t="str">
        <f>IFERROR(INDEX('Detalles movimientos'!I$5:I$1000, MATCH(48, 'Detalles movimientos'!$S$5:$S$1000, 0)), "")</f>
        <v/>
      </c>
      <c r="I57" s="20" t="str">
        <f>IFERROR(INDEX('Detalles movimientos'!K$5:K$1000, MATCH(48, 'Detalles movimientos'!$S$5:$S$1000, 0)), "")</f>
        <v/>
      </c>
      <c r="J57" s="19" t="str">
        <f>IFERROR(INDEX('Detalles movimientos'!L$5:L$1000, MATCH(48, 'Detalles movimientos'!$S$5:$S$1000, 0)), "")</f>
        <v/>
      </c>
      <c r="K57" s="20" t="str">
        <f>IFERROR(INDEX('Detalles movimientos'!M$5:M$1000, MATCH(48, 'Detalles movimientos'!$S$5:$S$1000, 0)), "")</f>
        <v/>
      </c>
      <c r="L57" s="18" t="str">
        <f>IFERROR(INDEX('Detalles movimientos'!N$5:N$1000, MATCH(48, 'Detalles movimientos'!$S$5:$S$1000, 0)), "")</f>
        <v/>
      </c>
      <c r="M57" s="18" t="str">
        <f>IFERROR(INDEX('Detalles movimientos'!Q$5:Q$1000, MATCH(48, 'Detalles movimientos'!$S$5:$S$1000, 0)), "")</f>
        <v/>
      </c>
    </row>
    <row r="58" spans="2:13">
      <c r="B58" s="17" t="str">
        <f>IFERROR(INDEX('Detalles movimientos'!C$5:C$1000, MATCH(49, 'Detalles movimientos'!$S$5:$S$1000, 0)), "")</f>
        <v/>
      </c>
      <c r="C58" s="18" t="str">
        <f>IFERROR(INDEX('Detalles movimientos'!D$5:D$1000, MATCH(49, 'Detalles movimientos'!$S$5:$S$1000, 0)), "")</f>
        <v/>
      </c>
      <c r="D58" s="19" t="str">
        <f>IFERROR(INDEX('Detalles movimientos'!E$5:E$1000, MATCH(49, 'Detalles movimientos'!$S$5:$S$1000, 0)), "")</f>
        <v/>
      </c>
      <c r="E58" s="19" t="str">
        <f>IFERROR(INDEX('Detalles movimientos'!F$5:F$1000, MATCH(49, 'Detalles movimientos'!$S$5:$S$1000, 0)), "")</f>
        <v/>
      </c>
      <c r="F58" s="18" t="str">
        <f>IFERROR(INDEX('Detalles movimientos'!G$5:G$1000, MATCH(49, 'Detalles movimientos'!$S$5:$S$1000, 0)), "")</f>
        <v/>
      </c>
      <c r="G58" s="20" t="str">
        <f>IFERROR(INDEX('Detalles movimientos'!H$5:H$1000, MATCH(49, 'Detalles movimientos'!$S$5:$S$1000, 0)), "")</f>
        <v/>
      </c>
      <c r="H58" s="21" t="str">
        <f>IFERROR(INDEX('Detalles movimientos'!I$5:I$1000, MATCH(49, 'Detalles movimientos'!$S$5:$S$1000, 0)), "")</f>
        <v/>
      </c>
      <c r="I58" s="20" t="str">
        <f>IFERROR(INDEX('Detalles movimientos'!K$5:K$1000, MATCH(49, 'Detalles movimientos'!$S$5:$S$1000, 0)), "")</f>
        <v/>
      </c>
      <c r="J58" s="19" t="str">
        <f>IFERROR(INDEX('Detalles movimientos'!L$5:L$1000, MATCH(49, 'Detalles movimientos'!$S$5:$S$1000, 0)), "")</f>
        <v/>
      </c>
      <c r="K58" s="20" t="str">
        <f>IFERROR(INDEX('Detalles movimientos'!M$5:M$1000, MATCH(49, 'Detalles movimientos'!$S$5:$S$1000, 0)), "")</f>
        <v/>
      </c>
      <c r="L58" s="18" t="str">
        <f>IFERROR(INDEX('Detalles movimientos'!N$5:N$1000, MATCH(49, 'Detalles movimientos'!$S$5:$S$1000, 0)), "")</f>
        <v/>
      </c>
      <c r="M58" s="18" t="str">
        <f>IFERROR(INDEX('Detalles movimientos'!Q$5:Q$1000, MATCH(49, 'Detalles movimientos'!$S$5:$S$1000, 0)), "")</f>
        <v/>
      </c>
    </row>
    <row r="59" spans="2:13">
      <c r="B59" s="17" t="str">
        <f>IFERROR(INDEX('Detalles movimientos'!C$5:C$1000, MATCH(50, 'Detalles movimientos'!$S$5:$S$1000, 0)), "")</f>
        <v/>
      </c>
      <c r="C59" s="18" t="str">
        <f>IFERROR(INDEX('Detalles movimientos'!D$5:D$1000, MATCH(50, 'Detalles movimientos'!$S$5:$S$1000, 0)), "")</f>
        <v/>
      </c>
      <c r="D59" s="19" t="str">
        <f>IFERROR(INDEX('Detalles movimientos'!E$5:E$1000, MATCH(50, 'Detalles movimientos'!$S$5:$S$1000, 0)), "")</f>
        <v/>
      </c>
      <c r="E59" s="19" t="str">
        <f>IFERROR(INDEX('Detalles movimientos'!F$5:F$1000, MATCH(50, 'Detalles movimientos'!$S$5:$S$1000, 0)), "")</f>
        <v/>
      </c>
      <c r="F59" s="18" t="str">
        <f>IFERROR(INDEX('Detalles movimientos'!G$5:G$1000, MATCH(50, 'Detalles movimientos'!$S$5:$S$1000, 0)), "")</f>
        <v/>
      </c>
      <c r="G59" s="20" t="str">
        <f>IFERROR(INDEX('Detalles movimientos'!H$5:H$1000, MATCH(50, 'Detalles movimientos'!$S$5:$S$1000, 0)), "")</f>
        <v/>
      </c>
      <c r="H59" s="21" t="str">
        <f>IFERROR(INDEX('Detalles movimientos'!I$5:I$1000, MATCH(50, 'Detalles movimientos'!$S$5:$S$1000, 0)), "")</f>
        <v/>
      </c>
      <c r="I59" s="20" t="str">
        <f>IFERROR(INDEX('Detalles movimientos'!K$5:K$1000, MATCH(50, 'Detalles movimientos'!$S$5:$S$1000, 0)), "")</f>
        <v/>
      </c>
      <c r="J59" s="19" t="str">
        <f>IFERROR(INDEX('Detalles movimientos'!L$5:L$1000, MATCH(50, 'Detalles movimientos'!$S$5:$S$1000, 0)), "")</f>
        <v/>
      </c>
      <c r="K59" s="20" t="str">
        <f>IFERROR(INDEX('Detalles movimientos'!M$5:M$1000, MATCH(50, 'Detalles movimientos'!$S$5:$S$1000, 0)), "")</f>
        <v/>
      </c>
      <c r="L59" s="18" t="str">
        <f>IFERROR(INDEX('Detalles movimientos'!N$5:N$1000, MATCH(50, 'Detalles movimientos'!$S$5:$S$1000, 0)), "")</f>
        <v/>
      </c>
      <c r="M59" s="18" t="str">
        <f>IFERROR(INDEX('Detalles movimientos'!Q$5:Q$1000, MATCH(50, 'Detalles movimientos'!$S$5:$S$1000, 0)), "")</f>
        <v/>
      </c>
    </row>
    <row r="60" spans="2:13">
      <c r="B60" s="17" t="str">
        <f>IFERROR(INDEX('Detalles movimientos'!C$5:C$1000, MATCH(51, 'Detalles movimientos'!$S$5:$S$1000, 0)), "")</f>
        <v/>
      </c>
      <c r="C60" s="18" t="str">
        <f>IFERROR(INDEX('Detalles movimientos'!D$5:D$1000, MATCH(51, 'Detalles movimientos'!$S$5:$S$1000, 0)), "")</f>
        <v/>
      </c>
      <c r="D60" s="19" t="str">
        <f>IFERROR(INDEX('Detalles movimientos'!E$5:E$1000, MATCH(51, 'Detalles movimientos'!$S$5:$S$1000, 0)), "")</f>
        <v/>
      </c>
      <c r="E60" s="19" t="str">
        <f>IFERROR(INDEX('Detalles movimientos'!F$5:F$1000, MATCH(51, 'Detalles movimientos'!$S$5:$S$1000, 0)), "")</f>
        <v/>
      </c>
      <c r="F60" s="18" t="str">
        <f>IFERROR(INDEX('Detalles movimientos'!G$5:G$1000, MATCH(51, 'Detalles movimientos'!$S$5:$S$1000, 0)), "")</f>
        <v/>
      </c>
      <c r="G60" s="20" t="str">
        <f>IFERROR(INDEX('Detalles movimientos'!H$5:H$1000, MATCH(51, 'Detalles movimientos'!$S$5:$S$1000, 0)), "")</f>
        <v/>
      </c>
      <c r="H60" s="21" t="str">
        <f>IFERROR(INDEX('Detalles movimientos'!I$5:I$1000, MATCH(51, 'Detalles movimientos'!$S$5:$S$1000, 0)), "")</f>
        <v/>
      </c>
      <c r="I60" s="20" t="str">
        <f>IFERROR(INDEX('Detalles movimientos'!K$5:K$1000, MATCH(51, 'Detalles movimientos'!$S$5:$S$1000, 0)), "")</f>
        <v/>
      </c>
      <c r="J60" s="19" t="str">
        <f>IFERROR(INDEX('Detalles movimientos'!L$5:L$1000, MATCH(51, 'Detalles movimientos'!$S$5:$S$1000, 0)), "")</f>
        <v/>
      </c>
      <c r="K60" s="20" t="str">
        <f>IFERROR(INDEX('Detalles movimientos'!M$5:M$1000, MATCH(51, 'Detalles movimientos'!$S$5:$S$1000, 0)), "")</f>
        <v/>
      </c>
      <c r="L60" s="18" t="str">
        <f>IFERROR(INDEX('Detalles movimientos'!N$5:N$1000, MATCH(51, 'Detalles movimientos'!$S$5:$S$1000, 0)), "")</f>
        <v/>
      </c>
      <c r="M60" s="18" t="str">
        <f>IFERROR(INDEX('Detalles movimientos'!Q$5:Q$1000, MATCH(51, 'Detalles movimientos'!$S$5:$S$1000, 0)), "")</f>
        <v/>
      </c>
    </row>
    <row r="61" spans="2:13">
      <c r="B61" s="17" t="str">
        <f>IFERROR(INDEX('Detalles movimientos'!C$5:C$1000, MATCH(52, 'Detalles movimientos'!$S$5:$S$1000, 0)), "")</f>
        <v/>
      </c>
      <c r="C61" s="18" t="str">
        <f>IFERROR(INDEX('Detalles movimientos'!D$5:D$1000, MATCH(52, 'Detalles movimientos'!$S$5:$S$1000, 0)), "")</f>
        <v/>
      </c>
      <c r="D61" s="19" t="str">
        <f>IFERROR(INDEX('Detalles movimientos'!E$5:E$1000, MATCH(52, 'Detalles movimientos'!$S$5:$S$1000, 0)), "")</f>
        <v/>
      </c>
      <c r="E61" s="19" t="str">
        <f>IFERROR(INDEX('Detalles movimientos'!F$5:F$1000, MATCH(52, 'Detalles movimientos'!$S$5:$S$1000, 0)), "")</f>
        <v/>
      </c>
      <c r="F61" s="18" t="str">
        <f>IFERROR(INDEX('Detalles movimientos'!G$5:G$1000, MATCH(52, 'Detalles movimientos'!$S$5:$S$1000, 0)), "")</f>
        <v/>
      </c>
      <c r="G61" s="20" t="str">
        <f>IFERROR(INDEX('Detalles movimientos'!H$5:H$1000, MATCH(52, 'Detalles movimientos'!$S$5:$S$1000, 0)), "")</f>
        <v/>
      </c>
      <c r="H61" s="21" t="str">
        <f>IFERROR(INDEX('Detalles movimientos'!I$5:I$1000, MATCH(52, 'Detalles movimientos'!$S$5:$S$1000, 0)), "")</f>
        <v/>
      </c>
      <c r="I61" s="20" t="str">
        <f>IFERROR(INDEX('Detalles movimientos'!K$5:K$1000, MATCH(52, 'Detalles movimientos'!$S$5:$S$1000, 0)), "")</f>
        <v/>
      </c>
      <c r="J61" s="19" t="str">
        <f>IFERROR(INDEX('Detalles movimientos'!L$5:L$1000, MATCH(52, 'Detalles movimientos'!$S$5:$S$1000, 0)), "")</f>
        <v/>
      </c>
      <c r="K61" s="20" t="str">
        <f>IFERROR(INDEX('Detalles movimientos'!M$5:M$1000, MATCH(52, 'Detalles movimientos'!$S$5:$S$1000, 0)), "")</f>
        <v/>
      </c>
      <c r="L61" s="18" t="str">
        <f>IFERROR(INDEX('Detalles movimientos'!N$5:N$1000, MATCH(52, 'Detalles movimientos'!$S$5:$S$1000, 0)), "")</f>
        <v/>
      </c>
      <c r="M61" s="18" t="str">
        <f>IFERROR(INDEX('Detalles movimientos'!Q$5:Q$1000, MATCH(52, 'Detalles movimientos'!$S$5:$S$1000, 0)), "")</f>
        <v/>
      </c>
    </row>
    <row r="62" spans="2:13">
      <c r="B62" s="17" t="str">
        <f>IFERROR(INDEX('Detalles movimientos'!C$5:C$1000, MATCH(53, 'Detalles movimientos'!$S$5:$S$1000, 0)), "")</f>
        <v/>
      </c>
      <c r="C62" s="18" t="str">
        <f>IFERROR(INDEX('Detalles movimientos'!D$5:D$1000, MATCH(53, 'Detalles movimientos'!$S$5:$S$1000, 0)), "")</f>
        <v/>
      </c>
      <c r="D62" s="19" t="str">
        <f>IFERROR(INDEX('Detalles movimientos'!E$5:E$1000, MATCH(53, 'Detalles movimientos'!$S$5:$S$1000, 0)), "")</f>
        <v/>
      </c>
      <c r="E62" s="19" t="str">
        <f>IFERROR(INDEX('Detalles movimientos'!F$5:F$1000, MATCH(53, 'Detalles movimientos'!$S$5:$S$1000, 0)), "")</f>
        <v/>
      </c>
      <c r="F62" s="18" t="str">
        <f>IFERROR(INDEX('Detalles movimientos'!G$5:G$1000, MATCH(53, 'Detalles movimientos'!$S$5:$S$1000, 0)), "")</f>
        <v/>
      </c>
      <c r="G62" s="20" t="str">
        <f>IFERROR(INDEX('Detalles movimientos'!H$5:H$1000, MATCH(53, 'Detalles movimientos'!$S$5:$S$1000, 0)), "")</f>
        <v/>
      </c>
      <c r="H62" s="21" t="str">
        <f>IFERROR(INDEX('Detalles movimientos'!I$5:I$1000, MATCH(53, 'Detalles movimientos'!$S$5:$S$1000, 0)), "")</f>
        <v/>
      </c>
      <c r="I62" s="20" t="str">
        <f>IFERROR(INDEX('Detalles movimientos'!K$5:K$1000, MATCH(53, 'Detalles movimientos'!$S$5:$S$1000, 0)), "")</f>
        <v/>
      </c>
      <c r="J62" s="19" t="str">
        <f>IFERROR(INDEX('Detalles movimientos'!L$5:L$1000, MATCH(53, 'Detalles movimientos'!$S$5:$S$1000, 0)), "")</f>
        <v/>
      </c>
      <c r="K62" s="20" t="str">
        <f>IFERROR(INDEX('Detalles movimientos'!M$5:M$1000, MATCH(53, 'Detalles movimientos'!$S$5:$S$1000, 0)), "")</f>
        <v/>
      </c>
      <c r="L62" s="18" t="str">
        <f>IFERROR(INDEX('Detalles movimientos'!N$5:N$1000, MATCH(53, 'Detalles movimientos'!$S$5:$S$1000, 0)), "")</f>
        <v/>
      </c>
      <c r="M62" s="18" t="str">
        <f>IFERROR(INDEX('Detalles movimientos'!Q$5:Q$1000, MATCH(53, 'Detalles movimientos'!$S$5:$S$1000, 0)), "")</f>
        <v/>
      </c>
    </row>
    <row r="63" spans="2:13">
      <c r="B63" s="17" t="str">
        <f>IFERROR(INDEX('Detalles movimientos'!C$5:C$1000, MATCH(54, 'Detalles movimientos'!$S$5:$S$1000, 0)), "")</f>
        <v/>
      </c>
      <c r="C63" s="18" t="str">
        <f>IFERROR(INDEX('Detalles movimientos'!D$5:D$1000, MATCH(54, 'Detalles movimientos'!$S$5:$S$1000, 0)), "")</f>
        <v/>
      </c>
      <c r="D63" s="19" t="str">
        <f>IFERROR(INDEX('Detalles movimientos'!E$5:E$1000, MATCH(54, 'Detalles movimientos'!$S$5:$S$1000, 0)), "")</f>
        <v/>
      </c>
      <c r="E63" s="19" t="str">
        <f>IFERROR(INDEX('Detalles movimientos'!F$5:F$1000, MATCH(54, 'Detalles movimientos'!$S$5:$S$1000, 0)), "")</f>
        <v/>
      </c>
      <c r="F63" s="18" t="str">
        <f>IFERROR(INDEX('Detalles movimientos'!G$5:G$1000, MATCH(54, 'Detalles movimientos'!$S$5:$S$1000, 0)), "")</f>
        <v/>
      </c>
      <c r="G63" s="20" t="str">
        <f>IFERROR(INDEX('Detalles movimientos'!H$5:H$1000, MATCH(54, 'Detalles movimientos'!$S$5:$S$1000, 0)), "")</f>
        <v/>
      </c>
      <c r="H63" s="21" t="str">
        <f>IFERROR(INDEX('Detalles movimientos'!I$5:I$1000, MATCH(54, 'Detalles movimientos'!$S$5:$S$1000, 0)), "")</f>
        <v/>
      </c>
      <c r="I63" s="20" t="str">
        <f>IFERROR(INDEX('Detalles movimientos'!K$5:K$1000, MATCH(54, 'Detalles movimientos'!$S$5:$S$1000, 0)), "")</f>
        <v/>
      </c>
      <c r="J63" s="19" t="str">
        <f>IFERROR(INDEX('Detalles movimientos'!L$5:L$1000, MATCH(54, 'Detalles movimientos'!$S$5:$S$1000, 0)), "")</f>
        <v/>
      </c>
      <c r="K63" s="20" t="str">
        <f>IFERROR(INDEX('Detalles movimientos'!M$5:M$1000, MATCH(54, 'Detalles movimientos'!$S$5:$S$1000, 0)), "")</f>
        <v/>
      </c>
      <c r="L63" s="18" t="str">
        <f>IFERROR(INDEX('Detalles movimientos'!N$5:N$1000, MATCH(54, 'Detalles movimientos'!$S$5:$S$1000, 0)), "")</f>
        <v/>
      </c>
      <c r="M63" s="18" t="str">
        <f>IFERROR(INDEX('Detalles movimientos'!Q$5:Q$1000, MATCH(54, 'Detalles movimientos'!$S$5:$S$1000, 0)), "")</f>
        <v/>
      </c>
    </row>
    <row r="64" spans="2:13">
      <c r="B64" s="17" t="str">
        <f>IFERROR(INDEX('Detalles movimientos'!C$5:C$1000, MATCH(55, 'Detalles movimientos'!$S$5:$S$1000, 0)), "")</f>
        <v/>
      </c>
      <c r="C64" s="18" t="str">
        <f>IFERROR(INDEX('Detalles movimientos'!D$5:D$1000, MATCH(55, 'Detalles movimientos'!$S$5:$S$1000, 0)), "")</f>
        <v/>
      </c>
      <c r="D64" s="19" t="str">
        <f>IFERROR(INDEX('Detalles movimientos'!E$5:E$1000, MATCH(55, 'Detalles movimientos'!$S$5:$S$1000, 0)), "")</f>
        <v/>
      </c>
      <c r="E64" s="19" t="str">
        <f>IFERROR(INDEX('Detalles movimientos'!F$5:F$1000, MATCH(55, 'Detalles movimientos'!$S$5:$S$1000, 0)), "")</f>
        <v/>
      </c>
      <c r="F64" s="18" t="str">
        <f>IFERROR(INDEX('Detalles movimientos'!G$5:G$1000, MATCH(55, 'Detalles movimientos'!$S$5:$S$1000, 0)), "")</f>
        <v/>
      </c>
      <c r="G64" s="20" t="str">
        <f>IFERROR(INDEX('Detalles movimientos'!H$5:H$1000, MATCH(55, 'Detalles movimientos'!$S$5:$S$1000, 0)), "")</f>
        <v/>
      </c>
      <c r="H64" s="21" t="str">
        <f>IFERROR(INDEX('Detalles movimientos'!I$5:I$1000, MATCH(55, 'Detalles movimientos'!$S$5:$S$1000, 0)), "")</f>
        <v/>
      </c>
      <c r="I64" s="20" t="str">
        <f>IFERROR(INDEX('Detalles movimientos'!K$5:K$1000, MATCH(55, 'Detalles movimientos'!$S$5:$S$1000, 0)), "")</f>
        <v/>
      </c>
      <c r="J64" s="19" t="str">
        <f>IFERROR(INDEX('Detalles movimientos'!L$5:L$1000, MATCH(55, 'Detalles movimientos'!$S$5:$S$1000, 0)), "")</f>
        <v/>
      </c>
      <c r="K64" s="20" t="str">
        <f>IFERROR(INDEX('Detalles movimientos'!M$5:M$1000, MATCH(55, 'Detalles movimientos'!$S$5:$S$1000, 0)), "")</f>
        <v/>
      </c>
      <c r="L64" s="18" t="str">
        <f>IFERROR(INDEX('Detalles movimientos'!N$5:N$1000, MATCH(55, 'Detalles movimientos'!$S$5:$S$1000, 0)), "")</f>
        <v/>
      </c>
      <c r="M64" s="18" t="str">
        <f>IFERROR(INDEX('Detalles movimientos'!Q$5:Q$1000, MATCH(55, 'Detalles movimientos'!$S$5:$S$1000, 0)), "")</f>
        <v/>
      </c>
    </row>
    <row r="65" spans="2:13">
      <c r="B65" s="17" t="str">
        <f>IFERROR(INDEX('Detalles movimientos'!C$5:C$1000, MATCH(56, 'Detalles movimientos'!$S$5:$S$1000, 0)), "")</f>
        <v/>
      </c>
      <c r="C65" s="18" t="str">
        <f>IFERROR(INDEX('Detalles movimientos'!D$5:D$1000, MATCH(56, 'Detalles movimientos'!$S$5:$S$1000, 0)), "")</f>
        <v/>
      </c>
      <c r="D65" s="19" t="str">
        <f>IFERROR(INDEX('Detalles movimientos'!E$5:E$1000, MATCH(56, 'Detalles movimientos'!$S$5:$S$1000, 0)), "")</f>
        <v/>
      </c>
      <c r="E65" s="19" t="str">
        <f>IFERROR(INDEX('Detalles movimientos'!F$5:F$1000, MATCH(56, 'Detalles movimientos'!$S$5:$S$1000, 0)), "")</f>
        <v/>
      </c>
      <c r="F65" s="18" t="str">
        <f>IFERROR(INDEX('Detalles movimientos'!G$5:G$1000, MATCH(56, 'Detalles movimientos'!$S$5:$S$1000, 0)), "")</f>
        <v/>
      </c>
      <c r="G65" s="20" t="str">
        <f>IFERROR(INDEX('Detalles movimientos'!H$5:H$1000, MATCH(56, 'Detalles movimientos'!$S$5:$S$1000, 0)), "")</f>
        <v/>
      </c>
      <c r="H65" s="21" t="str">
        <f>IFERROR(INDEX('Detalles movimientos'!I$5:I$1000, MATCH(56, 'Detalles movimientos'!$S$5:$S$1000, 0)), "")</f>
        <v/>
      </c>
      <c r="I65" s="20" t="str">
        <f>IFERROR(INDEX('Detalles movimientos'!K$5:K$1000, MATCH(56, 'Detalles movimientos'!$S$5:$S$1000, 0)), "")</f>
        <v/>
      </c>
      <c r="J65" s="19" t="str">
        <f>IFERROR(INDEX('Detalles movimientos'!L$5:L$1000, MATCH(56, 'Detalles movimientos'!$S$5:$S$1000, 0)), "")</f>
        <v/>
      </c>
      <c r="K65" s="20" t="str">
        <f>IFERROR(INDEX('Detalles movimientos'!M$5:M$1000, MATCH(56, 'Detalles movimientos'!$S$5:$S$1000, 0)), "")</f>
        <v/>
      </c>
      <c r="L65" s="18" t="str">
        <f>IFERROR(INDEX('Detalles movimientos'!N$5:N$1000, MATCH(56, 'Detalles movimientos'!$S$5:$S$1000, 0)), "")</f>
        <v/>
      </c>
      <c r="M65" s="18" t="str">
        <f>IFERROR(INDEX('Detalles movimientos'!Q$5:Q$1000, MATCH(56, 'Detalles movimientos'!$S$5:$S$1000, 0)), "")</f>
        <v/>
      </c>
    </row>
    <row r="66" spans="2:13">
      <c r="B66" s="17" t="str">
        <f>IFERROR(INDEX('Detalles movimientos'!C$5:C$1000, MATCH(57, 'Detalles movimientos'!$S$5:$S$1000, 0)), "")</f>
        <v/>
      </c>
      <c r="C66" s="18" t="str">
        <f>IFERROR(INDEX('Detalles movimientos'!D$5:D$1000, MATCH(57, 'Detalles movimientos'!$S$5:$S$1000, 0)), "")</f>
        <v/>
      </c>
      <c r="D66" s="19" t="str">
        <f>IFERROR(INDEX('Detalles movimientos'!E$5:E$1000, MATCH(57, 'Detalles movimientos'!$S$5:$S$1000, 0)), "")</f>
        <v/>
      </c>
      <c r="E66" s="19" t="str">
        <f>IFERROR(INDEX('Detalles movimientos'!F$5:F$1000, MATCH(57, 'Detalles movimientos'!$S$5:$S$1000, 0)), "")</f>
        <v/>
      </c>
      <c r="F66" s="18" t="str">
        <f>IFERROR(INDEX('Detalles movimientos'!G$5:G$1000, MATCH(57, 'Detalles movimientos'!$S$5:$S$1000, 0)), "")</f>
        <v/>
      </c>
      <c r="G66" s="20" t="str">
        <f>IFERROR(INDEX('Detalles movimientos'!H$5:H$1000, MATCH(57, 'Detalles movimientos'!$S$5:$S$1000, 0)), "")</f>
        <v/>
      </c>
      <c r="H66" s="21" t="str">
        <f>IFERROR(INDEX('Detalles movimientos'!I$5:I$1000, MATCH(57, 'Detalles movimientos'!$S$5:$S$1000, 0)), "")</f>
        <v/>
      </c>
      <c r="I66" s="20" t="str">
        <f>IFERROR(INDEX('Detalles movimientos'!K$5:K$1000, MATCH(57, 'Detalles movimientos'!$S$5:$S$1000, 0)), "")</f>
        <v/>
      </c>
      <c r="J66" s="19" t="str">
        <f>IFERROR(INDEX('Detalles movimientos'!L$5:L$1000, MATCH(57, 'Detalles movimientos'!$S$5:$S$1000, 0)), "")</f>
        <v/>
      </c>
      <c r="K66" s="20" t="str">
        <f>IFERROR(INDEX('Detalles movimientos'!M$5:M$1000, MATCH(57, 'Detalles movimientos'!$S$5:$S$1000, 0)), "")</f>
        <v/>
      </c>
      <c r="L66" s="18" t="str">
        <f>IFERROR(INDEX('Detalles movimientos'!N$5:N$1000, MATCH(57, 'Detalles movimientos'!$S$5:$S$1000, 0)), "")</f>
        <v/>
      </c>
      <c r="M66" s="18" t="str">
        <f>IFERROR(INDEX('Detalles movimientos'!Q$5:Q$1000, MATCH(57, 'Detalles movimientos'!$S$5:$S$1000, 0)), "")</f>
        <v/>
      </c>
    </row>
    <row r="67" spans="2:13">
      <c r="B67" s="17" t="str">
        <f>IFERROR(INDEX('Detalles movimientos'!C$5:C$1000, MATCH(58, 'Detalles movimientos'!$S$5:$S$1000, 0)), "")</f>
        <v/>
      </c>
      <c r="C67" s="18" t="str">
        <f>IFERROR(INDEX('Detalles movimientos'!D$5:D$1000, MATCH(58, 'Detalles movimientos'!$S$5:$S$1000, 0)), "")</f>
        <v/>
      </c>
      <c r="D67" s="19" t="str">
        <f>IFERROR(INDEX('Detalles movimientos'!E$5:E$1000, MATCH(58, 'Detalles movimientos'!$S$5:$S$1000, 0)), "")</f>
        <v/>
      </c>
      <c r="E67" s="19" t="str">
        <f>IFERROR(INDEX('Detalles movimientos'!F$5:F$1000, MATCH(58, 'Detalles movimientos'!$S$5:$S$1000, 0)), "")</f>
        <v/>
      </c>
      <c r="F67" s="18" t="str">
        <f>IFERROR(INDEX('Detalles movimientos'!G$5:G$1000, MATCH(58, 'Detalles movimientos'!$S$5:$S$1000, 0)), "")</f>
        <v/>
      </c>
      <c r="G67" s="20" t="str">
        <f>IFERROR(INDEX('Detalles movimientos'!H$5:H$1000, MATCH(58, 'Detalles movimientos'!$S$5:$S$1000, 0)), "")</f>
        <v/>
      </c>
      <c r="H67" s="21" t="str">
        <f>IFERROR(INDEX('Detalles movimientos'!I$5:I$1000, MATCH(58, 'Detalles movimientos'!$S$5:$S$1000, 0)), "")</f>
        <v/>
      </c>
      <c r="I67" s="20" t="str">
        <f>IFERROR(INDEX('Detalles movimientos'!K$5:K$1000, MATCH(58, 'Detalles movimientos'!$S$5:$S$1000, 0)), "")</f>
        <v/>
      </c>
      <c r="J67" s="19" t="str">
        <f>IFERROR(INDEX('Detalles movimientos'!L$5:L$1000, MATCH(58, 'Detalles movimientos'!$S$5:$S$1000, 0)), "")</f>
        <v/>
      </c>
      <c r="K67" s="20" t="str">
        <f>IFERROR(INDEX('Detalles movimientos'!M$5:M$1000, MATCH(58, 'Detalles movimientos'!$S$5:$S$1000, 0)), "")</f>
        <v/>
      </c>
      <c r="L67" s="18" t="str">
        <f>IFERROR(INDEX('Detalles movimientos'!N$5:N$1000, MATCH(58, 'Detalles movimientos'!$S$5:$S$1000, 0)), "")</f>
        <v/>
      </c>
      <c r="M67" s="18" t="str">
        <f>IFERROR(INDEX('Detalles movimientos'!Q$5:Q$1000, MATCH(58, 'Detalles movimientos'!$S$5:$S$1000, 0)), "")</f>
        <v/>
      </c>
    </row>
    <row r="68" spans="2:13">
      <c r="B68" s="17" t="str">
        <f>IFERROR(INDEX('Detalles movimientos'!C$5:C$1000, MATCH(59, 'Detalles movimientos'!$S$5:$S$1000, 0)), "")</f>
        <v/>
      </c>
      <c r="C68" s="18" t="str">
        <f>IFERROR(INDEX('Detalles movimientos'!D$5:D$1000, MATCH(59, 'Detalles movimientos'!$S$5:$S$1000, 0)), "")</f>
        <v/>
      </c>
      <c r="D68" s="19" t="str">
        <f>IFERROR(INDEX('Detalles movimientos'!E$5:E$1000, MATCH(59, 'Detalles movimientos'!$S$5:$S$1000, 0)), "")</f>
        <v/>
      </c>
      <c r="E68" s="19" t="str">
        <f>IFERROR(INDEX('Detalles movimientos'!F$5:F$1000, MATCH(59, 'Detalles movimientos'!$S$5:$S$1000, 0)), "")</f>
        <v/>
      </c>
      <c r="F68" s="18" t="str">
        <f>IFERROR(INDEX('Detalles movimientos'!G$5:G$1000, MATCH(59, 'Detalles movimientos'!$S$5:$S$1000, 0)), "")</f>
        <v/>
      </c>
      <c r="G68" s="20" t="str">
        <f>IFERROR(INDEX('Detalles movimientos'!H$5:H$1000, MATCH(59, 'Detalles movimientos'!$S$5:$S$1000, 0)), "")</f>
        <v/>
      </c>
      <c r="H68" s="21" t="str">
        <f>IFERROR(INDEX('Detalles movimientos'!I$5:I$1000, MATCH(59, 'Detalles movimientos'!$S$5:$S$1000, 0)), "")</f>
        <v/>
      </c>
      <c r="I68" s="20" t="str">
        <f>IFERROR(INDEX('Detalles movimientos'!K$5:K$1000, MATCH(59, 'Detalles movimientos'!$S$5:$S$1000, 0)), "")</f>
        <v/>
      </c>
      <c r="J68" s="19" t="str">
        <f>IFERROR(INDEX('Detalles movimientos'!L$5:L$1000, MATCH(59, 'Detalles movimientos'!$S$5:$S$1000, 0)), "")</f>
        <v/>
      </c>
      <c r="K68" s="20" t="str">
        <f>IFERROR(INDEX('Detalles movimientos'!M$5:M$1000, MATCH(59, 'Detalles movimientos'!$S$5:$S$1000, 0)), "")</f>
        <v/>
      </c>
      <c r="L68" s="18" t="str">
        <f>IFERROR(INDEX('Detalles movimientos'!N$5:N$1000, MATCH(59, 'Detalles movimientos'!$S$5:$S$1000, 0)), "")</f>
        <v/>
      </c>
      <c r="M68" s="18" t="str">
        <f>IFERROR(INDEX('Detalles movimientos'!Q$5:Q$1000, MATCH(59, 'Detalles movimientos'!$S$5:$S$1000, 0)), "")</f>
        <v/>
      </c>
    </row>
    <row r="69" spans="2:13">
      <c r="B69" s="17" t="str">
        <f>IFERROR(INDEX('Detalles movimientos'!C$5:C$1000, MATCH(60, 'Detalles movimientos'!$S$5:$S$1000, 0)), "")</f>
        <v/>
      </c>
      <c r="C69" s="18" t="str">
        <f>IFERROR(INDEX('Detalles movimientos'!D$5:D$1000, MATCH(60, 'Detalles movimientos'!$S$5:$S$1000, 0)), "")</f>
        <v/>
      </c>
      <c r="D69" s="19" t="str">
        <f>IFERROR(INDEX('Detalles movimientos'!E$5:E$1000, MATCH(60, 'Detalles movimientos'!$S$5:$S$1000, 0)), "")</f>
        <v/>
      </c>
      <c r="E69" s="19" t="str">
        <f>IFERROR(INDEX('Detalles movimientos'!F$5:F$1000, MATCH(60, 'Detalles movimientos'!$S$5:$S$1000, 0)), "")</f>
        <v/>
      </c>
      <c r="F69" s="18" t="str">
        <f>IFERROR(INDEX('Detalles movimientos'!G$5:G$1000, MATCH(60, 'Detalles movimientos'!$S$5:$S$1000, 0)), "")</f>
        <v/>
      </c>
      <c r="G69" s="20" t="str">
        <f>IFERROR(INDEX('Detalles movimientos'!H$5:H$1000, MATCH(60, 'Detalles movimientos'!$S$5:$S$1000, 0)), "")</f>
        <v/>
      </c>
      <c r="H69" s="21" t="str">
        <f>IFERROR(INDEX('Detalles movimientos'!I$5:I$1000, MATCH(60, 'Detalles movimientos'!$S$5:$S$1000, 0)), "")</f>
        <v/>
      </c>
      <c r="I69" s="20" t="str">
        <f>IFERROR(INDEX('Detalles movimientos'!K$5:K$1000, MATCH(60, 'Detalles movimientos'!$S$5:$S$1000, 0)), "")</f>
        <v/>
      </c>
      <c r="J69" s="19" t="str">
        <f>IFERROR(INDEX('Detalles movimientos'!L$5:L$1000, MATCH(60, 'Detalles movimientos'!$S$5:$S$1000, 0)), "")</f>
        <v/>
      </c>
      <c r="K69" s="20" t="str">
        <f>IFERROR(INDEX('Detalles movimientos'!M$5:M$1000, MATCH(60, 'Detalles movimientos'!$S$5:$S$1000, 0)), "")</f>
        <v/>
      </c>
      <c r="L69" s="18" t="str">
        <f>IFERROR(INDEX('Detalles movimientos'!N$5:N$1000, MATCH(60, 'Detalles movimientos'!$S$5:$S$1000, 0)), "")</f>
        <v/>
      </c>
      <c r="M69" s="18" t="str">
        <f>IFERROR(INDEX('Detalles movimientos'!Q$5:Q$1000, MATCH(60, 'Detalles movimientos'!$S$5:$S$1000, 0)), "")</f>
        <v/>
      </c>
    </row>
    <row r="70" spans="2:13">
      <c r="B70" s="17" t="str">
        <f>IFERROR(INDEX('Detalles movimientos'!C$5:C$1000, MATCH(61, 'Detalles movimientos'!$S$5:$S$1000, 0)), "")</f>
        <v/>
      </c>
      <c r="C70" s="18" t="str">
        <f>IFERROR(INDEX('Detalles movimientos'!D$5:D$1000, MATCH(61, 'Detalles movimientos'!$S$5:$S$1000, 0)), "")</f>
        <v/>
      </c>
      <c r="D70" s="19" t="str">
        <f>IFERROR(INDEX('Detalles movimientos'!E$5:E$1000, MATCH(61, 'Detalles movimientos'!$S$5:$S$1000, 0)), "")</f>
        <v/>
      </c>
      <c r="E70" s="19" t="str">
        <f>IFERROR(INDEX('Detalles movimientos'!F$5:F$1000, MATCH(61, 'Detalles movimientos'!$S$5:$S$1000, 0)), "")</f>
        <v/>
      </c>
      <c r="F70" s="18" t="str">
        <f>IFERROR(INDEX('Detalles movimientos'!G$5:G$1000, MATCH(61, 'Detalles movimientos'!$S$5:$S$1000, 0)), "")</f>
        <v/>
      </c>
      <c r="G70" s="20" t="str">
        <f>IFERROR(INDEX('Detalles movimientos'!H$5:H$1000, MATCH(61, 'Detalles movimientos'!$S$5:$S$1000, 0)), "")</f>
        <v/>
      </c>
      <c r="H70" s="21" t="str">
        <f>IFERROR(INDEX('Detalles movimientos'!I$5:I$1000, MATCH(61, 'Detalles movimientos'!$S$5:$S$1000, 0)), "")</f>
        <v/>
      </c>
      <c r="I70" s="20" t="str">
        <f>IFERROR(INDEX('Detalles movimientos'!K$5:K$1000, MATCH(61, 'Detalles movimientos'!$S$5:$S$1000, 0)), "")</f>
        <v/>
      </c>
      <c r="J70" s="19" t="str">
        <f>IFERROR(INDEX('Detalles movimientos'!L$5:L$1000, MATCH(61, 'Detalles movimientos'!$S$5:$S$1000, 0)), "")</f>
        <v/>
      </c>
      <c r="K70" s="20" t="str">
        <f>IFERROR(INDEX('Detalles movimientos'!M$5:M$1000, MATCH(61, 'Detalles movimientos'!$S$5:$S$1000, 0)), "")</f>
        <v/>
      </c>
      <c r="L70" s="18" t="str">
        <f>IFERROR(INDEX('Detalles movimientos'!N$5:N$1000, MATCH(61, 'Detalles movimientos'!$S$5:$S$1000, 0)), "")</f>
        <v/>
      </c>
      <c r="M70" s="18" t="str">
        <f>IFERROR(INDEX('Detalles movimientos'!Q$5:Q$1000, MATCH(61, 'Detalles movimientos'!$S$5:$S$1000, 0)), "")</f>
        <v/>
      </c>
    </row>
    <row r="71" spans="2:13">
      <c r="B71" s="17" t="str">
        <f>IFERROR(INDEX('Detalles movimientos'!C$5:C$1000, MATCH(62, 'Detalles movimientos'!$S$5:$S$1000, 0)), "")</f>
        <v/>
      </c>
      <c r="C71" s="18" t="str">
        <f>IFERROR(INDEX('Detalles movimientos'!D$5:D$1000, MATCH(62, 'Detalles movimientos'!$S$5:$S$1000, 0)), "")</f>
        <v/>
      </c>
      <c r="D71" s="19" t="str">
        <f>IFERROR(INDEX('Detalles movimientos'!E$5:E$1000, MATCH(62, 'Detalles movimientos'!$S$5:$S$1000, 0)), "")</f>
        <v/>
      </c>
      <c r="E71" s="19" t="str">
        <f>IFERROR(INDEX('Detalles movimientos'!F$5:F$1000, MATCH(62, 'Detalles movimientos'!$S$5:$S$1000, 0)), "")</f>
        <v/>
      </c>
      <c r="F71" s="18" t="str">
        <f>IFERROR(INDEX('Detalles movimientos'!G$5:G$1000, MATCH(62, 'Detalles movimientos'!$S$5:$S$1000, 0)), "")</f>
        <v/>
      </c>
      <c r="G71" s="20" t="str">
        <f>IFERROR(INDEX('Detalles movimientos'!H$5:H$1000, MATCH(62, 'Detalles movimientos'!$S$5:$S$1000, 0)), "")</f>
        <v/>
      </c>
      <c r="H71" s="21" t="str">
        <f>IFERROR(INDEX('Detalles movimientos'!I$5:I$1000, MATCH(62, 'Detalles movimientos'!$S$5:$S$1000, 0)), "")</f>
        <v/>
      </c>
      <c r="I71" s="20" t="str">
        <f>IFERROR(INDEX('Detalles movimientos'!K$5:K$1000, MATCH(62, 'Detalles movimientos'!$S$5:$S$1000, 0)), "")</f>
        <v/>
      </c>
      <c r="J71" s="19" t="str">
        <f>IFERROR(INDEX('Detalles movimientos'!L$5:L$1000, MATCH(62, 'Detalles movimientos'!$S$5:$S$1000, 0)), "")</f>
        <v/>
      </c>
      <c r="K71" s="20" t="str">
        <f>IFERROR(INDEX('Detalles movimientos'!M$5:M$1000, MATCH(62, 'Detalles movimientos'!$S$5:$S$1000, 0)), "")</f>
        <v/>
      </c>
      <c r="L71" s="18" t="str">
        <f>IFERROR(INDEX('Detalles movimientos'!N$5:N$1000, MATCH(62, 'Detalles movimientos'!$S$5:$S$1000, 0)), "")</f>
        <v/>
      </c>
      <c r="M71" s="18" t="str">
        <f>IFERROR(INDEX('Detalles movimientos'!Q$5:Q$1000, MATCH(62, 'Detalles movimientos'!$S$5:$S$1000, 0)), "")</f>
        <v/>
      </c>
    </row>
    <row r="72" spans="2:13">
      <c r="B72" s="17" t="str">
        <f>IFERROR(INDEX('Detalles movimientos'!C$5:C$1000, MATCH(63, 'Detalles movimientos'!$S$5:$S$1000, 0)), "")</f>
        <v/>
      </c>
      <c r="C72" s="18" t="str">
        <f>IFERROR(INDEX('Detalles movimientos'!D$5:D$1000, MATCH(63, 'Detalles movimientos'!$S$5:$S$1000, 0)), "")</f>
        <v/>
      </c>
      <c r="D72" s="19" t="str">
        <f>IFERROR(INDEX('Detalles movimientos'!E$5:E$1000, MATCH(63, 'Detalles movimientos'!$S$5:$S$1000, 0)), "")</f>
        <v/>
      </c>
      <c r="E72" s="19" t="str">
        <f>IFERROR(INDEX('Detalles movimientos'!F$5:F$1000, MATCH(63, 'Detalles movimientos'!$S$5:$S$1000, 0)), "")</f>
        <v/>
      </c>
      <c r="F72" s="18" t="str">
        <f>IFERROR(INDEX('Detalles movimientos'!G$5:G$1000, MATCH(63, 'Detalles movimientos'!$S$5:$S$1000, 0)), "")</f>
        <v/>
      </c>
      <c r="G72" s="20" t="str">
        <f>IFERROR(INDEX('Detalles movimientos'!H$5:H$1000, MATCH(63, 'Detalles movimientos'!$S$5:$S$1000, 0)), "")</f>
        <v/>
      </c>
      <c r="H72" s="21" t="str">
        <f>IFERROR(INDEX('Detalles movimientos'!I$5:I$1000, MATCH(63, 'Detalles movimientos'!$S$5:$S$1000, 0)), "")</f>
        <v/>
      </c>
      <c r="I72" s="20" t="str">
        <f>IFERROR(INDEX('Detalles movimientos'!K$5:K$1000, MATCH(63, 'Detalles movimientos'!$S$5:$S$1000, 0)), "")</f>
        <v/>
      </c>
      <c r="J72" s="19" t="str">
        <f>IFERROR(INDEX('Detalles movimientos'!L$5:L$1000, MATCH(63, 'Detalles movimientos'!$S$5:$S$1000, 0)), "")</f>
        <v/>
      </c>
      <c r="K72" s="20" t="str">
        <f>IFERROR(INDEX('Detalles movimientos'!M$5:M$1000, MATCH(63, 'Detalles movimientos'!$S$5:$S$1000, 0)), "")</f>
        <v/>
      </c>
      <c r="L72" s="18" t="str">
        <f>IFERROR(INDEX('Detalles movimientos'!N$5:N$1000, MATCH(63, 'Detalles movimientos'!$S$5:$S$1000, 0)), "")</f>
        <v/>
      </c>
      <c r="M72" s="18" t="str">
        <f>IFERROR(INDEX('Detalles movimientos'!Q$5:Q$1000, MATCH(63, 'Detalles movimientos'!$S$5:$S$1000, 0)), "")</f>
        <v/>
      </c>
    </row>
    <row r="73" spans="2:13">
      <c r="B73" s="17" t="str">
        <f>IFERROR(INDEX('Detalles movimientos'!C$5:C$1000, MATCH(64, 'Detalles movimientos'!$S$5:$S$1000, 0)), "")</f>
        <v/>
      </c>
      <c r="C73" s="18" t="str">
        <f>IFERROR(INDEX('Detalles movimientos'!D$5:D$1000, MATCH(64, 'Detalles movimientos'!$S$5:$S$1000, 0)), "")</f>
        <v/>
      </c>
      <c r="D73" s="19" t="str">
        <f>IFERROR(INDEX('Detalles movimientos'!E$5:E$1000, MATCH(64, 'Detalles movimientos'!$S$5:$S$1000, 0)), "")</f>
        <v/>
      </c>
      <c r="E73" s="19" t="str">
        <f>IFERROR(INDEX('Detalles movimientos'!F$5:F$1000, MATCH(64, 'Detalles movimientos'!$S$5:$S$1000, 0)), "")</f>
        <v/>
      </c>
      <c r="F73" s="18" t="str">
        <f>IFERROR(INDEX('Detalles movimientos'!G$5:G$1000, MATCH(64, 'Detalles movimientos'!$S$5:$S$1000, 0)), "")</f>
        <v/>
      </c>
      <c r="G73" s="20" t="str">
        <f>IFERROR(INDEX('Detalles movimientos'!H$5:H$1000, MATCH(64, 'Detalles movimientos'!$S$5:$S$1000, 0)), "")</f>
        <v/>
      </c>
      <c r="H73" s="21" t="str">
        <f>IFERROR(INDEX('Detalles movimientos'!I$5:I$1000, MATCH(64, 'Detalles movimientos'!$S$5:$S$1000, 0)), "")</f>
        <v/>
      </c>
      <c r="I73" s="20" t="str">
        <f>IFERROR(INDEX('Detalles movimientos'!K$5:K$1000, MATCH(64, 'Detalles movimientos'!$S$5:$S$1000, 0)), "")</f>
        <v/>
      </c>
      <c r="J73" s="19" t="str">
        <f>IFERROR(INDEX('Detalles movimientos'!L$5:L$1000, MATCH(64, 'Detalles movimientos'!$S$5:$S$1000, 0)), "")</f>
        <v/>
      </c>
      <c r="K73" s="20" t="str">
        <f>IFERROR(INDEX('Detalles movimientos'!M$5:M$1000, MATCH(64, 'Detalles movimientos'!$S$5:$S$1000, 0)), "")</f>
        <v/>
      </c>
      <c r="L73" s="18" t="str">
        <f>IFERROR(INDEX('Detalles movimientos'!N$5:N$1000, MATCH(64, 'Detalles movimientos'!$S$5:$S$1000, 0)), "")</f>
        <v/>
      </c>
      <c r="M73" s="18" t="str">
        <f>IFERROR(INDEX('Detalles movimientos'!Q$5:Q$1000, MATCH(64, 'Detalles movimientos'!$S$5:$S$1000, 0)), "")</f>
        <v/>
      </c>
    </row>
    <row r="74" spans="2:13">
      <c r="B74" s="17" t="str">
        <f>IFERROR(INDEX('Detalles movimientos'!C$5:C$1000, MATCH(65, 'Detalles movimientos'!$S$5:$S$1000, 0)), "")</f>
        <v/>
      </c>
      <c r="C74" s="18" t="str">
        <f>IFERROR(INDEX('Detalles movimientos'!D$5:D$1000, MATCH(65, 'Detalles movimientos'!$S$5:$S$1000, 0)), "")</f>
        <v/>
      </c>
      <c r="D74" s="19" t="str">
        <f>IFERROR(INDEX('Detalles movimientos'!E$5:E$1000, MATCH(65, 'Detalles movimientos'!$S$5:$S$1000, 0)), "")</f>
        <v/>
      </c>
      <c r="E74" s="19" t="str">
        <f>IFERROR(INDEX('Detalles movimientos'!F$5:F$1000, MATCH(65, 'Detalles movimientos'!$S$5:$S$1000, 0)), "")</f>
        <v/>
      </c>
      <c r="F74" s="18" t="str">
        <f>IFERROR(INDEX('Detalles movimientos'!G$5:G$1000, MATCH(65, 'Detalles movimientos'!$S$5:$S$1000, 0)), "")</f>
        <v/>
      </c>
      <c r="G74" s="20" t="str">
        <f>IFERROR(INDEX('Detalles movimientos'!H$5:H$1000, MATCH(65, 'Detalles movimientos'!$S$5:$S$1000, 0)), "")</f>
        <v/>
      </c>
      <c r="H74" s="21" t="str">
        <f>IFERROR(INDEX('Detalles movimientos'!I$5:I$1000, MATCH(65, 'Detalles movimientos'!$S$5:$S$1000, 0)), "")</f>
        <v/>
      </c>
      <c r="I74" s="20" t="str">
        <f>IFERROR(INDEX('Detalles movimientos'!K$5:K$1000, MATCH(65, 'Detalles movimientos'!$S$5:$S$1000, 0)), "")</f>
        <v/>
      </c>
      <c r="J74" s="19" t="str">
        <f>IFERROR(INDEX('Detalles movimientos'!L$5:L$1000, MATCH(65, 'Detalles movimientos'!$S$5:$S$1000, 0)), "")</f>
        <v/>
      </c>
      <c r="K74" s="20" t="str">
        <f>IFERROR(INDEX('Detalles movimientos'!M$5:M$1000, MATCH(65, 'Detalles movimientos'!$S$5:$S$1000, 0)), "")</f>
        <v/>
      </c>
      <c r="L74" s="18" t="str">
        <f>IFERROR(INDEX('Detalles movimientos'!N$5:N$1000, MATCH(65, 'Detalles movimientos'!$S$5:$S$1000, 0)), "")</f>
        <v/>
      </c>
      <c r="M74" s="18" t="str">
        <f>IFERROR(INDEX('Detalles movimientos'!Q$5:Q$1000, MATCH(65, 'Detalles movimientos'!$S$5:$S$1000, 0)), "")</f>
        <v/>
      </c>
    </row>
    <row r="75" spans="2:13">
      <c r="B75" s="17" t="str">
        <f>IFERROR(INDEX('Detalles movimientos'!C$5:C$1000, MATCH(66, 'Detalles movimientos'!$S$5:$S$1000, 0)), "")</f>
        <v/>
      </c>
      <c r="C75" s="18" t="str">
        <f>IFERROR(INDEX('Detalles movimientos'!D$5:D$1000, MATCH(66, 'Detalles movimientos'!$S$5:$S$1000, 0)), "")</f>
        <v/>
      </c>
      <c r="D75" s="19" t="str">
        <f>IFERROR(INDEX('Detalles movimientos'!E$5:E$1000, MATCH(66, 'Detalles movimientos'!$S$5:$S$1000, 0)), "")</f>
        <v/>
      </c>
      <c r="E75" s="19" t="str">
        <f>IFERROR(INDEX('Detalles movimientos'!F$5:F$1000, MATCH(66, 'Detalles movimientos'!$S$5:$S$1000, 0)), "")</f>
        <v/>
      </c>
      <c r="F75" s="18" t="str">
        <f>IFERROR(INDEX('Detalles movimientos'!G$5:G$1000, MATCH(66, 'Detalles movimientos'!$S$5:$S$1000, 0)), "")</f>
        <v/>
      </c>
      <c r="G75" s="20" t="str">
        <f>IFERROR(INDEX('Detalles movimientos'!H$5:H$1000, MATCH(66, 'Detalles movimientos'!$S$5:$S$1000, 0)), "")</f>
        <v/>
      </c>
      <c r="H75" s="21" t="str">
        <f>IFERROR(INDEX('Detalles movimientos'!I$5:I$1000, MATCH(66, 'Detalles movimientos'!$S$5:$S$1000, 0)), "")</f>
        <v/>
      </c>
      <c r="I75" s="20" t="str">
        <f>IFERROR(INDEX('Detalles movimientos'!K$5:K$1000, MATCH(66, 'Detalles movimientos'!$S$5:$S$1000, 0)), "")</f>
        <v/>
      </c>
      <c r="J75" s="19" t="str">
        <f>IFERROR(INDEX('Detalles movimientos'!L$5:L$1000, MATCH(66, 'Detalles movimientos'!$S$5:$S$1000, 0)), "")</f>
        <v/>
      </c>
      <c r="K75" s="20" t="str">
        <f>IFERROR(INDEX('Detalles movimientos'!M$5:M$1000, MATCH(66, 'Detalles movimientos'!$S$5:$S$1000, 0)), "")</f>
        <v/>
      </c>
      <c r="L75" s="18" t="str">
        <f>IFERROR(INDEX('Detalles movimientos'!N$5:N$1000, MATCH(66, 'Detalles movimientos'!$S$5:$S$1000, 0)), "")</f>
        <v/>
      </c>
      <c r="M75" s="18" t="str">
        <f>IFERROR(INDEX('Detalles movimientos'!Q$5:Q$1000, MATCH(66, 'Detalles movimientos'!$S$5:$S$1000, 0)), "")</f>
        <v/>
      </c>
    </row>
    <row r="76" spans="2:13">
      <c r="B76" s="17" t="str">
        <f>IFERROR(INDEX('Detalles movimientos'!C$5:C$1000, MATCH(67, 'Detalles movimientos'!$S$5:$S$1000, 0)), "")</f>
        <v/>
      </c>
      <c r="C76" s="18" t="str">
        <f>IFERROR(INDEX('Detalles movimientos'!D$5:D$1000, MATCH(67, 'Detalles movimientos'!$S$5:$S$1000, 0)), "")</f>
        <v/>
      </c>
      <c r="D76" s="19" t="str">
        <f>IFERROR(INDEX('Detalles movimientos'!E$5:E$1000, MATCH(67, 'Detalles movimientos'!$S$5:$S$1000, 0)), "")</f>
        <v/>
      </c>
      <c r="E76" s="19" t="str">
        <f>IFERROR(INDEX('Detalles movimientos'!F$5:F$1000, MATCH(67, 'Detalles movimientos'!$S$5:$S$1000, 0)), "")</f>
        <v/>
      </c>
      <c r="F76" s="18" t="str">
        <f>IFERROR(INDEX('Detalles movimientos'!G$5:G$1000, MATCH(67, 'Detalles movimientos'!$S$5:$S$1000, 0)), "")</f>
        <v/>
      </c>
      <c r="G76" s="20" t="str">
        <f>IFERROR(INDEX('Detalles movimientos'!H$5:H$1000, MATCH(67, 'Detalles movimientos'!$S$5:$S$1000, 0)), "")</f>
        <v/>
      </c>
      <c r="H76" s="21" t="str">
        <f>IFERROR(INDEX('Detalles movimientos'!I$5:I$1000, MATCH(67, 'Detalles movimientos'!$S$5:$S$1000, 0)), "")</f>
        <v/>
      </c>
      <c r="I76" s="20" t="str">
        <f>IFERROR(INDEX('Detalles movimientos'!K$5:K$1000, MATCH(67, 'Detalles movimientos'!$S$5:$S$1000, 0)), "")</f>
        <v/>
      </c>
      <c r="J76" s="19" t="str">
        <f>IFERROR(INDEX('Detalles movimientos'!L$5:L$1000, MATCH(67, 'Detalles movimientos'!$S$5:$S$1000, 0)), "")</f>
        <v/>
      </c>
      <c r="K76" s="20" t="str">
        <f>IFERROR(INDEX('Detalles movimientos'!M$5:M$1000, MATCH(67, 'Detalles movimientos'!$S$5:$S$1000, 0)), "")</f>
        <v/>
      </c>
      <c r="L76" s="18" t="str">
        <f>IFERROR(INDEX('Detalles movimientos'!N$5:N$1000, MATCH(67, 'Detalles movimientos'!$S$5:$S$1000, 0)), "")</f>
        <v/>
      </c>
      <c r="M76" s="18" t="str">
        <f>IFERROR(INDEX('Detalles movimientos'!Q$5:Q$1000, MATCH(67, 'Detalles movimientos'!$S$5:$S$1000, 0)), "")</f>
        <v/>
      </c>
    </row>
    <row r="77" spans="2:13">
      <c r="B77" s="17" t="str">
        <f>IFERROR(INDEX('Detalles movimientos'!C$5:C$1000, MATCH(68, 'Detalles movimientos'!$S$5:$S$1000, 0)), "")</f>
        <v/>
      </c>
      <c r="C77" s="18" t="str">
        <f>IFERROR(INDEX('Detalles movimientos'!D$5:D$1000, MATCH(68, 'Detalles movimientos'!$S$5:$S$1000, 0)), "")</f>
        <v/>
      </c>
      <c r="D77" s="19" t="str">
        <f>IFERROR(INDEX('Detalles movimientos'!E$5:E$1000, MATCH(68, 'Detalles movimientos'!$S$5:$S$1000, 0)), "")</f>
        <v/>
      </c>
      <c r="E77" s="19" t="str">
        <f>IFERROR(INDEX('Detalles movimientos'!F$5:F$1000, MATCH(68, 'Detalles movimientos'!$S$5:$S$1000, 0)), "")</f>
        <v/>
      </c>
      <c r="F77" s="18" t="str">
        <f>IFERROR(INDEX('Detalles movimientos'!G$5:G$1000, MATCH(68, 'Detalles movimientos'!$S$5:$S$1000, 0)), "")</f>
        <v/>
      </c>
      <c r="G77" s="20" t="str">
        <f>IFERROR(INDEX('Detalles movimientos'!H$5:H$1000, MATCH(68, 'Detalles movimientos'!$S$5:$S$1000, 0)), "")</f>
        <v/>
      </c>
      <c r="H77" s="21" t="str">
        <f>IFERROR(INDEX('Detalles movimientos'!I$5:I$1000, MATCH(68, 'Detalles movimientos'!$S$5:$S$1000, 0)), "")</f>
        <v/>
      </c>
      <c r="I77" s="20" t="str">
        <f>IFERROR(INDEX('Detalles movimientos'!K$5:K$1000, MATCH(68, 'Detalles movimientos'!$S$5:$S$1000, 0)), "")</f>
        <v/>
      </c>
      <c r="J77" s="19" t="str">
        <f>IFERROR(INDEX('Detalles movimientos'!L$5:L$1000, MATCH(68, 'Detalles movimientos'!$S$5:$S$1000, 0)), "")</f>
        <v/>
      </c>
      <c r="K77" s="20" t="str">
        <f>IFERROR(INDEX('Detalles movimientos'!M$5:M$1000, MATCH(68, 'Detalles movimientos'!$S$5:$S$1000, 0)), "")</f>
        <v/>
      </c>
      <c r="L77" s="18" t="str">
        <f>IFERROR(INDEX('Detalles movimientos'!N$5:N$1000, MATCH(68, 'Detalles movimientos'!$S$5:$S$1000, 0)), "")</f>
        <v/>
      </c>
      <c r="M77" s="18" t="str">
        <f>IFERROR(INDEX('Detalles movimientos'!Q$5:Q$1000, MATCH(68, 'Detalles movimientos'!$S$5:$S$1000, 0)), "")</f>
        <v/>
      </c>
    </row>
    <row r="78" spans="2:13">
      <c r="B78" s="17" t="str">
        <f>IFERROR(INDEX('Detalles movimientos'!C$5:C$1000, MATCH(69, 'Detalles movimientos'!$S$5:$S$1000, 0)), "")</f>
        <v/>
      </c>
      <c r="C78" s="18" t="str">
        <f>IFERROR(INDEX('Detalles movimientos'!D$5:D$1000, MATCH(69, 'Detalles movimientos'!$S$5:$S$1000, 0)), "")</f>
        <v/>
      </c>
      <c r="D78" s="19" t="str">
        <f>IFERROR(INDEX('Detalles movimientos'!E$5:E$1000, MATCH(69, 'Detalles movimientos'!$S$5:$S$1000, 0)), "")</f>
        <v/>
      </c>
      <c r="E78" s="19" t="str">
        <f>IFERROR(INDEX('Detalles movimientos'!F$5:F$1000, MATCH(69, 'Detalles movimientos'!$S$5:$S$1000, 0)), "")</f>
        <v/>
      </c>
      <c r="F78" s="18" t="str">
        <f>IFERROR(INDEX('Detalles movimientos'!G$5:G$1000, MATCH(69, 'Detalles movimientos'!$S$5:$S$1000, 0)), "")</f>
        <v/>
      </c>
      <c r="G78" s="20" t="str">
        <f>IFERROR(INDEX('Detalles movimientos'!H$5:H$1000, MATCH(69, 'Detalles movimientos'!$S$5:$S$1000, 0)), "")</f>
        <v/>
      </c>
      <c r="H78" s="21" t="str">
        <f>IFERROR(INDEX('Detalles movimientos'!I$5:I$1000, MATCH(69, 'Detalles movimientos'!$S$5:$S$1000, 0)), "")</f>
        <v/>
      </c>
      <c r="I78" s="20" t="str">
        <f>IFERROR(INDEX('Detalles movimientos'!K$5:K$1000, MATCH(69, 'Detalles movimientos'!$S$5:$S$1000, 0)), "")</f>
        <v/>
      </c>
      <c r="J78" s="19" t="str">
        <f>IFERROR(INDEX('Detalles movimientos'!L$5:L$1000, MATCH(69, 'Detalles movimientos'!$S$5:$S$1000, 0)), "")</f>
        <v/>
      </c>
      <c r="K78" s="20" t="str">
        <f>IFERROR(INDEX('Detalles movimientos'!M$5:M$1000, MATCH(69, 'Detalles movimientos'!$S$5:$S$1000, 0)), "")</f>
        <v/>
      </c>
      <c r="L78" s="18" t="str">
        <f>IFERROR(INDEX('Detalles movimientos'!N$5:N$1000, MATCH(69, 'Detalles movimientos'!$S$5:$S$1000, 0)), "")</f>
        <v/>
      </c>
      <c r="M78" s="18" t="str">
        <f>IFERROR(INDEX('Detalles movimientos'!Q$5:Q$1000, MATCH(69, 'Detalles movimientos'!$S$5:$S$1000, 0)), "")</f>
        <v/>
      </c>
    </row>
    <row r="79" spans="2:13">
      <c r="B79" s="17" t="str">
        <f>IFERROR(INDEX('Detalles movimientos'!C$5:C$1000, MATCH(70, 'Detalles movimientos'!$S$5:$S$1000, 0)), "")</f>
        <v/>
      </c>
      <c r="C79" s="18" t="str">
        <f>IFERROR(INDEX('Detalles movimientos'!D$5:D$1000, MATCH(70, 'Detalles movimientos'!$S$5:$S$1000, 0)), "")</f>
        <v/>
      </c>
      <c r="D79" s="19" t="str">
        <f>IFERROR(INDEX('Detalles movimientos'!E$5:E$1000, MATCH(70, 'Detalles movimientos'!$S$5:$S$1000, 0)), "")</f>
        <v/>
      </c>
      <c r="E79" s="19" t="str">
        <f>IFERROR(INDEX('Detalles movimientos'!F$5:F$1000, MATCH(70, 'Detalles movimientos'!$S$5:$S$1000, 0)), "")</f>
        <v/>
      </c>
      <c r="F79" s="18" t="str">
        <f>IFERROR(INDEX('Detalles movimientos'!G$5:G$1000, MATCH(70, 'Detalles movimientos'!$S$5:$S$1000, 0)), "")</f>
        <v/>
      </c>
      <c r="G79" s="20" t="str">
        <f>IFERROR(INDEX('Detalles movimientos'!H$5:H$1000, MATCH(70, 'Detalles movimientos'!$S$5:$S$1000, 0)), "")</f>
        <v/>
      </c>
      <c r="H79" s="21" t="str">
        <f>IFERROR(INDEX('Detalles movimientos'!I$5:I$1000, MATCH(70, 'Detalles movimientos'!$S$5:$S$1000, 0)), "")</f>
        <v/>
      </c>
      <c r="I79" s="20" t="str">
        <f>IFERROR(INDEX('Detalles movimientos'!K$5:K$1000, MATCH(70, 'Detalles movimientos'!$S$5:$S$1000, 0)), "")</f>
        <v/>
      </c>
      <c r="J79" s="19" t="str">
        <f>IFERROR(INDEX('Detalles movimientos'!L$5:L$1000, MATCH(70, 'Detalles movimientos'!$S$5:$S$1000, 0)), "")</f>
        <v/>
      </c>
      <c r="K79" s="20" t="str">
        <f>IFERROR(INDEX('Detalles movimientos'!M$5:M$1000, MATCH(70, 'Detalles movimientos'!$S$5:$S$1000, 0)), "")</f>
        <v/>
      </c>
      <c r="L79" s="18" t="str">
        <f>IFERROR(INDEX('Detalles movimientos'!N$5:N$1000, MATCH(70, 'Detalles movimientos'!$S$5:$S$1000, 0)), "")</f>
        <v/>
      </c>
      <c r="M79" s="18" t="str">
        <f>IFERROR(INDEX('Detalles movimientos'!Q$5:Q$1000, MATCH(70, 'Detalles movimientos'!$S$5:$S$1000, 0)), "")</f>
        <v/>
      </c>
    </row>
    <row r="80" spans="2:13">
      <c r="B80" s="17" t="str">
        <f>IFERROR(INDEX('Detalles movimientos'!C$5:C$1000, MATCH(71, 'Detalles movimientos'!$S$5:$S$1000, 0)), "")</f>
        <v/>
      </c>
      <c r="C80" s="18" t="str">
        <f>IFERROR(INDEX('Detalles movimientos'!D$5:D$1000, MATCH(71, 'Detalles movimientos'!$S$5:$S$1000, 0)), "")</f>
        <v/>
      </c>
      <c r="D80" s="19" t="str">
        <f>IFERROR(INDEX('Detalles movimientos'!E$5:E$1000, MATCH(71, 'Detalles movimientos'!$S$5:$S$1000, 0)), "")</f>
        <v/>
      </c>
      <c r="E80" s="19" t="str">
        <f>IFERROR(INDEX('Detalles movimientos'!F$5:F$1000, MATCH(71, 'Detalles movimientos'!$S$5:$S$1000, 0)), "")</f>
        <v/>
      </c>
      <c r="F80" s="18" t="str">
        <f>IFERROR(INDEX('Detalles movimientos'!G$5:G$1000, MATCH(71, 'Detalles movimientos'!$S$5:$S$1000, 0)), "")</f>
        <v/>
      </c>
      <c r="G80" s="20" t="str">
        <f>IFERROR(INDEX('Detalles movimientos'!H$5:H$1000, MATCH(71, 'Detalles movimientos'!$S$5:$S$1000, 0)), "")</f>
        <v/>
      </c>
      <c r="H80" s="21" t="str">
        <f>IFERROR(INDEX('Detalles movimientos'!I$5:I$1000, MATCH(71, 'Detalles movimientos'!$S$5:$S$1000, 0)), "")</f>
        <v/>
      </c>
      <c r="I80" s="20" t="str">
        <f>IFERROR(INDEX('Detalles movimientos'!K$5:K$1000, MATCH(71, 'Detalles movimientos'!$S$5:$S$1000, 0)), "")</f>
        <v/>
      </c>
      <c r="J80" s="19" t="str">
        <f>IFERROR(INDEX('Detalles movimientos'!L$5:L$1000, MATCH(71, 'Detalles movimientos'!$S$5:$S$1000, 0)), "")</f>
        <v/>
      </c>
      <c r="K80" s="20" t="str">
        <f>IFERROR(INDEX('Detalles movimientos'!M$5:M$1000, MATCH(71, 'Detalles movimientos'!$S$5:$S$1000, 0)), "")</f>
        <v/>
      </c>
      <c r="L80" s="18" t="str">
        <f>IFERROR(INDEX('Detalles movimientos'!N$5:N$1000, MATCH(71, 'Detalles movimientos'!$S$5:$S$1000, 0)), "")</f>
        <v/>
      </c>
      <c r="M80" s="18" t="str">
        <f>IFERROR(INDEX('Detalles movimientos'!Q$5:Q$1000, MATCH(71, 'Detalles movimientos'!$S$5:$S$1000, 0)), "")</f>
        <v/>
      </c>
    </row>
    <row r="81" spans="2:13">
      <c r="B81" s="17" t="str">
        <f>IFERROR(INDEX('Detalles movimientos'!C$5:C$1000, MATCH(72, 'Detalles movimientos'!$S$5:$S$1000, 0)), "")</f>
        <v/>
      </c>
      <c r="C81" s="18" t="str">
        <f>IFERROR(INDEX('Detalles movimientos'!D$5:D$1000, MATCH(72, 'Detalles movimientos'!$S$5:$S$1000, 0)), "")</f>
        <v/>
      </c>
      <c r="D81" s="19" t="str">
        <f>IFERROR(INDEX('Detalles movimientos'!E$5:E$1000, MATCH(72, 'Detalles movimientos'!$S$5:$S$1000, 0)), "")</f>
        <v/>
      </c>
      <c r="E81" s="19" t="str">
        <f>IFERROR(INDEX('Detalles movimientos'!F$5:F$1000, MATCH(72, 'Detalles movimientos'!$S$5:$S$1000, 0)), "")</f>
        <v/>
      </c>
      <c r="F81" s="18" t="str">
        <f>IFERROR(INDEX('Detalles movimientos'!G$5:G$1000, MATCH(72, 'Detalles movimientos'!$S$5:$S$1000, 0)), "")</f>
        <v/>
      </c>
      <c r="G81" s="20" t="str">
        <f>IFERROR(INDEX('Detalles movimientos'!H$5:H$1000, MATCH(72, 'Detalles movimientos'!$S$5:$S$1000, 0)), "")</f>
        <v/>
      </c>
      <c r="H81" s="21" t="str">
        <f>IFERROR(INDEX('Detalles movimientos'!I$5:I$1000, MATCH(72, 'Detalles movimientos'!$S$5:$S$1000, 0)), "")</f>
        <v/>
      </c>
      <c r="I81" s="20" t="str">
        <f>IFERROR(INDEX('Detalles movimientos'!K$5:K$1000, MATCH(72, 'Detalles movimientos'!$S$5:$S$1000, 0)), "")</f>
        <v/>
      </c>
      <c r="J81" s="19" t="str">
        <f>IFERROR(INDEX('Detalles movimientos'!L$5:L$1000, MATCH(72, 'Detalles movimientos'!$S$5:$S$1000, 0)), "")</f>
        <v/>
      </c>
      <c r="K81" s="20" t="str">
        <f>IFERROR(INDEX('Detalles movimientos'!M$5:M$1000, MATCH(72, 'Detalles movimientos'!$S$5:$S$1000, 0)), "")</f>
        <v/>
      </c>
      <c r="L81" s="18" t="str">
        <f>IFERROR(INDEX('Detalles movimientos'!N$5:N$1000, MATCH(72, 'Detalles movimientos'!$S$5:$S$1000, 0)), "")</f>
        <v/>
      </c>
      <c r="M81" s="18" t="str">
        <f>IFERROR(INDEX('Detalles movimientos'!Q$5:Q$1000, MATCH(72, 'Detalles movimientos'!$S$5:$S$1000, 0)), "")</f>
        <v/>
      </c>
    </row>
    <row r="82" spans="2:13">
      <c r="B82" s="17" t="str">
        <f>IFERROR(INDEX('Detalles movimientos'!C$5:C$1000, MATCH(73, 'Detalles movimientos'!$S$5:$S$1000, 0)), "")</f>
        <v/>
      </c>
      <c r="C82" s="18" t="str">
        <f>IFERROR(INDEX('Detalles movimientos'!D$5:D$1000, MATCH(73, 'Detalles movimientos'!$S$5:$S$1000, 0)), "")</f>
        <v/>
      </c>
      <c r="D82" s="19" t="str">
        <f>IFERROR(INDEX('Detalles movimientos'!E$5:E$1000, MATCH(73, 'Detalles movimientos'!$S$5:$S$1000, 0)), "")</f>
        <v/>
      </c>
      <c r="E82" s="19" t="str">
        <f>IFERROR(INDEX('Detalles movimientos'!F$5:F$1000, MATCH(73, 'Detalles movimientos'!$S$5:$S$1000, 0)), "")</f>
        <v/>
      </c>
      <c r="F82" s="18" t="str">
        <f>IFERROR(INDEX('Detalles movimientos'!G$5:G$1000, MATCH(73, 'Detalles movimientos'!$S$5:$S$1000, 0)), "")</f>
        <v/>
      </c>
      <c r="G82" s="20" t="str">
        <f>IFERROR(INDEX('Detalles movimientos'!H$5:H$1000, MATCH(73, 'Detalles movimientos'!$S$5:$S$1000, 0)), "")</f>
        <v/>
      </c>
      <c r="H82" s="21" t="str">
        <f>IFERROR(INDEX('Detalles movimientos'!I$5:I$1000, MATCH(73, 'Detalles movimientos'!$S$5:$S$1000, 0)), "")</f>
        <v/>
      </c>
      <c r="I82" s="20" t="str">
        <f>IFERROR(INDEX('Detalles movimientos'!K$5:K$1000, MATCH(73, 'Detalles movimientos'!$S$5:$S$1000, 0)), "")</f>
        <v/>
      </c>
      <c r="J82" s="19" t="str">
        <f>IFERROR(INDEX('Detalles movimientos'!L$5:L$1000, MATCH(73, 'Detalles movimientos'!$S$5:$S$1000, 0)), "")</f>
        <v/>
      </c>
      <c r="K82" s="20" t="str">
        <f>IFERROR(INDEX('Detalles movimientos'!M$5:M$1000, MATCH(73, 'Detalles movimientos'!$S$5:$S$1000, 0)), "")</f>
        <v/>
      </c>
      <c r="L82" s="18" t="str">
        <f>IFERROR(INDEX('Detalles movimientos'!N$5:N$1000, MATCH(73, 'Detalles movimientos'!$S$5:$S$1000, 0)), "")</f>
        <v/>
      </c>
      <c r="M82" s="18" t="str">
        <f>IFERROR(INDEX('Detalles movimientos'!Q$5:Q$1000, MATCH(73, 'Detalles movimientos'!$S$5:$S$1000, 0)), "")</f>
        <v/>
      </c>
    </row>
    <row r="83" spans="2:13">
      <c r="B83" s="17" t="str">
        <f>IFERROR(INDEX('Detalles movimientos'!C$5:C$1000, MATCH(74, 'Detalles movimientos'!$S$5:$S$1000, 0)), "")</f>
        <v/>
      </c>
      <c r="C83" s="18" t="str">
        <f>IFERROR(INDEX('Detalles movimientos'!D$5:D$1000, MATCH(74, 'Detalles movimientos'!$S$5:$S$1000, 0)), "")</f>
        <v/>
      </c>
      <c r="D83" s="19" t="str">
        <f>IFERROR(INDEX('Detalles movimientos'!E$5:E$1000, MATCH(74, 'Detalles movimientos'!$S$5:$S$1000, 0)), "")</f>
        <v/>
      </c>
      <c r="E83" s="19" t="str">
        <f>IFERROR(INDEX('Detalles movimientos'!F$5:F$1000, MATCH(74, 'Detalles movimientos'!$S$5:$S$1000, 0)), "")</f>
        <v/>
      </c>
      <c r="F83" s="18" t="str">
        <f>IFERROR(INDEX('Detalles movimientos'!G$5:G$1000, MATCH(74, 'Detalles movimientos'!$S$5:$S$1000, 0)), "")</f>
        <v/>
      </c>
      <c r="G83" s="20" t="str">
        <f>IFERROR(INDEX('Detalles movimientos'!H$5:H$1000, MATCH(74, 'Detalles movimientos'!$S$5:$S$1000, 0)), "")</f>
        <v/>
      </c>
      <c r="H83" s="21" t="str">
        <f>IFERROR(INDEX('Detalles movimientos'!I$5:I$1000, MATCH(74, 'Detalles movimientos'!$S$5:$S$1000, 0)), "")</f>
        <v/>
      </c>
      <c r="I83" s="20" t="str">
        <f>IFERROR(INDEX('Detalles movimientos'!K$5:K$1000, MATCH(74, 'Detalles movimientos'!$S$5:$S$1000, 0)), "")</f>
        <v/>
      </c>
      <c r="J83" s="19" t="str">
        <f>IFERROR(INDEX('Detalles movimientos'!L$5:L$1000, MATCH(74, 'Detalles movimientos'!$S$5:$S$1000, 0)), "")</f>
        <v/>
      </c>
      <c r="K83" s="20" t="str">
        <f>IFERROR(INDEX('Detalles movimientos'!M$5:M$1000, MATCH(74, 'Detalles movimientos'!$S$5:$S$1000, 0)), "")</f>
        <v/>
      </c>
      <c r="L83" s="18" t="str">
        <f>IFERROR(INDEX('Detalles movimientos'!N$5:N$1000, MATCH(74, 'Detalles movimientos'!$S$5:$S$1000, 0)), "")</f>
        <v/>
      </c>
      <c r="M83" s="18" t="str">
        <f>IFERROR(INDEX('Detalles movimientos'!Q$5:Q$1000, MATCH(74, 'Detalles movimientos'!$S$5:$S$1000, 0)), "")</f>
        <v/>
      </c>
    </row>
    <row r="84" spans="2:13">
      <c r="B84" s="17" t="str">
        <f>IFERROR(INDEX('Detalles movimientos'!C$5:C$1000, MATCH(75, 'Detalles movimientos'!$S$5:$S$1000, 0)), "")</f>
        <v/>
      </c>
      <c r="C84" s="18" t="str">
        <f>IFERROR(INDEX('Detalles movimientos'!D$5:D$1000, MATCH(75, 'Detalles movimientos'!$S$5:$S$1000, 0)), "")</f>
        <v/>
      </c>
      <c r="D84" s="19" t="str">
        <f>IFERROR(INDEX('Detalles movimientos'!E$5:E$1000, MATCH(75, 'Detalles movimientos'!$S$5:$S$1000, 0)), "")</f>
        <v/>
      </c>
      <c r="E84" s="19" t="str">
        <f>IFERROR(INDEX('Detalles movimientos'!F$5:F$1000, MATCH(75, 'Detalles movimientos'!$S$5:$S$1000, 0)), "")</f>
        <v/>
      </c>
      <c r="F84" s="18" t="str">
        <f>IFERROR(INDEX('Detalles movimientos'!G$5:G$1000, MATCH(75, 'Detalles movimientos'!$S$5:$S$1000, 0)), "")</f>
        <v/>
      </c>
      <c r="G84" s="20" t="str">
        <f>IFERROR(INDEX('Detalles movimientos'!H$5:H$1000, MATCH(75, 'Detalles movimientos'!$S$5:$S$1000, 0)), "")</f>
        <v/>
      </c>
      <c r="H84" s="21" t="str">
        <f>IFERROR(INDEX('Detalles movimientos'!I$5:I$1000, MATCH(75, 'Detalles movimientos'!$S$5:$S$1000, 0)), "")</f>
        <v/>
      </c>
      <c r="I84" s="20" t="str">
        <f>IFERROR(INDEX('Detalles movimientos'!K$5:K$1000, MATCH(75, 'Detalles movimientos'!$S$5:$S$1000, 0)), "")</f>
        <v/>
      </c>
      <c r="J84" s="19" t="str">
        <f>IFERROR(INDEX('Detalles movimientos'!L$5:L$1000, MATCH(75, 'Detalles movimientos'!$S$5:$S$1000, 0)), "")</f>
        <v/>
      </c>
      <c r="K84" s="20" t="str">
        <f>IFERROR(INDEX('Detalles movimientos'!M$5:M$1000, MATCH(75, 'Detalles movimientos'!$S$5:$S$1000, 0)), "")</f>
        <v/>
      </c>
      <c r="L84" s="18" t="str">
        <f>IFERROR(INDEX('Detalles movimientos'!N$5:N$1000, MATCH(75, 'Detalles movimientos'!$S$5:$S$1000, 0)), "")</f>
        <v/>
      </c>
      <c r="M84" s="18" t="str">
        <f>IFERROR(INDEX('Detalles movimientos'!Q$5:Q$1000, MATCH(75, 'Detalles movimientos'!$S$5:$S$1000, 0)), "")</f>
        <v/>
      </c>
    </row>
    <row r="85" spans="2:13">
      <c r="B85" s="17" t="str">
        <f>IFERROR(INDEX('Detalles movimientos'!C$5:C$1000, MATCH(76, 'Detalles movimientos'!$S$5:$S$1000, 0)), "")</f>
        <v/>
      </c>
      <c r="C85" s="18" t="str">
        <f>IFERROR(INDEX('Detalles movimientos'!D$5:D$1000, MATCH(76, 'Detalles movimientos'!$S$5:$S$1000, 0)), "")</f>
        <v/>
      </c>
      <c r="D85" s="19" t="str">
        <f>IFERROR(INDEX('Detalles movimientos'!E$5:E$1000, MATCH(76, 'Detalles movimientos'!$S$5:$S$1000, 0)), "")</f>
        <v/>
      </c>
      <c r="E85" s="19" t="str">
        <f>IFERROR(INDEX('Detalles movimientos'!F$5:F$1000, MATCH(76, 'Detalles movimientos'!$S$5:$S$1000, 0)), "")</f>
        <v/>
      </c>
      <c r="F85" s="18" t="str">
        <f>IFERROR(INDEX('Detalles movimientos'!G$5:G$1000, MATCH(76, 'Detalles movimientos'!$S$5:$S$1000, 0)), "")</f>
        <v/>
      </c>
      <c r="G85" s="20" t="str">
        <f>IFERROR(INDEX('Detalles movimientos'!H$5:H$1000, MATCH(76, 'Detalles movimientos'!$S$5:$S$1000, 0)), "")</f>
        <v/>
      </c>
      <c r="H85" s="21" t="str">
        <f>IFERROR(INDEX('Detalles movimientos'!I$5:I$1000, MATCH(76, 'Detalles movimientos'!$S$5:$S$1000, 0)), "")</f>
        <v/>
      </c>
      <c r="I85" s="20" t="str">
        <f>IFERROR(INDEX('Detalles movimientos'!K$5:K$1000, MATCH(76, 'Detalles movimientos'!$S$5:$S$1000, 0)), "")</f>
        <v/>
      </c>
      <c r="J85" s="19" t="str">
        <f>IFERROR(INDEX('Detalles movimientos'!L$5:L$1000, MATCH(76, 'Detalles movimientos'!$S$5:$S$1000, 0)), "")</f>
        <v/>
      </c>
      <c r="K85" s="20" t="str">
        <f>IFERROR(INDEX('Detalles movimientos'!M$5:M$1000, MATCH(76, 'Detalles movimientos'!$S$5:$S$1000, 0)), "")</f>
        <v/>
      </c>
      <c r="L85" s="18" t="str">
        <f>IFERROR(INDEX('Detalles movimientos'!N$5:N$1000, MATCH(76, 'Detalles movimientos'!$S$5:$S$1000, 0)), "")</f>
        <v/>
      </c>
      <c r="M85" s="18" t="str">
        <f>IFERROR(INDEX('Detalles movimientos'!Q$5:Q$1000, MATCH(76, 'Detalles movimientos'!$S$5:$S$1000, 0)), "")</f>
        <v/>
      </c>
    </row>
    <row r="86" spans="2:13">
      <c r="B86" s="17" t="str">
        <f>IFERROR(INDEX('Detalles movimientos'!C$5:C$1000, MATCH(77, 'Detalles movimientos'!$S$5:$S$1000, 0)), "")</f>
        <v/>
      </c>
      <c r="C86" s="18" t="str">
        <f>IFERROR(INDEX('Detalles movimientos'!D$5:D$1000, MATCH(77, 'Detalles movimientos'!$S$5:$S$1000, 0)), "")</f>
        <v/>
      </c>
      <c r="D86" s="19" t="str">
        <f>IFERROR(INDEX('Detalles movimientos'!E$5:E$1000, MATCH(77, 'Detalles movimientos'!$S$5:$S$1000, 0)), "")</f>
        <v/>
      </c>
      <c r="E86" s="19" t="str">
        <f>IFERROR(INDEX('Detalles movimientos'!F$5:F$1000, MATCH(77, 'Detalles movimientos'!$S$5:$S$1000, 0)), "")</f>
        <v/>
      </c>
      <c r="F86" s="18" t="str">
        <f>IFERROR(INDEX('Detalles movimientos'!G$5:G$1000, MATCH(77, 'Detalles movimientos'!$S$5:$S$1000, 0)), "")</f>
        <v/>
      </c>
      <c r="G86" s="20" t="str">
        <f>IFERROR(INDEX('Detalles movimientos'!H$5:H$1000, MATCH(77, 'Detalles movimientos'!$S$5:$S$1000, 0)), "")</f>
        <v/>
      </c>
      <c r="H86" s="21" t="str">
        <f>IFERROR(INDEX('Detalles movimientos'!I$5:I$1000, MATCH(77, 'Detalles movimientos'!$S$5:$S$1000, 0)), "")</f>
        <v/>
      </c>
      <c r="I86" s="20" t="str">
        <f>IFERROR(INDEX('Detalles movimientos'!K$5:K$1000, MATCH(77, 'Detalles movimientos'!$S$5:$S$1000, 0)), "")</f>
        <v/>
      </c>
      <c r="J86" s="19" t="str">
        <f>IFERROR(INDEX('Detalles movimientos'!L$5:L$1000, MATCH(77, 'Detalles movimientos'!$S$5:$S$1000, 0)), "")</f>
        <v/>
      </c>
      <c r="K86" s="20" t="str">
        <f>IFERROR(INDEX('Detalles movimientos'!M$5:M$1000, MATCH(77, 'Detalles movimientos'!$S$5:$S$1000, 0)), "")</f>
        <v/>
      </c>
      <c r="L86" s="18" t="str">
        <f>IFERROR(INDEX('Detalles movimientos'!N$5:N$1000, MATCH(77, 'Detalles movimientos'!$S$5:$S$1000, 0)), "")</f>
        <v/>
      </c>
      <c r="M86" s="18" t="str">
        <f>IFERROR(INDEX('Detalles movimientos'!Q$5:Q$1000, MATCH(77, 'Detalles movimientos'!$S$5:$S$1000, 0)), "")</f>
        <v/>
      </c>
    </row>
    <row r="87" spans="2:13">
      <c r="B87" s="17" t="str">
        <f>IFERROR(INDEX('Detalles movimientos'!C$5:C$1000, MATCH(78, 'Detalles movimientos'!$S$5:$S$1000, 0)), "")</f>
        <v/>
      </c>
      <c r="C87" s="18" t="str">
        <f>IFERROR(INDEX('Detalles movimientos'!D$5:D$1000, MATCH(78, 'Detalles movimientos'!$S$5:$S$1000, 0)), "")</f>
        <v/>
      </c>
      <c r="D87" s="19" t="str">
        <f>IFERROR(INDEX('Detalles movimientos'!E$5:E$1000, MATCH(78, 'Detalles movimientos'!$S$5:$S$1000, 0)), "")</f>
        <v/>
      </c>
      <c r="E87" s="19" t="str">
        <f>IFERROR(INDEX('Detalles movimientos'!F$5:F$1000, MATCH(78, 'Detalles movimientos'!$S$5:$S$1000, 0)), "")</f>
        <v/>
      </c>
      <c r="F87" s="18" t="str">
        <f>IFERROR(INDEX('Detalles movimientos'!G$5:G$1000, MATCH(78, 'Detalles movimientos'!$S$5:$S$1000, 0)), "")</f>
        <v/>
      </c>
      <c r="G87" s="20" t="str">
        <f>IFERROR(INDEX('Detalles movimientos'!H$5:H$1000, MATCH(78, 'Detalles movimientos'!$S$5:$S$1000, 0)), "")</f>
        <v/>
      </c>
      <c r="H87" s="21" t="str">
        <f>IFERROR(INDEX('Detalles movimientos'!I$5:I$1000, MATCH(78, 'Detalles movimientos'!$S$5:$S$1000, 0)), "")</f>
        <v/>
      </c>
      <c r="I87" s="20" t="str">
        <f>IFERROR(INDEX('Detalles movimientos'!K$5:K$1000, MATCH(78, 'Detalles movimientos'!$S$5:$S$1000, 0)), "")</f>
        <v/>
      </c>
      <c r="J87" s="19" t="str">
        <f>IFERROR(INDEX('Detalles movimientos'!L$5:L$1000, MATCH(78, 'Detalles movimientos'!$S$5:$S$1000, 0)), "")</f>
        <v/>
      </c>
      <c r="K87" s="20" t="str">
        <f>IFERROR(INDEX('Detalles movimientos'!M$5:M$1000, MATCH(78, 'Detalles movimientos'!$S$5:$S$1000, 0)), "")</f>
        <v/>
      </c>
      <c r="L87" s="18" t="str">
        <f>IFERROR(INDEX('Detalles movimientos'!N$5:N$1000, MATCH(78, 'Detalles movimientos'!$S$5:$S$1000, 0)), "")</f>
        <v/>
      </c>
      <c r="M87" s="18" t="str">
        <f>IFERROR(INDEX('Detalles movimientos'!Q$5:Q$1000, MATCH(78, 'Detalles movimientos'!$S$5:$S$1000, 0)), "")</f>
        <v/>
      </c>
    </row>
    <row r="88" spans="2:13">
      <c r="B88" s="17" t="str">
        <f>IFERROR(INDEX('Detalles movimientos'!C$5:C$1000, MATCH(79, 'Detalles movimientos'!$S$5:$S$1000, 0)), "")</f>
        <v/>
      </c>
      <c r="C88" s="18" t="str">
        <f>IFERROR(INDEX('Detalles movimientos'!D$5:D$1000, MATCH(79, 'Detalles movimientos'!$S$5:$S$1000, 0)), "")</f>
        <v/>
      </c>
      <c r="D88" s="19" t="str">
        <f>IFERROR(INDEX('Detalles movimientos'!E$5:E$1000, MATCH(79, 'Detalles movimientos'!$S$5:$S$1000, 0)), "")</f>
        <v/>
      </c>
      <c r="E88" s="19" t="str">
        <f>IFERROR(INDEX('Detalles movimientos'!F$5:F$1000, MATCH(79, 'Detalles movimientos'!$S$5:$S$1000, 0)), "")</f>
        <v/>
      </c>
      <c r="F88" s="18" t="str">
        <f>IFERROR(INDEX('Detalles movimientos'!G$5:G$1000, MATCH(79, 'Detalles movimientos'!$S$5:$S$1000, 0)), "")</f>
        <v/>
      </c>
      <c r="G88" s="20" t="str">
        <f>IFERROR(INDEX('Detalles movimientos'!H$5:H$1000, MATCH(79, 'Detalles movimientos'!$S$5:$S$1000, 0)), "")</f>
        <v/>
      </c>
      <c r="H88" s="21" t="str">
        <f>IFERROR(INDEX('Detalles movimientos'!I$5:I$1000, MATCH(79, 'Detalles movimientos'!$S$5:$S$1000, 0)), "")</f>
        <v/>
      </c>
      <c r="I88" s="20" t="str">
        <f>IFERROR(INDEX('Detalles movimientos'!K$5:K$1000, MATCH(79, 'Detalles movimientos'!$S$5:$S$1000, 0)), "")</f>
        <v/>
      </c>
      <c r="J88" s="19" t="str">
        <f>IFERROR(INDEX('Detalles movimientos'!L$5:L$1000, MATCH(79, 'Detalles movimientos'!$S$5:$S$1000, 0)), "")</f>
        <v/>
      </c>
      <c r="K88" s="20" t="str">
        <f>IFERROR(INDEX('Detalles movimientos'!M$5:M$1000, MATCH(79, 'Detalles movimientos'!$S$5:$S$1000, 0)), "")</f>
        <v/>
      </c>
      <c r="L88" s="18" t="str">
        <f>IFERROR(INDEX('Detalles movimientos'!N$5:N$1000, MATCH(79, 'Detalles movimientos'!$S$5:$S$1000, 0)), "")</f>
        <v/>
      </c>
      <c r="M88" s="18" t="str">
        <f>IFERROR(INDEX('Detalles movimientos'!Q$5:Q$1000, MATCH(79, 'Detalles movimientos'!$S$5:$S$1000, 0)), "")</f>
        <v/>
      </c>
    </row>
    <row r="89" spans="2:13">
      <c r="B89" s="17" t="str">
        <f>IFERROR(INDEX('Detalles movimientos'!C$5:C$1000, MATCH(80, 'Detalles movimientos'!$S$5:$S$1000, 0)), "")</f>
        <v/>
      </c>
      <c r="C89" s="18" t="str">
        <f>IFERROR(INDEX('Detalles movimientos'!D$5:D$1000, MATCH(80, 'Detalles movimientos'!$S$5:$S$1000, 0)), "")</f>
        <v/>
      </c>
      <c r="D89" s="19" t="str">
        <f>IFERROR(INDEX('Detalles movimientos'!E$5:E$1000, MATCH(80, 'Detalles movimientos'!$S$5:$S$1000, 0)), "")</f>
        <v/>
      </c>
      <c r="E89" s="19" t="str">
        <f>IFERROR(INDEX('Detalles movimientos'!F$5:F$1000, MATCH(80, 'Detalles movimientos'!$S$5:$S$1000, 0)), "")</f>
        <v/>
      </c>
      <c r="F89" s="18" t="str">
        <f>IFERROR(INDEX('Detalles movimientos'!G$5:G$1000, MATCH(80, 'Detalles movimientos'!$S$5:$S$1000, 0)), "")</f>
        <v/>
      </c>
      <c r="G89" s="20" t="str">
        <f>IFERROR(INDEX('Detalles movimientos'!H$5:H$1000, MATCH(80, 'Detalles movimientos'!$S$5:$S$1000, 0)), "")</f>
        <v/>
      </c>
      <c r="H89" s="21" t="str">
        <f>IFERROR(INDEX('Detalles movimientos'!I$5:I$1000, MATCH(80, 'Detalles movimientos'!$S$5:$S$1000, 0)), "")</f>
        <v/>
      </c>
      <c r="I89" s="20" t="str">
        <f>IFERROR(INDEX('Detalles movimientos'!K$5:K$1000, MATCH(80, 'Detalles movimientos'!$S$5:$S$1000, 0)), "")</f>
        <v/>
      </c>
      <c r="J89" s="19" t="str">
        <f>IFERROR(INDEX('Detalles movimientos'!L$5:L$1000, MATCH(80, 'Detalles movimientos'!$S$5:$S$1000, 0)), "")</f>
        <v/>
      </c>
      <c r="K89" s="20" t="str">
        <f>IFERROR(INDEX('Detalles movimientos'!M$5:M$1000, MATCH(80, 'Detalles movimientos'!$S$5:$S$1000, 0)), "")</f>
        <v/>
      </c>
      <c r="L89" s="18" t="str">
        <f>IFERROR(INDEX('Detalles movimientos'!N$5:N$1000, MATCH(80, 'Detalles movimientos'!$S$5:$S$1000, 0)), "")</f>
        <v/>
      </c>
      <c r="M89" s="18" t="str">
        <f>IFERROR(INDEX('Detalles movimientos'!Q$5:Q$1000, MATCH(80, 'Detalles movimientos'!$S$5:$S$1000, 0)), "")</f>
        <v/>
      </c>
    </row>
    <row r="90" spans="2:13">
      <c r="B90" s="17" t="str">
        <f>IFERROR(INDEX('Detalles movimientos'!C$5:C$1000, MATCH(81, 'Detalles movimientos'!$S$5:$S$1000, 0)), "")</f>
        <v/>
      </c>
      <c r="C90" s="18" t="str">
        <f>IFERROR(INDEX('Detalles movimientos'!D$5:D$1000, MATCH(81, 'Detalles movimientos'!$S$5:$S$1000, 0)), "")</f>
        <v/>
      </c>
      <c r="D90" s="19" t="str">
        <f>IFERROR(INDEX('Detalles movimientos'!E$5:E$1000, MATCH(81, 'Detalles movimientos'!$S$5:$S$1000, 0)), "")</f>
        <v/>
      </c>
      <c r="E90" s="19" t="str">
        <f>IFERROR(INDEX('Detalles movimientos'!F$5:F$1000, MATCH(81, 'Detalles movimientos'!$S$5:$S$1000, 0)), "")</f>
        <v/>
      </c>
      <c r="F90" s="18" t="str">
        <f>IFERROR(INDEX('Detalles movimientos'!G$5:G$1000, MATCH(81, 'Detalles movimientos'!$S$5:$S$1000, 0)), "")</f>
        <v/>
      </c>
      <c r="G90" s="20" t="str">
        <f>IFERROR(INDEX('Detalles movimientos'!H$5:H$1000, MATCH(81, 'Detalles movimientos'!$S$5:$S$1000, 0)), "")</f>
        <v/>
      </c>
      <c r="H90" s="21" t="str">
        <f>IFERROR(INDEX('Detalles movimientos'!I$5:I$1000, MATCH(81, 'Detalles movimientos'!$S$5:$S$1000, 0)), "")</f>
        <v/>
      </c>
      <c r="I90" s="20" t="str">
        <f>IFERROR(INDEX('Detalles movimientos'!K$5:K$1000, MATCH(81, 'Detalles movimientos'!$S$5:$S$1000, 0)), "")</f>
        <v/>
      </c>
      <c r="J90" s="19" t="str">
        <f>IFERROR(INDEX('Detalles movimientos'!L$5:L$1000, MATCH(81, 'Detalles movimientos'!$S$5:$S$1000, 0)), "")</f>
        <v/>
      </c>
      <c r="K90" s="20" t="str">
        <f>IFERROR(INDEX('Detalles movimientos'!M$5:M$1000, MATCH(81, 'Detalles movimientos'!$S$5:$S$1000, 0)), "")</f>
        <v/>
      </c>
      <c r="L90" s="18" t="str">
        <f>IFERROR(INDEX('Detalles movimientos'!N$5:N$1000, MATCH(81, 'Detalles movimientos'!$S$5:$S$1000, 0)), "")</f>
        <v/>
      </c>
      <c r="M90" s="18" t="str">
        <f>IFERROR(INDEX('Detalles movimientos'!Q$5:Q$1000, MATCH(81, 'Detalles movimientos'!$S$5:$S$1000, 0)), "")</f>
        <v/>
      </c>
    </row>
    <row r="91" spans="2:13">
      <c r="B91" s="17" t="str">
        <f>IFERROR(INDEX('Detalles movimientos'!C$5:C$1000, MATCH(82, 'Detalles movimientos'!$S$5:$S$1000, 0)), "")</f>
        <v/>
      </c>
      <c r="C91" s="18" t="str">
        <f>IFERROR(INDEX('Detalles movimientos'!D$5:D$1000, MATCH(82, 'Detalles movimientos'!$S$5:$S$1000, 0)), "")</f>
        <v/>
      </c>
      <c r="D91" s="19" t="str">
        <f>IFERROR(INDEX('Detalles movimientos'!E$5:E$1000, MATCH(82, 'Detalles movimientos'!$S$5:$S$1000, 0)), "")</f>
        <v/>
      </c>
      <c r="E91" s="19" t="str">
        <f>IFERROR(INDEX('Detalles movimientos'!F$5:F$1000, MATCH(82, 'Detalles movimientos'!$S$5:$S$1000, 0)), "")</f>
        <v/>
      </c>
      <c r="F91" s="18" t="str">
        <f>IFERROR(INDEX('Detalles movimientos'!G$5:G$1000, MATCH(82, 'Detalles movimientos'!$S$5:$S$1000, 0)), "")</f>
        <v/>
      </c>
      <c r="G91" s="20" t="str">
        <f>IFERROR(INDEX('Detalles movimientos'!H$5:H$1000, MATCH(82, 'Detalles movimientos'!$S$5:$S$1000, 0)), "")</f>
        <v/>
      </c>
      <c r="H91" s="21" t="str">
        <f>IFERROR(INDEX('Detalles movimientos'!I$5:I$1000, MATCH(82, 'Detalles movimientos'!$S$5:$S$1000, 0)), "")</f>
        <v/>
      </c>
      <c r="I91" s="20" t="str">
        <f>IFERROR(INDEX('Detalles movimientos'!K$5:K$1000, MATCH(82, 'Detalles movimientos'!$S$5:$S$1000, 0)), "")</f>
        <v/>
      </c>
      <c r="J91" s="19" t="str">
        <f>IFERROR(INDEX('Detalles movimientos'!L$5:L$1000, MATCH(82, 'Detalles movimientos'!$S$5:$S$1000, 0)), "")</f>
        <v/>
      </c>
      <c r="K91" s="20" t="str">
        <f>IFERROR(INDEX('Detalles movimientos'!M$5:M$1000, MATCH(82, 'Detalles movimientos'!$S$5:$S$1000, 0)), "")</f>
        <v/>
      </c>
      <c r="L91" s="18" t="str">
        <f>IFERROR(INDEX('Detalles movimientos'!N$5:N$1000, MATCH(82, 'Detalles movimientos'!$S$5:$S$1000, 0)), "")</f>
        <v/>
      </c>
      <c r="M91" s="18" t="str">
        <f>IFERROR(INDEX('Detalles movimientos'!Q$5:Q$1000, MATCH(82, 'Detalles movimientos'!$S$5:$S$1000, 0)), "")</f>
        <v/>
      </c>
    </row>
    <row r="92" spans="2:13">
      <c r="B92" s="17" t="str">
        <f>IFERROR(INDEX('Detalles movimientos'!C$5:C$1000, MATCH(83, 'Detalles movimientos'!$S$5:$S$1000, 0)), "")</f>
        <v/>
      </c>
      <c r="C92" s="18" t="str">
        <f>IFERROR(INDEX('Detalles movimientos'!D$5:D$1000, MATCH(83, 'Detalles movimientos'!$S$5:$S$1000, 0)), "")</f>
        <v/>
      </c>
      <c r="D92" s="19" t="str">
        <f>IFERROR(INDEX('Detalles movimientos'!E$5:E$1000, MATCH(83, 'Detalles movimientos'!$S$5:$S$1000, 0)), "")</f>
        <v/>
      </c>
      <c r="E92" s="19" t="str">
        <f>IFERROR(INDEX('Detalles movimientos'!F$5:F$1000, MATCH(83, 'Detalles movimientos'!$S$5:$S$1000, 0)), "")</f>
        <v/>
      </c>
      <c r="F92" s="18" t="str">
        <f>IFERROR(INDEX('Detalles movimientos'!G$5:G$1000, MATCH(83, 'Detalles movimientos'!$S$5:$S$1000, 0)), "")</f>
        <v/>
      </c>
      <c r="G92" s="20" t="str">
        <f>IFERROR(INDEX('Detalles movimientos'!H$5:H$1000, MATCH(83, 'Detalles movimientos'!$S$5:$S$1000, 0)), "")</f>
        <v/>
      </c>
      <c r="H92" s="21" t="str">
        <f>IFERROR(INDEX('Detalles movimientos'!I$5:I$1000, MATCH(83, 'Detalles movimientos'!$S$5:$S$1000, 0)), "")</f>
        <v/>
      </c>
      <c r="I92" s="20" t="str">
        <f>IFERROR(INDEX('Detalles movimientos'!K$5:K$1000, MATCH(83, 'Detalles movimientos'!$S$5:$S$1000, 0)), "")</f>
        <v/>
      </c>
      <c r="J92" s="19" t="str">
        <f>IFERROR(INDEX('Detalles movimientos'!L$5:L$1000, MATCH(83, 'Detalles movimientos'!$S$5:$S$1000, 0)), "")</f>
        <v/>
      </c>
      <c r="K92" s="20" t="str">
        <f>IFERROR(INDEX('Detalles movimientos'!M$5:M$1000, MATCH(83, 'Detalles movimientos'!$S$5:$S$1000, 0)), "")</f>
        <v/>
      </c>
      <c r="L92" s="18" t="str">
        <f>IFERROR(INDEX('Detalles movimientos'!N$5:N$1000, MATCH(83, 'Detalles movimientos'!$S$5:$S$1000, 0)), "")</f>
        <v/>
      </c>
      <c r="M92" s="18" t="str">
        <f>IFERROR(INDEX('Detalles movimientos'!Q$5:Q$1000, MATCH(83, 'Detalles movimientos'!$S$5:$S$1000, 0)), "")</f>
        <v/>
      </c>
    </row>
    <row r="93" spans="2:13">
      <c r="B93" s="17" t="str">
        <f>IFERROR(INDEX('Detalles movimientos'!C$5:C$1000, MATCH(84, 'Detalles movimientos'!$S$5:$S$1000, 0)), "")</f>
        <v/>
      </c>
      <c r="C93" s="18" t="str">
        <f>IFERROR(INDEX('Detalles movimientos'!D$5:D$1000, MATCH(84, 'Detalles movimientos'!$S$5:$S$1000, 0)), "")</f>
        <v/>
      </c>
      <c r="D93" s="19" t="str">
        <f>IFERROR(INDEX('Detalles movimientos'!E$5:E$1000, MATCH(84, 'Detalles movimientos'!$S$5:$S$1000, 0)), "")</f>
        <v/>
      </c>
      <c r="E93" s="19" t="str">
        <f>IFERROR(INDEX('Detalles movimientos'!F$5:F$1000, MATCH(84, 'Detalles movimientos'!$S$5:$S$1000, 0)), "")</f>
        <v/>
      </c>
      <c r="F93" s="18" t="str">
        <f>IFERROR(INDEX('Detalles movimientos'!G$5:G$1000, MATCH(84, 'Detalles movimientos'!$S$5:$S$1000, 0)), "")</f>
        <v/>
      </c>
      <c r="G93" s="20" t="str">
        <f>IFERROR(INDEX('Detalles movimientos'!H$5:H$1000, MATCH(84, 'Detalles movimientos'!$S$5:$S$1000, 0)), "")</f>
        <v/>
      </c>
      <c r="H93" s="21" t="str">
        <f>IFERROR(INDEX('Detalles movimientos'!I$5:I$1000, MATCH(84, 'Detalles movimientos'!$S$5:$S$1000, 0)), "")</f>
        <v/>
      </c>
      <c r="I93" s="20" t="str">
        <f>IFERROR(INDEX('Detalles movimientos'!K$5:K$1000, MATCH(84, 'Detalles movimientos'!$S$5:$S$1000, 0)), "")</f>
        <v/>
      </c>
      <c r="J93" s="19" t="str">
        <f>IFERROR(INDEX('Detalles movimientos'!L$5:L$1000, MATCH(84, 'Detalles movimientos'!$S$5:$S$1000, 0)), "")</f>
        <v/>
      </c>
      <c r="K93" s="20" t="str">
        <f>IFERROR(INDEX('Detalles movimientos'!M$5:M$1000, MATCH(84, 'Detalles movimientos'!$S$5:$S$1000, 0)), "")</f>
        <v/>
      </c>
      <c r="L93" s="18" t="str">
        <f>IFERROR(INDEX('Detalles movimientos'!N$5:N$1000, MATCH(84, 'Detalles movimientos'!$S$5:$S$1000, 0)), "")</f>
        <v/>
      </c>
      <c r="M93" s="18" t="str">
        <f>IFERROR(INDEX('Detalles movimientos'!Q$5:Q$1000, MATCH(84, 'Detalles movimientos'!$S$5:$S$1000, 0)), "")</f>
        <v/>
      </c>
    </row>
    <row r="94" spans="2:13">
      <c r="B94" s="17" t="str">
        <f>IFERROR(INDEX('Detalles movimientos'!C$5:C$1000, MATCH(85, 'Detalles movimientos'!$S$5:$S$1000, 0)), "")</f>
        <v/>
      </c>
      <c r="C94" s="18" t="str">
        <f>IFERROR(INDEX('Detalles movimientos'!D$5:D$1000, MATCH(85, 'Detalles movimientos'!$S$5:$S$1000, 0)), "")</f>
        <v/>
      </c>
      <c r="D94" s="19" t="str">
        <f>IFERROR(INDEX('Detalles movimientos'!E$5:E$1000, MATCH(85, 'Detalles movimientos'!$S$5:$S$1000, 0)), "")</f>
        <v/>
      </c>
      <c r="E94" s="19" t="str">
        <f>IFERROR(INDEX('Detalles movimientos'!F$5:F$1000, MATCH(85, 'Detalles movimientos'!$S$5:$S$1000, 0)), "")</f>
        <v/>
      </c>
      <c r="F94" s="18" t="str">
        <f>IFERROR(INDEX('Detalles movimientos'!G$5:G$1000, MATCH(85, 'Detalles movimientos'!$S$5:$S$1000, 0)), "")</f>
        <v/>
      </c>
      <c r="G94" s="20" t="str">
        <f>IFERROR(INDEX('Detalles movimientos'!H$5:H$1000, MATCH(85, 'Detalles movimientos'!$S$5:$S$1000, 0)), "")</f>
        <v/>
      </c>
      <c r="H94" s="21" t="str">
        <f>IFERROR(INDEX('Detalles movimientos'!I$5:I$1000, MATCH(85, 'Detalles movimientos'!$S$5:$S$1000, 0)), "")</f>
        <v/>
      </c>
      <c r="I94" s="20" t="str">
        <f>IFERROR(INDEX('Detalles movimientos'!K$5:K$1000, MATCH(85, 'Detalles movimientos'!$S$5:$S$1000, 0)), "")</f>
        <v/>
      </c>
      <c r="J94" s="19" t="str">
        <f>IFERROR(INDEX('Detalles movimientos'!L$5:L$1000, MATCH(85, 'Detalles movimientos'!$S$5:$S$1000, 0)), "")</f>
        <v/>
      </c>
      <c r="K94" s="20" t="str">
        <f>IFERROR(INDEX('Detalles movimientos'!M$5:M$1000, MATCH(85, 'Detalles movimientos'!$S$5:$S$1000, 0)), "")</f>
        <v/>
      </c>
      <c r="L94" s="18" t="str">
        <f>IFERROR(INDEX('Detalles movimientos'!N$5:N$1000, MATCH(85, 'Detalles movimientos'!$S$5:$S$1000, 0)), "")</f>
        <v/>
      </c>
      <c r="M94" s="18" t="str">
        <f>IFERROR(INDEX('Detalles movimientos'!Q$5:Q$1000, MATCH(85, 'Detalles movimientos'!$S$5:$S$1000, 0)), "")</f>
        <v/>
      </c>
    </row>
    <row r="95" spans="2:13">
      <c r="B95" s="17" t="str">
        <f>IFERROR(INDEX('Detalles movimientos'!C$5:C$1000, MATCH(86, 'Detalles movimientos'!$S$5:$S$1000, 0)), "")</f>
        <v/>
      </c>
      <c r="C95" s="18" t="str">
        <f>IFERROR(INDEX('Detalles movimientos'!D$5:D$1000, MATCH(86, 'Detalles movimientos'!$S$5:$S$1000, 0)), "")</f>
        <v/>
      </c>
      <c r="D95" s="19" t="str">
        <f>IFERROR(INDEX('Detalles movimientos'!E$5:E$1000, MATCH(86, 'Detalles movimientos'!$S$5:$S$1000, 0)), "")</f>
        <v/>
      </c>
      <c r="E95" s="19" t="str">
        <f>IFERROR(INDEX('Detalles movimientos'!F$5:F$1000, MATCH(86, 'Detalles movimientos'!$S$5:$S$1000, 0)), "")</f>
        <v/>
      </c>
      <c r="F95" s="18" t="str">
        <f>IFERROR(INDEX('Detalles movimientos'!G$5:G$1000, MATCH(86, 'Detalles movimientos'!$S$5:$S$1000, 0)), "")</f>
        <v/>
      </c>
      <c r="G95" s="20" t="str">
        <f>IFERROR(INDEX('Detalles movimientos'!H$5:H$1000, MATCH(86, 'Detalles movimientos'!$S$5:$S$1000, 0)), "")</f>
        <v/>
      </c>
      <c r="H95" s="21" t="str">
        <f>IFERROR(INDEX('Detalles movimientos'!I$5:I$1000, MATCH(86, 'Detalles movimientos'!$S$5:$S$1000, 0)), "")</f>
        <v/>
      </c>
      <c r="I95" s="20" t="str">
        <f>IFERROR(INDEX('Detalles movimientos'!K$5:K$1000, MATCH(86, 'Detalles movimientos'!$S$5:$S$1000, 0)), "")</f>
        <v/>
      </c>
      <c r="J95" s="19" t="str">
        <f>IFERROR(INDEX('Detalles movimientos'!L$5:L$1000, MATCH(86, 'Detalles movimientos'!$S$5:$S$1000, 0)), "")</f>
        <v/>
      </c>
      <c r="K95" s="20" t="str">
        <f>IFERROR(INDEX('Detalles movimientos'!M$5:M$1000, MATCH(86, 'Detalles movimientos'!$S$5:$S$1000, 0)), "")</f>
        <v/>
      </c>
      <c r="L95" s="18" t="str">
        <f>IFERROR(INDEX('Detalles movimientos'!N$5:N$1000, MATCH(86, 'Detalles movimientos'!$S$5:$S$1000, 0)), "")</f>
        <v/>
      </c>
      <c r="M95" s="18" t="str">
        <f>IFERROR(INDEX('Detalles movimientos'!Q$5:Q$1000, MATCH(86, 'Detalles movimientos'!$S$5:$S$1000, 0)), "")</f>
        <v/>
      </c>
    </row>
    <row r="96" spans="2:13">
      <c r="B96" s="17" t="str">
        <f>IFERROR(INDEX('Detalles movimientos'!C$5:C$1000, MATCH(87, 'Detalles movimientos'!$S$5:$S$1000, 0)), "")</f>
        <v/>
      </c>
      <c r="C96" s="18" t="str">
        <f>IFERROR(INDEX('Detalles movimientos'!D$5:D$1000, MATCH(87, 'Detalles movimientos'!$S$5:$S$1000, 0)), "")</f>
        <v/>
      </c>
      <c r="D96" s="19" t="str">
        <f>IFERROR(INDEX('Detalles movimientos'!E$5:E$1000, MATCH(87, 'Detalles movimientos'!$S$5:$S$1000, 0)), "")</f>
        <v/>
      </c>
      <c r="E96" s="19" t="str">
        <f>IFERROR(INDEX('Detalles movimientos'!F$5:F$1000, MATCH(87, 'Detalles movimientos'!$S$5:$S$1000, 0)), "")</f>
        <v/>
      </c>
      <c r="F96" s="18" t="str">
        <f>IFERROR(INDEX('Detalles movimientos'!G$5:G$1000, MATCH(87, 'Detalles movimientos'!$S$5:$S$1000, 0)), "")</f>
        <v/>
      </c>
      <c r="G96" s="20" t="str">
        <f>IFERROR(INDEX('Detalles movimientos'!H$5:H$1000, MATCH(87, 'Detalles movimientos'!$S$5:$S$1000, 0)), "")</f>
        <v/>
      </c>
      <c r="H96" s="21" t="str">
        <f>IFERROR(INDEX('Detalles movimientos'!I$5:I$1000, MATCH(87, 'Detalles movimientos'!$S$5:$S$1000, 0)), "")</f>
        <v/>
      </c>
      <c r="I96" s="20" t="str">
        <f>IFERROR(INDEX('Detalles movimientos'!K$5:K$1000, MATCH(87, 'Detalles movimientos'!$S$5:$S$1000, 0)), "")</f>
        <v/>
      </c>
      <c r="J96" s="19" t="str">
        <f>IFERROR(INDEX('Detalles movimientos'!L$5:L$1000, MATCH(87, 'Detalles movimientos'!$S$5:$S$1000, 0)), "")</f>
        <v/>
      </c>
      <c r="K96" s="20" t="str">
        <f>IFERROR(INDEX('Detalles movimientos'!M$5:M$1000, MATCH(87, 'Detalles movimientos'!$S$5:$S$1000, 0)), "")</f>
        <v/>
      </c>
      <c r="L96" s="18" t="str">
        <f>IFERROR(INDEX('Detalles movimientos'!N$5:N$1000, MATCH(87, 'Detalles movimientos'!$S$5:$S$1000, 0)), "")</f>
        <v/>
      </c>
      <c r="M96" s="18" t="str">
        <f>IFERROR(INDEX('Detalles movimientos'!Q$5:Q$1000, MATCH(87, 'Detalles movimientos'!$S$5:$S$1000, 0)), "")</f>
        <v/>
      </c>
    </row>
    <row r="97" spans="2:13">
      <c r="B97" s="17" t="str">
        <f>IFERROR(INDEX('Detalles movimientos'!C$5:C$1000, MATCH(88, 'Detalles movimientos'!$S$5:$S$1000, 0)), "")</f>
        <v/>
      </c>
      <c r="C97" s="18" t="str">
        <f>IFERROR(INDEX('Detalles movimientos'!D$5:D$1000, MATCH(88, 'Detalles movimientos'!$S$5:$S$1000, 0)), "")</f>
        <v/>
      </c>
      <c r="D97" s="19" t="str">
        <f>IFERROR(INDEX('Detalles movimientos'!E$5:E$1000, MATCH(88, 'Detalles movimientos'!$S$5:$S$1000, 0)), "")</f>
        <v/>
      </c>
      <c r="E97" s="19" t="str">
        <f>IFERROR(INDEX('Detalles movimientos'!F$5:F$1000, MATCH(88, 'Detalles movimientos'!$S$5:$S$1000, 0)), "")</f>
        <v/>
      </c>
      <c r="F97" s="18" t="str">
        <f>IFERROR(INDEX('Detalles movimientos'!G$5:G$1000, MATCH(88, 'Detalles movimientos'!$S$5:$S$1000, 0)), "")</f>
        <v/>
      </c>
      <c r="G97" s="20" t="str">
        <f>IFERROR(INDEX('Detalles movimientos'!H$5:H$1000, MATCH(88, 'Detalles movimientos'!$S$5:$S$1000, 0)), "")</f>
        <v/>
      </c>
      <c r="H97" s="21" t="str">
        <f>IFERROR(INDEX('Detalles movimientos'!I$5:I$1000, MATCH(88, 'Detalles movimientos'!$S$5:$S$1000, 0)), "")</f>
        <v/>
      </c>
      <c r="I97" s="20" t="str">
        <f>IFERROR(INDEX('Detalles movimientos'!K$5:K$1000, MATCH(88, 'Detalles movimientos'!$S$5:$S$1000, 0)), "")</f>
        <v/>
      </c>
      <c r="J97" s="19" t="str">
        <f>IFERROR(INDEX('Detalles movimientos'!L$5:L$1000, MATCH(88, 'Detalles movimientos'!$S$5:$S$1000, 0)), "")</f>
        <v/>
      </c>
      <c r="K97" s="20" t="str">
        <f>IFERROR(INDEX('Detalles movimientos'!M$5:M$1000, MATCH(88, 'Detalles movimientos'!$S$5:$S$1000, 0)), "")</f>
        <v/>
      </c>
      <c r="L97" s="18" t="str">
        <f>IFERROR(INDEX('Detalles movimientos'!N$5:N$1000, MATCH(88, 'Detalles movimientos'!$S$5:$S$1000, 0)), "")</f>
        <v/>
      </c>
      <c r="M97" s="18" t="str">
        <f>IFERROR(INDEX('Detalles movimientos'!Q$5:Q$1000, MATCH(88, 'Detalles movimientos'!$S$5:$S$1000, 0)), "")</f>
        <v/>
      </c>
    </row>
    <row r="98" spans="2:13">
      <c r="B98" s="17" t="str">
        <f>IFERROR(INDEX('Detalles movimientos'!C$5:C$1000, MATCH(89, 'Detalles movimientos'!$S$5:$S$1000, 0)), "")</f>
        <v/>
      </c>
      <c r="C98" s="18" t="str">
        <f>IFERROR(INDEX('Detalles movimientos'!D$5:D$1000, MATCH(89, 'Detalles movimientos'!$S$5:$S$1000, 0)), "")</f>
        <v/>
      </c>
      <c r="D98" s="19" t="str">
        <f>IFERROR(INDEX('Detalles movimientos'!E$5:E$1000, MATCH(89, 'Detalles movimientos'!$S$5:$S$1000, 0)), "")</f>
        <v/>
      </c>
      <c r="E98" s="19" t="str">
        <f>IFERROR(INDEX('Detalles movimientos'!F$5:F$1000, MATCH(89, 'Detalles movimientos'!$S$5:$S$1000, 0)), "")</f>
        <v/>
      </c>
      <c r="F98" s="18" t="str">
        <f>IFERROR(INDEX('Detalles movimientos'!G$5:G$1000, MATCH(89, 'Detalles movimientos'!$S$5:$S$1000, 0)), "")</f>
        <v/>
      </c>
      <c r="G98" s="20" t="str">
        <f>IFERROR(INDEX('Detalles movimientos'!H$5:H$1000, MATCH(89, 'Detalles movimientos'!$S$5:$S$1000, 0)), "")</f>
        <v/>
      </c>
      <c r="H98" s="21" t="str">
        <f>IFERROR(INDEX('Detalles movimientos'!I$5:I$1000, MATCH(89, 'Detalles movimientos'!$S$5:$S$1000, 0)), "")</f>
        <v/>
      </c>
      <c r="I98" s="20" t="str">
        <f>IFERROR(INDEX('Detalles movimientos'!K$5:K$1000, MATCH(89, 'Detalles movimientos'!$S$5:$S$1000, 0)), "")</f>
        <v/>
      </c>
      <c r="J98" s="19" t="str">
        <f>IFERROR(INDEX('Detalles movimientos'!L$5:L$1000, MATCH(89, 'Detalles movimientos'!$S$5:$S$1000, 0)), "")</f>
        <v/>
      </c>
      <c r="K98" s="20" t="str">
        <f>IFERROR(INDEX('Detalles movimientos'!M$5:M$1000, MATCH(89, 'Detalles movimientos'!$S$5:$S$1000, 0)), "")</f>
        <v/>
      </c>
      <c r="L98" s="18" t="str">
        <f>IFERROR(INDEX('Detalles movimientos'!N$5:N$1000, MATCH(89, 'Detalles movimientos'!$S$5:$S$1000, 0)), "")</f>
        <v/>
      </c>
      <c r="M98" s="18" t="str">
        <f>IFERROR(INDEX('Detalles movimientos'!Q$5:Q$1000, MATCH(89, 'Detalles movimientos'!$S$5:$S$1000, 0)), "")</f>
        <v/>
      </c>
    </row>
    <row r="99" spans="2:13">
      <c r="B99" s="17" t="str">
        <f>IFERROR(INDEX('Detalles movimientos'!C$5:C$1000, MATCH(90, 'Detalles movimientos'!$S$5:$S$1000, 0)), "")</f>
        <v/>
      </c>
      <c r="C99" s="18" t="str">
        <f>IFERROR(INDEX('Detalles movimientos'!D$5:D$1000, MATCH(90, 'Detalles movimientos'!$S$5:$S$1000, 0)), "")</f>
        <v/>
      </c>
      <c r="D99" s="19" t="str">
        <f>IFERROR(INDEX('Detalles movimientos'!E$5:E$1000, MATCH(90, 'Detalles movimientos'!$S$5:$S$1000, 0)), "")</f>
        <v/>
      </c>
      <c r="E99" s="19" t="str">
        <f>IFERROR(INDEX('Detalles movimientos'!F$5:F$1000, MATCH(90, 'Detalles movimientos'!$S$5:$S$1000, 0)), "")</f>
        <v/>
      </c>
      <c r="F99" s="18" t="str">
        <f>IFERROR(INDEX('Detalles movimientos'!G$5:G$1000, MATCH(90, 'Detalles movimientos'!$S$5:$S$1000, 0)), "")</f>
        <v/>
      </c>
      <c r="G99" s="20" t="str">
        <f>IFERROR(INDEX('Detalles movimientos'!H$5:H$1000, MATCH(90, 'Detalles movimientos'!$S$5:$S$1000, 0)), "")</f>
        <v/>
      </c>
      <c r="H99" s="21" t="str">
        <f>IFERROR(INDEX('Detalles movimientos'!I$5:I$1000, MATCH(90, 'Detalles movimientos'!$S$5:$S$1000, 0)), "")</f>
        <v/>
      </c>
      <c r="I99" s="20" t="str">
        <f>IFERROR(INDEX('Detalles movimientos'!K$5:K$1000, MATCH(90, 'Detalles movimientos'!$S$5:$S$1000, 0)), "")</f>
        <v/>
      </c>
      <c r="J99" s="19" t="str">
        <f>IFERROR(INDEX('Detalles movimientos'!L$5:L$1000, MATCH(90, 'Detalles movimientos'!$S$5:$S$1000, 0)), "")</f>
        <v/>
      </c>
      <c r="K99" s="20" t="str">
        <f>IFERROR(INDEX('Detalles movimientos'!M$5:M$1000, MATCH(90, 'Detalles movimientos'!$S$5:$S$1000, 0)), "")</f>
        <v/>
      </c>
      <c r="L99" s="18" t="str">
        <f>IFERROR(INDEX('Detalles movimientos'!N$5:N$1000, MATCH(90, 'Detalles movimientos'!$S$5:$S$1000, 0)), "")</f>
        <v/>
      </c>
      <c r="M99" s="18" t="str">
        <f>IFERROR(INDEX('Detalles movimientos'!Q$5:Q$1000, MATCH(90, 'Detalles movimientos'!$S$5:$S$1000, 0)), "")</f>
        <v/>
      </c>
    </row>
    <row r="100" spans="2:13">
      <c r="B100" s="17" t="str">
        <f>IFERROR(INDEX('Detalles movimientos'!C$5:C$1000, MATCH(91, 'Detalles movimientos'!$S$5:$S$1000, 0)), "")</f>
        <v/>
      </c>
      <c r="C100" s="18" t="str">
        <f>IFERROR(INDEX('Detalles movimientos'!D$5:D$1000, MATCH(91, 'Detalles movimientos'!$S$5:$S$1000, 0)), "")</f>
        <v/>
      </c>
      <c r="D100" s="19" t="str">
        <f>IFERROR(INDEX('Detalles movimientos'!E$5:E$1000, MATCH(91, 'Detalles movimientos'!$S$5:$S$1000, 0)), "")</f>
        <v/>
      </c>
      <c r="E100" s="19" t="str">
        <f>IFERROR(INDEX('Detalles movimientos'!F$5:F$1000, MATCH(91, 'Detalles movimientos'!$S$5:$S$1000, 0)), "")</f>
        <v/>
      </c>
      <c r="F100" s="18" t="str">
        <f>IFERROR(INDEX('Detalles movimientos'!G$5:G$1000, MATCH(91, 'Detalles movimientos'!$S$5:$S$1000, 0)), "")</f>
        <v/>
      </c>
      <c r="G100" s="20" t="str">
        <f>IFERROR(INDEX('Detalles movimientos'!H$5:H$1000, MATCH(91, 'Detalles movimientos'!$S$5:$S$1000, 0)), "")</f>
        <v/>
      </c>
      <c r="H100" s="21" t="str">
        <f>IFERROR(INDEX('Detalles movimientos'!I$5:I$1000, MATCH(91, 'Detalles movimientos'!$S$5:$S$1000, 0)), "")</f>
        <v/>
      </c>
      <c r="I100" s="20" t="str">
        <f>IFERROR(INDEX('Detalles movimientos'!K$5:K$1000, MATCH(91, 'Detalles movimientos'!$S$5:$S$1000, 0)), "")</f>
        <v/>
      </c>
      <c r="J100" s="19" t="str">
        <f>IFERROR(INDEX('Detalles movimientos'!L$5:L$1000, MATCH(91, 'Detalles movimientos'!$S$5:$S$1000, 0)), "")</f>
        <v/>
      </c>
      <c r="K100" s="20" t="str">
        <f>IFERROR(INDEX('Detalles movimientos'!M$5:M$1000, MATCH(91, 'Detalles movimientos'!$S$5:$S$1000, 0)), "")</f>
        <v/>
      </c>
      <c r="L100" s="18" t="str">
        <f>IFERROR(INDEX('Detalles movimientos'!N$5:N$1000, MATCH(91, 'Detalles movimientos'!$S$5:$S$1000, 0)), "")</f>
        <v/>
      </c>
      <c r="M100" s="18" t="str">
        <f>IFERROR(INDEX('Detalles movimientos'!Q$5:Q$1000, MATCH(91, 'Detalles movimientos'!$S$5:$S$1000, 0)), "")</f>
        <v/>
      </c>
    </row>
    <row r="101" spans="2:13">
      <c r="B101" s="17" t="str">
        <f>IFERROR(INDEX('Detalles movimientos'!C$5:C$1000, MATCH(92, 'Detalles movimientos'!$S$5:$S$1000, 0)), "")</f>
        <v/>
      </c>
      <c r="C101" s="18" t="str">
        <f>IFERROR(INDEX('Detalles movimientos'!D$5:D$1000, MATCH(92, 'Detalles movimientos'!$S$5:$S$1000, 0)), "")</f>
        <v/>
      </c>
      <c r="D101" s="19" t="str">
        <f>IFERROR(INDEX('Detalles movimientos'!E$5:E$1000, MATCH(92, 'Detalles movimientos'!$S$5:$S$1000, 0)), "")</f>
        <v/>
      </c>
      <c r="E101" s="19" t="str">
        <f>IFERROR(INDEX('Detalles movimientos'!F$5:F$1000, MATCH(92, 'Detalles movimientos'!$S$5:$S$1000, 0)), "")</f>
        <v/>
      </c>
      <c r="F101" s="18" t="str">
        <f>IFERROR(INDEX('Detalles movimientos'!G$5:G$1000, MATCH(92, 'Detalles movimientos'!$S$5:$S$1000, 0)), "")</f>
        <v/>
      </c>
      <c r="G101" s="20" t="str">
        <f>IFERROR(INDEX('Detalles movimientos'!H$5:H$1000, MATCH(92, 'Detalles movimientos'!$S$5:$S$1000, 0)), "")</f>
        <v/>
      </c>
      <c r="H101" s="21" t="str">
        <f>IFERROR(INDEX('Detalles movimientos'!I$5:I$1000, MATCH(92, 'Detalles movimientos'!$S$5:$S$1000, 0)), "")</f>
        <v/>
      </c>
      <c r="I101" s="20" t="str">
        <f>IFERROR(INDEX('Detalles movimientos'!K$5:K$1000, MATCH(92, 'Detalles movimientos'!$S$5:$S$1000, 0)), "")</f>
        <v/>
      </c>
      <c r="J101" s="19" t="str">
        <f>IFERROR(INDEX('Detalles movimientos'!L$5:L$1000, MATCH(92, 'Detalles movimientos'!$S$5:$S$1000, 0)), "")</f>
        <v/>
      </c>
      <c r="K101" s="20" t="str">
        <f>IFERROR(INDEX('Detalles movimientos'!M$5:M$1000, MATCH(92, 'Detalles movimientos'!$S$5:$S$1000, 0)), "")</f>
        <v/>
      </c>
      <c r="L101" s="18" t="str">
        <f>IFERROR(INDEX('Detalles movimientos'!N$5:N$1000, MATCH(92, 'Detalles movimientos'!$S$5:$S$1000, 0)), "")</f>
        <v/>
      </c>
      <c r="M101" s="18" t="str">
        <f>IFERROR(INDEX('Detalles movimientos'!Q$5:Q$1000, MATCH(92, 'Detalles movimientos'!$S$5:$S$1000, 0)), "")</f>
        <v/>
      </c>
    </row>
    <row r="102" spans="2:13">
      <c r="B102" s="17" t="str">
        <f>IFERROR(INDEX('Detalles movimientos'!C$5:C$1000, MATCH(93, 'Detalles movimientos'!$S$5:$S$1000, 0)), "")</f>
        <v/>
      </c>
      <c r="C102" s="18" t="str">
        <f>IFERROR(INDEX('Detalles movimientos'!D$5:D$1000, MATCH(93, 'Detalles movimientos'!$S$5:$S$1000, 0)), "")</f>
        <v/>
      </c>
      <c r="D102" s="19" t="str">
        <f>IFERROR(INDEX('Detalles movimientos'!E$5:E$1000, MATCH(93, 'Detalles movimientos'!$S$5:$S$1000, 0)), "")</f>
        <v/>
      </c>
      <c r="E102" s="19" t="str">
        <f>IFERROR(INDEX('Detalles movimientos'!F$5:F$1000, MATCH(93, 'Detalles movimientos'!$S$5:$S$1000, 0)), "")</f>
        <v/>
      </c>
      <c r="F102" s="18" t="str">
        <f>IFERROR(INDEX('Detalles movimientos'!G$5:G$1000, MATCH(93, 'Detalles movimientos'!$S$5:$S$1000, 0)), "")</f>
        <v/>
      </c>
      <c r="G102" s="20" t="str">
        <f>IFERROR(INDEX('Detalles movimientos'!H$5:H$1000, MATCH(93, 'Detalles movimientos'!$S$5:$S$1000, 0)), "")</f>
        <v/>
      </c>
      <c r="H102" s="21" t="str">
        <f>IFERROR(INDEX('Detalles movimientos'!I$5:I$1000, MATCH(93, 'Detalles movimientos'!$S$5:$S$1000, 0)), "")</f>
        <v/>
      </c>
      <c r="I102" s="20" t="str">
        <f>IFERROR(INDEX('Detalles movimientos'!K$5:K$1000, MATCH(93, 'Detalles movimientos'!$S$5:$S$1000, 0)), "")</f>
        <v/>
      </c>
      <c r="J102" s="19" t="str">
        <f>IFERROR(INDEX('Detalles movimientos'!L$5:L$1000, MATCH(93, 'Detalles movimientos'!$S$5:$S$1000, 0)), "")</f>
        <v/>
      </c>
      <c r="K102" s="20" t="str">
        <f>IFERROR(INDEX('Detalles movimientos'!M$5:M$1000, MATCH(93, 'Detalles movimientos'!$S$5:$S$1000, 0)), "")</f>
        <v/>
      </c>
      <c r="L102" s="18" t="str">
        <f>IFERROR(INDEX('Detalles movimientos'!N$5:N$1000, MATCH(93, 'Detalles movimientos'!$S$5:$S$1000, 0)), "")</f>
        <v/>
      </c>
      <c r="M102" s="18" t="str">
        <f>IFERROR(INDEX('Detalles movimientos'!Q$5:Q$1000, MATCH(93, 'Detalles movimientos'!$S$5:$S$1000, 0)), "")</f>
        <v/>
      </c>
    </row>
    <row r="103" spans="2:13">
      <c r="B103" s="17" t="str">
        <f>IFERROR(INDEX('Detalles movimientos'!C$5:C$1000, MATCH(94, 'Detalles movimientos'!$S$5:$S$1000, 0)), "")</f>
        <v/>
      </c>
      <c r="C103" s="18" t="str">
        <f>IFERROR(INDEX('Detalles movimientos'!D$5:D$1000, MATCH(94, 'Detalles movimientos'!$S$5:$S$1000, 0)), "")</f>
        <v/>
      </c>
      <c r="D103" s="19" t="str">
        <f>IFERROR(INDEX('Detalles movimientos'!E$5:E$1000, MATCH(94, 'Detalles movimientos'!$S$5:$S$1000, 0)), "")</f>
        <v/>
      </c>
      <c r="E103" s="19" t="str">
        <f>IFERROR(INDEX('Detalles movimientos'!F$5:F$1000, MATCH(94, 'Detalles movimientos'!$S$5:$S$1000, 0)), "")</f>
        <v/>
      </c>
      <c r="F103" s="18" t="str">
        <f>IFERROR(INDEX('Detalles movimientos'!G$5:G$1000, MATCH(94, 'Detalles movimientos'!$S$5:$S$1000, 0)), "")</f>
        <v/>
      </c>
      <c r="G103" s="20" t="str">
        <f>IFERROR(INDEX('Detalles movimientos'!H$5:H$1000, MATCH(94, 'Detalles movimientos'!$S$5:$S$1000, 0)), "")</f>
        <v/>
      </c>
      <c r="H103" s="21" t="str">
        <f>IFERROR(INDEX('Detalles movimientos'!I$5:I$1000, MATCH(94, 'Detalles movimientos'!$S$5:$S$1000, 0)), "")</f>
        <v/>
      </c>
      <c r="I103" s="20" t="str">
        <f>IFERROR(INDEX('Detalles movimientos'!K$5:K$1000, MATCH(94, 'Detalles movimientos'!$S$5:$S$1000, 0)), "")</f>
        <v/>
      </c>
      <c r="J103" s="19" t="str">
        <f>IFERROR(INDEX('Detalles movimientos'!L$5:L$1000, MATCH(94, 'Detalles movimientos'!$S$5:$S$1000, 0)), "")</f>
        <v/>
      </c>
      <c r="K103" s="20" t="str">
        <f>IFERROR(INDEX('Detalles movimientos'!M$5:M$1000, MATCH(94, 'Detalles movimientos'!$S$5:$S$1000, 0)), "")</f>
        <v/>
      </c>
      <c r="L103" s="18" t="str">
        <f>IFERROR(INDEX('Detalles movimientos'!N$5:N$1000, MATCH(94, 'Detalles movimientos'!$S$5:$S$1000, 0)), "")</f>
        <v/>
      </c>
      <c r="M103" s="18" t="str">
        <f>IFERROR(INDEX('Detalles movimientos'!Q$5:Q$1000, MATCH(94, 'Detalles movimientos'!$S$5:$S$1000, 0)), "")</f>
        <v/>
      </c>
    </row>
    <row r="104" spans="2:13">
      <c r="B104" s="17" t="str">
        <f>IFERROR(INDEX('Detalles movimientos'!C$5:C$1000, MATCH(95, 'Detalles movimientos'!$S$5:$S$1000, 0)), "")</f>
        <v/>
      </c>
      <c r="C104" s="18" t="str">
        <f>IFERROR(INDEX('Detalles movimientos'!D$5:D$1000, MATCH(95, 'Detalles movimientos'!$S$5:$S$1000, 0)), "")</f>
        <v/>
      </c>
      <c r="D104" s="19" t="str">
        <f>IFERROR(INDEX('Detalles movimientos'!E$5:E$1000, MATCH(95, 'Detalles movimientos'!$S$5:$S$1000, 0)), "")</f>
        <v/>
      </c>
      <c r="E104" s="19" t="str">
        <f>IFERROR(INDEX('Detalles movimientos'!F$5:F$1000, MATCH(95, 'Detalles movimientos'!$S$5:$S$1000, 0)), "")</f>
        <v/>
      </c>
      <c r="F104" s="18" t="str">
        <f>IFERROR(INDEX('Detalles movimientos'!G$5:G$1000, MATCH(95, 'Detalles movimientos'!$S$5:$S$1000, 0)), "")</f>
        <v/>
      </c>
      <c r="G104" s="20" t="str">
        <f>IFERROR(INDEX('Detalles movimientos'!H$5:H$1000, MATCH(95, 'Detalles movimientos'!$S$5:$S$1000, 0)), "")</f>
        <v/>
      </c>
      <c r="H104" s="21" t="str">
        <f>IFERROR(INDEX('Detalles movimientos'!I$5:I$1000, MATCH(95, 'Detalles movimientos'!$S$5:$S$1000, 0)), "")</f>
        <v/>
      </c>
      <c r="I104" s="20" t="str">
        <f>IFERROR(INDEX('Detalles movimientos'!K$5:K$1000, MATCH(95, 'Detalles movimientos'!$S$5:$S$1000, 0)), "")</f>
        <v/>
      </c>
      <c r="J104" s="19" t="str">
        <f>IFERROR(INDEX('Detalles movimientos'!L$5:L$1000, MATCH(95, 'Detalles movimientos'!$S$5:$S$1000, 0)), "")</f>
        <v/>
      </c>
      <c r="K104" s="20" t="str">
        <f>IFERROR(INDEX('Detalles movimientos'!M$5:M$1000, MATCH(95, 'Detalles movimientos'!$S$5:$S$1000, 0)), "")</f>
        <v/>
      </c>
      <c r="L104" s="18" t="str">
        <f>IFERROR(INDEX('Detalles movimientos'!N$5:N$1000, MATCH(95, 'Detalles movimientos'!$S$5:$S$1000, 0)), "")</f>
        <v/>
      </c>
      <c r="M104" s="18" t="str">
        <f>IFERROR(INDEX('Detalles movimientos'!Q$5:Q$1000, MATCH(95, 'Detalles movimientos'!$S$5:$S$1000, 0)), "")</f>
        <v/>
      </c>
    </row>
    <row r="105" spans="2:13">
      <c r="B105" s="17" t="str">
        <f>IFERROR(INDEX('Detalles movimientos'!C$5:C$1000, MATCH(96, 'Detalles movimientos'!$S$5:$S$1000, 0)), "")</f>
        <v/>
      </c>
      <c r="C105" s="18" t="str">
        <f>IFERROR(INDEX('Detalles movimientos'!D$5:D$1000, MATCH(96, 'Detalles movimientos'!$S$5:$S$1000, 0)), "")</f>
        <v/>
      </c>
      <c r="D105" s="19" t="str">
        <f>IFERROR(INDEX('Detalles movimientos'!E$5:E$1000, MATCH(96, 'Detalles movimientos'!$S$5:$S$1000, 0)), "")</f>
        <v/>
      </c>
      <c r="E105" s="19" t="str">
        <f>IFERROR(INDEX('Detalles movimientos'!F$5:F$1000, MATCH(96, 'Detalles movimientos'!$S$5:$S$1000, 0)), "")</f>
        <v/>
      </c>
      <c r="F105" s="18" t="str">
        <f>IFERROR(INDEX('Detalles movimientos'!G$5:G$1000, MATCH(96, 'Detalles movimientos'!$S$5:$S$1000, 0)), "")</f>
        <v/>
      </c>
      <c r="G105" s="20" t="str">
        <f>IFERROR(INDEX('Detalles movimientos'!H$5:H$1000, MATCH(96, 'Detalles movimientos'!$S$5:$S$1000, 0)), "")</f>
        <v/>
      </c>
      <c r="H105" s="21" t="str">
        <f>IFERROR(INDEX('Detalles movimientos'!I$5:I$1000, MATCH(96, 'Detalles movimientos'!$S$5:$S$1000, 0)), "")</f>
        <v/>
      </c>
      <c r="I105" s="20" t="str">
        <f>IFERROR(INDEX('Detalles movimientos'!K$5:K$1000, MATCH(96, 'Detalles movimientos'!$S$5:$S$1000, 0)), "")</f>
        <v/>
      </c>
      <c r="J105" s="19" t="str">
        <f>IFERROR(INDEX('Detalles movimientos'!L$5:L$1000, MATCH(96, 'Detalles movimientos'!$S$5:$S$1000, 0)), "")</f>
        <v/>
      </c>
      <c r="K105" s="20" t="str">
        <f>IFERROR(INDEX('Detalles movimientos'!M$5:M$1000, MATCH(96, 'Detalles movimientos'!$S$5:$S$1000, 0)), "")</f>
        <v/>
      </c>
      <c r="L105" s="18" t="str">
        <f>IFERROR(INDEX('Detalles movimientos'!N$5:N$1000, MATCH(96, 'Detalles movimientos'!$S$5:$S$1000, 0)), "")</f>
        <v/>
      </c>
      <c r="M105" s="18" t="str">
        <f>IFERROR(INDEX('Detalles movimientos'!Q$5:Q$1000, MATCH(96, 'Detalles movimientos'!$S$5:$S$1000, 0)), "")</f>
        <v/>
      </c>
    </row>
    <row r="106" spans="2:13">
      <c r="B106" s="17" t="str">
        <f>IFERROR(INDEX('Detalles movimientos'!C$5:C$1000, MATCH(97, 'Detalles movimientos'!$S$5:$S$1000, 0)), "")</f>
        <v/>
      </c>
      <c r="C106" s="18" t="str">
        <f>IFERROR(INDEX('Detalles movimientos'!D$5:D$1000, MATCH(97, 'Detalles movimientos'!$S$5:$S$1000, 0)), "")</f>
        <v/>
      </c>
      <c r="D106" s="19" t="str">
        <f>IFERROR(INDEX('Detalles movimientos'!E$5:E$1000, MATCH(97, 'Detalles movimientos'!$S$5:$S$1000, 0)), "")</f>
        <v/>
      </c>
      <c r="E106" s="19" t="str">
        <f>IFERROR(INDEX('Detalles movimientos'!F$5:F$1000, MATCH(97, 'Detalles movimientos'!$S$5:$S$1000, 0)), "")</f>
        <v/>
      </c>
      <c r="F106" s="18" t="str">
        <f>IFERROR(INDEX('Detalles movimientos'!G$5:G$1000, MATCH(97, 'Detalles movimientos'!$S$5:$S$1000, 0)), "")</f>
        <v/>
      </c>
      <c r="G106" s="20" t="str">
        <f>IFERROR(INDEX('Detalles movimientos'!H$5:H$1000, MATCH(97, 'Detalles movimientos'!$S$5:$S$1000, 0)), "")</f>
        <v/>
      </c>
      <c r="H106" s="21" t="str">
        <f>IFERROR(INDEX('Detalles movimientos'!I$5:I$1000, MATCH(97, 'Detalles movimientos'!$S$5:$S$1000, 0)), "")</f>
        <v/>
      </c>
      <c r="I106" s="20" t="str">
        <f>IFERROR(INDEX('Detalles movimientos'!K$5:K$1000, MATCH(97, 'Detalles movimientos'!$S$5:$S$1000, 0)), "")</f>
        <v/>
      </c>
      <c r="J106" s="19" t="str">
        <f>IFERROR(INDEX('Detalles movimientos'!L$5:L$1000, MATCH(97, 'Detalles movimientos'!$S$5:$S$1000, 0)), "")</f>
        <v/>
      </c>
      <c r="K106" s="20" t="str">
        <f>IFERROR(INDEX('Detalles movimientos'!M$5:M$1000, MATCH(97, 'Detalles movimientos'!$S$5:$S$1000, 0)), "")</f>
        <v/>
      </c>
      <c r="L106" s="18" t="str">
        <f>IFERROR(INDEX('Detalles movimientos'!N$5:N$1000, MATCH(97, 'Detalles movimientos'!$S$5:$S$1000, 0)), "")</f>
        <v/>
      </c>
      <c r="M106" s="18" t="str">
        <f>IFERROR(INDEX('Detalles movimientos'!Q$5:Q$1000, MATCH(97, 'Detalles movimientos'!$S$5:$S$1000, 0)), "")</f>
        <v/>
      </c>
    </row>
    <row r="107" spans="2:13">
      <c r="B107" s="17" t="str">
        <f>IFERROR(INDEX('Detalles movimientos'!C$5:C$1000, MATCH(98, 'Detalles movimientos'!$S$5:$S$1000, 0)), "")</f>
        <v/>
      </c>
      <c r="C107" s="18" t="str">
        <f>IFERROR(INDEX('Detalles movimientos'!D$5:D$1000, MATCH(98, 'Detalles movimientos'!$S$5:$S$1000, 0)), "")</f>
        <v/>
      </c>
      <c r="D107" s="19" t="str">
        <f>IFERROR(INDEX('Detalles movimientos'!E$5:E$1000, MATCH(98, 'Detalles movimientos'!$S$5:$S$1000, 0)), "")</f>
        <v/>
      </c>
      <c r="E107" s="19" t="str">
        <f>IFERROR(INDEX('Detalles movimientos'!F$5:F$1000, MATCH(98, 'Detalles movimientos'!$S$5:$S$1000, 0)), "")</f>
        <v/>
      </c>
      <c r="F107" s="18" t="str">
        <f>IFERROR(INDEX('Detalles movimientos'!G$5:G$1000, MATCH(98, 'Detalles movimientos'!$S$5:$S$1000, 0)), "")</f>
        <v/>
      </c>
      <c r="G107" s="20" t="str">
        <f>IFERROR(INDEX('Detalles movimientos'!H$5:H$1000, MATCH(98, 'Detalles movimientos'!$S$5:$S$1000, 0)), "")</f>
        <v/>
      </c>
      <c r="H107" s="21" t="str">
        <f>IFERROR(INDEX('Detalles movimientos'!I$5:I$1000, MATCH(98, 'Detalles movimientos'!$S$5:$S$1000, 0)), "")</f>
        <v/>
      </c>
      <c r="I107" s="20" t="str">
        <f>IFERROR(INDEX('Detalles movimientos'!K$5:K$1000, MATCH(98, 'Detalles movimientos'!$S$5:$S$1000, 0)), "")</f>
        <v/>
      </c>
      <c r="J107" s="19" t="str">
        <f>IFERROR(INDEX('Detalles movimientos'!L$5:L$1000, MATCH(98, 'Detalles movimientos'!$S$5:$S$1000, 0)), "")</f>
        <v/>
      </c>
      <c r="K107" s="20" t="str">
        <f>IFERROR(INDEX('Detalles movimientos'!M$5:M$1000, MATCH(98, 'Detalles movimientos'!$S$5:$S$1000, 0)), "")</f>
        <v/>
      </c>
      <c r="L107" s="18" t="str">
        <f>IFERROR(INDEX('Detalles movimientos'!N$5:N$1000, MATCH(98, 'Detalles movimientos'!$S$5:$S$1000, 0)), "")</f>
        <v/>
      </c>
      <c r="M107" s="18" t="str">
        <f>IFERROR(INDEX('Detalles movimientos'!Q$5:Q$1000, MATCH(98, 'Detalles movimientos'!$S$5:$S$1000, 0)), "")</f>
        <v/>
      </c>
    </row>
    <row r="108" spans="2:13">
      <c r="B108" s="17" t="str">
        <f>IFERROR(INDEX('Detalles movimientos'!C$5:C$1000, MATCH(99, 'Detalles movimientos'!$S$5:$S$1000, 0)), "")</f>
        <v/>
      </c>
      <c r="C108" s="18" t="str">
        <f>IFERROR(INDEX('Detalles movimientos'!D$5:D$1000, MATCH(99, 'Detalles movimientos'!$S$5:$S$1000, 0)), "")</f>
        <v/>
      </c>
      <c r="D108" s="19" t="str">
        <f>IFERROR(INDEX('Detalles movimientos'!E$5:E$1000, MATCH(99, 'Detalles movimientos'!$S$5:$S$1000, 0)), "")</f>
        <v/>
      </c>
      <c r="E108" s="19" t="str">
        <f>IFERROR(INDEX('Detalles movimientos'!F$5:F$1000, MATCH(99, 'Detalles movimientos'!$S$5:$S$1000, 0)), "")</f>
        <v/>
      </c>
      <c r="F108" s="18" t="str">
        <f>IFERROR(INDEX('Detalles movimientos'!G$5:G$1000, MATCH(99, 'Detalles movimientos'!$S$5:$S$1000, 0)), "")</f>
        <v/>
      </c>
      <c r="G108" s="20" t="str">
        <f>IFERROR(INDEX('Detalles movimientos'!H$5:H$1000, MATCH(99, 'Detalles movimientos'!$S$5:$S$1000, 0)), "")</f>
        <v/>
      </c>
      <c r="H108" s="21" t="str">
        <f>IFERROR(INDEX('Detalles movimientos'!I$5:I$1000, MATCH(99, 'Detalles movimientos'!$S$5:$S$1000, 0)), "")</f>
        <v/>
      </c>
      <c r="I108" s="20" t="str">
        <f>IFERROR(INDEX('Detalles movimientos'!K$5:K$1000, MATCH(99, 'Detalles movimientos'!$S$5:$S$1000, 0)), "")</f>
        <v/>
      </c>
      <c r="J108" s="19" t="str">
        <f>IFERROR(INDEX('Detalles movimientos'!L$5:L$1000, MATCH(99, 'Detalles movimientos'!$S$5:$S$1000, 0)), "")</f>
        <v/>
      </c>
      <c r="K108" s="20" t="str">
        <f>IFERROR(INDEX('Detalles movimientos'!M$5:M$1000, MATCH(99, 'Detalles movimientos'!$S$5:$S$1000, 0)), "")</f>
        <v/>
      </c>
      <c r="L108" s="18" t="str">
        <f>IFERROR(INDEX('Detalles movimientos'!N$5:N$1000, MATCH(99, 'Detalles movimientos'!$S$5:$S$1000, 0)), "")</f>
        <v/>
      </c>
      <c r="M108" s="18" t="str">
        <f>IFERROR(INDEX('Detalles movimientos'!Q$5:Q$1000, MATCH(99, 'Detalles movimientos'!$S$5:$S$1000, 0)), "")</f>
        <v/>
      </c>
    </row>
    <row r="109" spans="2:13">
      <c r="B109" s="17" t="str">
        <f>IFERROR(INDEX('Detalles movimientos'!C$5:C$1000, MATCH(100, 'Detalles movimientos'!$S$5:$S$1000, 0)), "")</f>
        <v/>
      </c>
      <c r="C109" s="18" t="str">
        <f>IFERROR(INDEX('Detalles movimientos'!D$5:D$1000, MATCH(100, 'Detalles movimientos'!$S$5:$S$1000, 0)), "")</f>
        <v/>
      </c>
      <c r="D109" s="19" t="str">
        <f>IFERROR(INDEX('Detalles movimientos'!E$5:E$1000, MATCH(100, 'Detalles movimientos'!$S$5:$S$1000, 0)), "")</f>
        <v/>
      </c>
      <c r="E109" s="19" t="str">
        <f>IFERROR(INDEX('Detalles movimientos'!F$5:F$1000, MATCH(100, 'Detalles movimientos'!$S$5:$S$1000, 0)), "")</f>
        <v/>
      </c>
      <c r="F109" s="18" t="str">
        <f>IFERROR(INDEX('Detalles movimientos'!G$5:G$1000, MATCH(100, 'Detalles movimientos'!$S$5:$S$1000, 0)), "")</f>
        <v/>
      </c>
      <c r="G109" s="20" t="str">
        <f>IFERROR(INDEX('Detalles movimientos'!H$5:H$1000, MATCH(100, 'Detalles movimientos'!$S$5:$S$1000, 0)), "")</f>
        <v/>
      </c>
      <c r="H109" s="21" t="str">
        <f>IFERROR(INDEX('Detalles movimientos'!I$5:I$1000, MATCH(100, 'Detalles movimientos'!$S$5:$S$1000, 0)), "")</f>
        <v/>
      </c>
      <c r="I109" s="20" t="str">
        <f>IFERROR(INDEX('Detalles movimientos'!K$5:K$1000, MATCH(100, 'Detalles movimientos'!$S$5:$S$1000, 0)), "")</f>
        <v/>
      </c>
      <c r="J109" s="19" t="str">
        <f>IFERROR(INDEX('Detalles movimientos'!L$5:L$1000, MATCH(100, 'Detalles movimientos'!$S$5:$S$1000, 0)), "")</f>
        <v/>
      </c>
      <c r="K109" s="20" t="str">
        <f>IFERROR(INDEX('Detalles movimientos'!M$5:M$1000, MATCH(100, 'Detalles movimientos'!$S$5:$S$1000, 0)), "")</f>
        <v/>
      </c>
      <c r="L109" s="18" t="str">
        <f>IFERROR(INDEX('Detalles movimientos'!N$5:N$1000, MATCH(100, 'Detalles movimientos'!$S$5:$S$1000, 0)), "")</f>
        <v/>
      </c>
      <c r="M109" s="18" t="str">
        <f>IFERROR(INDEX('Detalles movimientos'!Q$5:Q$1000, MATCH(100, 'Detalles movimientos'!$S$5:$S$1000, 0)), "")</f>
        <v/>
      </c>
    </row>
    <row r="110" spans="2:13">
      <c r="B110" s="17" t="str">
        <f>IFERROR(INDEX('Detalles movimientos'!C$5:C$1000, MATCH(101, 'Detalles movimientos'!$S$5:$S$1000, 0)), "")</f>
        <v/>
      </c>
      <c r="C110" s="18" t="str">
        <f>IFERROR(INDEX('Detalles movimientos'!D$5:D$1000, MATCH(101, 'Detalles movimientos'!$S$5:$S$1000, 0)), "")</f>
        <v/>
      </c>
      <c r="D110" s="19" t="str">
        <f>IFERROR(INDEX('Detalles movimientos'!E$5:E$1000, MATCH(101, 'Detalles movimientos'!$S$5:$S$1000, 0)), "")</f>
        <v/>
      </c>
      <c r="E110" s="19" t="str">
        <f>IFERROR(INDEX('Detalles movimientos'!F$5:F$1000, MATCH(101, 'Detalles movimientos'!$S$5:$S$1000, 0)), "")</f>
        <v/>
      </c>
      <c r="F110" s="18" t="str">
        <f>IFERROR(INDEX('Detalles movimientos'!G$5:G$1000, MATCH(101, 'Detalles movimientos'!$S$5:$S$1000, 0)), "")</f>
        <v/>
      </c>
      <c r="G110" s="20" t="str">
        <f>IFERROR(INDEX('Detalles movimientos'!H$5:H$1000, MATCH(101, 'Detalles movimientos'!$S$5:$S$1000, 0)), "")</f>
        <v/>
      </c>
      <c r="H110" s="21" t="str">
        <f>IFERROR(INDEX('Detalles movimientos'!I$5:I$1000, MATCH(101, 'Detalles movimientos'!$S$5:$S$1000, 0)), "")</f>
        <v/>
      </c>
      <c r="I110" s="20" t="str">
        <f>IFERROR(INDEX('Detalles movimientos'!K$5:K$1000, MATCH(101, 'Detalles movimientos'!$S$5:$S$1000, 0)), "")</f>
        <v/>
      </c>
      <c r="J110" s="19" t="str">
        <f>IFERROR(INDEX('Detalles movimientos'!L$5:L$1000, MATCH(101, 'Detalles movimientos'!$S$5:$S$1000, 0)), "")</f>
        <v/>
      </c>
      <c r="K110" s="20" t="str">
        <f>IFERROR(INDEX('Detalles movimientos'!M$5:M$1000, MATCH(101, 'Detalles movimientos'!$S$5:$S$1000, 0)), "")</f>
        <v/>
      </c>
      <c r="L110" s="18" t="str">
        <f>IFERROR(INDEX('Detalles movimientos'!N$5:N$1000, MATCH(101, 'Detalles movimientos'!$S$5:$S$1000, 0)), "")</f>
        <v/>
      </c>
      <c r="M110" s="18" t="str">
        <f>IFERROR(INDEX('Detalles movimientos'!Q$5:Q$1000, MATCH(101, 'Detalles movimientos'!$S$5:$S$1000, 0)), "")</f>
        <v/>
      </c>
    </row>
    <row r="111" spans="2:13">
      <c r="B111" s="17" t="str">
        <f>IFERROR(INDEX('Detalles movimientos'!C$5:C$1000, MATCH(102, 'Detalles movimientos'!$S$5:$S$1000, 0)), "")</f>
        <v/>
      </c>
      <c r="C111" s="18" t="str">
        <f>IFERROR(INDEX('Detalles movimientos'!D$5:D$1000, MATCH(102, 'Detalles movimientos'!$S$5:$S$1000, 0)), "")</f>
        <v/>
      </c>
      <c r="D111" s="19" t="str">
        <f>IFERROR(INDEX('Detalles movimientos'!E$5:E$1000, MATCH(102, 'Detalles movimientos'!$S$5:$S$1000, 0)), "")</f>
        <v/>
      </c>
      <c r="E111" s="19" t="str">
        <f>IFERROR(INDEX('Detalles movimientos'!F$5:F$1000, MATCH(102, 'Detalles movimientos'!$S$5:$S$1000, 0)), "")</f>
        <v/>
      </c>
      <c r="F111" s="18" t="str">
        <f>IFERROR(INDEX('Detalles movimientos'!G$5:G$1000, MATCH(102, 'Detalles movimientos'!$S$5:$S$1000, 0)), "")</f>
        <v/>
      </c>
      <c r="G111" s="20" t="str">
        <f>IFERROR(INDEX('Detalles movimientos'!H$5:H$1000, MATCH(102, 'Detalles movimientos'!$S$5:$S$1000, 0)), "")</f>
        <v/>
      </c>
      <c r="H111" s="21" t="str">
        <f>IFERROR(INDEX('Detalles movimientos'!I$5:I$1000, MATCH(102, 'Detalles movimientos'!$S$5:$S$1000, 0)), "")</f>
        <v/>
      </c>
      <c r="I111" s="20" t="str">
        <f>IFERROR(INDEX('Detalles movimientos'!K$5:K$1000, MATCH(102, 'Detalles movimientos'!$S$5:$S$1000, 0)), "")</f>
        <v/>
      </c>
      <c r="J111" s="19" t="str">
        <f>IFERROR(INDEX('Detalles movimientos'!L$5:L$1000, MATCH(102, 'Detalles movimientos'!$S$5:$S$1000, 0)), "")</f>
        <v/>
      </c>
      <c r="K111" s="20" t="str">
        <f>IFERROR(INDEX('Detalles movimientos'!M$5:M$1000, MATCH(102, 'Detalles movimientos'!$S$5:$S$1000, 0)), "")</f>
        <v/>
      </c>
      <c r="L111" s="18" t="str">
        <f>IFERROR(INDEX('Detalles movimientos'!N$5:N$1000, MATCH(102, 'Detalles movimientos'!$S$5:$S$1000, 0)), "")</f>
        <v/>
      </c>
      <c r="M111" s="18" t="str">
        <f>IFERROR(INDEX('Detalles movimientos'!Q$5:Q$1000, MATCH(102, 'Detalles movimientos'!$S$5:$S$1000, 0)), "")</f>
        <v/>
      </c>
    </row>
    <row r="112" spans="2:13">
      <c r="B112" s="17" t="str">
        <f>IFERROR(INDEX('Detalles movimientos'!C$5:C$1000, MATCH(103, 'Detalles movimientos'!$S$5:$S$1000, 0)), "")</f>
        <v/>
      </c>
      <c r="C112" s="18" t="str">
        <f>IFERROR(INDEX('Detalles movimientos'!D$5:D$1000, MATCH(103, 'Detalles movimientos'!$S$5:$S$1000, 0)), "")</f>
        <v/>
      </c>
      <c r="D112" s="19" t="str">
        <f>IFERROR(INDEX('Detalles movimientos'!E$5:E$1000, MATCH(103, 'Detalles movimientos'!$S$5:$S$1000, 0)), "")</f>
        <v/>
      </c>
      <c r="E112" s="19" t="str">
        <f>IFERROR(INDEX('Detalles movimientos'!F$5:F$1000, MATCH(103, 'Detalles movimientos'!$S$5:$S$1000, 0)), "")</f>
        <v/>
      </c>
      <c r="F112" s="18" t="str">
        <f>IFERROR(INDEX('Detalles movimientos'!G$5:G$1000, MATCH(103, 'Detalles movimientos'!$S$5:$S$1000, 0)), "")</f>
        <v/>
      </c>
      <c r="G112" s="20" t="str">
        <f>IFERROR(INDEX('Detalles movimientos'!H$5:H$1000, MATCH(103, 'Detalles movimientos'!$S$5:$S$1000, 0)), "")</f>
        <v/>
      </c>
      <c r="H112" s="21" t="str">
        <f>IFERROR(INDEX('Detalles movimientos'!I$5:I$1000, MATCH(103, 'Detalles movimientos'!$S$5:$S$1000, 0)), "")</f>
        <v/>
      </c>
      <c r="I112" s="20" t="str">
        <f>IFERROR(INDEX('Detalles movimientos'!K$5:K$1000, MATCH(103, 'Detalles movimientos'!$S$5:$S$1000, 0)), "")</f>
        <v/>
      </c>
      <c r="J112" s="19" t="str">
        <f>IFERROR(INDEX('Detalles movimientos'!L$5:L$1000, MATCH(103, 'Detalles movimientos'!$S$5:$S$1000, 0)), "")</f>
        <v/>
      </c>
      <c r="K112" s="20" t="str">
        <f>IFERROR(INDEX('Detalles movimientos'!M$5:M$1000, MATCH(103, 'Detalles movimientos'!$S$5:$S$1000, 0)), "")</f>
        <v/>
      </c>
      <c r="L112" s="18" t="str">
        <f>IFERROR(INDEX('Detalles movimientos'!N$5:N$1000, MATCH(103, 'Detalles movimientos'!$S$5:$S$1000, 0)), "")</f>
        <v/>
      </c>
      <c r="M112" s="18" t="str">
        <f>IFERROR(INDEX('Detalles movimientos'!Q$5:Q$1000, MATCH(103, 'Detalles movimientos'!$S$5:$S$1000, 0)), "")</f>
        <v/>
      </c>
    </row>
    <row r="113" spans="2:13">
      <c r="B113" s="17" t="str">
        <f>IFERROR(INDEX('Detalles movimientos'!C$5:C$1000, MATCH(104, 'Detalles movimientos'!$S$5:$S$1000, 0)), "")</f>
        <v/>
      </c>
      <c r="C113" s="18" t="str">
        <f>IFERROR(INDEX('Detalles movimientos'!D$5:D$1000, MATCH(104, 'Detalles movimientos'!$S$5:$S$1000, 0)), "")</f>
        <v/>
      </c>
      <c r="D113" s="19" t="str">
        <f>IFERROR(INDEX('Detalles movimientos'!E$5:E$1000, MATCH(104, 'Detalles movimientos'!$S$5:$S$1000, 0)), "")</f>
        <v/>
      </c>
      <c r="E113" s="19" t="str">
        <f>IFERROR(INDEX('Detalles movimientos'!F$5:F$1000, MATCH(104, 'Detalles movimientos'!$S$5:$S$1000, 0)), "")</f>
        <v/>
      </c>
      <c r="F113" s="18" t="str">
        <f>IFERROR(INDEX('Detalles movimientos'!G$5:G$1000, MATCH(104, 'Detalles movimientos'!$S$5:$S$1000, 0)), "")</f>
        <v/>
      </c>
      <c r="G113" s="20" t="str">
        <f>IFERROR(INDEX('Detalles movimientos'!H$5:H$1000, MATCH(104, 'Detalles movimientos'!$S$5:$S$1000, 0)), "")</f>
        <v/>
      </c>
      <c r="H113" s="21" t="str">
        <f>IFERROR(INDEX('Detalles movimientos'!I$5:I$1000, MATCH(104, 'Detalles movimientos'!$S$5:$S$1000, 0)), "")</f>
        <v/>
      </c>
      <c r="I113" s="20" t="str">
        <f>IFERROR(INDEX('Detalles movimientos'!K$5:K$1000, MATCH(104, 'Detalles movimientos'!$S$5:$S$1000, 0)), "")</f>
        <v/>
      </c>
      <c r="J113" s="19" t="str">
        <f>IFERROR(INDEX('Detalles movimientos'!L$5:L$1000, MATCH(104, 'Detalles movimientos'!$S$5:$S$1000, 0)), "")</f>
        <v/>
      </c>
      <c r="K113" s="20" t="str">
        <f>IFERROR(INDEX('Detalles movimientos'!M$5:M$1000, MATCH(104, 'Detalles movimientos'!$S$5:$S$1000, 0)), "")</f>
        <v/>
      </c>
      <c r="L113" s="18" t="str">
        <f>IFERROR(INDEX('Detalles movimientos'!N$5:N$1000, MATCH(104, 'Detalles movimientos'!$S$5:$S$1000, 0)), "")</f>
        <v/>
      </c>
      <c r="M113" s="18" t="str">
        <f>IFERROR(INDEX('Detalles movimientos'!Q$5:Q$1000, MATCH(104, 'Detalles movimientos'!$S$5:$S$1000, 0)), "")</f>
        <v/>
      </c>
    </row>
    <row r="114" spans="2:13">
      <c r="B114" s="17" t="str">
        <f>IFERROR(INDEX('Detalles movimientos'!C$5:C$1000, MATCH(105, 'Detalles movimientos'!$S$5:$S$1000, 0)), "")</f>
        <v/>
      </c>
      <c r="C114" s="18" t="str">
        <f>IFERROR(INDEX('Detalles movimientos'!D$5:D$1000, MATCH(105, 'Detalles movimientos'!$S$5:$S$1000, 0)), "")</f>
        <v/>
      </c>
      <c r="D114" s="19" t="str">
        <f>IFERROR(INDEX('Detalles movimientos'!E$5:E$1000, MATCH(105, 'Detalles movimientos'!$S$5:$S$1000, 0)), "")</f>
        <v/>
      </c>
      <c r="E114" s="19" t="str">
        <f>IFERROR(INDEX('Detalles movimientos'!F$5:F$1000, MATCH(105, 'Detalles movimientos'!$S$5:$S$1000, 0)), "")</f>
        <v/>
      </c>
      <c r="F114" s="18" t="str">
        <f>IFERROR(INDEX('Detalles movimientos'!G$5:G$1000, MATCH(105, 'Detalles movimientos'!$S$5:$S$1000, 0)), "")</f>
        <v/>
      </c>
      <c r="G114" s="20" t="str">
        <f>IFERROR(INDEX('Detalles movimientos'!H$5:H$1000, MATCH(105, 'Detalles movimientos'!$S$5:$S$1000, 0)), "")</f>
        <v/>
      </c>
      <c r="H114" s="21" t="str">
        <f>IFERROR(INDEX('Detalles movimientos'!I$5:I$1000, MATCH(105, 'Detalles movimientos'!$S$5:$S$1000, 0)), "")</f>
        <v/>
      </c>
      <c r="I114" s="20" t="str">
        <f>IFERROR(INDEX('Detalles movimientos'!K$5:K$1000, MATCH(105, 'Detalles movimientos'!$S$5:$S$1000, 0)), "")</f>
        <v/>
      </c>
      <c r="J114" s="19" t="str">
        <f>IFERROR(INDEX('Detalles movimientos'!L$5:L$1000, MATCH(105, 'Detalles movimientos'!$S$5:$S$1000, 0)), "")</f>
        <v/>
      </c>
      <c r="K114" s="20" t="str">
        <f>IFERROR(INDEX('Detalles movimientos'!M$5:M$1000, MATCH(105, 'Detalles movimientos'!$S$5:$S$1000, 0)), "")</f>
        <v/>
      </c>
      <c r="L114" s="18" t="str">
        <f>IFERROR(INDEX('Detalles movimientos'!N$5:N$1000, MATCH(105, 'Detalles movimientos'!$S$5:$S$1000, 0)), "")</f>
        <v/>
      </c>
      <c r="M114" s="18" t="str">
        <f>IFERROR(INDEX('Detalles movimientos'!Q$5:Q$1000, MATCH(105, 'Detalles movimientos'!$S$5:$S$1000, 0)), "")</f>
        <v/>
      </c>
    </row>
    <row r="115" spans="2:13">
      <c r="B115" s="17" t="str">
        <f>IFERROR(INDEX('Detalles movimientos'!C$5:C$1000, MATCH(106, 'Detalles movimientos'!$S$5:$S$1000, 0)), "")</f>
        <v/>
      </c>
      <c r="C115" s="18" t="str">
        <f>IFERROR(INDEX('Detalles movimientos'!D$5:D$1000, MATCH(106, 'Detalles movimientos'!$S$5:$S$1000, 0)), "")</f>
        <v/>
      </c>
      <c r="D115" s="19" t="str">
        <f>IFERROR(INDEX('Detalles movimientos'!E$5:E$1000, MATCH(106, 'Detalles movimientos'!$S$5:$S$1000, 0)), "")</f>
        <v/>
      </c>
      <c r="E115" s="19" t="str">
        <f>IFERROR(INDEX('Detalles movimientos'!F$5:F$1000, MATCH(106, 'Detalles movimientos'!$S$5:$S$1000, 0)), "")</f>
        <v/>
      </c>
      <c r="F115" s="18" t="str">
        <f>IFERROR(INDEX('Detalles movimientos'!G$5:G$1000, MATCH(106, 'Detalles movimientos'!$S$5:$S$1000, 0)), "")</f>
        <v/>
      </c>
      <c r="G115" s="20" t="str">
        <f>IFERROR(INDEX('Detalles movimientos'!H$5:H$1000, MATCH(106, 'Detalles movimientos'!$S$5:$S$1000, 0)), "")</f>
        <v/>
      </c>
      <c r="H115" s="21" t="str">
        <f>IFERROR(INDEX('Detalles movimientos'!I$5:I$1000, MATCH(106, 'Detalles movimientos'!$S$5:$S$1000, 0)), "")</f>
        <v/>
      </c>
      <c r="I115" s="20" t="str">
        <f>IFERROR(INDEX('Detalles movimientos'!K$5:K$1000, MATCH(106, 'Detalles movimientos'!$S$5:$S$1000, 0)), "")</f>
        <v/>
      </c>
      <c r="J115" s="19" t="str">
        <f>IFERROR(INDEX('Detalles movimientos'!L$5:L$1000, MATCH(106, 'Detalles movimientos'!$S$5:$S$1000, 0)), "")</f>
        <v/>
      </c>
      <c r="K115" s="20" t="str">
        <f>IFERROR(INDEX('Detalles movimientos'!M$5:M$1000, MATCH(106, 'Detalles movimientos'!$S$5:$S$1000, 0)), "")</f>
        <v/>
      </c>
      <c r="L115" s="18" t="str">
        <f>IFERROR(INDEX('Detalles movimientos'!N$5:N$1000, MATCH(106, 'Detalles movimientos'!$S$5:$S$1000, 0)), "")</f>
        <v/>
      </c>
      <c r="M115" s="18" t="str">
        <f>IFERROR(INDEX('Detalles movimientos'!Q$5:Q$1000, MATCH(106, 'Detalles movimientos'!$S$5:$S$1000, 0)), "")</f>
        <v/>
      </c>
    </row>
    <row r="116" spans="2:13">
      <c r="B116" s="17" t="str">
        <f>IFERROR(INDEX('Detalles movimientos'!C$5:C$1000, MATCH(107, 'Detalles movimientos'!$S$5:$S$1000, 0)), "")</f>
        <v/>
      </c>
      <c r="C116" s="18" t="str">
        <f>IFERROR(INDEX('Detalles movimientos'!D$5:D$1000, MATCH(107, 'Detalles movimientos'!$S$5:$S$1000, 0)), "")</f>
        <v/>
      </c>
      <c r="D116" s="19" t="str">
        <f>IFERROR(INDEX('Detalles movimientos'!E$5:E$1000, MATCH(107, 'Detalles movimientos'!$S$5:$S$1000, 0)), "")</f>
        <v/>
      </c>
      <c r="E116" s="19" t="str">
        <f>IFERROR(INDEX('Detalles movimientos'!F$5:F$1000, MATCH(107, 'Detalles movimientos'!$S$5:$S$1000, 0)), "")</f>
        <v/>
      </c>
      <c r="F116" s="18" t="str">
        <f>IFERROR(INDEX('Detalles movimientos'!G$5:G$1000, MATCH(107, 'Detalles movimientos'!$S$5:$S$1000, 0)), "")</f>
        <v/>
      </c>
      <c r="G116" s="20" t="str">
        <f>IFERROR(INDEX('Detalles movimientos'!H$5:H$1000, MATCH(107, 'Detalles movimientos'!$S$5:$S$1000, 0)), "")</f>
        <v/>
      </c>
      <c r="H116" s="21" t="str">
        <f>IFERROR(INDEX('Detalles movimientos'!I$5:I$1000, MATCH(107, 'Detalles movimientos'!$S$5:$S$1000, 0)), "")</f>
        <v/>
      </c>
      <c r="I116" s="20" t="str">
        <f>IFERROR(INDEX('Detalles movimientos'!K$5:K$1000, MATCH(107, 'Detalles movimientos'!$S$5:$S$1000, 0)), "")</f>
        <v/>
      </c>
      <c r="J116" s="19" t="str">
        <f>IFERROR(INDEX('Detalles movimientos'!L$5:L$1000, MATCH(107, 'Detalles movimientos'!$S$5:$S$1000, 0)), "")</f>
        <v/>
      </c>
      <c r="K116" s="20" t="str">
        <f>IFERROR(INDEX('Detalles movimientos'!M$5:M$1000, MATCH(107, 'Detalles movimientos'!$S$5:$S$1000, 0)), "")</f>
        <v/>
      </c>
      <c r="L116" s="18" t="str">
        <f>IFERROR(INDEX('Detalles movimientos'!N$5:N$1000, MATCH(107, 'Detalles movimientos'!$S$5:$S$1000, 0)), "")</f>
        <v/>
      </c>
      <c r="M116" s="18" t="str">
        <f>IFERROR(INDEX('Detalles movimientos'!Q$5:Q$1000, MATCH(107, 'Detalles movimientos'!$S$5:$S$1000, 0)), "")</f>
        <v/>
      </c>
    </row>
    <row r="117" spans="2:13">
      <c r="B117" s="17" t="str">
        <f>IFERROR(INDEX('Detalles movimientos'!C$5:C$1000, MATCH(108, 'Detalles movimientos'!$S$5:$S$1000, 0)), "")</f>
        <v/>
      </c>
      <c r="C117" s="18" t="str">
        <f>IFERROR(INDEX('Detalles movimientos'!D$5:D$1000, MATCH(108, 'Detalles movimientos'!$S$5:$S$1000, 0)), "")</f>
        <v/>
      </c>
      <c r="D117" s="19" t="str">
        <f>IFERROR(INDEX('Detalles movimientos'!E$5:E$1000, MATCH(108, 'Detalles movimientos'!$S$5:$S$1000, 0)), "")</f>
        <v/>
      </c>
      <c r="E117" s="19" t="str">
        <f>IFERROR(INDEX('Detalles movimientos'!F$5:F$1000, MATCH(108, 'Detalles movimientos'!$S$5:$S$1000, 0)), "")</f>
        <v/>
      </c>
      <c r="F117" s="18" t="str">
        <f>IFERROR(INDEX('Detalles movimientos'!G$5:G$1000, MATCH(108, 'Detalles movimientos'!$S$5:$S$1000, 0)), "")</f>
        <v/>
      </c>
      <c r="G117" s="20" t="str">
        <f>IFERROR(INDEX('Detalles movimientos'!H$5:H$1000, MATCH(108, 'Detalles movimientos'!$S$5:$S$1000, 0)), "")</f>
        <v/>
      </c>
      <c r="H117" s="21" t="str">
        <f>IFERROR(INDEX('Detalles movimientos'!I$5:I$1000, MATCH(108, 'Detalles movimientos'!$S$5:$S$1000, 0)), "")</f>
        <v/>
      </c>
      <c r="I117" s="20" t="str">
        <f>IFERROR(INDEX('Detalles movimientos'!K$5:K$1000, MATCH(108, 'Detalles movimientos'!$S$5:$S$1000, 0)), "")</f>
        <v/>
      </c>
      <c r="J117" s="19" t="str">
        <f>IFERROR(INDEX('Detalles movimientos'!L$5:L$1000, MATCH(108, 'Detalles movimientos'!$S$5:$S$1000, 0)), "")</f>
        <v/>
      </c>
      <c r="K117" s="20" t="str">
        <f>IFERROR(INDEX('Detalles movimientos'!M$5:M$1000, MATCH(108, 'Detalles movimientos'!$S$5:$S$1000, 0)), "")</f>
        <v/>
      </c>
      <c r="L117" s="18" t="str">
        <f>IFERROR(INDEX('Detalles movimientos'!N$5:N$1000, MATCH(108, 'Detalles movimientos'!$S$5:$S$1000, 0)), "")</f>
        <v/>
      </c>
      <c r="M117" s="18" t="str">
        <f>IFERROR(INDEX('Detalles movimientos'!Q$5:Q$1000, MATCH(108, 'Detalles movimientos'!$S$5:$S$1000, 0)), "")</f>
        <v/>
      </c>
    </row>
    <row r="118" spans="2:13">
      <c r="B118" s="17" t="str">
        <f>IFERROR(INDEX('Detalles movimientos'!C$5:C$1000, MATCH(109, 'Detalles movimientos'!$S$5:$S$1000, 0)), "")</f>
        <v/>
      </c>
      <c r="C118" s="18" t="str">
        <f>IFERROR(INDEX('Detalles movimientos'!D$5:D$1000, MATCH(109, 'Detalles movimientos'!$S$5:$S$1000, 0)), "")</f>
        <v/>
      </c>
      <c r="D118" s="19" t="str">
        <f>IFERROR(INDEX('Detalles movimientos'!E$5:E$1000, MATCH(109, 'Detalles movimientos'!$S$5:$S$1000, 0)), "")</f>
        <v/>
      </c>
      <c r="E118" s="19" t="str">
        <f>IFERROR(INDEX('Detalles movimientos'!F$5:F$1000, MATCH(109, 'Detalles movimientos'!$S$5:$S$1000, 0)), "")</f>
        <v/>
      </c>
      <c r="F118" s="18" t="str">
        <f>IFERROR(INDEX('Detalles movimientos'!G$5:G$1000, MATCH(109, 'Detalles movimientos'!$S$5:$S$1000, 0)), "")</f>
        <v/>
      </c>
      <c r="G118" s="20" t="str">
        <f>IFERROR(INDEX('Detalles movimientos'!H$5:H$1000, MATCH(109, 'Detalles movimientos'!$S$5:$S$1000, 0)), "")</f>
        <v/>
      </c>
      <c r="H118" s="21" t="str">
        <f>IFERROR(INDEX('Detalles movimientos'!I$5:I$1000, MATCH(109, 'Detalles movimientos'!$S$5:$S$1000, 0)), "")</f>
        <v/>
      </c>
      <c r="I118" s="20" t="str">
        <f>IFERROR(INDEX('Detalles movimientos'!K$5:K$1000, MATCH(109, 'Detalles movimientos'!$S$5:$S$1000, 0)), "")</f>
        <v/>
      </c>
      <c r="J118" s="19" t="str">
        <f>IFERROR(INDEX('Detalles movimientos'!L$5:L$1000, MATCH(109, 'Detalles movimientos'!$S$5:$S$1000, 0)), "")</f>
        <v/>
      </c>
      <c r="K118" s="20" t="str">
        <f>IFERROR(INDEX('Detalles movimientos'!M$5:M$1000, MATCH(109, 'Detalles movimientos'!$S$5:$S$1000, 0)), "")</f>
        <v/>
      </c>
      <c r="L118" s="18" t="str">
        <f>IFERROR(INDEX('Detalles movimientos'!N$5:N$1000, MATCH(109, 'Detalles movimientos'!$S$5:$S$1000, 0)), "")</f>
        <v/>
      </c>
      <c r="M118" s="18" t="str">
        <f>IFERROR(INDEX('Detalles movimientos'!Q$5:Q$1000, MATCH(109, 'Detalles movimientos'!$S$5:$S$1000, 0)), "")</f>
        <v/>
      </c>
    </row>
    <row r="119" spans="2:13">
      <c r="B119" s="17" t="str">
        <f>IFERROR(INDEX('Detalles movimientos'!C$5:C$1000, MATCH(110, 'Detalles movimientos'!$S$5:$S$1000, 0)), "")</f>
        <v/>
      </c>
      <c r="C119" s="18" t="str">
        <f>IFERROR(INDEX('Detalles movimientos'!D$5:D$1000, MATCH(110, 'Detalles movimientos'!$S$5:$S$1000, 0)), "")</f>
        <v/>
      </c>
      <c r="D119" s="19" t="str">
        <f>IFERROR(INDEX('Detalles movimientos'!E$5:E$1000, MATCH(110, 'Detalles movimientos'!$S$5:$S$1000, 0)), "")</f>
        <v/>
      </c>
      <c r="E119" s="19" t="str">
        <f>IFERROR(INDEX('Detalles movimientos'!F$5:F$1000, MATCH(110, 'Detalles movimientos'!$S$5:$S$1000, 0)), "")</f>
        <v/>
      </c>
      <c r="F119" s="18" t="str">
        <f>IFERROR(INDEX('Detalles movimientos'!G$5:G$1000, MATCH(110, 'Detalles movimientos'!$S$5:$S$1000, 0)), "")</f>
        <v/>
      </c>
      <c r="G119" s="20" t="str">
        <f>IFERROR(INDEX('Detalles movimientos'!H$5:H$1000, MATCH(110, 'Detalles movimientos'!$S$5:$S$1000, 0)), "")</f>
        <v/>
      </c>
      <c r="H119" s="21" t="str">
        <f>IFERROR(INDEX('Detalles movimientos'!I$5:I$1000, MATCH(110, 'Detalles movimientos'!$S$5:$S$1000, 0)), "")</f>
        <v/>
      </c>
      <c r="I119" s="20" t="str">
        <f>IFERROR(INDEX('Detalles movimientos'!K$5:K$1000, MATCH(110, 'Detalles movimientos'!$S$5:$S$1000, 0)), "")</f>
        <v/>
      </c>
      <c r="J119" s="19" t="str">
        <f>IFERROR(INDEX('Detalles movimientos'!L$5:L$1000, MATCH(110, 'Detalles movimientos'!$S$5:$S$1000, 0)), "")</f>
        <v/>
      </c>
      <c r="K119" s="20" t="str">
        <f>IFERROR(INDEX('Detalles movimientos'!M$5:M$1000, MATCH(110, 'Detalles movimientos'!$S$5:$S$1000, 0)), "")</f>
        <v/>
      </c>
      <c r="L119" s="18" t="str">
        <f>IFERROR(INDEX('Detalles movimientos'!N$5:N$1000, MATCH(110, 'Detalles movimientos'!$S$5:$S$1000, 0)), "")</f>
        <v/>
      </c>
      <c r="M119" s="18" t="str">
        <f>IFERROR(INDEX('Detalles movimientos'!Q$5:Q$1000, MATCH(110, 'Detalles movimientos'!$S$5:$S$1000, 0)), "")</f>
        <v/>
      </c>
    </row>
    <row r="120" spans="2:13">
      <c r="B120" s="17" t="str">
        <f>IFERROR(INDEX('Detalles movimientos'!C$5:C$1000, MATCH(111, 'Detalles movimientos'!$S$5:$S$1000, 0)), "")</f>
        <v/>
      </c>
      <c r="C120" s="18" t="str">
        <f>IFERROR(INDEX('Detalles movimientos'!D$5:D$1000, MATCH(111, 'Detalles movimientos'!$S$5:$S$1000, 0)), "")</f>
        <v/>
      </c>
      <c r="D120" s="19" t="str">
        <f>IFERROR(INDEX('Detalles movimientos'!E$5:E$1000, MATCH(111, 'Detalles movimientos'!$S$5:$S$1000, 0)), "")</f>
        <v/>
      </c>
      <c r="E120" s="19" t="str">
        <f>IFERROR(INDEX('Detalles movimientos'!F$5:F$1000, MATCH(111, 'Detalles movimientos'!$S$5:$S$1000, 0)), "")</f>
        <v/>
      </c>
      <c r="F120" s="18" t="str">
        <f>IFERROR(INDEX('Detalles movimientos'!G$5:G$1000, MATCH(111, 'Detalles movimientos'!$S$5:$S$1000, 0)), "")</f>
        <v/>
      </c>
      <c r="G120" s="20" t="str">
        <f>IFERROR(INDEX('Detalles movimientos'!H$5:H$1000, MATCH(111, 'Detalles movimientos'!$S$5:$S$1000, 0)), "")</f>
        <v/>
      </c>
      <c r="H120" s="21" t="str">
        <f>IFERROR(INDEX('Detalles movimientos'!I$5:I$1000, MATCH(111, 'Detalles movimientos'!$S$5:$S$1000, 0)), "")</f>
        <v/>
      </c>
      <c r="I120" s="20" t="str">
        <f>IFERROR(INDEX('Detalles movimientos'!K$5:K$1000, MATCH(111, 'Detalles movimientos'!$S$5:$S$1000, 0)), "")</f>
        <v/>
      </c>
      <c r="J120" s="19" t="str">
        <f>IFERROR(INDEX('Detalles movimientos'!L$5:L$1000, MATCH(111, 'Detalles movimientos'!$S$5:$S$1000, 0)), "")</f>
        <v/>
      </c>
      <c r="K120" s="20" t="str">
        <f>IFERROR(INDEX('Detalles movimientos'!M$5:M$1000, MATCH(111, 'Detalles movimientos'!$S$5:$S$1000, 0)), "")</f>
        <v/>
      </c>
      <c r="L120" s="18" t="str">
        <f>IFERROR(INDEX('Detalles movimientos'!N$5:N$1000, MATCH(111, 'Detalles movimientos'!$S$5:$S$1000, 0)), "")</f>
        <v/>
      </c>
      <c r="M120" s="18" t="str">
        <f>IFERROR(INDEX('Detalles movimientos'!Q$5:Q$1000, MATCH(111, 'Detalles movimientos'!$S$5:$S$1000, 0)), "")</f>
        <v/>
      </c>
    </row>
    <row r="121" spans="2:13">
      <c r="B121" s="17" t="str">
        <f>IFERROR(INDEX('Detalles movimientos'!C$5:C$1000, MATCH(112, 'Detalles movimientos'!$S$5:$S$1000, 0)), "")</f>
        <v/>
      </c>
      <c r="C121" s="18" t="str">
        <f>IFERROR(INDEX('Detalles movimientos'!D$5:D$1000, MATCH(112, 'Detalles movimientos'!$S$5:$S$1000, 0)), "")</f>
        <v/>
      </c>
      <c r="D121" s="19" t="str">
        <f>IFERROR(INDEX('Detalles movimientos'!E$5:E$1000, MATCH(112, 'Detalles movimientos'!$S$5:$S$1000, 0)), "")</f>
        <v/>
      </c>
      <c r="E121" s="19" t="str">
        <f>IFERROR(INDEX('Detalles movimientos'!F$5:F$1000, MATCH(112, 'Detalles movimientos'!$S$5:$S$1000, 0)), "")</f>
        <v/>
      </c>
      <c r="F121" s="18" t="str">
        <f>IFERROR(INDEX('Detalles movimientos'!G$5:G$1000, MATCH(112, 'Detalles movimientos'!$S$5:$S$1000, 0)), "")</f>
        <v/>
      </c>
      <c r="G121" s="20" t="str">
        <f>IFERROR(INDEX('Detalles movimientos'!H$5:H$1000, MATCH(112, 'Detalles movimientos'!$S$5:$S$1000, 0)), "")</f>
        <v/>
      </c>
      <c r="H121" s="21" t="str">
        <f>IFERROR(INDEX('Detalles movimientos'!I$5:I$1000, MATCH(112, 'Detalles movimientos'!$S$5:$S$1000, 0)), "")</f>
        <v/>
      </c>
      <c r="I121" s="20" t="str">
        <f>IFERROR(INDEX('Detalles movimientos'!K$5:K$1000, MATCH(112, 'Detalles movimientos'!$S$5:$S$1000, 0)), "")</f>
        <v/>
      </c>
      <c r="J121" s="19" t="str">
        <f>IFERROR(INDEX('Detalles movimientos'!L$5:L$1000, MATCH(112, 'Detalles movimientos'!$S$5:$S$1000, 0)), "")</f>
        <v/>
      </c>
      <c r="K121" s="20" t="str">
        <f>IFERROR(INDEX('Detalles movimientos'!M$5:M$1000, MATCH(112, 'Detalles movimientos'!$S$5:$S$1000, 0)), "")</f>
        <v/>
      </c>
      <c r="L121" s="18" t="str">
        <f>IFERROR(INDEX('Detalles movimientos'!N$5:N$1000, MATCH(112, 'Detalles movimientos'!$S$5:$S$1000, 0)), "")</f>
        <v/>
      </c>
      <c r="M121" s="18" t="str">
        <f>IFERROR(INDEX('Detalles movimientos'!Q$5:Q$1000, MATCH(112, 'Detalles movimientos'!$S$5:$S$1000, 0)), "")</f>
        <v/>
      </c>
    </row>
    <row r="122" spans="2:13">
      <c r="B122" s="17" t="str">
        <f>IFERROR(INDEX('Detalles movimientos'!C$5:C$1000, MATCH(113, 'Detalles movimientos'!$S$5:$S$1000, 0)), "")</f>
        <v/>
      </c>
      <c r="C122" s="18" t="str">
        <f>IFERROR(INDEX('Detalles movimientos'!D$5:D$1000, MATCH(113, 'Detalles movimientos'!$S$5:$S$1000, 0)), "")</f>
        <v/>
      </c>
      <c r="D122" s="19" t="str">
        <f>IFERROR(INDEX('Detalles movimientos'!E$5:E$1000, MATCH(113, 'Detalles movimientos'!$S$5:$S$1000, 0)), "")</f>
        <v/>
      </c>
      <c r="E122" s="19" t="str">
        <f>IFERROR(INDEX('Detalles movimientos'!F$5:F$1000, MATCH(113, 'Detalles movimientos'!$S$5:$S$1000, 0)), "")</f>
        <v/>
      </c>
      <c r="F122" s="18" t="str">
        <f>IFERROR(INDEX('Detalles movimientos'!G$5:G$1000, MATCH(113, 'Detalles movimientos'!$S$5:$S$1000, 0)), "")</f>
        <v/>
      </c>
      <c r="G122" s="20" t="str">
        <f>IFERROR(INDEX('Detalles movimientos'!H$5:H$1000, MATCH(113, 'Detalles movimientos'!$S$5:$S$1000, 0)), "")</f>
        <v/>
      </c>
      <c r="H122" s="21" t="str">
        <f>IFERROR(INDEX('Detalles movimientos'!I$5:I$1000, MATCH(113, 'Detalles movimientos'!$S$5:$S$1000, 0)), "")</f>
        <v/>
      </c>
      <c r="I122" s="20" t="str">
        <f>IFERROR(INDEX('Detalles movimientos'!K$5:K$1000, MATCH(113, 'Detalles movimientos'!$S$5:$S$1000, 0)), "")</f>
        <v/>
      </c>
      <c r="J122" s="19" t="str">
        <f>IFERROR(INDEX('Detalles movimientos'!L$5:L$1000, MATCH(113, 'Detalles movimientos'!$S$5:$S$1000, 0)), "")</f>
        <v/>
      </c>
      <c r="K122" s="20" t="str">
        <f>IFERROR(INDEX('Detalles movimientos'!M$5:M$1000, MATCH(113, 'Detalles movimientos'!$S$5:$S$1000, 0)), "")</f>
        <v/>
      </c>
      <c r="L122" s="18" t="str">
        <f>IFERROR(INDEX('Detalles movimientos'!N$5:N$1000, MATCH(113, 'Detalles movimientos'!$S$5:$S$1000, 0)), "")</f>
        <v/>
      </c>
      <c r="M122" s="18" t="str">
        <f>IFERROR(INDEX('Detalles movimientos'!Q$5:Q$1000, MATCH(113, 'Detalles movimientos'!$S$5:$S$1000, 0)), "")</f>
        <v/>
      </c>
    </row>
    <row r="123" spans="2:13">
      <c r="B123" s="17" t="str">
        <f>IFERROR(INDEX('Detalles movimientos'!C$5:C$1000, MATCH(114, 'Detalles movimientos'!$S$5:$S$1000, 0)), "")</f>
        <v/>
      </c>
      <c r="C123" s="18" t="str">
        <f>IFERROR(INDEX('Detalles movimientos'!D$5:D$1000, MATCH(114, 'Detalles movimientos'!$S$5:$S$1000, 0)), "")</f>
        <v/>
      </c>
      <c r="D123" s="19" t="str">
        <f>IFERROR(INDEX('Detalles movimientos'!E$5:E$1000, MATCH(114, 'Detalles movimientos'!$S$5:$S$1000, 0)), "")</f>
        <v/>
      </c>
      <c r="E123" s="19" t="str">
        <f>IFERROR(INDEX('Detalles movimientos'!F$5:F$1000, MATCH(114, 'Detalles movimientos'!$S$5:$S$1000, 0)), "")</f>
        <v/>
      </c>
      <c r="F123" s="18" t="str">
        <f>IFERROR(INDEX('Detalles movimientos'!G$5:G$1000, MATCH(114, 'Detalles movimientos'!$S$5:$S$1000, 0)), "")</f>
        <v/>
      </c>
      <c r="G123" s="20" t="str">
        <f>IFERROR(INDEX('Detalles movimientos'!H$5:H$1000, MATCH(114, 'Detalles movimientos'!$S$5:$S$1000, 0)), "")</f>
        <v/>
      </c>
      <c r="H123" s="21" t="str">
        <f>IFERROR(INDEX('Detalles movimientos'!I$5:I$1000, MATCH(114, 'Detalles movimientos'!$S$5:$S$1000, 0)), "")</f>
        <v/>
      </c>
      <c r="I123" s="20" t="str">
        <f>IFERROR(INDEX('Detalles movimientos'!K$5:K$1000, MATCH(114, 'Detalles movimientos'!$S$5:$S$1000, 0)), "")</f>
        <v/>
      </c>
      <c r="J123" s="19" t="str">
        <f>IFERROR(INDEX('Detalles movimientos'!L$5:L$1000, MATCH(114, 'Detalles movimientos'!$S$5:$S$1000, 0)), "")</f>
        <v/>
      </c>
      <c r="K123" s="20" t="str">
        <f>IFERROR(INDEX('Detalles movimientos'!M$5:M$1000, MATCH(114, 'Detalles movimientos'!$S$5:$S$1000, 0)), "")</f>
        <v/>
      </c>
      <c r="L123" s="18" t="str">
        <f>IFERROR(INDEX('Detalles movimientos'!N$5:N$1000, MATCH(114, 'Detalles movimientos'!$S$5:$S$1000, 0)), "")</f>
        <v/>
      </c>
      <c r="M123" s="18" t="str">
        <f>IFERROR(INDEX('Detalles movimientos'!Q$5:Q$1000, MATCH(114, 'Detalles movimientos'!$S$5:$S$1000, 0)), "")</f>
        <v/>
      </c>
    </row>
    <row r="124" spans="2:13">
      <c r="B124" s="17" t="str">
        <f>IFERROR(INDEX('Detalles movimientos'!C$5:C$1000, MATCH(115, 'Detalles movimientos'!$S$5:$S$1000, 0)), "")</f>
        <v/>
      </c>
      <c r="C124" s="18" t="str">
        <f>IFERROR(INDEX('Detalles movimientos'!D$5:D$1000, MATCH(115, 'Detalles movimientos'!$S$5:$S$1000, 0)), "")</f>
        <v/>
      </c>
      <c r="D124" s="19" t="str">
        <f>IFERROR(INDEX('Detalles movimientos'!E$5:E$1000, MATCH(115, 'Detalles movimientos'!$S$5:$S$1000, 0)), "")</f>
        <v/>
      </c>
      <c r="E124" s="19" t="str">
        <f>IFERROR(INDEX('Detalles movimientos'!F$5:F$1000, MATCH(115, 'Detalles movimientos'!$S$5:$S$1000, 0)), "")</f>
        <v/>
      </c>
      <c r="F124" s="18" t="str">
        <f>IFERROR(INDEX('Detalles movimientos'!G$5:G$1000, MATCH(115, 'Detalles movimientos'!$S$5:$S$1000, 0)), "")</f>
        <v/>
      </c>
      <c r="G124" s="20" t="str">
        <f>IFERROR(INDEX('Detalles movimientos'!H$5:H$1000, MATCH(115, 'Detalles movimientos'!$S$5:$S$1000, 0)), "")</f>
        <v/>
      </c>
      <c r="H124" s="21" t="str">
        <f>IFERROR(INDEX('Detalles movimientos'!I$5:I$1000, MATCH(115, 'Detalles movimientos'!$S$5:$S$1000, 0)), "")</f>
        <v/>
      </c>
      <c r="I124" s="20" t="str">
        <f>IFERROR(INDEX('Detalles movimientos'!K$5:K$1000, MATCH(115, 'Detalles movimientos'!$S$5:$S$1000, 0)), "")</f>
        <v/>
      </c>
      <c r="J124" s="19" t="str">
        <f>IFERROR(INDEX('Detalles movimientos'!L$5:L$1000, MATCH(115, 'Detalles movimientos'!$S$5:$S$1000, 0)), "")</f>
        <v/>
      </c>
      <c r="K124" s="20" t="str">
        <f>IFERROR(INDEX('Detalles movimientos'!M$5:M$1000, MATCH(115, 'Detalles movimientos'!$S$5:$S$1000, 0)), "")</f>
        <v/>
      </c>
      <c r="L124" s="18" t="str">
        <f>IFERROR(INDEX('Detalles movimientos'!N$5:N$1000, MATCH(115, 'Detalles movimientos'!$S$5:$S$1000, 0)), "")</f>
        <v/>
      </c>
      <c r="M124" s="18" t="str">
        <f>IFERROR(INDEX('Detalles movimientos'!Q$5:Q$1000, MATCH(115, 'Detalles movimientos'!$S$5:$S$1000, 0)), "")</f>
        <v/>
      </c>
    </row>
    <row r="125" spans="2:13">
      <c r="B125" s="17" t="str">
        <f>IFERROR(INDEX('Detalles movimientos'!C$5:C$1000, MATCH(116, 'Detalles movimientos'!$S$5:$S$1000, 0)), "")</f>
        <v/>
      </c>
      <c r="C125" s="18" t="str">
        <f>IFERROR(INDEX('Detalles movimientos'!D$5:D$1000, MATCH(116, 'Detalles movimientos'!$S$5:$S$1000, 0)), "")</f>
        <v/>
      </c>
      <c r="D125" s="19" t="str">
        <f>IFERROR(INDEX('Detalles movimientos'!E$5:E$1000, MATCH(116, 'Detalles movimientos'!$S$5:$S$1000, 0)), "")</f>
        <v/>
      </c>
      <c r="E125" s="19" t="str">
        <f>IFERROR(INDEX('Detalles movimientos'!F$5:F$1000, MATCH(116, 'Detalles movimientos'!$S$5:$S$1000, 0)), "")</f>
        <v/>
      </c>
      <c r="F125" s="18" t="str">
        <f>IFERROR(INDEX('Detalles movimientos'!G$5:G$1000, MATCH(116, 'Detalles movimientos'!$S$5:$S$1000, 0)), "")</f>
        <v/>
      </c>
      <c r="G125" s="20" t="str">
        <f>IFERROR(INDEX('Detalles movimientos'!H$5:H$1000, MATCH(116, 'Detalles movimientos'!$S$5:$S$1000, 0)), "")</f>
        <v/>
      </c>
      <c r="H125" s="21" t="str">
        <f>IFERROR(INDEX('Detalles movimientos'!I$5:I$1000, MATCH(116, 'Detalles movimientos'!$S$5:$S$1000, 0)), "")</f>
        <v/>
      </c>
      <c r="I125" s="20" t="str">
        <f>IFERROR(INDEX('Detalles movimientos'!K$5:K$1000, MATCH(116, 'Detalles movimientos'!$S$5:$S$1000, 0)), "")</f>
        <v/>
      </c>
      <c r="J125" s="19" t="str">
        <f>IFERROR(INDEX('Detalles movimientos'!L$5:L$1000, MATCH(116, 'Detalles movimientos'!$S$5:$S$1000, 0)), "")</f>
        <v/>
      </c>
      <c r="K125" s="20" t="str">
        <f>IFERROR(INDEX('Detalles movimientos'!M$5:M$1000, MATCH(116, 'Detalles movimientos'!$S$5:$S$1000, 0)), "")</f>
        <v/>
      </c>
      <c r="L125" s="18" t="str">
        <f>IFERROR(INDEX('Detalles movimientos'!N$5:N$1000, MATCH(116, 'Detalles movimientos'!$S$5:$S$1000, 0)), "")</f>
        <v/>
      </c>
      <c r="M125" s="18" t="str">
        <f>IFERROR(INDEX('Detalles movimientos'!Q$5:Q$1000, MATCH(116, 'Detalles movimientos'!$S$5:$S$1000, 0)), "")</f>
        <v/>
      </c>
    </row>
    <row r="126" spans="2:13">
      <c r="B126" s="17" t="str">
        <f>IFERROR(INDEX('Detalles movimientos'!C$5:C$1000, MATCH(117, 'Detalles movimientos'!$S$5:$S$1000, 0)), "")</f>
        <v/>
      </c>
      <c r="C126" s="18" t="str">
        <f>IFERROR(INDEX('Detalles movimientos'!D$5:D$1000, MATCH(117, 'Detalles movimientos'!$S$5:$S$1000, 0)), "")</f>
        <v/>
      </c>
      <c r="D126" s="19" t="str">
        <f>IFERROR(INDEX('Detalles movimientos'!E$5:E$1000, MATCH(117, 'Detalles movimientos'!$S$5:$S$1000, 0)), "")</f>
        <v/>
      </c>
      <c r="E126" s="19" t="str">
        <f>IFERROR(INDEX('Detalles movimientos'!F$5:F$1000, MATCH(117, 'Detalles movimientos'!$S$5:$S$1000, 0)), "")</f>
        <v/>
      </c>
      <c r="F126" s="18" t="str">
        <f>IFERROR(INDEX('Detalles movimientos'!G$5:G$1000, MATCH(117, 'Detalles movimientos'!$S$5:$S$1000, 0)), "")</f>
        <v/>
      </c>
      <c r="G126" s="20" t="str">
        <f>IFERROR(INDEX('Detalles movimientos'!H$5:H$1000, MATCH(117, 'Detalles movimientos'!$S$5:$S$1000, 0)), "")</f>
        <v/>
      </c>
      <c r="H126" s="21" t="str">
        <f>IFERROR(INDEX('Detalles movimientos'!I$5:I$1000, MATCH(117, 'Detalles movimientos'!$S$5:$S$1000, 0)), "")</f>
        <v/>
      </c>
      <c r="I126" s="20" t="str">
        <f>IFERROR(INDEX('Detalles movimientos'!K$5:K$1000, MATCH(117, 'Detalles movimientos'!$S$5:$S$1000, 0)), "")</f>
        <v/>
      </c>
      <c r="J126" s="19" t="str">
        <f>IFERROR(INDEX('Detalles movimientos'!L$5:L$1000, MATCH(117, 'Detalles movimientos'!$S$5:$S$1000, 0)), "")</f>
        <v/>
      </c>
      <c r="K126" s="20" t="str">
        <f>IFERROR(INDEX('Detalles movimientos'!M$5:M$1000, MATCH(117, 'Detalles movimientos'!$S$5:$S$1000, 0)), "")</f>
        <v/>
      </c>
      <c r="L126" s="18" t="str">
        <f>IFERROR(INDEX('Detalles movimientos'!N$5:N$1000, MATCH(117, 'Detalles movimientos'!$S$5:$S$1000, 0)), "")</f>
        <v/>
      </c>
      <c r="M126" s="18" t="str">
        <f>IFERROR(INDEX('Detalles movimientos'!Q$5:Q$1000, MATCH(117, 'Detalles movimientos'!$S$5:$S$1000, 0)), "")</f>
        <v/>
      </c>
    </row>
    <row r="127" spans="2:13">
      <c r="B127" s="17" t="str">
        <f>IFERROR(INDEX('Detalles movimientos'!C$5:C$1000, MATCH(118, 'Detalles movimientos'!$S$5:$S$1000, 0)), "")</f>
        <v/>
      </c>
      <c r="C127" s="18" t="str">
        <f>IFERROR(INDEX('Detalles movimientos'!D$5:D$1000, MATCH(118, 'Detalles movimientos'!$S$5:$S$1000, 0)), "")</f>
        <v/>
      </c>
      <c r="D127" s="19" t="str">
        <f>IFERROR(INDEX('Detalles movimientos'!E$5:E$1000, MATCH(118, 'Detalles movimientos'!$S$5:$S$1000, 0)), "")</f>
        <v/>
      </c>
      <c r="E127" s="19" t="str">
        <f>IFERROR(INDEX('Detalles movimientos'!F$5:F$1000, MATCH(118, 'Detalles movimientos'!$S$5:$S$1000, 0)), "")</f>
        <v/>
      </c>
      <c r="F127" s="18" t="str">
        <f>IFERROR(INDEX('Detalles movimientos'!G$5:G$1000, MATCH(118, 'Detalles movimientos'!$S$5:$S$1000, 0)), "")</f>
        <v/>
      </c>
      <c r="G127" s="20" t="str">
        <f>IFERROR(INDEX('Detalles movimientos'!H$5:H$1000, MATCH(118, 'Detalles movimientos'!$S$5:$S$1000, 0)), "")</f>
        <v/>
      </c>
      <c r="H127" s="21" t="str">
        <f>IFERROR(INDEX('Detalles movimientos'!I$5:I$1000, MATCH(118, 'Detalles movimientos'!$S$5:$S$1000, 0)), "")</f>
        <v/>
      </c>
      <c r="I127" s="20" t="str">
        <f>IFERROR(INDEX('Detalles movimientos'!K$5:K$1000, MATCH(118, 'Detalles movimientos'!$S$5:$S$1000, 0)), "")</f>
        <v/>
      </c>
      <c r="J127" s="19" t="str">
        <f>IFERROR(INDEX('Detalles movimientos'!L$5:L$1000, MATCH(118, 'Detalles movimientos'!$S$5:$S$1000, 0)), "")</f>
        <v/>
      </c>
      <c r="K127" s="20" t="str">
        <f>IFERROR(INDEX('Detalles movimientos'!M$5:M$1000, MATCH(118, 'Detalles movimientos'!$S$5:$S$1000, 0)), "")</f>
        <v/>
      </c>
      <c r="L127" s="18" t="str">
        <f>IFERROR(INDEX('Detalles movimientos'!N$5:N$1000, MATCH(118, 'Detalles movimientos'!$S$5:$S$1000, 0)), "")</f>
        <v/>
      </c>
      <c r="M127" s="18" t="str">
        <f>IFERROR(INDEX('Detalles movimientos'!Q$5:Q$1000, MATCH(118, 'Detalles movimientos'!$S$5:$S$1000, 0)), "")</f>
        <v/>
      </c>
    </row>
    <row r="128" spans="2:13">
      <c r="B128" s="17" t="str">
        <f>IFERROR(INDEX('Detalles movimientos'!C$5:C$1000, MATCH(119, 'Detalles movimientos'!$S$5:$S$1000, 0)), "")</f>
        <v/>
      </c>
      <c r="C128" s="18" t="str">
        <f>IFERROR(INDEX('Detalles movimientos'!D$5:D$1000, MATCH(119, 'Detalles movimientos'!$S$5:$S$1000, 0)), "")</f>
        <v/>
      </c>
      <c r="D128" s="19" t="str">
        <f>IFERROR(INDEX('Detalles movimientos'!E$5:E$1000, MATCH(119, 'Detalles movimientos'!$S$5:$S$1000, 0)), "")</f>
        <v/>
      </c>
      <c r="E128" s="19" t="str">
        <f>IFERROR(INDEX('Detalles movimientos'!F$5:F$1000, MATCH(119, 'Detalles movimientos'!$S$5:$S$1000, 0)), "")</f>
        <v/>
      </c>
      <c r="F128" s="18" t="str">
        <f>IFERROR(INDEX('Detalles movimientos'!G$5:G$1000, MATCH(119, 'Detalles movimientos'!$S$5:$S$1000, 0)), "")</f>
        <v/>
      </c>
      <c r="G128" s="20" t="str">
        <f>IFERROR(INDEX('Detalles movimientos'!H$5:H$1000, MATCH(119, 'Detalles movimientos'!$S$5:$S$1000, 0)), "")</f>
        <v/>
      </c>
      <c r="H128" s="21" t="str">
        <f>IFERROR(INDEX('Detalles movimientos'!I$5:I$1000, MATCH(119, 'Detalles movimientos'!$S$5:$S$1000, 0)), "")</f>
        <v/>
      </c>
      <c r="I128" s="20" t="str">
        <f>IFERROR(INDEX('Detalles movimientos'!K$5:K$1000, MATCH(119, 'Detalles movimientos'!$S$5:$S$1000, 0)), "")</f>
        <v/>
      </c>
      <c r="J128" s="19" t="str">
        <f>IFERROR(INDEX('Detalles movimientos'!L$5:L$1000, MATCH(119, 'Detalles movimientos'!$S$5:$S$1000, 0)), "")</f>
        <v/>
      </c>
      <c r="K128" s="20" t="str">
        <f>IFERROR(INDEX('Detalles movimientos'!M$5:M$1000, MATCH(119, 'Detalles movimientos'!$S$5:$S$1000, 0)), "")</f>
        <v/>
      </c>
      <c r="L128" s="18" t="str">
        <f>IFERROR(INDEX('Detalles movimientos'!N$5:N$1000, MATCH(119, 'Detalles movimientos'!$S$5:$S$1000, 0)), "")</f>
        <v/>
      </c>
      <c r="M128" s="18" t="str">
        <f>IFERROR(INDEX('Detalles movimientos'!Q$5:Q$1000, MATCH(119, 'Detalles movimientos'!$S$5:$S$1000, 0)), "")</f>
        <v/>
      </c>
    </row>
    <row r="129" spans="2:13">
      <c r="B129" s="17" t="str">
        <f>IFERROR(INDEX('Detalles movimientos'!C$5:C$1000, MATCH(120, 'Detalles movimientos'!$S$5:$S$1000, 0)), "")</f>
        <v/>
      </c>
      <c r="C129" s="18" t="str">
        <f>IFERROR(INDEX('Detalles movimientos'!D$5:D$1000, MATCH(120, 'Detalles movimientos'!$S$5:$S$1000, 0)), "")</f>
        <v/>
      </c>
      <c r="D129" s="19" t="str">
        <f>IFERROR(INDEX('Detalles movimientos'!E$5:E$1000, MATCH(120, 'Detalles movimientos'!$S$5:$S$1000, 0)), "")</f>
        <v/>
      </c>
      <c r="E129" s="19" t="str">
        <f>IFERROR(INDEX('Detalles movimientos'!F$5:F$1000, MATCH(120, 'Detalles movimientos'!$S$5:$S$1000, 0)), "")</f>
        <v/>
      </c>
      <c r="F129" s="18" t="str">
        <f>IFERROR(INDEX('Detalles movimientos'!G$5:G$1000, MATCH(120, 'Detalles movimientos'!$S$5:$S$1000, 0)), "")</f>
        <v/>
      </c>
      <c r="G129" s="20" t="str">
        <f>IFERROR(INDEX('Detalles movimientos'!H$5:H$1000, MATCH(120, 'Detalles movimientos'!$S$5:$S$1000, 0)), "")</f>
        <v/>
      </c>
      <c r="H129" s="21" t="str">
        <f>IFERROR(INDEX('Detalles movimientos'!I$5:I$1000, MATCH(120, 'Detalles movimientos'!$S$5:$S$1000, 0)), "")</f>
        <v/>
      </c>
      <c r="I129" s="20" t="str">
        <f>IFERROR(INDEX('Detalles movimientos'!K$5:K$1000, MATCH(120, 'Detalles movimientos'!$S$5:$S$1000, 0)), "")</f>
        <v/>
      </c>
      <c r="J129" s="19" t="str">
        <f>IFERROR(INDEX('Detalles movimientos'!L$5:L$1000, MATCH(120, 'Detalles movimientos'!$S$5:$S$1000, 0)), "")</f>
        <v/>
      </c>
      <c r="K129" s="20" t="str">
        <f>IFERROR(INDEX('Detalles movimientos'!M$5:M$1000, MATCH(120, 'Detalles movimientos'!$S$5:$S$1000, 0)), "")</f>
        <v/>
      </c>
      <c r="L129" s="18" t="str">
        <f>IFERROR(INDEX('Detalles movimientos'!N$5:N$1000, MATCH(120, 'Detalles movimientos'!$S$5:$S$1000, 0)), "")</f>
        <v/>
      </c>
      <c r="M129" s="18" t="str">
        <f>IFERROR(INDEX('Detalles movimientos'!Q$5:Q$1000, MATCH(120, 'Detalles movimientos'!$S$5:$S$1000, 0)), "")</f>
        <v/>
      </c>
    </row>
    <row r="130" spans="2:13">
      <c r="B130" s="17" t="str">
        <f>IFERROR(INDEX('Detalles movimientos'!C$5:C$1000, MATCH(121, 'Detalles movimientos'!$S$5:$S$1000, 0)), "")</f>
        <v/>
      </c>
      <c r="C130" s="18" t="str">
        <f>IFERROR(INDEX('Detalles movimientos'!D$5:D$1000, MATCH(121, 'Detalles movimientos'!$S$5:$S$1000, 0)), "")</f>
        <v/>
      </c>
      <c r="D130" s="19" t="str">
        <f>IFERROR(INDEX('Detalles movimientos'!E$5:E$1000, MATCH(121, 'Detalles movimientos'!$S$5:$S$1000, 0)), "")</f>
        <v/>
      </c>
      <c r="E130" s="19" t="str">
        <f>IFERROR(INDEX('Detalles movimientos'!F$5:F$1000, MATCH(121, 'Detalles movimientos'!$S$5:$S$1000, 0)), "")</f>
        <v/>
      </c>
      <c r="F130" s="18" t="str">
        <f>IFERROR(INDEX('Detalles movimientos'!G$5:G$1000, MATCH(121, 'Detalles movimientos'!$S$5:$S$1000, 0)), "")</f>
        <v/>
      </c>
      <c r="G130" s="20" t="str">
        <f>IFERROR(INDEX('Detalles movimientos'!H$5:H$1000, MATCH(121, 'Detalles movimientos'!$S$5:$S$1000, 0)), "")</f>
        <v/>
      </c>
      <c r="H130" s="21" t="str">
        <f>IFERROR(INDEX('Detalles movimientos'!I$5:I$1000, MATCH(121, 'Detalles movimientos'!$S$5:$S$1000, 0)), "")</f>
        <v/>
      </c>
      <c r="I130" s="20" t="str">
        <f>IFERROR(INDEX('Detalles movimientos'!K$5:K$1000, MATCH(121, 'Detalles movimientos'!$S$5:$S$1000, 0)), "")</f>
        <v/>
      </c>
      <c r="J130" s="19" t="str">
        <f>IFERROR(INDEX('Detalles movimientos'!L$5:L$1000, MATCH(121, 'Detalles movimientos'!$S$5:$S$1000, 0)), "")</f>
        <v/>
      </c>
      <c r="K130" s="20" t="str">
        <f>IFERROR(INDEX('Detalles movimientos'!M$5:M$1000, MATCH(121, 'Detalles movimientos'!$S$5:$S$1000, 0)), "")</f>
        <v/>
      </c>
      <c r="L130" s="18" t="str">
        <f>IFERROR(INDEX('Detalles movimientos'!N$5:N$1000, MATCH(121, 'Detalles movimientos'!$S$5:$S$1000, 0)), "")</f>
        <v/>
      </c>
      <c r="M130" s="18" t="str">
        <f>IFERROR(INDEX('Detalles movimientos'!Q$5:Q$1000, MATCH(121, 'Detalles movimientos'!$S$5:$S$1000, 0)), "")</f>
        <v/>
      </c>
    </row>
    <row r="131" spans="2:13">
      <c r="B131" s="17" t="str">
        <f>IFERROR(INDEX('Detalles movimientos'!C$5:C$1000, MATCH(122, 'Detalles movimientos'!$S$5:$S$1000, 0)), "")</f>
        <v/>
      </c>
      <c r="C131" s="18" t="str">
        <f>IFERROR(INDEX('Detalles movimientos'!D$5:D$1000, MATCH(122, 'Detalles movimientos'!$S$5:$S$1000, 0)), "")</f>
        <v/>
      </c>
      <c r="D131" s="19" t="str">
        <f>IFERROR(INDEX('Detalles movimientos'!E$5:E$1000, MATCH(122, 'Detalles movimientos'!$S$5:$S$1000, 0)), "")</f>
        <v/>
      </c>
      <c r="E131" s="19" t="str">
        <f>IFERROR(INDEX('Detalles movimientos'!F$5:F$1000, MATCH(122, 'Detalles movimientos'!$S$5:$S$1000, 0)), "")</f>
        <v/>
      </c>
      <c r="F131" s="18" t="str">
        <f>IFERROR(INDEX('Detalles movimientos'!G$5:G$1000, MATCH(122, 'Detalles movimientos'!$S$5:$S$1000, 0)), "")</f>
        <v/>
      </c>
      <c r="G131" s="20" t="str">
        <f>IFERROR(INDEX('Detalles movimientos'!H$5:H$1000, MATCH(122, 'Detalles movimientos'!$S$5:$S$1000, 0)), "")</f>
        <v/>
      </c>
      <c r="H131" s="21" t="str">
        <f>IFERROR(INDEX('Detalles movimientos'!I$5:I$1000, MATCH(122, 'Detalles movimientos'!$S$5:$S$1000, 0)), "")</f>
        <v/>
      </c>
      <c r="I131" s="20" t="str">
        <f>IFERROR(INDEX('Detalles movimientos'!K$5:K$1000, MATCH(122, 'Detalles movimientos'!$S$5:$S$1000, 0)), "")</f>
        <v/>
      </c>
      <c r="J131" s="19" t="str">
        <f>IFERROR(INDEX('Detalles movimientos'!L$5:L$1000, MATCH(122, 'Detalles movimientos'!$S$5:$S$1000, 0)), "")</f>
        <v/>
      </c>
      <c r="K131" s="20" t="str">
        <f>IFERROR(INDEX('Detalles movimientos'!M$5:M$1000, MATCH(122, 'Detalles movimientos'!$S$5:$S$1000, 0)), "")</f>
        <v/>
      </c>
      <c r="L131" s="18" t="str">
        <f>IFERROR(INDEX('Detalles movimientos'!N$5:N$1000, MATCH(122, 'Detalles movimientos'!$S$5:$S$1000, 0)), "")</f>
        <v/>
      </c>
      <c r="M131" s="18" t="str">
        <f>IFERROR(INDEX('Detalles movimientos'!Q$5:Q$1000, MATCH(122, 'Detalles movimientos'!$S$5:$S$1000, 0)), "")</f>
        <v/>
      </c>
    </row>
    <row r="132" spans="2:13">
      <c r="B132" s="17" t="str">
        <f>IFERROR(INDEX('Detalles movimientos'!C$5:C$1000, MATCH(123, 'Detalles movimientos'!$S$5:$S$1000, 0)), "")</f>
        <v/>
      </c>
      <c r="C132" s="18" t="str">
        <f>IFERROR(INDEX('Detalles movimientos'!D$5:D$1000, MATCH(123, 'Detalles movimientos'!$S$5:$S$1000, 0)), "")</f>
        <v/>
      </c>
      <c r="D132" s="19" t="str">
        <f>IFERROR(INDEX('Detalles movimientos'!E$5:E$1000, MATCH(123, 'Detalles movimientos'!$S$5:$S$1000, 0)), "")</f>
        <v/>
      </c>
      <c r="E132" s="19" t="str">
        <f>IFERROR(INDEX('Detalles movimientos'!F$5:F$1000, MATCH(123, 'Detalles movimientos'!$S$5:$S$1000, 0)), "")</f>
        <v/>
      </c>
      <c r="F132" s="18" t="str">
        <f>IFERROR(INDEX('Detalles movimientos'!G$5:G$1000, MATCH(123, 'Detalles movimientos'!$S$5:$S$1000, 0)), "")</f>
        <v/>
      </c>
      <c r="G132" s="20" t="str">
        <f>IFERROR(INDEX('Detalles movimientos'!H$5:H$1000, MATCH(123, 'Detalles movimientos'!$S$5:$S$1000, 0)), "")</f>
        <v/>
      </c>
      <c r="H132" s="21" t="str">
        <f>IFERROR(INDEX('Detalles movimientos'!I$5:I$1000, MATCH(123, 'Detalles movimientos'!$S$5:$S$1000, 0)), "")</f>
        <v/>
      </c>
      <c r="I132" s="20" t="str">
        <f>IFERROR(INDEX('Detalles movimientos'!K$5:K$1000, MATCH(123, 'Detalles movimientos'!$S$5:$S$1000, 0)), "")</f>
        <v/>
      </c>
      <c r="J132" s="19" t="str">
        <f>IFERROR(INDEX('Detalles movimientos'!L$5:L$1000, MATCH(123, 'Detalles movimientos'!$S$5:$S$1000, 0)), "")</f>
        <v/>
      </c>
      <c r="K132" s="20" t="str">
        <f>IFERROR(INDEX('Detalles movimientos'!M$5:M$1000, MATCH(123, 'Detalles movimientos'!$S$5:$S$1000, 0)), "")</f>
        <v/>
      </c>
      <c r="L132" s="18" t="str">
        <f>IFERROR(INDEX('Detalles movimientos'!N$5:N$1000, MATCH(123, 'Detalles movimientos'!$S$5:$S$1000, 0)), "")</f>
        <v/>
      </c>
      <c r="M132" s="18" t="str">
        <f>IFERROR(INDEX('Detalles movimientos'!Q$5:Q$1000, MATCH(123, 'Detalles movimientos'!$S$5:$S$1000, 0)), "")</f>
        <v/>
      </c>
    </row>
    <row r="133" spans="2:13">
      <c r="B133" s="17" t="str">
        <f>IFERROR(INDEX('Detalles movimientos'!C$5:C$1000, MATCH(124, 'Detalles movimientos'!$S$5:$S$1000, 0)), "")</f>
        <v/>
      </c>
      <c r="C133" s="18" t="str">
        <f>IFERROR(INDEX('Detalles movimientos'!D$5:D$1000, MATCH(124, 'Detalles movimientos'!$S$5:$S$1000, 0)), "")</f>
        <v/>
      </c>
      <c r="D133" s="19" t="str">
        <f>IFERROR(INDEX('Detalles movimientos'!E$5:E$1000, MATCH(124, 'Detalles movimientos'!$S$5:$S$1000, 0)), "")</f>
        <v/>
      </c>
      <c r="E133" s="19" t="str">
        <f>IFERROR(INDEX('Detalles movimientos'!F$5:F$1000, MATCH(124, 'Detalles movimientos'!$S$5:$S$1000, 0)), "")</f>
        <v/>
      </c>
      <c r="F133" s="18" t="str">
        <f>IFERROR(INDEX('Detalles movimientos'!G$5:G$1000, MATCH(124, 'Detalles movimientos'!$S$5:$S$1000, 0)), "")</f>
        <v/>
      </c>
      <c r="G133" s="20" t="str">
        <f>IFERROR(INDEX('Detalles movimientos'!H$5:H$1000, MATCH(124, 'Detalles movimientos'!$S$5:$S$1000, 0)), "")</f>
        <v/>
      </c>
      <c r="H133" s="21" t="str">
        <f>IFERROR(INDEX('Detalles movimientos'!I$5:I$1000, MATCH(124, 'Detalles movimientos'!$S$5:$S$1000, 0)), "")</f>
        <v/>
      </c>
      <c r="I133" s="20" t="str">
        <f>IFERROR(INDEX('Detalles movimientos'!K$5:K$1000, MATCH(124, 'Detalles movimientos'!$S$5:$S$1000, 0)), "")</f>
        <v/>
      </c>
      <c r="J133" s="19" t="str">
        <f>IFERROR(INDEX('Detalles movimientos'!L$5:L$1000, MATCH(124, 'Detalles movimientos'!$S$5:$S$1000, 0)), "")</f>
        <v/>
      </c>
      <c r="K133" s="20" t="str">
        <f>IFERROR(INDEX('Detalles movimientos'!M$5:M$1000, MATCH(124, 'Detalles movimientos'!$S$5:$S$1000, 0)), "")</f>
        <v/>
      </c>
      <c r="L133" s="18" t="str">
        <f>IFERROR(INDEX('Detalles movimientos'!N$5:N$1000, MATCH(124, 'Detalles movimientos'!$S$5:$S$1000, 0)), "")</f>
        <v/>
      </c>
      <c r="M133" s="18" t="str">
        <f>IFERROR(INDEX('Detalles movimientos'!Q$5:Q$1000, MATCH(124, 'Detalles movimientos'!$S$5:$S$1000, 0)), "")</f>
        <v/>
      </c>
    </row>
    <row r="134" spans="2:13">
      <c r="B134" s="17" t="str">
        <f>IFERROR(INDEX('Detalles movimientos'!C$5:C$1000, MATCH(125, 'Detalles movimientos'!$S$5:$S$1000, 0)), "")</f>
        <v/>
      </c>
      <c r="C134" s="18" t="str">
        <f>IFERROR(INDEX('Detalles movimientos'!D$5:D$1000, MATCH(125, 'Detalles movimientos'!$S$5:$S$1000, 0)), "")</f>
        <v/>
      </c>
      <c r="D134" s="19" t="str">
        <f>IFERROR(INDEX('Detalles movimientos'!E$5:E$1000, MATCH(125, 'Detalles movimientos'!$S$5:$S$1000, 0)), "")</f>
        <v/>
      </c>
      <c r="E134" s="19" t="str">
        <f>IFERROR(INDEX('Detalles movimientos'!F$5:F$1000, MATCH(125, 'Detalles movimientos'!$S$5:$S$1000, 0)), "")</f>
        <v/>
      </c>
      <c r="F134" s="18" t="str">
        <f>IFERROR(INDEX('Detalles movimientos'!G$5:G$1000, MATCH(125, 'Detalles movimientos'!$S$5:$S$1000, 0)), "")</f>
        <v/>
      </c>
      <c r="G134" s="20" t="str">
        <f>IFERROR(INDEX('Detalles movimientos'!H$5:H$1000, MATCH(125, 'Detalles movimientos'!$S$5:$S$1000, 0)), "")</f>
        <v/>
      </c>
      <c r="H134" s="21" t="str">
        <f>IFERROR(INDEX('Detalles movimientos'!I$5:I$1000, MATCH(125, 'Detalles movimientos'!$S$5:$S$1000, 0)), "")</f>
        <v/>
      </c>
      <c r="I134" s="20" t="str">
        <f>IFERROR(INDEX('Detalles movimientos'!K$5:K$1000, MATCH(125, 'Detalles movimientos'!$S$5:$S$1000, 0)), "")</f>
        <v/>
      </c>
      <c r="J134" s="19" t="str">
        <f>IFERROR(INDEX('Detalles movimientos'!L$5:L$1000, MATCH(125, 'Detalles movimientos'!$S$5:$S$1000, 0)), "")</f>
        <v/>
      </c>
      <c r="K134" s="20" t="str">
        <f>IFERROR(INDEX('Detalles movimientos'!M$5:M$1000, MATCH(125, 'Detalles movimientos'!$S$5:$S$1000, 0)), "")</f>
        <v/>
      </c>
      <c r="L134" s="18" t="str">
        <f>IFERROR(INDEX('Detalles movimientos'!N$5:N$1000, MATCH(125, 'Detalles movimientos'!$S$5:$S$1000, 0)), "")</f>
        <v/>
      </c>
      <c r="M134" s="18" t="str">
        <f>IFERROR(INDEX('Detalles movimientos'!Q$5:Q$1000, MATCH(125, 'Detalles movimientos'!$S$5:$S$1000, 0)), "")</f>
        <v/>
      </c>
    </row>
    <row r="135" spans="2:13">
      <c r="B135" s="17" t="str">
        <f>IFERROR(INDEX('Detalles movimientos'!C$5:C$1000, MATCH(126, 'Detalles movimientos'!$S$5:$S$1000, 0)), "")</f>
        <v/>
      </c>
      <c r="C135" s="18" t="str">
        <f>IFERROR(INDEX('Detalles movimientos'!D$5:D$1000, MATCH(126, 'Detalles movimientos'!$S$5:$S$1000, 0)), "")</f>
        <v/>
      </c>
      <c r="D135" s="19" t="str">
        <f>IFERROR(INDEX('Detalles movimientos'!E$5:E$1000, MATCH(126, 'Detalles movimientos'!$S$5:$S$1000, 0)), "")</f>
        <v/>
      </c>
      <c r="E135" s="19" t="str">
        <f>IFERROR(INDEX('Detalles movimientos'!F$5:F$1000, MATCH(126, 'Detalles movimientos'!$S$5:$S$1000, 0)), "")</f>
        <v/>
      </c>
      <c r="F135" s="18" t="str">
        <f>IFERROR(INDEX('Detalles movimientos'!G$5:G$1000, MATCH(126, 'Detalles movimientos'!$S$5:$S$1000, 0)), "")</f>
        <v/>
      </c>
      <c r="G135" s="20" t="str">
        <f>IFERROR(INDEX('Detalles movimientos'!H$5:H$1000, MATCH(126, 'Detalles movimientos'!$S$5:$S$1000, 0)), "")</f>
        <v/>
      </c>
      <c r="H135" s="21" t="str">
        <f>IFERROR(INDEX('Detalles movimientos'!I$5:I$1000, MATCH(126, 'Detalles movimientos'!$S$5:$S$1000, 0)), "")</f>
        <v/>
      </c>
      <c r="I135" s="20" t="str">
        <f>IFERROR(INDEX('Detalles movimientos'!K$5:K$1000, MATCH(126, 'Detalles movimientos'!$S$5:$S$1000, 0)), "")</f>
        <v/>
      </c>
      <c r="J135" s="19" t="str">
        <f>IFERROR(INDEX('Detalles movimientos'!L$5:L$1000, MATCH(126, 'Detalles movimientos'!$S$5:$S$1000, 0)), "")</f>
        <v/>
      </c>
      <c r="K135" s="20" t="str">
        <f>IFERROR(INDEX('Detalles movimientos'!M$5:M$1000, MATCH(126, 'Detalles movimientos'!$S$5:$S$1000, 0)), "")</f>
        <v/>
      </c>
      <c r="L135" s="18" t="str">
        <f>IFERROR(INDEX('Detalles movimientos'!N$5:N$1000, MATCH(126, 'Detalles movimientos'!$S$5:$S$1000, 0)), "")</f>
        <v/>
      </c>
      <c r="M135" s="18" t="str">
        <f>IFERROR(INDEX('Detalles movimientos'!Q$5:Q$1000, MATCH(126, 'Detalles movimientos'!$S$5:$S$1000, 0)), "")</f>
        <v/>
      </c>
    </row>
    <row r="136" spans="2:13">
      <c r="B136" s="17" t="str">
        <f>IFERROR(INDEX('Detalles movimientos'!C$5:C$1000, MATCH(127, 'Detalles movimientos'!$S$5:$S$1000, 0)), "")</f>
        <v/>
      </c>
      <c r="C136" s="18" t="str">
        <f>IFERROR(INDEX('Detalles movimientos'!D$5:D$1000, MATCH(127, 'Detalles movimientos'!$S$5:$S$1000, 0)), "")</f>
        <v/>
      </c>
      <c r="D136" s="19" t="str">
        <f>IFERROR(INDEX('Detalles movimientos'!E$5:E$1000, MATCH(127, 'Detalles movimientos'!$S$5:$S$1000, 0)), "")</f>
        <v/>
      </c>
      <c r="E136" s="19" t="str">
        <f>IFERROR(INDEX('Detalles movimientos'!F$5:F$1000, MATCH(127, 'Detalles movimientos'!$S$5:$S$1000, 0)), "")</f>
        <v/>
      </c>
      <c r="F136" s="18" t="str">
        <f>IFERROR(INDEX('Detalles movimientos'!G$5:G$1000, MATCH(127, 'Detalles movimientos'!$S$5:$S$1000, 0)), "")</f>
        <v/>
      </c>
      <c r="G136" s="20" t="str">
        <f>IFERROR(INDEX('Detalles movimientos'!H$5:H$1000, MATCH(127, 'Detalles movimientos'!$S$5:$S$1000, 0)), "")</f>
        <v/>
      </c>
      <c r="H136" s="21" t="str">
        <f>IFERROR(INDEX('Detalles movimientos'!I$5:I$1000, MATCH(127, 'Detalles movimientos'!$S$5:$S$1000, 0)), "")</f>
        <v/>
      </c>
      <c r="I136" s="20" t="str">
        <f>IFERROR(INDEX('Detalles movimientos'!K$5:K$1000, MATCH(127, 'Detalles movimientos'!$S$5:$S$1000, 0)), "")</f>
        <v/>
      </c>
      <c r="J136" s="19" t="str">
        <f>IFERROR(INDEX('Detalles movimientos'!L$5:L$1000, MATCH(127, 'Detalles movimientos'!$S$5:$S$1000, 0)), "")</f>
        <v/>
      </c>
      <c r="K136" s="20" t="str">
        <f>IFERROR(INDEX('Detalles movimientos'!M$5:M$1000, MATCH(127, 'Detalles movimientos'!$S$5:$S$1000, 0)), "")</f>
        <v/>
      </c>
      <c r="L136" s="18" t="str">
        <f>IFERROR(INDEX('Detalles movimientos'!N$5:N$1000, MATCH(127, 'Detalles movimientos'!$S$5:$S$1000, 0)), "")</f>
        <v/>
      </c>
      <c r="M136" s="18" t="str">
        <f>IFERROR(INDEX('Detalles movimientos'!Q$5:Q$1000, MATCH(127, 'Detalles movimientos'!$S$5:$S$1000, 0)), "")</f>
        <v/>
      </c>
    </row>
    <row r="137" spans="2:13">
      <c r="B137" s="17" t="str">
        <f>IFERROR(INDEX('Detalles movimientos'!C$5:C$1000, MATCH(128, 'Detalles movimientos'!$S$5:$S$1000, 0)), "")</f>
        <v/>
      </c>
      <c r="C137" s="18" t="str">
        <f>IFERROR(INDEX('Detalles movimientos'!D$5:D$1000, MATCH(128, 'Detalles movimientos'!$S$5:$S$1000, 0)), "")</f>
        <v/>
      </c>
      <c r="D137" s="19" t="str">
        <f>IFERROR(INDEX('Detalles movimientos'!E$5:E$1000, MATCH(128, 'Detalles movimientos'!$S$5:$S$1000, 0)), "")</f>
        <v/>
      </c>
      <c r="E137" s="19" t="str">
        <f>IFERROR(INDEX('Detalles movimientos'!F$5:F$1000, MATCH(128, 'Detalles movimientos'!$S$5:$S$1000, 0)), "")</f>
        <v/>
      </c>
      <c r="F137" s="18" t="str">
        <f>IFERROR(INDEX('Detalles movimientos'!G$5:G$1000, MATCH(128, 'Detalles movimientos'!$S$5:$S$1000, 0)), "")</f>
        <v/>
      </c>
      <c r="G137" s="20" t="str">
        <f>IFERROR(INDEX('Detalles movimientos'!H$5:H$1000, MATCH(128, 'Detalles movimientos'!$S$5:$S$1000, 0)), "")</f>
        <v/>
      </c>
      <c r="H137" s="21" t="str">
        <f>IFERROR(INDEX('Detalles movimientos'!I$5:I$1000, MATCH(128, 'Detalles movimientos'!$S$5:$S$1000, 0)), "")</f>
        <v/>
      </c>
      <c r="I137" s="20" t="str">
        <f>IFERROR(INDEX('Detalles movimientos'!K$5:K$1000, MATCH(128, 'Detalles movimientos'!$S$5:$S$1000, 0)), "")</f>
        <v/>
      </c>
      <c r="J137" s="19" t="str">
        <f>IFERROR(INDEX('Detalles movimientos'!L$5:L$1000, MATCH(128, 'Detalles movimientos'!$S$5:$S$1000, 0)), "")</f>
        <v/>
      </c>
      <c r="K137" s="20" t="str">
        <f>IFERROR(INDEX('Detalles movimientos'!M$5:M$1000, MATCH(128, 'Detalles movimientos'!$S$5:$S$1000, 0)), "")</f>
        <v/>
      </c>
      <c r="L137" s="18" t="str">
        <f>IFERROR(INDEX('Detalles movimientos'!N$5:N$1000, MATCH(128, 'Detalles movimientos'!$S$5:$S$1000, 0)), "")</f>
        <v/>
      </c>
      <c r="M137" s="18" t="str">
        <f>IFERROR(INDEX('Detalles movimientos'!Q$5:Q$1000, MATCH(128, 'Detalles movimientos'!$S$5:$S$1000, 0)), "")</f>
        <v/>
      </c>
    </row>
    <row r="138" spans="2:13">
      <c r="B138" s="17" t="str">
        <f>IFERROR(INDEX('Detalles movimientos'!C$5:C$1000, MATCH(129, 'Detalles movimientos'!$S$5:$S$1000, 0)), "")</f>
        <v/>
      </c>
      <c r="C138" s="18" t="str">
        <f>IFERROR(INDEX('Detalles movimientos'!D$5:D$1000, MATCH(129, 'Detalles movimientos'!$S$5:$S$1000, 0)), "")</f>
        <v/>
      </c>
      <c r="D138" s="19" t="str">
        <f>IFERROR(INDEX('Detalles movimientos'!E$5:E$1000, MATCH(129, 'Detalles movimientos'!$S$5:$S$1000, 0)), "")</f>
        <v/>
      </c>
      <c r="E138" s="19" t="str">
        <f>IFERROR(INDEX('Detalles movimientos'!F$5:F$1000, MATCH(129, 'Detalles movimientos'!$S$5:$S$1000, 0)), "")</f>
        <v/>
      </c>
      <c r="F138" s="18" t="str">
        <f>IFERROR(INDEX('Detalles movimientos'!G$5:G$1000, MATCH(129, 'Detalles movimientos'!$S$5:$S$1000, 0)), "")</f>
        <v/>
      </c>
      <c r="G138" s="20" t="str">
        <f>IFERROR(INDEX('Detalles movimientos'!H$5:H$1000, MATCH(129, 'Detalles movimientos'!$S$5:$S$1000, 0)), "")</f>
        <v/>
      </c>
      <c r="H138" s="21" t="str">
        <f>IFERROR(INDEX('Detalles movimientos'!I$5:I$1000, MATCH(129, 'Detalles movimientos'!$S$5:$S$1000, 0)), "")</f>
        <v/>
      </c>
      <c r="I138" s="20" t="str">
        <f>IFERROR(INDEX('Detalles movimientos'!K$5:K$1000, MATCH(129, 'Detalles movimientos'!$S$5:$S$1000, 0)), "")</f>
        <v/>
      </c>
      <c r="J138" s="19" t="str">
        <f>IFERROR(INDEX('Detalles movimientos'!L$5:L$1000, MATCH(129, 'Detalles movimientos'!$S$5:$S$1000, 0)), "")</f>
        <v/>
      </c>
      <c r="K138" s="20" t="str">
        <f>IFERROR(INDEX('Detalles movimientos'!M$5:M$1000, MATCH(129, 'Detalles movimientos'!$S$5:$S$1000, 0)), "")</f>
        <v/>
      </c>
      <c r="L138" s="18" t="str">
        <f>IFERROR(INDEX('Detalles movimientos'!N$5:N$1000, MATCH(129, 'Detalles movimientos'!$S$5:$S$1000, 0)), "")</f>
        <v/>
      </c>
      <c r="M138" s="18" t="str">
        <f>IFERROR(INDEX('Detalles movimientos'!Q$5:Q$1000, MATCH(129, 'Detalles movimientos'!$S$5:$S$1000, 0)), "")</f>
        <v/>
      </c>
    </row>
    <row r="139" spans="2:13">
      <c r="B139" s="17" t="str">
        <f>IFERROR(INDEX('Detalles movimientos'!C$5:C$1000, MATCH(130, 'Detalles movimientos'!$S$5:$S$1000, 0)), "")</f>
        <v/>
      </c>
      <c r="C139" s="18" t="str">
        <f>IFERROR(INDEX('Detalles movimientos'!D$5:D$1000, MATCH(130, 'Detalles movimientos'!$S$5:$S$1000, 0)), "")</f>
        <v/>
      </c>
      <c r="D139" s="19" t="str">
        <f>IFERROR(INDEX('Detalles movimientos'!E$5:E$1000, MATCH(130, 'Detalles movimientos'!$S$5:$S$1000, 0)), "")</f>
        <v/>
      </c>
      <c r="E139" s="19" t="str">
        <f>IFERROR(INDEX('Detalles movimientos'!F$5:F$1000, MATCH(130, 'Detalles movimientos'!$S$5:$S$1000, 0)), "")</f>
        <v/>
      </c>
      <c r="F139" s="18" t="str">
        <f>IFERROR(INDEX('Detalles movimientos'!G$5:G$1000, MATCH(130, 'Detalles movimientos'!$S$5:$S$1000, 0)), "")</f>
        <v/>
      </c>
      <c r="G139" s="20" t="str">
        <f>IFERROR(INDEX('Detalles movimientos'!H$5:H$1000, MATCH(130, 'Detalles movimientos'!$S$5:$S$1000, 0)), "")</f>
        <v/>
      </c>
      <c r="H139" s="21" t="str">
        <f>IFERROR(INDEX('Detalles movimientos'!I$5:I$1000, MATCH(130, 'Detalles movimientos'!$S$5:$S$1000, 0)), "")</f>
        <v/>
      </c>
      <c r="I139" s="20" t="str">
        <f>IFERROR(INDEX('Detalles movimientos'!K$5:K$1000, MATCH(130, 'Detalles movimientos'!$S$5:$S$1000, 0)), "")</f>
        <v/>
      </c>
      <c r="J139" s="19" t="str">
        <f>IFERROR(INDEX('Detalles movimientos'!L$5:L$1000, MATCH(130, 'Detalles movimientos'!$S$5:$S$1000, 0)), "")</f>
        <v/>
      </c>
      <c r="K139" s="20" t="str">
        <f>IFERROR(INDEX('Detalles movimientos'!M$5:M$1000, MATCH(130, 'Detalles movimientos'!$S$5:$S$1000, 0)), "")</f>
        <v/>
      </c>
      <c r="L139" s="18" t="str">
        <f>IFERROR(INDEX('Detalles movimientos'!N$5:N$1000, MATCH(130, 'Detalles movimientos'!$S$5:$S$1000, 0)), "")</f>
        <v/>
      </c>
      <c r="M139" s="18" t="str">
        <f>IFERROR(INDEX('Detalles movimientos'!Q$5:Q$1000, MATCH(130, 'Detalles movimientos'!$S$5:$S$1000, 0)), "")</f>
        <v/>
      </c>
    </row>
    <row r="140" spans="2:13">
      <c r="B140" s="17" t="str">
        <f>IFERROR(INDEX('Detalles movimientos'!C$5:C$1000, MATCH(131, 'Detalles movimientos'!$S$5:$S$1000, 0)), "")</f>
        <v/>
      </c>
      <c r="C140" s="18" t="str">
        <f>IFERROR(INDEX('Detalles movimientos'!D$5:D$1000, MATCH(131, 'Detalles movimientos'!$S$5:$S$1000, 0)), "")</f>
        <v/>
      </c>
      <c r="D140" s="19" t="str">
        <f>IFERROR(INDEX('Detalles movimientos'!E$5:E$1000, MATCH(131, 'Detalles movimientos'!$S$5:$S$1000, 0)), "")</f>
        <v/>
      </c>
      <c r="E140" s="19" t="str">
        <f>IFERROR(INDEX('Detalles movimientos'!F$5:F$1000, MATCH(131, 'Detalles movimientos'!$S$5:$S$1000, 0)), "")</f>
        <v/>
      </c>
      <c r="F140" s="18" t="str">
        <f>IFERROR(INDEX('Detalles movimientos'!G$5:G$1000, MATCH(131, 'Detalles movimientos'!$S$5:$S$1000, 0)), "")</f>
        <v/>
      </c>
      <c r="G140" s="20" t="str">
        <f>IFERROR(INDEX('Detalles movimientos'!H$5:H$1000, MATCH(131, 'Detalles movimientos'!$S$5:$S$1000, 0)), "")</f>
        <v/>
      </c>
      <c r="H140" s="21" t="str">
        <f>IFERROR(INDEX('Detalles movimientos'!I$5:I$1000, MATCH(131, 'Detalles movimientos'!$S$5:$S$1000, 0)), "")</f>
        <v/>
      </c>
      <c r="I140" s="20" t="str">
        <f>IFERROR(INDEX('Detalles movimientos'!K$5:K$1000, MATCH(131, 'Detalles movimientos'!$S$5:$S$1000, 0)), "")</f>
        <v/>
      </c>
      <c r="J140" s="19" t="str">
        <f>IFERROR(INDEX('Detalles movimientos'!L$5:L$1000, MATCH(131, 'Detalles movimientos'!$S$5:$S$1000, 0)), "")</f>
        <v/>
      </c>
      <c r="K140" s="20" t="str">
        <f>IFERROR(INDEX('Detalles movimientos'!M$5:M$1000, MATCH(131, 'Detalles movimientos'!$S$5:$S$1000, 0)), "")</f>
        <v/>
      </c>
      <c r="L140" s="18" t="str">
        <f>IFERROR(INDEX('Detalles movimientos'!N$5:N$1000, MATCH(131, 'Detalles movimientos'!$S$5:$S$1000, 0)), "")</f>
        <v/>
      </c>
      <c r="M140" s="18" t="str">
        <f>IFERROR(INDEX('Detalles movimientos'!Q$5:Q$1000, MATCH(131, 'Detalles movimientos'!$S$5:$S$1000, 0)), "")</f>
        <v/>
      </c>
    </row>
    <row r="141" spans="2:13">
      <c r="B141" s="17" t="str">
        <f>IFERROR(INDEX('Detalles movimientos'!C$5:C$1000, MATCH(132, 'Detalles movimientos'!$S$5:$S$1000, 0)), "")</f>
        <v/>
      </c>
      <c r="C141" s="18" t="str">
        <f>IFERROR(INDEX('Detalles movimientos'!D$5:D$1000, MATCH(132, 'Detalles movimientos'!$S$5:$S$1000, 0)), "")</f>
        <v/>
      </c>
      <c r="D141" s="19" t="str">
        <f>IFERROR(INDEX('Detalles movimientos'!E$5:E$1000, MATCH(132, 'Detalles movimientos'!$S$5:$S$1000, 0)), "")</f>
        <v/>
      </c>
      <c r="E141" s="19" t="str">
        <f>IFERROR(INDEX('Detalles movimientos'!F$5:F$1000, MATCH(132, 'Detalles movimientos'!$S$5:$S$1000, 0)), "")</f>
        <v/>
      </c>
      <c r="F141" s="18" t="str">
        <f>IFERROR(INDEX('Detalles movimientos'!G$5:G$1000, MATCH(132, 'Detalles movimientos'!$S$5:$S$1000, 0)), "")</f>
        <v/>
      </c>
      <c r="G141" s="20" t="str">
        <f>IFERROR(INDEX('Detalles movimientos'!H$5:H$1000, MATCH(132, 'Detalles movimientos'!$S$5:$S$1000, 0)), "")</f>
        <v/>
      </c>
      <c r="H141" s="21" t="str">
        <f>IFERROR(INDEX('Detalles movimientos'!I$5:I$1000, MATCH(132, 'Detalles movimientos'!$S$5:$S$1000, 0)), "")</f>
        <v/>
      </c>
      <c r="I141" s="20" t="str">
        <f>IFERROR(INDEX('Detalles movimientos'!K$5:K$1000, MATCH(132, 'Detalles movimientos'!$S$5:$S$1000, 0)), "")</f>
        <v/>
      </c>
      <c r="J141" s="19" t="str">
        <f>IFERROR(INDEX('Detalles movimientos'!L$5:L$1000, MATCH(132, 'Detalles movimientos'!$S$5:$S$1000, 0)), "")</f>
        <v/>
      </c>
      <c r="K141" s="20" t="str">
        <f>IFERROR(INDEX('Detalles movimientos'!M$5:M$1000, MATCH(132, 'Detalles movimientos'!$S$5:$S$1000, 0)), "")</f>
        <v/>
      </c>
      <c r="L141" s="18" t="str">
        <f>IFERROR(INDEX('Detalles movimientos'!N$5:N$1000, MATCH(132, 'Detalles movimientos'!$S$5:$S$1000, 0)), "")</f>
        <v/>
      </c>
      <c r="M141" s="18" t="str">
        <f>IFERROR(INDEX('Detalles movimientos'!Q$5:Q$1000, MATCH(132, 'Detalles movimientos'!$S$5:$S$1000, 0)), "")</f>
        <v/>
      </c>
    </row>
    <row r="142" spans="2:13">
      <c r="B142" s="17" t="str">
        <f>IFERROR(INDEX('Detalles movimientos'!C$5:C$1000, MATCH(133, 'Detalles movimientos'!$S$5:$S$1000, 0)), "")</f>
        <v/>
      </c>
      <c r="C142" s="18" t="str">
        <f>IFERROR(INDEX('Detalles movimientos'!D$5:D$1000, MATCH(133, 'Detalles movimientos'!$S$5:$S$1000, 0)), "")</f>
        <v/>
      </c>
      <c r="D142" s="19" t="str">
        <f>IFERROR(INDEX('Detalles movimientos'!E$5:E$1000, MATCH(133, 'Detalles movimientos'!$S$5:$S$1000, 0)), "")</f>
        <v/>
      </c>
      <c r="E142" s="19" t="str">
        <f>IFERROR(INDEX('Detalles movimientos'!F$5:F$1000, MATCH(133, 'Detalles movimientos'!$S$5:$S$1000, 0)), "")</f>
        <v/>
      </c>
      <c r="F142" s="18" t="str">
        <f>IFERROR(INDEX('Detalles movimientos'!G$5:G$1000, MATCH(133, 'Detalles movimientos'!$S$5:$S$1000, 0)), "")</f>
        <v/>
      </c>
      <c r="G142" s="20" t="str">
        <f>IFERROR(INDEX('Detalles movimientos'!H$5:H$1000, MATCH(133, 'Detalles movimientos'!$S$5:$S$1000, 0)), "")</f>
        <v/>
      </c>
      <c r="H142" s="21" t="str">
        <f>IFERROR(INDEX('Detalles movimientos'!I$5:I$1000, MATCH(133, 'Detalles movimientos'!$S$5:$S$1000, 0)), "")</f>
        <v/>
      </c>
      <c r="I142" s="20" t="str">
        <f>IFERROR(INDEX('Detalles movimientos'!K$5:K$1000, MATCH(133, 'Detalles movimientos'!$S$5:$S$1000, 0)), "")</f>
        <v/>
      </c>
      <c r="J142" s="19" t="str">
        <f>IFERROR(INDEX('Detalles movimientos'!L$5:L$1000, MATCH(133, 'Detalles movimientos'!$S$5:$S$1000, 0)), "")</f>
        <v/>
      </c>
      <c r="K142" s="20" t="str">
        <f>IFERROR(INDEX('Detalles movimientos'!M$5:M$1000, MATCH(133, 'Detalles movimientos'!$S$5:$S$1000, 0)), "")</f>
        <v/>
      </c>
      <c r="L142" s="18" t="str">
        <f>IFERROR(INDEX('Detalles movimientos'!N$5:N$1000, MATCH(133, 'Detalles movimientos'!$S$5:$S$1000, 0)), "")</f>
        <v/>
      </c>
      <c r="M142" s="18" t="str">
        <f>IFERROR(INDEX('Detalles movimientos'!Q$5:Q$1000, MATCH(133, 'Detalles movimientos'!$S$5:$S$1000, 0)), "")</f>
        <v/>
      </c>
    </row>
    <row r="143" spans="2:13">
      <c r="B143" s="17" t="str">
        <f>IFERROR(INDEX('Detalles movimientos'!C$5:C$1000, MATCH(134, 'Detalles movimientos'!$S$5:$S$1000, 0)), "")</f>
        <v/>
      </c>
      <c r="C143" s="18" t="str">
        <f>IFERROR(INDEX('Detalles movimientos'!D$5:D$1000, MATCH(134, 'Detalles movimientos'!$S$5:$S$1000, 0)), "")</f>
        <v/>
      </c>
      <c r="D143" s="19" t="str">
        <f>IFERROR(INDEX('Detalles movimientos'!E$5:E$1000, MATCH(134, 'Detalles movimientos'!$S$5:$S$1000, 0)), "")</f>
        <v/>
      </c>
      <c r="E143" s="19" t="str">
        <f>IFERROR(INDEX('Detalles movimientos'!F$5:F$1000, MATCH(134, 'Detalles movimientos'!$S$5:$S$1000, 0)), "")</f>
        <v/>
      </c>
      <c r="F143" s="18" t="str">
        <f>IFERROR(INDEX('Detalles movimientos'!G$5:G$1000, MATCH(134, 'Detalles movimientos'!$S$5:$S$1000, 0)), "")</f>
        <v/>
      </c>
      <c r="G143" s="20" t="str">
        <f>IFERROR(INDEX('Detalles movimientos'!H$5:H$1000, MATCH(134, 'Detalles movimientos'!$S$5:$S$1000, 0)), "")</f>
        <v/>
      </c>
      <c r="H143" s="21" t="str">
        <f>IFERROR(INDEX('Detalles movimientos'!I$5:I$1000, MATCH(134, 'Detalles movimientos'!$S$5:$S$1000, 0)), "")</f>
        <v/>
      </c>
      <c r="I143" s="20" t="str">
        <f>IFERROR(INDEX('Detalles movimientos'!K$5:K$1000, MATCH(134, 'Detalles movimientos'!$S$5:$S$1000, 0)), "")</f>
        <v/>
      </c>
      <c r="J143" s="19" t="str">
        <f>IFERROR(INDEX('Detalles movimientos'!L$5:L$1000, MATCH(134, 'Detalles movimientos'!$S$5:$S$1000, 0)), "")</f>
        <v/>
      </c>
      <c r="K143" s="20" t="str">
        <f>IFERROR(INDEX('Detalles movimientos'!M$5:M$1000, MATCH(134, 'Detalles movimientos'!$S$5:$S$1000, 0)), "")</f>
        <v/>
      </c>
      <c r="L143" s="18" t="str">
        <f>IFERROR(INDEX('Detalles movimientos'!N$5:N$1000, MATCH(134, 'Detalles movimientos'!$S$5:$S$1000, 0)), "")</f>
        <v/>
      </c>
      <c r="M143" s="18" t="str">
        <f>IFERROR(INDEX('Detalles movimientos'!Q$5:Q$1000, MATCH(134, 'Detalles movimientos'!$S$5:$S$1000, 0)), "")</f>
        <v/>
      </c>
    </row>
    <row r="144" spans="2:13">
      <c r="B144" s="17" t="str">
        <f>IFERROR(INDEX('Detalles movimientos'!C$5:C$1000, MATCH(135, 'Detalles movimientos'!$S$5:$S$1000, 0)), "")</f>
        <v/>
      </c>
      <c r="C144" s="18" t="str">
        <f>IFERROR(INDEX('Detalles movimientos'!D$5:D$1000, MATCH(135, 'Detalles movimientos'!$S$5:$S$1000, 0)), "")</f>
        <v/>
      </c>
      <c r="D144" s="19" t="str">
        <f>IFERROR(INDEX('Detalles movimientos'!E$5:E$1000, MATCH(135, 'Detalles movimientos'!$S$5:$S$1000, 0)), "")</f>
        <v/>
      </c>
      <c r="E144" s="19" t="str">
        <f>IFERROR(INDEX('Detalles movimientos'!F$5:F$1000, MATCH(135, 'Detalles movimientos'!$S$5:$S$1000, 0)), "")</f>
        <v/>
      </c>
      <c r="F144" s="18" t="str">
        <f>IFERROR(INDEX('Detalles movimientos'!G$5:G$1000, MATCH(135, 'Detalles movimientos'!$S$5:$S$1000, 0)), "")</f>
        <v/>
      </c>
      <c r="G144" s="20" t="str">
        <f>IFERROR(INDEX('Detalles movimientos'!H$5:H$1000, MATCH(135, 'Detalles movimientos'!$S$5:$S$1000, 0)), "")</f>
        <v/>
      </c>
      <c r="H144" s="21" t="str">
        <f>IFERROR(INDEX('Detalles movimientos'!I$5:I$1000, MATCH(135, 'Detalles movimientos'!$S$5:$S$1000, 0)), "")</f>
        <v/>
      </c>
      <c r="I144" s="20" t="str">
        <f>IFERROR(INDEX('Detalles movimientos'!K$5:K$1000, MATCH(135, 'Detalles movimientos'!$S$5:$S$1000, 0)), "")</f>
        <v/>
      </c>
      <c r="J144" s="19" t="str">
        <f>IFERROR(INDEX('Detalles movimientos'!L$5:L$1000, MATCH(135, 'Detalles movimientos'!$S$5:$S$1000, 0)), "")</f>
        <v/>
      </c>
      <c r="K144" s="20" t="str">
        <f>IFERROR(INDEX('Detalles movimientos'!M$5:M$1000, MATCH(135, 'Detalles movimientos'!$S$5:$S$1000, 0)), "")</f>
        <v/>
      </c>
      <c r="L144" s="18" t="str">
        <f>IFERROR(INDEX('Detalles movimientos'!N$5:N$1000, MATCH(135, 'Detalles movimientos'!$S$5:$S$1000, 0)), "")</f>
        <v/>
      </c>
      <c r="M144" s="18" t="str">
        <f>IFERROR(INDEX('Detalles movimientos'!Q$5:Q$1000, MATCH(135, 'Detalles movimientos'!$S$5:$S$1000, 0)), "")</f>
        <v/>
      </c>
    </row>
    <row r="145" spans="2:13">
      <c r="B145" s="17" t="str">
        <f>IFERROR(INDEX('Detalles movimientos'!C$5:C$1000, MATCH(136, 'Detalles movimientos'!$S$5:$S$1000, 0)), "")</f>
        <v/>
      </c>
      <c r="C145" s="18" t="str">
        <f>IFERROR(INDEX('Detalles movimientos'!D$5:D$1000, MATCH(136, 'Detalles movimientos'!$S$5:$S$1000, 0)), "")</f>
        <v/>
      </c>
      <c r="D145" s="19" t="str">
        <f>IFERROR(INDEX('Detalles movimientos'!E$5:E$1000, MATCH(136, 'Detalles movimientos'!$S$5:$S$1000, 0)), "")</f>
        <v/>
      </c>
      <c r="E145" s="19" t="str">
        <f>IFERROR(INDEX('Detalles movimientos'!F$5:F$1000, MATCH(136, 'Detalles movimientos'!$S$5:$S$1000, 0)), "")</f>
        <v/>
      </c>
      <c r="F145" s="18" t="str">
        <f>IFERROR(INDEX('Detalles movimientos'!G$5:G$1000, MATCH(136, 'Detalles movimientos'!$S$5:$S$1000, 0)), "")</f>
        <v/>
      </c>
      <c r="G145" s="20" t="str">
        <f>IFERROR(INDEX('Detalles movimientos'!H$5:H$1000, MATCH(136, 'Detalles movimientos'!$S$5:$S$1000, 0)), "")</f>
        <v/>
      </c>
      <c r="H145" s="21" t="str">
        <f>IFERROR(INDEX('Detalles movimientos'!I$5:I$1000, MATCH(136, 'Detalles movimientos'!$S$5:$S$1000, 0)), "")</f>
        <v/>
      </c>
      <c r="I145" s="20" t="str">
        <f>IFERROR(INDEX('Detalles movimientos'!K$5:K$1000, MATCH(136, 'Detalles movimientos'!$S$5:$S$1000, 0)), "")</f>
        <v/>
      </c>
      <c r="J145" s="19" t="str">
        <f>IFERROR(INDEX('Detalles movimientos'!L$5:L$1000, MATCH(136, 'Detalles movimientos'!$S$5:$S$1000, 0)), "")</f>
        <v/>
      </c>
      <c r="K145" s="20" t="str">
        <f>IFERROR(INDEX('Detalles movimientos'!M$5:M$1000, MATCH(136, 'Detalles movimientos'!$S$5:$S$1000, 0)), "")</f>
        <v/>
      </c>
      <c r="L145" s="18" t="str">
        <f>IFERROR(INDEX('Detalles movimientos'!N$5:N$1000, MATCH(136, 'Detalles movimientos'!$S$5:$S$1000, 0)), "")</f>
        <v/>
      </c>
      <c r="M145" s="18" t="str">
        <f>IFERROR(INDEX('Detalles movimientos'!Q$5:Q$1000, MATCH(136, 'Detalles movimientos'!$S$5:$S$1000, 0)), "")</f>
        <v/>
      </c>
    </row>
    <row r="146" spans="2:13">
      <c r="B146" s="17" t="str">
        <f>IFERROR(INDEX('Detalles movimientos'!C$5:C$1000, MATCH(137, 'Detalles movimientos'!$S$5:$S$1000, 0)), "")</f>
        <v/>
      </c>
      <c r="C146" s="18" t="str">
        <f>IFERROR(INDEX('Detalles movimientos'!D$5:D$1000, MATCH(137, 'Detalles movimientos'!$S$5:$S$1000, 0)), "")</f>
        <v/>
      </c>
      <c r="D146" s="19" t="str">
        <f>IFERROR(INDEX('Detalles movimientos'!E$5:E$1000, MATCH(137, 'Detalles movimientos'!$S$5:$S$1000, 0)), "")</f>
        <v/>
      </c>
      <c r="E146" s="19" t="str">
        <f>IFERROR(INDEX('Detalles movimientos'!F$5:F$1000, MATCH(137, 'Detalles movimientos'!$S$5:$S$1000, 0)), "")</f>
        <v/>
      </c>
      <c r="F146" s="18" t="str">
        <f>IFERROR(INDEX('Detalles movimientos'!G$5:G$1000, MATCH(137, 'Detalles movimientos'!$S$5:$S$1000, 0)), "")</f>
        <v/>
      </c>
      <c r="G146" s="20" t="str">
        <f>IFERROR(INDEX('Detalles movimientos'!H$5:H$1000, MATCH(137, 'Detalles movimientos'!$S$5:$S$1000, 0)), "")</f>
        <v/>
      </c>
      <c r="H146" s="21" t="str">
        <f>IFERROR(INDEX('Detalles movimientos'!I$5:I$1000, MATCH(137, 'Detalles movimientos'!$S$5:$S$1000, 0)), "")</f>
        <v/>
      </c>
      <c r="I146" s="20" t="str">
        <f>IFERROR(INDEX('Detalles movimientos'!K$5:K$1000, MATCH(137, 'Detalles movimientos'!$S$5:$S$1000, 0)), "")</f>
        <v/>
      </c>
      <c r="J146" s="19" t="str">
        <f>IFERROR(INDEX('Detalles movimientos'!L$5:L$1000, MATCH(137, 'Detalles movimientos'!$S$5:$S$1000, 0)), "")</f>
        <v/>
      </c>
      <c r="K146" s="20" t="str">
        <f>IFERROR(INDEX('Detalles movimientos'!M$5:M$1000, MATCH(137, 'Detalles movimientos'!$S$5:$S$1000, 0)), "")</f>
        <v/>
      </c>
      <c r="L146" s="18" t="str">
        <f>IFERROR(INDEX('Detalles movimientos'!N$5:N$1000, MATCH(137, 'Detalles movimientos'!$S$5:$S$1000, 0)), "")</f>
        <v/>
      </c>
      <c r="M146" s="18" t="str">
        <f>IFERROR(INDEX('Detalles movimientos'!Q$5:Q$1000, MATCH(137, 'Detalles movimientos'!$S$5:$S$1000, 0)), "")</f>
        <v/>
      </c>
    </row>
    <row r="147" spans="2:13">
      <c r="B147" s="17" t="str">
        <f>IFERROR(INDEX('Detalles movimientos'!C$5:C$1000, MATCH(138, 'Detalles movimientos'!$S$5:$S$1000, 0)), "")</f>
        <v/>
      </c>
      <c r="C147" s="18" t="str">
        <f>IFERROR(INDEX('Detalles movimientos'!D$5:D$1000, MATCH(138, 'Detalles movimientos'!$S$5:$S$1000, 0)), "")</f>
        <v/>
      </c>
      <c r="D147" s="19" t="str">
        <f>IFERROR(INDEX('Detalles movimientos'!E$5:E$1000, MATCH(138, 'Detalles movimientos'!$S$5:$S$1000, 0)), "")</f>
        <v/>
      </c>
      <c r="E147" s="19" t="str">
        <f>IFERROR(INDEX('Detalles movimientos'!F$5:F$1000, MATCH(138, 'Detalles movimientos'!$S$5:$S$1000, 0)), "")</f>
        <v/>
      </c>
      <c r="F147" s="18" t="str">
        <f>IFERROR(INDEX('Detalles movimientos'!G$5:G$1000, MATCH(138, 'Detalles movimientos'!$S$5:$S$1000, 0)), "")</f>
        <v/>
      </c>
      <c r="G147" s="20" t="str">
        <f>IFERROR(INDEX('Detalles movimientos'!H$5:H$1000, MATCH(138, 'Detalles movimientos'!$S$5:$S$1000, 0)), "")</f>
        <v/>
      </c>
      <c r="H147" s="21" t="str">
        <f>IFERROR(INDEX('Detalles movimientos'!I$5:I$1000, MATCH(138, 'Detalles movimientos'!$S$5:$S$1000, 0)), "")</f>
        <v/>
      </c>
      <c r="I147" s="20" t="str">
        <f>IFERROR(INDEX('Detalles movimientos'!K$5:K$1000, MATCH(138, 'Detalles movimientos'!$S$5:$S$1000, 0)), "")</f>
        <v/>
      </c>
      <c r="J147" s="19" t="str">
        <f>IFERROR(INDEX('Detalles movimientos'!L$5:L$1000, MATCH(138, 'Detalles movimientos'!$S$5:$S$1000, 0)), "")</f>
        <v/>
      </c>
      <c r="K147" s="20" t="str">
        <f>IFERROR(INDEX('Detalles movimientos'!M$5:M$1000, MATCH(138, 'Detalles movimientos'!$S$5:$S$1000, 0)), "")</f>
        <v/>
      </c>
      <c r="L147" s="18" t="str">
        <f>IFERROR(INDEX('Detalles movimientos'!N$5:N$1000, MATCH(138, 'Detalles movimientos'!$S$5:$S$1000, 0)), "")</f>
        <v/>
      </c>
      <c r="M147" s="18" t="str">
        <f>IFERROR(INDEX('Detalles movimientos'!Q$5:Q$1000, MATCH(138, 'Detalles movimientos'!$S$5:$S$1000, 0)), "")</f>
        <v/>
      </c>
    </row>
    <row r="148" spans="2:13">
      <c r="B148" s="17" t="str">
        <f>IFERROR(INDEX('Detalles movimientos'!C$5:C$1000, MATCH(139, 'Detalles movimientos'!$S$5:$S$1000, 0)), "")</f>
        <v/>
      </c>
      <c r="C148" s="18" t="str">
        <f>IFERROR(INDEX('Detalles movimientos'!D$5:D$1000, MATCH(139, 'Detalles movimientos'!$S$5:$S$1000, 0)), "")</f>
        <v/>
      </c>
      <c r="D148" s="19" t="str">
        <f>IFERROR(INDEX('Detalles movimientos'!E$5:E$1000, MATCH(139, 'Detalles movimientos'!$S$5:$S$1000, 0)), "")</f>
        <v/>
      </c>
      <c r="E148" s="19" t="str">
        <f>IFERROR(INDEX('Detalles movimientos'!F$5:F$1000, MATCH(139, 'Detalles movimientos'!$S$5:$S$1000, 0)), "")</f>
        <v/>
      </c>
      <c r="F148" s="18" t="str">
        <f>IFERROR(INDEX('Detalles movimientos'!G$5:G$1000, MATCH(139, 'Detalles movimientos'!$S$5:$S$1000, 0)), "")</f>
        <v/>
      </c>
      <c r="G148" s="20" t="str">
        <f>IFERROR(INDEX('Detalles movimientos'!H$5:H$1000, MATCH(139, 'Detalles movimientos'!$S$5:$S$1000, 0)), "")</f>
        <v/>
      </c>
      <c r="H148" s="21" t="str">
        <f>IFERROR(INDEX('Detalles movimientos'!I$5:I$1000, MATCH(139, 'Detalles movimientos'!$S$5:$S$1000, 0)), "")</f>
        <v/>
      </c>
      <c r="I148" s="20" t="str">
        <f>IFERROR(INDEX('Detalles movimientos'!K$5:K$1000, MATCH(139, 'Detalles movimientos'!$S$5:$S$1000, 0)), "")</f>
        <v/>
      </c>
      <c r="J148" s="19" t="str">
        <f>IFERROR(INDEX('Detalles movimientos'!L$5:L$1000, MATCH(139, 'Detalles movimientos'!$S$5:$S$1000, 0)), "")</f>
        <v/>
      </c>
      <c r="K148" s="20" t="str">
        <f>IFERROR(INDEX('Detalles movimientos'!M$5:M$1000, MATCH(139, 'Detalles movimientos'!$S$5:$S$1000, 0)), "")</f>
        <v/>
      </c>
      <c r="L148" s="18" t="str">
        <f>IFERROR(INDEX('Detalles movimientos'!N$5:N$1000, MATCH(139, 'Detalles movimientos'!$S$5:$S$1000, 0)), "")</f>
        <v/>
      </c>
      <c r="M148" s="18" t="str">
        <f>IFERROR(INDEX('Detalles movimientos'!Q$5:Q$1000, MATCH(139, 'Detalles movimientos'!$S$5:$S$1000, 0)), "")</f>
        <v/>
      </c>
    </row>
    <row r="149" spans="2:13">
      <c r="B149" s="17" t="str">
        <f>IFERROR(INDEX('Detalles movimientos'!C$5:C$1000, MATCH(140, 'Detalles movimientos'!$S$5:$S$1000, 0)), "")</f>
        <v/>
      </c>
      <c r="C149" s="18" t="str">
        <f>IFERROR(INDEX('Detalles movimientos'!D$5:D$1000, MATCH(140, 'Detalles movimientos'!$S$5:$S$1000, 0)), "")</f>
        <v/>
      </c>
      <c r="D149" s="19" t="str">
        <f>IFERROR(INDEX('Detalles movimientos'!E$5:E$1000, MATCH(140, 'Detalles movimientos'!$S$5:$S$1000, 0)), "")</f>
        <v/>
      </c>
      <c r="E149" s="19" t="str">
        <f>IFERROR(INDEX('Detalles movimientos'!F$5:F$1000, MATCH(140, 'Detalles movimientos'!$S$5:$S$1000, 0)), "")</f>
        <v/>
      </c>
      <c r="F149" s="18" t="str">
        <f>IFERROR(INDEX('Detalles movimientos'!G$5:G$1000, MATCH(140, 'Detalles movimientos'!$S$5:$S$1000, 0)), "")</f>
        <v/>
      </c>
      <c r="G149" s="20" t="str">
        <f>IFERROR(INDEX('Detalles movimientos'!H$5:H$1000, MATCH(140, 'Detalles movimientos'!$S$5:$S$1000, 0)), "")</f>
        <v/>
      </c>
      <c r="H149" s="21" t="str">
        <f>IFERROR(INDEX('Detalles movimientos'!I$5:I$1000, MATCH(140, 'Detalles movimientos'!$S$5:$S$1000, 0)), "")</f>
        <v/>
      </c>
      <c r="I149" s="20" t="str">
        <f>IFERROR(INDEX('Detalles movimientos'!K$5:K$1000, MATCH(140, 'Detalles movimientos'!$S$5:$S$1000, 0)), "")</f>
        <v/>
      </c>
      <c r="J149" s="19" t="str">
        <f>IFERROR(INDEX('Detalles movimientos'!L$5:L$1000, MATCH(140, 'Detalles movimientos'!$S$5:$S$1000, 0)), "")</f>
        <v/>
      </c>
      <c r="K149" s="20" t="str">
        <f>IFERROR(INDEX('Detalles movimientos'!M$5:M$1000, MATCH(140, 'Detalles movimientos'!$S$5:$S$1000, 0)), "")</f>
        <v/>
      </c>
      <c r="L149" s="18" t="str">
        <f>IFERROR(INDEX('Detalles movimientos'!N$5:N$1000, MATCH(140, 'Detalles movimientos'!$S$5:$S$1000, 0)), "")</f>
        <v/>
      </c>
      <c r="M149" s="18" t="str">
        <f>IFERROR(INDEX('Detalles movimientos'!Q$5:Q$1000, MATCH(140, 'Detalles movimientos'!$S$5:$S$1000, 0)), "")</f>
        <v/>
      </c>
    </row>
    <row r="150" spans="2:13">
      <c r="B150" s="17" t="str">
        <f>IFERROR(INDEX('Detalles movimientos'!C$5:C$1000, MATCH(141, 'Detalles movimientos'!$S$5:$S$1000, 0)), "")</f>
        <v/>
      </c>
      <c r="C150" s="18" t="str">
        <f>IFERROR(INDEX('Detalles movimientos'!D$5:D$1000, MATCH(141, 'Detalles movimientos'!$S$5:$S$1000, 0)), "")</f>
        <v/>
      </c>
      <c r="D150" s="19" t="str">
        <f>IFERROR(INDEX('Detalles movimientos'!E$5:E$1000, MATCH(141, 'Detalles movimientos'!$S$5:$S$1000, 0)), "")</f>
        <v/>
      </c>
      <c r="E150" s="19" t="str">
        <f>IFERROR(INDEX('Detalles movimientos'!F$5:F$1000, MATCH(141, 'Detalles movimientos'!$S$5:$S$1000, 0)), "")</f>
        <v/>
      </c>
      <c r="F150" s="18" t="str">
        <f>IFERROR(INDEX('Detalles movimientos'!G$5:G$1000, MATCH(141, 'Detalles movimientos'!$S$5:$S$1000, 0)), "")</f>
        <v/>
      </c>
      <c r="G150" s="20" t="str">
        <f>IFERROR(INDEX('Detalles movimientos'!H$5:H$1000, MATCH(141, 'Detalles movimientos'!$S$5:$S$1000, 0)), "")</f>
        <v/>
      </c>
      <c r="H150" s="21" t="str">
        <f>IFERROR(INDEX('Detalles movimientos'!I$5:I$1000, MATCH(141, 'Detalles movimientos'!$S$5:$S$1000, 0)), "")</f>
        <v/>
      </c>
      <c r="I150" s="20" t="str">
        <f>IFERROR(INDEX('Detalles movimientos'!K$5:K$1000, MATCH(141, 'Detalles movimientos'!$S$5:$S$1000, 0)), "")</f>
        <v/>
      </c>
      <c r="J150" s="19" t="str">
        <f>IFERROR(INDEX('Detalles movimientos'!L$5:L$1000, MATCH(141, 'Detalles movimientos'!$S$5:$S$1000, 0)), "")</f>
        <v/>
      </c>
      <c r="K150" s="20" t="str">
        <f>IFERROR(INDEX('Detalles movimientos'!M$5:M$1000, MATCH(141, 'Detalles movimientos'!$S$5:$S$1000, 0)), "")</f>
        <v/>
      </c>
      <c r="L150" s="18" t="str">
        <f>IFERROR(INDEX('Detalles movimientos'!N$5:N$1000, MATCH(141, 'Detalles movimientos'!$S$5:$S$1000, 0)), "")</f>
        <v/>
      </c>
      <c r="M150" s="18" t="str">
        <f>IFERROR(INDEX('Detalles movimientos'!Q$5:Q$1000, MATCH(141, 'Detalles movimientos'!$S$5:$S$1000, 0)), "")</f>
        <v/>
      </c>
    </row>
    <row r="151" spans="2:13">
      <c r="B151" s="17" t="str">
        <f>IFERROR(INDEX('Detalles movimientos'!C$5:C$1000, MATCH(142, 'Detalles movimientos'!$S$5:$S$1000, 0)), "")</f>
        <v/>
      </c>
      <c r="C151" s="18" t="str">
        <f>IFERROR(INDEX('Detalles movimientos'!D$5:D$1000, MATCH(142, 'Detalles movimientos'!$S$5:$S$1000, 0)), "")</f>
        <v/>
      </c>
      <c r="D151" s="19" t="str">
        <f>IFERROR(INDEX('Detalles movimientos'!E$5:E$1000, MATCH(142, 'Detalles movimientos'!$S$5:$S$1000, 0)), "")</f>
        <v/>
      </c>
      <c r="E151" s="19" t="str">
        <f>IFERROR(INDEX('Detalles movimientos'!F$5:F$1000, MATCH(142, 'Detalles movimientos'!$S$5:$S$1000, 0)), "")</f>
        <v/>
      </c>
      <c r="F151" s="18" t="str">
        <f>IFERROR(INDEX('Detalles movimientos'!G$5:G$1000, MATCH(142, 'Detalles movimientos'!$S$5:$S$1000, 0)), "")</f>
        <v/>
      </c>
      <c r="G151" s="20" t="str">
        <f>IFERROR(INDEX('Detalles movimientos'!H$5:H$1000, MATCH(142, 'Detalles movimientos'!$S$5:$S$1000, 0)), "")</f>
        <v/>
      </c>
      <c r="H151" s="21" t="str">
        <f>IFERROR(INDEX('Detalles movimientos'!I$5:I$1000, MATCH(142, 'Detalles movimientos'!$S$5:$S$1000, 0)), "")</f>
        <v/>
      </c>
      <c r="I151" s="20" t="str">
        <f>IFERROR(INDEX('Detalles movimientos'!K$5:K$1000, MATCH(142, 'Detalles movimientos'!$S$5:$S$1000, 0)), "")</f>
        <v/>
      </c>
      <c r="J151" s="19" t="str">
        <f>IFERROR(INDEX('Detalles movimientos'!L$5:L$1000, MATCH(142, 'Detalles movimientos'!$S$5:$S$1000, 0)), "")</f>
        <v/>
      </c>
      <c r="K151" s="20" t="str">
        <f>IFERROR(INDEX('Detalles movimientos'!M$5:M$1000, MATCH(142, 'Detalles movimientos'!$S$5:$S$1000, 0)), "")</f>
        <v/>
      </c>
      <c r="L151" s="18" t="str">
        <f>IFERROR(INDEX('Detalles movimientos'!N$5:N$1000, MATCH(142, 'Detalles movimientos'!$S$5:$S$1000, 0)), "")</f>
        <v/>
      </c>
      <c r="M151" s="18" t="str">
        <f>IFERROR(INDEX('Detalles movimientos'!Q$5:Q$1000, MATCH(142, 'Detalles movimientos'!$S$5:$S$1000, 0)), "")</f>
        <v/>
      </c>
    </row>
    <row r="152" spans="2:13">
      <c r="B152" s="17" t="str">
        <f>IFERROR(INDEX('Detalles movimientos'!C$5:C$1000, MATCH(143, 'Detalles movimientos'!$S$5:$S$1000, 0)), "")</f>
        <v/>
      </c>
      <c r="C152" s="18" t="str">
        <f>IFERROR(INDEX('Detalles movimientos'!D$5:D$1000, MATCH(143, 'Detalles movimientos'!$S$5:$S$1000, 0)), "")</f>
        <v/>
      </c>
      <c r="D152" s="19" t="str">
        <f>IFERROR(INDEX('Detalles movimientos'!E$5:E$1000, MATCH(143, 'Detalles movimientos'!$S$5:$S$1000, 0)), "")</f>
        <v/>
      </c>
      <c r="E152" s="19" t="str">
        <f>IFERROR(INDEX('Detalles movimientos'!F$5:F$1000, MATCH(143, 'Detalles movimientos'!$S$5:$S$1000, 0)), "")</f>
        <v/>
      </c>
      <c r="F152" s="18" t="str">
        <f>IFERROR(INDEX('Detalles movimientos'!G$5:G$1000, MATCH(143, 'Detalles movimientos'!$S$5:$S$1000, 0)), "")</f>
        <v/>
      </c>
      <c r="G152" s="20" t="str">
        <f>IFERROR(INDEX('Detalles movimientos'!H$5:H$1000, MATCH(143, 'Detalles movimientos'!$S$5:$S$1000, 0)), "")</f>
        <v/>
      </c>
      <c r="H152" s="21" t="str">
        <f>IFERROR(INDEX('Detalles movimientos'!I$5:I$1000, MATCH(143, 'Detalles movimientos'!$S$5:$S$1000, 0)), "")</f>
        <v/>
      </c>
      <c r="I152" s="20" t="str">
        <f>IFERROR(INDEX('Detalles movimientos'!K$5:K$1000, MATCH(143, 'Detalles movimientos'!$S$5:$S$1000, 0)), "")</f>
        <v/>
      </c>
      <c r="J152" s="19" t="str">
        <f>IFERROR(INDEX('Detalles movimientos'!L$5:L$1000, MATCH(143, 'Detalles movimientos'!$S$5:$S$1000, 0)), "")</f>
        <v/>
      </c>
      <c r="K152" s="20" t="str">
        <f>IFERROR(INDEX('Detalles movimientos'!M$5:M$1000, MATCH(143, 'Detalles movimientos'!$S$5:$S$1000, 0)), "")</f>
        <v/>
      </c>
      <c r="L152" s="18" t="str">
        <f>IFERROR(INDEX('Detalles movimientos'!N$5:N$1000, MATCH(143, 'Detalles movimientos'!$S$5:$S$1000, 0)), "")</f>
        <v/>
      </c>
      <c r="M152" s="18" t="str">
        <f>IFERROR(INDEX('Detalles movimientos'!Q$5:Q$1000, MATCH(143, 'Detalles movimientos'!$S$5:$S$1000, 0)), "")</f>
        <v/>
      </c>
    </row>
    <row r="153" spans="2:13">
      <c r="B153" s="17" t="str">
        <f>IFERROR(INDEX('Detalles movimientos'!C$5:C$1000, MATCH(144, 'Detalles movimientos'!$S$5:$S$1000, 0)), "")</f>
        <v/>
      </c>
      <c r="C153" s="18" t="str">
        <f>IFERROR(INDEX('Detalles movimientos'!D$5:D$1000, MATCH(144, 'Detalles movimientos'!$S$5:$S$1000, 0)), "")</f>
        <v/>
      </c>
      <c r="D153" s="19" t="str">
        <f>IFERROR(INDEX('Detalles movimientos'!E$5:E$1000, MATCH(144, 'Detalles movimientos'!$S$5:$S$1000, 0)), "")</f>
        <v/>
      </c>
      <c r="E153" s="19" t="str">
        <f>IFERROR(INDEX('Detalles movimientos'!F$5:F$1000, MATCH(144, 'Detalles movimientos'!$S$5:$S$1000, 0)), "")</f>
        <v/>
      </c>
      <c r="F153" s="18" t="str">
        <f>IFERROR(INDEX('Detalles movimientos'!G$5:G$1000, MATCH(144, 'Detalles movimientos'!$S$5:$S$1000, 0)), "")</f>
        <v/>
      </c>
      <c r="G153" s="20" t="str">
        <f>IFERROR(INDEX('Detalles movimientos'!H$5:H$1000, MATCH(144, 'Detalles movimientos'!$S$5:$S$1000, 0)), "")</f>
        <v/>
      </c>
      <c r="H153" s="21" t="str">
        <f>IFERROR(INDEX('Detalles movimientos'!I$5:I$1000, MATCH(144, 'Detalles movimientos'!$S$5:$S$1000, 0)), "")</f>
        <v/>
      </c>
      <c r="I153" s="20" t="str">
        <f>IFERROR(INDEX('Detalles movimientos'!K$5:K$1000, MATCH(144, 'Detalles movimientos'!$S$5:$S$1000, 0)), "")</f>
        <v/>
      </c>
      <c r="J153" s="19" t="str">
        <f>IFERROR(INDEX('Detalles movimientos'!L$5:L$1000, MATCH(144, 'Detalles movimientos'!$S$5:$S$1000, 0)), "")</f>
        <v/>
      </c>
      <c r="K153" s="20" t="str">
        <f>IFERROR(INDEX('Detalles movimientos'!M$5:M$1000, MATCH(144, 'Detalles movimientos'!$S$5:$S$1000, 0)), "")</f>
        <v/>
      </c>
      <c r="L153" s="18" t="str">
        <f>IFERROR(INDEX('Detalles movimientos'!N$5:N$1000, MATCH(144, 'Detalles movimientos'!$S$5:$S$1000, 0)), "")</f>
        <v/>
      </c>
      <c r="M153" s="18" t="str">
        <f>IFERROR(INDEX('Detalles movimientos'!Q$5:Q$1000, MATCH(144, 'Detalles movimientos'!$S$5:$S$1000, 0)), "")</f>
        <v/>
      </c>
    </row>
    <row r="154" spans="2:13">
      <c r="B154" s="17" t="str">
        <f>IFERROR(INDEX('Detalles movimientos'!C$5:C$1000, MATCH(145, 'Detalles movimientos'!$S$5:$S$1000, 0)), "")</f>
        <v/>
      </c>
      <c r="C154" s="18" t="str">
        <f>IFERROR(INDEX('Detalles movimientos'!D$5:D$1000, MATCH(145, 'Detalles movimientos'!$S$5:$S$1000, 0)), "")</f>
        <v/>
      </c>
      <c r="D154" s="19" t="str">
        <f>IFERROR(INDEX('Detalles movimientos'!E$5:E$1000, MATCH(145, 'Detalles movimientos'!$S$5:$S$1000, 0)), "")</f>
        <v/>
      </c>
      <c r="E154" s="19" t="str">
        <f>IFERROR(INDEX('Detalles movimientos'!F$5:F$1000, MATCH(145, 'Detalles movimientos'!$S$5:$S$1000, 0)), "")</f>
        <v/>
      </c>
      <c r="F154" s="18" t="str">
        <f>IFERROR(INDEX('Detalles movimientos'!G$5:G$1000, MATCH(145, 'Detalles movimientos'!$S$5:$S$1000, 0)), "")</f>
        <v/>
      </c>
      <c r="G154" s="20" t="str">
        <f>IFERROR(INDEX('Detalles movimientos'!H$5:H$1000, MATCH(145, 'Detalles movimientos'!$S$5:$S$1000, 0)), "")</f>
        <v/>
      </c>
      <c r="H154" s="21" t="str">
        <f>IFERROR(INDEX('Detalles movimientos'!I$5:I$1000, MATCH(145, 'Detalles movimientos'!$S$5:$S$1000, 0)), "")</f>
        <v/>
      </c>
      <c r="I154" s="20" t="str">
        <f>IFERROR(INDEX('Detalles movimientos'!K$5:K$1000, MATCH(145, 'Detalles movimientos'!$S$5:$S$1000, 0)), "")</f>
        <v/>
      </c>
      <c r="J154" s="19" t="str">
        <f>IFERROR(INDEX('Detalles movimientos'!L$5:L$1000, MATCH(145, 'Detalles movimientos'!$S$5:$S$1000, 0)), "")</f>
        <v/>
      </c>
      <c r="K154" s="20" t="str">
        <f>IFERROR(INDEX('Detalles movimientos'!M$5:M$1000, MATCH(145, 'Detalles movimientos'!$S$5:$S$1000, 0)), "")</f>
        <v/>
      </c>
      <c r="L154" s="18" t="str">
        <f>IFERROR(INDEX('Detalles movimientos'!N$5:N$1000, MATCH(145, 'Detalles movimientos'!$S$5:$S$1000, 0)), "")</f>
        <v/>
      </c>
      <c r="M154" s="18" t="str">
        <f>IFERROR(INDEX('Detalles movimientos'!Q$5:Q$1000, MATCH(145, 'Detalles movimientos'!$S$5:$S$1000, 0)), "")</f>
        <v/>
      </c>
    </row>
    <row r="155" spans="2:13">
      <c r="B155" s="17" t="str">
        <f>IFERROR(INDEX('Detalles movimientos'!C$5:C$1000, MATCH(146, 'Detalles movimientos'!$S$5:$S$1000, 0)), "")</f>
        <v/>
      </c>
      <c r="C155" s="18" t="str">
        <f>IFERROR(INDEX('Detalles movimientos'!D$5:D$1000, MATCH(146, 'Detalles movimientos'!$S$5:$S$1000, 0)), "")</f>
        <v/>
      </c>
      <c r="D155" s="19" t="str">
        <f>IFERROR(INDEX('Detalles movimientos'!E$5:E$1000, MATCH(146, 'Detalles movimientos'!$S$5:$S$1000, 0)), "")</f>
        <v/>
      </c>
      <c r="E155" s="19" t="str">
        <f>IFERROR(INDEX('Detalles movimientos'!F$5:F$1000, MATCH(146, 'Detalles movimientos'!$S$5:$S$1000, 0)), "")</f>
        <v/>
      </c>
      <c r="F155" s="18" t="str">
        <f>IFERROR(INDEX('Detalles movimientos'!G$5:G$1000, MATCH(146, 'Detalles movimientos'!$S$5:$S$1000, 0)), "")</f>
        <v/>
      </c>
      <c r="G155" s="20" t="str">
        <f>IFERROR(INDEX('Detalles movimientos'!H$5:H$1000, MATCH(146, 'Detalles movimientos'!$S$5:$S$1000, 0)), "")</f>
        <v/>
      </c>
      <c r="H155" s="21" t="str">
        <f>IFERROR(INDEX('Detalles movimientos'!I$5:I$1000, MATCH(146, 'Detalles movimientos'!$S$5:$S$1000, 0)), "")</f>
        <v/>
      </c>
      <c r="I155" s="20" t="str">
        <f>IFERROR(INDEX('Detalles movimientos'!K$5:K$1000, MATCH(146, 'Detalles movimientos'!$S$5:$S$1000, 0)), "")</f>
        <v/>
      </c>
      <c r="J155" s="19" t="str">
        <f>IFERROR(INDEX('Detalles movimientos'!L$5:L$1000, MATCH(146, 'Detalles movimientos'!$S$5:$S$1000, 0)), "")</f>
        <v/>
      </c>
      <c r="K155" s="20" t="str">
        <f>IFERROR(INDEX('Detalles movimientos'!M$5:M$1000, MATCH(146, 'Detalles movimientos'!$S$5:$S$1000, 0)), "")</f>
        <v/>
      </c>
      <c r="L155" s="18" t="str">
        <f>IFERROR(INDEX('Detalles movimientos'!N$5:N$1000, MATCH(146, 'Detalles movimientos'!$S$5:$S$1000, 0)), "")</f>
        <v/>
      </c>
      <c r="M155" s="18" t="str">
        <f>IFERROR(INDEX('Detalles movimientos'!Q$5:Q$1000, MATCH(146, 'Detalles movimientos'!$S$5:$S$1000, 0)), "")</f>
        <v/>
      </c>
    </row>
    <row r="156" spans="2:13">
      <c r="B156" s="17" t="str">
        <f>IFERROR(INDEX('Detalles movimientos'!C$5:C$1000, MATCH(147, 'Detalles movimientos'!$S$5:$S$1000, 0)), "")</f>
        <v/>
      </c>
      <c r="C156" s="18" t="str">
        <f>IFERROR(INDEX('Detalles movimientos'!D$5:D$1000, MATCH(147, 'Detalles movimientos'!$S$5:$S$1000, 0)), "")</f>
        <v/>
      </c>
      <c r="D156" s="19" t="str">
        <f>IFERROR(INDEX('Detalles movimientos'!E$5:E$1000, MATCH(147, 'Detalles movimientos'!$S$5:$S$1000, 0)), "")</f>
        <v/>
      </c>
      <c r="E156" s="19" t="str">
        <f>IFERROR(INDEX('Detalles movimientos'!F$5:F$1000, MATCH(147, 'Detalles movimientos'!$S$5:$S$1000, 0)), "")</f>
        <v/>
      </c>
      <c r="F156" s="18" t="str">
        <f>IFERROR(INDEX('Detalles movimientos'!G$5:G$1000, MATCH(147, 'Detalles movimientos'!$S$5:$S$1000, 0)), "")</f>
        <v/>
      </c>
      <c r="G156" s="20" t="str">
        <f>IFERROR(INDEX('Detalles movimientos'!H$5:H$1000, MATCH(147, 'Detalles movimientos'!$S$5:$S$1000, 0)), "")</f>
        <v/>
      </c>
      <c r="H156" s="21" t="str">
        <f>IFERROR(INDEX('Detalles movimientos'!I$5:I$1000, MATCH(147, 'Detalles movimientos'!$S$5:$S$1000, 0)), "")</f>
        <v/>
      </c>
      <c r="I156" s="20" t="str">
        <f>IFERROR(INDEX('Detalles movimientos'!K$5:K$1000, MATCH(147, 'Detalles movimientos'!$S$5:$S$1000, 0)), "")</f>
        <v/>
      </c>
      <c r="J156" s="19" t="str">
        <f>IFERROR(INDEX('Detalles movimientos'!L$5:L$1000, MATCH(147, 'Detalles movimientos'!$S$5:$S$1000, 0)), "")</f>
        <v/>
      </c>
      <c r="K156" s="20" t="str">
        <f>IFERROR(INDEX('Detalles movimientos'!M$5:M$1000, MATCH(147, 'Detalles movimientos'!$S$5:$S$1000, 0)), "")</f>
        <v/>
      </c>
      <c r="L156" s="18" t="str">
        <f>IFERROR(INDEX('Detalles movimientos'!N$5:N$1000, MATCH(147, 'Detalles movimientos'!$S$5:$S$1000, 0)), "")</f>
        <v/>
      </c>
      <c r="M156" s="18" t="str">
        <f>IFERROR(INDEX('Detalles movimientos'!Q$5:Q$1000, MATCH(147, 'Detalles movimientos'!$S$5:$S$1000, 0)), "")</f>
        <v/>
      </c>
    </row>
    <row r="157" spans="2:13">
      <c r="B157" s="17" t="str">
        <f>IFERROR(INDEX('Detalles movimientos'!C$5:C$1000, MATCH(148, 'Detalles movimientos'!$S$5:$S$1000, 0)), "")</f>
        <v/>
      </c>
      <c r="C157" s="18" t="str">
        <f>IFERROR(INDEX('Detalles movimientos'!D$5:D$1000, MATCH(148, 'Detalles movimientos'!$S$5:$S$1000, 0)), "")</f>
        <v/>
      </c>
      <c r="D157" s="19" t="str">
        <f>IFERROR(INDEX('Detalles movimientos'!E$5:E$1000, MATCH(148, 'Detalles movimientos'!$S$5:$S$1000, 0)), "")</f>
        <v/>
      </c>
      <c r="E157" s="19" t="str">
        <f>IFERROR(INDEX('Detalles movimientos'!F$5:F$1000, MATCH(148, 'Detalles movimientos'!$S$5:$S$1000, 0)), "")</f>
        <v/>
      </c>
      <c r="F157" s="18" t="str">
        <f>IFERROR(INDEX('Detalles movimientos'!G$5:G$1000, MATCH(148, 'Detalles movimientos'!$S$5:$S$1000, 0)), "")</f>
        <v/>
      </c>
      <c r="G157" s="20" t="str">
        <f>IFERROR(INDEX('Detalles movimientos'!H$5:H$1000, MATCH(148, 'Detalles movimientos'!$S$5:$S$1000, 0)), "")</f>
        <v/>
      </c>
      <c r="H157" s="21" t="str">
        <f>IFERROR(INDEX('Detalles movimientos'!I$5:I$1000, MATCH(148, 'Detalles movimientos'!$S$5:$S$1000, 0)), "")</f>
        <v/>
      </c>
      <c r="I157" s="20" t="str">
        <f>IFERROR(INDEX('Detalles movimientos'!K$5:K$1000, MATCH(148, 'Detalles movimientos'!$S$5:$S$1000, 0)), "")</f>
        <v/>
      </c>
      <c r="J157" s="19" t="str">
        <f>IFERROR(INDEX('Detalles movimientos'!L$5:L$1000, MATCH(148, 'Detalles movimientos'!$S$5:$S$1000, 0)), "")</f>
        <v/>
      </c>
      <c r="K157" s="20" t="str">
        <f>IFERROR(INDEX('Detalles movimientos'!M$5:M$1000, MATCH(148, 'Detalles movimientos'!$S$5:$S$1000, 0)), "")</f>
        <v/>
      </c>
      <c r="L157" s="18" t="str">
        <f>IFERROR(INDEX('Detalles movimientos'!N$5:N$1000, MATCH(148, 'Detalles movimientos'!$S$5:$S$1000, 0)), "")</f>
        <v/>
      </c>
      <c r="M157" s="18" t="str">
        <f>IFERROR(INDEX('Detalles movimientos'!Q$5:Q$1000, MATCH(148, 'Detalles movimientos'!$S$5:$S$1000, 0)), "")</f>
        <v/>
      </c>
    </row>
    <row r="158" spans="2:13">
      <c r="B158" s="17" t="str">
        <f>IFERROR(INDEX('Detalles movimientos'!C$5:C$1000, MATCH(149, 'Detalles movimientos'!$S$5:$S$1000, 0)), "")</f>
        <v/>
      </c>
      <c r="C158" s="18" t="str">
        <f>IFERROR(INDEX('Detalles movimientos'!D$5:D$1000, MATCH(149, 'Detalles movimientos'!$S$5:$S$1000, 0)), "")</f>
        <v/>
      </c>
      <c r="D158" s="19" t="str">
        <f>IFERROR(INDEX('Detalles movimientos'!E$5:E$1000, MATCH(149, 'Detalles movimientos'!$S$5:$S$1000, 0)), "")</f>
        <v/>
      </c>
      <c r="E158" s="19" t="str">
        <f>IFERROR(INDEX('Detalles movimientos'!F$5:F$1000, MATCH(149, 'Detalles movimientos'!$S$5:$S$1000, 0)), "")</f>
        <v/>
      </c>
      <c r="F158" s="18" t="str">
        <f>IFERROR(INDEX('Detalles movimientos'!G$5:G$1000, MATCH(149, 'Detalles movimientos'!$S$5:$S$1000, 0)), "")</f>
        <v/>
      </c>
      <c r="G158" s="20" t="str">
        <f>IFERROR(INDEX('Detalles movimientos'!H$5:H$1000, MATCH(149, 'Detalles movimientos'!$S$5:$S$1000, 0)), "")</f>
        <v/>
      </c>
      <c r="H158" s="21" t="str">
        <f>IFERROR(INDEX('Detalles movimientos'!I$5:I$1000, MATCH(149, 'Detalles movimientos'!$S$5:$S$1000, 0)), "")</f>
        <v/>
      </c>
      <c r="I158" s="20" t="str">
        <f>IFERROR(INDEX('Detalles movimientos'!K$5:K$1000, MATCH(149, 'Detalles movimientos'!$S$5:$S$1000, 0)), "")</f>
        <v/>
      </c>
      <c r="J158" s="19" t="str">
        <f>IFERROR(INDEX('Detalles movimientos'!L$5:L$1000, MATCH(149, 'Detalles movimientos'!$S$5:$S$1000, 0)), "")</f>
        <v/>
      </c>
      <c r="K158" s="20" t="str">
        <f>IFERROR(INDEX('Detalles movimientos'!M$5:M$1000, MATCH(149, 'Detalles movimientos'!$S$5:$S$1000, 0)), "")</f>
        <v/>
      </c>
      <c r="L158" s="18" t="str">
        <f>IFERROR(INDEX('Detalles movimientos'!N$5:N$1000, MATCH(149, 'Detalles movimientos'!$S$5:$S$1000, 0)), "")</f>
        <v/>
      </c>
      <c r="M158" s="18" t="str">
        <f>IFERROR(INDEX('Detalles movimientos'!Q$5:Q$1000, MATCH(149, 'Detalles movimientos'!$S$5:$S$1000,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96</v>
      </c>
    </row>
    <row r="3" spans="2:13">
      <c r="B3" s="15" t="s">
        <v>1</v>
      </c>
    </row>
    <row r="5" spans="2:13">
      <c r="B5" s="45" t="s">
        <v>2</v>
      </c>
      <c r="C5" s="46"/>
      <c r="E5" s="45" t="s">
        <v>4</v>
      </c>
      <c r="F5" s="46"/>
      <c r="H5" s="45" t="s">
        <v>5</v>
      </c>
      <c r="I5" s="46"/>
    </row>
    <row r="6" spans="2:13">
      <c r="B6" s="51">
        <f>SUMIFS('Detalles movimientos'!I$5:I$1000, 'Detalles movimientos'!F$5:F$1000, "Tripulacion")</f>
        <v>1727</v>
      </c>
      <c r="C6" s="42"/>
      <c r="E6" s="53">
        <f>SUMIFS('Detalles movimientos'!K$5:K$1000, 'Detalles movimientos'!F$5:F$1000, "Tripulacion")</f>
        <v>825000</v>
      </c>
      <c r="F6" s="42"/>
      <c r="H6" s="41">
        <f>COUNTIFS('Detalles movimientos'!F$5:F$1000, "Tripulacion")</f>
        <v>5</v>
      </c>
      <c r="I6" s="42"/>
    </row>
    <row r="7" spans="2:13">
      <c r="B7" s="43"/>
      <c r="C7" s="44"/>
      <c r="E7" s="43"/>
      <c r="F7" s="44"/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movimientos'!$T$5:$T$1000, 0)), "")</f>
        <v>46231</v>
      </c>
      <c r="C10" s="18" t="str">
        <f>IFERROR(INDEX('Detalles movimientos'!D$5:D$1000, MATCH(1, 'Detalles movimientos'!$T$5:$T$1000, 0)), "")</f>
        <v>Franco Garcia</v>
      </c>
      <c r="D10" s="19" t="str">
        <f>IFERROR(INDEX('Detalles movimientos'!E$5:E$1000, MATCH(1, 'Detalles movimientos'!$T$5:$T$1000, 0)), "")</f>
        <v>VJYL61</v>
      </c>
      <c r="E10" s="19" t="str">
        <f>IFERROR(INDEX('Detalles movimientos'!F$5:F$1000, MATCH(1, 'Detalles movimientos'!$T$5:$T$1000, 0)), "")</f>
        <v>Tripulacion</v>
      </c>
      <c r="F10" s="18" t="str">
        <f>IFERROR(INDEX('Detalles movimientos'!G$5:G$1000, MATCH(1, 'Detalles movimientos'!$T$5:$T$1000, 0)), "")</f>
        <v>Santa Rita 1177 parcela 14 Pirque</v>
      </c>
      <c r="G10" s="20">
        <f>IFERROR(INDEX('Detalles movimientos'!H$5:H$1000, MATCH(1, 'Detalles movimientos'!$T$5:$T$1000, 0)), "")</f>
        <v>0</v>
      </c>
      <c r="H10" s="21">
        <f>IFERROR(INDEX('Detalles movimientos'!I$5:I$1000, MATCH(1, 'Detalles movimientos'!$T$5:$T$1000, 0)), "")</f>
        <v>912</v>
      </c>
      <c r="I10" s="20">
        <f>IFERROR(INDEX('Detalles movimientos'!K$5:K$1000, MATCH(1, 'Detalles movimientos'!$T$5:$T$1000, 0)), "")</f>
        <v>0</v>
      </c>
      <c r="J10" s="19">
        <f>IFERROR(INDEX('Detalles movimientos'!L$5:L$1000, MATCH(1, 'Detalles movimientos'!$T$5:$T$1000, 0)), "")</f>
        <v>0</v>
      </c>
      <c r="K10" s="20" t="str">
        <f>IFERROR(INDEX('Detalles movimientos'!M$5:M$1000, MATCH(1, 'Detalles movimientos'!$T$5:$T$1000, 0)), "")</f>
        <v/>
      </c>
      <c r="L10" s="18">
        <f>IFERROR(INDEX('Detalles movimientos'!N$5:N$1000, MATCH(1, 'Detalles movimientos'!$T$5:$T$1000, 0)), "")</f>
        <v>0</v>
      </c>
      <c r="M10" s="18">
        <f>IFERROR(INDEX('Detalles movimientos'!Q$5:Q$1000, MATCH(1, 'Detalles movimientos'!$T$5:$T$1000, 0)), "")</f>
        <v>0</v>
      </c>
    </row>
    <row r="11" spans="2:13">
      <c r="B11" s="17">
        <f>IFERROR(INDEX('Detalles movimientos'!C$5:C$1000, MATCH(2, 'Detalles movimientos'!$T$5:$T$1000, 0)), "")</f>
        <v>46241</v>
      </c>
      <c r="C11" s="18" t="str">
        <f>IFERROR(INDEX('Detalles movimientos'!D$5:D$1000, MATCH(2, 'Detalles movimientos'!$T$5:$T$1000, 0)), "")</f>
        <v>Gastronomca Exquisite</v>
      </c>
      <c r="D11" s="19" t="str">
        <f>IFERROR(INDEX('Detalles movimientos'!E$5:E$1000, MATCH(2, 'Detalles movimientos'!$T$5:$T$1000, 0)), "")</f>
        <v>VJYL61</v>
      </c>
      <c r="E11" s="19" t="str">
        <f>IFERROR(INDEX('Detalles movimientos'!F$5:F$1000, MATCH(2, 'Detalles movimientos'!$T$5:$T$1000, 0)), "")</f>
        <v>Tripulacion</v>
      </c>
      <c r="F11" s="18" t="str">
        <f>IFERROR(INDEX('Detalles movimientos'!G$5:G$1000, MATCH(2, 'Detalles movimientos'!$T$5:$T$1000, 0)), "")</f>
        <v>JP Alesaandri 114 Nuñoa</v>
      </c>
      <c r="G11" s="20">
        <f>IFERROR(INDEX('Detalles movimientos'!H$5:H$1000, MATCH(2, 'Detalles movimientos'!$T$5:$T$1000, 0)), "")</f>
        <v>1000</v>
      </c>
      <c r="H11" s="21">
        <f>IFERROR(INDEX('Detalles movimientos'!I$5:I$1000, MATCH(2, 'Detalles movimientos'!$T$5:$T$1000, 0)), "")</f>
        <v>350</v>
      </c>
      <c r="I11" s="20">
        <f>IFERROR(INDEX('Detalles movimientos'!K$5:K$1000, MATCH(2, 'Detalles movimientos'!$T$5:$T$1000, 0)), "")</f>
        <v>350000</v>
      </c>
      <c r="J11" s="19" t="str">
        <f>IFERROR(INDEX('Detalles movimientos'!L$5:L$1000, MATCH(2, 'Detalles movimientos'!$T$5:$T$1000, 0)), "")</f>
        <v>Transferencia</v>
      </c>
      <c r="K11" s="20" t="str">
        <f>IFERROR(INDEX('Detalles movimientos'!M$5:M$1000, MATCH(2, 'Detalles movimientos'!$T$5:$T$1000, 0)), "")</f>
        <v/>
      </c>
      <c r="L11" s="18" t="str">
        <f>IFERROR(INDEX('Detalles movimientos'!N$5:N$1000, MATCH(2, 'Detalles movimientos'!$T$5:$T$1000, 0)), "")</f>
        <v>Factura</v>
      </c>
      <c r="M11" s="18" t="str">
        <f>IFERROR(INDEX('Detalles movimientos'!Q$5:Q$1000, MATCH(2, 'Detalles movimientos'!$T$5:$T$1000, 0)), "")</f>
        <v>Gastronomica Exquisite SpA - Rut: 77.714.318-2 - JP alessandri 114 Nuñoa</v>
      </c>
    </row>
    <row r="12" spans="2:13">
      <c r="B12" s="17">
        <f>IFERROR(INDEX('Detalles movimientos'!C$5:C$1000, MATCH(3, 'Detalles movimientos'!$T$5:$T$1000, 0)), "")</f>
        <v>46241</v>
      </c>
      <c r="C12" s="18" t="str">
        <f>IFERROR(INDEX('Detalles movimientos'!D$5:D$1000, MATCH(3, 'Detalles movimientos'!$T$5:$T$1000, 0)), "")</f>
        <v>Panaderia Maipu</v>
      </c>
      <c r="D12" s="19" t="str">
        <f>IFERROR(INDEX('Detalles movimientos'!E$5:E$1000, MATCH(3, 'Detalles movimientos'!$T$5:$T$1000, 0)), "")</f>
        <v>VJYL61</v>
      </c>
      <c r="E12" s="19" t="str">
        <f>IFERROR(INDEX('Detalles movimientos'!F$5:F$1000, MATCH(3, 'Detalles movimientos'!$T$5:$T$1000, 0)), "")</f>
        <v>Tripulacion</v>
      </c>
      <c r="F12" s="18" t="str">
        <f>IFERROR(INDEX('Detalles movimientos'!G$5:G$1000, MATCH(3, 'Detalles movimientos'!$T$5:$T$1000, 0)), "")</f>
        <v>Av los carreras 706B, plaza de los porotos</v>
      </c>
      <c r="G12" s="20">
        <f>IFERROR(INDEX('Detalles movimientos'!H$5:H$1000, MATCH(3, 'Detalles movimientos'!$T$5:$T$1000, 0)), "")</f>
        <v>1000</v>
      </c>
      <c r="H12" s="21">
        <f>IFERROR(INDEX('Detalles movimientos'!I$5:I$1000, MATCH(3, 'Detalles movimientos'!$T$5:$T$1000, 0)), "")</f>
        <v>109</v>
      </c>
      <c r="I12" s="20">
        <f>IFERROR(INDEX('Detalles movimientos'!K$5:K$1000, MATCH(3, 'Detalles movimientos'!$T$5:$T$1000, 0)), "")</f>
        <v>109000</v>
      </c>
      <c r="J12" s="19" t="str">
        <f>IFERROR(INDEX('Detalles movimientos'!L$5:L$1000, MATCH(3, 'Detalles movimientos'!$T$5:$T$1000, 0)), "")</f>
        <v>Transferencia</v>
      </c>
      <c r="K12" s="20" t="str">
        <f>IFERROR(INDEX('Detalles movimientos'!M$5:M$1000, MATCH(3, 'Detalles movimientos'!$T$5:$T$1000, 0)), "")</f>
        <v/>
      </c>
      <c r="L12" s="18">
        <f>IFERROR(INDEX('Detalles movimientos'!N$5:N$1000, MATCH(3, 'Detalles movimientos'!$T$5:$T$1000, 0)), "")</f>
        <v>0</v>
      </c>
      <c r="M12" s="18">
        <f>IFERROR(INDEX('Detalles movimientos'!Q$5:Q$1000, MATCH(3, 'Detalles movimientos'!$T$5:$T$1000, 0)), "")</f>
        <v>0</v>
      </c>
    </row>
    <row r="13" spans="2:13">
      <c r="B13" s="17">
        <f>IFERROR(INDEX('Detalles movimientos'!C$5:C$1000, MATCH(4, 'Detalles movimientos'!$T$5:$T$1000, 0)), "")</f>
        <v>46247</v>
      </c>
      <c r="C13" s="18" t="str">
        <f>IFERROR(INDEX('Detalles movimientos'!D$5:D$1000, MATCH(4, 'Detalles movimientos'!$T$5:$T$1000, 0)), "")</f>
        <v>Mister Guss SpA</v>
      </c>
      <c r="D13" s="19" t="str">
        <f>IFERROR(INDEX('Detalles movimientos'!E$5:E$1000, MATCH(4, 'Detalles movimientos'!$T$5:$T$1000, 0)), "")</f>
        <v>VJYL61</v>
      </c>
      <c r="E13" s="19" t="str">
        <f>IFERROR(INDEX('Detalles movimientos'!F$5:F$1000, MATCH(4, 'Detalles movimientos'!$T$5:$T$1000, 0)), "")</f>
        <v>Tripulacion</v>
      </c>
      <c r="F13" s="18" t="str">
        <f>IFERROR(INDEX('Detalles movimientos'!G$5:G$1000, MATCH(4, 'Detalles movimientos'!$T$5:$T$1000, 0)), "")</f>
        <v>PRIMERA TRANSVERSAL 828 PADRE HURTADO</v>
      </c>
      <c r="G13" s="20">
        <f>IFERROR(INDEX('Detalles movimientos'!H$5:H$1000, MATCH(4, 'Detalles movimientos'!$T$5:$T$1000, 0)), "")</f>
        <v>1000</v>
      </c>
      <c r="H13" s="21">
        <f>IFERROR(INDEX('Detalles movimientos'!I$5:I$1000, MATCH(4, 'Detalles movimientos'!$T$5:$T$1000, 0)), "")</f>
        <v>256</v>
      </c>
      <c r="I13" s="20">
        <f>IFERROR(INDEX('Detalles movimientos'!K$5:K$1000, MATCH(4, 'Detalles movimientos'!$T$5:$T$1000, 0)), "")</f>
        <v>256000</v>
      </c>
      <c r="J13" s="19" t="str">
        <f>IFERROR(INDEX('Detalles movimientos'!L$5:L$1000, MATCH(4, 'Detalles movimientos'!$T$5:$T$1000, 0)), "")</f>
        <v>Transferencia</v>
      </c>
      <c r="K13" s="20" t="str">
        <f>IFERROR(INDEX('Detalles movimientos'!M$5:M$1000, MATCH(4, 'Detalles movimientos'!$T$5:$T$1000, 0)), "")</f>
        <v/>
      </c>
      <c r="L13" s="18">
        <f>IFERROR(INDEX('Detalles movimientos'!N$5:N$1000, MATCH(4, 'Detalles movimientos'!$T$5:$T$1000, 0)), "")</f>
        <v>0</v>
      </c>
      <c r="M13" s="18" t="str">
        <f>IFERROR(INDEX('Detalles movimientos'!Q$5:Q$1000, MATCH(4, 'Detalles movimientos'!$T$5:$T$1000, 0)), "")</f>
        <v>MISTER GUSS SPA - RUT 78.060.801-3 - PRIMERA TRANSVERSAL 828 PADRE HURTADO - RESTOBAR</v>
      </c>
    </row>
    <row r="14" spans="2:13">
      <c r="B14" s="17">
        <f>IFERROR(INDEX('Detalles movimientos'!C$5:C$1000, MATCH(5, 'Detalles movimientos'!$T$5:$T$1000, 0)), "")</f>
        <v>46254</v>
      </c>
      <c r="C14" s="18" t="str">
        <f>IFERROR(INDEX('Detalles movimientos'!D$5:D$1000, MATCH(5, 'Detalles movimientos'!$T$5:$T$1000, 0)), "")</f>
        <v>Brasas y Sabor SpA</v>
      </c>
      <c r="D14" s="19" t="str">
        <f>IFERROR(INDEX('Detalles movimientos'!E$5:E$1000, MATCH(5, 'Detalles movimientos'!$T$5:$T$1000, 0)), "")</f>
        <v>VJYL61</v>
      </c>
      <c r="E14" s="19" t="str">
        <f>IFERROR(INDEX('Detalles movimientos'!F$5:F$1000, MATCH(5, 'Detalles movimientos'!$T$5:$T$1000, 0)), "")</f>
        <v>Tripulacion</v>
      </c>
      <c r="F14" s="18" t="str">
        <f>IFERROR(INDEX('Detalles movimientos'!G$5:G$1000, MATCH(5, 'Detalles movimientos'!$T$5:$T$1000, 0)), "")</f>
        <v>Puente Alto</v>
      </c>
      <c r="G14" s="20">
        <f>IFERROR(INDEX('Detalles movimientos'!H$5:H$1000, MATCH(5, 'Detalles movimientos'!$T$5:$T$1000, 0)), "")</f>
        <v>1100</v>
      </c>
      <c r="H14" s="21">
        <f>IFERROR(INDEX('Detalles movimientos'!I$5:I$1000, MATCH(5, 'Detalles movimientos'!$T$5:$T$1000, 0)), "")</f>
        <v>100</v>
      </c>
      <c r="I14" s="20">
        <f>IFERROR(INDEX('Detalles movimientos'!K$5:K$1000, MATCH(5, 'Detalles movimientos'!$T$5:$T$1000, 0)), "")</f>
        <v>110000</v>
      </c>
      <c r="J14" s="19" t="str">
        <f>IFERROR(INDEX('Detalles movimientos'!L$5:L$1000, MATCH(5, 'Detalles movimientos'!$T$5:$T$1000, 0)), "")</f>
        <v>Transferencia</v>
      </c>
      <c r="K14" s="20" t="str">
        <f>IFERROR(INDEX('Detalles movimientos'!M$5:M$1000, MATCH(5, 'Detalles movimientos'!$T$5:$T$1000, 0)), "")</f>
        <v/>
      </c>
      <c r="L14" s="18">
        <f>IFERROR(INDEX('Detalles movimientos'!N$5:N$1000, MATCH(5, 'Detalles movimientos'!$T$5:$T$1000, 0)), "")</f>
        <v>0</v>
      </c>
      <c r="M14" s="18">
        <f>IFERROR(INDEX('Detalles movimientos'!Q$5:Q$1000, MATCH(5, 'Detalles movimientos'!$T$5:$T$1000, 0)), "")</f>
        <v>0</v>
      </c>
    </row>
    <row r="15" spans="2:13">
      <c r="B15" s="17" t="str">
        <f>IFERROR(INDEX('Detalles movimientos'!C$5:C$1000, MATCH(6, 'Detalles movimientos'!$T$5:$T$1000, 0)), "")</f>
        <v/>
      </c>
      <c r="C15" s="18" t="str">
        <f>IFERROR(INDEX('Detalles movimientos'!D$5:D$1000, MATCH(6, 'Detalles movimientos'!$T$5:$T$1000, 0)), "")</f>
        <v/>
      </c>
      <c r="D15" s="19" t="str">
        <f>IFERROR(INDEX('Detalles movimientos'!E$5:E$1000, MATCH(6, 'Detalles movimientos'!$T$5:$T$1000, 0)), "")</f>
        <v/>
      </c>
      <c r="E15" s="19" t="str">
        <f>IFERROR(INDEX('Detalles movimientos'!F$5:F$1000, MATCH(6, 'Detalles movimientos'!$T$5:$T$1000, 0)), "")</f>
        <v/>
      </c>
      <c r="F15" s="18" t="str">
        <f>IFERROR(INDEX('Detalles movimientos'!G$5:G$1000, MATCH(6, 'Detalles movimientos'!$T$5:$T$1000, 0)), "")</f>
        <v/>
      </c>
      <c r="G15" s="20" t="str">
        <f>IFERROR(INDEX('Detalles movimientos'!H$5:H$1000, MATCH(6, 'Detalles movimientos'!$T$5:$T$1000, 0)), "")</f>
        <v/>
      </c>
      <c r="H15" s="21" t="str">
        <f>IFERROR(INDEX('Detalles movimientos'!I$5:I$1000, MATCH(6, 'Detalles movimientos'!$T$5:$T$1000, 0)), "")</f>
        <v/>
      </c>
      <c r="I15" s="20" t="str">
        <f>IFERROR(INDEX('Detalles movimientos'!K$5:K$1000, MATCH(6, 'Detalles movimientos'!$T$5:$T$1000, 0)), "")</f>
        <v/>
      </c>
      <c r="J15" s="19" t="str">
        <f>IFERROR(INDEX('Detalles movimientos'!L$5:L$1000, MATCH(6, 'Detalles movimientos'!$T$5:$T$1000, 0)), "")</f>
        <v/>
      </c>
      <c r="K15" s="20" t="str">
        <f>IFERROR(INDEX('Detalles movimientos'!M$5:M$1000, MATCH(6, 'Detalles movimientos'!$T$5:$T$1000, 0)), "")</f>
        <v/>
      </c>
      <c r="L15" s="18" t="str">
        <f>IFERROR(INDEX('Detalles movimientos'!N$5:N$1000, MATCH(6, 'Detalles movimientos'!$T$5:$T$1000, 0)), "")</f>
        <v/>
      </c>
      <c r="M15" s="18" t="str">
        <f>IFERROR(INDEX('Detalles movimientos'!Q$5:Q$1000, MATCH(6, 'Detalles movimientos'!$T$5:$T$1000, 0)), "")</f>
        <v/>
      </c>
    </row>
    <row r="16" spans="2:13">
      <c r="B16" s="17" t="str">
        <f>IFERROR(INDEX('Detalles movimientos'!C$5:C$1000, MATCH(7, 'Detalles movimientos'!$T$5:$T$1000, 0)), "")</f>
        <v/>
      </c>
      <c r="C16" s="18" t="str">
        <f>IFERROR(INDEX('Detalles movimientos'!D$5:D$1000, MATCH(7, 'Detalles movimientos'!$T$5:$T$1000, 0)), "")</f>
        <v/>
      </c>
      <c r="D16" s="19" t="str">
        <f>IFERROR(INDEX('Detalles movimientos'!E$5:E$1000, MATCH(7, 'Detalles movimientos'!$T$5:$T$1000, 0)), "")</f>
        <v/>
      </c>
      <c r="E16" s="19" t="str">
        <f>IFERROR(INDEX('Detalles movimientos'!F$5:F$1000, MATCH(7, 'Detalles movimientos'!$T$5:$T$1000, 0)), "")</f>
        <v/>
      </c>
      <c r="F16" s="18" t="str">
        <f>IFERROR(INDEX('Detalles movimientos'!G$5:G$1000, MATCH(7, 'Detalles movimientos'!$T$5:$T$1000, 0)), "")</f>
        <v/>
      </c>
      <c r="G16" s="20" t="str">
        <f>IFERROR(INDEX('Detalles movimientos'!H$5:H$1000, MATCH(7, 'Detalles movimientos'!$T$5:$T$1000, 0)), "")</f>
        <v/>
      </c>
      <c r="H16" s="21" t="str">
        <f>IFERROR(INDEX('Detalles movimientos'!I$5:I$1000, MATCH(7, 'Detalles movimientos'!$T$5:$T$1000, 0)), "")</f>
        <v/>
      </c>
      <c r="I16" s="20" t="str">
        <f>IFERROR(INDEX('Detalles movimientos'!K$5:K$1000, MATCH(7, 'Detalles movimientos'!$T$5:$T$1000, 0)), "")</f>
        <v/>
      </c>
      <c r="J16" s="19" t="str">
        <f>IFERROR(INDEX('Detalles movimientos'!L$5:L$1000, MATCH(7, 'Detalles movimientos'!$T$5:$T$1000, 0)), "")</f>
        <v/>
      </c>
      <c r="K16" s="20" t="str">
        <f>IFERROR(INDEX('Detalles movimientos'!M$5:M$1000, MATCH(7, 'Detalles movimientos'!$T$5:$T$1000, 0)), "")</f>
        <v/>
      </c>
      <c r="L16" s="18" t="str">
        <f>IFERROR(INDEX('Detalles movimientos'!N$5:N$1000, MATCH(7, 'Detalles movimientos'!$T$5:$T$1000, 0)), "")</f>
        <v/>
      </c>
      <c r="M16" s="18" t="str">
        <f>IFERROR(INDEX('Detalles movimientos'!Q$5:Q$1000, MATCH(7, 'Detalles movimientos'!$T$5:$T$1000, 0)), "")</f>
        <v/>
      </c>
    </row>
    <row r="17" spans="2:13">
      <c r="B17" s="17" t="str">
        <f>IFERROR(INDEX('Detalles movimientos'!C$5:C$1000, MATCH(8, 'Detalles movimientos'!$T$5:$T$1000, 0)), "")</f>
        <v/>
      </c>
      <c r="C17" s="18" t="str">
        <f>IFERROR(INDEX('Detalles movimientos'!D$5:D$1000, MATCH(8, 'Detalles movimientos'!$T$5:$T$1000, 0)), "")</f>
        <v/>
      </c>
      <c r="D17" s="19" t="str">
        <f>IFERROR(INDEX('Detalles movimientos'!E$5:E$1000, MATCH(8, 'Detalles movimientos'!$T$5:$T$1000, 0)), "")</f>
        <v/>
      </c>
      <c r="E17" s="19" t="str">
        <f>IFERROR(INDEX('Detalles movimientos'!F$5:F$1000, MATCH(8, 'Detalles movimientos'!$T$5:$T$1000, 0)), "")</f>
        <v/>
      </c>
      <c r="F17" s="18" t="str">
        <f>IFERROR(INDEX('Detalles movimientos'!G$5:G$1000, MATCH(8, 'Detalles movimientos'!$T$5:$T$1000, 0)), "")</f>
        <v/>
      </c>
      <c r="G17" s="20" t="str">
        <f>IFERROR(INDEX('Detalles movimientos'!H$5:H$1000, MATCH(8, 'Detalles movimientos'!$T$5:$T$1000, 0)), "")</f>
        <v/>
      </c>
      <c r="H17" s="21" t="str">
        <f>IFERROR(INDEX('Detalles movimientos'!I$5:I$1000, MATCH(8, 'Detalles movimientos'!$T$5:$T$1000, 0)), "")</f>
        <v/>
      </c>
      <c r="I17" s="20" t="str">
        <f>IFERROR(INDEX('Detalles movimientos'!K$5:K$1000, MATCH(8, 'Detalles movimientos'!$T$5:$T$1000, 0)), "")</f>
        <v/>
      </c>
      <c r="J17" s="19" t="str">
        <f>IFERROR(INDEX('Detalles movimientos'!L$5:L$1000, MATCH(8, 'Detalles movimientos'!$T$5:$T$1000, 0)), "")</f>
        <v/>
      </c>
      <c r="K17" s="20" t="str">
        <f>IFERROR(INDEX('Detalles movimientos'!M$5:M$1000, MATCH(8, 'Detalles movimientos'!$T$5:$T$1000, 0)), "")</f>
        <v/>
      </c>
      <c r="L17" s="18" t="str">
        <f>IFERROR(INDEX('Detalles movimientos'!N$5:N$1000, MATCH(8, 'Detalles movimientos'!$T$5:$T$1000, 0)), "")</f>
        <v/>
      </c>
      <c r="M17" s="18" t="str">
        <f>IFERROR(INDEX('Detalles movimientos'!Q$5:Q$1000, MATCH(8, 'Detalles movimientos'!$T$5:$T$1000, 0)), "")</f>
        <v/>
      </c>
    </row>
    <row r="18" spans="2:13">
      <c r="B18" s="17" t="str">
        <f>IFERROR(INDEX('Detalles movimientos'!C$5:C$1000, MATCH(9, 'Detalles movimientos'!$T$5:$T$1000, 0)), "")</f>
        <v/>
      </c>
      <c r="C18" s="18" t="str">
        <f>IFERROR(INDEX('Detalles movimientos'!D$5:D$1000, MATCH(9, 'Detalles movimientos'!$T$5:$T$1000, 0)), "")</f>
        <v/>
      </c>
      <c r="D18" s="19" t="str">
        <f>IFERROR(INDEX('Detalles movimientos'!E$5:E$1000, MATCH(9, 'Detalles movimientos'!$T$5:$T$1000, 0)), "")</f>
        <v/>
      </c>
      <c r="E18" s="19" t="str">
        <f>IFERROR(INDEX('Detalles movimientos'!F$5:F$1000, MATCH(9, 'Detalles movimientos'!$T$5:$T$1000, 0)), "")</f>
        <v/>
      </c>
      <c r="F18" s="18" t="str">
        <f>IFERROR(INDEX('Detalles movimientos'!G$5:G$1000, MATCH(9, 'Detalles movimientos'!$T$5:$T$1000, 0)), "")</f>
        <v/>
      </c>
      <c r="G18" s="20" t="str">
        <f>IFERROR(INDEX('Detalles movimientos'!H$5:H$1000, MATCH(9, 'Detalles movimientos'!$T$5:$T$1000, 0)), "")</f>
        <v/>
      </c>
      <c r="H18" s="21" t="str">
        <f>IFERROR(INDEX('Detalles movimientos'!I$5:I$1000, MATCH(9, 'Detalles movimientos'!$T$5:$T$1000, 0)), "")</f>
        <v/>
      </c>
      <c r="I18" s="20" t="str">
        <f>IFERROR(INDEX('Detalles movimientos'!K$5:K$1000, MATCH(9, 'Detalles movimientos'!$T$5:$T$1000, 0)), "")</f>
        <v/>
      </c>
      <c r="J18" s="19" t="str">
        <f>IFERROR(INDEX('Detalles movimientos'!L$5:L$1000, MATCH(9, 'Detalles movimientos'!$T$5:$T$1000, 0)), "")</f>
        <v/>
      </c>
      <c r="K18" s="20" t="str">
        <f>IFERROR(INDEX('Detalles movimientos'!M$5:M$1000, MATCH(9, 'Detalles movimientos'!$T$5:$T$1000, 0)), "")</f>
        <v/>
      </c>
      <c r="L18" s="18" t="str">
        <f>IFERROR(INDEX('Detalles movimientos'!N$5:N$1000, MATCH(9, 'Detalles movimientos'!$T$5:$T$1000, 0)), "")</f>
        <v/>
      </c>
      <c r="M18" s="18" t="str">
        <f>IFERROR(INDEX('Detalles movimientos'!Q$5:Q$1000, MATCH(9, 'Detalles movimientos'!$T$5:$T$1000, 0)), "")</f>
        <v/>
      </c>
    </row>
    <row r="19" spans="2:13">
      <c r="B19" s="17" t="str">
        <f>IFERROR(INDEX('Detalles movimientos'!C$5:C$1000, MATCH(10, 'Detalles movimientos'!$T$5:$T$1000, 0)), "")</f>
        <v/>
      </c>
      <c r="C19" s="18" t="str">
        <f>IFERROR(INDEX('Detalles movimientos'!D$5:D$1000, MATCH(10, 'Detalles movimientos'!$T$5:$T$1000, 0)), "")</f>
        <v/>
      </c>
      <c r="D19" s="19" t="str">
        <f>IFERROR(INDEX('Detalles movimientos'!E$5:E$1000, MATCH(10, 'Detalles movimientos'!$T$5:$T$1000, 0)), "")</f>
        <v/>
      </c>
      <c r="E19" s="19" t="str">
        <f>IFERROR(INDEX('Detalles movimientos'!F$5:F$1000, MATCH(10, 'Detalles movimientos'!$T$5:$T$1000, 0)), "")</f>
        <v/>
      </c>
      <c r="F19" s="18" t="str">
        <f>IFERROR(INDEX('Detalles movimientos'!G$5:G$1000, MATCH(10, 'Detalles movimientos'!$T$5:$T$1000, 0)), "")</f>
        <v/>
      </c>
      <c r="G19" s="20" t="str">
        <f>IFERROR(INDEX('Detalles movimientos'!H$5:H$1000, MATCH(10, 'Detalles movimientos'!$T$5:$T$1000, 0)), "")</f>
        <v/>
      </c>
      <c r="H19" s="21" t="str">
        <f>IFERROR(INDEX('Detalles movimientos'!I$5:I$1000, MATCH(10, 'Detalles movimientos'!$T$5:$T$1000, 0)), "")</f>
        <v/>
      </c>
      <c r="I19" s="20" t="str">
        <f>IFERROR(INDEX('Detalles movimientos'!K$5:K$1000, MATCH(10, 'Detalles movimientos'!$T$5:$T$1000, 0)), "")</f>
        <v/>
      </c>
      <c r="J19" s="19" t="str">
        <f>IFERROR(INDEX('Detalles movimientos'!L$5:L$1000, MATCH(10, 'Detalles movimientos'!$T$5:$T$1000, 0)), "")</f>
        <v/>
      </c>
      <c r="K19" s="20" t="str">
        <f>IFERROR(INDEX('Detalles movimientos'!M$5:M$1000, MATCH(10, 'Detalles movimientos'!$T$5:$T$1000, 0)), "")</f>
        <v/>
      </c>
      <c r="L19" s="18" t="str">
        <f>IFERROR(INDEX('Detalles movimientos'!N$5:N$1000, MATCH(10, 'Detalles movimientos'!$T$5:$T$1000, 0)), "")</f>
        <v/>
      </c>
      <c r="M19" s="18" t="str">
        <f>IFERROR(INDEX('Detalles movimientos'!Q$5:Q$1000, MATCH(10, 'Detalles movimientos'!$T$5:$T$1000, 0)), "")</f>
        <v/>
      </c>
    </row>
    <row r="20" spans="2:13">
      <c r="B20" s="17" t="str">
        <f>IFERROR(INDEX('Detalles movimientos'!C$5:C$1000, MATCH(11, 'Detalles movimientos'!$T$5:$T$1000, 0)), "")</f>
        <v/>
      </c>
      <c r="C20" s="18" t="str">
        <f>IFERROR(INDEX('Detalles movimientos'!D$5:D$1000, MATCH(11, 'Detalles movimientos'!$T$5:$T$1000, 0)), "")</f>
        <v/>
      </c>
      <c r="D20" s="19" t="str">
        <f>IFERROR(INDEX('Detalles movimientos'!E$5:E$1000, MATCH(11, 'Detalles movimientos'!$T$5:$T$1000, 0)), "")</f>
        <v/>
      </c>
      <c r="E20" s="19" t="str">
        <f>IFERROR(INDEX('Detalles movimientos'!F$5:F$1000, MATCH(11, 'Detalles movimientos'!$T$5:$T$1000, 0)), "")</f>
        <v/>
      </c>
      <c r="F20" s="18" t="str">
        <f>IFERROR(INDEX('Detalles movimientos'!G$5:G$1000, MATCH(11, 'Detalles movimientos'!$T$5:$T$1000, 0)), "")</f>
        <v/>
      </c>
      <c r="G20" s="20" t="str">
        <f>IFERROR(INDEX('Detalles movimientos'!H$5:H$1000, MATCH(11, 'Detalles movimientos'!$T$5:$T$1000, 0)), "")</f>
        <v/>
      </c>
      <c r="H20" s="21" t="str">
        <f>IFERROR(INDEX('Detalles movimientos'!I$5:I$1000, MATCH(11, 'Detalles movimientos'!$T$5:$T$1000, 0)), "")</f>
        <v/>
      </c>
      <c r="I20" s="20" t="str">
        <f>IFERROR(INDEX('Detalles movimientos'!K$5:K$1000, MATCH(11, 'Detalles movimientos'!$T$5:$T$1000, 0)), "")</f>
        <v/>
      </c>
      <c r="J20" s="19" t="str">
        <f>IFERROR(INDEX('Detalles movimientos'!L$5:L$1000, MATCH(11, 'Detalles movimientos'!$T$5:$T$1000, 0)), "")</f>
        <v/>
      </c>
      <c r="K20" s="20" t="str">
        <f>IFERROR(INDEX('Detalles movimientos'!M$5:M$1000, MATCH(11, 'Detalles movimientos'!$T$5:$T$1000, 0)), "")</f>
        <v/>
      </c>
      <c r="L20" s="18" t="str">
        <f>IFERROR(INDEX('Detalles movimientos'!N$5:N$1000, MATCH(11, 'Detalles movimientos'!$T$5:$T$1000, 0)), "")</f>
        <v/>
      </c>
      <c r="M20" s="18" t="str">
        <f>IFERROR(INDEX('Detalles movimientos'!Q$5:Q$1000, MATCH(11, 'Detalles movimientos'!$T$5:$T$1000, 0)), "")</f>
        <v/>
      </c>
    </row>
    <row r="21" spans="2:13">
      <c r="B21" s="17" t="str">
        <f>IFERROR(INDEX('Detalles movimientos'!C$5:C$1000, MATCH(12, 'Detalles movimientos'!$T$5:$T$1000, 0)), "")</f>
        <v/>
      </c>
      <c r="C21" s="18" t="str">
        <f>IFERROR(INDEX('Detalles movimientos'!D$5:D$1000, MATCH(12, 'Detalles movimientos'!$T$5:$T$1000, 0)), "")</f>
        <v/>
      </c>
      <c r="D21" s="19" t="str">
        <f>IFERROR(INDEX('Detalles movimientos'!E$5:E$1000, MATCH(12, 'Detalles movimientos'!$T$5:$T$1000, 0)), "")</f>
        <v/>
      </c>
      <c r="E21" s="19" t="str">
        <f>IFERROR(INDEX('Detalles movimientos'!F$5:F$1000, MATCH(12, 'Detalles movimientos'!$T$5:$T$1000, 0)), "")</f>
        <v/>
      </c>
      <c r="F21" s="18" t="str">
        <f>IFERROR(INDEX('Detalles movimientos'!G$5:G$1000, MATCH(12, 'Detalles movimientos'!$T$5:$T$1000, 0)), "")</f>
        <v/>
      </c>
      <c r="G21" s="20" t="str">
        <f>IFERROR(INDEX('Detalles movimientos'!H$5:H$1000, MATCH(12, 'Detalles movimientos'!$T$5:$T$1000, 0)), "")</f>
        <v/>
      </c>
      <c r="H21" s="21" t="str">
        <f>IFERROR(INDEX('Detalles movimientos'!I$5:I$1000, MATCH(12, 'Detalles movimientos'!$T$5:$T$1000, 0)), "")</f>
        <v/>
      </c>
      <c r="I21" s="20" t="str">
        <f>IFERROR(INDEX('Detalles movimientos'!K$5:K$1000, MATCH(12, 'Detalles movimientos'!$T$5:$T$1000, 0)), "")</f>
        <v/>
      </c>
      <c r="J21" s="19" t="str">
        <f>IFERROR(INDEX('Detalles movimientos'!L$5:L$1000, MATCH(12, 'Detalles movimientos'!$T$5:$T$1000, 0)), "")</f>
        <v/>
      </c>
      <c r="K21" s="20" t="str">
        <f>IFERROR(INDEX('Detalles movimientos'!M$5:M$1000, MATCH(12, 'Detalles movimientos'!$T$5:$T$1000, 0)), "")</f>
        <v/>
      </c>
      <c r="L21" s="18" t="str">
        <f>IFERROR(INDEX('Detalles movimientos'!N$5:N$1000, MATCH(12, 'Detalles movimientos'!$T$5:$T$1000, 0)), "")</f>
        <v/>
      </c>
      <c r="M21" s="18" t="str">
        <f>IFERROR(INDEX('Detalles movimientos'!Q$5:Q$1000, MATCH(12, 'Detalles movimientos'!$T$5:$T$1000, 0)), "")</f>
        <v/>
      </c>
    </row>
    <row r="22" spans="2:13">
      <c r="B22" s="17" t="str">
        <f>IFERROR(INDEX('Detalles movimientos'!C$5:C$1000, MATCH(13, 'Detalles movimientos'!$T$5:$T$1000, 0)), "")</f>
        <v/>
      </c>
      <c r="C22" s="18" t="str">
        <f>IFERROR(INDEX('Detalles movimientos'!D$5:D$1000, MATCH(13, 'Detalles movimientos'!$T$5:$T$1000, 0)), "")</f>
        <v/>
      </c>
      <c r="D22" s="19" t="str">
        <f>IFERROR(INDEX('Detalles movimientos'!E$5:E$1000, MATCH(13, 'Detalles movimientos'!$T$5:$T$1000, 0)), "")</f>
        <v/>
      </c>
      <c r="E22" s="19" t="str">
        <f>IFERROR(INDEX('Detalles movimientos'!F$5:F$1000, MATCH(13, 'Detalles movimientos'!$T$5:$T$1000, 0)), "")</f>
        <v/>
      </c>
      <c r="F22" s="18" t="str">
        <f>IFERROR(INDEX('Detalles movimientos'!G$5:G$1000, MATCH(13, 'Detalles movimientos'!$T$5:$T$1000, 0)), "")</f>
        <v/>
      </c>
      <c r="G22" s="20" t="str">
        <f>IFERROR(INDEX('Detalles movimientos'!H$5:H$1000, MATCH(13, 'Detalles movimientos'!$T$5:$T$1000, 0)), "")</f>
        <v/>
      </c>
      <c r="H22" s="21" t="str">
        <f>IFERROR(INDEX('Detalles movimientos'!I$5:I$1000, MATCH(13, 'Detalles movimientos'!$T$5:$T$1000, 0)), "")</f>
        <v/>
      </c>
      <c r="I22" s="20" t="str">
        <f>IFERROR(INDEX('Detalles movimientos'!K$5:K$1000, MATCH(13, 'Detalles movimientos'!$T$5:$T$1000, 0)), "")</f>
        <v/>
      </c>
      <c r="J22" s="19" t="str">
        <f>IFERROR(INDEX('Detalles movimientos'!L$5:L$1000, MATCH(13, 'Detalles movimientos'!$T$5:$T$1000, 0)), "")</f>
        <v/>
      </c>
      <c r="K22" s="20" t="str">
        <f>IFERROR(INDEX('Detalles movimientos'!M$5:M$1000, MATCH(13, 'Detalles movimientos'!$T$5:$T$1000, 0)), "")</f>
        <v/>
      </c>
      <c r="L22" s="18" t="str">
        <f>IFERROR(INDEX('Detalles movimientos'!N$5:N$1000, MATCH(13, 'Detalles movimientos'!$T$5:$T$1000, 0)), "")</f>
        <v/>
      </c>
      <c r="M22" s="18" t="str">
        <f>IFERROR(INDEX('Detalles movimientos'!Q$5:Q$1000, MATCH(13, 'Detalles movimientos'!$T$5:$T$1000, 0)), "")</f>
        <v/>
      </c>
    </row>
    <row r="23" spans="2:13">
      <c r="B23" s="17" t="str">
        <f>IFERROR(INDEX('Detalles movimientos'!C$5:C$1000, MATCH(14, 'Detalles movimientos'!$T$5:$T$1000, 0)), "")</f>
        <v/>
      </c>
      <c r="C23" s="18" t="str">
        <f>IFERROR(INDEX('Detalles movimientos'!D$5:D$1000, MATCH(14, 'Detalles movimientos'!$T$5:$T$1000, 0)), "")</f>
        <v/>
      </c>
      <c r="D23" s="19" t="str">
        <f>IFERROR(INDEX('Detalles movimientos'!E$5:E$1000, MATCH(14, 'Detalles movimientos'!$T$5:$T$1000, 0)), "")</f>
        <v/>
      </c>
      <c r="E23" s="19" t="str">
        <f>IFERROR(INDEX('Detalles movimientos'!F$5:F$1000, MATCH(14, 'Detalles movimientos'!$T$5:$T$1000, 0)), "")</f>
        <v/>
      </c>
      <c r="F23" s="18" t="str">
        <f>IFERROR(INDEX('Detalles movimientos'!G$5:G$1000, MATCH(14, 'Detalles movimientos'!$T$5:$T$1000, 0)), "")</f>
        <v/>
      </c>
      <c r="G23" s="20" t="str">
        <f>IFERROR(INDEX('Detalles movimientos'!H$5:H$1000, MATCH(14, 'Detalles movimientos'!$T$5:$T$1000, 0)), "")</f>
        <v/>
      </c>
      <c r="H23" s="21" t="str">
        <f>IFERROR(INDEX('Detalles movimientos'!I$5:I$1000, MATCH(14, 'Detalles movimientos'!$T$5:$T$1000, 0)), "")</f>
        <v/>
      </c>
      <c r="I23" s="20" t="str">
        <f>IFERROR(INDEX('Detalles movimientos'!K$5:K$1000, MATCH(14, 'Detalles movimientos'!$T$5:$T$1000, 0)), "")</f>
        <v/>
      </c>
      <c r="J23" s="19" t="str">
        <f>IFERROR(INDEX('Detalles movimientos'!L$5:L$1000, MATCH(14, 'Detalles movimientos'!$T$5:$T$1000, 0)), "")</f>
        <v/>
      </c>
      <c r="K23" s="20" t="str">
        <f>IFERROR(INDEX('Detalles movimientos'!M$5:M$1000, MATCH(14, 'Detalles movimientos'!$T$5:$T$1000, 0)), "")</f>
        <v/>
      </c>
      <c r="L23" s="18" t="str">
        <f>IFERROR(INDEX('Detalles movimientos'!N$5:N$1000, MATCH(14, 'Detalles movimientos'!$T$5:$T$1000, 0)), "")</f>
        <v/>
      </c>
      <c r="M23" s="18" t="str">
        <f>IFERROR(INDEX('Detalles movimientos'!Q$5:Q$1000, MATCH(14, 'Detalles movimientos'!$T$5:$T$1000, 0)), "")</f>
        <v/>
      </c>
    </row>
    <row r="24" spans="2:13">
      <c r="B24" s="17" t="str">
        <f>IFERROR(INDEX('Detalles movimientos'!C$5:C$1000, MATCH(15, 'Detalles movimientos'!$T$5:$T$1000, 0)), "")</f>
        <v/>
      </c>
      <c r="C24" s="18" t="str">
        <f>IFERROR(INDEX('Detalles movimientos'!D$5:D$1000, MATCH(15, 'Detalles movimientos'!$T$5:$T$1000, 0)), "")</f>
        <v/>
      </c>
      <c r="D24" s="19" t="str">
        <f>IFERROR(INDEX('Detalles movimientos'!E$5:E$1000, MATCH(15, 'Detalles movimientos'!$T$5:$T$1000, 0)), "")</f>
        <v/>
      </c>
      <c r="E24" s="19" t="str">
        <f>IFERROR(INDEX('Detalles movimientos'!F$5:F$1000, MATCH(15, 'Detalles movimientos'!$T$5:$T$1000, 0)), "")</f>
        <v/>
      </c>
      <c r="F24" s="18" t="str">
        <f>IFERROR(INDEX('Detalles movimientos'!G$5:G$1000, MATCH(15, 'Detalles movimientos'!$T$5:$T$1000, 0)), "")</f>
        <v/>
      </c>
      <c r="G24" s="20" t="str">
        <f>IFERROR(INDEX('Detalles movimientos'!H$5:H$1000, MATCH(15, 'Detalles movimientos'!$T$5:$T$1000, 0)), "")</f>
        <v/>
      </c>
      <c r="H24" s="21" t="str">
        <f>IFERROR(INDEX('Detalles movimientos'!I$5:I$1000, MATCH(15, 'Detalles movimientos'!$T$5:$T$1000, 0)), "")</f>
        <v/>
      </c>
      <c r="I24" s="20" t="str">
        <f>IFERROR(INDEX('Detalles movimientos'!K$5:K$1000, MATCH(15, 'Detalles movimientos'!$T$5:$T$1000, 0)), "")</f>
        <v/>
      </c>
      <c r="J24" s="19" t="str">
        <f>IFERROR(INDEX('Detalles movimientos'!L$5:L$1000, MATCH(15, 'Detalles movimientos'!$T$5:$T$1000, 0)), "")</f>
        <v/>
      </c>
      <c r="K24" s="20" t="str">
        <f>IFERROR(INDEX('Detalles movimientos'!M$5:M$1000, MATCH(15, 'Detalles movimientos'!$T$5:$T$1000, 0)), "")</f>
        <v/>
      </c>
      <c r="L24" s="18" t="str">
        <f>IFERROR(INDEX('Detalles movimientos'!N$5:N$1000, MATCH(15, 'Detalles movimientos'!$T$5:$T$1000, 0)), "")</f>
        <v/>
      </c>
      <c r="M24" s="18" t="str">
        <f>IFERROR(INDEX('Detalles movimientos'!Q$5:Q$1000, MATCH(15, 'Detalles movimientos'!$T$5:$T$1000, 0)), "")</f>
        <v/>
      </c>
    </row>
    <row r="25" spans="2:13">
      <c r="B25" s="17" t="str">
        <f>IFERROR(INDEX('Detalles movimientos'!C$5:C$1000, MATCH(16, 'Detalles movimientos'!$T$5:$T$1000, 0)), "")</f>
        <v/>
      </c>
      <c r="C25" s="18" t="str">
        <f>IFERROR(INDEX('Detalles movimientos'!D$5:D$1000, MATCH(16, 'Detalles movimientos'!$T$5:$T$1000, 0)), "")</f>
        <v/>
      </c>
      <c r="D25" s="19" t="str">
        <f>IFERROR(INDEX('Detalles movimientos'!E$5:E$1000, MATCH(16, 'Detalles movimientos'!$T$5:$T$1000, 0)), "")</f>
        <v/>
      </c>
      <c r="E25" s="19" t="str">
        <f>IFERROR(INDEX('Detalles movimientos'!F$5:F$1000, MATCH(16, 'Detalles movimientos'!$T$5:$T$1000, 0)), "")</f>
        <v/>
      </c>
      <c r="F25" s="18" t="str">
        <f>IFERROR(INDEX('Detalles movimientos'!G$5:G$1000, MATCH(16, 'Detalles movimientos'!$T$5:$T$1000, 0)), "")</f>
        <v/>
      </c>
      <c r="G25" s="20" t="str">
        <f>IFERROR(INDEX('Detalles movimientos'!H$5:H$1000, MATCH(16, 'Detalles movimientos'!$T$5:$T$1000, 0)), "")</f>
        <v/>
      </c>
      <c r="H25" s="21" t="str">
        <f>IFERROR(INDEX('Detalles movimientos'!I$5:I$1000, MATCH(16, 'Detalles movimientos'!$T$5:$T$1000, 0)), "")</f>
        <v/>
      </c>
      <c r="I25" s="20" t="str">
        <f>IFERROR(INDEX('Detalles movimientos'!K$5:K$1000, MATCH(16, 'Detalles movimientos'!$T$5:$T$1000, 0)), "")</f>
        <v/>
      </c>
      <c r="J25" s="19" t="str">
        <f>IFERROR(INDEX('Detalles movimientos'!L$5:L$1000, MATCH(16, 'Detalles movimientos'!$T$5:$T$1000, 0)), "")</f>
        <v/>
      </c>
      <c r="K25" s="20" t="str">
        <f>IFERROR(INDEX('Detalles movimientos'!M$5:M$1000, MATCH(16, 'Detalles movimientos'!$T$5:$T$1000, 0)), "")</f>
        <v/>
      </c>
      <c r="L25" s="18" t="str">
        <f>IFERROR(INDEX('Detalles movimientos'!N$5:N$1000, MATCH(16, 'Detalles movimientos'!$T$5:$T$1000, 0)), "")</f>
        <v/>
      </c>
      <c r="M25" s="18" t="str">
        <f>IFERROR(INDEX('Detalles movimientos'!Q$5:Q$1000, MATCH(16, 'Detalles movimientos'!$T$5:$T$1000, 0)), "")</f>
        <v/>
      </c>
    </row>
    <row r="26" spans="2:13">
      <c r="B26" s="17" t="str">
        <f>IFERROR(INDEX('Detalles movimientos'!C$5:C$1000, MATCH(17, 'Detalles movimientos'!$T$5:$T$1000, 0)), "")</f>
        <v/>
      </c>
      <c r="C26" s="18" t="str">
        <f>IFERROR(INDEX('Detalles movimientos'!D$5:D$1000, MATCH(17, 'Detalles movimientos'!$T$5:$T$1000, 0)), "")</f>
        <v/>
      </c>
      <c r="D26" s="19" t="str">
        <f>IFERROR(INDEX('Detalles movimientos'!E$5:E$1000, MATCH(17, 'Detalles movimientos'!$T$5:$T$1000, 0)), "")</f>
        <v/>
      </c>
      <c r="E26" s="19" t="str">
        <f>IFERROR(INDEX('Detalles movimientos'!F$5:F$1000, MATCH(17, 'Detalles movimientos'!$T$5:$T$1000, 0)), "")</f>
        <v/>
      </c>
      <c r="F26" s="18" t="str">
        <f>IFERROR(INDEX('Detalles movimientos'!G$5:G$1000, MATCH(17, 'Detalles movimientos'!$T$5:$T$1000, 0)), "")</f>
        <v/>
      </c>
      <c r="G26" s="20" t="str">
        <f>IFERROR(INDEX('Detalles movimientos'!H$5:H$1000, MATCH(17, 'Detalles movimientos'!$T$5:$T$1000, 0)), "")</f>
        <v/>
      </c>
      <c r="H26" s="21" t="str">
        <f>IFERROR(INDEX('Detalles movimientos'!I$5:I$1000, MATCH(17, 'Detalles movimientos'!$T$5:$T$1000, 0)), "")</f>
        <v/>
      </c>
      <c r="I26" s="20" t="str">
        <f>IFERROR(INDEX('Detalles movimientos'!K$5:K$1000, MATCH(17, 'Detalles movimientos'!$T$5:$T$1000, 0)), "")</f>
        <v/>
      </c>
      <c r="J26" s="19" t="str">
        <f>IFERROR(INDEX('Detalles movimientos'!L$5:L$1000, MATCH(17, 'Detalles movimientos'!$T$5:$T$1000, 0)), "")</f>
        <v/>
      </c>
      <c r="K26" s="20" t="str">
        <f>IFERROR(INDEX('Detalles movimientos'!M$5:M$1000, MATCH(17, 'Detalles movimientos'!$T$5:$T$1000, 0)), "")</f>
        <v/>
      </c>
      <c r="L26" s="18" t="str">
        <f>IFERROR(INDEX('Detalles movimientos'!N$5:N$1000, MATCH(17, 'Detalles movimientos'!$T$5:$T$1000, 0)), "")</f>
        <v/>
      </c>
      <c r="M26" s="18" t="str">
        <f>IFERROR(INDEX('Detalles movimientos'!Q$5:Q$1000, MATCH(17, 'Detalles movimientos'!$T$5:$T$1000, 0)), "")</f>
        <v/>
      </c>
    </row>
    <row r="27" spans="2:13">
      <c r="B27" s="17" t="str">
        <f>IFERROR(INDEX('Detalles movimientos'!C$5:C$1000, MATCH(18, 'Detalles movimientos'!$T$5:$T$1000, 0)), "")</f>
        <v/>
      </c>
      <c r="C27" s="18" t="str">
        <f>IFERROR(INDEX('Detalles movimientos'!D$5:D$1000, MATCH(18, 'Detalles movimientos'!$T$5:$T$1000, 0)), "")</f>
        <v/>
      </c>
      <c r="D27" s="19" t="str">
        <f>IFERROR(INDEX('Detalles movimientos'!E$5:E$1000, MATCH(18, 'Detalles movimientos'!$T$5:$T$1000, 0)), "")</f>
        <v/>
      </c>
      <c r="E27" s="19" t="str">
        <f>IFERROR(INDEX('Detalles movimientos'!F$5:F$1000, MATCH(18, 'Detalles movimientos'!$T$5:$T$1000, 0)), "")</f>
        <v/>
      </c>
      <c r="F27" s="18" t="str">
        <f>IFERROR(INDEX('Detalles movimientos'!G$5:G$1000, MATCH(18, 'Detalles movimientos'!$T$5:$T$1000, 0)), "")</f>
        <v/>
      </c>
      <c r="G27" s="20" t="str">
        <f>IFERROR(INDEX('Detalles movimientos'!H$5:H$1000, MATCH(18, 'Detalles movimientos'!$T$5:$T$1000, 0)), "")</f>
        <v/>
      </c>
      <c r="H27" s="21" t="str">
        <f>IFERROR(INDEX('Detalles movimientos'!I$5:I$1000, MATCH(18, 'Detalles movimientos'!$T$5:$T$1000, 0)), "")</f>
        <v/>
      </c>
      <c r="I27" s="20" t="str">
        <f>IFERROR(INDEX('Detalles movimientos'!K$5:K$1000, MATCH(18, 'Detalles movimientos'!$T$5:$T$1000, 0)), "")</f>
        <v/>
      </c>
      <c r="J27" s="19" t="str">
        <f>IFERROR(INDEX('Detalles movimientos'!L$5:L$1000, MATCH(18, 'Detalles movimientos'!$T$5:$T$1000, 0)), "")</f>
        <v/>
      </c>
      <c r="K27" s="20" t="str">
        <f>IFERROR(INDEX('Detalles movimientos'!M$5:M$1000, MATCH(18, 'Detalles movimientos'!$T$5:$T$1000, 0)), "")</f>
        <v/>
      </c>
      <c r="L27" s="18" t="str">
        <f>IFERROR(INDEX('Detalles movimientos'!N$5:N$1000, MATCH(18, 'Detalles movimientos'!$T$5:$T$1000, 0)), "")</f>
        <v/>
      </c>
      <c r="M27" s="18" t="str">
        <f>IFERROR(INDEX('Detalles movimientos'!Q$5:Q$1000, MATCH(18, 'Detalles movimientos'!$T$5:$T$1000, 0)), "")</f>
        <v/>
      </c>
    </row>
    <row r="28" spans="2:13">
      <c r="B28" s="17" t="str">
        <f>IFERROR(INDEX('Detalles movimientos'!C$5:C$1000, MATCH(19, 'Detalles movimientos'!$T$5:$T$1000, 0)), "")</f>
        <v/>
      </c>
      <c r="C28" s="18" t="str">
        <f>IFERROR(INDEX('Detalles movimientos'!D$5:D$1000, MATCH(19, 'Detalles movimientos'!$T$5:$T$1000, 0)), "")</f>
        <v/>
      </c>
      <c r="D28" s="19" t="str">
        <f>IFERROR(INDEX('Detalles movimientos'!E$5:E$1000, MATCH(19, 'Detalles movimientos'!$T$5:$T$1000, 0)), "")</f>
        <v/>
      </c>
      <c r="E28" s="19" t="str">
        <f>IFERROR(INDEX('Detalles movimientos'!F$5:F$1000, MATCH(19, 'Detalles movimientos'!$T$5:$T$1000, 0)), "")</f>
        <v/>
      </c>
      <c r="F28" s="18" t="str">
        <f>IFERROR(INDEX('Detalles movimientos'!G$5:G$1000, MATCH(19, 'Detalles movimientos'!$T$5:$T$1000, 0)), "")</f>
        <v/>
      </c>
      <c r="G28" s="20" t="str">
        <f>IFERROR(INDEX('Detalles movimientos'!H$5:H$1000, MATCH(19, 'Detalles movimientos'!$T$5:$T$1000, 0)), "")</f>
        <v/>
      </c>
      <c r="H28" s="21" t="str">
        <f>IFERROR(INDEX('Detalles movimientos'!I$5:I$1000, MATCH(19, 'Detalles movimientos'!$T$5:$T$1000, 0)), "")</f>
        <v/>
      </c>
      <c r="I28" s="20" t="str">
        <f>IFERROR(INDEX('Detalles movimientos'!K$5:K$1000, MATCH(19, 'Detalles movimientos'!$T$5:$T$1000, 0)), "")</f>
        <v/>
      </c>
      <c r="J28" s="19" t="str">
        <f>IFERROR(INDEX('Detalles movimientos'!L$5:L$1000, MATCH(19, 'Detalles movimientos'!$T$5:$T$1000, 0)), "")</f>
        <v/>
      </c>
      <c r="K28" s="20" t="str">
        <f>IFERROR(INDEX('Detalles movimientos'!M$5:M$1000, MATCH(19, 'Detalles movimientos'!$T$5:$T$1000, 0)), "")</f>
        <v/>
      </c>
      <c r="L28" s="18" t="str">
        <f>IFERROR(INDEX('Detalles movimientos'!N$5:N$1000, MATCH(19, 'Detalles movimientos'!$T$5:$T$1000, 0)), "")</f>
        <v/>
      </c>
      <c r="M28" s="18" t="str">
        <f>IFERROR(INDEX('Detalles movimientos'!Q$5:Q$1000, MATCH(19, 'Detalles movimientos'!$T$5:$T$1000, 0)), "")</f>
        <v/>
      </c>
    </row>
    <row r="29" spans="2:13">
      <c r="B29" s="17" t="str">
        <f>IFERROR(INDEX('Detalles movimientos'!C$5:C$1000, MATCH(20, 'Detalles movimientos'!$T$5:$T$1000, 0)), "")</f>
        <v/>
      </c>
      <c r="C29" s="18" t="str">
        <f>IFERROR(INDEX('Detalles movimientos'!D$5:D$1000, MATCH(20, 'Detalles movimientos'!$T$5:$T$1000, 0)), "")</f>
        <v/>
      </c>
      <c r="D29" s="19" t="str">
        <f>IFERROR(INDEX('Detalles movimientos'!E$5:E$1000, MATCH(20, 'Detalles movimientos'!$T$5:$T$1000, 0)), "")</f>
        <v/>
      </c>
      <c r="E29" s="19" t="str">
        <f>IFERROR(INDEX('Detalles movimientos'!F$5:F$1000, MATCH(20, 'Detalles movimientos'!$T$5:$T$1000, 0)), "")</f>
        <v/>
      </c>
      <c r="F29" s="18" t="str">
        <f>IFERROR(INDEX('Detalles movimientos'!G$5:G$1000, MATCH(20, 'Detalles movimientos'!$T$5:$T$1000, 0)), "")</f>
        <v/>
      </c>
      <c r="G29" s="20" t="str">
        <f>IFERROR(INDEX('Detalles movimientos'!H$5:H$1000, MATCH(20, 'Detalles movimientos'!$T$5:$T$1000, 0)), "")</f>
        <v/>
      </c>
      <c r="H29" s="21" t="str">
        <f>IFERROR(INDEX('Detalles movimientos'!I$5:I$1000, MATCH(20, 'Detalles movimientos'!$T$5:$T$1000, 0)), "")</f>
        <v/>
      </c>
      <c r="I29" s="20" t="str">
        <f>IFERROR(INDEX('Detalles movimientos'!K$5:K$1000, MATCH(20, 'Detalles movimientos'!$T$5:$T$1000, 0)), "")</f>
        <v/>
      </c>
      <c r="J29" s="19" t="str">
        <f>IFERROR(INDEX('Detalles movimientos'!L$5:L$1000, MATCH(20, 'Detalles movimientos'!$T$5:$T$1000, 0)), "")</f>
        <v/>
      </c>
      <c r="K29" s="20" t="str">
        <f>IFERROR(INDEX('Detalles movimientos'!M$5:M$1000, MATCH(20, 'Detalles movimientos'!$T$5:$T$1000, 0)), "")</f>
        <v/>
      </c>
      <c r="L29" s="18" t="str">
        <f>IFERROR(INDEX('Detalles movimientos'!N$5:N$1000, MATCH(20, 'Detalles movimientos'!$T$5:$T$1000, 0)), "")</f>
        <v/>
      </c>
      <c r="M29" s="18" t="str">
        <f>IFERROR(INDEX('Detalles movimientos'!Q$5:Q$1000, MATCH(20, 'Detalles movimientos'!$T$5:$T$1000, 0)), "")</f>
        <v/>
      </c>
    </row>
    <row r="30" spans="2:13">
      <c r="B30" s="17" t="str">
        <f>IFERROR(INDEX('Detalles movimientos'!C$5:C$1000, MATCH(21, 'Detalles movimientos'!$T$5:$T$1000, 0)), "")</f>
        <v/>
      </c>
      <c r="C30" s="18" t="str">
        <f>IFERROR(INDEX('Detalles movimientos'!D$5:D$1000, MATCH(21, 'Detalles movimientos'!$T$5:$T$1000, 0)), "")</f>
        <v/>
      </c>
      <c r="D30" s="19" t="str">
        <f>IFERROR(INDEX('Detalles movimientos'!E$5:E$1000, MATCH(21, 'Detalles movimientos'!$T$5:$T$1000, 0)), "")</f>
        <v/>
      </c>
      <c r="E30" s="19" t="str">
        <f>IFERROR(INDEX('Detalles movimientos'!F$5:F$1000, MATCH(21, 'Detalles movimientos'!$T$5:$T$1000, 0)), "")</f>
        <v/>
      </c>
      <c r="F30" s="18" t="str">
        <f>IFERROR(INDEX('Detalles movimientos'!G$5:G$1000, MATCH(21, 'Detalles movimientos'!$T$5:$T$1000, 0)), "")</f>
        <v/>
      </c>
      <c r="G30" s="20" t="str">
        <f>IFERROR(INDEX('Detalles movimientos'!H$5:H$1000, MATCH(21, 'Detalles movimientos'!$T$5:$T$1000, 0)), "")</f>
        <v/>
      </c>
      <c r="H30" s="21" t="str">
        <f>IFERROR(INDEX('Detalles movimientos'!I$5:I$1000, MATCH(21, 'Detalles movimientos'!$T$5:$T$1000, 0)), "")</f>
        <v/>
      </c>
      <c r="I30" s="20" t="str">
        <f>IFERROR(INDEX('Detalles movimientos'!K$5:K$1000, MATCH(21, 'Detalles movimientos'!$T$5:$T$1000, 0)), "")</f>
        <v/>
      </c>
      <c r="J30" s="19" t="str">
        <f>IFERROR(INDEX('Detalles movimientos'!L$5:L$1000, MATCH(21, 'Detalles movimientos'!$T$5:$T$1000, 0)), "")</f>
        <v/>
      </c>
      <c r="K30" s="20" t="str">
        <f>IFERROR(INDEX('Detalles movimientos'!M$5:M$1000, MATCH(21, 'Detalles movimientos'!$T$5:$T$1000, 0)), "")</f>
        <v/>
      </c>
      <c r="L30" s="18" t="str">
        <f>IFERROR(INDEX('Detalles movimientos'!N$5:N$1000, MATCH(21, 'Detalles movimientos'!$T$5:$T$1000, 0)), "")</f>
        <v/>
      </c>
      <c r="M30" s="18" t="str">
        <f>IFERROR(INDEX('Detalles movimientos'!Q$5:Q$1000, MATCH(21, 'Detalles movimientos'!$T$5:$T$1000, 0)), "")</f>
        <v/>
      </c>
    </row>
    <row r="31" spans="2:13">
      <c r="B31" s="17" t="str">
        <f>IFERROR(INDEX('Detalles movimientos'!C$5:C$1000, MATCH(22, 'Detalles movimientos'!$T$5:$T$1000, 0)), "")</f>
        <v/>
      </c>
      <c r="C31" s="18" t="str">
        <f>IFERROR(INDEX('Detalles movimientos'!D$5:D$1000, MATCH(22, 'Detalles movimientos'!$T$5:$T$1000, 0)), "")</f>
        <v/>
      </c>
      <c r="D31" s="19" t="str">
        <f>IFERROR(INDEX('Detalles movimientos'!E$5:E$1000, MATCH(22, 'Detalles movimientos'!$T$5:$T$1000, 0)), "")</f>
        <v/>
      </c>
      <c r="E31" s="19" t="str">
        <f>IFERROR(INDEX('Detalles movimientos'!F$5:F$1000, MATCH(22, 'Detalles movimientos'!$T$5:$T$1000, 0)), "")</f>
        <v/>
      </c>
      <c r="F31" s="18" t="str">
        <f>IFERROR(INDEX('Detalles movimientos'!G$5:G$1000, MATCH(22, 'Detalles movimientos'!$T$5:$T$1000, 0)), "")</f>
        <v/>
      </c>
      <c r="G31" s="20" t="str">
        <f>IFERROR(INDEX('Detalles movimientos'!H$5:H$1000, MATCH(22, 'Detalles movimientos'!$T$5:$T$1000, 0)), "")</f>
        <v/>
      </c>
      <c r="H31" s="21" t="str">
        <f>IFERROR(INDEX('Detalles movimientos'!I$5:I$1000, MATCH(22, 'Detalles movimientos'!$T$5:$T$1000, 0)), "")</f>
        <v/>
      </c>
      <c r="I31" s="20" t="str">
        <f>IFERROR(INDEX('Detalles movimientos'!K$5:K$1000, MATCH(22, 'Detalles movimientos'!$T$5:$T$1000, 0)), "")</f>
        <v/>
      </c>
      <c r="J31" s="19" t="str">
        <f>IFERROR(INDEX('Detalles movimientos'!L$5:L$1000, MATCH(22, 'Detalles movimientos'!$T$5:$T$1000, 0)), "")</f>
        <v/>
      </c>
      <c r="K31" s="20" t="str">
        <f>IFERROR(INDEX('Detalles movimientos'!M$5:M$1000, MATCH(22, 'Detalles movimientos'!$T$5:$T$1000, 0)), "")</f>
        <v/>
      </c>
      <c r="L31" s="18" t="str">
        <f>IFERROR(INDEX('Detalles movimientos'!N$5:N$1000, MATCH(22, 'Detalles movimientos'!$T$5:$T$1000, 0)), "")</f>
        <v/>
      </c>
      <c r="M31" s="18" t="str">
        <f>IFERROR(INDEX('Detalles movimientos'!Q$5:Q$1000, MATCH(22, 'Detalles movimientos'!$T$5:$T$1000, 0)), "")</f>
        <v/>
      </c>
    </row>
    <row r="32" spans="2:13">
      <c r="B32" s="17" t="str">
        <f>IFERROR(INDEX('Detalles movimientos'!C$5:C$1000, MATCH(23, 'Detalles movimientos'!$T$5:$T$1000, 0)), "")</f>
        <v/>
      </c>
      <c r="C32" s="18" t="str">
        <f>IFERROR(INDEX('Detalles movimientos'!D$5:D$1000, MATCH(23, 'Detalles movimientos'!$T$5:$T$1000, 0)), "")</f>
        <v/>
      </c>
      <c r="D32" s="19" t="str">
        <f>IFERROR(INDEX('Detalles movimientos'!E$5:E$1000, MATCH(23, 'Detalles movimientos'!$T$5:$T$1000, 0)), "")</f>
        <v/>
      </c>
      <c r="E32" s="19" t="str">
        <f>IFERROR(INDEX('Detalles movimientos'!F$5:F$1000, MATCH(23, 'Detalles movimientos'!$T$5:$T$1000, 0)), "")</f>
        <v/>
      </c>
      <c r="F32" s="18" t="str">
        <f>IFERROR(INDEX('Detalles movimientos'!G$5:G$1000, MATCH(23, 'Detalles movimientos'!$T$5:$T$1000, 0)), "")</f>
        <v/>
      </c>
      <c r="G32" s="20" t="str">
        <f>IFERROR(INDEX('Detalles movimientos'!H$5:H$1000, MATCH(23, 'Detalles movimientos'!$T$5:$T$1000, 0)), "")</f>
        <v/>
      </c>
      <c r="H32" s="21" t="str">
        <f>IFERROR(INDEX('Detalles movimientos'!I$5:I$1000, MATCH(23, 'Detalles movimientos'!$T$5:$T$1000, 0)), "")</f>
        <v/>
      </c>
      <c r="I32" s="20" t="str">
        <f>IFERROR(INDEX('Detalles movimientos'!K$5:K$1000, MATCH(23, 'Detalles movimientos'!$T$5:$T$1000, 0)), "")</f>
        <v/>
      </c>
      <c r="J32" s="19" t="str">
        <f>IFERROR(INDEX('Detalles movimientos'!L$5:L$1000, MATCH(23, 'Detalles movimientos'!$T$5:$T$1000, 0)), "")</f>
        <v/>
      </c>
      <c r="K32" s="20" t="str">
        <f>IFERROR(INDEX('Detalles movimientos'!M$5:M$1000, MATCH(23, 'Detalles movimientos'!$T$5:$T$1000, 0)), "")</f>
        <v/>
      </c>
      <c r="L32" s="18" t="str">
        <f>IFERROR(INDEX('Detalles movimientos'!N$5:N$1000, MATCH(23, 'Detalles movimientos'!$T$5:$T$1000, 0)), "")</f>
        <v/>
      </c>
      <c r="M32" s="18" t="str">
        <f>IFERROR(INDEX('Detalles movimientos'!Q$5:Q$1000, MATCH(23, 'Detalles movimientos'!$T$5:$T$1000, 0)), "")</f>
        <v/>
      </c>
    </row>
    <row r="33" spans="2:13">
      <c r="B33" s="17" t="str">
        <f>IFERROR(INDEX('Detalles movimientos'!C$5:C$1000, MATCH(24, 'Detalles movimientos'!$T$5:$T$1000, 0)), "")</f>
        <v/>
      </c>
      <c r="C33" s="18" t="str">
        <f>IFERROR(INDEX('Detalles movimientos'!D$5:D$1000, MATCH(24, 'Detalles movimientos'!$T$5:$T$1000, 0)), "")</f>
        <v/>
      </c>
      <c r="D33" s="19" t="str">
        <f>IFERROR(INDEX('Detalles movimientos'!E$5:E$1000, MATCH(24, 'Detalles movimientos'!$T$5:$T$1000, 0)), "")</f>
        <v/>
      </c>
      <c r="E33" s="19" t="str">
        <f>IFERROR(INDEX('Detalles movimientos'!F$5:F$1000, MATCH(24, 'Detalles movimientos'!$T$5:$T$1000, 0)), "")</f>
        <v/>
      </c>
      <c r="F33" s="18" t="str">
        <f>IFERROR(INDEX('Detalles movimientos'!G$5:G$1000, MATCH(24, 'Detalles movimientos'!$T$5:$T$1000, 0)), "")</f>
        <v/>
      </c>
      <c r="G33" s="20" t="str">
        <f>IFERROR(INDEX('Detalles movimientos'!H$5:H$1000, MATCH(24, 'Detalles movimientos'!$T$5:$T$1000, 0)), "")</f>
        <v/>
      </c>
      <c r="H33" s="21" t="str">
        <f>IFERROR(INDEX('Detalles movimientos'!I$5:I$1000, MATCH(24, 'Detalles movimientos'!$T$5:$T$1000, 0)), "")</f>
        <v/>
      </c>
      <c r="I33" s="20" t="str">
        <f>IFERROR(INDEX('Detalles movimientos'!K$5:K$1000, MATCH(24, 'Detalles movimientos'!$T$5:$T$1000, 0)), "")</f>
        <v/>
      </c>
      <c r="J33" s="19" t="str">
        <f>IFERROR(INDEX('Detalles movimientos'!L$5:L$1000, MATCH(24, 'Detalles movimientos'!$T$5:$T$1000, 0)), "")</f>
        <v/>
      </c>
      <c r="K33" s="20" t="str">
        <f>IFERROR(INDEX('Detalles movimientos'!M$5:M$1000, MATCH(24, 'Detalles movimientos'!$T$5:$T$1000, 0)), "")</f>
        <v/>
      </c>
      <c r="L33" s="18" t="str">
        <f>IFERROR(INDEX('Detalles movimientos'!N$5:N$1000, MATCH(24, 'Detalles movimientos'!$T$5:$T$1000, 0)), "")</f>
        <v/>
      </c>
      <c r="M33" s="18" t="str">
        <f>IFERROR(INDEX('Detalles movimientos'!Q$5:Q$1000, MATCH(24, 'Detalles movimientos'!$T$5:$T$1000, 0)), "")</f>
        <v/>
      </c>
    </row>
    <row r="34" spans="2:13">
      <c r="B34" s="17" t="str">
        <f>IFERROR(INDEX('Detalles movimientos'!C$5:C$1000, MATCH(25, 'Detalles movimientos'!$T$5:$T$1000, 0)), "")</f>
        <v/>
      </c>
      <c r="C34" s="18" t="str">
        <f>IFERROR(INDEX('Detalles movimientos'!D$5:D$1000, MATCH(25, 'Detalles movimientos'!$T$5:$T$1000, 0)), "")</f>
        <v/>
      </c>
      <c r="D34" s="19" t="str">
        <f>IFERROR(INDEX('Detalles movimientos'!E$5:E$1000, MATCH(25, 'Detalles movimientos'!$T$5:$T$1000, 0)), "")</f>
        <v/>
      </c>
      <c r="E34" s="19" t="str">
        <f>IFERROR(INDEX('Detalles movimientos'!F$5:F$1000, MATCH(25, 'Detalles movimientos'!$T$5:$T$1000, 0)), "")</f>
        <v/>
      </c>
      <c r="F34" s="18" t="str">
        <f>IFERROR(INDEX('Detalles movimientos'!G$5:G$1000, MATCH(25, 'Detalles movimientos'!$T$5:$T$1000, 0)), "")</f>
        <v/>
      </c>
      <c r="G34" s="20" t="str">
        <f>IFERROR(INDEX('Detalles movimientos'!H$5:H$1000, MATCH(25, 'Detalles movimientos'!$T$5:$T$1000, 0)), "")</f>
        <v/>
      </c>
      <c r="H34" s="21" t="str">
        <f>IFERROR(INDEX('Detalles movimientos'!I$5:I$1000, MATCH(25, 'Detalles movimientos'!$T$5:$T$1000, 0)), "")</f>
        <v/>
      </c>
      <c r="I34" s="20" t="str">
        <f>IFERROR(INDEX('Detalles movimientos'!K$5:K$1000, MATCH(25, 'Detalles movimientos'!$T$5:$T$1000, 0)), "")</f>
        <v/>
      </c>
      <c r="J34" s="19" t="str">
        <f>IFERROR(INDEX('Detalles movimientos'!L$5:L$1000, MATCH(25, 'Detalles movimientos'!$T$5:$T$1000, 0)), "")</f>
        <v/>
      </c>
      <c r="K34" s="20" t="str">
        <f>IFERROR(INDEX('Detalles movimientos'!M$5:M$1000, MATCH(25, 'Detalles movimientos'!$T$5:$T$1000, 0)), "")</f>
        <v/>
      </c>
      <c r="L34" s="18" t="str">
        <f>IFERROR(INDEX('Detalles movimientos'!N$5:N$1000, MATCH(25, 'Detalles movimientos'!$T$5:$T$1000, 0)), "")</f>
        <v/>
      </c>
      <c r="M34" s="18" t="str">
        <f>IFERROR(INDEX('Detalles movimientos'!Q$5:Q$1000, MATCH(25, 'Detalles movimientos'!$T$5:$T$1000, 0)), "")</f>
        <v/>
      </c>
    </row>
    <row r="35" spans="2:13">
      <c r="B35" s="17" t="str">
        <f>IFERROR(INDEX('Detalles movimientos'!C$5:C$1000, MATCH(26, 'Detalles movimientos'!$T$5:$T$1000, 0)), "")</f>
        <v/>
      </c>
      <c r="C35" s="18" t="str">
        <f>IFERROR(INDEX('Detalles movimientos'!D$5:D$1000, MATCH(26, 'Detalles movimientos'!$T$5:$T$1000, 0)), "")</f>
        <v/>
      </c>
      <c r="D35" s="19" t="str">
        <f>IFERROR(INDEX('Detalles movimientos'!E$5:E$1000, MATCH(26, 'Detalles movimientos'!$T$5:$T$1000, 0)), "")</f>
        <v/>
      </c>
      <c r="E35" s="19" t="str">
        <f>IFERROR(INDEX('Detalles movimientos'!F$5:F$1000, MATCH(26, 'Detalles movimientos'!$T$5:$T$1000, 0)), "")</f>
        <v/>
      </c>
      <c r="F35" s="18" t="str">
        <f>IFERROR(INDEX('Detalles movimientos'!G$5:G$1000, MATCH(26, 'Detalles movimientos'!$T$5:$T$1000, 0)), "")</f>
        <v/>
      </c>
      <c r="G35" s="20" t="str">
        <f>IFERROR(INDEX('Detalles movimientos'!H$5:H$1000, MATCH(26, 'Detalles movimientos'!$T$5:$T$1000, 0)), "")</f>
        <v/>
      </c>
      <c r="H35" s="21" t="str">
        <f>IFERROR(INDEX('Detalles movimientos'!I$5:I$1000, MATCH(26, 'Detalles movimientos'!$T$5:$T$1000, 0)), "")</f>
        <v/>
      </c>
      <c r="I35" s="20" t="str">
        <f>IFERROR(INDEX('Detalles movimientos'!K$5:K$1000, MATCH(26, 'Detalles movimientos'!$T$5:$T$1000, 0)), "")</f>
        <v/>
      </c>
      <c r="J35" s="19" t="str">
        <f>IFERROR(INDEX('Detalles movimientos'!L$5:L$1000, MATCH(26, 'Detalles movimientos'!$T$5:$T$1000, 0)), "")</f>
        <v/>
      </c>
      <c r="K35" s="20" t="str">
        <f>IFERROR(INDEX('Detalles movimientos'!M$5:M$1000, MATCH(26, 'Detalles movimientos'!$T$5:$T$1000, 0)), "")</f>
        <v/>
      </c>
      <c r="L35" s="18" t="str">
        <f>IFERROR(INDEX('Detalles movimientos'!N$5:N$1000, MATCH(26, 'Detalles movimientos'!$T$5:$T$1000, 0)), "")</f>
        <v/>
      </c>
      <c r="M35" s="18" t="str">
        <f>IFERROR(INDEX('Detalles movimientos'!Q$5:Q$1000, MATCH(26, 'Detalles movimientos'!$T$5:$T$1000, 0)), "")</f>
        <v/>
      </c>
    </row>
    <row r="36" spans="2:13">
      <c r="B36" s="17" t="str">
        <f>IFERROR(INDEX('Detalles movimientos'!C$5:C$1000, MATCH(27, 'Detalles movimientos'!$T$5:$T$1000, 0)), "")</f>
        <v/>
      </c>
      <c r="C36" s="18" t="str">
        <f>IFERROR(INDEX('Detalles movimientos'!D$5:D$1000, MATCH(27, 'Detalles movimientos'!$T$5:$T$1000, 0)), "")</f>
        <v/>
      </c>
      <c r="D36" s="19" t="str">
        <f>IFERROR(INDEX('Detalles movimientos'!E$5:E$1000, MATCH(27, 'Detalles movimientos'!$T$5:$T$1000, 0)), "")</f>
        <v/>
      </c>
      <c r="E36" s="19" t="str">
        <f>IFERROR(INDEX('Detalles movimientos'!F$5:F$1000, MATCH(27, 'Detalles movimientos'!$T$5:$T$1000, 0)), "")</f>
        <v/>
      </c>
      <c r="F36" s="18" t="str">
        <f>IFERROR(INDEX('Detalles movimientos'!G$5:G$1000, MATCH(27, 'Detalles movimientos'!$T$5:$T$1000, 0)), "")</f>
        <v/>
      </c>
      <c r="G36" s="20" t="str">
        <f>IFERROR(INDEX('Detalles movimientos'!H$5:H$1000, MATCH(27, 'Detalles movimientos'!$T$5:$T$1000, 0)), "")</f>
        <v/>
      </c>
      <c r="H36" s="21" t="str">
        <f>IFERROR(INDEX('Detalles movimientos'!I$5:I$1000, MATCH(27, 'Detalles movimientos'!$T$5:$T$1000, 0)), "")</f>
        <v/>
      </c>
      <c r="I36" s="20" t="str">
        <f>IFERROR(INDEX('Detalles movimientos'!K$5:K$1000, MATCH(27, 'Detalles movimientos'!$T$5:$T$1000, 0)), "")</f>
        <v/>
      </c>
      <c r="J36" s="19" t="str">
        <f>IFERROR(INDEX('Detalles movimientos'!L$5:L$1000, MATCH(27, 'Detalles movimientos'!$T$5:$T$1000, 0)), "")</f>
        <v/>
      </c>
      <c r="K36" s="20" t="str">
        <f>IFERROR(INDEX('Detalles movimientos'!M$5:M$1000, MATCH(27, 'Detalles movimientos'!$T$5:$T$1000, 0)), "")</f>
        <v/>
      </c>
      <c r="L36" s="18" t="str">
        <f>IFERROR(INDEX('Detalles movimientos'!N$5:N$1000, MATCH(27, 'Detalles movimientos'!$T$5:$T$1000, 0)), "")</f>
        <v/>
      </c>
      <c r="M36" s="18" t="str">
        <f>IFERROR(INDEX('Detalles movimientos'!Q$5:Q$1000, MATCH(27, 'Detalles movimientos'!$T$5:$T$1000, 0)), "")</f>
        <v/>
      </c>
    </row>
    <row r="37" spans="2:13">
      <c r="B37" s="17" t="str">
        <f>IFERROR(INDEX('Detalles movimientos'!C$5:C$1000, MATCH(28, 'Detalles movimientos'!$T$5:$T$1000, 0)), "")</f>
        <v/>
      </c>
      <c r="C37" s="18" t="str">
        <f>IFERROR(INDEX('Detalles movimientos'!D$5:D$1000, MATCH(28, 'Detalles movimientos'!$T$5:$T$1000, 0)), "")</f>
        <v/>
      </c>
      <c r="D37" s="19" t="str">
        <f>IFERROR(INDEX('Detalles movimientos'!E$5:E$1000, MATCH(28, 'Detalles movimientos'!$T$5:$T$1000, 0)), "")</f>
        <v/>
      </c>
      <c r="E37" s="19" t="str">
        <f>IFERROR(INDEX('Detalles movimientos'!F$5:F$1000, MATCH(28, 'Detalles movimientos'!$T$5:$T$1000, 0)), "")</f>
        <v/>
      </c>
      <c r="F37" s="18" t="str">
        <f>IFERROR(INDEX('Detalles movimientos'!G$5:G$1000, MATCH(28, 'Detalles movimientos'!$T$5:$T$1000, 0)), "")</f>
        <v/>
      </c>
      <c r="G37" s="20" t="str">
        <f>IFERROR(INDEX('Detalles movimientos'!H$5:H$1000, MATCH(28, 'Detalles movimientos'!$T$5:$T$1000, 0)), "")</f>
        <v/>
      </c>
      <c r="H37" s="21" t="str">
        <f>IFERROR(INDEX('Detalles movimientos'!I$5:I$1000, MATCH(28, 'Detalles movimientos'!$T$5:$T$1000, 0)), "")</f>
        <v/>
      </c>
      <c r="I37" s="20" t="str">
        <f>IFERROR(INDEX('Detalles movimientos'!K$5:K$1000, MATCH(28, 'Detalles movimientos'!$T$5:$T$1000, 0)), "")</f>
        <v/>
      </c>
      <c r="J37" s="19" t="str">
        <f>IFERROR(INDEX('Detalles movimientos'!L$5:L$1000, MATCH(28, 'Detalles movimientos'!$T$5:$T$1000, 0)), "")</f>
        <v/>
      </c>
      <c r="K37" s="20" t="str">
        <f>IFERROR(INDEX('Detalles movimientos'!M$5:M$1000, MATCH(28, 'Detalles movimientos'!$T$5:$T$1000, 0)), "")</f>
        <v/>
      </c>
      <c r="L37" s="18" t="str">
        <f>IFERROR(INDEX('Detalles movimientos'!N$5:N$1000, MATCH(28, 'Detalles movimientos'!$T$5:$T$1000, 0)), "")</f>
        <v/>
      </c>
      <c r="M37" s="18" t="str">
        <f>IFERROR(INDEX('Detalles movimientos'!Q$5:Q$1000, MATCH(28, 'Detalles movimientos'!$T$5:$T$1000, 0)), "")</f>
        <v/>
      </c>
    </row>
    <row r="38" spans="2:13">
      <c r="B38" s="17" t="str">
        <f>IFERROR(INDEX('Detalles movimientos'!C$5:C$1000, MATCH(29, 'Detalles movimientos'!$T$5:$T$1000, 0)), "")</f>
        <v/>
      </c>
      <c r="C38" s="18" t="str">
        <f>IFERROR(INDEX('Detalles movimientos'!D$5:D$1000, MATCH(29, 'Detalles movimientos'!$T$5:$T$1000, 0)), "")</f>
        <v/>
      </c>
      <c r="D38" s="19" t="str">
        <f>IFERROR(INDEX('Detalles movimientos'!E$5:E$1000, MATCH(29, 'Detalles movimientos'!$T$5:$T$1000, 0)), "")</f>
        <v/>
      </c>
      <c r="E38" s="19" t="str">
        <f>IFERROR(INDEX('Detalles movimientos'!F$5:F$1000, MATCH(29, 'Detalles movimientos'!$T$5:$T$1000, 0)), "")</f>
        <v/>
      </c>
      <c r="F38" s="18" t="str">
        <f>IFERROR(INDEX('Detalles movimientos'!G$5:G$1000, MATCH(29, 'Detalles movimientos'!$T$5:$T$1000, 0)), "")</f>
        <v/>
      </c>
      <c r="G38" s="20" t="str">
        <f>IFERROR(INDEX('Detalles movimientos'!H$5:H$1000, MATCH(29, 'Detalles movimientos'!$T$5:$T$1000, 0)), "")</f>
        <v/>
      </c>
      <c r="H38" s="21" t="str">
        <f>IFERROR(INDEX('Detalles movimientos'!I$5:I$1000, MATCH(29, 'Detalles movimientos'!$T$5:$T$1000, 0)), "")</f>
        <v/>
      </c>
      <c r="I38" s="20" t="str">
        <f>IFERROR(INDEX('Detalles movimientos'!K$5:K$1000, MATCH(29, 'Detalles movimientos'!$T$5:$T$1000, 0)), "")</f>
        <v/>
      </c>
      <c r="J38" s="19" t="str">
        <f>IFERROR(INDEX('Detalles movimientos'!L$5:L$1000, MATCH(29, 'Detalles movimientos'!$T$5:$T$1000, 0)), "")</f>
        <v/>
      </c>
      <c r="K38" s="20" t="str">
        <f>IFERROR(INDEX('Detalles movimientos'!M$5:M$1000, MATCH(29, 'Detalles movimientos'!$T$5:$T$1000, 0)), "")</f>
        <v/>
      </c>
      <c r="L38" s="18" t="str">
        <f>IFERROR(INDEX('Detalles movimientos'!N$5:N$1000, MATCH(29, 'Detalles movimientos'!$T$5:$T$1000, 0)), "")</f>
        <v/>
      </c>
      <c r="M38" s="18" t="str">
        <f>IFERROR(INDEX('Detalles movimientos'!Q$5:Q$1000, MATCH(29, 'Detalles movimientos'!$T$5:$T$1000, 0)), "")</f>
        <v/>
      </c>
    </row>
    <row r="39" spans="2:13">
      <c r="B39" s="17" t="str">
        <f>IFERROR(INDEX('Detalles movimientos'!C$5:C$1000, MATCH(30, 'Detalles movimientos'!$T$5:$T$1000, 0)), "")</f>
        <v/>
      </c>
      <c r="C39" s="18" t="str">
        <f>IFERROR(INDEX('Detalles movimientos'!D$5:D$1000, MATCH(30, 'Detalles movimientos'!$T$5:$T$1000, 0)), "")</f>
        <v/>
      </c>
      <c r="D39" s="19" t="str">
        <f>IFERROR(INDEX('Detalles movimientos'!E$5:E$1000, MATCH(30, 'Detalles movimientos'!$T$5:$T$1000, 0)), "")</f>
        <v/>
      </c>
      <c r="E39" s="19" t="str">
        <f>IFERROR(INDEX('Detalles movimientos'!F$5:F$1000, MATCH(30, 'Detalles movimientos'!$T$5:$T$1000, 0)), "")</f>
        <v/>
      </c>
      <c r="F39" s="18" t="str">
        <f>IFERROR(INDEX('Detalles movimientos'!G$5:G$1000, MATCH(30, 'Detalles movimientos'!$T$5:$T$1000, 0)), "")</f>
        <v/>
      </c>
      <c r="G39" s="20" t="str">
        <f>IFERROR(INDEX('Detalles movimientos'!H$5:H$1000, MATCH(30, 'Detalles movimientos'!$T$5:$T$1000, 0)), "")</f>
        <v/>
      </c>
      <c r="H39" s="21" t="str">
        <f>IFERROR(INDEX('Detalles movimientos'!I$5:I$1000, MATCH(30, 'Detalles movimientos'!$T$5:$T$1000, 0)), "")</f>
        <v/>
      </c>
      <c r="I39" s="20" t="str">
        <f>IFERROR(INDEX('Detalles movimientos'!K$5:K$1000, MATCH(30, 'Detalles movimientos'!$T$5:$T$1000, 0)), "")</f>
        <v/>
      </c>
      <c r="J39" s="19" t="str">
        <f>IFERROR(INDEX('Detalles movimientos'!L$5:L$1000, MATCH(30, 'Detalles movimientos'!$T$5:$T$1000, 0)), "")</f>
        <v/>
      </c>
      <c r="K39" s="20" t="str">
        <f>IFERROR(INDEX('Detalles movimientos'!M$5:M$1000, MATCH(30, 'Detalles movimientos'!$T$5:$T$1000, 0)), "")</f>
        <v/>
      </c>
      <c r="L39" s="18" t="str">
        <f>IFERROR(INDEX('Detalles movimientos'!N$5:N$1000, MATCH(30, 'Detalles movimientos'!$T$5:$T$1000, 0)), "")</f>
        <v/>
      </c>
      <c r="M39" s="18" t="str">
        <f>IFERROR(INDEX('Detalles movimientos'!Q$5:Q$1000, MATCH(30, 'Detalles movimientos'!$T$5:$T$1000, 0)), "")</f>
        <v/>
      </c>
    </row>
    <row r="40" spans="2:13">
      <c r="B40" s="17" t="str">
        <f>IFERROR(INDEX('Detalles movimientos'!C$5:C$1000, MATCH(31, 'Detalles movimientos'!$T$5:$T$1000, 0)), "")</f>
        <v/>
      </c>
      <c r="C40" s="18" t="str">
        <f>IFERROR(INDEX('Detalles movimientos'!D$5:D$1000, MATCH(31, 'Detalles movimientos'!$T$5:$T$1000, 0)), "")</f>
        <v/>
      </c>
      <c r="D40" s="19" t="str">
        <f>IFERROR(INDEX('Detalles movimientos'!E$5:E$1000, MATCH(31, 'Detalles movimientos'!$T$5:$T$1000, 0)), "")</f>
        <v/>
      </c>
      <c r="E40" s="19" t="str">
        <f>IFERROR(INDEX('Detalles movimientos'!F$5:F$1000, MATCH(31, 'Detalles movimientos'!$T$5:$T$1000, 0)), "")</f>
        <v/>
      </c>
      <c r="F40" s="18" t="str">
        <f>IFERROR(INDEX('Detalles movimientos'!G$5:G$1000, MATCH(31, 'Detalles movimientos'!$T$5:$T$1000, 0)), "")</f>
        <v/>
      </c>
      <c r="G40" s="20" t="str">
        <f>IFERROR(INDEX('Detalles movimientos'!H$5:H$1000, MATCH(31, 'Detalles movimientos'!$T$5:$T$1000, 0)), "")</f>
        <v/>
      </c>
      <c r="H40" s="21" t="str">
        <f>IFERROR(INDEX('Detalles movimientos'!I$5:I$1000, MATCH(31, 'Detalles movimientos'!$T$5:$T$1000, 0)), "")</f>
        <v/>
      </c>
      <c r="I40" s="20" t="str">
        <f>IFERROR(INDEX('Detalles movimientos'!K$5:K$1000, MATCH(31, 'Detalles movimientos'!$T$5:$T$1000, 0)), "")</f>
        <v/>
      </c>
      <c r="J40" s="19" t="str">
        <f>IFERROR(INDEX('Detalles movimientos'!L$5:L$1000, MATCH(31, 'Detalles movimientos'!$T$5:$T$1000, 0)), "")</f>
        <v/>
      </c>
      <c r="K40" s="20" t="str">
        <f>IFERROR(INDEX('Detalles movimientos'!M$5:M$1000, MATCH(31, 'Detalles movimientos'!$T$5:$T$1000, 0)), "")</f>
        <v/>
      </c>
      <c r="L40" s="18" t="str">
        <f>IFERROR(INDEX('Detalles movimientos'!N$5:N$1000, MATCH(31, 'Detalles movimientos'!$T$5:$T$1000, 0)), "")</f>
        <v/>
      </c>
      <c r="M40" s="18" t="str">
        <f>IFERROR(INDEX('Detalles movimientos'!Q$5:Q$1000, MATCH(31, 'Detalles movimientos'!$T$5:$T$1000, 0)), "")</f>
        <v/>
      </c>
    </row>
    <row r="41" spans="2:13">
      <c r="B41" s="17" t="str">
        <f>IFERROR(INDEX('Detalles movimientos'!C$5:C$1000, MATCH(32, 'Detalles movimientos'!$T$5:$T$1000, 0)), "")</f>
        <v/>
      </c>
      <c r="C41" s="18" t="str">
        <f>IFERROR(INDEX('Detalles movimientos'!D$5:D$1000, MATCH(32, 'Detalles movimientos'!$T$5:$T$1000, 0)), "")</f>
        <v/>
      </c>
      <c r="D41" s="19" t="str">
        <f>IFERROR(INDEX('Detalles movimientos'!E$5:E$1000, MATCH(32, 'Detalles movimientos'!$T$5:$T$1000, 0)), "")</f>
        <v/>
      </c>
      <c r="E41" s="19" t="str">
        <f>IFERROR(INDEX('Detalles movimientos'!F$5:F$1000, MATCH(32, 'Detalles movimientos'!$T$5:$T$1000, 0)), "")</f>
        <v/>
      </c>
      <c r="F41" s="18" t="str">
        <f>IFERROR(INDEX('Detalles movimientos'!G$5:G$1000, MATCH(32, 'Detalles movimientos'!$T$5:$T$1000, 0)), "")</f>
        <v/>
      </c>
      <c r="G41" s="20" t="str">
        <f>IFERROR(INDEX('Detalles movimientos'!H$5:H$1000, MATCH(32, 'Detalles movimientos'!$T$5:$T$1000, 0)), "")</f>
        <v/>
      </c>
      <c r="H41" s="21" t="str">
        <f>IFERROR(INDEX('Detalles movimientos'!I$5:I$1000, MATCH(32, 'Detalles movimientos'!$T$5:$T$1000, 0)), "")</f>
        <v/>
      </c>
      <c r="I41" s="20" t="str">
        <f>IFERROR(INDEX('Detalles movimientos'!K$5:K$1000, MATCH(32, 'Detalles movimientos'!$T$5:$T$1000, 0)), "")</f>
        <v/>
      </c>
      <c r="J41" s="19" t="str">
        <f>IFERROR(INDEX('Detalles movimientos'!L$5:L$1000, MATCH(32, 'Detalles movimientos'!$T$5:$T$1000, 0)), "")</f>
        <v/>
      </c>
      <c r="K41" s="20" t="str">
        <f>IFERROR(INDEX('Detalles movimientos'!M$5:M$1000, MATCH(32, 'Detalles movimientos'!$T$5:$T$1000, 0)), "")</f>
        <v/>
      </c>
      <c r="L41" s="18" t="str">
        <f>IFERROR(INDEX('Detalles movimientos'!N$5:N$1000, MATCH(32, 'Detalles movimientos'!$T$5:$T$1000, 0)), "")</f>
        <v/>
      </c>
      <c r="M41" s="18" t="str">
        <f>IFERROR(INDEX('Detalles movimientos'!Q$5:Q$1000, MATCH(32, 'Detalles movimientos'!$T$5:$T$1000, 0)), "")</f>
        <v/>
      </c>
    </row>
    <row r="42" spans="2:13">
      <c r="B42" s="17" t="str">
        <f>IFERROR(INDEX('Detalles movimientos'!C$5:C$1000, MATCH(33, 'Detalles movimientos'!$T$5:$T$1000, 0)), "")</f>
        <v/>
      </c>
      <c r="C42" s="18" t="str">
        <f>IFERROR(INDEX('Detalles movimientos'!D$5:D$1000, MATCH(33, 'Detalles movimientos'!$T$5:$T$1000, 0)), "")</f>
        <v/>
      </c>
      <c r="D42" s="19" t="str">
        <f>IFERROR(INDEX('Detalles movimientos'!E$5:E$1000, MATCH(33, 'Detalles movimientos'!$T$5:$T$1000, 0)), "")</f>
        <v/>
      </c>
      <c r="E42" s="19" t="str">
        <f>IFERROR(INDEX('Detalles movimientos'!F$5:F$1000, MATCH(33, 'Detalles movimientos'!$T$5:$T$1000, 0)), "")</f>
        <v/>
      </c>
      <c r="F42" s="18" t="str">
        <f>IFERROR(INDEX('Detalles movimientos'!G$5:G$1000, MATCH(33, 'Detalles movimientos'!$T$5:$T$1000, 0)), "")</f>
        <v/>
      </c>
      <c r="G42" s="20" t="str">
        <f>IFERROR(INDEX('Detalles movimientos'!H$5:H$1000, MATCH(33, 'Detalles movimientos'!$T$5:$T$1000, 0)), "")</f>
        <v/>
      </c>
      <c r="H42" s="21" t="str">
        <f>IFERROR(INDEX('Detalles movimientos'!I$5:I$1000, MATCH(33, 'Detalles movimientos'!$T$5:$T$1000, 0)), "")</f>
        <v/>
      </c>
      <c r="I42" s="20" t="str">
        <f>IFERROR(INDEX('Detalles movimientos'!K$5:K$1000, MATCH(33, 'Detalles movimientos'!$T$5:$T$1000, 0)), "")</f>
        <v/>
      </c>
      <c r="J42" s="19" t="str">
        <f>IFERROR(INDEX('Detalles movimientos'!L$5:L$1000, MATCH(33, 'Detalles movimientos'!$T$5:$T$1000, 0)), "")</f>
        <v/>
      </c>
      <c r="K42" s="20" t="str">
        <f>IFERROR(INDEX('Detalles movimientos'!M$5:M$1000, MATCH(33, 'Detalles movimientos'!$T$5:$T$1000, 0)), "")</f>
        <v/>
      </c>
      <c r="L42" s="18" t="str">
        <f>IFERROR(INDEX('Detalles movimientos'!N$5:N$1000, MATCH(33, 'Detalles movimientos'!$T$5:$T$1000, 0)), "")</f>
        <v/>
      </c>
      <c r="M42" s="18" t="str">
        <f>IFERROR(INDEX('Detalles movimientos'!Q$5:Q$1000, MATCH(33, 'Detalles movimientos'!$T$5:$T$1000, 0)), "")</f>
        <v/>
      </c>
    </row>
    <row r="43" spans="2:13">
      <c r="B43" s="17" t="str">
        <f>IFERROR(INDEX('Detalles movimientos'!C$5:C$1000, MATCH(34, 'Detalles movimientos'!$T$5:$T$1000, 0)), "")</f>
        <v/>
      </c>
      <c r="C43" s="18" t="str">
        <f>IFERROR(INDEX('Detalles movimientos'!D$5:D$1000, MATCH(34, 'Detalles movimientos'!$T$5:$T$1000, 0)), "")</f>
        <v/>
      </c>
      <c r="D43" s="19" t="str">
        <f>IFERROR(INDEX('Detalles movimientos'!E$5:E$1000, MATCH(34, 'Detalles movimientos'!$T$5:$T$1000, 0)), "")</f>
        <v/>
      </c>
      <c r="E43" s="19" t="str">
        <f>IFERROR(INDEX('Detalles movimientos'!F$5:F$1000, MATCH(34, 'Detalles movimientos'!$T$5:$T$1000, 0)), "")</f>
        <v/>
      </c>
      <c r="F43" s="18" t="str">
        <f>IFERROR(INDEX('Detalles movimientos'!G$5:G$1000, MATCH(34, 'Detalles movimientos'!$T$5:$T$1000, 0)), "")</f>
        <v/>
      </c>
      <c r="G43" s="20" t="str">
        <f>IFERROR(INDEX('Detalles movimientos'!H$5:H$1000, MATCH(34, 'Detalles movimientos'!$T$5:$T$1000, 0)), "")</f>
        <v/>
      </c>
      <c r="H43" s="21" t="str">
        <f>IFERROR(INDEX('Detalles movimientos'!I$5:I$1000, MATCH(34, 'Detalles movimientos'!$T$5:$T$1000, 0)), "")</f>
        <v/>
      </c>
      <c r="I43" s="20" t="str">
        <f>IFERROR(INDEX('Detalles movimientos'!K$5:K$1000, MATCH(34, 'Detalles movimientos'!$T$5:$T$1000, 0)), "")</f>
        <v/>
      </c>
      <c r="J43" s="19" t="str">
        <f>IFERROR(INDEX('Detalles movimientos'!L$5:L$1000, MATCH(34, 'Detalles movimientos'!$T$5:$T$1000, 0)), "")</f>
        <v/>
      </c>
      <c r="K43" s="20" t="str">
        <f>IFERROR(INDEX('Detalles movimientos'!M$5:M$1000, MATCH(34, 'Detalles movimientos'!$T$5:$T$1000, 0)), "")</f>
        <v/>
      </c>
      <c r="L43" s="18" t="str">
        <f>IFERROR(INDEX('Detalles movimientos'!N$5:N$1000, MATCH(34, 'Detalles movimientos'!$T$5:$T$1000, 0)), "")</f>
        <v/>
      </c>
      <c r="M43" s="18" t="str">
        <f>IFERROR(INDEX('Detalles movimientos'!Q$5:Q$1000, MATCH(34, 'Detalles movimientos'!$T$5:$T$1000, 0)), "")</f>
        <v/>
      </c>
    </row>
    <row r="44" spans="2:13">
      <c r="B44" s="17" t="str">
        <f>IFERROR(INDEX('Detalles movimientos'!C$5:C$1000, MATCH(35, 'Detalles movimientos'!$T$5:$T$1000, 0)), "")</f>
        <v/>
      </c>
      <c r="C44" s="18" t="str">
        <f>IFERROR(INDEX('Detalles movimientos'!D$5:D$1000, MATCH(35, 'Detalles movimientos'!$T$5:$T$1000, 0)), "")</f>
        <v/>
      </c>
      <c r="D44" s="19" t="str">
        <f>IFERROR(INDEX('Detalles movimientos'!E$5:E$1000, MATCH(35, 'Detalles movimientos'!$T$5:$T$1000, 0)), "")</f>
        <v/>
      </c>
      <c r="E44" s="19" t="str">
        <f>IFERROR(INDEX('Detalles movimientos'!F$5:F$1000, MATCH(35, 'Detalles movimientos'!$T$5:$T$1000, 0)), "")</f>
        <v/>
      </c>
      <c r="F44" s="18" t="str">
        <f>IFERROR(INDEX('Detalles movimientos'!G$5:G$1000, MATCH(35, 'Detalles movimientos'!$T$5:$T$1000, 0)), "")</f>
        <v/>
      </c>
      <c r="G44" s="20" t="str">
        <f>IFERROR(INDEX('Detalles movimientos'!H$5:H$1000, MATCH(35, 'Detalles movimientos'!$T$5:$T$1000, 0)), "")</f>
        <v/>
      </c>
      <c r="H44" s="21" t="str">
        <f>IFERROR(INDEX('Detalles movimientos'!I$5:I$1000, MATCH(35, 'Detalles movimientos'!$T$5:$T$1000, 0)), "")</f>
        <v/>
      </c>
      <c r="I44" s="20" t="str">
        <f>IFERROR(INDEX('Detalles movimientos'!K$5:K$1000, MATCH(35, 'Detalles movimientos'!$T$5:$T$1000, 0)), "")</f>
        <v/>
      </c>
      <c r="J44" s="19" t="str">
        <f>IFERROR(INDEX('Detalles movimientos'!L$5:L$1000, MATCH(35, 'Detalles movimientos'!$T$5:$T$1000, 0)), "")</f>
        <v/>
      </c>
      <c r="K44" s="20" t="str">
        <f>IFERROR(INDEX('Detalles movimientos'!M$5:M$1000, MATCH(35, 'Detalles movimientos'!$T$5:$T$1000, 0)), "")</f>
        <v/>
      </c>
      <c r="L44" s="18" t="str">
        <f>IFERROR(INDEX('Detalles movimientos'!N$5:N$1000, MATCH(35, 'Detalles movimientos'!$T$5:$T$1000, 0)), "")</f>
        <v/>
      </c>
      <c r="M44" s="18" t="str">
        <f>IFERROR(INDEX('Detalles movimientos'!Q$5:Q$1000, MATCH(35, 'Detalles movimientos'!$T$5:$T$1000, 0)), "")</f>
        <v/>
      </c>
    </row>
    <row r="45" spans="2:13">
      <c r="B45" s="17" t="str">
        <f>IFERROR(INDEX('Detalles movimientos'!C$5:C$1000, MATCH(36, 'Detalles movimientos'!$T$5:$T$1000, 0)), "")</f>
        <v/>
      </c>
      <c r="C45" s="18" t="str">
        <f>IFERROR(INDEX('Detalles movimientos'!D$5:D$1000, MATCH(36, 'Detalles movimientos'!$T$5:$T$1000, 0)), "")</f>
        <v/>
      </c>
      <c r="D45" s="19" t="str">
        <f>IFERROR(INDEX('Detalles movimientos'!E$5:E$1000, MATCH(36, 'Detalles movimientos'!$T$5:$T$1000, 0)), "")</f>
        <v/>
      </c>
      <c r="E45" s="19" t="str">
        <f>IFERROR(INDEX('Detalles movimientos'!F$5:F$1000, MATCH(36, 'Detalles movimientos'!$T$5:$T$1000, 0)), "")</f>
        <v/>
      </c>
      <c r="F45" s="18" t="str">
        <f>IFERROR(INDEX('Detalles movimientos'!G$5:G$1000, MATCH(36, 'Detalles movimientos'!$T$5:$T$1000, 0)), "")</f>
        <v/>
      </c>
      <c r="G45" s="20" t="str">
        <f>IFERROR(INDEX('Detalles movimientos'!H$5:H$1000, MATCH(36, 'Detalles movimientos'!$T$5:$T$1000, 0)), "")</f>
        <v/>
      </c>
      <c r="H45" s="21" t="str">
        <f>IFERROR(INDEX('Detalles movimientos'!I$5:I$1000, MATCH(36, 'Detalles movimientos'!$T$5:$T$1000, 0)), "")</f>
        <v/>
      </c>
      <c r="I45" s="20" t="str">
        <f>IFERROR(INDEX('Detalles movimientos'!K$5:K$1000, MATCH(36, 'Detalles movimientos'!$T$5:$T$1000, 0)), "")</f>
        <v/>
      </c>
      <c r="J45" s="19" t="str">
        <f>IFERROR(INDEX('Detalles movimientos'!L$5:L$1000, MATCH(36, 'Detalles movimientos'!$T$5:$T$1000, 0)), "")</f>
        <v/>
      </c>
      <c r="K45" s="20" t="str">
        <f>IFERROR(INDEX('Detalles movimientos'!M$5:M$1000, MATCH(36, 'Detalles movimientos'!$T$5:$T$1000, 0)), "")</f>
        <v/>
      </c>
      <c r="L45" s="18" t="str">
        <f>IFERROR(INDEX('Detalles movimientos'!N$5:N$1000, MATCH(36, 'Detalles movimientos'!$T$5:$T$1000, 0)), "")</f>
        <v/>
      </c>
      <c r="M45" s="18" t="str">
        <f>IFERROR(INDEX('Detalles movimientos'!Q$5:Q$1000, MATCH(36, 'Detalles movimientos'!$T$5:$T$1000, 0)), "")</f>
        <v/>
      </c>
    </row>
    <row r="46" spans="2:13">
      <c r="B46" s="17" t="str">
        <f>IFERROR(INDEX('Detalles movimientos'!C$5:C$1000, MATCH(37, 'Detalles movimientos'!$T$5:$T$1000, 0)), "")</f>
        <v/>
      </c>
      <c r="C46" s="18" t="str">
        <f>IFERROR(INDEX('Detalles movimientos'!D$5:D$1000, MATCH(37, 'Detalles movimientos'!$T$5:$T$1000, 0)), "")</f>
        <v/>
      </c>
      <c r="D46" s="19" t="str">
        <f>IFERROR(INDEX('Detalles movimientos'!E$5:E$1000, MATCH(37, 'Detalles movimientos'!$T$5:$T$1000, 0)), "")</f>
        <v/>
      </c>
      <c r="E46" s="19" t="str">
        <f>IFERROR(INDEX('Detalles movimientos'!F$5:F$1000, MATCH(37, 'Detalles movimientos'!$T$5:$T$1000, 0)), "")</f>
        <v/>
      </c>
      <c r="F46" s="18" t="str">
        <f>IFERROR(INDEX('Detalles movimientos'!G$5:G$1000, MATCH(37, 'Detalles movimientos'!$T$5:$T$1000, 0)), "")</f>
        <v/>
      </c>
      <c r="G46" s="20" t="str">
        <f>IFERROR(INDEX('Detalles movimientos'!H$5:H$1000, MATCH(37, 'Detalles movimientos'!$T$5:$T$1000, 0)), "")</f>
        <v/>
      </c>
      <c r="H46" s="21" t="str">
        <f>IFERROR(INDEX('Detalles movimientos'!I$5:I$1000, MATCH(37, 'Detalles movimientos'!$T$5:$T$1000, 0)), "")</f>
        <v/>
      </c>
      <c r="I46" s="20" t="str">
        <f>IFERROR(INDEX('Detalles movimientos'!K$5:K$1000, MATCH(37, 'Detalles movimientos'!$T$5:$T$1000, 0)), "")</f>
        <v/>
      </c>
      <c r="J46" s="19" t="str">
        <f>IFERROR(INDEX('Detalles movimientos'!L$5:L$1000, MATCH(37, 'Detalles movimientos'!$T$5:$T$1000, 0)), "")</f>
        <v/>
      </c>
      <c r="K46" s="20" t="str">
        <f>IFERROR(INDEX('Detalles movimientos'!M$5:M$1000, MATCH(37, 'Detalles movimientos'!$T$5:$T$1000, 0)), "")</f>
        <v/>
      </c>
      <c r="L46" s="18" t="str">
        <f>IFERROR(INDEX('Detalles movimientos'!N$5:N$1000, MATCH(37, 'Detalles movimientos'!$T$5:$T$1000, 0)), "")</f>
        <v/>
      </c>
      <c r="M46" s="18" t="str">
        <f>IFERROR(INDEX('Detalles movimientos'!Q$5:Q$1000, MATCH(37, 'Detalles movimientos'!$T$5:$T$1000, 0)), "")</f>
        <v/>
      </c>
    </row>
    <row r="47" spans="2:13">
      <c r="B47" s="17" t="str">
        <f>IFERROR(INDEX('Detalles movimientos'!C$5:C$1000, MATCH(38, 'Detalles movimientos'!$T$5:$T$1000, 0)), "")</f>
        <v/>
      </c>
      <c r="C47" s="18" t="str">
        <f>IFERROR(INDEX('Detalles movimientos'!D$5:D$1000, MATCH(38, 'Detalles movimientos'!$T$5:$T$1000, 0)), "")</f>
        <v/>
      </c>
      <c r="D47" s="19" t="str">
        <f>IFERROR(INDEX('Detalles movimientos'!E$5:E$1000, MATCH(38, 'Detalles movimientos'!$T$5:$T$1000, 0)), "")</f>
        <v/>
      </c>
      <c r="E47" s="19" t="str">
        <f>IFERROR(INDEX('Detalles movimientos'!F$5:F$1000, MATCH(38, 'Detalles movimientos'!$T$5:$T$1000, 0)), "")</f>
        <v/>
      </c>
      <c r="F47" s="18" t="str">
        <f>IFERROR(INDEX('Detalles movimientos'!G$5:G$1000, MATCH(38, 'Detalles movimientos'!$T$5:$T$1000, 0)), "")</f>
        <v/>
      </c>
      <c r="G47" s="20" t="str">
        <f>IFERROR(INDEX('Detalles movimientos'!H$5:H$1000, MATCH(38, 'Detalles movimientos'!$T$5:$T$1000, 0)), "")</f>
        <v/>
      </c>
      <c r="H47" s="21" t="str">
        <f>IFERROR(INDEX('Detalles movimientos'!I$5:I$1000, MATCH(38, 'Detalles movimientos'!$T$5:$T$1000, 0)), "")</f>
        <v/>
      </c>
      <c r="I47" s="20" t="str">
        <f>IFERROR(INDEX('Detalles movimientos'!K$5:K$1000, MATCH(38, 'Detalles movimientos'!$T$5:$T$1000, 0)), "")</f>
        <v/>
      </c>
      <c r="J47" s="19" t="str">
        <f>IFERROR(INDEX('Detalles movimientos'!L$5:L$1000, MATCH(38, 'Detalles movimientos'!$T$5:$T$1000, 0)), "")</f>
        <v/>
      </c>
      <c r="K47" s="20" t="str">
        <f>IFERROR(INDEX('Detalles movimientos'!M$5:M$1000, MATCH(38, 'Detalles movimientos'!$T$5:$T$1000, 0)), "")</f>
        <v/>
      </c>
      <c r="L47" s="18" t="str">
        <f>IFERROR(INDEX('Detalles movimientos'!N$5:N$1000, MATCH(38, 'Detalles movimientos'!$T$5:$T$1000, 0)), "")</f>
        <v/>
      </c>
      <c r="M47" s="18" t="str">
        <f>IFERROR(INDEX('Detalles movimientos'!Q$5:Q$1000, MATCH(38, 'Detalles movimientos'!$T$5:$T$1000, 0)), "")</f>
        <v/>
      </c>
    </row>
    <row r="48" spans="2:13">
      <c r="B48" s="17" t="str">
        <f>IFERROR(INDEX('Detalles movimientos'!C$5:C$1000, MATCH(39, 'Detalles movimientos'!$T$5:$T$1000, 0)), "")</f>
        <v/>
      </c>
      <c r="C48" s="18" t="str">
        <f>IFERROR(INDEX('Detalles movimientos'!D$5:D$1000, MATCH(39, 'Detalles movimientos'!$T$5:$T$1000, 0)), "")</f>
        <v/>
      </c>
      <c r="D48" s="19" t="str">
        <f>IFERROR(INDEX('Detalles movimientos'!E$5:E$1000, MATCH(39, 'Detalles movimientos'!$T$5:$T$1000, 0)), "")</f>
        <v/>
      </c>
      <c r="E48" s="19" t="str">
        <f>IFERROR(INDEX('Detalles movimientos'!F$5:F$1000, MATCH(39, 'Detalles movimientos'!$T$5:$T$1000, 0)), "")</f>
        <v/>
      </c>
      <c r="F48" s="18" t="str">
        <f>IFERROR(INDEX('Detalles movimientos'!G$5:G$1000, MATCH(39, 'Detalles movimientos'!$T$5:$T$1000, 0)), "")</f>
        <v/>
      </c>
      <c r="G48" s="20" t="str">
        <f>IFERROR(INDEX('Detalles movimientos'!H$5:H$1000, MATCH(39, 'Detalles movimientos'!$T$5:$T$1000, 0)), "")</f>
        <v/>
      </c>
      <c r="H48" s="21" t="str">
        <f>IFERROR(INDEX('Detalles movimientos'!I$5:I$1000, MATCH(39, 'Detalles movimientos'!$T$5:$T$1000, 0)), "")</f>
        <v/>
      </c>
      <c r="I48" s="20" t="str">
        <f>IFERROR(INDEX('Detalles movimientos'!K$5:K$1000, MATCH(39, 'Detalles movimientos'!$T$5:$T$1000, 0)), "")</f>
        <v/>
      </c>
      <c r="J48" s="19" t="str">
        <f>IFERROR(INDEX('Detalles movimientos'!L$5:L$1000, MATCH(39, 'Detalles movimientos'!$T$5:$T$1000, 0)), "")</f>
        <v/>
      </c>
      <c r="K48" s="20" t="str">
        <f>IFERROR(INDEX('Detalles movimientos'!M$5:M$1000, MATCH(39, 'Detalles movimientos'!$T$5:$T$1000, 0)), "")</f>
        <v/>
      </c>
      <c r="L48" s="18" t="str">
        <f>IFERROR(INDEX('Detalles movimientos'!N$5:N$1000, MATCH(39, 'Detalles movimientos'!$T$5:$T$1000, 0)), "")</f>
        <v/>
      </c>
      <c r="M48" s="18" t="str">
        <f>IFERROR(INDEX('Detalles movimientos'!Q$5:Q$1000, MATCH(39, 'Detalles movimientos'!$T$5:$T$1000, 0)), "")</f>
        <v/>
      </c>
    </row>
    <row r="49" spans="2:13">
      <c r="B49" s="17" t="str">
        <f>IFERROR(INDEX('Detalles movimientos'!C$5:C$1000, MATCH(40, 'Detalles movimientos'!$T$5:$T$1000, 0)), "")</f>
        <v/>
      </c>
      <c r="C49" s="18" t="str">
        <f>IFERROR(INDEX('Detalles movimientos'!D$5:D$1000, MATCH(40, 'Detalles movimientos'!$T$5:$T$1000, 0)), "")</f>
        <v/>
      </c>
      <c r="D49" s="19" t="str">
        <f>IFERROR(INDEX('Detalles movimientos'!E$5:E$1000, MATCH(40, 'Detalles movimientos'!$T$5:$T$1000, 0)), "")</f>
        <v/>
      </c>
      <c r="E49" s="19" t="str">
        <f>IFERROR(INDEX('Detalles movimientos'!F$5:F$1000, MATCH(40, 'Detalles movimientos'!$T$5:$T$1000, 0)), "")</f>
        <v/>
      </c>
      <c r="F49" s="18" t="str">
        <f>IFERROR(INDEX('Detalles movimientos'!G$5:G$1000, MATCH(40, 'Detalles movimientos'!$T$5:$T$1000, 0)), "")</f>
        <v/>
      </c>
      <c r="G49" s="20" t="str">
        <f>IFERROR(INDEX('Detalles movimientos'!H$5:H$1000, MATCH(40, 'Detalles movimientos'!$T$5:$T$1000, 0)), "")</f>
        <v/>
      </c>
      <c r="H49" s="21" t="str">
        <f>IFERROR(INDEX('Detalles movimientos'!I$5:I$1000, MATCH(40, 'Detalles movimientos'!$T$5:$T$1000, 0)), "")</f>
        <v/>
      </c>
      <c r="I49" s="20" t="str">
        <f>IFERROR(INDEX('Detalles movimientos'!K$5:K$1000, MATCH(40, 'Detalles movimientos'!$T$5:$T$1000, 0)), "")</f>
        <v/>
      </c>
      <c r="J49" s="19" t="str">
        <f>IFERROR(INDEX('Detalles movimientos'!L$5:L$1000, MATCH(40, 'Detalles movimientos'!$T$5:$T$1000, 0)), "")</f>
        <v/>
      </c>
      <c r="K49" s="20" t="str">
        <f>IFERROR(INDEX('Detalles movimientos'!M$5:M$1000, MATCH(40, 'Detalles movimientos'!$T$5:$T$1000, 0)), "")</f>
        <v/>
      </c>
      <c r="L49" s="18" t="str">
        <f>IFERROR(INDEX('Detalles movimientos'!N$5:N$1000, MATCH(40, 'Detalles movimientos'!$T$5:$T$1000, 0)), "")</f>
        <v/>
      </c>
      <c r="M49" s="18" t="str">
        <f>IFERROR(INDEX('Detalles movimientos'!Q$5:Q$1000, MATCH(40, 'Detalles movimientos'!$T$5:$T$1000, 0)), "")</f>
        <v/>
      </c>
    </row>
    <row r="50" spans="2:13">
      <c r="B50" s="17" t="str">
        <f>IFERROR(INDEX('Detalles movimientos'!C$5:C$1000, MATCH(41, 'Detalles movimientos'!$T$5:$T$1000, 0)), "")</f>
        <v/>
      </c>
      <c r="C50" s="18" t="str">
        <f>IFERROR(INDEX('Detalles movimientos'!D$5:D$1000, MATCH(41, 'Detalles movimientos'!$T$5:$T$1000, 0)), "")</f>
        <v/>
      </c>
      <c r="D50" s="19" t="str">
        <f>IFERROR(INDEX('Detalles movimientos'!E$5:E$1000, MATCH(41, 'Detalles movimientos'!$T$5:$T$1000, 0)), "")</f>
        <v/>
      </c>
      <c r="E50" s="19" t="str">
        <f>IFERROR(INDEX('Detalles movimientos'!F$5:F$1000, MATCH(41, 'Detalles movimientos'!$T$5:$T$1000, 0)), "")</f>
        <v/>
      </c>
      <c r="F50" s="18" t="str">
        <f>IFERROR(INDEX('Detalles movimientos'!G$5:G$1000, MATCH(41, 'Detalles movimientos'!$T$5:$T$1000, 0)), "")</f>
        <v/>
      </c>
      <c r="G50" s="20" t="str">
        <f>IFERROR(INDEX('Detalles movimientos'!H$5:H$1000, MATCH(41, 'Detalles movimientos'!$T$5:$T$1000, 0)), "")</f>
        <v/>
      </c>
      <c r="H50" s="21" t="str">
        <f>IFERROR(INDEX('Detalles movimientos'!I$5:I$1000, MATCH(41, 'Detalles movimientos'!$T$5:$T$1000, 0)), "")</f>
        <v/>
      </c>
      <c r="I50" s="20" t="str">
        <f>IFERROR(INDEX('Detalles movimientos'!K$5:K$1000, MATCH(41, 'Detalles movimientos'!$T$5:$T$1000, 0)), "")</f>
        <v/>
      </c>
      <c r="J50" s="19" t="str">
        <f>IFERROR(INDEX('Detalles movimientos'!L$5:L$1000, MATCH(41, 'Detalles movimientos'!$T$5:$T$1000, 0)), "")</f>
        <v/>
      </c>
      <c r="K50" s="20" t="str">
        <f>IFERROR(INDEX('Detalles movimientos'!M$5:M$1000, MATCH(41, 'Detalles movimientos'!$T$5:$T$1000, 0)), "")</f>
        <v/>
      </c>
      <c r="L50" s="18" t="str">
        <f>IFERROR(INDEX('Detalles movimientos'!N$5:N$1000, MATCH(41, 'Detalles movimientos'!$T$5:$T$1000, 0)), "")</f>
        <v/>
      </c>
      <c r="M50" s="18" t="str">
        <f>IFERROR(INDEX('Detalles movimientos'!Q$5:Q$1000, MATCH(41, 'Detalles movimientos'!$T$5:$T$1000, 0)), "")</f>
        <v/>
      </c>
    </row>
    <row r="51" spans="2:13">
      <c r="B51" s="17" t="str">
        <f>IFERROR(INDEX('Detalles movimientos'!C$5:C$1000, MATCH(42, 'Detalles movimientos'!$T$5:$T$1000, 0)), "")</f>
        <v/>
      </c>
      <c r="C51" s="18" t="str">
        <f>IFERROR(INDEX('Detalles movimientos'!D$5:D$1000, MATCH(42, 'Detalles movimientos'!$T$5:$T$1000, 0)), "")</f>
        <v/>
      </c>
      <c r="D51" s="19" t="str">
        <f>IFERROR(INDEX('Detalles movimientos'!E$5:E$1000, MATCH(42, 'Detalles movimientos'!$T$5:$T$1000, 0)), "")</f>
        <v/>
      </c>
      <c r="E51" s="19" t="str">
        <f>IFERROR(INDEX('Detalles movimientos'!F$5:F$1000, MATCH(42, 'Detalles movimientos'!$T$5:$T$1000, 0)), "")</f>
        <v/>
      </c>
      <c r="F51" s="18" t="str">
        <f>IFERROR(INDEX('Detalles movimientos'!G$5:G$1000, MATCH(42, 'Detalles movimientos'!$T$5:$T$1000, 0)), "")</f>
        <v/>
      </c>
      <c r="G51" s="20" t="str">
        <f>IFERROR(INDEX('Detalles movimientos'!H$5:H$1000, MATCH(42, 'Detalles movimientos'!$T$5:$T$1000, 0)), "")</f>
        <v/>
      </c>
      <c r="H51" s="21" t="str">
        <f>IFERROR(INDEX('Detalles movimientos'!I$5:I$1000, MATCH(42, 'Detalles movimientos'!$T$5:$T$1000, 0)), "")</f>
        <v/>
      </c>
      <c r="I51" s="20" t="str">
        <f>IFERROR(INDEX('Detalles movimientos'!K$5:K$1000, MATCH(42, 'Detalles movimientos'!$T$5:$T$1000, 0)), "")</f>
        <v/>
      </c>
      <c r="J51" s="19" t="str">
        <f>IFERROR(INDEX('Detalles movimientos'!L$5:L$1000, MATCH(42, 'Detalles movimientos'!$T$5:$T$1000, 0)), "")</f>
        <v/>
      </c>
      <c r="K51" s="20" t="str">
        <f>IFERROR(INDEX('Detalles movimientos'!M$5:M$1000, MATCH(42, 'Detalles movimientos'!$T$5:$T$1000, 0)), "")</f>
        <v/>
      </c>
      <c r="L51" s="18" t="str">
        <f>IFERROR(INDEX('Detalles movimientos'!N$5:N$1000, MATCH(42, 'Detalles movimientos'!$T$5:$T$1000, 0)), "")</f>
        <v/>
      </c>
      <c r="M51" s="18" t="str">
        <f>IFERROR(INDEX('Detalles movimientos'!Q$5:Q$1000, MATCH(42, 'Detalles movimientos'!$T$5:$T$1000, 0)), "")</f>
        <v/>
      </c>
    </row>
    <row r="52" spans="2:13">
      <c r="B52" s="17" t="str">
        <f>IFERROR(INDEX('Detalles movimientos'!C$5:C$1000, MATCH(43, 'Detalles movimientos'!$T$5:$T$1000, 0)), "")</f>
        <v/>
      </c>
      <c r="C52" s="18" t="str">
        <f>IFERROR(INDEX('Detalles movimientos'!D$5:D$1000, MATCH(43, 'Detalles movimientos'!$T$5:$T$1000, 0)), "")</f>
        <v/>
      </c>
      <c r="D52" s="19" t="str">
        <f>IFERROR(INDEX('Detalles movimientos'!E$5:E$1000, MATCH(43, 'Detalles movimientos'!$T$5:$T$1000, 0)), "")</f>
        <v/>
      </c>
      <c r="E52" s="19" t="str">
        <f>IFERROR(INDEX('Detalles movimientos'!F$5:F$1000, MATCH(43, 'Detalles movimientos'!$T$5:$T$1000, 0)), "")</f>
        <v/>
      </c>
      <c r="F52" s="18" t="str">
        <f>IFERROR(INDEX('Detalles movimientos'!G$5:G$1000, MATCH(43, 'Detalles movimientos'!$T$5:$T$1000, 0)), "")</f>
        <v/>
      </c>
      <c r="G52" s="20" t="str">
        <f>IFERROR(INDEX('Detalles movimientos'!H$5:H$1000, MATCH(43, 'Detalles movimientos'!$T$5:$T$1000, 0)), "")</f>
        <v/>
      </c>
      <c r="H52" s="21" t="str">
        <f>IFERROR(INDEX('Detalles movimientos'!I$5:I$1000, MATCH(43, 'Detalles movimientos'!$T$5:$T$1000, 0)), "")</f>
        <v/>
      </c>
      <c r="I52" s="20" t="str">
        <f>IFERROR(INDEX('Detalles movimientos'!K$5:K$1000, MATCH(43, 'Detalles movimientos'!$T$5:$T$1000, 0)), "")</f>
        <v/>
      </c>
      <c r="J52" s="19" t="str">
        <f>IFERROR(INDEX('Detalles movimientos'!L$5:L$1000, MATCH(43, 'Detalles movimientos'!$T$5:$T$1000, 0)), "")</f>
        <v/>
      </c>
      <c r="K52" s="20" t="str">
        <f>IFERROR(INDEX('Detalles movimientos'!M$5:M$1000, MATCH(43, 'Detalles movimientos'!$T$5:$T$1000, 0)), "")</f>
        <v/>
      </c>
      <c r="L52" s="18" t="str">
        <f>IFERROR(INDEX('Detalles movimientos'!N$5:N$1000, MATCH(43, 'Detalles movimientos'!$T$5:$T$1000, 0)), "")</f>
        <v/>
      </c>
      <c r="M52" s="18" t="str">
        <f>IFERROR(INDEX('Detalles movimientos'!Q$5:Q$1000, MATCH(43, 'Detalles movimientos'!$T$5:$T$1000, 0)), "")</f>
        <v/>
      </c>
    </row>
    <row r="53" spans="2:13">
      <c r="B53" s="17" t="str">
        <f>IFERROR(INDEX('Detalles movimientos'!C$5:C$1000, MATCH(44, 'Detalles movimientos'!$T$5:$T$1000, 0)), "")</f>
        <v/>
      </c>
      <c r="C53" s="18" t="str">
        <f>IFERROR(INDEX('Detalles movimientos'!D$5:D$1000, MATCH(44, 'Detalles movimientos'!$T$5:$T$1000, 0)), "")</f>
        <v/>
      </c>
      <c r="D53" s="19" t="str">
        <f>IFERROR(INDEX('Detalles movimientos'!E$5:E$1000, MATCH(44, 'Detalles movimientos'!$T$5:$T$1000, 0)), "")</f>
        <v/>
      </c>
      <c r="E53" s="19" t="str">
        <f>IFERROR(INDEX('Detalles movimientos'!F$5:F$1000, MATCH(44, 'Detalles movimientos'!$T$5:$T$1000, 0)), "")</f>
        <v/>
      </c>
      <c r="F53" s="18" t="str">
        <f>IFERROR(INDEX('Detalles movimientos'!G$5:G$1000, MATCH(44, 'Detalles movimientos'!$T$5:$T$1000, 0)), "")</f>
        <v/>
      </c>
      <c r="G53" s="20" t="str">
        <f>IFERROR(INDEX('Detalles movimientos'!H$5:H$1000, MATCH(44, 'Detalles movimientos'!$T$5:$T$1000, 0)), "")</f>
        <v/>
      </c>
      <c r="H53" s="21" t="str">
        <f>IFERROR(INDEX('Detalles movimientos'!I$5:I$1000, MATCH(44, 'Detalles movimientos'!$T$5:$T$1000, 0)), "")</f>
        <v/>
      </c>
      <c r="I53" s="20" t="str">
        <f>IFERROR(INDEX('Detalles movimientos'!K$5:K$1000, MATCH(44, 'Detalles movimientos'!$T$5:$T$1000, 0)), "")</f>
        <v/>
      </c>
      <c r="J53" s="19" t="str">
        <f>IFERROR(INDEX('Detalles movimientos'!L$5:L$1000, MATCH(44, 'Detalles movimientos'!$T$5:$T$1000, 0)), "")</f>
        <v/>
      </c>
      <c r="K53" s="20" t="str">
        <f>IFERROR(INDEX('Detalles movimientos'!M$5:M$1000, MATCH(44, 'Detalles movimientos'!$T$5:$T$1000, 0)), "")</f>
        <v/>
      </c>
      <c r="L53" s="18" t="str">
        <f>IFERROR(INDEX('Detalles movimientos'!N$5:N$1000, MATCH(44, 'Detalles movimientos'!$T$5:$T$1000, 0)), "")</f>
        <v/>
      </c>
      <c r="M53" s="18" t="str">
        <f>IFERROR(INDEX('Detalles movimientos'!Q$5:Q$1000, MATCH(44, 'Detalles movimientos'!$T$5:$T$1000, 0)), "")</f>
        <v/>
      </c>
    </row>
    <row r="54" spans="2:13">
      <c r="B54" s="17" t="str">
        <f>IFERROR(INDEX('Detalles movimientos'!C$5:C$1000, MATCH(45, 'Detalles movimientos'!$T$5:$T$1000, 0)), "")</f>
        <v/>
      </c>
      <c r="C54" s="18" t="str">
        <f>IFERROR(INDEX('Detalles movimientos'!D$5:D$1000, MATCH(45, 'Detalles movimientos'!$T$5:$T$1000, 0)), "")</f>
        <v/>
      </c>
      <c r="D54" s="19" t="str">
        <f>IFERROR(INDEX('Detalles movimientos'!E$5:E$1000, MATCH(45, 'Detalles movimientos'!$T$5:$T$1000, 0)), "")</f>
        <v/>
      </c>
      <c r="E54" s="19" t="str">
        <f>IFERROR(INDEX('Detalles movimientos'!F$5:F$1000, MATCH(45, 'Detalles movimientos'!$T$5:$T$1000, 0)), "")</f>
        <v/>
      </c>
      <c r="F54" s="18" t="str">
        <f>IFERROR(INDEX('Detalles movimientos'!G$5:G$1000, MATCH(45, 'Detalles movimientos'!$T$5:$T$1000, 0)), "")</f>
        <v/>
      </c>
      <c r="G54" s="20" t="str">
        <f>IFERROR(INDEX('Detalles movimientos'!H$5:H$1000, MATCH(45, 'Detalles movimientos'!$T$5:$T$1000, 0)), "")</f>
        <v/>
      </c>
      <c r="H54" s="21" t="str">
        <f>IFERROR(INDEX('Detalles movimientos'!I$5:I$1000, MATCH(45, 'Detalles movimientos'!$T$5:$T$1000, 0)), "")</f>
        <v/>
      </c>
      <c r="I54" s="20" t="str">
        <f>IFERROR(INDEX('Detalles movimientos'!K$5:K$1000, MATCH(45, 'Detalles movimientos'!$T$5:$T$1000, 0)), "")</f>
        <v/>
      </c>
      <c r="J54" s="19" t="str">
        <f>IFERROR(INDEX('Detalles movimientos'!L$5:L$1000, MATCH(45, 'Detalles movimientos'!$T$5:$T$1000, 0)), "")</f>
        <v/>
      </c>
      <c r="K54" s="20" t="str">
        <f>IFERROR(INDEX('Detalles movimientos'!M$5:M$1000, MATCH(45, 'Detalles movimientos'!$T$5:$T$1000, 0)), "")</f>
        <v/>
      </c>
      <c r="L54" s="18" t="str">
        <f>IFERROR(INDEX('Detalles movimientos'!N$5:N$1000, MATCH(45, 'Detalles movimientos'!$T$5:$T$1000, 0)), "")</f>
        <v/>
      </c>
      <c r="M54" s="18" t="str">
        <f>IFERROR(INDEX('Detalles movimientos'!Q$5:Q$1000, MATCH(45, 'Detalles movimientos'!$T$5:$T$1000, 0)), "")</f>
        <v/>
      </c>
    </row>
    <row r="55" spans="2:13">
      <c r="B55" s="17" t="str">
        <f>IFERROR(INDEX('Detalles movimientos'!C$5:C$1000, MATCH(46, 'Detalles movimientos'!$T$5:$T$1000, 0)), "")</f>
        <v/>
      </c>
      <c r="C55" s="18" t="str">
        <f>IFERROR(INDEX('Detalles movimientos'!D$5:D$1000, MATCH(46, 'Detalles movimientos'!$T$5:$T$1000, 0)), "")</f>
        <v/>
      </c>
      <c r="D55" s="19" t="str">
        <f>IFERROR(INDEX('Detalles movimientos'!E$5:E$1000, MATCH(46, 'Detalles movimientos'!$T$5:$T$1000, 0)), "")</f>
        <v/>
      </c>
      <c r="E55" s="19" t="str">
        <f>IFERROR(INDEX('Detalles movimientos'!F$5:F$1000, MATCH(46, 'Detalles movimientos'!$T$5:$T$1000, 0)), "")</f>
        <v/>
      </c>
      <c r="F55" s="18" t="str">
        <f>IFERROR(INDEX('Detalles movimientos'!G$5:G$1000, MATCH(46, 'Detalles movimientos'!$T$5:$T$1000, 0)), "")</f>
        <v/>
      </c>
      <c r="G55" s="20" t="str">
        <f>IFERROR(INDEX('Detalles movimientos'!H$5:H$1000, MATCH(46, 'Detalles movimientos'!$T$5:$T$1000, 0)), "")</f>
        <v/>
      </c>
      <c r="H55" s="21" t="str">
        <f>IFERROR(INDEX('Detalles movimientos'!I$5:I$1000, MATCH(46, 'Detalles movimientos'!$T$5:$T$1000, 0)), "")</f>
        <v/>
      </c>
      <c r="I55" s="20" t="str">
        <f>IFERROR(INDEX('Detalles movimientos'!K$5:K$1000, MATCH(46, 'Detalles movimientos'!$T$5:$T$1000, 0)), "")</f>
        <v/>
      </c>
      <c r="J55" s="19" t="str">
        <f>IFERROR(INDEX('Detalles movimientos'!L$5:L$1000, MATCH(46, 'Detalles movimientos'!$T$5:$T$1000, 0)), "")</f>
        <v/>
      </c>
      <c r="K55" s="20" t="str">
        <f>IFERROR(INDEX('Detalles movimientos'!M$5:M$1000, MATCH(46, 'Detalles movimientos'!$T$5:$T$1000, 0)), "")</f>
        <v/>
      </c>
      <c r="L55" s="18" t="str">
        <f>IFERROR(INDEX('Detalles movimientos'!N$5:N$1000, MATCH(46, 'Detalles movimientos'!$T$5:$T$1000, 0)), "")</f>
        <v/>
      </c>
      <c r="M55" s="18" t="str">
        <f>IFERROR(INDEX('Detalles movimientos'!Q$5:Q$1000, MATCH(46, 'Detalles movimientos'!$T$5:$T$1000, 0)), "")</f>
        <v/>
      </c>
    </row>
    <row r="56" spans="2:13">
      <c r="B56" s="17" t="str">
        <f>IFERROR(INDEX('Detalles movimientos'!C$5:C$1000, MATCH(47, 'Detalles movimientos'!$T$5:$T$1000, 0)), "")</f>
        <v/>
      </c>
      <c r="C56" s="18" t="str">
        <f>IFERROR(INDEX('Detalles movimientos'!D$5:D$1000, MATCH(47, 'Detalles movimientos'!$T$5:$T$1000, 0)), "")</f>
        <v/>
      </c>
      <c r="D56" s="19" t="str">
        <f>IFERROR(INDEX('Detalles movimientos'!E$5:E$1000, MATCH(47, 'Detalles movimientos'!$T$5:$T$1000, 0)), "")</f>
        <v/>
      </c>
      <c r="E56" s="19" t="str">
        <f>IFERROR(INDEX('Detalles movimientos'!F$5:F$1000, MATCH(47, 'Detalles movimientos'!$T$5:$T$1000, 0)), "")</f>
        <v/>
      </c>
      <c r="F56" s="18" t="str">
        <f>IFERROR(INDEX('Detalles movimientos'!G$5:G$1000, MATCH(47, 'Detalles movimientos'!$T$5:$T$1000, 0)), "")</f>
        <v/>
      </c>
      <c r="G56" s="20" t="str">
        <f>IFERROR(INDEX('Detalles movimientos'!H$5:H$1000, MATCH(47, 'Detalles movimientos'!$T$5:$T$1000, 0)), "")</f>
        <v/>
      </c>
      <c r="H56" s="21" t="str">
        <f>IFERROR(INDEX('Detalles movimientos'!I$5:I$1000, MATCH(47, 'Detalles movimientos'!$T$5:$T$1000, 0)), "")</f>
        <v/>
      </c>
      <c r="I56" s="20" t="str">
        <f>IFERROR(INDEX('Detalles movimientos'!K$5:K$1000, MATCH(47, 'Detalles movimientos'!$T$5:$T$1000, 0)), "")</f>
        <v/>
      </c>
      <c r="J56" s="19" t="str">
        <f>IFERROR(INDEX('Detalles movimientos'!L$5:L$1000, MATCH(47, 'Detalles movimientos'!$T$5:$T$1000, 0)), "")</f>
        <v/>
      </c>
      <c r="K56" s="20" t="str">
        <f>IFERROR(INDEX('Detalles movimientos'!M$5:M$1000, MATCH(47, 'Detalles movimientos'!$T$5:$T$1000, 0)), "")</f>
        <v/>
      </c>
      <c r="L56" s="18" t="str">
        <f>IFERROR(INDEX('Detalles movimientos'!N$5:N$1000, MATCH(47, 'Detalles movimientos'!$T$5:$T$1000, 0)), "")</f>
        <v/>
      </c>
      <c r="M56" s="18" t="str">
        <f>IFERROR(INDEX('Detalles movimientos'!Q$5:Q$1000, MATCH(47, 'Detalles movimientos'!$T$5:$T$1000, 0)), "")</f>
        <v/>
      </c>
    </row>
    <row r="57" spans="2:13">
      <c r="B57" s="17" t="str">
        <f>IFERROR(INDEX('Detalles movimientos'!C$5:C$1000, MATCH(48, 'Detalles movimientos'!$T$5:$T$1000, 0)), "")</f>
        <v/>
      </c>
      <c r="C57" s="18" t="str">
        <f>IFERROR(INDEX('Detalles movimientos'!D$5:D$1000, MATCH(48, 'Detalles movimientos'!$T$5:$T$1000, 0)), "")</f>
        <v/>
      </c>
      <c r="D57" s="19" t="str">
        <f>IFERROR(INDEX('Detalles movimientos'!E$5:E$1000, MATCH(48, 'Detalles movimientos'!$T$5:$T$1000, 0)), "")</f>
        <v/>
      </c>
      <c r="E57" s="19" t="str">
        <f>IFERROR(INDEX('Detalles movimientos'!F$5:F$1000, MATCH(48, 'Detalles movimientos'!$T$5:$T$1000, 0)), "")</f>
        <v/>
      </c>
      <c r="F57" s="18" t="str">
        <f>IFERROR(INDEX('Detalles movimientos'!G$5:G$1000, MATCH(48, 'Detalles movimientos'!$T$5:$T$1000, 0)), "")</f>
        <v/>
      </c>
      <c r="G57" s="20" t="str">
        <f>IFERROR(INDEX('Detalles movimientos'!H$5:H$1000, MATCH(48, 'Detalles movimientos'!$T$5:$T$1000, 0)), "")</f>
        <v/>
      </c>
      <c r="H57" s="21" t="str">
        <f>IFERROR(INDEX('Detalles movimientos'!I$5:I$1000, MATCH(48, 'Detalles movimientos'!$T$5:$T$1000, 0)), "")</f>
        <v/>
      </c>
      <c r="I57" s="20" t="str">
        <f>IFERROR(INDEX('Detalles movimientos'!K$5:K$1000, MATCH(48, 'Detalles movimientos'!$T$5:$T$1000, 0)), "")</f>
        <v/>
      </c>
      <c r="J57" s="19" t="str">
        <f>IFERROR(INDEX('Detalles movimientos'!L$5:L$1000, MATCH(48, 'Detalles movimientos'!$T$5:$T$1000, 0)), "")</f>
        <v/>
      </c>
      <c r="K57" s="20" t="str">
        <f>IFERROR(INDEX('Detalles movimientos'!M$5:M$1000, MATCH(48, 'Detalles movimientos'!$T$5:$T$1000, 0)), "")</f>
        <v/>
      </c>
      <c r="L57" s="18" t="str">
        <f>IFERROR(INDEX('Detalles movimientos'!N$5:N$1000, MATCH(48, 'Detalles movimientos'!$T$5:$T$1000, 0)), "")</f>
        <v/>
      </c>
      <c r="M57" s="18" t="str">
        <f>IFERROR(INDEX('Detalles movimientos'!Q$5:Q$1000, MATCH(48, 'Detalles movimientos'!$T$5:$T$1000, 0)), "")</f>
        <v/>
      </c>
    </row>
    <row r="58" spans="2:13">
      <c r="B58" s="17" t="str">
        <f>IFERROR(INDEX('Detalles movimientos'!C$5:C$1000, MATCH(49, 'Detalles movimientos'!$T$5:$T$1000, 0)), "")</f>
        <v/>
      </c>
      <c r="C58" s="18" t="str">
        <f>IFERROR(INDEX('Detalles movimientos'!D$5:D$1000, MATCH(49, 'Detalles movimientos'!$T$5:$T$1000, 0)), "")</f>
        <v/>
      </c>
      <c r="D58" s="19" t="str">
        <f>IFERROR(INDEX('Detalles movimientos'!E$5:E$1000, MATCH(49, 'Detalles movimientos'!$T$5:$T$1000, 0)), "")</f>
        <v/>
      </c>
      <c r="E58" s="19" t="str">
        <f>IFERROR(INDEX('Detalles movimientos'!F$5:F$1000, MATCH(49, 'Detalles movimientos'!$T$5:$T$1000, 0)), "")</f>
        <v/>
      </c>
      <c r="F58" s="18" t="str">
        <f>IFERROR(INDEX('Detalles movimientos'!G$5:G$1000, MATCH(49, 'Detalles movimientos'!$T$5:$T$1000, 0)), "")</f>
        <v/>
      </c>
      <c r="G58" s="20" t="str">
        <f>IFERROR(INDEX('Detalles movimientos'!H$5:H$1000, MATCH(49, 'Detalles movimientos'!$T$5:$T$1000, 0)), "")</f>
        <v/>
      </c>
      <c r="H58" s="21" t="str">
        <f>IFERROR(INDEX('Detalles movimientos'!I$5:I$1000, MATCH(49, 'Detalles movimientos'!$T$5:$T$1000, 0)), "")</f>
        <v/>
      </c>
      <c r="I58" s="20" t="str">
        <f>IFERROR(INDEX('Detalles movimientos'!K$5:K$1000, MATCH(49, 'Detalles movimientos'!$T$5:$T$1000, 0)), "")</f>
        <v/>
      </c>
      <c r="J58" s="19" t="str">
        <f>IFERROR(INDEX('Detalles movimientos'!L$5:L$1000, MATCH(49, 'Detalles movimientos'!$T$5:$T$1000, 0)), "")</f>
        <v/>
      </c>
      <c r="K58" s="20" t="str">
        <f>IFERROR(INDEX('Detalles movimientos'!M$5:M$1000, MATCH(49, 'Detalles movimientos'!$T$5:$T$1000, 0)), "")</f>
        <v/>
      </c>
      <c r="L58" s="18" t="str">
        <f>IFERROR(INDEX('Detalles movimientos'!N$5:N$1000, MATCH(49, 'Detalles movimientos'!$T$5:$T$1000, 0)), "")</f>
        <v/>
      </c>
      <c r="M58" s="18" t="str">
        <f>IFERROR(INDEX('Detalles movimientos'!Q$5:Q$1000, MATCH(49, 'Detalles movimientos'!$T$5:$T$1000, 0)), "")</f>
        <v/>
      </c>
    </row>
    <row r="59" spans="2:13">
      <c r="B59" s="17" t="str">
        <f>IFERROR(INDEX('Detalles movimientos'!C$5:C$1000, MATCH(50, 'Detalles movimientos'!$T$5:$T$1000, 0)), "")</f>
        <v/>
      </c>
      <c r="C59" s="18" t="str">
        <f>IFERROR(INDEX('Detalles movimientos'!D$5:D$1000, MATCH(50, 'Detalles movimientos'!$T$5:$T$1000, 0)), "")</f>
        <v/>
      </c>
      <c r="D59" s="19" t="str">
        <f>IFERROR(INDEX('Detalles movimientos'!E$5:E$1000, MATCH(50, 'Detalles movimientos'!$T$5:$T$1000, 0)), "")</f>
        <v/>
      </c>
      <c r="E59" s="19" t="str">
        <f>IFERROR(INDEX('Detalles movimientos'!F$5:F$1000, MATCH(50, 'Detalles movimientos'!$T$5:$T$1000, 0)), "")</f>
        <v/>
      </c>
      <c r="F59" s="18" t="str">
        <f>IFERROR(INDEX('Detalles movimientos'!G$5:G$1000, MATCH(50, 'Detalles movimientos'!$T$5:$T$1000, 0)), "")</f>
        <v/>
      </c>
      <c r="G59" s="20" t="str">
        <f>IFERROR(INDEX('Detalles movimientos'!H$5:H$1000, MATCH(50, 'Detalles movimientos'!$T$5:$T$1000, 0)), "")</f>
        <v/>
      </c>
      <c r="H59" s="21" t="str">
        <f>IFERROR(INDEX('Detalles movimientos'!I$5:I$1000, MATCH(50, 'Detalles movimientos'!$T$5:$T$1000, 0)), "")</f>
        <v/>
      </c>
      <c r="I59" s="20" t="str">
        <f>IFERROR(INDEX('Detalles movimientos'!K$5:K$1000, MATCH(50, 'Detalles movimientos'!$T$5:$T$1000, 0)), "")</f>
        <v/>
      </c>
      <c r="J59" s="19" t="str">
        <f>IFERROR(INDEX('Detalles movimientos'!L$5:L$1000, MATCH(50, 'Detalles movimientos'!$T$5:$T$1000, 0)), "")</f>
        <v/>
      </c>
      <c r="K59" s="20" t="str">
        <f>IFERROR(INDEX('Detalles movimientos'!M$5:M$1000, MATCH(50, 'Detalles movimientos'!$T$5:$T$1000, 0)), "")</f>
        <v/>
      </c>
      <c r="L59" s="18" t="str">
        <f>IFERROR(INDEX('Detalles movimientos'!N$5:N$1000, MATCH(50, 'Detalles movimientos'!$T$5:$T$1000, 0)), "")</f>
        <v/>
      </c>
      <c r="M59" s="18" t="str">
        <f>IFERROR(INDEX('Detalles movimientos'!Q$5:Q$1000, MATCH(50, 'Detalles movimientos'!$T$5:$T$1000, 0)), "")</f>
        <v/>
      </c>
    </row>
    <row r="60" spans="2:13">
      <c r="B60" s="17" t="str">
        <f>IFERROR(INDEX('Detalles movimientos'!C$5:C$1000, MATCH(51, 'Detalles movimientos'!$T$5:$T$1000, 0)), "")</f>
        <v/>
      </c>
      <c r="C60" s="18" t="str">
        <f>IFERROR(INDEX('Detalles movimientos'!D$5:D$1000, MATCH(51, 'Detalles movimientos'!$T$5:$T$1000, 0)), "")</f>
        <v/>
      </c>
      <c r="D60" s="19" t="str">
        <f>IFERROR(INDEX('Detalles movimientos'!E$5:E$1000, MATCH(51, 'Detalles movimientos'!$T$5:$T$1000, 0)), "")</f>
        <v/>
      </c>
      <c r="E60" s="19" t="str">
        <f>IFERROR(INDEX('Detalles movimientos'!F$5:F$1000, MATCH(51, 'Detalles movimientos'!$T$5:$T$1000, 0)), "")</f>
        <v/>
      </c>
      <c r="F60" s="18" t="str">
        <f>IFERROR(INDEX('Detalles movimientos'!G$5:G$1000, MATCH(51, 'Detalles movimientos'!$T$5:$T$1000, 0)), "")</f>
        <v/>
      </c>
      <c r="G60" s="20" t="str">
        <f>IFERROR(INDEX('Detalles movimientos'!H$5:H$1000, MATCH(51, 'Detalles movimientos'!$T$5:$T$1000, 0)), "")</f>
        <v/>
      </c>
      <c r="H60" s="21" t="str">
        <f>IFERROR(INDEX('Detalles movimientos'!I$5:I$1000, MATCH(51, 'Detalles movimientos'!$T$5:$T$1000, 0)), "")</f>
        <v/>
      </c>
      <c r="I60" s="20" t="str">
        <f>IFERROR(INDEX('Detalles movimientos'!K$5:K$1000, MATCH(51, 'Detalles movimientos'!$T$5:$T$1000, 0)), "")</f>
        <v/>
      </c>
      <c r="J60" s="19" t="str">
        <f>IFERROR(INDEX('Detalles movimientos'!L$5:L$1000, MATCH(51, 'Detalles movimientos'!$T$5:$T$1000, 0)), "")</f>
        <v/>
      </c>
      <c r="K60" s="20" t="str">
        <f>IFERROR(INDEX('Detalles movimientos'!M$5:M$1000, MATCH(51, 'Detalles movimientos'!$T$5:$T$1000, 0)), "")</f>
        <v/>
      </c>
      <c r="L60" s="18" t="str">
        <f>IFERROR(INDEX('Detalles movimientos'!N$5:N$1000, MATCH(51, 'Detalles movimientos'!$T$5:$T$1000, 0)), "")</f>
        <v/>
      </c>
      <c r="M60" s="18" t="str">
        <f>IFERROR(INDEX('Detalles movimientos'!Q$5:Q$1000, MATCH(51, 'Detalles movimientos'!$T$5:$T$1000, 0)), "")</f>
        <v/>
      </c>
    </row>
    <row r="61" spans="2:13">
      <c r="B61" s="17" t="str">
        <f>IFERROR(INDEX('Detalles movimientos'!C$5:C$1000, MATCH(52, 'Detalles movimientos'!$T$5:$T$1000, 0)), "")</f>
        <v/>
      </c>
      <c r="C61" s="18" t="str">
        <f>IFERROR(INDEX('Detalles movimientos'!D$5:D$1000, MATCH(52, 'Detalles movimientos'!$T$5:$T$1000, 0)), "")</f>
        <v/>
      </c>
      <c r="D61" s="19" t="str">
        <f>IFERROR(INDEX('Detalles movimientos'!E$5:E$1000, MATCH(52, 'Detalles movimientos'!$T$5:$T$1000, 0)), "")</f>
        <v/>
      </c>
      <c r="E61" s="19" t="str">
        <f>IFERROR(INDEX('Detalles movimientos'!F$5:F$1000, MATCH(52, 'Detalles movimientos'!$T$5:$T$1000, 0)), "")</f>
        <v/>
      </c>
      <c r="F61" s="18" t="str">
        <f>IFERROR(INDEX('Detalles movimientos'!G$5:G$1000, MATCH(52, 'Detalles movimientos'!$T$5:$T$1000, 0)), "")</f>
        <v/>
      </c>
      <c r="G61" s="20" t="str">
        <f>IFERROR(INDEX('Detalles movimientos'!H$5:H$1000, MATCH(52, 'Detalles movimientos'!$T$5:$T$1000, 0)), "")</f>
        <v/>
      </c>
      <c r="H61" s="21" t="str">
        <f>IFERROR(INDEX('Detalles movimientos'!I$5:I$1000, MATCH(52, 'Detalles movimientos'!$T$5:$T$1000, 0)), "")</f>
        <v/>
      </c>
      <c r="I61" s="20" t="str">
        <f>IFERROR(INDEX('Detalles movimientos'!K$5:K$1000, MATCH(52, 'Detalles movimientos'!$T$5:$T$1000, 0)), "")</f>
        <v/>
      </c>
      <c r="J61" s="19" t="str">
        <f>IFERROR(INDEX('Detalles movimientos'!L$5:L$1000, MATCH(52, 'Detalles movimientos'!$T$5:$T$1000, 0)), "")</f>
        <v/>
      </c>
      <c r="K61" s="20" t="str">
        <f>IFERROR(INDEX('Detalles movimientos'!M$5:M$1000, MATCH(52, 'Detalles movimientos'!$T$5:$T$1000, 0)), "")</f>
        <v/>
      </c>
      <c r="L61" s="18" t="str">
        <f>IFERROR(INDEX('Detalles movimientos'!N$5:N$1000, MATCH(52, 'Detalles movimientos'!$T$5:$T$1000, 0)), "")</f>
        <v/>
      </c>
      <c r="M61" s="18" t="str">
        <f>IFERROR(INDEX('Detalles movimientos'!Q$5:Q$1000, MATCH(52, 'Detalles movimientos'!$T$5:$T$1000, 0)), "")</f>
        <v/>
      </c>
    </row>
    <row r="62" spans="2:13">
      <c r="B62" s="17" t="str">
        <f>IFERROR(INDEX('Detalles movimientos'!C$5:C$1000, MATCH(53, 'Detalles movimientos'!$T$5:$T$1000, 0)), "")</f>
        <v/>
      </c>
      <c r="C62" s="18" t="str">
        <f>IFERROR(INDEX('Detalles movimientos'!D$5:D$1000, MATCH(53, 'Detalles movimientos'!$T$5:$T$1000, 0)), "")</f>
        <v/>
      </c>
      <c r="D62" s="19" t="str">
        <f>IFERROR(INDEX('Detalles movimientos'!E$5:E$1000, MATCH(53, 'Detalles movimientos'!$T$5:$T$1000, 0)), "")</f>
        <v/>
      </c>
      <c r="E62" s="19" t="str">
        <f>IFERROR(INDEX('Detalles movimientos'!F$5:F$1000, MATCH(53, 'Detalles movimientos'!$T$5:$T$1000, 0)), "")</f>
        <v/>
      </c>
      <c r="F62" s="18" t="str">
        <f>IFERROR(INDEX('Detalles movimientos'!G$5:G$1000, MATCH(53, 'Detalles movimientos'!$T$5:$T$1000, 0)), "")</f>
        <v/>
      </c>
      <c r="G62" s="20" t="str">
        <f>IFERROR(INDEX('Detalles movimientos'!H$5:H$1000, MATCH(53, 'Detalles movimientos'!$T$5:$T$1000, 0)), "")</f>
        <v/>
      </c>
      <c r="H62" s="21" t="str">
        <f>IFERROR(INDEX('Detalles movimientos'!I$5:I$1000, MATCH(53, 'Detalles movimientos'!$T$5:$T$1000, 0)), "")</f>
        <v/>
      </c>
      <c r="I62" s="20" t="str">
        <f>IFERROR(INDEX('Detalles movimientos'!K$5:K$1000, MATCH(53, 'Detalles movimientos'!$T$5:$T$1000, 0)), "")</f>
        <v/>
      </c>
      <c r="J62" s="19" t="str">
        <f>IFERROR(INDEX('Detalles movimientos'!L$5:L$1000, MATCH(53, 'Detalles movimientos'!$T$5:$T$1000, 0)), "")</f>
        <v/>
      </c>
      <c r="K62" s="20" t="str">
        <f>IFERROR(INDEX('Detalles movimientos'!M$5:M$1000, MATCH(53, 'Detalles movimientos'!$T$5:$T$1000, 0)), "")</f>
        <v/>
      </c>
      <c r="L62" s="18" t="str">
        <f>IFERROR(INDEX('Detalles movimientos'!N$5:N$1000, MATCH(53, 'Detalles movimientos'!$T$5:$T$1000, 0)), "")</f>
        <v/>
      </c>
      <c r="M62" s="18" t="str">
        <f>IFERROR(INDEX('Detalles movimientos'!Q$5:Q$1000, MATCH(53, 'Detalles movimientos'!$T$5:$T$1000, 0)), "")</f>
        <v/>
      </c>
    </row>
    <row r="63" spans="2:13">
      <c r="B63" s="17" t="str">
        <f>IFERROR(INDEX('Detalles movimientos'!C$5:C$1000, MATCH(54, 'Detalles movimientos'!$T$5:$T$1000, 0)), "")</f>
        <v/>
      </c>
      <c r="C63" s="18" t="str">
        <f>IFERROR(INDEX('Detalles movimientos'!D$5:D$1000, MATCH(54, 'Detalles movimientos'!$T$5:$T$1000, 0)), "")</f>
        <v/>
      </c>
      <c r="D63" s="19" t="str">
        <f>IFERROR(INDEX('Detalles movimientos'!E$5:E$1000, MATCH(54, 'Detalles movimientos'!$T$5:$T$1000, 0)), "")</f>
        <v/>
      </c>
      <c r="E63" s="19" t="str">
        <f>IFERROR(INDEX('Detalles movimientos'!F$5:F$1000, MATCH(54, 'Detalles movimientos'!$T$5:$T$1000, 0)), "")</f>
        <v/>
      </c>
      <c r="F63" s="18" t="str">
        <f>IFERROR(INDEX('Detalles movimientos'!G$5:G$1000, MATCH(54, 'Detalles movimientos'!$T$5:$T$1000, 0)), "")</f>
        <v/>
      </c>
      <c r="G63" s="20" t="str">
        <f>IFERROR(INDEX('Detalles movimientos'!H$5:H$1000, MATCH(54, 'Detalles movimientos'!$T$5:$T$1000, 0)), "")</f>
        <v/>
      </c>
      <c r="H63" s="21" t="str">
        <f>IFERROR(INDEX('Detalles movimientos'!I$5:I$1000, MATCH(54, 'Detalles movimientos'!$T$5:$T$1000, 0)), "")</f>
        <v/>
      </c>
      <c r="I63" s="20" t="str">
        <f>IFERROR(INDEX('Detalles movimientos'!K$5:K$1000, MATCH(54, 'Detalles movimientos'!$T$5:$T$1000, 0)), "")</f>
        <v/>
      </c>
      <c r="J63" s="19" t="str">
        <f>IFERROR(INDEX('Detalles movimientos'!L$5:L$1000, MATCH(54, 'Detalles movimientos'!$T$5:$T$1000, 0)), "")</f>
        <v/>
      </c>
      <c r="K63" s="20" t="str">
        <f>IFERROR(INDEX('Detalles movimientos'!M$5:M$1000, MATCH(54, 'Detalles movimientos'!$T$5:$T$1000, 0)), "")</f>
        <v/>
      </c>
      <c r="L63" s="18" t="str">
        <f>IFERROR(INDEX('Detalles movimientos'!N$5:N$1000, MATCH(54, 'Detalles movimientos'!$T$5:$T$1000, 0)), "")</f>
        <v/>
      </c>
      <c r="M63" s="18" t="str">
        <f>IFERROR(INDEX('Detalles movimientos'!Q$5:Q$1000, MATCH(54, 'Detalles movimientos'!$T$5:$T$1000, 0)), "")</f>
        <v/>
      </c>
    </row>
    <row r="64" spans="2:13">
      <c r="B64" s="17" t="str">
        <f>IFERROR(INDEX('Detalles movimientos'!C$5:C$1000, MATCH(55, 'Detalles movimientos'!$T$5:$T$1000, 0)), "")</f>
        <v/>
      </c>
      <c r="C64" s="18" t="str">
        <f>IFERROR(INDEX('Detalles movimientos'!D$5:D$1000, MATCH(55, 'Detalles movimientos'!$T$5:$T$1000, 0)), "")</f>
        <v/>
      </c>
      <c r="D64" s="19" t="str">
        <f>IFERROR(INDEX('Detalles movimientos'!E$5:E$1000, MATCH(55, 'Detalles movimientos'!$T$5:$T$1000, 0)), "")</f>
        <v/>
      </c>
      <c r="E64" s="19" t="str">
        <f>IFERROR(INDEX('Detalles movimientos'!F$5:F$1000, MATCH(55, 'Detalles movimientos'!$T$5:$T$1000, 0)), "")</f>
        <v/>
      </c>
      <c r="F64" s="18" t="str">
        <f>IFERROR(INDEX('Detalles movimientos'!G$5:G$1000, MATCH(55, 'Detalles movimientos'!$T$5:$T$1000, 0)), "")</f>
        <v/>
      </c>
      <c r="G64" s="20" t="str">
        <f>IFERROR(INDEX('Detalles movimientos'!H$5:H$1000, MATCH(55, 'Detalles movimientos'!$T$5:$T$1000, 0)), "")</f>
        <v/>
      </c>
      <c r="H64" s="21" t="str">
        <f>IFERROR(INDEX('Detalles movimientos'!I$5:I$1000, MATCH(55, 'Detalles movimientos'!$T$5:$T$1000, 0)), "")</f>
        <v/>
      </c>
      <c r="I64" s="20" t="str">
        <f>IFERROR(INDEX('Detalles movimientos'!K$5:K$1000, MATCH(55, 'Detalles movimientos'!$T$5:$T$1000, 0)), "")</f>
        <v/>
      </c>
      <c r="J64" s="19" t="str">
        <f>IFERROR(INDEX('Detalles movimientos'!L$5:L$1000, MATCH(55, 'Detalles movimientos'!$T$5:$T$1000, 0)), "")</f>
        <v/>
      </c>
      <c r="K64" s="20" t="str">
        <f>IFERROR(INDEX('Detalles movimientos'!M$5:M$1000, MATCH(55, 'Detalles movimientos'!$T$5:$T$1000, 0)), "")</f>
        <v/>
      </c>
      <c r="L64" s="18" t="str">
        <f>IFERROR(INDEX('Detalles movimientos'!N$5:N$1000, MATCH(55, 'Detalles movimientos'!$T$5:$T$1000, 0)), "")</f>
        <v/>
      </c>
      <c r="M64" s="18" t="str">
        <f>IFERROR(INDEX('Detalles movimientos'!Q$5:Q$1000, MATCH(55, 'Detalles movimientos'!$T$5:$T$1000, 0)), "")</f>
        <v/>
      </c>
    </row>
    <row r="65" spans="2:13">
      <c r="B65" s="17" t="str">
        <f>IFERROR(INDEX('Detalles movimientos'!C$5:C$1000, MATCH(56, 'Detalles movimientos'!$T$5:$T$1000, 0)), "")</f>
        <v/>
      </c>
      <c r="C65" s="18" t="str">
        <f>IFERROR(INDEX('Detalles movimientos'!D$5:D$1000, MATCH(56, 'Detalles movimientos'!$T$5:$T$1000, 0)), "")</f>
        <v/>
      </c>
      <c r="D65" s="19" t="str">
        <f>IFERROR(INDEX('Detalles movimientos'!E$5:E$1000, MATCH(56, 'Detalles movimientos'!$T$5:$T$1000, 0)), "")</f>
        <v/>
      </c>
      <c r="E65" s="19" t="str">
        <f>IFERROR(INDEX('Detalles movimientos'!F$5:F$1000, MATCH(56, 'Detalles movimientos'!$T$5:$T$1000, 0)), "")</f>
        <v/>
      </c>
      <c r="F65" s="18" t="str">
        <f>IFERROR(INDEX('Detalles movimientos'!G$5:G$1000, MATCH(56, 'Detalles movimientos'!$T$5:$T$1000, 0)), "")</f>
        <v/>
      </c>
      <c r="G65" s="20" t="str">
        <f>IFERROR(INDEX('Detalles movimientos'!H$5:H$1000, MATCH(56, 'Detalles movimientos'!$T$5:$T$1000, 0)), "")</f>
        <v/>
      </c>
      <c r="H65" s="21" t="str">
        <f>IFERROR(INDEX('Detalles movimientos'!I$5:I$1000, MATCH(56, 'Detalles movimientos'!$T$5:$T$1000, 0)), "")</f>
        <v/>
      </c>
      <c r="I65" s="20" t="str">
        <f>IFERROR(INDEX('Detalles movimientos'!K$5:K$1000, MATCH(56, 'Detalles movimientos'!$T$5:$T$1000, 0)), "")</f>
        <v/>
      </c>
      <c r="J65" s="19" t="str">
        <f>IFERROR(INDEX('Detalles movimientos'!L$5:L$1000, MATCH(56, 'Detalles movimientos'!$T$5:$T$1000, 0)), "")</f>
        <v/>
      </c>
      <c r="K65" s="20" t="str">
        <f>IFERROR(INDEX('Detalles movimientos'!M$5:M$1000, MATCH(56, 'Detalles movimientos'!$T$5:$T$1000, 0)), "")</f>
        <v/>
      </c>
      <c r="L65" s="18" t="str">
        <f>IFERROR(INDEX('Detalles movimientos'!N$5:N$1000, MATCH(56, 'Detalles movimientos'!$T$5:$T$1000, 0)), "")</f>
        <v/>
      </c>
      <c r="M65" s="18" t="str">
        <f>IFERROR(INDEX('Detalles movimientos'!Q$5:Q$1000, MATCH(56, 'Detalles movimientos'!$T$5:$T$1000, 0)), "")</f>
        <v/>
      </c>
    </row>
    <row r="66" spans="2:13">
      <c r="B66" s="17" t="str">
        <f>IFERROR(INDEX('Detalles movimientos'!C$5:C$1000, MATCH(57, 'Detalles movimientos'!$T$5:$T$1000, 0)), "")</f>
        <v/>
      </c>
      <c r="C66" s="18" t="str">
        <f>IFERROR(INDEX('Detalles movimientos'!D$5:D$1000, MATCH(57, 'Detalles movimientos'!$T$5:$T$1000, 0)), "")</f>
        <v/>
      </c>
      <c r="D66" s="19" t="str">
        <f>IFERROR(INDEX('Detalles movimientos'!E$5:E$1000, MATCH(57, 'Detalles movimientos'!$T$5:$T$1000, 0)), "")</f>
        <v/>
      </c>
      <c r="E66" s="19" t="str">
        <f>IFERROR(INDEX('Detalles movimientos'!F$5:F$1000, MATCH(57, 'Detalles movimientos'!$T$5:$T$1000, 0)), "")</f>
        <v/>
      </c>
      <c r="F66" s="18" t="str">
        <f>IFERROR(INDEX('Detalles movimientos'!G$5:G$1000, MATCH(57, 'Detalles movimientos'!$T$5:$T$1000, 0)), "")</f>
        <v/>
      </c>
      <c r="G66" s="20" t="str">
        <f>IFERROR(INDEX('Detalles movimientos'!H$5:H$1000, MATCH(57, 'Detalles movimientos'!$T$5:$T$1000, 0)), "")</f>
        <v/>
      </c>
      <c r="H66" s="21" t="str">
        <f>IFERROR(INDEX('Detalles movimientos'!I$5:I$1000, MATCH(57, 'Detalles movimientos'!$T$5:$T$1000, 0)), "")</f>
        <v/>
      </c>
      <c r="I66" s="20" t="str">
        <f>IFERROR(INDEX('Detalles movimientos'!K$5:K$1000, MATCH(57, 'Detalles movimientos'!$T$5:$T$1000, 0)), "")</f>
        <v/>
      </c>
      <c r="J66" s="19" t="str">
        <f>IFERROR(INDEX('Detalles movimientos'!L$5:L$1000, MATCH(57, 'Detalles movimientos'!$T$5:$T$1000, 0)), "")</f>
        <v/>
      </c>
      <c r="K66" s="20" t="str">
        <f>IFERROR(INDEX('Detalles movimientos'!M$5:M$1000, MATCH(57, 'Detalles movimientos'!$T$5:$T$1000, 0)), "")</f>
        <v/>
      </c>
      <c r="L66" s="18" t="str">
        <f>IFERROR(INDEX('Detalles movimientos'!N$5:N$1000, MATCH(57, 'Detalles movimientos'!$T$5:$T$1000, 0)), "")</f>
        <v/>
      </c>
      <c r="M66" s="18" t="str">
        <f>IFERROR(INDEX('Detalles movimientos'!Q$5:Q$1000, MATCH(57, 'Detalles movimientos'!$T$5:$T$1000, 0)), "")</f>
        <v/>
      </c>
    </row>
    <row r="67" spans="2:13">
      <c r="B67" s="17" t="str">
        <f>IFERROR(INDEX('Detalles movimientos'!C$5:C$1000, MATCH(58, 'Detalles movimientos'!$T$5:$T$1000, 0)), "")</f>
        <v/>
      </c>
      <c r="C67" s="18" t="str">
        <f>IFERROR(INDEX('Detalles movimientos'!D$5:D$1000, MATCH(58, 'Detalles movimientos'!$T$5:$T$1000, 0)), "")</f>
        <v/>
      </c>
      <c r="D67" s="19" t="str">
        <f>IFERROR(INDEX('Detalles movimientos'!E$5:E$1000, MATCH(58, 'Detalles movimientos'!$T$5:$T$1000, 0)), "")</f>
        <v/>
      </c>
      <c r="E67" s="19" t="str">
        <f>IFERROR(INDEX('Detalles movimientos'!F$5:F$1000, MATCH(58, 'Detalles movimientos'!$T$5:$T$1000, 0)), "")</f>
        <v/>
      </c>
      <c r="F67" s="18" t="str">
        <f>IFERROR(INDEX('Detalles movimientos'!G$5:G$1000, MATCH(58, 'Detalles movimientos'!$T$5:$T$1000, 0)), "")</f>
        <v/>
      </c>
      <c r="G67" s="20" t="str">
        <f>IFERROR(INDEX('Detalles movimientos'!H$5:H$1000, MATCH(58, 'Detalles movimientos'!$T$5:$T$1000, 0)), "")</f>
        <v/>
      </c>
      <c r="H67" s="21" t="str">
        <f>IFERROR(INDEX('Detalles movimientos'!I$5:I$1000, MATCH(58, 'Detalles movimientos'!$T$5:$T$1000, 0)), "")</f>
        <v/>
      </c>
      <c r="I67" s="20" t="str">
        <f>IFERROR(INDEX('Detalles movimientos'!K$5:K$1000, MATCH(58, 'Detalles movimientos'!$T$5:$T$1000, 0)), "")</f>
        <v/>
      </c>
      <c r="J67" s="19" t="str">
        <f>IFERROR(INDEX('Detalles movimientos'!L$5:L$1000, MATCH(58, 'Detalles movimientos'!$T$5:$T$1000, 0)), "")</f>
        <v/>
      </c>
      <c r="K67" s="20" t="str">
        <f>IFERROR(INDEX('Detalles movimientos'!M$5:M$1000, MATCH(58, 'Detalles movimientos'!$T$5:$T$1000, 0)), "")</f>
        <v/>
      </c>
      <c r="L67" s="18" t="str">
        <f>IFERROR(INDEX('Detalles movimientos'!N$5:N$1000, MATCH(58, 'Detalles movimientos'!$T$5:$T$1000, 0)), "")</f>
        <v/>
      </c>
      <c r="M67" s="18" t="str">
        <f>IFERROR(INDEX('Detalles movimientos'!Q$5:Q$1000, MATCH(58, 'Detalles movimientos'!$T$5:$T$1000, 0)), "")</f>
        <v/>
      </c>
    </row>
    <row r="68" spans="2:13">
      <c r="B68" s="17" t="str">
        <f>IFERROR(INDEX('Detalles movimientos'!C$5:C$1000, MATCH(59, 'Detalles movimientos'!$T$5:$T$1000, 0)), "")</f>
        <v/>
      </c>
      <c r="C68" s="18" t="str">
        <f>IFERROR(INDEX('Detalles movimientos'!D$5:D$1000, MATCH(59, 'Detalles movimientos'!$T$5:$T$1000, 0)), "")</f>
        <v/>
      </c>
      <c r="D68" s="19" t="str">
        <f>IFERROR(INDEX('Detalles movimientos'!E$5:E$1000, MATCH(59, 'Detalles movimientos'!$T$5:$T$1000, 0)), "")</f>
        <v/>
      </c>
      <c r="E68" s="19" t="str">
        <f>IFERROR(INDEX('Detalles movimientos'!F$5:F$1000, MATCH(59, 'Detalles movimientos'!$T$5:$T$1000, 0)), "")</f>
        <v/>
      </c>
      <c r="F68" s="18" t="str">
        <f>IFERROR(INDEX('Detalles movimientos'!G$5:G$1000, MATCH(59, 'Detalles movimientos'!$T$5:$T$1000, 0)), "")</f>
        <v/>
      </c>
      <c r="G68" s="20" t="str">
        <f>IFERROR(INDEX('Detalles movimientos'!H$5:H$1000, MATCH(59, 'Detalles movimientos'!$T$5:$T$1000, 0)), "")</f>
        <v/>
      </c>
      <c r="H68" s="21" t="str">
        <f>IFERROR(INDEX('Detalles movimientos'!I$5:I$1000, MATCH(59, 'Detalles movimientos'!$T$5:$T$1000, 0)), "")</f>
        <v/>
      </c>
      <c r="I68" s="20" t="str">
        <f>IFERROR(INDEX('Detalles movimientos'!K$5:K$1000, MATCH(59, 'Detalles movimientos'!$T$5:$T$1000, 0)), "")</f>
        <v/>
      </c>
      <c r="J68" s="19" t="str">
        <f>IFERROR(INDEX('Detalles movimientos'!L$5:L$1000, MATCH(59, 'Detalles movimientos'!$T$5:$T$1000, 0)), "")</f>
        <v/>
      </c>
      <c r="K68" s="20" t="str">
        <f>IFERROR(INDEX('Detalles movimientos'!M$5:M$1000, MATCH(59, 'Detalles movimientos'!$T$5:$T$1000, 0)), "")</f>
        <v/>
      </c>
      <c r="L68" s="18" t="str">
        <f>IFERROR(INDEX('Detalles movimientos'!N$5:N$1000, MATCH(59, 'Detalles movimientos'!$T$5:$T$1000, 0)), "")</f>
        <v/>
      </c>
      <c r="M68" s="18" t="str">
        <f>IFERROR(INDEX('Detalles movimientos'!Q$5:Q$1000, MATCH(59, 'Detalles movimientos'!$T$5:$T$1000, 0)), "")</f>
        <v/>
      </c>
    </row>
    <row r="69" spans="2:13">
      <c r="B69" s="17" t="str">
        <f>IFERROR(INDEX('Detalles movimientos'!C$5:C$1000, MATCH(60, 'Detalles movimientos'!$T$5:$T$1000, 0)), "")</f>
        <v/>
      </c>
      <c r="C69" s="18" t="str">
        <f>IFERROR(INDEX('Detalles movimientos'!D$5:D$1000, MATCH(60, 'Detalles movimientos'!$T$5:$T$1000, 0)), "")</f>
        <v/>
      </c>
      <c r="D69" s="19" t="str">
        <f>IFERROR(INDEX('Detalles movimientos'!E$5:E$1000, MATCH(60, 'Detalles movimientos'!$T$5:$T$1000, 0)), "")</f>
        <v/>
      </c>
      <c r="E69" s="19" t="str">
        <f>IFERROR(INDEX('Detalles movimientos'!F$5:F$1000, MATCH(60, 'Detalles movimientos'!$T$5:$T$1000, 0)), "")</f>
        <v/>
      </c>
      <c r="F69" s="18" t="str">
        <f>IFERROR(INDEX('Detalles movimientos'!G$5:G$1000, MATCH(60, 'Detalles movimientos'!$T$5:$T$1000, 0)), "")</f>
        <v/>
      </c>
      <c r="G69" s="20" t="str">
        <f>IFERROR(INDEX('Detalles movimientos'!H$5:H$1000, MATCH(60, 'Detalles movimientos'!$T$5:$T$1000, 0)), "")</f>
        <v/>
      </c>
      <c r="H69" s="21" t="str">
        <f>IFERROR(INDEX('Detalles movimientos'!I$5:I$1000, MATCH(60, 'Detalles movimientos'!$T$5:$T$1000, 0)), "")</f>
        <v/>
      </c>
      <c r="I69" s="20" t="str">
        <f>IFERROR(INDEX('Detalles movimientos'!K$5:K$1000, MATCH(60, 'Detalles movimientos'!$T$5:$T$1000, 0)), "")</f>
        <v/>
      </c>
      <c r="J69" s="19" t="str">
        <f>IFERROR(INDEX('Detalles movimientos'!L$5:L$1000, MATCH(60, 'Detalles movimientos'!$T$5:$T$1000, 0)), "")</f>
        <v/>
      </c>
      <c r="K69" s="20" t="str">
        <f>IFERROR(INDEX('Detalles movimientos'!M$5:M$1000, MATCH(60, 'Detalles movimientos'!$T$5:$T$1000, 0)), "")</f>
        <v/>
      </c>
      <c r="L69" s="18" t="str">
        <f>IFERROR(INDEX('Detalles movimientos'!N$5:N$1000, MATCH(60, 'Detalles movimientos'!$T$5:$T$1000, 0)), "")</f>
        <v/>
      </c>
      <c r="M69" s="18" t="str">
        <f>IFERROR(INDEX('Detalles movimientos'!Q$5:Q$1000, MATCH(60, 'Detalles movimientos'!$T$5:$T$1000, 0)), "")</f>
        <v/>
      </c>
    </row>
    <row r="70" spans="2:13">
      <c r="B70" s="17" t="str">
        <f>IFERROR(INDEX('Detalles movimientos'!C$5:C$1000, MATCH(61, 'Detalles movimientos'!$T$5:$T$1000, 0)), "")</f>
        <v/>
      </c>
      <c r="C70" s="18" t="str">
        <f>IFERROR(INDEX('Detalles movimientos'!D$5:D$1000, MATCH(61, 'Detalles movimientos'!$T$5:$T$1000, 0)), "")</f>
        <v/>
      </c>
      <c r="D70" s="19" t="str">
        <f>IFERROR(INDEX('Detalles movimientos'!E$5:E$1000, MATCH(61, 'Detalles movimientos'!$T$5:$T$1000, 0)), "")</f>
        <v/>
      </c>
      <c r="E70" s="19" t="str">
        <f>IFERROR(INDEX('Detalles movimientos'!F$5:F$1000, MATCH(61, 'Detalles movimientos'!$T$5:$T$1000, 0)), "")</f>
        <v/>
      </c>
      <c r="F70" s="18" t="str">
        <f>IFERROR(INDEX('Detalles movimientos'!G$5:G$1000, MATCH(61, 'Detalles movimientos'!$T$5:$T$1000, 0)), "")</f>
        <v/>
      </c>
      <c r="G70" s="20" t="str">
        <f>IFERROR(INDEX('Detalles movimientos'!H$5:H$1000, MATCH(61, 'Detalles movimientos'!$T$5:$T$1000, 0)), "")</f>
        <v/>
      </c>
      <c r="H70" s="21" t="str">
        <f>IFERROR(INDEX('Detalles movimientos'!I$5:I$1000, MATCH(61, 'Detalles movimientos'!$T$5:$T$1000, 0)), "")</f>
        <v/>
      </c>
      <c r="I70" s="20" t="str">
        <f>IFERROR(INDEX('Detalles movimientos'!K$5:K$1000, MATCH(61, 'Detalles movimientos'!$T$5:$T$1000, 0)), "")</f>
        <v/>
      </c>
      <c r="J70" s="19" t="str">
        <f>IFERROR(INDEX('Detalles movimientos'!L$5:L$1000, MATCH(61, 'Detalles movimientos'!$T$5:$T$1000, 0)), "")</f>
        <v/>
      </c>
      <c r="K70" s="20" t="str">
        <f>IFERROR(INDEX('Detalles movimientos'!M$5:M$1000, MATCH(61, 'Detalles movimientos'!$T$5:$T$1000, 0)), "")</f>
        <v/>
      </c>
      <c r="L70" s="18" t="str">
        <f>IFERROR(INDEX('Detalles movimientos'!N$5:N$1000, MATCH(61, 'Detalles movimientos'!$T$5:$T$1000, 0)), "")</f>
        <v/>
      </c>
      <c r="M70" s="18" t="str">
        <f>IFERROR(INDEX('Detalles movimientos'!Q$5:Q$1000, MATCH(61, 'Detalles movimientos'!$T$5:$T$1000, 0)), "")</f>
        <v/>
      </c>
    </row>
    <row r="71" spans="2:13">
      <c r="B71" s="17" t="str">
        <f>IFERROR(INDEX('Detalles movimientos'!C$5:C$1000, MATCH(62, 'Detalles movimientos'!$T$5:$T$1000, 0)), "")</f>
        <v/>
      </c>
      <c r="C71" s="18" t="str">
        <f>IFERROR(INDEX('Detalles movimientos'!D$5:D$1000, MATCH(62, 'Detalles movimientos'!$T$5:$T$1000, 0)), "")</f>
        <v/>
      </c>
      <c r="D71" s="19" t="str">
        <f>IFERROR(INDEX('Detalles movimientos'!E$5:E$1000, MATCH(62, 'Detalles movimientos'!$T$5:$T$1000, 0)), "")</f>
        <v/>
      </c>
      <c r="E71" s="19" t="str">
        <f>IFERROR(INDEX('Detalles movimientos'!F$5:F$1000, MATCH(62, 'Detalles movimientos'!$T$5:$T$1000, 0)), "")</f>
        <v/>
      </c>
      <c r="F71" s="18" t="str">
        <f>IFERROR(INDEX('Detalles movimientos'!G$5:G$1000, MATCH(62, 'Detalles movimientos'!$T$5:$T$1000, 0)), "")</f>
        <v/>
      </c>
      <c r="G71" s="20" t="str">
        <f>IFERROR(INDEX('Detalles movimientos'!H$5:H$1000, MATCH(62, 'Detalles movimientos'!$T$5:$T$1000, 0)), "")</f>
        <v/>
      </c>
      <c r="H71" s="21" t="str">
        <f>IFERROR(INDEX('Detalles movimientos'!I$5:I$1000, MATCH(62, 'Detalles movimientos'!$T$5:$T$1000, 0)), "")</f>
        <v/>
      </c>
      <c r="I71" s="20" t="str">
        <f>IFERROR(INDEX('Detalles movimientos'!K$5:K$1000, MATCH(62, 'Detalles movimientos'!$T$5:$T$1000, 0)), "")</f>
        <v/>
      </c>
      <c r="J71" s="19" t="str">
        <f>IFERROR(INDEX('Detalles movimientos'!L$5:L$1000, MATCH(62, 'Detalles movimientos'!$T$5:$T$1000, 0)), "")</f>
        <v/>
      </c>
      <c r="K71" s="20" t="str">
        <f>IFERROR(INDEX('Detalles movimientos'!M$5:M$1000, MATCH(62, 'Detalles movimientos'!$T$5:$T$1000, 0)), "")</f>
        <v/>
      </c>
      <c r="L71" s="18" t="str">
        <f>IFERROR(INDEX('Detalles movimientos'!N$5:N$1000, MATCH(62, 'Detalles movimientos'!$T$5:$T$1000, 0)), "")</f>
        <v/>
      </c>
      <c r="M71" s="18" t="str">
        <f>IFERROR(INDEX('Detalles movimientos'!Q$5:Q$1000, MATCH(62, 'Detalles movimientos'!$T$5:$T$1000, 0)), "")</f>
        <v/>
      </c>
    </row>
    <row r="72" spans="2:13">
      <c r="B72" s="17" t="str">
        <f>IFERROR(INDEX('Detalles movimientos'!C$5:C$1000, MATCH(63, 'Detalles movimientos'!$T$5:$T$1000, 0)), "")</f>
        <v/>
      </c>
      <c r="C72" s="18" t="str">
        <f>IFERROR(INDEX('Detalles movimientos'!D$5:D$1000, MATCH(63, 'Detalles movimientos'!$T$5:$T$1000, 0)), "")</f>
        <v/>
      </c>
      <c r="D72" s="19" t="str">
        <f>IFERROR(INDEX('Detalles movimientos'!E$5:E$1000, MATCH(63, 'Detalles movimientos'!$T$5:$T$1000, 0)), "")</f>
        <v/>
      </c>
      <c r="E72" s="19" t="str">
        <f>IFERROR(INDEX('Detalles movimientos'!F$5:F$1000, MATCH(63, 'Detalles movimientos'!$T$5:$T$1000, 0)), "")</f>
        <v/>
      </c>
      <c r="F72" s="18" t="str">
        <f>IFERROR(INDEX('Detalles movimientos'!G$5:G$1000, MATCH(63, 'Detalles movimientos'!$T$5:$T$1000, 0)), "")</f>
        <v/>
      </c>
      <c r="G72" s="20" t="str">
        <f>IFERROR(INDEX('Detalles movimientos'!H$5:H$1000, MATCH(63, 'Detalles movimientos'!$T$5:$T$1000, 0)), "")</f>
        <v/>
      </c>
      <c r="H72" s="21" t="str">
        <f>IFERROR(INDEX('Detalles movimientos'!I$5:I$1000, MATCH(63, 'Detalles movimientos'!$T$5:$T$1000, 0)), "")</f>
        <v/>
      </c>
      <c r="I72" s="20" t="str">
        <f>IFERROR(INDEX('Detalles movimientos'!K$5:K$1000, MATCH(63, 'Detalles movimientos'!$T$5:$T$1000, 0)), "")</f>
        <v/>
      </c>
      <c r="J72" s="19" t="str">
        <f>IFERROR(INDEX('Detalles movimientos'!L$5:L$1000, MATCH(63, 'Detalles movimientos'!$T$5:$T$1000, 0)), "")</f>
        <v/>
      </c>
      <c r="K72" s="20" t="str">
        <f>IFERROR(INDEX('Detalles movimientos'!M$5:M$1000, MATCH(63, 'Detalles movimientos'!$T$5:$T$1000, 0)), "")</f>
        <v/>
      </c>
      <c r="L72" s="18" t="str">
        <f>IFERROR(INDEX('Detalles movimientos'!N$5:N$1000, MATCH(63, 'Detalles movimientos'!$T$5:$T$1000, 0)), "")</f>
        <v/>
      </c>
      <c r="M72" s="18" t="str">
        <f>IFERROR(INDEX('Detalles movimientos'!Q$5:Q$1000, MATCH(63, 'Detalles movimientos'!$T$5:$T$1000, 0)), "")</f>
        <v/>
      </c>
    </row>
    <row r="73" spans="2:13">
      <c r="B73" s="17" t="str">
        <f>IFERROR(INDEX('Detalles movimientos'!C$5:C$1000, MATCH(64, 'Detalles movimientos'!$T$5:$T$1000, 0)), "")</f>
        <v/>
      </c>
      <c r="C73" s="18" t="str">
        <f>IFERROR(INDEX('Detalles movimientos'!D$5:D$1000, MATCH(64, 'Detalles movimientos'!$T$5:$T$1000, 0)), "")</f>
        <v/>
      </c>
      <c r="D73" s="19" t="str">
        <f>IFERROR(INDEX('Detalles movimientos'!E$5:E$1000, MATCH(64, 'Detalles movimientos'!$T$5:$T$1000, 0)), "")</f>
        <v/>
      </c>
      <c r="E73" s="19" t="str">
        <f>IFERROR(INDEX('Detalles movimientos'!F$5:F$1000, MATCH(64, 'Detalles movimientos'!$T$5:$T$1000, 0)), "")</f>
        <v/>
      </c>
      <c r="F73" s="18" t="str">
        <f>IFERROR(INDEX('Detalles movimientos'!G$5:G$1000, MATCH(64, 'Detalles movimientos'!$T$5:$T$1000, 0)), "")</f>
        <v/>
      </c>
      <c r="G73" s="20" t="str">
        <f>IFERROR(INDEX('Detalles movimientos'!H$5:H$1000, MATCH(64, 'Detalles movimientos'!$T$5:$T$1000, 0)), "")</f>
        <v/>
      </c>
      <c r="H73" s="21" t="str">
        <f>IFERROR(INDEX('Detalles movimientos'!I$5:I$1000, MATCH(64, 'Detalles movimientos'!$T$5:$T$1000, 0)), "")</f>
        <v/>
      </c>
      <c r="I73" s="20" t="str">
        <f>IFERROR(INDEX('Detalles movimientos'!K$5:K$1000, MATCH(64, 'Detalles movimientos'!$T$5:$T$1000, 0)), "")</f>
        <v/>
      </c>
      <c r="J73" s="19" t="str">
        <f>IFERROR(INDEX('Detalles movimientos'!L$5:L$1000, MATCH(64, 'Detalles movimientos'!$T$5:$T$1000, 0)), "")</f>
        <v/>
      </c>
      <c r="K73" s="20" t="str">
        <f>IFERROR(INDEX('Detalles movimientos'!M$5:M$1000, MATCH(64, 'Detalles movimientos'!$T$5:$T$1000, 0)), "")</f>
        <v/>
      </c>
      <c r="L73" s="18" t="str">
        <f>IFERROR(INDEX('Detalles movimientos'!N$5:N$1000, MATCH(64, 'Detalles movimientos'!$T$5:$T$1000, 0)), "")</f>
        <v/>
      </c>
      <c r="M73" s="18" t="str">
        <f>IFERROR(INDEX('Detalles movimientos'!Q$5:Q$1000, MATCH(64, 'Detalles movimientos'!$T$5:$T$1000, 0)), "")</f>
        <v/>
      </c>
    </row>
    <row r="74" spans="2:13">
      <c r="B74" s="17" t="str">
        <f>IFERROR(INDEX('Detalles movimientos'!C$5:C$1000, MATCH(65, 'Detalles movimientos'!$T$5:$T$1000, 0)), "")</f>
        <v/>
      </c>
      <c r="C74" s="18" t="str">
        <f>IFERROR(INDEX('Detalles movimientos'!D$5:D$1000, MATCH(65, 'Detalles movimientos'!$T$5:$T$1000, 0)), "")</f>
        <v/>
      </c>
      <c r="D74" s="19" t="str">
        <f>IFERROR(INDEX('Detalles movimientos'!E$5:E$1000, MATCH(65, 'Detalles movimientos'!$T$5:$T$1000, 0)), "")</f>
        <v/>
      </c>
      <c r="E74" s="19" t="str">
        <f>IFERROR(INDEX('Detalles movimientos'!F$5:F$1000, MATCH(65, 'Detalles movimientos'!$T$5:$T$1000, 0)), "")</f>
        <v/>
      </c>
      <c r="F74" s="18" t="str">
        <f>IFERROR(INDEX('Detalles movimientos'!G$5:G$1000, MATCH(65, 'Detalles movimientos'!$T$5:$T$1000, 0)), "")</f>
        <v/>
      </c>
      <c r="G74" s="20" t="str">
        <f>IFERROR(INDEX('Detalles movimientos'!H$5:H$1000, MATCH(65, 'Detalles movimientos'!$T$5:$T$1000, 0)), "")</f>
        <v/>
      </c>
      <c r="H74" s="21" t="str">
        <f>IFERROR(INDEX('Detalles movimientos'!I$5:I$1000, MATCH(65, 'Detalles movimientos'!$T$5:$T$1000, 0)), "")</f>
        <v/>
      </c>
      <c r="I74" s="20" t="str">
        <f>IFERROR(INDEX('Detalles movimientos'!K$5:K$1000, MATCH(65, 'Detalles movimientos'!$T$5:$T$1000, 0)), "")</f>
        <v/>
      </c>
      <c r="J74" s="19" t="str">
        <f>IFERROR(INDEX('Detalles movimientos'!L$5:L$1000, MATCH(65, 'Detalles movimientos'!$T$5:$T$1000, 0)), "")</f>
        <v/>
      </c>
      <c r="K74" s="20" t="str">
        <f>IFERROR(INDEX('Detalles movimientos'!M$5:M$1000, MATCH(65, 'Detalles movimientos'!$T$5:$T$1000, 0)), "")</f>
        <v/>
      </c>
      <c r="L74" s="18" t="str">
        <f>IFERROR(INDEX('Detalles movimientos'!N$5:N$1000, MATCH(65, 'Detalles movimientos'!$T$5:$T$1000, 0)), "")</f>
        <v/>
      </c>
      <c r="M74" s="18" t="str">
        <f>IFERROR(INDEX('Detalles movimientos'!Q$5:Q$1000, MATCH(65, 'Detalles movimientos'!$T$5:$T$1000, 0)), "")</f>
        <v/>
      </c>
    </row>
    <row r="75" spans="2:13">
      <c r="B75" s="17" t="str">
        <f>IFERROR(INDEX('Detalles movimientos'!C$5:C$1000, MATCH(66, 'Detalles movimientos'!$T$5:$T$1000, 0)), "")</f>
        <v/>
      </c>
      <c r="C75" s="18" t="str">
        <f>IFERROR(INDEX('Detalles movimientos'!D$5:D$1000, MATCH(66, 'Detalles movimientos'!$T$5:$T$1000, 0)), "")</f>
        <v/>
      </c>
      <c r="D75" s="19" t="str">
        <f>IFERROR(INDEX('Detalles movimientos'!E$5:E$1000, MATCH(66, 'Detalles movimientos'!$T$5:$T$1000, 0)), "")</f>
        <v/>
      </c>
      <c r="E75" s="19" t="str">
        <f>IFERROR(INDEX('Detalles movimientos'!F$5:F$1000, MATCH(66, 'Detalles movimientos'!$T$5:$T$1000, 0)), "")</f>
        <v/>
      </c>
      <c r="F75" s="18" t="str">
        <f>IFERROR(INDEX('Detalles movimientos'!G$5:G$1000, MATCH(66, 'Detalles movimientos'!$T$5:$T$1000, 0)), "")</f>
        <v/>
      </c>
      <c r="G75" s="20" t="str">
        <f>IFERROR(INDEX('Detalles movimientos'!H$5:H$1000, MATCH(66, 'Detalles movimientos'!$T$5:$T$1000, 0)), "")</f>
        <v/>
      </c>
      <c r="H75" s="21" t="str">
        <f>IFERROR(INDEX('Detalles movimientos'!I$5:I$1000, MATCH(66, 'Detalles movimientos'!$T$5:$T$1000, 0)), "")</f>
        <v/>
      </c>
      <c r="I75" s="20" t="str">
        <f>IFERROR(INDEX('Detalles movimientos'!K$5:K$1000, MATCH(66, 'Detalles movimientos'!$T$5:$T$1000, 0)), "")</f>
        <v/>
      </c>
      <c r="J75" s="19" t="str">
        <f>IFERROR(INDEX('Detalles movimientos'!L$5:L$1000, MATCH(66, 'Detalles movimientos'!$T$5:$T$1000, 0)), "")</f>
        <v/>
      </c>
      <c r="K75" s="20" t="str">
        <f>IFERROR(INDEX('Detalles movimientos'!M$5:M$1000, MATCH(66, 'Detalles movimientos'!$T$5:$T$1000, 0)), "")</f>
        <v/>
      </c>
      <c r="L75" s="18" t="str">
        <f>IFERROR(INDEX('Detalles movimientos'!N$5:N$1000, MATCH(66, 'Detalles movimientos'!$T$5:$T$1000, 0)), "")</f>
        <v/>
      </c>
      <c r="M75" s="18" t="str">
        <f>IFERROR(INDEX('Detalles movimientos'!Q$5:Q$1000, MATCH(66, 'Detalles movimientos'!$T$5:$T$1000, 0)), "")</f>
        <v/>
      </c>
    </row>
    <row r="76" spans="2:13">
      <c r="B76" s="17" t="str">
        <f>IFERROR(INDEX('Detalles movimientos'!C$5:C$1000, MATCH(67, 'Detalles movimientos'!$T$5:$T$1000, 0)), "")</f>
        <v/>
      </c>
      <c r="C76" s="18" t="str">
        <f>IFERROR(INDEX('Detalles movimientos'!D$5:D$1000, MATCH(67, 'Detalles movimientos'!$T$5:$T$1000, 0)), "")</f>
        <v/>
      </c>
      <c r="D76" s="19" t="str">
        <f>IFERROR(INDEX('Detalles movimientos'!E$5:E$1000, MATCH(67, 'Detalles movimientos'!$T$5:$T$1000, 0)), "")</f>
        <v/>
      </c>
      <c r="E76" s="19" t="str">
        <f>IFERROR(INDEX('Detalles movimientos'!F$5:F$1000, MATCH(67, 'Detalles movimientos'!$T$5:$T$1000, 0)), "")</f>
        <v/>
      </c>
      <c r="F76" s="18" t="str">
        <f>IFERROR(INDEX('Detalles movimientos'!G$5:G$1000, MATCH(67, 'Detalles movimientos'!$T$5:$T$1000, 0)), "")</f>
        <v/>
      </c>
      <c r="G76" s="20" t="str">
        <f>IFERROR(INDEX('Detalles movimientos'!H$5:H$1000, MATCH(67, 'Detalles movimientos'!$T$5:$T$1000, 0)), "")</f>
        <v/>
      </c>
      <c r="H76" s="21" t="str">
        <f>IFERROR(INDEX('Detalles movimientos'!I$5:I$1000, MATCH(67, 'Detalles movimientos'!$T$5:$T$1000, 0)), "")</f>
        <v/>
      </c>
      <c r="I76" s="20" t="str">
        <f>IFERROR(INDEX('Detalles movimientos'!K$5:K$1000, MATCH(67, 'Detalles movimientos'!$T$5:$T$1000, 0)), "")</f>
        <v/>
      </c>
      <c r="J76" s="19" t="str">
        <f>IFERROR(INDEX('Detalles movimientos'!L$5:L$1000, MATCH(67, 'Detalles movimientos'!$T$5:$T$1000, 0)), "")</f>
        <v/>
      </c>
      <c r="K76" s="20" t="str">
        <f>IFERROR(INDEX('Detalles movimientos'!M$5:M$1000, MATCH(67, 'Detalles movimientos'!$T$5:$T$1000, 0)), "")</f>
        <v/>
      </c>
      <c r="L76" s="18" t="str">
        <f>IFERROR(INDEX('Detalles movimientos'!N$5:N$1000, MATCH(67, 'Detalles movimientos'!$T$5:$T$1000, 0)), "")</f>
        <v/>
      </c>
      <c r="M76" s="18" t="str">
        <f>IFERROR(INDEX('Detalles movimientos'!Q$5:Q$1000, MATCH(67, 'Detalles movimientos'!$T$5:$T$1000, 0)), "")</f>
        <v/>
      </c>
    </row>
    <row r="77" spans="2:13">
      <c r="B77" s="17" t="str">
        <f>IFERROR(INDEX('Detalles movimientos'!C$5:C$1000, MATCH(68, 'Detalles movimientos'!$T$5:$T$1000, 0)), "")</f>
        <v/>
      </c>
      <c r="C77" s="18" t="str">
        <f>IFERROR(INDEX('Detalles movimientos'!D$5:D$1000, MATCH(68, 'Detalles movimientos'!$T$5:$T$1000, 0)), "")</f>
        <v/>
      </c>
      <c r="D77" s="19" t="str">
        <f>IFERROR(INDEX('Detalles movimientos'!E$5:E$1000, MATCH(68, 'Detalles movimientos'!$T$5:$T$1000, 0)), "")</f>
        <v/>
      </c>
      <c r="E77" s="19" t="str">
        <f>IFERROR(INDEX('Detalles movimientos'!F$5:F$1000, MATCH(68, 'Detalles movimientos'!$T$5:$T$1000, 0)), "")</f>
        <v/>
      </c>
      <c r="F77" s="18" t="str">
        <f>IFERROR(INDEX('Detalles movimientos'!G$5:G$1000, MATCH(68, 'Detalles movimientos'!$T$5:$T$1000, 0)), "")</f>
        <v/>
      </c>
      <c r="G77" s="20" t="str">
        <f>IFERROR(INDEX('Detalles movimientos'!H$5:H$1000, MATCH(68, 'Detalles movimientos'!$T$5:$T$1000, 0)), "")</f>
        <v/>
      </c>
      <c r="H77" s="21" t="str">
        <f>IFERROR(INDEX('Detalles movimientos'!I$5:I$1000, MATCH(68, 'Detalles movimientos'!$T$5:$T$1000, 0)), "")</f>
        <v/>
      </c>
      <c r="I77" s="20" t="str">
        <f>IFERROR(INDEX('Detalles movimientos'!K$5:K$1000, MATCH(68, 'Detalles movimientos'!$T$5:$T$1000, 0)), "")</f>
        <v/>
      </c>
      <c r="J77" s="19" t="str">
        <f>IFERROR(INDEX('Detalles movimientos'!L$5:L$1000, MATCH(68, 'Detalles movimientos'!$T$5:$T$1000, 0)), "")</f>
        <v/>
      </c>
      <c r="K77" s="20" t="str">
        <f>IFERROR(INDEX('Detalles movimientos'!M$5:M$1000, MATCH(68, 'Detalles movimientos'!$T$5:$T$1000, 0)), "")</f>
        <v/>
      </c>
      <c r="L77" s="18" t="str">
        <f>IFERROR(INDEX('Detalles movimientos'!N$5:N$1000, MATCH(68, 'Detalles movimientos'!$T$5:$T$1000, 0)), "")</f>
        <v/>
      </c>
      <c r="M77" s="18" t="str">
        <f>IFERROR(INDEX('Detalles movimientos'!Q$5:Q$1000, MATCH(68, 'Detalles movimientos'!$T$5:$T$1000, 0)), "")</f>
        <v/>
      </c>
    </row>
    <row r="78" spans="2:13">
      <c r="B78" s="17" t="str">
        <f>IFERROR(INDEX('Detalles movimientos'!C$5:C$1000, MATCH(69, 'Detalles movimientos'!$T$5:$T$1000, 0)), "")</f>
        <v/>
      </c>
      <c r="C78" s="18" t="str">
        <f>IFERROR(INDEX('Detalles movimientos'!D$5:D$1000, MATCH(69, 'Detalles movimientos'!$T$5:$T$1000, 0)), "")</f>
        <v/>
      </c>
      <c r="D78" s="19" t="str">
        <f>IFERROR(INDEX('Detalles movimientos'!E$5:E$1000, MATCH(69, 'Detalles movimientos'!$T$5:$T$1000, 0)), "")</f>
        <v/>
      </c>
      <c r="E78" s="19" t="str">
        <f>IFERROR(INDEX('Detalles movimientos'!F$5:F$1000, MATCH(69, 'Detalles movimientos'!$T$5:$T$1000, 0)), "")</f>
        <v/>
      </c>
      <c r="F78" s="18" t="str">
        <f>IFERROR(INDEX('Detalles movimientos'!G$5:G$1000, MATCH(69, 'Detalles movimientos'!$T$5:$T$1000, 0)), "")</f>
        <v/>
      </c>
      <c r="G78" s="20" t="str">
        <f>IFERROR(INDEX('Detalles movimientos'!H$5:H$1000, MATCH(69, 'Detalles movimientos'!$T$5:$T$1000, 0)), "")</f>
        <v/>
      </c>
      <c r="H78" s="21" t="str">
        <f>IFERROR(INDEX('Detalles movimientos'!I$5:I$1000, MATCH(69, 'Detalles movimientos'!$T$5:$T$1000, 0)), "")</f>
        <v/>
      </c>
      <c r="I78" s="20" t="str">
        <f>IFERROR(INDEX('Detalles movimientos'!K$5:K$1000, MATCH(69, 'Detalles movimientos'!$T$5:$T$1000, 0)), "")</f>
        <v/>
      </c>
      <c r="J78" s="19" t="str">
        <f>IFERROR(INDEX('Detalles movimientos'!L$5:L$1000, MATCH(69, 'Detalles movimientos'!$T$5:$T$1000, 0)), "")</f>
        <v/>
      </c>
      <c r="K78" s="20" t="str">
        <f>IFERROR(INDEX('Detalles movimientos'!M$5:M$1000, MATCH(69, 'Detalles movimientos'!$T$5:$T$1000, 0)), "")</f>
        <v/>
      </c>
      <c r="L78" s="18" t="str">
        <f>IFERROR(INDEX('Detalles movimientos'!N$5:N$1000, MATCH(69, 'Detalles movimientos'!$T$5:$T$1000, 0)), "")</f>
        <v/>
      </c>
      <c r="M78" s="18" t="str">
        <f>IFERROR(INDEX('Detalles movimientos'!Q$5:Q$1000, MATCH(69, 'Detalles movimientos'!$T$5:$T$1000, 0)), "")</f>
        <v/>
      </c>
    </row>
    <row r="79" spans="2:13">
      <c r="B79" s="17" t="str">
        <f>IFERROR(INDEX('Detalles movimientos'!C$5:C$1000, MATCH(70, 'Detalles movimientos'!$T$5:$T$1000, 0)), "")</f>
        <v/>
      </c>
      <c r="C79" s="18" t="str">
        <f>IFERROR(INDEX('Detalles movimientos'!D$5:D$1000, MATCH(70, 'Detalles movimientos'!$T$5:$T$1000, 0)), "")</f>
        <v/>
      </c>
      <c r="D79" s="19" t="str">
        <f>IFERROR(INDEX('Detalles movimientos'!E$5:E$1000, MATCH(70, 'Detalles movimientos'!$T$5:$T$1000, 0)), "")</f>
        <v/>
      </c>
      <c r="E79" s="19" t="str">
        <f>IFERROR(INDEX('Detalles movimientos'!F$5:F$1000, MATCH(70, 'Detalles movimientos'!$T$5:$T$1000, 0)), "")</f>
        <v/>
      </c>
      <c r="F79" s="18" t="str">
        <f>IFERROR(INDEX('Detalles movimientos'!G$5:G$1000, MATCH(70, 'Detalles movimientos'!$T$5:$T$1000, 0)), "")</f>
        <v/>
      </c>
      <c r="G79" s="20" t="str">
        <f>IFERROR(INDEX('Detalles movimientos'!H$5:H$1000, MATCH(70, 'Detalles movimientos'!$T$5:$T$1000, 0)), "")</f>
        <v/>
      </c>
      <c r="H79" s="21" t="str">
        <f>IFERROR(INDEX('Detalles movimientos'!I$5:I$1000, MATCH(70, 'Detalles movimientos'!$T$5:$T$1000, 0)), "")</f>
        <v/>
      </c>
      <c r="I79" s="20" t="str">
        <f>IFERROR(INDEX('Detalles movimientos'!K$5:K$1000, MATCH(70, 'Detalles movimientos'!$T$5:$T$1000, 0)), "")</f>
        <v/>
      </c>
      <c r="J79" s="19" t="str">
        <f>IFERROR(INDEX('Detalles movimientos'!L$5:L$1000, MATCH(70, 'Detalles movimientos'!$T$5:$T$1000, 0)), "")</f>
        <v/>
      </c>
      <c r="K79" s="20" t="str">
        <f>IFERROR(INDEX('Detalles movimientos'!M$5:M$1000, MATCH(70, 'Detalles movimientos'!$T$5:$T$1000, 0)), "")</f>
        <v/>
      </c>
      <c r="L79" s="18" t="str">
        <f>IFERROR(INDEX('Detalles movimientos'!N$5:N$1000, MATCH(70, 'Detalles movimientos'!$T$5:$T$1000, 0)), "")</f>
        <v/>
      </c>
      <c r="M79" s="18" t="str">
        <f>IFERROR(INDEX('Detalles movimientos'!Q$5:Q$1000, MATCH(70, 'Detalles movimientos'!$T$5:$T$1000, 0)), "")</f>
        <v/>
      </c>
    </row>
    <row r="80" spans="2:13">
      <c r="B80" s="17" t="str">
        <f>IFERROR(INDEX('Detalles movimientos'!C$5:C$1000, MATCH(71, 'Detalles movimientos'!$T$5:$T$1000, 0)), "")</f>
        <v/>
      </c>
      <c r="C80" s="18" t="str">
        <f>IFERROR(INDEX('Detalles movimientos'!D$5:D$1000, MATCH(71, 'Detalles movimientos'!$T$5:$T$1000, 0)), "")</f>
        <v/>
      </c>
      <c r="D80" s="19" t="str">
        <f>IFERROR(INDEX('Detalles movimientos'!E$5:E$1000, MATCH(71, 'Detalles movimientos'!$T$5:$T$1000, 0)), "")</f>
        <v/>
      </c>
      <c r="E80" s="19" t="str">
        <f>IFERROR(INDEX('Detalles movimientos'!F$5:F$1000, MATCH(71, 'Detalles movimientos'!$T$5:$T$1000, 0)), "")</f>
        <v/>
      </c>
      <c r="F80" s="18" t="str">
        <f>IFERROR(INDEX('Detalles movimientos'!G$5:G$1000, MATCH(71, 'Detalles movimientos'!$T$5:$T$1000, 0)), "")</f>
        <v/>
      </c>
      <c r="G80" s="20" t="str">
        <f>IFERROR(INDEX('Detalles movimientos'!H$5:H$1000, MATCH(71, 'Detalles movimientos'!$T$5:$T$1000, 0)), "")</f>
        <v/>
      </c>
      <c r="H80" s="21" t="str">
        <f>IFERROR(INDEX('Detalles movimientos'!I$5:I$1000, MATCH(71, 'Detalles movimientos'!$T$5:$T$1000, 0)), "")</f>
        <v/>
      </c>
      <c r="I80" s="20" t="str">
        <f>IFERROR(INDEX('Detalles movimientos'!K$5:K$1000, MATCH(71, 'Detalles movimientos'!$T$5:$T$1000, 0)), "")</f>
        <v/>
      </c>
      <c r="J80" s="19" t="str">
        <f>IFERROR(INDEX('Detalles movimientos'!L$5:L$1000, MATCH(71, 'Detalles movimientos'!$T$5:$T$1000, 0)), "")</f>
        <v/>
      </c>
      <c r="K80" s="20" t="str">
        <f>IFERROR(INDEX('Detalles movimientos'!M$5:M$1000, MATCH(71, 'Detalles movimientos'!$T$5:$T$1000, 0)), "")</f>
        <v/>
      </c>
      <c r="L80" s="18" t="str">
        <f>IFERROR(INDEX('Detalles movimientos'!N$5:N$1000, MATCH(71, 'Detalles movimientos'!$T$5:$T$1000, 0)), "")</f>
        <v/>
      </c>
      <c r="M80" s="18" t="str">
        <f>IFERROR(INDEX('Detalles movimientos'!Q$5:Q$1000, MATCH(71, 'Detalles movimientos'!$T$5:$T$1000, 0)), "")</f>
        <v/>
      </c>
    </row>
    <row r="81" spans="2:13">
      <c r="B81" s="17" t="str">
        <f>IFERROR(INDEX('Detalles movimientos'!C$5:C$1000, MATCH(72, 'Detalles movimientos'!$T$5:$T$1000, 0)), "")</f>
        <v/>
      </c>
      <c r="C81" s="18" t="str">
        <f>IFERROR(INDEX('Detalles movimientos'!D$5:D$1000, MATCH(72, 'Detalles movimientos'!$T$5:$T$1000, 0)), "")</f>
        <v/>
      </c>
      <c r="D81" s="19" t="str">
        <f>IFERROR(INDEX('Detalles movimientos'!E$5:E$1000, MATCH(72, 'Detalles movimientos'!$T$5:$T$1000, 0)), "")</f>
        <v/>
      </c>
      <c r="E81" s="19" t="str">
        <f>IFERROR(INDEX('Detalles movimientos'!F$5:F$1000, MATCH(72, 'Detalles movimientos'!$T$5:$T$1000, 0)), "")</f>
        <v/>
      </c>
      <c r="F81" s="18" t="str">
        <f>IFERROR(INDEX('Detalles movimientos'!G$5:G$1000, MATCH(72, 'Detalles movimientos'!$T$5:$T$1000, 0)), "")</f>
        <v/>
      </c>
      <c r="G81" s="20" t="str">
        <f>IFERROR(INDEX('Detalles movimientos'!H$5:H$1000, MATCH(72, 'Detalles movimientos'!$T$5:$T$1000, 0)), "")</f>
        <v/>
      </c>
      <c r="H81" s="21" t="str">
        <f>IFERROR(INDEX('Detalles movimientos'!I$5:I$1000, MATCH(72, 'Detalles movimientos'!$T$5:$T$1000, 0)), "")</f>
        <v/>
      </c>
      <c r="I81" s="20" t="str">
        <f>IFERROR(INDEX('Detalles movimientos'!K$5:K$1000, MATCH(72, 'Detalles movimientos'!$T$5:$T$1000, 0)), "")</f>
        <v/>
      </c>
      <c r="J81" s="19" t="str">
        <f>IFERROR(INDEX('Detalles movimientos'!L$5:L$1000, MATCH(72, 'Detalles movimientos'!$T$5:$T$1000, 0)), "")</f>
        <v/>
      </c>
      <c r="K81" s="20" t="str">
        <f>IFERROR(INDEX('Detalles movimientos'!M$5:M$1000, MATCH(72, 'Detalles movimientos'!$T$5:$T$1000, 0)), "")</f>
        <v/>
      </c>
      <c r="L81" s="18" t="str">
        <f>IFERROR(INDEX('Detalles movimientos'!N$5:N$1000, MATCH(72, 'Detalles movimientos'!$T$5:$T$1000, 0)), "")</f>
        <v/>
      </c>
      <c r="M81" s="18" t="str">
        <f>IFERROR(INDEX('Detalles movimientos'!Q$5:Q$1000, MATCH(72, 'Detalles movimientos'!$T$5:$T$1000, 0)), "")</f>
        <v/>
      </c>
    </row>
    <row r="82" spans="2:13">
      <c r="B82" s="17" t="str">
        <f>IFERROR(INDEX('Detalles movimientos'!C$5:C$1000, MATCH(73, 'Detalles movimientos'!$T$5:$T$1000, 0)), "")</f>
        <v/>
      </c>
      <c r="C82" s="18" t="str">
        <f>IFERROR(INDEX('Detalles movimientos'!D$5:D$1000, MATCH(73, 'Detalles movimientos'!$T$5:$T$1000, 0)), "")</f>
        <v/>
      </c>
      <c r="D82" s="19" t="str">
        <f>IFERROR(INDEX('Detalles movimientos'!E$5:E$1000, MATCH(73, 'Detalles movimientos'!$T$5:$T$1000, 0)), "")</f>
        <v/>
      </c>
      <c r="E82" s="19" t="str">
        <f>IFERROR(INDEX('Detalles movimientos'!F$5:F$1000, MATCH(73, 'Detalles movimientos'!$T$5:$T$1000, 0)), "")</f>
        <v/>
      </c>
      <c r="F82" s="18" t="str">
        <f>IFERROR(INDEX('Detalles movimientos'!G$5:G$1000, MATCH(73, 'Detalles movimientos'!$T$5:$T$1000, 0)), "")</f>
        <v/>
      </c>
      <c r="G82" s="20" t="str">
        <f>IFERROR(INDEX('Detalles movimientos'!H$5:H$1000, MATCH(73, 'Detalles movimientos'!$T$5:$T$1000, 0)), "")</f>
        <v/>
      </c>
      <c r="H82" s="21" t="str">
        <f>IFERROR(INDEX('Detalles movimientos'!I$5:I$1000, MATCH(73, 'Detalles movimientos'!$T$5:$T$1000, 0)), "")</f>
        <v/>
      </c>
      <c r="I82" s="20" t="str">
        <f>IFERROR(INDEX('Detalles movimientos'!K$5:K$1000, MATCH(73, 'Detalles movimientos'!$T$5:$T$1000, 0)), "")</f>
        <v/>
      </c>
      <c r="J82" s="19" t="str">
        <f>IFERROR(INDEX('Detalles movimientos'!L$5:L$1000, MATCH(73, 'Detalles movimientos'!$T$5:$T$1000, 0)), "")</f>
        <v/>
      </c>
      <c r="K82" s="20" t="str">
        <f>IFERROR(INDEX('Detalles movimientos'!M$5:M$1000, MATCH(73, 'Detalles movimientos'!$T$5:$T$1000, 0)), "")</f>
        <v/>
      </c>
      <c r="L82" s="18" t="str">
        <f>IFERROR(INDEX('Detalles movimientos'!N$5:N$1000, MATCH(73, 'Detalles movimientos'!$T$5:$T$1000, 0)), "")</f>
        <v/>
      </c>
      <c r="M82" s="18" t="str">
        <f>IFERROR(INDEX('Detalles movimientos'!Q$5:Q$1000, MATCH(73, 'Detalles movimientos'!$T$5:$T$1000, 0)), "")</f>
        <v/>
      </c>
    </row>
    <row r="83" spans="2:13">
      <c r="B83" s="17" t="str">
        <f>IFERROR(INDEX('Detalles movimientos'!C$5:C$1000, MATCH(74, 'Detalles movimientos'!$T$5:$T$1000, 0)), "")</f>
        <v/>
      </c>
      <c r="C83" s="18" t="str">
        <f>IFERROR(INDEX('Detalles movimientos'!D$5:D$1000, MATCH(74, 'Detalles movimientos'!$T$5:$T$1000, 0)), "")</f>
        <v/>
      </c>
      <c r="D83" s="19" t="str">
        <f>IFERROR(INDEX('Detalles movimientos'!E$5:E$1000, MATCH(74, 'Detalles movimientos'!$T$5:$T$1000, 0)), "")</f>
        <v/>
      </c>
      <c r="E83" s="19" t="str">
        <f>IFERROR(INDEX('Detalles movimientos'!F$5:F$1000, MATCH(74, 'Detalles movimientos'!$T$5:$T$1000, 0)), "")</f>
        <v/>
      </c>
      <c r="F83" s="18" t="str">
        <f>IFERROR(INDEX('Detalles movimientos'!G$5:G$1000, MATCH(74, 'Detalles movimientos'!$T$5:$T$1000, 0)), "")</f>
        <v/>
      </c>
      <c r="G83" s="20" t="str">
        <f>IFERROR(INDEX('Detalles movimientos'!H$5:H$1000, MATCH(74, 'Detalles movimientos'!$T$5:$T$1000, 0)), "")</f>
        <v/>
      </c>
      <c r="H83" s="21" t="str">
        <f>IFERROR(INDEX('Detalles movimientos'!I$5:I$1000, MATCH(74, 'Detalles movimientos'!$T$5:$T$1000, 0)), "")</f>
        <v/>
      </c>
      <c r="I83" s="20" t="str">
        <f>IFERROR(INDEX('Detalles movimientos'!K$5:K$1000, MATCH(74, 'Detalles movimientos'!$T$5:$T$1000, 0)), "")</f>
        <v/>
      </c>
      <c r="J83" s="19" t="str">
        <f>IFERROR(INDEX('Detalles movimientos'!L$5:L$1000, MATCH(74, 'Detalles movimientos'!$T$5:$T$1000, 0)), "")</f>
        <v/>
      </c>
      <c r="K83" s="20" t="str">
        <f>IFERROR(INDEX('Detalles movimientos'!M$5:M$1000, MATCH(74, 'Detalles movimientos'!$T$5:$T$1000, 0)), "")</f>
        <v/>
      </c>
      <c r="L83" s="18" t="str">
        <f>IFERROR(INDEX('Detalles movimientos'!N$5:N$1000, MATCH(74, 'Detalles movimientos'!$T$5:$T$1000, 0)), "")</f>
        <v/>
      </c>
      <c r="M83" s="18" t="str">
        <f>IFERROR(INDEX('Detalles movimientos'!Q$5:Q$1000, MATCH(74, 'Detalles movimientos'!$T$5:$T$1000, 0)), "")</f>
        <v/>
      </c>
    </row>
    <row r="84" spans="2:13">
      <c r="B84" s="17" t="str">
        <f>IFERROR(INDEX('Detalles movimientos'!C$5:C$1000, MATCH(75, 'Detalles movimientos'!$T$5:$T$1000, 0)), "")</f>
        <v/>
      </c>
      <c r="C84" s="18" t="str">
        <f>IFERROR(INDEX('Detalles movimientos'!D$5:D$1000, MATCH(75, 'Detalles movimientos'!$T$5:$T$1000, 0)), "")</f>
        <v/>
      </c>
      <c r="D84" s="19" t="str">
        <f>IFERROR(INDEX('Detalles movimientos'!E$5:E$1000, MATCH(75, 'Detalles movimientos'!$T$5:$T$1000, 0)), "")</f>
        <v/>
      </c>
      <c r="E84" s="19" t="str">
        <f>IFERROR(INDEX('Detalles movimientos'!F$5:F$1000, MATCH(75, 'Detalles movimientos'!$T$5:$T$1000, 0)), "")</f>
        <v/>
      </c>
      <c r="F84" s="18" t="str">
        <f>IFERROR(INDEX('Detalles movimientos'!G$5:G$1000, MATCH(75, 'Detalles movimientos'!$T$5:$T$1000, 0)), "")</f>
        <v/>
      </c>
      <c r="G84" s="20" t="str">
        <f>IFERROR(INDEX('Detalles movimientos'!H$5:H$1000, MATCH(75, 'Detalles movimientos'!$T$5:$T$1000, 0)), "")</f>
        <v/>
      </c>
      <c r="H84" s="21" t="str">
        <f>IFERROR(INDEX('Detalles movimientos'!I$5:I$1000, MATCH(75, 'Detalles movimientos'!$T$5:$T$1000, 0)), "")</f>
        <v/>
      </c>
      <c r="I84" s="20" t="str">
        <f>IFERROR(INDEX('Detalles movimientos'!K$5:K$1000, MATCH(75, 'Detalles movimientos'!$T$5:$T$1000, 0)), "")</f>
        <v/>
      </c>
      <c r="J84" s="19" t="str">
        <f>IFERROR(INDEX('Detalles movimientos'!L$5:L$1000, MATCH(75, 'Detalles movimientos'!$T$5:$T$1000, 0)), "")</f>
        <v/>
      </c>
      <c r="K84" s="20" t="str">
        <f>IFERROR(INDEX('Detalles movimientos'!M$5:M$1000, MATCH(75, 'Detalles movimientos'!$T$5:$T$1000, 0)), "")</f>
        <v/>
      </c>
      <c r="L84" s="18" t="str">
        <f>IFERROR(INDEX('Detalles movimientos'!N$5:N$1000, MATCH(75, 'Detalles movimientos'!$T$5:$T$1000, 0)), "")</f>
        <v/>
      </c>
      <c r="M84" s="18" t="str">
        <f>IFERROR(INDEX('Detalles movimientos'!Q$5:Q$1000, MATCH(75, 'Detalles movimientos'!$T$5:$T$1000, 0)), "")</f>
        <v/>
      </c>
    </row>
    <row r="85" spans="2:13">
      <c r="B85" s="17" t="str">
        <f>IFERROR(INDEX('Detalles movimientos'!C$5:C$1000, MATCH(76, 'Detalles movimientos'!$T$5:$T$1000, 0)), "")</f>
        <v/>
      </c>
      <c r="C85" s="18" t="str">
        <f>IFERROR(INDEX('Detalles movimientos'!D$5:D$1000, MATCH(76, 'Detalles movimientos'!$T$5:$T$1000, 0)), "")</f>
        <v/>
      </c>
      <c r="D85" s="19" t="str">
        <f>IFERROR(INDEX('Detalles movimientos'!E$5:E$1000, MATCH(76, 'Detalles movimientos'!$T$5:$T$1000, 0)), "")</f>
        <v/>
      </c>
      <c r="E85" s="19" t="str">
        <f>IFERROR(INDEX('Detalles movimientos'!F$5:F$1000, MATCH(76, 'Detalles movimientos'!$T$5:$T$1000, 0)), "")</f>
        <v/>
      </c>
      <c r="F85" s="18" t="str">
        <f>IFERROR(INDEX('Detalles movimientos'!G$5:G$1000, MATCH(76, 'Detalles movimientos'!$T$5:$T$1000, 0)), "")</f>
        <v/>
      </c>
      <c r="G85" s="20" t="str">
        <f>IFERROR(INDEX('Detalles movimientos'!H$5:H$1000, MATCH(76, 'Detalles movimientos'!$T$5:$T$1000, 0)), "")</f>
        <v/>
      </c>
      <c r="H85" s="21" t="str">
        <f>IFERROR(INDEX('Detalles movimientos'!I$5:I$1000, MATCH(76, 'Detalles movimientos'!$T$5:$T$1000, 0)), "")</f>
        <v/>
      </c>
      <c r="I85" s="20" t="str">
        <f>IFERROR(INDEX('Detalles movimientos'!K$5:K$1000, MATCH(76, 'Detalles movimientos'!$T$5:$T$1000, 0)), "")</f>
        <v/>
      </c>
      <c r="J85" s="19" t="str">
        <f>IFERROR(INDEX('Detalles movimientos'!L$5:L$1000, MATCH(76, 'Detalles movimientos'!$T$5:$T$1000, 0)), "")</f>
        <v/>
      </c>
      <c r="K85" s="20" t="str">
        <f>IFERROR(INDEX('Detalles movimientos'!M$5:M$1000, MATCH(76, 'Detalles movimientos'!$T$5:$T$1000, 0)), "")</f>
        <v/>
      </c>
      <c r="L85" s="18" t="str">
        <f>IFERROR(INDEX('Detalles movimientos'!N$5:N$1000, MATCH(76, 'Detalles movimientos'!$T$5:$T$1000, 0)), "")</f>
        <v/>
      </c>
      <c r="M85" s="18" t="str">
        <f>IFERROR(INDEX('Detalles movimientos'!Q$5:Q$1000, MATCH(76, 'Detalles movimientos'!$T$5:$T$1000, 0)), "")</f>
        <v/>
      </c>
    </row>
    <row r="86" spans="2:13">
      <c r="B86" s="17" t="str">
        <f>IFERROR(INDEX('Detalles movimientos'!C$5:C$1000, MATCH(77, 'Detalles movimientos'!$T$5:$T$1000, 0)), "")</f>
        <v/>
      </c>
      <c r="C86" s="18" t="str">
        <f>IFERROR(INDEX('Detalles movimientos'!D$5:D$1000, MATCH(77, 'Detalles movimientos'!$T$5:$T$1000, 0)), "")</f>
        <v/>
      </c>
      <c r="D86" s="19" t="str">
        <f>IFERROR(INDEX('Detalles movimientos'!E$5:E$1000, MATCH(77, 'Detalles movimientos'!$T$5:$T$1000, 0)), "")</f>
        <v/>
      </c>
      <c r="E86" s="19" t="str">
        <f>IFERROR(INDEX('Detalles movimientos'!F$5:F$1000, MATCH(77, 'Detalles movimientos'!$T$5:$T$1000, 0)), "")</f>
        <v/>
      </c>
      <c r="F86" s="18" t="str">
        <f>IFERROR(INDEX('Detalles movimientos'!G$5:G$1000, MATCH(77, 'Detalles movimientos'!$T$5:$T$1000, 0)), "")</f>
        <v/>
      </c>
      <c r="G86" s="20" t="str">
        <f>IFERROR(INDEX('Detalles movimientos'!H$5:H$1000, MATCH(77, 'Detalles movimientos'!$T$5:$T$1000, 0)), "")</f>
        <v/>
      </c>
      <c r="H86" s="21" t="str">
        <f>IFERROR(INDEX('Detalles movimientos'!I$5:I$1000, MATCH(77, 'Detalles movimientos'!$T$5:$T$1000, 0)), "")</f>
        <v/>
      </c>
      <c r="I86" s="20" t="str">
        <f>IFERROR(INDEX('Detalles movimientos'!K$5:K$1000, MATCH(77, 'Detalles movimientos'!$T$5:$T$1000, 0)), "")</f>
        <v/>
      </c>
      <c r="J86" s="19" t="str">
        <f>IFERROR(INDEX('Detalles movimientos'!L$5:L$1000, MATCH(77, 'Detalles movimientos'!$T$5:$T$1000, 0)), "")</f>
        <v/>
      </c>
      <c r="K86" s="20" t="str">
        <f>IFERROR(INDEX('Detalles movimientos'!M$5:M$1000, MATCH(77, 'Detalles movimientos'!$T$5:$T$1000, 0)), "")</f>
        <v/>
      </c>
      <c r="L86" s="18" t="str">
        <f>IFERROR(INDEX('Detalles movimientos'!N$5:N$1000, MATCH(77, 'Detalles movimientos'!$T$5:$T$1000, 0)), "")</f>
        <v/>
      </c>
      <c r="M86" s="18" t="str">
        <f>IFERROR(INDEX('Detalles movimientos'!Q$5:Q$1000, MATCH(77, 'Detalles movimientos'!$T$5:$T$1000, 0)), "")</f>
        <v/>
      </c>
    </row>
    <row r="87" spans="2:13">
      <c r="B87" s="17" t="str">
        <f>IFERROR(INDEX('Detalles movimientos'!C$5:C$1000, MATCH(78, 'Detalles movimientos'!$T$5:$T$1000, 0)), "")</f>
        <v/>
      </c>
      <c r="C87" s="18" t="str">
        <f>IFERROR(INDEX('Detalles movimientos'!D$5:D$1000, MATCH(78, 'Detalles movimientos'!$T$5:$T$1000, 0)), "")</f>
        <v/>
      </c>
      <c r="D87" s="19" t="str">
        <f>IFERROR(INDEX('Detalles movimientos'!E$5:E$1000, MATCH(78, 'Detalles movimientos'!$T$5:$T$1000, 0)), "")</f>
        <v/>
      </c>
      <c r="E87" s="19" t="str">
        <f>IFERROR(INDEX('Detalles movimientos'!F$5:F$1000, MATCH(78, 'Detalles movimientos'!$T$5:$T$1000, 0)), "")</f>
        <v/>
      </c>
      <c r="F87" s="18" t="str">
        <f>IFERROR(INDEX('Detalles movimientos'!G$5:G$1000, MATCH(78, 'Detalles movimientos'!$T$5:$T$1000, 0)), "")</f>
        <v/>
      </c>
      <c r="G87" s="20" t="str">
        <f>IFERROR(INDEX('Detalles movimientos'!H$5:H$1000, MATCH(78, 'Detalles movimientos'!$T$5:$T$1000, 0)), "")</f>
        <v/>
      </c>
      <c r="H87" s="21" t="str">
        <f>IFERROR(INDEX('Detalles movimientos'!I$5:I$1000, MATCH(78, 'Detalles movimientos'!$T$5:$T$1000, 0)), "")</f>
        <v/>
      </c>
      <c r="I87" s="20" t="str">
        <f>IFERROR(INDEX('Detalles movimientos'!K$5:K$1000, MATCH(78, 'Detalles movimientos'!$T$5:$T$1000, 0)), "")</f>
        <v/>
      </c>
      <c r="J87" s="19" t="str">
        <f>IFERROR(INDEX('Detalles movimientos'!L$5:L$1000, MATCH(78, 'Detalles movimientos'!$T$5:$T$1000, 0)), "")</f>
        <v/>
      </c>
      <c r="K87" s="20" t="str">
        <f>IFERROR(INDEX('Detalles movimientos'!M$5:M$1000, MATCH(78, 'Detalles movimientos'!$T$5:$T$1000, 0)), "")</f>
        <v/>
      </c>
      <c r="L87" s="18" t="str">
        <f>IFERROR(INDEX('Detalles movimientos'!N$5:N$1000, MATCH(78, 'Detalles movimientos'!$T$5:$T$1000, 0)), "")</f>
        <v/>
      </c>
      <c r="M87" s="18" t="str">
        <f>IFERROR(INDEX('Detalles movimientos'!Q$5:Q$1000, MATCH(78, 'Detalles movimientos'!$T$5:$T$1000, 0)), "")</f>
        <v/>
      </c>
    </row>
    <row r="88" spans="2:13">
      <c r="B88" s="17" t="str">
        <f>IFERROR(INDEX('Detalles movimientos'!C$5:C$1000, MATCH(79, 'Detalles movimientos'!$T$5:$T$1000, 0)), "")</f>
        <v/>
      </c>
      <c r="C88" s="18" t="str">
        <f>IFERROR(INDEX('Detalles movimientos'!D$5:D$1000, MATCH(79, 'Detalles movimientos'!$T$5:$T$1000, 0)), "")</f>
        <v/>
      </c>
      <c r="D88" s="19" t="str">
        <f>IFERROR(INDEX('Detalles movimientos'!E$5:E$1000, MATCH(79, 'Detalles movimientos'!$T$5:$T$1000, 0)), "")</f>
        <v/>
      </c>
      <c r="E88" s="19" t="str">
        <f>IFERROR(INDEX('Detalles movimientos'!F$5:F$1000, MATCH(79, 'Detalles movimientos'!$T$5:$T$1000, 0)), "")</f>
        <v/>
      </c>
      <c r="F88" s="18" t="str">
        <f>IFERROR(INDEX('Detalles movimientos'!G$5:G$1000, MATCH(79, 'Detalles movimientos'!$T$5:$T$1000, 0)), "")</f>
        <v/>
      </c>
      <c r="G88" s="20" t="str">
        <f>IFERROR(INDEX('Detalles movimientos'!H$5:H$1000, MATCH(79, 'Detalles movimientos'!$T$5:$T$1000, 0)), "")</f>
        <v/>
      </c>
      <c r="H88" s="21" t="str">
        <f>IFERROR(INDEX('Detalles movimientos'!I$5:I$1000, MATCH(79, 'Detalles movimientos'!$T$5:$T$1000, 0)), "")</f>
        <v/>
      </c>
      <c r="I88" s="20" t="str">
        <f>IFERROR(INDEX('Detalles movimientos'!K$5:K$1000, MATCH(79, 'Detalles movimientos'!$T$5:$T$1000, 0)), "")</f>
        <v/>
      </c>
      <c r="J88" s="19" t="str">
        <f>IFERROR(INDEX('Detalles movimientos'!L$5:L$1000, MATCH(79, 'Detalles movimientos'!$T$5:$T$1000, 0)), "")</f>
        <v/>
      </c>
      <c r="K88" s="20" t="str">
        <f>IFERROR(INDEX('Detalles movimientos'!M$5:M$1000, MATCH(79, 'Detalles movimientos'!$T$5:$T$1000, 0)), "")</f>
        <v/>
      </c>
      <c r="L88" s="18" t="str">
        <f>IFERROR(INDEX('Detalles movimientos'!N$5:N$1000, MATCH(79, 'Detalles movimientos'!$T$5:$T$1000, 0)), "")</f>
        <v/>
      </c>
      <c r="M88" s="18" t="str">
        <f>IFERROR(INDEX('Detalles movimientos'!Q$5:Q$1000, MATCH(79, 'Detalles movimientos'!$T$5:$T$1000, 0)), "")</f>
        <v/>
      </c>
    </row>
    <row r="89" spans="2:13">
      <c r="B89" s="17" t="str">
        <f>IFERROR(INDEX('Detalles movimientos'!C$5:C$1000, MATCH(80, 'Detalles movimientos'!$T$5:$T$1000, 0)), "")</f>
        <v/>
      </c>
      <c r="C89" s="18" t="str">
        <f>IFERROR(INDEX('Detalles movimientos'!D$5:D$1000, MATCH(80, 'Detalles movimientos'!$T$5:$T$1000, 0)), "")</f>
        <v/>
      </c>
      <c r="D89" s="19" t="str">
        <f>IFERROR(INDEX('Detalles movimientos'!E$5:E$1000, MATCH(80, 'Detalles movimientos'!$T$5:$T$1000, 0)), "")</f>
        <v/>
      </c>
      <c r="E89" s="19" t="str">
        <f>IFERROR(INDEX('Detalles movimientos'!F$5:F$1000, MATCH(80, 'Detalles movimientos'!$T$5:$T$1000, 0)), "")</f>
        <v/>
      </c>
      <c r="F89" s="18" t="str">
        <f>IFERROR(INDEX('Detalles movimientos'!G$5:G$1000, MATCH(80, 'Detalles movimientos'!$T$5:$T$1000, 0)), "")</f>
        <v/>
      </c>
      <c r="G89" s="20" t="str">
        <f>IFERROR(INDEX('Detalles movimientos'!H$5:H$1000, MATCH(80, 'Detalles movimientos'!$T$5:$T$1000, 0)), "")</f>
        <v/>
      </c>
      <c r="H89" s="21" t="str">
        <f>IFERROR(INDEX('Detalles movimientos'!I$5:I$1000, MATCH(80, 'Detalles movimientos'!$T$5:$T$1000, 0)), "")</f>
        <v/>
      </c>
      <c r="I89" s="20" t="str">
        <f>IFERROR(INDEX('Detalles movimientos'!K$5:K$1000, MATCH(80, 'Detalles movimientos'!$T$5:$T$1000, 0)), "")</f>
        <v/>
      </c>
      <c r="J89" s="19" t="str">
        <f>IFERROR(INDEX('Detalles movimientos'!L$5:L$1000, MATCH(80, 'Detalles movimientos'!$T$5:$T$1000, 0)), "")</f>
        <v/>
      </c>
      <c r="K89" s="20" t="str">
        <f>IFERROR(INDEX('Detalles movimientos'!M$5:M$1000, MATCH(80, 'Detalles movimientos'!$T$5:$T$1000, 0)), "")</f>
        <v/>
      </c>
      <c r="L89" s="18" t="str">
        <f>IFERROR(INDEX('Detalles movimientos'!N$5:N$1000, MATCH(80, 'Detalles movimientos'!$T$5:$T$1000, 0)), "")</f>
        <v/>
      </c>
      <c r="M89" s="18" t="str">
        <f>IFERROR(INDEX('Detalles movimientos'!Q$5:Q$1000, MATCH(80, 'Detalles movimientos'!$T$5:$T$1000, 0)), "")</f>
        <v/>
      </c>
    </row>
    <row r="90" spans="2:13">
      <c r="B90" s="17" t="str">
        <f>IFERROR(INDEX('Detalles movimientos'!C$5:C$1000, MATCH(81, 'Detalles movimientos'!$T$5:$T$1000, 0)), "")</f>
        <v/>
      </c>
      <c r="C90" s="18" t="str">
        <f>IFERROR(INDEX('Detalles movimientos'!D$5:D$1000, MATCH(81, 'Detalles movimientos'!$T$5:$T$1000, 0)), "")</f>
        <v/>
      </c>
      <c r="D90" s="19" t="str">
        <f>IFERROR(INDEX('Detalles movimientos'!E$5:E$1000, MATCH(81, 'Detalles movimientos'!$T$5:$T$1000, 0)), "")</f>
        <v/>
      </c>
      <c r="E90" s="19" t="str">
        <f>IFERROR(INDEX('Detalles movimientos'!F$5:F$1000, MATCH(81, 'Detalles movimientos'!$T$5:$T$1000, 0)), "")</f>
        <v/>
      </c>
      <c r="F90" s="18" t="str">
        <f>IFERROR(INDEX('Detalles movimientos'!G$5:G$1000, MATCH(81, 'Detalles movimientos'!$T$5:$T$1000, 0)), "")</f>
        <v/>
      </c>
      <c r="G90" s="20" t="str">
        <f>IFERROR(INDEX('Detalles movimientos'!H$5:H$1000, MATCH(81, 'Detalles movimientos'!$T$5:$T$1000, 0)), "")</f>
        <v/>
      </c>
      <c r="H90" s="21" t="str">
        <f>IFERROR(INDEX('Detalles movimientos'!I$5:I$1000, MATCH(81, 'Detalles movimientos'!$T$5:$T$1000, 0)), "")</f>
        <v/>
      </c>
      <c r="I90" s="20" t="str">
        <f>IFERROR(INDEX('Detalles movimientos'!K$5:K$1000, MATCH(81, 'Detalles movimientos'!$T$5:$T$1000, 0)), "")</f>
        <v/>
      </c>
      <c r="J90" s="19" t="str">
        <f>IFERROR(INDEX('Detalles movimientos'!L$5:L$1000, MATCH(81, 'Detalles movimientos'!$T$5:$T$1000, 0)), "")</f>
        <v/>
      </c>
      <c r="K90" s="20" t="str">
        <f>IFERROR(INDEX('Detalles movimientos'!M$5:M$1000, MATCH(81, 'Detalles movimientos'!$T$5:$T$1000, 0)), "")</f>
        <v/>
      </c>
      <c r="L90" s="18" t="str">
        <f>IFERROR(INDEX('Detalles movimientos'!N$5:N$1000, MATCH(81, 'Detalles movimientos'!$T$5:$T$1000, 0)), "")</f>
        <v/>
      </c>
      <c r="M90" s="18" t="str">
        <f>IFERROR(INDEX('Detalles movimientos'!Q$5:Q$1000, MATCH(81, 'Detalles movimientos'!$T$5:$T$1000, 0)), "")</f>
        <v/>
      </c>
    </row>
    <row r="91" spans="2:13">
      <c r="B91" s="17" t="str">
        <f>IFERROR(INDEX('Detalles movimientos'!C$5:C$1000, MATCH(82, 'Detalles movimientos'!$T$5:$T$1000, 0)), "")</f>
        <v/>
      </c>
      <c r="C91" s="18" t="str">
        <f>IFERROR(INDEX('Detalles movimientos'!D$5:D$1000, MATCH(82, 'Detalles movimientos'!$T$5:$T$1000, 0)), "")</f>
        <v/>
      </c>
      <c r="D91" s="19" t="str">
        <f>IFERROR(INDEX('Detalles movimientos'!E$5:E$1000, MATCH(82, 'Detalles movimientos'!$T$5:$T$1000, 0)), "")</f>
        <v/>
      </c>
      <c r="E91" s="19" t="str">
        <f>IFERROR(INDEX('Detalles movimientos'!F$5:F$1000, MATCH(82, 'Detalles movimientos'!$T$5:$T$1000, 0)), "")</f>
        <v/>
      </c>
      <c r="F91" s="18" t="str">
        <f>IFERROR(INDEX('Detalles movimientos'!G$5:G$1000, MATCH(82, 'Detalles movimientos'!$T$5:$T$1000, 0)), "")</f>
        <v/>
      </c>
      <c r="G91" s="20" t="str">
        <f>IFERROR(INDEX('Detalles movimientos'!H$5:H$1000, MATCH(82, 'Detalles movimientos'!$T$5:$T$1000, 0)), "")</f>
        <v/>
      </c>
      <c r="H91" s="21" t="str">
        <f>IFERROR(INDEX('Detalles movimientos'!I$5:I$1000, MATCH(82, 'Detalles movimientos'!$T$5:$T$1000, 0)), "")</f>
        <v/>
      </c>
      <c r="I91" s="20" t="str">
        <f>IFERROR(INDEX('Detalles movimientos'!K$5:K$1000, MATCH(82, 'Detalles movimientos'!$T$5:$T$1000, 0)), "")</f>
        <v/>
      </c>
      <c r="J91" s="19" t="str">
        <f>IFERROR(INDEX('Detalles movimientos'!L$5:L$1000, MATCH(82, 'Detalles movimientos'!$T$5:$T$1000, 0)), "")</f>
        <v/>
      </c>
      <c r="K91" s="20" t="str">
        <f>IFERROR(INDEX('Detalles movimientos'!M$5:M$1000, MATCH(82, 'Detalles movimientos'!$T$5:$T$1000, 0)), "")</f>
        <v/>
      </c>
      <c r="L91" s="18" t="str">
        <f>IFERROR(INDEX('Detalles movimientos'!N$5:N$1000, MATCH(82, 'Detalles movimientos'!$T$5:$T$1000, 0)), "")</f>
        <v/>
      </c>
      <c r="M91" s="18" t="str">
        <f>IFERROR(INDEX('Detalles movimientos'!Q$5:Q$1000, MATCH(82, 'Detalles movimientos'!$T$5:$T$1000, 0)), "")</f>
        <v/>
      </c>
    </row>
    <row r="92" spans="2:13">
      <c r="B92" s="17" t="str">
        <f>IFERROR(INDEX('Detalles movimientos'!C$5:C$1000, MATCH(83, 'Detalles movimientos'!$T$5:$T$1000, 0)), "")</f>
        <v/>
      </c>
      <c r="C92" s="18" t="str">
        <f>IFERROR(INDEX('Detalles movimientos'!D$5:D$1000, MATCH(83, 'Detalles movimientos'!$T$5:$T$1000, 0)), "")</f>
        <v/>
      </c>
      <c r="D92" s="19" t="str">
        <f>IFERROR(INDEX('Detalles movimientos'!E$5:E$1000, MATCH(83, 'Detalles movimientos'!$T$5:$T$1000, 0)), "")</f>
        <v/>
      </c>
      <c r="E92" s="19" t="str">
        <f>IFERROR(INDEX('Detalles movimientos'!F$5:F$1000, MATCH(83, 'Detalles movimientos'!$T$5:$T$1000, 0)), "")</f>
        <v/>
      </c>
      <c r="F92" s="18" t="str">
        <f>IFERROR(INDEX('Detalles movimientos'!G$5:G$1000, MATCH(83, 'Detalles movimientos'!$T$5:$T$1000, 0)), "")</f>
        <v/>
      </c>
      <c r="G92" s="20" t="str">
        <f>IFERROR(INDEX('Detalles movimientos'!H$5:H$1000, MATCH(83, 'Detalles movimientos'!$T$5:$T$1000, 0)), "")</f>
        <v/>
      </c>
      <c r="H92" s="21" t="str">
        <f>IFERROR(INDEX('Detalles movimientos'!I$5:I$1000, MATCH(83, 'Detalles movimientos'!$T$5:$T$1000, 0)), "")</f>
        <v/>
      </c>
      <c r="I92" s="20" t="str">
        <f>IFERROR(INDEX('Detalles movimientos'!K$5:K$1000, MATCH(83, 'Detalles movimientos'!$T$5:$T$1000, 0)), "")</f>
        <v/>
      </c>
      <c r="J92" s="19" t="str">
        <f>IFERROR(INDEX('Detalles movimientos'!L$5:L$1000, MATCH(83, 'Detalles movimientos'!$T$5:$T$1000, 0)), "")</f>
        <v/>
      </c>
      <c r="K92" s="20" t="str">
        <f>IFERROR(INDEX('Detalles movimientos'!M$5:M$1000, MATCH(83, 'Detalles movimientos'!$T$5:$T$1000, 0)), "")</f>
        <v/>
      </c>
      <c r="L92" s="18" t="str">
        <f>IFERROR(INDEX('Detalles movimientos'!N$5:N$1000, MATCH(83, 'Detalles movimientos'!$T$5:$T$1000, 0)), "")</f>
        <v/>
      </c>
      <c r="M92" s="18" t="str">
        <f>IFERROR(INDEX('Detalles movimientos'!Q$5:Q$1000, MATCH(83, 'Detalles movimientos'!$T$5:$T$1000, 0)), "")</f>
        <v/>
      </c>
    </row>
    <row r="93" spans="2:13">
      <c r="B93" s="17" t="str">
        <f>IFERROR(INDEX('Detalles movimientos'!C$5:C$1000, MATCH(84, 'Detalles movimientos'!$T$5:$T$1000, 0)), "")</f>
        <v/>
      </c>
      <c r="C93" s="18" t="str">
        <f>IFERROR(INDEX('Detalles movimientos'!D$5:D$1000, MATCH(84, 'Detalles movimientos'!$T$5:$T$1000, 0)), "")</f>
        <v/>
      </c>
      <c r="D93" s="19" t="str">
        <f>IFERROR(INDEX('Detalles movimientos'!E$5:E$1000, MATCH(84, 'Detalles movimientos'!$T$5:$T$1000, 0)), "")</f>
        <v/>
      </c>
      <c r="E93" s="19" t="str">
        <f>IFERROR(INDEX('Detalles movimientos'!F$5:F$1000, MATCH(84, 'Detalles movimientos'!$T$5:$T$1000, 0)), "")</f>
        <v/>
      </c>
      <c r="F93" s="18" t="str">
        <f>IFERROR(INDEX('Detalles movimientos'!G$5:G$1000, MATCH(84, 'Detalles movimientos'!$T$5:$T$1000, 0)), "")</f>
        <v/>
      </c>
      <c r="G93" s="20" t="str">
        <f>IFERROR(INDEX('Detalles movimientos'!H$5:H$1000, MATCH(84, 'Detalles movimientos'!$T$5:$T$1000, 0)), "")</f>
        <v/>
      </c>
      <c r="H93" s="21" t="str">
        <f>IFERROR(INDEX('Detalles movimientos'!I$5:I$1000, MATCH(84, 'Detalles movimientos'!$T$5:$T$1000, 0)), "")</f>
        <v/>
      </c>
      <c r="I93" s="20" t="str">
        <f>IFERROR(INDEX('Detalles movimientos'!K$5:K$1000, MATCH(84, 'Detalles movimientos'!$T$5:$T$1000, 0)), "")</f>
        <v/>
      </c>
      <c r="J93" s="19" t="str">
        <f>IFERROR(INDEX('Detalles movimientos'!L$5:L$1000, MATCH(84, 'Detalles movimientos'!$T$5:$T$1000, 0)), "")</f>
        <v/>
      </c>
      <c r="K93" s="20" t="str">
        <f>IFERROR(INDEX('Detalles movimientos'!M$5:M$1000, MATCH(84, 'Detalles movimientos'!$T$5:$T$1000, 0)), "")</f>
        <v/>
      </c>
      <c r="L93" s="18" t="str">
        <f>IFERROR(INDEX('Detalles movimientos'!N$5:N$1000, MATCH(84, 'Detalles movimientos'!$T$5:$T$1000, 0)), "")</f>
        <v/>
      </c>
      <c r="M93" s="18" t="str">
        <f>IFERROR(INDEX('Detalles movimientos'!Q$5:Q$1000, MATCH(84, 'Detalles movimientos'!$T$5:$T$1000, 0)), "")</f>
        <v/>
      </c>
    </row>
    <row r="94" spans="2:13">
      <c r="B94" s="17" t="str">
        <f>IFERROR(INDEX('Detalles movimientos'!C$5:C$1000, MATCH(85, 'Detalles movimientos'!$T$5:$T$1000, 0)), "")</f>
        <v/>
      </c>
      <c r="C94" s="18" t="str">
        <f>IFERROR(INDEX('Detalles movimientos'!D$5:D$1000, MATCH(85, 'Detalles movimientos'!$T$5:$T$1000, 0)), "")</f>
        <v/>
      </c>
      <c r="D94" s="19" t="str">
        <f>IFERROR(INDEX('Detalles movimientos'!E$5:E$1000, MATCH(85, 'Detalles movimientos'!$T$5:$T$1000, 0)), "")</f>
        <v/>
      </c>
      <c r="E94" s="19" t="str">
        <f>IFERROR(INDEX('Detalles movimientos'!F$5:F$1000, MATCH(85, 'Detalles movimientos'!$T$5:$T$1000, 0)), "")</f>
        <v/>
      </c>
      <c r="F94" s="18" t="str">
        <f>IFERROR(INDEX('Detalles movimientos'!G$5:G$1000, MATCH(85, 'Detalles movimientos'!$T$5:$T$1000, 0)), "")</f>
        <v/>
      </c>
      <c r="G94" s="20" t="str">
        <f>IFERROR(INDEX('Detalles movimientos'!H$5:H$1000, MATCH(85, 'Detalles movimientos'!$T$5:$T$1000, 0)), "")</f>
        <v/>
      </c>
      <c r="H94" s="21" t="str">
        <f>IFERROR(INDEX('Detalles movimientos'!I$5:I$1000, MATCH(85, 'Detalles movimientos'!$T$5:$T$1000, 0)), "")</f>
        <v/>
      </c>
      <c r="I94" s="20" t="str">
        <f>IFERROR(INDEX('Detalles movimientos'!K$5:K$1000, MATCH(85, 'Detalles movimientos'!$T$5:$T$1000, 0)), "")</f>
        <v/>
      </c>
      <c r="J94" s="19" t="str">
        <f>IFERROR(INDEX('Detalles movimientos'!L$5:L$1000, MATCH(85, 'Detalles movimientos'!$T$5:$T$1000, 0)), "")</f>
        <v/>
      </c>
      <c r="K94" s="20" t="str">
        <f>IFERROR(INDEX('Detalles movimientos'!M$5:M$1000, MATCH(85, 'Detalles movimientos'!$T$5:$T$1000, 0)), "")</f>
        <v/>
      </c>
      <c r="L94" s="18" t="str">
        <f>IFERROR(INDEX('Detalles movimientos'!N$5:N$1000, MATCH(85, 'Detalles movimientos'!$T$5:$T$1000, 0)), "")</f>
        <v/>
      </c>
      <c r="M94" s="18" t="str">
        <f>IFERROR(INDEX('Detalles movimientos'!Q$5:Q$1000, MATCH(85, 'Detalles movimientos'!$T$5:$T$1000, 0)), "")</f>
        <v/>
      </c>
    </row>
    <row r="95" spans="2:13">
      <c r="B95" s="17" t="str">
        <f>IFERROR(INDEX('Detalles movimientos'!C$5:C$1000, MATCH(86, 'Detalles movimientos'!$T$5:$T$1000, 0)), "")</f>
        <v/>
      </c>
      <c r="C95" s="18" t="str">
        <f>IFERROR(INDEX('Detalles movimientos'!D$5:D$1000, MATCH(86, 'Detalles movimientos'!$T$5:$T$1000, 0)), "")</f>
        <v/>
      </c>
      <c r="D95" s="19" t="str">
        <f>IFERROR(INDEX('Detalles movimientos'!E$5:E$1000, MATCH(86, 'Detalles movimientos'!$T$5:$T$1000, 0)), "")</f>
        <v/>
      </c>
      <c r="E95" s="19" t="str">
        <f>IFERROR(INDEX('Detalles movimientos'!F$5:F$1000, MATCH(86, 'Detalles movimientos'!$T$5:$T$1000, 0)), "")</f>
        <v/>
      </c>
      <c r="F95" s="18" t="str">
        <f>IFERROR(INDEX('Detalles movimientos'!G$5:G$1000, MATCH(86, 'Detalles movimientos'!$T$5:$T$1000, 0)), "")</f>
        <v/>
      </c>
      <c r="G95" s="20" t="str">
        <f>IFERROR(INDEX('Detalles movimientos'!H$5:H$1000, MATCH(86, 'Detalles movimientos'!$T$5:$T$1000, 0)), "")</f>
        <v/>
      </c>
      <c r="H95" s="21" t="str">
        <f>IFERROR(INDEX('Detalles movimientos'!I$5:I$1000, MATCH(86, 'Detalles movimientos'!$T$5:$T$1000, 0)), "")</f>
        <v/>
      </c>
      <c r="I95" s="20" t="str">
        <f>IFERROR(INDEX('Detalles movimientos'!K$5:K$1000, MATCH(86, 'Detalles movimientos'!$T$5:$T$1000, 0)), "")</f>
        <v/>
      </c>
      <c r="J95" s="19" t="str">
        <f>IFERROR(INDEX('Detalles movimientos'!L$5:L$1000, MATCH(86, 'Detalles movimientos'!$T$5:$T$1000, 0)), "")</f>
        <v/>
      </c>
      <c r="K95" s="20" t="str">
        <f>IFERROR(INDEX('Detalles movimientos'!M$5:M$1000, MATCH(86, 'Detalles movimientos'!$T$5:$T$1000, 0)), "")</f>
        <v/>
      </c>
      <c r="L95" s="18" t="str">
        <f>IFERROR(INDEX('Detalles movimientos'!N$5:N$1000, MATCH(86, 'Detalles movimientos'!$T$5:$T$1000, 0)), "")</f>
        <v/>
      </c>
      <c r="M95" s="18" t="str">
        <f>IFERROR(INDEX('Detalles movimientos'!Q$5:Q$1000, MATCH(86, 'Detalles movimientos'!$T$5:$T$1000, 0)), "")</f>
        <v/>
      </c>
    </row>
    <row r="96" spans="2:13">
      <c r="B96" s="17" t="str">
        <f>IFERROR(INDEX('Detalles movimientos'!C$5:C$1000, MATCH(87, 'Detalles movimientos'!$T$5:$T$1000, 0)), "")</f>
        <v/>
      </c>
      <c r="C96" s="18" t="str">
        <f>IFERROR(INDEX('Detalles movimientos'!D$5:D$1000, MATCH(87, 'Detalles movimientos'!$T$5:$T$1000, 0)), "")</f>
        <v/>
      </c>
      <c r="D96" s="19" t="str">
        <f>IFERROR(INDEX('Detalles movimientos'!E$5:E$1000, MATCH(87, 'Detalles movimientos'!$T$5:$T$1000, 0)), "")</f>
        <v/>
      </c>
      <c r="E96" s="19" t="str">
        <f>IFERROR(INDEX('Detalles movimientos'!F$5:F$1000, MATCH(87, 'Detalles movimientos'!$T$5:$T$1000, 0)), "")</f>
        <v/>
      </c>
      <c r="F96" s="18" t="str">
        <f>IFERROR(INDEX('Detalles movimientos'!G$5:G$1000, MATCH(87, 'Detalles movimientos'!$T$5:$T$1000, 0)), "")</f>
        <v/>
      </c>
      <c r="G96" s="20" t="str">
        <f>IFERROR(INDEX('Detalles movimientos'!H$5:H$1000, MATCH(87, 'Detalles movimientos'!$T$5:$T$1000, 0)), "")</f>
        <v/>
      </c>
      <c r="H96" s="21" t="str">
        <f>IFERROR(INDEX('Detalles movimientos'!I$5:I$1000, MATCH(87, 'Detalles movimientos'!$T$5:$T$1000, 0)), "")</f>
        <v/>
      </c>
      <c r="I96" s="20" t="str">
        <f>IFERROR(INDEX('Detalles movimientos'!K$5:K$1000, MATCH(87, 'Detalles movimientos'!$T$5:$T$1000, 0)), "")</f>
        <v/>
      </c>
      <c r="J96" s="19" t="str">
        <f>IFERROR(INDEX('Detalles movimientos'!L$5:L$1000, MATCH(87, 'Detalles movimientos'!$T$5:$T$1000, 0)), "")</f>
        <v/>
      </c>
      <c r="K96" s="20" t="str">
        <f>IFERROR(INDEX('Detalles movimientos'!M$5:M$1000, MATCH(87, 'Detalles movimientos'!$T$5:$T$1000, 0)), "")</f>
        <v/>
      </c>
      <c r="L96" s="18" t="str">
        <f>IFERROR(INDEX('Detalles movimientos'!N$5:N$1000, MATCH(87, 'Detalles movimientos'!$T$5:$T$1000, 0)), "")</f>
        <v/>
      </c>
      <c r="M96" s="18" t="str">
        <f>IFERROR(INDEX('Detalles movimientos'!Q$5:Q$1000, MATCH(87, 'Detalles movimientos'!$T$5:$T$1000, 0)), "")</f>
        <v/>
      </c>
    </row>
    <row r="97" spans="2:13">
      <c r="B97" s="17" t="str">
        <f>IFERROR(INDEX('Detalles movimientos'!C$5:C$1000, MATCH(88, 'Detalles movimientos'!$T$5:$T$1000, 0)), "")</f>
        <v/>
      </c>
      <c r="C97" s="18" t="str">
        <f>IFERROR(INDEX('Detalles movimientos'!D$5:D$1000, MATCH(88, 'Detalles movimientos'!$T$5:$T$1000, 0)), "")</f>
        <v/>
      </c>
      <c r="D97" s="19" t="str">
        <f>IFERROR(INDEX('Detalles movimientos'!E$5:E$1000, MATCH(88, 'Detalles movimientos'!$T$5:$T$1000, 0)), "")</f>
        <v/>
      </c>
      <c r="E97" s="19" t="str">
        <f>IFERROR(INDEX('Detalles movimientos'!F$5:F$1000, MATCH(88, 'Detalles movimientos'!$T$5:$T$1000, 0)), "")</f>
        <v/>
      </c>
      <c r="F97" s="18" t="str">
        <f>IFERROR(INDEX('Detalles movimientos'!G$5:G$1000, MATCH(88, 'Detalles movimientos'!$T$5:$T$1000, 0)), "")</f>
        <v/>
      </c>
      <c r="G97" s="20" t="str">
        <f>IFERROR(INDEX('Detalles movimientos'!H$5:H$1000, MATCH(88, 'Detalles movimientos'!$T$5:$T$1000, 0)), "")</f>
        <v/>
      </c>
      <c r="H97" s="21" t="str">
        <f>IFERROR(INDEX('Detalles movimientos'!I$5:I$1000, MATCH(88, 'Detalles movimientos'!$T$5:$T$1000, 0)), "")</f>
        <v/>
      </c>
      <c r="I97" s="20" t="str">
        <f>IFERROR(INDEX('Detalles movimientos'!K$5:K$1000, MATCH(88, 'Detalles movimientos'!$T$5:$T$1000, 0)), "")</f>
        <v/>
      </c>
      <c r="J97" s="19" t="str">
        <f>IFERROR(INDEX('Detalles movimientos'!L$5:L$1000, MATCH(88, 'Detalles movimientos'!$T$5:$T$1000, 0)), "")</f>
        <v/>
      </c>
      <c r="K97" s="20" t="str">
        <f>IFERROR(INDEX('Detalles movimientos'!M$5:M$1000, MATCH(88, 'Detalles movimientos'!$T$5:$T$1000, 0)), "")</f>
        <v/>
      </c>
      <c r="L97" s="18" t="str">
        <f>IFERROR(INDEX('Detalles movimientos'!N$5:N$1000, MATCH(88, 'Detalles movimientos'!$T$5:$T$1000, 0)), "")</f>
        <v/>
      </c>
      <c r="M97" s="18" t="str">
        <f>IFERROR(INDEX('Detalles movimientos'!Q$5:Q$1000, MATCH(88, 'Detalles movimientos'!$T$5:$T$1000, 0)), "")</f>
        <v/>
      </c>
    </row>
    <row r="98" spans="2:13">
      <c r="B98" s="17" t="str">
        <f>IFERROR(INDEX('Detalles movimientos'!C$5:C$1000, MATCH(89, 'Detalles movimientos'!$T$5:$T$1000, 0)), "")</f>
        <v/>
      </c>
      <c r="C98" s="18" t="str">
        <f>IFERROR(INDEX('Detalles movimientos'!D$5:D$1000, MATCH(89, 'Detalles movimientos'!$T$5:$T$1000, 0)), "")</f>
        <v/>
      </c>
      <c r="D98" s="19" t="str">
        <f>IFERROR(INDEX('Detalles movimientos'!E$5:E$1000, MATCH(89, 'Detalles movimientos'!$T$5:$T$1000, 0)), "")</f>
        <v/>
      </c>
      <c r="E98" s="19" t="str">
        <f>IFERROR(INDEX('Detalles movimientos'!F$5:F$1000, MATCH(89, 'Detalles movimientos'!$T$5:$T$1000, 0)), "")</f>
        <v/>
      </c>
      <c r="F98" s="18" t="str">
        <f>IFERROR(INDEX('Detalles movimientos'!G$5:G$1000, MATCH(89, 'Detalles movimientos'!$T$5:$T$1000, 0)), "")</f>
        <v/>
      </c>
      <c r="G98" s="20" t="str">
        <f>IFERROR(INDEX('Detalles movimientos'!H$5:H$1000, MATCH(89, 'Detalles movimientos'!$T$5:$T$1000, 0)), "")</f>
        <v/>
      </c>
      <c r="H98" s="21" t="str">
        <f>IFERROR(INDEX('Detalles movimientos'!I$5:I$1000, MATCH(89, 'Detalles movimientos'!$T$5:$T$1000, 0)), "")</f>
        <v/>
      </c>
      <c r="I98" s="20" t="str">
        <f>IFERROR(INDEX('Detalles movimientos'!K$5:K$1000, MATCH(89, 'Detalles movimientos'!$T$5:$T$1000, 0)), "")</f>
        <v/>
      </c>
      <c r="J98" s="19" t="str">
        <f>IFERROR(INDEX('Detalles movimientos'!L$5:L$1000, MATCH(89, 'Detalles movimientos'!$T$5:$T$1000, 0)), "")</f>
        <v/>
      </c>
      <c r="K98" s="20" t="str">
        <f>IFERROR(INDEX('Detalles movimientos'!M$5:M$1000, MATCH(89, 'Detalles movimientos'!$T$5:$T$1000, 0)), "")</f>
        <v/>
      </c>
      <c r="L98" s="18" t="str">
        <f>IFERROR(INDEX('Detalles movimientos'!N$5:N$1000, MATCH(89, 'Detalles movimientos'!$T$5:$T$1000, 0)), "")</f>
        <v/>
      </c>
      <c r="M98" s="18" t="str">
        <f>IFERROR(INDEX('Detalles movimientos'!Q$5:Q$1000, MATCH(89, 'Detalles movimientos'!$T$5:$T$1000, 0)), "")</f>
        <v/>
      </c>
    </row>
    <row r="99" spans="2:13">
      <c r="B99" s="17" t="str">
        <f>IFERROR(INDEX('Detalles movimientos'!C$5:C$1000, MATCH(90, 'Detalles movimientos'!$T$5:$T$1000, 0)), "")</f>
        <v/>
      </c>
      <c r="C99" s="18" t="str">
        <f>IFERROR(INDEX('Detalles movimientos'!D$5:D$1000, MATCH(90, 'Detalles movimientos'!$T$5:$T$1000, 0)), "")</f>
        <v/>
      </c>
      <c r="D99" s="19" t="str">
        <f>IFERROR(INDEX('Detalles movimientos'!E$5:E$1000, MATCH(90, 'Detalles movimientos'!$T$5:$T$1000, 0)), "")</f>
        <v/>
      </c>
      <c r="E99" s="19" t="str">
        <f>IFERROR(INDEX('Detalles movimientos'!F$5:F$1000, MATCH(90, 'Detalles movimientos'!$T$5:$T$1000, 0)), "")</f>
        <v/>
      </c>
      <c r="F99" s="18" t="str">
        <f>IFERROR(INDEX('Detalles movimientos'!G$5:G$1000, MATCH(90, 'Detalles movimientos'!$T$5:$T$1000, 0)), "")</f>
        <v/>
      </c>
      <c r="G99" s="20" t="str">
        <f>IFERROR(INDEX('Detalles movimientos'!H$5:H$1000, MATCH(90, 'Detalles movimientos'!$T$5:$T$1000, 0)), "")</f>
        <v/>
      </c>
      <c r="H99" s="21" t="str">
        <f>IFERROR(INDEX('Detalles movimientos'!I$5:I$1000, MATCH(90, 'Detalles movimientos'!$T$5:$T$1000, 0)), "")</f>
        <v/>
      </c>
      <c r="I99" s="20" t="str">
        <f>IFERROR(INDEX('Detalles movimientos'!K$5:K$1000, MATCH(90, 'Detalles movimientos'!$T$5:$T$1000, 0)), "")</f>
        <v/>
      </c>
      <c r="J99" s="19" t="str">
        <f>IFERROR(INDEX('Detalles movimientos'!L$5:L$1000, MATCH(90, 'Detalles movimientos'!$T$5:$T$1000, 0)), "")</f>
        <v/>
      </c>
      <c r="K99" s="20" t="str">
        <f>IFERROR(INDEX('Detalles movimientos'!M$5:M$1000, MATCH(90, 'Detalles movimientos'!$T$5:$T$1000, 0)), "")</f>
        <v/>
      </c>
      <c r="L99" s="18" t="str">
        <f>IFERROR(INDEX('Detalles movimientos'!N$5:N$1000, MATCH(90, 'Detalles movimientos'!$T$5:$T$1000, 0)), "")</f>
        <v/>
      </c>
      <c r="M99" s="18" t="str">
        <f>IFERROR(INDEX('Detalles movimientos'!Q$5:Q$1000, MATCH(90, 'Detalles movimientos'!$T$5:$T$1000, 0)), "")</f>
        <v/>
      </c>
    </row>
    <row r="100" spans="2:13">
      <c r="B100" s="17" t="str">
        <f>IFERROR(INDEX('Detalles movimientos'!C$5:C$1000, MATCH(91, 'Detalles movimientos'!$T$5:$T$1000, 0)), "")</f>
        <v/>
      </c>
      <c r="C100" s="18" t="str">
        <f>IFERROR(INDEX('Detalles movimientos'!D$5:D$1000, MATCH(91, 'Detalles movimientos'!$T$5:$T$1000, 0)), "")</f>
        <v/>
      </c>
      <c r="D100" s="19" t="str">
        <f>IFERROR(INDEX('Detalles movimientos'!E$5:E$1000, MATCH(91, 'Detalles movimientos'!$T$5:$T$1000, 0)), "")</f>
        <v/>
      </c>
      <c r="E100" s="19" t="str">
        <f>IFERROR(INDEX('Detalles movimientos'!F$5:F$1000, MATCH(91, 'Detalles movimientos'!$T$5:$T$1000, 0)), "")</f>
        <v/>
      </c>
      <c r="F100" s="18" t="str">
        <f>IFERROR(INDEX('Detalles movimientos'!G$5:G$1000, MATCH(91, 'Detalles movimientos'!$T$5:$T$1000, 0)), "")</f>
        <v/>
      </c>
      <c r="G100" s="20" t="str">
        <f>IFERROR(INDEX('Detalles movimientos'!H$5:H$1000, MATCH(91, 'Detalles movimientos'!$T$5:$T$1000, 0)), "")</f>
        <v/>
      </c>
      <c r="H100" s="21" t="str">
        <f>IFERROR(INDEX('Detalles movimientos'!I$5:I$1000, MATCH(91, 'Detalles movimientos'!$T$5:$T$1000, 0)), "")</f>
        <v/>
      </c>
      <c r="I100" s="20" t="str">
        <f>IFERROR(INDEX('Detalles movimientos'!K$5:K$1000, MATCH(91, 'Detalles movimientos'!$T$5:$T$1000, 0)), "")</f>
        <v/>
      </c>
      <c r="J100" s="19" t="str">
        <f>IFERROR(INDEX('Detalles movimientos'!L$5:L$1000, MATCH(91, 'Detalles movimientos'!$T$5:$T$1000, 0)), "")</f>
        <v/>
      </c>
      <c r="K100" s="20" t="str">
        <f>IFERROR(INDEX('Detalles movimientos'!M$5:M$1000, MATCH(91, 'Detalles movimientos'!$T$5:$T$1000, 0)), "")</f>
        <v/>
      </c>
      <c r="L100" s="18" t="str">
        <f>IFERROR(INDEX('Detalles movimientos'!N$5:N$1000, MATCH(91, 'Detalles movimientos'!$T$5:$T$1000, 0)), "")</f>
        <v/>
      </c>
      <c r="M100" s="18" t="str">
        <f>IFERROR(INDEX('Detalles movimientos'!Q$5:Q$1000, MATCH(91, 'Detalles movimientos'!$T$5:$T$1000, 0)), "")</f>
        <v/>
      </c>
    </row>
    <row r="101" spans="2:13">
      <c r="B101" s="17" t="str">
        <f>IFERROR(INDEX('Detalles movimientos'!C$5:C$1000, MATCH(92, 'Detalles movimientos'!$T$5:$T$1000, 0)), "")</f>
        <v/>
      </c>
      <c r="C101" s="18" t="str">
        <f>IFERROR(INDEX('Detalles movimientos'!D$5:D$1000, MATCH(92, 'Detalles movimientos'!$T$5:$T$1000, 0)), "")</f>
        <v/>
      </c>
      <c r="D101" s="19" t="str">
        <f>IFERROR(INDEX('Detalles movimientos'!E$5:E$1000, MATCH(92, 'Detalles movimientos'!$T$5:$T$1000, 0)), "")</f>
        <v/>
      </c>
      <c r="E101" s="19" t="str">
        <f>IFERROR(INDEX('Detalles movimientos'!F$5:F$1000, MATCH(92, 'Detalles movimientos'!$T$5:$T$1000, 0)), "")</f>
        <v/>
      </c>
      <c r="F101" s="18" t="str">
        <f>IFERROR(INDEX('Detalles movimientos'!G$5:G$1000, MATCH(92, 'Detalles movimientos'!$T$5:$T$1000, 0)), "")</f>
        <v/>
      </c>
      <c r="G101" s="20" t="str">
        <f>IFERROR(INDEX('Detalles movimientos'!H$5:H$1000, MATCH(92, 'Detalles movimientos'!$T$5:$T$1000, 0)), "")</f>
        <v/>
      </c>
      <c r="H101" s="21" t="str">
        <f>IFERROR(INDEX('Detalles movimientos'!I$5:I$1000, MATCH(92, 'Detalles movimientos'!$T$5:$T$1000, 0)), "")</f>
        <v/>
      </c>
      <c r="I101" s="20" t="str">
        <f>IFERROR(INDEX('Detalles movimientos'!K$5:K$1000, MATCH(92, 'Detalles movimientos'!$T$5:$T$1000, 0)), "")</f>
        <v/>
      </c>
      <c r="J101" s="19" t="str">
        <f>IFERROR(INDEX('Detalles movimientos'!L$5:L$1000, MATCH(92, 'Detalles movimientos'!$T$5:$T$1000, 0)), "")</f>
        <v/>
      </c>
      <c r="K101" s="20" t="str">
        <f>IFERROR(INDEX('Detalles movimientos'!M$5:M$1000, MATCH(92, 'Detalles movimientos'!$T$5:$T$1000, 0)), "")</f>
        <v/>
      </c>
      <c r="L101" s="18" t="str">
        <f>IFERROR(INDEX('Detalles movimientos'!N$5:N$1000, MATCH(92, 'Detalles movimientos'!$T$5:$T$1000, 0)), "")</f>
        <v/>
      </c>
      <c r="M101" s="18" t="str">
        <f>IFERROR(INDEX('Detalles movimientos'!Q$5:Q$1000, MATCH(92, 'Detalles movimientos'!$T$5:$T$1000, 0)), "")</f>
        <v/>
      </c>
    </row>
    <row r="102" spans="2:13">
      <c r="B102" s="17" t="str">
        <f>IFERROR(INDEX('Detalles movimientos'!C$5:C$1000, MATCH(93, 'Detalles movimientos'!$T$5:$T$1000, 0)), "")</f>
        <v/>
      </c>
      <c r="C102" s="18" t="str">
        <f>IFERROR(INDEX('Detalles movimientos'!D$5:D$1000, MATCH(93, 'Detalles movimientos'!$T$5:$T$1000, 0)), "")</f>
        <v/>
      </c>
      <c r="D102" s="19" t="str">
        <f>IFERROR(INDEX('Detalles movimientos'!E$5:E$1000, MATCH(93, 'Detalles movimientos'!$T$5:$T$1000, 0)), "")</f>
        <v/>
      </c>
      <c r="E102" s="19" t="str">
        <f>IFERROR(INDEX('Detalles movimientos'!F$5:F$1000, MATCH(93, 'Detalles movimientos'!$T$5:$T$1000, 0)), "")</f>
        <v/>
      </c>
      <c r="F102" s="18" t="str">
        <f>IFERROR(INDEX('Detalles movimientos'!G$5:G$1000, MATCH(93, 'Detalles movimientos'!$T$5:$T$1000, 0)), "")</f>
        <v/>
      </c>
      <c r="G102" s="20" t="str">
        <f>IFERROR(INDEX('Detalles movimientos'!H$5:H$1000, MATCH(93, 'Detalles movimientos'!$T$5:$T$1000, 0)), "")</f>
        <v/>
      </c>
      <c r="H102" s="21" t="str">
        <f>IFERROR(INDEX('Detalles movimientos'!I$5:I$1000, MATCH(93, 'Detalles movimientos'!$T$5:$T$1000, 0)), "")</f>
        <v/>
      </c>
      <c r="I102" s="20" t="str">
        <f>IFERROR(INDEX('Detalles movimientos'!K$5:K$1000, MATCH(93, 'Detalles movimientos'!$T$5:$T$1000, 0)), "")</f>
        <v/>
      </c>
      <c r="J102" s="19" t="str">
        <f>IFERROR(INDEX('Detalles movimientos'!L$5:L$1000, MATCH(93, 'Detalles movimientos'!$T$5:$T$1000, 0)), "")</f>
        <v/>
      </c>
      <c r="K102" s="20" t="str">
        <f>IFERROR(INDEX('Detalles movimientos'!M$5:M$1000, MATCH(93, 'Detalles movimientos'!$T$5:$T$1000, 0)), "")</f>
        <v/>
      </c>
      <c r="L102" s="18" t="str">
        <f>IFERROR(INDEX('Detalles movimientos'!N$5:N$1000, MATCH(93, 'Detalles movimientos'!$T$5:$T$1000, 0)), "")</f>
        <v/>
      </c>
      <c r="M102" s="18" t="str">
        <f>IFERROR(INDEX('Detalles movimientos'!Q$5:Q$1000, MATCH(93, 'Detalles movimientos'!$T$5:$T$1000, 0)), "")</f>
        <v/>
      </c>
    </row>
    <row r="103" spans="2:13">
      <c r="B103" s="17" t="str">
        <f>IFERROR(INDEX('Detalles movimientos'!C$5:C$1000, MATCH(94, 'Detalles movimientos'!$T$5:$T$1000, 0)), "")</f>
        <v/>
      </c>
      <c r="C103" s="18" t="str">
        <f>IFERROR(INDEX('Detalles movimientos'!D$5:D$1000, MATCH(94, 'Detalles movimientos'!$T$5:$T$1000, 0)), "")</f>
        <v/>
      </c>
      <c r="D103" s="19" t="str">
        <f>IFERROR(INDEX('Detalles movimientos'!E$5:E$1000, MATCH(94, 'Detalles movimientos'!$T$5:$T$1000, 0)), "")</f>
        <v/>
      </c>
      <c r="E103" s="19" t="str">
        <f>IFERROR(INDEX('Detalles movimientos'!F$5:F$1000, MATCH(94, 'Detalles movimientos'!$T$5:$T$1000, 0)), "")</f>
        <v/>
      </c>
      <c r="F103" s="18" t="str">
        <f>IFERROR(INDEX('Detalles movimientos'!G$5:G$1000, MATCH(94, 'Detalles movimientos'!$T$5:$T$1000, 0)), "")</f>
        <v/>
      </c>
      <c r="G103" s="20" t="str">
        <f>IFERROR(INDEX('Detalles movimientos'!H$5:H$1000, MATCH(94, 'Detalles movimientos'!$T$5:$T$1000, 0)), "")</f>
        <v/>
      </c>
      <c r="H103" s="21" t="str">
        <f>IFERROR(INDEX('Detalles movimientos'!I$5:I$1000, MATCH(94, 'Detalles movimientos'!$T$5:$T$1000, 0)), "")</f>
        <v/>
      </c>
      <c r="I103" s="20" t="str">
        <f>IFERROR(INDEX('Detalles movimientos'!K$5:K$1000, MATCH(94, 'Detalles movimientos'!$T$5:$T$1000, 0)), "")</f>
        <v/>
      </c>
      <c r="J103" s="19" t="str">
        <f>IFERROR(INDEX('Detalles movimientos'!L$5:L$1000, MATCH(94, 'Detalles movimientos'!$T$5:$T$1000, 0)), "")</f>
        <v/>
      </c>
      <c r="K103" s="20" t="str">
        <f>IFERROR(INDEX('Detalles movimientos'!M$5:M$1000, MATCH(94, 'Detalles movimientos'!$T$5:$T$1000, 0)), "")</f>
        <v/>
      </c>
      <c r="L103" s="18" t="str">
        <f>IFERROR(INDEX('Detalles movimientos'!N$5:N$1000, MATCH(94, 'Detalles movimientos'!$T$5:$T$1000, 0)), "")</f>
        <v/>
      </c>
      <c r="M103" s="18" t="str">
        <f>IFERROR(INDEX('Detalles movimientos'!Q$5:Q$1000, MATCH(94, 'Detalles movimientos'!$T$5:$T$1000, 0)), "")</f>
        <v/>
      </c>
    </row>
    <row r="104" spans="2:13">
      <c r="B104" s="17" t="str">
        <f>IFERROR(INDEX('Detalles movimientos'!C$5:C$1000, MATCH(95, 'Detalles movimientos'!$T$5:$T$1000, 0)), "")</f>
        <v/>
      </c>
      <c r="C104" s="18" t="str">
        <f>IFERROR(INDEX('Detalles movimientos'!D$5:D$1000, MATCH(95, 'Detalles movimientos'!$T$5:$T$1000, 0)), "")</f>
        <v/>
      </c>
      <c r="D104" s="19" t="str">
        <f>IFERROR(INDEX('Detalles movimientos'!E$5:E$1000, MATCH(95, 'Detalles movimientos'!$T$5:$T$1000, 0)), "")</f>
        <v/>
      </c>
      <c r="E104" s="19" t="str">
        <f>IFERROR(INDEX('Detalles movimientos'!F$5:F$1000, MATCH(95, 'Detalles movimientos'!$T$5:$T$1000, 0)), "")</f>
        <v/>
      </c>
      <c r="F104" s="18" t="str">
        <f>IFERROR(INDEX('Detalles movimientos'!G$5:G$1000, MATCH(95, 'Detalles movimientos'!$T$5:$T$1000, 0)), "")</f>
        <v/>
      </c>
      <c r="G104" s="20" t="str">
        <f>IFERROR(INDEX('Detalles movimientos'!H$5:H$1000, MATCH(95, 'Detalles movimientos'!$T$5:$T$1000, 0)), "")</f>
        <v/>
      </c>
      <c r="H104" s="21" t="str">
        <f>IFERROR(INDEX('Detalles movimientos'!I$5:I$1000, MATCH(95, 'Detalles movimientos'!$T$5:$T$1000, 0)), "")</f>
        <v/>
      </c>
      <c r="I104" s="20" t="str">
        <f>IFERROR(INDEX('Detalles movimientos'!K$5:K$1000, MATCH(95, 'Detalles movimientos'!$T$5:$T$1000, 0)), "")</f>
        <v/>
      </c>
      <c r="J104" s="19" t="str">
        <f>IFERROR(INDEX('Detalles movimientos'!L$5:L$1000, MATCH(95, 'Detalles movimientos'!$T$5:$T$1000, 0)), "")</f>
        <v/>
      </c>
      <c r="K104" s="20" t="str">
        <f>IFERROR(INDEX('Detalles movimientos'!M$5:M$1000, MATCH(95, 'Detalles movimientos'!$T$5:$T$1000, 0)), "")</f>
        <v/>
      </c>
      <c r="L104" s="18" t="str">
        <f>IFERROR(INDEX('Detalles movimientos'!N$5:N$1000, MATCH(95, 'Detalles movimientos'!$T$5:$T$1000, 0)), "")</f>
        <v/>
      </c>
      <c r="M104" s="18" t="str">
        <f>IFERROR(INDEX('Detalles movimientos'!Q$5:Q$1000, MATCH(95, 'Detalles movimientos'!$T$5:$T$1000, 0)), "")</f>
        <v/>
      </c>
    </row>
    <row r="105" spans="2:13">
      <c r="B105" s="17" t="str">
        <f>IFERROR(INDEX('Detalles movimientos'!C$5:C$1000, MATCH(96, 'Detalles movimientos'!$T$5:$T$1000, 0)), "")</f>
        <v/>
      </c>
      <c r="C105" s="18" t="str">
        <f>IFERROR(INDEX('Detalles movimientos'!D$5:D$1000, MATCH(96, 'Detalles movimientos'!$T$5:$T$1000, 0)), "")</f>
        <v/>
      </c>
      <c r="D105" s="19" t="str">
        <f>IFERROR(INDEX('Detalles movimientos'!E$5:E$1000, MATCH(96, 'Detalles movimientos'!$T$5:$T$1000, 0)), "")</f>
        <v/>
      </c>
      <c r="E105" s="19" t="str">
        <f>IFERROR(INDEX('Detalles movimientos'!F$5:F$1000, MATCH(96, 'Detalles movimientos'!$T$5:$T$1000, 0)), "")</f>
        <v/>
      </c>
      <c r="F105" s="18" t="str">
        <f>IFERROR(INDEX('Detalles movimientos'!G$5:G$1000, MATCH(96, 'Detalles movimientos'!$T$5:$T$1000, 0)), "")</f>
        <v/>
      </c>
      <c r="G105" s="20" t="str">
        <f>IFERROR(INDEX('Detalles movimientos'!H$5:H$1000, MATCH(96, 'Detalles movimientos'!$T$5:$T$1000, 0)), "")</f>
        <v/>
      </c>
      <c r="H105" s="21" t="str">
        <f>IFERROR(INDEX('Detalles movimientos'!I$5:I$1000, MATCH(96, 'Detalles movimientos'!$T$5:$T$1000, 0)), "")</f>
        <v/>
      </c>
      <c r="I105" s="20" t="str">
        <f>IFERROR(INDEX('Detalles movimientos'!K$5:K$1000, MATCH(96, 'Detalles movimientos'!$T$5:$T$1000, 0)), "")</f>
        <v/>
      </c>
      <c r="J105" s="19" t="str">
        <f>IFERROR(INDEX('Detalles movimientos'!L$5:L$1000, MATCH(96, 'Detalles movimientos'!$T$5:$T$1000, 0)), "")</f>
        <v/>
      </c>
      <c r="K105" s="20" t="str">
        <f>IFERROR(INDEX('Detalles movimientos'!M$5:M$1000, MATCH(96, 'Detalles movimientos'!$T$5:$T$1000, 0)), "")</f>
        <v/>
      </c>
      <c r="L105" s="18" t="str">
        <f>IFERROR(INDEX('Detalles movimientos'!N$5:N$1000, MATCH(96, 'Detalles movimientos'!$T$5:$T$1000, 0)), "")</f>
        <v/>
      </c>
      <c r="M105" s="18" t="str">
        <f>IFERROR(INDEX('Detalles movimientos'!Q$5:Q$1000, MATCH(96, 'Detalles movimientos'!$T$5:$T$1000, 0)), "")</f>
        <v/>
      </c>
    </row>
    <row r="106" spans="2:13">
      <c r="B106" s="17" t="str">
        <f>IFERROR(INDEX('Detalles movimientos'!C$5:C$1000, MATCH(97, 'Detalles movimientos'!$T$5:$T$1000, 0)), "")</f>
        <v/>
      </c>
      <c r="C106" s="18" t="str">
        <f>IFERROR(INDEX('Detalles movimientos'!D$5:D$1000, MATCH(97, 'Detalles movimientos'!$T$5:$T$1000, 0)), "")</f>
        <v/>
      </c>
      <c r="D106" s="19" t="str">
        <f>IFERROR(INDEX('Detalles movimientos'!E$5:E$1000, MATCH(97, 'Detalles movimientos'!$T$5:$T$1000, 0)), "")</f>
        <v/>
      </c>
      <c r="E106" s="19" t="str">
        <f>IFERROR(INDEX('Detalles movimientos'!F$5:F$1000, MATCH(97, 'Detalles movimientos'!$T$5:$T$1000, 0)), "")</f>
        <v/>
      </c>
      <c r="F106" s="18" t="str">
        <f>IFERROR(INDEX('Detalles movimientos'!G$5:G$1000, MATCH(97, 'Detalles movimientos'!$T$5:$T$1000, 0)), "")</f>
        <v/>
      </c>
      <c r="G106" s="20" t="str">
        <f>IFERROR(INDEX('Detalles movimientos'!H$5:H$1000, MATCH(97, 'Detalles movimientos'!$T$5:$T$1000, 0)), "")</f>
        <v/>
      </c>
      <c r="H106" s="21" t="str">
        <f>IFERROR(INDEX('Detalles movimientos'!I$5:I$1000, MATCH(97, 'Detalles movimientos'!$T$5:$T$1000, 0)), "")</f>
        <v/>
      </c>
      <c r="I106" s="20" t="str">
        <f>IFERROR(INDEX('Detalles movimientos'!K$5:K$1000, MATCH(97, 'Detalles movimientos'!$T$5:$T$1000, 0)), "")</f>
        <v/>
      </c>
      <c r="J106" s="19" t="str">
        <f>IFERROR(INDEX('Detalles movimientos'!L$5:L$1000, MATCH(97, 'Detalles movimientos'!$T$5:$T$1000, 0)), "")</f>
        <v/>
      </c>
      <c r="K106" s="20" t="str">
        <f>IFERROR(INDEX('Detalles movimientos'!M$5:M$1000, MATCH(97, 'Detalles movimientos'!$T$5:$T$1000, 0)), "")</f>
        <v/>
      </c>
      <c r="L106" s="18" t="str">
        <f>IFERROR(INDEX('Detalles movimientos'!N$5:N$1000, MATCH(97, 'Detalles movimientos'!$T$5:$T$1000, 0)), "")</f>
        <v/>
      </c>
      <c r="M106" s="18" t="str">
        <f>IFERROR(INDEX('Detalles movimientos'!Q$5:Q$1000, MATCH(97, 'Detalles movimientos'!$T$5:$T$1000, 0)), "")</f>
        <v/>
      </c>
    </row>
    <row r="107" spans="2:13">
      <c r="B107" s="17" t="str">
        <f>IFERROR(INDEX('Detalles movimientos'!C$5:C$1000, MATCH(98, 'Detalles movimientos'!$T$5:$T$1000, 0)), "")</f>
        <v/>
      </c>
      <c r="C107" s="18" t="str">
        <f>IFERROR(INDEX('Detalles movimientos'!D$5:D$1000, MATCH(98, 'Detalles movimientos'!$T$5:$T$1000, 0)), "")</f>
        <v/>
      </c>
      <c r="D107" s="19" t="str">
        <f>IFERROR(INDEX('Detalles movimientos'!E$5:E$1000, MATCH(98, 'Detalles movimientos'!$T$5:$T$1000, 0)), "")</f>
        <v/>
      </c>
      <c r="E107" s="19" t="str">
        <f>IFERROR(INDEX('Detalles movimientos'!F$5:F$1000, MATCH(98, 'Detalles movimientos'!$T$5:$T$1000, 0)), "")</f>
        <v/>
      </c>
      <c r="F107" s="18" t="str">
        <f>IFERROR(INDEX('Detalles movimientos'!G$5:G$1000, MATCH(98, 'Detalles movimientos'!$T$5:$T$1000, 0)), "")</f>
        <v/>
      </c>
      <c r="G107" s="20" t="str">
        <f>IFERROR(INDEX('Detalles movimientos'!H$5:H$1000, MATCH(98, 'Detalles movimientos'!$T$5:$T$1000, 0)), "")</f>
        <v/>
      </c>
      <c r="H107" s="21" t="str">
        <f>IFERROR(INDEX('Detalles movimientos'!I$5:I$1000, MATCH(98, 'Detalles movimientos'!$T$5:$T$1000, 0)), "")</f>
        <v/>
      </c>
      <c r="I107" s="20" t="str">
        <f>IFERROR(INDEX('Detalles movimientos'!K$5:K$1000, MATCH(98, 'Detalles movimientos'!$T$5:$T$1000, 0)), "")</f>
        <v/>
      </c>
      <c r="J107" s="19" t="str">
        <f>IFERROR(INDEX('Detalles movimientos'!L$5:L$1000, MATCH(98, 'Detalles movimientos'!$T$5:$T$1000, 0)), "")</f>
        <v/>
      </c>
      <c r="K107" s="20" t="str">
        <f>IFERROR(INDEX('Detalles movimientos'!M$5:M$1000, MATCH(98, 'Detalles movimientos'!$T$5:$T$1000, 0)), "")</f>
        <v/>
      </c>
      <c r="L107" s="18" t="str">
        <f>IFERROR(INDEX('Detalles movimientos'!N$5:N$1000, MATCH(98, 'Detalles movimientos'!$T$5:$T$1000, 0)), "")</f>
        <v/>
      </c>
      <c r="M107" s="18" t="str">
        <f>IFERROR(INDEX('Detalles movimientos'!Q$5:Q$1000, MATCH(98, 'Detalles movimientos'!$T$5:$T$1000, 0)), "")</f>
        <v/>
      </c>
    </row>
    <row r="108" spans="2:13">
      <c r="B108" s="17" t="str">
        <f>IFERROR(INDEX('Detalles movimientos'!C$5:C$1000, MATCH(99, 'Detalles movimientos'!$T$5:$T$1000, 0)), "")</f>
        <v/>
      </c>
      <c r="C108" s="18" t="str">
        <f>IFERROR(INDEX('Detalles movimientos'!D$5:D$1000, MATCH(99, 'Detalles movimientos'!$T$5:$T$1000, 0)), "")</f>
        <v/>
      </c>
      <c r="D108" s="19" t="str">
        <f>IFERROR(INDEX('Detalles movimientos'!E$5:E$1000, MATCH(99, 'Detalles movimientos'!$T$5:$T$1000, 0)), "")</f>
        <v/>
      </c>
      <c r="E108" s="19" t="str">
        <f>IFERROR(INDEX('Detalles movimientos'!F$5:F$1000, MATCH(99, 'Detalles movimientos'!$T$5:$T$1000, 0)), "")</f>
        <v/>
      </c>
      <c r="F108" s="18" t="str">
        <f>IFERROR(INDEX('Detalles movimientos'!G$5:G$1000, MATCH(99, 'Detalles movimientos'!$T$5:$T$1000, 0)), "")</f>
        <v/>
      </c>
      <c r="G108" s="20" t="str">
        <f>IFERROR(INDEX('Detalles movimientos'!H$5:H$1000, MATCH(99, 'Detalles movimientos'!$T$5:$T$1000, 0)), "")</f>
        <v/>
      </c>
      <c r="H108" s="21" t="str">
        <f>IFERROR(INDEX('Detalles movimientos'!I$5:I$1000, MATCH(99, 'Detalles movimientos'!$T$5:$T$1000, 0)), "")</f>
        <v/>
      </c>
      <c r="I108" s="20" t="str">
        <f>IFERROR(INDEX('Detalles movimientos'!K$5:K$1000, MATCH(99, 'Detalles movimientos'!$T$5:$T$1000, 0)), "")</f>
        <v/>
      </c>
      <c r="J108" s="19" t="str">
        <f>IFERROR(INDEX('Detalles movimientos'!L$5:L$1000, MATCH(99, 'Detalles movimientos'!$T$5:$T$1000, 0)), "")</f>
        <v/>
      </c>
      <c r="K108" s="20" t="str">
        <f>IFERROR(INDEX('Detalles movimientos'!M$5:M$1000, MATCH(99, 'Detalles movimientos'!$T$5:$T$1000, 0)), "")</f>
        <v/>
      </c>
      <c r="L108" s="18" t="str">
        <f>IFERROR(INDEX('Detalles movimientos'!N$5:N$1000, MATCH(99, 'Detalles movimientos'!$T$5:$T$1000, 0)), "")</f>
        <v/>
      </c>
      <c r="M108" s="18" t="str">
        <f>IFERROR(INDEX('Detalles movimientos'!Q$5:Q$1000, MATCH(99, 'Detalles movimientos'!$T$5:$T$1000, 0)), "")</f>
        <v/>
      </c>
    </row>
    <row r="109" spans="2:13">
      <c r="B109" s="17" t="str">
        <f>IFERROR(INDEX('Detalles movimientos'!C$5:C$1000, MATCH(100, 'Detalles movimientos'!$T$5:$T$1000, 0)), "")</f>
        <v/>
      </c>
      <c r="C109" s="18" t="str">
        <f>IFERROR(INDEX('Detalles movimientos'!D$5:D$1000, MATCH(100, 'Detalles movimientos'!$T$5:$T$1000, 0)), "")</f>
        <v/>
      </c>
      <c r="D109" s="19" t="str">
        <f>IFERROR(INDEX('Detalles movimientos'!E$5:E$1000, MATCH(100, 'Detalles movimientos'!$T$5:$T$1000, 0)), "")</f>
        <v/>
      </c>
      <c r="E109" s="19" t="str">
        <f>IFERROR(INDEX('Detalles movimientos'!F$5:F$1000, MATCH(100, 'Detalles movimientos'!$T$5:$T$1000, 0)), "")</f>
        <v/>
      </c>
      <c r="F109" s="18" t="str">
        <f>IFERROR(INDEX('Detalles movimientos'!G$5:G$1000, MATCH(100, 'Detalles movimientos'!$T$5:$T$1000, 0)), "")</f>
        <v/>
      </c>
      <c r="G109" s="20" t="str">
        <f>IFERROR(INDEX('Detalles movimientos'!H$5:H$1000, MATCH(100, 'Detalles movimientos'!$T$5:$T$1000, 0)), "")</f>
        <v/>
      </c>
      <c r="H109" s="21" t="str">
        <f>IFERROR(INDEX('Detalles movimientos'!I$5:I$1000, MATCH(100, 'Detalles movimientos'!$T$5:$T$1000, 0)), "")</f>
        <v/>
      </c>
      <c r="I109" s="20" t="str">
        <f>IFERROR(INDEX('Detalles movimientos'!K$5:K$1000, MATCH(100, 'Detalles movimientos'!$T$5:$T$1000, 0)), "")</f>
        <v/>
      </c>
      <c r="J109" s="19" t="str">
        <f>IFERROR(INDEX('Detalles movimientos'!L$5:L$1000, MATCH(100, 'Detalles movimientos'!$T$5:$T$1000, 0)), "")</f>
        <v/>
      </c>
      <c r="K109" s="20" t="str">
        <f>IFERROR(INDEX('Detalles movimientos'!M$5:M$1000, MATCH(100, 'Detalles movimientos'!$T$5:$T$1000, 0)), "")</f>
        <v/>
      </c>
      <c r="L109" s="18" t="str">
        <f>IFERROR(INDEX('Detalles movimientos'!N$5:N$1000, MATCH(100, 'Detalles movimientos'!$T$5:$T$1000, 0)), "")</f>
        <v/>
      </c>
      <c r="M109" s="18" t="str">
        <f>IFERROR(INDEX('Detalles movimientos'!Q$5:Q$1000, MATCH(100, 'Detalles movimientos'!$T$5:$T$1000, 0)), "")</f>
        <v/>
      </c>
    </row>
    <row r="110" spans="2:13">
      <c r="B110" s="17" t="str">
        <f>IFERROR(INDEX('Detalles movimientos'!C$5:C$1000, MATCH(101, 'Detalles movimientos'!$T$5:$T$1000, 0)), "")</f>
        <v/>
      </c>
      <c r="C110" s="18" t="str">
        <f>IFERROR(INDEX('Detalles movimientos'!D$5:D$1000, MATCH(101, 'Detalles movimientos'!$T$5:$T$1000, 0)), "")</f>
        <v/>
      </c>
      <c r="D110" s="19" t="str">
        <f>IFERROR(INDEX('Detalles movimientos'!E$5:E$1000, MATCH(101, 'Detalles movimientos'!$T$5:$T$1000, 0)), "")</f>
        <v/>
      </c>
      <c r="E110" s="19" t="str">
        <f>IFERROR(INDEX('Detalles movimientos'!F$5:F$1000, MATCH(101, 'Detalles movimientos'!$T$5:$T$1000, 0)), "")</f>
        <v/>
      </c>
      <c r="F110" s="18" t="str">
        <f>IFERROR(INDEX('Detalles movimientos'!G$5:G$1000, MATCH(101, 'Detalles movimientos'!$T$5:$T$1000, 0)), "")</f>
        <v/>
      </c>
      <c r="G110" s="20" t="str">
        <f>IFERROR(INDEX('Detalles movimientos'!H$5:H$1000, MATCH(101, 'Detalles movimientos'!$T$5:$T$1000, 0)), "")</f>
        <v/>
      </c>
      <c r="H110" s="21" t="str">
        <f>IFERROR(INDEX('Detalles movimientos'!I$5:I$1000, MATCH(101, 'Detalles movimientos'!$T$5:$T$1000, 0)), "")</f>
        <v/>
      </c>
      <c r="I110" s="20" t="str">
        <f>IFERROR(INDEX('Detalles movimientos'!K$5:K$1000, MATCH(101, 'Detalles movimientos'!$T$5:$T$1000, 0)), "")</f>
        <v/>
      </c>
      <c r="J110" s="19" t="str">
        <f>IFERROR(INDEX('Detalles movimientos'!L$5:L$1000, MATCH(101, 'Detalles movimientos'!$T$5:$T$1000, 0)), "")</f>
        <v/>
      </c>
      <c r="K110" s="20" t="str">
        <f>IFERROR(INDEX('Detalles movimientos'!M$5:M$1000, MATCH(101, 'Detalles movimientos'!$T$5:$T$1000, 0)), "")</f>
        <v/>
      </c>
      <c r="L110" s="18" t="str">
        <f>IFERROR(INDEX('Detalles movimientos'!N$5:N$1000, MATCH(101, 'Detalles movimientos'!$T$5:$T$1000, 0)), "")</f>
        <v/>
      </c>
      <c r="M110" s="18" t="str">
        <f>IFERROR(INDEX('Detalles movimientos'!Q$5:Q$1000, MATCH(101, 'Detalles movimientos'!$T$5:$T$1000, 0)), "")</f>
        <v/>
      </c>
    </row>
    <row r="111" spans="2:13">
      <c r="B111" s="17" t="str">
        <f>IFERROR(INDEX('Detalles movimientos'!C$5:C$1000, MATCH(102, 'Detalles movimientos'!$T$5:$T$1000, 0)), "")</f>
        <v/>
      </c>
      <c r="C111" s="18" t="str">
        <f>IFERROR(INDEX('Detalles movimientos'!D$5:D$1000, MATCH(102, 'Detalles movimientos'!$T$5:$T$1000, 0)), "")</f>
        <v/>
      </c>
      <c r="D111" s="19" t="str">
        <f>IFERROR(INDEX('Detalles movimientos'!E$5:E$1000, MATCH(102, 'Detalles movimientos'!$T$5:$T$1000, 0)), "")</f>
        <v/>
      </c>
      <c r="E111" s="19" t="str">
        <f>IFERROR(INDEX('Detalles movimientos'!F$5:F$1000, MATCH(102, 'Detalles movimientos'!$T$5:$T$1000, 0)), "")</f>
        <v/>
      </c>
      <c r="F111" s="18" t="str">
        <f>IFERROR(INDEX('Detalles movimientos'!G$5:G$1000, MATCH(102, 'Detalles movimientos'!$T$5:$T$1000, 0)), "")</f>
        <v/>
      </c>
      <c r="G111" s="20" t="str">
        <f>IFERROR(INDEX('Detalles movimientos'!H$5:H$1000, MATCH(102, 'Detalles movimientos'!$T$5:$T$1000, 0)), "")</f>
        <v/>
      </c>
      <c r="H111" s="21" t="str">
        <f>IFERROR(INDEX('Detalles movimientos'!I$5:I$1000, MATCH(102, 'Detalles movimientos'!$T$5:$T$1000, 0)), "")</f>
        <v/>
      </c>
      <c r="I111" s="20" t="str">
        <f>IFERROR(INDEX('Detalles movimientos'!K$5:K$1000, MATCH(102, 'Detalles movimientos'!$T$5:$T$1000, 0)), "")</f>
        <v/>
      </c>
      <c r="J111" s="19" t="str">
        <f>IFERROR(INDEX('Detalles movimientos'!L$5:L$1000, MATCH(102, 'Detalles movimientos'!$T$5:$T$1000, 0)), "")</f>
        <v/>
      </c>
      <c r="K111" s="20" t="str">
        <f>IFERROR(INDEX('Detalles movimientos'!M$5:M$1000, MATCH(102, 'Detalles movimientos'!$T$5:$T$1000, 0)), "")</f>
        <v/>
      </c>
      <c r="L111" s="18" t="str">
        <f>IFERROR(INDEX('Detalles movimientos'!N$5:N$1000, MATCH(102, 'Detalles movimientos'!$T$5:$T$1000, 0)), "")</f>
        <v/>
      </c>
      <c r="M111" s="18" t="str">
        <f>IFERROR(INDEX('Detalles movimientos'!Q$5:Q$1000, MATCH(102, 'Detalles movimientos'!$T$5:$T$1000, 0)), "")</f>
        <v/>
      </c>
    </row>
    <row r="112" spans="2:13">
      <c r="B112" s="17" t="str">
        <f>IFERROR(INDEX('Detalles movimientos'!C$5:C$1000, MATCH(103, 'Detalles movimientos'!$T$5:$T$1000, 0)), "")</f>
        <v/>
      </c>
      <c r="C112" s="18" t="str">
        <f>IFERROR(INDEX('Detalles movimientos'!D$5:D$1000, MATCH(103, 'Detalles movimientos'!$T$5:$T$1000, 0)), "")</f>
        <v/>
      </c>
      <c r="D112" s="19" t="str">
        <f>IFERROR(INDEX('Detalles movimientos'!E$5:E$1000, MATCH(103, 'Detalles movimientos'!$T$5:$T$1000, 0)), "")</f>
        <v/>
      </c>
      <c r="E112" s="19" t="str">
        <f>IFERROR(INDEX('Detalles movimientos'!F$5:F$1000, MATCH(103, 'Detalles movimientos'!$T$5:$T$1000, 0)), "")</f>
        <v/>
      </c>
      <c r="F112" s="18" t="str">
        <f>IFERROR(INDEX('Detalles movimientos'!G$5:G$1000, MATCH(103, 'Detalles movimientos'!$T$5:$T$1000, 0)), "")</f>
        <v/>
      </c>
      <c r="G112" s="20" t="str">
        <f>IFERROR(INDEX('Detalles movimientos'!H$5:H$1000, MATCH(103, 'Detalles movimientos'!$T$5:$T$1000, 0)), "")</f>
        <v/>
      </c>
      <c r="H112" s="21" t="str">
        <f>IFERROR(INDEX('Detalles movimientos'!I$5:I$1000, MATCH(103, 'Detalles movimientos'!$T$5:$T$1000, 0)), "")</f>
        <v/>
      </c>
      <c r="I112" s="20" t="str">
        <f>IFERROR(INDEX('Detalles movimientos'!K$5:K$1000, MATCH(103, 'Detalles movimientos'!$T$5:$T$1000, 0)), "")</f>
        <v/>
      </c>
      <c r="J112" s="19" t="str">
        <f>IFERROR(INDEX('Detalles movimientos'!L$5:L$1000, MATCH(103, 'Detalles movimientos'!$T$5:$T$1000, 0)), "")</f>
        <v/>
      </c>
      <c r="K112" s="20" t="str">
        <f>IFERROR(INDEX('Detalles movimientos'!M$5:M$1000, MATCH(103, 'Detalles movimientos'!$T$5:$T$1000, 0)), "")</f>
        <v/>
      </c>
      <c r="L112" s="18" t="str">
        <f>IFERROR(INDEX('Detalles movimientos'!N$5:N$1000, MATCH(103, 'Detalles movimientos'!$T$5:$T$1000, 0)), "")</f>
        <v/>
      </c>
      <c r="M112" s="18" t="str">
        <f>IFERROR(INDEX('Detalles movimientos'!Q$5:Q$1000, MATCH(103, 'Detalles movimientos'!$T$5:$T$1000, 0)), "")</f>
        <v/>
      </c>
    </row>
    <row r="113" spans="2:13">
      <c r="B113" s="17" t="str">
        <f>IFERROR(INDEX('Detalles movimientos'!C$5:C$1000, MATCH(104, 'Detalles movimientos'!$T$5:$T$1000, 0)), "")</f>
        <v/>
      </c>
      <c r="C113" s="18" t="str">
        <f>IFERROR(INDEX('Detalles movimientos'!D$5:D$1000, MATCH(104, 'Detalles movimientos'!$T$5:$T$1000, 0)), "")</f>
        <v/>
      </c>
      <c r="D113" s="19" t="str">
        <f>IFERROR(INDEX('Detalles movimientos'!E$5:E$1000, MATCH(104, 'Detalles movimientos'!$T$5:$T$1000, 0)), "")</f>
        <v/>
      </c>
      <c r="E113" s="19" t="str">
        <f>IFERROR(INDEX('Detalles movimientos'!F$5:F$1000, MATCH(104, 'Detalles movimientos'!$T$5:$T$1000, 0)), "")</f>
        <v/>
      </c>
      <c r="F113" s="18" t="str">
        <f>IFERROR(INDEX('Detalles movimientos'!G$5:G$1000, MATCH(104, 'Detalles movimientos'!$T$5:$T$1000, 0)), "")</f>
        <v/>
      </c>
      <c r="G113" s="20" t="str">
        <f>IFERROR(INDEX('Detalles movimientos'!H$5:H$1000, MATCH(104, 'Detalles movimientos'!$T$5:$T$1000, 0)), "")</f>
        <v/>
      </c>
      <c r="H113" s="21" t="str">
        <f>IFERROR(INDEX('Detalles movimientos'!I$5:I$1000, MATCH(104, 'Detalles movimientos'!$T$5:$T$1000, 0)), "")</f>
        <v/>
      </c>
      <c r="I113" s="20" t="str">
        <f>IFERROR(INDEX('Detalles movimientos'!K$5:K$1000, MATCH(104, 'Detalles movimientos'!$T$5:$T$1000, 0)), "")</f>
        <v/>
      </c>
      <c r="J113" s="19" t="str">
        <f>IFERROR(INDEX('Detalles movimientos'!L$5:L$1000, MATCH(104, 'Detalles movimientos'!$T$5:$T$1000, 0)), "")</f>
        <v/>
      </c>
      <c r="K113" s="20" t="str">
        <f>IFERROR(INDEX('Detalles movimientos'!M$5:M$1000, MATCH(104, 'Detalles movimientos'!$T$5:$T$1000, 0)), "")</f>
        <v/>
      </c>
      <c r="L113" s="18" t="str">
        <f>IFERROR(INDEX('Detalles movimientos'!N$5:N$1000, MATCH(104, 'Detalles movimientos'!$T$5:$T$1000, 0)), "")</f>
        <v/>
      </c>
      <c r="M113" s="18" t="str">
        <f>IFERROR(INDEX('Detalles movimientos'!Q$5:Q$1000, MATCH(104, 'Detalles movimientos'!$T$5:$T$1000, 0)), "")</f>
        <v/>
      </c>
    </row>
    <row r="114" spans="2:13">
      <c r="B114" s="17" t="str">
        <f>IFERROR(INDEX('Detalles movimientos'!C$5:C$1000, MATCH(105, 'Detalles movimientos'!$T$5:$T$1000, 0)), "")</f>
        <v/>
      </c>
      <c r="C114" s="18" t="str">
        <f>IFERROR(INDEX('Detalles movimientos'!D$5:D$1000, MATCH(105, 'Detalles movimientos'!$T$5:$T$1000, 0)), "")</f>
        <v/>
      </c>
      <c r="D114" s="19" t="str">
        <f>IFERROR(INDEX('Detalles movimientos'!E$5:E$1000, MATCH(105, 'Detalles movimientos'!$T$5:$T$1000, 0)), "")</f>
        <v/>
      </c>
      <c r="E114" s="19" t="str">
        <f>IFERROR(INDEX('Detalles movimientos'!F$5:F$1000, MATCH(105, 'Detalles movimientos'!$T$5:$T$1000, 0)), "")</f>
        <v/>
      </c>
      <c r="F114" s="18" t="str">
        <f>IFERROR(INDEX('Detalles movimientos'!G$5:G$1000, MATCH(105, 'Detalles movimientos'!$T$5:$T$1000, 0)), "")</f>
        <v/>
      </c>
      <c r="G114" s="20" t="str">
        <f>IFERROR(INDEX('Detalles movimientos'!H$5:H$1000, MATCH(105, 'Detalles movimientos'!$T$5:$T$1000, 0)), "")</f>
        <v/>
      </c>
      <c r="H114" s="21" t="str">
        <f>IFERROR(INDEX('Detalles movimientos'!I$5:I$1000, MATCH(105, 'Detalles movimientos'!$T$5:$T$1000, 0)), "")</f>
        <v/>
      </c>
      <c r="I114" s="20" t="str">
        <f>IFERROR(INDEX('Detalles movimientos'!K$5:K$1000, MATCH(105, 'Detalles movimientos'!$T$5:$T$1000, 0)), "")</f>
        <v/>
      </c>
      <c r="J114" s="19" t="str">
        <f>IFERROR(INDEX('Detalles movimientos'!L$5:L$1000, MATCH(105, 'Detalles movimientos'!$T$5:$T$1000, 0)), "")</f>
        <v/>
      </c>
      <c r="K114" s="20" t="str">
        <f>IFERROR(INDEX('Detalles movimientos'!M$5:M$1000, MATCH(105, 'Detalles movimientos'!$T$5:$T$1000, 0)), "")</f>
        <v/>
      </c>
      <c r="L114" s="18" t="str">
        <f>IFERROR(INDEX('Detalles movimientos'!N$5:N$1000, MATCH(105, 'Detalles movimientos'!$T$5:$T$1000, 0)), "")</f>
        <v/>
      </c>
      <c r="M114" s="18" t="str">
        <f>IFERROR(INDEX('Detalles movimientos'!Q$5:Q$1000, MATCH(105, 'Detalles movimientos'!$T$5:$T$1000, 0)), "")</f>
        <v/>
      </c>
    </row>
    <row r="115" spans="2:13">
      <c r="B115" s="17" t="str">
        <f>IFERROR(INDEX('Detalles movimientos'!C$5:C$1000, MATCH(106, 'Detalles movimientos'!$T$5:$T$1000, 0)), "")</f>
        <v/>
      </c>
      <c r="C115" s="18" t="str">
        <f>IFERROR(INDEX('Detalles movimientos'!D$5:D$1000, MATCH(106, 'Detalles movimientos'!$T$5:$T$1000, 0)), "")</f>
        <v/>
      </c>
      <c r="D115" s="19" t="str">
        <f>IFERROR(INDEX('Detalles movimientos'!E$5:E$1000, MATCH(106, 'Detalles movimientos'!$T$5:$T$1000, 0)), "")</f>
        <v/>
      </c>
      <c r="E115" s="19" t="str">
        <f>IFERROR(INDEX('Detalles movimientos'!F$5:F$1000, MATCH(106, 'Detalles movimientos'!$T$5:$T$1000, 0)), "")</f>
        <v/>
      </c>
      <c r="F115" s="18" t="str">
        <f>IFERROR(INDEX('Detalles movimientos'!G$5:G$1000, MATCH(106, 'Detalles movimientos'!$T$5:$T$1000, 0)), "")</f>
        <v/>
      </c>
      <c r="G115" s="20" t="str">
        <f>IFERROR(INDEX('Detalles movimientos'!H$5:H$1000, MATCH(106, 'Detalles movimientos'!$T$5:$T$1000, 0)), "")</f>
        <v/>
      </c>
      <c r="H115" s="21" t="str">
        <f>IFERROR(INDEX('Detalles movimientos'!I$5:I$1000, MATCH(106, 'Detalles movimientos'!$T$5:$T$1000, 0)), "")</f>
        <v/>
      </c>
      <c r="I115" s="20" t="str">
        <f>IFERROR(INDEX('Detalles movimientos'!K$5:K$1000, MATCH(106, 'Detalles movimientos'!$T$5:$T$1000, 0)), "")</f>
        <v/>
      </c>
      <c r="J115" s="19" t="str">
        <f>IFERROR(INDEX('Detalles movimientos'!L$5:L$1000, MATCH(106, 'Detalles movimientos'!$T$5:$T$1000, 0)), "")</f>
        <v/>
      </c>
      <c r="K115" s="20" t="str">
        <f>IFERROR(INDEX('Detalles movimientos'!M$5:M$1000, MATCH(106, 'Detalles movimientos'!$T$5:$T$1000, 0)), "")</f>
        <v/>
      </c>
      <c r="L115" s="18" t="str">
        <f>IFERROR(INDEX('Detalles movimientos'!N$5:N$1000, MATCH(106, 'Detalles movimientos'!$T$5:$T$1000, 0)), "")</f>
        <v/>
      </c>
      <c r="M115" s="18" t="str">
        <f>IFERROR(INDEX('Detalles movimientos'!Q$5:Q$1000, MATCH(106, 'Detalles movimientos'!$T$5:$T$1000, 0)), "")</f>
        <v/>
      </c>
    </row>
    <row r="116" spans="2:13">
      <c r="B116" s="17" t="str">
        <f>IFERROR(INDEX('Detalles movimientos'!C$5:C$1000, MATCH(107, 'Detalles movimientos'!$T$5:$T$1000, 0)), "")</f>
        <v/>
      </c>
      <c r="C116" s="18" t="str">
        <f>IFERROR(INDEX('Detalles movimientos'!D$5:D$1000, MATCH(107, 'Detalles movimientos'!$T$5:$T$1000, 0)), "")</f>
        <v/>
      </c>
      <c r="D116" s="19" t="str">
        <f>IFERROR(INDEX('Detalles movimientos'!E$5:E$1000, MATCH(107, 'Detalles movimientos'!$T$5:$T$1000, 0)), "")</f>
        <v/>
      </c>
      <c r="E116" s="19" t="str">
        <f>IFERROR(INDEX('Detalles movimientos'!F$5:F$1000, MATCH(107, 'Detalles movimientos'!$T$5:$T$1000, 0)), "")</f>
        <v/>
      </c>
      <c r="F116" s="18" t="str">
        <f>IFERROR(INDEX('Detalles movimientos'!G$5:G$1000, MATCH(107, 'Detalles movimientos'!$T$5:$T$1000, 0)), "")</f>
        <v/>
      </c>
      <c r="G116" s="20" t="str">
        <f>IFERROR(INDEX('Detalles movimientos'!H$5:H$1000, MATCH(107, 'Detalles movimientos'!$T$5:$T$1000, 0)), "")</f>
        <v/>
      </c>
      <c r="H116" s="21" t="str">
        <f>IFERROR(INDEX('Detalles movimientos'!I$5:I$1000, MATCH(107, 'Detalles movimientos'!$T$5:$T$1000, 0)), "")</f>
        <v/>
      </c>
      <c r="I116" s="20" t="str">
        <f>IFERROR(INDEX('Detalles movimientos'!K$5:K$1000, MATCH(107, 'Detalles movimientos'!$T$5:$T$1000, 0)), "")</f>
        <v/>
      </c>
      <c r="J116" s="19" t="str">
        <f>IFERROR(INDEX('Detalles movimientos'!L$5:L$1000, MATCH(107, 'Detalles movimientos'!$T$5:$T$1000, 0)), "")</f>
        <v/>
      </c>
      <c r="K116" s="20" t="str">
        <f>IFERROR(INDEX('Detalles movimientos'!M$5:M$1000, MATCH(107, 'Detalles movimientos'!$T$5:$T$1000, 0)), "")</f>
        <v/>
      </c>
      <c r="L116" s="18" t="str">
        <f>IFERROR(INDEX('Detalles movimientos'!N$5:N$1000, MATCH(107, 'Detalles movimientos'!$T$5:$T$1000, 0)), "")</f>
        <v/>
      </c>
      <c r="M116" s="18" t="str">
        <f>IFERROR(INDEX('Detalles movimientos'!Q$5:Q$1000, MATCH(107, 'Detalles movimientos'!$T$5:$T$1000, 0)), "")</f>
        <v/>
      </c>
    </row>
    <row r="117" spans="2:13">
      <c r="B117" s="17" t="str">
        <f>IFERROR(INDEX('Detalles movimientos'!C$5:C$1000, MATCH(108, 'Detalles movimientos'!$T$5:$T$1000, 0)), "")</f>
        <v/>
      </c>
      <c r="C117" s="18" t="str">
        <f>IFERROR(INDEX('Detalles movimientos'!D$5:D$1000, MATCH(108, 'Detalles movimientos'!$T$5:$T$1000, 0)), "")</f>
        <v/>
      </c>
      <c r="D117" s="19" t="str">
        <f>IFERROR(INDEX('Detalles movimientos'!E$5:E$1000, MATCH(108, 'Detalles movimientos'!$T$5:$T$1000, 0)), "")</f>
        <v/>
      </c>
      <c r="E117" s="19" t="str">
        <f>IFERROR(INDEX('Detalles movimientos'!F$5:F$1000, MATCH(108, 'Detalles movimientos'!$T$5:$T$1000, 0)), "")</f>
        <v/>
      </c>
      <c r="F117" s="18" t="str">
        <f>IFERROR(INDEX('Detalles movimientos'!G$5:G$1000, MATCH(108, 'Detalles movimientos'!$T$5:$T$1000, 0)), "")</f>
        <v/>
      </c>
      <c r="G117" s="20" t="str">
        <f>IFERROR(INDEX('Detalles movimientos'!H$5:H$1000, MATCH(108, 'Detalles movimientos'!$T$5:$T$1000, 0)), "")</f>
        <v/>
      </c>
      <c r="H117" s="21" t="str">
        <f>IFERROR(INDEX('Detalles movimientos'!I$5:I$1000, MATCH(108, 'Detalles movimientos'!$T$5:$T$1000, 0)), "")</f>
        <v/>
      </c>
      <c r="I117" s="20" t="str">
        <f>IFERROR(INDEX('Detalles movimientos'!K$5:K$1000, MATCH(108, 'Detalles movimientos'!$T$5:$T$1000, 0)), "")</f>
        <v/>
      </c>
      <c r="J117" s="19" t="str">
        <f>IFERROR(INDEX('Detalles movimientos'!L$5:L$1000, MATCH(108, 'Detalles movimientos'!$T$5:$T$1000, 0)), "")</f>
        <v/>
      </c>
      <c r="K117" s="20" t="str">
        <f>IFERROR(INDEX('Detalles movimientos'!M$5:M$1000, MATCH(108, 'Detalles movimientos'!$T$5:$T$1000, 0)), "")</f>
        <v/>
      </c>
      <c r="L117" s="18" t="str">
        <f>IFERROR(INDEX('Detalles movimientos'!N$5:N$1000, MATCH(108, 'Detalles movimientos'!$T$5:$T$1000, 0)), "")</f>
        <v/>
      </c>
      <c r="M117" s="18" t="str">
        <f>IFERROR(INDEX('Detalles movimientos'!Q$5:Q$1000, MATCH(108, 'Detalles movimientos'!$T$5:$T$1000, 0)), "")</f>
        <v/>
      </c>
    </row>
    <row r="118" spans="2:13">
      <c r="B118" s="17" t="str">
        <f>IFERROR(INDEX('Detalles movimientos'!C$5:C$1000, MATCH(109, 'Detalles movimientos'!$T$5:$T$1000, 0)), "")</f>
        <v/>
      </c>
      <c r="C118" s="18" t="str">
        <f>IFERROR(INDEX('Detalles movimientos'!D$5:D$1000, MATCH(109, 'Detalles movimientos'!$T$5:$T$1000, 0)), "")</f>
        <v/>
      </c>
      <c r="D118" s="19" t="str">
        <f>IFERROR(INDEX('Detalles movimientos'!E$5:E$1000, MATCH(109, 'Detalles movimientos'!$T$5:$T$1000, 0)), "")</f>
        <v/>
      </c>
      <c r="E118" s="19" t="str">
        <f>IFERROR(INDEX('Detalles movimientos'!F$5:F$1000, MATCH(109, 'Detalles movimientos'!$T$5:$T$1000, 0)), "")</f>
        <v/>
      </c>
      <c r="F118" s="18" t="str">
        <f>IFERROR(INDEX('Detalles movimientos'!G$5:G$1000, MATCH(109, 'Detalles movimientos'!$T$5:$T$1000, 0)), "")</f>
        <v/>
      </c>
      <c r="G118" s="20" t="str">
        <f>IFERROR(INDEX('Detalles movimientos'!H$5:H$1000, MATCH(109, 'Detalles movimientos'!$T$5:$T$1000, 0)), "")</f>
        <v/>
      </c>
      <c r="H118" s="21" t="str">
        <f>IFERROR(INDEX('Detalles movimientos'!I$5:I$1000, MATCH(109, 'Detalles movimientos'!$T$5:$T$1000, 0)), "")</f>
        <v/>
      </c>
      <c r="I118" s="20" t="str">
        <f>IFERROR(INDEX('Detalles movimientos'!K$5:K$1000, MATCH(109, 'Detalles movimientos'!$T$5:$T$1000, 0)), "")</f>
        <v/>
      </c>
      <c r="J118" s="19" t="str">
        <f>IFERROR(INDEX('Detalles movimientos'!L$5:L$1000, MATCH(109, 'Detalles movimientos'!$T$5:$T$1000, 0)), "")</f>
        <v/>
      </c>
      <c r="K118" s="20" t="str">
        <f>IFERROR(INDEX('Detalles movimientos'!M$5:M$1000, MATCH(109, 'Detalles movimientos'!$T$5:$T$1000, 0)), "")</f>
        <v/>
      </c>
      <c r="L118" s="18" t="str">
        <f>IFERROR(INDEX('Detalles movimientos'!N$5:N$1000, MATCH(109, 'Detalles movimientos'!$T$5:$T$1000, 0)), "")</f>
        <v/>
      </c>
      <c r="M118" s="18" t="str">
        <f>IFERROR(INDEX('Detalles movimientos'!Q$5:Q$1000, MATCH(109, 'Detalles movimientos'!$T$5:$T$1000, 0)), "")</f>
        <v/>
      </c>
    </row>
    <row r="119" spans="2:13">
      <c r="B119" s="17" t="str">
        <f>IFERROR(INDEX('Detalles movimientos'!C$5:C$1000, MATCH(110, 'Detalles movimientos'!$T$5:$T$1000, 0)), "")</f>
        <v/>
      </c>
      <c r="C119" s="18" t="str">
        <f>IFERROR(INDEX('Detalles movimientos'!D$5:D$1000, MATCH(110, 'Detalles movimientos'!$T$5:$T$1000, 0)), "")</f>
        <v/>
      </c>
      <c r="D119" s="19" t="str">
        <f>IFERROR(INDEX('Detalles movimientos'!E$5:E$1000, MATCH(110, 'Detalles movimientos'!$T$5:$T$1000, 0)), "")</f>
        <v/>
      </c>
      <c r="E119" s="19" t="str">
        <f>IFERROR(INDEX('Detalles movimientos'!F$5:F$1000, MATCH(110, 'Detalles movimientos'!$T$5:$T$1000, 0)), "")</f>
        <v/>
      </c>
      <c r="F119" s="18" t="str">
        <f>IFERROR(INDEX('Detalles movimientos'!G$5:G$1000, MATCH(110, 'Detalles movimientos'!$T$5:$T$1000, 0)), "")</f>
        <v/>
      </c>
      <c r="G119" s="20" t="str">
        <f>IFERROR(INDEX('Detalles movimientos'!H$5:H$1000, MATCH(110, 'Detalles movimientos'!$T$5:$T$1000, 0)), "")</f>
        <v/>
      </c>
      <c r="H119" s="21" t="str">
        <f>IFERROR(INDEX('Detalles movimientos'!I$5:I$1000, MATCH(110, 'Detalles movimientos'!$T$5:$T$1000, 0)), "")</f>
        <v/>
      </c>
      <c r="I119" s="20" t="str">
        <f>IFERROR(INDEX('Detalles movimientos'!K$5:K$1000, MATCH(110, 'Detalles movimientos'!$T$5:$T$1000, 0)), "")</f>
        <v/>
      </c>
      <c r="J119" s="19" t="str">
        <f>IFERROR(INDEX('Detalles movimientos'!L$5:L$1000, MATCH(110, 'Detalles movimientos'!$T$5:$T$1000, 0)), "")</f>
        <v/>
      </c>
      <c r="K119" s="20" t="str">
        <f>IFERROR(INDEX('Detalles movimientos'!M$5:M$1000, MATCH(110, 'Detalles movimientos'!$T$5:$T$1000, 0)), "")</f>
        <v/>
      </c>
      <c r="L119" s="18" t="str">
        <f>IFERROR(INDEX('Detalles movimientos'!N$5:N$1000, MATCH(110, 'Detalles movimientos'!$T$5:$T$1000, 0)), "")</f>
        <v/>
      </c>
      <c r="M119" s="18" t="str">
        <f>IFERROR(INDEX('Detalles movimientos'!Q$5:Q$1000, MATCH(110, 'Detalles movimientos'!$T$5:$T$1000, 0)), "")</f>
        <v/>
      </c>
    </row>
    <row r="120" spans="2:13">
      <c r="B120" s="17" t="str">
        <f>IFERROR(INDEX('Detalles movimientos'!C$5:C$1000, MATCH(111, 'Detalles movimientos'!$T$5:$T$1000, 0)), "")</f>
        <v/>
      </c>
      <c r="C120" s="18" t="str">
        <f>IFERROR(INDEX('Detalles movimientos'!D$5:D$1000, MATCH(111, 'Detalles movimientos'!$T$5:$T$1000, 0)), "")</f>
        <v/>
      </c>
      <c r="D120" s="19" t="str">
        <f>IFERROR(INDEX('Detalles movimientos'!E$5:E$1000, MATCH(111, 'Detalles movimientos'!$T$5:$T$1000, 0)), "")</f>
        <v/>
      </c>
      <c r="E120" s="19" t="str">
        <f>IFERROR(INDEX('Detalles movimientos'!F$5:F$1000, MATCH(111, 'Detalles movimientos'!$T$5:$T$1000, 0)), "")</f>
        <v/>
      </c>
      <c r="F120" s="18" t="str">
        <f>IFERROR(INDEX('Detalles movimientos'!G$5:G$1000, MATCH(111, 'Detalles movimientos'!$T$5:$T$1000, 0)), "")</f>
        <v/>
      </c>
      <c r="G120" s="20" t="str">
        <f>IFERROR(INDEX('Detalles movimientos'!H$5:H$1000, MATCH(111, 'Detalles movimientos'!$T$5:$T$1000, 0)), "")</f>
        <v/>
      </c>
      <c r="H120" s="21" t="str">
        <f>IFERROR(INDEX('Detalles movimientos'!I$5:I$1000, MATCH(111, 'Detalles movimientos'!$T$5:$T$1000, 0)), "")</f>
        <v/>
      </c>
      <c r="I120" s="20" t="str">
        <f>IFERROR(INDEX('Detalles movimientos'!K$5:K$1000, MATCH(111, 'Detalles movimientos'!$T$5:$T$1000, 0)), "")</f>
        <v/>
      </c>
      <c r="J120" s="19" t="str">
        <f>IFERROR(INDEX('Detalles movimientos'!L$5:L$1000, MATCH(111, 'Detalles movimientos'!$T$5:$T$1000, 0)), "")</f>
        <v/>
      </c>
      <c r="K120" s="20" t="str">
        <f>IFERROR(INDEX('Detalles movimientos'!M$5:M$1000, MATCH(111, 'Detalles movimientos'!$T$5:$T$1000, 0)), "")</f>
        <v/>
      </c>
      <c r="L120" s="18" t="str">
        <f>IFERROR(INDEX('Detalles movimientos'!N$5:N$1000, MATCH(111, 'Detalles movimientos'!$T$5:$T$1000, 0)), "")</f>
        <v/>
      </c>
      <c r="M120" s="18" t="str">
        <f>IFERROR(INDEX('Detalles movimientos'!Q$5:Q$1000, MATCH(111, 'Detalles movimientos'!$T$5:$T$1000, 0)), "")</f>
        <v/>
      </c>
    </row>
    <row r="121" spans="2:13">
      <c r="B121" s="17" t="str">
        <f>IFERROR(INDEX('Detalles movimientos'!C$5:C$1000, MATCH(112, 'Detalles movimientos'!$T$5:$T$1000, 0)), "")</f>
        <v/>
      </c>
      <c r="C121" s="18" t="str">
        <f>IFERROR(INDEX('Detalles movimientos'!D$5:D$1000, MATCH(112, 'Detalles movimientos'!$T$5:$T$1000, 0)), "")</f>
        <v/>
      </c>
      <c r="D121" s="19" t="str">
        <f>IFERROR(INDEX('Detalles movimientos'!E$5:E$1000, MATCH(112, 'Detalles movimientos'!$T$5:$T$1000, 0)), "")</f>
        <v/>
      </c>
      <c r="E121" s="19" t="str">
        <f>IFERROR(INDEX('Detalles movimientos'!F$5:F$1000, MATCH(112, 'Detalles movimientos'!$T$5:$T$1000, 0)), "")</f>
        <v/>
      </c>
      <c r="F121" s="18" t="str">
        <f>IFERROR(INDEX('Detalles movimientos'!G$5:G$1000, MATCH(112, 'Detalles movimientos'!$T$5:$T$1000, 0)), "")</f>
        <v/>
      </c>
      <c r="G121" s="20" t="str">
        <f>IFERROR(INDEX('Detalles movimientos'!H$5:H$1000, MATCH(112, 'Detalles movimientos'!$T$5:$T$1000, 0)), "")</f>
        <v/>
      </c>
      <c r="H121" s="21" t="str">
        <f>IFERROR(INDEX('Detalles movimientos'!I$5:I$1000, MATCH(112, 'Detalles movimientos'!$T$5:$T$1000, 0)), "")</f>
        <v/>
      </c>
      <c r="I121" s="20" t="str">
        <f>IFERROR(INDEX('Detalles movimientos'!K$5:K$1000, MATCH(112, 'Detalles movimientos'!$T$5:$T$1000, 0)), "")</f>
        <v/>
      </c>
      <c r="J121" s="19" t="str">
        <f>IFERROR(INDEX('Detalles movimientos'!L$5:L$1000, MATCH(112, 'Detalles movimientos'!$T$5:$T$1000, 0)), "")</f>
        <v/>
      </c>
      <c r="K121" s="20" t="str">
        <f>IFERROR(INDEX('Detalles movimientos'!M$5:M$1000, MATCH(112, 'Detalles movimientos'!$T$5:$T$1000, 0)), "")</f>
        <v/>
      </c>
      <c r="L121" s="18" t="str">
        <f>IFERROR(INDEX('Detalles movimientos'!N$5:N$1000, MATCH(112, 'Detalles movimientos'!$T$5:$T$1000, 0)), "")</f>
        <v/>
      </c>
      <c r="M121" s="18" t="str">
        <f>IFERROR(INDEX('Detalles movimientos'!Q$5:Q$1000, MATCH(112, 'Detalles movimientos'!$T$5:$T$1000, 0)), "")</f>
        <v/>
      </c>
    </row>
    <row r="122" spans="2:13">
      <c r="B122" s="17" t="str">
        <f>IFERROR(INDEX('Detalles movimientos'!C$5:C$1000, MATCH(113, 'Detalles movimientos'!$T$5:$T$1000, 0)), "")</f>
        <v/>
      </c>
      <c r="C122" s="18" t="str">
        <f>IFERROR(INDEX('Detalles movimientos'!D$5:D$1000, MATCH(113, 'Detalles movimientos'!$T$5:$T$1000, 0)), "")</f>
        <v/>
      </c>
      <c r="D122" s="19" t="str">
        <f>IFERROR(INDEX('Detalles movimientos'!E$5:E$1000, MATCH(113, 'Detalles movimientos'!$T$5:$T$1000, 0)), "")</f>
        <v/>
      </c>
      <c r="E122" s="19" t="str">
        <f>IFERROR(INDEX('Detalles movimientos'!F$5:F$1000, MATCH(113, 'Detalles movimientos'!$T$5:$T$1000, 0)), "")</f>
        <v/>
      </c>
      <c r="F122" s="18" t="str">
        <f>IFERROR(INDEX('Detalles movimientos'!G$5:G$1000, MATCH(113, 'Detalles movimientos'!$T$5:$T$1000, 0)), "")</f>
        <v/>
      </c>
      <c r="G122" s="20" t="str">
        <f>IFERROR(INDEX('Detalles movimientos'!H$5:H$1000, MATCH(113, 'Detalles movimientos'!$T$5:$T$1000, 0)), "")</f>
        <v/>
      </c>
      <c r="H122" s="21" t="str">
        <f>IFERROR(INDEX('Detalles movimientos'!I$5:I$1000, MATCH(113, 'Detalles movimientos'!$T$5:$T$1000, 0)), "")</f>
        <v/>
      </c>
      <c r="I122" s="20" t="str">
        <f>IFERROR(INDEX('Detalles movimientos'!K$5:K$1000, MATCH(113, 'Detalles movimientos'!$T$5:$T$1000, 0)), "")</f>
        <v/>
      </c>
      <c r="J122" s="19" t="str">
        <f>IFERROR(INDEX('Detalles movimientos'!L$5:L$1000, MATCH(113, 'Detalles movimientos'!$T$5:$T$1000, 0)), "")</f>
        <v/>
      </c>
      <c r="K122" s="20" t="str">
        <f>IFERROR(INDEX('Detalles movimientos'!M$5:M$1000, MATCH(113, 'Detalles movimientos'!$T$5:$T$1000, 0)), "")</f>
        <v/>
      </c>
      <c r="L122" s="18" t="str">
        <f>IFERROR(INDEX('Detalles movimientos'!N$5:N$1000, MATCH(113, 'Detalles movimientos'!$T$5:$T$1000, 0)), "")</f>
        <v/>
      </c>
      <c r="M122" s="18" t="str">
        <f>IFERROR(INDEX('Detalles movimientos'!Q$5:Q$1000, MATCH(113, 'Detalles movimientos'!$T$5:$T$1000, 0)), "")</f>
        <v/>
      </c>
    </row>
    <row r="123" spans="2:13">
      <c r="B123" s="17" t="str">
        <f>IFERROR(INDEX('Detalles movimientos'!C$5:C$1000, MATCH(114, 'Detalles movimientos'!$T$5:$T$1000, 0)), "")</f>
        <v/>
      </c>
      <c r="C123" s="18" t="str">
        <f>IFERROR(INDEX('Detalles movimientos'!D$5:D$1000, MATCH(114, 'Detalles movimientos'!$T$5:$T$1000, 0)), "")</f>
        <v/>
      </c>
      <c r="D123" s="19" t="str">
        <f>IFERROR(INDEX('Detalles movimientos'!E$5:E$1000, MATCH(114, 'Detalles movimientos'!$T$5:$T$1000, 0)), "")</f>
        <v/>
      </c>
      <c r="E123" s="19" t="str">
        <f>IFERROR(INDEX('Detalles movimientos'!F$5:F$1000, MATCH(114, 'Detalles movimientos'!$T$5:$T$1000, 0)), "")</f>
        <v/>
      </c>
      <c r="F123" s="18" t="str">
        <f>IFERROR(INDEX('Detalles movimientos'!G$5:G$1000, MATCH(114, 'Detalles movimientos'!$T$5:$T$1000, 0)), "")</f>
        <v/>
      </c>
      <c r="G123" s="20" t="str">
        <f>IFERROR(INDEX('Detalles movimientos'!H$5:H$1000, MATCH(114, 'Detalles movimientos'!$T$5:$T$1000, 0)), "")</f>
        <v/>
      </c>
      <c r="H123" s="21" t="str">
        <f>IFERROR(INDEX('Detalles movimientos'!I$5:I$1000, MATCH(114, 'Detalles movimientos'!$T$5:$T$1000, 0)), "")</f>
        <v/>
      </c>
      <c r="I123" s="20" t="str">
        <f>IFERROR(INDEX('Detalles movimientos'!K$5:K$1000, MATCH(114, 'Detalles movimientos'!$T$5:$T$1000, 0)), "")</f>
        <v/>
      </c>
      <c r="J123" s="19" t="str">
        <f>IFERROR(INDEX('Detalles movimientos'!L$5:L$1000, MATCH(114, 'Detalles movimientos'!$T$5:$T$1000, 0)), "")</f>
        <v/>
      </c>
      <c r="K123" s="20" t="str">
        <f>IFERROR(INDEX('Detalles movimientos'!M$5:M$1000, MATCH(114, 'Detalles movimientos'!$T$5:$T$1000, 0)), "")</f>
        <v/>
      </c>
      <c r="L123" s="18" t="str">
        <f>IFERROR(INDEX('Detalles movimientos'!N$5:N$1000, MATCH(114, 'Detalles movimientos'!$T$5:$T$1000, 0)), "")</f>
        <v/>
      </c>
      <c r="M123" s="18" t="str">
        <f>IFERROR(INDEX('Detalles movimientos'!Q$5:Q$1000, MATCH(114, 'Detalles movimientos'!$T$5:$T$1000, 0)), "")</f>
        <v/>
      </c>
    </row>
    <row r="124" spans="2:13">
      <c r="B124" s="17" t="str">
        <f>IFERROR(INDEX('Detalles movimientos'!C$5:C$1000, MATCH(115, 'Detalles movimientos'!$T$5:$T$1000, 0)), "")</f>
        <v/>
      </c>
      <c r="C124" s="18" t="str">
        <f>IFERROR(INDEX('Detalles movimientos'!D$5:D$1000, MATCH(115, 'Detalles movimientos'!$T$5:$T$1000, 0)), "")</f>
        <v/>
      </c>
      <c r="D124" s="19" t="str">
        <f>IFERROR(INDEX('Detalles movimientos'!E$5:E$1000, MATCH(115, 'Detalles movimientos'!$T$5:$T$1000, 0)), "")</f>
        <v/>
      </c>
      <c r="E124" s="19" t="str">
        <f>IFERROR(INDEX('Detalles movimientos'!F$5:F$1000, MATCH(115, 'Detalles movimientos'!$T$5:$T$1000, 0)), "")</f>
        <v/>
      </c>
      <c r="F124" s="18" t="str">
        <f>IFERROR(INDEX('Detalles movimientos'!G$5:G$1000, MATCH(115, 'Detalles movimientos'!$T$5:$T$1000, 0)), "")</f>
        <v/>
      </c>
      <c r="G124" s="20" t="str">
        <f>IFERROR(INDEX('Detalles movimientos'!H$5:H$1000, MATCH(115, 'Detalles movimientos'!$T$5:$T$1000, 0)), "")</f>
        <v/>
      </c>
      <c r="H124" s="21" t="str">
        <f>IFERROR(INDEX('Detalles movimientos'!I$5:I$1000, MATCH(115, 'Detalles movimientos'!$T$5:$T$1000, 0)), "")</f>
        <v/>
      </c>
      <c r="I124" s="20" t="str">
        <f>IFERROR(INDEX('Detalles movimientos'!K$5:K$1000, MATCH(115, 'Detalles movimientos'!$T$5:$T$1000, 0)), "")</f>
        <v/>
      </c>
      <c r="J124" s="19" t="str">
        <f>IFERROR(INDEX('Detalles movimientos'!L$5:L$1000, MATCH(115, 'Detalles movimientos'!$T$5:$T$1000, 0)), "")</f>
        <v/>
      </c>
      <c r="K124" s="20" t="str">
        <f>IFERROR(INDEX('Detalles movimientos'!M$5:M$1000, MATCH(115, 'Detalles movimientos'!$T$5:$T$1000, 0)), "")</f>
        <v/>
      </c>
      <c r="L124" s="18" t="str">
        <f>IFERROR(INDEX('Detalles movimientos'!N$5:N$1000, MATCH(115, 'Detalles movimientos'!$T$5:$T$1000, 0)), "")</f>
        <v/>
      </c>
      <c r="M124" s="18" t="str">
        <f>IFERROR(INDEX('Detalles movimientos'!Q$5:Q$1000, MATCH(115, 'Detalles movimientos'!$T$5:$T$1000, 0)), "")</f>
        <v/>
      </c>
    </row>
    <row r="125" spans="2:13">
      <c r="B125" s="17" t="str">
        <f>IFERROR(INDEX('Detalles movimientos'!C$5:C$1000, MATCH(116, 'Detalles movimientos'!$T$5:$T$1000, 0)), "")</f>
        <v/>
      </c>
      <c r="C125" s="18" t="str">
        <f>IFERROR(INDEX('Detalles movimientos'!D$5:D$1000, MATCH(116, 'Detalles movimientos'!$T$5:$T$1000, 0)), "")</f>
        <v/>
      </c>
      <c r="D125" s="19" t="str">
        <f>IFERROR(INDEX('Detalles movimientos'!E$5:E$1000, MATCH(116, 'Detalles movimientos'!$T$5:$T$1000, 0)), "")</f>
        <v/>
      </c>
      <c r="E125" s="19" t="str">
        <f>IFERROR(INDEX('Detalles movimientos'!F$5:F$1000, MATCH(116, 'Detalles movimientos'!$T$5:$T$1000, 0)), "")</f>
        <v/>
      </c>
      <c r="F125" s="18" t="str">
        <f>IFERROR(INDEX('Detalles movimientos'!G$5:G$1000, MATCH(116, 'Detalles movimientos'!$T$5:$T$1000, 0)), "")</f>
        <v/>
      </c>
      <c r="G125" s="20" t="str">
        <f>IFERROR(INDEX('Detalles movimientos'!H$5:H$1000, MATCH(116, 'Detalles movimientos'!$T$5:$T$1000, 0)), "")</f>
        <v/>
      </c>
      <c r="H125" s="21" t="str">
        <f>IFERROR(INDEX('Detalles movimientos'!I$5:I$1000, MATCH(116, 'Detalles movimientos'!$T$5:$T$1000, 0)), "")</f>
        <v/>
      </c>
      <c r="I125" s="20" t="str">
        <f>IFERROR(INDEX('Detalles movimientos'!K$5:K$1000, MATCH(116, 'Detalles movimientos'!$T$5:$T$1000, 0)), "")</f>
        <v/>
      </c>
      <c r="J125" s="19" t="str">
        <f>IFERROR(INDEX('Detalles movimientos'!L$5:L$1000, MATCH(116, 'Detalles movimientos'!$T$5:$T$1000, 0)), "")</f>
        <v/>
      </c>
      <c r="K125" s="20" t="str">
        <f>IFERROR(INDEX('Detalles movimientos'!M$5:M$1000, MATCH(116, 'Detalles movimientos'!$T$5:$T$1000, 0)), "")</f>
        <v/>
      </c>
      <c r="L125" s="18" t="str">
        <f>IFERROR(INDEX('Detalles movimientos'!N$5:N$1000, MATCH(116, 'Detalles movimientos'!$T$5:$T$1000, 0)), "")</f>
        <v/>
      </c>
      <c r="M125" s="18" t="str">
        <f>IFERROR(INDEX('Detalles movimientos'!Q$5:Q$1000, MATCH(116, 'Detalles movimientos'!$T$5:$T$1000, 0)), "")</f>
        <v/>
      </c>
    </row>
    <row r="126" spans="2:13">
      <c r="B126" s="17" t="str">
        <f>IFERROR(INDEX('Detalles movimientos'!C$5:C$1000, MATCH(117, 'Detalles movimientos'!$T$5:$T$1000, 0)), "")</f>
        <v/>
      </c>
      <c r="C126" s="18" t="str">
        <f>IFERROR(INDEX('Detalles movimientos'!D$5:D$1000, MATCH(117, 'Detalles movimientos'!$T$5:$T$1000, 0)), "")</f>
        <v/>
      </c>
      <c r="D126" s="19" t="str">
        <f>IFERROR(INDEX('Detalles movimientos'!E$5:E$1000, MATCH(117, 'Detalles movimientos'!$T$5:$T$1000, 0)), "")</f>
        <v/>
      </c>
      <c r="E126" s="19" t="str">
        <f>IFERROR(INDEX('Detalles movimientos'!F$5:F$1000, MATCH(117, 'Detalles movimientos'!$T$5:$T$1000, 0)), "")</f>
        <v/>
      </c>
      <c r="F126" s="18" t="str">
        <f>IFERROR(INDEX('Detalles movimientos'!G$5:G$1000, MATCH(117, 'Detalles movimientos'!$T$5:$T$1000, 0)), "")</f>
        <v/>
      </c>
      <c r="G126" s="20" t="str">
        <f>IFERROR(INDEX('Detalles movimientos'!H$5:H$1000, MATCH(117, 'Detalles movimientos'!$T$5:$T$1000, 0)), "")</f>
        <v/>
      </c>
      <c r="H126" s="21" t="str">
        <f>IFERROR(INDEX('Detalles movimientos'!I$5:I$1000, MATCH(117, 'Detalles movimientos'!$T$5:$T$1000, 0)), "")</f>
        <v/>
      </c>
      <c r="I126" s="20" t="str">
        <f>IFERROR(INDEX('Detalles movimientos'!K$5:K$1000, MATCH(117, 'Detalles movimientos'!$T$5:$T$1000, 0)), "")</f>
        <v/>
      </c>
      <c r="J126" s="19" t="str">
        <f>IFERROR(INDEX('Detalles movimientos'!L$5:L$1000, MATCH(117, 'Detalles movimientos'!$T$5:$T$1000, 0)), "")</f>
        <v/>
      </c>
      <c r="K126" s="20" t="str">
        <f>IFERROR(INDEX('Detalles movimientos'!M$5:M$1000, MATCH(117, 'Detalles movimientos'!$T$5:$T$1000, 0)), "")</f>
        <v/>
      </c>
      <c r="L126" s="18" t="str">
        <f>IFERROR(INDEX('Detalles movimientos'!N$5:N$1000, MATCH(117, 'Detalles movimientos'!$T$5:$T$1000, 0)), "")</f>
        <v/>
      </c>
      <c r="M126" s="18" t="str">
        <f>IFERROR(INDEX('Detalles movimientos'!Q$5:Q$1000, MATCH(117, 'Detalles movimientos'!$T$5:$T$1000, 0)), "")</f>
        <v/>
      </c>
    </row>
    <row r="127" spans="2:13">
      <c r="B127" s="17" t="str">
        <f>IFERROR(INDEX('Detalles movimientos'!C$5:C$1000, MATCH(118, 'Detalles movimientos'!$T$5:$T$1000, 0)), "")</f>
        <v/>
      </c>
      <c r="C127" s="18" t="str">
        <f>IFERROR(INDEX('Detalles movimientos'!D$5:D$1000, MATCH(118, 'Detalles movimientos'!$T$5:$T$1000, 0)), "")</f>
        <v/>
      </c>
      <c r="D127" s="19" t="str">
        <f>IFERROR(INDEX('Detalles movimientos'!E$5:E$1000, MATCH(118, 'Detalles movimientos'!$T$5:$T$1000, 0)), "")</f>
        <v/>
      </c>
      <c r="E127" s="19" t="str">
        <f>IFERROR(INDEX('Detalles movimientos'!F$5:F$1000, MATCH(118, 'Detalles movimientos'!$T$5:$T$1000, 0)), "")</f>
        <v/>
      </c>
      <c r="F127" s="18" t="str">
        <f>IFERROR(INDEX('Detalles movimientos'!G$5:G$1000, MATCH(118, 'Detalles movimientos'!$T$5:$T$1000, 0)), "")</f>
        <v/>
      </c>
      <c r="G127" s="20" t="str">
        <f>IFERROR(INDEX('Detalles movimientos'!H$5:H$1000, MATCH(118, 'Detalles movimientos'!$T$5:$T$1000, 0)), "")</f>
        <v/>
      </c>
      <c r="H127" s="21" t="str">
        <f>IFERROR(INDEX('Detalles movimientos'!I$5:I$1000, MATCH(118, 'Detalles movimientos'!$T$5:$T$1000, 0)), "")</f>
        <v/>
      </c>
      <c r="I127" s="20" t="str">
        <f>IFERROR(INDEX('Detalles movimientos'!K$5:K$1000, MATCH(118, 'Detalles movimientos'!$T$5:$T$1000, 0)), "")</f>
        <v/>
      </c>
      <c r="J127" s="19" t="str">
        <f>IFERROR(INDEX('Detalles movimientos'!L$5:L$1000, MATCH(118, 'Detalles movimientos'!$T$5:$T$1000, 0)), "")</f>
        <v/>
      </c>
      <c r="K127" s="20" t="str">
        <f>IFERROR(INDEX('Detalles movimientos'!M$5:M$1000, MATCH(118, 'Detalles movimientos'!$T$5:$T$1000, 0)), "")</f>
        <v/>
      </c>
      <c r="L127" s="18" t="str">
        <f>IFERROR(INDEX('Detalles movimientos'!N$5:N$1000, MATCH(118, 'Detalles movimientos'!$T$5:$T$1000, 0)), "")</f>
        <v/>
      </c>
      <c r="M127" s="18" t="str">
        <f>IFERROR(INDEX('Detalles movimientos'!Q$5:Q$1000, MATCH(118, 'Detalles movimientos'!$T$5:$T$1000, 0)), "")</f>
        <v/>
      </c>
    </row>
    <row r="128" spans="2:13">
      <c r="B128" s="17" t="str">
        <f>IFERROR(INDEX('Detalles movimientos'!C$5:C$1000, MATCH(119, 'Detalles movimientos'!$T$5:$T$1000, 0)), "")</f>
        <v/>
      </c>
      <c r="C128" s="18" t="str">
        <f>IFERROR(INDEX('Detalles movimientos'!D$5:D$1000, MATCH(119, 'Detalles movimientos'!$T$5:$T$1000, 0)), "")</f>
        <v/>
      </c>
      <c r="D128" s="19" t="str">
        <f>IFERROR(INDEX('Detalles movimientos'!E$5:E$1000, MATCH(119, 'Detalles movimientos'!$T$5:$T$1000, 0)), "")</f>
        <v/>
      </c>
      <c r="E128" s="19" t="str">
        <f>IFERROR(INDEX('Detalles movimientos'!F$5:F$1000, MATCH(119, 'Detalles movimientos'!$T$5:$T$1000, 0)), "")</f>
        <v/>
      </c>
      <c r="F128" s="18" t="str">
        <f>IFERROR(INDEX('Detalles movimientos'!G$5:G$1000, MATCH(119, 'Detalles movimientos'!$T$5:$T$1000, 0)), "")</f>
        <v/>
      </c>
      <c r="G128" s="20" t="str">
        <f>IFERROR(INDEX('Detalles movimientos'!H$5:H$1000, MATCH(119, 'Detalles movimientos'!$T$5:$T$1000, 0)), "")</f>
        <v/>
      </c>
      <c r="H128" s="21" t="str">
        <f>IFERROR(INDEX('Detalles movimientos'!I$5:I$1000, MATCH(119, 'Detalles movimientos'!$T$5:$T$1000, 0)), "")</f>
        <v/>
      </c>
      <c r="I128" s="20" t="str">
        <f>IFERROR(INDEX('Detalles movimientos'!K$5:K$1000, MATCH(119, 'Detalles movimientos'!$T$5:$T$1000, 0)), "")</f>
        <v/>
      </c>
      <c r="J128" s="19" t="str">
        <f>IFERROR(INDEX('Detalles movimientos'!L$5:L$1000, MATCH(119, 'Detalles movimientos'!$T$5:$T$1000, 0)), "")</f>
        <v/>
      </c>
      <c r="K128" s="20" t="str">
        <f>IFERROR(INDEX('Detalles movimientos'!M$5:M$1000, MATCH(119, 'Detalles movimientos'!$T$5:$T$1000, 0)), "")</f>
        <v/>
      </c>
      <c r="L128" s="18" t="str">
        <f>IFERROR(INDEX('Detalles movimientos'!N$5:N$1000, MATCH(119, 'Detalles movimientos'!$T$5:$T$1000, 0)), "")</f>
        <v/>
      </c>
      <c r="M128" s="18" t="str">
        <f>IFERROR(INDEX('Detalles movimientos'!Q$5:Q$1000, MATCH(119, 'Detalles movimientos'!$T$5:$T$1000, 0)), "")</f>
        <v/>
      </c>
    </row>
    <row r="129" spans="2:13">
      <c r="B129" s="17" t="str">
        <f>IFERROR(INDEX('Detalles movimientos'!C$5:C$1000, MATCH(120, 'Detalles movimientos'!$T$5:$T$1000, 0)), "")</f>
        <v/>
      </c>
      <c r="C129" s="18" t="str">
        <f>IFERROR(INDEX('Detalles movimientos'!D$5:D$1000, MATCH(120, 'Detalles movimientos'!$T$5:$T$1000, 0)), "")</f>
        <v/>
      </c>
      <c r="D129" s="19" t="str">
        <f>IFERROR(INDEX('Detalles movimientos'!E$5:E$1000, MATCH(120, 'Detalles movimientos'!$T$5:$T$1000, 0)), "")</f>
        <v/>
      </c>
      <c r="E129" s="19" t="str">
        <f>IFERROR(INDEX('Detalles movimientos'!F$5:F$1000, MATCH(120, 'Detalles movimientos'!$T$5:$T$1000, 0)), "")</f>
        <v/>
      </c>
      <c r="F129" s="18" t="str">
        <f>IFERROR(INDEX('Detalles movimientos'!G$5:G$1000, MATCH(120, 'Detalles movimientos'!$T$5:$T$1000, 0)), "")</f>
        <v/>
      </c>
      <c r="G129" s="20" t="str">
        <f>IFERROR(INDEX('Detalles movimientos'!H$5:H$1000, MATCH(120, 'Detalles movimientos'!$T$5:$T$1000, 0)), "")</f>
        <v/>
      </c>
      <c r="H129" s="21" t="str">
        <f>IFERROR(INDEX('Detalles movimientos'!I$5:I$1000, MATCH(120, 'Detalles movimientos'!$T$5:$T$1000, 0)), "")</f>
        <v/>
      </c>
      <c r="I129" s="20" t="str">
        <f>IFERROR(INDEX('Detalles movimientos'!K$5:K$1000, MATCH(120, 'Detalles movimientos'!$T$5:$T$1000, 0)), "")</f>
        <v/>
      </c>
      <c r="J129" s="19" t="str">
        <f>IFERROR(INDEX('Detalles movimientos'!L$5:L$1000, MATCH(120, 'Detalles movimientos'!$T$5:$T$1000, 0)), "")</f>
        <v/>
      </c>
      <c r="K129" s="20" t="str">
        <f>IFERROR(INDEX('Detalles movimientos'!M$5:M$1000, MATCH(120, 'Detalles movimientos'!$T$5:$T$1000, 0)), "")</f>
        <v/>
      </c>
      <c r="L129" s="18" t="str">
        <f>IFERROR(INDEX('Detalles movimientos'!N$5:N$1000, MATCH(120, 'Detalles movimientos'!$T$5:$T$1000, 0)), "")</f>
        <v/>
      </c>
      <c r="M129" s="18" t="str">
        <f>IFERROR(INDEX('Detalles movimientos'!Q$5:Q$1000, MATCH(120, 'Detalles movimientos'!$T$5:$T$1000, 0)), "")</f>
        <v/>
      </c>
    </row>
    <row r="130" spans="2:13">
      <c r="B130" s="17" t="str">
        <f>IFERROR(INDEX('Detalles movimientos'!C$5:C$1000, MATCH(121, 'Detalles movimientos'!$T$5:$T$1000, 0)), "")</f>
        <v/>
      </c>
      <c r="C130" s="18" t="str">
        <f>IFERROR(INDEX('Detalles movimientos'!D$5:D$1000, MATCH(121, 'Detalles movimientos'!$T$5:$T$1000, 0)), "")</f>
        <v/>
      </c>
      <c r="D130" s="19" t="str">
        <f>IFERROR(INDEX('Detalles movimientos'!E$5:E$1000, MATCH(121, 'Detalles movimientos'!$T$5:$T$1000, 0)), "")</f>
        <v/>
      </c>
      <c r="E130" s="19" t="str">
        <f>IFERROR(INDEX('Detalles movimientos'!F$5:F$1000, MATCH(121, 'Detalles movimientos'!$T$5:$T$1000, 0)), "")</f>
        <v/>
      </c>
      <c r="F130" s="18" t="str">
        <f>IFERROR(INDEX('Detalles movimientos'!G$5:G$1000, MATCH(121, 'Detalles movimientos'!$T$5:$T$1000, 0)), "")</f>
        <v/>
      </c>
      <c r="G130" s="20" t="str">
        <f>IFERROR(INDEX('Detalles movimientos'!H$5:H$1000, MATCH(121, 'Detalles movimientos'!$T$5:$T$1000, 0)), "")</f>
        <v/>
      </c>
      <c r="H130" s="21" t="str">
        <f>IFERROR(INDEX('Detalles movimientos'!I$5:I$1000, MATCH(121, 'Detalles movimientos'!$T$5:$T$1000, 0)), "")</f>
        <v/>
      </c>
      <c r="I130" s="20" t="str">
        <f>IFERROR(INDEX('Detalles movimientos'!K$5:K$1000, MATCH(121, 'Detalles movimientos'!$T$5:$T$1000, 0)), "")</f>
        <v/>
      </c>
      <c r="J130" s="19" t="str">
        <f>IFERROR(INDEX('Detalles movimientos'!L$5:L$1000, MATCH(121, 'Detalles movimientos'!$T$5:$T$1000, 0)), "")</f>
        <v/>
      </c>
      <c r="K130" s="20" t="str">
        <f>IFERROR(INDEX('Detalles movimientos'!M$5:M$1000, MATCH(121, 'Detalles movimientos'!$T$5:$T$1000, 0)), "")</f>
        <v/>
      </c>
      <c r="L130" s="18" t="str">
        <f>IFERROR(INDEX('Detalles movimientos'!N$5:N$1000, MATCH(121, 'Detalles movimientos'!$T$5:$T$1000, 0)), "")</f>
        <v/>
      </c>
      <c r="M130" s="18" t="str">
        <f>IFERROR(INDEX('Detalles movimientos'!Q$5:Q$1000, MATCH(121, 'Detalles movimientos'!$T$5:$T$1000, 0)), "")</f>
        <v/>
      </c>
    </row>
    <row r="131" spans="2:13">
      <c r="B131" s="17" t="str">
        <f>IFERROR(INDEX('Detalles movimientos'!C$5:C$1000, MATCH(122, 'Detalles movimientos'!$T$5:$T$1000, 0)), "")</f>
        <v/>
      </c>
      <c r="C131" s="18" t="str">
        <f>IFERROR(INDEX('Detalles movimientos'!D$5:D$1000, MATCH(122, 'Detalles movimientos'!$T$5:$T$1000, 0)), "")</f>
        <v/>
      </c>
      <c r="D131" s="19" t="str">
        <f>IFERROR(INDEX('Detalles movimientos'!E$5:E$1000, MATCH(122, 'Detalles movimientos'!$T$5:$T$1000, 0)), "")</f>
        <v/>
      </c>
      <c r="E131" s="19" t="str">
        <f>IFERROR(INDEX('Detalles movimientos'!F$5:F$1000, MATCH(122, 'Detalles movimientos'!$T$5:$T$1000, 0)), "")</f>
        <v/>
      </c>
      <c r="F131" s="18" t="str">
        <f>IFERROR(INDEX('Detalles movimientos'!G$5:G$1000, MATCH(122, 'Detalles movimientos'!$T$5:$T$1000, 0)), "")</f>
        <v/>
      </c>
      <c r="G131" s="20" t="str">
        <f>IFERROR(INDEX('Detalles movimientos'!H$5:H$1000, MATCH(122, 'Detalles movimientos'!$T$5:$T$1000, 0)), "")</f>
        <v/>
      </c>
      <c r="H131" s="21" t="str">
        <f>IFERROR(INDEX('Detalles movimientos'!I$5:I$1000, MATCH(122, 'Detalles movimientos'!$T$5:$T$1000, 0)), "")</f>
        <v/>
      </c>
      <c r="I131" s="20" t="str">
        <f>IFERROR(INDEX('Detalles movimientos'!K$5:K$1000, MATCH(122, 'Detalles movimientos'!$T$5:$T$1000, 0)), "")</f>
        <v/>
      </c>
      <c r="J131" s="19" t="str">
        <f>IFERROR(INDEX('Detalles movimientos'!L$5:L$1000, MATCH(122, 'Detalles movimientos'!$T$5:$T$1000, 0)), "")</f>
        <v/>
      </c>
      <c r="K131" s="20" t="str">
        <f>IFERROR(INDEX('Detalles movimientos'!M$5:M$1000, MATCH(122, 'Detalles movimientos'!$T$5:$T$1000, 0)), "")</f>
        <v/>
      </c>
      <c r="L131" s="18" t="str">
        <f>IFERROR(INDEX('Detalles movimientos'!N$5:N$1000, MATCH(122, 'Detalles movimientos'!$T$5:$T$1000, 0)), "")</f>
        <v/>
      </c>
      <c r="M131" s="18" t="str">
        <f>IFERROR(INDEX('Detalles movimientos'!Q$5:Q$1000, MATCH(122, 'Detalles movimientos'!$T$5:$T$1000, 0)), "")</f>
        <v/>
      </c>
    </row>
    <row r="132" spans="2:13">
      <c r="B132" s="17" t="str">
        <f>IFERROR(INDEX('Detalles movimientos'!C$5:C$1000, MATCH(123, 'Detalles movimientos'!$T$5:$T$1000, 0)), "")</f>
        <v/>
      </c>
      <c r="C132" s="18" t="str">
        <f>IFERROR(INDEX('Detalles movimientos'!D$5:D$1000, MATCH(123, 'Detalles movimientos'!$T$5:$T$1000, 0)), "")</f>
        <v/>
      </c>
      <c r="D132" s="19" t="str">
        <f>IFERROR(INDEX('Detalles movimientos'!E$5:E$1000, MATCH(123, 'Detalles movimientos'!$T$5:$T$1000, 0)), "")</f>
        <v/>
      </c>
      <c r="E132" s="19" t="str">
        <f>IFERROR(INDEX('Detalles movimientos'!F$5:F$1000, MATCH(123, 'Detalles movimientos'!$T$5:$T$1000, 0)), "")</f>
        <v/>
      </c>
      <c r="F132" s="18" t="str">
        <f>IFERROR(INDEX('Detalles movimientos'!G$5:G$1000, MATCH(123, 'Detalles movimientos'!$T$5:$T$1000, 0)), "")</f>
        <v/>
      </c>
      <c r="G132" s="20" t="str">
        <f>IFERROR(INDEX('Detalles movimientos'!H$5:H$1000, MATCH(123, 'Detalles movimientos'!$T$5:$T$1000, 0)), "")</f>
        <v/>
      </c>
      <c r="H132" s="21" t="str">
        <f>IFERROR(INDEX('Detalles movimientos'!I$5:I$1000, MATCH(123, 'Detalles movimientos'!$T$5:$T$1000, 0)), "")</f>
        <v/>
      </c>
      <c r="I132" s="20" t="str">
        <f>IFERROR(INDEX('Detalles movimientos'!K$5:K$1000, MATCH(123, 'Detalles movimientos'!$T$5:$T$1000, 0)), "")</f>
        <v/>
      </c>
      <c r="J132" s="19" t="str">
        <f>IFERROR(INDEX('Detalles movimientos'!L$5:L$1000, MATCH(123, 'Detalles movimientos'!$T$5:$T$1000, 0)), "")</f>
        <v/>
      </c>
      <c r="K132" s="20" t="str">
        <f>IFERROR(INDEX('Detalles movimientos'!M$5:M$1000, MATCH(123, 'Detalles movimientos'!$T$5:$T$1000, 0)), "")</f>
        <v/>
      </c>
      <c r="L132" s="18" t="str">
        <f>IFERROR(INDEX('Detalles movimientos'!N$5:N$1000, MATCH(123, 'Detalles movimientos'!$T$5:$T$1000, 0)), "")</f>
        <v/>
      </c>
      <c r="M132" s="18" t="str">
        <f>IFERROR(INDEX('Detalles movimientos'!Q$5:Q$1000, MATCH(123, 'Detalles movimientos'!$T$5:$T$1000, 0)), "")</f>
        <v/>
      </c>
    </row>
    <row r="133" spans="2:13">
      <c r="B133" s="17" t="str">
        <f>IFERROR(INDEX('Detalles movimientos'!C$5:C$1000, MATCH(124, 'Detalles movimientos'!$T$5:$T$1000, 0)), "")</f>
        <v/>
      </c>
      <c r="C133" s="18" t="str">
        <f>IFERROR(INDEX('Detalles movimientos'!D$5:D$1000, MATCH(124, 'Detalles movimientos'!$T$5:$T$1000, 0)), "")</f>
        <v/>
      </c>
      <c r="D133" s="19" t="str">
        <f>IFERROR(INDEX('Detalles movimientos'!E$5:E$1000, MATCH(124, 'Detalles movimientos'!$T$5:$T$1000, 0)), "")</f>
        <v/>
      </c>
      <c r="E133" s="19" t="str">
        <f>IFERROR(INDEX('Detalles movimientos'!F$5:F$1000, MATCH(124, 'Detalles movimientos'!$T$5:$T$1000, 0)), "")</f>
        <v/>
      </c>
      <c r="F133" s="18" t="str">
        <f>IFERROR(INDEX('Detalles movimientos'!G$5:G$1000, MATCH(124, 'Detalles movimientos'!$T$5:$T$1000, 0)), "")</f>
        <v/>
      </c>
      <c r="G133" s="20" t="str">
        <f>IFERROR(INDEX('Detalles movimientos'!H$5:H$1000, MATCH(124, 'Detalles movimientos'!$T$5:$T$1000, 0)), "")</f>
        <v/>
      </c>
      <c r="H133" s="21" t="str">
        <f>IFERROR(INDEX('Detalles movimientos'!I$5:I$1000, MATCH(124, 'Detalles movimientos'!$T$5:$T$1000, 0)), "")</f>
        <v/>
      </c>
      <c r="I133" s="20" t="str">
        <f>IFERROR(INDEX('Detalles movimientos'!K$5:K$1000, MATCH(124, 'Detalles movimientos'!$T$5:$T$1000, 0)), "")</f>
        <v/>
      </c>
      <c r="J133" s="19" t="str">
        <f>IFERROR(INDEX('Detalles movimientos'!L$5:L$1000, MATCH(124, 'Detalles movimientos'!$T$5:$T$1000, 0)), "")</f>
        <v/>
      </c>
      <c r="K133" s="20" t="str">
        <f>IFERROR(INDEX('Detalles movimientos'!M$5:M$1000, MATCH(124, 'Detalles movimientos'!$T$5:$T$1000, 0)), "")</f>
        <v/>
      </c>
      <c r="L133" s="18" t="str">
        <f>IFERROR(INDEX('Detalles movimientos'!N$5:N$1000, MATCH(124, 'Detalles movimientos'!$T$5:$T$1000, 0)), "")</f>
        <v/>
      </c>
      <c r="M133" s="18" t="str">
        <f>IFERROR(INDEX('Detalles movimientos'!Q$5:Q$1000, MATCH(124, 'Detalles movimientos'!$T$5:$T$1000, 0)), "")</f>
        <v/>
      </c>
    </row>
    <row r="134" spans="2:13">
      <c r="B134" s="17" t="str">
        <f>IFERROR(INDEX('Detalles movimientos'!C$5:C$1000, MATCH(125, 'Detalles movimientos'!$T$5:$T$1000, 0)), "")</f>
        <v/>
      </c>
      <c r="C134" s="18" t="str">
        <f>IFERROR(INDEX('Detalles movimientos'!D$5:D$1000, MATCH(125, 'Detalles movimientos'!$T$5:$T$1000, 0)), "")</f>
        <v/>
      </c>
      <c r="D134" s="19" t="str">
        <f>IFERROR(INDEX('Detalles movimientos'!E$5:E$1000, MATCH(125, 'Detalles movimientos'!$T$5:$T$1000, 0)), "")</f>
        <v/>
      </c>
      <c r="E134" s="19" t="str">
        <f>IFERROR(INDEX('Detalles movimientos'!F$5:F$1000, MATCH(125, 'Detalles movimientos'!$T$5:$T$1000, 0)), "")</f>
        <v/>
      </c>
      <c r="F134" s="18" t="str">
        <f>IFERROR(INDEX('Detalles movimientos'!G$5:G$1000, MATCH(125, 'Detalles movimientos'!$T$5:$T$1000, 0)), "")</f>
        <v/>
      </c>
      <c r="G134" s="20" t="str">
        <f>IFERROR(INDEX('Detalles movimientos'!H$5:H$1000, MATCH(125, 'Detalles movimientos'!$T$5:$T$1000, 0)), "")</f>
        <v/>
      </c>
      <c r="H134" s="21" t="str">
        <f>IFERROR(INDEX('Detalles movimientos'!I$5:I$1000, MATCH(125, 'Detalles movimientos'!$T$5:$T$1000, 0)), "")</f>
        <v/>
      </c>
      <c r="I134" s="20" t="str">
        <f>IFERROR(INDEX('Detalles movimientos'!K$5:K$1000, MATCH(125, 'Detalles movimientos'!$T$5:$T$1000, 0)), "")</f>
        <v/>
      </c>
      <c r="J134" s="19" t="str">
        <f>IFERROR(INDEX('Detalles movimientos'!L$5:L$1000, MATCH(125, 'Detalles movimientos'!$T$5:$T$1000, 0)), "")</f>
        <v/>
      </c>
      <c r="K134" s="20" t="str">
        <f>IFERROR(INDEX('Detalles movimientos'!M$5:M$1000, MATCH(125, 'Detalles movimientos'!$T$5:$T$1000, 0)), "")</f>
        <v/>
      </c>
      <c r="L134" s="18" t="str">
        <f>IFERROR(INDEX('Detalles movimientos'!N$5:N$1000, MATCH(125, 'Detalles movimientos'!$T$5:$T$1000, 0)), "")</f>
        <v/>
      </c>
      <c r="M134" s="18" t="str">
        <f>IFERROR(INDEX('Detalles movimientos'!Q$5:Q$1000, MATCH(125, 'Detalles movimientos'!$T$5:$T$1000, 0)), "")</f>
        <v/>
      </c>
    </row>
    <row r="135" spans="2:13">
      <c r="B135" s="17" t="str">
        <f>IFERROR(INDEX('Detalles movimientos'!C$5:C$1000, MATCH(126, 'Detalles movimientos'!$T$5:$T$1000, 0)), "")</f>
        <v/>
      </c>
      <c r="C135" s="18" t="str">
        <f>IFERROR(INDEX('Detalles movimientos'!D$5:D$1000, MATCH(126, 'Detalles movimientos'!$T$5:$T$1000, 0)), "")</f>
        <v/>
      </c>
      <c r="D135" s="19" t="str">
        <f>IFERROR(INDEX('Detalles movimientos'!E$5:E$1000, MATCH(126, 'Detalles movimientos'!$T$5:$T$1000, 0)), "")</f>
        <v/>
      </c>
      <c r="E135" s="19" t="str">
        <f>IFERROR(INDEX('Detalles movimientos'!F$5:F$1000, MATCH(126, 'Detalles movimientos'!$T$5:$T$1000, 0)), "")</f>
        <v/>
      </c>
      <c r="F135" s="18" t="str">
        <f>IFERROR(INDEX('Detalles movimientos'!G$5:G$1000, MATCH(126, 'Detalles movimientos'!$T$5:$T$1000, 0)), "")</f>
        <v/>
      </c>
      <c r="G135" s="20" t="str">
        <f>IFERROR(INDEX('Detalles movimientos'!H$5:H$1000, MATCH(126, 'Detalles movimientos'!$T$5:$T$1000, 0)), "")</f>
        <v/>
      </c>
      <c r="H135" s="21" t="str">
        <f>IFERROR(INDEX('Detalles movimientos'!I$5:I$1000, MATCH(126, 'Detalles movimientos'!$T$5:$T$1000, 0)), "")</f>
        <v/>
      </c>
      <c r="I135" s="20" t="str">
        <f>IFERROR(INDEX('Detalles movimientos'!K$5:K$1000, MATCH(126, 'Detalles movimientos'!$T$5:$T$1000, 0)), "")</f>
        <v/>
      </c>
      <c r="J135" s="19" t="str">
        <f>IFERROR(INDEX('Detalles movimientos'!L$5:L$1000, MATCH(126, 'Detalles movimientos'!$T$5:$T$1000, 0)), "")</f>
        <v/>
      </c>
      <c r="K135" s="20" t="str">
        <f>IFERROR(INDEX('Detalles movimientos'!M$5:M$1000, MATCH(126, 'Detalles movimientos'!$T$5:$T$1000, 0)), "")</f>
        <v/>
      </c>
      <c r="L135" s="18" t="str">
        <f>IFERROR(INDEX('Detalles movimientos'!N$5:N$1000, MATCH(126, 'Detalles movimientos'!$T$5:$T$1000, 0)), "")</f>
        <v/>
      </c>
      <c r="M135" s="18" t="str">
        <f>IFERROR(INDEX('Detalles movimientos'!Q$5:Q$1000, MATCH(126, 'Detalles movimientos'!$T$5:$T$1000, 0)), "")</f>
        <v/>
      </c>
    </row>
    <row r="136" spans="2:13">
      <c r="B136" s="17" t="str">
        <f>IFERROR(INDEX('Detalles movimientos'!C$5:C$1000, MATCH(127, 'Detalles movimientos'!$T$5:$T$1000, 0)), "")</f>
        <v/>
      </c>
      <c r="C136" s="18" t="str">
        <f>IFERROR(INDEX('Detalles movimientos'!D$5:D$1000, MATCH(127, 'Detalles movimientos'!$T$5:$T$1000, 0)), "")</f>
        <v/>
      </c>
      <c r="D136" s="19" t="str">
        <f>IFERROR(INDEX('Detalles movimientos'!E$5:E$1000, MATCH(127, 'Detalles movimientos'!$T$5:$T$1000, 0)), "")</f>
        <v/>
      </c>
      <c r="E136" s="19" t="str">
        <f>IFERROR(INDEX('Detalles movimientos'!F$5:F$1000, MATCH(127, 'Detalles movimientos'!$T$5:$T$1000, 0)), "")</f>
        <v/>
      </c>
      <c r="F136" s="18" t="str">
        <f>IFERROR(INDEX('Detalles movimientos'!G$5:G$1000, MATCH(127, 'Detalles movimientos'!$T$5:$T$1000, 0)), "")</f>
        <v/>
      </c>
      <c r="G136" s="20" t="str">
        <f>IFERROR(INDEX('Detalles movimientos'!H$5:H$1000, MATCH(127, 'Detalles movimientos'!$T$5:$T$1000, 0)), "")</f>
        <v/>
      </c>
      <c r="H136" s="21" t="str">
        <f>IFERROR(INDEX('Detalles movimientos'!I$5:I$1000, MATCH(127, 'Detalles movimientos'!$T$5:$T$1000, 0)), "")</f>
        <v/>
      </c>
      <c r="I136" s="20" t="str">
        <f>IFERROR(INDEX('Detalles movimientos'!K$5:K$1000, MATCH(127, 'Detalles movimientos'!$T$5:$T$1000, 0)), "")</f>
        <v/>
      </c>
      <c r="J136" s="19" t="str">
        <f>IFERROR(INDEX('Detalles movimientos'!L$5:L$1000, MATCH(127, 'Detalles movimientos'!$T$5:$T$1000, 0)), "")</f>
        <v/>
      </c>
      <c r="K136" s="20" t="str">
        <f>IFERROR(INDEX('Detalles movimientos'!M$5:M$1000, MATCH(127, 'Detalles movimientos'!$T$5:$T$1000, 0)), "")</f>
        <v/>
      </c>
      <c r="L136" s="18" t="str">
        <f>IFERROR(INDEX('Detalles movimientos'!N$5:N$1000, MATCH(127, 'Detalles movimientos'!$T$5:$T$1000, 0)), "")</f>
        <v/>
      </c>
      <c r="M136" s="18" t="str">
        <f>IFERROR(INDEX('Detalles movimientos'!Q$5:Q$1000, MATCH(127, 'Detalles movimientos'!$T$5:$T$1000, 0)), "")</f>
        <v/>
      </c>
    </row>
    <row r="137" spans="2:13">
      <c r="B137" s="17" t="str">
        <f>IFERROR(INDEX('Detalles movimientos'!C$5:C$1000, MATCH(128, 'Detalles movimientos'!$T$5:$T$1000, 0)), "")</f>
        <v/>
      </c>
      <c r="C137" s="18" t="str">
        <f>IFERROR(INDEX('Detalles movimientos'!D$5:D$1000, MATCH(128, 'Detalles movimientos'!$T$5:$T$1000, 0)), "")</f>
        <v/>
      </c>
      <c r="D137" s="19" t="str">
        <f>IFERROR(INDEX('Detalles movimientos'!E$5:E$1000, MATCH(128, 'Detalles movimientos'!$T$5:$T$1000, 0)), "")</f>
        <v/>
      </c>
      <c r="E137" s="19" t="str">
        <f>IFERROR(INDEX('Detalles movimientos'!F$5:F$1000, MATCH(128, 'Detalles movimientos'!$T$5:$T$1000, 0)), "")</f>
        <v/>
      </c>
      <c r="F137" s="18" t="str">
        <f>IFERROR(INDEX('Detalles movimientos'!G$5:G$1000, MATCH(128, 'Detalles movimientos'!$T$5:$T$1000, 0)), "")</f>
        <v/>
      </c>
      <c r="G137" s="20" t="str">
        <f>IFERROR(INDEX('Detalles movimientos'!H$5:H$1000, MATCH(128, 'Detalles movimientos'!$T$5:$T$1000, 0)), "")</f>
        <v/>
      </c>
      <c r="H137" s="21" t="str">
        <f>IFERROR(INDEX('Detalles movimientos'!I$5:I$1000, MATCH(128, 'Detalles movimientos'!$T$5:$T$1000, 0)), "")</f>
        <v/>
      </c>
      <c r="I137" s="20" t="str">
        <f>IFERROR(INDEX('Detalles movimientos'!K$5:K$1000, MATCH(128, 'Detalles movimientos'!$T$5:$T$1000, 0)), "")</f>
        <v/>
      </c>
      <c r="J137" s="19" t="str">
        <f>IFERROR(INDEX('Detalles movimientos'!L$5:L$1000, MATCH(128, 'Detalles movimientos'!$T$5:$T$1000, 0)), "")</f>
        <v/>
      </c>
      <c r="K137" s="20" t="str">
        <f>IFERROR(INDEX('Detalles movimientos'!M$5:M$1000, MATCH(128, 'Detalles movimientos'!$T$5:$T$1000, 0)), "")</f>
        <v/>
      </c>
      <c r="L137" s="18" t="str">
        <f>IFERROR(INDEX('Detalles movimientos'!N$5:N$1000, MATCH(128, 'Detalles movimientos'!$T$5:$T$1000, 0)), "")</f>
        <v/>
      </c>
      <c r="M137" s="18" t="str">
        <f>IFERROR(INDEX('Detalles movimientos'!Q$5:Q$1000, MATCH(128, 'Detalles movimientos'!$T$5:$T$1000, 0)), "")</f>
        <v/>
      </c>
    </row>
    <row r="138" spans="2:13">
      <c r="B138" s="17" t="str">
        <f>IFERROR(INDEX('Detalles movimientos'!C$5:C$1000, MATCH(129, 'Detalles movimientos'!$T$5:$T$1000, 0)), "")</f>
        <v/>
      </c>
      <c r="C138" s="18" t="str">
        <f>IFERROR(INDEX('Detalles movimientos'!D$5:D$1000, MATCH(129, 'Detalles movimientos'!$T$5:$T$1000, 0)), "")</f>
        <v/>
      </c>
      <c r="D138" s="19" t="str">
        <f>IFERROR(INDEX('Detalles movimientos'!E$5:E$1000, MATCH(129, 'Detalles movimientos'!$T$5:$T$1000, 0)), "")</f>
        <v/>
      </c>
      <c r="E138" s="19" t="str">
        <f>IFERROR(INDEX('Detalles movimientos'!F$5:F$1000, MATCH(129, 'Detalles movimientos'!$T$5:$T$1000, 0)), "")</f>
        <v/>
      </c>
      <c r="F138" s="18" t="str">
        <f>IFERROR(INDEX('Detalles movimientos'!G$5:G$1000, MATCH(129, 'Detalles movimientos'!$T$5:$T$1000, 0)), "")</f>
        <v/>
      </c>
      <c r="G138" s="20" t="str">
        <f>IFERROR(INDEX('Detalles movimientos'!H$5:H$1000, MATCH(129, 'Detalles movimientos'!$T$5:$T$1000, 0)), "")</f>
        <v/>
      </c>
      <c r="H138" s="21" t="str">
        <f>IFERROR(INDEX('Detalles movimientos'!I$5:I$1000, MATCH(129, 'Detalles movimientos'!$T$5:$T$1000, 0)), "")</f>
        <v/>
      </c>
      <c r="I138" s="20" t="str">
        <f>IFERROR(INDEX('Detalles movimientos'!K$5:K$1000, MATCH(129, 'Detalles movimientos'!$T$5:$T$1000, 0)), "")</f>
        <v/>
      </c>
      <c r="J138" s="19" t="str">
        <f>IFERROR(INDEX('Detalles movimientos'!L$5:L$1000, MATCH(129, 'Detalles movimientos'!$T$5:$T$1000, 0)), "")</f>
        <v/>
      </c>
      <c r="K138" s="20" t="str">
        <f>IFERROR(INDEX('Detalles movimientos'!M$5:M$1000, MATCH(129, 'Detalles movimientos'!$T$5:$T$1000, 0)), "")</f>
        <v/>
      </c>
      <c r="L138" s="18" t="str">
        <f>IFERROR(INDEX('Detalles movimientos'!N$5:N$1000, MATCH(129, 'Detalles movimientos'!$T$5:$T$1000, 0)), "")</f>
        <v/>
      </c>
      <c r="M138" s="18" t="str">
        <f>IFERROR(INDEX('Detalles movimientos'!Q$5:Q$1000, MATCH(129, 'Detalles movimientos'!$T$5:$T$1000, 0)), "")</f>
        <v/>
      </c>
    </row>
    <row r="139" spans="2:13">
      <c r="B139" s="17" t="str">
        <f>IFERROR(INDEX('Detalles movimientos'!C$5:C$1000, MATCH(130, 'Detalles movimientos'!$T$5:$T$1000, 0)), "")</f>
        <v/>
      </c>
      <c r="C139" s="18" t="str">
        <f>IFERROR(INDEX('Detalles movimientos'!D$5:D$1000, MATCH(130, 'Detalles movimientos'!$T$5:$T$1000, 0)), "")</f>
        <v/>
      </c>
      <c r="D139" s="19" t="str">
        <f>IFERROR(INDEX('Detalles movimientos'!E$5:E$1000, MATCH(130, 'Detalles movimientos'!$T$5:$T$1000, 0)), "")</f>
        <v/>
      </c>
      <c r="E139" s="19" t="str">
        <f>IFERROR(INDEX('Detalles movimientos'!F$5:F$1000, MATCH(130, 'Detalles movimientos'!$T$5:$T$1000, 0)), "")</f>
        <v/>
      </c>
      <c r="F139" s="18" t="str">
        <f>IFERROR(INDEX('Detalles movimientos'!G$5:G$1000, MATCH(130, 'Detalles movimientos'!$T$5:$T$1000, 0)), "")</f>
        <v/>
      </c>
      <c r="G139" s="20" t="str">
        <f>IFERROR(INDEX('Detalles movimientos'!H$5:H$1000, MATCH(130, 'Detalles movimientos'!$T$5:$T$1000, 0)), "")</f>
        <v/>
      </c>
      <c r="H139" s="21" t="str">
        <f>IFERROR(INDEX('Detalles movimientos'!I$5:I$1000, MATCH(130, 'Detalles movimientos'!$T$5:$T$1000, 0)), "")</f>
        <v/>
      </c>
      <c r="I139" s="20" t="str">
        <f>IFERROR(INDEX('Detalles movimientos'!K$5:K$1000, MATCH(130, 'Detalles movimientos'!$T$5:$T$1000, 0)), "")</f>
        <v/>
      </c>
      <c r="J139" s="19" t="str">
        <f>IFERROR(INDEX('Detalles movimientos'!L$5:L$1000, MATCH(130, 'Detalles movimientos'!$T$5:$T$1000, 0)), "")</f>
        <v/>
      </c>
      <c r="K139" s="20" t="str">
        <f>IFERROR(INDEX('Detalles movimientos'!M$5:M$1000, MATCH(130, 'Detalles movimientos'!$T$5:$T$1000, 0)), "")</f>
        <v/>
      </c>
      <c r="L139" s="18" t="str">
        <f>IFERROR(INDEX('Detalles movimientos'!N$5:N$1000, MATCH(130, 'Detalles movimientos'!$T$5:$T$1000, 0)), "")</f>
        <v/>
      </c>
      <c r="M139" s="18" t="str">
        <f>IFERROR(INDEX('Detalles movimientos'!Q$5:Q$1000, MATCH(130, 'Detalles movimientos'!$T$5:$T$1000, 0)), "")</f>
        <v/>
      </c>
    </row>
    <row r="140" spans="2:13">
      <c r="B140" s="17" t="str">
        <f>IFERROR(INDEX('Detalles movimientos'!C$5:C$1000, MATCH(131, 'Detalles movimientos'!$T$5:$T$1000, 0)), "")</f>
        <v/>
      </c>
      <c r="C140" s="18" t="str">
        <f>IFERROR(INDEX('Detalles movimientos'!D$5:D$1000, MATCH(131, 'Detalles movimientos'!$T$5:$T$1000, 0)), "")</f>
        <v/>
      </c>
      <c r="D140" s="19" t="str">
        <f>IFERROR(INDEX('Detalles movimientos'!E$5:E$1000, MATCH(131, 'Detalles movimientos'!$T$5:$T$1000, 0)), "")</f>
        <v/>
      </c>
      <c r="E140" s="19" t="str">
        <f>IFERROR(INDEX('Detalles movimientos'!F$5:F$1000, MATCH(131, 'Detalles movimientos'!$T$5:$T$1000, 0)), "")</f>
        <v/>
      </c>
      <c r="F140" s="18" t="str">
        <f>IFERROR(INDEX('Detalles movimientos'!G$5:G$1000, MATCH(131, 'Detalles movimientos'!$T$5:$T$1000, 0)), "")</f>
        <v/>
      </c>
      <c r="G140" s="20" t="str">
        <f>IFERROR(INDEX('Detalles movimientos'!H$5:H$1000, MATCH(131, 'Detalles movimientos'!$T$5:$T$1000, 0)), "")</f>
        <v/>
      </c>
      <c r="H140" s="21" t="str">
        <f>IFERROR(INDEX('Detalles movimientos'!I$5:I$1000, MATCH(131, 'Detalles movimientos'!$T$5:$T$1000, 0)), "")</f>
        <v/>
      </c>
      <c r="I140" s="20" t="str">
        <f>IFERROR(INDEX('Detalles movimientos'!K$5:K$1000, MATCH(131, 'Detalles movimientos'!$T$5:$T$1000, 0)), "")</f>
        <v/>
      </c>
      <c r="J140" s="19" t="str">
        <f>IFERROR(INDEX('Detalles movimientos'!L$5:L$1000, MATCH(131, 'Detalles movimientos'!$T$5:$T$1000, 0)), "")</f>
        <v/>
      </c>
      <c r="K140" s="20" t="str">
        <f>IFERROR(INDEX('Detalles movimientos'!M$5:M$1000, MATCH(131, 'Detalles movimientos'!$T$5:$T$1000, 0)), "")</f>
        <v/>
      </c>
      <c r="L140" s="18" t="str">
        <f>IFERROR(INDEX('Detalles movimientos'!N$5:N$1000, MATCH(131, 'Detalles movimientos'!$T$5:$T$1000, 0)), "")</f>
        <v/>
      </c>
      <c r="M140" s="18" t="str">
        <f>IFERROR(INDEX('Detalles movimientos'!Q$5:Q$1000, MATCH(131, 'Detalles movimientos'!$T$5:$T$1000, 0)), "")</f>
        <v/>
      </c>
    </row>
    <row r="141" spans="2:13">
      <c r="B141" s="17" t="str">
        <f>IFERROR(INDEX('Detalles movimientos'!C$5:C$1000, MATCH(132, 'Detalles movimientos'!$T$5:$T$1000, 0)), "")</f>
        <v/>
      </c>
      <c r="C141" s="18" t="str">
        <f>IFERROR(INDEX('Detalles movimientos'!D$5:D$1000, MATCH(132, 'Detalles movimientos'!$T$5:$T$1000, 0)), "")</f>
        <v/>
      </c>
      <c r="D141" s="19" t="str">
        <f>IFERROR(INDEX('Detalles movimientos'!E$5:E$1000, MATCH(132, 'Detalles movimientos'!$T$5:$T$1000, 0)), "")</f>
        <v/>
      </c>
      <c r="E141" s="19" t="str">
        <f>IFERROR(INDEX('Detalles movimientos'!F$5:F$1000, MATCH(132, 'Detalles movimientos'!$T$5:$T$1000, 0)), "")</f>
        <v/>
      </c>
      <c r="F141" s="18" t="str">
        <f>IFERROR(INDEX('Detalles movimientos'!G$5:G$1000, MATCH(132, 'Detalles movimientos'!$T$5:$T$1000, 0)), "")</f>
        <v/>
      </c>
      <c r="G141" s="20" t="str">
        <f>IFERROR(INDEX('Detalles movimientos'!H$5:H$1000, MATCH(132, 'Detalles movimientos'!$T$5:$T$1000, 0)), "")</f>
        <v/>
      </c>
      <c r="H141" s="21" t="str">
        <f>IFERROR(INDEX('Detalles movimientos'!I$5:I$1000, MATCH(132, 'Detalles movimientos'!$T$5:$T$1000, 0)), "")</f>
        <v/>
      </c>
      <c r="I141" s="20" t="str">
        <f>IFERROR(INDEX('Detalles movimientos'!K$5:K$1000, MATCH(132, 'Detalles movimientos'!$T$5:$T$1000, 0)), "")</f>
        <v/>
      </c>
      <c r="J141" s="19" t="str">
        <f>IFERROR(INDEX('Detalles movimientos'!L$5:L$1000, MATCH(132, 'Detalles movimientos'!$T$5:$T$1000, 0)), "")</f>
        <v/>
      </c>
      <c r="K141" s="20" t="str">
        <f>IFERROR(INDEX('Detalles movimientos'!M$5:M$1000, MATCH(132, 'Detalles movimientos'!$T$5:$T$1000, 0)), "")</f>
        <v/>
      </c>
      <c r="L141" s="18" t="str">
        <f>IFERROR(INDEX('Detalles movimientos'!N$5:N$1000, MATCH(132, 'Detalles movimientos'!$T$5:$T$1000, 0)), "")</f>
        <v/>
      </c>
      <c r="M141" s="18" t="str">
        <f>IFERROR(INDEX('Detalles movimientos'!Q$5:Q$1000, MATCH(132, 'Detalles movimientos'!$T$5:$T$1000, 0)), "")</f>
        <v/>
      </c>
    </row>
    <row r="142" spans="2:13">
      <c r="B142" s="17" t="str">
        <f>IFERROR(INDEX('Detalles movimientos'!C$5:C$1000, MATCH(133, 'Detalles movimientos'!$T$5:$T$1000, 0)), "")</f>
        <v/>
      </c>
      <c r="C142" s="18" t="str">
        <f>IFERROR(INDEX('Detalles movimientos'!D$5:D$1000, MATCH(133, 'Detalles movimientos'!$T$5:$T$1000, 0)), "")</f>
        <v/>
      </c>
      <c r="D142" s="19" t="str">
        <f>IFERROR(INDEX('Detalles movimientos'!E$5:E$1000, MATCH(133, 'Detalles movimientos'!$T$5:$T$1000, 0)), "")</f>
        <v/>
      </c>
      <c r="E142" s="19" t="str">
        <f>IFERROR(INDEX('Detalles movimientos'!F$5:F$1000, MATCH(133, 'Detalles movimientos'!$T$5:$T$1000, 0)), "")</f>
        <v/>
      </c>
      <c r="F142" s="18" t="str">
        <f>IFERROR(INDEX('Detalles movimientos'!G$5:G$1000, MATCH(133, 'Detalles movimientos'!$T$5:$T$1000, 0)), "")</f>
        <v/>
      </c>
      <c r="G142" s="20" t="str">
        <f>IFERROR(INDEX('Detalles movimientos'!H$5:H$1000, MATCH(133, 'Detalles movimientos'!$T$5:$T$1000, 0)), "")</f>
        <v/>
      </c>
      <c r="H142" s="21" t="str">
        <f>IFERROR(INDEX('Detalles movimientos'!I$5:I$1000, MATCH(133, 'Detalles movimientos'!$T$5:$T$1000, 0)), "")</f>
        <v/>
      </c>
      <c r="I142" s="20" t="str">
        <f>IFERROR(INDEX('Detalles movimientos'!K$5:K$1000, MATCH(133, 'Detalles movimientos'!$T$5:$T$1000, 0)), "")</f>
        <v/>
      </c>
      <c r="J142" s="19" t="str">
        <f>IFERROR(INDEX('Detalles movimientos'!L$5:L$1000, MATCH(133, 'Detalles movimientos'!$T$5:$T$1000, 0)), "")</f>
        <v/>
      </c>
      <c r="K142" s="20" t="str">
        <f>IFERROR(INDEX('Detalles movimientos'!M$5:M$1000, MATCH(133, 'Detalles movimientos'!$T$5:$T$1000, 0)), "")</f>
        <v/>
      </c>
      <c r="L142" s="18" t="str">
        <f>IFERROR(INDEX('Detalles movimientos'!N$5:N$1000, MATCH(133, 'Detalles movimientos'!$T$5:$T$1000, 0)), "")</f>
        <v/>
      </c>
      <c r="M142" s="18" t="str">
        <f>IFERROR(INDEX('Detalles movimientos'!Q$5:Q$1000, MATCH(133, 'Detalles movimientos'!$T$5:$T$1000, 0)), "")</f>
        <v/>
      </c>
    </row>
    <row r="143" spans="2:13">
      <c r="B143" s="17" t="str">
        <f>IFERROR(INDEX('Detalles movimientos'!C$5:C$1000, MATCH(134, 'Detalles movimientos'!$T$5:$T$1000, 0)), "")</f>
        <v/>
      </c>
      <c r="C143" s="18" t="str">
        <f>IFERROR(INDEX('Detalles movimientos'!D$5:D$1000, MATCH(134, 'Detalles movimientos'!$T$5:$T$1000, 0)), "")</f>
        <v/>
      </c>
      <c r="D143" s="19" t="str">
        <f>IFERROR(INDEX('Detalles movimientos'!E$5:E$1000, MATCH(134, 'Detalles movimientos'!$T$5:$T$1000, 0)), "")</f>
        <v/>
      </c>
      <c r="E143" s="19" t="str">
        <f>IFERROR(INDEX('Detalles movimientos'!F$5:F$1000, MATCH(134, 'Detalles movimientos'!$T$5:$T$1000, 0)), "")</f>
        <v/>
      </c>
      <c r="F143" s="18" t="str">
        <f>IFERROR(INDEX('Detalles movimientos'!G$5:G$1000, MATCH(134, 'Detalles movimientos'!$T$5:$T$1000, 0)), "")</f>
        <v/>
      </c>
      <c r="G143" s="20" t="str">
        <f>IFERROR(INDEX('Detalles movimientos'!H$5:H$1000, MATCH(134, 'Detalles movimientos'!$T$5:$T$1000, 0)), "")</f>
        <v/>
      </c>
      <c r="H143" s="21" t="str">
        <f>IFERROR(INDEX('Detalles movimientos'!I$5:I$1000, MATCH(134, 'Detalles movimientos'!$T$5:$T$1000, 0)), "")</f>
        <v/>
      </c>
      <c r="I143" s="20" t="str">
        <f>IFERROR(INDEX('Detalles movimientos'!K$5:K$1000, MATCH(134, 'Detalles movimientos'!$T$5:$T$1000, 0)), "")</f>
        <v/>
      </c>
      <c r="J143" s="19" t="str">
        <f>IFERROR(INDEX('Detalles movimientos'!L$5:L$1000, MATCH(134, 'Detalles movimientos'!$T$5:$T$1000, 0)), "")</f>
        <v/>
      </c>
      <c r="K143" s="20" t="str">
        <f>IFERROR(INDEX('Detalles movimientos'!M$5:M$1000, MATCH(134, 'Detalles movimientos'!$T$5:$T$1000, 0)), "")</f>
        <v/>
      </c>
      <c r="L143" s="18" t="str">
        <f>IFERROR(INDEX('Detalles movimientos'!N$5:N$1000, MATCH(134, 'Detalles movimientos'!$T$5:$T$1000, 0)), "")</f>
        <v/>
      </c>
      <c r="M143" s="18" t="str">
        <f>IFERROR(INDEX('Detalles movimientos'!Q$5:Q$1000, MATCH(134, 'Detalles movimientos'!$T$5:$T$1000, 0)), "")</f>
        <v/>
      </c>
    </row>
    <row r="144" spans="2:13">
      <c r="B144" s="17" t="str">
        <f>IFERROR(INDEX('Detalles movimientos'!C$5:C$1000, MATCH(135, 'Detalles movimientos'!$T$5:$T$1000, 0)), "")</f>
        <v/>
      </c>
      <c r="C144" s="18" t="str">
        <f>IFERROR(INDEX('Detalles movimientos'!D$5:D$1000, MATCH(135, 'Detalles movimientos'!$T$5:$T$1000, 0)), "")</f>
        <v/>
      </c>
      <c r="D144" s="19" t="str">
        <f>IFERROR(INDEX('Detalles movimientos'!E$5:E$1000, MATCH(135, 'Detalles movimientos'!$T$5:$T$1000, 0)), "")</f>
        <v/>
      </c>
      <c r="E144" s="19" t="str">
        <f>IFERROR(INDEX('Detalles movimientos'!F$5:F$1000, MATCH(135, 'Detalles movimientos'!$T$5:$T$1000, 0)), "")</f>
        <v/>
      </c>
      <c r="F144" s="18" t="str">
        <f>IFERROR(INDEX('Detalles movimientos'!G$5:G$1000, MATCH(135, 'Detalles movimientos'!$T$5:$T$1000, 0)), "")</f>
        <v/>
      </c>
      <c r="G144" s="20" t="str">
        <f>IFERROR(INDEX('Detalles movimientos'!H$5:H$1000, MATCH(135, 'Detalles movimientos'!$T$5:$T$1000, 0)), "")</f>
        <v/>
      </c>
      <c r="H144" s="21" t="str">
        <f>IFERROR(INDEX('Detalles movimientos'!I$5:I$1000, MATCH(135, 'Detalles movimientos'!$T$5:$T$1000, 0)), "")</f>
        <v/>
      </c>
      <c r="I144" s="20" t="str">
        <f>IFERROR(INDEX('Detalles movimientos'!K$5:K$1000, MATCH(135, 'Detalles movimientos'!$T$5:$T$1000, 0)), "")</f>
        <v/>
      </c>
      <c r="J144" s="19" t="str">
        <f>IFERROR(INDEX('Detalles movimientos'!L$5:L$1000, MATCH(135, 'Detalles movimientos'!$T$5:$T$1000, 0)), "")</f>
        <v/>
      </c>
      <c r="K144" s="20" t="str">
        <f>IFERROR(INDEX('Detalles movimientos'!M$5:M$1000, MATCH(135, 'Detalles movimientos'!$T$5:$T$1000, 0)), "")</f>
        <v/>
      </c>
      <c r="L144" s="18" t="str">
        <f>IFERROR(INDEX('Detalles movimientos'!N$5:N$1000, MATCH(135, 'Detalles movimientos'!$T$5:$T$1000, 0)), "")</f>
        <v/>
      </c>
      <c r="M144" s="18" t="str">
        <f>IFERROR(INDEX('Detalles movimientos'!Q$5:Q$1000, MATCH(135, 'Detalles movimientos'!$T$5:$T$1000, 0)), "")</f>
        <v/>
      </c>
    </row>
    <row r="145" spans="2:13">
      <c r="B145" s="17" t="str">
        <f>IFERROR(INDEX('Detalles movimientos'!C$5:C$1000, MATCH(136, 'Detalles movimientos'!$T$5:$T$1000, 0)), "")</f>
        <v/>
      </c>
      <c r="C145" s="18" t="str">
        <f>IFERROR(INDEX('Detalles movimientos'!D$5:D$1000, MATCH(136, 'Detalles movimientos'!$T$5:$T$1000, 0)), "")</f>
        <v/>
      </c>
      <c r="D145" s="19" t="str">
        <f>IFERROR(INDEX('Detalles movimientos'!E$5:E$1000, MATCH(136, 'Detalles movimientos'!$T$5:$T$1000, 0)), "")</f>
        <v/>
      </c>
      <c r="E145" s="19" t="str">
        <f>IFERROR(INDEX('Detalles movimientos'!F$5:F$1000, MATCH(136, 'Detalles movimientos'!$T$5:$T$1000, 0)), "")</f>
        <v/>
      </c>
      <c r="F145" s="18" t="str">
        <f>IFERROR(INDEX('Detalles movimientos'!G$5:G$1000, MATCH(136, 'Detalles movimientos'!$T$5:$T$1000, 0)), "")</f>
        <v/>
      </c>
      <c r="G145" s="20" t="str">
        <f>IFERROR(INDEX('Detalles movimientos'!H$5:H$1000, MATCH(136, 'Detalles movimientos'!$T$5:$T$1000, 0)), "")</f>
        <v/>
      </c>
      <c r="H145" s="21" t="str">
        <f>IFERROR(INDEX('Detalles movimientos'!I$5:I$1000, MATCH(136, 'Detalles movimientos'!$T$5:$T$1000, 0)), "")</f>
        <v/>
      </c>
      <c r="I145" s="20" t="str">
        <f>IFERROR(INDEX('Detalles movimientos'!K$5:K$1000, MATCH(136, 'Detalles movimientos'!$T$5:$T$1000, 0)), "")</f>
        <v/>
      </c>
      <c r="J145" s="19" t="str">
        <f>IFERROR(INDEX('Detalles movimientos'!L$5:L$1000, MATCH(136, 'Detalles movimientos'!$T$5:$T$1000, 0)), "")</f>
        <v/>
      </c>
      <c r="K145" s="20" t="str">
        <f>IFERROR(INDEX('Detalles movimientos'!M$5:M$1000, MATCH(136, 'Detalles movimientos'!$T$5:$T$1000, 0)), "")</f>
        <v/>
      </c>
      <c r="L145" s="18" t="str">
        <f>IFERROR(INDEX('Detalles movimientos'!N$5:N$1000, MATCH(136, 'Detalles movimientos'!$T$5:$T$1000, 0)), "")</f>
        <v/>
      </c>
      <c r="M145" s="18" t="str">
        <f>IFERROR(INDEX('Detalles movimientos'!Q$5:Q$1000, MATCH(136, 'Detalles movimientos'!$T$5:$T$1000, 0)), "")</f>
        <v/>
      </c>
    </row>
    <row r="146" spans="2:13">
      <c r="B146" s="17" t="str">
        <f>IFERROR(INDEX('Detalles movimientos'!C$5:C$1000, MATCH(137, 'Detalles movimientos'!$T$5:$T$1000, 0)), "")</f>
        <v/>
      </c>
      <c r="C146" s="18" t="str">
        <f>IFERROR(INDEX('Detalles movimientos'!D$5:D$1000, MATCH(137, 'Detalles movimientos'!$T$5:$T$1000, 0)), "")</f>
        <v/>
      </c>
      <c r="D146" s="19" t="str">
        <f>IFERROR(INDEX('Detalles movimientos'!E$5:E$1000, MATCH(137, 'Detalles movimientos'!$T$5:$T$1000, 0)), "")</f>
        <v/>
      </c>
      <c r="E146" s="19" t="str">
        <f>IFERROR(INDEX('Detalles movimientos'!F$5:F$1000, MATCH(137, 'Detalles movimientos'!$T$5:$T$1000, 0)), "")</f>
        <v/>
      </c>
      <c r="F146" s="18" t="str">
        <f>IFERROR(INDEX('Detalles movimientos'!G$5:G$1000, MATCH(137, 'Detalles movimientos'!$T$5:$T$1000, 0)), "")</f>
        <v/>
      </c>
      <c r="G146" s="20" t="str">
        <f>IFERROR(INDEX('Detalles movimientos'!H$5:H$1000, MATCH(137, 'Detalles movimientos'!$T$5:$T$1000, 0)), "")</f>
        <v/>
      </c>
      <c r="H146" s="21" t="str">
        <f>IFERROR(INDEX('Detalles movimientos'!I$5:I$1000, MATCH(137, 'Detalles movimientos'!$T$5:$T$1000, 0)), "")</f>
        <v/>
      </c>
      <c r="I146" s="20" t="str">
        <f>IFERROR(INDEX('Detalles movimientos'!K$5:K$1000, MATCH(137, 'Detalles movimientos'!$T$5:$T$1000, 0)), "")</f>
        <v/>
      </c>
      <c r="J146" s="19" t="str">
        <f>IFERROR(INDEX('Detalles movimientos'!L$5:L$1000, MATCH(137, 'Detalles movimientos'!$T$5:$T$1000, 0)), "")</f>
        <v/>
      </c>
      <c r="K146" s="20" t="str">
        <f>IFERROR(INDEX('Detalles movimientos'!M$5:M$1000, MATCH(137, 'Detalles movimientos'!$T$5:$T$1000, 0)), "")</f>
        <v/>
      </c>
      <c r="L146" s="18" t="str">
        <f>IFERROR(INDEX('Detalles movimientos'!N$5:N$1000, MATCH(137, 'Detalles movimientos'!$T$5:$T$1000, 0)), "")</f>
        <v/>
      </c>
      <c r="M146" s="18" t="str">
        <f>IFERROR(INDEX('Detalles movimientos'!Q$5:Q$1000, MATCH(137, 'Detalles movimientos'!$T$5:$T$1000, 0)), "")</f>
        <v/>
      </c>
    </row>
    <row r="147" spans="2:13">
      <c r="B147" s="17" t="str">
        <f>IFERROR(INDEX('Detalles movimientos'!C$5:C$1000, MATCH(138, 'Detalles movimientos'!$T$5:$T$1000, 0)), "")</f>
        <v/>
      </c>
      <c r="C147" s="18" t="str">
        <f>IFERROR(INDEX('Detalles movimientos'!D$5:D$1000, MATCH(138, 'Detalles movimientos'!$T$5:$T$1000, 0)), "")</f>
        <v/>
      </c>
      <c r="D147" s="19" t="str">
        <f>IFERROR(INDEX('Detalles movimientos'!E$5:E$1000, MATCH(138, 'Detalles movimientos'!$T$5:$T$1000, 0)), "")</f>
        <v/>
      </c>
      <c r="E147" s="19" t="str">
        <f>IFERROR(INDEX('Detalles movimientos'!F$5:F$1000, MATCH(138, 'Detalles movimientos'!$T$5:$T$1000, 0)), "")</f>
        <v/>
      </c>
      <c r="F147" s="18" t="str">
        <f>IFERROR(INDEX('Detalles movimientos'!G$5:G$1000, MATCH(138, 'Detalles movimientos'!$T$5:$T$1000, 0)), "")</f>
        <v/>
      </c>
      <c r="G147" s="20" t="str">
        <f>IFERROR(INDEX('Detalles movimientos'!H$5:H$1000, MATCH(138, 'Detalles movimientos'!$T$5:$T$1000, 0)), "")</f>
        <v/>
      </c>
      <c r="H147" s="21" t="str">
        <f>IFERROR(INDEX('Detalles movimientos'!I$5:I$1000, MATCH(138, 'Detalles movimientos'!$T$5:$T$1000, 0)), "")</f>
        <v/>
      </c>
      <c r="I147" s="20" t="str">
        <f>IFERROR(INDEX('Detalles movimientos'!K$5:K$1000, MATCH(138, 'Detalles movimientos'!$T$5:$T$1000, 0)), "")</f>
        <v/>
      </c>
      <c r="J147" s="19" t="str">
        <f>IFERROR(INDEX('Detalles movimientos'!L$5:L$1000, MATCH(138, 'Detalles movimientos'!$T$5:$T$1000, 0)), "")</f>
        <v/>
      </c>
      <c r="K147" s="20" t="str">
        <f>IFERROR(INDEX('Detalles movimientos'!M$5:M$1000, MATCH(138, 'Detalles movimientos'!$T$5:$T$1000, 0)), "")</f>
        <v/>
      </c>
      <c r="L147" s="18" t="str">
        <f>IFERROR(INDEX('Detalles movimientos'!N$5:N$1000, MATCH(138, 'Detalles movimientos'!$T$5:$T$1000, 0)), "")</f>
        <v/>
      </c>
      <c r="M147" s="18" t="str">
        <f>IFERROR(INDEX('Detalles movimientos'!Q$5:Q$1000, MATCH(138, 'Detalles movimientos'!$T$5:$T$1000, 0)), "")</f>
        <v/>
      </c>
    </row>
    <row r="148" spans="2:13">
      <c r="B148" s="17" t="str">
        <f>IFERROR(INDEX('Detalles movimientos'!C$5:C$1000, MATCH(139, 'Detalles movimientos'!$T$5:$T$1000, 0)), "")</f>
        <v/>
      </c>
      <c r="C148" s="18" t="str">
        <f>IFERROR(INDEX('Detalles movimientos'!D$5:D$1000, MATCH(139, 'Detalles movimientos'!$T$5:$T$1000, 0)), "")</f>
        <v/>
      </c>
      <c r="D148" s="19" t="str">
        <f>IFERROR(INDEX('Detalles movimientos'!E$5:E$1000, MATCH(139, 'Detalles movimientos'!$T$5:$T$1000, 0)), "")</f>
        <v/>
      </c>
      <c r="E148" s="19" t="str">
        <f>IFERROR(INDEX('Detalles movimientos'!F$5:F$1000, MATCH(139, 'Detalles movimientos'!$T$5:$T$1000, 0)), "")</f>
        <v/>
      </c>
      <c r="F148" s="18" t="str">
        <f>IFERROR(INDEX('Detalles movimientos'!G$5:G$1000, MATCH(139, 'Detalles movimientos'!$T$5:$T$1000, 0)), "")</f>
        <v/>
      </c>
      <c r="G148" s="20" t="str">
        <f>IFERROR(INDEX('Detalles movimientos'!H$5:H$1000, MATCH(139, 'Detalles movimientos'!$T$5:$T$1000, 0)), "")</f>
        <v/>
      </c>
      <c r="H148" s="21" t="str">
        <f>IFERROR(INDEX('Detalles movimientos'!I$5:I$1000, MATCH(139, 'Detalles movimientos'!$T$5:$T$1000, 0)), "")</f>
        <v/>
      </c>
      <c r="I148" s="20" t="str">
        <f>IFERROR(INDEX('Detalles movimientos'!K$5:K$1000, MATCH(139, 'Detalles movimientos'!$T$5:$T$1000, 0)), "")</f>
        <v/>
      </c>
      <c r="J148" s="19" t="str">
        <f>IFERROR(INDEX('Detalles movimientos'!L$5:L$1000, MATCH(139, 'Detalles movimientos'!$T$5:$T$1000, 0)), "")</f>
        <v/>
      </c>
      <c r="K148" s="20" t="str">
        <f>IFERROR(INDEX('Detalles movimientos'!M$5:M$1000, MATCH(139, 'Detalles movimientos'!$T$5:$T$1000, 0)), "")</f>
        <v/>
      </c>
      <c r="L148" s="18" t="str">
        <f>IFERROR(INDEX('Detalles movimientos'!N$5:N$1000, MATCH(139, 'Detalles movimientos'!$T$5:$T$1000, 0)), "")</f>
        <v/>
      </c>
      <c r="M148" s="18" t="str">
        <f>IFERROR(INDEX('Detalles movimientos'!Q$5:Q$1000, MATCH(139, 'Detalles movimientos'!$T$5:$T$1000, 0)), "")</f>
        <v/>
      </c>
    </row>
    <row r="149" spans="2:13">
      <c r="B149" s="17" t="str">
        <f>IFERROR(INDEX('Detalles movimientos'!C$5:C$1000, MATCH(140, 'Detalles movimientos'!$T$5:$T$1000, 0)), "")</f>
        <v/>
      </c>
      <c r="C149" s="18" t="str">
        <f>IFERROR(INDEX('Detalles movimientos'!D$5:D$1000, MATCH(140, 'Detalles movimientos'!$T$5:$T$1000, 0)), "")</f>
        <v/>
      </c>
      <c r="D149" s="19" t="str">
        <f>IFERROR(INDEX('Detalles movimientos'!E$5:E$1000, MATCH(140, 'Detalles movimientos'!$T$5:$T$1000, 0)), "")</f>
        <v/>
      </c>
      <c r="E149" s="19" t="str">
        <f>IFERROR(INDEX('Detalles movimientos'!F$5:F$1000, MATCH(140, 'Detalles movimientos'!$T$5:$T$1000, 0)), "")</f>
        <v/>
      </c>
      <c r="F149" s="18" t="str">
        <f>IFERROR(INDEX('Detalles movimientos'!G$5:G$1000, MATCH(140, 'Detalles movimientos'!$T$5:$T$1000, 0)), "")</f>
        <v/>
      </c>
      <c r="G149" s="20" t="str">
        <f>IFERROR(INDEX('Detalles movimientos'!H$5:H$1000, MATCH(140, 'Detalles movimientos'!$T$5:$T$1000, 0)), "")</f>
        <v/>
      </c>
      <c r="H149" s="21" t="str">
        <f>IFERROR(INDEX('Detalles movimientos'!I$5:I$1000, MATCH(140, 'Detalles movimientos'!$T$5:$T$1000, 0)), "")</f>
        <v/>
      </c>
      <c r="I149" s="20" t="str">
        <f>IFERROR(INDEX('Detalles movimientos'!K$5:K$1000, MATCH(140, 'Detalles movimientos'!$T$5:$T$1000, 0)), "")</f>
        <v/>
      </c>
      <c r="J149" s="19" t="str">
        <f>IFERROR(INDEX('Detalles movimientos'!L$5:L$1000, MATCH(140, 'Detalles movimientos'!$T$5:$T$1000, 0)), "")</f>
        <v/>
      </c>
      <c r="K149" s="20" t="str">
        <f>IFERROR(INDEX('Detalles movimientos'!M$5:M$1000, MATCH(140, 'Detalles movimientos'!$T$5:$T$1000, 0)), "")</f>
        <v/>
      </c>
      <c r="L149" s="18" t="str">
        <f>IFERROR(INDEX('Detalles movimientos'!N$5:N$1000, MATCH(140, 'Detalles movimientos'!$T$5:$T$1000, 0)), "")</f>
        <v/>
      </c>
      <c r="M149" s="18" t="str">
        <f>IFERROR(INDEX('Detalles movimientos'!Q$5:Q$1000, MATCH(140, 'Detalles movimientos'!$T$5:$T$1000, 0)), "")</f>
        <v/>
      </c>
    </row>
    <row r="150" spans="2:13">
      <c r="B150" s="17" t="str">
        <f>IFERROR(INDEX('Detalles movimientos'!C$5:C$1000, MATCH(141, 'Detalles movimientos'!$T$5:$T$1000, 0)), "")</f>
        <v/>
      </c>
      <c r="C150" s="18" t="str">
        <f>IFERROR(INDEX('Detalles movimientos'!D$5:D$1000, MATCH(141, 'Detalles movimientos'!$T$5:$T$1000, 0)), "")</f>
        <v/>
      </c>
      <c r="D150" s="19" t="str">
        <f>IFERROR(INDEX('Detalles movimientos'!E$5:E$1000, MATCH(141, 'Detalles movimientos'!$T$5:$T$1000, 0)), "")</f>
        <v/>
      </c>
      <c r="E150" s="19" t="str">
        <f>IFERROR(INDEX('Detalles movimientos'!F$5:F$1000, MATCH(141, 'Detalles movimientos'!$T$5:$T$1000, 0)), "")</f>
        <v/>
      </c>
      <c r="F150" s="18" t="str">
        <f>IFERROR(INDEX('Detalles movimientos'!G$5:G$1000, MATCH(141, 'Detalles movimientos'!$T$5:$T$1000, 0)), "")</f>
        <v/>
      </c>
      <c r="G150" s="20" t="str">
        <f>IFERROR(INDEX('Detalles movimientos'!H$5:H$1000, MATCH(141, 'Detalles movimientos'!$T$5:$T$1000, 0)), "")</f>
        <v/>
      </c>
      <c r="H150" s="21" t="str">
        <f>IFERROR(INDEX('Detalles movimientos'!I$5:I$1000, MATCH(141, 'Detalles movimientos'!$T$5:$T$1000, 0)), "")</f>
        <v/>
      </c>
      <c r="I150" s="20" t="str">
        <f>IFERROR(INDEX('Detalles movimientos'!K$5:K$1000, MATCH(141, 'Detalles movimientos'!$T$5:$T$1000, 0)), "")</f>
        <v/>
      </c>
      <c r="J150" s="19" t="str">
        <f>IFERROR(INDEX('Detalles movimientos'!L$5:L$1000, MATCH(141, 'Detalles movimientos'!$T$5:$T$1000, 0)), "")</f>
        <v/>
      </c>
      <c r="K150" s="20" t="str">
        <f>IFERROR(INDEX('Detalles movimientos'!M$5:M$1000, MATCH(141, 'Detalles movimientos'!$T$5:$T$1000, 0)), "")</f>
        <v/>
      </c>
      <c r="L150" s="18" t="str">
        <f>IFERROR(INDEX('Detalles movimientos'!N$5:N$1000, MATCH(141, 'Detalles movimientos'!$T$5:$T$1000, 0)), "")</f>
        <v/>
      </c>
      <c r="M150" s="18" t="str">
        <f>IFERROR(INDEX('Detalles movimientos'!Q$5:Q$1000, MATCH(141, 'Detalles movimientos'!$T$5:$T$1000, 0)), "")</f>
        <v/>
      </c>
    </row>
    <row r="151" spans="2:13">
      <c r="B151" s="17" t="str">
        <f>IFERROR(INDEX('Detalles movimientos'!C$5:C$1000, MATCH(142, 'Detalles movimientos'!$T$5:$T$1000, 0)), "")</f>
        <v/>
      </c>
      <c r="C151" s="18" t="str">
        <f>IFERROR(INDEX('Detalles movimientos'!D$5:D$1000, MATCH(142, 'Detalles movimientos'!$T$5:$T$1000, 0)), "")</f>
        <v/>
      </c>
      <c r="D151" s="19" t="str">
        <f>IFERROR(INDEX('Detalles movimientos'!E$5:E$1000, MATCH(142, 'Detalles movimientos'!$T$5:$T$1000, 0)), "")</f>
        <v/>
      </c>
      <c r="E151" s="19" t="str">
        <f>IFERROR(INDEX('Detalles movimientos'!F$5:F$1000, MATCH(142, 'Detalles movimientos'!$T$5:$T$1000, 0)), "")</f>
        <v/>
      </c>
      <c r="F151" s="18" t="str">
        <f>IFERROR(INDEX('Detalles movimientos'!G$5:G$1000, MATCH(142, 'Detalles movimientos'!$T$5:$T$1000, 0)), "")</f>
        <v/>
      </c>
      <c r="G151" s="20" t="str">
        <f>IFERROR(INDEX('Detalles movimientos'!H$5:H$1000, MATCH(142, 'Detalles movimientos'!$T$5:$T$1000, 0)), "")</f>
        <v/>
      </c>
      <c r="H151" s="21" t="str">
        <f>IFERROR(INDEX('Detalles movimientos'!I$5:I$1000, MATCH(142, 'Detalles movimientos'!$T$5:$T$1000, 0)), "")</f>
        <v/>
      </c>
      <c r="I151" s="20" t="str">
        <f>IFERROR(INDEX('Detalles movimientos'!K$5:K$1000, MATCH(142, 'Detalles movimientos'!$T$5:$T$1000, 0)), "")</f>
        <v/>
      </c>
      <c r="J151" s="19" t="str">
        <f>IFERROR(INDEX('Detalles movimientos'!L$5:L$1000, MATCH(142, 'Detalles movimientos'!$T$5:$T$1000, 0)), "")</f>
        <v/>
      </c>
      <c r="K151" s="20" t="str">
        <f>IFERROR(INDEX('Detalles movimientos'!M$5:M$1000, MATCH(142, 'Detalles movimientos'!$T$5:$T$1000, 0)), "")</f>
        <v/>
      </c>
      <c r="L151" s="18" t="str">
        <f>IFERROR(INDEX('Detalles movimientos'!N$5:N$1000, MATCH(142, 'Detalles movimientos'!$T$5:$T$1000, 0)), "")</f>
        <v/>
      </c>
      <c r="M151" s="18" t="str">
        <f>IFERROR(INDEX('Detalles movimientos'!Q$5:Q$1000, MATCH(142, 'Detalles movimientos'!$T$5:$T$1000, 0)), "")</f>
        <v/>
      </c>
    </row>
    <row r="152" spans="2:13">
      <c r="B152" s="17" t="str">
        <f>IFERROR(INDEX('Detalles movimientos'!C$5:C$1000, MATCH(143, 'Detalles movimientos'!$T$5:$T$1000, 0)), "")</f>
        <v/>
      </c>
      <c r="C152" s="18" t="str">
        <f>IFERROR(INDEX('Detalles movimientos'!D$5:D$1000, MATCH(143, 'Detalles movimientos'!$T$5:$T$1000, 0)), "")</f>
        <v/>
      </c>
      <c r="D152" s="19" t="str">
        <f>IFERROR(INDEX('Detalles movimientos'!E$5:E$1000, MATCH(143, 'Detalles movimientos'!$T$5:$T$1000, 0)), "")</f>
        <v/>
      </c>
      <c r="E152" s="19" t="str">
        <f>IFERROR(INDEX('Detalles movimientos'!F$5:F$1000, MATCH(143, 'Detalles movimientos'!$T$5:$T$1000, 0)), "")</f>
        <v/>
      </c>
      <c r="F152" s="18" t="str">
        <f>IFERROR(INDEX('Detalles movimientos'!G$5:G$1000, MATCH(143, 'Detalles movimientos'!$T$5:$T$1000, 0)), "")</f>
        <v/>
      </c>
      <c r="G152" s="20" t="str">
        <f>IFERROR(INDEX('Detalles movimientos'!H$5:H$1000, MATCH(143, 'Detalles movimientos'!$T$5:$T$1000, 0)), "")</f>
        <v/>
      </c>
      <c r="H152" s="21" t="str">
        <f>IFERROR(INDEX('Detalles movimientos'!I$5:I$1000, MATCH(143, 'Detalles movimientos'!$T$5:$T$1000, 0)), "")</f>
        <v/>
      </c>
      <c r="I152" s="20" t="str">
        <f>IFERROR(INDEX('Detalles movimientos'!K$5:K$1000, MATCH(143, 'Detalles movimientos'!$T$5:$T$1000, 0)), "")</f>
        <v/>
      </c>
      <c r="J152" s="19" t="str">
        <f>IFERROR(INDEX('Detalles movimientos'!L$5:L$1000, MATCH(143, 'Detalles movimientos'!$T$5:$T$1000, 0)), "")</f>
        <v/>
      </c>
      <c r="K152" s="20" t="str">
        <f>IFERROR(INDEX('Detalles movimientos'!M$5:M$1000, MATCH(143, 'Detalles movimientos'!$T$5:$T$1000, 0)), "")</f>
        <v/>
      </c>
      <c r="L152" s="18" t="str">
        <f>IFERROR(INDEX('Detalles movimientos'!N$5:N$1000, MATCH(143, 'Detalles movimientos'!$T$5:$T$1000, 0)), "")</f>
        <v/>
      </c>
      <c r="M152" s="18" t="str">
        <f>IFERROR(INDEX('Detalles movimientos'!Q$5:Q$1000, MATCH(143, 'Detalles movimientos'!$T$5:$T$1000, 0)), "")</f>
        <v/>
      </c>
    </row>
    <row r="153" spans="2:13">
      <c r="B153" s="17" t="str">
        <f>IFERROR(INDEX('Detalles movimientos'!C$5:C$1000, MATCH(144, 'Detalles movimientos'!$T$5:$T$1000, 0)), "")</f>
        <v/>
      </c>
      <c r="C153" s="18" t="str">
        <f>IFERROR(INDEX('Detalles movimientos'!D$5:D$1000, MATCH(144, 'Detalles movimientos'!$T$5:$T$1000, 0)), "")</f>
        <v/>
      </c>
      <c r="D153" s="19" t="str">
        <f>IFERROR(INDEX('Detalles movimientos'!E$5:E$1000, MATCH(144, 'Detalles movimientos'!$T$5:$T$1000, 0)), "")</f>
        <v/>
      </c>
      <c r="E153" s="19" t="str">
        <f>IFERROR(INDEX('Detalles movimientos'!F$5:F$1000, MATCH(144, 'Detalles movimientos'!$T$5:$T$1000, 0)), "")</f>
        <v/>
      </c>
      <c r="F153" s="18" t="str">
        <f>IFERROR(INDEX('Detalles movimientos'!G$5:G$1000, MATCH(144, 'Detalles movimientos'!$T$5:$T$1000, 0)), "")</f>
        <v/>
      </c>
      <c r="G153" s="20" t="str">
        <f>IFERROR(INDEX('Detalles movimientos'!H$5:H$1000, MATCH(144, 'Detalles movimientos'!$T$5:$T$1000, 0)), "")</f>
        <v/>
      </c>
      <c r="H153" s="21" t="str">
        <f>IFERROR(INDEX('Detalles movimientos'!I$5:I$1000, MATCH(144, 'Detalles movimientos'!$T$5:$T$1000, 0)), "")</f>
        <v/>
      </c>
      <c r="I153" s="20" t="str">
        <f>IFERROR(INDEX('Detalles movimientos'!K$5:K$1000, MATCH(144, 'Detalles movimientos'!$T$5:$T$1000, 0)), "")</f>
        <v/>
      </c>
      <c r="J153" s="19" t="str">
        <f>IFERROR(INDEX('Detalles movimientos'!L$5:L$1000, MATCH(144, 'Detalles movimientos'!$T$5:$T$1000, 0)), "")</f>
        <v/>
      </c>
      <c r="K153" s="20" t="str">
        <f>IFERROR(INDEX('Detalles movimientos'!M$5:M$1000, MATCH(144, 'Detalles movimientos'!$T$5:$T$1000, 0)), "")</f>
        <v/>
      </c>
      <c r="L153" s="18" t="str">
        <f>IFERROR(INDEX('Detalles movimientos'!N$5:N$1000, MATCH(144, 'Detalles movimientos'!$T$5:$T$1000, 0)), "")</f>
        <v/>
      </c>
      <c r="M153" s="18" t="str">
        <f>IFERROR(INDEX('Detalles movimientos'!Q$5:Q$1000, MATCH(144, 'Detalles movimientos'!$T$5:$T$1000, 0)), "")</f>
        <v/>
      </c>
    </row>
    <row r="154" spans="2:13">
      <c r="B154" s="17" t="str">
        <f>IFERROR(INDEX('Detalles movimientos'!C$5:C$1000, MATCH(145, 'Detalles movimientos'!$T$5:$T$1000, 0)), "")</f>
        <v/>
      </c>
      <c r="C154" s="18" t="str">
        <f>IFERROR(INDEX('Detalles movimientos'!D$5:D$1000, MATCH(145, 'Detalles movimientos'!$T$5:$T$1000, 0)), "")</f>
        <v/>
      </c>
      <c r="D154" s="19" t="str">
        <f>IFERROR(INDEX('Detalles movimientos'!E$5:E$1000, MATCH(145, 'Detalles movimientos'!$T$5:$T$1000, 0)), "")</f>
        <v/>
      </c>
      <c r="E154" s="19" t="str">
        <f>IFERROR(INDEX('Detalles movimientos'!F$5:F$1000, MATCH(145, 'Detalles movimientos'!$T$5:$T$1000, 0)), "")</f>
        <v/>
      </c>
      <c r="F154" s="18" t="str">
        <f>IFERROR(INDEX('Detalles movimientos'!G$5:G$1000, MATCH(145, 'Detalles movimientos'!$T$5:$T$1000, 0)), "")</f>
        <v/>
      </c>
      <c r="G154" s="20" t="str">
        <f>IFERROR(INDEX('Detalles movimientos'!H$5:H$1000, MATCH(145, 'Detalles movimientos'!$T$5:$T$1000, 0)), "")</f>
        <v/>
      </c>
      <c r="H154" s="21" t="str">
        <f>IFERROR(INDEX('Detalles movimientos'!I$5:I$1000, MATCH(145, 'Detalles movimientos'!$T$5:$T$1000, 0)), "")</f>
        <v/>
      </c>
      <c r="I154" s="20" t="str">
        <f>IFERROR(INDEX('Detalles movimientos'!K$5:K$1000, MATCH(145, 'Detalles movimientos'!$T$5:$T$1000, 0)), "")</f>
        <v/>
      </c>
      <c r="J154" s="19" t="str">
        <f>IFERROR(INDEX('Detalles movimientos'!L$5:L$1000, MATCH(145, 'Detalles movimientos'!$T$5:$T$1000, 0)), "")</f>
        <v/>
      </c>
      <c r="K154" s="20" t="str">
        <f>IFERROR(INDEX('Detalles movimientos'!M$5:M$1000, MATCH(145, 'Detalles movimientos'!$T$5:$T$1000, 0)), "")</f>
        <v/>
      </c>
      <c r="L154" s="18" t="str">
        <f>IFERROR(INDEX('Detalles movimientos'!N$5:N$1000, MATCH(145, 'Detalles movimientos'!$T$5:$T$1000, 0)), "")</f>
        <v/>
      </c>
      <c r="M154" s="18" t="str">
        <f>IFERROR(INDEX('Detalles movimientos'!Q$5:Q$1000, MATCH(145, 'Detalles movimientos'!$T$5:$T$1000, 0)), "")</f>
        <v/>
      </c>
    </row>
    <row r="155" spans="2:13">
      <c r="B155" s="17" t="str">
        <f>IFERROR(INDEX('Detalles movimientos'!C$5:C$1000, MATCH(146, 'Detalles movimientos'!$T$5:$T$1000, 0)), "")</f>
        <v/>
      </c>
      <c r="C155" s="18" t="str">
        <f>IFERROR(INDEX('Detalles movimientos'!D$5:D$1000, MATCH(146, 'Detalles movimientos'!$T$5:$T$1000, 0)), "")</f>
        <v/>
      </c>
      <c r="D155" s="19" t="str">
        <f>IFERROR(INDEX('Detalles movimientos'!E$5:E$1000, MATCH(146, 'Detalles movimientos'!$T$5:$T$1000, 0)), "")</f>
        <v/>
      </c>
      <c r="E155" s="19" t="str">
        <f>IFERROR(INDEX('Detalles movimientos'!F$5:F$1000, MATCH(146, 'Detalles movimientos'!$T$5:$T$1000, 0)), "")</f>
        <v/>
      </c>
      <c r="F155" s="18" t="str">
        <f>IFERROR(INDEX('Detalles movimientos'!G$5:G$1000, MATCH(146, 'Detalles movimientos'!$T$5:$T$1000, 0)), "")</f>
        <v/>
      </c>
      <c r="G155" s="20" t="str">
        <f>IFERROR(INDEX('Detalles movimientos'!H$5:H$1000, MATCH(146, 'Detalles movimientos'!$T$5:$T$1000, 0)), "")</f>
        <v/>
      </c>
      <c r="H155" s="21" t="str">
        <f>IFERROR(INDEX('Detalles movimientos'!I$5:I$1000, MATCH(146, 'Detalles movimientos'!$T$5:$T$1000, 0)), "")</f>
        <v/>
      </c>
      <c r="I155" s="20" t="str">
        <f>IFERROR(INDEX('Detalles movimientos'!K$5:K$1000, MATCH(146, 'Detalles movimientos'!$T$5:$T$1000, 0)), "")</f>
        <v/>
      </c>
      <c r="J155" s="19" t="str">
        <f>IFERROR(INDEX('Detalles movimientos'!L$5:L$1000, MATCH(146, 'Detalles movimientos'!$T$5:$T$1000, 0)), "")</f>
        <v/>
      </c>
      <c r="K155" s="20" t="str">
        <f>IFERROR(INDEX('Detalles movimientos'!M$5:M$1000, MATCH(146, 'Detalles movimientos'!$T$5:$T$1000, 0)), "")</f>
        <v/>
      </c>
      <c r="L155" s="18" t="str">
        <f>IFERROR(INDEX('Detalles movimientos'!N$5:N$1000, MATCH(146, 'Detalles movimientos'!$T$5:$T$1000, 0)), "")</f>
        <v/>
      </c>
      <c r="M155" s="18" t="str">
        <f>IFERROR(INDEX('Detalles movimientos'!Q$5:Q$1000, MATCH(146, 'Detalles movimientos'!$T$5:$T$1000, 0)), "")</f>
        <v/>
      </c>
    </row>
    <row r="156" spans="2:13">
      <c r="B156" s="17" t="str">
        <f>IFERROR(INDEX('Detalles movimientos'!C$5:C$1000, MATCH(147, 'Detalles movimientos'!$T$5:$T$1000, 0)), "")</f>
        <v/>
      </c>
      <c r="C156" s="18" t="str">
        <f>IFERROR(INDEX('Detalles movimientos'!D$5:D$1000, MATCH(147, 'Detalles movimientos'!$T$5:$T$1000, 0)), "")</f>
        <v/>
      </c>
      <c r="D156" s="19" t="str">
        <f>IFERROR(INDEX('Detalles movimientos'!E$5:E$1000, MATCH(147, 'Detalles movimientos'!$T$5:$T$1000, 0)), "")</f>
        <v/>
      </c>
      <c r="E156" s="19" t="str">
        <f>IFERROR(INDEX('Detalles movimientos'!F$5:F$1000, MATCH(147, 'Detalles movimientos'!$T$5:$T$1000, 0)), "")</f>
        <v/>
      </c>
      <c r="F156" s="18" t="str">
        <f>IFERROR(INDEX('Detalles movimientos'!G$5:G$1000, MATCH(147, 'Detalles movimientos'!$T$5:$T$1000, 0)), "")</f>
        <v/>
      </c>
      <c r="G156" s="20" t="str">
        <f>IFERROR(INDEX('Detalles movimientos'!H$5:H$1000, MATCH(147, 'Detalles movimientos'!$T$5:$T$1000, 0)), "")</f>
        <v/>
      </c>
      <c r="H156" s="21" t="str">
        <f>IFERROR(INDEX('Detalles movimientos'!I$5:I$1000, MATCH(147, 'Detalles movimientos'!$T$5:$T$1000, 0)), "")</f>
        <v/>
      </c>
      <c r="I156" s="20" t="str">
        <f>IFERROR(INDEX('Detalles movimientos'!K$5:K$1000, MATCH(147, 'Detalles movimientos'!$T$5:$T$1000, 0)), "")</f>
        <v/>
      </c>
      <c r="J156" s="19" t="str">
        <f>IFERROR(INDEX('Detalles movimientos'!L$5:L$1000, MATCH(147, 'Detalles movimientos'!$T$5:$T$1000, 0)), "")</f>
        <v/>
      </c>
      <c r="K156" s="20" t="str">
        <f>IFERROR(INDEX('Detalles movimientos'!M$5:M$1000, MATCH(147, 'Detalles movimientos'!$T$5:$T$1000, 0)), "")</f>
        <v/>
      </c>
      <c r="L156" s="18" t="str">
        <f>IFERROR(INDEX('Detalles movimientos'!N$5:N$1000, MATCH(147, 'Detalles movimientos'!$T$5:$T$1000, 0)), "")</f>
        <v/>
      </c>
      <c r="M156" s="18" t="str">
        <f>IFERROR(INDEX('Detalles movimientos'!Q$5:Q$1000, MATCH(147, 'Detalles movimientos'!$T$5:$T$1000, 0)), "")</f>
        <v/>
      </c>
    </row>
    <row r="157" spans="2:13">
      <c r="B157" s="17" t="str">
        <f>IFERROR(INDEX('Detalles movimientos'!C$5:C$1000, MATCH(148, 'Detalles movimientos'!$T$5:$T$1000, 0)), "")</f>
        <v/>
      </c>
      <c r="C157" s="18" t="str">
        <f>IFERROR(INDEX('Detalles movimientos'!D$5:D$1000, MATCH(148, 'Detalles movimientos'!$T$5:$T$1000, 0)), "")</f>
        <v/>
      </c>
      <c r="D157" s="19" t="str">
        <f>IFERROR(INDEX('Detalles movimientos'!E$5:E$1000, MATCH(148, 'Detalles movimientos'!$T$5:$T$1000, 0)), "")</f>
        <v/>
      </c>
      <c r="E157" s="19" t="str">
        <f>IFERROR(INDEX('Detalles movimientos'!F$5:F$1000, MATCH(148, 'Detalles movimientos'!$T$5:$T$1000, 0)), "")</f>
        <v/>
      </c>
      <c r="F157" s="18" t="str">
        <f>IFERROR(INDEX('Detalles movimientos'!G$5:G$1000, MATCH(148, 'Detalles movimientos'!$T$5:$T$1000, 0)), "")</f>
        <v/>
      </c>
      <c r="G157" s="20" t="str">
        <f>IFERROR(INDEX('Detalles movimientos'!H$5:H$1000, MATCH(148, 'Detalles movimientos'!$T$5:$T$1000, 0)), "")</f>
        <v/>
      </c>
      <c r="H157" s="21" t="str">
        <f>IFERROR(INDEX('Detalles movimientos'!I$5:I$1000, MATCH(148, 'Detalles movimientos'!$T$5:$T$1000, 0)), "")</f>
        <v/>
      </c>
      <c r="I157" s="20" t="str">
        <f>IFERROR(INDEX('Detalles movimientos'!K$5:K$1000, MATCH(148, 'Detalles movimientos'!$T$5:$T$1000, 0)), "")</f>
        <v/>
      </c>
      <c r="J157" s="19" t="str">
        <f>IFERROR(INDEX('Detalles movimientos'!L$5:L$1000, MATCH(148, 'Detalles movimientos'!$T$5:$T$1000, 0)), "")</f>
        <v/>
      </c>
      <c r="K157" s="20" t="str">
        <f>IFERROR(INDEX('Detalles movimientos'!M$5:M$1000, MATCH(148, 'Detalles movimientos'!$T$5:$T$1000, 0)), "")</f>
        <v/>
      </c>
      <c r="L157" s="18" t="str">
        <f>IFERROR(INDEX('Detalles movimientos'!N$5:N$1000, MATCH(148, 'Detalles movimientos'!$T$5:$T$1000, 0)), "")</f>
        <v/>
      </c>
      <c r="M157" s="18" t="str">
        <f>IFERROR(INDEX('Detalles movimientos'!Q$5:Q$1000, MATCH(148, 'Detalles movimientos'!$T$5:$T$1000, 0)), "")</f>
        <v/>
      </c>
    </row>
    <row r="158" spans="2:13">
      <c r="B158" s="17" t="str">
        <f>IFERROR(INDEX('Detalles movimientos'!C$5:C$1000, MATCH(149, 'Detalles movimientos'!$T$5:$T$1000, 0)), "")</f>
        <v/>
      </c>
      <c r="C158" s="18" t="str">
        <f>IFERROR(INDEX('Detalles movimientos'!D$5:D$1000, MATCH(149, 'Detalles movimientos'!$T$5:$T$1000, 0)), "")</f>
        <v/>
      </c>
      <c r="D158" s="19" t="str">
        <f>IFERROR(INDEX('Detalles movimientos'!E$5:E$1000, MATCH(149, 'Detalles movimientos'!$T$5:$T$1000, 0)), "")</f>
        <v/>
      </c>
      <c r="E158" s="19" t="str">
        <f>IFERROR(INDEX('Detalles movimientos'!F$5:F$1000, MATCH(149, 'Detalles movimientos'!$T$5:$T$1000, 0)), "")</f>
        <v/>
      </c>
      <c r="F158" s="18" t="str">
        <f>IFERROR(INDEX('Detalles movimientos'!G$5:G$1000, MATCH(149, 'Detalles movimientos'!$T$5:$T$1000, 0)), "")</f>
        <v/>
      </c>
      <c r="G158" s="20" t="str">
        <f>IFERROR(INDEX('Detalles movimientos'!H$5:H$1000, MATCH(149, 'Detalles movimientos'!$T$5:$T$1000, 0)), "")</f>
        <v/>
      </c>
      <c r="H158" s="21" t="str">
        <f>IFERROR(INDEX('Detalles movimientos'!I$5:I$1000, MATCH(149, 'Detalles movimientos'!$T$5:$T$1000, 0)), "")</f>
        <v/>
      </c>
      <c r="I158" s="20" t="str">
        <f>IFERROR(INDEX('Detalles movimientos'!K$5:K$1000, MATCH(149, 'Detalles movimientos'!$T$5:$T$1000, 0)), "")</f>
        <v/>
      </c>
      <c r="J158" s="19" t="str">
        <f>IFERROR(INDEX('Detalles movimientos'!L$5:L$1000, MATCH(149, 'Detalles movimientos'!$T$5:$T$1000, 0)), "")</f>
        <v/>
      </c>
      <c r="K158" s="20" t="str">
        <f>IFERROR(INDEX('Detalles movimientos'!M$5:M$1000, MATCH(149, 'Detalles movimientos'!$T$5:$T$1000, 0)), "")</f>
        <v/>
      </c>
      <c r="L158" s="18" t="str">
        <f>IFERROR(INDEX('Detalles movimientos'!N$5:N$1000, MATCH(149, 'Detalles movimientos'!$T$5:$T$1000, 0)), "")</f>
        <v/>
      </c>
      <c r="M158" s="18" t="str">
        <f>IFERROR(INDEX('Detalles movimientos'!Q$5:Q$1000, MATCH(149, 'Detalles movimientos'!$T$5:$T$1000,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2026-08-20T17:13:29Z</dcterms:modified>
</cp:coreProperties>
</file>