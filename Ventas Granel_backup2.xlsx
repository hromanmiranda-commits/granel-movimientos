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ctor/Desktop/Granel Movimientos/"/>
    </mc:Choice>
  </mc:AlternateContent>
  <xr:revisionPtr revIDLastSave="0" documentId="13_ncr:1_{B03A61D0-F87B-354E-82B7-F2D28CDA705C}" xr6:coauthVersionLast="47" xr6:coauthVersionMax="47" xr10:uidLastSave="{00000000-0000-0000-0000-000000000000}"/>
  <bookViews>
    <workbookView xWindow="0" yWindow="580" windowWidth="28800" windowHeight="16260" xr2:uid="{00000000-000D-0000-FFFF-FFFF00000000}"/>
  </bookViews>
  <sheets>
    <sheet name="Detalles movimientos" sheetId="1" r:id="rId1"/>
    <sheet name="CJ" sheetId="2" r:id="rId2"/>
    <sheet name="Ignacio" sheetId="3" r:id="rId3"/>
    <sheet name="Tripulacion" sheetId="4" r:id="rId4"/>
    <sheet name="ENAP carg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E6" i="5"/>
  <c r="K6" i="5" s="1"/>
  <c r="B6" i="5"/>
  <c r="H6" i="4"/>
  <c r="B6" i="4"/>
  <c r="H6" i="3"/>
  <c r="E6" i="3"/>
  <c r="B6" i="3"/>
  <c r="J9" i="2"/>
  <c r="D9" i="2"/>
  <c r="B6" i="2"/>
  <c r="T1000" i="1"/>
  <c r="S1000" i="1"/>
  <c r="R1000" i="1"/>
  <c r="Q1000" i="1"/>
  <c r="L1000" i="1"/>
  <c r="T999" i="1"/>
  <c r="S999" i="1"/>
  <c r="R999" i="1"/>
  <c r="Q999" i="1"/>
  <c r="L999" i="1"/>
  <c r="T998" i="1"/>
  <c r="S998" i="1"/>
  <c r="R998" i="1"/>
  <c r="Q998" i="1"/>
  <c r="L998" i="1"/>
  <c r="T997" i="1"/>
  <c r="S997" i="1"/>
  <c r="R997" i="1"/>
  <c r="Q997" i="1"/>
  <c r="L997" i="1"/>
  <c r="T996" i="1"/>
  <c r="S996" i="1"/>
  <c r="R996" i="1"/>
  <c r="Q996" i="1"/>
  <c r="L996" i="1"/>
  <c r="T995" i="1"/>
  <c r="S995" i="1"/>
  <c r="R995" i="1"/>
  <c r="Q995" i="1"/>
  <c r="L995" i="1"/>
  <c r="T994" i="1"/>
  <c r="S994" i="1"/>
  <c r="R994" i="1"/>
  <c r="Q994" i="1"/>
  <c r="L994" i="1"/>
  <c r="T993" i="1"/>
  <c r="S993" i="1"/>
  <c r="R993" i="1"/>
  <c r="Q993" i="1"/>
  <c r="L993" i="1"/>
  <c r="T992" i="1"/>
  <c r="S992" i="1"/>
  <c r="R992" i="1"/>
  <c r="Q992" i="1"/>
  <c r="L992" i="1"/>
  <c r="T991" i="1"/>
  <c r="S991" i="1"/>
  <c r="R991" i="1"/>
  <c r="Q991" i="1"/>
  <c r="L991" i="1"/>
  <c r="T990" i="1"/>
  <c r="S990" i="1"/>
  <c r="R990" i="1"/>
  <c r="Q990" i="1"/>
  <c r="L990" i="1"/>
  <c r="T989" i="1"/>
  <c r="S989" i="1"/>
  <c r="R989" i="1"/>
  <c r="Q989" i="1"/>
  <c r="L989" i="1"/>
  <c r="T988" i="1"/>
  <c r="S988" i="1"/>
  <c r="R988" i="1"/>
  <c r="Q988" i="1"/>
  <c r="L988" i="1"/>
  <c r="T987" i="1"/>
  <c r="S987" i="1"/>
  <c r="R987" i="1"/>
  <c r="Q987" i="1"/>
  <c r="L987" i="1"/>
  <c r="T986" i="1"/>
  <c r="S986" i="1"/>
  <c r="R986" i="1"/>
  <c r="Q986" i="1"/>
  <c r="L986" i="1"/>
  <c r="T985" i="1"/>
  <c r="S985" i="1"/>
  <c r="R985" i="1"/>
  <c r="Q985" i="1"/>
  <c r="L985" i="1"/>
  <c r="T984" i="1"/>
  <c r="S984" i="1"/>
  <c r="R984" i="1"/>
  <c r="Q984" i="1"/>
  <c r="L984" i="1"/>
  <c r="T983" i="1"/>
  <c r="S983" i="1"/>
  <c r="R983" i="1"/>
  <c r="Q983" i="1"/>
  <c r="L983" i="1"/>
  <c r="T982" i="1"/>
  <c r="S982" i="1"/>
  <c r="R982" i="1"/>
  <c r="Q982" i="1"/>
  <c r="L982" i="1"/>
  <c r="T981" i="1"/>
  <c r="S981" i="1"/>
  <c r="R981" i="1"/>
  <c r="Q981" i="1"/>
  <c r="L981" i="1"/>
  <c r="T980" i="1"/>
  <c r="S980" i="1"/>
  <c r="R980" i="1"/>
  <c r="Q980" i="1"/>
  <c r="L980" i="1"/>
  <c r="T979" i="1"/>
  <c r="S979" i="1"/>
  <c r="R979" i="1"/>
  <c r="Q979" i="1"/>
  <c r="L979" i="1"/>
  <c r="T978" i="1"/>
  <c r="S978" i="1"/>
  <c r="R978" i="1"/>
  <c r="Q978" i="1"/>
  <c r="L978" i="1"/>
  <c r="T977" i="1"/>
  <c r="S977" i="1"/>
  <c r="R977" i="1"/>
  <c r="Q977" i="1"/>
  <c r="L977" i="1"/>
  <c r="T976" i="1"/>
  <c r="S976" i="1"/>
  <c r="R976" i="1"/>
  <c r="Q976" i="1"/>
  <c r="L976" i="1"/>
  <c r="T975" i="1"/>
  <c r="S975" i="1"/>
  <c r="R975" i="1"/>
  <c r="Q975" i="1"/>
  <c r="L975" i="1"/>
  <c r="T974" i="1"/>
  <c r="S974" i="1"/>
  <c r="R974" i="1"/>
  <c r="Q974" i="1"/>
  <c r="L974" i="1"/>
  <c r="T973" i="1"/>
  <c r="S973" i="1"/>
  <c r="R973" i="1"/>
  <c r="Q973" i="1"/>
  <c r="L973" i="1"/>
  <c r="T972" i="1"/>
  <c r="S972" i="1"/>
  <c r="R972" i="1"/>
  <c r="Q972" i="1"/>
  <c r="L972" i="1"/>
  <c r="T971" i="1"/>
  <c r="S971" i="1"/>
  <c r="R971" i="1"/>
  <c r="Q971" i="1"/>
  <c r="L971" i="1"/>
  <c r="T970" i="1"/>
  <c r="S970" i="1"/>
  <c r="R970" i="1"/>
  <c r="Q970" i="1"/>
  <c r="L970" i="1"/>
  <c r="T969" i="1"/>
  <c r="S969" i="1"/>
  <c r="R969" i="1"/>
  <c r="Q969" i="1"/>
  <c r="L969" i="1"/>
  <c r="T968" i="1"/>
  <c r="S968" i="1"/>
  <c r="R968" i="1"/>
  <c r="Q968" i="1"/>
  <c r="L968" i="1"/>
  <c r="T967" i="1"/>
  <c r="S967" i="1"/>
  <c r="R967" i="1"/>
  <c r="Q967" i="1"/>
  <c r="L967" i="1"/>
  <c r="T966" i="1"/>
  <c r="S966" i="1"/>
  <c r="R966" i="1"/>
  <c r="Q966" i="1"/>
  <c r="L966" i="1"/>
  <c r="T965" i="1"/>
  <c r="S965" i="1"/>
  <c r="R965" i="1"/>
  <c r="Q965" i="1"/>
  <c r="L965" i="1"/>
  <c r="T964" i="1"/>
  <c r="S964" i="1"/>
  <c r="R964" i="1"/>
  <c r="Q964" i="1"/>
  <c r="L964" i="1"/>
  <c r="T963" i="1"/>
  <c r="S963" i="1"/>
  <c r="R963" i="1"/>
  <c r="Q963" i="1"/>
  <c r="L963" i="1"/>
  <c r="T962" i="1"/>
  <c r="S962" i="1"/>
  <c r="R962" i="1"/>
  <c r="Q962" i="1"/>
  <c r="L962" i="1"/>
  <c r="T961" i="1"/>
  <c r="S961" i="1"/>
  <c r="R961" i="1"/>
  <c r="Q961" i="1"/>
  <c r="L961" i="1"/>
  <c r="T960" i="1"/>
  <c r="S960" i="1"/>
  <c r="R960" i="1"/>
  <c r="Q960" i="1"/>
  <c r="L960" i="1"/>
  <c r="T959" i="1"/>
  <c r="S959" i="1"/>
  <c r="R959" i="1"/>
  <c r="Q959" i="1"/>
  <c r="L959" i="1"/>
  <c r="T958" i="1"/>
  <c r="S958" i="1"/>
  <c r="R958" i="1"/>
  <c r="Q958" i="1"/>
  <c r="L958" i="1"/>
  <c r="T957" i="1"/>
  <c r="S957" i="1"/>
  <c r="R957" i="1"/>
  <c r="Q957" i="1"/>
  <c r="L957" i="1"/>
  <c r="T956" i="1"/>
  <c r="S956" i="1"/>
  <c r="R956" i="1"/>
  <c r="Q956" i="1"/>
  <c r="L956" i="1"/>
  <c r="T955" i="1"/>
  <c r="S955" i="1"/>
  <c r="R955" i="1"/>
  <c r="Q955" i="1"/>
  <c r="L955" i="1"/>
  <c r="T954" i="1"/>
  <c r="S954" i="1"/>
  <c r="R954" i="1"/>
  <c r="Q954" i="1"/>
  <c r="L954" i="1"/>
  <c r="T953" i="1"/>
  <c r="S953" i="1"/>
  <c r="R953" i="1"/>
  <c r="Q953" i="1"/>
  <c r="L953" i="1"/>
  <c r="T952" i="1"/>
  <c r="S952" i="1"/>
  <c r="R952" i="1"/>
  <c r="Q952" i="1"/>
  <c r="L952" i="1"/>
  <c r="T951" i="1"/>
  <c r="S951" i="1"/>
  <c r="R951" i="1"/>
  <c r="Q951" i="1"/>
  <c r="L951" i="1"/>
  <c r="T950" i="1"/>
  <c r="S950" i="1"/>
  <c r="R950" i="1"/>
  <c r="Q950" i="1"/>
  <c r="L950" i="1"/>
  <c r="T949" i="1"/>
  <c r="S949" i="1"/>
  <c r="R949" i="1"/>
  <c r="Q949" i="1"/>
  <c r="L949" i="1"/>
  <c r="T948" i="1"/>
  <c r="S948" i="1"/>
  <c r="R948" i="1"/>
  <c r="Q948" i="1"/>
  <c r="L948" i="1"/>
  <c r="T947" i="1"/>
  <c r="S947" i="1"/>
  <c r="R947" i="1"/>
  <c r="Q947" i="1"/>
  <c r="L947" i="1"/>
  <c r="T946" i="1"/>
  <c r="S946" i="1"/>
  <c r="R946" i="1"/>
  <c r="Q946" i="1"/>
  <c r="L946" i="1"/>
  <c r="T945" i="1"/>
  <c r="S945" i="1"/>
  <c r="R945" i="1"/>
  <c r="Q945" i="1"/>
  <c r="L945" i="1"/>
  <c r="T944" i="1"/>
  <c r="S944" i="1"/>
  <c r="R944" i="1"/>
  <c r="Q944" i="1"/>
  <c r="L944" i="1"/>
  <c r="T943" i="1"/>
  <c r="S943" i="1"/>
  <c r="R943" i="1"/>
  <c r="Q943" i="1"/>
  <c r="L943" i="1"/>
  <c r="T942" i="1"/>
  <c r="S942" i="1"/>
  <c r="R942" i="1"/>
  <c r="Q942" i="1"/>
  <c r="L942" i="1"/>
  <c r="T941" i="1"/>
  <c r="S941" i="1"/>
  <c r="R941" i="1"/>
  <c r="Q941" i="1"/>
  <c r="L941" i="1"/>
  <c r="T940" i="1"/>
  <c r="S940" i="1"/>
  <c r="R940" i="1"/>
  <c r="Q940" i="1"/>
  <c r="L940" i="1"/>
  <c r="T939" i="1"/>
  <c r="S939" i="1"/>
  <c r="R939" i="1"/>
  <c r="Q939" i="1"/>
  <c r="L939" i="1"/>
  <c r="T938" i="1"/>
  <c r="S938" i="1"/>
  <c r="R938" i="1"/>
  <c r="Q938" i="1"/>
  <c r="L938" i="1"/>
  <c r="T937" i="1"/>
  <c r="S937" i="1"/>
  <c r="R937" i="1"/>
  <c r="Q937" i="1"/>
  <c r="L937" i="1"/>
  <c r="T936" i="1"/>
  <c r="S936" i="1"/>
  <c r="R936" i="1"/>
  <c r="Q936" i="1"/>
  <c r="L936" i="1"/>
  <c r="T935" i="1"/>
  <c r="S935" i="1"/>
  <c r="R935" i="1"/>
  <c r="Q935" i="1"/>
  <c r="L935" i="1"/>
  <c r="T934" i="1"/>
  <c r="S934" i="1"/>
  <c r="R934" i="1"/>
  <c r="Q934" i="1"/>
  <c r="L934" i="1"/>
  <c r="T933" i="1"/>
  <c r="S933" i="1"/>
  <c r="R933" i="1"/>
  <c r="Q933" i="1"/>
  <c r="L933" i="1"/>
  <c r="T932" i="1"/>
  <c r="S932" i="1"/>
  <c r="R932" i="1"/>
  <c r="Q932" i="1"/>
  <c r="L932" i="1"/>
  <c r="T931" i="1"/>
  <c r="S931" i="1"/>
  <c r="R931" i="1"/>
  <c r="Q931" i="1"/>
  <c r="L931" i="1"/>
  <c r="T930" i="1"/>
  <c r="S930" i="1"/>
  <c r="R930" i="1"/>
  <c r="Q930" i="1"/>
  <c r="L930" i="1"/>
  <c r="T929" i="1"/>
  <c r="S929" i="1"/>
  <c r="R929" i="1"/>
  <c r="Q929" i="1"/>
  <c r="L929" i="1"/>
  <c r="T928" i="1"/>
  <c r="S928" i="1"/>
  <c r="R928" i="1"/>
  <c r="Q928" i="1"/>
  <c r="L928" i="1"/>
  <c r="T927" i="1"/>
  <c r="S927" i="1"/>
  <c r="R927" i="1"/>
  <c r="Q927" i="1"/>
  <c r="L927" i="1"/>
  <c r="T926" i="1"/>
  <c r="S926" i="1"/>
  <c r="R926" i="1"/>
  <c r="Q926" i="1"/>
  <c r="L926" i="1"/>
  <c r="T925" i="1"/>
  <c r="S925" i="1"/>
  <c r="R925" i="1"/>
  <c r="Q925" i="1"/>
  <c r="L925" i="1"/>
  <c r="T924" i="1"/>
  <c r="S924" i="1"/>
  <c r="R924" i="1"/>
  <c r="Q924" i="1"/>
  <c r="L924" i="1"/>
  <c r="T923" i="1"/>
  <c r="S923" i="1"/>
  <c r="R923" i="1"/>
  <c r="Q923" i="1"/>
  <c r="L923" i="1"/>
  <c r="T922" i="1"/>
  <c r="S922" i="1"/>
  <c r="R922" i="1"/>
  <c r="Q922" i="1"/>
  <c r="L922" i="1"/>
  <c r="T921" i="1"/>
  <c r="S921" i="1"/>
  <c r="R921" i="1"/>
  <c r="Q921" i="1"/>
  <c r="L921" i="1"/>
  <c r="T920" i="1"/>
  <c r="S920" i="1"/>
  <c r="R920" i="1"/>
  <c r="Q920" i="1"/>
  <c r="L920" i="1"/>
  <c r="T919" i="1"/>
  <c r="S919" i="1"/>
  <c r="R919" i="1"/>
  <c r="Q919" i="1"/>
  <c r="L919" i="1"/>
  <c r="T918" i="1"/>
  <c r="S918" i="1"/>
  <c r="R918" i="1"/>
  <c r="Q918" i="1"/>
  <c r="L918" i="1"/>
  <c r="T917" i="1"/>
  <c r="S917" i="1"/>
  <c r="R917" i="1"/>
  <c r="Q917" i="1"/>
  <c r="L917" i="1"/>
  <c r="T916" i="1"/>
  <c r="S916" i="1"/>
  <c r="R916" i="1"/>
  <c r="Q916" i="1"/>
  <c r="L916" i="1"/>
  <c r="T915" i="1"/>
  <c r="S915" i="1"/>
  <c r="R915" i="1"/>
  <c r="Q915" i="1"/>
  <c r="L915" i="1"/>
  <c r="T914" i="1"/>
  <c r="S914" i="1"/>
  <c r="R914" i="1"/>
  <c r="Q914" i="1"/>
  <c r="L914" i="1"/>
  <c r="T913" i="1"/>
  <c r="S913" i="1"/>
  <c r="R913" i="1"/>
  <c r="Q913" i="1"/>
  <c r="L913" i="1"/>
  <c r="T912" i="1"/>
  <c r="S912" i="1"/>
  <c r="R912" i="1"/>
  <c r="Q912" i="1"/>
  <c r="L912" i="1"/>
  <c r="T911" i="1"/>
  <c r="S911" i="1"/>
  <c r="R911" i="1"/>
  <c r="Q911" i="1"/>
  <c r="L911" i="1"/>
  <c r="T910" i="1"/>
  <c r="S910" i="1"/>
  <c r="R910" i="1"/>
  <c r="Q910" i="1"/>
  <c r="L910" i="1"/>
  <c r="T909" i="1"/>
  <c r="S909" i="1"/>
  <c r="R909" i="1"/>
  <c r="Q909" i="1"/>
  <c r="L909" i="1"/>
  <c r="T908" i="1"/>
  <c r="S908" i="1"/>
  <c r="R908" i="1"/>
  <c r="Q908" i="1"/>
  <c r="L908" i="1"/>
  <c r="T907" i="1"/>
  <c r="S907" i="1"/>
  <c r="R907" i="1"/>
  <c r="Q907" i="1"/>
  <c r="L907" i="1"/>
  <c r="T906" i="1"/>
  <c r="S906" i="1"/>
  <c r="R906" i="1"/>
  <c r="Q906" i="1"/>
  <c r="L906" i="1"/>
  <c r="T905" i="1"/>
  <c r="S905" i="1"/>
  <c r="R905" i="1"/>
  <c r="Q905" i="1"/>
  <c r="L905" i="1"/>
  <c r="T904" i="1"/>
  <c r="S904" i="1"/>
  <c r="R904" i="1"/>
  <c r="Q904" i="1"/>
  <c r="L904" i="1"/>
  <c r="T903" i="1"/>
  <c r="S903" i="1"/>
  <c r="R903" i="1"/>
  <c r="Q903" i="1"/>
  <c r="L903" i="1"/>
  <c r="T902" i="1"/>
  <c r="S902" i="1"/>
  <c r="R902" i="1"/>
  <c r="Q902" i="1"/>
  <c r="L902" i="1"/>
  <c r="T901" i="1"/>
  <c r="S901" i="1"/>
  <c r="R901" i="1"/>
  <c r="Q901" i="1"/>
  <c r="L901" i="1"/>
  <c r="T900" i="1"/>
  <c r="S900" i="1"/>
  <c r="R900" i="1"/>
  <c r="Q900" i="1"/>
  <c r="L900" i="1"/>
  <c r="T899" i="1"/>
  <c r="S899" i="1"/>
  <c r="R899" i="1"/>
  <c r="Q899" i="1"/>
  <c r="L899" i="1"/>
  <c r="T898" i="1"/>
  <c r="S898" i="1"/>
  <c r="R898" i="1"/>
  <c r="Q898" i="1"/>
  <c r="L898" i="1"/>
  <c r="T897" i="1"/>
  <c r="S897" i="1"/>
  <c r="R897" i="1"/>
  <c r="Q897" i="1"/>
  <c r="L897" i="1"/>
  <c r="T896" i="1"/>
  <c r="S896" i="1"/>
  <c r="R896" i="1"/>
  <c r="Q896" i="1"/>
  <c r="L896" i="1"/>
  <c r="T895" i="1"/>
  <c r="S895" i="1"/>
  <c r="R895" i="1"/>
  <c r="Q895" i="1"/>
  <c r="L895" i="1"/>
  <c r="T894" i="1"/>
  <c r="S894" i="1"/>
  <c r="R894" i="1"/>
  <c r="Q894" i="1"/>
  <c r="L894" i="1"/>
  <c r="T893" i="1"/>
  <c r="S893" i="1"/>
  <c r="R893" i="1"/>
  <c r="Q893" i="1"/>
  <c r="L893" i="1"/>
  <c r="T892" i="1"/>
  <c r="S892" i="1"/>
  <c r="R892" i="1"/>
  <c r="Q892" i="1"/>
  <c r="L892" i="1"/>
  <c r="T891" i="1"/>
  <c r="S891" i="1"/>
  <c r="R891" i="1"/>
  <c r="Q891" i="1"/>
  <c r="L891" i="1"/>
  <c r="T890" i="1"/>
  <c r="S890" i="1"/>
  <c r="R890" i="1"/>
  <c r="Q890" i="1"/>
  <c r="L890" i="1"/>
  <c r="T889" i="1"/>
  <c r="S889" i="1"/>
  <c r="R889" i="1"/>
  <c r="Q889" i="1"/>
  <c r="L889" i="1"/>
  <c r="T888" i="1"/>
  <c r="S888" i="1"/>
  <c r="R888" i="1"/>
  <c r="Q888" i="1"/>
  <c r="L888" i="1"/>
  <c r="T887" i="1"/>
  <c r="S887" i="1"/>
  <c r="R887" i="1"/>
  <c r="Q887" i="1"/>
  <c r="L887" i="1"/>
  <c r="T886" i="1"/>
  <c r="S886" i="1"/>
  <c r="R886" i="1"/>
  <c r="Q886" i="1"/>
  <c r="L886" i="1"/>
  <c r="T885" i="1"/>
  <c r="S885" i="1"/>
  <c r="R885" i="1"/>
  <c r="Q885" i="1"/>
  <c r="L885" i="1"/>
  <c r="T884" i="1"/>
  <c r="S884" i="1"/>
  <c r="R884" i="1"/>
  <c r="Q884" i="1"/>
  <c r="L884" i="1"/>
  <c r="T883" i="1"/>
  <c r="S883" i="1"/>
  <c r="R883" i="1"/>
  <c r="Q883" i="1"/>
  <c r="L883" i="1"/>
  <c r="T882" i="1"/>
  <c r="S882" i="1"/>
  <c r="R882" i="1"/>
  <c r="Q882" i="1"/>
  <c r="L882" i="1"/>
  <c r="T881" i="1"/>
  <c r="S881" i="1"/>
  <c r="R881" i="1"/>
  <c r="Q881" i="1"/>
  <c r="L881" i="1"/>
  <c r="T880" i="1"/>
  <c r="S880" i="1"/>
  <c r="R880" i="1"/>
  <c r="Q880" i="1"/>
  <c r="L880" i="1"/>
  <c r="T879" i="1"/>
  <c r="S879" i="1"/>
  <c r="R879" i="1"/>
  <c r="Q879" i="1"/>
  <c r="L879" i="1"/>
  <c r="T878" i="1"/>
  <c r="S878" i="1"/>
  <c r="R878" i="1"/>
  <c r="Q878" i="1"/>
  <c r="L878" i="1"/>
  <c r="T877" i="1"/>
  <c r="S877" i="1"/>
  <c r="R877" i="1"/>
  <c r="Q877" i="1"/>
  <c r="L877" i="1"/>
  <c r="T876" i="1"/>
  <c r="S876" i="1"/>
  <c r="R876" i="1"/>
  <c r="Q876" i="1"/>
  <c r="L876" i="1"/>
  <c r="T875" i="1"/>
  <c r="S875" i="1"/>
  <c r="R875" i="1"/>
  <c r="Q875" i="1"/>
  <c r="L875" i="1"/>
  <c r="T874" i="1"/>
  <c r="S874" i="1"/>
  <c r="R874" i="1"/>
  <c r="Q874" i="1"/>
  <c r="L874" i="1"/>
  <c r="T873" i="1"/>
  <c r="S873" i="1"/>
  <c r="R873" i="1"/>
  <c r="Q873" i="1"/>
  <c r="L873" i="1"/>
  <c r="T872" i="1"/>
  <c r="S872" i="1"/>
  <c r="R872" i="1"/>
  <c r="Q872" i="1"/>
  <c r="L872" i="1"/>
  <c r="T871" i="1"/>
  <c r="S871" i="1"/>
  <c r="R871" i="1"/>
  <c r="Q871" i="1"/>
  <c r="L871" i="1"/>
  <c r="T870" i="1"/>
  <c r="S870" i="1"/>
  <c r="R870" i="1"/>
  <c r="Q870" i="1"/>
  <c r="L870" i="1"/>
  <c r="T869" i="1"/>
  <c r="S869" i="1"/>
  <c r="R869" i="1"/>
  <c r="Q869" i="1"/>
  <c r="L869" i="1"/>
  <c r="T868" i="1"/>
  <c r="S868" i="1"/>
  <c r="R868" i="1"/>
  <c r="Q868" i="1"/>
  <c r="L868" i="1"/>
  <c r="T867" i="1"/>
  <c r="S867" i="1"/>
  <c r="R867" i="1"/>
  <c r="Q867" i="1"/>
  <c r="L867" i="1"/>
  <c r="T866" i="1"/>
  <c r="S866" i="1"/>
  <c r="R866" i="1"/>
  <c r="Q866" i="1"/>
  <c r="L866" i="1"/>
  <c r="T865" i="1"/>
  <c r="S865" i="1"/>
  <c r="R865" i="1"/>
  <c r="Q865" i="1"/>
  <c r="L865" i="1"/>
  <c r="T864" i="1"/>
  <c r="S864" i="1"/>
  <c r="R864" i="1"/>
  <c r="Q864" i="1"/>
  <c r="L864" i="1"/>
  <c r="T863" i="1"/>
  <c r="S863" i="1"/>
  <c r="R863" i="1"/>
  <c r="Q863" i="1"/>
  <c r="L863" i="1"/>
  <c r="T862" i="1"/>
  <c r="S862" i="1"/>
  <c r="R862" i="1"/>
  <c r="Q862" i="1"/>
  <c r="L862" i="1"/>
  <c r="T861" i="1"/>
  <c r="S861" i="1"/>
  <c r="R861" i="1"/>
  <c r="Q861" i="1"/>
  <c r="L861" i="1"/>
  <c r="T860" i="1"/>
  <c r="S860" i="1"/>
  <c r="R860" i="1"/>
  <c r="Q860" i="1"/>
  <c r="L860" i="1"/>
  <c r="T859" i="1"/>
  <c r="S859" i="1"/>
  <c r="R859" i="1"/>
  <c r="Q859" i="1"/>
  <c r="L859" i="1"/>
  <c r="T858" i="1"/>
  <c r="S858" i="1"/>
  <c r="R858" i="1"/>
  <c r="Q858" i="1"/>
  <c r="L858" i="1"/>
  <c r="T857" i="1"/>
  <c r="S857" i="1"/>
  <c r="R857" i="1"/>
  <c r="Q857" i="1"/>
  <c r="L857" i="1"/>
  <c r="T856" i="1"/>
  <c r="S856" i="1"/>
  <c r="R856" i="1"/>
  <c r="Q856" i="1"/>
  <c r="L856" i="1"/>
  <c r="T855" i="1"/>
  <c r="S855" i="1"/>
  <c r="R855" i="1"/>
  <c r="Q855" i="1"/>
  <c r="L855" i="1"/>
  <c r="T854" i="1"/>
  <c r="S854" i="1"/>
  <c r="R854" i="1"/>
  <c r="Q854" i="1"/>
  <c r="L854" i="1"/>
  <c r="T853" i="1"/>
  <c r="S853" i="1"/>
  <c r="R853" i="1"/>
  <c r="Q853" i="1"/>
  <c r="L853" i="1"/>
  <c r="T852" i="1"/>
  <c r="S852" i="1"/>
  <c r="R852" i="1"/>
  <c r="Q852" i="1"/>
  <c r="L852" i="1"/>
  <c r="T851" i="1"/>
  <c r="S851" i="1"/>
  <c r="R851" i="1"/>
  <c r="Q851" i="1"/>
  <c r="L851" i="1"/>
  <c r="T850" i="1"/>
  <c r="S850" i="1"/>
  <c r="R850" i="1"/>
  <c r="Q850" i="1"/>
  <c r="L850" i="1"/>
  <c r="T849" i="1"/>
  <c r="S849" i="1"/>
  <c r="R849" i="1"/>
  <c r="Q849" i="1"/>
  <c r="L849" i="1"/>
  <c r="T848" i="1"/>
  <c r="S848" i="1"/>
  <c r="R848" i="1"/>
  <c r="Q848" i="1"/>
  <c r="L848" i="1"/>
  <c r="T847" i="1"/>
  <c r="S847" i="1"/>
  <c r="R847" i="1"/>
  <c r="Q847" i="1"/>
  <c r="L847" i="1"/>
  <c r="T846" i="1"/>
  <c r="S846" i="1"/>
  <c r="R846" i="1"/>
  <c r="Q846" i="1"/>
  <c r="L846" i="1"/>
  <c r="T845" i="1"/>
  <c r="S845" i="1"/>
  <c r="R845" i="1"/>
  <c r="Q845" i="1"/>
  <c r="L845" i="1"/>
  <c r="T844" i="1"/>
  <c r="S844" i="1"/>
  <c r="R844" i="1"/>
  <c r="Q844" i="1"/>
  <c r="L844" i="1"/>
  <c r="T843" i="1"/>
  <c r="S843" i="1"/>
  <c r="R843" i="1"/>
  <c r="Q843" i="1"/>
  <c r="L843" i="1"/>
  <c r="T842" i="1"/>
  <c r="S842" i="1"/>
  <c r="R842" i="1"/>
  <c r="Q842" i="1"/>
  <c r="L842" i="1"/>
  <c r="T841" i="1"/>
  <c r="S841" i="1"/>
  <c r="R841" i="1"/>
  <c r="Q841" i="1"/>
  <c r="L841" i="1"/>
  <c r="T840" i="1"/>
  <c r="S840" i="1"/>
  <c r="R840" i="1"/>
  <c r="Q840" i="1"/>
  <c r="L840" i="1"/>
  <c r="T839" i="1"/>
  <c r="S839" i="1"/>
  <c r="R839" i="1"/>
  <c r="Q839" i="1"/>
  <c r="L839" i="1"/>
  <c r="T838" i="1"/>
  <c r="S838" i="1"/>
  <c r="R838" i="1"/>
  <c r="Q838" i="1"/>
  <c r="L838" i="1"/>
  <c r="T837" i="1"/>
  <c r="S837" i="1"/>
  <c r="R837" i="1"/>
  <c r="Q837" i="1"/>
  <c r="L837" i="1"/>
  <c r="T836" i="1"/>
  <c r="S836" i="1"/>
  <c r="R836" i="1"/>
  <c r="Q836" i="1"/>
  <c r="L836" i="1"/>
  <c r="T835" i="1"/>
  <c r="S835" i="1"/>
  <c r="R835" i="1"/>
  <c r="Q835" i="1"/>
  <c r="L835" i="1"/>
  <c r="T834" i="1"/>
  <c r="S834" i="1"/>
  <c r="R834" i="1"/>
  <c r="Q834" i="1"/>
  <c r="L834" i="1"/>
  <c r="T833" i="1"/>
  <c r="S833" i="1"/>
  <c r="R833" i="1"/>
  <c r="Q833" i="1"/>
  <c r="L833" i="1"/>
  <c r="T832" i="1"/>
  <c r="S832" i="1"/>
  <c r="R832" i="1"/>
  <c r="Q832" i="1"/>
  <c r="L832" i="1"/>
  <c r="T831" i="1"/>
  <c r="S831" i="1"/>
  <c r="R831" i="1"/>
  <c r="Q831" i="1"/>
  <c r="L831" i="1"/>
  <c r="T830" i="1"/>
  <c r="S830" i="1"/>
  <c r="R830" i="1"/>
  <c r="Q830" i="1"/>
  <c r="L830" i="1"/>
  <c r="T829" i="1"/>
  <c r="S829" i="1"/>
  <c r="R829" i="1"/>
  <c r="Q829" i="1"/>
  <c r="L829" i="1"/>
  <c r="T828" i="1"/>
  <c r="S828" i="1"/>
  <c r="R828" i="1"/>
  <c r="Q828" i="1"/>
  <c r="L828" i="1"/>
  <c r="T827" i="1"/>
  <c r="S827" i="1"/>
  <c r="R827" i="1"/>
  <c r="Q827" i="1"/>
  <c r="L827" i="1"/>
  <c r="T826" i="1"/>
  <c r="S826" i="1"/>
  <c r="R826" i="1"/>
  <c r="Q826" i="1"/>
  <c r="L826" i="1"/>
  <c r="T825" i="1"/>
  <c r="S825" i="1"/>
  <c r="R825" i="1"/>
  <c r="Q825" i="1"/>
  <c r="L825" i="1"/>
  <c r="T824" i="1"/>
  <c r="S824" i="1"/>
  <c r="R824" i="1"/>
  <c r="Q824" i="1"/>
  <c r="L824" i="1"/>
  <c r="T823" i="1"/>
  <c r="S823" i="1"/>
  <c r="R823" i="1"/>
  <c r="Q823" i="1"/>
  <c r="L823" i="1"/>
  <c r="T822" i="1"/>
  <c r="S822" i="1"/>
  <c r="R822" i="1"/>
  <c r="Q822" i="1"/>
  <c r="L822" i="1"/>
  <c r="T821" i="1"/>
  <c r="S821" i="1"/>
  <c r="R821" i="1"/>
  <c r="Q821" i="1"/>
  <c r="L821" i="1"/>
  <c r="T820" i="1"/>
  <c r="S820" i="1"/>
  <c r="R820" i="1"/>
  <c r="Q820" i="1"/>
  <c r="L820" i="1"/>
  <c r="T819" i="1"/>
  <c r="S819" i="1"/>
  <c r="R819" i="1"/>
  <c r="Q819" i="1"/>
  <c r="L819" i="1"/>
  <c r="T818" i="1"/>
  <c r="S818" i="1"/>
  <c r="R818" i="1"/>
  <c r="Q818" i="1"/>
  <c r="L818" i="1"/>
  <c r="T817" i="1"/>
  <c r="S817" i="1"/>
  <c r="R817" i="1"/>
  <c r="Q817" i="1"/>
  <c r="L817" i="1"/>
  <c r="T816" i="1"/>
  <c r="S816" i="1"/>
  <c r="R816" i="1"/>
  <c r="Q816" i="1"/>
  <c r="L816" i="1"/>
  <c r="T815" i="1"/>
  <c r="S815" i="1"/>
  <c r="R815" i="1"/>
  <c r="Q815" i="1"/>
  <c r="L815" i="1"/>
  <c r="T814" i="1"/>
  <c r="S814" i="1"/>
  <c r="R814" i="1"/>
  <c r="Q814" i="1"/>
  <c r="L814" i="1"/>
  <c r="T813" i="1"/>
  <c r="S813" i="1"/>
  <c r="R813" i="1"/>
  <c r="Q813" i="1"/>
  <c r="L813" i="1"/>
  <c r="T812" i="1"/>
  <c r="S812" i="1"/>
  <c r="R812" i="1"/>
  <c r="Q812" i="1"/>
  <c r="L812" i="1"/>
  <c r="T811" i="1"/>
  <c r="S811" i="1"/>
  <c r="R811" i="1"/>
  <c r="Q811" i="1"/>
  <c r="L811" i="1"/>
  <c r="T810" i="1"/>
  <c r="S810" i="1"/>
  <c r="R810" i="1"/>
  <c r="Q810" i="1"/>
  <c r="L810" i="1"/>
  <c r="T809" i="1"/>
  <c r="S809" i="1"/>
  <c r="R809" i="1"/>
  <c r="Q809" i="1"/>
  <c r="L809" i="1"/>
  <c r="T808" i="1"/>
  <c r="S808" i="1"/>
  <c r="R808" i="1"/>
  <c r="Q808" i="1"/>
  <c r="L808" i="1"/>
  <c r="T807" i="1"/>
  <c r="S807" i="1"/>
  <c r="R807" i="1"/>
  <c r="Q807" i="1"/>
  <c r="L807" i="1"/>
  <c r="T806" i="1"/>
  <c r="S806" i="1"/>
  <c r="R806" i="1"/>
  <c r="Q806" i="1"/>
  <c r="L806" i="1"/>
  <c r="T805" i="1"/>
  <c r="S805" i="1"/>
  <c r="R805" i="1"/>
  <c r="Q805" i="1"/>
  <c r="L805" i="1"/>
  <c r="T804" i="1"/>
  <c r="S804" i="1"/>
  <c r="R804" i="1"/>
  <c r="Q804" i="1"/>
  <c r="L804" i="1"/>
  <c r="T803" i="1"/>
  <c r="S803" i="1"/>
  <c r="R803" i="1"/>
  <c r="Q803" i="1"/>
  <c r="L803" i="1"/>
  <c r="T802" i="1"/>
  <c r="S802" i="1"/>
  <c r="R802" i="1"/>
  <c r="Q802" i="1"/>
  <c r="L802" i="1"/>
  <c r="T801" i="1"/>
  <c r="S801" i="1"/>
  <c r="R801" i="1"/>
  <c r="Q801" i="1"/>
  <c r="L801" i="1"/>
  <c r="T800" i="1"/>
  <c r="S800" i="1"/>
  <c r="R800" i="1"/>
  <c r="Q800" i="1"/>
  <c r="L800" i="1"/>
  <c r="T799" i="1"/>
  <c r="S799" i="1"/>
  <c r="R799" i="1"/>
  <c r="Q799" i="1"/>
  <c r="L799" i="1"/>
  <c r="T798" i="1"/>
  <c r="S798" i="1"/>
  <c r="R798" i="1"/>
  <c r="Q798" i="1"/>
  <c r="L798" i="1"/>
  <c r="T797" i="1"/>
  <c r="S797" i="1"/>
  <c r="R797" i="1"/>
  <c r="Q797" i="1"/>
  <c r="L797" i="1"/>
  <c r="T796" i="1"/>
  <c r="S796" i="1"/>
  <c r="R796" i="1"/>
  <c r="Q796" i="1"/>
  <c r="L796" i="1"/>
  <c r="T795" i="1"/>
  <c r="S795" i="1"/>
  <c r="R795" i="1"/>
  <c r="Q795" i="1"/>
  <c r="L795" i="1"/>
  <c r="T794" i="1"/>
  <c r="S794" i="1"/>
  <c r="R794" i="1"/>
  <c r="Q794" i="1"/>
  <c r="L794" i="1"/>
  <c r="T793" i="1"/>
  <c r="S793" i="1"/>
  <c r="R793" i="1"/>
  <c r="Q793" i="1"/>
  <c r="L793" i="1"/>
  <c r="T792" i="1"/>
  <c r="S792" i="1"/>
  <c r="R792" i="1"/>
  <c r="Q792" i="1"/>
  <c r="L792" i="1"/>
  <c r="T791" i="1"/>
  <c r="S791" i="1"/>
  <c r="R791" i="1"/>
  <c r="Q791" i="1"/>
  <c r="L791" i="1"/>
  <c r="T790" i="1"/>
  <c r="S790" i="1"/>
  <c r="R790" i="1"/>
  <c r="Q790" i="1"/>
  <c r="L790" i="1"/>
  <c r="T789" i="1"/>
  <c r="S789" i="1"/>
  <c r="R789" i="1"/>
  <c r="Q789" i="1"/>
  <c r="L789" i="1"/>
  <c r="T788" i="1"/>
  <c r="S788" i="1"/>
  <c r="R788" i="1"/>
  <c r="Q788" i="1"/>
  <c r="L788" i="1"/>
  <c r="T787" i="1"/>
  <c r="S787" i="1"/>
  <c r="R787" i="1"/>
  <c r="Q787" i="1"/>
  <c r="L787" i="1"/>
  <c r="T786" i="1"/>
  <c r="S786" i="1"/>
  <c r="R786" i="1"/>
  <c r="Q786" i="1"/>
  <c r="L786" i="1"/>
  <c r="T785" i="1"/>
  <c r="S785" i="1"/>
  <c r="R785" i="1"/>
  <c r="Q785" i="1"/>
  <c r="L785" i="1"/>
  <c r="T784" i="1"/>
  <c r="S784" i="1"/>
  <c r="R784" i="1"/>
  <c r="Q784" i="1"/>
  <c r="L784" i="1"/>
  <c r="T783" i="1"/>
  <c r="S783" i="1"/>
  <c r="R783" i="1"/>
  <c r="Q783" i="1"/>
  <c r="L783" i="1"/>
  <c r="T782" i="1"/>
  <c r="S782" i="1"/>
  <c r="R782" i="1"/>
  <c r="Q782" i="1"/>
  <c r="L782" i="1"/>
  <c r="T781" i="1"/>
  <c r="S781" i="1"/>
  <c r="R781" i="1"/>
  <c r="Q781" i="1"/>
  <c r="L781" i="1"/>
  <c r="T780" i="1"/>
  <c r="S780" i="1"/>
  <c r="R780" i="1"/>
  <c r="Q780" i="1"/>
  <c r="L780" i="1"/>
  <c r="T779" i="1"/>
  <c r="S779" i="1"/>
  <c r="R779" i="1"/>
  <c r="Q779" i="1"/>
  <c r="L779" i="1"/>
  <c r="T778" i="1"/>
  <c r="S778" i="1"/>
  <c r="R778" i="1"/>
  <c r="Q778" i="1"/>
  <c r="L778" i="1"/>
  <c r="T777" i="1"/>
  <c r="S777" i="1"/>
  <c r="R777" i="1"/>
  <c r="Q777" i="1"/>
  <c r="L777" i="1"/>
  <c r="T776" i="1"/>
  <c r="S776" i="1"/>
  <c r="R776" i="1"/>
  <c r="Q776" i="1"/>
  <c r="L776" i="1"/>
  <c r="T775" i="1"/>
  <c r="S775" i="1"/>
  <c r="R775" i="1"/>
  <c r="Q775" i="1"/>
  <c r="L775" i="1"/>
  <c r="T774" i="1"/>
  <c r="S774" i="1"/>
  <c r="R774" i="1"/>
  <c r="Q774" i="1"/>
  <c r="L774" i="1"/>
  <c r="T773" i="1"/>
  <c r="S773" i="1"/>
  <c r="R773" i="1"/>
  <c r="Q773" i="1"/>
  <c r="L773" i="1"/>
  <c r="T772" i="1"/>
  <c r="S772" i="1"/>
  <c r="R772" i="1"/>
  <c r="Q772" i="1"/>
  <c r="L772" i="1"/>
  <c r="T771" i="1"/>
  <c r="S771" i="1"/>
  <c r="R771" i="1"/>
  <c r="Q771" i="1"/>
  <c r="L771" i="1"/>
  <c r="T770" i="1"/>
  <c r="S770" i="1"/>
  <c r="R770" i="1"/>
  <c r="Q770" i="1"/>
  <c r="L770" i="1"/>
  <c r="T769" i="1"/>
  <c r="S769" i="1"/>
  <c r="R769" i="1"/>
  <c r="Q769" i="1"/>
  <c r="L769" i="1"/>
  <c r="T768" i="1"/>
  <c r="S768" i="1"/>
  <c r="R768" i="1"/>
  <c r="Q768" i="1"/>
  <c r="L768" i="1"/>
  <c r="T767" i="1"/>
  <c r="S767" i="1"/>
  <c r="R767" i="1"/>
  <c r="Q767" i="1"/>
  <c r="L767" i="1"/>
  <c r="T766" i="1"/>
  <c r="S766" i="1"/>
  <c r="R766" i="1"/>
  <c r="Q766" i="1"/>
  <c r="L766" i="1"/>
  <c r="T765" i="1"/>
  <c r="S765" i="1"/>
  <c r="R765" i="1"/>
  <c r="Q765" i="1"/>
  <c r="L765" i="1"/>
  <c r="T764" i="1"/>
  <c r="S764" i="1"/>
  <c r="R764" i="1"/>
  <c r="Q764" i="1"/>
  <c r="L764" i="1"/>
  <c r="T763" i="1"/>
  <c r="S763" i="1"/>
  <c r="R763" i="1"/>
  <c r="Q763" i="1"/>
  <c r="L763" i="1"/>
  <c r="T762" i="1"/>
  <c r="S762" i="1"/>
  <c r="R762" i="1"/>
  <c r="Q762" i="1"/>
  <c r="L762" i="1"/>
  <c r="T761" i="1"/>
  <c r="S761" i="1"/>
  <c r="R761" i="1"/>
  <c r="Q761" i="1"/>
  <c r="L761" i="1"/>
  <c r="T760" i="1"/>
  <c r="S760" i="1"/>
  <c r="R760" i="1"/>
  <c r="Q760" i="1"/>
  <c r="L760" i="1"/>
  <c r="T759" i="1"/>
  <c r="S759" i="1"/>
  <c r="R759" i="1"/>
  <c r="Q759" i="1"/>
  <c r="L759" i="1"/>
  <c r="T758" i="1"/>
  <c r="S758" i="1"/>
  <c r="R758" i="1"/>
  <c r="Q758" i="1"/>
  <c r="L758" i="1"/>
  <c r="T757" i="1"/>
  <c r="S757" i="1"/>
  <c r="R757" i="1"/>
  <c r="Q757" i="1"/>
  <c r="L757" i="1"/>
  <c r="T756" i="1"/>
  <c r="S756" i="1"/>
  <c r="R756" i="1"/>
  <c r="Q756" i="1"/>
  <c r="L756" i="1"/>
  <c r="T755" i="1"/>
  <c r="S755" i="1"/>
  <c r="R755" i="1"/>
  <c r="Q755" i="1"/>
  <c r="L755" i="1"/>
  <c r="T754" i="1"/>
  <c r="S754" i="1"/>
  <c r="R754" i="1"/>
  <c r="Q754" i="1"/>
  <c r="L754" i="1"/>
  <c r="T753" i="1"/>
  <c r="S753" i="1"/>
  <c r="R753" i="1"/>
  <c r="Q753" i="1"/>
  <c r="L753" i="1"/>
  <c r="T752" i="1"/>
  <c r="S752" i="1"/>
  <c r="R752" i="1"/>
  <c r="Q752" i="1"/>
  <c r="L752" i="1"/>
  <c r="T751" i="1"/>
  <c r="S751" i="1"/>
  <c r="R751" i="1"/>
  <c r="Q751" i="1"/>
  <c r="L751" i="1"/>
  <c r="T750" i="1"/>
  <c r="S750" i="1"/>
  <c r="R750" i="1"/>
  <c r="Q750" i="1"/>
  <c r="L750" i="1"/>
  <c r="T749" i="1"/>
  <c r="S749" i="1"/>
  <c r="R749" i="1"/>
  <c r="Q749" i="1"/>
  <c r="L749" i="1"/>
  <c r="T748" i="1"/>
  <c r="S748" i="1"/>
  <c r="R748" i="1"/>
  <c r="Q748" i="1"/>
  <c r="L748" i="1"/>
  <c r="T747" i="1"/>
  <c r="S747" i="1"/>
  <c r="R747" i="1"/>
  <c r="Q747" i="1"/>
  <c r="L747" i="1"/>
  <c r="T746" i="1"/>
  <c r="S746" i="1"/>
  <c r="R746" i="1"/>
  <c r="Q746" i="1"/>
  <c r="L746" i="1"/>
  <c r="T745" i="1"/>
  <c r="S745" i="1"/>
  <c r="R745" i="1"/>
  <c r="Q745" i="1"/>
  <c r="L745" i="1"/>
  <c r="T744" i="1"/>
  <c r="S744" i="1"/>
  <c r="R744" i="1"/>
  <c r="Q744" i="1"/>
  <c r="L744" i="1"/>
  <c r="T743" i="1"/>
  <c r="S743" i="1"/>
  <c r="R743" i="1"/>
  <c r="Q743" i="1"/>
  <c r="L743" i="1"/>
  <c r="T742" i="1"/>
  <c r="S742" i="1"/>
  <c r="R742" i="1"/>
  <c r="Q742" i="1"/>
  <c r="L742" i="1"/>
  <c r="T741" i="1"/>
  <c r="S741" i="1"/>
  <c r="R741" i="1"/>
  <c r="Q741" i="1"/>
  <c r="L741" i="1"/>
  <c r="T740" i="1"/>
  <c r="S740" i="1"/>
  <c r="R740" i="1"/>
  <c r="Q740" i="1"/>
  <c r="L740" i="1"/>
  <c r="T739" i="1"/>
  <c r="S739" i="1"/>
  <c r="R739" i="1"/>
  <c r="Q739" i="1"/>
  <c r="L739" i="1"/>
  <c r="T738" i="1"/>
  <c r="S738" i="1"/>
  <c r="R738" i="1"/>
  <c r="Q738" i="1"/>
  <c r="L738" i="1"/>
  <c r="T737" i="1"/>
  <c r="S737" i="1"/>
  <c r="R737" i="1"/>
  <c r="Q737" i="1"/>
  <c r="L737" i="1"/>
  <c r="T736" i="1"/>
  <c r="S736" i="1"/>
  <c r="R736" i="1"/>
  <c r="Q736" i="1"/>
  <c r="L736" i="1"/>
  <c r="T735" i="1"/>
  <c r="S735" i="1"/>
  <c r="R735" i="1"/>
  <c r="Q735" i="1"/>
  <c r="L735" i="1"/>
  <c r="T734" i="1"/>
  <c r="S734" i="1"/>
  <c r="R734" i="1"/>
  <c r="Q734" i="1"/>
  <c r="L734" i="1"/>
  <c r="T733" i="1"/>
  <c r="S733" i="1"/>
  <c r="R733" i="1"/>
  <c r="Q733" i="1"/>
  <c r="L733" i="1"/>
  <c r="T732" i="1"/>
  <c r="S732" i="1"/>
  <c r="R732" i="1"/>
  <c r="Q732" i="1"/>
  <c r="L732" i="1"/>
  <c r="T731" i="1"/>
  <c r="S731" i="1"/>
  <c r="R731" i="1"/>
  <c r="Q731" i="1"/>
  <c r="L731" i="1"/>
  <c r="T730" i="1"/>
  <c r="S730" i="1"/>
  <c r="R730" i="1"/>
  <c r="Q730" i="1"/>
  <c r="L730" i="1"/>
  <c r="T729" i="1"/>
  <c r="S729" i="1"/>
  <c r="R729" i="1"/>
  <c r="Q729" i="1"/>
  <c r="L729" i="1"/>
  <c r="T728" i="1"/>
  <c r="S728" i="1"/>
  <c r="R728" i="1"/>
  <c r="Q728" i="1"/>
  <c r="L728" i="1"/>
  <c r="T727" i="1"/>
  <c r="S727" i="1"/>
  <c r="R727" i="1"/>
  <c r="Q727" i="1"/>
  <c r="L727" i="1"/>
  <c r="T726" i="1"/>
  <c r="S726" i="1"/>
  <c r="R726" i="1"/>
  <c r="Q726" i="1"/>
  <c r="L726" i="1"/>
  <c r="T725" i="1"/>
  <c r="S725" i="1"/>
  <c r="R725" i="1"/>
  <c r="Q725" i="1"/>
  <c r="L725" i="1"/>
  <c r="T724" i="1"/>
  <c r="S724" i="1"/>
  <c r="R724" i="1"/>
  <c r="Q724" i="1"/>
  <c r="L724" i="1"/>
  <c r="T723" i="1"/>
  <c r="S723" i="1"/>
  <c r="R723" i="1"/>
  <c r="Q723" i="1"/>
  <c r="L723" i="1"/>
  <c r="T722" i="1"/>
  <c r="S722" i="1"/>
  <c r="R722" i="1"/>
  <c r="Q722" i="1"/>
  <c r="L722" i="1"/>
  <c r="T721" i="1"/>
  <c r="S721" i="1"/>
  <c r="R721" i="1"/>
  <c r="Q721" i="1"/>
  <c r="L721" i="1"/>
  <c r="T720" i="1"/>
  <c r="S720" i="1"/>
  <c r="R720" i="1"/>
  <c r="Q720" i="1"/>
  <c r="L720" i="1"/>
  <c r="T719" i="1"/>
  <c r="S719" i="1"/>
  <c r="R719" i="1"/>
  <c r="Q719" i="1"/>
  <c r="L719" i="1"/>
  <c r="T718" i="1"/>
  <c r="S718" i="1"/>
  <c r="R718" i="1"/>
  <c r="Q718" i="1"/>
  <c r="L718" i="1"/>
  <c r="T717" i="1"/>
  <c r="S717" i="1"/>
  <c r="R717" i="1"/>
  <c r="Q717" i="1"/>
  <c r="L717" i="1"/>
  <c r="T716" i="1"/>
  <c r="S716" i="1"/>
  <c r="R716" i="1"/>
  <c r="Q716" i="1"/>
  <c r="L716" i="1"/>
  <c r="T715" i="1"/>
  <c r="S715" i="1"/>
  <c r="R715" i="1"/>
  <c r="Q715" i="1"/>
  <c r="L715" i="1"/>
  <c r="T714" i="1"/>
  <c r="S714" i="1"/>
  <c r="R714" i="1"/>
  <c r="Q714" i="1"/>
  <c r="L714" i="1"/>
  <c r="T713" i="1"/>
  <c r="S713" i="1"/>
  <c r="R713" i="1"/>
  <c r="Q713" i="1"/>
  <c r="L713" i="1"/>
  <c r="T712" i="1"/>
  <c r="S712" i="1"/>
  <c r="R712" i="1"/>
  <c r="Q712" i="1"/>
  <c r="L712" i="1"/>
  <c r="T711" i="1"/>
  <c r="S711" i="1"/>
  <c r="R711" i="1"/>
  <c r="Q711" i="1"/>
  <c r="L711" i="1"/>
  <c r="T710" i="1"/>
  <c r="S710" i="1"/>
  <c r="R710" i="1"/>
  <c r="Q710" i="1"/>
  <c r="L710" i="1"/>
  <c r="T709" i="1"/>
  <c r="S709" i="1"/>
  <c r="R709" i="1"/>
  <c r="Q709" i="1"/>
  <c r="L709" i="1"/>
  <c r="T708" i="1"/>
  <c r="S708" i="1"/>
  <c r="R708" i="1"/>
  <c r="Q708" i="1"/>
  <c r="L708" i="1"/>
  <c r="T707" i="1"/>
  <c r="S707" i="1"/>
  <c r="R707" i="1"/>
  <c r="Q707" i="1"/>
  <c r="L707" i="1"/>
  <c r="T706" i="1"/>
  <c r="S706" i="1"/>
  <c r="R706" i="1"/>
  <c r="Q706" i="1"/>
  <c r="L706" i="1"/>
  <c r="T705" i="1"/>
  <c r="S705" i="1"/>
  <c r="R705" i="1"/>
  <c r="Q705" i="1"/>
  <c r="L705" i="1"/>
  <c r="T704" i="1"/>
  <c r="S704" i="1"/>
  <c r="R704" i="1"/>
  <c r="Q704" i="1"/>
  <c r="L704" i="1"/>
  <c r="T703" i="1"/>
  <c r="S703" i="1"/>
  <c r="R703" i="1"/>
  <c r="Q703" i="1"/>
  <c r="L703" i="1"/>
  <c r="T702" i="1"/>
  <c r="S702" i="1"/>
  <c r="R702" i="1"/>
  <c r="Q702" i="1"/>
  <c r="L702" i="1"/>
  <c r="T701" i="1"/>
  <c r="S701" i="1"/>
  <c r="R701" i="1"/>
  <c r="Q701" i="1"/>
  <c r="L701" i="1"/>
  <c r="T700" i="1"/>
  <c r="S700" i="1"/>
  <c r="R700" i="1"/>
  <c r="Q700" i="1"/>
  <c r="L700" i="1"/>
  <c r="T699" i="1"/>
  <c r="S699" i="1"/>
  <c r="R699" i="1"/>
  <c r="Q699" i="1"/>
  <c r="L699" i="1"/>
  <c r="T698" i="1"/>
  <c r="S698" i="1"/>
  <c r="R698" i="1"/>
  <c r="Q698" i="1"/>
  <c r="L698" i="1"/>
  <c r="T697" i="1"/>
  <c r="S697" i="1"/>
  <c r="R697" i="1"/>
  <c r="Q697" i="1"/>
  <c r="L697" i="1"/>
  <c r="T696" i="1"/>
  <c r="S696" i="1"/>
  <c r="R696" i="1"/>
  <c r="Q696" i="1"/>
  <c r="L696" i="1"/>
  <c r="T695" i="1"/>
  <c r="S695" i="1"/>
  <c r="R695" i="1"/>
  <c r="Q695" i="1"/>
  <c r="L695" i="1"/>
  <c r="T694" i="1"/>
  <c r="S694" i="1"/>
  <c r="R694" i="1"/>
  <c r="Q694" i="1"/>
  <c r="L694" i="1"/>
  <c r="T693" i="1"/>
  <c r="S693" i="1"/>
  <c r="R693" i="1"/>
  <c r="Q693" i="1"/>
  <c r="L693" i="1"/>
  <c r="T692" i="1"/>
  <c r="S692" i="1"/>
  <c r="R692" i="1"/>
  <c r="Q692" i="1"/>
  <c r="L692" i="1"/>
  <c r="T691" i="1"/>
  <c r="S691" i="1"/>
  <c r="R691" i="1"/>
  <c r="Q691" i="1"/>
  <c r="L691" i="1"/>
  <c r="T690" i="1"/>
  <c r="S690" i="1"/>
  <c r="R690" i="1"/>
  <c r="Q690" i="1"/>
  <c r="L690" i="1"/>
  <c r="T689" i="1"/>
  <c r="S689" i="1"/>
  <c r="R689" i="1"/>
  <c r="Q689" i="1"/>
  <c r="L689" i="1"/>
  <c r="T688" i="1"/>
  <c r="S688" i="1"/>
  <c r="R688" i="1"/>
  <c r="Q688" i="1"/>
  <c r="L688" i="1"/>
  <c r="T687" i="1"/>
  <c r="S687" i="1"/>
  <c r="R687" i="1"/>
  <c r="Q687" i="1"/>
  <c r="L687" i="1"/>
  <c r="T686" i="1"/>
  <c r="S686" i="1"/>
  <c r="R686" i="1"/>
  <c r="Q686" i="1"/>
  <c r="L686" i="1"/>
  <c r="T685" i="1"/>
  <c r="S685" i="1"/>
  <c r="R685" i="1"/>
  <c r="Q685" i="1"/>
  <c r="L685" i="1"/>
  <c r="T684" i="1"/>
  <c r="S684" i="1"/>
  <c r="R684" i="1"/>
  <c r="Q684" i="1"/>
  <c r="L684" i="1"/>
  <c r="T683" i="1"/>
  <c r="S683" i="1"/>
  <c r="R683" i="1"/>
  <c r="Q683" i="1"/>
  <c r="L683" i="1"/>
  <c r="T682" i="1"/>
  <c r="S682" i="1"/>
  <c r="R682" i="1"/>
  <c r="Q682" i="1"/>
  <c r="L682" i="1"/>
  <c r="T681" i="1"/>
  <c r="S681" i="1"/>
  <c r="R681" i="1"/>
  <c r="Q681" i="1"/>
  <c r="L681" i="1"/>
  <c r="T680" i="1"/>
  <c r="S680" i="1"/>
  <c r="R680" i="1"/>
  <c r="Q680" i="1"/>
  <c r="L680" i="1"/>
  <c r="T679" i="1"/>
  <c r="S679" i="1"/>
  <c r="R679" i="1"/>
  <c r="Q679" i="1"/>
  <c r="L679" i="1"/>
  <c r="T678" i="1"/>
  <c r="S678" i="1"/>
  <c r="R678" i="1"/>
  <c r="Q678" i="1"/>
  <c r="L678" i="1"/>
  <c r="T677" i="1"/>
  <c r="S677" i="1"/>
  <c r="R677" i="1"/>
  <c r="Q677" i="1"/>
  <c r="L677" i="1"/>
  <c r="T676" i="1"/>
  <c r="S676" i="1"/>
  <c r="R676" i="1"/>
  <c r="Q676" i="1"/>
  <c r="L676" i="1"/>
  <c r="T675" i="1"/>
  <c r="S675" i="1"/>
  <c r="R675" i="1"/>
  <c r="Q675" i="1"/>
  <c r="L675" i="1"/>
  <c r="T674" i="1"/>
  <c r="S674" i="1"/>
  <c r="R674" i="1"/>
  <c r="Q674" i="1"/>
  <c r="L674" i="1"/>
  <c r="T673" i="1"/>
  <c r="S673" i="1"/>
  <c r="R673" i="1"/>
  <c r="Q673" i="1"/>
  <c r="L673" i="1"/>
  <c r="T672" i="1"/>
  <c r="S672" i="1"/>
  <c r="R672" i="1"/>
  <c r="Q672" i="1"/>
  <c r="L672" i="1"/>
  <c r="T671" i="1"/>
  <c r="S671" i="1"/>
  <c r="R671" i="1"/>
  <c r="Q671" i="1"/>
  <c r="L671" i="1"/>
  <c r="T670" i="1"/>
  <c r="S670" i="1"/>
  <c r="R670" i="1"/>
  <c r="Q670" i="1"/>
  <c r="L670" i="1"/>
  <c r="T669" i="1"/>
  <c r="S669" i="1"/>
  <c r="R669" i="1"/>
  <c r="Q669" i="1"/>
  <c r="L669" i="1"/>
  <c r="T668" i="1"/>
  <c r="S668" i="1"/>
  <c r="R668" i="1"/>
  <c r="Q668" i="1"/>
  <c r="L668" i="1"/>
  <c r="T667" i="1"/>
  <c r="S667" i="1"/>
  <c r="R667" i="1"/>
  <c r="Q667" i="1"/>
  <c r="L667" i="1"/>
  <c r="T666" i="1"/>
  <c r="S666" i="1"/>
  <c r="R666" i="1"/>
  <c r="Q666" i="1"/>
  <c r="L666" i="1"/>
  <c r="T665" i="1"/>
  <c r="S665" i="1"/>
  <c r="R665" i="1"/>
  <c r="Q665" i="1"/>
  <c r="L665" i="1"/>
  <c r="T664" i="1"/>
  <c r="S664" i="1"/>
  <c r="R664" i="1"/>
  <c r="Q664" i="1"/>
  <c r="L664" i="1"/>
  <c r="T663" i="1"/>
  <c r="S663" i="1"/>
  <c r="R663" i="1"/>
  <c r="Q663" i="1"/>
  <c r="L663" i="1"/>
  <c r="T662" i="1"/>
  <c r="S662" i="1"/>
  <c r="R662" i="1"/>
  <c r="Q662" i="1"/>
  <c r="L662" i="1"/>
  <c r="T661" i="1"/>
  <c r="S661" i="1"/>
  <c r="R661" i="1"/>
  <c r="Q661" i="1"/>
  <c r="L661" i="1"/>
  <c r="T660" i="1"/>
  <c r="S660" i="1"/>
  <c r="R660" i="1"/>
  <c r="Q660" i="1"/>
  <c r="L660" i="1"/>
  <c r="T659" i="1"/>
  <c r="S659" i="1"/>
  <c r="R659" i="1"/>
  <c r="Q659" i="1"/>
  <c r="L659" i="1"/>
  <c r="T658" i="1"/>
  <c r="S658" i="1"/>
  <c r="R658" i="1"/>
  <c r="Q658" i="1"/>
  <c r="L658" i="1"/>
  <c r="T657" i="1"/>
  <c r="S657" i="1"/>
  <c r="R657" i="1"/>
  <c r="Q657" i="1"/>
  <c r="L657" i="1"/>
  <c r="T656" i="1"/>
  <c r="S656" i="1"/>
  <c r="R656" i="1"/>
  <c r="Q656" i="1"/>
  <c r="L656" i="1"/>
  <c r="T655" i="1"/>
  <c r="S655" i="1"/>
  <c r="R655" i="1"/>
  <c r="Q655" i="1"/>
  <c r="L655" i="1"/>
  <c r="T654" i="1"/>
  <c r="S654" i="1"/>
  <c r="R654" i="1"/>
  <c r="Q654" i="1"/>
  <c r="L654" i="1"/>
  <c r="T653" i="1"/>
  <c r="S653" i="1"/>
  <c r="R653" i="1"/>
  <c r="Q653" i="1"/>
  <c r="L653" i="1"/>
  <c r="T652" i="1"/>
  <c r="S652" i="1"/>
  <c r="R652" i="1"/>
  <c r="Q652" i="1"/>
  <c r="L652" i="1"/>
  <c r="T651" i="1"/>
  <c r="S651" i="1"/>
  <c r="R651" i="1"/>
  <c r="Q651" i="1"/>
  <c r="L651" i="1"/>
  <c r="T650" i="1"/>
  <c r="S650" i="1"/>
  <c r="R650" i="1"/>
  <c r="Q650" i="1"/>
  <c r="L650" i="1"/>
  <c r="T649" i="1"/>
  <c r="S649" i="1"/>
  <c r="R649" i="1"/>
  <c r="Q649" i="1"/>
  <c r="L649" i="1"/>
  <c r="T648" i="1"/>
  <c r="S648" i="1"/>
  <c r="R648" i="1"/>
  <c r="Q648" i="1"/>
  <c r="L648" i="1"/>
  <c r="T647" i="1"/>
  <c r="S647" i="1"/>
  <c r="R647" i="1"/>
  <c r="Q647" i="1"/>
  <c r="L647" i="1"/>
  <c r="T646" i="1"/>
  <c r="S646" i="1"/>
  <c r="R646" i="1"/>
  <c r="Q646" i="1"/>
  <c r="L646" i="1"/>
  <c r="T645" i="1"/>
  <c r="S645" i="1"/>
  <c r="R645" i="1"/>
  <c r="Q645" i="1"/>
  <c r="L645" i="1"/>
  <c r="T644" i="1"/>
  <c r="S644" i="1"/>
  <c r="R644" i="1"/>
  <c r="Q644" i="1"/>
  <c r="L644" i="1"/>
  <c r="T643" i="1"/>
  <c r="S643" i="1"/>
  <c r="R643" i="1"/>
  <c r="Q643" i="1"/>
  <c r="L643" i="1"/>
  <c r="T642" i="1"/>
  <c r="S642" i="1"/>
  <c r="R642" i="1"/>
  <c r="Q642" i="1"/>
  <c r="L642" i="1"/>
  <c r="T641" i="1"/>
  <c r="S641" i="1"/>
  <c r="R641" i="1"/>
  <c r="Q641" i="1"/>
  <c r="L641" i="1"/>
  <c r="T640" i="1"/>
  <c r="S640" i="1"/>
  <c r="R640" i="1"/>
  <c r="Q640" i="1"/>
  <c r="L640" i="1"/>
  <c r="T639" i="1"/>
  <c r="S639" i="1"/>
  <c r="R639" i="1"/>
  <c r="Q639" i="1"/>
  <c r="L639" i="1"/>
  <c r="T638" i="1"/>
  <c r="S638" i="1"/>
  <c r="R638" i="1"/>
  <c r="Q638" i="1"/>
  <c r="L638" i="1"/>
  <c r="T637" i="1"/>
  <c r="S637" i="1"/>
  <c r="R637" i="1"/>
  <c r="Q637" i="1"/>
  <c r="L637" i="1"/>
  <c r="T636" i="1"/>
  <c r="S636" i="1"/>
  <c r="R636" i="1"/>
  <c r="Q636" i="1"/>
  <c r="L636" i="1"/>
  <c r="T635" i="1"/>
  <c r="S635" i="1"/>
  <c r="R635" i="1"/>
  <c r="Q635" i="1"/>
  <c r="L635" i="1"/>
  <c r="T634" i="1"/>
  <c r="S634" i="1"/>
  <c r="R634" i="1"/>
  <c r="Q634" i="1"/>
  <c r="L634" i="1"/>
  <c r="T633" i="1"/>
  <c r="S633" i="1"/>
  <c r="R633" i="1"/>
  <c r="Q633" i="1"/>
  <c r="L633" i="1"/>
  <c r="T632" i="1"/>
  <c r="S632" i="1"/>
  <c r="R632" i="1"/>
  <c r="Q632" i="1"/>
  <c r="L632" i="1"/>
  <c r="T631" i="1"/>
  <c r="S631" i="1"/>
  <c r="R631" i="1"/>
  <c r="Q631" i="1"/>
  <c r="L631" i="1"/>
  <c r="T630" i="1"/>
  <c r="S630" i="1"/>
  <c r="R630" i="1"/>
  <c r="Q630" i="1"/>
  <c r="L630" i="1"/>
  <c r="T629" i="1"/>
  <c r="S629" i="1"/>
  <c r="R629" i="1"/>
  <c r="Q629" i="1"/>
  <c r="L629" i="1"/>
  <c r="T628" i="1"/>
  <c r="S628" i="1"/>
  <c r="R628" i="1"/>
  <c r="Q628" i="1"/>
  <c r="L628" i="1"/>
  <c r="T627" i="1"/>
  <c r="S627" i="1"/>
  <c r="R627" i="1"/>
  <c r="Q627" i="1"/>
  <c r="L627" i="1"/>
  <c r="T626" i="1"/>
  <c r="S626" i="1"/>
  <c r="R626" i="1"/>
  <c r="Q626" i="1"/>
  <c r="L626" i="1"/>
  <c r="T625" i="1"/>
  <c r="S625" i="1"/>
  <c r="R625" i="1"/>
  <c r="Q625" i="1"/>
  <c r="L625" i="1"/>
  <c r="T624" i="1"/>
  <c r="S624" i="1"/>
  <c r="R624" i="1"/>
  <c r="Q624" i="1"/>
  <c r="L624" i="1"/>
  <c r="T623" i="1"/>
  <c r="S623" i="1"/>
  <c r="R623" i="1"/>
  <c r="Q623" i="1"/>
  <c r="L623" i="1"/>
  <c r="T622" i="1"/>
  <c r="S622" i="1"/>
  <c r="R622" i="1"/>
  <c r="Q622" i="1"/>
  <c r="L622" i="1"/>
  <c r="T621" i="1"/>
  <c r="S621" i="1"/>
  <c r="R621" i="1"/>
  <c r="Q621" i="1"/>
  <c r="L621" i="1"/>
  <c r="T620" i="1"/>
  <c r="S620" i="1"/>
  <c r="R620" i="1"/>
  <c r="Q620" i="1"/>
  <c r="L620" i="1"/>
  <c r="T619" i="1"/>
  <c r="S619" i="1"/>
  <c r="R619" i="1"/>
  <c r="Q619" i="1"/>
  <c r="L619" i="1"/>
  <c r="T618" i="1"/>
  <c r="S618" i="1"/>
  <c r="R618" i="1"/>
  <c r="Q618" i="1"/>
  <c r="L618" i="1"/>
  <c r="T617" i="1"/>
  <c r="S617" i="1"/>
  <c r="R617" i="1"/>
  <c r="Q617" i="1"/>
  <c r="L617" i="1"/>
  <c r="T616" i="1"/>
  <c r="S616" i="1"/>
  <c r="R616" i="1"/>
  <c r="Q616" i="1"/>
  <c r="L616" i="1"/>
  <c r="T615" i="1"/>
  <c r="S615" i="1"/>
  <c r="R615" i="1"/>
  <c r="Q615" i="1"/>
  <c r="L615" i="1"/>
  <c r="T614" i="1"/>
  <c r="S614" i="1"/>
  <c r="R614" i="1"/>
  <c r="Q614" i="1"/>
  <c r="L614" i="1"/>
  <c r="T613" i="1"/>
  <c r="S613" i="1"/>
  <c r="R613" i="1"/>
  <c r="Q613" i="1"/>
  <c r="L613" i="1"/>
  <c r="T612" i="1"/>
  <c r="S612" i="1"/>
  <c r="R612" i="1"/>
  <c r="Q612" i="1"/>
  <c r="L612" i="1"/>
  <c r="T611" i="1"/>
  <c r="S611" i="1"/>
  <c r="R611" i="1"/>
  <c r="Q611" i="1"/>
  <c r="L611" i="1"/>
  <c r="T610" i="1"/>
  <c r="S610" i="1"/>
  <c r="R610" i="1"/>
  <c r="Q610" i="1"/>
  <c r="L610" i="1"/>
  <c r="T609" i="1"/>
  <c r="S609" i="1"/>
  <c r="R609" i="1"/>
  <c r="Q609" i="1"/>
  <c r="L609" i="1"/>
  <c r="T608" i="1"/>
  <c r="S608" i="1"/>
  <c r="R608" i="1"/>
  <c r="Q608" i="1"/>
  <c r="L608" i="1"/>
  <c r="T607" i="1"/>
  <c r="S607" i="1"/>
  <c r="R607" i="1"/>
  <c r="Q607" i="1"/>
  <c r="L607" i="1"/>
  <c r="T606" i="1"/>
  <c r="S606" i="1"/>
  <c r="R606" i="1"/>
  <c r="Q606" i="1"/>
  <c r="L606" i="1"/>
  <c r="T605" i="1"/>
  <c r="S605" i="1"/>
  <c r="R605" i="1"/>
  <c r="Q605" i="1"/>
  <c r="L605" i="1"/>
  <c r="T604" i="1"/>
  <c r="S604" i="1"/>
  <c r="R604" i="1"/>
  <c r="Q604" i="1"/>
  <c r="L604" i="1"/>
  <c r="T603" i="1"/>
  <c r="S603" i="1"/>
  <c r="R603" i="1"/>
  <c r="Q603" i="1"/>
  <c r="L603" i="1"/>
  <c r="T602" i="1"/>
  <c r="S602" i="1"/>
  <c r="R602" i="1"/>
  <c r="Q602" i="1"/>
  <c r="L602" i="1"/>
  <c r="T601" i="1"/>
  <c r="S601" i="1"/>
  <c r="R601" i="1"/>
  <c r="Q601" i="1"/>
  <c r="L601" i="1"/>
  <c r="T600" i="1"/>
  <c r="S600" i="1"/>
  <c r="R600" i="1"/>
  <c r="Q600" i="1"/>
  <c r="L600" i="1"/>
  <c r="T599" i="1"/>
  <c r="S599" i="1"/>
  <c r="R599" i="1"/>
  <c r="Q599" i="1"/>
  <c r="L599" i="1"/>
  <c r="T598" i="1"/>
  <c r="S598" i="1"/>
  <c r="R598" i="1"/>
  <c r="Q598" i="1"/>
  <c r="L598" i="1"/>
  <c r="T597" i="1"/>
  <c r="S597" i="1"/>
  <c r="R597" i="1"/>
  <c r="Q597" i="1"/>
  <c r="L597" i="1"/>
  <c r="T596" i="1"/>
  <c r="S596" i="1"/>
  <c r="R596" i="1"/>
  <c r="Q596" i="1"/>
  <c r="L596" i="1"/>
  <c r="T595" i="1"/>
  <c r="S595" i="1"/>
  <c r="R595" i="1"/>
  <c r="Q595" i="1"/>
  <c r="L595" i="1"/>
  <c r="T594" i="1"/>
  <c r="S594" i="1"/>
  <c r="R594" i="1"/>
  <c r="Q594" i="1"/>
  <c r="L594" i="1"/>
  <c r="T593" i="1"/>
  <c r="S593" i="1"/>
  <c r="R593" i="1"/>
  <c r="Q593" i="1"/>
  <c r="L593" i="1"/>
  <c r="T592" i="1"/>
  <c r="S592" i="1"/>
  <c r="R592" i="1"/>
  <c r="Q592" i="1"/>
  <c r="L592" i="1"/>
  <c r="T591" i="1"/>
  <c r="S591" i="1"/>
  <c r="R591" i="1"/>
  <c r="Q591" i="1"/>
  <c r="L591" i="1"/>
  <c r="T590" i="1"/>
  <c r="S590" i="1"/>
  <c r="R590" i="1"/>
  <c r="Q590" i="1"/>
  <c r="L590" i="1"/>
  <c r="T589" i="1"/>
  <c r="S589" i="1"/>
  <c r="R589" i="1"/>
  <c r="Q589" i="1"/>
  <c r="L589" i="1"/>
  <c r="T588" i="1"/>
  <c r="S588" i="1"/>
  <c r="R588" i="1"/>
  <c r="Q588" i="1"/>
  <c r="L588" i="1"/>
  <c r="T587" i="1"/>
  <c r="S587" i="1"/>
  <c r="R587" i="1"/>
  <c r="Q587" i="1"/>
  <c r="L587" i="1"/>
  <c r="T586" i="1"/>
  <c r="S586" i="1"/>
  <c r="R586" i="1"/>
  <c r="Q586" i="1"/>
  <c r="L586" i="1"/>
  <c r="T585" i="1"/>
  <c r="S585" i="1"/>
  <c r="R585" i="1"/>
  <c r="Q585" i="1"/>
  <c r="L585" i="1"/>
  <c r="T584" i="1"/>
  <c r="S584" i="1"/>
  <c r="R584" i="1"/>
  <c r="Q584" i="1"/>
  <c r="L584" i="1"/>
  <c r="T583" i="1"/>
  <c r="S583" i="1"/>
  <c r="R583" i="1"/>
  <c r="Q583" i="1"/>
  <c r="L583" i="1"/>
  <c r="T582" i="1"/>
  <c r="S582" i="1"/>
  <c r="R582" i="1"/>
  <c r="Q582" i="1"/>
  <c r="L582" i="1"/>
  <c r="T581" i="1"/>
  <c r="S581" i="1"/>
  <c r="R581" i="1"/>
  <c r="Q581" i="1"/>
  <c r="L581" i="1"/>
  <c r="T580" i="1"/>
  <c r="S580" i="1"/>
  <c r="R580" i="1"/>
  <c r="Q580" i="1"/>
  <c r="L580" i="1"/>
  <c r="T579" i="1"/>
  <c r="S579" i="1"/>
  <c r="R579" i="1"/>
  <c r="Q579" i="1"/>
  <c r="L579" i="1"/>
  <c r="T578" i="1"/>
  <c r="S578" i="1"/>
  <c r="R578" i="1"/>
  <c r="Q578" i="1"/>
  <c r="L578" i="1"/>
  <c r="T577" i="1"/>
  <c r="S577" i="1"/>
  <c r="R577" i="1"/>
  <c r="Q577" i="1"/>
  <c r="L577" i="1"/>
  <c r="T576" i="1"/>
  <c r="S576" i="1"/>
  <c r="R576" i="1"/>
  <c r="Q576" i="1"/>
  <c r="L576" i="1"/>
  <c r="T575" i="1"/>
  <c r="S575" i="1"/>
  <c r="R575" i="1"/>
  <c r="Q575" i="1"/>
  <c r="L575" i="1"/>
  <c r="T574" i="1"/>
  <c r="S574" i="1"/>
  <c r="R574" i="1"/>
  <c r="Q574" i="1"/>
  <c r="L574" i="1"/>
  <c r="T573" i="1"/>
  <c r="S573" i="1"/>
  <c r="R573" i="1"/>
  <c r="Q573" i="1"/>
  <c r="L573" i="1"/>
  <c r="T572" i="1"/>
  <c r="S572" i="1"/>
  <c r="R572" i="1"/>
  <c r="Q572" i="1"/>
  <c r="L572" i="1"/>
  <c r="T571" i="1"/>
  <c r="S571" i="1"/>
  <c r="R571" i="1"/>
  <c r="Q571" i="1"/>
  <c r="L571" i="1"/>
  <c r="T570" i="1"/>
  <c r="S570" i="1"/>
  <c r="R570" i="1"/>
  <c r="Q570" i="1"/>
  <c r="L570" i="1"/>
  <c r="T569" i="1"/>
  <c r="S569" i="1"/>
  <c r="R569" i="1"/>
  <c r="Q569" i="1"/>
  <c r="L569" i="1"/>
  <c r="T568" i="1"/>
  <c r="S568" i="1"/>
  <c r="R568" i="1"/>
  <c r="Q568" i="1"/>
  <c r="L568" i="1"/>
  <c r="T567" i="1"/>
  <c r="S567" i="1"/>
  <c r="R567" i="1"/>
  <c r="Q567" i="1"/>
  <c r="L567" i="1"/>
  <c r="T566" i="1"/>
  <c r="S566" i="1"/>
  <c r="R566" i="1"/>
  <c r="Q566" i="1"/>
  <c r="L566" i="1"/>
  <c r="T565" i="1"/>
  <c r="S565" i="1"/>
  <c r="R565" i="1"/>
  <c r="Q565" i="1"/>
  <c r="L565" i="1"/>
  <c r="T564" i="1"/>
  <c r="S564" i="1"/>
  <c r="R564" i="1"/>
  <c r="Q564" i="1"/>
  <c r="L564" i="1"/>
  <c r="T563" i="1"/>
  <c r="S563" i="1"/>
  <c r="R563" i="1"/>
  <c r="Q563" i="1"/>
  <c r="L563" i="1"/>
  <c r="T562" i="1"/>
  <c r="S562" i="1"/>
  <c r="R562" i="1"/>
  <c r="Q562" i="1"/>
  <c r="L562" i="1"/>
  <c r="T561" i="1"/>
  <c r="S561" i="1"/>
  <c r="R561" i="1"/>
  <c r="Q561" i="1"/>
  <c r="L561" i="1"/>
  <c r="T560" i="1"/>
  <c r="S560" i="1"/>
  <c r="R560" i="1"/>
  <c r="Q560" i="1"/>
  <c r="L560" i="1"/>
  <c r="T559" i="1"/>
  <c r="S559" i="1"/>
  <c r="R559" i="1"/>
  <c r="Q559" i="1"/>
  <c r="L559" i="1"/>
  <c r="T558" i="1"/>
  <c r="S558" i="1"/>
  <c r="R558" i="1"/>
  <c r="Q558" i="1"/>
  <c r="L558" i="1"/>
  <c r="T557" i="1"/>
  <c r="S557" i="1"/>
  <c r="R557" i="1"/>
  <c r="Q557" i="1"/>
  <c r="L557" i="1"/>
  <c r="T556" i="1"/>
  <c r="S556" i="1"/>
  <c r="R556" i="1"/>
  <c r="Q556" i="1"/>
  <c r="L556" i="1"/>
  <c r="T555" i="1"/>
  <c r="S555" i="1"/>
  <c r="R555" i="1"/>
  <c r="Q555" i="1"/>
  <c r="L555" i="1"/>
  <c r="T554" i="1"/>
  <c r="S554" i="1"/>
  <c r="R554" i="1"/>
  <c r="Q554" i="1"/>
  <c r="L554" i="1"/>
  <c r="T553" i="1"/>
  <c r="S553" i="1"/>
  <c r="R553" i="1"/>
  <c r="Q553" i="1"/>
  <c r="L553" i="1"/>
  <c r="T552" i="1"/>
  <c r="S552" i="1"/>
  <c r="R552" i="1"/>
  <c r="Q552" i="1"/>
  <c r="L552" i="1"/>
  <c r="T551" i="1"/>
  <c r="S551" i="1"/>
  <c r="R551" i="1"/>
  <c r="Q551" i="1"/>
  <c r="L551" i="1"/>
  <c r="T550" i="1"/>
  <c r="S550" i="1"/>
  <c r="R550" i="1"/>
  <c r="Q550" i="1"/>
  <c r="L550" i="1"/>
  <c r="T549" i="1"/>
  <c r="S549" i="1"/>
  <c r="R549" i="1"/>
  <c r="Q549" i="1"/>
  <c r="L549" i="1"/>
  <c r="T548" i="1"/>
  <c r="S548" i="1"/>
  <c r="R548" i="1"/>
  <c r="Q548" i="1"/>
  <c r="L548" i="1"/>
  <c r="T547" i="1"/>
  <c r="S547" i="1"/>
  <c r="R547" i="1"/>
  <c r="Q547" i="1"/>
  <c r="L547" i="1"/>
  <c r="T546" i="1"/>
  <c r="S546" i="1"/>
  <c r="R546" i="1"/>
  <c r="Q546" i="1"/>
  <c r="L546" i="1"/>
  <c r="T545" i="1"/>
  <c r="S545" i="1"/>
  <c r="R545" i="1"/>
  <c r="Q545" i="1"/>
  <c r="L545" i="1"/>
  <c r="T544" i="1"/>
  <c r="S544" i="1"/>
  <c r="R544" i="1"/>
  <c r="Q544" i="1"/>
  <c r="L544" i="1"/>
  <c r="T543" i="1"/>
  <c r="S543" i="1"/>
  <c r="R543" i="1"/>
  <c r="Q543" i="1"/>
  <c r="L543" i="1"/>
  <c r="T542" i="1"/>
  <c r="S542" i="1"/>
  <c r="R542" i="1"/>
  <c r="Q542" i="1"/>
  <c r="L542" i="1"/>
  <c r="T541" i="1"/>
  <c r="S541" i="1"/>
  <c r="R541" i="1"/>
  <c r="Q541" i="1"/>
  <c r="L541" i="1"/>
  <c r="T540" i="1"/>
  <c r="S540" i="1"/>
  <c r="R540" i="1"/>
  <c r="Q540" i="1"/>
  <c r="L540" i="1"/>
  <c r="T539" i="1"/>
  <c r="S539" i="1"/>
  <c r="R539" i="1"/>
  <c r="Q539" i="1"/>
  <c r="L539" i="1"/>
  <c r="T538" i="1"/>
  <c r="S538" i="1"/>
  <c r="R538" i="1"/>
  <c r="Q538" i="1"/>
  <c r="L538" i="1"/>
  <c r="T537" i="1"/>
  <c r="S537" i="1"/>
  <c r="R537" i="1"/>
  <c r="Q537" i="1"/>
  <c r="L537" i="1"/>
  <c r="T536" i="1"/>
  <c r="S536" i="1"/>
  <c r="R536" i="1"/>
  <c r="Q536" i="1"/>
  <c r="L536" i="1"/>
  <c r="T535" i="1"/>
  <c r="S535" i="1"/>
  <c r="R535" i="1"/>
  <c r="Q535" i="1"/>
  <c r="L535" i="1"/>
  <c r="T534" i="1"/>
  <c r="S534" i="1"/>
  <c r="R534" i="1"/>
  <c r="Q534" i="1"/>
  <c r="L534" i="1"/>
  <c r="T533" i="1"/>
  <c r="S533" i="1"/>
  <c r="R533" i="1"/>
  <c r="Q533" i="1"/>
  <c r="L533" i="1"/>
  <c r="T532" i="1"/>
  <c r="S532" i="1"/>
  <c r="R532" i="1"/>
  <c r="Q532" i="1"/>
  <c r="L532" i="1"/>
  <c r="T531" i="1"/>
  <c r="S531" i="1"/>
  <c r="R531" i="1"/>
  <c r="Q531" i="1"/>
  <c r="L531" i="1"/>
  <c r="T530" i="1"/>
  <c r="S530" i="1"/>
  <c r="R530" i="1"/>
  <c r="Q530" i="1"/>
  <c r="L530" i="1"/>
  <c r="T529" i="1"/>
  <c r="S529" i="1"/>
  <c r="R529" i="1"/>
  <c r="Q529" i="1"/>
  <c r="L529" i="1"/>
  <c r="T528" i="1"/>
  <c r="S528" i="1"/>
  <c r="R528" i="1"/>
  <c r="Q528" i="1"/>
  <c r="L528" i="1"/>
  <c r="T527" i="1"/>
  <c r="S527" i="1"/>
  <c r="R527" i="1"/>
  <c r="Q527" i="1"/>
  <c r="L527" i="1"/>
  <c r="T526" i="1"/>
  <c r="S526" i="1"/>
  <c r="R526" i="1"/>
  <c r="Q526" i="1"/>
  <c r="L526" i="1"/>
  <c r="T525" i="1"/>
  <c r="S525" i="1"/>
  <c r="R525" i="1"/>
  <c r="Q525" i="1"/>
  <c r="L525" i="1"/>
  <c r="T524" i="1"/>
  <c r="S524" i="1"/>
  <c r="R524" i="1"/>
  <c r="Q524" i="1"/>
  <c r="L524" i="1"/>
  <c r="T523" i="1"/>
  <c r="S523" i="1"/>
  <c r="R523" i="1"/>
  <c r="Q523" i="1"/>
  <c r="L523" i="1"/>
  <c r="T522" i="1"/>
  <c r="S522" i="1"/>
  <c r="R522" i="1"/>
  <c r="Q522" i="1"/>
  <c r="L522" i="1"/>
  <c r="T521" i="1"/>
  <c r="S521" i="1"/>
  <c r="R521" i="1"/>
  <c r="Q521" i="1"/>
  <c r="L521" i="1"/>
  <c r="T520" i="1"/>
  <c r="S520" i="1"/>
  <c r="R520" i="1"/>
  <c r="Q520" i="1"/>
  <c r="L520" i="1"/>
  <c r="T519" i="1"/>
  <c r="S519" i="1"/>
  <c r="R519" i="1"/>
  <c r="Q519" i="1"/>
  <c r="L519" i="1"/>
  <c r="T518" i="1"/>
  <c r="S518" i="1"/>
  <c r="R518" i="1"/>
  <c r="Q518" i="1"/>
  <c r="L518" i="1"/>
  <c r="T517" i="1"/>
  <c r="S517" i="1"/>
  <c r="R517" i="1"/>
  <c r="Q517" i="1"/>
  <c r="L517" i="1"/>
  <c r="T516" i="1"/>
  <c r="S516" i="1"/>
  <c r="R516" i="1"/>
  <c r="Q516" i="1"/>
  <c r="L516" i="1"/>
  <c r="T515" i="1"/>
  <c r="S515" i="1"/>
  <c r="R515" i="1"/>
  <c r="Q515" i="1"/>
  <c r="L515" i="1"/>
  <c r="T514" i="1"/>
  <c r="S514" i="1"/>
  <c r="R514" i="1"/>
  <c r="Q514" i="1"/>
  <c r="L514" i="1"/>
  <c r="T513" i="1"/>
  <c r="S513" i="1"/>
  <c r="R513" i="1"/>
  <c r="Q513" i="1"/>
  <c r="L513" i="1"/>
  <c r="T512" i="1"/>
  <c r="S512" i="1"/>
  <c r="R512" i="1"/>
  <c r="Q512" i="1"/>
  <c r="L512" i="1"/>
  <c r="T511" i="1"/>
  <c r="S511" i="1"/>
  <c r="R511" i="1"/>
  <c r="Q511" i="1"/>
  <c r="L511" i="1"/>
  <c r="T510" i="1"/>
  <c r="S510" i="1"/>
  <c r="R510" i="1"/>
  <c r="Q510" i="1"/>
  <c r="L510" i="1"/>
  <c r="T509" i="1"/>
  <c r="S509" i="1"/>
  <c r="R509" i="1"/>
  <c r="Q509" i="1"/>
  <c r="L509" i="1"/>
  <c r="T508" i="1"/>
  <c r="S508" i="1"/>
  <c r="R508" i="1"/>
  <c r="Q508" i="1"/>
  <c r="L508" i="1"/>
  <c r="T507" i="1"/>
  <c r="S507" i="1"/>
  <c r="R507" i="1"/>
  <c r="Q507" i="1"/>
  <c r="L507" i="1"/>
  <c r="T506" i="1"/>
  <c r="S506" i="1"/>
  <c r="R506" i="1"/>
  <c r="Q506" i="1"/>
  <c r="L506" i="1"/>
  <c r="T505" i="1"/>
  <c r="S505" i="1"/>
  <c r="R505" i="1"/>
  <c r="Q505" i="1"/>
  <c r="L505" i="1"/>
  <c r="T504" i="1"/>
  <c r="S504" i="1"/>
  <c r="R504" i="1"/>
  <c r="Q504" i="1"/>
  <c r="L504" i="1"/>
  <c r="T503" i="1"/>
  <c r="S503" i="1"/>
  <c r="R503" i="1"/>
  <c r="Q503" i="1"/>
  <c r="L503" i="1"/>
  <c r="T502" i="1"/>
  <c r="S502" i="1"/>
  <c r="R502" i="1"/>
  <c r="Q502" i="1"/>
  <c r="L502" i="1"/>
  <c r="T501" i="1"/>
  <c r="S501" i="1"/>
  <c r="R501" i="1"/>
  <c r="Q501" i="1"/>
  <c r="L501" i="1"/>
  <c r="T500" i="1"/>
  <c r="S500" i="1"/>
  <c r="R500" i="1"/>
  <c r="Q500" i="1"/>
  <c r="L500" i="1"/>
  <c r="T499" i="1"/>
  <c r="S499" i="1"/>
  <c r="R499" i="1"/>
  <c r="Q499" i="1"/>
  <c r="L499" i="1"/>
  <c r="T498" i="1"/>
  <c r="S498" i="1"/>
  <c r="R498" i="1"/>
  <c r="Q498" i="1"/>
  <c r="L498" i="1"/>
  <c r="T497" i="1"/>
  <c r="S497" i="1"/>
  <c r="R497" i="1"/>
  <c r="Q497" i="1"/>
  <c r="L497" i="1"/>
  <c r="T496" i="1"/>
  <c r="S496" i="1"/>
  <c r="R496" i="1"/>
  <c r="Q496" i="1"/>
  <c r="L496" i="1"/>
  <c r="T495" i="1"/>
  <c r="S495" i="1"/>
  <c r="R495" i="1"/>
  <c r="Q495" i="1"/>
  <c r="L495" i="1"/>
  <c r="T494" i="1"/>
  <c r="S494" i="1"/>
  <c r="R494" i="1"/>
  <c r="Q494" i="1"/>
  <c r="L494" i="1"/>
  <c r="T493" i="1"/>
  <c r="S493" i="1"/>
  <c r="R493" i="1"/>
  <c r="Q493" i="1"/>
  <c r="L493" i="1"/>
  <c r="T492" i="1"/>
  <c r="S492" i="1"/>
  <c r="R492" i="1"/>
  <c r="Q492" i="1"/>
  <c r="L492" i="1"/>
  <c r="T491" i="1"/>
  <c r="S491" i="1"/>
  <c r="R491" i="1"/>
  <c r="Q491" i="1"/>
  <c r="L491" i="1"/>
  <c r="T490" i="1"/>
  <c r="S490" i="1"/>
  <c r="R490" i="1"/>
  <c r="Q490" i="1"/>
  <c r="L490" i="1"/>
  <c r="T489" i="1"/>
  <c r="S489" i="1"/>
  <c r="R489" i="1"/>
  <c r="Q489" i="1"/>
  <c r="L489" i="1"/>
  <c r="T488" i="1"/>
  <c r="S488" i="1"/>
  <c r="R488" i="1"/>
  <c r="Q488" i="1"/>
  <c r="L488" i="1"/>
  <c r="T487" i="1"/>
  <c r="S487" i="1"/>
  <c r="R487" i="1"/>
  <c r="Q487" i="1"/>
  <c r="L487" i="1"/>
  <c r="T486" i="1"/>
  <c r="S486" i="1"/>
  <c r="R486" i="1"/>
  <c r="Q486" i="1"/>
  <c r="L486" i="1"/>
  <c r="T485" i="1"/>
  <c r="S485" i="1"/>
  <c r="R485" i="1"/>
  <c r="Q485" i="1"/>
  <c r="L485" i="1"/>
  <c r="T484" i="1"/>
  <c r="S484" i="1"/>
  <c r="R484" i="1"/>
  <c r="Q484" i="1"/>
  <c r="L484" i="1"/>
  <c r="T483" i="1"/>
  <c r="S483" i="1"/>
  <c r="R483" i="1"/>
  <c r="Q483" i="1"/>
  <c r="L483" i="1"/>
  <c r="T482" i="1"/>
  <c r="S482" i="1"/>
  <c r="R482" i="1"/>
  <c r="Q482" i="1"/>
  <c r="L482" i="1"/>
  <c r="T481" i="1"/>
  <c r="S481" i="1"/>
  <c r="R481" i="1"/>
  <c r="Q481" i="1"/>
  <c r="L481" i="1"/>
  <c r="T480" i="1"/>
  <c r="S480" i="1"/>
  <c r="R480" i="1"/>
  <c r="Q480" i="1"/>
  <c r="L480" i="1"/>
  <c r="T479" i="1"/>
  <c r="S479" i="1"/>
  <c r="R479" i="1"/>
  <c r="Q479" i="1"/>
  <c r="L479" i="1"/>
  <c r="T478" i="1"/>
  <c r="S478" i="1"/>
  <c r="R478" i="1"/>
  <c r="Q478" i="1"/>
  <c r="L478" i="1"/>
  <c r="T477" i="1"/>
  <c r="S477" i="1"/>
  <c r="R477" i="1"/>
  <c r="Q477" i="1"/>
  <c r="L477" i="1"/>
  <c r="T476" i="1"/>
  <c r="S476" i="1"/>
  <c r="R476" i="1"/>
  <c r="Q476" i="1"/>
  <c r="L476" i="1"/>
  <c r="T475" i="1"/>
  <c r="S475" i="1"/>
  <c r="R475" i="1"/>
  <c r="Q475" i="1"/>
  <c r="L475" i="1"/>
  <c r="T474" i="1"/>
  <c r="S474" i="1"/>
  <c r="R474" i="1"/>
  <c r="Q474" i="1"/>
  <c r="L474" i="1"/>
  <c r="T473" i="1"/>
  <c r="S473" i="1"/>
  <c r="R473" i="1"/>
  <c r="Q473" i="1"/>
  <c r="L473" i="1"/>
  <c r="T472" i="1"/>
  <c r="S472" i="1"/>
  <c r="R472" i="1"/>
  <c r="Q472" i="1"/>
  <c r="L472" i="1"/>
  <c r="T471" i="1"/>
  <c r="S471" i="1"/>
  <c r="R471" i="1"/>
  <c r="Q471" i="1"/>
  <c r="L471" i="1"/>
  <c r="T470" i="1"/>
  <c r="S470" i="1"/>
  <c r="R470" i="1"/>
  <c r="Q470" i="1"/>
  <c r="L470" i="1"/>
  <c r="T469" i="1"/>
  <c r="S469" i="1"/>
  <c r="R469" i="1"/>
  <c r="Q469" i="1"/>
  <c r="L469" i="1"/>
  <c r="T468" i="1"/>
  <c r="S468" i="1"/>
  <c r="R468" i="1"/>
  <c r="Q468" i="1"/>
  <c r="L468" i="1"/>
  <c r="T467" i="1"/>
  <c r="S467" i="1"/>
  <c r="R467" i="1"/>
  <c r="Q467" i="1"/>
  <c r="L467" i="1"/>
  <c r="T466" i="1"/>
  <c r="S466" i="1"/>
  <c r="R466" i="1"/>
  <c r="Q466" i="1"/>
  <c r="L466" i="1"/>
  <c r="T465" i="1"/>
  <c r="S465" i="1"/>
  <c r="R465" i="1"/>
  <c r="Q465" i="1"/>
  <c r="L465" i="1"/>
  <c r="T464" i="1"/>
  <c r="S464" i="1"/>
  <c r="R464" i="1"/>
  <c r="Q464" i="1"/>
  <c r="L464" i="1"/>
  <c r="T463" i="1"/>
  <c r="S463" i="1"/>
  <c r="R463" i="1"/>
  <c r="Q463" i="1"/>
  <c r="L463" i="1"/>
  <c r="T462" i="1"/>
  <c r="S462" i="1"/>
  <c r="R462" i="1"/>
  <c r="Q462" i="1"/>
  <c r="L462" i="1"/>
  <c r="T461" i="1"/>
  <c r="S461" i="1"/>
  <c r="R461" i="1"/>
  <c r="Q461" i="1"/>
  <c r="L461" i="1"/>
  <c r="T460" i="1"/>
  <c r="S460" i="1"/>
  <c r="R460" i="1"/>
  <c r="Q460" i="1"/>
  <c r="L460" i="1"/>
  <c r="T459" i="1"/>
  <c r="S459" i="1"/>
  <c r="R459" i="1"/>
  <c r="Q459" i="1"/>
  <c r="L459" i="1"/>
  <c r="T458" i="1"/>
  <c r="S458" i="1"/>
  <c r="R458" i="1"/>
  <c r="Q458" i="1"/>
  <c r="L458" i="1"/>
  <c r="T457" i="1"/>
  <c r="S457" i="1"/>
  <c r="R457" i="1"/>
  <c r="Q457" i="1"/>
  <c r="L457" i="1"/>
  <c r="T456" i="1"/>
  <c r="S456" i="1"/>
  <c r="R456" i="1"/>
  <c r="Q456" i="1"/>
  <c r="L456" i="1"/>
  <c r="T455" i="1"/>
  <c r="S455" i="1"/>
  <c r="R455" i="1"/>
  <c r="Q455" i="1"/>
  <c r="L455" i="1"/>
  <c r="T454" i="1"/>
  <c r="S454" i="1"/>
  <c r="R454" i="1"/>
  <c r="Q454" i="1"/>
  <c r="L454" i="1"/>
  <c r="T453" i="1"/>
  <c r="S453" i="1"/>
  <c r="R453" i="1"/>
  <c r="Q453" i="1"/>
  <c r="L453" i="1"/>
  <c r="T452" i="1"/>
  <c r="S452" i="1"/>
  <c r="R452" i="1"/>
  <c r="Q452" i="1"/>
  <c r="L452" i="1"/>
  <c r="T451" i="1"/>
  <c r="S451" i="1"/>
  <c r="R451" i="1"/>
  <c r="Q451" i="1"/>
  <c r="L451" i="1"/>
  <c r="T450" i="1"/>
  <c r="S450" i="1"/>
  <c r="R450" i="1"/>
  <c r="Q450" i="1"/>
  <c r="L450" i="1"/>
  <c r="T449" i="1"/>
  <c r="S449" i="1"/>
  <c r="R449" i="1"/>
  <c r="Q449" i="1"/>
  <c r="L449" i="1"/>
  <c r="T448" i="1"/>
  <c r="S448" i="1"/>
  <c r="R448" i="1"/>
  <c r="Q448" i="1"/>
  <c r="L448" i="1"/>
  <c r="T447" i="1"/>
  <c r="S447" i="1"/>
  <c r="R447" i="1"/>
  <c r="Q447" i="1"/>
  <c r="L447" i="1"/>
  <c r="T446" i="1"/>
  <c r="S446" i="1"/>
  <c r="R446" i="1"/>
  <c r="Q446" i="1"/>
  <c r="L446" i="1"/>
  <c r="T445" i="1"/>
  <c r="S445" i="1"/>
  <c r="R445" i="1"/>
  <c r="Q445" i="1"/>
  <c r="L445" i="1"/>
  <c r="T444" i="1"/>
  <c r="S444" i="1"/>
  <c r="R444" i="1"/>
  <c r="Q444" i="1"/>
  <c r="L444" i="1"/>
  <c r="T443" i="1"/>
  <c r="S443" i="1"/>
  <c r="R443" i="1"/>
  <c r="Q443" i="1"/>
  <c r="L443" i="1"/>
  <c r="T442" i="1"/>
  <c r="S442" i="1"/>
  <c r="R442" i="1"/>
  <c r="Q442" i="1"/>
  <c r="L442" i="1"/>
  <c r="T441" i="1"/>
  <c r="S441" i="1"/>
  <c r="R441" i="1"/>
  <c r="Q441" i="1"/>
  <c r="L441" i="1"/>
  <c r="T440" i="1"/>
  <c r="S440" i="1"/>
  <c r="R440" i="1"/>
  <c r="Q440" i="1"/>
  <c r="L440" i="1"/>
  <c r="T439" i="1"/>
  <c r="S439" i="1"/>
  <c r="R439" i="1"/>
  <c r="Q439" i="1"/>
  <c r="L439" i="1"/>
  <c r="T438" i="1"/>
  <c r="S438" i="1"/>
  <c r="R438" i="1"/>
  <c r="Q438" i="1"/>
  <c r="L438" i="1"/>
  <c r="T437" i="1"/>
  <c r="S437" i="1"/>
  <c r="R437" i="1"/>
  <c r="Q437" i="1"/>
  <c r="L437" i="1"/>
  <c r="T436" i="1"/>
  <c r="S436" i="1"/>
  <c r="R436" i="1"/>
  <c r="Q436" i="1"/>
  <c r="L436" i="1"/>
  <c r="T435" i="1"/>
  <c r="S435" i="1"/>
  <c r="R435" i="1"/>
  <c r="Q435" i="1"/>
  <c r="L435" i="1"/>
  <c r="T434" i="1"/>
  <c r="S434" i="1"/>
  <c r="R434" i="1"/>
  <c r="Q434" i="1"/>
  <c r="L434" i="1"/>
  <c r="T433" i="1"/>
  <c r="S433" i="1"/>
  <c r="R433" i="1"/>
  <c r="Q433" i="1"/>
  <c r="L433" i="1"/>
  <c r="T432" i="1"/>
  <c r="S432" i="1"/>
  <c r="R432" i="1"/>
  <c r="Q432" i="1"/>
  <c r="L432" i="1"/>
  <c r="T431" i="1"/>
  <c r="S431" i="1"/>
  <c r="R431" i="1"/>
  <c r="Q431" i="1"/>
  <c r="L431" i="1"/>
  <c r="T430" i="1"/>
  <c r="S430" i="1"/>
  <c r="R430" i="1"/>
  <c r="Q430" i="1"/>
  <c r="L430" i="1"/>
  <c r="T429" i="1"/>
  <c r="S429" i="1"/>
  <c r="R429" i="1"/>
  <c r="Q429" i="1"/>
  <c r="L429" i="1"/>
  <c r="T428" i="1"/>
  <c r="S428" i="1"/>
  <c r="R428" i="1"/>
  <c r="Q428" i="1"/>
  <c r="L428" i="1"/>
  <c r="T427" i="1"/>
  <c r="S427" i="1"/>
  <c r="R427" i="1"/>
  <c r="Q427" i="1"/>
  <c r="L427" i="1"/>
  <c r="T426" i="1"/>
  <c r="S426" i="1"/>
  <c r="R426" i="1"/>
  <c r="Q426" i="1"/>
  <c r="L426" i="1"/>
  <c r="T425" i="1"/>
  <c r="S425" i="1"/>
  <c r="R425" i="1"/>
  <c r="Q425" i="1"/>
  <c r="L425" i="1"/>
  <c r="T424" i="1"/>
  <c r="S424" i="1"/>
  <c r="R424" i="1"/>
  <c r="Q424" i="1"/>
  <c r="L424" i="1"/>
  <c r="T423" i="1"/>
  <c r="S423" i="1"/>
  <c r="R423" i="1"/>
  <c r="Q423" i="1"/>
  <c r="L423" i="1"/>
  <c r="T422" i="1"/>
  <c r="S422" i="1"/>
  <c r="R422" i="1"/>
  <c r="Q422" i="1"/>
  <c r="L422" i="1"/>
  <c r="T421" i="1"/>
  <c r="S421" i="1"/>
  <c r="R421" i="1"/>
  <c r="Q421" i="1"/>
  <c r="L421" i="1"/>
  <c r="T420" i="1"/>
  <c r="S420" i="1"/>
  <c r="R420" i="1"/>
  <c r="Q420" i="1"/>
  <c r="L420" i="1"/>
  <c r="T419" i="1"/>
  <c r="S419" i="1"/>
  <c r="R419" i="1"/>
  <c r="Q419" i="1"/>
  <c r="L419" i="1"/>
  <c r="T418" i="1"/>
  <c r="S418" i="1"/>
  <c r="R418" i="1"/>
  <c r="Q418" i="1"/>
  <c r="L418" i="1"/>
  <c r="T417" i="1"/>
  <c r="S417" i="1"/>
  <c r="R417" i="1"/>
  <c r="Q417" i="1"/>
  <c r="L417" i="1"/>
  <c r="T416" i="1"/>
  <c r="S416" i="1"/>
  <c r="R416" i="1"/>
  <c r="Q416" i="1"/>
  <c r="L416" i="1"/>
  <c r="T415" i="1"/>
  <c r="S415" i="1"/>
  <c r="R415" i="1"/>
  <c r="Q415" i="1"/>
  <c r="L415" i="1"/>
  <c r="T414" i="1"/>
  <c r="S414" i="1"/>
  <c r="R414" i="1"/>
  <c r="Q414" i="1"/>
  <c r="L414" i="1"/>
  <c r="T413" i="1"/>
  <c r="S413" i="1"/>
  <c r="R413" i="1"/>
  <c r="Q413" i="1"/>
  <c r="L413" i="1"/>
  <c r="T412" i="1"/>
  <c r="S412" i="1"/>
  <c r="R412" i="1"/>
  <c r="Q412" i="1"/>
  <c r="L412" i="1"/>
  <c r="T411" i="1"/>
  <c r="S411" i="1"/>
  <c r="R411" i="1"/>
  <c r="Q411" i="1"/>
  <c r="L411" i="1"/>
  <c r="T410" i="1"/>
  <c r="S410" i="1"/>
  <c r="R410" i="1"/>
  <c r="Q410" i="1"/>
  <c r="L410" i="1"/>
  <c r="T409" i="1"/>
  <c r="S409" i="1"/>
  <c r="R409" i="1"/>
  <c r="Q409" i="1"/>
  <c r="L409" i="1"/>
  <c r="T408" i="1"/>
  <c r="S408" i="1"/>
  <c r="R408" i="1"/>
  <c r="Q408" i="1"/>
  <c r="L408" i="1"/>
  <c r="T407" i="1"/>
  <c r="S407" i="1"/>
  <c r="R407" i="1"/>
  <c r="Q407" i="1"/>
  <c r="L407" i="1"/>
  <c r="T406" i="1"/>
  <c r="S406" i="1"/>
  <c r="R406" i="1"/>
  <c r="Q406" i="1"/>
  <c r="L406" i="1"/>
  <c r="T405" i="1"/>
  <c r="S405" i="1"/>
  <c r="R405" i="1"/>
  <c r="Q405" i="1"/>
  <c r="L405" i="1"/>
  <c r="T404" i="1"/>
  <c r="S404" i="1"/>
  <c r="R404" i="1"/>
  <c r="Q404" i="1"/>
  <c r="L404" i="1"/>
  <c r="T403" i="1"/>
  <c r="S403" i="1"/>
  <c r="R403" i="1"/>
  <c r="Q403" i="1"/>
  <c r="L403" i="1"/>
  <c r="T402" i="1"/>
  <c r="S402" i="1"/>
  <c r="R402" i="1"/>
  <c r="Q402" i="1"/>
  <c r="L402" i="1"/>
  <c r="T401" i="1"/>
  <c r="S401" i="1"/>
  <c r="R401" i="1"/>
  <c r="Q401" i="1"/>
  <c r="L401" i="1"/>
  <c r="T400" i="1"/>
  <c r="S400" i="1"/>
  <c r="R400" i="1"/>
  <c r="Q400" i="1"/>
  <c r="L400" i="1"/>
  <c r="T399" i="1"/>
  <c r="S399" i="1"/>
  <c r="R399" i="1"/>
  <c r="Q399" i="1"/>
  <c r="L399" i="1"/>
  <c r="T398" i="1"/>
  <c r="S398" i="1"/>
  <c r="R398" i="1"/>
  <c r="Q398" i="1"/>
  <c r="L398" i="1"/>
  <c r="T397" i="1"/>
  <c r="S397" i="1"/>
  <c r="R397" i="1"/>
  <c r="Q397" i="1"/>
  <c r="L397" i="1"/>
  <c r="T396" i="1"/>
  <c r="S396" i="1"/>
  <c r="R396" i="1"/>
  <c r="Q396" i="1"/>
  <c r="L396" i="1"/>
  <c r="T395" i="1"/>
  <c r="S395" i="1"/>
  <c r="R395" i="1"/>
  <c r="Q395" i="1"/>
  <c r="L395" i="1"/>
  <c r="T394" i="1"/>
  <c r="S394" i="1"/>
  <c r="R394" i="1"/>
  <c r="Q394" i="1"/>
  <c r="L394" i="1"/>
  <c r="T393" i="1"/>
  <c r="S393" i="1"/>
  <c r="R393" i="1"/>
  <c r="Q393" i="1"/>
  <c r="L393" i="1"/>
  <c r="T392" i="1"/>
  <c r="S392" i="1"/>
  <c r="R392" i="1"/>
  <c r="Q392" i="1"/>
  <c r="L392" i="1"/>
  <c r="T391" i="1"/>
  <c r="S391" i="1"/>
  <c r="R391" i="1"/>
  <c r="Q391" i="1"/>
  <c r="L391" i="1"/>
  <c r="T390" i="1"/>
  <c r="S390" i="1"/>
  <c r="R390" i="1"/>
  <c r="Q390" i="1"/>
  <c r="L390" i="1"/>
  <c r="T389" i="1"/>
  <c r="S389" i="1"/>
  <c r="R389" i="1"/>
  <c r="Q389" i="1"/>
  <c r="L389" i="1"/>
  <c r="T388" i="1"/>
  <c r="S388" i="1"/>
  <c r="R388" i="1"/>
  <c r="Q388" i="1"/>
  <c r="L388" i="1"/>
  <c r="T387" i="1"/>
  <c r="S387" i="1"/>
  <c r="R387" i="1"/>
  <c r="Q387" i="1"/>
  <c r="L387" i="1"/>
  <c r="T386" i="1"/>
  <c r="S386" i="1"/>
  <c r="R386" i="1"/>
  <c r="Q386" i="1"/>
  <c r="L386" i="1"/>
  <c r="T385" i="1"/>
  <c r="S385" i="1"/>
  <c r="R385" i="1"/>
  <c r="Q385" i="1"/>
  <c r="L385" i="1"/>
  <c r="T384" i="1"/>
  <c r="S384" i="1"/>
  <c r="R384" i="1"/>
  <c r="Q384" i="1"/>
  <c r="L384" i="1"/>
  <c r="T383" i="1"/>
  <c r="S383" i="1"/>
  <c r="R383" i="1"/>
  <c r="Q383" i="1"/>
  <c r="L383" i="1"/>
  <c r="T382" i="1"/>
  <c r="S382" i="1"/>
  <c r="R382" i="1"/>
  <c r="Q382" i="1"/>
  <c r="L382" i="1"/>
  <c r="T381" i="1"/>
  <c r="S381" i="1"/>
  <c r="R381" i="1"/>
  <c r="Q381" i="1"/>
  <c r="L381" i="1"/>
  <c r="T380" i="1"/>
  <c r="S380" i="1"/>
  <c r="R380" i="1"/>
  <c r="Q380" i="1"/>
  <c r="L380" i="1"/>
  <c r="T379" i="1"/>
  <c r="S379" i="1"/>
  <c r="R379" i="1"/>
  <c r="Q379" i="1"/>
  <c r="L379" i="1"/>
  <c r="T378" i="1"/>
  <c r="S378" i="1"/>
  <c r="R378" i="1"/>
  <c r="Q378" i="1"/>
  <c r="L378" i="1"/>
  <c r="T377" i="1"/>
  <c r="S377" i="1"/>
  <c r="R377" i="1"/>
  <c r="Q377" i="1"/>
  <c r="L377" i="1"/>
  <c r="T376" i="1"/>
  <c r="S376" i="1"/>
  <c r="R376" i="1"/>
  <c r="Q376" i="1"/>
  <c r="L376" i="1"/>
  <c r="T375" i="1"/>
  <c r="S375" i="1"/>
  <c r="R375" i="1"/>
  <c r="Q375" i="1"/>
  <c r="L375" i="1"/>
  <c r="T374" i="1"/>
  <c r="S374" i="1"/>
  <c r="R374" i="1"/>
  <c r="Q374" i="1"/>
  <c r="L374" i="1"/>
  <c r="T373" i="1"/>
  <c r="S373" i="1"/>
  <c r="R373" i="1"/>
  <c r="Q373" i="1"/>
  <c r="L373" i="1"/>
  <c r="T372" i="1"/>
  <c r="S372" i="1"/>
  <c r="R372" i="1"/>
  <c r="Q372" i="1"/>
  <c r="L372" i="1"/>
  <c r="T371" i="1"/>
  <c r="S371" i="1"/>
  <c r="R371" i="1"/>
  <c r="Q371" i="1"/>
  <c r="L371" i="1"/>
  <c r="T370" i="1"/>
  <c r="S370" i="1"/>
  <c r="R370" i="1"/>
  <c r="Q370" i="1"/>
  <c r="L370" i="1"/>
  <c r="T369" i="1"/>
  <c r="S369" i="1"/>
  <c r="R369" i="1"/>
  <c r="Q369" i="1"/>
  <c r="L369" i="1"/>
  <c r="T368" i="1"/>
  <c r="S368" i="1"/>
  <c r="R368" i="1"/>
  <c r="Q368" i="1"/>
  <c r="L368" i="1"/>
  <c r="T367" i="1"/>
  <c r="S367" i="1"/>
  <c r="R367" i="1"/>
  <c r="Q367" i="1"/>
  <c r="L367" i="1"/>
  <c r="T366" i="1"/>
  <c r="S366" i="1"/>
  <c r="R366" i="1"/>
  <c r="Q366" i="1"/>
  <c r="L366" i="1"/>
  <c r="T365" i="1"/>
  <c r="S365" i="1"/>
  <c r="R365" i="1"/>
  <c r="Q365" i="1"/>
  <c r="L365" i="1"/>
  <c r="T364" i="1"/>
  <c r="S364" i="1"/>
  <c r="R364" i="1"/>
  <c r="Q364" i="1"/>
  <c r="L364" i="1"/>
  <c r="T363" i="1"/>
  <c r="S363" i="1"/>
  <c r="R363" i="1"/>
  <c r="Q363" i="1"/>
  <c r="L363" i="1"/>
  <c r="T362" i="1"/>
  <c r="S362" i="1"/>
  <c r="R362" i="1"/>
  <c r="Q362" i="1"/>
  <c r="L362" i="1"/>
  <c r="T361" i="1"/>
  <c r="S361" i="1"/>
  <c r="R361" i="1"/>
  <c r="Q361" i="1"/>
  <c r="L361" i="1"/>
  <c r="T360" i="1"/>
  <c r="S360" i="1"/>
  <c r="R360" i="1"/>
  <c r="Q360" i="1"/>
  <c r="L360" i="1"/>
  <c r="T359" i="1"/>
  <c r="S359" i="1"/>
  <c r="R359" i="1"/>
  <c r="Q359" i="1"/>
  <c r="L359" i="1"/>
  <c r="T358" i="1"/>
  <c r="S358" i="1"/>
  <c r="R358" i="1"/>
  <c r="Q358" i="1"/>
  <c r="L358" i="1"/>
  <c r="T357" i="1"/>
  <c r="S357" i="1"/>
  <c r="R357" i="1"/>
  <c r="Q357" i="1"/>
  <c r="L357" i="1"/>
  <c r="T356" i="1"/>
  <c r="S356" i="1"/>
  <c r="R356" i="1"/>
  <c r="Q356" i="1"/>
  <c r="L356" i="1"/>
  <c r="T355" i="1"/>
  <c r="S355" i="1"/>
  <c r="R355" i="1"/>
  <c r="Q355" i="1"/>
  <c r="L355" i="1"/>
  <c r="T354" i="1"/>
  <c r="S354" i="1"/>
  <c r="R354" i="1"/>
  <c r="Q354" i="1"/>
  <c r="L354" i="1"/>
  <c r="T353" i="1"/>
  <c r="S353" i="1"/>
  <c r="R353" i="1"/>
  <c r="Q353" i="1"/>
  <c r="L353" i="1"/>
  <c r="T352" i="1"/>
  <c r="S352" i="1"/>
  <c r="R352" i="1"/>
  <c r="Q352" i="1"/>
  <c r="L352" i="1"/>
  <c r="T351" i="1"/>
  <c r="S351" i="1"/>
  <c r="R351" i="1"/>
  <c r="Q351" i="1"/>
  <c r="L351" i="1"/>
  <c r="T350" i="1"/>
  <c r="S350" i="1"/>
  <c r="R350" i="1"/>
  <c r="Q350" i="1"/>
  <c r="L350" i="1"/>
  <c r="T349" i="1"/>
  <c r="S349" i="1"/>
  <c r="R349" i="1"/>
  <c r="Q349" i="1"/>
  <c r="L349" i="1"/>
  <c r="T348" i="1"/>
  <c r="S348" i="1"/>
  <c r="R348" i="1"/>
  <c r="Q348" i="1"/>
  <c r="L348" i="1"/>
  <c r="T347" i="1"/>
  <c r="S347" i="1"/>
  <c r="R347" i="1"/>
  <c r="Q347" i="1"/>
  <c r="L347" i="1"/>
  <c r="T346" i="1"/>
  <c r="S346" i="1"/>
  <c r="R346" i="1"/>
  <c r="Q346" i="1"/>
  <c r="L346" i="1"/>
  <c r="T345" i="1"/>
  <c r="S345" i="1"/>
  <c r="R345" i="1"/>
  <c r="Q345" i="1"/>
  <c r="L345" i="1"/>
  <c r="T344" i="1"/>
  <c r="S344" i="1"/>
  <c r="R344" i="1"/>
  <c r="Q344" i="1"/>
  <c r="L344" i="1"/>
  <c r="T343" i="1"/>
  <c r="S343" i="1"/>
  <c r="R343" i="1"/>
  <c r="Q343" i="1"/>
  <c r="L343" i="1"/>
  <c r="T342" i="1"/>
  <c r="S342" i="1"/>
  <c r="R342" i="1"/>
  <c r="Q342" i="1"/>
  <c r="L342" i="1"/>
  <c r="T341" i="1"/>
  <c r="S341" i="1"/>
  <c r="R341" i="1"/>
  <c r="Q341" i="1"/>
  <c r="L341" i="1"/>
  <c r="T340" i="1"/>
  <c r="S340" i="1"/>
  <c r="R340" i="1"/>
  <c r="Q340" i="1"/>
  <c r="L340" i="1"/>
  <c r="T339" i="1"/>
  <c r="S339" i="1"/>
  <c r="R339" i="1"/>
  <c r="Q339" i="1"/>
  <c r="L339" i="1"/>
  <c r="T338" i="1"/>
  <c r="S338" i="1"/>
  <c r="R338" i="1"/>
  <c r="Q338" i="1"/>
  <c r="L338" i="1"/>
  <c r="T337" i="1"/>
  <c r="S337" i="1"/>
  <c r="R337" i="1"/>
  <c r="Q337" i="1"/>
  <c r="L337" i="1"/>
  <c r="T336" i="1"/>
  <c r="S336" i="1"/>
  <c r="R336" i="1"/>
  <c r="Q336" i="1"/>
  <c r="L336" i="1"/>
  <c r="T335" i="1"/>
  <c r="S335" i="1"/>
  <c r="R335" i="1"/>
  <c r="Q335" i="1"/>
  <c r="L335" i="1"/>
  <c r="T334" i="1"/>
  <c r="S334" i="1"/>
  <c r="R334" i="1"/>
  <c r="Q334" i="1"/>
  <c r="L334" i="1"/>
  <c r="T333" i="1"/>
  <c r="S333" i="1"/>
  <c r="R333" i="1"/>
  <c r="Q333" i="1"/>
  <c r="L333" i="1"/>
  <c r="T332" i="1"/>
  <c r="S332" i="1"/>
  <c r="R332" i="1"/>
  <c r="Q332" i="1"/>
  <c r="L332" i="1"/>
  <c r="T331" i="1"/>
  <c r="S331" i="1"/>
  <c r="R331" i="1"/>
  <c r="Q331" i="1"/>
  <c r="L331" i="1"/>
  <c r="T330" i="1"/>
  <c r="S330" i="1"/>
  <c r="R330" i="1"/>
  <c r="Q330" i="1"/>
  <c r="L330" i="1"/>
  <c r="T329" i="1"/>
  <c r="S329" i="1"/>
  <c r="R329" i="1"/>
  <c r="Q329" i="1"/>
  <c r="L329" i="1"/>
  <c r="T328" i="1"/>
  <c r="S328" i="1"/>
  <c r="R328" i="1"/>
  <c r="Q328" i="1"/>
  <c r="L328" i="1"/>
  <c r="T327" i="1"/>
  <c r="S327" i="1"/>
  <c r="R327" i="1"/>
  <c r="Q327" i="1"/>
  <c r="L327" i="1"/>
  <c r="T326" i="1"/>
  <c r="S326" i="1"/>
  <c r="R326" i="1"/>
  <c r="Q326" i="1"/>
  <c r="L326" i="1"/>
  <c r="T325" i="1"/>
  <c r="S325" i="1"/>
  <c r="R325" i="1"/>
  <c r="Q325" i="1"/>
  <c r="L325" i="1"/>
  <c r="T324" i="1"/>
  <c r="S324" i="1"/>
  <c r="R324" i="1"/>
  <c r="Q324" i="1"/>
  <c r="L324" i="1"/>
  <c r="T323" i="1"/>
  <c r="S323" i="1"/>
  <c r="R323" i="1"/>
  <c r="Q323" i="1"/>
  <c r="L323" i="1"/>
  <c r="T322" i="1"/>
  <c r="S322" i="1"/>
  <c r="R322" i="1"/>
  <c r="Q322" i="1"/>
  <c r="L322" i="1"/>
  <c r="T321" i="1"/>
  <c r="S321" i="1"/>
  <c r="R321" i="1"/>
  <c r="Q321" i="1"/>
  <c r="L321" i="1"/>
  <c r="T320" i="1"/>
  <c r="S320" i="1"/>
  <c r="R320" i="1"/>
  <c r="Q320" i="1"/>
  <c r="L320" i="1"/>
  <c r="T319" i="1"/>
  <c r="S319" i="1"/>
  <c r="R319" i="1"/>
  <c r="Q319" i="1"/>
  <c r="L319" i="1"/>
  <c r="T318" i="1"/>
  <c r="S318" i="1"/>
  <c r="R318" i="1"/>
  <c r="Q318" i="1"/>
  <c r="L318" i="1"/>
  <c r="T317" i="1"/>
  <c r="S317" i="1"/>
  <c r="R317" i="1"/>
  <c r="Q317" i="1"/>
  <c r="L317" i="1"/>
  <c r="T316" i="1"/>
  <c r="S316" i="1"/>
  <c r="R316" i="1"/>
  <c r="Q316" i="1"/>
  <c r="L316" i="1"/>
  <c r="T315" i="1"/>
  <c r="S315" i="1"/>
  <c r="R315" i="1"/>
  <c r="Q315" i="1"/>
  <c r="L315" i="1"/>
  <c r="T314" i="1"/>
  <c r="S314" i="1"/>
  <c r="R314" i="1"/>
  <c r="Q314" i="1"/>
  <c r="L314" i="1"/>
  <c r="T313" i="1"/>
  <c r="S313" i="1"/>
  <c r="R313" i="1"/>
  <c r="Q313" i="1"/>
  <c r="L313" i="1"/>
  <c r="T312" i="1"/>
  <c r="S312" i="1"/>
  <c r="R312" i="1"/>
  <c r="Q312" i="1"/>
  <c r="L312" i="1"/>
  <c r="T311" i="1"/>
  <c r="S311" i="1"/>
  <c r="R311" i="1"/>
  <c r="Q311" i="1"/>
  <c r="L311" i="1"/>
  <c r="T310" i="1"/>
  <c r="S310" i="1"/>
  <c r="R310" i="1"/>
  <c r="Q310" i="1"/>
  <c r="L310" i="1"/>
  <c r="T309" i="1"/>
  <c r="S309" i="1"/>
  <c r="R309" i="1"/>
  <c r="Q309" i="1"/>
  <c r="L309" i="1"/>
  <c r="T308" i="1"/>
  <c r="S308" i="1"/>
  <c r="R308" i="1"/>
  <c r="Q308" i="1"/>
  <c r="L308" i="1"/>
  <c r="T307" i="1"/>
  <c r="S307" i="1"/>
  <c r="R307" i="1"/>
  <c r="Q307" i="1"/>
  <c r="L307" i="1"/>
  <c r="T306" i="1"/>
  <c r="S306" i="1"/>
  <c r="R306" i="1"/>
  <c r="Q306" i="1"/>
  <c r="L306" i="1"/>
  <c r="T305" i="1"/>
  <c r="S305" i="1"/>
  <c r="R305" i="1"/>
  <c r="Q305" i="1"/>
  <c r="L305" i="1"/>
  <c r="T304" i="1"/>
  <c r="S304" i="1"/>
  <c r="R304" i="1"/>
  <c r="Q304" i="1"/>
  <c r="L304" i="1"/>
  <c r="T303" i="1"/>
  <c r="S303" i="1"/>
  <c r="R303" i="1"/>
  <c r="Q303" i="1"/>
  <c r="L303" i="1"/>
  <c r="T302" i="1"/>
  <c r="S302" i="1"/>
  <c r="R302" i="1"/>
  <c r="Q302" i="1"/>
  <c r="L302" i="1"/>
  <c r="T301" i="1"/>
  <c r="S301" i="1"/>
  <c r="R301" i="1"/>
  <c r="Q301" i="1"/>
  <c r="L301" i="1"/>
  <c r="T300" i="1"/>
  <c r="S300" i="1"/>
  <c r="R300" i="1"/>
  <c r="Q300" i="1"/>
  <c r="L300" i="1"/>
  <c r="T299" i="1"/>
  <c r="S299" i="1"/>
  <c r="R299" i="1"/>
  <c r="Q299" i="1"/>
  <c r="L299" i="1"/>
  <c r="T298" i="1"/>
  <c r="S298" i="1"/>
  <c r="R298" i="1"/>
  <c r="Q298" i="1"/>
  <c r="L298" i="1"/>
  <c r="T297" i="1"/>
  <c r="S297" i="1"/>
  <c r="R297" i="1"/>
  <c r="Q297" i="1"/>
  <c r="L297" i="1"/>
  <c r="T296" i="1"/>
  <c r="S296" i="1"/>
  <c r="R296" i="1"/>
  <c r="Q296" i="1"/>
  <c r="L296" i="1"/>
  <c r="T295" i="1"/>
  <c r="S295" i="1"/>
  <c r="R295" i="1"/>
  <c r="Q295" i="1"/>
  <c r="L295" i="1"/>
  <c r="T294" i="1"/>
  <c r="S294" i="1"/>
  <c r="R294" i="1"/>
  <c r="Q294" i="1"/>
  <c r="L294" i="1"/>
  <c r="T293" i="1"/>
  <c r="S293" i="1"/>
  <c r="R293" i="1"/>
  <c r="Q293" i="1"/>
  <c r="L293" i="1"/>
  <c r="T292" i="1"/>
  <c r="S292" i="1"/>
  <c r="R292" i="1"/>
  <c r="Q292" i="1"/>
  <c r="L292" i="1"/>
  <c r="T291" i="1"/>
  <c r="S291" i="1"/>
  <c r="R291" i="1"/>
  <c r="Q291" i="1"/>
  <c r="L291" i="1"/>
  <c r="T290" i="1"/>
  <c r="S290" i="1"/>
  <c r="R290" i="1"/>
  <c r="Q290" i="1"/>
  <c r="L290" i="1"/>
  <c r="T289" i="1"/>
  <c r="S289" i="1"/>
  <c r="R289" i="1"/>
  <c r="Q289" i="1"/>
  <c r="L289" i="1"/>
  <c r="T288" i="1"/>
  <c r="S288" i="1"/>
  <c r="R288" i="1"/>
  <c r="Q288" i="1"/>
  <c r="L288" i="1"/>
  <c r="T287" i="1"/>
  <c r="S287" i="1"/>
  <c r="R287" i="1"/>
  <c r="Q287" i="1"/>
  <c r="L287" i="1"/>
  <c r="T286" i="1"/>
  <c r="S286" i="1"/>
  <c r="R286" i="1"/>
  <c r="Q286" i="1"/>
  <c r="L286" i="1"/>
  <c r="T285" i="1"/>
  <c r="S285" i="1"/>
  <c r="R285" i="1"/>
  <c r="Q285" i="1"/>
  <c r="L285" i="1"/>
  <c r="T284" i="1"/>
  <c r="S284" i="1"/>
  <c r="R284" i="1"/>
  <c r="Q284" i="1"/>
  <c r="L284" i="1"/>
  <c r="T283" i="1"/>
  <c r="S283" i="1"/>
  <c r="R283" i="1"/>
  <c r="Q283" i="1"/>
  <c r="L283" i="1"/>
  <c r="T282" i="1"/>
  <c r="S282" i="1"/>
  <c r="R282" i="1"/>
  <c r="Q282" i="1"/>
  <c r="L282" i="1"/>
  <c r="T281" i="1"/>
  <c r="S281" i="1"/>
  <c r="R281" i="1"/>
  <c r="Q281" i="1"/>
  <c r="L281" i="1"/>
  <c r="T280" i="1"/>
  <c r="S280" i="1"/>
  <c r="R280" i="1"/>
  <c r="Q280" i="1"/>
  <c r="L280" i="1"/>
  <c r="T279" i="1"/>
  <c r="S279" i="1"/>
  <c r="R279" i="1"/>
  <c r="Q279" i="1"/>
  <c r="L279" i="1"/>
  <c r="T278" i="1"/>
  <c r="S278" i="1"/>
  <c r="R278" i="1"/>
  <c r="Q278" i="1"/>
  <c r="L278" i="1"/>
  <c r="T277" i="1"/>
  <c r="S277" i="1"/>
  <c r="R277" i="1"/>
  <c r="Q277" i="1"/>
  <c r="L277" i="1"/>
  <c r="T276" i="1"/>
  <c r="S276" i="1"/>
  <c r="R276" i="1"/>
  <c r="Q276" i="1"/>
  <c r="L276" i="1"/>
  <c r="T275" i="1"/>
  <c r="S275" i="1"/>
  <c r="R275" i="1"/>
  <c r="Q275" i="1"/>
  <c r="L275" i="1"/>
  <c r="T274" i="1"/>
  <c r="S274" i="1"/>
  <c r="R274" i="1"/>
  <c r="Q274" i="1"/>
  <c r="L274" i="1"/>
  <c r="T273" i="1"/>
  <c r="S273" i="1"/>
  <c r="R273" i="1"/>
  <c r="Q273" i="1"/>
  <c r="L273" i="1"/>
  <c r="T272" i="1"/>
  <c r="S272" i="1"/>
  <c r="R272" i="1"/>
  <c r="Q272" i="1"/>
  <c r="L272" i="1"/>
  <c r="T271" i="1"/>
  <c r="S271" i="1"/>
  <c r="R271" i="1"/>
  <c r="Q271" i="1"/>
  <c r="L271" i="1"/>
  <c r="T270" i="1"/>
  <c r="S270" i="1"/>
  <c r="R270" i="1"/>
  <c r="Q270" i="1"/>
  <c r="L270" i="1"/>
  <c r="T269" i="1"/>
  <c r="S269" i="1"/>
  <c r="R269" i="1"/>
  <c r="Q269" i="1"/>
  <c r="L269" i="1"/>
  <c r="T268" i="1"/>
  <c r="S268" i="1"/>
  <c r="R268" i="1"/>
  <c r="Q268" i="1"/>
  <c r="L268" i="1"/>
  <c r="T267" i="1"/>
  <c r="S267" i="1"/>
  <c r="R267" i="1"/>
  <c r="Q267" i="1"/>
  <c r="L267" i="1"/>
  <c r="T266" i="1"/>
  <c r="S266" i="1"/>
  <c r="R266" i="1"/>
  <c r="Q266" i="1"/>
  <c r="L266" i="1"/>
  <c r="T265" i="1"/>
  <c r="S265" i="1"/>
  <c r="R265" i="1"/>
  <c r="Q265" i="1"/>
  <c r="L265" i="1"/>
  <c r="T264" i="1"/>
  <c r="S264" i="1"/>
  <c r="R264" i="1"/>
  <c r="Q264" i="1"/>
  <c r="L264" i="1"/>
  <c r="T263" i="1"/>
  <c r="S263" i="1"/>
  <c r="R263" i="1"/>
  <c r="Q263" i="1"/>
  <c r="L263" i="1"/>
  <c r="T262" i="1"/>
  <c r="S262" i="1"/>
  <c r="R262" i="1"/>
  <c r="Q262" i="1"/>
  <c r="L262" i="1"/>
  <c r="T261" i="1"/>
  <c r="S261" i="1"/>
  <c r="R261" i="1"/>
  <c r="Q261" i="1"/>
  <c r="L261" i="1"/>
  <c r="T260" i="1"/>
  <c r="S260" i="1"/>
  <c r="R260" i="1"/>
  <c r="Q260" i="1"/>
  <c r="L260" i="1"/>
  <c r="T259" i="1"/>
  <c r="S259" i="1"/>
  <c r="R259" i="1"/>
  <c r="Q259" i="1"/>
  <c r="L259" i="1"/>
  <c r="T258" i="1"/>
  <c r="S258" i="1"/>
  <c r="R258" i="1"/>
  <c r="Q258" i="1"/>
  <c r="L258" i="1"/>
  <c r="T257" i="1"/>
  <c r="S257" i="1"/>
  <c r="R257" i="1"/>
  <c r="Q257" i="1"/>
  <c r="L257" i="1"/>
  <c r="T256" i="1"/>
  <c r="S256" i="1"/>
  <c r="R256" i="1"/>
  <c r="Q256" i="1"/>
  <c r="L256" i="1"/>
  <c r="T255" i="1"/>
  <c r="S255" i="1"/>
  <c r="R255" i="1"/>
  <c r="Q255" i="1"/>
  <c r="L255" i="1"/>
  <c r="T254" i="1"/>
  <c r="S254" i="1"/>
  <c r="R254" i="1"/>
  <c r="Q254" i="1"/>
  <c r="L254" i="1"/>
  <c r="T253" i="1"/>
  <c r="S253" i="1"/>
  <c r="R253" i="1"/>
  <c r="Q253" i="1"/>
  <c r="L253" i="1"/>
  <c r="T252" i="1"/>
  <c r="S252" i="1"/>
  <c r="R252" i="1"/>
  <c r="Q252" i="1"/>
  <c r="L252" i="1"/>
  <c r="T251" i="1"/>
  <c r="S251" i="1"/>
  <c r="R251" i="1"/>
  <c r="Q251" i="1"/>
  <c r="L251" i="1"/>
  <c r="T250" i="1"/>
  <c r="S250" i="1"/>
  <c r="R250" i="1"/>
  <c r="Q250" i="1"/>
  <c r="L250" i="1"/>
  <c r="T249" i="1"/>
  <c r="S249" i="1"/>
  <c r="R249" i="1"/>
  <c r="Q249" i="1"/>
  <c r="L249" i="1"/>
  <c r="T248" i="1"/>
  <c r="S248" i="1"/>
  <c r="R248" i="1"/>
  <c r="Q248" i="1"/>
  <c r="L248" i="1"/>
  <c r="T247" i="1"/>
  <c r="S247" i="1"/>
  <c r="R247" i="1"/>
  <c r="Q247" i="1"/>
  <c r="L247" i="1"/>
  <c r="T246" i="1"/>
  <c r="S246" i="1"/>
  <c r="R246" i="1"/>
  <c r="Q246" i="1"/>
  <c r="L246" i="1"/>
  <c r="T245" i="1"/>
  <c r="S245" i="1"/>
  <c r="R245" i="1"/>
  <c r="Q245" i="1"/>
  <c r="L245" i="1"/>
  <c r="T244" i="1"/>
  <c r="S244" i="1"/>
  <c r="R244" i="1"/>
  <c r="Q244" i="1"/>
  <c r="L244" i="1"/>
  <c r="T243" i="1"/>
  <c r="S243" i="1"/>
  <c r="R243" i="1"/>
  <c r="Q243" i="1"/>
  <c r="L243" i="1"/>
  <c r="T242" i="1"/>
  <c r="S242" i="1"/>
  <c r="R242" i="1"/>
  <c r="Q242" i="1"/>
  <c r="L242" i="1"/>
  <c r="T241" i="1"/>
  <c r="S241" i="1"/>
  <c r="R241" i="1"/>
  <c r="Q241" i="1"/>
  <c r="L241" i="1"/>
  <c r="T240" i="1"/>
  <c r="S240" i="1"/>
  <c r="R240" i="1"/>
  <c r="Q240" i="1"/>
  <c r="L240" i="1"/>
  <c r="T239" i="1"/>
  <c r="S239" i="1"/>
  <c r="R239" i="1"/>
  <c r="Q239" i="1"/>
  <c r="L239" i="1"/>
  <c r="T238" i="1"/>
  <c r="S238" i="1"/>
  <c r="R238" i="1"/>
  <c r="Q238" i="1"/>
  <c r="L238" i="1"/>
  <c r="T237" i="1"/>
  <c r="S237" i="1"/>
  <c r="R237" i="1"/>
  <c r="Q237" i="1"/>
  <c r="L237" i="1"/>
  <c r="T236" i="1"/>
  <c r="S236" i="1"/>
  <c r="R236" i="1"/>
  <c r="Q236" i="1"/>
  <c r="L236" i="1"/>
  <c r="T235" i="1"/>
  <c r="S235" i="1"/>
  <c r="R235" i="1"/>
  <c r="Q235" i="1"/>
  <c r="L235" i="1"/>
  <c r="T234" i="1"/>
  <c r="S234" i="1"/>
  <c r="R234" i="1"/>
  <c r="Q234" i="1"/>
  <c r="L234" i="1"/>
  <c r="T233" i="1"/>
  <c r="S233" i="1"/>
  <c r="R233" i="1"/>
  <c r="Q233" i="1"/>
  <c r="L233" i="1"/>
  <c r="T232" i="1"/>
  <c r="S232" i="1"/>
  <c r="R232" i="1"/>
  <c r="Q232" i="1"/>
  <c r="L232" i="1"/>
  <c r="T231" i="1"/>
  <c r="S231" i="1"/>
  <c r="R231" i="1"/>
  <c r="Q231" i="1"/>
  <c r="L231" i="1"/>
  <c r="T230" i="1"/>
  <c r="S230" i="1"/>
  <c r="R230" i="1"/>
  <c r="Q230" i="1"/>
  <c r="L230" i="1"/>
  <c r="T229" i="1"/>
  <c r="S229" i="1"/>
  <c r="R229" i="1"/>
  <c r="Q229" i="1"/>
  <c r="L229" i="1"/>
  <c r="T228" i="1"/>
  <c r="S228" i="1"/>
  <c r="R228" i="1"/>
  <c r="Q228" i="1"/>
  <c r="L228" i="1"/>
  <c r="T227" i="1"/>
  <c r="S227" i="1"/>
  <c r="R227" i="1"/>
  <c r="Q227" i="1"/>
  <c r="L227" i="1"/>
  <c r="T226" i="1"/>
  <c r="S226" i="1"/>
  <c r="R226" i="1"/>
  <c r="Q226" i="1"/>
  <c r="L226" i="1"/>
  <c r="T225" i="1"/>
  <c r="S225" i="1"/>
  <c r="R225" i="1"/>
  <c r="Q225" i="1"/>
  <c r="L225" i="1"/>
  <c r="T224" i="1"/>
  <c r="S224" i="1"/>
  <c r="R224" i="1"/>
  <c r="Q224" i="1"/>
  <c r="L224" i="1"/>
  <c r="T223" i="1"/>
  <c r="S223" i="1"/>
  <c r="R223" i="1"/>
  <c r="Q223" i="1"/>
  <c r="L223" i="1"/>
  <c r="T222" i="1"/>
  <c r="S222" i="1"/>
  <c r="R222" i="1"/>
  <c r="Q222" i="1"/>
  <c r="L222" i="1"/>
  <c r="T221" i="1"/>
  <c r="S221" i="1"/>
  <c r="R221" i="1"/>
  <c r="Q221" i="1"/>
  <c r="L221" i="1"/>
  <c r="T220" i="1"/>
  <c r="S220" i="1"/>
  <c r="R220" i="1"/>
  <c r="Q220" i="1"/>
  <c r="L220" i="1"/>
  <c r="T219" i="1"/>
  <c r="S219" i="1"/>
  <c r="R219" i="1"/>
  <c r="Q219" i="1"/>
  <c r="L219" i="1"/>
  <c r="T218" i="1"/>
  <c r="S218" i="1"/>
  <c r="R218" i="1"/>
  <c r="Q218" i="1"/>
  <c r="L218" i="1"/>
  <c r="T217" i="1"/>
  <c r="S217" i="1"/>
  <c r="R217" i="1"/>
  <c r="Q217" i="1"/>
  <c r="L217" i="1"/>
  <c r="T216" i="1"/>
  <c r="S216" i="1"/>
  <c r="R216" i="1"/>
  <c r="Q216" i="1"/>
  <c r="L216" i="1"/>
  <c r="T215" i="1"/>
  <c r="S215" i="1"/>
  <c r="R215" i="1"/>
  <c r="Q215" i="1"/>
  <c r="L215" i="1"/>
  <c r="T214" i="1"/>
  <c r="S214" i="1"/>
  <c r="R214" i="1"/>
  <c r="Q214" i="1"/>
  <c r="L214" i="1"/>
  <c r="T213" i="1"/>
  <c r="S213" i="1"/>
  <c r="R213" i="1"/>
  <c r="Q213" i="1"/>
  <c r="L213" i="1"/>
  <c r="T212" i="1"/>
  <c r="S212" i="1"/>
  <c r="R212" i="1"/>
  <c r="Q212" i="1"/>
  <c r="L212" i="1"/>
  <c r="T211" i="1"/>
  <c r="S211" i="1"/>
  <c r="R211" i="1"/>
  <c r="Q211" i="1"/>
  <c r="L211" i="1"/>
  <c r="T210" i="1"/>
  <c r="S210" i="1"/>
  <c r="R210" i="1"/>
  <c r="Q210" i="1"/>
  <c r="L210" i="1"/>
  <c r="T209" i="1"/>
  <c r="S209" i="1"/>
  <c r="R209" i="1"/>
  <c r="Q209" i="1"/>
  <c r="L209" i="1"/>
  <c r="T208" i="1"/>
  <c r="S208" i="1"/>
  <c r="R208" i="1"/>
  <c r="Q208" i="1"/>
  <c r="L208" i="1"/>
  <c r="T207" i="1"/>
  <c r="S207" i="1"/>
  <c r="R207" i="1"/>
  <c r="Q207" i="1"/>
  <c r="L207" i="1"/>
  <c r="T206" i="1"/>
  <c r="S206" i="1"/>
  <c r="R206" i="1"/>
  <c r="Q206" i="1"/>
  <c r="L206" i="1"/>
  <c r="T205" i="1"/>
  <c r="S205" i="1"/>
  <c r="R205" i="1"/>
  <c r="Q205" i="1"/>
  <c r="L205" i="1"/>
  <c r="T204" i="1"/>
  <c r="S204" i="1"/>
  <c r="R204" i="1"/>
  <c r="Q204" i="1"/>
  <c r="L204" i="1"/>
  <c r="T203" i="1"/>
  <c r="S203" i="1"/>
  <c r="R203" i="1"/>
  <c r="Q203" i="1"/>
  <c r="L203" i="1"/>
  <c r="T202" i="1"/>
  <c r="S202" i="1"/>
  <c r="R202" i="1"/>
  <c r="Q202" i="1"/>
  <c r="L202" i="1"/>
  <c r="T201" i="1"/>
  <c r="S201" i="1"/>
  <c r="R201" i="1"/>
  <c r="Q201" i="1"/>
  <c r="L201" i="1"/>
  <c r="T200" i="1"/>
  <c r="S200" i="1"/>
  <c r="R200" i="1"/>
  <c r="Q200" i="1"/>
  <c r="L200" i="1"/>
  <c r="T199" i="1"/>
  <c r="S199" i="1"/>
  <c r="R199" i="1"/>
  <c r="Q199" i="1"/>
  <c r="L199" i="1"/>
  <c r="T198" i="1"/>
  <c r="S198" i="1"/>
  <c r="R198" i="1"/>
  <c r="Q198" i="1"/>
  <c r="L198" i="1"/>
  <c r="T197" i="1"/>
  <c r="S197" i="1"/>
  <c r="R197" i="1"/>
  <c r="Q197" i="1"/>
  <c r="L197" i="1"/>
  <c r="T196" i="1"/>
  <c r="S196" i="1"/>
  <c r="R196" i="1"/>
  <c r="Q196" i="1"/>
  <c r="L196" i="1"/>
  <c r="T195" i="1"/>
  <c r="S195" i="1"/>
  <c r="R195" i="1"/>
  <c r="Q195" i="1"/>
  <c r="L195" i="1"/>
  <c r="T194" i="1"/>
  <c r="S194" i="1"/>
  <c r="R194" i="1"/>
  <c r="Q194" i="1"/>
  <c r="L194" i="1"/>
  <c r="T193" i="1"/>
  <c r="S193" i="1"/>
  <c r="R193" i="1"/>
  <c r="Q193" i="1"/>
  <c r="L193" i="1"/>
  <c r="T192" i="1"/>
  <c r="S192" i="1"/>
  <c r="R192" i="1"/>
  <c r="Q192" i="1"/>
  <c r="L192" i="1"/>
  <c r="T191" i="1"/>
  <c r="S191" i="1"/>
  <c r="R191" i="1"/>
  <c r="Q191" i="1"/>
  <c r="L191" i="1"/>
  <c r="T190" i="1"/>
  <c r="S190" i="1"/>
  <c r="R190" i="1"/>
  <c r="Q190" i="1"/>
  <c r="L190" i="1"/>
  <c r="T189" i="1"/>
  <c r="S189" i="1"/>
  <c r="R189" i="1"/>
  <c r="Q189" i="1"/>
  <c r="L189" i="1"/>
  <c r="T188" i="1"/>
  <c r="S188" i="1"/>
  <c r="R188" i="1"/>
  <c r="Q188" i="1"/>
  <c r="L188" i="1"/>
  <c r="T187" i="1"/>
  <c r="S187" i="1"/>
  <c r="R187" i="1"/>
  <c r="Q187" i="1"/>
  <c r="L187" i="1"/>
  <c r="T186" i="1"/>
  <c r="S186" i="1"/>
  <c r="R186" i="1"/>
  <c r="Q186" i="1"/>
  <c r="L186" i="1"/>
  <c r="T185" i="1"/>
  <c r="S185" i="1"/>
  <c r="R185" i="1"/>
  <c r="Q185" i="1"/>
  <c r="L185" i="1"/>
  <c r="T184" i="1"/>
  <c r="S184" i="1"/>
  <c r="R184" i="1"/>
  <c r="Q184" i="1"/>
  <c r="L184" i="1"/>
  <c r="T183" i="1"/>
  <c r="S183" i="1"/>
  <c r="R183" i="1"/>
  <c r="Q183" i="1"/>
  <c r="L183" i="1"/>
  <c r="T182" i="1"/>
  <c r="S182" i="1"/>
  <c r="R182" i="1"/>
  <c r="Q182" i="1"/>
  <c r="L182" i="1"/>
  <c r="T181" i="1"/>
  <c r="S181" i="1"/>
  <c r="R181" i="1"/>
  <c r="Q181" i="1"/>
  <c r="L181" i="1"/>
  <c r="T180" i="1"/>
  <c r="S180" i="1"/>
  <c r="R180" i="1"/>
  <c r="Q180" i="1"/>
  <c r="L180" i="1"/>
  <c r="T179" i="1"/>
  <c r="S179" i="1"/>
  <c r="R179" i="1"/>
  <c r="Q179" i="1"/>
  <c r="L179" i="1"/>
  <c r="T178" i="1"/>
  <c r="S178" i="1"/>
  <c r="R178" i="1"/>
  <c r="Q178" i="1"/>
  <c r="L178" i="1"/>
  <c r="T177" i="1"/>
  <c r="S177" i="1"/>
  <c r="R177" i="1"/>
  <c r="Q177" i="1"/>
  <c r="L177" i="1"/>
  <c r="T176" i="1"/>
  <c r="S176" i="1"/>
  <c r="R176" i="1"/>
  <c r="Q176" i="1"/>
  <c r="L176" i="1"/>
  <c r="T175" i="1"/>
  <c r="S175" i="1"/>
  <c r="R175" i="1"/>
  <c r="Q175" i="1"/>
  <c r="L175" i="1"/>
  <c r="T174" i="1"/>
  <c r="S174" i="1"/>
  <c r="R174" i="1"/>
  <c r="Q174" i="1"/>
  <c r="L174" i="1"/>
  <c r="T173" i="1"/>
  <c r="S173" i="1"/>
  <c r="R173" i="1"/>
  <c r="Q173" i="1"/>
  <c r="L173" i="1"/>
  <c r="T172" i="1"/>
  <c r="S172" i="1"/>
  <c r="R172" i="1"/>
  <c r="Q172" i="1"/>
  <c r="L172" i="1"/>
  <c r="T171" i="1"/>
  <c r="S171" i="1"/>
  <c r="R171" i="1"/>
  <c r="Q171" i="1"/>
  <c r="L171" i="1"/>
  <c r="T170" i="1"/>
  <c r="S170" i="1"/>
  <c r="R170" i="1"/>
  <c r="Q170" i="1"/>
  <c r="L170" i="1"/>
  <c r="T169" i="1"/>
  <c r="S169" i="1"/>
  <c r="R169" i="1"/>
  <c r="Q169" i="1"/>
  <c r="L169" i="1"/>
  <c r="T168" i="1"/>
  <c r="S168" i="1"/>
  <c r="R168" i="1"/>
  <c r="Q168" i="1"/>
  <c r="L168" i="1"/>
  <c r="T167" i="1"/>
  <c r="S167" i="1"/>
  <c r="R167" i="1"/>
  <c r="Q167" i="1"/>
  <c r="L167" i="1"/>
  <c r="T166" i="1"/>
  <c r="S166" i="1"/>
  <c r="R166" i="1"/>
  <c r="Q166" i="1"/>
  <c r="L166" i="1"/>
  <c r="T165" i="1"/>
  <c r="S165" i="1"/>
  <c r="R165" i="1"/>
  <c r="Q165" i="1"/>
  <c r="L165" i="1"/>
  <c r="T164" i="1"/>
  <c r="S164" i="1"/>
  <c r="R164" i="1"/>
  <c r="Q164" i="1"/>
  <c r="L164" i="1"/>
  <c r="T163" i="1"/>
  <c r="S163" i="1"/>
  <c r="R163" i="1"/>
  <c r="Q163" i="1"/>
  <c r="L163" i="1"/>
  <c r="T162" i="1"/>
  <c r="S162" i="1"/>
  <c r="R162" i="1"/>
  <c r="Q162" i="1"/>
  <c r="L162" i="1"/>
  <c r="T161" i="1"/>
  <c r="S161" i="1"/>
  <c r="R161" i="1"/>
  <c r="Q161" i="1"/>
  <c r="L161" i="1"/>
  <c r="T160" i="1"/>
  <c r="S160" i="1"/>
  <c r="R160" i="1"/>
  <c r="Q160" i="1"/>
  <c r="L160" i="1"/>
  <c r="T159" i="1"/>
  <c r="S159" i="1"/>
  <c r="R159" i="1"/>
  <c r="Q159" i="1"/>
  <c r="L159" i="1"/>
  <c r="T158" i="1"/>
  <c r="S158" i="1"/>
  <c r="R158" i="1"/>
  <c r="Q158" i="1"/>
  <c r="L158" i="1"/>
  <c r="T157" i="1"/>
  <c r="S157" i="1"/>
  <c r="R157" i="1"/>
  <c r="Q157" i="1"/>
  <c r="L157" i="1"/>
  <c r="T156" i="1"/>
  <c r="S156" i="1"/>
  <c r="R156" i="1"/>
  <c r="Q156" i="1"/>
  <c r="L156" i="1"/>
  <c r="T155" i="1"/>
  <c r="S155" i="1"/>
  <c r="R155" i="1"/>
  <c r="Q155" i="1"/>
  <c r="L155" i="1"/>
  <c r="T154" i="1"/>
  <c r="S154" i="1"/>
  <c r="R154" i="1"/>
  <c r="Q154" i="1"/>
  <c r="L154" i="1"/>
  <c r="T153" i="1"/>
  <c r="S153" i="1"/>
  <c r="R153" i="1"/>
  <c r="Q153" i="1"/>
  <c r="L153" i="1"/>
  <c r="T152" i="1"/>
  <c r="S152" i="1"/>
  <c r="R152" i="1"/>
  <c r="Q152" i="1"/>
  <c r="L152" i="1"/>
  <c r="T151" i="1"/>
  <c r="S151" i="1"/>
  <c r="R151" i="1"/>
  <c r="Q151" i="1"/>
  <c r="L151" i="1"/>
  <c r="T150" i="1"/>
  <c r="S150" i="1"/>
  <c r="R150" i="1"/>
  <c r="Q150" i="1"/>
  <c r="L150" i="1"/>
  <c r="T149" i="1"/>
  <c r="S149" i="1"/>
  <c r="R149" i="1"/>
  <c r="Q149" i="1"/>
  <c r="L149" i="1"/>
  <c r="T148" i="1"/>
  <c r="S148" i="1"/>
  <c r="R148" i="1"/>
  <c r="Q148" i="1"/>
  <c r="L148" i="1"/>
  <c r="T147" i="1"/>
  <c r="S147" i="1"/>
  <c r="R147" i="1"/>
  <c r="Q147" i="1"/>
  <c r="L147" i="1"/>
  <c r="T146" i="1"/>
  <c r="S146" i="1"/>
  <c r="R146" i="1"/>
  <c r="Q146" i="1"/>
  <c r="L146" i="1"/>
  <c r="T145" i="1"/>
  <c r="S145" i="1"/>
  <c r="R145" i="1"/>
  <c r="Q145" i="1"/>
  <c r="L145" i="1"/>
  <c r="T144" i="1"/>
  <c r="S144" i="1"/>
  <c r="R144" i="1"/>
  <c r="Q144" i="1"/>
  <c r="L144" i="1"/>
  <c r="T143" i="1"/>
  <c r="S143" i="1"/>
  <c r="R143" i="1"/>
  <c r="Q143" i="1"/>
  <c r="L143" i="1"/>
  <c r="T142" i="1"/>
  <c r="S142" i="1"/>
  <c r="R142" i="1"/>
  <c r="Q142" i="1"/>
  <c r="L142" i="1"/>
  <c r="T141" i="1"/>
  <c r="S141" i="1"/>
  <c r="R141" i="1"/>
  <c r="Q141" i="1"/>
  <c r="L141" i="1"/>
  <c r="T140" i="1"/>
  <c r="S140" i="1"/>
  <c r="R140" i="1"/>
  <c r="Q140" i="1"/>
  <c r="L140" i="1"/>
  <c r="T139" i="1"/>
  <c r="S139" i="1"/>
  <c r="R139" i="1"/>
  <c r="Q139" i="1"/>
  <c r="L139" i="1"/>
  <c r="T138" i="1"/>
  <c r="S138" i="1"/>
  <c r="R138" i="1"/>
  <c r="Q138" i="1"/>
  <c r="L138" i="1"/>
  <c r="T137" i="1"/>
  <c r="S137" i="1"/>
  <c r="R137" i="1"/>
  <c r="Q137" i="1"/>
  <c r="L137" i="1"/>
  <c r="T136" i="1"/>
  <c r="S136" i="1"/>
  <c r="R136" i="1"/>
  <c r="Q136" i="1"/>
  <c r="L136" i="1"/>
  <c r="T135" i="1"/>
  <c r="S135" i="1"/>
  <c r="R135" i="1"/>
  <c r="Q135" i="1"/>
  <c r="L135" i="1"/>
  <c r="T134" i="1"/>
  <c r="S134" i="1"/>
  <c r="R134" i="1"/>
  <c r="Q134" i="1"/>
  <c r="L134" i="1"/>
  <c r="T133" i="1"/>
  <c r="S133" i="1"/>
  <c r="R133" i="1"/>
  <c r="Q133" i="1"/>
  <c r="L133" i="1"/>
  <c r="T132" i="1"/>
  <c r="S132" i="1"/>
  <c r="R132" i="1"/>
  <c r="Q132" i="1"/>
  <c r="L132" i="1"/>
  <c r="T131" i="1"/>
  <c r="S131" i="1"/>
  <c r="R131" i="1"/>
  <c r="Q131" i="1"/>
  <c r="L131" i="1"/>
  <c r="T130" i="1"/>
  <c r="S130" i="1"/>
  <c r="R130" i="1"/>
  <c r="Q130" i="1"/>
  <c r="L130" i="1"/>
  <c r="T129" i="1"/>
  <c r="S129" i="1"/>
  <c r="R129" i="1"/>
  <c r="Q129" i="1"/>
  <c r="L129" i="1"/>
  <c r="T128" i="1"/>
  <c r="S128" i="1"/>
  <c r="R128" i="1"/>
  <c r="Q128" i="1"/>
  <c r="L128" i="1"/>
  <c r="T127" i="1"/>
  <c r="S127" i="1"/>
  <c r="R127" i="1"/>
  <c r="Q127" i="1"/>
  <c r="L127" i="1"/>
  <c r="T126" i="1"/>
  <c r="S126" i="1"/>
  <c r="R126" i="1"/>
  <c r="Q126" i="1"/>
  <c r="L126" i="1"/>
  <c r="T125" i="1"/>
  <c r="S125" i="1"/>
  <c r="R125" i="1"/>
  <c r="Q125" i="1"/>
  <c r="L125" i="1"/>
  <c r="T124" i="1"/>
  <c r="S124" i="1"/>
  <c r="R124" i="1"/>
  <c r="Q124" i="1"/>
  <c r="L124" i="1"/>
  <c r="T123" i="1"/>
  <c r="S123" i="1"/>
  <c r="R123" i="1"/>
  <c r="Q123" i="1"/>
  <c r="L123" i="1"/>
  <c r="T122" i="1"/>
  <c r="S122" i="1"/>
  <c r="R122" i="1"/>
  <c r="Q122" i="1"/>
  <c r="L122" i="1"/>
  <c r="T121" i="1"/>
  <c r="S121" i="1"/>
  <c r="R121" i="1"/>
  <c r="Q121" i="1"/>
  <c r="L121" i="1"/>
  <c r="T120" i="1"/>
  <c r="S120" i="1"/>
  <c r="R120" i="1"/>
  <c r="Q120" i="1"/>
  <c r="L120" i="1"/>
  <c r="T119" i="1"/>
  <c r="S119" i="1"/>
  <c r="R119" i="1"/>
  <c r="Q119" i="1"/>
  <c r="L119" i="1"/>
  <c r="T118" i="1"/>
  <c r="S118" i="1"/>
  <c r="R118" i="1"/>
  <c r="Q118" i="1"/>
  <c r="L118" i="1"/>
  <c r="T117" i="1"/>
  <c r="S117" i="1"/>
  <c r="R117" i="1"/>
  <c r="Q117" i="1"/>
  <c r="L117" i="1"/>
  <c r="T116" i="1"/>
  <c r="S116" i="1"/>
  <c r="R116" i="1"/>
  <c r="Q116" i="1"/>
  <c r="L116" i="1"/>
  <c r="T115" i="1"/>
  <c r="S115" i="1"/>
  <c r="R115" i="1"/>
  <c r="Q115" i="1"/>
  <c r="L115" i="1"/>
  <c r="T114" i="1"/>
  <c r="S114" i="1"/>
  <c r="R114" i="1"/>
  <c r="Q114" i="1"/>
  <c r="L114" i="1"/>
  <c r="T113" i="1"/>
  <c r="S113" i="1"/>
  <c r="R113" i="1"/>
  <c r="Q113" i="1"/>
  <c r="L113" i="1"/>
  <c r="T112" i="1"/>
  <c r="S112" i="1"/>
  <c r="R112" i="1"/>
  <c r="Q112" i="1"/>
  <c r="L112" i="1"/>
  <c r="T111" i="1"/>
  <c r="S111" i="1"/>
  <c r="R111" i="1"/>
  <c r="Q111" i="1"/>
  <c r="L111" i="1"/>
  <c r="T110" i="1"/>
  <c r="S110" i="1"/>
  <c r="R110" i="1"/>
  <c r="Q110" i="1"/>
  <c r="L110" i="1"/>
  <c r="T109" i="1"/>
  <c r="S109" i="1"/>
  <c r="R109" i="1"/>
  <c r="Q109" i="1"/>
  <c r="L109" i="1"/>
  <c r="T108" i="1"/>
  <c r="S108" i="1"/>
  <c r="R108" i="1"/>
  <c r="Q108" i="1"/>
  <c r="L108" i="1"/>
  <c r="T107" i="1"/>
  <c r="S107" i="1"/>
  <c r="R107" i="1"/>
  <c r="Q107" i="1"/>
  <c r="L107" i="1"/>
  <c r="T106" i="1"/>
  <c r="S106" i="1"/>
  <c r="R106" i="1"/>
  <c r="Q106" i="1"/>
  <c r="L106" i="1"/>
  <c r="T105" i="1"/>
  <c r="S105" i="1"/>
  <c r="R105" i="1"/>
  <c r="Q105" i="1"/>
  <c r="L105" i="1"/>
  <c r="T104" i="1"/>
  <c r="S104" i="1"/>
  <c r="R104" i="1"/>
  <c r="Q104" i="1"/>
  <c r="L104" i="1"/>
  <c r="T103" i="1"/>
  <c r="S103" i="1"/>
  <c r="R103" i="1"/>
  <c r="Q103" i="1"/>
  <c r="L103" i="1"/>
  <c r="T102" i="1"/>
  <c r="S102" i="1"/>
  <c r="R102" i="1"/>
  <c r="Q102" i="1"/>
  <c r="L102" i="1"/>
  <c r="T101" i="1"/>
  <c r="S101" i="1"/>
  <c r="R101" i="1"/>
  <c r="Q101" i="1"/>
  <c r="L101" i="1"/>
  <c r="T100" i="1"/>
  <c r="S100" i="1"/>
  <c r="R100" i="1"/>
  <c r="Q100" i="1"/>
  <c r="L100" i="1"/>
  <c r="T99" i="1"/>
  <c r="S99" i="1"/>
  <c r="R99" i="1"/>
  <c r="Q99" i="1"/>
  <c r="L99" i="1"/>
  <c r="T98" i="1"/>
  <c r="S98" i="1"/>
  <c r="R98" i="1"/>
  <c r="Q98" i="1"/>
  <c r="L98" i="1"/>
  <c r="T97" i="1"/>
  <c r="S97" i="1"/>
  <c r="R97" i="1"/>
  <c r="Q97" i="1"/>
  <c r="L97" i="1"/>
  <c r="T96" i="1"/>
  <c r="S96" i="1"/>
  <c r="R96" i="1"/>
  <c r="Q96" i="1"/>
  <c r="L96" i="1"/>
  <c r="T95" i="1"/>
  <c r="S95" i="1"/>
  <c r="R95" i="1"/>
  <c r="Q95" i="1"/>
  <c r="L95" i="1"/>
  <c r="T94" i="1"/>
  <c r="S94" i="1"/>
  <c r="R94" i="1"/>
  <c r="Q94" i="1"/>
  <c r="L94" i="1"/>
  <c r="T93" i="1"/>
  <c r="S93" i="1"/>
  <c r="R93" i="1"/>
  <c r="Q93" i="1"/>
  <c r="L93" i="1"/>
  <c r="T92" i="1"/>
  <c r="S92" i="1"/>
  <c r="R92" i="1"/>
  <c r="Q92" i="1"/>
  <c r="L92" i="1"/>
  <c r="T91" i="1"/>
  <c r="S91" i="1"/>
  <c r="R91" i="1"/>
  <c r="Q91" i="1"/>
  <c r="L91" i="1"/>
  <c r="T90" i="1"/>
  <c r="S90" i="1"/>
  <c r="R90" i="1"/>
  <c r="Q90" i="1"/>
  <c r="L90" i="1"/>
  <c r="T89" i="1"/>
  <c r="S89" i="1"/>
  <c r="R89" i="1"/>
  <c r="Q89" i="1"/>
  <c r="L89" i="1"/>
  <c r="T88" i="1"/>
  <c r="S88" i="1"/>
  <c r="R88" i="1"/>
  <c r="Q88" i="1"/>
  <c r="L88" i="1"/>
  <c r="T87" i="1"/>
  <c r="S87" i="1"/>
  <c r="R87" i="1"/>
  <c r="Q87" i="1"/>
  <c r="L87" i="1"/>
  <c r="T86" i="1"/>
  <c r="S86" i="1"/>
  <c r="R86" i="1"/>
  <c r="Q86" i="1"/>
  <c r="L86" i="1"/>
  <c r="T85" i="1"/>
  <c r="S85" i="1"/>
  <c r="R85" i="1"/>
  <c r="Q85" i="1"/>
  <c r="L85" i="1"/>
  <c r="T84" i="1"/>
  <c r="S84" i="1"/>
  <c r="R84" i="1"/>
  <c r="Q84" i="1"/>
  <c r="L84" i="1"/>
  <c r="T83" i="1"/>
  <c r="S83" i="1"/>
  <c r="R83" i="1"/>
  <c r="Q83" i="1"/>
  <c r="L83" i="1"/>
  <c r="T82" i="1"/>
  <c r="S82" i="1"/>
  <c r="R82" i="1"/>
  <c r="Q82" i="1"/>
  <c r="L82" i="1"/>
  <c r="T81" i="1"/>
  <c r="S81" i="1"/>
  <c r="R81" i="1"/>
  <c r="Q81" i="1"/>
  <c r="L81" i="1"/>
  <c r="T80" i="1"/>
  <c r="S80" i="1"/>
  <c r="R80" i="1"/>
  <c r="Q80" i="1"/>
  <c r="L80" i="1"/>
  <c r="T79" i="1"/>
  <c r="S79" i="1"/>
  <c r="R79" i="1"/>
  <c r="Q79" i="1"/>
  <c r="L79" i="1"/>
  <c r="T78" i="1"/>
  <c r="S78" i="1"/>
  <c r="R78" i="1"/>
  <c r="Q78" i="1"/>
  <c r="L78" i="1"/>
  <c r="T77" i="1"/>
  <c r="S77" i="1"/>
  <c r="R77" i="1"/>
  <c r="Q77" i="1"/>
  <c r="L77" i="1"/>
  <c r="T76" i="1"/>
  <c r="S76" i="1"/>
  <c r="R76" i="1"/>
  <c r="Q76" i="1"/>
  <c r="L76" i="1"/>
  <c r="T75" i="1"/>
  <c r="S75" i="1"/>
  <c r="R75" i="1"/>
  <c r="Q75" i="1"/>
  <c r="L75" i="1"/>
  <c r="T74" i="1"/>
  <c r="S74" i="1"/>
  <c r="R74" i="1"/>
  <c r="Q74" i="1"/>
  <c r="L74" i="1"/>
  <c r="T73" i="1"/>
  <c r="S73" i="1"/>
  <c r="R73" i="1"/>
  <c r="Q73" i="1"/>
  <c r="L73" i="1"/>
  <c r="T72" i="1"/>
  <c r="S72" i="1"/>
  <c r="R72" i="1"/>
  <c r="Q72" i="1"/>
  <c r="L72" i="1"/>
  <c r="T71" i="1"/>
  <c r="S71" i="1"/>
  <c r="R71" i="1"/>
  <c r="Q71" i="1"/>
  <c r="L71" i="1"/>
  <c r="T70" i="1"/>
  <c r="S70" i="1"/>
  <c r="R70" i="1"/>
  <c r="Q70" i="1"/>
  <c r="L70" i="1"/>
  <c r="T69" i="1"/>
  <c r="S69" i="1"/>
  <c r="R69" i="1"/>
  <c r="Q69" i="1"/>
  <c r="L69" i="1"/>
  <c r="T68" i="1"/>
  <c r="S68" i="1"/>
  <c r="R68" i="1"/>
  <c r="Q68" i="1"/>
  <c r="L68" i="1"/>
  <c r="T67" i="1"/>
  <c r="S67" i="1"/>
  <c r="R67" i="1"/>
  <c r="Q67" i="1"/>
  <c r="L67" i="1"/>
  <c r="T66" i="1"/>
  <c r="S66" i="1"/>
  <c r="R66" i="1"/>
  <c r="Q66" i="1"/>
  <c r="L66" i="1"/>
  <c r="T65" i="1"/>
  <c r="S65" i="1"/>
  <c r="R65" i="1"/>
  <c r="Q65" i="1"/>
  <c r="L65" i="1"/>
  <c r="T64" i="1"/>
  <c r="S64" i="1"/>
  <c r="R64" i="1"/>
  <c r="Q64" i="1"/>
  <c r="L64" i="1"/>
  <c r="T63" i="1"/>
  <c r="S63" i="1"/>
  <c r="R63" i="1"/>
  <c r="Q63" i="1"/>
  <c r="L63" i="1"/>
  <c r="T62" i="1"/>
  <c r="S62" i="1"/>
  <c r="R62" i="1"/>
  <c r="Q62" i="1"/>
  <c r="L62" i="1"/>
  <c r="T61" i="1"/>
  <c r="S61" i="1"/>
  <c r="R61" i="1"/>
  <c r="Q61" i="1"/>
  <c r="L61" i="1"/>
  <c r="T60" i="1"/>
  <c r="S60" i="1"/>
  <c r="R60" i="1"/>
  <c r="Q60" i="1"/>
  <c r="L60" i="1"/>
  <c r="T59" i="1"/>
  <c r="S59" i="1"/>
  <c r="R59" i="1"/>
  <c r="Q59" i="1"/>
  <c r="L59" i="1"/>
  <c r="T58" i="1"/>
  <c r="S58" i="1"/>
  <c r="R58" i="1"/>
  <c r="Q58" i="1"/>
  <c r="L58" i="1"/>
  <c r="T57" i="1"/>
  <c r="S57" i="1"/>
  <c r="R57" i="1"/>
  <c r="Q57" i="1"/>
  <c r="L57" i="1"/>
  <c r="T56" i="1"/>
  <c r="S56" i="1"/>
  <c r="R56" i="1"/>
  <c r="Q56" i="1"/>
  <c r="L56" i="1"/>
  <c r="T55" i="1"/>
  <c r="S55" i="1"/>
  <c r="R55" i="1"/>
  <c r="Q55" i="1"/>
  <c r="L55" i="1"/>
  <c r="T54" i="1"/>
  <c r="S54" i="1"/>
  <c r="R54" i="1"/>
  <c r="Q54" i="1"/>
  <c r="L54" i="1"/>
  <c r="T53" i="1"/>
  <c r="S53" i="1"/>
  <c r="R53" i="1"/>
  <c r="Q53" i="1"/>
  <c r="L53" i="1"/>
  <c r="T52" i="1"/>
  <c r="S52" i="1"/>
  <c r="R52" i="1"/>
  <c r="Q52" i="1"/>
  <c r="L52" i="1"/>
  <c r="T51" i="1"/>
  <c r="S51" i="1"/>
  <c r="R51" i="1"/>
  <c r="Q51" i="1"/>
  <c r="L51" i="1"/>
  <c r="T50" i="1"/>
  <c r="S50" i="1"/>
  <c r="R50" i="1"/>
  <c r="Q50" i="1"/>
  <c r="L50" i="1"/>
  <c r="T49" i="1"/>
  <c r="S49" i="1"/>
  <c r="R49" i="1"/>
  <c r="Q49" i="1"/>
  <c r="L49" i="1"/>
  <c r="T48" i="1"/>
  <c r="S48" i="1"/>
  <c r="R48" i="1"/>
  <c r="Q48" i="1"/>
  <c r="L48" i="1"/>
  <c r="T47" i="1"/>
  <c r="S47" i="1"/>
  <c r="R47" i="1"/>
  <c r="Q47" i="1"/>
  <c r="L47" i="1"/>
  <c r="T46" i="1"/>
  <c r="S46" i="1"/>
  <c r="R46" i="1"/>
  <c r="Q46" i="1"/>
  <c r="L46" i="1"/>
  <c r="T45" i="1"/>
  <c r="S45" i="1"/>
  <c r="R45" i="1"/>
  <c r="Q45" i="1"/>
  <c r="L45" i="1"/>
  <c r="T44" i="1"/>
  <c r="S44" i="1"/>
  <c r="R44" i="1"/>
  <c r="Q44" i="1"/>
  <c r="L44" i="1"/>
  <c r="T43" i="1"/>
  <c r="S43" i="1"/>
  <c r="R43" i="1"/>
  <c r="Q43" i="1"/>
  <c r="L43" i="1"/>
  <c r="T42" i="1"/>
  <c r="S42" i="1"/>
  <c r="R42" i="1"/>
  <c r="Q42" i="1"/>
  <c r="L42" i="1"/>
  <c r="T41" i="1"/>
  <c r="S41" i="1"/>
  <c r="R41" i="1"/>
  <c r="Q41" i="1"/>
  <c r="L41" i="1"/>
  <c r="T40" i="1"/>
  <c r="S40" i="1"/>
  <c r="R40" i="1"/>
  <c r="Q40" i="1"/>
  <c r="L40" i="1"/>
  <c r="T39" i="1"/>
  <c r="S39" i="1"/>
  <c r="R39" i="1"/>
  <c r="Q39" i="1"/>
  <c r="L39" i="1"/>
  <c r="T38" i="1"/>
  <c r="S38" i="1"/>
  <c r="R38" i="1"/>
  <c r="Q38" i="1"/>
  <c r="L38" i="1"/>
  <c r="T37" i="1"/>
  <c r="S37" i="1"/>
  <c r="R37" i="1"/>
  <c r="Q37" i="1"/>
  <c r="L37" i="1"/>
  <c r="T36" i="1"/>
  <c r="S36" i="1"/>
  <c r="R36" i="1"/>
  <c r="Q36" i="1"/>
  <c r="L36" i="1"/>
  <c r="T35" i="1"/>
  <c r="S35" i="1"/>
  <c r="R35" i="1"/>
  <c r="Q35" i="1"/>
  <c r="L35" i="1"/>
  <c r="T34" i="1"/>
  <c r="S34" i="1"/>
  <c r="R34" i="1"/>
  <c r="Q34" i="1"/>
  <c r="L34" i="1"/>
  <c r="T33" i="1"/>
  <c r="S33" i="1"/>
  <c r="R33" i="1"/>
  <c r="Q33" i="1"/>
  <c r="L33" i="1"/>
  <c r="T32" i="1"/>
  <c r="S32" i="1"/>
  <c r="R32" i="1"/>
  <c r="Q32" i="1"/>
  <c r="L32" i="1"/>
  <c r="T31" i="1"/>
  <c r="S31" i="1"/>
  <c r="R31" i="1"/>
  <c r="Q31" i="1"/>
  <c r="L31" i="1"/>
  <c r="T30" i="1"/>
  <c r="S30" i="1"/>
  <c r="R30" i="1"/>
  <c r="Q30" i="1"/>
  <c r="L30" i="1"/>
  <c r="T29" i="1"/>
  <c r="S29" i="1"/>
  <c r="R29" i="1"/>
  <c r="Q29" i="1"/>
  <c r="L29" i="1"/>
  <c r="T28" i="1"/>
  <c r="S28" i="1"/>
  <c r="R28" i="1"/>
  <c r="Q28" i="1"/>
  <c r="L28" i="1"/>
  <c r="T27" i="1"/>
  <c r="S27" i="1"/>
  <c r="R27" i="1"/>
  <c r="Q27" i="1"/>
  <c r="L27" i="1"/>
  <c r="T26" i="1"/>
  <c r="S26" i="1"/>
  <c r="R26" i="1"/>
  <c r="Q26" i="1"/>
  <c r="L26" i="1"/>
  <c r="T25" i="1"/>
  <c r="S25" i="1"/>
  <c r="R25" i="1"/>
  <c r="Q25" i="1"/>
  <c r="L25" i="1"/>
  <c r="J25" i="1"/>
  <c r="T24" i="1"/>
  <c r="S24" i="1"/>
  <c r="R24" i="1"/>
  <c r="Q24" i="1"/>
  <c r="L24" i="1"/>
  <c r="J24" i="1"/>
  <c r="T23" i="1"/>
  <c r="S23" i="1"/>
  <c r="R23" i="1"/>
  <c r="Q23" i="1"/>
  <c r="L23" i="1"/>
  <c r="T22" i="1"/>
  <c r="S22" i="1"/>
  <c r="R22" i="1"/>
  <c r="Q22" i="1"/>
  <c r="L22" i="1"/>
  <c r="J22" i="1"/>
  <c r="T21" i="1"/>
  <c r="S21" i="1"/>
  <c r="R21" i="1"/>
  <c r="Q21" i="1"/>
  <c r="L21" i="1"/>
  <c r="J21" i="1"/>
  <c r="T20" i="1"/>
  <c r="S20" i="1"/>
  <c r="R20" i="1"/>
  <c r="Q20" i="1"/>
  <c r="L20" i="1"/>
  <c r="J20" i="1"/>
  <c r="T19" i="1"/>
  <c r="S19" i="1"/>
  <c r="R19" i="1"/>
  <c r="Q19" i="1"/>
  <c r="L19" i="1"/>
  <c r="T18" i="1"/>
  <c r="S18" i="1"/>
  <c r="R18" i="1"/>
  <c r="Q18" i="1"/>
  <c r="L18" i="1"/>
  <c r="J18" i="1"/>
  <c r="T17" i="1"/>
  <c r="S17" i="1"/>
  <c r="R17" i="1"/>
  <c r="Q17" i="1"/>
  <c r="L17" i="1"/>
  <c r="J17" i="1"/>
  <c r="T16" i="1"/>
  <c r="S16" i="1"/>
  <c r="R16" i="1"/>
  <c r="Q16" i="1"/>
  <c r="L16" i="1"/>
  <c r="J16" i="1"/>
  <c r="T15" i="1"/>
  <c r="S15" i="1"/>
  <c r="R15" i="1"/>
  <c r="Q15" i="1"/>
  <c r="L15" i="1"/>
  <c r="J15" i="1"/>
  <c r="T14" i="1"/>
  <c r="S14" i="1"/>
  <c r="R14" i="1"/>
  <c r="Q14" i="1"/>
  <c r="L14" i="1"/>
  <c r="J14" i="1"/>
  <c r="T13" i="1"/>
  <c r="S13" i="1"/>
  <c r="R13" i="1"/>
  <c r="Q13" i="1"/>
  <c r="P13" i="1"/>
  <c r="L13" i="1"/>
  <c r="J13" i="1"/>
  <c r="T12" i="1"/>
  <c r="S12" i="1"/>
  <c r="R12" i="1"/>
  <c r="Q12" i="1"/>
  <c r="L12" i="1"/>
  <c r="J12" i="1"/>
  <c r="T11" i="1"/>
  <c r="S11" i="1"/>
  <c r="R11" i="1"/>
  <c r="Q11" i="1"/>
  <c r="L11" i="1"/>
  <c r="J11" i="1"/>
  <c r="T10" i="1"/>
  <c r="S10" i="1"/>
  <c r="R10" i="1"/>
  <c r="Q10" i="1"/>
  <c r="L10" i="1"/>
  <c r="J10" i="1"/>
  <c r="T9" i="1"/>
  <c r="S9" i="1"/>
  <c r="R9" i="1"/>
  <c r="Q9" i="1"/>
  <c r="L9" i="1"/>
  <c r="J9" i="1"/>
  <c r="T8" i="1"/>
  <c r="S8" i="1"/>
  <c r="R8" i="1"/>
  <c r="Q8" i="1"/>
  <c r="L8" i="1"/>
  <c r="J8" i="1"/>
  <c r="T7" i="1"/>
  <c r="S7" i="1"/>
  <c r="R7" i="1"/>
  <c r="Q7" i="1"/>
  <c r="L7" i="1"/>
  <c r="H6" i="2" s="1"/>
  <c r="J7" i="1"/>
  <c r="T6" i="1"/>
  <c r="S6" i="1"/>
  <c r="R6" i="1"/>
  <c r="Q6" i="1"/>
  <c r="L6" i="1"/>
  <c r="T5" i="1"/>
  <c r="S5" i="1"/>
  <c r="R5" i="1"/>
  <c r="Q5" i="1"/>
  <c r="L5" i="1"/>
  <c r="K6" i="3" l="1"/>
  <c r="K6" i="2"/>
  <c r="I161" i="2"/>
  <c r="K160" i="2"/>
  <c r="M159" i="2"/>
  <c r="C159" i="2"/>
  <c r="E158" i="2"/>
  <c r="G157" i="2"/>
  <c r="I156" i="2"/>
  <c r="K155" i="2"/>
  <c r="M154" i="2"/>
  <c r="C154" i="2"/>
  <c r="E153" i="2"/>
  <c r="G152" i="2"/>
  <c r="I151" i="2"/>
  <c r="G161" i="2"/>
  <c r="H160" i="2"/>
  <c r="I159" i="2"/>
  <c r="J158" i="2"/>
  <c r="K157" i="2"/>
  <c r="L156" i="2"/>
  <c r="M155" i="2"/>
  <c r="B155" i="2"/>
  <c r="B154" i="2"/>
  <c r="C153" i="2"/>
  <c r="D152" i="2"/>
  <c r="E151" i="2"/>
  <c r="G150" i="2"/>
  <c r="I149" i="2"/>
  <c r="K148" i="2"/>
  <c r="M147" i="2"/>
  <c r="C147" i="2"/>
  <c r="E146" i="2"/>
  <c r="G145" i="2"/>
  <c r="I144" i="2"/>
  <c r="K143" i="2"/>
  <c r="M142" i="2"/>
  <c r="C142" i="2"/>
  <c r="E141" i="2"/>
  <c r="G140" i="2"/>
  <c r="I139" i="2"/>
  <c r="K138" i="2"/>
  <c r="M137" i="2"/>
  <c r="C137" i="2"/>
  <c r="E136" i="2"/>
  <c r="G135" i="2"/>
  <c r="I134" i="2"/>
  <c r="K133" i="2"/>
  <c r="M132" i="2"/>
  <c r="C132" i="2"/>
  <c r="E131" i="2"/>
  <c r="G130" i="2"/>
  <c r="I129" i="2"/>
  <c r="K128" i="2"/>
  <c r="M127" i="2"/>
  <c r="C127" i="2"/>
  <c r="E126" i="2"/>
  <c r="G125" i="2"/>
  <c r="I124" i="2"/>
  <c r="K123" i="2"/>
  <c r="M122" i="2"/>
  <c r="C122" i="2"/>
  <c r="E121" i="2"/>
  <c r="G120" i="2"/>
  <c r="I119" i="2"/>
  <c r="K118" i="2"/>
  <c r="M117" i="2"/>
  <c r="C117" i="2"/>
  <c r="E116" i="2"/>
  <c r="G115" i="2"/>
  <c r="I114" i="2"/>
  <c r="K113" i="2"/>
  <c r="M112" i="2"/>
  <c r="C112" i="2"/>
  <c r="E111" i="2"/>
  <c r="G110" i="2"/>
  <c r="I109" i="2"/>
  <c r="K108" i="2"/>
  <c r="M107" i="2"/>
  <c r="C107" i="2"/>
  <c r="E106" i="2"/>
  <c r="G105" i="2"/>
  <c r="I104" i="2"/>
  <c r="K103" i="2"/>
  <c r="M102" i="2"/>
  <c r="C102" i="2"/>
  <c r="E101" i="2"/>
  <c r="G100" i="2"/>
  <c r="I99" i="2"/>
  <c r="K98" i="2"/>
  <c r="M97" i="2"/>
  <c r="C97" i="2"/>
  <c r="E96" i="2"/>
  <c r="G95" i="2"/>
  <c r="I94" i="2"/>
  <c r="K93" i="2"/>
  <c r="M92" i="2"/>
  <c r="C92" i="2"/>
  <c r="E91" i="2"/>
  <c r="G90" i="2"/>
  <c r="I89" i="2"/>
  <c r="K88" i="2"/>
  <c r="M87" i="2"/>
  <c r="C87" i="2"/>
  <c r="E86" i="2"/>
  <c r="G85" i="2"/>
  <c r="I84" i="2"/>
  <c r="K83" i="2"/>
  <c r="M82" i="2"/>
  <c r="C82" i="2"/>
  <c r="E81" i="2"/>
  <c r="G80" i="2"/>
  <c r="I79" i="2"/>
  <c r="K78" i="2"/>
  <c r="M77" i="2"/>
  <c r="C77" i="2"/>
  <c r="E76" i="2"/>
  <c r="G75" i="2"/>
  <c r="I74" i="2"/>
  <c r="K73" i="2"/>
  <c r="M72" i="2"/>
  <c r="C72" i="2"/>
  <c r="E71" i="2"/>
  <c r="G70" i="2"/>
  <c r="I69" i="2"/>
  <c r="K68" i="2"/>
  <c r="M67" i="2"/>
  <c r="C67" i="2"/>
  <c r="E66" i="2"/>
  <c r="G65" i="2"/>
  <c r="I64" i="2"/>
  <c r="K63" i="2"/>
  <c r="M62" i="2"/>
  <c r="C62" i="2"/>
  <c r="E61" i="2"/>
  <c r="G60" i="2"/>
  <c r="I59" i="2"/>
  <c r="K58" i="2"/>
  <c r="M57" i="2"/>
  <c r="C57" i="2"/>
  <c r="E56" i="2"/>
  <c r="G55" i="2"/>
  <c r="I54" i="2"/>
  <c r="K53" i="2"/>
  <c r="M52" i="2"/>
  <c r="C52" i="2"/>
  <c r="E51" i="2"/>
  <c r="G50" i="2"/>
  <c r="I49" i="2"/>
  <c r="K48" i="2"/>
  <c r="M47" i="2"/>
  <c r="C47" i="2"/>
  <c r="E46" i="2"/>
  <c r="G45" i="2"/>
  <c r="I44" i="2"/>
  <c r="K43" i="2"/>
  <c r="M42" i="2"/>
  <c r="C42" i="2"/>
  <c r="E41" i="2"/>
  <c r="G40" i="2"/>
  <c r="I39" i="2"/>
  <c r="K38" i="2"/>
  <c r="M37" i="2"/>
  <c r="C37" i="2"/>
  <c r="E36" i="2"/>
  <c r="G35" i="2"/>
  <c r="I34" i="2"/>
  <c r="K33" i="2"/>
  <c r="M32" i="2"/>
  <c r="C32" i="2"/>
  <c r="E31" i="2"/>
  <c r="G30" i="2"/>
  <c r="I29" i="2"/>
  <c r="K28" i="2"/>
  <c r="M27" i="2"/>
  <c r="C27" i="2"/>
  <c r="E26" i="2"/>
  <c r="G25" i="2"/>
  <c r="I24" i="2"/>
  <c r="K23" i="2"/>
  <c r="M22" i="2"/>
  <c r="C22" i="2"/>
  <c r="E21" i="2"/>
  <c r="G20" i="2"/>
  <c r="I19" i="2"/>
  <c r="K18" i="2"/>
  <c r="M17" i="2"/>
  <c r="C17" i="2"/>
  <c r="E16" i="2"/>
  <c r="G15" i="2"/>
  <c r="I14" i="2"/>
  <c r="K13" i="2"/>
  <c r="F161" i="2"/>
  <c r="G160" i="2"/>
  <c r="H159" i="2"/>
  <c r="I158" i="2"/>
  <c r="J157" i="2"/>
  <c r="K156" i="2"/>
  <c r="L155" i="2"/>
  <c r="L154" i="2"/>
  <c r="M153" i="2"/>
  <c r="B153" i="2"/>
  <c r="C152" i="2"/>
  <c r="D151" i="2"/>
  <c r="F150" i="2"/>
  <c r="H149" i="2"/>
  <c r="J148" i="2"/>
  <c r="L147" i="2"/>
  <c r="B147" i="2"/>
  <c r="D146" i="2"/>
  <c r="F145" i="2"/>
  <c r="H144" i="2"/>
  <c r="J143" i="2"/>
  <c r="L142" i="2"/>
  <c r="B142" i="2"/>
  <c r="D141" i="2"/>
  <c r="F140" i="2"/>
  <c r="H139" i="2"/>
  <c r="J138" i="2"/>
  <c r="L137" i="2"/>
  <c r="B137" i="2"/>
  <c r="D136" i="2"/>
  <c r="F135" i="2"/>
  <c r="H134" i="2"/>
  <c r="J133" i="2"/>
  <c r="L132" i="2"/>
  <c r="B132" i="2"/>
  <c r="D131" i="2"/>
  <c r="F130" i="2"/>
  <c r="H129" i="2"/>
  <c r="J128" i="2"/>
  <c r="L127" i="2"/>
  <c r="B127" i="2"/>
  <c r="D126" i="2"/>
  <c r="F125" i="2"/>
  <c r="H124" i="2"/>
  <c r="J123" i="2"/>
  <c r="L122" i="2"/>
  <c r="B122" i="2"/>
  <c r="D121" i="2"/>
  <c r="F120" i="2"/>
  <c r="H119" i="2"/>
  <c r="J118" i="2"/>
  <c r="L117" i="2"/>
  <c r="B117" i="2"/>
  <c r="D116" i="2"/>
  <c r="F115" i="2"/>
  <c r="H114" i="2"/>
  <c r="J113" i="2"/>
  <c r="L112" i="2"/>
  <c r="B112" i="2"/>
  <c r="D111" i="2"/>
  <c r="F110" i="2"/>
  <c r="H109" i="2"/>
  <c r="J108" i="2"/>
  <c r="L107" i="2"/>
  <c r="B107" i="2"/>
  <c r="D106" i="2"/>
  <c r="F105" i="2"/>
  <c r="H104" i="2"/>
  <c r="J103" i="2"/>
  <c r="L102" i="2"/>
  <c r="B102" i="2"/>
  <c r="D101" i="2"/>
  <c r="F100" i="2"/>
  <c r="H99" i="2"/>
  <c r="J98" i="2"/>
  <c r="L97" i="2"/>
  <c r="B97" i="2"/>
  <c r="D96" i="2"/>
  <c r="F95" i="2"/>
  <c r="H94" i="2"/>
  <c r="J93" i="2"/>
  <c r="L92" i="2"/>
  <c r="B92" i="2"/>
  <c r="D91" i="2"/>
  <c r="F90" i="2"/>
  <c r="H89" i="2"/>
  <c r="J88" i="2"/>
  <c r="L87" i="2"/>
  <c r="B87" i="2"/>
  <c r="D86" i="2"/>
  <c r="F85" i="2"/>
  <c r="H84" i="2"/>
  <c r="E161" i="2"/>
  <c r="F160" i="2"/>
  <c r="G159" i="2"/>
  <c r="H158" i="2"/>
  <c r="I157" i="2"/>
  <c r="J156" i="2"/>
  <c r="J155" i="2"/>
  <c r="K154" i="2"/>
  <c r="L153" i="2"/>
  <c r="M152" i="2"/>
  <c r="B152" i="2"/>
  <c r="C151" i="2"/>
  <c r="E150" i="2"/>
  <c r="G149" i="2"/>
  <c r="I148" i="2"/>
  <c r="K147" i="2"/>
  <c r="M146" i="2"/>
  <c r="C146" i="2"/>
  <c r="E145" i="2"/>
  <c r="G144" i="2"/>
  <c r="I143" i="2"/>
  <c r="K142" i="2"/>
  <c r="M141" i="2"/>
  <c r="C141" i="2"/>
  <c r="E140" i="2"/>
  <c r="G139" i="2"/>
  <c r="I138" i="2"/>
  <c r="K137" i="2"/>
  <c r="M136" i="2"/>
  <c r="C136" i="2"/>
  <c r="E135" i="2"/>
  <c r="G134" i="2"/>
  <c r="I133" i="2"/>
  <c r="K132" i="2"/>
  <c r="M131" i="2"/>
  <c r="C131" i="2"/>
  <c r="E130" i="2"/>
  <c r="G129" i="2"/>
  <c r="I128" i="2"/>
  <c r="K127" i="2"/>
  <c r="M126" i="2"/>
  <c r="C126" i="2"/>
  <c r="E125" i="2"/>
  <c r="G124" i="2"/>
  <c r="I123" i="2"/>
  <c r="K122" i="2"/>
  <c r="M121" i="2"/>
  <c r="C121" i="2"/>
  <c r="E120" i="2"/>
  <c r="G119" i="2"/>
  <c r="I118" i="2"/>
  <c r="K117" i="2"/>
  <c r="M116" i="2"/>
  <c r="C116" i="2"/>
  <c r="E115" i="2"/>
  <c r="G114" i="2"/>
  <c r="I113" i="2"/>
  <c r="K112" i="2"/>
  <c r="M111" i="2"/>
  <c r="C111" i="2"/>
  <c r="E110" i="2"/>
  <c r="G109" i="2"/>
  <c r="I108" i="2"/>
  <c r="K107" i="2"/>
  <c r="M106" i="2"/>
  <c r="C106" i="2"/>
  <c r="E105" i="2"/>
  <c r="G104" i="2"/>
  <c r="I103" i="2"/>
  <c r="K102" i="2"/>
  <c r="M101" i="2"/>
  <c r="C101" i="2"/>
  <c r="E100" i="2"/>
  <c r="G99" i="2"/>
  <c r="I98" i="2"/>
  <c r="K97" i="2"/>
  <c r="M96" i="2"/>
  <c r="C96" i="2"/>
  <c r="E95" i="2"/>
  <c r="G94" i="2"/>
  <c r="I93" i="2"/>
  <c r="K92" i="2"/>
  <c r="M91" i="2"/>
  <c r="C91" i="2"/>
  <c r="E90" i="2"/>
  <c r="G89" i="2"/>
  <c r="I88" i="2"/>
  <c r="K87" i="2"/>
  <c r="M86" i="2"/>
  <c r="C86" i="2"/>
  <c r="E85" i="2"/>
  <c r="G84" i="2"/>
  <c r="I83" i="2"/>
  <c r="K82" i="2"/>
  <c r="M81" i="2"/>
  <c r="C81" i="2"/>
  <c r="E80" i="2"/>
  <c r="G79" i="2"/>
  <c r="H161" i="2"/>
  <c r="I160" i="2"/>
  <c r="J159" i="2"/>
  <c r="K158" i="2"/>
  <c r="L157" i="2"/>
  <c r="M156" i="2"/>
  <c r="B156" i="2"/>
  <c r="C155" i="2"/>
  <c r="D154" i="2"/>
  <c r="D153" i="2"/>
  <c r="E152" i="2"/>
  <c r="F151" i="2"/>
  <c r="H150" i="2"/>
  <c r="J149" i="2"/>
  <c r="L148" i="2"/>
  <c r="B148" i="2"/>
  <c r="D147" i="2"/>
  <c r="F146" i="2"/>
  <c r="H145" i="2"/>
  <c r="J144" i="2"/>
  <c r="L143" i="2"/>
  <c r="B143" i="2"/>
  <c r="D142" i="2"/>
  <c r="F141" i="2"/>
  <c r="H140" i="2"/>
  <c r="J139" i="2"/>
  <c r="L138" i="2"/>
  <c r="B138" i="2"/>
  <c r="D137" i="2"/>
  <c r="F136" i="2"/>
  <c r="H135" i="2"/>
  <c r="J134" i="2"/>
  <c r="L133" i="2"/>
  <c r="B133" i="2"/>
  <c r="L161" i="2"/>
  <c r="K161" i="2"/>
  <c r="C160" i="2"/>
  <c r="G158" i="2"/>
  <c r="C157" i="2"/>
  <c r="G155" i="2"/>
  <c r="K153" i="2"/>
  <c r="H152" i="2"/>
  <c r="L150" i="2"/>
  <c r="F149" i="2"/>
  <c r="D148" i="2"/>
  <c r="J146" i="2"/>
  <c r="D145" i="2"/>
  <c r="B144" i="2"/>
  <c r="H142" i="2"/>
  <c r="B141" i="2"/>
  <c r="L139" i="2"/>
  <c r="F138" i="2"/>
  <c r="L136" i="2"/>
  <c r="J135" i="2"/>
  <c r="D134" i="2"/>
  <c r="J132" i="2"/>
  <c r="I131" i="2"/>
  <c r="H130" i="2"/>
  <c r="D129" i="2"/>
  <c r="C128" i="2"/>
  <c r="K126" i="2"/>
  <c r="J125" i="2"/>
  <c r="F124" i="2"/>
  <c r="E123" i="2"/>
  <c r="J161" i="2"/>
  <c r="B160" i="2"/>
  <c r="F158" i="2"/>
  <c r="B157" i="2"/>
  <c r="F155" i="2"/>
  <c r="J153" i="2"/>
  <c r="F152" i="2"/>
  <c r="K150" i="2"/>
  <c r="E149" i="2"/>
  <c r="C148" i="2"/>
  <c r="I146" i="2"/>
  <c r="C145" i="2"/>
  <c r="M143" i="2"/>
  <c r="G142" i="2"/>
  <c r="M140" i="2"/>
  <c r="K139" i="2"/>
  <c r="E138" i="2"/>
  <c r="K136" i="2"/>
  <c r="I135" i="2"/>
  <c r="C134" i="2"/>
  <c r="C161" i="2"/>
  <c r="E159" i="2"/>
  <c r="F157" i="2"/>
  <c r="H155" i="2"/>
  <c r="H153" i="2"/>
  <c r="J151" i="2"/>
  <c r="M149" i="2"/>
  <c r="E148" i="2"/>
  <c r="G146" i="2"/>
  <c r="K144" i="2"/>
  <c r="C143" i="2"/>
  <c r="G141" i="2"/>
  <c r="E139" i="2"/>
  <c r="I137" i="2"/>
  <c r="M135" i="2"/>
  <c r="E134" i="2"/>
  <c r="H132" i="2"/>
  <c r="F131" i="2"/>
  <c r="M129" i="2"/>
  <c r="H128" i="2"/>
  <c r="F127" i="2"/>
  <c r="M125" i="2"/>
  <c r="K124" i="2"/>
  <c r="F123" i="2"/>
  <c r="D122" i="2"/>
  <c r="L120" i="2"/>
  <c r="K119" i="2"/>
  <c r="G118" i="2"/>
  <c r="F117" i="2"/>
  <c r="B116" i="2"/>
  <c r="M114" i="2"/>
  <c r="L113" i="2"/>
  <c r="H112" i="2"/>
  <c r="G111" i="2"/>
  <c r="C110" i="2"/>
  <c r="B109" i="2"/>
  <c r="J107" i="2"/>
  <c r="I106" i="2"/>
  <c r="H105" i="2"/>
  <c r="D104" i="2"/>
  <c r="C103" i="2"/>
  <c r="K101" i="2"/>
  <c r="J100" i="2"/>
  <c r="F99" i="2"/>
  <c r="E98" i="2"/>
  <c r="D97" i="2"/>
  <c r="L95" i="2"/>
  <c r="K94" i="2"/>
  <c r="G93" i="2"/>
  <c r="F92" i="2"/>
  <c r="B91" i="2"/>
  <c r="M89" i="2"/>
  <c r="L88" i="2"/>
  <c r="H87" i="2"/>
  <c r="G86" i="2"/>
  <c r="C85" i="2"/>
  <c r="B84" i="2"/>
  <c r="B83" i="2"/>
  <c r="L81" i="2"/>
  <c r="L80" i="2"/>
  <c r="L79" i="2"/>
  <c r="L78" i="2"/>
  <c r="L77" i="2"/>
  <c r="M76" i="2"/>
  <c r="B76" i="2"/>
  <c r="C75" i="2"/>
  <c r="D74" i="2"/>
  <c r="E73" i="2"/>
  <c r="F72" i="2"/>
  <c r="G71" i="2"/>
  <c r="H70" i="2"/>
  <c r="H69" i="2"/>
  <c r="I68" i="2"/>
  <c r="J67" i="2"/>
  <c r="K66" i="2"/>
  <c r="L65" i="2"/>
  <c r="M64" i="2"/>
  <c r="B64" i="2"/>
  <c r="C63" i="2"/>
  <c r="D62" i="2"/>
  <c r="D61" i="2"/>
  <c r="E60" i="2"/>
  <c r="F59" i="2"/>
  <c r="G58" i="2"/>
  <c r="H57" i="2"/>
  <c r="I56" i="2"/>
  <c r="J55" i="2"/>
  <c r="K54" i="2"/>
  <c r="L53" i="2"/>
  <c r="L52" i="2"/>
  <c r="M51" i="2"/>
  <c r="B51" i="2"/>
  <c r="C50" i="2"/>
  <c r="D49" i="2"/>
  <c r="E48" i="2"/>
  <c r="F47" i="2"/>
  <c r="G46" i="2"/>
  <c r="H45" i="2"/>
  <c r="H44" i="2"/>
  <c r="I43" i="2"/>
  <c r="J42" i="2"/>
  <c r="K41" i="2"/>
  <c r="L40" i="2"/>
  <c r="M39" i="2"/>
  <c r="B39" i="2"/>
  <c r="C38" i="2"/>
  <c r="D37" i="2"/>
  <c r="D36" i="2"/>
  <c r="E35" i="2"/>
  <c r="F34" i="2"/>
  <c r="G33" i="2"/>
  <c r="H32" i="2"/>
  <c r="I31" i="2"/>
  <c r="J30" i="2"/>
  <c r="K29" i="2"/>
  <c r="L28" i="2"/>
  <c r="L27" i="2"/>
  <c r="M26" i="2"/>
  <c r="B26" i="2"/>
  <c r="C25" i="2"/>
  <c r="D24" i="2"/>
  <c r="E23" i="2"/>
  <c r="F22" i="2"/>
  <c r="G21" i="2"/>
  <c r="H20" i="2"/>
  <c r="H19" i="2"/>
  <c r="I18" i="2"/>
  <c r="J17" i="2"/>
  <c r="K16" i="2"/>
  <c r="L15" i="2"/>
  <c r="M14" i="2"/>
  <c r="B14" i="2"/>
  <c r="C13" i="2"/>
  <c r="B161" i="2"/>
  <c r="D159" i="2"/>
  <c r="E157" i="2"/>
  <c r="E155" i="2"/>
  <c r="G153" i="2"/>
  <c r="H151" i="2"/>
  <c r="L149" i="2"/>
  <c r="J147" i="2"/>
  <c r="B146" i="2"/>
  <c r="F144" i="2"/>
  <c r="J142" i="2"/>
  <c r="L140" i="2"/>
  <c r="D139" i="2"/>
  <c r="H137" i="2"/>
  <c r="L135" i="2"/>
  <c r="B134" i="2"/>
  <c r="G132" i="2"/>
  <c r="B131" i="2"/>
  <c r="L129" i="2"/>
  <c r="G128" i="2"/>
  <c r="E127" i="2"/>
  <c r="L125" i="2"/>
  <c r="J124" i="2"/>
  <c r="D123" i="2"/>
  <c r="L121" i="2"/>
  <c r="K120" i="2"/>
  <c r="J119" i="2"/>
  <c r="F118" i="2"/>
  <c r="E117" i="2"/>
  <c r="M115" i="2"/>
  <c r="L114" i="2"/>
  <c r="H113" i="2"/>
  <c r="G112" i="2"/>
  <c r="F111" i="2"/>
  <c r="B110" i="2"/>
  <c r="M108" i="2"/>
  <c r="I107" i="2"/>
  <c r="H106" i="2"/>
  <c r="D105" i="2"/>
  <c r="C104" i="2"/>
  <c r="B103" i="2"/>
  <c r="J101" i="2"/>
  <c r="I100" i="2"/>
  <c r="E99" i="2"/>
  <c r="D98" i="2"/>
  <c r="L96" i="2"/>
  <c r="K95" i="2"/>
  <c r="J94" i="2"/>
  <c r="F93" i="2"/>
  <c r="E92" i="2"/>
  <c r="M90" i="2"/>
  <c r="L89" i="2"/>
  <c r="H88" i="2"/>
  <c r="G87" i="2"/>
  <c r="F86" i="2"/>
  <c r="B85" i="2"/>
  <c r="M83" i="2"/>
  <c r="L82" i="2"/>
  <c r="K81" i="2"/>
  <c r="K80" i="2"/>
  <c r="K79" i="2"/>
  <c r="J78" i="2"/>
  <c r="K77" i="2"/>
  <c r="L76" i="2"/>
  <c r="M75" i="2"/>
  <c r="B75" i="2"/>
  <c r="C74" i="2"/>
  <c r="D73" i="2"/>
  <c r="E72" i="2"/>
  <c r="F71" i="2"/>
  <c r="F70" i="2"/>
  <c r="G69" i="2"/>
  <c r="H68" i="2"/>
  <c r="I67" i="2"/>
  <c r="J66" i="2"/>
  <c r="K65" i="2"/>
  <c r="L64" i="2"/>
  <c r="M63" i="2"/>
  <c r="B63" i="2"/>
  <c r="B62" i="2"/>
  <c r="C61" i="2"/>
  <c r="D60" i="2"/>
  <c r="E59" i="2"/>
  <c r="F58" i="2"/>
  <c r="G57" i="2"/>
  <c r="H56" i="2"/>
  <c r="I55" i="2"/>
  <c r="J54" i="2"/>
  <c r="J53" i="2"/>
  <c r="K52" i="2"/>
  <c r="L51" i="2"/>
  <c r="M50" i="2"/>
  <c r="B50" i="2"/>
  <c r="C49" i="2"/>
  <c r="D48" i="2"/>
  <c r="E47" i="2"/>
  <c r="F46" i="2"/>
  <c r="F45" i="2"/>
  <c r="G44" i="2"/>
  <c r="H43" i="2"/>
  <c r="I42" i="2"/>
  <c r="J41" i="2"/>
  <c r="K40" i="2"/>
  <c r="L39" i="2"/>
  <c r="M38" i="2"/>
  <c r="B38" i="2"/>
  <c r="B37" i="2"/>
  <c r="C36" i="2"/>
  <c r="D35" i="2"/>
  <c r="E34" i="2"/>
  <c r="F33" i="2"/>
  <c r="G32" i="2"/>
  <c r="H31" i="2"/>
  <c r="I30" i="2"/>
  <c r="J29" i="2"/>
  <c r="J28" i="2"/>
  <c r="M160" i="2"/>
  <c r="L160" i="2"/>
  <c r="M158" i="2"/>
  <c r="H156" i="2"/>
  <c r="J154" i="2"/>
  <c r="L152" i="2"/>
  <c r="B151" i="2"/>
  <c r="D149" i="2"/>
  <c r="H147" i="2"/>
  <c r="L145" i="2"/>
  <c r="D144" i="2"/>
  <c r="F142" i="2"/>
  <c r="J140" i="2"/>
  <c r="B139" i="2"/>
  <c r="F137" i="2"/>
  <c r="D135" i="2"/>
  <c r="H133" i="2"/>
  <c r="E160" i="2"/>
  <c r="D158" i="2"/>
  <c r="F156" i="2"/>
  <c r="H154" i="2"/>
  <c r="J152" i="2"/>
  <c r="J150" i="2"/>
  <c r="B149" i="2"/>
  <c r="F147" i="2"/>
  <c r="J145" i="2"/>
  <c r="H143" i="2"/>
  <c r="L141" i="2"/>
  <c r="D140" i="2"/>
  <c r="H138" i="2"/>
  <c r="J136" i="2"/>
  <c r="B135" i="2"/>
  <c r="F133" i="2"/>
  <c r="L131" i="2"/>
  <c r="J130" i="2"/>
  <c r="E129" i="2"/>
  <c r="B128" i="2"/>
  <c r="I126" i="2"/>
  <c r="D125" i="2"/>
  <c r="B124" i="2"/>
  <c r="I122" i="2"/>
  <c r="H121" i="2"/>
  <c r="D120" i="2"/>
  <c r="C119" i="2"/>
  <c r="B118" i="2"/>
  <c r="J116" i="2"/>
  <c r="I115" i="2"/>
  <c r="E114" i="2"/>
  <c r="D113" i="2"/>
  <c r="L111" i="2"/>
  <c r="K110" i="2"/>
  <c r="J109" i="2"/>
  <c r="F108" i="2"/>
  <c r="E107" i="2"/>
  <c r="M105" i="2"/>
  <c r="L104" i="2"/>
  <c r="H103" i="2"/>
  <c r="G102" i="2"/>
  <c r="F101" i="2"/>
  <c r="B100" i="2"/>
  <c r="M98" i="2"/>
  <c r="I97" i="2"/>
  <c r="H96" i="2"/>
  <c r="D95" i="2"/>
  <c r="C94" i="2"/>
  <c r="B93" i="2"/>
  <c r="J91" i="2"/>
  <c r="I90" i="2"/>
  <c r="D161" i="2"/>
  <c r="F159" i="2"/>
  <c r="H157" i="2"/>
  <c r="I155" i="2"/>
  <c r="I153" i="2"/>
  <c r="K151" i="2"/>
  <c r="B150" i="2"/>
  <c r="F148" i="2"/>
  <c r="H146" i="2"/>
  <c r="L144" i="2"/>
  <c r="D143" i="2"/>
  <c r="H141" i="2"/>
  <c r="F139" i="2"/>
  <c r="J137" i="2"/>
  <c r="B136" i="2"/>
  <c r="F134" i="2"/>
  <c r="I132" i="2"/>
  <c r="G131" i="2"/>
  <c r="B130" i="2"/>
  <c r="L128" i="2"/>
  <c r="G127" i="2"/>
  <c r="B126" i="2"/>
  <c r="L124" i="2"/>
  <c r="G123" i="2"/>
  <c r="E122" i="2"/>
  <c r="M120" i="2"/>
  <c r="L119" i="2"/>
  <c r="H118" i="2"/>
  <c r="G117" i="2"/>
  <c r="F116" i="2"/>
  <c r="B115" i="2"/>
  <c r="M113" i="2"/>
  <c r="I112" i="2"/>
  <c r="H111" i="2"/>
  <c r="D110" i="2"/>
  <c r="C109" i="2"/>
  <c r="B108" i="2"/>
  <c r="J106" i="2"/>
  <c r="I105" i="2"/>
  <c r="E104" i="2"/>
  <c r="D103" i="2"/>
  <c r="L101" i="2"/>
  <c r="K100" i="2"/>
  <c r="J99" i="2"/>
  <c r="F98" i="2"/>
  <c r="E97" i="2"/>
  <c r="M95" i="2"/>
  <c r="L94" i="2"/>
  <c r="H93" i="2"/>
  <c r="G92" i="2"/>
  <c r="F91" i="2"/>
  <c r="B90" i="2"/>
  <c r="M88" i="2"/>
  <c r="I87" i="2"/>
  <c r="H86" i="2"/>
  <c r="D85" i="2"/>
  <c r="C84" i="2"/>
  <c r="C83" i="2"/>
  <c r="B82" i="2"/>
  <c r="M80" i="2"/>
  <c r="M79" i="2"/>
  <c r="M78" i="2"/>
  <c r="B78" i="2"/>
  <c r="B77" i="2"/>
  <c r="C76" i="2"/>
  <c r="D75" i="2"/>
  <c r="E74" i="2"/>
  <c r="F73" i="2"/>
  <c r="G72" i="2"/>
  <c r="H71" i="2"/>
  <c r="I70" i="2"/>
  <c r="J69" i="2"/>
  <c r="J68" i="2"/>
  <c r="K67" i="2"/>
  <c r="L66" i="2"/>
  <c r="M65" i="2"/>
  <c r="B65" i="2"/>
  <c r="C64" i="2"/>
  <c r="D63" i="2"/>
  <c r="E62" i="2"/>
  <c r="F61" i="2"/>
  <c r="F60" i="2"/>
  <c r="G59" i="2"/>
  <c r="H58" i="2"/>
  <c r="I57" i="2"/>
  <c r="J56" i="2"/>
  <c r="K55" i="2"/>
  <c r="L54" i="2"/>
  <c r="M53" i="2"/>
  <c r="B53" i="2"/>
  <c r="B52" i="2"/>
  <c r="C51" i="2"/>
  <c r="D50" i="2"/>
  <c r="E49" i="2"/>
  <c r="F48" i="2"/>
  <c r="G47" i="2"/>
  <c r="H46" i="2"/>
  <c r="I45" i="2"/>
  <c r="J44" i="2"/>
  <c r="J43" i="2"/>
  <c r="K42" i="2"/>
  <c r="L41" i="2"/>
  <c r="M40" i="2"/>
  <c r="B40" i="2"/>
  <c r="C39" i="2"/>
  <c r="L158" i="2"/>
  <c r="I154" i="2"/>
  <c r="M150" i="2"/>
  <c r="G147" i="2"/>
  <c r="C144" i="2"/>
  <c r="I140" i="2"/>
  <c r="E137" i="2"/>
  <c r="G133" i="2"/>
  <c r="M130" i="2"/>
  <c r="B129" i="2"/>
  <c r="J126" i="2"/>
  <c r="E124" i="2"/>
  <c r="G122" i="2"/>
  <c r="H120" i="2"/>
  <c r="E118" i="2"/>
  <c r="H116" i="2"/>
  <c r="F114" i="2"/>
  <c r="F112" i="2"/>
  <c r="I110" i="2"/>
  <c r="G108" i="2"/>
  <c r="G106" i="2"/>
  <c r="J104" i="2"/>
  <c r="H102" i="2"/>
  <c r="H100" i="2"/>
  <c r="H98" i="2"/>
  <c r="I96" i="2"/>
  <c r="F94" i="2"/>
  <c r="I92" i="2"/>
  <c r="J90" i="2"/>
  <c r="B89" i="2"/>
  <c r="D87" i="2"/>
  <c r="I85" i="2"/>
  <c r="J83" i="2"/>
  <c r="F82" i="2"/>
  <c r="J80" i="2"/>
  <c r="E79" i="2"/>
  <c r="C78" i="2"/>
  <c r="I76" i="2"/>
  <c r="F75" i="2"/>
  <c r="M73" i="2"/>
  <c r="J72" i="2"/>
  <c r="D71" i="2"/>
  <c r="B70" i="2"/>
  <c r="L68" i="2"/>
  <c r="F67" i="2"/>
  <c r="C66" i="2"/>
  <c r="J64" i="2"/>
  <c r="G63" i="2"/>
  <c r="M61" i="2"/>
  <c r="K60" i="2"/>
  <c r="H59" i="2"/>
  <c r="C58" i="2"/>
  <c r="L56" i="2"/>
  <c r="F55" i="2"/>
  <c r="D54" i="2"/>
  <c r="J52" i="2"/>
  <c r="H51" i="2"/>
  <c r="E50" i="2"/>
  <c r="L48" i="2"/>
  <c r="I47" i="2"/>
  <c r="C46" i="2"/>
  <c r="M44" i="2"/>
  <c r="G43" i="2"/>
  <c r="E42" i="2"/>
  <c r="B41" i="2"/>
  <c r="H39" i="2"/>
  <c r="F38" i="2"/>
  <c r="E37" i="2"/>
  <c r="M35" i="2"/>
  <c r="L34" i="2"/>
  <c r="J33" i="2"/>
  <c r="I32" i="2"/>
  <c r="F31" i="2"/>
  <c r="D30" i="2"/>
  <c r="C29" i="2"/>
  <c r="B28" i="2"/>
  <c r="L26" i="2"/>
  <c r="L25" i="2"/>
  <c r="L24" i="2"/>
  <c r="L23" i="2"/>
  <c r="K22" i="2"/>
  <c r="K21" i="2"/>
  <c r="K20" i="2"/>
  <c r="K19" i="2"/>
  <c r="J18" i="2"/>
  <c r="I17" i="2"/>
  <c r="I16" i="2"/>
  <c r="I15" i="2"/>
  <c r="H14" i="2"/>
  <c r="H13" i="2"/>
  <c r="C158" i="2"/>
  <c r="G154" i="2"/>
  <c r="I150" i="2"/>
  <c r="E147" i="2"/>
  <c r="G143" i="2"/>
  <c r="C140" i="2"/>
  <c r="I136" i="2"/>
  <c r="E133" i="2"/>
  <c r="L130" i="2"/>
  <c r="M128" i="2"/>
  <c r="H126" i="2"/>
  <c r="D124" i="2"/>
  <c r="F122" i="2"/>
  <c r="C120" i="2"/>
  <c r="D118" i="2"/>
  <c r="G116" i="2"/>
  <c r="D114" i="2"/>
  <c r="E112" i="2"/>
  <c r="H110" i="2"/>
  <c r="E108" i="2"/>
  <c r="F106" i="2"/>
  <c r="F104" i="2"/>
  <c r="F102" i="2"/>
  <c r="D100" i="2"/>
  <c r="G98" i="2"/>
  <c r="G96" i="2"/>
  <c r="E94" i="2"/>
  <c r="H92" i="2"/>
  <c r="H90" i="2"/>
  <c r="G88" i="2"/>
  <c r="L86" i="2"/>
  <c r="H85" i="2"/>
  <c r="H83" i="2"/>
  <c r="E82" i="2"/>
  <c r="I80" i="2"/>
  <c r="D79" i="2"/>
  <c r="J77" i="2"/>
  <c r="H76" i="2"/>
  <c r="E75" i="2"/>
  <c r="L73" i="2"/>
  <c r="I72" i="2"/>
  <c r="C71" i="2"/>
  <c r="M69" i="2"/>
  <c r="G68" i="2"/>
  <c r="E67" i="2"/>
  <c r="B66" i="2"/>
  <c r="H64" i="2"/>
  <c r="F63" i="2"/>
  <c r="L61" i="2"/>
  <c r="J60" i="2"/>
  <c r="D59" i="2"/>
  <c r="B58" i="2"/>
  <c r="K56" i="2"/>
  <c r="E55" i="2"/>
  <c r="C54" i="2"/>
  <c r="I52" i="2"/>
  <c r="G51" i="2"/>
  <c r="M49" i="2"/>
  <c r="J48" i="2"/>
  <c r="H47" i="2"/>
  <c r="B46" i="2"/>
  <c r="L44" i="2"/>
  <c r="F43" i="2"/>
  <c r="D42" i="2"/>
  <c r="J40" i="2"/>
  <c r="G39" i="2"/>
  <c r="E38" i="2"/>
  <c r="M36" i="2"/>
  <c r="L35" i="2"/>
  <c r="K34" i="2"/>
  <c r="I33" i="2"/>
  <c r="F32" i="2"/>
  <c r="D31" i="2"/>
  <c r="C30" i="2"/>
  <c r="B29" i="2"/>
  <c r="K27" i="2"/>
  <c r="K26" i="2"/>
  <c r="K25" i="2"/>
  <c r="K24" i="2"/>
  <c r="J23" i="2"/>
  <c r="J22" i="2"/>
  <c r="J21" i="2"/>
  <c r="J20" i="2"/>
  <c r="J19" i="2"/>
  <c r="H18" i="2"/>
  <c r="H17" i="2"/>
  <c r="H16" i="2"/>
  <c r="H15" i="2"/>
  <c r="G14" i="2"/>
  <c r="G13" i="2"/>
  <c r="B158" i="2"/>
  <c r="F154" i="2"/>
  <c r="D150" i="2"/>
  <c r="L146" i="2"/>
  <c r="F143" i="2"/>
  <c r="B140" i="2"/>
  <c r="H136" i="2"/>
  <c r="D133" i="2"/>
  <c r="K130" i="2"/>
  <c r="F128" i="2"/>
  <c r="G126" i="2"/>
  <c r="C124" i="2"/>
  <c r="K121" i="2"/>
  <c r="B120" i="2"/>
  <c r="C118" i="2"/>
  <c r="L115" i="2"/>
  <c r="C114" i="2"/>
  <c r="D112" i="2"/>
  <c r="M109" i="2"/>
  <c r="D108" i="2"/>
  <c r="B106" i="2"/>
  <c r="B104" i="2"/>
  <c r="E102" i="2"/>
  <c r="C100" i="2"/>
  <c r="C98" i="2"/>
  <c r="F96" i="2"/>
  <c r="D94" i="2"/>
  <c r="D92" i="2"/>
  <c r="D90" i="2"/>
  <c r="F88" i="2"/>
  <c r="K86" i="2"/>
  <c r="M84" i="2"/>
  <c r="G83" i="2"/>
  <c r="D82" i="2"/>
  <c r="H80" i="2"/>
  <c r="C79" i="2"/>
  <c r="I77" i="2"/>
  <c r="G76" i="2"/>
  <c r="M74" i="2"/>
  <c r="J73" i="2"/>
  <c r="H72" i="2"/>
  <c r="B71" i="2"/>
  <c r="L69" i="2"/>
  <c r="F68" i="2"/>
  <c r="D67" i="2"/>
  <c r="J65" i="2"/>
  <c r="G64" i="2"/>
  <c r="E63" i="2"/>
  <c r="K61" i="2"/>
  <c r="I60" i="2"/>
  <c r="C59" i="2"/>
  <c r="L57" i="2"/>
  <c r="G56" i="2"/>
  <c r="D55" i="2"/>
  <c r="B54" i="2"/>
  <c r="H52" i="2"/>
  <c r="F51" i="2"/>
  <c r="L49" i="2"/>
  <c r="I48" i="2"/>
  <c r="D47" i="2"/>
  <c r="M45" i="2"/>
  <c r="K44" i="2"/>
  <c r="E43" i="2"/>
  <c r="B42" i="2"/>
  <c r="I40" i="2"/>
  <c r="F39" i="2"/>
  <c r="D38" i="2"/>
  <c r="L36" i="2"/>
  <c r="K35" i="2"/>
  <c r="J34" i="2"/>
  <c r="H33" i="2"/>
  <c r="E32" i="2"/>
  <c r="C31" i="2"/>
  <c r="B30" i="2"/>
  <c r="M28" i="2"/>
  <c r="J27" i="2"/>
  <c r="J26" i="2"/>
  <c r="J25" i="2"/>
  <c r="J24" i="2"/>
  <c r="I23" i="2"/>
  <c r="I22" i="2"/>
  <c r="I21" i="2"/>
  <c r="I20" i="2"/>
  <c r="G19" i="2"/>
  <c r="G18" i="2"/>
  <c r="G17" i="2"/>
  <c r="G16" i="2"/>
  <c r="F15" i="2"/>
  <c r="F14" i="2"/>
  <c r="F13" i="2"/>
  <c r="M157" i="2"/>
  <c r="E154" i="2"/>
  <c r="C150" i="2"/>
  <c r="K146" i="2"/>
  <c r="E143" i="2"/>
  <c r="M139" i="2"/>
  <c r="G136" i="2"/>
  <c r="C133" i="2"/>
  <c r="I130" i="2"/>
  <c r="E128" i="2"/>
  <c r="F126" i="2"/>
  <c r="M123" i="2"/>
  <c r="J121" i="2"/>
  <c r="M119" i="2"/>
  <c r="J117" i="2"/>
  <c r="K115" i="2"/>
  <c r="B114" i="2"/>
  <c r="K111" i="2"/>
  <c r="L109" i="2"/>
  <c r="C108" i="2"/>
  <c r="L105" i="2"/>
  <c r="M103" i="2"/>
  <c r="D102" i="2"/>
  <c r="M99" i="2"/>
  <c r="B98" i="2"/>
  <c r="B96" i="2"/>
  <c r="B94" i="2"/>
  <c r="L91" i="2"/>
  <c r="C90" i="2"/>
  <c r="E88" i="2"/>
  <c r="J86" i="2"/>
  <c r="L84" i="2"/>
  <c r="F83" i="2"/>
  <c r="J81" i="2"/>
  <c r="F80" i="2"/>
  <c r="B79" i="2"/>
  <c r="H77" i="2"/>
  <c r="F76" i="2"/>
  <c r="L74" i="2"/>
  <c r="I73" i="2"/>
  <c r="D72" i="2"/>
  <c r="M70" i="2"/>
  <c r="K69" i="2"/>
  <c r="E68" i="2"/>
  <c r="B67" i="2"/>
  <c r="I65" i="2"/>
  <c r="F64" i="2"/>
  <c r="L62" i="2"/>
  <c r="J61" i="2"/>
  <c r="H60" i="2"/>
  <c r="B59" i="2"/>
  <c r="K57" i="2"/>
  <c r="F56" i="2"/>
  <c r="C55" i="2"/>
  <c r="I53" i="2"/>
  <c r="G52" i="2"/>
  <c r="D51" i="2"/>
  <c r="K49" i="2"/>
  <c r="H48" i="2"/>
  <c r="B47" i="2"/>
  <c r="L45" i="2"/>
  <c r="F44" i="2"/>
  <c r="D43" i="2"/>
  <c r="M41" i="2"/>
  <c r="H40" i="2"/>
  <c r="E39" i="2"/>
  <c r="L37" i="2"/>
  <c r="K36" i="2"/>
  <c r="J35" i="2"/>
  <c r="H34" i="2"/>
  <c r="E33" i="2"/>
  <c r="D32" i="2"/>
  <c r="B31" i="2"/>
  <c r="M29" i="2"/>
  <c r="I28" i="2"/>
  <c r="I27" i="2"/>
  <c r="I26" i="2"/>
  <c r="I25" i="2"/>
  <c r="H24" i="2"/>
  <c r="H23" i="2"/>
  <c r="H22" i="2"/>
  <c r="H21" i="2"/>
  <c r="F20" i="2"/>
  <c r="F19" i="2"/>
  <c r="F18" i="2"/>
  <c r="F17" i="2"/>
  <c r="F16" i="2"/>
  <c r="E15" i="2"/>
  <c r="E14" i="2"/>
  <c r="E13" i="2"/>
  <c r="M161" i="2"/>
  <c r="D157" i="2"/>
  <c r="F153" i="2"/>
  <c r="K149" i="2"/>
  <c r="M145" i="2"/>
  <c r="I142" i="2"/>
  <c r="C139" i="2"/>
  <c r="K135" i="2"/>
  <c r="F132" i="2"/>
  <c r="D130" i="2"/>
  <c r="D128" i="2"/>
  <c r="K125" i="2"/>
  <c r="L123" i="2"/>
  <c r="I121" i="2"/>
  <c r="F119" i="2"/>
  <c r="I117" i="2"/>
  <c r="J115" i="2"/>
  <c r="G113" i="2"/>
  <c r="J111" i="2"/>
  <c r="K109" i="2"/>
  <c r="H107" i="2"/>
  <c r="K105" i="2"/>
  <c r="L103" i="2"/>
  <c r="I101" i="2"/>
  <c r="L99" i="2"/>
  <c r="J97" i="2"/>
  <c r="J95" i="2"/>
  <c r="M93" i="2"/>
  <c r="K91" i="2"/>
  <c r="K89" i="2"/>
  <c r="D88" i="2"/>
  <c r="I86" i="2"/>
  <c r="K84" i="2"/>
  <c r="E83" i="2"/>
  <c r="I81" i="2"/>
  <c r="D80" i="2"/>
  <c r="I78" i="2"/>
  <c r="G77" i="2"/>
  <c r="D76" i="2"/>
  <c r="K74" i="2"/>
  <c r="H73" i="2"/>
  <c r="B72" i="2"/>
  <c r="L70" i="2"/>
  <c r="F69" i="2"/>
  <c r="D68" i="2"/>
  <c r="M66" i="2"/>
  <c r="H65" i="2"/>
  <c r="E64" i="2"/>
  <c r="K62" i="2"/>
  <c r="I61" i="2"/>
  <c r="C60" i="2"/>
  <c r="M58" i="2"/>
  <c r="J57" i="2"/>
  <c r="D56" i="2"/>
  <c r="B55" i="2"/>
  <c r="H53" i="2"/>
  <c r="F52" i="2"/>
  <c r="L50" i="2"/>
  <c r="J49" i="2"/>
  <c r="G48" i="2"/>
  <c r="M46" i="2"/>
  <c r="K45" i="2"/>
  <c r="E44" i="2"/>
  <c r="C43" i="2"/>
  <c r="I41" i="2"/>
  <c r="F40" i="2"/>
  <c r="D39" i="2"/>
  <c r="K37" i="2"/>
  <c r="J36" i="2"/>
  <c r="I35" i="2"/>
  <c r="G34" i="2"/>
  <c r="D33" i="2"/>
  <c r="B32" i="2"/>
  <c r="M30" i="2"/>
  <c r="L29" i="2"/>
  <c r="H28" i="2"/>
  <c r="H27" i="2"/>
  <c r="H26" i="2"/>
  <c r="H25" i="2"/>
  <c r="G24" i="2"/>
  <c r="G23" i="2"/>
  <c r="G22" i="2"/>
  <c r="F21" i="2"/>
  <c r="E20" i="2"/>
  <c r="E19" i="2"/>
  <c r="E18" i="2"/>
  <c r="E17" i="2"/>
  <c r="D16" i="2"/>
  <c r="D15" i="2"/>
  <c r="D14" i="2"/>
  <c r="D13" i="2"/>
  <c r="J160" i="2"/>
  <c r="G156" i="2"/>
  <c r="K152" i="2"/>
  <c r="C149" i="2"/>
  <c r="K145" i="2"/>
  <c r="E142" i="2"/>
  <c r="M138" i="2"/>
  <c r="C135" i="2"/>
  <c r="E132" i="2"/>
  <c r="C130" i="2"/>
  <c r="J127" i="2"/>
  <c r="I125" i="2"/>
  <c r="H123" i="2"/>
  <c r="G121" i="2"/>
  <c r="E119" i="2"/>
  <c r="H117" i="2"/>
  <c r="H115" i="2"/>
  <c r="F113" i="2"/>
  <c r="I111" i="2"/>
  <c r="F109" i="2"/>
  <c r="G107" i="2"/>
  <c r="J105" i="2"/>
  <c r="G103" i="2"/>
  <c r="H101" i="2"/>
  <c r="K99" i="2"/>
  <c r="H97" i="2"/>
  <c r="I95" i="2"/>
  <c r="L93" i="2"/>
  <c r="I91" i="2"/>
  <c r="J89" i="2"/>
  <c r="C88" i="2"/>
  <c r="B86" i="2"/>
  <c r="J84" i="2"/>
  <c r="D83" i="2"/>
  <c r="H81" i="2"/>
  <c r="C80" i="2"/>
  <c r="H78" i="2"/>
  <c r="F77" i="2"/>
  <c r="L75" i="2"/>
  <c r="J74" i="2"/>
  <c r="G73" i="2"/>
  <c r="M71" i="2"/>
  <c r="K70" i="2"/>
  <c r="E69" i="2"/>
  <c r="C68" i="2"/>
  <c r="I66" i="2"/>
  <c r="F65" i="2"/>
  <c r="D64" i="2"/>
  <c r="J62" i="2"/>
  <c r="H61" i="2"/>
  <c r="B60" i="2"/>
  <c r="L58" i="2"/>
  <c r="F57" i="2"/>
  <c r="C56" i="2"/>
  <c r="M54" i="2"/>
  <c r="G53" i="2"/>
  <c r="E52" i="2"/>
  <c r="K50" i="2"/>
  <c r="H49" i="2"/>
  <c r="C48" i="2"/>
  <c r="L46" i="2"/>
  <c r="J45" i="2"/>
  <c r="D44" i="2"/>
  <c r="B43" i="2"/>
  <c r="H41" i="2"/>
  <c r="E40" i="2"/>
  <c r="L38" i="2"/>
  <c r="J37" i="2"/>
  <c r="D160" i="2"/>
  <c r="L159" i="2"/>
  <c r="D156" i="2"/>
  <c r="M151" i="2"/>
  <c r="H148" i="2"/>
  <c r="B145" i="2"/>
  <c r="J141" i="2"/>
  <c r="D138" i="2"/>
  <c r="L134" i="2"/>
  <c r="K131" i="2"/>
  <c r="J129" i="2"/>
  <c r="H127" i="2"/>
  <c r="C125" i="2"/>
  <c r="B123" i="2"/>
  <c r="B121" i="2"/>
  <c r="B119" i="2"/>
  <c r="L116" i="2"/>
  <c r="C115" i="2"/>
  <c r="C113" i="2"/>
  <c r="M110" i="2"/>
  <c r="D109" i="2"/>
  <c r="D107" i="2"/>
  <c r="B105" i="2"/>
  <c r="E103" i="2"/>
  <c r="B101" i="2"/>
  <c r="C99" i="2"/>
  <c r="F97" i="2"/>
  <c r="C95" i="2"/>
  <c r="D93" i="2"/>
  <c r="G91" i="2"/>
  <c r="E89" i="2"/>
  <c r="J87" i="2"/>
  <c r="L85" i="2"/>
  <c r="E84" i="2"/>
  <c r="I82" i="2"/>
  <c r="F81" i="2"/>
  <c r="J79" i="2"/>
  <c r="F78" i="2"/>
  <c r="D77" i="2"/>
  <c r="J75" i="2"/>
  <c r="G74" i="2"/>
  <c r="B73" i="2"/>
  <c r="K71" i="2"/>
  <c r="E70" i="2"/>
  <c r="C69" i="2"/>
  <c r="L67" i="2"/>
  <c r="G66" i="2"/>
  <c r="D65" i="2"/>
  <c r="J63" i="2"/>
  <c r="H62" i="2"/>
  <c r="B61" i="2"/>
  <c r="L59" i="2"/>
  <c r="I58" i="2"/>
  <c r="D57" i="2"/>
  <c r="M55" i="2"/>
  <c r="G54" i="2"/>
  <c r="E53" i="2"/>
  <c r="K51" i="2"/>
  <c r="I50" i="2"/>
  <c r="F49" i="2"/>
  <c r="L47" i="2"/>
  <c r="J46" i="2"/>
  <c r="D45" i="2"/>
  <c r="B44" i="2"/>
  <c r="H42" i="2"/>
  <c r="F41" i="2"/>
  <c r="C40" i="2"/>
  <c r="I38" i="2"/>
  <c r="H37" i="2"/>
  <c r="G36" i="2"/>
  <c r="C35" i="2"/>
  <c r="B34" i="2"/>
  <c r="L32" i="2"/>
  <c r="B159" i="2"/>
  <c r="D155" i="2"/>
  <c r="G151" i="2"/>
  <c r="I147" i="2"/>
  <c r="E144" i="2"/>
  <c r="K140" i="2"/>
  <c r="G137" i="2"/>
  <c r="M133" i="2"/>
  <c r="H131" i="2"/>
  <c r="C129" i="2"/>
  <c r="L126" i="2"/>
  <c r="M124" i="2"/>
  <c r="H122" i="2"/>
  <c r="I120" i="2"/>
  <c r="L118" i="2"/>
  <c r="I116" i="2"/>
  <c r="J114" i="2"/>
  <c r="J112" i="2"/>
  <c r="J110" i="2"/>
  <c r="H108" i="2"/>
  <c r="K106" i="2"/>
  <c r="K104" i="2"/>
  <c r="I102" i="2"/>
  <c r="L100" i="2"/>
  <c r="L98" i="2"/>
  <c r="J96" i="2"/>
  <c r="M94" i="2"/>
  <c r="J92" i="2"/>
  <c r="K90" i="2"/>
  <c r="C89" i="2"/>
  <c r="E87" i="2"/>
  <c r="J85" i="2"/>
  <c r="L83" i="2"/>
  <c r="G82" i="2"/>
  <c r="B81" i="2"/>
  <c r="F79" i="2"/>
  <c r="D78" i="2"/>
  <c r="J76" i="2"/>
  <c r="H75" i="2"/>
  <c r="B74" i="2"/>
  <c r="K72" i="2"/>
  <c r="I71" i="2"/>
  <c r="C70" i="2"/>
  <c r="M68" i="2"/>
  <c r="G67" i="2"/>
  <c r="D66" i="2"/>
  <c r="K64" i="2"/>
  <c r="H63" i="2"/>
  <c r="F62" i="2"/>
  <c r="L60" i="2"/>
  <c r="J59" i="2"/>
  <c r="D58" i="2"/>
  <c r="M56" i="2"/>
  <c r="H55" i="2"/>
  <c r="E54" i="2"/>
  <c r="C53" i="2"/>
  <c r="I51" i="2"/>
  <c r="F50" i="2"/>
  <c r="M48" i="2"/>
  <c r="J47" i="2"/>
  <c r="D46" i="2"/>
  <c r="L14" i="2"/>
  <c r="M16" i="2"/>
  <c r="B19" i="2"/>
  <c r="B21" i="2"/>
  <c r="C23" i="2"/>
  <c r="D25" i="2"/>
  <c r="E27" i="2"/>
  <c r="F29" i="2"/>
  <c r="K31" i="2"/>
  <c r="D34" i="2"/>
  <c r="G37" i="2"/>
  <c r="G41" i="2"/>
  <c r="I46" i="2"/>
  <c r="D53" i="2"/>
  <c r="K59" i="2"/>
  <c r="F66" i="2"/>
  <c r="L72" i="2"/>
  <c r="H79" i="2"/>
  <c r="F87" i="2"/>
  <c r="K96" i="2"/>
  <c r="L106" i="2"/>
  <c r="K116" i="2"/>
  <c r="D127" i="2"/>
  <c r="I141" i="2"/>
  <c r="K159" i="2"/>
  <c r="B15" i="2"/>
  <c r="B17" i="2"/>
  <c r="C19" i="2"/>
  <c r="C21" i="2"/>
  <c r="D23" i="2"/>
  <c r="E25" i="2"/>
  <c r="F27" i="2"/>
  <c r="G29" i="2"/>
  <c r="L31" i="2"/>
  <c r="M34" i="2"/>
  <c r="I37" i="2"/>
  <c r="F42" i="2"/>
  <c r="K46" i="2"/>
  <c r="F53" i="2"/>
  <c r="M59" i="2"/>
  <c r="H66" i="2"/>
  <c r="C73" i="2"/>
  <c r="B80" i="2"/>
  <c r="B88" i="2"/>
  <c r="G97" i="2"/>
  <c r="F107" i="2"/>
  <c r="D117" i="2"/>
  <c r="I127" i="2"/>
  <c r="K141" i="2"/>
  <c r="B13" i="2"/>
  <c r="C15" i="2"/>
  <c r="D17" i="2"/>
  <c r="D19" i="2"/>
  <c r="D21" i="2"/>
  <c r="F23" i="2"/>
  <c r="F25" i="2"/>
  <c r="G27" i="2"/>
  <c r="H29" i="2"/>
  <c r="M31" i="2"/>
  <c r="B35" i="2"/>
  <c r="G38" i="2"/>
  <c r="G42" i="2"/>
  <c r="K47" i="2"/>
  <c r="F54" i="2"/>
  <c r="M60" i="2"/>
  <c r="H67" i="2"/>
  <c r="F74" i="2"/>
  <c r="D81" i="2"/>
  <c r="D89" i="2"/>
  <c r="B99" i="2"/>
  <c r="L108" i="2"/>
  <c r="M118" i="2"/>
  <c r="F129" i="2"/>
  <c r="M144" i="2"/>
  <c r="I13" i="2"/>
  <c r="J15" i="2"/>
  <c r="K17" i="2"/>
  <c r="L19" i="2"/>
  <c r="L21" i="2"/>
  <c r="M23" i="2"/>
  <c r="M25" i="2"/>
  <c r="C28" i="2"/>
  <c r="E30" i="2"/>
  <c r="J32" i="2"/>
  <c r="F35" i="2"/>
  <c r="H38" i="2"/>
  <c r="L42" i="2"/>
  <c r="B48" i="2"/>
  <c r="H54" i="2"/>
  <c r="G61" i="2"/>
  <c r="B68" i="2"/>
  <c r="H74" i="2"/>
  <c r="G81" i="2"/>
  <c r="F89" i="2"/>
  <c r="D99" i="2"/>
  <c r="E109" i="2"/>
  <c r="D119" i="2"/>
  <c r="K129" i="2"/>
  <c r="I145" i="2"/>
  <c r="D158" i="3"/>
  <c r="F157" i="3"/>
  <c r="H156" i="3"/>
  <c r="J155" i="3"/>
  <c r="L154" i="3"/>
  <c r="B154" i="3"/>
  <c r="D153" i="3"/>
  <c r="F152" i="3"/>
  <c r="H151" i="3"/>
  <c r="J150" i="3"/>
  <c r="L149" i="3"/>
  <c r="B149" i="3"/>
  <c r="D148" i="3"/>
  <c r="F147" i="3"/>
  <c r="H146" i="3"/>
  <c r="J145" i="3"/>
  <c r="L144" i="3"/>
  <c r="B144" i="3"/>
  <c r="D143" i="3"/>
  <c r="F142" i="3"/>
  <c r="H141" i="3"/>
  <c r="J140" i="3"/>
  <c r="L139" i="3"/>
  <c r="B139" i="3"/>
  <c r="D138" i="3"/>
  <c r="F137" i="3"/>
  <c r="H136" i="3"/>
  <c r="J135" i="3"/>
  <c r="L134" i="3"/>
  <c r="B134" i="3"/>
  <c r="D133" i="3"/>
  <c r="F132" i="3"/>
  <c r="H131" i="3"/>
  <c r="J130" i="3"/>
  <c r="L129" i="3"/>
  <c r="B129" i="3"/>
  <c r="D128" i="3"/>
  <c r="F127" i="3"/>
  <c r="H126" i="3"/>
  <c r="J125" i="3"/>
  <c r="L124" i="3"/>
  <c r="B124" i="3"/>
  <c r="D123" i="3"/>
  <c r="F122" i="3"/>
  <c r="H121" i="3"/>
  <c r="J120" i="3"/>
  <c r="L119" i="3"/>
  <c r="B119" i="3"/>
  <c r="D118" i="3"/>
  <c r="F117" i="3"/>
  <c r="H116" i="3"/>
  <c r="J115" i="3"/>
  <c r="L114" i="3"/>
  <c r="B114" i="3"/>
  <c r="D113" i="3"/>
  <c r="F112" i="3"/>
  <c r="H111" i="3"/>
  <c r="J110" i="3"/>
  <c r="L109" i="3"/>
  <c r="B109" i="3"/>
  <c r="D108" i="3"/>
  <c r="F107" i="3"/>
  <c r="H106" i="3"/>
  <c r="J105" i="3"/>
  <c r="L104" i="3"/>
  <c r="B104" i="3"/>
  <c r="D103" i="3"/>
  <c r="M158" i="3"/>
  <c r="C158" i="3"/>
  <c r="E157" i="3"/>
  <c r="G156" i="3"/>
  <c r="I155" i="3"/>
  <c r="K154" i="3"/>
  <c r="M153" i="3"/>
  <c r="C153" i="3"/>
  <c r="E152" i="3"/>
  <c r="G151" i="3"/>
  <c r="I150" i="3"/>
  <c r="K149" i="3"/>
  <c r="M148" i="3"/>
  <c r="C148" i="3"/>
  <c r="E147" i="3"/>
  <c r="G146" i="3"/>
  <c r="I145" i="3"/>
  <c r="K144" i="3"/>
  <c r="M143" i="3"/>
  <c r="C143" i="3"/>
  <c r="E142" i="3"/>
  <c r="G141" i="3"/>
  <c r="I140" i="3"/>
  <c r="K139" i="3"/>
  <c r="M138" i="3"/>
  <c r="C138" i="3"/>
  <c r="E137" i="3"/>
  <c r="G136" i="3"/>
  <c r="I135" i="3"/>
  <c r="K134" i="3"/>
  <c r="M133" i="3"/>
  <c r="C133" i="3"/>
  <c r="E132" i="3"/>
  <c r="G131" i="3"/>
  <c r="I130" i="3"/>
  <c r="K129" i="3"/>
  <c r="M128" i="3"/>
  <c r="C128" i="3"/>
  <c r="E127" i="3"/>
  <c r="G126" i="3"/>
  <c r="I125" i="3"/>
  <c r="K124" i="3"/>
  <c r="M123" i="3"/>
  <c r="C123" i="3"/>
  <c r="E122" i="3"/>
  <c r="G121" i="3"/>
  <c r="I120" i="3"/>
  <c r="K119" i="3"/>
  <c r="L158" i="3"/>
  <c r="B158" i="3"/>
  <c r="D157" i="3"/>
  <c r="F156" i="3"/>
  <c r="H155" i="3"/>
  <c r="J154" i="3"/>
  <c r="L153" i="3"/>
  <c r="B153" i="3"/>
  <c r="D152" i="3"/>
  <c r="F151" i="3"/>
  <c r="H150" i="3"/>
  <c r="J149" i="3"/>
  <c r="L148" i="3"/>
  <c r="B148" i="3"/>
  <c r="D147" i="3"/>
  <c r="F146" i="3"/>
  <c r="H145" i="3"/>
  <c r="J144" i="3"/>
  <c r="L143" i="3"/>
  <c r="B143" i="3"/>
  <c r="D142" i="3"/>
  <c r="F141" i="3"/>
  <c r="H140" i="3"/>
  <c r="J139" i="3"/>
  <c r="L138" i="3"/>
  <c r="B138" i="3"/>
  <c r="D137" i="3"/>
  <c r="F136" i="3"/>
  <c r="H135" i="3"/>
  <c r="J134" i="3"/>
  <c r="L133" i="3"/>
  <c r="B133" i="3"/>
  <c r="D132" i="3"/>
  <c r="F131" i="3"/>
  <c r="H130" i="3"/>
  <c r="E158" i="3"/>
  <c r="G157" i="3"/>
  <c r="I156" i="3"/>
  <c r="K155" i="3"/>
  <c r="M154" i="3"/>
  <c r="C154" i="3"/>
  <c r="E153" i="3"/>
  <c r="G152" i="3"/>
  <c r="I151" i="3"/>
  <c r="K150" i="3"/>
  <c r="M149" i="3"/>
  <c r="C149" i="3"/>
  <c r="E148" i="3"/>
  <c r="G147" i="3"/>
  <c r="I146" i="3"/>
  <c r="K145" i="3"/>
  <c r="M144" i="3"/>
  <c r="C144" i="3"/>
  <c r="E143" i="3"/>
  <c r="G142" i="3"/>
  <c r="I141" i="3"/>
  <c r="K140" i="3"/>
  <c r="M139" i="3"/>
  <c r="C139" i="3"/>
  <c r="E138" i="3"/>
  <c r="G137" i="3"/>
  <c r="I136" i="3"/>
  <c r="J157" i="3"/>
  <c r="D156" i="3"/>
  <c r="B155" i="3"/>
  <c r="H153" i="3"/>
  <c r="B152" i="3"/>
  <c r="L150" i="3"/>
  <c r="F149" i="3"/>
  <c r="L147" i="3"/>
  <c r="J146" i="3"/>
  <c r="D145" i="3"/>
  <c r="J143" i="3"/>
  <c r="H142" i="3"/>
  <c r="B141" i="3"/>
  <c r="H139" i="3"/>
  <c r="F138" i="3"/>
  <c r="L136" i="3"/>
  <c r="G135" i="3"/>
  <c r="F134" i="3"/>
  <c r="E133" i="3"/>
  <c r="M131" i="3"/>
  <c r="L130" i="3"/>
  <c r="I129" i="3"/>
  <c r="I128" i="3"/>
  <c r="I127" i="3"/>
  <c r="I126" i="3"/>
  <c r="G125" i="3"/>
  <c r="G124" i="3"/>
  <c r="G123" i="3"/>
  <c r="G122" i="3"/>
  <c r="E121" i="3"/>
  <c r="E120" i="3"/>
  <c r="E119" i="3"/>
  <c r="F118" i="3"/>
  <c r="G117" i="3"/>
  <c r="G116" i="3"/>
  <c r="H115" i="3"/>
  <c r="I114" i="3"/>
  <c r="J113" i="3"/>
  <c r="K112" i="3"/>
  <c r="L111" i="3"/>
  <c r="M110" i="3"/>
  <c r="B110" i="3"/>
  <c r="C109" i="3"/>
  <c r="C108" i="3"/>
  <c r="D107" i="3"/>
  <c r="E106" i="3"/>
  <c r="F105" i="3"/>
  <c r="G104" i="3"/>
  <c r="H103" i="3"/>
  <c r="I102" i="3"/>
  <c r="K101" i="3"/>
  <c r="M100" i="3"/>
  <c r="C100" i="3"/>
  <c r="E99" i="3"/>
  <c r="G98" i="3"/>
  <c r="I97" i="3"/>
  <c r="K96" i="3"/>
  <c r="M95" i="3"/>
  <c r="C95" i="3"/>
  <c r="E94" i="3"/>
  <c r="G93" i="3"/>
  <c r="I92" i="3"/>
  <c r="K91" i="3"/>
  <c r="M90" i="3"/>
  <c r="C90" i="3"/>
  <c r="E89" i="3"/>
  <c r="G88" i="3"/>
  <c r="I87" i="3"/>
  <c r="K86" i="3"/>
  <c r="M85" i="3"/>
  <c r="C85" i="3"/>
  <c r="E84" i="3"/>
  <c r="G83" i="3"/>
  <c r="I82" i="3"/>
  <c r="K81" i="3"/>
  <c r="M80" i="3"/>
  <c r="C80" i="3"/>
  <c r="E79" i="3"/>
  <c r="G78" i="3"/>
  <c r="I77" i="3"/>
  <c r="K76" i="3"/>
  <c r="M75" i="3"/>
  <c r="C75" i="3"/>
  <c r="E74" i="3"/>
  <c r="G73" i="3"/>
  <c r="I72" i="3"/>
  <c r="K71" i="3"/>
  <c r="M70" i="3"/>
  <c r="C70" i="3"/>
  <c r="E69" i="3"/>
  <c r="G68" i="3"/>
  <c r="I67" i="3"/>
  <c r="K66" i="3"/>
  <c r="M65" i="3"/>
  <c r="C65" i="3"/>
  <c r="E64" i="3"/>
  <c r="G63" i="3"/>
  <c r="I62" i="3"/>
  <c r="K61" i="3"/>
  <c r="M60" i="3"/>
  <c r="C60" i="3"/>
  <c r="E59" i="3"/>
  <c r="G58" i="3"/>
  <c r="I57" i="3"/>
  <c r="K56" i="3"/>
  <c r="M55" i="3"/>
  <c r="C55" i="3"/>
  <c r="E54" i="3"/>
  <c r="G53" i="3"/>
  <c r="I52" i="3"/>
  <c r="K51" i="3"/>
  <c r="M50" i="3"/>
  <c r="C50" i="3"/>
  <c r="E49" i="3"/>
  <c r="G48" i="3"/>
  <c r="I47" i="3"/>
  <c r="K46" i="3"/>
  <c r="M45" i="3"/>
  <c r="C45" i="3"/>
  <c r="E44" i="3"/>
  <c r="G43" i="3"/>
  <c r="I42" i="3"/>
  <c r="K41" i="3"/>
  <c r="M40" i="3"/>
  <c r="C40" i="3"/>
  <c r="E39" i="3"/>
  <c r="G38" i="3"/>
  <c r="I37" i="3"/>
  <c r="K36" i="3"/>
  <c r="M35" i="3"/>
  <c r="C35" i="3"/>
  <c r="E34" i="3"/>
  <c r="G33" i="3"/>
  <c r="I32" i="3"/>
  <c r="K31" i="3"/>
  <c r="M30" i="3"/>
  <c r="C30" i="3"/>
  <c r="E29" i="3"/>
  <c r="G28" i="3"/>
  <c r="I27" i="3"/>
  <c r="K26" i="3"/>
  <c r="M25" i="3"/>
  <c r="C25" i="3"/>
  <c r="E24" i="3"/>
  <c r="G23" i="3"/>
  <c r="I22" i="3"/>
  <c r="K21" i="3"/>
  <c r="M20" i="3"/>
  <c r="C20" i="3"/>
  <c r="E19" i="3"/>
  <c r="G18" i="3"/>
  <c r="I17" i="3"/>
  <c r="K16" i="3"/>
  <c r="M15" i="3"/>
  <c r="C15" i="3"/>
  <c r="E14" i="3"/>
  <c r="G13" i="3"/>
  <c r="I12" i="3"/>
  <c r="K11" i="3"/>
  <c r="M10" i="3"/>
  <c r="C10" i="3"/>
  <c r="K158" i="3"/>
  <c r="I157" i="3"/>
  <c r="C156" i="3"/>
  <c r="I154" i="3"/>
  <c r="G153" i="3"/>
  <c r="M151" i="3"/>
  <c r="G150" i="3"/>
  <c r="E149" i="3"/>
  <c r="K147" i="3"/>
  <c r="E146" i="3"/>
  <c r="C145" i="3"/>
  <c r="I143" i="3"/>
  <c r="C142" i="3"/>
  <c r="M140" i="3"/>
  <c r="G139" i="3"/>
  <c r="M137" i="3"/>
  <c r="K136" i="3"/>
  <c r="F135" i="3"/>
  <c r="E134" i="3"/>
  <c r="M132" i="3"/>
  <c r="L131" i="3"/>
  <c r="K130" i="3"/>
  <c r="H129" i="3"/>
  <c r="H128" i="3"/>
  <c r="H127" i="3"/>
  <c r="F126" i="3"/>
  <c r="F125" i="3"/>
  <c r="F124" i="3"/>
  <c r="F123" i="3"/>
  <c r="D122" i="3"/>
  <c r="D121" i="3"/>
  <c r="D120" i="3"/>
  <c r="D119" i="3"/>
  <c r="E118" i="3"/>
  <c r="E117" i="3"/>
  <c r="F116" i="3"/>
  <c r="G115" i="3"/>
  <c r="H114" i="3"/>
  <c r="I113" i="3"/>
  <c r="J112" i="3"/>
  <c r="K111" i="3"/>
  <c r="L110" i="3"/>
  <c r="M109" i="3"/>
  <c r="M108" i="3"/>
  <c r="B108" i="3"/>
  <c r="C107" i="3"/>
  <c r="D106" i="3"/>
  <c r="E105" i="3"/>
  <c r="F104" i="3"/>
  <c r="G103" i="3"/>
  <c r="H102" i="3"/>
  <c r="J101" i="3"/>
  <c r="L100" i="3"/>
  <c r="B100" i="3"/>
  <c r="D99" i="3"/>
  <c r="F98" i="3"/>
  <c r="H97" i="3"/>
  <c r="J96" i="3"/>
  <c r="L95" i="3"/>
  <c r="B95" i="3"/>
  <c r="D94" i="3"/>
  <c r="F93" i="3"/>
  <c r="H92" i="3"/>
  <c r="J91" i="3"/>
  <c r="L90" i="3"/>
  <c r="B90" i="3"/>
  <c r="D89" i="3"/>
  <c r="F88" i="3"/>
  <c r="H87" i="3"/>
  <c r="J86" i="3"/>
  <c r="L85" i="3"/>
  <c r="B85" i="3"/>
  <c r="D84" i="3"/>
  <c r="F83" i="3"/>
  <c r="H82" i="3"/>
  <c r="J81" i="3"/>
  <c r="L80" i="3"/>
  <c r="B80" i="3"/>
  <c r="D79" i="3"/>
  <c r="F78" i="3"/>
  <c r="H77" i="3"/>
  <c r="J76" i="3"/>
  <c r="L75" i="3"/>
  <c r="B75" i="3"/>
  <c r="D74" i="3"/>
  <c r="F73" i="3"/>
  <c r="H72" i="3"/>
  <c r="J71" i="3"/>
  <c r="L70" i="3"/>
  <c r="B70" i="3"/>
  <c r="D69" i="3"/>
  <c r="F68" i="3"/>
  <c r="H67" i="3"/>
  <c r="J66" i="3"/>
  <c r="L65" i="3"/>
  <c r="B65" i="3"/>
  <c r="D64" i="3"/>
  <c r="F63" i="3"/>
  <c r="H62" i="3"/>
  <c r="J61" i="3"/>
  <c r="J158" i="3"/>
  <c r="H157" i="3"/>
  <c r="B156" i="3"/>
  <c r="H154" i="3"/>
  <c r="F153" i="3"/>
  <c r="L151" i="3"/>
  <c r="F150" i="3"/>
  <c r="D149" i="3"/>
  <c r="J147" i="3"/>
  <c r="D146" i="3"/>
  <c r="B145" i="3"/>
  <c r="H143" i="3"/>
  <c r="B142" i="3"/>
  <c r="L140" i="3"/>
  <c r="F139" i="3"/>
  <c r="L137" i="3"/>
  <c r="J136" i="3"/>
  <c r="E135" i="3"/>
  <c r="D134" i="3"/>
  <c r="L132" i="3"/>
  <c r="K131" i="3"/>
  <c r="G130" i="3"/>
  <c r="G129" i="3"/>
  <c r="G128" i="3"/>
  <c r="G127" i="3"/>
  <c r="E126" i="3"/>
  <c r="E125" i="3"/>
  <c r="E124" i="3"/>
  <c r="E123" i="3"/>
  <c r="C122" i="3"/>
  <c r="C121" i="3"/>
  <c r="C120" i="3"/>
  <c r="C119" i="3"/>
  <c r="C118" i="3"/>
  <c r="D117" i="3"/>
  <c r="E116" i="3"/>
  <c r="F115" i="3"/>
  <c r="G114" i="3"/>
  <c r="H113" i="3"/>
  <c r="I112" i="3"/>
  <c r="J111" i="3"/>
  <c r="K110" i="3"/>
  <c r="K109" i="3"/>
  <c r="L108" i="3"/>
  <c r="M107" i="3"/>
  <c r="B107" i="3"/>
  <c r="C106" i="3"/>
  <c r="D105" i="3"/>
  <c r="E104" i="3"/>
  <c r="F103" i="3"/>
  <c r="G102" i="3"/>
  <c r="I101" i="3"/>
  <c r="K100" i="3"/>
  <c r="M99" i="3"/>
  <c r="C99" i="3"/>
  <c r="E98" i="3"/>
  <c r="G97" i="3"/>
  <c r="I96" i="3"/>
  <c r="K95" i="3"/>
  <c r="M94" i="3"/>
  <c r="C94" i="3"/>
  <c r="E93" i="3"/>
  <c r="G92" i="3"/>
  <c r="I91" i="3"/>
  <c r="K90" i="3"/>
  <c r="M89" i="3"/>
  <c r="C89" i="3"/>
  <c r="E88" i="3"/>
  <c r="G87" i="3"/>
  <c r="I86" i="3"/>
  <c r="K85" i="3"/>
  <c r="M84" i="3"/>
  <c r="C84" i="3"/>
  <c r="E83" i="3"/>
  <c r="G82" i="3"/>
  <c r="I81" i="3"/>
  <c r="K80" i="3"/>
  <c r="M79" i="3"/>
  <c r="C79" i="3"/>
  <c r="E78" i="3"/>
  <c r="G77" i="3"/>
  <c r="I76" i="3"/>
  <c r="K75" i="3"/>
  <c r="M74" i="3"/>
  <c r="C74" i="3"/>
  <c r="E73" i="3"/>
  <c r="G72" i="3"/>
  <c r="I71" i="3"/>
  <c r="K70" i="3"/>
  <c r="M69" i="3"/>
  <c r="C69" i="3"/>
  <c r="E68" i="3"/>
  <c r="G67" i="3"/>
  <c r="I66" i="3"/>
  <c r="K65" i="3"/>
  <c r="M64" i="3"/>
  <c r="C64" i="3"/>
  <c r="E63" i="3"/>
  <c r="G62" i="3"/>
  <c r="I61" i="3"/>
  <c r="K60" i="3"/>
  <c r="M59" i="3"/>
  <c r="C59" i="3"/>
  <c r="E58" i="3"/>
  <c r="K157" i="3"/>
  <c r="E156" i="3"/>
  <c r="C155" i="3"/>
  <c r="I153" i="3"/>
  <c r="C152" i="3"/>
  <c r="M150" i="3"/>
  <c r="G149" i="3"/>
  <c r="M147" i="3"/>
  <c r="K146" i="3"/>
  <c r="E145" i="3"/>
  <c r="K143" i="3"/>
  <c r="I142" i="3"/>
  <c r="C141" i="3"/>
  <c r="I139" i="3"/>
  <c r="G138" i="3"/>
  <c r="M136" i="3"/>
  <c r="K135" i="3"/>
  <c r="G134" i="3"/>
  <c r="F133" i="3"/>
  <c r="B132" i="3"/>
  <c r="M130" i="3"/>
  <c r="J129" i="3"/>
  <c r="J128" i="3"/>
  <c r="J127" i="3"/>
  <c r="J126" i="3"/>
  <c r="H125" i="3"/>
  <c r="H124" i="3"/>
  <c r="H123" i="3"/>
  <c r="H122" i="3"/>
  <c r="F121" i="3"/>
  <c r="F120" i="3"/>
  <c r="F119" i="3"/>
  <c r="G118" i="3"/>
  <c r="H117" i="3"/>
  <c r="I116" i="3"/>
  <c r="I115" i="3"/>
  <c r="J114" i="3"/>
  <c r="K113" i="3"/>
  <c r="L112" i="3"/>
  <c r="M111" i="3"/>
  <c r="B111" i="3"/>
  <c r="C110" i="3"/>
  <c r="D109" i="3"/>
  <c r="E108" i="3"/>
  <c r="E107" i="3"/>
  <c r="F106" i="3"/>
  <c r="G105" i="3"/>
  <c r="H104" i="3"/>
  <c r="I103" i="3"/>
  <c r="J102" i="3"/>
  <c r="L101" i="3"/>
  <c r="B101" i="3"/>
  <c r="D100" i="3"/>
  <c r="F99" i="3"/>
  <c r="H98" i="3"/>
  <c r="J97" i="3"/>
  <c r="L96" i="3"/>
  <c r="B96" i="3"/>
  <c r="D95" i="3"/>
  <c r="F94" i="3"/>
  <c r="H93" i="3"/>
  <c r="J92" i="3"/>
  <c r="L91" i="3"/>
  <c r="B91" i="3"/>
  <c r="D90" i="3"/>
  <c r="F89" i="3"/>
  <c r="H88" i="3"/>
  <c r="J87" i="3"/>
  <c r="L86" i="3"/>
  <c r="B86" i="3"/>
  <c r="D85" i="3"/>
  <c r="F84" i="3"/>
  <c r="H83" i="3"/>
  <c r="J82" i="3"/>
  <c r="L81" i="3"/>
  <c r="B81" i="3"/>
  <c r="D80" i="3"/>
  <c r="F79" i="3"/>
  <c r="H78" i="3"/>
  <c r="J77" i="3"/>
  <c r="L76" i="3"/>
  <c r="B76" i="3"/>
  <c r="D75" i="3"/>
  <c r="F74" i="3"/>
  <c r="H73" i="3"/>
  <c r="J72" i="3"/>
  <c r="L71" i="3"/>
  <c r="B71" i="3"/>
  <c r="D70" i="3"/>
  <c r="F69" i="3"/>
  <c r="H68" i="3"/>
  <c r="J67" i="3"/>
  <c r="L66" i="3"/>
  <c r="B66" i="3"/>
  <c r="D65" i="3"/>
  <c r="F64" i="3"/>
  <c r="H63" i="3"/>
  <c r="J62" i="3"/>
  <c r="L61" i="3"/>
  <c r="B61" i="3"/>
  <c r="L157" i="3"/>
  <c r="F155" i="3"/>
  <c r="L152" i="3"/>
  <c r="B151" i="3"/>
  <c r="H148" i="3"/>
  <c r="B146" i="3"/>
  <c r="D144" i="3"/>
  <c r="J141" i="3"/>
  <c r="D139" i="3"/>
  <c r="B137" i="3"/>
  <c r="M134" i="3"/>
  <c r="J132" i="3"/>
  <c r="B131" i="3"/>
  <c r="C129" i="3"/>
  <c r="C127" i="3"/>
  <c r="K125" i="3"/>
  <c r="K123" i="3"/>
  <c r="M121" i="3"/>
  <c r="G120" i="3"/>
  <c r="J118" i="3"/>
  <c r="B117" i="3"/>
  <c r="K115" i="3"/>
  <c r="C114" i="3"/>
  <c r="G112" i="3"/>
  <c r="C111" i="3"/>
  <c r="G109" i="3"/>
  <c r="K107" i="3"/>
  <c r="G106" i="3"/>
  <c r="K104" i="3"/>
  <c r="C103" i="3"/>
  <c r="M101" i="3"/>
  <c r="G100" i="3"/>
  <c r="M98" i="3"/>
  <c r="K97" i="3"/>
  <c r="E96" i="3"/>
  <c r="K94" i="3"/>
  <c r="I93" i="3"/>
  <c r="C92" i="3"/>
  <c r="I90" i="3"/>
  <c r="G89" i="3"/>
  <c r="M87" i="3"/>
  <c r="G86" i="3"/>
  <c r="E85" i="3"/>
  <c r="K83" i="3"/>
  <c r="E82" i="3"/>
  <c r="C81" i="3"/>
  <c r="I79" i="3"/>
  <c r="C78" i="3"/>
  <c r="M76" i="3"/>
  <c r="G75" i="3"/>
  <c r="M73" i="3"/>
  <c r="K72" i="3"/>
  <c r="E71" i="3"/>
  <c r="K69" i="3"/>
  <c r="I68" i="3"/>
  <c r="C67" i="3"/>
  <c r="I65" i="3"/>
  <c r="G64" i="3"/>
  <c r="M62" i="3"/>
  <c r="G61" i="3"/>
  <c r="F60" i="3"/>
  <c r="F59" i="3"/>
  <c r="D58" i="3"/>
  <c r="E57" i="3"/>
  <c r="F56" i="3"/>
  <c r="G55" i="3"/>
  <c r="H54" i="3"/>
  <c r="I53" i="3"/>
  <c r="J52" i="3"/>
  <c r="J51" i="3"/>
  <c r="K50" i="3"/>
  <c r="L49" i="3"/>
  <c r="M48" i="3"/>
  <c r="B48" i="3"/>
  <c r="C47" i="3"/>
  <c r="D46" i="3"/>
  <c r="E45" i="3"/>
  <c r="F44" i="3"/>
  <c r="F43" i="3"/>
  <c r="G42" i="3"/>
  <c r="H41" i="3"/>
  <c r="I40" i="3"/>
  <c r="J39" i="3"/>
  <c r="K38" i="3"/>
  <c r="L37" i="3"/>
  <c r="M36" i="3"/>
  <c r="B36" i="3"/>
  <c r="B35" i="3"/>
  <c r="C34" i="3"/>
  <c r="D33" i="3"/>
  <c r="E32" i="3"/>
  <c r="F31" i="3"/>
  <c r="G30" i="3"/>
  <c r="H29" i="3"/>
  <c r="I28" i="3"/>
  <c r="J27" i="3"/>
  <c r="J26" i="3"/>
  <c r="K25" i="3"/>
  <c r="L24" i="3"/>
  <c r="M23" i="3"/>
  <c r="B23" i="3"/>
  <c r="C22" i="3"/>
  <c r="D21" i="3"/>
  <c r="E20" i="3"/>
  <c r="F19" i="3"/>
  <c r="F18" i="3"/>
  <c r="G17" i="3"/>
  <c r="H16" i="3"/>
  <c r="I15" i="3"/>
  <c r="J14" i="3"/>
  <c r="K13" i="3"/>
  <c r="L12" i="3"/>
  <c r="M11" i="3"/>
  <c r="B11" i="3"/>
  <c r="B10" i="3"/>
  <c r="C157" i="3"/>
  <c r="E155" i="3"/>
  <c r="K152" i="3"/>
  <c r="E150" i="3"/>
  <c r="G148" i="3"/>
  <c r="M145" i="3"/>
  <c r="G143" i="3"/>
  <c r="E141" i="3"/>
  <c r="K138" i="3"/>
  <c r="E136" i="3"/>
  <c r="I134" i="3"/>
  <c r="I132" i="3"/>
  <c r="F130" i="3"/>
  <c r="L128" i="3"/>
  <c r="B127" i="3"/>
  <c r="D125" i="3"/>
  <c r="J123" i="3"/>
  <c r="L121" i="3"/>
  <c r="B120" i="3"/>
  <c r="I118" i="3"/>
  <c r="M116" i="3"/>
  <c r="E115" i="3"/>
  <c r="M113" i="3"/>
  <c r="E112" i="3"/>
  <c r="I110" i="3"/>
  <c r="F109" i="3"/>
  <c r="J107" i="3"/>
  <c r="B106" i="3"/>
  <c r="J104" i="3"/>
  <c r="B103" i="3"/>
  <c r="H101" i="3"/>
  <c r="F100" i="3"/>
  <c r="L98" i="3"/>
  <c r="F97" i="3"/>
  <c r="D96" i="3"/>
  <c r="J94" i="3"/>
  <c r="D93" i="3"/>
  <c r="B92" i="3"/>
  <c r="H90" i="3"/>
  <c r="B89" i="3"/>
  <c r="L87" i="3"/>
  <c r="F86" i="3"/>
  <c r="L84" i="3"/>
  <c r="J83" i="3"/>
  <c r="D82" i="3"/>
  <c r="J80" i="3"/>
  <c r="H79" i="3"/>
  <c r="B78" i="3"/>
  <c r="H76" i="3"/>
  <c r="F75" i="3"/>
  <c r="L73" i="3"/>
  <c r="F72" i="3"/>
  <c r="D71" i="3"/>
  <c r="J69" i="3"/>
  <c r="D68" i="3"/>
  <c r="B67" i="3"/>
  <c r="H65" i="3"/>
  <c r="B64" i="3"/>
  <c r="L62" i="3"/>
  <c r="F61" i="3"/>
  <c r="E60" i="3"/>
  <c r="D59" i="3"/>
  <c r="C58" i="3"/>
  <c r="D57" i="3"/>
  <c r="E56" i="3"/>
  <c r="F55" i="3"/>
  <c r="G54" i="3"/>
  <c r="H53" i="3"/>
  <c r="H52" i="3"/>
  <c r="I51" i="3"/>
  <c r="J50" i="3"/>
  <c r="K49" i="3"/>
  <c r="L48" i="3"/>
  <c r="M47" i="3"/>
  <c r="B47" i="3"/>
  <c r="C46" i="3"/>
  <c r="D45" i="3"/>
  <c r="D44" i="3"/>
  <c r="E43" i="3"/>
  <c r="F42" i="3"/>
  <c r="G41" i="3"/>
  <c r="H40" i="3"/>
  <c r="I39" i="3"/>
  <c r="J38" i="3"/>
  <c r="K37" i="3"/>
  <c r="L36" i="3"/>
  <c r="L35" i="3"/>
  <c r="M34" i="3"/>
  <c r="B34" i="3"/>
  <c r="C33" i="3"/>
  <c r="D32" i="3"/>
  <c r="E31" i="3"/>
  <c r="F30" i="3"/>
  <c r="G29" i="3"/>
  <c r="H28" i="3"/>
  <c r="H27" i="3"/>
  <c r="I26" i="3"/>
  <c r="J25" i="3"/>
  <c r="K24" i="3"/>
  <c r="L23" i="3"/>
  <c r="M22" i="3"/>
  <c r="B22" i="3"/>
  <c r="C21" i="3"/>
  <c r="D20" i="3"/>
  <c r="D19" i="3"/>
  <c r="E18" i="3"/>
  <c r="F17" i="3"/>
  <c r="G16" i="3"/>
  <c r="H15" i="3"/>
  <c r="I14" i="3"/>
  <c r="J13" i="3"/>
  <c r="K12" i="3"/>
  <c r="L11" i="3"/>
  <c r="L10" i="3"/>
  <c r="B157" i="3"/>
  <c r="D155" i="3"/>
  <c r="J152" i="3"/>
  <c r="D150" i="3"/>
  <c r="F148" i="3"/>
  <c r="L145" i="3"/>
  <c r="F143" i="3"/>
  <c r="D141" i="3"/>
  <c r="J138" i="3"/>
  <c r="D136" i="3"/>
  <c r="H134" i="3"/>
  <c r="H132" i="3"/>
  <c r="E130" i="3"/>
  <c r="K128" i="3"/>
  <c r="M126" i="3"/>
  <c r="C125" i="3"/>
  <c r="I123" i="3"/>
  <c r="K121" i="3"/>
  <c r="M119" i="3"/>
  <c r="H118" i="3"/>
  <c r="L116" i="3"/>
  <c r="D115" i="3"/>
  <c r="L113" i="3"/>
  <c r="D112" i="3"/>
  <c r="H110" i="3"/>
  <c r="E109" i="3"/>
  <c r="I107" i="3"/>
  <c r="M105" i="3"/>
  <c r="I104" i="3"/>
  <c r="M102" i="3"/>
  <c r="G101" i="3"/>
  <c r="E100" i="3"/>
  <c r="K98" i="3"/>
  <c r="E97" i="3"/>
  <c r="C96" i="3"/>
  <c r="I94" i="3"/>
  <c r="C93" i="3"/>
  <c r="M91" i="3"/>
  <c r="G90" i="3"/>
  <c r="M88" i="3"/>
  <c r="K87" i="3"/>
  <c r="E86" i="3"/>
  <c r="K84" i="3"/>
  <c r="I83" i="3"/>
  <c r="C82" i="3"/>
  <c r="I80" i="3"/>
  <c r="G79" i="3"/>
  <c r="M77" i="3"/>
  <c r="G76" i="3"/>
  <c r="E75" i="3"/>
  <c r="K73" i="3"/>
  <c r="E72" i="3"/>
  <c r="C71" i="3"/>
  <c r="I69" i="3"/>
  <c r="C68" i="3"/>
  <c r="M66" i="3"/>
  <c r="G65" i="3"/>
  <c r="M63" i="3"/>
  <c r="K62" i="3"/>
  <c r="E61" i="3"/>
  <c r="D60" i="3"/>
  <c r="B59" i="3"/>
  <c r="B58" i="3"/>
  <c r="C57" i="3"/>
  <c r="D56" i="3"/>
  <c r="E55" i="3"/>
  <c r="F54" i="3"/>
  <c r="F53" i="3"/>
  <c r="G52" i="3"/>
  <c r="H51" i="3"/>
  <c r="I50" i="3"/>
  <c r="J49" i="3"/>
  <c r="K48" i="3"/>
  <c r="L47" i="3"/>
  <c r="M46" i="3"/>
  <c r="B46" i="3"/>
  <c r="B45" i="3"/>
  <c r="C44" i="3"/>
  <c r="D43" i="3"/>
  <c r="E42" i="3"/>
  <c r="F41" i="3"/>
  <c r="G40" i="3"/>
  <c r="H39" i="3"/>
  <c r="I38" i="3"/>
  <c r="J37" i="3"/>
  <c r="J36" i="3"/>
  <c r="K35" i="3"/>
  <c r="L34" i="3"/>
  <c r="M33" i="3"/>
  <c r="B33" i="3"/>
  <c r="C32" i="3"/>
  <c r="D31" i="3"/>
  <c r="E30" i="3"/>
  <c r="F29" i="3"/>
  <c r="F28" i="3"/>
  <c r="G27" i="3"/>
  <c r="H26" i="3"/>
  <c r="I25" i="3"/>
  <c r="J24" i="3"/>
  <c r="K23" i="3"/>
  <c r="L22" i="3"/>
  <c r="M21" i="3"/>
  <c r="B21" i="3"/>
  <c r="B20" i="3"/>
  <c r="C19" i="3"/>
  <c r="D18" i="3"/>
  <c r="E17" i="3"/>
  <c r="F16" i="3"/>
  <c r="G15" i="3"/>
  <c r="H14" i="3"/>
  <c r="I13" i="3"/>
  <c r="J12" i="3"/>
  <c r="J11" i="3"/>
  <c r="K10" i="3"/>
  <c r="M156" i="3"/>
  <c r="G154" i="3"/>
  <c r="I152" i="3"/>
  <c r="C150" i="3"/>
  <c r="I147" i="3"/>
  <c r="G145" i="3"/>
  <c r="M142" i="3"/>
  <c r="G140" i="3"/>
  <c r="I138" i="3"/>
  <c r="C136" i="3"/>
  <c r="C134" i="3"/>
  <c r="G132" i="3"/>
  <c r="D130" i="3"/>
  <c r="F128" i="3"/>
  <c r="L126" i="3"/>
  <c r="B125" i="3"/>
  <c r="B123" i="3"/>
  <c r="J121" i="3"/>
  <c r="J119" i="3"/>
  <c r="L156" i="3"/>
  <c r="F154" i="3"/>
  <c r="H152" i="3"/>
  <c r="B150" i="3"/>
  <c r="H147" i="3"/>
  <c r="F145" i="3"/>
  <c r="L142" i="3"/>
  <c r="F140" i="3"/>
  <c r="H138" i="3"/>
  <c r="B136" i="3"/>
  <c r="K133" i="3"/>
  <c r="C132" i="3"/>
  <c r="C130" i="3"/>
  <c r="E128" i="3"/>
  <c r="K126" i="3"/>
  <c r="M124" i="3"/>
  <c r="M122" i="3"/>
  <c r="I121" i="3"/>
  <c r="I119" i="3"/>
  <c r="M117" i="3"/>
  <c r="J116" i="3"/>
  <c r="B115" i="3"/>
  <c r="F113" i="3"/>
  <c r="B112" i="3"/>
  <c r="F110" i="3"/>
  <c r="J108" i="3"/>
  <c r="G107" i="3"/>
  <c r="K105" i="3"/>
  <c r="C104" i="3"/>
  <c r="K102" i="3"/>
  <c r="E101" i="3"/>
  <c r="K99" i="3"/>
  <c r="I98" i="3"/>
  <c r="C97" i="3"/>
  <c r="I95" i="3"/>
  <c r="G94" i="3"/>
  <c r="M92" i="3"/>
  <c r="G91" i="3"/>
  <c r="E90" i="3"/>
  <c r="K88" i="3"/>
  <c r="E87" i="3"/>
  <c r="C86" i="3"/>
  <c r="I84" i="3"/>
  <c r="C83" i="3"/>
  <c r="M81" i="3"/>
  <c r="G80" i="3"/>
  <c r="M78" i="3"/>
  <c r="K77" i="3"/>
  <c r="E76" i="3"/>
  <c r="K74" i="3"/>
  <c r="I73" i="3"/>
  <c r="M157" i="3"/>
  <c r="G155" i="3"/>
  <c r="M152" i="3"/>
  <c r="C151" i="3"/>
  <c r="I148" i="3"/>
  <c r="C146" i="3"/>
  <c r="E144" i="3"/>
  <c r="K141" i="3"/>
  <c r="E139" i="3"/>
  <c r="C137" i="3"/>
  <c r="B135" i="3"/>
  <c r="K132" i="3"/>
  <c r="C131" i="3"/>
  <c r="D129" i="3"/>
  <c r="D127" i="3"/>
  <c r="L125" i="3"/>
  <c r="L123" i="3"/>
  <c r="B122" i="3"/>
  <c r="H120" i="3"/>
  <c r="K118" i="3"/>
  <c r="C117" i="3"/>
  <c r="L115" i="3"/>
  <c r="D114" i="3"/>
  <c r="H112" i="3"/>
  <c r="D111" i="3"/>
  <c r="H109" i="3"/>
  <c r="L107" i="3"/>
  <c r="I106" i="3"/>
  <c r="M104" i="3"/>
  <c r="E103" i="3"/>
  <c r="B102" i="3"/>
  <c r="H100" i="3"/>
  <c r="B99" i="3"/>
  <c r="L97" i="3"/>
  <c r="F96" i="3"/>
  <c r="L94" i="3"/>
  <c r="J93" i="3"/>
  <c r="D92" i="3"/>
  <c r="J90" i="3"/>
  <c r="H89" i="3"/>
  <c r="B88" i="3"/>
  <c r="H86" i="3"/>
  <c r="F85" i="3"/>
  <c r="L83" i="3"/>
  <c r="F82" i="3"/>
  <c r="D81" i="3"/>
  <c r="J79" i="3"/>
  <c r="D78" i="3"/>
  <c r="B77" i="3"/>
  <c r="H75" i="3"/>
  <c r="B74" i="3"/>
  <c r="L72" i="3"/>
  <c r="F71" i="3"/>
  <c r="L69" i="3"/>
  <c r="J68" i="3"/>
  <c r="D67" i="3"/>
  <c r="J65" i="3"/>
  <c r="H64" i="3"/>
  <c r="B63" i="3"/>
  <c r="H61" i="3"/>
  <c r="G60" i="3"/>
  <c r="G59" i="3"/>
  <c r="F58" i="3"/>
  <c r="F57" i="3"/>
  <c r="G56" i="3"/>
  <c r="H55" i="3"/>
  <c r="I54" i="3"/>
  <c r="J53" i="3"/>
  <c r="K52" i="3"/>
  <c r="L51" i="3"/>
  <c r="L50" i="3"/>
  <c r="M49" i="3"/>
  <c r="B49" i="3"/>
  <c r="C48" i="3"/>
  <c r="D47" i="3"/>
  <c r="E46" i="3"/>
  <c r="F45" i="3"/>
  <c r="G44" i="3"/>
  <c r="H43" i="3"/>
  <c r="H42" i="3"/>
  <c r="I41" i="3"/>
  <c r="J40" i="3"/>
  <c r="K39" i="3"/>
  <c r="L38" i="3"/>
  <c r="M37" i="3"/>
  <c r="B37" i="3"/>
  <c r="C36" i="3"/>
  <c r="D35" i="3"/>
  <c r="D34" i="3"/>
  <c r="E33" i="3"/>
  <c r="F32" i="3"/>
  <c r="G31" i="3"/>
  <c r="H30" i="3"/>
  <c r="I29" i="3"/>
  <c r="J28" i="3"/>
  <c r="K27" i="3"/>
  <c r="L26" i="3"/>
  <c r="L25" i="3"/>
  <c r="M24" i="3"/>
  <c r="B24" i="3"/>
  <c r="C23" i="3"/>
  <c r="D22" i="3"/>
  <c r="E21" i="3"/>
  <c r="F20" i="3"/>
  <c r="G19" i="3"/>
  <c r="H18" i="3"/>
  <c r="H17" i="3"/>
  <c r="I16" i="3"/>
  <c r="J15" i="3"/>
  <c r="K14" i="3"/>
  <c r="L13" i="3"/>
  <c r="M12" i="3"/>
  <c r="B12" i="3"/>
  <c r="C11" i="3"/>
  <c r="D10" i="3"/>
  <c r="H158" i="3"/>
  <c r="G158" i="3"/>
  <c r="K151" i="3"/>
  <c r="M146" i="3"/>
  <c r="E140" i="3"/>
  <c r="D135" i="3"/>
  <c r="B130" i="3"/>
  <c r="B126" i="3"/>
  <c r="B121" i="3"/>
  <c r="K117" i="3"/>
  <c r="K114" i="3"/>
  <c r="G111" i="3"/>
  <c r="H108" i="3"/>
  <c r="H105" i="3"/>
  <c r="E102" i="3"/>
  <c r="I99" i="3"/>
  <c r="M96" i="3"/>
  <c r="M93" i="3"/>
  <c r="E91" i="3"/>
  <c r="I88" i="3"/>
  <c r="I85" i="3"/>
  <c r="M82" i="3"/>
  <c r="E80" i="3"/>
  <c r="E77" i="3"/>
  <c r="I74" i="3"/>
  <c r="B72" i="3"/>
  <c r="H69" i="3"/>
  <c r="F67" i="3"/>
  <c r="L64" i="3"/>
  <c r="F62" i="3"/>
  <c r="I60" i="3"/>
  <c r="K58" i="3"/>
  <c r="B57" i="3"/>
  <c r="J55" i="3"/>
  <c r="B54" i="3"/>
  <c r="F52" i="3"/>
  <c r="C51" i="3"/>
  <c r="G49" i="3"/>
  <c r="K47" i="3"/>
  <c r="G46" i="3"/>
  <c r="K44" i="3"/>
  <c r="C43" i="3"/>
  <c r="L41" i="3"/>
  <c r="D40" i="3"/>
  <c r="H38" i="3"/>
  <c r="D37" i="3"/>
  <c r="H35" i="3"/>
  <c r="L33" i="3"/>
  <c r="H32" i="3"/>
  <c r="L30" i="3"/>
  <c r="D29" i="3"/>
  <c r="M27" i="3"/>
  <c r="E26" i="3"/>
  <c r="I24" i="3"/>
  <c r="E23" i="3"/>
  <c r="I21" i="3"/>
  <c r="M19" i="3"/>
  <c r="J18" i="3"/>
  <c r="B17" i="3"/>
  <c r="F15" i="3"/>
  <c r="B14" i="3"/>
  <c r="F12" i="3"/>
  <c r="J10" i="3"/>
  <c r="F158" i="3"/>
  <c r="J151" i="3"/>
  <c r="L146" i="3"/>
  <c r="D140" i="3"/>
  <c r="C135" i="3"/>
  <c r="M129" i="3"/>
  <c r="M125" i="3"/>
  <c r="M120" i="3"/>
  <c r="J117" i="3"/>
  <c r="F114" i="3"/>
  <c r="F111" i="3"/>
  <c r="G108" i="3"/>
  <c r="C105" i="3"/>
  <c r="D102" i="3"/>
  <c r="H99" i="3"/>
  <c r="H96" i="3"/>
  <c r="L93" i="3"/>
  <c r="D91" i="3"/>
  <c r="D88" i="3"/>
  <c r="H85" i="3"/>
  <c r="L82" i="3"/>
  <c r="L79" i="3"/>
  <c r="D77" i="3"/>
  <c r="H74" i="3"/>
  <c r="M71" i="3"/>
  <c r="G69" i="3"/>
  <c r="E67" i="3"/>
  <c r="K64" i="3"/>
  <c r="E62" i="3"/>
  <c r="H60" i="3"/>
  <c r="J58" i="3"/>
  <c r="M56" i="3"/>
  <c r="I55" i="3"/>
  <c r="M53" i="3"/>
  <c r="E52" i="3"/>
  <c r="B51" i="3"/>
  <c r="F49" i="3"/>
  <c r="J47" i="3"/>
  <c r="F46" i="3"/>
  <c r="J44" i="3"/>
  <c r="B43" i="3"/>
  <c r="J41" i="3"/>
  <c r="B40" i="3"/>
  <c r="F38" i="3"/>
  <c r="C37" i="3"/>
  <c r="G35" i="3"/>
  <c r="K33" i="3"/>
  <c r="G32" i="3"/>
  <c r="K30" i="3"/>
  <c r="C29" i="3"/>
  <c r="L27" i="3"/>
  <c r="D26" i="3"/>
  <c r="H24" i="3"/>
  <c r="D23" i="3"/>
  <c r="H21" i="3"/>
  <c r="L19" i="3"/>
  <c r="I18" i="3"/>
  <c r="M16" i="3"/>
  <c r="E15" i="3"/>
  <c r="M13" i="3"/>
  <c r="E12" i="3"/>
  <c r="I10" i="3"/>
  <c r="K156" i="3"/>
  <c r="E151" i="3"/>
  <c r="I144" i="3"/>
  <c r="C140" i="3"/>
  <c r="J133" i="3"/>
  <c r="F129" i="3"/>
  <c r="J124" i="3"/>
  <c r="L120" i="3"/>
  <c r="I117" i="3"/>
  <c r="E114" i="3"/>
  <c r="E111" i="3"/>
  <c r="F108" i="3"/>
  <c r="B105" i="3"/>
  <c r="C102" i="3"/>
  <c r="G99" i="3"/>
  <c r="G96" i="3"/>
  <c r="K93" i="3"/>
  <c r="C91" i="3"/>
  <c r="C88" i="3"/>
  <c r="G85" i="3"/>
  <c r="K82" i="3"/>
  <c r="K79" i="3"/>
  <c r="C77" i="3"/>
  <c r="G74" i="3"/>
  <c r="H71" i="3"/>
  <c r="B69" i="3"/>
  <c r="H66" i="3"/>
  <c r="J64" i="3"/>
  <c r="D62" i="3"/>
  <c r="B60" i="3"/>
  <c r="I58" i="3"/>
  <c r="L56" i="3"/>
  <c r="D55" i="3"/>
  <c r="L53" i="3"/>
  <c r="D52" i="3"/>
  <c r="H50" i="3"/>
  <c r="D49" i="3"/>
  <c r="H47" i="3"/>
  <c r="L45" i="3"/>
  <c r="I44" i="3"/>
  <c r="M42" i="3"/>
  <c r="E41" i="3"/>
  <c r="M39" i="3"/>
  <c r="E38" i="3"/>
  <c r="I36" i="3"/>
  <c r="F35" i="3"/>
  <c r="J33" i="3"/>
  <c r="B32" i="3"/>
  <c r="J30" i="3"/>
  <c r="B29" i="3"/>
  <c r="F27" i="3"/>
  <c r="C26" i="3"/>
  <c r="G24" i="3"/>
  <c r="K22" i="3"/>
  <c r="G21" i="3"/>
  <c r="K19" i="3"/>
  <c r="C18" i="3"/>
  <c r="L16" i="3"/>
  <c r="D15" i="3"/>
  <c r="H13" i="3"/>
  <c r="D12" i="3"/>
  <c r="H10" i="3"/>
  <c r="J156" i="3"/>
  <c r="D151" i="3"/>
  <c r="H144" i="3"/>
  <c r="B140" i="3"/>
  <c r="I133" i="3"/>
  <c r="E129" i="3"/>
  <c r="I124" i="3"/>
  <c r="K120" i="3"/>
  <c r="K116" i="3"/>
  <c r="G113" i="3"/>
  <c r="G110" i="3"/>
  <c r="H107" i="3"/>
  <c r="D104" i="3"/>
  <c r="F101" i="3"/>
  <c r="J98" i="3"/>
  <c r="J95" i="3"/>
  <c r="B93" i="3"/>
  <c r="F90" i="3"/>
  <c r="F87" i="3"/>
  <c r="J84" i="3"/>
  <c r="B82" i="3"/>
  <c r="B79" i="3"/>
  <c r="F76" i="3"/>
  <c r="J73" i="3"/>
  <c r="M155" i="3"/>
  <c r="I149" i="3"/>
  <c r="G144" i="3"/>
  <c r="K137" i="3"/>
  <c r="H133" i="3"/>
  <c r="B128" i="3"/>
  <c r="D124" i="3"/>
  <c r="H119" i="3"/>
  <c r="D116" i="3"/>
  <c r="E113" i="3"/>
  <c r="E110" i="3"/>
  <c r="M106" i="3"/>
  <c r="I158" i="3"/>
  <c r="K153" i="3"/>
  <c r="C147" i="3"/>
  <c r="M141" i="3"/>
  <c r="M135" i="3"/>
  <c r="E131" i="3"/>
  <c r="D126" i="3"/>
  <c r="J122" i="3"/>
  <c r="B118" i="3"/>
  <c r="C115" i="3"/>
  <c r="C112" i="3"/>
  <c r="K108" i="3"/>
  <c r="L105" i="3"/>
  <c r="L102" i="3"/>
  <c r="L99" i="3"/>
  <c r="D97" i="3"/>
  <c r="H94" i="3"/>
  <c r="H91" i="3"/>
  <c r="L88" i="3"/>
  <c r="D86" i="3"/>
  <c r="D83" i="3"/>
  <c r="H80" i="3"/>
  <c r="L77" i="3"/>
  <c r="L74" i="3"/>
  <c r="D72" i="3"/>
  <c r="F70" i="3"/>
  <c r="L67" i="3"/>
  <c r="F65" i="3"/>
  <c r="D63" i="3"/>
  <c r="L60" i="3"/>
  <c r="M58" i="3"/>
  <c r="H57" i="3"/>
  <c r="L55" i="3"/>
  <c r="D54" i="3"/>
  <c r="M52" i="3"/>
  <c r="E51" i="3"/>
  <c r="I49" i="3"/>
  <c r="E48" i="3"/>
  <c r="I46" i="3"/>
  <c r="M44" i="3"/>
  <c r="J43" i="3"/>
  <c r="B42" i="3"/>
  <c r="F40" i="3"/>
  <c r="B39" i="3"/>
  <c r="F37" i="3"/>
  <c r="J35" i="3"/>
  <c r="G34" i="3"/>
  <c r="K32" i="3"/>
  <c r="C31" i="3"/>
  <c r="K29" i="3"/>
  <c r="C28" i="3"/>
  <c r="G26" i="3"/>
  <c r="D25" i="3"/>
  <c r="H23" i="3"/>
  <c r="L21" i="3"/>
  <c r="H20" i="3"/>
  <c r="L18" i="3"/>
  <c r="D17" i="3"/>
  <c r="L15" i="3"/>
  <c r="D14" i="3"/>
  <c r="H12" i="3"/>
  <c r="E11" i="3"/>
  <c r="F144" i="3"/>
  <c r="I131" i="3"/>
  <c r="G119" i="3"/>
  <c r="M112" i="3"/>
  <c r="M103" i="3"/>
  <c r="D98" i="3"/>
  <c r="L92" i="3"/>
  <c r="D87" i="3"/>
  <c r="H81" i="3"/>
  <c r="D76" i="3"/>
  <c r="G71" i="3"/>
  <c r="M67" i="3"/>
  <c r="K63" i="3"/>
  <c r="L59" i="3"/>
  <c r="J57" i="3"/>
  <c r="L54" i="3"/>
  <c r="C52" i="3"/>
  <c r="B50" i="3"/>
  <c r="E47" i="3"/>
  <c r="H44" i="3"/>
  <c r="C42" i="3"/>
  <c r="F39" i="3"/>
  <c r="H36" i="3"/>
  <c r="H34" i="3"/>
  <c r="J31" i="3"/>
  <c r="M28" i="3"/>
  <c r="M26" i="3"/>
  <c r="C24" i="3"/>
  <c r="F21" i="3"/>
  <c r="M18" i="3"/>
  <c r="D16" i="3"/>
  <c r="F13" i="3"/>
  <c r="F11" i="3"/>
  <c r="K142" i="3"/>
  <c r="D131" i="3"/>
  <c r="M118" i="3"/>
  <c r="I111" i="3"/>
  <c r="L103" i="3"/>
  <c r="C98" i="3"/>
  <c r="K92" i="3"/>
  <c r="C87" i="3"/>
  <c r="G81" i="3"/>
  <c r="C76" i="3"/>
  <c r="J70" i="3"/>
  <c r="K67" i="3"/>
  <c r="J63" i="3"/>
  <c r="K59" i="3"/>
  <c r="G57" i="3"/>
  <c r="K54" i="3"/>
  <c r="B52" i="3"/>
  <c r="H49" i="3"/>
  <c r="L46" i="3"/>
  <c r="B44" i="3"/>
  <c r="M41" i="3"/>
  <c r="D39" i="3"/>
  <c r="G36" i="3"/>
  <c r="F34" i="3"/>
  <c r="I31" i="3"/>
  <c r="L28" i="3"/>
  <c r="F26" i="3"/>
  <c r="J23" i="3"/>
  <c r="L20" i="3"/>
  <c r="K18" i="3"/>
  <c r="C16" i="3"/>
  <c r="E13" i="3"/>
  <c r="D11" i="3"/>
  <c r="L155" i="3"/>
  <c r="J142" i="3"/>
  <c r="M127" i="3"/>
  <c r="L118" i="3"/>
  <c r="D110" i="3"/>
  <c r="K103" i="3"/>
  <c r="B98" i="3"/>
  <c r="F92" i="3"/>
  <c r="B87" i="3"/>
  <c r="F81" i="3"/>
  <c r="J75" i="3"/>
  <c r="I70" i="3"/>
  <c r="G66" i="3"/>
  <c r="I63" i="3"/>
  <c r="J59" i="3"/>
  <c r="J56" i="3"/>
  <c r="J54" i="3"/>
  <c r="M51" i="3"/>
  <c r="C49" i="3"/>
  <c r="J46" i="3"/>
  <c r="M43" i="3"/>
  <c r="D41" i="3"/>
  <c r="C39" i="3"/>
  <c r="F36" i="3"/>
  <c r="I33" i="3"/>
  <c r="H31" i="3"/>
  <c r="K28" i="3"/>
  <c r="B26" i="3"/>
  <c r="I23" i="3"/>
  <c r="K20" i="3"/>
  <c r="B18" i="3"/>
  <c r="B16" i="3"/>
  <c r="D13" i="3"/>
  <c r="G10" i="3"/>
  <c r="E154" i="3"/>
  <c r="L141" i="3"/>
  <c r="L127" i="3"/>
  <c r="L117" i="3"/>
  <c r="J109" i="3"/>
  <c r="J103" i="3"/>
  <c r="M97" i="3"/>
  <c r="E92" i="3"/>
  <c r="M86" i="3"/>
  <c r="E81" i="3"/>
  <c r="I75" i="3"/>
  <c r="H70" i="3"/>
  <c r="F66" i="3"/>
  <c r="C63" i="3"/>
  <c r="I59" i="3"/>
  <c r="I56" i="3"/>
  <c r="C54" i="3"/>
  <c r="G51" i="3"/>
  <c r="J48" i="3"/>
  <c r="H46" i="3"/>
  <c r="L43" i="3"/>
  <c r="C41" i="3"/>
  <c r="M38" i="3"/>
  <c r="E36" i="3"/>
  <c r="H33" i="3"/>
  <c r="B31" i="3"/>
  <c r="E28" i="3"/>
  <c r="H25" i="3"/>
  <c r="F23" i="3"/>
  <c r="J20" i="3"/>
  <c r="M17" i="3"/>
  <c r="K15" i="3"/>
  <c r="C13" i="3"/>
  <c r="F10" i="3"/>
  <c r="J153" i="3"/>
  <c r="I137" i="3"/>
  <c r="C126" i="3"/>
  <c r="B116" i="3"/>
  <c r="I108" i="3"/>
  <c r="D101" i="3"/>
  <c r="H95" i="3"/>
  <c r="L89" i="3"/>
  <c r="H84" i="3"/>
  <c r="L78" i="3"/>
  <c r="D73" i="3"/>
  <c r="E70" i="3"/>
  <c r="D66" i="3"/>
  <c r="B62" i="3"/>
  <c r="L58" i="3"/>
  <c r="C56" i="3"/>
  <c r="E53" i="3"/>
  <c r="D51" i="3"/>
  <c r="H48" i="3"/>
  <c r="J45" i="3"/>
  <c r="I43" i="3"/>
  <c r="L40" i="3"/>
  <c r="C38" i="3"/>
  <c r="I35" i="3"/>
  <c r="M32" i="3"/>
  <c r="D30" i="3"/>
  <c r="B28" i="3"/>
  <c r="F25" i="3"/>
  <c r="H22" i="3"/>
  <c r="G20" i="3"/>
  <c r="K17" i="3"/>
  <c r="M14" i="3"/>
  <c r="G12" i="3"/>
  <c r="B147" i="3"/>
  <c r="J131" i="3"/>
  <c r="I122" i="3"/>
  <c r="B113" i="3"/>
  <c r="I105" i="3"/>
  <c r="J99" i="3"/>
  <c r="B94" i="3"/>
  <c r="J88" i="3"/>
  <c r="B83" i="3"/>
  <c r="F77" i="3"/>
  <c r="C72" i="3"/>
  <c r="B68" i="3"/>
  <c r="L63" i="3"/>
  <c r="J60" i="3"/>
  <c r="K57" i="3"/>
  <c r="M54" i="3"/>
  <c r="L52" i="3"/>
  <c r="D50" i="3"/>
  <c r="F47" i="3"/>
  <c r="L44" i="3"/>
  <c r="D42" i="3"/>
  <c r="G39" i="3"/>
  <c r="E37" i="3"/>
  <c r="I34" i="3"/>
  <c r="L31" i="3"/>
  <c r="J29" i="3"/>
  <c r="B27" i="3"/>
  <c r="D24" i="3"/>
  <c r="J21" i="3"/>
  <c r="B19" i="3"/>
  <c r="E16" i="3"/>
  <c r="C14" i="3"/>
  <c r="G11" i="3"/>
  <c r="K148" i="3"/>
  <c r="C116" i="3"/>
  <c r="J100" i="3"/>
  <c r="J85" i="3"/>
  <c r="B73" i="3"/>
  <c r="C62" i="3"/>
  <c r="K55" i="3"/>
  <c r="I48" i="3"/>
  <c r="K42" i="3"/>
  <c r="D36" i="3"/>
  <c r="M29" i="3"/>
  <c r="J22" i="3"/>
  <c r="C17" i="3"/>
  <c r="E10" i="3"/>
  <c r="J148" i="3"/>
  <c r="M115" i="3"/>
  <c r="I100" i="3"/>
  <c r="G84" i="3"/>
  <c r="M72" i="3"/>
  <c r="M61" i="3"/>
  <c r="B55" i="3"/>
  <c r="F48" i="3"/>
  <c r="J42" i="3"/>
  <c r="E35" i="3"/>
  <c r="L29" i="3"/>
  <c r="G22" i="3"/>
  <c r="J16" i="3"/>
  <c r="J137" i="3"/>
  <c r="M114" i="3"/>
  <c r="B97" i="3"/>
  <c r="B84" i="3"/>
  <c r="G70" i="3"/>
  <c r="D61" i="3"/>
  <c r="K53" i="3"/>
  <c r="D48" i="3"/>
  <c r="B41" i="3"/>
  <c r="K34" i="3"/>
  <c r="D28" i="3"/>
  <c r="F22" i="3"/>
  <c r="B15" i="3"/>
  <c r="H137" i="3"/>
  <c r="C113" i="3"/>
  <c r="G95" i="3"/>
  <c r="M83" i="3"/>
  <c r="M68" i="3"/>
  <c r="C61" i="3"/>
  <c r="D53" i="3"/>
  <c r="G47" i="3"/>
  <c r="K40" i="3"/>
  <c r="J34" i="3"/>
  <c r="E27" i="3"/>
  <c r="E22" i="3"/>
  <c r="L14" i="3"/>
  <c r="L135" i="3"/>
  <c r="I109" i="3"/>
  <c r="F95" i="3"/>
  <c r="F80" i="3"/>
  <c r="L68" i="3"/>
  <c r="H59" i="3"/>
  <c r="C53" i="3"/>
  <c r="K45" i="3"/>
  <c r="E40" i="3"/>
  <c r="F33" i="3"/>
  <c r="D27" i="3"/>
  <c r="I20" i="3"/>
  <c r="G14" i="3"/>
  <c r="G133" i="3"/>
  <c r="L106" i="3"/>
  <c r="E95" i="3"/>
  <c r="K78" i="3"/>
  <c r="K68" i="3"/>
  <c r="H58" i="3"/>
  <c r="B53" i="3"/>
  <c r="I45" i="3"/>
  <c r="L39" i="3"/>
  <c r="L32" i="3"/>
  <c r="C27" i="3"/>
  <c r="J19" i="3"/>
  <c r="F14" i="3"/>
  <c r="K127" i="3"/>
  <c r="K106" i="3"/>
  <c r="F91" i="3"/>
  <c r="J78" i="3"/>
  <c r="E66" i="3"/>
  <c r="M57" i="3"/>
  <c r="F51" i="3"/>
  <c r="H45" i="3"/>
  <c r="D38" i="3"/>
  <c r="J32" i="3"/>
  <c r="G25" i="3"/>
  <c r="I19" i="3"/>
  <c r="B13" i="3"/>
  <c r="C124" i="3"/>
  <c r="J106" i="3"/>
  <c r="K89" i="3"/>
  <c r="I78" i="3"/>
  <c r="C66" i="3"/>
  <c r="L57" i="3"/>
  <c r="G50" i="3"/>
  <c r="G45" i="3"/>
  <c r="B38" i="3"/>
  <c r="M31" i="3"/>
  <c r="E25" i="3"/>
  <c r="H19" i="3"/>
  <c r="C12" i="3"/>
  <c r="D154" i="3"/>
  <c r="L122" i="3"/>
  <c r="F102" i="3"/>
  <c r="J89" i="3"/>
  <c r="J74" i="3"/>
  <c r="E65" i="3"/>
  <c r="H56" i="3"/>
  <c r="F50" i="3"/>
  <c r="K43" i="3"/>
  <c r="H37" i="3"/>
  <c r="I30" i="3"/>
  <c r="B25" i="3"/>
  <c r="L17" i="3"/>
  <c r="H149" i="3"/>
  <c r="K122" i="3"/>
  <c r="C101" i="3"/>
  <c r="I89" i="3"/>
  <c r="C73" i="3"/>
  <c r="I64" i="3"/>
  <c r="B56" i="3"/>
  <c r="E50" i="3"/>
  <c r="L42" i="3"/>
  <c r="G37" i="3"/>
  <c r="B30" i="3"/>
  <c r="F24" i="3"/>
  <c r="J17" i="3"/>
  <c r="H11" i="3"/>
  <c r="J13" i="2"/>
  <c r="K15" i="2"/>
  <c r="L17" i="2"/>
  <c r="M19" i="2"/>
  <c r="M21" i="2"/>
  <c r="B24" i="2"/>
  <c r="C26" i="2"/>
  <c r="D28" i="2"/>
  <c r="F30" i="2"/>
  <c r="K32" i="2"/>
  <c r="H35" i="2"/>
  <c r="J38" i="2"/>
  <c r="L43" i="2"/>
  <c r="B49" i="2"/>
  <c r="L55" i="2"/>
  <c r="G62" i="2"/>
  <c r="B69" i="2"/>
  <c r="I75" i="2"/>
  <c r="H82" i="2"/>
  <c r="L90" i="2"/>
  <c r="M100" i="2"/>
  <c r="L110" i="2"/>
  <c r="J120" i="2"/>
  <c r="J131" i="2"/>
  <c r="G148" i="2"/>
  <c r="I11" i="3"/>
  <c r="L13" i="2"/>
  <c r="M15" i="2"/>
  <c r="B18" i="2"/>
  <c r="B20" i="2"/>
  <c r="B22" i="2"/>
  <c r="C24" i="2"/>
  <c r="D26" i="2"/>
  <c r="E28" i="2"/>
  <c r="H30" i="2"/>
  <c r="B33" i="2"/>
  <c r="B36" i="2"/>
  <c r="J39" i="2"/>
  <c r="M43" i="2"/>
  <c r="G49" i="2"/>
  <c r="B56" i="2"/>
  <c r="I62" i="2"/>
  <c r="D69" i="2"/>
  <c r="K75" i="2"/>
  <c r="J82" i="2"/>
  <c r="H91" i="2"/>
  <c r="G101" i="2"/>
  <c r="B111" i="2"/>
  <c r="F121" i="2"/>
  <c r="D132" i="2"/>
  <c r="M148" i="2"/>
  <c r="M13" i="2"/>
  <c r="B16" i="2"/>
  <c r="C18" i="2"/>
  <c r="C20" i="2"/>
  <c r="D22" i="2"/>
  <c r="E24" i="2"/>
  <c r="F26" i="2"/>
  <c r="F28" i="2"/>
  <c r="K30" i="2"/>
  <c r="C33" i="2"/>
  <c r="F36" i="2"/>
  <c r="K39" i="2"/>
  <c r="C44" i="2"/>
  <c r="H50" i="2"/>
  <c r="B57" i="2"/>
  <c r="I63" i="2"/>
  <c r="D70" i="2"/>
  <c r="K76" i="2"/>
  <c r="D84" i="2"/>
  <c r="C93" i="2"/>
  <c r="J102" i="2"/>
  <c r="B113" i="2"/>
  <c r="J122" i="2"/>
  <c r="K134" i="2"/>
  <c r="L151" i="2"/>
  <c r="C14" i="2"/>
  <c r="C16" i="2"/>
  <c r="D18" i="2"/>
  <c r="D20" i="2"/>
  <c r="E22" i="2"/>
  <c r="F24" i="2"/>
  <c r="G26" i="2"/>
  <c r="G28" i="2"/>
  <c r="L30" i="2"/>
  <c r="L33" i="2"/>
  <c r="H36" i="2"/>
  <c r="D40" i="2"/>
  <c r="B45" i="2"/>
  <c r="J50" i="2"/>
  <c r="E57" i="2"/>
  <c r="L63" i="2"/>
  <c r="J70" i="2"/>
  <c r="E77" i="2"/>
  <c r="F84" i="2"/>
  <c r="E93" i="2"/>
  <c r="F103" i="2"/>
  <c r="E113" i="2"/>
  <c r="C123" i="2"/>
  <c r="M134" i="2"/>
  <c r="I152" i="2"/>
  <c r="J14" i="2"/>
  <c r="J16" i="2"/>
  <c r="L18" i="2"/>
  <c r="L22" i="2"/>
  <c r="M24" i="2"/>
  <c r="B27" i="2"/>
  <c r="D29" i="2"/>
  <c r="G31" i="2"/>
  <c r="M33" i="2"/>
  <c r="I36" i="2"/>
  <c r="C41" i="2"/>
  <c r="C45" i="2"/>
  <c r="J51" i="2"/>
  <c r="E58" i="2"/>
  <c r="C65" i="2"/>
  <c r="J71" i="2"/>
  <c r="E78" i="2"/>
  <c r="K85" i="2"/>
  <c r="B95" i="2"/>
  <c r="M104" i="2"/>
  <c r="K114" i="2"/>
  <c r="B125" i="2"/>
  <c r="C138" i="2"/>
  <c r="C156" i="2"/>
  <c r="F158" i="4"/>
  <c r="H157" i="4"/>
  <c r="J156" i="4"/>
  <c r="L155" i="4"/>
  <c r="B155" i="4"/>
  <c r="D154" i="4"/>
  <c r="F153" i="4"/>
  <c r="H152" i="4"/>
  <c r="J151" i="4"/>
  <c r="L150" i="4"/>
  <c r="B150" i="4"/>
  <c r="D149" i="4"/>
  <c r="F148" i="4"/>
  <c r="H147" i="4"/>
  <c r="J146" i="4"/>
  <c r="L145" i="4"/>
  <c r="B145" i="4"/>
  <c r="D144" i="4"/>
  <c r="F143" i="4"/>
  <c r="H142" i="4"/>
  <c r="J141" i="4"/>
  <c r="L140" i="4"/>
  <c r="B140" i="4"/>
  <c r="D139" i="4"/>
  <c r="F138" i="4"/>
  <c r="H137" i="4"/>
  <c r="J136" i="4"/>
  <c r="L135" i="4"/>
  <c r="B135" i="4"/>
  <c r="D134" i="4"/>
  <c r="F133" i="4"/>
  <c r="H132" i="4"/>
  <c r="J131" i="4"/>
  <c r="L130" i="4"/>
  <c r="B130" i="4"/>
  <c r="D129" i="4"/>
  <c r="F128" i="4"/>
  <c r="H127" i="4"/>
  <c r="J126" i="4"/>
  <c r="L125" i="4"/>
  <c r="B125" i="4"/>
  <c r="D124" i="4"/>
  <c r="F123" i="4"/>
  <c r="E158" i="4"/>
  <c r="M158" i="4"/>
  <c r="C158" i="4"/>
  <c r="E157" i="4"/>
  <c r="G156" i="4"/>
  <c r="I155" i="4"/>
  <c r="K154" i="4"/>
  <c r="M153" i="4"/>
  <c r="C153" i="4"/>
  <c r="G158" i="4"/>
  <c r="I157" i="4"/>
  <c r="K156" i="4"/>
  <c r="M155" i="4"/>
  <c r="C155" i="4"/>
  <c r="E154" i="4"/>
  <c r="G153" i="4"/>
  <c r="I152" i="4"/>
  <c r="K151" i="4"/>
  <c r="M150" i="4"/>
  <c r="C150" i="4"/>
  <c r="E149" i="4"/>
  <c r="G148" i="4"/>
  <c r="I147" i="4"/>
  <c r="K146" i="4"/>
  <c r="M145" i="4"/>
  <c r="C145" i="4"/>
  <c r="E144" i="4"/>
  <c r="G143" i="4"/>
  <c r="I142" i="4"/>
  <c r="K141" i="4"/>
  <c r="M140" i="4"/>
  <c r="C140" i="4"/>
  <c r="E139" i="4"/>
  <c r="G138" i="4"/>
  <c r="I137" i="4"/>
  <c r="K136" i="4"/>
  <c r="M135" i="4"/>
  <c r="C135" i="4"/>
  <c r="E134" i="4"/>
  <c r="G133" i="4"/>
  <c r="I132" i="4"/>
  <c r="K131" i="4"/>
  <c r="M130" i="4"/>
  <c r="C130" i="4"/>
  <c r="E129" i="4"/>
  <c r="G128" i="4"/>
  <c r="I127" i="4"/>
  <c r="K126" i="4"/>
  <c r="M125" i="4"/>
  <c r="C125" i="4"/>
  <c r="E124" i="4"/>
  <c r="G123" i="4"/>
  <c r="I122" i="4"/>
  <c r="K121" i="4"/>
  <c r="M120" i="4"/>
  <c r="C120" i="4"/>
  <c r="E119" i="4"/>
  <c r="G118" i="4"/>
  <c r="I117" i="4"/>
  <c r="K116" i="4"/>
  <c r="M115" i="4"/>
  <c r="C115" i="4"/>
  <c r="E114" i="4"/>
  <c r="G113" i="4"/>
  <c r="I112" i="4"/>
  <c r="K111" i="4"/>
  <c r="M110" i="4"/>
  <c r="C110" i="4"/>
  <c r="E109" i="4"/>
  <c r="G108" i="4"/>
  <c r="I107" i="4"/>
  <c r="K106" i="4"/>
  <c r="M105" i="4"/>
  <c r="C105" i="4"/>
  <c r="E104" i="4"/>
  <c r="G103" i="4"/>
  <c r="I102" i="4"/>
  <c r="K101" i="4"/>
  <c r="M100" i="4"/>
  <c r="C100" i="4"/>
  <c r="E99" i="4"/>
  <c r="G98" i="4"/>
  <c r="I97" i="4"/>
  <c r="K96" i="4"/>
  <c r="M95" i="4"/>
  <c r="C95" i="4"/>
  <c r="E94" i="4"/>
  <c r="G93" i="4"/>
  <c r="I92" i="4"/>
  <c r="K91" i="4"/>
  <c r="M90" i="4"/>
  <c r="C90" i="4"/>
  <c r="E89" i="4"/>
  <c r="G88" i="4"/>
  <c r="I87" i="4"/>
  <c r="K86" i="4"/>
  <c r="M85" i="4"/>
  <c r="C85" i="4"/>
  <c r="E84" i="4"/>
  <c r="G83" i="4"/>
  <c r="I82" i="4"/>
  <c r="K81" i="4"/>
  <c r="M80" i="4"/>
  <c r="C80" i="4"/>
  <c r="E79" i="4"/>
  <c r="G78" i="4"/>
  <c r="I77" i="4"/>
  <c r="K76" i="4"/>
  <c r="M75" i="4"/>
  <c r="C75" i="4"/>
  <c r="E74" i="4"/>
  <c r="G73" i="4"/>
  <c r="I72" i="4"/>
  <c r="K71" i="4"/>
  <c r="M70" i="4"/>
  <c r="C70" i="4"/>
  <c r="E69" i="4"/>
  <c r="G68" i="4"/>
  <c r="I67" i="4"/>
  <c r="K66" i="4"/>
  <c r="M65" i="4"/>
  <c r="C65" i="4"/>
  <c r="E64" i="4"/>
  <c r="G63" i="4"/>
  <c r="I62" i="4"/>
  <c r="L157" i="4"/>
  <c r="I156" i="4"/>
  <c r="G155" i="4"/>
  <c r="F154" i="4"/>
  <c r="B153" i="4"/>
  <c r="B152" i="4"/>
  <c r="B151" i="4"/>
  <c r="L149" i="4"/>
  <c r="L148" i="4"/>
  <c r="L147" i="4"/>
  <c r="L146" i="4"/>
  <c r="J145" i="4"/>
  <c r="J144" i="4"/>
  <c r="J143" i="4"/>
  <c r="J142" i="4"/>
  <c r="H141" i="4"/>
  <c r="H140" i="4"/>
  <c r="H139" i="4"/>
  <c r="H138" i="4"/>
  <c r="F137" i="4"/>
  <c r="F136" i="4"/>
  <c r="F135" i="4"/>
  <c r="F134" i="4"/>
  <c r="D133" i="4"/>
  <c r="D132" i="4"/>
  <c r="D131" i="4"/>
  <c r="D130" i="4"/>
  <c r="B129" i="4"/>
  <c r="B128" i="4"/>
  <c r="B127" i="4"/>
  <c r="B126" i="4"/>
  <c r="L124" i="4"/>
  <c r="L123" i="4"/>
  <c r="L122" i="4"/>
  <c r="M121" i="4"/>
  <c r="B121" i="4"/>
  <c r="B120" i="4"/>
  <c r="C119" i="4"/>
  <c r="D118" i="4"/>
  <c r="E117" i="4"/>
  <c r="F116" i="4"/>
  <c r="G115" i="4"/>
  <c r="H114" i="4"/>
  <c r="I113" i="4"/>
  <c r="J112" i="4"/>
  <c r="J111" i="4"/>
  <c r="K110" i="4"/>
  <c r="L109" i="4"/>
  <c r="M108" i="4"/>
  <c r="B108" i="4"/>
  <c r="C107" i="4"/>
  <c r="D106" i="4"/>
  <c r="E105" i="4"/>
  <c r="F104" i="4"/>
  <c r="F103" i="4"/>
  <c r="G102" i="4"/>
  <c r="H101" i="4"/>
  <c r="I100" i="4"/>
  <c r="J99" i="4"/>
  <c r="K98" i="4"/>
  <c r="L97" i="4"/>
  <c r="M96" i="4"/>
  <c r="B96" i="4"/>
  <c r="B95" i="4"/>
  <c r="C94" i="4"/>
  <c r="D93" i="4"/>
  <c r="E92" i="4"/>
  <c r="F91" i="4"/>
  <c r="G90" i="4"/>
  <c r="H89" i="4"/>
  <c r="I88" i="4"/>
  <c r="J87" i="4"/>
  <c r="J86" i="4"/>
  <c r="K85" i="4"/>
  <c r="L84" i="4"/>
  <c r="M83" i="4"/>
  <c r="B83" i="4"/>
  <c r="C82" i="4"/>
  <c r="D81" i="4"/>
  <c r="E80" i="4"/>
  <c r="F79" i="4"/>
  <c r="F78" i="4"/>
  <c r="G77" i="4"/>
  <c r="H76" i="4"/>
  <c r="I75" i="4"/>
  <c r="J74" i="4"/>
  <c r="K73" i="4"/>
  <c r="L72" i="4"/>
  <c r="M71" i="4"/>
  <c r="B71" i="4"/>
  <c r="B70" i="4"/>
  <c r="C69" i="4"/>
  <c r="D68" i="4"/>
  <c r="E67" i="4"/>
  <c r="F66" i="4"/>
  <c r="G65" i="4"/>
  <c r="H64" i="4"/>
  <c r="I63" i="4"/>
  <c r="J62" i="4"/>
  <c r="K61" i="4"/>
  <c r="M60" i="4"/>
  <c r="C60" i="4"/>
  <c r="E59" i="4"/>
  <c r="G58" i="4"/>
  <c r="I57" i="4"/>
  <c r="K56" i="4"/>
  <c r="M55" i="4"/>
  <c r="C55" i="4"/>
  <c r="E54" i="4"/>
  <c r="G53" i="4"/>
  <c r="I52" i="4"/>
  <c r="K51" i="4"/>
  <c r="M50" i="4"/>
  <c r="C50" i="4"/>
  <c r="E49" i="4"/>
  <c r="G48" i="4"/>
  <c r="I47" i="4"/>
  <c r="K46" i="4"/>
  <c r="M45" i="4"/>
  <c r="C45" i="4"/>
  <c r="E44" i="4"/>
  <c r="G43" i="4"/>
  <c r="I42" i="4"/>
  <c r="K41" i="4"/>
  <c r="M40" i="4"/>
  <c r="C40" i="4"/>
  <c r="E39" i="4"/>
  <c r="G38" i="4"/>
  <c r="I37" i="4"/>
  <c r="K36" i="4"/>
  <c r="M35" i="4"/>
  <c r="C35" i="4"/>
  <c r="E34" i="4"/>
  <c r="G33" i="4"/>
  <c r="I32" i="4"/>
  <c r="K31" i="4"/>
  <c r="M30" i="4"/>
  <c r="C30" i="4"/>
  <c r="E29" i="4"/>
  <c r="G28" i="4"/>
  <c r="I27" i="4"/>
  <c r="K26" i="4"/>
  <c r="M25" i="4"/>
  <c r="C25" i="4"/>
  <c r="E24" i="4"/>
  <c r="G23" i="4"/>
  <c r="I22" i="4"/>
  <c r="K21" i="4"/>
  <c r="M20" i="4"/>
  <c r="K157" i="4"/>
  <c r="H156" i="4"/>
  <c r="F155" i="4"/>
  <c r="C154" i="4"/>
  <c r="M152" i="4"/>
  <c r="M151" i="4"/>
  <c r="K150" i="4"/>
  <c r="K149" i="4"/>
  <c r="K148" i="4"/>
  <c r="K147" i="4"/>
  <c r="I146" i="4"/>
  <c r="I145" i="4"/>
  <c r="I144" i="4"/>
  <c r="I143" i="4"/>
  <c r="G142" i="4"/>
  <c r="G141" i="4"/>
  <c r="G140" i="4"/>
  <c r="G139" i="4"/>
  <c r="E138" i="4"/>
  <c r="E137" i="4"/>
  <c r="E136" i="4"/>
  <c r="E135" i="4"/>
  <c r="C134" i="4"/>
  <c r="C133" i="4"/>
  <c r="C132" i="4"/>
  <c r="C131" i="4"/>
  <c r="M129" i="4"/>
  <c r="M128" i="4"/>
  <c r="M127" i="4"/>
  <c r="M126" i="4"/>
  <c r="K125" i="4"/>
  <c r="K124" i="4"/>
  <c r="K123" i="4"/>
  <c r="K122" i="4"/>
  <c r="L121" i="4"/>
  <c r="L120" i="4"/>
  <c r="M119" i="4"/>
  <c r="B119" i="4"/>
  <c r="C118" i="4"/>
  <c r="D117" i="4"/>
  <c r="E116" i="4"/>
  <c r="F115" i="4"/>
  <c r="G114" i="4"/>
  <c r="H113" i="4"/>
  <c r="H112" i="4"/>
  <c r="I111" i="4"/>
  <c r="J110" i="4"/>
  <c r="K109" i="4"/>
  <c r="L108" i="4"/>
  <c r="M107" i="4"/>
  <c r="B107" i="4"/>
  <c r="C106" i="4"/>
  <c r="D105" i="4"/>
  <c r="D104" i="4"/>
  <c r="E103" i="4"/>
  <c r="F102" i="4"/>
  <c r="G101" i="4"/>
  <c r="H100" i="4"/>
  <c r="I99" i="4"/>
  <c r="J98" i="4"/>
  <c r="K97" i="4"/>
  <c r="L96" i="4"/>
  <c r="L95" i="4"/>
  <c r="M94" i="4"/>
  <c r="B94" i="4"/>
  <c r="C93" i="4"/>
  <c r="D92" i="4"/>
  <c r="E91" i="4"/>
  <c r="F90" i="4"/>
  <c r="G89" i="4"/>
  <c r="H88" i="4"/>
  <c r="H87" i="4"/>
  <c r="I86" i="4"/>
  <c r="J85" i="4"/>
  <c r="K84" i="4"/>
  <c r="L83" i="4"/>
  <c r="M82" i="4"/>
  <c r="B82" i="4"/>
  <c r="C81" i="4"/>
  <c r="D80" i="4"/>
  <c r="D79" i="4"/>
  <c r="E78" i="4"/>
  <c r="F77" i="4"/>
  <c r="G76" i="4"/>
  <c r="H75" i="4"/>
  <c r="I74" i="4"/>
  <c r="J73" i="4"/>
  <c r="K72" i="4"/>
  <c r="L71" i="4"/>
  <c r="L70" i="4"/>
  <c r="M69" i="4"/>
  <c r="B69" i="4"/>
  <c r="C68" i="4"/>
  <c r="D67" i="4"/>
  <c r="E66" i="4"/>
  <c r="F65" i="4"/>
  <c r="G64" i="4"/>
  <c r="H63" i="4"/>
  <c r="H62" i="4"/>
  <c r="J61" i="4"/>
  <c r="L60" i="4"/>
  <c r="B60" i="4"/>
  <c r="D59" i="4"/>
  <c r="F58" i="4"/>
  <c r="H57" i="4"/>
  <c r="J56" i="4"/>
  <c r="L55" i="4"/>
  <c r="B55" i="4"/>
  <c r="D54" i="4"/>
  <c r="F53" i="4"/>
  <c r="H52" i="4"/>
  <c r="J51" i="4"/>
  <c r="L50" i="4"/>
  <c r="B50" i="4"/>
  <c r="D49" i="4"/>
  <c r="F48" i="4"/>
  <c r="H47" i="4"/>
  <c r="J46" i="4"/>
  <c r="L45" i="4"/>
  <c r="B45" i="4"/>
  <c r="D44" i="4"/>
  <c r="F43" i="4"/>
  <c r="H42" i="4"/>
  <c r="J41" i="4"/>
  <c r="L40" i="4"/>
  <c r="B40" i="4"/>
  <c r="D39" i="4"/>
  <c r="F38" i="4"/>
  <c r="H37" i="4"/>
  <c r="J36" i="4"/>
  <c r="L35" i="4"/>
  <c r="L158" i="4"/>
  <c r="J157" i="4"/>
  <c r="F156" i="4"/>
  <c r="E155" i="4"/>
  <c r="B154" i="4"/>
  <c r="L152" i="4"/>
  <c r="L151" i="4"/>
  <c r="J150" i="4"/>
  <c r="J149" i="4"/>
  <c r="J148" i="4"/>
  <c r="J147" i="4"/>
  <c r="H146" i="4"/>
  <c r="H145" i="4"/>
  <c r="H144" i="4"/>
  <c r="H143" i="4"/>
  <c r="F142" i="4"/>
  <c r="F141" i="4"/>
  <c r="F140" i="4"/>
  <c r="F139" i="4"/>
  <c r="D138" i="4"/>
  <c r="D137" i="4"/>
  <c r="D136" i="4"/>
  <c r="D135" i="4"/>
  <c r="B134" i="4"/>
  <c r="B133" i="4"/>
  <c r="B132" i="4"/>
  <c r="B131" i="4"/>
  <c r="L129" i="4"/>
  <c r="L128" i="4"/>
  <c r="L127" i="4"/>
  <c r="L126" i="4"/>
  <c r="J125" i="4"/>
  <c r="J124" i="4"/>
  <c r="J123" i="4"/>
  <c r="J122" i="4"/>
  <c r="J121" i="4"/>
  <c r="K120" i="4"/>
  <c r="L119" i="4"/>
  <c r="M118" i="4"/>
  <c r="B118" i="4"/>
  <c r="C117" i="4"/>
  <c r="D116" i="4"/>
  <c r="E115" i="4"/>
  <c r="F114" i="4"/>
  <c r="F113" i="4"/>
  <c r="G112" i="4"/>
  <c r="H111" i="4"/>
  <c r="I110" i="4"/>
  <c r="J109" i="4"/>
  <c r="K108" i="4"/>
  <c r="L107" i="4"/>
  <c r="M106" i="4"/>
  <c r="B106" i="4"/>
  <c r="B105" i="4"/>
  <c r="C104" i="4"/>
  <c r="D103" i="4"/>
  <c r="E102" i="4"/>
  <c r="F101" i="4"/>
  <c r="G100" i="4"/>
  <c r="H99" i="4"/>
  <c r="I98" i="4"/>
  <c r="J97" i="4"/>
  <c r="J96" i="4"/>
  <c r="K95" i="4"/>
  <c r="L94" i="4"/>
  <c r="M93" i="4"/>
  <c r="B93" i="4"/>
  <c r="C92" i="4"/>
  <c r="D91" i="4"/>
  <c r="E90" i="4"/>
  <c r="F89" i="4"/>
  <c r="F88" i="4"/>
  <c r="G87" i="4"/>
  <c r="H86" i="4"/>
  <c r="I85" i="4"/>
  <c r="J84" i="4"/>
  <c r="K83" i="4"/>
  <c r="L82" i="4"/>
  <c r="M81" i="4"/>
  <c r="B81" i="4"/>
  <c r="B80" i="4"/>
  <c r="C79" i="4"/>
  <c r="D78" i="4"/>
  <c r="E77" i="4"/>
  <c r="F76" i="4"/>
  <c r="G75" i="4"/>
  <c r="H74" i="4"/>
  <c r="I73" i="4"/>
  <c r="J72" i="4"/>
  <c r="J71" i="4"/>
  <c r="K70" i="4"/>
  <c r="L69" i="4"/>
  <c r="M68" i="4"/>
  <c r="B68" i="4"/>
  <c r="C67" i="4"/>
  <c r="D66" i="4"/>
  <c r="E65" i="4"/>
  <c r="K158" i="4"/>
  <c r="G157" i="4"/>
  <c r="E156" i="4"/>
  <c r="D155" i="4"/>
  <c r="L153" i="4"/>
  <c r="K152" i="4"/>
  <c r="I151" i="4"/>
  <c r="I150" i="4"/>
  <c r="I149" i="4"/>
  <c r="I148" i="4"/>
  <c r="G147" i="4"/>
  <c r="G146" i="4"/>
  <c r="G145" i="4"/>
  <c r="G144" i="4"/>
  <c r="E143" i="4"/>
  <c r="E142" i="4"/>
  <c r="E141" i="4"/>
  <c r="E140" i="4"/>
  <c r="C139" i="4"/>
  <c r="C138" i="4"/>
  <c r="C137" i="4"/>
  <c r="C136" i="4"/>
  <c r="M134" i="4"/>
  <c r="M133" i="4"/>
  <c r="M132" i="4"/>
  <c r="M131" i="4"/>
  <c r="K130" i="4"/>
  <c r="K129" i="4"/>
  <c r="K128" i="4"/>
  <c r="K127" i="4"/>
  <c r="I126" i="4"/>
  <c r="I125" i="4"/>
  <c r="I124" i="4"/>
  <c r="I123" i="4"/>
  <c r="H122" i="4"/>
  <c r="I121" i="4"/>
  <c r="J120" i="4"/>
  <c r="M157" i="4"/>
  <c r="L156" i="4"/>
  <c r="H155" i="4"/>
  <c r="G154" i="4"/>
  <c r="D153" i="4"/>
  <c r="C152" i="4"/>
  <c r="C151" i="4"/>
  <c r="M149" i="4"/>
  <c r="M148" i="4"/>
  <c r="M147" i="4"/>
  <c r="M146" i="4"/>
  <c r="K145" i="4"/>
  <c r="K144" i="4"/>
  <c r="K143" i="4"/>
  <c r="K142" i="4"/>
  <c r="I141" i="4"/>
  <c r="I140" i="4"/>
  <c r="I139" i="4"/>
  <c r="I138" i="4"/>
  <c r="G137" i="4"/>
  <c r="G136" i="4"/>
  <c r="G135" i="4"/>
  <c r="G134" i="4"/>
  <c r="E133" i="4"/>
  <c r="E132" i="4"/>
  <c r="E131" i="4"/>
  <c r="E130" i="4"/>
  <c r="C129" i="4"/>
  <c r="C128" i="4"/>
  <c r="C127" i="4"/>
  <c r="C126" i="4"/>
  <c r="M124" i="4"/>
  <c r="M123" i="4"/>
  <c r="M122" i="4"/>
  <c r="B122" i="4"/>
  <c r="C121" i="4"/>
  <c r="D120" i="4"/>
  <c r="D119" i="4"/>
  <c r="E118" i="4"/>
  <c r="F117" i="4"/>
  <c r="G116" i="4"/>
  <c r="H115" i="4"/>
  <c r="I114" i="4"/>
  <c r="J113" i="4"/>
  <c r="K112" i="4"/>
  <c r="L111" i="4"/>
  <c r="L110" i="4"/>
  <c r="M109" i="4"/>
  <c r="B109" i="4"/>
  <c r="C108" i="4"/>
  <c r="D107" i="4"/>
  <c r="E106" i="4"/>
  <c r="F105" i="4"/>
  <c r="G104" i="4"/>
  <c r="H103" i="4"/>
  <c r="H102" i="4"/>
  <c r="I101" i="4"/>
  <c r="J100" i="4"/>
  <c r="K99" i="4"/>
  <c r="L98" i="4"/>
  <c r="M97" i="4"/>
  <c r="B97" i="4"/>
  <c r="C96" i="4"/>
  <c r="D95" i="4"/>
  <c r="D94" i="4"/>
  <c r="E93" i="4"/>
  <c r="F92" i="4"/>
  <c r="G91" i="4"/>
  <c r="H90" i="4"/>
  <c r="I89" i="4"/>
  <c r="J88" i="4"/>
  <c r="K87" i="4"/>
  <c r="L86" i="4"/>
  <c r="L85" i="4"/>
  <c r="M84" i="4"/>
  <c r="B84" i="4"/>
  <c r="C83" i="4"/>
  <c r="D82" i="4"/>
  <c r="E81" i="4"/>
  <c r="F80" i="4"/>
  <c r="G79" i="4"/>
  <c r="H78" i="4"/>
  <c r="H77" i="4"/>
  <c r="I76" i="4"/>
  <c r="J75" i="4"/>
  <c r="K74" i="4"/>
  <c r="L73" i="4"/>
  <c r="M72" i="4"/>
  <c r="B72" i="4"/>
  <c r="C71" i="4"/>
  <c r="D70" i="4"/>
  <c r="D69" i="4"/>
  <c r="E68" i="4"/>
  <c r="F67" i="4"/>
  <c r="G66" i="4"/>
  <c r="H65" i="4"/>
  <c r="I64" i="4"/>
  <c r="H158" i="4"/>
  <c r="B156" i="4"/>
  <c r="I153" i="4"/>
  <c r="F151" i="4"/>
  <c r="F149" i="4"/>
  <c r="D147" i="4"/>
  <c r="D145" i="4"/>
  <c r="B143" i="4"/>
  <c r="B141" i="4"/>
  <c r="L138" i="4"/>
  <c r="L136" i="4"/>
  <c r="J134" i="4"/>
  <c r="J132" i="4"/>
  <c r="H130" i="4"/>
  <c r="H128" i="4"/>
  <c r="F126" i="4"/>
  <c r="F124" i="4"/>
  <c r="E122" i="4"/>
  <c r="G120" i="4"/>
  <c r="K118" i="4"/>
  <c r="G117" i="4"/>
  <c r="K115" i="4"/>
  <c r="C114" i="4"/>
  <c r="L112" i="4"/>
  <c r="D111" i="4"/>
  <c r="H109" i="4"/>
  <c r="D108" i="4"/>
  <c r="H106" i="4"/>
  <c r="L104" i="4"/>
  <c r="I103" i="4"/>
  <c r="M101" i="4"/>
  <c r="E100" i="4"/>
  <c r="M98" i="4"/>
  <c r="E97" i="4"/>
  <c r="I95" i="4"/>
  <c r="F94" i="4"/>
  <c r="J92" i="4"/>
  <c r="B91" i="4"/>
  <c r="J89" i="4"/>
  <c r="B88" i="4"/>
  <c r="F86" i="4"/>
  <c r="B85" i="4"/>
  <c r="F83" i="4"/>
  <c r="J81" i="4"/>
  <c r="G80" i="4"/>
  <c r="K78" i="4"/>
  <c r="C77" i="4"/>
  <c r="K75" i="4"/>
  <c r="C74" i="4"/>
  <c r="G72" i="4"/>
  <c r="D71" i="4"/>
  <c r="H69" i="4"/>
  <c r="L67" i="4"/>
  <c r="H66" i="4"/>
  <c r="L64" i="4"/>
  <c r="J63" i="4"/>
  <c r="F62" i="4"/>
  <c r="F61" i="4"/>
  <c r="F60" i="4"/>
  <c r="F59" i="4"/>
  <c r="D58" i="4"/>
  <c r="D57" i="4"/>
  <c r="D56" i="4"/>
  <c r="D55" i="4"/>
  <c r="B54" i="4"/>
  <c r="B53" i="4"/>
  <c r="B52" i="4"/>
  <c r="B51" i="4"/>
  <c r="L49" i="4"/>
  <c r="L48" i="4"/>
  <c r="L47" i="4"/>
  <c r="L46" i="4"/>
  <c r="J45" i="4"/>
  <c r="J44" i="4"/>
  <c r="J43" i="4"/>
  <c r="J42" i="4"/>
  <c r="H41" i="4"/>
  <c r="H40" i="4"/>
  <c r="H39" i="4"/>
  <c r="H38" i="4"/>
  <c r="F37" i="4"/>
  <c r="F36" i="4"/>
  <c r="F35" i="4"/>
  <c r="G34" i="4"/>
  <c r="H33" i="4"/>
  <c r="H32" i="4"/>
  <c r="I31" i="4"/>
  <c r="J30" i="4"/>
  <c r="K29" i="4"/>
  <c r="L28" i="4"/>
  <c r="M27" i="4"/>
  <c r="B27" i="4"/>
  <c r="C26" i="4"/>
  <c r="D25" i="4"/>
  <c r="D24" i="4"/>
  <c r="E23" i="4"/>
  <c r="F22" i="4"/>
  <c r="G21" i="4"/>
  <c r="H20" i="4"/>
  <c r="J19" i="4"/>
  <c r="L18" i="4"/>
  <c r="B18" i="4"/>
  <c r="D17" i="4"/>
  <c r="F16" i="4"/>
  <c r="H15" i="4"/>
  <c r="J14" i="4"/>
  <c r="L13" i="4"/>
  <c r="B13" i="4"/>
  <c r="D12" i="4"/>
  <c r="F11" i="4"/>
  <c r="H10" i="4"/>
  <c r="D158" i="4"/>
  <c r="K155" i="4"/>
  <c r="H153" i="4"/>
  <c r="E151" i="4"/>
  <c r="C149" i="4"/>
  <c r="C147" i="4"/>
  <c r="M144" i="4"/>
  <c r="M142" i="4"/>
  <c r="K140" i="4"/>
  <c r="K138" i="4"/>
  <c r="I136" i="4"/>
  <c r="I134" i="4"/>
  <c r="G132" i="4"/>
  <c r="G130" i="4"/>
  <c r="E128" i="4"/>
  <c r="E126" i="4"/>
  <c r="C124" i="4"/>
  <c r="D122" i="4"/>
  <c r="F120" i="4"/>
  <c r="J118" i="4"/>
  <c r="B117" i="4"/>
  <c r="J115" i="4"/>
  <c r="B114" i="4"/>
  <c r="F112" i="4"/>
  <c r="C111" i="4"/>
  <c r="G109" i="4"/>
  <c r="K107" i="4"/>
  <c r="G106" i="4"/>
  <c r="K104" i="4"/>
  <c r="C103" i="4"/>
  <c r="L101" i="4"/>
  <c r="D100" i="4"/>
  <c r="H98" i="4"/>
  <c r="D97" i="4"/>
  <c r="H95" i="4"/>
  <c r="L93" i="4"/>
  <c r="H92" i="4"/>
  <c r="L90" i="4"/>
  <c r="D89" i="4"/>
  <c r="M87" i="4"/>
  <c r="E86" i="4"/>
  <c r="I84" i="4"/>
  <c r="E83" i="4"/>
  <c r="I81" i="4"/>
  <c r="M79" i="4"/>
  <c r="J78" i="4"/>
  <c r="B77" i="4"/>
  <c r="F75" i="4"/>
  <c r="B74" i="4"/>
  <c r="F72" i="4"/>
  <c r="J70" i="4"/>
  <c r="G69" i="4"/>
  <c r="K67" i="4"/>
  <c r="C66" i="4"/>
  <c r="K64" i="4"/>
  <c r="F63" i="4"/>
  <c r="E62" i="4"/>
  <c r="E61" i="4"/>
  <c r="E60" i="4"/>
  <c r="C59" i="4"/>
  <c r="C58" i="4"/>
  <c r="C57" i="4"/>
  <c r="C56" i="4"/>
  <c r="M54" i="4"/>
  <c r="M53" i="4"/>
  <c r="M52" i="4"/>
  <c r="M51" i="4"/>
  <c r="K50" i="4"/>
  <c r="K49" i="4"/>
  <c r="K48" i="4"/>
  <c r="K47" i="4"/>
  <c r="I46" i="4"/>
  <c r="I45" i="4"/>
  <c r="I44" i="4"/>
  <c r="I43" i="4"/>
  <c r="G42" i="4"/>
  <c r="G41" i="4"/>
  <c r="G40" i="4"/>
  <c r="G39" i="4"/>
  <c r="E38" i="4"/>
  <c r="E37" i="4"/>
  <c r="E36" i="4"/>
  <c r="E35" i="4"/>
  <c r="F34" i="4"/>
  <c r="F33" i="4"/>
  <c r="G32" i="4"/>
  <c r="H31" i="4"/>
  <c r="I30" i="4"/>
  <c r="J29" i="4"/>
  <c r="K28" i="4"/>
  <c r="L27" i="4"/>
  <c r="M26" i="4"/>
  <c r="B26" i="4"/>
  <c r="B25" i="4"/>
  <c r="C24" i="4"/>
  <c r="D23" i="4"/>
  <c r="E22" i="4"/>
  <c r="F21" i="4"/>
  <c r="G20" i="4"/>
  <c r="I19" i="4"/>
  <c r="K18" i="4"/>
  <c r="M17" i="4"/>
  <c r="C17" i="4"/>
  <c r="E16" i="4"/>
  <c r="G15" i="4"/>
  <c r="I14" i="4"/>
  <c r="K13" i="4"/>
  <c r="M12" i="4"/>
  <c r="C12" i="4"/>
  <c r="E11" i="4"/>
  <c r="G10" i="4"/>
  <c r="B158" i="4"/>
  <c r="J155" i="4"/>
  <c r="E153" i="4"/>
  <c r="D151" i="4"/>
  <c r="B149" i="4"/>
  <c r="B147" i="4"/>
  <c r="L144" i="4"/>
  <c r="L142" i="4"/>
  <c r="J140" i="4"/>
  <c r="J138" i="4"/>
  <c r="H136" i="4"/>
  <c r="H134" i="4"/>
  <c r="F132" i="4"/>
  <c r="F130" i="4"/>
  <c r="D128" i="4"/>
  <c r="D126" i="4"/>
  <c r="B124" i="4"/>
  <c r="C122" i="4"/>
  <c r="E120" i="4"/>
  <c r="I118" i="4"/>
  <c r="M116" i="4"/>
  <c r="I115" i="4"/>
  <c r="M113" i="4"/>
  <c r="E112" i="4"/>
  <c r="B111" i="4"/>
  <c r="F109" i="4"/>
  <c r="J107" i="4"/>
  <c r="F106" i="4"/>
  <c r="J104" i="4"/>
  <c r="B103" i="4"/>
  <c r="J101" i="4"/>
  <c r="B100" i="4"/>
  <c r="F98" i="4"/>
  <c r="C97" i="4"/>
  <c r="G95" i="4"/>
  <c r="K93" i="4"/>
  <c r="G92" i="4"/>
  <c r="K90" i="4"/>
  <c r="C89" i="4"/>
  <c r="L87" i="4"/>
  <c r="D86" i="4"/>
  <c r="H84" i="4"/>
  <c r="D83" i="4"/>
  <c r="H81" i="4"/>
  <c r="L79" i="4"/>
  <c r="I78" i="4"/>
  <c r="M76" i="4"/>
  <c r="E75" i="4"/>
  <c r="M73" i="4"/>
  <c r="E72" i="4"/>
  <c r="I70" i="4"/>
  <c r="F69" i="4"/>
  <c r="J67" i="4"/>
  <c r="B66" i="4"/>
  <c r="J64" i="4"/>
  <c r="E63" i="4"/>
  <c r="D62" i="4"/>
  <c r="D61" i="4"/>
  <c r="D60" i="4"/>
  <c r="B59" i="4"/>
  <c r="B58" i="4"/>
  <c r="B57" i="4"/>
  <c r="B56" i="4"/>
  <c r="L54" i="4"/>
  <c r="L53" i="4"/>
  <c r="L52" i="4"/>
  <c r="L51" i="4"/>
  <c r="J50" i="4"/>
  <c r="J49" i="4"/>
  <c r="J48" i="4"/>
  <c r="J47" i="4"/>
  <c r="H46" i="4"/>
  <c r="H45" i="4"/>
  <c r="H44" i="4"/>
  <c r="H43" i="4"/>
  <c r="F42" i="4"/>
  <c r="F41" i="4"/>
  <c r="F40" i="4"/>
  <c r="F39" i="4"/>
  <c r="D38" i="4"/>
  <c r="D37" i="4"/>
  <c r="D36" i="4"/>
  <c r="D35" i="4"/>
  <c r="D34" i="4"/>
  <c r="E33" i="4"/>
  <c r="F32" i="4"/>
  <c r="G31" i="4"/>
  <c r="H30" i="4"/>
  <c r="I29" i="4"/>
  <c r="J28" i="4"/>
  <c r="K27" i="4"/>
  <c r="L26" i="4"/>
  <c r="L25" i="4"/>
  <c r="M24" i="4"/>
  <c r="B24" i="4"/>
  <c r="C23" i="4"/>
  <c r="D22" i="4"/>
  <c r="E21" i="4"/>
  <c r="F20" i="4"/>
  <c r="H19" i="4"/>
  <c r="J18" i="4"/>
  <c r="L17" i="4"/>
  <c r="B17" i="4"/>
  <c r="D16" i="4"/>
  <c r="F15" i="4"/>
  <c r="H14" i="4"/>
  <c r="J13" i="4"/>
  <c r="L12" i="4"/>
  <c r="B12" i="4"/>
  <c r="D11" i="4"/>
  <c r="F10" i="4"/>
  <c r="F157" i="4"/>
  <c r="M154" i="4"/>
  <c r="J152" i="4"/>
  <c r="H150" i="4"/>
  <c r="H148" i="4"/>
  <c r="F146" i="4"/>
  <c r="F144" i="4"/>
  <c r="D142" i="4"/>
  <c r="D140" i="4"/>
  <c r="B138" i="4"/>
  <c r="B136" i="4"/>
  <c r="L133" i="4"/>
  <c r="L131" i="4"/>
  <c r="J129" i="4"/>
  <c r="J127" i="4"/>
  <c r="H125" i="4"/>
  <c r="H123" i="4"/>
  <c r="H121" i="4"/>
  <c r="K119" i="4"/>
  <c r="H118" i="4"/>
  <c r="L116" i="4"/>
  <c r="D115" i="4"/>
  <c r="L113" i="4"/>
  <c r="D112" i="4"/>
  <c r="H110" i="4"/>
  <c r="D109" i="4"/>
  <c r="H107" i="4"/>
  <c r="L105" i="4"/>
  <c r="I104" i="4"/>
  <c r="M102" i="4"/>
  <c r="E101" i="4"/>
  <c r="M99" i="4"/>
  <c r="E98" i="4"/>
  <c r="I96" i="4"/>
  <c r="F95" i="4"/>
  <c r="J93" i="4"/>
  <c r="B92" i="4"/>
  <c r="J90" i="4"/>
  <c r="B89" i="4"/>
  <c r="F87" i="4"/>
  <c r="C86" i="4"/>
  <c r="G84" i="4"/>
  <c r="K82" i="4"/>
  <c r="G81" i="4"/>
  <c r="K79" i="4"/>
  <c r="C78" i="4"/>
  <c r="L76" i="4"/>
  <c r="D75" i="4"/>
  <c r="H73" i="4"/>
  <c r="D72" i="4"/>
  <c r="H70" i="4"/>
  <c r="I158" i="4"/>
  <c r="C156" i="4"/>
  <c r="J153" i="4"/>
  <c r="G151" i="4"/>
  <c r="G149" i="4"/>
  <c r="E147" i="4"/>
  <c r="E145" i="4"/>
  <c r="C143" i="4"/>
  <c r="C141" i="4"/>
  <c r="M138" i="4"/>
  <c r="M136" i="4"/>
  <c r="K134" i="4"/>
  <c r="K132" i="4"/>
  <c r="I130" i="4"/>
  <c r="I128" i="4"/>
  <c r="G126" i="4"/>
  <c r="G124" i="4"/>
  <c r="F122" i="4"/>
  <c r="H120" i="4"/>
  <c r="L118" i="4"/>
  <c r="H117" i="4"/>
  <c r="L115" i="4"/>
  <c r="D114" i="4"/>
  <c r="M112" i="4"/>
  <c r="E111" i="4"/>
  <c r="I109" i="4"/>
  <c r="E108" i="4"/>
  <c r="I106" i="4"/>
  <c r="M104" i="4"/>
  <c r="J103" i="4"/>
  <c r="B102" i="4"/>
  <c r="F100" i="4"/>
  <c r="B99" i="4"/>
  <c r="F97" i="4"/>
  <c r="J95" i="4"/>
  <c r="G94" i="4"/>
  <c r="K92" i="4"/>
  <c r="C91" i="4"/>
  <c r="K89" i="4"/>
  <c r="C88" i="4"/>
  <c r="G86" i="4"/>
  <c r="D85" i="4"/>
  <c r="H83" i="4"/>
  <c r="L81" i="4"/>
  <c r="H80" i="4"/>
  <c r="L78" i="4"/>
  <c r="D77" i="4"/>
  <c r="L75" i="4"/>
  <c r="D74" i="4"/>
  <c r="H72" i="4"/>
  <c r="E71" i="4"/>
  <c r="I69" i="4"/>
  <c r="M67" i="4"/>
  <c r="I66" i="4"/>
  <c r="M64" i="4"/>
  <c r="K63" i="4"/>
  <c r="G62" i="4"/>
  <c r="G61" i="4"/>
  <c r="G60" i="4"/>
  <c r="G59" i="4"/>
  <c r="E58" i="4"/>
  <c r="E57" i="4"/>
  <c r="E56" i="4"/>
  <c r="E55" i="4"/>
  <c r="C54" i="4"/>
  <c r="C53" i="4"/>
  <c r="C52" i="4"/>
  <c r="C51" i="4"/>
  <c r="M49" i="4"/>
  <c r="M48" i="4"/>
  <c r="M47" i="4"/>
  <c r="M46" i="4"/>
  <c r="K45" i="4"/>
  <c r="K44" i="4"/>
  <c r="K43" i="4"/>
  <c r="K42" i="4"/>
  <c r="I41" i="4"/>
  <c r="I40" i="4"/>
  <c r="I39" i="4"/>
  <c r="I38" i="4"/>
  <c r="G37" i="4"/>
  <c r="G36" i="4"/>
  <c r="G35" i="4"/>
  <c r="H34" i="4"/>
  <c r="I33" i="4"/>
  <c r="J32" i="4"/>
  <c r="J31" i="4"/>
  <c r="K30" i="4"/>
  <c r="L29" i="4"/>
  <c r="M28" i="4"/>
  <c r="B28" i="4"/>
  <c r="C27" i="4"/>
  <c r="D26" i="4"/>
  <c r="E25" i="4"/>
  <c r="F24" i="4"/>
  <c r="F23" i="4"/>
  <c r="G22" i="4"/>
  <c r="H21" i="4"/>
  <c r="I20" i="4"/>
  <c r="K19" i="4"/>
  <c r="M18" i="4"/>
  <c r="C18" i="4"/>
  <c r="E17" i="4"/>
  <c r="G16" i="4"/>
  <c r="I15" i="4"/>
  <c r="K14" i="4"/>
  <c r="M13" i="4"/>
  <c r="C13" i="4"/>
  <c r="E12" i="4"/>
  <c r="G11" i="4"/>
  <c r="I10" i="4"/>
  <c r="L154" i="4"/>
  <c r="G150" i="4"/>
  <c r="E146" i="4"/>
  <c r="C142" i="4"/>
  <c r="M137" i="4"/>
  <c r="K133" i="4"/>
  <c r="I129" i="4"/>
  <c r="G125" i="4"/>
  <c r="G121" i="4"/>
  <c r="F118" i="4"/>
  <c r="B115" i="4"/>
  <c r="C112" i="4"/>
  <c r="C109" i="4"/>
  <c r="K105" i="4"/>
  <c r="L102" i="4"/>
  <c r="L99" i="4"/>
  <c r="H96" i="4"/>
  <c r="I93" i="4"/>
  <c r="I90" i="4"/>
  <c r="E87" i="4"/>
  <c r="F84" i="4"/>
  <c r="F81" i="4"/>
  <c r="B78" i="4"/>
  <c r="B75" i="4"/>
  <c r="C72" i="4"/>
  <c r="L68" i="4"/>
  <c r="L66" i="4"/>
  <c r="C64" i="4"/>
  <c r="C62" i="4"/>
  <c r="I60" i="4"/>
  <c r="K58" i="4"/>
  <c r="M56" i="4"/>
  <c r="G55" i="4"/>
  <c r="I53" i="4"/>
  <c r="I51" i="4"/>
  <c r="E50" i="4"/>
  <c r="E48" i="4"/>
  <c r="G46" i="4"/>
  <c r="M44" i="4"/>
  <c r="C43" i="4"/>
  <c r="E41" i="4"/>
  <c r="K39" i="4"/>
  <c r="M37" i="4"/>
  <c r="C36" i="4"/>
  <c r="J34" i="4"/>
  <c r="B33" i="4"/>
  <c r="F31" i="4"/>
  <c r="B30" i="4"/>
  <c r="F28" i="4"/>
  <c r="J26" i="4"/>
  <c r="G25" i="4"/>
  <c r="K23" i="4"/>
  <c r="C22" i="4"/>
  <c r="K20" i="4"/>
  <c r="E19" i="4"/>
  <c r="K17" i="4"/>
  <c r="I16" i="4"/>
  <c r="C15" i="4"/>
  <c r="I13" i="4"/>
  <c r="G12" i="4"/>
  <c r="M10" i="4"/>
  <c r="J154" i="4"/>
  <c r="F150" i="4"/>
  <c r="D146" i="4"/>
  <c r="B142" i="4"/>
  <c r="L137" i="4"/>
  <c r="J133" i="4"/>
  <c r="H129" i="4"/>
  <c r="F125" i="4"/>
  <c r="F121" i="4"/>
  <c r="M117" i="4"/>
  <c r="M114" i="4"/>
  <c r="B112" i="4"/>
  <c r="J108" i="4"/>
  <c r="J105" i="4"/>
  <c r="K102" i="4"/>
  <c r="G99" i="4"/>
  <c r="G96" i="4"/>
  <c r="H93" i="4"/>
  <c r="D90" i="4"/>
  <c r="D87" i="4"/>
  <c r="D84" i="4"/>
  <c r="L80" i="4"/>
  <c r="M77" i="4"/>
  <c r="M74" i="4"/>
  <c r="I71" i="4"/>
  <c r="K68" i="4"/>
  <c r="J66" i="4"/>
  <c r="B64" i="4"/>
  <c r="B62" i="4"/>
  <c r="H60" i="4"/>
  <c r="J58" i="4"/>
  <c r="L56" i="4"/>
  <c r="F55" i="4"/>
  <c r="H53" i="4"/>
  <c r="H51" i="4"/>
  <c r="D50" i="4"/>
  <c r="D48" i="4"/>
  <c r="F46" i="4"/>
  <c r="L44" i="4"/>
  <c r="B43" i="4"/>
  <c r="D41" i="4"/>
  <c r="J39" i="4"/>
  <c r="L37" i="4"/>
  <c r="B36" i="4"/>
  <c r="I34" i="4"/>
  <c r="M32" i="4"/>
  <c r="E31" i="4"/>
  <c r="M29" i="4"/>
  <c r="E28" i="4"/>
  <c r="I26" i="4"/>
  <c r="F25" i="4"/>
  <c r="J23" i="4"/>
  <c r="B22" i="4"/>
  <c r="J20" i="4"/>
  <c r="D19" i="4"/>
  <c r="J17" i="4"/>
  <c r="H16" i="4"/>
  <c r="B15" i="4"/>
  <c r="H13" i="4"/>
  <c r="F12" i="4"/>
  <c r="L10" i="4"/>
  <c r="I154" i="4"/>
  <c r="E150" i="4"/>
  <c r="C146" i="4"/>
  <c r="M141" i="4"/>
  <c r="K137" i="4"/>
  <c r="I133" i="4"/>
  <c r="G129" i="4"/>
  <c r="E125" i="4"/>
  <c r="E121" i="4"/>
  <c r="L117" i="4"/>
  <c r="L114" i="4"/>
  <c r="M111" i="4"/>
  <c r="I108" i="4"/>
  <c r="I105" i="4"/>
  <c r="J102" i="4"/>
  <c r="F99" i="4"/>
  <c r="F96" i="4"/>
  <c r="F93" i="4"/>
  <c r="B90" i="4"/>
  <c r="C87" i="4"/>
  <c r="C84" i="4"/>
  <c r="K80" i="4"/>
  <c r="L77" i="4"/>
  <c r="L74" i="4"/>
  <c r="H71" i="4"/>
  <c r="J68" i="4"/>
  <c r="L65" i="4"/>
  <c r="M63" i="4"/>
  <c r="M61" i="4"/>
  <c r="M59" i="4"/>
  <c r="I58" i="4"/>
  <c r="I56" i="4"/>
  <c r="K54" i="4"/>
  <c r="E53" i="4"/>
  <c r="G51" i="4"/>
  <c r="I49" i="4"/>
  <c r="C48" i="4"/>
  <c r="E46" i="4"/>
  <c r="G44" i="4"/>
  <c r="M42" i="4"/>
  <c r="C41" i="4"/>
  <c r="C39" i="4"/>
  <c r="K37" i="4"/>
  <c r="K35" i="4"/>
  <c r="C34" i="4"/>
  <c r="L32" i="4"/>
  <c r="D31" i="4"/>
  <c r="H29" i="4"/>
  <c r="D28" i="4"/>
  <c r="H26" i="4"/>
  <c r="L24" i="4"/>
  <c r="I23" i="4"/>
  <c r="M21" i="4"/>
  <c r="E20" i="4"/>
  <c r="C19" i="4"/>
  <c r="I17" i="4"/>
  <c r="C16" i="4"/>
  <c r="M14" i="4"/>
  <c r="G13" i="4"/>
  <c r="M11" i="4"/>
  <c r="K10" i="4"/>
  <c r="H154" i="4"/>
  <c r="D150" i="4"/>
  <c r="B146" i="4"/>
  <c r="L141" i="4"/>
  <c r="J137" i="4"/>
  <c r="H133" i="4"/>
  <c r="F129" i="4"/>
  <c r="D125" i="4"/>
  <c r="D121" i="4"/>
  <c r="K117" i="4"/>
  <c r="K114" i="4"/>
  <c r="G111" i="4"/>
  <c r="H108" i="4"/>
  <c r="H105" i="4"/>
  <c r="D102" i="4"/>
  <c r="D99" i="4"/>
  <c r="E96" i="4"/>
  <c r="M92" i="4"/>
  <c r="M89" i="4"/>
  <c r="B87" i="4"/>
  <c r="J83" i="4"/>
  <c r="J80" i="4"/>
  <c r="K77" i="4"/>
  <c r="G74" i="4"/>
  <c r="G71" i="4"/>
  <c r="I68" i="4"/>
  <c r="K65" i="4"/>
  <c r="L63" i="4"/>
  <c r="L61" i="4"/>
  <c r="L59" i="4"/>
  <c r="H58" i="4"/>
  <c r="H56" i="4"/>
  <c r="J54" i="4"/>
  <c r="D53" i="4"/>
  <c r="F51" i="4"/>
  <c r="H49" i="4"/>
  <c r="B48" i="4"/>
  <c r="D46" i="4"/>
  <c r="F44" i="4"/>
  <c r="L42" i="4"/>
  <c r="B41" i="4"/>
  <c r="B39" i="4"/>
  <c r="J37" i="4"/>
  <c r="J35" i="4"/>
  <c r="B34" i="4"/>
  <c r="K32" i="4"/>
  <c r="C31" i="4"/>
  <c r="G29" i="4"/>
  <c r="C28" i="4"/>
  <c r="G26" i="4"/>
  <c r="K24" i="4"/>
  <c r="H23" i="4"/>
  <c r="L21" i="4"/>
  <c r="D20" i="4"/>
  <c r="B19" i="4"/>
  <c r="H17" i="4"/>
  <c r="D156" i="4"/>
  <c r="H151" i="4"/>
  <c r="F147" i="4"/>
  <c r="D143" i="4"/>
  <c r="B139" i="4"/>
  <c r="L134" i="4"/>
  <c r="J130" i="4"/>
  <c r="H126" i="4"/>
  <c r="G122" i="4"/>
  <c r="F119" i="4"/>
  <c r="B116" i="4"/>
  <c r="B113" i="4"/>
  <c r="B110" i="4"/>
  <c r="J106" i="4"/>
  <c r="K103" i="4"/>
  <c r="K100" i="4"/>
  <c r="G97" i="4"/>
  <c r="H94" i="4"/>
  <c r="H91" i="4"/>
  <c r="D88" i="4"/>
  <c r="E85" i="4"/>
  <c r="E82" i="4"/>
  <c r="M78" i="4"/>
  <c r="B76" i="4"/>
  <c r="B73" i="4"/>
  <c r="J69" i="4"/>
  <c r="M66" i="4"/>
  <c r="D64" i="4"/>
  <c r="K62" i="4"/>
  <c r="J60" i="4"/>
  <c r="L58" i="4"/>
  <c r="F57" i="4"/>
  <c r="H55" i="4"/>
  <c r="J53" i="4"/>
  <c r="D52" i="4"/>
  <c r="F50" i="4"/>
  <c r="H48" i="4"/>
  <c r="B47" i="4"/>
  <c r="D45" i="4"/>
  <c r="D43" i="4"/>
  <c r="L41" i="4"/>
  <c r="L39" i="4"/>
  <c r="B38" i="4"/>
  <c r="H36" i="4"/>
  <c r="K34" i="4"/>
  <c r="C33" i="4"/>
  <c r="L31" i="4"/>
  <c r="D30" i="4"/>
  <c r="H28" i="4"/>
  <c r="D27" i="4"/>
  <c r="H25" i="4"/>
  <c r="L23" i="4"/>
  <c r="H22" i="4"/>
  <c r="L20" i="4"/>
  <c r="F19" i="4"/>
  <c r="D18" i="4"/>
  <c r="J16" i="4"/>
  <c r="D15" i="4"/>
  <c r="B14" i="4"/>
  <c r="H12" i="4"/>
  <c r="B11" i="4"/>
  <c r="C157" i="4"/>
  <c r="D148" i="4"/>
  <c r="L139" i="4"/>
  <c r="H131" i="4"/>
  <c r="D123" i="4"/>
  <c r="I116" i="4"/>
  <c r="F110" i="4"/>
  <c r="B104" i="4"/>
  <c r="C98" i="4"/>
  <c r="L91" i="4"/>
  <c r="H85" i="4"/>
  <c r="I79" i="4"/>
  <c r="E73" i="4"/>
  <c r="H67" i="4"/>
  <c r="B63" i="4"/>
  <c r="I59" i="4"/>
  <c r="K55" i="4"/>
  <c r="G52" i="4"/>
  <c r="C49" i="4"/>
  <c r="G45" i="4"/>
  <c r="C42" i="4"/>
  <c r="K38" i="4"/>
  <c r="B35" i="4"/>
  <c r="C32" i="4"/>
  <c r="C29" i="4"/>
  <c r="K25" i="4"/>
  <c r="L22" i="4"/>
  <c r="M19" i="4"/>
  <c r="M16" i="4"/>
  <c r="G14" i="4"/>
  <c r="I12" i="4"/>
  <c r="C10" i="4"/>
  <c r="B157" i="4"/>
  <c r="C148" i="4"/>
  <c r="K139" i="4"/>
  <c r="G131" i="4"/>
  <c r="C123" i="4"/>
  <c r="H116" i="4"/>
  <c r="E110" i="4"/>
  <c r="M103" i="4"/>
  <c r="B98" i="4"/>
  <c r="J91" i="4"/>
  <c r="G85" i="4"/>
  <c r="H79" i="4"/>
  <c r="D73" i="4"/>
  <c r="G67" i="4"/>
  <c r="M62" i="4"/>
  <c r="H59" i="4"/>
  <c r="J55" i="4"/>
  <c r="F52" i="4"/>
  <c r="B49" i="4"/>
  <c r="F45" i="4"/>
  <c r="B42" i="4"/>
  <c r="J38" i="4"/>
  <c r="M34" i="4"/>
  <c r="B32" i="4"/>
  <c r="B29" i="4"/>
  <c r="J25" i="4"/>
  <c r="K22" i="4"/>
  <c r="L19" i="4"/>
  <c r="L16" i="4"/>
  <c r="F14" i="4"/>
  <c r="L11" i="4"/>
  <c r="B10" i="4"/>
  <c r="M156" i="4"/>
  <c r="B148" i="4"/>
  <c r="J139" i="4"/>
  <c r="F131" i="4"/>
  <c r="B123" i="4"/>
  <c r="C116" i="4"/>
  <c r="D110" i="4"/>
  <c r="L103" i="4"/>
  <c r="H97" i="4"/>
  <c r="I91" i="4"/>
  <c r="F85" i="4"/>
  <c r="B79" i="4"/>
  <c r="C73" i="4"/>
  <c r="B67" i="4"/>
  <c r="L62" i="4"/>
  <c r="M58" i="4"/>
  <c r="I55" i="4"/>
  <c r="E52" i="4"/>
  <c r="I48" i="4"/>
  <c r="E45" i="4"/>
  <c r="M41" i="4"/>
  <c r="C38" i="4"/>
  <c r="L34" i="4"/>
  <c r="M31" i="4"/>
  <c r="I28" i="4"/>
  <c r="I25" i="4"/>
  <c r="J22" i="4"/>
  <c r="G19" i="4"/>
  <c r="K16" i="4"/>
  <c r="E14" i="4"/>
  <c r="K11" i="4"/>
  <c r="K153" i="4"/>
  <c r="F145" i="4"/>
  <c r="B137" i="4"/>
  <c r="J128" i="4"/>
  <c r="I120" i="4"/>
  <c r="J114" i="4"/>
  <c r="F108" i="4"/>
  <c r="C102" i="4"/>
  <c r="D96" i="4"/>
  <c r="L89" i="4"/>
  <c r="I83" i="4"/>
  <c r="J77" i="4"/>
  <c r="F71" i="4"/>
  <c r="J65" i="4"/>
  <c r="I61" i="4"/>
  <c r="M57" i="4"/>
  <c r="I54" i="4"/>
  <c r="E51" i="4"/>
  <c r="G47" i="4"/>
  <c r="C44" i="4"/>
  <c r="K40" i="4"/>
  <c r="C37" i="4"/>
  <c r="M33" i="4"/>
  <c r="B31" i="4"/>
  <c r="J27" i="4"/>
  <c r="J24" i="4"/>
  <c r="J21" i="4"/>
  <c r="I18" i="4"/>
  <c r="B16" i="4"/>
  <c r="D14" i="4"/>
  <c r="J11" i="4"/>
  <c r="G152" i="4"/>
  <c r="C144" i="4"/>
  <c r="K135" i="4"/>
  <c r="G127" i="4"/>
  <c r="J119" i="4"/>
  <c r="K113" i="4"/>
  <c r="G107" i="4"/>
  <c r="D101" i="4"/>
  <c r="E95" i="4"/>
  <c r="M88" i="4"/>
  <c r="J82" i="4"/>
  <c r="J76" i="4"/>
  <c r="G70" i="4"/>
  <c r="I65" i="4"/>
  <c r="H61" i="4"/>
  <c r="L57" i="4"/>
  <c r="H54" i="4"/>
  <c r="D51" i="4"/>
  <c r="F47" i="4"/>
  <c r="B44" i="4"/>
  <c r="J40" i="4"/>
  <c r="B37" i="4"/>
  <c r="L33" i="4"/>
  <c r="L30" i="4"/>
  <c r="H27" i="4"/>
  <c r="I24" i="4"/>
  <c r="I21" i="4"/>
  <c r="H18" i="4"/>
  <c r="M15" i="4"/>
  <c r="C14" i="4"/>
  <c r="I11" i="4"/>
  <c r="F152" i="4"/>
  <c r="B144" i="4"/>
  <c r="J135" i="4"/>
  <c r="F127" i="4"/>
  <c r="I119" i="4"/>
  <c r="E113" i="4"/>
  <c r="F107" i="4"/>
  <c r="C101" i="4"/>
  <c r="K94" i="4"/>
  <c r="L88" i="4"/>
  <c r="H82" i="4"/>
  <c r="E76" i="4"/>
  <c r="F70" i="4"/>
  <c r="D65" i="4"/>
  <c r="C61" i="4"/>
  <c r="K57" i="4"/>
  <c r="G54" i="4"/>
  <c r="I50" i="4"/>
  <c r="E47" i="4"/>
  <c r="M43" i="4"/>
  <c r="E40" i="4"/>
  <c r="M36" i="4"/>
  <c r="K33" i="4"/>
  <c r="G30" i="4"/>
  <c r="G27" i="4"/>
  <c r="H24" i="4"/>
  <c r="D21" i="4"/>
  <c r="E152" i="4"/>
  <c r="M143" i="4"/>
  <c r="I135" i="4"/>
  <c r="E127" i="4"/>
  <c r="H119" i="4"/>
  <c r="D113" i="4"/>
  <c r="E107" i="4"/>
  <c r="B101" i="4"/>
  <c r="J94" i="4"/>
  <c r="K88" i="4"/>
  <c r="G82" i="4"/>
  <c r="D76" i="4"/>
  <c r="E70" i="4"/>
  <c r="B65" i="4"/>
  <c r="B61" i="4"/>
  <c r="J57" i="4"/>
  <c r="F54" i="4"/>
  <c r="H50" i="4"/>
  <c r="D47" i="4"/>
  <c r="L43" i="4"/>
  <c r="D40" i="4"/>
  <c r="L36" i="4"/>
  <c r="D152" i="4"/>
  <c r="L143" i="4"/>
  <c r="H135" i="4"/>
  <c r="D127" i="4"/>
  <c r="G119" i="4"/>
  <c r="C113" i="4"/>
  <c r="L106" i="4"/>
  <c r="L100" i="4"/>
  <c r="I94" i="4"/>
  <c r="E88" i="4"/>
  <c r="F82" i="4"/>
  <c r="C76" i="4"/>
  <c r="K69" i="4"/>
  <c r="F64" i="4"/>
  <c r="K60" i="4"/>
  <c r="G57" i="4"/>
  <c r="K53" i="4"/>
  <c r="G50" i="4"/>
  <c r="C47" i="4"/>
  <c r="E43" i="4"/>
  <c r="M39" i="4"/>
  <c r="I36" i="4"/>
  <c r="D33" i="4"/>
  <c r="E30" i="4"/>
  <c r="E27" i="4"/>
  <c r="M23" i="4"/>
  <c r="B21" i="4"/>
  <c r="J158" i="4"/>
  <c r="H149" i="4"/>
  <c r="D141" i="4"/>
  <c r="L132" i="4"/>
  <c r="H124" i="4"/>
  <c r="J117" i="4"/>
  <c r="F111" i="4"/>
  <c r="G105" i="4"/>
  <c r="C99" i="4"/>
  <c r="L92" i="4"/>
  <c r="M86" i="4"/>
  <c r="I80" i="4"/>
  <c r="F74" i="4"/>
  <c r="H68" i="4"/>
  <c r="D63" i="4"/>
  <c r="K59" i="4"/>
  <c r="G56" i="4"/>
  <c r="K52" i="4"/>
  <c r="G49" i="4"/>
  <c r="C46" i="4"/>
  <c r="E42" i="4"/>
  <c r="M38" i="4"/>
  <c r="I35" i="4"/>
  <c r="E32" i="4"/>
  <c r="F29" i="4"/>
  <c r="D157" i="4"/>
  <c r="E148" i="4"/>
  <c r="M139" i="4"/>
  <c r="I131" i="4"/>
  <c r="E123" i="4"/>
  <c r="J116" i="4"/>
  <c r="G110" i="4"/>
  <c r="H104" i="4"/>
  <c r="D98" i="4"/>
  <c r="M91" i="4"/>
  <c r="B86" i="4"/>
  <c r="J79" i="4"/>
  <c r="F73" i="4"/>
  <c r="F68" i="4"/>
  <c r="C63" i="4"/>
  <c r="J59" i="4"/>
  <c r="F56" i="4"/>
  <c r="J52" i="4"/>
  <c r="F49" i="4"/>
  <c r="B46" i="4"/>
  <c r="D42" i="4"/>
  <c r="L38" i="4"/>
  <c r="H35" i="4"/>
  <c r="D32" i="4"/>
  <c r="D29" i="4"/>
  <c r="E26" i="4"/>
  <c r="M22" i="4"/>
  <c r="B20" i="4"/>
  <c r="F17" i="4"/>
  <c r="L14" i="4"/>
  <c r="J12" i="4"/>
  <c r="D10" i="4"/>
  <c r="C20" i="4"/>
  <c r="E13" i="4"/>
  <c r="G18" i="4"/>
  <c r="D13" i="4"/>
  <c r="F18" i="4"/>
  <c r="K12" i="4"/>
  <c r="J33" i="4"/>
  <c r="E18" i="4"/>
  <c r="H11" i="4"/>
  <c r="F30" i="4"/>
  <c r="G17" i="4"/>
  <c r="C11" i="4"/>
  <c r="F27" i="4"/>
  <c r="L15" i="4"/>
  <c r="J10" i="4"/>
  <c r="C21" i="4"/>
  <c r="F13" i="4"/>
  <c r="F26" i="4"/>
  <c r="G24" i="4"/>
  <c r="B23" i="4"/>
  <c r="E10" i="4"/>
  <c r="K15" i="4"/>
  <c r="J15" i="4"/>
  <c r="E15" i="4"/>
  <c r="M158" i="5"/>
  <c r="C158" i="5"/>
  <c r="E157" i="5"/>
  <c r="G156" i="5"/>
  <c r="I155" i="5"/>
  <c r="K154" i="5"/>
  <c r="M153" i="5"/>
  <c r="C153" i="5"/>
  <c r="E152" i="5"/>
  <c r="G151" i="5"/>
  <c r="I150" i="5"/>
  <c r="K149" i="5"/>
  <c r="M148" i="5"/>
  <c r="C148" i="5"/>
  <c r="E147" i="5"/>
  <c r="G146" i="5"/>
  <c r="I145" i="5"/>
  <c r="K144" i="5"/>
  <c r="M143" i="5"/>
  <c r="C143" i="5"/>
  <c r="E142" i="5"/>
  <c r="G141" i="5"/>
  <c r="I140" i="5"/>
  <c r="K139" i="5"/>
  <c r="M138" i="5"/>
  <c r="C138" i="5"/>
  <c r="E137" i="5"/>
  <c r="G136" i="5"/>
  <c r="I135" i="5"/>
  <c r="K134" i="5"/>
  <c r="M133" i="5"/>
  <c r="C133" i="5"/>
  <c r="E132" i="5"/>
  <c r="G131" i="5"/>
  <c r="I130" i="5"/>
  <c r="K129" i="5"/>
  <c r="M128" i="5"/>
  <c r="C128" i="5"/>
  <c r="E127" i="5"/>
  <c r="G126" i="5"/>
  <c r="I125" i="5"/>
  <c r="K124" i="5"/>
  <c r="M123" i="5"/>
  <c r="C123" i="5"/>
  <c r="E122" i="5"/>
  <c r="G121" i="5"/>
  <c r="I120" i="5"/>
  <c r="K119" i="5"/>
  <c r="M118" i="5"/>
  <c r="C118" i="5"/>
  <c r="E117" i="5"/>
  <c r="G116" i="5"/>
  <c r="I115" i="5"/>
  <c r="K114" i="5"/>
  <c r="M113" i="5"/>
  <c r="C113" i="5"/>
  <c r="L158" i="5"/>
  <c r="B158" i="5"/>
  <c r="D157" i="5"/>
  <c r="F156" i="5"/>
  <c r="H155" i="5"/>
  <c r="J154" i="5"/>
  <c r="L153" i="5"/>
  <c r="B153" i="5"/>
  <c r="D152" i="5"/>
  <c r="F151" i="5"/>
  <c r="H150" i="5"/>
  <c r="J149" i="5"/>
  <c r="L148" i="5"/>
  <c r="B148" i="5"/>
  <c r="D147" i="5"/>
  <c r="F146" i="5"/>
  <c r="H145" i="5"/>
  <c r="J144" i="5"/>
  <c r="L143" i="5"/>
  <c r="B143" i="5"/>
  <c r="D142" i="5"/>
  <c r="F141" i="5"/>
  <c r="H140" i="5"/>
  <c r="J139" i="5"/>
  <c r="L138" i="5"/>
  <c r="B138" i="5"/>
  <c r="D137" i="5"/>
  <c r="F136" i="5"/>
  <c r="H135" i="5"/>
  <c r="J134" i="5"/>
  <c r="L133" i="5"/>
  <c r="B133" i="5"/>
  <c r="D132" i="5"/>
  <c r="F131" i="5"/>
  <c r="H130" i="5"/>
  <c r="J129" i="5"/>
  <c r="L128" i="5"/>
  <c r="B128" i="5"/>
  <c r="D127" i="5"/>
  <c r="F126" i="5"/>
  <c r="H125" i="5"/>
  <c r="J124" i="5"/>
  <c r="L123" i="5"/>
  <c r="B123" i="5"/>
  <c r="D122" i="5"/>
  <c r="F121" i="5"/>
  <c r="H120" i="5"/>
  <c r="J119" i="5"/>
  <c r="L118" i="5"/>
  <c r="B118" i="5"/>
  <c r="D117" i="5"/>
  <c r="F116" i="5"/>
  <c r="H115" i="5"/>
  <c r="J114" i="5"/>
  <c r="L113" i="5"/>
  <c r="B113" i="5"/>
  <c r="K158" i="5"/>
  <c r="M157" i="5"/>
  <c r="C157" i="5"/>
  <c r="E156" i="5"/>
  <c r="G155" i="5"/>
  <c r="I154" i="5"/>
  <c r="K153" i="5"/>
  <c r="M152" i="5"/>
  <c r="C152" i="5"/>
  <c r="E151" i="5"/>
  <c r="G150" i="5"/>
  <c r="I149" i="5"/>
  <c r="K148" i="5"/>
  <c r="M147" i="5"/>
  <c r="C147" i="5"/>
  <c r="E146" i="5"/>
  <c r="G145" i="5"/>
  <c r="I144" i="5"/>
  <c r="K143" i="5"/>
  <c r="M142" i="5"/>
  <c r="C142" i="5"/>
  <c r="E141" i="5"/>
  <c r="G140" i="5"/>
  <c r="I139" i="5"/>
  <c r="K138" i="5"/>
  <c r="M137" i="5"/>
  <c r="C137" i="5"/>
  <c r="E136" i="5"/>
  <c r="G135" i="5"/>
  <c r="I134" i="5"/>
  <c r="K133" i="5"/>
  <c r="M132" i="5"/>
  <c r="C132" i="5"/>
  <c r="E131" i="5"/>
  <c r="G130" i="5"/>
  <c r="I129" i="5"/>
  <c r="K128" i="5"/>
  <c r="M127" i="5"/>
  <c r="C127" i="5"/>
  <c r="E126" i="5"/>
  <c r="G125" i="5"/>
  <c r="I124" i="5"/>
  <c r="K123" i="5"/>
  <c r="M122" i="5"/>
  <c r="C122" i="5"/>
  <c r="E121" i="5"/>
  <c r="G120" i="5"/>
  <c r="I119" i="5"/>
  <c r="K118" i="5"/>
  <c r="M117" i="5"/>
  <c r="C117" i="5"/>
  <c r="E116" i="5"/>
  <c r="G115" i="5"/>
  <c r="I114" i="5"/>
  <c r="K113" i="5"/>
  <c r="M112" i="5"/>
  <c r="J158" i="5"/>
  <c r="D158" i="5"/>
  <c r="F157" i="5"/>
  <c r="H156" i="5"/>
  <c r="J155" i="5"/>
  <c r="L154" i="5"/>
  <c r="B154" i="5"/>
  <c r="D153" i="5"/>
  <c r="F152" i="5"/>
  <c r="H151" i="5"/>
  <c r="J150" i="5"/>
  <c r="L149" i="5"/>
  <c r="B149" i="5"/>
  <c r="D148" i="5"/>
  <c r="F147" i="5"/>
  <c r="H146" i="5"/>
  <c r="J145" i="5"/>
  <c r="L144" i="5"/>
  <c r="B144" i="5"/>
  <c r="D143" i="5"/>
  <c r="F142" i="5"/>
  <c r="H141" i="5"/>
  <c r="J140" i="5"/>
  <c r="L139" i="5"/>
  <c r="B139" i="5"/>
  <c r="D138" i="5"/>
  <c r="F137" i="5"/>
  <c r="H136" i="5"/>
  <c r="J135" i="5"/>
  <c r="L134" i="5"/>
  <c r="B134" i="5"/>
  <c r="D133" i="5"/>
  <c r="F132" i="5"/>
  <c r="H131" i="5"/>
  <c r="J130" i="5"/>
  <c r="L129" i="5"/>
  <c r="B129" i="5"/>
  <c r="D128" i="5"/>
  <c r="F127" i="5"/>
  <c r="H126" i="5"/>
  <c r="J125" i="5"/>
  <c r="L124" i="5"/>
  <c r="B124" i="5"/>
  <c r="D123" i="5"/>
  <c r="F122" i="5"/>
  <c r="H121" i="5"/>
  <c r="J120" i="5"/>
  <c r="L119" i="5"/>
  <c r="B119" i="5"/>
  <c r="D118" i="5"/>
  <c r="F117" i="5"/>
  <c r="H116" i="5"/>
  <c r="J115" i="5"/>
  <c r="L114" i="5"/>
  <c r="B114" i="5"/>
  <c r="D113" i="5"/>
  <c r="F112" i="5"/>
  <c r="H111" i="5"/>
  <c r="J110" i="5"/>
  <c r="L109" i="5"/>
  <c r="B109" i="5"/>
  <c r="D108" i="5"/>
  <c r="F107" i="5"/>
  <c r="H106" i="5"/>
  <c r="J105" i="5"/>
  <c r="L104" i="5"/>
  <c r="B104" i="5"/>
  <c r="D103" i="5"/>
  <c r="F102" i="5"/>
  <c r="H101" i="5"/>
  <c r="J100" i="5"/>
  <c r="L99" i="5"/>
  <c r="B99" i="5"/>
  <c r="D98" i="5"/>
  <c r="F97" i="5"/>
  <c r="H96" i="5"/>
  <c r="J95" i="5"/>
  <c r="L94" i="5"/>
  <c r="B94" i="5"/>
  <c r="D93" i="5"/>
  <c r="F92" i="5"/>
  <c r="H91" i="5"/>
  <c r="J90" i="5"/>
  <c r="L89" i="5"/>
  <c r="B89" i="5"/>
  <c r="D88" i="5"/>
  <c r="I158" i="5"/>
  <c r="G157" i="5"/>
  <c r="M155" i="5"/>
  <c r="G154" i="5"/>
  <c r="E153" i="5"/>
  <c r="K151" i="5"/>
  <c r="E150" i="5"/>
  <c r="C149" i="5"/>
  <c r="I147" i="5"/>
  <c r="C146" i="5"/>
  <c r="M144" i="5"/>
  <c r="G143" i="5"/>
  <c r="M141" i="5"/>
  <c r="K140" i="5"/>
  <c r="E139" i="5"/>
  <c r="K137" i="5"/>
  <c r="I136" i="5"/>
  <c r="C135" i="5"/>
  <c r="I133" i="5"/>
  <c r="G132" i="5"/>
  <c r="M130" i="5"/>
  <c r="G129" i="5"/>
  <c r="E128" i="5"/>
  <c r="K126" i="5"/>
  <c r="E125" i="5"/>
  <c r="C124" i="5"/>
  <c r="I122" i="5"/>
  <c r="C121" i="5"/>
  <c r="M119" i="5"/>
  <c r="G118" i="5"/>
  <c r="M116" i="5"/>
  <c r="K115" i="5"/>
  <c r="E114" i="5"/>
  <c r="K112" i="5"/>
  <c r="L111" i="5"/>
  <c r="M110" i="5"/>
  <c r="B110" i="5"/>
  <c r="C109" i="5"/>
  <c r="C108" i="5"/>
  <c r="D107" i="5"/>
  <c r="E106" i="5"/>
  <c r="F105" i="5"/>
  <c r="G104" i="5"/>
  <c r="H103" i="5"/>
  <c r="I102" i="5"/>
  <c r="J101" i="5"/>
  <c r="K100" i="5"/>
  <c r="K99" i="5"/>
  <c r="L98" i="5"/>
  <c r="M97" i="5"/>
  <c r="B97" i="5"/>
  <c r="C96" i="5"/>
  <c r="D95" i="5"/>
  <c r="E94" i="5"/>
  <c r="F93" i="5"/>
  <c r="G92" i="5"/>
  <c r="G91" i="5"/>
  <c r="H90" i="5"/>
  <c r="I89" i="5"/>
  <c r="J88" i="5"/>
  <c r="K87" i="5"/>
  <c r="M86" i="5"/>
  <c r="C86" i="5"/>
  <c r="E85" i="5"/>
  <c r="G84" i="5"/>
  <c r="I83" i="5"/>
  <c r="K82" i="5"/>
  <c r="M81" i="5"/>
  <c r="C81" i="5"/>
  <c r="E80" i="5"/>
  <c r="G79" i="5"/>
  <c r="I78" i="5"/>
  <c r="K77" i="5"/>
  <c r="M76" i="5"/>
  <c r="C76" i="5"/>
  <c r="E75" i="5"/>
  <c r="G74" i="5"/>
  <c r="I73" i="5"/>
  <c r="K72" i="5"/>
  <c r="M71" i="5"/>
  <c r="C71" i="5"/>
  <c r="E70" i="5"/>
  <c r="G69" i="5"/>
  <c r="I68" i="5"/>
  <c r="K67" i="5"/>
  <c r="H158" i="5"/>
  <c r="B157" i="5"/>
  <c r="L155" i="5"/>
  <c r="F154" i="5"/>
  <c r="L152" i="5"/>
  <c r="J151" i="5"/>
  <c r="D150" i="5"/>
  <c r="J148" i="5"/>
  <c r="H147" i="5"/>
  <c r="B146" i="5"/>
  <c r="H144" i="5"/>
  <c r="F143" i="5"/>
  <c r="L141" i="5"/>
  <c r="F140" i="5"/>
  <c r="D139" i="5"/>
  <c r="J137" i="5"/>
  <c r="D136" i="5"/>
  <c r="B135" i="5"/>
  <c r="H133" i="5"/>
  <c r="B132" i="5"/>
  <c r="L130" i="5"/>
  <c r="F129" i="5"/>
  <c r="L127" i="5"/>
  <c r="J126" i="5"/>
  <c r="D125" i="5"/>
  <c r="J123" i="5"/>
  <c r="H122" i="5"/>
  <c r="B121" i="5"/>
  <c r="H119" i="5"/>
  <c r="F118" i="5"/>
  <c r="L116" i="5"/>
  <c r="F115" i="5"/>
  <c r="D114" i="5"/>
  <c r="J112" i="5"/>
  <c r="K111" i="5"/>
  <c r="L110" i="5"/>
  <c r="M109" i="5"/>
  <c r="M108" i="5"/>
  <c r="B108" i="5"/>
  <c r="C107" i="5"/>
  <c r="D106" i="5"/>
  <c r="E105" i="5"/>
  <c r="F104" i="5"/>
  <c r="G103" i="5"/>
  <c r="H102" i="5"/>
  <c r="I101" i="5"/>
  <c r="I100" i="5"/>
  <c r="J99" i="5"/>
  <c r="K98" i="5"/>
  <c r="L97" i="5"/>
  <c r="M96" i="5"/>
  <c r="B96" i="5"/>
  <c r="C95" i="5"/>
  <c r="D94" i="5"/>
  <c r="E93" i="5"/>
  <c r="E92" i="5"/>
  <c r="F91" i="5"/>
  <c r="G90" i="5"/>
  <c r="H89" i="5"/>
  <c r="I88" i="5"/>
  <c r="J87" i="5"/>
  <c r="L86" i="5"/>
  <c r="B86" i="5"/>
  <c r="D85" i="5"/>
  <c r="F84" i="5"/>
  <c r="H83" i="5"/>
  <c r="J82" i="5"/>
  <c r="G158" i="5"/>
  <c r="M156" i="5"/>
  <c r="K155" i="5"/>
  <c r="E154" i="5"/>
  <c r="K152" i="5"/>
  <c r="I151" i="5"/>
  <c r="C150" i="5"/>
  <c r="I148" i="5"/>
  <c r="G147" i="5"/>
  <c r="M145" i="5"/>
  <c r="G144" i="5"/>
  <c r="E143" i="5"/>
  <c r="K141" i="5"/>
  <c r="E140" i="5"/>
  <c r="C139" i="5"/>
  <c r="I137" i="5"/>
  <c r="C136" i="5"/>
  <c r="M134" i="5"/>
  <c r="G133" i="5"/>
  <c r="M131" i="5"/>
  <c r="K130" i="5"/>
  <c r="E129" i="5"/>
  <c r="K127" i="5"/>
  <c r="I126" i="5"/>
  <c r="C125" i="5"/>
  <c r="I123" i="5"/>
  <c r="G122" i="5"/>
  <c r="M120" i="5"/>
  <c r="G119" i="5"/>
  <c r="E118" i="5"/>
  <c r="K116" i="5"/>
  <c r="E115" i="5"/>
  <c r="C114" i="5"/>
  <c r="I112" i="5"/>
  <c r="J111" i="5"/>
  <c r="K110" i="5"/>
  <c r="K109" i="5"/>
  <c r="L108" i="5"/>
  <c r="M107" i="5"/>
  <c r="B107" i="5"/>
  <c r="C106" i="5"/>
  <c r="D105" i="5"/>
  <c r="E104" i="5"/>
  <c r="F103" i="5"/>
  <c r="G102" i="5"/>
  <c r="G101" i="5"/>
  <c r="H100" i="5"/>
  <c r="I99" i="5"/>
  <c r="J98" i="5"/>
  <c r="K97" i="5"/>
  <c r="L96" i="5"/>
  <c r="M95" i="5"/>
  <c r="B95" i="5"/>
  <c r="C94" i="5"/>
  <c r="C93" i="5"/>
  <c r="D92" i="5"/>
  <c r="E91" i="5"/>
  <c r="F90" i="5"/>
  <c r="G89" i="5"/>
  <c r="F158" i="5"/>
  <c r="E158" i="5"/>
  <c r="L157" i="5"/>
  <c r="K157" i="5"/>
  <c r="J157" i="5"/>
  <c r="H157" i="5"/>
  <c r="B156" i="5"/>
  <c r="H154" i="5"/>
  <c r="F153" i="5"/>
  <c r="L151" i="5"/>
  <c r="F150" i="5"/>
  <c r="D149" i="5"/>
  <c r="J147" i="5"/>
  <c r="D146" i="5"/>
  <c r="B145" i="5"/>
  <c r="H143" i="5"/>
  <c r="B142" i="5"/>
  <c r="L140" i="5"/>
  <c r="F139" i="5"/>
  <c r="L137" i="5"/>
  <c r="J136" i="5"/>
  <c r="D135" i="5"/>
  <c r="J133" i="5"/>
  <c r="H132" i="5"/>
  <c r="B131" i="5"/>
  <c r="H129" i="5"/>
  <c r="F128" i="5"/>
  <c r="L126" i="5"/>
  <c r="F125" i="5"/>
  <c r="D124" i="5"/>
  <c r="J122" i="5"/>
  <c r="D121" i="5"/>
  <c r="B120" i="5"/>
  <c r="H118" i="5"/>
  <c r="B117" i="5"/>
  <c r="L115" i="5"/>
  <c r="F114" i="5"/>
  <c r="L112" i="5"/>
  <c r="M111" i="5"/>
  <c r="B111" i="5"/>
  <c r="C110" i="5"/>
  <c r="D109" i="5"/>
  <c r="E108" i="5"/>
  <c r="E107" i="5"/>
  <c r="F106" i="5"/>
  <c r="G105" i="5"/>
  <c r="H104" i="5"/>
  <c r="I103" i="5"/>
  <c r="J102" i="5"/>
  <c r="K101" i="5"/>
  <c r="L100" i="5"/>
  <c r="M99" i="5"/>
  <c r="M98" i="5"/>
  <c r="B98" i="5"/>
  <c r="C97" i="5"/>
  <c r="D96" i="5"/>
  <c r="E95" i="5"/>
  <c r="F94" i="5"/>
  <c r="G93" i="5"/>
  <c r="H92" i="5"/>
  <c r="I91" i="5"/>
  <c r="I90" i="5"/>
  <c r="J89" i="5"/>
  <c r="K88" i="5"/>
  <c r="L87" i="5"/>
  <c r="B87" i="5"/>
  <c r="I157" i="5"/>
  <c r="C155" i="5"/>
  <c r="I152" i="5"/>
  <c r="K150" i="5"/>
  <c r="E148" i="5"/>
  <c r="K145" i="5"/>
  <c r="I143" i="5"/>
  <c r="C141" i="5"/>
  <c r="I138" i="5"/>
  <c r="K136" i="5"/>
  <c r="E134" i="5"/>
  <c r="K131" i="5"/>
  <c r="M129" i="5"/>
  <c r="G127" i="5"/>
  <c r="M124" i="5"/>
  <c r="K122" i="5"/>
  <c r="E120" i="5"/>
  <c r="K117" i="5"/>
  <c r="M115" i="5"/>
  <c r="G113" i="5"/>
  <c r="G111" i="5"/>
  <c r="D110" i="5"/>
  <c r="H108" i="5"/>
  <c r="L106" i="5"/>
  <c r="H105" i="5"/>
  <c r="L103" i="5"/>
  <c r="D102" i="5"/>
  <c r="M100" i="5"/>
  <c r="E99" i="5"/>
  <c r="I97" i="5"/>
  <c r="E96" i="5"/>
  <c r="I94" i="5"/>
  <c r="M92" i="5"/>
  <c r="J91" i="5"/>
  <c r="B90" i="5"/>
  <c r="G88" i="5"/>
  <c r="E87" i="5"/>
  <c r="D86" i="5"/>
  <c r="B85" i="5"/>
  <c r="B84" i="5"/>
  <c r="B83" i="5"/>
  <c r="B82" i="5"/>
  <c r="B81" i="5"/>
  <c r="C80" i="5"/>
  <c r="D79" i="5"/>
  <c r="E78" i="5"/>
  <c r="F77" i="5"/>
  <c r="G76" i="5"/>
  <c r="H75" i="5"/>
  <c r="I74" i="5"/>
  <c r="J73" i="5"/>
  <c r="J72" i="5"/>
  <c r="K71" i="5"/>
  <c r="L70" i="5"/>
  <c r="M69" i="5"/>
  <c r="B69" i="5"/>
  <c r="C68" i="5"/>
  <c r="D67" i="5"/>
  <c r="F66" i="5"/>
  <c r="H65" i="5"/>
  <c r="J64" i="5"/>
  <c r="L63" i="5"/>
  <c r="B63" i="5"/>
  <c r="D62" i="5"/>
  <c r="F61" i="5"/>
  <c r="H60" i="5"/>
  <c r="J59" i="5"/>
  <c r="L58" i="5"/>
  <c r="B58" i="5"/>
  <c r="D57" i="5"/>
  <c r="F56" i="5"/>
  <c r="H55" i="5"/>
  <c r="J54" i="5"/>
  <c r="L53" i="5"/>
  <c r="B53" i="5"/>
  <c r="D52" i="5"/>
  <c r="F51" i="5"/>
  <c r="H50" i="5"/>
  <c r="J49" i="5"/>
  <c r="L48" i="5"/>
  <c r="B48" i="5"/>
  <c r="D47" i="5"/>
  <c r="F46" i="5"/>
  <c r="H45" i="5"/>
  <c r="J44" i="5"/>
  <c r="L43" i="5"/>
  <c r="B43" i="5"/>
  <c r="D42" i="5"/>
  <c r="F41" i="5"/>
  <c r="H40" i="5"/>
  <c r="L156" i="5"/>
  <c r="B155" i="5"/>
  <c r="H152" i="5"/>
  <c r="B150" i="5"/>
  <c r="L147" i="5"/>
  <c r="F145" i="5"/>
  <c r="L142" i="5"/>
  <c r="B141" i="5"/>
  <c r="H138" i="5"/>
  <c r="B136" i="5"/>
  <c r="D134" i="5"/>
  <c r="J131" i="5"/>
  <c r="D129" i="5"/>
  <c r="B127" i="5"/>
  <c r="H124" i="5"/>
  <c r="B122" i="5"/>
  <c r="D120" i="5"/>
  <c r="J117" i="5"/>
  <c r="D115" i="5"/>
  <c r="F113" i="5"/>
  <c r="F111" i="5"/>
  <c r="J109" i="5"/>
  <c r="G108" i="5"/>
  <c r="K106" i="5"/>
  <c r="C105" i="5"/>
  <c r="K103" i="5"/>
  <c r="C102" i="5"/>
  <c r="G100" i="5"/>
  <c r="D99" i="5"/>
  <c r="H97" i="5"/>
  <c r="L95" i="5"/>
  <c r="H94" i="5"/>
  <c r="L92" i="5"/>
  <c r="D91" i="5"/>
  <c r="M89" i="5"/>
  <c r="F88" i="5"/>
  <c r="D87" i="5"/>
  <c r="M85" i="5"/>
  <c r="M84" i="5"/>
  <c r="M83" i="5"/>
  <c r="M82" i="5"/>
  <c r="L81" i="5"/>
  <c r="M80" i="5"/>
  <c r="B80" i="5"/>
  <c r="C79" i="5"/>
  <c r="D78" i="5"/>
  <c r="E77" i="5"/>
  <c r="F76" i="5"/>
  <c r="G75" i="5"/>
  <c r="H74" i="5"/>
  <c r="H73" i="5"/>
  <c r="I72" i="5"/>
  <c r="J71" i="5"/>
  <c r="K70" i="5"/>
  <c r="L69" i="5"/>
  <c r="M68" i="5"/>
  <c r="B68" i="5"/>
  <c r="C67" i="5"/>
  <c r="E66" i="5"/>
  <c r="G65" i="5"/>
  <c r="I64" i="5"/>
  <c r="K63" i="5"/>
  <c r="M62" i="5"/>
  <c r="C62" i="5"/>
  <c r="E61" i="5"/>
  <c r="G60" i="5"/>
  <c r="I59" i="5"/>
  <c r="K58" i="5"/>
  <c r="M57" i="5"/>
  <c r="C57" i="5"/>
  <c r="E56" i="5"/>
  <c r="G55" i="5"/>
  <c r="I54" i="5"/>
  <c r="K53" i="5"/>
  <c r="M52" i="5"/>
  <c r="C52" i="5"/>
  <c r="E51" i="5"/>
  <c r="G50" i="5"/>
  <c r="I49" i="5"/>
  <c r="K48" i="5"/>
  <c r="M47" i="5"/>
  <c r="C47" i="5"/>
  <c r="E46" i="5"/>
  <c r="G45" i="5"/>
  <c r="I44" i="5"/>
  <c r="K156" i="5"/>
  <c r="M154" i="5"/>
  <c r="G152" i="5"/>
  <c r="M149" i="5"/>
  <c r="K147" i="5"/>
  <c r="E145" i="5"/>
  <c r="K142" i="5"/>
  <c r="M140" i="5"/>
  <c r="G138" i="5"/>
  <c r="M135" i="5"/>
  <c r="C134" i="5"/>
  <c r="I131" i="5"/>
  <c r="C129" i="5"/>
  <c r="M126" i="5"/>
  <c r="G124" i="5"/>
  <c r="M121" i="5"/>
  <c r="C120" i="5"/>
  <c r="I117" i="5"/>
  <c r="C115" i="5"/>
  <c r="E113" i="5"/>
  <c r="E111" i="5"/>
  <c r="I109" i="5"/>
  <c r="F108" i="5"/>
  <c r="J106" i="5"/>
  <c r="B105" i="5"/>
  <c r="J103" i="5"/>
  <c r="B102" i="5"/>
  <c r="F100" i="5"/>
  <c r="C99" i="5"/>
  <c r="G97" i="5"/>
  <c r="K95" i="5"/>
  <c r="G94" i="5"/>
  <c r="K92" i="5"/>
  <c r="C91" i="5"/>
  <c r="K89" i="5"/>
  <c r="E88" i="5"/>
  <c r="C87" i="5"/>
  <c r="L85" i="5"/>
  <c r="L84" i="5"/>
  <c r="L83" i="5"/>
  <c r="L82" i="5"/>
  <c r="K81" i="5"/>
  <c r="L80" i="5"/>
  <c r="M79" i="5"/>
  <c r="B79" i="5"/>
  <c r="C78" i="5"/>
  <c r="D77" i="5"/>
  <c r="E76" i="5"/>
  <c r="F75" i="5"/>
  <c r="F74" i="5"/>
  <c r="G73" i="5"/>
  <c r="H72" i="5"/>
  <c r="I71" i="5"/>
  <c r="J70" i="5"/>
  <c r="K69" i="5"/>
  <c r="L68" i="5"/>
  <c r="M67" i="5"/>
  <c r="B67" i="5"/>
  <c r="D66" i="5"/>
  <c r="F65" i="5"/>
  <c r="H64" i="5"/>
  <c r="J63" i="5"/>
  <c r="L62" i="5"/>
  <c r="B62" i="5"/>
  <c r="D61" i="5"/>
  <c r="F60" i="5"/>
  <c r="H59" i="5"/>
  <c r="J58" i="5"/>
  <c r="L57" i="5"/>
  <c r="B57" i="5"/>
  <c r="D56" i="5"/>
  <c r="F55" i="5"/>
  <c r="H54" i="5"/>
  <c r="J53" i="5"/>
  <c r="L52" i="5"/>
  <c r="B52" i="5"/>
  <c r="J156" i="5"/>
  <c r="D154" i="5"/>
  <c r="B152" i="5"/>
  <c r="H149" i="5"/>
  <c r="B147" i="5"/>
  <c r="D145" i="5"/>
  <c r="J142" i="5"/>
  <c r="D140" i="5"/>
  <c r="F138" i="5"/>
  <c r="L135" i="5"/>
  <c r="F133" i="5"/>
  <c r="D131" i="5"/>
  <c r="J128" i="5"/>
  <c r="D126" i="5"/>
  <c r="F124" i="5"/>
  <c r="L121" i="5"/>
  <c r="F119" i="5"/>
  <c r="H117" i="5"/>
  <c r="B115" i="5"/>
  <c r="D155" i="5"/>
  <c r="J152" i="5"/>
  <c r="L150" i="5"/>
  <c r="F148" i="5"/>
  <c r="L145" i="5"/>
  <c r="J143" i="5"/>
  <c r="D141" i="5"/>
  <c r="J138" i="5"/>
  <c r="L136" i="5"/>
  <c r="F134" i="5"/>
  <c r="L131" i="5"/>
  <c r="B130" i="5"/>
  <c r="H127" i="5"/>
  <c r="B125" i="5"/>
  <c r="L122" i="5"/>
  <c r="F120" i="5"/>
  <c r="L117" i="5"/>
  <c r="B116" i="5"/>
  <c r="H113" i="5"/>
  <c r="I111" i="5"/>
  <c r="E110" i="5"/>
  <c r="I108" i="5"/>
  <c r="M106" i="5"/>
  <c r="I105" i="5"/>
  <c r="M103" i="5"/>
  <c r="E102" i="5"/>
  <c r="B101" i="5"/>
  <c r="F99" i="5"/>
  <c r="J97" i="5"/>
  <c r="F96" i="5"/>
  <c r="J94" i="5"/>
  <c r="B93" i="5"/>
  <c r="K91" i="5"/>
  <c r="C90" i="5"/>
  <c r="H88" i="5"/>
  <c r="F87" i="5"/>
  <c r="E86" i="5"/>
  <c r="C85" i="5"/>
  <c r="C84" i="5"/>
  <c r="C83" i="5"/>
  <c r="C82" i="5"/>
  <c r="D81" i="5"/>
  <c r="D80" i="5"/>
  <c r="E79" i="5"/>
  <c r="F78" i="5"/>
  <c r="G77" i="5"/>
  <c r="H76" i="5"/>
  <c r="I75" i="5"/>
  <c r="J74" i="5"/>
  <c r="K73" i="5"/>
  <c r="L72" i="5"/>
  <c r="L71" i="5"/>
  <c r="M70" i="5"/>
  <c r="B70" i="5"/>
  <c r="C69" i="5"/>
  <c r="D68" i="5"/>
  <c r="E67" i="5"/>
  <c r="G66" i="5"/>
  <c r="I65" i="5"/>
  <c r="K64" i="5"/>
  <c r="M63" i="5"/>
  <c r="C63" i="5"/>
  <c r="E62" i="5"/>
  <c r="G61" i="5"/>
  <c r="I60" i="5"/>
  <c r="K59" i="5"/>
  <c r="M58" i="5"/>
  <c r="C58" i="5"/>
  <c r="E57" i="5"/>
  <c r="I156" i="5"/>
  <c r="M151" i="5"/>
  <c r="M146" i="5"/>
  <c r="I142" i="5"/>
  <c r="E138" i="5"/>
  <c r="E133" i="5"/>
  <c r="I128" i="5"/>
  <c r="E124" i="5"/>
  <c r="E119" i="5"/>
  <c r="M114" i="5"/>
  <c r="B112" i="5"/>
  <c r="E109" i="5"/>
  <c r="G106" i="5"/>
  <c r="C104" i="5"/>
  <c r="E101" i="5"/>
  <c r="H98" i="5"/>
  <c r="G96" i="5"/>
  <c r="J93" i="5"/>
  <c r="M90" i="5"/>
  <c r="L88" i="5"/>
  <c r="H86" i="5"/>
  <c r="J84" i="5"/>
  <c r="D83" i="5"/>
  <c r="G81" i="5"/>
  <c r="K79" i="5"/>
  <c r="G78" i="5"/>
  <c r="K76" i="5"/>
  <c r="C75" i="5"/>
  <c r="L73" i="5"/>
  <c r="D72" i="5"/>
  <c r="H70" i="5"/>
  <c r="D69" i="5"/>
  <c r="H67" i="5"/>
  <c r="B66" i="5"/>
  <c r="L64" i="5"/>
  <c r="F63" i="5"/>
  <c r="L61" i="5"/>
  <c r="J60" i="5"/>
  <c r="D59" i="5"/>
  <c r="J57" i="5"/>
  <c r="H56" i="5"/>
  <c r="D55" i="5"/>
  <c r="C54" i="5"/>
  <c r="K52" i="5"/>
  <c r="J51" i="5"/>
  <c r="J50" i="5"/>
  <c r="H49" i="5"/>
  <c r="H48" i="5"/>
  <c r="H47" i="5"/>
  <c r="H46" i="5"/>
  <c r="F45" i="5"/>
  <c r="F44" i="5"/>
  <c r="G43" i="5"/>
  <c r="H42" i="5"/>
  <c r="I41" i="5"/>
  <c r="J40" i="5"/>
  <c r="K39" i="5"/>
  <c r="M38" i="5"/>
  <c r="C38" i="5"/>
  <c r="E37" i="5"/>
  <c r="G36" i="5"/>
  <c r="I35" i="5"/>
  <c r="K34" i="5"/>
  <c r="M33" i="5"/>
  <c r="C33" i="5"/>
  <c r="E32" i="5"/>
  <c r="G31" i="5"/>
  <c r="I30" i="5"/>
  <c r="K29" i="5"/>
  <c r="M28" i="5"/>
  <c r="C28" i="5"/>
  <c r="E27" i="5"/>
  <c r="G26" i="5"/>
  <c r="I25" i="5"/>
  <c r="K24" i="5"/>
  <c r="M23" i="5"/>
  <c r="C23" i="5"/>
  <c r="E22" i="5"/>
  <c r="G21" i="5"/>
  <c r="I20" i="5"/>
  <c r="K19" i="5"/>
  <c r="M18" i="5"/>
  <c r="C18" i="5"/>
  <c r="E17" i="5"/>
  <c r="G16" i="5"/>
  <c r="I15" i="5"/>
  <c r="D156" i="5"/>
  <c r="D151" i="5"/>
  <c r="L146" i="5"/>
  <c r="H142" i="5"/>
  <c r="H137" i="5"/>
  <c r="L132" i="5"/>
  <c r="H128" i="5"/>
  <c r="H123" i="5"/>
  <c r="D119" i="5"/>
  <c r="H114" i="5"/>
  <c r="D111" i="5"/>
  <c r="K108" i="5"/>
  <c r="B106" i="5"/>
  <c r="E103" i="5"/>
  <c r="D101" i="5"/>
  <c r="G98" i="5"/>
  <c r="I95" i="5"/>
  <c r="I93" i="5"/>
  <c r="L90" i="5"/>
  <c r="C88" i="5"/>
  <c r="G86" i="5"/>
  <c r="I84" i="5"/>
  <c r="I82" i="5"/>
  <c r="F81" i="5"/>
  <c r="J79" i="5"/>
  <c r="B78" i="5"/>
  <c r="J76" i="5"/>
  <c r="B75" i="5"/>
  <c r="F73" i="5"/>
  <c r="C72" i="5"/>
  <c r="G70" i="5"/>
  <c r="K68" i="5"/>
  <c r="G67" i="5"/>
  <c r="M65" i="5"/>
  <c r="G64" i="5"/>
  <c r="E63" i="5"/>
  <c r="K61" i="5"/>
  <c r="E60" i="5"/>
  <c r="C59" i="5"/>
  <c r="I57" i="5"/>
  <c r="G56" i="5"/>
  <c r="C55" i="5"/>
  <c r="B54" i="5"/>
  <c r="J52" i="5"/>
  <c r="I51" i="5"/>
  <c r="I50" i="5"/>
  <c r="G49" i="5"/>
  <c r="G48" i="5"/>
  <c r="G47" i="5"/>
  <c r="G46" i="5"/>
  <c r="E45" i="5"/>
  <c r="E44" i="5"/>
  <c r="F43" i="5"/>
  <c r="G42" i="5"/>
  <c r="H41" i="5"/>
  <c r="I40" i="5"/>
  <c r="J39" i="5"/>
  <c r="L38" i="5"/>
  <c r="B38" i="5"/>
  <c r="D37" i="5"/>
  <c r="F36" i="5"/>
  <c r="H35" i="5"/>
  <c r="J34" i="5"/>
  <c r="L33" i="5"/>
  <c r="B33" i="5"/>
  <c r="D32" i="5"/>
  <c r="F31" i="5"/>
  <c r="H30" i="5"/>
  <c r="J29" i="5"/>
  <c r="L28" i="5"/>
  <c r="B28" i="5"/>
  <c r="D27" i="5"/>
  <c r="F26" i="5"/>
  <c r="H25" i="5"/>
  <c r="J24" i="5"/>
  <c r="L23" i="5"/>
  <c r="B23" i="5"/>
  <c r="D22" i="5"/>
  <c r="F21" i="5"/>
  <c r="H20" i="5"/>
  <c r="J19" i="5"/>
  <c r="L18" i="5"/>
  <c r="B18" i="5"/>
  <c r="D17" i="5"/>
  <c r="F16" i="5"/>
  <c r="H15" i="5"/>
  <c r="C156" i="5"/>
  <c r="C151" i="5"/>
  <c r="K146" i="5"/>
  <c r="G142" i="5"/>
  <c r="G137" i="5"/>
  <c r="K132" i="5"/>
  <c r="G128" i="5"/>
  <c r="G123" i="5"/>
  <c r="C119" i="5"/>
  <c r="G114" i="5"/>
  <c r="C111" i="5"/>
  <c r="J108" i="5"/>
  <c r="M105" i="5"/>
  <c r="C103" i="5"/>
  <c r="C101" i="5"/>
  <c r="F98" i="5"/>
  <c r="H95" i="5"/>
  <c r="H93" i="5"/>
  <c r="K90" i="5"/>
  <c r="B88" i="5"/>
  <c r="F86" i="5"/>
  <c r="H84" i="5"/>
  <c r="H82" i="5"/>
  <c r="E81" i="5"/>
  <c r="I79" i="5"/>
  <c r="M77" i="5"/>
  <c r="I76" i="5"/>
  <c r="M74" i="5"/>
  <c r="E73" i="5"/>
  <c r="B72" i="5"/>
  <c r="F70" i="5"/>
  <c r="J68" i="5"/>
  <c r="F67" i="5"/>
  <c r="L65" i="5"/>
  <c r="F64" i="5"/>
  <c r="D63" i="5"/>
  <c r="J61" i="5"/>
  <c r="D60" i="5"/>
  <c r="B59" i="5"/>
  <c r="H57" i="5"/>
  <c r="C56" i="5"/>
  <c r="B55" i="5"/>
  <c r="M53" i="5"/>
  <c r="I52" i="5"/>
  <c r="H51" i="5"/>
  <c r="F50" i="5"/>
  <c r="F49" i="5"/>
  <c r="F48" i="5"/>
  <c r="F47" i="5"/>
  <c r="D46" i="5"/>
  <c r="D45" i="5"/>
  <c r="D44" i="5"/>
  <c r="E43" i="5"/>
  <c r="F42" i="5"/>
  <c r="G41" i="5"/>
  <c r="G40" i="5"/>
  <c r="I39" i="5"/>
  <c r="K38" i="5"/>
  <c r="M37" i="5"/>
  <c r="C37" i="5"/>
  <c r="E36" i="5"/>
  <c r="G35" i="5"/>
  <c r="I34" i="5"/>
  <c r="K33" i="5"/>
  <c r="M32" i="5"/>
  <c r="C32" i="5"/>
  <c r="E31" i="5"/>
  <c r="G30" i="5"/>
  <c r="I29" i="5"/>
  <c r="K28" i="5"/>
  <c r="M27" i="5"/>
  <c r="C27" i="5"/>
  <c r="E26" i="5"/>
  <c r="G25" i="5"/>
  <c r="I24" i="5"/>
  <c r="K23" i="5"/>
  <c r="M22" i="5"/>
  <c r="C22" i="5"/>
  <c r="E21" i="5"/>
  <c r="G20" i="5"/>
  <c r="I19" i="5"/>
  <c r="K18" i="5"/>
  <c r="M17" i="5"/>
  <c r="C17" i="5"/>
  <c r="E16" i="5"/>
  <c r="F155" i="5"/>
  <c r="B151" i="5"/>
  <c r="J146" i="5"/>
  <c r="J141" i="5"/>
  <c r="B137" i="5"/>
  <c r="J132" i="5"/>
  <c r="J127" i="5"/>
  <c r="F123" i="5"/>
  <c r="J118" i="5"/>
  <c r="J113" i="5"/>
  <c r="I110" i="5"/>
  <c r="L107" i="5"/>
  <c r="L105" i="5"/>
  <c r="B103" i="5"/>
  <c r="E100" i="5"/>
  <c r="E98" i="5"/>
  <c r="G95" i="5"/>
  <c r="J92" i="5"/>
  <c r="E90" i="5"/>
  <c r="M87" i="5"/>
  <c r="K85" i="5"/>
  <c r="E84" i="5"/>
  <c r="G82" i="5"/>
  <c r="K80" i="5"/>
  <c r="H79" i="5"/>
  <c r="L77" i="5"/>
  <c r="D76" i="5"/>
  <c r="L74" i="5"/>
  <c r="D73" i="5"/>
  <c r="H71" i="5"/>
  <c r="D70" i="5"/>
  <c r="H68" i="5"/>
  <c r="M66" i="5"/>
  <c r="K65" i="5"/>
  <c r="E64" i="5"/>
  <c r="K62" i="5"/>
  <c r="I61" i="5"/>
  <c r="G153" i="5"/>
  <c r="G148" i="5"/>
  <c r="C144" i="5"/>
  <c r="G139" i="5"/>
  <c r="G134" i="5"/>
  <c r="C130" i="5"/>
  <c r="K125" i="5"/>
  <c r="K120" i="5"/>
  <c r="C116" i="5"/>
  <c r="C112" i="5"/>
  <c r="F109" i="5"/>
  <c r="I106" i="5"/>
  <c r="D104" i="5"/>
  <c r="F101" i="5"/>
  <c r="I98" i="5"/>
  <c r="I96" i="5"/>
  <c r="K93" i="5"/>
  <c r="B91" i="5"/>
  <c r="M88" i="5"/>
  <c r="I86" i="5"/>
  <c r="K84" i="5"/>
  <c r="E83" i="5"/>
  <c r="H81" i="5"/>
  <c r="L79" i="5"/>
  <c r="H78" i="5"/>
  <c r="L76" i="5"/>
  <c r="D75" i="5"/>
  <c r="M73" i="5"/>
  <c r="E72" i="5"/>
  <c r="I70" i="5"/>
  <c r="E69" i="5"/>
  <c r="I67" i="5"/>
  <c r="C66" i="5"/>
  <c r="M64" i="5"/>
  <c r="G63" i="5"/>
  <c r="M61" i="5"/>
  <c r="K60" i="5"/>
  <c r="E59" i="5"/>
  <c r="K57" i="5"/>
  <c r="I56" i="5"/>
  <c r="E55" i="5"/>
  <c r="D54" i="5"/>
  <c r="C53" i="5"/>
  <c r="K51" i="5"/>
  <c r="K50" i="5"/>
  <c r="K49" i="5"/>
  <c r="I48" i="5"/>
  <c r="I47" i="5"/>
  <c r="I46" i="5"/>
  <c r="I45" i="5"/>
  <c r="G44" i="5"/>
  <c r="H43" i="5"/>
  <c r="I42" i="5"/>
  <c r="J41" i="5"/>
  <c r="K40" i="5"/>
  <c r="L39" i="5"/>
  <c r="B39" i="5"/>
  <c r="D38" i="5"/>
  <c r="F37" i="5"/>
  <c r="H36" i="5"/>
  <c r="J35" i="5"/>
  <c r="L34" i="5"/>
  <c r="B34" i="5"/>
  <c r="D33" i="5"/>
  <c r="F32" i="5"/>
  <c r="H31" i="5"/>
  <c r="J30" i="5"/>
  <c r="L29" i="5"/>
  <c r="B29" i="5"/>
  <c r="D28" i="5"/>
  <c r="F27" i="5"/>
  <c r="H26" i="5"/>
  <c r="J25" i="5"/>
  <c r="L24" i="5"/>
  <c r="B24" i="5"/>
  <c r="D23" i="5"/>
  <c r="F22" i="5"/>
  <c r="H21" i="5"/>
  <c r="J20" i="5"/>
  <c r="L19" i="5"/>
  <c r="B19" i="5"/>
  <c r="D18" i="5"/>
  <c r="F17" i="5"/>
  <c r="H16" i="5"/>
  <c r="J15" i="5"/>
  <c r="E155" i="5"/>
  <c r="I146" i="5"/>
  <c r="M136" i="5"/>
  <c r="I127" i="5"/>
  <c r="I118" i="5"/>
  <c r="H110" i="5"/>
  <c r="K105" i="5"/>
  <c r="D100" i="5"/>
  <c r="F95" i="5"/>
  <c r="D90" i="5"/>
  <c r="J85" i="5"/>
  <c r="F82" i="5"/>
  <c r="F79" i="5"/>
  <c r="B76" i="5"/>
  <c r="C73" i="5"/>
  <c r="C70" i="5"/>
  <c r="L66" i="5"/>
  <c r="D64" i="5"/>
  <c r="H61" i="5"/>
  <c r="F59" i="5"/>
  <c r="L56" i="5"/>
  <c r="L54" i="5"/>
  <c r="D53" i="5"/>
  <c r="B51" i="5"/>
  <c r="D49" i="5"/>
  <c r="J47" i="5"/>
  <c r="L45" i="5"/>
  <c r="B44" i="5"/>
  <c r="J42" i="5"/>
  <c r="B41" i="5"/>
  <c r="G39" i="5"/>
  <c r="E38" i="5"/>
  <c r="K36" i="5"/>
  <c r="E35" i="5"/>
  <c r="C34" i="5"/>
  <c r="I32" i="5"/>
  <c r="C31" i="5"/>
  <c r="M29" i="5"/>
  <c r="G28" i="5"/>
  <c r="M26" i="5"/>
  <c r="K25" i="5"/>
  <c r="E24" i="5"/>
  <c r="K22" i="5"/>
  <c r="I21" i="5"/>
  <c r="C20" i="5"/>
  <c r="I18" i="5"/>
  <c r="G17" i="5"/>
  <c r="M15" i="5"/>
  <c r="L14" i="5"/>
  <c r="B14" i="5"/>
  <c r="D13" i="5"/>
  <c r="F12" i="5"/>
  <c r="H11" i="5"/>
  <c r="J10" i="5"/>
  <c r="C154" i="5"/>
  <c r="C145" i="5"/>
  <c r="K135" i="5"/>
  <c r="C126" i="5"/>
  <c r="G117" i="5"/>
  <c r="G110" i="5"/>
  <c r="M104" i="5"/>
  <c r="C100" i="5"/>
  <c r="M94" i="5"/>
  <c r="F89" i="5"/>
  <c r="I85" i="5"/>
  <c r="E82" i="5"/>
  <c r="M78" i="5"/>
  <c r="M75" i="5"/>
  <c r="B73" i="5"/>
  <c r="J69" i="5"/>
  <c r="K66" i="5"/>
  <c r="C64" i="5"/>
  <c r="C61" i="5"/>
  <c r="I58" i="5"/>
  <c r="K56" i="5"/>
  <c r="K54" i="5"/>
  <c r="H52" i="5"/>
  <c r="M50" i="5"/>
  <c r="C49" i="5"/>
  <c r="E47" i="5"/>
  <c r="K45" i="5"/>
  <c r="M43" i="5"/>
  <c r="E42" i="5"/>
  <c r="M40" i="5"/>
  <c r="F39" i="5"/>
  <c r="L37" i="5"/>
  <c r="J36" i="5"/>
  <c r="D35" i="5"/>
  <c r="J33" i="5"/>
  <c r="H32" i="5"/>
  <c r="B31" i="5"/>
  <c r="H29" i="5"/>
  <c r="F28" i="5"/>
  <c r="L26" i="5"/>
  <c r="F25" i="5"/>
  <c r="D24" i="5"/>
  <c r="J22" i="5"/>
  <c r="D21" i="5"/>
  <c r="B20" i="5"/>
  <c r="H18" i="5"/>
  <c r="B17" i="5"/>
  <c r="L15" i="5"/>
  <c r="K14" i="5"/>
  <c r="M13" i="5"/>
  <c r="C13" i="5"/>
  <c r="E12" i="5"/>
  <c r="G11" i="5"/>
  <c r="I10" i="5"/>
  <c r="J153" i="5"/>
  <c r="F144" i="5"/>
  <c r="F135" i="5"/>
  <c r="B126" i="5"/>
  <c r="J116" i="5"/>
  <c r="F110" i="5"/>
  <c r="K104" i="5"/>
  <c r="B100" i="5"/>
  <c r="K94" i="5"/>
  <c r="E89" i="5"/>
  <c r="H85" i="5"/>
  <c r="D82" i="5"/>
  <c r="L78" i="5"/>
  <c r="L75" i="5"/>
  <c r="M72" i="5"/>
  <c r="I69" i="5"/>
  <c r="J66" i="5"/>
  <c r="B64" i="5"/>
  <c r="B61" i="5"/>
  <c r="H58" i="5"/>
  <c r="J56" i="5"/>
  <c r="G54" i="5"/>
  <c r="G52" i="5"/>
  <c r="L50" i="5"/>
  <c r="B49" i="5"/>
  <c r="B47" i="5"/>
  <c r="J45" i="5"/>
  <c r="K43" i="5"/>
  <c r="C42" i="5"/>
  <c r="L40" i="5"/>
  <c r="E39" i="5"/>
  <c r="K37" i="5"/>
  <c r="I36" i="5"/>
  <c r="C35" i="5"/>
  <c r="I33" i="5"/>
  <c r="G32" i="5"/>
  <c r="M30" i="5"/>
  <c r="G29" i="5"/>
  <c r="E28" i="5"/>
  <c r="K26" i="5"/>
  <c r="E25" i="5"/>
  <c r="C24" i="5"/>
  <c r="I22" i="5"/>
  <c r="C21" i="5"/>
  <c r="M19" i="5"/>
  <c r="G18" i="5"/>
  <c r="M16" i="5"/>
  <c r="K15" i="5"/>
  <c r="J14" i="5"/>
  <c r="L13" i="5"/>
  <c r="B13" i="5"/>
  <c r="D12" i="5"/>
  <c r="F11" i="5"/>
  <c r="H10" i="5"/>
  <c r="I153" i="5"/>
  <c r="E144" i="5"/>
  <c r="E135" i="5"/>
  <c r="M125" i="5"/>
  <c r="I116" i="5"/>
  <c r="H109" i="5"/>
  <c r="J104" i="5"/>
  <c r="H99" i="5"/>
  <c r="M93" i="5"/>
  <c r="D89" i="5"/>
  <c r="G85" i="5"/>
  <c r="J81" i="5"/>
  <c r="K78" i="5"/>
  <c r="K75" i="5"/>
  <c r="G72" i="5"/>
  <c r="H69" i="5"/>
  <c r="I66" i="5"/>
  <c r="I63" i="5"/>
  <c r="M60" i="5"/>
  <c r="G58" i="5"/>
  <c r="B56" i="5"/>
  <c r="F54" i="5"/>
  <c r="F52" i="5"/>
  <c r="E50" i="5"/>
  <c r="M48" i="5"/>
  <c r="M46" i="5"/>
  <c r="C45" i="5"/>
  <c r="J43" i="5"/>
  <c r="B42" i="5"/>
  <c r="F40" i="5"/>
  <c r="D39" i="5"/>
  <c r="J37" i="5"/>
  <c r="D36" i="5"/>
  <c r="B35" i="5"/>
  <c r="H33" i="5"/>
  <c r="B32" i="5"/>
  <c r="L30" i="5"/>
  <c r="F29" i="5"/>
  <c r="L27" i="5"/>
  <c r="J26" i="5"/>
  <c r="D25" i="5"/>
  <c r="J23" i="5"/>
  <c r="H22" i="5"/>
  <c r="B21" i="5"/>
  <c r="H19" i="5"/>
  <c r="F18" i="5"/>
  <c r="L16" i="5"/>
  <c r="G15" i="5"/>
  <c r="I14" i="5"/>
  <c r="K13" i="5"/>
  <c r="M12" i="5"/>
  <c r="C12" i="5"/>
  <c r="E11" i="5"/>
  <c r="G10" i="5"/>
  <c r="H153" i="5"/>
  <c r="D144" i="5"/>
  <c r="H134" i="5"/>
  <c r="L125" i="5"/>
  <c r="D116" i="5"/>
  <c r="G109" i="5"/>
  <c r="I104" i="5"/>
  <c r="G99" i="5"/>
  <c r="L93" i="5"/>
  <c r="C89" i="5"/>
  <c r="F85" i="5"/>
  <c r="I81" i="5"/>
  <c r="J78" i="5"/>
  <c r="J75" i="5"/>
  <c r="F72" i="5"/>
  <c r="F69" i="5"/>
  <c r="H66" i="5"/>
  <c r="H63" i="5"/>
  <c r="L60" i="5"/>
  <c r="F58" i="5"/>
  <c r="M55" i="5"/>
  <c r="E54" i="5"/>
  <c r="E52" i="5"/>
  <c r="D50" i="5"/>
  <c r="J48" i="5"/>
  <c r="L46" i="5"/>
  <c r="B45" i="5"/>
  <c r="I43" i="5"/>
  <c r="M41" i="5"/>
  <c r="E40" i="5"/>
  <c r="C39" i="5"/>
  <c r="I37" i="5"/>
  <c r="C36" i="5"/>
  <c r="M34" i="5"/>
  <c r="G33" i="5"/>
  <c r="M31" i="5"/>
  <c r="K30" i="5"/>
  <c r="E29" i="5"/>
  <c r="K27" i="5"/>
  <c r="I26" i="5"/>
  <c r="C25" i="5"/>
  <c r="I23" i="5"/>
  <c r="M150" i="5"/>
  <c r="I141" i="5"/>
  <c r="I132" i="5"/>
  <c r="E123" i="5"/>
  <c r="I113" i="5"/>
  <c r="K107" i="5"/>
  <c r="M102" i="5"/>
  <c r="C98" i="5"/>
  <c r="I92" i="5"/>
  <c r="I87" i="5"/>
  <c r="D84" i="5"/>
  <c r="J80" i="5"/>
  <c r="J77" i="5"/>
  <c r="K74" i="5"/>
  <c r="G71" i="5"/>
  <c r="G68" i="5"/>
  <c r="J65" i="5"/>
  <c r="J62" i="5"/>
  <c r="C60" i="5"/>
  <c r="H148" i="5"/>
  <c r="H139" i="5"/>
  <c r="D130" i="5"/>
  <c r="L120" i="5"/>
  <c r="D112" i="5"/>
  <c r="G107" i="5"/>
  <c r="L101" i="5"/>
  <c r="J96" i="5"/>
  <c r="L91" i="5"/>
  <c r="J86" i="5"/>
  <c r="F83" i="5"/>
  <c r="F80" i="5"/>
  <c r="B77" i="5"/>
  <c r="B74" i="5"/>
  <c r="B71" i="5"/>
  <c r="J67" i="5"/>
  <c r="B65" i="5"/>
  <c r="F62" i="5"/>
  <c r="G59" i="5"/>
  <c r="M56" i="5"/>
  <c r="M54" i="5"/>
  <c r="E53" i="5"/>
  <c r="C51" i="5"/>
  <c r="E49" i="5"/>
  <c r="K47" i="5"/>
  <c r="M45" i="5"/>
  <c r="C44" i="5"/>
  <c r="K42" i="5"/>
  <c r="C41" i="5"/>
  <c r="H39" i="5"/>
  <c r="F38" i="5"/>
  <c r="L36" i="5"/>
  <c r="F35" i="5"/>
  <c r="D34" i="5"/>
  <c r="J32" i="5"/>
  <c r="D31" i="5"/>
  <c r="B30" i="5"/>
  <c r="H28" i="5"/>
  <c r="B27" i="5"/>
  <c r="L25" i="5"/>
  <c r="F24" i="5"/>
  <c r="L22" i="5"/>
  <c r="J21" i="5"/>
  <c r="D20" i="5"/>
  <c r="J18" i="5"/>
  <c r="H17" i="5"/>
  <c r="B16" i="5"/>
  <c r="M14" i="5"/>
  <c r="C14" i="5"/>
  <c r="E13" i="5"/>
  <c r="G12" i="5"/>
  <c r="I11" i="5"/>
  <c r="K10" i="5"/>
  <c r="G149" i="5"/>
  <c r="J121" i="5"/>
  <c r="M101" i="5"/>
  <c r="K83" i="5"/>
  <c r="D74" i="5"/>
  <c r="C65" i="5"/>
  <c r="F57" i="5"/>
  <c r="L51" i="5"/>
  <c r="L47" i="5"/>
  <c r="C43" i="5"/>
  <c r="M39" i="5"/>
  <c r="M35" i="5"/>
  <c r="K32" i="5"/>
  <c r="C29" i="5"/>
  <c r="M25" i="5"/>
  <c r="B22" i="5"/>
  <c r="F19" i="5"/>
  <c r="J16" i="5"/>
  <c r="G14" i="5"/>
  <c r="K12" i="5"/>
  <c r="C11" i="5"/>
  <c r="F149" i="5"/>
  <c r="I121" i="5"/>
  <c r="E97" i="5"/>
  <c r="J83" i="5"/>
  <c r="C74" i="5"/>
  <c r="I62" i="5"/>
  <c r="L55" i="5"/>
  <c r="G51" i="5"/>
  <c r="K46" i="5"/>
  <c r="M42" i="5"/>
  <c r="J38" i="5"/>
  <c r="L35" i="5"/>
  <c r="L31" i="5"/>
  <c r="J28" i="5"/>
  <c r="B25" i="5"/>
  <c r="M21" i="5"/>
  <c r="E19" i="5"/>
  <c r="I16" i="5"/>
  <c r="F14" i="5"/>
  <c r="J12" i="5"/>
  <c r="B11" i="5"/>
  <c r="E149" i="5"/>
  <c r="H112" i="5"/>
  <c r="D97" i="5"/>
  <c r="G83" i="5"/>
  <c r="F71" i="5"/>
  <c r="H62" i="5"/>
  <c r="K55" i="5"/>
  <c r="D51" i="5"/>
  <c r="J46" i="5"/>
  <c r="L42" i="5"/>
  <c r="I38" i="5"/>
  <c r="K35" i="5"/>
  <c r="K31" i="5"/>
  <c r="I28" i="5"/>
  <c r="M24" i="5"/>
  <c r="L21" i="5"/>
  <c r="D19" i="5"/>
  <c r="D16" i="5"/>
  <c r="E14" i="5"/>
  <c r="I12" i="5"/>
  <c r="M10" i="5"/>
  <c r="C140" i="5"/>
  <c r="G112" i="5"/>
  <c r="K96" i="5"/>
  <c r="I80" i="5"/>
  <c r="E71" i="5"/>
  <c r="G62" i="5"/>
  <c r="J55" i="5"/>
  <c r="C50" i="5"/>
  <c r="C46" i="5"/>
  <c r="L41" i="5"/>
  <c r="H38" i="5"/>
  <c r="H34" i="5"/>
  <c r="J31" i="5"/>
  <c r="J27" i="5"/>
  <c r="H24" i="5"/>
  <c r="K21" i="5"/>
  <c r="C19" i="5"/>
  <c r="C16" i="5"/>
  <c r="D14" i="5"/>
  <c r="H12" i="5"/>
  <c r="L10" i="5"/>
  <c r="K121" i="5"/>
  <c r="K102" i="5"/>
  <c r="K86" i="5"/>
  <c r="E74" i="5"/>
  <c r="D65" i="5"/>
  <c r="G57" i="5"/>
  <c r="M51" i="5"/>
  <c r="C48" i="5"/>
  <c r="D43" i="5"/>
  <c r="B40" i="5"/>
  <c r="B36" i="5"/>
  <c r="L32" i="5"/>
  <c r="D29" i="5"/>
  <c r="B26" i="5"/>
  <c r="G22" i="5"/>
  <c r="G19" i="5"/>
  <c r="K16" i="5"/>
  <c r="H14" i="5"/>
  <c r="L12" i="5"/>
  <c r="D11" i="5"/>
  <c r="B140" i="5"/>
  <c r="C92" i="5"/>
  <c r="D71" i="5"/>
  <c r="I55" i="5"/>
  <c r="B46" i="5"/>
  <c r="G38" i="5"/>
  <c r="I31" i="5"/>
  <c r="G24" i="5"/>
  <c r="E18" i="5"/>
  <c r="J13" i="5"/>
  <c r="F10" i="5"/>
  <c r="M139" i="5"/>
  <c r="B92" i="5"/>
  <c r="F68" i="5"/>
  <c r="I53" i="5"/>
  <c r="M44" i="5"/>
  <c r="H37" i="5"/>
  <c r="F30" i="5"/>
  <c r="H23" i="5"/>
  <c r="L17" i="5"/>
  <c r="I13" i="5"/>
  <c r="E10" i="5"/>
  <c r="C131" i="5"/>
  <c r="M91" i="5"/>
  <c r="E68" i="5"/>
  <c r="H53" i="5"/>
  <c r="L44" i="5"/>
  <c r="G37" i="5"/>
  <c r="E30" i="5"/>
  <c r="G23" i="5"/>
  <c r="K17" i="5"/>
  <c r="H13" i="5"/>
  <c r="D10" i="5"/>
  <c r="F130" i="5"/>
  <c r="H87" i="5"/>
  <c r="L67" i="5"/>
  <c r="G53" i="5"/>
  <c r="K44" i="5"/>
  <c r="B37" i="5"/>
  <c r="D30" i="5"/>
  <c r="F23" i="5"/>
  <c r="J17" i="5"/>
  <c r="G13" i="5"/>
  <c r="C10" i="5"/>
  <c r="L102" i="5"/>
  <c r="C77" i="5"/>
  <c r="D58" i="5"/>
  <c r="D48" i="5"/>
  <c r="C40" i="5"/>
  <c r="E33" i="5"/>
  <c r="C26" i="5"/>
  <c r="E20" i="5"/>
  <c r="B15" i="5"/>
  <c r="J11" i="5"/>
  <c r="E130" i="5"/>
  <c r="E65" i="5"/>
  <c r="H44" i="5"/>
  <c r="C30" i="5"/>
  <c r="I17" i="5"/>
  <c r="B10" i="5"/>
  <c r="E112" i="5"/>
  <c r="B60" i="5"/>
  <c r="K41" i="5"/>
  <c r="I27" i="5"/>
  <c r="F15" i="5"/>
  <c r="J107" i="5"/>
  <c r="M59" i="5"/>
  <c r="E41" i="5"/>
  <c r="H27" i="5"/>
  <c r="E15" i="5"/>
  <c r="I107" i="5"/>
  <c r="L59" i="5"/>
  <c r="D41" i="5"/>
  <c r="G27" i="5"/>
  <c r="D15" i="5"/>
  <c r="H77" i="5"/>
  <c r="E48" i="5"/>
  <c r="F33" i="5"/>
  <c r="F20" i="5"/>
  <c r="K11" i="5"/>
  <c r="H107" i="5"/>
  <c r="D40" i="5"/>
  <c r="C15" i="5"/>
  <c r="G87" i="5"/>
  <c r="M36" i="5"/>
  <c r="F13" i="5"/>
  <c r="H80" i="5"/>
  <c r="G34" i="5"/>
  <c r="B12" i="5"/>
  <c r="G80" i="5"/>
  <c r="F34" i="5"/>
  <c r="M11" i="5"/>
  <c r="I77" i="5"/>
  <c r="E34" i="5"/>
  <c r="L11" i="5"/>
  <c r="E58" i="5"/>
  <c r="D26" i="5"/>
  <c r="F53" i="5"/>
  <c r="E23" i="5"/>
  <c r="B50" i="5"/>
  <c r="M20" i="5"/>
  <c r="M49" i="5"/>
  <c r="L20" i="5"/>
  <c r="L49" i="5"/>
  <c r="K20" i="5"/>
  <c r="E6" i="4"/>
  <c r="K6" i="4" s="1"/>
  <c r="L20" i="2"/>
  <c r="E6" i="2"/>
  <c r="K14" i="2"/>
  <c r="L16" i="2"/>
  <c r="M18" i="2"/>
  <c r="M20" i="2"/>
  <c r="B23" i="2"/>
  <c r="B25" i="2"/>
  <c r="D27" i="2"/>
  <c r="E29" i="2"/>
  <c r="J31" i="2"/>
  <c r="C34" i="2"/>
  <c r="F37" i="2"/>
  <c r="D41" i="2"/>
  <c r="E45" i="2"/>
  <c r="D52" i="2"/>
  <c r="J58" i="2"/>
  <c r="E65" i="2"/>
  <c r="L71" i="2"/>
  <c r="G78" i="2"/>
  <c r="M85" i="2"/>
  <c r="H95" i="2"/>
  <c r="C105" i="2"/>
  <c r="D115" i="2"/>
  <c r="H125" i="2"/>
  <c r="G138" i="2"/>
  <c r="E156" i="2"/>
</calcChain>
</file>

<file path=xl/sharedStrings.xml><?xml version="1.0" encoding="utf-8"?>
<sst xmlns="http://schemas.openxmlformats.org/spreadsheetml/2006/main" count="218" uniqueCount="83">
  <si>
    <t>VENTAS GRANEL ECOGAS SPA</t>
  </si>
  <si>
    <t>Fecha</t>
  </si>
  <si>
    <t>Nombre Cliente</t>
  </si>
  <si>
    <t>Camión</t>
  </si>
  <si>
    <t>Vende</t>
  </si>
  <si>
    <t>Dirección</t>
  </si>
  <si>
    <t>Precio</t>
  </si>
  <si>
    <t>Litros</t>
  </si>
  <si>
    <t>Total</t>
  </si>
  <si>
    <t>Medio de pago</t>
  </si>
  <si>
    <t>Comisiones</t>
  </si>
  <si>
    <t>Observación</t>
  </si>
  <si>
    <t>_Idx_CJ</t>
  </si>
  <si>
    <t>_Idx_Ignacio</t>
  </si>
  <si>
    <t>_Idx_Tripulacion</t>
  </si>
  <si>
    <t>_Idx_ENAP carga</t>
  </si>
  <si>
    <t>VJYL61</t>
  </si>
  <si>
    <t>ENAP carga</t>
  </si>
  <si>
    <t>Ignacio Guerrero</t>
  </si>
  <si>
    <t>Ignacio</t>
  </si>
  <si>
    <t>Extraccion</t>
  </si>
  <si>
    <t>Ricardo Brisas del Raco</t>
  </si>
  <si>
    <t>CJ</t>
  </si>
  <si>
    <t>Brisas del Raco</t>
  </si>
  <si>
    <t>Tarjeta</t>
  </si>
  <si>
    <t>Comision Pagada</t>
  </si>
  <si>
    <t>Ale Turko</t>
  </si>
  <si>
    <t>Pendiente de pago</t>
  </si>
  <si>
    <t xml:space="preserve">Tirua </t>
  </si>
  <si>
    <t xml:space="preserve">Ciao Italia </t>
  </si>
  <si>
    <t xml:space="preserve">Claudio Ulloa </t>
  </si>
  <si>
    <t>Francisco Ulloa</t>
  </si>
  <si>
    <t>Alicia Pavez</t>
  </si>
  <si>
    <t>Transferencia</t>
  </si>
  <si>
    <t xml:space="preserve">Vanessa </t>
  </si>
  <si>
    <t>Franco Garcia</t>
  </si>
  <si>
    <t>Tripulacion</t>
  </si>
  <si>
    <t>Santa Rita 1177 parcela 14 Pirque</t>
  </si>
  <si>
    <t>Simon</t>
  </si>
  <si>
    <t>Camino el Chalaco 66B</t>
  </si>
  <si>
    <t>Factura</t>
  </si>
  <si>
    <t>Ebal spa - RUT: 77.625.623-4 - Av Gabriela 3264 La Pintana - Giro Construccion</t>
  </si>
  <si>
    <t>Manuel Vergara Ricci</t>
  </si>
  <si>
    <t>Avenida Virginia subercaseaux 4175 (parcela 15)</t>
  </si>
  <si>
    <t>Gabriela Rojas</t>
  </si>
  <si>
    <t>Camino de las flores 1262 Pirque</t>
  </si>
  <si>
    <t>Transferencia en dos</t>
  </si>
  <si>
    <t>Quedó saldo de $35 mil para mañana</t>
  </si>
  <si>
    <t>Casa de Reposo Brisas</t>
  </si>
  <si>
    <t>Brisas del raco parcela 36 Pirque</t>
  </si>
  <si>
    <t>Residencia Adulto Mayor Amor Eterno SpA - Rut 76.699.397-4 - Los Almendros Parcela2B Pirque</t>
  </si>
  <si>
    <t>Gastronomca Exquisite</t>
  </si>
  <si>
    <t>JP Alesaandri 114 Nuñoa</t>
  </si>
  <si>
    <t>Gastronomica Exquisite SpA - Rut: 77.714.318-2 - JP alessandri 114 Nuñoa</t>
  </si>
  <si>
    <t>Panaderia Maipu</t>
  </si>
  <si>
    <t>Av los carreras 706B, plaza de los porotos</t>
  </si>
  <si>
    <t>Eli Ciao Italia</t>
  </si>
  <si>
    <t>Camino rinconada san Vicente parcela 38</t>
  </si>
  <si>
    <t>Javier Quiroz</t>
  </si>
  <si>
    <t>Condominio majadas C parcela 5</t>
  </si>
  <si>
    <t>VJYL42</t>
  </si>
  <si>
    <t>Guía N° 2356186</t>
  </si>
  <si>
    <t>Guía N° 2356453</t>
  </si>
  <si>
    <t>RESUMEN Y MOVIMIENTOS INDIVIDUALES: CJ (COMISIONISTA JC)</t>
  </si>
  <si>
    <t>Sincronización en tiempo real - Control de Comisiones y Ventas</t>
  </si>
  <si>
    <t>TOTAL LITROS</t>
  </si>
  <si>
    <t>TOTAL VENTAS ($)</t>
  </si>
  <si>
    <t>COMISIONES PAGADAS ($)</t>
  </si>
  <si>
    <t>COMISIONES PENDIENTES ($)</t>
  </si>
  <si>
    <t>PERÍODO COMISIONES PAGADAS:</t>
  </si>
  <si>
    <t>PERÍODO COMISIONES PENDIENTES:</t>
  </si>
  <si>
    <t>Facturación / Detalles</t>
  </si>
  <si>
    <t>RESUMEN Y MOVIMIENTOS INDIVIDUALES: IGNACIO</t>
  </si>
  <si>
    <t>Sincronización en tiempo real con la pestaña 'Detalles movimientos'</t>
  </si>
  <si>
    <t>N° OPERACIONES</t>
  </si>
  <si>
    <t>PRECIO PROMEDIO ($/L)</t>
  </si>
  <si>
    <t>RESUMEN Y MOVIMIENTOS INDIVIDUALES: TRIPULACION</t>
  </si>
  <si>
    <t>RESUMEN Y MOVIMIENTOS INDIVIDUALES: ENAP CARGA</t>
  </si>
  <si>
    <t>COMPRA ENAP</t>
  </si>
  <si>
    <t>Litros Vendidos</t>
  </si>
  <si>
    <t>Total Recaudado</t>
  </si>
  <si>
    <t>Guía N° xxxxx</t>
  </si>
  <si>
    <t>Litros Comprados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</si>
</sst>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yyyy\-mm\-dd"/>
    <numFmt numFmtId="165" formatCode="#,##0.0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0"/>
      <name val="Aptos Narrow"/>
    </font>
    <font>
      <sz val="9"/>
      <color rgb="FFA6A6A6"/>
      <name val="Aptos Narrow"/>
    </font>
    <font>
      <b/>
      <sz val="16"/>
      <color rgb="FF1F4E78"/>
      <name val="Aptos Narrow"/>
    </font>
    <font>
      <i/>
      <sz val="11"/>
      <color rgb="FF595959"/>
      <name val="Aptos Narrow"/>
    </font>
    <font>
      <b/>
      <sz val="10"/>
      <color rgb="FF1F4E78"/>
      <name val="Aptos Narrow"/>
    </font>
    <font>
      <b/>
      <sz val="18"/>
      <color rgb="FF000000"/>
      <name val="Aptos Narrow"/>
    </font>
    <font>
      <b/>
      <sz val="11"/>
      <color rgb="FF000000"/>
      <name val="Aptos Narrow"/>
    </font>
    <font>
      <b/>
      <sz val="11"/>
      <color rgb="FFFFFFFF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2F4F7"/>
        <bgColor rgb="FFF2F4F7"/>
      </patternFill>
    </fill>
    <fill>
      <patternFill patternType="solid">
        <fgColor rgb="FF1F4E78"/>
        <bgColor rgb="FF1F4E78"/>
      </patternFill>
    </fill>
    <fill>
      <patternFill patternType="solid">
        <fgColor theme="3" tint="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medium">
        <color indexed="64"/>
      </top>
      <bottom/>
      <diagonal/>
    </border>
    <border>
      <left/>
      <right style="slantDashDot">
        <color auto="1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slantDashDot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/>
  </cellStyleXfs>
  <cellXfs count="41">
    <xf numFmtId="0" fontId="0" fillId="0" borderId="0" xfId="0"/>
    <xf numFmtId="42" fontId="0" fillId="0" borderId="0" xfId="1" applyFont="1"/>
    <xf numFmtId="0" fontId="0" fillId="0" borderId="1" xfId="0" applyBorder="1"/>
    <xf numFmtId="42" fontId="0" fillId="0" borderId="1" xfId="1" applyFont="1" applyBorder="1"/>
    <xf numFmtId="0" fontId="0" fillId="0" borderId="2" xfId="0" applyBorder="1"/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2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42" fontId="0" fillId="0" borderId="1" xfId="1" applyFont="1" applyBorder="1" applyAlignment="1">
      <alignment horizontal="left"/>
    </xf>
    <xf numFmtId="42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42" fontId="1" fillId="0" borderId="1" xfId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1" fillId="4" borderId="6" xfId="0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42" fontId="4" fillId="0" borderId="6" xfId="0" applyNumberFormat="1" applyFont="1" applyBorder="1" applyAlignment="1">
      <alignment horizontal="right"/>
    </xf>
    <xf numFmtId="165" fontId="4" fillId="0" borderId="6" xfId="0" applyNumberFormat="1" applyFont="1" applyBorder="1" applyAlignment="1">
      <alignment horizontal="right"/>
    </xf>
    <xf numFmtId="42" fontId="0" fillId="0" borderId="0" xfId="0" applyNumberFormat="1"/>
    <xf numFmtId="0" fontId="8" fillId="3" borderId="5" xfId="0" applyFont="1" applyFill="1" applyBorder="1" applyAlignment="1">
      <alignment horizontal="center" vertical="center"/>
    </xf>
    <xf numFmtId="0" fontId="0" fillId="3" borderId="5" xfId="0" applyFill="1" applyBorder="1"/>
    <xf numFmtId="42" fontId="9" fillId="3" borderId="5" xfId="0" applyNumberFormat="1" applyFont="1" applyFill="1" applyBorder="1" applyAlignment="1">
      <alignment horizontal="center" vertical="center"/>
    </xf>
    <xf numFmtId="165" fontId="9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right" vertical="center"/>
    </xf>
    <xf numFmtId="3" fontId="9" fillId="3" borderId="5" xfId="0" applyNumberFormat="1" applyFont="1" applyFill="1" applyBorder="1" applyAlignment="1">
      <alignment horizontal="center" vertical="center"/>
    </xf>
    <xf numFmtId="42" fontId="1" fillId="0" borderId="0" xfId="1"/>
    <xf numFmtId="3" fontId="1" fillId="0" borderId="0" xfId="1" applyNumberFormat="1"/>
    <xf numFmtId="0" fontId="2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3" fontId="1" fillId="0" borderId="1" xfId="1" applyNumberFormat="1" applyBorder="1"/>
    <xf numFmtId="0" fontId="3" fillId="5" borderId="4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T1000"/>
  <sheetViews>
    <sheetView showGridLines="0" tabSelected="1" topLeftCell="G1" zoomScale="110" zoomScaleNormal="110" workbookViewId="0">
      <selection activeCell="G6" sqref="G6"/>
    </sheetView>
  </sheetViews>
  <sheetFormatPr baseColWidth="10" defaultRowHeight="16" x14ac:dyDescent="0.2"/>
  <cols>
    <col min="1" max="2" width="4.5" customWidth="1"/>
    <col min="3" max="3" width="10" customWidth="1"/>
    <col min="4" max="4" width="20.33203125" bestFit="1" customWidth="1"/>
    <col min="5" max="5" width="18.6640625" bestFit="1" customWidth="1"/>
    <col min="6" max="6" width="18.6640625" customWidth="1"/>
    <col min="7" max="7" width="40.6640625" bestFit="1" customWidth="1"/>
    <col min="8" max="8" width="7.5" bestFit="1" customWidth="1"/>
    <col min="9" max="9" width="15.33203125" bestFit="1" customWidth="1"/>
    <col min="10" max="10" width="17" bestFit="1" customWidth="1"/>
    <col min="11" max="11" width="17.83203125" bestFit="1" customWidth="1"/>
    <col min="12" max="12" width="17.83203125" customWidth="1"/>
    <col min="13" max="13" width="31.33203125" bestFit="1" customWidth="1"/>
    <col min="14" max="14" width="31.33203125" style="31" customWidth="1"/>
    <col min="15" max="15" width="31.33203125" style="32" customWidth="1"/>
    <col min="17" max="20" width="13" hidden="1" customWidth="1"/>
  </cols>
  <sheetData>
    <row r="1" spans="3:20" x14ac:dyDescent="0.2">
      <c r="N1"/>
      <c r="O1"/>
    </row>
    <row r="2" spans="3:20" ht="23" customHeight="1" x14ac:dyDescent="0.2">
      <c r="C2" s="38" t="s">
        <v>0</v>
      </c>
      <c r="D2" s="39"/>
      <c r="E2" s="39"/>
      <c r="F2" s="39"/>
      <c r="G2" s="39"/>
      <c r="H2" s="39"/>
      <c r="I2" s="39"/>
      <c r="J2" s="39"/>
      <c r="K2" s="39"/>
      <c r="L2" s="39"/>
      <c r="M2" s="40"/>
      <c r="N2" s="39"/>
      <c r="O2" s="39"/>
    </row>
    <row r="3" spans="3:20" ht="17" customHeight="1" thickBot="1" x14ac:dyDescent="0.25">
      <c r="N3"/>
      <c r="O3"/>
    </row>
    <row r="4" spans="3:20" ht="19" customHeight="1" x14ac:dyDescent="0.25"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79</v>
      </c>
      <c r="J4" s="5" t="s">
        <v>80</v>
      </c>
      <c r="K4" s="5" t="s">
        <v>9</v>
      </c>
      <c r="L4" s="5" t="s">
        <v>10</v>
      </c>
      <c r="M4" s="33" t="s">
        <v>11</v>
      </c>
      <c r="N4" s="36" t="s">
        <v>78</v>
      </c>
      <c r="O4" s="36" t="s">
        <v>82</v>
      </c>
      <c r="Q4" s="14" t="s">
        <v>12</v>
      </c>
      <c r="R4" s="14" t="s">
        <v>13</v>
      </c>
      <c r="S4" s="14" t="s">
        <v>14</v>
      </c>
      <c r="T4" s="14" t="s">
        <v>15</v>
      </c>
    </row>
    <row r="5" spans="3:20" x14ac:dyDescent="0.2">
      <c r="C5" s="8">
        <v>46226</v>
      </c>
      <c r="D5" s="2" t="s">
        <v>17</v>
      </c>
      <c r="E5" s="6" t="s">
        <v>16</v>
      </c>
      <c r="F5" s="6" t="s">
        <v>17</v>
      </c>
      <c r="G5" s="2"/>
      <c r="H5" s="3"/>
      <c r="I5" s="6">
        <v>11481</v>
      </c>
      <c r="J5" s="7"/>
      <c r="K5" s="2" t="s">
        <v>17</v>
      </c>
      <c r="L5" s="7" t="str">
        <f>IF(F5="CJ", I5*200, "")</f>
        <v/>
      </c>
      <c r="M5" s="34" t="s">
        <v>81</v>
      </c>
      <c r="N5" s="13">
        <v>3836889</v>
      </c>
      <c r="O5" s="37">
        <v>11481</v>
      </c>
      <c r="Q5" t="str">
        <f>IF(F5="CJ", COUNTIF(F$5:F5, "CJ"), "")</f>
        <v/>
      </c>
      <c r="R5" t="str">
        <f>IF(F5="Ignacio", COUNTIF(F$5:F5, "Ignacio"), "")</f>
        <v/>
      </c>
      <c r="S5" t="str">
        <f>IF(F5="Tripulacion", COUNTIF(F$5:F5, "Tripulacion"), "")</f>
        <v/>
      </c>
      <c r="T5">
        <f>IF(F5="ENAP carga", COUNTIF(F$5:F5, "ENAP carga"), "")</f>
        <v>1</v>
      </c>
    </row>
    <row r="6" spans="3:20" x14ac:dyDescent="0.2">
      <c r="C6" s="8">
        <v>46230</v>
      </c>
      <c r="D6" s="2" t="s">
        <v>18</v>
      </c>
      <c r="E6" s="6" t="s">
        <v>16</v>
      </c>
      <c r="F6" s="6" t="s">
        <v>19</v>
      </c>
      <c r="G6" s="2"/>
      <c r="H6" s="3"/>
      <c r="I6" s="6">
        <v>1403</v>
      </c>
      <c r="J6" s="7"/>
      <c r="K6" s="2" t="s">
        <v>20</v>
      </c>
      <c r="L6" s="7" t="str">
        <f>IF(F6="CJ", I6*200, "")</f>
        <v/>
      </c>
      <c r="M6" s="34" t="s">
        <v>20</v>
      </c>
      <c r="N6" s="13"/>
      <c r="O6" s="37"/>
      <c r="Q6" t="str">
        <f>IF(F6="CJ", COUNTIF(F$5:F6, "CJ"), "")</f>
        <v/>
      </c>
      <c r="R6">
        <f>IF(F6="Ignacio", COUNTIF(F$5:F6, "Ignacio"), "")</f>
        <v>1</v>
      </c>
      <c r="S6" t="str">
        <f>IF(F6="Tripulacion", COUNTIF(F$5:F6, "Tripulacion"), "")</f>
        <v/>
      </c>
      <c r="T6" t="str">
        <f>IF(F6="ENAP carga", COUNTIF(F$5:F6, "ENAP carga"), "")</f>
        <v/>
      </c>
    </row>
    <row r="7" spans="3:20" x14ac:dyDescent="0.2">
      <c r="C7" s="8">
        <v>46230</v>
      </c>
      <c r="D7" s="2" t="s">
        <v>21</v>
      </c>
      <c r="E7" s="6" t="s">
        <v>16</v>
      </c>
      <c r="F7" s="6" t="s">
        <v>22</v>
      </c>
      <c r="G7" s="2" t="s">
        <v>23</v>
      </c>
      <c r="H7" s="3">
        <v>1000</v>
      </c>
      <c r="I7" s="6">
        <v>179.2</v>
      </c>
      <c r="J7" s="7">
        <f t="shared" ref="J7:J18" si="0">H7*I7</f>
        <v>179200</v>
      </c>
      <c r="K7" s="2" t="s">
        <v>24</v>
      </c>
      <c r="L7" s="13">
        <f t="shared" ref="L7:L13" si="1">I7*200</f>
        <v>35840</v>
      </c>
      <c r="M7" s="34" t="s">
        <v>25</v>
      </c>
      <c r="N7" s="13"/>
      <c r="O7" s="37"/>
      <c r="Q7">
        <f>IF(F7="CJ", COUNTIF(F$5:F7, "CJ"), "")</f>
        <v>1</v>
      </c>
      <c r="R7" t="str">
        <f>IF(F7="Ignacio", COUNTIF(F$5:F7, "Ignacio"), "")</f>
        <v/>
      </c>
      <c r="S7" t="str">
        <f>IF(F7="Tripulacion", COUNTIF(F$5:F7, "Tripulacion"), "")</f>
        <v/>
      </c>
      <c r="T7" t="str">
        <f>IF(F7="ENAP carga", COUNTIF(F$5:F7, "ENAP carga"), "")</f>
        <v/>
      </c>
    </row>
    <row r="8" spans="3:20" x14ac:dyDescent="0.2">
      <c r="C8" s="8">
        <v>46230</v>
      </c>
      <c r="D8" s="2" t="s">
        <v>26</v>
      </c>
      <c r="E8" s="6" t="s">
        <v>16</v>
      </c>
      <c r="F8" s="6" t="s">
        <v>22</v>
      </c>
      <c r="G8" s="2"/>
      <c r="H8" s="3">
        <v>1000</v>
      </c>
      <c r="I8" s="6">
        <v>518.1</v>
      </c>
      <c r="J8" s="7">
        <f t="shared" si="0"/>
        <v>518100</v>
      </c>
      <c r="K8" s="2" t="s">
        <v>27</v>
      </c>
      <c r="L8" s="13">
        <f t="shared" si="1"/>
        <v>103620</v>
      </c>
      <c r="M8" s="34" t="s">
        <v>25</v>
      </c>
      <c r="N8" s="13"/>
      <c r="O8" s="37"/>
      <c r="Q8">
        <f>IF(F8="CJ", COUNTIF(F$5:F8, "CJ"), "")</f>
        <v>2</v>
      </c>
      <c r="R8" t="str">
        <f>IF(F8="Ignacio", COUNTIF(F$5:F8, "Ignacio"), "")</f>
        <v/>
      </c>
      <c r="S8" t="str">
        <f>IF(F8="Tripulacion", COUNTIF(F$5:F8, "Tripulacion"), "")</f>
        <v/>
      </c>
      <c r="T8" t="str">
        <f>IF(F8="ENAP carga", COUNTIF(F$5:F8, "ENAP carga"), "")</f>
        <v/>
      </c>
    </row>
    <row r="9" spans="3:20" x14ac:dyDescent="0.2">
      <c r="C9" s="8">
        <v>46230</v>
      </c>
      <c r="D9" s="2" t="s">
        <v>28</v>
      </c>
      <c r="E9" s="6" t="s">
        <v>16</v>
      </c>
      <c r="F9" s="6" t="s">
        <v>22</v>
      </c>
      <c r="G9" s="2"/>
      <c r="H9" s="3">
        <v>1000</v>
      </c>
      <c r="I9" s="6">
        <v>488.2</v>
      </c>
      <c r="J9" s="7">
        <f t="shared" si="0"/>
        <v>488200</v>
      </c>
      <c r="K9" s="2" t="s">
        <v>27</v>
      </c>
      <c r="L9" s="13">
        <f t="shared" si="1"/>
        <v>97640</v>
      </c>
      <c r="M9" s="34" t="s">
        <v>25</v>
      </c>
      <c r="N9" s="13"/>
      <c r="O9" s="37"/>
      <c r="Q9">
        <f>IF(F9="CJ", COUNTIF(F$5:F9, "CJ"), "")</f>
        <v>3</v>
      </c>
      <c r="R9" t="str">
        <f>IF(F9="Ignacio", COUNTIF(F$5:F9, "Ignacio"), "")</f>
        <v/>
      </c>
      <c r="S9" t="str">
        <f>IF(F9="Tripulacion", COUNTIF(F$5:F9, "Tripulacion"), "")</f>
        <v/>
      </c>
      <c r="T9" t="str">
        <f>IF(F9="ENAP carga", COUNTIF(F$5:F9, "ENAP carga"), "")</f>
        <v/>
      </c>
    </row>
    <row r="10" spans="3:20" x14ac:dyDescent="0.2">
      <c r="C10" s="8">
        <v>46230</v>
      </c>
      <c r="D10" s="2" t="s">
        <v>29</v>
      </c>
      <c r="E10" s="6" t="s">
        <v>16</v>
      </c>
      <c r="F10" s="6" t="s">
        <v>22</v>
      </c>
      <c r="G10" s="2"/>
      <c r="H10" s="3">
        <v>1000</v>
      </c>
      <c r="I10" s="6">
        <v>500.3</v>
      </c>
      <c r="J10" s="7">
        <f t="shared" si="0"/>
        <v>500300</v>
      </c>
      <c r="K10" s="2" t="s">
        <v>27</v>
      </c>
      <c r="L10" s="13">
        <f t="shared" si="1"/>
        <v>100060</v>
      </c>
      <c r="M10" s="34" t="s">
        <v>25</v>
      </c>
      <c r="N10" s="13"/>
      <c r="O10" s="37"/>
      <c r="Q10">
        <f>IF(F10="CJ", COUNTIF(F$5:F10, "CJ"), "")</f>
        <v>4</v>
      </c>
      <c r="R10" t="str">
        <f>IF(F10="Ignacio", COUNTIF(F$5:F10, "Ignacio"), "")</f>
        <v/>
      </c>
      <c r="S10" t="str">
        <f>IF(F10="Tripulacion", COUNTIF(F$5:F10, "Tripulacion"), "")</f>
        <v/>
      </c>
      <c r="T10" t="str">
        <f>IF(F10="ENAP carga", COUNTIF(F$5:F10, "ENAP carga"), "")</f>
        <v/>
      </c>
    </row>
    <row r="11" spans="3:20" x14ac:dyDescent="0.2">
      <c r="C11" s="8">
        <v>46230</v>
      </c>
      <c r="D11" s="2" t="s">
        <v>30</v>
      </c>
      <c r="E11" s="6" t="s">
        <v>16</v>
      </c>
      <c r="F11" s="6" t="s">
        <v>22</v>
      </c>
      <c r="G11" s="2"/>
      <c r="H11" s="3">
        <v>1000</v>
      </c>
      <c r="I11" s="6">
        <v>237.9</v>
      </c>
      <c r="J11" s="7">
        <f t="shared" si="0"/>
        <v>237900</v>
      </c>
      <c r="K11" s="2" t="s">
        <v>27</v>
      </c>
      <c r="L11" s="13">
        <f t="shared" si="1"/>
        <v>47580</v>
      </c>
      <c r="M11" s="34" t="s">
        <v>25</v>
      </c>
      <c r="N11" s="13"/>
      <c r="O11" s="37"/>
      <c r="Q11">
        <f>IF(F11="CJ", COUNTIF(F$5:F11, "CJ"), "")</f>
        <v>5</v>
      </c>
      <c r="R11" t="str">
        <f>IF(F11="Ignacio", COUNTIF(F$5:F11, "Ignacio"), "")</f>
        <v/>
      </c>
      <c r="S11" t="str">
        <f>IF(F11="Tripulacion", COUNTIF(F$5:F11, "Tripulacion"), "")</f>
        <v/>
      </c>
      <c r="T11" t="str">
        <f>IF(F11="ENAP carga", COUNTIF(F$5:F11, "ENAP carga"), "")</f>
        <v/>
      </c>
    </row>
    <row r="12" spans="3:20" x14ac:dyDescent="0.2">
      <c r="C12" s="8">
        <v>46230</v>
      </c>
      <c r="D12" s="2" t="s">
        <v>31</v>
      </c>
      <c r="E12" s="6" t="s">
        <v>16</v>
      </c>
      <c r="F12" s="6" t="s">
        <v>22</v>
      </c>
      <c r="G12" s="2"/>
      <c r="H12" s="3">
        <v>1000</v>
      </c>
      <c r="I12" s="6">
        <v>205.1</v>
      </c>
      <c r="J12" s="7">
        <f t="shared" si="0"/>
        <v>205100</v>
      </c>
      <c r="K12" s="2" t="s">
        <v>27</v>
      </c>
      <c r="L12" s="13">
        <f t="shared" si="1"/>
        <v>41020</v>
      </c>
      <c r="M12" s="34" t="s">
        <v>25</v>
      </c>
      <c r="N12" s="13"/>
      <c r="O12" s="37"/>
      <c r="Q12">
        <f>IF(F12="CJ", COUNTIF(F$5:F12, "CJ"), "")</f>
        <v>6</v>
      </c>
      <c r="R12" t="str">
        <f>IF(F12="Ignacio", COUNTIF(F$5:F12, "Ignacio"), "")</f>
        <v/>
      </c>
      <c r="S12" t="str">
        <f>IF(F12="Tripulacion", COUNTIF(F$5:F12, "Tripulacion"), "")</f>
        <v/>
      </c>
      <c r="T12" t="str">
        <f>IF(F12="ENAP carga", COUNTIF(F$5:F12, "ENAP carga"), "")</f>
        <v/>
      </c>
    </row>
    <row r="13" spans="3:20" x14ac:dyDescent="0.2">
      <c r="C13" s="8">
        <v>46230</v>
      </c>
      <c r="D13" s="2" t="s">
        <v>32</v>
      </c>
      <c r="E13" s="6" t="s">
        <v>16</v>
      </c>
      <c r="F13" s="6" t="s">
        <v>22</v>
      </c>
      <c r="G13" s="2"/>
      <c r="H13" s="3">
        <v>1000</v>
      </c>
      <c r="I13" s="6">
        <v>300</v>
      </c>
      <c r="J13" s="7">
        <f t="shared" si="0"/>
        <v>300000</v>
      </c>
      <c r="K13" s="2" t="s">
        <v>33</v>
      </c>
      <c r="L13" s="13">
        <f t="shared" si="1"/>
        <v>60000</v>
      </c>
      <c r="M13" s="34" t="s">
        <v>25</v>
      </c>
      <c r="N13" s="13"/>
      <c r="O13" s="37"/>
      <c r="P13" s="4">
        <f>SUM(I7:I13)</f>
        <v>2428.8000000000002</v>
      </c>
      <c r="Q13" s="2">
        <f>IF(F13="CJ", COUNTIF(F$5:F13, "CJ"), "")</f>
        <v>7</v>
      </c>
      <c r="R13" s="3" t="str">
        <f>IF(F13="Ignacio", COUNTIF(F$5:F13, "Ignacio"), "")</f>
        <v/>
      </c>
      <c r="S13" s="2" t="str">
        <f>IF(F13="Tripulacion", COUNTIF(F$5:F13, "Tripulacion"), "")</f>
        <v/>
      </c>
      <c r="T13" t="str">
        <f>IF(F13="ENAP carga", COUNTIF(F$5:F13, "ENAP carga"), "")</f>
        <v/>
      </c>
    </row>
    <row r="14" spans="3:20" x14ac:dyDescent="0.2">
      <c r="C14" s="8">
        <v>46231</v>
      </c>
      <c r="D14" s="2" t="s">
        <v>34</v>
      </c>
      <c r="E14" s="6" t="s">
        <v>16</v>
      </c>
      <c r="F14" s="6" t="s">
        <v>22</v>
      </c>
      <c r="G14" s="2"/>
      <c r="H14" s="3">
        <v>1000</v>
      </c>
      <c r="I14" s="6">
        <v>200</v>
      </c>
      <c r="J14" s="7">
        <f t="shared" si="0"/>
        <v>200000</v>
      </c>
      <c r="K14" s="2" t="s">
        <v>33</v>
      </c>
      <c r="L14" s="7">
        <f t="shared" ref="L14:L77" si="2">IF(F14="CJ", I14*200, "")</f>
        <v>40000</v>
      </c>
      <c r="M14" s="34"/>
      <c r="N14" s="13"/>
      <c r="O14" s="37"/>
      <c r="Q14">
        <f>IF(F14="CJ", COUNTIF(F$5:F14, "CJ"), "")</f>
        <v>8</v>
      </c>
      <c r="R14" t="str">
        <f>IF(F14="Ignacio", COUNTIF(F$5:F14, "Ignacio"), "")</f>
        <v/>
      </c>
      <c r="S14" t="str">
        <f>IF(F14="Tripulacion", COUNTIF(F$5:F14, "Tripulacion"), "")</f>
        <v/>
      </c>
      <c r="T14" t="str">
        <f>IF(F14="ENAP carga", COUNTIF(F$5:F14, "ENAP carga"), "")</f>
        <v/>
      </c>
    </row>
    <row r="15" spans="3:20" x14ac:dyDescent="0.2">
      <c r="C15" s="8">
        <v>46231</v>
      </c>
      <c r="D15" s="2" t="s">
        <v>35</v>
      </c>
      <c r="E15" s="6" t="s">
        <v>16</v>
      </c>
      <c r="F15" s="6" t="s">
        <v>36</v>
      </c>
      <c r="G15" s="2" t="s">
        <v>37</v>
      </c>
      <c r="H15" s="3"/>
      <c r="I15" s="6">
        <v>912</v>
      </c>
      <c r="J15" s="7">
        <f t="shared" si="0"/>
        <v>0</v>
      </c>
      <c r="K15" s="2"/>
      <c r="L15" s="7" t="str">
        <f t="shared" si="2"/>
        <v/>
      </c>
      <c r="M15" s="34"/>
      <c r="N15" s="13"/>
      <c r="O15" s="37"/>
      <c r="Q15" t="str">
        <f>IF(F15="CJ", COUNTIF(F$5:F15, "CJ"), "")</f>
        <v/>
      </c>
      <c r="R15" t="str">
        <f>IF(F15="Ignacio", COUNTIF(F$5:F15, "Ignacio"), "")</f>
        <v/>
      </c>
      <c r="S15">
        <f>IF(F15="Tripulacion", COUNTIF(F$5:F15, "Tripulacion"), "")</f>
        <v>1</v>
      </c>
      <c r="T15" t="str">
        <f>IF(F15="ENAP carga", COUNTIF(F$5:F15, "ENAP carga"), "")</f>
        <v/>
      </c>
    </row>
    <row r="16" spans="3:20" s="12" customFormat="1" x14ac:dyDescent="0.2">
      <c r="C16" s="8">
        <v>46233</v>
      </c>
      <c r="D16" s="9" t="s">
        <v>38</v>
      </c>
      <c r="E16" s="6" t="s">
        <v>16</v>
      </c>
      <c r="F16" s="6" t="s">
        <v>22</v>
      </c>
      <c r="G16" s="9" t="s">
        <v>39</v>
      </c>
      <c r="H16" s="10">
        <v>1000</v>
      </c>
      <c r="I16" s="6">
        <v>747</v>
      </c>
      <c r="J16" s="11">
        <f t="shared" si="0"/>
        <v>747000</v>
      </c>
      <c r="K16" s="9" t="s">
        <v>33</v>
      </c>
      <c r="L16" s="11">
        <f t="shared" si="2"/>
        <v>149400</v>
      </c>
      <c r="M16" s="35" t="s">
        <v>40</v>
      </c>
      <c r="N16" s="13"/>
      <c r="O16" s="37"/>
      <c r="P16" t="s">
        <v>41</v>
      </c>
      <c r="Q16">
        <f>IF(F16="CJ", COUNTIF(F$5:F16, "CJ"), "")</f>
        <v>9</v>
      </c>
      <c r="R16" t="str">
        <f>IF(F16="Ignacio", COUNTIF(F$5:F16, "Ignacio"), "")</f>
        <v/>
      </c>
      <c r="S16" t="str">
        <f>IF(F16="Tripulacion", COUNTIF(F$5:F16, "Tripulacion"), "")</f>
        <v/>
      </c>
      <c r="T16" t="str">
        <f>IF(F16="ENAP carga", COUNTIF(F$5:F16, "ENAP carga"), "")</f>
        <v/>
      </c>
    </row>
    <row r="17" spans="3:20" x14ac:dyDescent="0.2">
      <c r="C17" s="8">
        <v>46237</v>
      </c>
      <c r="D17" s="2" t="s">
        <v>42</v>
      </c>
      <c r="E17" s="6" t="s">
        <v>16</v>
      </c>
      <c r="F17" s="6" t="s">
        <v>22</v>
      </c>
      <c r="G17" s="2" t="s">
        <v>43</v>
      </c>
      <c r="H17" s="3">
        <v>1100</v>
      </c>
      <c r="I17" s="6">
        <v>200</v>
      </c>
      <c r="J17" s="7">
        <f t="shared" si="0"/>
        <v>220000</v>
      </c>
      <c r="K17" s="2" t="s">
        <v>33</v>
      </c>
      <c r="L17" s="7">
        <f t="shared" si="2"/>
        <v>40000</v>
      </c>
      <c r="M17" s="34"/>
      <c r="N17" s="13"/>
      <c r="O17" s="37"/>
      <c r="Q17">
        <f>IF(F17="CJ", COUNTIF(F$5:F17, "CJ"), "")</f>
        <v>10</v>
      </c>
      <c r="R17" t="str">
        <f>IF(F17="Ignacio", COUNTIF(F$5:F17, "Ignacio"), "")</f>
        <v/>
      </c>
      <c r="S17" t="str">
        <f>IF(F17="Tripulacion", COUNTIF(F$5:F17, "Tripulacion"), "")</f>
        <v/>
      </c>
      <c r="T17" t="str">
        <f>IF(F17="ENAP carga", COUNTIF(F$5:F17, "ENAP carga"), "")</f>
        <v/>
      </c>
    </row>
    <row r="18" spans="3:20" x14ac:dyDescent="0.2">
      <c r="C18" s="8">
        <v>46237</v>
      </c>
      <c r="D18" s="2" t="s">
        <v>44</v>
      </c>
      <c r="E18" s="6" t="s">
        <v>16</v>
      </c>
      <c r="F18" s="6" t="s">
        <v>22</v>
      </c>
      <c r="G18" s="2" t="s">
        <v>45</v>
      </c>
      <c r="H18" s="3">
        <v>1100</v>
      </c>
      <c r="I18" s="6">
        <v>350</v>
      </c>
      <c r="J18" s="7">
        <f t="shared" si="0"/>
        <v>385000</v>
      </c>
      <c r="K18" s="2" t="s">
        <v>46</v>
      </c>
      <c r="L18" s="7">
        <f t="shared" si="2"/>
        <v>70000</v>
      </c>
      <c r="M18" s="34" t="s">
        <v>47</v>
      </c>
      <c r="N18" s="13"/>
      <c r="O18" s="37"/>
      <c r="Q18">
        <f>IF(F18="CJ", COUNTIF(F$5:F18, "CJ"), "")</f>
        <v>11</v>
      </c>
      <c r="R18" t="str">
        <f>IF(F18="Ignacio", COUNTIF(F$5:F18, "Ignacio"), "")</f>
        <v/>
      </c>
      <c r="S18" t="str">
        <f>IF(F18="Tripulacion", COUNTIF(F$5:F18, "Tripulacion"), "")</f>
        <v/>
      </c>
      <c r="T18" t="str">
        <f>IF(F18="ENAP carga", COUNTIF(F$5:F18, "ENAP carga"), "")</f>
        <v/>
      </c>
    </row>
    <row r="19" spans="3:20" x14ac:dyDescent="0.2">
      <c r="C19" s="8">
        <v>46238</v>
      </c>
      <c r="D19" s="2" t="s">
        <v>18</v>
      </c>
      <c r="E19" s="6" t="s">
        <v>16</v>
      </c>
      <c r="F19" s="6" t="s">
        <v>19</v>
      </c>
      <c r="G19" s="2"/>
      <c r="H19" s="3"/>
      <c r="I19" s="6">
        <v>1403</v>
      </c>
      <c r="J19" s="7"/>
      <c r="K19" s="2" t="s">
        <v>20</v>
      </c>
      <c r="L19" s="7" t="str">
        <f t="shared" si="2"/>
        <v/>
      </c>
      <c r="M19" s="34" t="s">
        <v>20</v>
      </c>
      <c r="N19" s="13"/>
      <c r="O19" s="37"/>
      <c r="Q19" t="str">
        <f>IF(F19="CJ", COUNTIF(F$5:F19, "CJ"), "")</f>
        <v/>
      </c>
      <c r="R19">
        <f>IF(F19="Ignacio", COUNTIF(F$5:F19, "Ignacio"), "")</f>
        <v>2</v>
      </c>
      <c r="S19" t="str">
        <f>IF(F19="Tripulacion", COUNTIF(F$5:F19, "Tripulacion"), "")</f>
        <v/>
      </c>
      <c r="T19" t="str">
        <f>IF(F19="ENAP carga", COUNTIF(F$5:F19, "ENAP carga"), "")</f>
        <v/>
      </c>
    </row>
    <row r="20" spans="3:20" x14ac:dyDescent="0.2">
      <c r="C20" s="8">
        <v>46239</v>
      </c>
      <c r="D20" s="2" t="s">
        <v>48</v>
      </c>
      <c r="E20" s="6" t="s">
        <v>16</v>
      </c>
      <c r="F20" s="6" t="s">
        <v>22</v>
      </c>
      <c r="G20" s="2" t="s">
        <v>49</v>
      </c>
      <c r="H20" s="3">
        <v>1100</v>
      </c>
      <c r="I20" s="6">
        <v>270</v>
      </c>
      <c r="J20" s="7">
        <f>H20*I20</f>
        <v>297000</v>
      </c>
      <c r="K20" s="2" t="s">
        <v>33</v>
      </c>
      <c r="L20" s="7">
        <f t="shared" si="2"/>
        <v>54000</v>
      </c>
      <c r="M20" s="34" t="s">
        <v>40</v>
      </c>
      <c r="N20" s="13"/>
      <c r="O20" s="37"/>
      <c r="P20" t="s">
        <v>50</v>
      </c>
      <c r="Q20">
        <f>IF(F20="CJ", COUNTIF(F$5:F20, "CJ"), "")</f>
        <v>12</v>
      </c>
      <c r="R20" t="str">
        <f>IF(F20="Ignacio", COUNTIF(F$5:F20, "Ignacio"), "")</f>
        <v/>
      </c>
      <c r="S20" t="str">
        <f>IF(F20="Tripulacion", COUNTIF(F$5:F20, "Tripulacion"), "")</f>
        <v/>
      </c>
      <c r="T20" t="str">
        <f>IF(F20="ENAP carga", COUNTIF(F$5:F20, "ENAP carga"), "")</f>
        <v/>
      </c>
    </row>
    <row r="21" spans="3:20" x14ac:dyDescent="0.2">
      <c r="C21" s="8">
        <v>46241</v>
      </c>
      <c r="D21" s="2" t="s">
        <v>51</v>
      </c>
      <c r="E21" s="6" t="s">
        <v>16</v>
      </c>
      <c r="F21" s="6" t="s">
        <v>36</v>
      </c>
      <c r="G21" s="2" t="s">
        <v>52</v>
      </c>
      <c r="H21" s="3">
        <v>1000</v>
      </c>
      <c r="I21" s="6">
        <v>350</v>
      </c>
      <c r="J21" s="7">
        <f>H21*I21</f>
        <v>350000</v>
      </c>
      <c r="K21" s="2" t="s">
        <v>33</v>
      </c>
      <c r="L21" s="7" t="str">
        <f t="shared" si="2"/>
        <v/>
      </c>
      <c r="M21" s="34" t="s">
        <v>40</v>
      </c>
      <c r="N21" s="13"/>
      <c r="O21" s="37"/>
      <c r="P21" t="s">
        <v>53</v>
      </c>
      <c r="Q21" t="str">
        <f>IF(F21="CJ", COUNTIF(F$5:F21, "CJ"), "")</f>
        <v/>
      </c>
      <c r="R21" t="str">
        <f>IF(F21="Ignacio", COUNTIF(F$5:F21, "Ignacio"), "")</f>
        <v/>
      </c>
      <c r="S21">
        <f>IF(F21="Tripulacion", COUNTIF(F$5:F21, "Tripulacion"), "")</f>
        <v>2</v>
      </c>
      <c r="T21" t="str">
        <f>IF(F21="ENAP carga", COUNTIF(F$5:F21, "ENAP carga"), "")</f>
        <v/>
      </c>
    </row>
    <row r="22" spans="3:20" x14ac:dyDescent="0.2">
      <c r="C22" s="8">
        <v>46241</v>
      </c>
      <c r="D22" s="2" t="s">
        <v>54</v>
      </c>
      <c r="E22" s="6" t="s">
        <v>16</v>
      </c>
      <c r="F22" s="6" t="s">
        <v>36</v>
      </c>
      <c r="G22" s="2" t="s">
        <v>55</v>
      </c>
      <c r="H22" s="3">
        <v>1000</v>
      </c>
      <c r="I22" s="6">
        <v>109</v>
      </c>
      <c r="J22" s="7">
        <f>H22*I22</f>
        <v>109000</v>
      </c>
      <c r="K22" s="2" t="s">
        <v>33</v>
      </c>
      <c r="L22" s="7" t="str">
        <f t="shared" si="2"/>
        <v/>
      </c>
      <c r="M22" s="34"/>
      <c r="N22" s="13"/>
      <c r="O22" s="37"/>
      <c r="Q22" t="str">
        <f>IF(F22="CJ", COUNTIF(F$5:F22, "CJ"), "")</f>
        <v/>
      </c>
      <c r="R22" t="str">
        <f>IF(F22="Ignacio", COUNTIF(F$5:F22, "Ignacio"), "")</f>
        <v/>
      </c>
      <c r="S22">
        <f>IF(F22="Tripulacion", COUNTIF(F$5:F22, "Tripulacion"), "")</f>
        <v>3</v>
      </c>
      <c r="T22" t="str">
        <f>IF(F22="ENAP carga", COUNTIF(F$5:F22, "ENAP carga"), "")</f>
        <v/>
      </c>
    </row>
    <row r="23" spans="3:20" x14ac:dyDescent="0.2">
      <c r="C23" s="8">
        <v>46242</v>
      </c>
      <c r="D23" s="2" t="s">
        <v>18</v>
      </c>
      <c r="E23" s="6" t="s">
        <v>16</v>
      </c>
      <c r="F23" s="6" t="s">
        <v>19</v>
      </c>
      <c r="G23" s="2"/>
      <c r="H23" s="3"/>
      <c r="I23" s="6">
        <v>2219</v>
      </c>
      <c r="J23" s="7"/>
      <c r="K23" s="2" t="s">
        <v>20</v>
      </c>
      <c r="L23" s="7" t="str">
        <f t="shared" si="2"/>
        <v/>
      </c>
      <c r="M23" s="34" t="s">
        <v>20</v>
      </c>
      <c r="N23" s="13"/>
      <c r="O23" s="37"/>
      <c r="Q23" t="str">
        <f>IF(F23="CJ", COUNTIF(F$5:F23, "CJ"), "")</f>
        <v/>
      </c>
      <c r="R23">
        <f>IF(F23="Ignacio", COUNTIF(F$5:F23, "Ignacio"), "")</f>
        <v>3</v>
      </c>
      <c r="S23" t="str">
        <f>IF(F23="Tripulacion", COUNTIF(F$5:F23, "Tripulacion"), "")</f>
        <v/>
      </c>
      <c r="T23" t="str">
        <f>IF(F23="ENAP carga", COUNTIF(F$5:F23, "ENAP carga"), "")</f>
        <v/>
      </c>
    </row>
    <row r="24" spans="3:20" x14ac:dyDescent="0.2">
      <c r="C24" s="8">
        <v>46245</v>
      </c>
      <c r="D24" s="2" t="s">
        <v>56</v>
      </c>
      <c r="E24" s="6" t="s">
        <v>16</v>
      </c>
      <c r="F24" s="6" t="s">
        <v>22</v>
      </c>
      <c r="G24" s="2" t="s">
        <v>57</v>
      </c>
      <c r="H24" s="3">
        <v>1100</v>
      </c>
      <c r="I24" s="6">
        <v>404</v>
      </c>
      <c r="J24" s="7">
        <f>H24*I24</f>
        <v>444400</v>
      </c>
      <c r="K24" s="2" t="s">
        <v>33</v>
      </c>
      <c r="L24" s="7">
        <f t="shared" si="2"/>
        <v>80800</v>
      </c>
      <c r="M24" s="34"/>
      <c r="N24" s="13"/>
      <c r="O24" s="37"/>
      <c r="Q24">
        <f>IF(F24="CJ", COUNTIF(F$5:F24, "CJ"), "")</f>
        <v>13</v>
      </c>
      <c r="R24" t="str">
        <f>IF(F24="Ignacio", COUNTIF(F$5:F24, "Ignacio"), "")</f>
        <v/>
      </c>
      <c r="S24" t="str">
        <f>IF(F24="Tripulacion", COUNTIF(F$5:F24, "Tripulacion"), "")</f>
        <v/>
      </c>
      <c r="T24" t="str">
        <f>IF(F24="ENAP carga", COUNTIF(F$5:F24, "ENAP carga"), "")</f>
        <v/>
      </c>
    </row>
    <row r="25" spans="3:20" x14ac:dyDescent="0.2">
      <c r="C25" s="8">
        <v>46245</v>
      </c>
      <c r="D25" s="2" t="s">
        <v>58</v>
      </c>
      <c r="E25" s="6" t="s">
        <v>16</v>
      </c>
      <c r="F25" s="6" t="s">
        <v>22</v>
      </c>
      <c r="G25" s="2" t="s">
        <v>59</v>
      </c>
      <c r="H25" s="3">
        <v>1100</v>
      </c>
      <c r="I25" s="6">
        <v>509</v>
      </c>
      <c r="J25" s="7">
        <f>H25*I25</f>
        <v>559900</v>
      </c>
      <c r="K25" s="2" t="s">
        <v>33</v>
      </c>
      <c r="L25" s="7">
        <f t="shared" si="2"/>
        <v>101800</v>
      </c>
      <c r="M25" s="34"/>
      <c r="N25" s="13"/>
      <c r="O25" s="37"/>
      <c r="Q25">
        <f>IF(F25="CJ", COUNTIF(F$5:F25, "CJ"), "")</f>
        <v>14</v>
      </c>
      <c r="R25" t="str">
        <f>IF(F25="Ignacio", COUNTIF(F$5:F25, "Ignacio"), "")</f>
        <v/>
      </c>
      <c r="S25" t="str">
        <f>IF(F25="Tripulacion", COUNTIF(F$5:F25, "Tripulacion"), "")</f>
        <v/>
      </c>
      <c r="T25" t="str">
        <f>IF(F25="ENAP carga", COUNTIF(F$5:F25, "ENAP carga"), "")</f>
        <v/>
      </c>
    </row>
    <row r="26" spans="3:20" x14ac:dyDescent="0.2">
      <c r="C26" s="8">
        <v>46246</v>
      </c>
      <c r="D26" s="2" t="s">
        <v>17</v>
      </c>
      <c r="E26" s="6" t="s">
        <v>60</v>
      </c>
      <c r="F26" s="6" t="s">
        <v>17</v>
      </c>
      <c r="G26" s="2"/>
      <c r="H26" s="3"/>
      <c r="I26" s="6">
        <v>11617</v>
      </c>
      <c r="J26" s="7"/>
      <c r="K26" s="2" t="s">
        <v>17</v>
      </c>
      <c r="L26" s="7" t="str">
        <f t="shared" si="2"/>
        <v/>
      </c>
      <c r="M26" s="34" t="s">
        <v>61</v>
      </c>
      <c r="N26" s="13">
        <v>3882182</v>
      </c>
      <c r="O26" s="37">
        <v>11617</v>
      </c>
      <c r="Q26" t="str">
        <f>IF(F26="CJ", COUNTIF(F$5:F26, "CJ"), "")</f>
        <v/>
      </c>
      <c r="R26" t="str">
        <f>IF(F26="Ignacio", COUNTIF(F$5:F26, "Ignacio"), "")</f>
        <v/>
      </c>
      <c r="S26" t="str">
        <f>IF(F26="Tripulacion", COUNTIF(F$5:F26, "Tripulacion"), "")</f>
        <v/>
      </c>
      <c r="T26">
        <f>IF(F26="ENAP carga", COUNTIF(F$5:F26, "ENAP carga"), "")</f>
        <v>2</v>
      </c>
    </row>
    <row r="27" spans="3:20" x14ac:dyDescent="0.2">
      <c r="C27" s="8">
        <v>46247</v>
      </c>
      <c r="D27" s="2" t="s">
        <v>18</v>
      </c>
      <c r="E27" s="6" t="s">
        <v>60</v>
      </c>
      <c r="F27" s="6" t="s">
        <v>19</v>
      </c>
      <c r="G27" s="2"/>
      <c r="H27" s="3"/>
      <c r="I27" s="6">
        <v>11539</v>
      </c>
      <c r="J27" s="2"/>
      <c r="K27" s="2" t="s">
        <v>20</v>
      </c>
      <c r="L27" s="7" t="str">
        <f t="shared" si="2"/>
        <v/>
      </c>
      <c r="M27" s="34" t="s">
        <v>20</v>
      </c>
      <c r="N27" s="13"/>
      <c r="O27" s="37"/>
      <c r="Q27" t="str">
        <f>IF(F27="CJ", COUNTIF(F$5:F27, "CJ"), "")</f>
        <v/>
      </c>
      <c r="R27">
        <f>IF(F27="Ignacio", COUNTIF(F$5:F27, "Ignacio"), "")</f>
        <v>4</v>
      </c>
      <c r="S27" t="str">
        <f>IF(F27="Tripulacion", COUNTIF(F$5:F27, "Tripulacion"), "")</f>
        <v/>
      </c>
      <c r="T27" t="str">
        <f>IF(F27="ENAP carga", COUNTIF(F$5:F27, "ENAP carga"), "")</f>
        <v/>
      </c>
    </row>
    <row r="28" spans="3:20" x14ac:dyDescent="0.2">
      <c r="C28" s="8">
        <v>46247</v>
      </c>
      <c r="D28" s="2" t="s">
        <v>17</v>
      </c>
      <c r="E28" s="6" t="s">
        <v>16</v>
      </c>
      <c r="F28" s="6" t="s">
        <v>17</v>
      </c>
      <c r="G28" s="2"/>
      <c r="H28" s="3"/>
      <c r="I28" s="6">
        <v>11481</v>
      </c>
      <c r="J28" s="2"/>
      <c r="K28" s="2" t="s">
        <v>17</v>
      </c>
      <c r="L28" s="7" t="str">
        <f t="shared" si="2"/>
        <v/>
      </c>
      <c r="M28" s="34" t="s">
        <v>62</v>
      </c>
      <c r="N28" s="13">
        <v>3836889</v>
      </c>
      <c r="O28" s="37">
        <v>11481</v>
      </c>
      <c r="Q28" t="str">
        <f>IF(F28="CJ", COUNTIF(F$5:F28, "CJ"), "")</f>
        <v/>
      </c>
      <c r="R28" t="str">
        <f>IF(F28="Ignacio", COUNTIF(F$5:F28, "Ignacio"), "")</f>
        <v/>
      </c>
      <c r="S28" t="str">
        <f>IF(F28="Tripulacion", COUNTIF(F$5:F28, "Tripulacion"), "")</f>
        <v/>
      </c>
      <c r="T28">
        <f>IF(F28="ENAP carga", COUNTIF(F$5:F28, "ENAP carga"), "")</f>
        <v>3</v>
      </c>
    </row>
    <row r="29" spans="3:20" x14ac:dyDescent="0.2">
      <c r="H29" s="1"/>
      <c r="L29" s="23" t="str">
        <f t="shared" si="2"/>
        <v/>
      </c>
      <c r="Q29" t="str">
        <f>IF(F29="CJ", COUNTIF(F$5:F29, "CJ"), "")</f>
        <v/>
      </c>
      <c r="R29" t="str">
        <f>IF(F29="Ignacio", COUNTIF(F$5:F29, "Ignacio"), "")</f>
        <v/>
      </c>
      <c r="S29" t="str">
        <f>IF(F29="Tripulacion", COUNTIF(F$5:F29, "Tripulacion"), "")</f>
        <v/>
      </c>
      <c r="T29" t="str">
        <f>IF(F29="ENAP carga", COUNTIF(F$5:F29, "ENAP carga"), "")</f>
        <v/>
      </c>
    </row>
    <row r="30" spans="3:20" x14ac:dyDescent="0.2">
      <c r="H30" s="1"/>
      <c r="L30" s="23" t="str">
        <f t="shared" si="2"/>
        <v/>
      </c>
      <c r="Q30" t="str">
        <f>IF(F30="CJ", COUNTIF(F$5:F30, "CJ"), "")</f>
        <v/>
      </c>
      <c r="R30" t="str">
        <f>IF(F30="Ignacio", COUNTIF(F$5:F30, "Ignacio"), "")</f>
        <v/>
      </c>
      <c r="S30" t="str">
        <f>IF(F30="Tripulacion", COUNTIF(F$5:F30, "Tripulacion"), "")</f>
        <v/>
      </c>
      <c r="T30" t="str">
        <f>IF(F30="ENAP carga", COUNTIF(F$5:F30, "ENAP carga"), "")</f>
        <v/>
      </c>
    </row>
    <row r="31" spans="3:20" x14ac:dyDescent="0.2">
      <c r="H31" s="1"/>
      <c r="L31" s="23" t="str">
        <f t="shared" si="2"/>
        <v/>
      </c>
      <c r="Q31" t="str">
        <f>IF(F31="CJ", COUNTIF(F$5:F31, "CJ"), "")</f>
        <v/>
      </c>
      <c r="R31" t="str">
        <f>IF(F31="Ignacio", COUNTIF(F$5:F31, "Ignacio"), "")</f>
        <v/>
      </c>
      <c r="S31" t="str">
        <f>IF(F31="Tripulacion", COUNTIF(F$5:F31, "Tripulacion"), "")</f>
        <v/>
      </c>
      <c r="T31" t="str">
        <f>IF(F31="ENAP carga", COUNTIF(F$5:F31, "ENAP carga"), "")</f>
        <v/>
      </c>
    </row>
    <row r="32" spans="3:20" x14ac:dyDescent="0.2">
      <c r="H32" s="1"/>
      <c r="L32" s="23" t="str">
        <f t="shared" si="2"/>
        <v/>
      </c>
      <c r="Q32" t="str">
        <f>IF(F32="CJ", COUNTIF(F$5:F32, "CJ"), "")</f>
        <v/>
      </c>
      <c r="R32" t="str">
        <f>IF(F32="Ignacio", COUNTIF(F$5:F32, "Ignacio"), "")</f>
        <v/>
      </c>
      <c r="S32" t="str">
        <f>IF(F32="Tripulacion", COUNTIF(F$5:F32, "Tripulacion"), "")</f>
        <v/>
      </c>
      <c r="T32" t="str">
        <f>IF(F32="ENAP carga", COUNTIF(F$5:F32, "ENAP carga"), "")</f>
        <v/>
      </c>
    </row>
    <row r="33" spans="8:20" x14ac:dyDescent="0.2">
      <c r="H33" s="1"/>
      <c r="L33" s="23" t="str">
        <f t="shared" si="2"/>
        <v/>
      </c>
      <c r="Q33" t="str">
        <f>IF(F33="CJ", COUNTIF(F$5:F33, "CJ"), "")</f>
        <v/>
      </c>
      <c r="R33" t="str">
        <f>IF(F33="Ignacio", COUNTIF(F$5:F33, "Ignacio"), "")</f>
        <v/>
      </c>
      <c r="S33" t="str">
        <f>IF(F33="Tripulacion", COUNTIF(F$5:F33, "Tripulacion"), "")</f>
        <v/>
      </c>
      <c r="T33" t="str">
        <f>IF(F33="ENAP carga", COUNTIF(F$5:F33, "ENAP carga"), "")</f>
        <v/>
      </c>
    </row>
    <row r="34" spans="8:20" x14ac:dyDescent="0.2">
      <c r="H34" s="1"/>
      <c r="L34" s="23" t="str">
        <f t="shared" si="2"/>
        <v/>
      </c>
      <c r="Q34" t="str">
        <f>IF(F34="CJ", COUNTIF(F$5:F34, "CJ"), "")</f>
        <v/>
      </c>
      <c r="R34" t="str">
        <f>IF(F34="Ignacio", COUNTIF(F$5:F34, "Ignacio"), "")</f>
        <v/>
      </c>
      <c r="S34" t="str">
        <f>IF(F34="Tripulacion", COUNTIF(F$5:F34, "Tripulacion"), "")</f>
        <v/>
      </c>
      <c r="T34" t="str">
        <f>IF(F34="ENAP carga", COUNTIF(F$5:F34, "ENAP carga"), "")</f>
        <v/>
      </c>
    </row>
    <row r="35" spans="8:20" x14ac:dyDescent="0.2">
      <c r="H35" s="1"/>
      <c r="L35" s="23" t="str">
        <f t="shared" si="2"/>
        <v/>
      </c>
      <c r="Q35" t="str">
        <f>IF(F35="CJ", COUNTIF(F$5:F35, "CJ"), "")</f>
        <v/>
      </c>
      <c r="R35" t="str">
        <f>IF(F35="Ignacio", COUNTIF(F$5:F35, "Ignacio"), "")</f>
        <v/>
      </c>
      <c r="S35" t="str">
        <f>IF(F35="Tripulacion", COUNTIF(F$5:F35, "Tripulacion"), "")</f>
        <v/>
      </c>
      <c r="T35" t="str">
        <f>IF(F35="ENAP carga", COUNTIF(F$5:F35, "ENAP carga"), "")</f>
        <v/>
      </c>
    </row>
    <row r="36" spans="8:20" x14ac:dyDescent="0.2">
      <c r="H36" s="1"/>
      <c r="L36" s="23" t="str">
        <f t="shared" si="2"/>
        <v/>
      </c>
      <c r="Q36" t="str">
        <f>IF(F36="CJ", COUNTIF(F$5:F36, "CJ"), "")</f>
        <v/>
      </c>
      <c r="R36" t="str">
        <f>IF(F36="Ignacio", COUNTIF(F$5:F36, "Ignacio"), "")</f>
        <v/>
      </c>
      <c r="S36" t="str">
        <f>IF(F36="Tripulacion", COUNTIF(F$5:F36, "Tripulacion"), "")</f>
        <v/>
      </c>
      <c r="T36" t="str">
        <f>IF(F36="ENAP carga", COUNTIF(F$5:F36, "ENAP carga"), "")</f>
        <v/>
      </c>
    </row>
    <row r="37" spans="8:20" x14ac:dyDescent="0.2">
      <c r="H37" s="1"/>
      <c r="L37" s="23" t="str">
        <f t="shared" si="2"/>
        <v/>
      </c>
      <c r="Q37" t="str">
        <f>IF(F37="CJ", COUNTIF(F$5:F37, "CJ"), "")</f>
        <v/>
      </c>
      <c r="R37" t="str">
        <f>IF(F37="Ignacio", COUNTIF(F$5:F37, "Ignacio"), "")</f>
        <v/>
      </c>
      <c r="S37" t="str">
        <f>IF(F37="Tripulacion", COUNTIF(F$5:F37, "Tripulacion"), "")</f>
        <v/>
      </c>
      <c r="T37" t="str">
        <f>IF(F37="ENAP carga", COUNTIF(F$5:F37, "ENAP carga"), "")</f>
        <v/>
      </c>
    </row>
    <row r="38" spans="8:20" x14ac:dyDescent="0.2">
      <c r="H38" s="1"/>
      <c r="L38" s="23" t="str">
        <f t="shared" si="2"/>
        <v/>
      </c>
      <c r="Q38" t="str">
        <f>IF(F38="CJ", COUNTIF(F$5:F38, "CJ"), "")</f>
        <v/>
      </c>
      <c r="R38" t="str">
        <f>IF(F38="Ignacio", COUNTIF(F$5:F38, "Ignacio"), "")</f>
        <v/>
      </c>
      <c r="S38" t="str">
        <f>IF(F38="Tripulacion", COUNTIF(F$5:F38, "Tripulacion"), "")</f>
        <v/>
      </c>
      <c r="T38" t="str">
        <f>IF(F38="ENAP carga", COUNTIF(F$5:F38, "ENAP carga"), "")</f>
        <v/>
      </c>
    </row>
    <row r="39" spans="8:20" x14ac:dyDescent="0.2">
      <c r="H39" s="1"/>
      <c r="L39" s="23" t="str">
        <f t="shared" si="2"/>
        <v/>
      </c>
      <c r="Q39" t="str">
        <f>IF(F39="CJ", COUNTIF(F$5:F39, "CJ"), "")</f>
        <v/>
      </c>
      <c r="R39" t="str">
        <f>IF(F39="Ignacio", COUNTIF(F$5:F39, "Ignacio"), "")</f>
        <v/>
      </c>
      <c r="S39" t="str">
        <f>IF(F39="Tripulacion", COUNTIF(F$5:F39, "Tripulacion"), "")</f>
        <v/>
      </c>
      <c r="T39" t="str">
        <f>IF(F39="ENAP carga", COUNTIF(F$5:F39, "ENAP carga"), "")</f>
        <v/>
      </c>
    </row>
    <row r="40" spans="8:20" x14ac:dyDescent="0.2">
      <c r="H40" s="1"/>
      <c r="L40" s="23" t="str">
        <f t="shared" si="2"/>
        <v/>
      </c>
      <c r="Q40" t="str">
        <f>IF(F40="CJ", COUNTIF(F$5:F40, "CJ"), "")</f>
        <v/>
      </c>
      <c r="R40" t="str">
        <f>IF(F40="Ignacio", COUNTIF(F$5:F40, "Ignacio"), "")</f>
        <v/>
      </c>
      <c r="S40" t="str">
        <f>IF(F40="Tripulacion", COUNTIF(F$5:F40, "Tripulacion"), "")</f>
        <v/>
      </c>
      <c r="T40" t="str">
        <f>IF(F40="ENAP carga", COUNTIF(F$5:F40, "ENAP carga"), "")</f>
        <v/>
      </c>
    </row>
    <row r="41" spans="8:20" x14ac:dyDescent="0.2">
      <c r="H41" s="1"/>
      <c r="L41" s="23" t="str">
        <f t="shared" si="2"/>
        <v/>
      </c>
      <c r="Q41" t="str">
        <f>IF(F41="CJ", COUNTIF(F$5:F41, "CJ"), "")</f>
        <v/>
      </c>
      <c r="R41" t="str">
        <f>IF(F41="Ignacio", COUNTIF(F$5:F41, "Ignacio"), "")</f>
        <v/>
      </c>
      <c r="S41" t="str">
        <f>IF(F41="Tripulacion", COUNTIF(F$5:F41, "Tripulacion"), "")</f>
        <v/>
      </c>
      <c r="T41" t="str">
        <f>IF(F41="ENAP carga", COUNTIF(F$5:F41, "ENAP carga"), "")</f>
        <v/>
      </c>
    </row>
    <row r="42" spans="8:20" x14ac:dyDescent="0.2">
      <c r="H42" s="1"/>
      <c r="L42" s="23" t="str">
        <f t="shared" si="2"/>
        <v/>
      </c>
      <c r="Q42" t="str">
        <f>IF(F42="CJ", COUNTIF(F$5:F42, "CJ"), "")</f>
        <v/>
      </c>
      <c r="R42" t="str">
        <f>IF(F42="Ignacio", COUNTIF(F$5:F42, "Ignacio"), "")</f>
        <v/>
      </c>
      <c r="S42" t="str">
        <f>IF(F42="Tripulacion", COUNTIF(F$5:F42, "Tripulacion"), "")</f>
        <v/>
      </c>
      <c r="T42" t="str">
        <f>IF(F42="ENAP carga", COUNTIF(F$5:F42, "ENAP carga"), "")</f>
        <v/>
      </c>
    </row>
    <row r="43" spans="8:20" x14ac:dyDescent="0.2">
      <c r="H43" s="1"/>
      <c r="L43" s="23" t="str">
        <f t="shared" si="2"/>
        <v/>
      </c>
      <c r="Q43" t="str">
        <f>IF(F43="CJ", COUNTIF(F$5:F43, "CJ"), "")</f>
        <v/>
      </c>
      <c r="R43" t="str">
        <f>IF(F43="Ignacio", COUNTIF(F$5:F43, "Ignacio"), "")</f>
        <v/>
      </c>
      <c r="S43" t="str">
        <f>IF(F43="Tripulacion", COUNTIF(F$5:F43, "Tripulacion"), "")</f>
        <v/>
      </c>
      <c r="T43" t="str">
        <f>IF(F43="ENAP carga", COUNTIF(F$5:F43, "ENAP carga"), "")</f>
        <v/>
      </c>
    </row>
    <row r="44" spans="8:20" x14ac:dyDescent="0.2">
      <c r="L44" s="23" t="str">
        <f t="shared" si="2"/>
        <v/>
      </c>
      <c r="Q44" t="str">
        <f>IF(F44="CJ", COUNTIF(F$5:F44, "CJ"), "")</f>
        <v/>
      </c>
      <c r="R44" t="str">
        <f>IF(F44="Ignacio", COUNTIF(F$5:F44, "Ignacio"), "")</f>
        <v/>
      </c>
      <c r="S44" t="str">
        <f>IF(F44="Tripulacion", COUNTIF(F$5:F44, "Tripulacion"), "")</f>
        <v/>
      </c>
      <c r="T44" t="str">
        <f>IF(F44="ENAP carga", COUNTIF(F$5:F44, "ENAP carga"), "")</f>
        <v/>
      </c>
    </row>
    <row r="45" spans="8:20" x14ac:dyDescent="0.2">
      <c r="L45" s="23" t="str">
        <f t="shared" si="2"/>
        <v/>
      </c>
      <c r="Q45" t="str">
        <f>IF(F45="CJ", COUNTIF(F$5:F45, "CJ"), "")</f>
        <v/>
      </c>
      <c r="R45" t="str">
        <f>IF(F45="Ignacio", COUNTIF(F$5:F45, "Ignacio"), "")</f>
        <v/>
      </c>
      <c r="S45" t="str">
        <f>IF(F45="Tripulacion", COUNTIF(F$5:F45, "Tripulacion"), "")</f>
        <v/>
      </c>
      <c r="T45" t="str">
        <f>IF(F45="ENAP carga", COUNTIF(F$5:F45, "ENAP carga"), "")</f>
        <v/>
      </c>
    </row>
    <row r="46" spans="8:20" x14ac:dyDescent="0.2">
      <c r="L46" s="23" t="str">
        <f t="shared" si="2"/>
        <v/>
      </c>
      <c r="Q46" t="str">
        <f>IF(F46="CJ", COUNTIF(F$5:F46, "CJ"), "")</f>
        <v/>
      </c>
      <c r="R46" t="str">
        <f>IF(F46="Ignacio", COUNTIF(F$5:F46, "Ignacio"), "")</f>
        <v/>
      </c>
      <c r="S46" t="str">
        <f>IF(F46="Tripulacion", COUNTIF(F$5:F46, "Tripulacion"), "")</f>
        <v/>
      </c>
      <c r="T46" t="str">
        <f>IF(F46="ENAP carga", COUNTIF(F$5:F46, "ENAP carga"), "")</f>
        <v/>
      </c>
    </row>
    <row r="47" spans="8:20" x14ac:dyDescent="0.2">
      <c r="L47" s="23" t="str">
        <f t="shared" si="2"/>
        <v/>
      </c>
      <c r="Q47" t="str">
        <f>IF(F47="CJ", COUNTIF(F$5:F47, "CJ"), "")</f>
        <v/>
      </c>
      <c r="R47" t="str">
        <f>IF(F47="Ignacio", COUNTIF(F$5:F47, "Ignacio"), "")</f>
        <v/>
      </c>
      <c r="S47" t="str">
        <f>IF(F47="Tripulacion", COUNTIF(F$5:F47, "Tripulacion"), "")</f>
        <v/>
      </c>
      <c r="T47" t="str">
        <f>IF(F47="ENAP carga", COUNTIF(F$5:F47, "ENAP carga"), "")</f>
        <v/>
      </c>
    </row>
    <row r="48" spans="8:20" x14ac:dyDescent="0.2">
      <c r="L48" s="23" t="str">
        <f t="shared" si="2"/>
        <v/>
      </c>
      <c r="Q48" t="str">
        <f>IF(F48="CJ", COUNTIF(F$5:F48, "CJ"), "")</f>
        <v/>
      </c>
      <c r="R48" t="str">
        <f>IF(F48="Ignacio", COUNTIF(F$5:F48, "Ignacio"), "")</f>
        <v/>
      </c>
      <c r="S48" t="str">
        <f>IF(F48="Tripulacion", COUNTIF(F$5:F48, "Tripulacion"), "")</f>
        <v/>
      </c>
      <c r="T48" t="str">
        <f>IF(F48="ENAP carga", COUNTIF(F$5:F48, "ENAP carga"), "")</f>
        <v/>
      </c>
    </row>
    <row r="49" spans="12:20" x14ac:dyDescent="0.2">
      <c r="L49" s="23" t="str">
        <f t="shared" si="2"/>
        <v/>
      </c>
      <c r="Q49" t="str">
        <f>IF(F49="CJ", COUNTIF(F$5:F49, "CJ"), "")</f>
        <v/>
      </c>
      <c r="R49" t="str">
        <f>IF(F49="Ignacio", COUNTIF(F$5:F49, "Ignacio"), "")</f>
        <v/>
      </c>
      <c r="S49" t="str">
        <f>IF(F49="Tripulacion", COUNTIF(F$5:F49, "Tripulacion"), "")</f>
        <v/>
      </c>
      <c r="T49" t="str">
        <f>IF(F49="ENAP carga", COUNTIF(F$5:F49, "ENAP carga"), "")</f>
        <v/>
      </c>
    </row>
    <row r="50" spans="12:20" x14ac:dyDescent="0.2">
      <c r="L50" s="23" t="str">
        <f t="shared" si="2"/>
        <v/>
      </c>
      <c r="Q50" t="str">
        <f>IF(F50="CJ", COUNTIF(F$5:F50, "CJ"), "")</f>
        <v/>
      </c>
      <c r="R50" t="str">
        <f>IF(F50="Ignacio", COUNTIF(F$5:F50, "Ignacio"), "")</f>
        <v/>
      </c>
      <c r="S50" t="str">
        <f>IF(F50="Tripulacion", COUNTIF(F$5:F50, "Tripulacion"), "")</f>
        <v/>
      </c>
      <c r="T50" t="str">
        <f>IF(F50="ENAP carga", COUNTIF(F$5:F50, "ENAP carga"), "")</f>
        <v/>
      </c>
    </row>
    <row r="51" spans="12:20" x14ac:dyDescent="0.2">
      <c r="L51" s="23" t="str">
        <f t="shared" si="2"/>
        <v/>
      </c>
      <c r="Q51" t="str">
        <f>IF(F51="CJ", COUNTIF(F$5:F51, "CJ"), "")</f>
        <v/>
      </c>
      <c r="R51" t="str">
        <f>IF(F51="Ignacio", COUNTIF(F$5:F51, "Ignacio"), "")</f>
        <v/>
      </c>
      <c r="S51" t="str">
        <f>IF(F51="Tripulacion", COUNTIF(F$5:F51, "Tripulacion"), "")</f>
        <v/>
      </c>
      <c r="T51" t="str">
        <f>IF(F51="ENAP carga", COUNTIF(F$5:F51, "ENAP carga"), "")</f>
        <v/>
      </c>
    </row>
    <row r="52" spans="12:20" x14ac:dyDescent="0.2">
      <c r="L52" s="23" t="str">
        <f t="shared" si="2"/>
        <v/>
      </c>
      <c r="Q52" t="str">
        <f>IF(F52="CJ", COUNTIF(F$5:F52, "CJ"), "")</f>
        <v/>
      </c>
      <c r="R52" t="str">
        <f>IF(F52="Ignacio", COUNTIF(F$5:F52, "Ignacio"), "")</f>
        <v/>
      </c>
      <c r="S52" t="str">
        <f>IF(F52="Tripulacion", COUNTIF(F$5:F52, "Tripulacion"), "")</f>
        <v/>
      </c>
      <c r="T52" t="str">
        <f>IF(F52="ENAP carga", COUNTIF(F$5:F52, "ENAP carga"), "")</f>
        <v/>
      </c>
    </row>
    <row r="53" spans="12:20" x14ac:dyDescent="0.2">
      <c r="L53" s="23" t="str">
        <f t="shared" si="2"/>
        <v/>
      </c>
      <c r="Q53" t="str">
        <f>IF(F53="CJ", COUNTIF(F$5:F53, "CJ"), "")</f>
        <v/>
      </c>
      <c r="R53" t="str">
        <f>IF(F53="Ignacio", COUNTIF(F$5:F53, "Ignacio"), "")</f>
        <v/>
      </c>
      <c r="S53" t="str">
        <f>IF(F53="Tripulacion", COUNTIF(F$5:F53, "Tripulacion"), "")</f>
        <v/>
      </c>
      <c r="T53" t="str">
        <f>IF(F53="ENAP carga", COUNTIF(F$5:F53, "ENAP carga"), "")</f>
        <v/>
      </c>
    </row>
    <row r="54" spans="12:20" x14ac:dyDescent="0.2">
      <c r="L54" s="23" t="str">
        <f t="shared" si="2"/>
        <v/>
      </c>
      <c r="Q54" t="str">
        <f>IF(F54="CJ", COUNTIF(F$5:F54, "CJ"), "")</f>
        <v/>
      </c>
      <c r="R54" t="str">
        <f>IF(F54="Ignacio", COUNTIF(F$5:F54, "Ignacio"), "")</f>
        <v/>
      </c>
      <c r="S54" t="str">
        <f>IF(F54="Tripulacion", COUNTIF(F$5:F54, "Tripulacion"), "")</f>
        <v/>
      </c>
      <c r="T54" t="str">
        <f>IF(F54="ENAP carga", COUNTIF(F$5:F54, "ENAP carga"), "")</f>
        <v/>
      </c>
    </row>
    <row r="55" spans="12:20" x14ac:dyDescent="0.2">
      <c r="L55" s="23" t="str">
        <f t="shared" si="2"/>
        <v/>
      </c>
      <c r="Q55" t="str">
        <f>IF(F55="CJ", COUNTIF(F$5:F55, "CJ"), "")</f>
        <v/>
      </c>
      <c r="R55" t="str">
        <f>IF(F55="Ignacio", COUNTIF(F$5:F55, "Ignacio"), "")</f>
        <v/>
      </c>
      <c r="S55" t="str">
        <f>IF(F55="Tripulacion", COUNTIF(F$5:F55, "Tripulacion"), "")</f>
        <v/>
      </c>
      <c r="T55" t="str">
        <f>IF(F55="ENAP carga", COUNTIF(F$5:F55, "ENAP carga"), "")</f>
        <v/>
      </c>
    </row>
    <row r="56" spans="12:20" x14ac:dyDescent="0.2">
      <c r="L56" s="23" t="str">
        <f t="shared" si="2"/>
        <v/>
      </c>
      <c r="Q56" t="str">
        <f>IF(F56="CJ", COUNTIF(F$5:F56, "CJ"), "")</f>
        <v/>
      </c>
      <c r="R56" t="str">
        <f>IF(F56="Ignacio", COUNTIF(F$5:F56, "Ignacio"), "")</f>
        <v/>
      </c>
      <c r="S56" t="str">
        <f>IF(F56="Tripulacion", COUNTIF(F$5:F56, "Tripulacion"), "")</f>
        <v/>
      </c>
      <c r="T56" t="str">
        <f>IF(F56="ENAP carga", COUNTIF(F$5:F56, "ENAP carga"), "")</f>
        <v/>
      </c>
    </row>
    <row r="57" spans="12:20" x14ac:dyDescent="0.2">
      <c r="L57" s="23" t="str">
        <f t="shared" si="2"/>
        <v/>
      </c>
      <c r="Q57" t="str">
        <f>IF(F57="CJ", COUNTIF(F$5:F57, "CJ"), "")</f>
        <v/>
      </c>
      <c r="R57" t="str">
        <f>IF(F57="Ignacio", COUNTIF(F$5:F57, "Ignacio"), "")</f>
        <v/>
      </c>
      <c r="S57" t="str">
        <f>IF(F57="Tripulacion", COUNTIF(F$5:F57, "Tripulacion"), "")</f>
        <v/>
      </c>
      <c r="T57" t="str">
        <f>IF(F57="ENAP carga", COUNTIF(F$5:F57, "ENAP carga"), "")</f>
        <v/>
      </c>
    </row>
    <row r="58" spans="12:20" x14ac:dyDescent="0.2">
      <c r="L58" s="23" t="str">
        <f t="shared" si="2"/>
        <v/>
      </c>
      <c r="Q58" t="str">
        <f>IF(F58="CJ", COUNTIF(F$5:F58, "CJ"), "")</f>
        <v/>
      </c>
      <c r="R58" t="str">
        <f>IF(F58="Ignacio", COUNTIF(F$5:F58, "Ignacio"), "")</f>
        <v/>
      </c>
      <c r="S58" t="str">
        <f>IF(F58="Tripulacion", COUNTIF(F$5:F58, "Tripulacion"), "")</f>
        <v/>
      </c>
      <c r="T58" t="str">
        <f>IF(F58="ENAP carga", COUNTIF(F$5:F58, "ENAP carga"), "")</f>
        <v/>
      </c>
    </row>
    <row r="59" spans="12:20" x14ac:dyDescent="0.2">
      <c r="L59" s="23" t="str">
        <f t="shared" si="2"/>
        <v/>
      </c>
      <c r="Q59" t="str">
        <f>IF(F59="CJ", COUNTIF(F$5:F59, "CJ"), "")</f>
        <v/>
      </c>
      <c r="R59" t="str">
        <f>IF(F59="Ignacio", COUNTIF(F$5:F59, "Ignacio"), "")</f>
        <v/>
      </c>
      <c r="S59" t="str">
        <f>IF(F59="Tripulacion", COUNTIF(F$5:F59, "Tripulacion"), "")</f>
        <v/>
      </c>
      <c r="T59" t="str">
        <f>IF(F59="ENAP carga", COUNTIF(F$5:F59, "ENAP carga"), "")</f>
        <v/>
      </c>
    </row>
    <row r="60" spans="12:20" x14ac:dyDescent="0.2">
      <c r="L60" s="23" t="str">
        <f t="shared" si="2"/>
        <v/>
      </c>
      <c r="Q60" t="str">
        <f>IF(F60="CJ", COUNTIF(F$5:F60, "CJ"), "")</f>
        <v/>
      </c>
      <c r="R60" t="str">
        <f>IF(F60="Ignacio", COUNTIF(F$5:F60, "Ignacio"), "")</f>
        <v/>
      </c>
      <c r="S60" t="str">
        <f>IF(F60="Tripulacion", COUNTIF(F$5:F60, "Tripulacion"), "")</f>
        <v/>
      </c>
      <c r="T60" t="str">
        <f>IF(F60="ENAP carga", COUNTIF(F$5:F60, "ENAP carga"), "")</f>
        <v/>
      </c>
    </row>
    <row r="61" spans="12:20" x14ac:dyDescent="0.2">
      <c r="L61" s="23" t="str">
        <f t="shared" si="2"/>
        <v/>
      </c>
      <c r="Q61" t="str">
        <f>IF(F61="CJ", COUNTIF(F$5:F61, "CJ"), "")</f>
        <v/>
      </c>
      <c r="R61" t="str">
        <f>IF(F61="Ignacio", COUNTIF(F$5:F61, "Ignacio"), "")</f>
        <v/>
      </c>
      <c r="S61" t="str">
        <f>IF(F61="Tripulacion", COUNTIF(F$5:F61, "Tripulacion"), "")</f>
        <v/>
      </c>
      <c r="T61" t="str">
        <f>IF(F61="ENAP carga", COUNTIF(F$5:F61, "ENAP carga"), "")</f>
        <v/>
      </c>
    </row>
    <row r="62" spans="12:20" x14ac:dyDescent="0.2">
      <c r="L62" s="23" t="str">
        <f t="shared" si="2"/>
        <v/>
      </c>
      <c r="Q62" t="str">
        <f>IF(F62="CJ", COUNTIF(F$5:F62, "CJ"), "")</f>
        <v/>
      </c>
      <c r="R62" t="str">
        <f>IF(F62="Ignacio", COUNTIF(F$5:F62, "Ignacio"), "")</f>
        <v/>
      </c>
      <c r="S62" t="str">
        <f>IF(F62="Tripulacion", COUNTIF(F$5:F62, "Tripulacion"), "")</f>
        <v/>
      </c>
      <c r="T62" t="str">
        <f>IF(F62="ENAP carga", COUNTIF(F$5:F62, "ENAP carga"), "")</f>
        <v/>
      </c>
    </row>
    <row r="63" spans="12:20" x14ac:dyDescent="0.2">
      <c r="L63" s="23" t="str">
        <f t="shared" si="2"/>
        <v/>
      </c>
      <c r="Q63" t="str">
        <f>IF(F63="CJ", COUNTIF(F$5:F63, "CJ"), "")</f>
        <v/>
      </c>
      <c r="R63" t="str">
        <f>IF(F63="Ignacio", COUNTIF(F$5:F63, "Ignacio"), "")</f>
        <v/>
      </c>
      <c r="S63" t="str">
        <f>IF(F63="Tripulacion", COUNTIF(F$5:F63, "Tripulacion"), "")</f>
        <v/>
      </c>
      <c r="T63" t="str">
        <f>IF(F63="ENAP carga", COUNTIF(F$5:F63, "ENAP carga"), "")</f>
        <v/>
      </c>
    </row>
    <row r="64" spans="12:20" x14ac:dyDescent="0.2">
      <c r="L64" s="23" t="str">
        <f t="shared" si="2"/>
        <v/>
      </c>
      <c r="Q64" t="str">
        <f>IF(F64="CJ", COUNTIF(F$5:F64, "CJ"), "")</f>
        <v/>
      </c>
      <c r="R64" t="str">
        <f>IF(F64="Ignacio", COUNTIF(F$5:F64, "Ignacio"), "")</f>
        <v/>
      </c>
      <c r="S64" t="str">
        <f>IF(F64="Tripulacion", COUNTIF(F$5:F64, "Tripulacion"), "")</f>
        <v/>
      </c>
      <c r="T64" t="str">
        <f>IF(F64="ENAP carga", COUNTIF(F$5:F64, "ENAP carga"), "")</f>
        <v/>
      </c>
    </row>
    <row r="65" spans="12:20" x14ac:dyDescent="0.2">
      <c r="L65" s="23" t="str">
        <f t="shared" si="2"/>
        <v/>
      </c>
      <c r="Q65" t="str">
        <f>IF(F65="CJ", COUNTIF(F$5:F65, "CJ"), "")</f>
        <v/>
      </c>
      <c r="R65" t="str">
        <f>IF(F65="Ignacio", COUNTIF(F$5:F65, "Ignacio"), "")</f>
        <v/>
      </c>
      <c r="S65" t="str">
        <f>IF(F65="Tripulacion", COUNTIF(F$5:F65, "Tripulacion"), "")</f>
        <v/>
      </c>
      <c r="T65" t="str">
        <f>IF(F65="ENAP carga", COUNTIF(F$5:F65, "ENAP carga"), "")</f>
        <v/>
      </c>
    </row>
    <row r="66" spans="12:20" x14ac:dyDescent="0.2">
      <c r="L66" s="23" t="str">
        <f t="shared" si="2"/>
        <v/>
      </c>
      <c r="Q66" t="str">
        <f>IF(F66="CJ", COUNTIF(F$5:F66, "CJ"), "")</f>
        <v/>
      </c>
      <c r="R66" t="str">
        <f>IF(F66="Ignacio", COUNTIF(F$5:F66, "Ignacio"), "")</f>
        <v/>
      </c>
      <c r="S66" t="str">
        <f>IF(F66="Tripulacion", COUNTIF(F$5:F66, "Tripulacion"), "")</f>
        <v/>
      </c>
      <c r="T66" t="str">
        <f>IF(F66="ENAP carga", COUNTIF(F$5:F66, "ENAP carga"), "")</f>
        <v/>
      </c>
    </row>
    <row r="67" spans="12:20" x14ac:dyDescent="0.2">
      <c r="L67" s="23" t="str">
        <f t="shared" si="2"/>
        <v/>
      </c>
      <c r="Q67" t="str">
        <f>IF(F67="CJ", COUNTIF(F$5:F67, "CJ"), "")</f>
        <v/>
      </c>
      <c r="R67" t="str">
        <f>IF(F67="Ignacio", COUNTIF(F$5:F67, "Ignacio"), "")</f>
        <v/>
      </c>
      <c r="S67" t="str">
        <f>IF(F67="Tripulacion", COUNTIF(F$5:F67, "Tripulacion"), "")</f>
        <v/>
      </c>
      <c r="T67" t="str">
        <f>IF(F67="ENAP carga", COUNTIF(F$5:F67, "ENAP carga"), "")</f>
        <v/>
      </c>
    </row>
    <row r="68" spans="12:20" x14ac:dyDescent="0.2">
      <c r="L68" s="23" t="str">
        <f t="shared" si="2"/>
        <v/>
      </c>
      <c r="Q68" t="str">
        <f>IF(F68="CJ", COUNTIF(F$5:F68, "CJ"), "")</f>
        <v/>
      </c>
      <c r="R68" t="str">
        <f>IF(F68="Ignacio", COUNTIF(F$5:F68, "Ignacio"), "")</f>
        <v/>
      </c>
      <c r="S68" t="str">
        <f>IF(F68="Tripulacion", COUNTIF(F$5:F68, "Tripulacion"), "")</f>
        <v/>
      </c>
      <c r="T68" t="str">
        <f>IF(F68="ENAP carga", COUNTIF(F$5:F68, "ENAP carga"), "")</f>
        <v/>
      </c>
    </row>
    <row r="69" spans="12:20" x14ac:dyDescent="0.2">
      <c r="L69" s="23" t="str">
        <f t="shared" si="2"/>
        <v/>
      </c>
      <c r="Q69" t="str">
        <f>IF(F69="CJ", COUNTIF(F$5:F69, "CJ"), "")</f>
        <v/>
      </c>
      <c r="R69" t="str">
        <f>IF(F69="Ignacio", COUNTIF(F$5:F69, "Ignacio"), "")</f>
        <v/>
      </c>
      <c r="S69" t="str">
        <f>IF(F69="Tripulacion", COUNTIF(F$5:F69, "Tripulacion"), "")</f>
        <v/>
      </c>
      <c r="T69" t="str">
        <f>IF(F69="ENAP carga", COUNTIF(F$5:F69, "ENAP carga"), "")</f>
        <v/>
      </c>
    </row>
    <row r="70" spans="12:20" x14ac:dyDescent="0.2">
      <c r="L70" s="23" t="str">
        <f t="shared" si="2"/>
        <v/>
      </c>
      <c r="Q70" t="str">
        <f>IF(F70="CJ", COUNTIF(F$5:F70, "CJ"), "")</f>
        <v/>
      </c>
      <c r="R70" t="str">
        <f>IF(F70="Ignacio", COUNTIF(F$5:F70, "Ignacio"), "")</f>
        <v/>
      </c>
      <c r="S70" t="str">
        <f>IF(F70="Tripulacion", COUNTIF(F$5:F70, "Tripulacion"), "")</f>
        <v/>
      </c>
      <c r="T70" t="str">
        <f>IF(F70="ENAP carga", COUNTIF(F$5:F70, "ENAP carga"), "")</f>
        <v/>
      </c>
    </row>
    <row r="71" spans="12:20" x14ac:dyDescent="0.2">
      <c r="L71" s="23" t="str">
        <f t="shared" si="2"/>
        <v/>
      </c>
      <c r="Q71" t="str">
        <f>IF(F71="CJ", COUNTIF(F$5:F71, "CJ"), "")</f>
        <v/>
      </c>
      <c r="R71" t="str">
        <f>IF(F71="Ignacio", COUNTIF(F$5:F71, "Ignacio"), "")</f>
        <v/>
      </c>
      <c r="S71" t="str">
        <f>IF(F71="Tripulacion", COUNTIF(F$5:F71, "Tripulacion"), "")</f>
        <v/>
      </c>
      <c r="T71" t="str">
        <f>IF(F71="ENAP carga", COUNTIF(F$5:F71, "ENAP carga"), "")</f>
        <v/>
      </c>
    </row>
    <row r="72" spans="12:20" x14ac:dyDescent="0.2">
      <c r="L72" s="23" t="str">
        <f t="shared" si="2"/>
        <v/>
      </c>
      <c r="Q72" t="str">
        <f>IF(F72="CJ", COUNTIF(F$5:F72, "CJ"), "")</f>
        <v/>
      </c>
      <c r="R72" t="str">
        <f>IF(F72="Ignacio", COUNTIF(F$5:F72, "Ignacio"), "")</f>
        <v/>
      </c>
      <c r="S72" t="str">
        <f>IF(F72="Tripulacion", COUNTIF(F$5:F72, "Tripulacion"), "")</f>
        <v/>
      </c>
      <c r="T72" t="str">
        <f>IF(F72="ENAP carga", COUNTIF(F$5:F72, "ENAP carga"), "")</f>
        <v/>
      </c>
    </row>
    <row r="73" spans="12:20" x14ac:dyDescent="0.2">
      <c r="L73" s="23" t="str">
        <f t="shared" si="2"/>
        <v/>
      </c>
      <c r="Q73" t="str">
        <f>IF(F73="CJ", COUNTIF(F$5:F73, "CJ"), "")</f>
        <v/>
      </c>
      <c r="R73" t="str">
        <f>IF(F73="Ignacio", COUNTIF(F$5:F73, "Ignacio"), "")</f>
        <v/>
      </c>
      <c r="S73" t="str">
        <f>IF(F73="Tripulacion", COUNTIF(F$5:F73, "Tripulacion"), "")</f>
        <v/>
      </c>
      <c r="T73" t="str">
        <f>IF(F73="ENAP carga", COUNTIF(F$5:F73, "ENAP carga"), "")</f>
        <v/>
      </c>
    </row>
    <row r="74" spans="12:20" x14ac:dyDescent="0.2">
      <c r="L74" s="23" t="str">
        <f t="shared" si="2"/>
        <v/>
      </c>
      <c r="Q74" t="str">
        <f>IF(F74="CJ", COUNTIF(F$5:F74, "CJ"), "")</f>
        <v/>
      </c>
      <c r="R74" t="str">
        <f>IF(F74="Ignacio", COUNTIF(F$5:F74, "Ignacio"), "")</f>
        <v/>
      </c>
      <c r="S74" t="str">
        <f>IF(F74="Tripulacion", COUNTIF(F$5:F74, "Tripulacion"), "")</f>
        <v/>
      </c>
      <c r="T74" t="str">
        <f>IF(F74="ENAP carga", COUNTIF(F$5:F74, "ENAP carga"), "")</f>
        <v/>
      </c>
    </row>
    <row r="75" spans="12:20" x14ac:dyDescent="0.2">
      <c r="L75" s="23" t="str">
        <f t="shared" si="2"/>
        <v/>
      </c>
      <c r="Q75" t="str">
        <f>IF(F75="CJ", COUNTIF(F$5:F75, "CJ"), "")</f>
        <v/>
      </c>
      <c r="R75" t="str">
        <f>IF(F75="Ignacio", COUNTIF(F$5:F75, "Ignacio"), "")</f>
        <v/>
      </c>
      <c r="S75" t="str">
        <f>IF(F75="Tripulacion", COUNTIF(F$5:F75, "Tripulacion"), "")</f>
        <v/>
      </c>
      <c r="T75" t="str">
        <f>IF(F75="ENAP carga", COUNTIF(F$5:F75, "ENAP carga"), "")</f>
        <v/>
      </c>
    </row>
    <row r="76" spans="12:20" x14ac:dyDescent="0.2">
      <c r="L76" s="23" t="str">
        <f t="shared" si="2"/>
        <v/>
      </c>
      <c r="Q76" t="str">
        <f>IF(F76="CJ", COUNTIF(F$5:F76, "CJ"), "")</f>
        <v/>
      </c>
      <c r="R76" t="str">
        <f>IF(F76="Ignacio", COUNTIF(F$5:F76, "Ignacio"), "")</f>
        <v/>
      </c>
      <c r="S76" t="str">
        <f>IF(F76="Tripulacion", COUNTIF(F$5:F76, "Tripulacion"), "")</f>
        <v/>
      </c>
      <c r="T76" t="str">
        <f>IF(F76="ENAP carga", COUNTIF(F$5:F76, "ENAP carga"), "")</f>
        <v/>
      </c>
    </row>
    <row r="77" spans="12:20" x14ac:dyDescent="0.2">
      <c r="L77" s="23" t="str">
        <f t="shared" si="2"/>
        <v/>
      </c>
      <c r="Q77" t="str">
        <f>IF(F77="CJ", COUNTIF(F$5:F77, "CJ"), "")</f>
        <v/>
      </c>
      <c r="R77" t="str">
        <f>IF(F77="Ignacio", COUNTIF(F$5:F77, "Ignacio"), "")</f>
        <v/>
      </c>
      <c r="S77" t="str">
        <f>IF(F77="Tripulacion", COUNTIF(F$5:F77, "Tripulacion"), "")</f>
        <v/>
      </c>
      <c r="T77" t="str">
        <f>IF(F77="ENAP carga", COUNTIF(F$5:F77, "ENAP carga"), "")</f>
        <v/>
      </c>
    </row>
    <row r="78" spans="12:20" x14ac:dyDescent="0.2">
      <c r="L78" s="23" t="str">
        <f t="shared" ref="L78:L141" si="3">IF(F78="CJ", I78*200, "")</f>
        <v/>
      </c>
      <c r="Q78" t="str">
        <f>IF(F78="CJ", COUNTIF(F$5:F78, "CJ"), "")</f>
        <v/>
      </c>
      <c r="R78" t="str">
        <f>IF(F78="Ignacio", COUNTIF(F$5:F78, "Ignacio"), "")</f>
        <v/>
      </c>
      <c r="S78" t="str">
        <f>IF(F78="Tripulacion", COUNTIF(F$5:F78, "Tripulacion"), "")</f>
        <v/>
      </c>
      <c r="T78" t="str">
        <f>IF(F78="ENAP carga", COUNTIF(F$5:F78, "ENAP carga"), "")</f>
        <v/>
      </c>
    </row>
    <row r="79" spans="12:20" x14ac:dyDescent="0.2">
      <c r="L79" s="23" t="str">
        <f t="shared" si="3"/>
        <v/>
      </c>
      <c r="Q79" t="str">
        <f>IF(F79="CJ", COUNTIF(F$5:F79, "CJ"), "")</f>
        <v/>
      </c>
      <c r="R79" t="str">
        <f>IF(F79="Ignacio", COUNTIF(F$5:F79, "Ignacio"), "")</f>
        <v/>
      </c>
      <c r="S79" t="str">
        <f>IF(F79="Tripulacion", COUNTIF(F$5:F79, "Tripulacion"), "")</f>
        <v/>
      </c>
      <c r="T79" t="str">
        <f>IF(F79="ENAP carga", COUNTIF(F$5:F79, "ENAP carga"), "")</f>
        <v/>
      </c>
    </row>
    <row r="80" spans="12:20" x14ac:dyDescent="0.2">
      <c r="L80" s="23" t="str">
        <f t="shared" si="3"/>
        <v/>
      </c>
      <c r="Q80" t="str">
        <f>IF(F80="CJ", COUNTIF(F$5:F80, "CJ"), "")</f>
        <v/>
      </c>
      <c r="R80" t="str">
        <f>IF(F80="Ignacio", COUNTIF(F$5:F80, "Ignacio"), "")</f>
        <v/>
      </c>
      <c r="S80" t="str">
        <f>IF(F80="Tripulacion", COUNTIF(F$5:F80, "Tripulacion"), "")</f>
        <v/>
      </c>
      <c r="T80" t="str">
        <f>IF(F80="ENAP carga", COUNTIF(F$5:F80, "ENAP carga"), "")</f>
        <v/>
      </c>
    </row>
    <row r="81" spans="12:20" x14ac:dyDescent="0.2">
      <c r="L81" s="23" t="str">
        <f t="shared" si="3"/>
        <v/>
      </c>
      <c r="Q81" t="str">
        <f>IF(F81="CJ", COUNTIF(F$5:F81, "CJ"), "")</f>
        <v/>
      </c>
      <c r="R81" t="str">
        <f>IF(F81="Ignacio", COUNTIF(F$5:F81, "Ignacio"), "")</f>
        <v/>
      </c>
      <c r="S81" t="str">
        <f>IF(F81="Tripulacion", COUNTIF(F$5:F81, "Tripulacion"), "")</f>
        <v/>
      </c>
      <c r="T81" t="str">
        <f>IF(F81="ENAP carga", COUNTIF(F$5:F81, "ENAP carga"), "")</f>
        <v/>
      </c>
    </row>
    <row r="82" spans="12:20" x14ac:dyDescent="0.2">
      <c r="L82" s="23" t="str">
        <f t="shared" si="3"/>
        <v/>
      </c>
      <c r="Q82" t="str">
        <f>IF(F82="CJ", COUNTIF(F$5:F82, "CJ"), "")</f>
        <v/>
      </c>
      <c r="R82" t="str">
        <f>IF(F82="Ignacio", COUNTIF(F$5:F82, "Ignacio"), "")</f>
        <v/>
      </c>
      <c r="S82" t="str">
        <f>IF(F82="Tripulacion", COUNTIF(F$5:F82, "Tripulacion"), "")</f>
        <v/>
      </c>
      <c r="T82" t="str">
        <f>IF(F82="ENAP carga", COUNTIF(F$5:F82, "ENAP carga"), "")</f>
        <v/>
      </c>
    </row>
    <row r="83" spans="12:20" x14ac:dyDescent="0.2">
      <c r="L83" s="23" t="str">
        <f t="shared" si="3"/>
        <v/>
      </c>
      <c r="Q83" t="str">
        <f>IF(F83="CJ", COUNTIF(F$5:F83, "CJ"), "")</f>
        <v/>
      </c>
      <c r="R83" t="str">
        <f>IF(F83="Ignacio", COUNTIF(F$5:F83, "Ignacio"), "")</f>
        <v/>
      </c>
      <c r="S83" t="str">
        <f>IF(F83="Tripulacion", COUNTIF(F$5:F83, "Tripulacion"), "")</f>
        <v/>
      </c>
      <c r="T83" t="str">
        <f>IF(F83="ENAP carga", COUNTIF(F$5:F83, "ENAP carga"), "")</f>
        <v/>
      </c>
    </row>
    <row r="84" spans="12:20" x14ac:dyDescent="0.2">
      <c r="L84" s="23" t="str">
        <f t="shared" si="3"/>
        <v/>
      </c>
      <c r="Q84" t="str">
        <f>IF(F84="CJ", COUNTIF(F$5:F84, "CJ"), "")</f>
        <v/>
      </c>
      <c r="R84" t="str">
        <f>IF(F84="Ignacio", COUNTIF(F$5:F84, "Ignacio"), "")</f>
        <v/>
      </c>
      <c r="S84" t="str">
        <f>IF(F84="Tripulacion", COUNTIF(F$5:F84, "Tripulacion"), "")</f>
        <v/>
      </c>
      <c r="T84" t="str">
        <f>IF(F84="ENAP carga", COUNTIF(F$5:F84, "ENAP carga"), "")</f>
        <v/>
      </c>
    </row>
    <row r="85" spans="12:20" x14ac:dyDescent="0.2">
      <c r="L85" s="23" t="str">
        <f t="shared" si="3"/>
        <v/>
      </c>
      <c r="Q85" t="str">
        <f>IF(F85="CJ", COUNTIF(F$5:F85, "CJ"), "")</f>
        <v/>
      </c>
      <c r="R85" t="str">
        <f>IF(F85="Ignacio", COUNTIF(F$5:F85, "Ignacio"), "")</f>
        <v/>
      </c>
      <c r="S85" t="str">
        <f>IF(F85="Tripulacion", COUNTIF(F$5:F85, "Tripulacion"), "")</f>
        <v/>
      </c>
      <c r="T85" t="str">
        <f>IF(F85="ENAP carga", COUNTIF(F$5:F85, "ENAP carga"), "")</f>
        <v/>
      </c>
    </row>
    <row r="86" spans="12:20" x14ac:dyDescent="0.2">
      <c r="L86" s="23" t="str">
        <f t="shared" si="3"/>
        <v/>
      </c>
      <c r="Q86" t="str">
        <f>IF(F86="CJ", COUNTIF(F$5:F86, "CJ"), "")</f>
        <v/>
      </c>
      <c r="R86" t="str">
        <f>IF(F86="Ignacio", COUNTIF(F$5:F86, "Ignacio"), "")</f>
        <v/>
      </c>
      <c r="S86" t="str">
        <f>IF(F86="Tripulacion", COUNTIF(F$5:F86, "Tripulacion"), "")</f>
        <v/>
      </c>
      <c r="T86" t="str">
        <f>IF(F86="ENAP carga", COUNTIF(F$5:F86, "ENAP carga"), "")</f>
        <v/>
      </c>
    </row>
    <row r="87" spans="12:20" x14ac:dyDescent="0.2">
      <c r="L87" s="23" t="str">
        <f t="shared" si="3"/>
        <v/>
      </c>
      <c r="Q87" t="str">
        <f>IF(F87="CJ", COUNTIF(F$5:F87, "CJ"), "")</f>
        <v/>
      </c>
      <c r="R87" t="str">
        <f>IF(F87="Ignacio", COUNTIF(F$5:F87, "Ignacio"), "")</f>
        <v/>
      </c>
      <c r="S87" t="str">
        <f>IF(F87="Tripulacion", COUNTIF(F$5:F87, "Tripulacion"), "")</f>
        <v/>
      </c>
      <c r="T87" t="str">
        <f>IF(F87="ENAP carga", COUNTIF(F$5:F87, "ENAP carga"), "")</f>
        <v/>
      </c>
    </row>
    <row r="88" spans="12:20" x14ac:dyDescent="0.2">
      <c r="L88" s="23" t="str">
        <f t="shared" si="3"/>
        <v/>
      </c>
      <c r="Q88" t="str">
        <f>IF(F88="CJ", COUNTIF(F$5:F88, "CJ"), "")</f>
        <v/>
      </c>
      <c r="R88" t="str">
        <f>IF(F88="Ignacio", COUNTIF(F$5:F88, "Ignacio"), "")</f>
        <v/>
      </c>
      <c r="S88" t="str">
        <f>IF(F88="Tripulacion", COUNTIF(F$5:F88, "Tripulacion"), "")</f>
        <v/>
      </c>
      <c r="T88" t="str">
        <f>IF(F88="ENAP carga", COUNTIF(F$5:F88, "ENAP carga"), "")</f>
        <v/>
      </c>
    </row>
    <row r="89" spans="12:20" x14ac:dyDescent="0.2">
      <c r="L89" s="23" t="str">
        <f t="shared" si="3"/>
        <v/>
      </c>
      <c r="Q89" t="str">
        <f>IF(F89="CJ", COUNTIF(F$5:F89, "CJ"), "")</f>
        <v/>
      </c>
      <c r="R89" t="str">
        <f>IF(F89="Ignacio", COUNTIF(F$5:F89, "Ignacio"), "")</f>
        <v/>
      </c>
      <c r="S89" t="str">
        <f>IF(F89="Tripulacion", COUNTIF(F$5:F89, "Tripulacion"), "")</f>
        <v/>
      </c>
      <c r="T89" t="str">
        <f>IF(F89="ENAP carga", COUNTIF(F$5:F89, "ENAP carga"), "")</f>
        <v/>
      </c>
    </row>
    <row r="90" spans="12:20" x14ac:dyDescent="0.2">
      <c r="L90" s="23" t="str">
        <f t="shared" si="3"/>
        <v/>
      </c>
      <c r="Q90" t="str">
        <f>IF(F90="CJ", COUNTIF(F$5:F90, "CJ"), "")</f>
        <v/>
      </c>
      <c r="R90" t="str">
        <f>IF(F90="Ignacio", COUNTIF(F$5:F90, "Ignacio"), "")</f>
        <v/>
      </c>
      <c r="S90" t="str">
        <f>IF(F90="Tripulacion", COUNTIF(F$5:F90, "Tripulacion"), "")</f>
        <v/>
      </c>
      <c r="T90" t="str">
        <f>IF(F90="ENAP carga", COUNTIF(F$5:F90, "ENAP carga"), "")</f>
        <v/>
      </c>
    </row>
    <row r="91" spans="12:20" x14ac:dyDescent="0.2">
      <c r="L91" s="23" t="str">
        <f t="shared" si="3"/>
        <v/>
      </c>
      <c r="Q91" t="str">
        <f>IF(F91="CJ", COUNTIF(F$5:F91, "CJ"), "")</f>
        <v/>
      </c>
      <c r="R91" t="str">
        <f>IF(F91="Ignacio", COUNTIF(F$5:F91, "Ignacio"), "")</f>
        <v/>
      </c>
      <c r="S91" t="str">
        <f>IF(F91="Tripulacion", COUNTIF(F$5:F91, "Tripulacion"), "")</f>
        <v/>
      </c>
      <c r="T91" t="str">
        <f>IF(F91="ENAP carga", COUNTIF(F$5:F91, "ENAP carga"), "")</f>
        <v/>
      </c>
    </row>
    <row r="92" spans="12:20" x14ac:dyDescent="0.2">
      <c r="L92" s="23" t="str">
        <f t="shared" si="3"/>
        <v/>
      </c>
      <c r="Q92" t="str">
        <f>IF(F92="CJ", COUNTIF(F$5:F92, "CJ"), "")</f>
        <v/>
      </c>
      <c r="R92" t="str">
        <f>IF(F92="Ignacio", COUNTIF(F$5:F92, "Ignacio"), "")</f>
        <v/>
      </c>
      <c r="S92" t="str">
        <f>IF(F92="Tripulacion", COUNTIF(F$5:F92, "Tripulacion"), "")</f>
        <v/>
      </c>
      <c r="T92" t="str">
        <f>IF(F92="ENAP carga", COUNTIF(F$5:F92, "ENAP carga"), "")</f>
        <v/>
      </c>
    </row>
    <row r="93" spans="12:20" x14ac:dyDescent="0.2">
      <c r="L93" s="23" t="str">
        <f t="shared" si="3"/>
        <v/>
      </c>
      <c r="Q93" t="str">
        <f>IF(F93="CJ", COUNTIF(F$5:F93, "CJ"), "")</f>
        <v/>
      </c>
      <c r="R93" t="str">
        <f>IF(F93="Ignacio", COUNTIF(F$5:F93, "Ignacio"), "")</f>
        <v/>
      </c>
      <c r="S93" t="str">
        <f>IF(F93="Tripulacion", COUNTIF(F$5:F93, "Tripulacion"), "")</f>
        <v/>
      </c>
      <c r="T93" t="str">
        <f>IF(F93="ENAP carga", COUNTIF(F$5:F93, "ENAP carga"), "")</f>
        <v/>
      </c>
    </row>
    <row r="94" spans="12:20" x14ac:dyDescent="0.2">
      <c r="L94" s="23" t="str">
        <f t="shared" si="3"/>
        <v/>
      </c>
      <c r="Q94" t="str">
        <f>IF(F94="CJ", COUNTIF(F$5:F94, "CJ"), "")</f>
        <v/>
      </c>
      <c r="R94" t="str">
        <f>IF(F94="Ignacio", COUNTIF(F$5:F94, "Ignacio"), "")</f>
        <v/>
      </c>
      <c r="S94" t="str">
        <f>IF(F94="Tripulacion", COUNTIF(F$5:F94, "Tripulacion"), "")</f>
        <v/>
      </c>
      <c r="T94" t="str">
        <f>IF(F94="ENAP carga", COUNTIF(F$5:F94, "ENAP carga"), "")</f>
        <v/>
      </c>
    </row>
    <row r="95" spans="12:20" x14ac:dyDescent="0.2">
      <c r="L95" s="23" t="str">
        <f t="shared" si="3"/>
        <v/>
      </c>
      <c r="Q95" t="str">
        <f>IF(F95="CJ", COUNTIF(F$5:F95, "CJ"), "")</f>
        <v/>
      </c>
      <c r="R95" t="str">
        <f>IF(F95="Ignacio", COUNTIF(F$5:F95, "Ignacio"), "")</f>
        <v/>
      </c>
      <c r="S95" t="str">
        <f>IF(F95="Tripulacion", COUNTIF(F$5:F95, "Tripulacion"), "")</f>
        <v/>
      </c>
      <c r="T95" t="str">
        <f>IF(F95="ENAP carga", COUNTIF(F$5:F95, "ENAP carga"), "")</f>
        <v/>
      </c>
    </row>
    <row r="96" spans="12:20" x14ac:dyDescent="0.2">
      <c r="L96" s="23" t="str">
        <f t="shared" si="3"/>
        <v/>
      </c>
      <c r="Q96" t="str">
        <f>IF(F96="CJ", COUNTIF(F$5:F96, "CJ"), "")</f>
        <v/>
      </c>
      <c r="R96" t="str">
        <f>IF(F96="Ignacio", COUNTIF(F$5:F96, "Ignacio"), "")</f>
        <v/>
      </c>
      <c r="S96" t="str">
        <f>IF(F96="Tripulacion", COUNTIF(F$5:F96, "Tripulacion"), "")</f>
        <v/>
      </c>
      <c r="T96" t="str">
        <f>IF(F96="ENAP carga", COUNTIF(F$5:F96, "ENAP carga"), "")</f>
        <v/>
      </c>
    </row>
    <row r="97" spans="12:20" x14ac:dyDescent="0.2">
      <c r="L97" s="23" t="str">
        <f t="shared" si="3"/>
        <v/>
      </c>
      <c r="Q97" t="str">
        <f>IF(F97="CJ", COUNTIF(F$5:F97, "CJ"), "")</f>
        <v/>
      </c>
      <c r="R97" t="str">
        <f>IF(F97="Ignacio", COUNTIF(F$5:F97, "Ignacio"), "")</f>
        <v/>
      </c>
      <c r="S97" t="str">
        <f>IF(F97="Tripulacion", COUNTIF(F$5:F97, "Tripulacion"), "")</f>
        <v/>
      </c>
      <c r="T97" t="str">
        <f>IF(F97="ENAP carga", COUNTIF(F$5:F97, "ENAP carga"), "")</f>
        <v/>
      </c>
    </row>
    <row r="98" spans="12:20" x14ac:dyDescent="0.2">
      <c r="L98" s="23" t="str">
        <f t="shared" si="3"/>
        <v/>
      </c>
      <c r="Q98" t="str">
        <f>IF(F98="CJ", COUNTIF(F$5:F98, "CJ"), "")</f>
        <v/>
      </c>
      <c r="R98" t="str">
        <f>IF(F98="Ignacio", COUNTIF(F$5:F98, "Ignacio"), "")</f>
        <v/>
      </c>
      <c r="S98" t="str">
        <f>IF(F98="Tripulacion", COUNTIF(F$5:F98, "Tripulacion"), "")</f>
        <v/>
      </c>
      <c r="T98" t="str">
        <f>IF(F98="ENAP carga", COUNTIF(F$5:F98, "ENAP carga"), "")</f>
        <v/>
      </c>
    </row>
    <row r="99" spans="12:20" x14ac:dyDescent="0.2">
      <c r="L99" s="23" t="str">
        <f t="shared" si="3"/>
        <v/>
      </c>
      <c r="Q99" t="str">
        <f>IF(F99="CJ", COUNTIF(F$5:F99, "CJ"), "")</f>
        <v/>
      </c>
      <c r="R99" t="str">
        <f>IF(F99="Ignacio", COUNTIF(F$5:F99, "Ignacio"), "")</f>
        <v/>
      </c>
      <c r="S99" t="str">
        <f>IF(F99="Tripulacion", COUNTIF(F$5:F99, "Tripulacion"), "")</f>
        <v/>
      </c>
      <c r="T99" t="str">
        <f>IF(F99="ENAP carga", COUNTIF(F$5:F99, "ENAP carga"), "")</f>
        <v/>
      </c>
    </row>
    <row r="100" spans="12:20" x14ac:dyDescent="0.2">
      <c r="L100" s="23" t="str">
        <f t="shared" si="3"/>
        <v/>
      </c>
      <c r="Q100" t="str">
        <f>IF(F100="CJ", COUNTIF(F$5:F100, "CJ"), "")</f>
        <v/>
      </c>
      <c r="R100" t="str">
        <f>IF(F100="Ignacio", COUNTIF(F$5:F100, "Ignacio"), "")</f>
        <v/>
      </c>
      <c r="S100" t="str">
        <f>IF(F100="Tripulacion", COUNTIF(F$5:F100, "Tripulacion"), "")</f>
        <v/>
      </c>
      <c r="T100" t="str">
        <f>IF(F100="ENAP carga", COUNTIF(F$5:F100, "ENAP carga"), "")</f>
        <v/>
      </c>
    </row>
    <row r="101" spans="12:20" x14ac:dyDescent="0.2">
      <c r="L101" s="23" t="str">
        <f t="shared" si="3"/>
        <v/>
      </c>
      <c r="Q101" t="str">
        <f>IF(F101="CJ", COUNTIF(F$5:F101, "CJ"), "")</f>
        <v/>
      </c>
      <c r="R101" t="str">
        <f>IF(F101="Ignacio", COUNTIF(F$5:F101, "Ignacio"), "")</f>
        <v/>
      </c>
      <c r="S101" t="str">
        <f>IF(F101="Tripulacion", COUNTIF(F$5:F101, "Tripulacion"), "")</f>
        <v/>
      </c>
      <c r="T101" t="str">
        <f>IF(F101="ENAP carga", COUNTIF(F$5:F101, "ENAP carga"), "")</f>
        <v/>
      </c>
    </row>
    <row r="102" spans="12:20" x14ac:dyDescent="0.2">
      <c r="L102" s="23" t="str">
        <f t="shared" si="3"/>
        <v/>
      </c>
      <c r="Q102" t="str">
        <f>IF(F102="CJ", COUNTIF(F$5:F102, "CJ"), "")</f>
        <v/>
      </c>
      <c r="R102" t="str">
        <f>IF(F102="Ignacio", COUNTIF(F$5:F102, "Ignacio"), "")</f>
        <v/>
      </c>
      <c r="S102" t="str">
        <f>IF(F102="Tripulacion", COUNTIF(F$5:F102, "Tripulacion"), "")</f>
        <v/>
      </c>
      <c r="T102" t="str">
        <f>IF(F102="ENAP carga", COUNTIF(F$5:F102, "ENAP carga"), "")</f>
        <v/>
      </c>
    </row>
    <row r="103" spans="12:20" x14ac:dyDescent="0.2">
      <c r="L103" s="23" t="str">
        <f t="shared" si="3"/>
        <v/>
      </c>
      <c r="Q103" t="str">
        <f>IF(F103="CJ", COUNTIF(F$5:F103, "CJ"), "")</f>
        <v/>
      </c>
      <c r="R103" t="str">
        <f>IF(F103="Ignacio", COUNTIF(F$5:F103, "Ignacio"), "")</f>
        <v/>
      </c>
      <c r="S103" t="str">
        <f>IF(F103="Tripulacion", COUNTIF(F$5:F103, "Tripulacion"), "")</f>
        <v/>
      </c>
      <c r="T103" t="str">
        <f>IF(F103="ENAP carga", COUNTIF(F$5:F103, "ENAP carga"), "")</f>
        <v/>
      </c>
    </row>
    <row r="104" spans="12:20" x14ac:dyDescent="0.2">
      <c r="L104" s="23" t="str">
        <f t="shared" si="3"/>
        <v/>
      </c>
      <c r="Q104" t="str">
        <f>IF(F104="CJ", COUNTIF(F$5:F104, "CJ"), "")</f>
        <v/>
      </c>
      <c r="R104" t="str">
        <f>IF(F104="Ignacio", COUNTIF(F$5:F104, "Ignacio"), "")</f>
        <v/>
      </c>
      <c r="S104" t="str">
        <f>IF(F104="Tripulacion", COUNTIF(F$5:F104, "Tripulacion"), "")</f>
        <v/>
      </c>
      <c r="T104" t="str">
        <f>IF(F104="ENAP carga", COUNTIF(F$5:F104, "ENAP carga"), "")</f>
        <v/>
      </c>
    </row>
    <row r="105" spans="12:20" x14ac:dyDescent="0.2">
      <c r="L105" s="23" t="str">
        <f t="shared" si="3"/>
        <v/>
      </c>
      <c r="Q105" t="str">
        <f>IF(F105="CJ", COUNTIF(F$5:F105, "CJ"), "")</f>
        <v/>
      </c>
      <c r="R105" t="str">
        <f>IF(F105="Ignacio", COUNTIF(F$5:F105, "Ignacio"), "")</f>
        <v/>
      </c>
      <c r="S105" t="str">
        <f>IF(F105="Tripulacion", COUNTIF(F$5:F105, "Tripulacion"), "")</f>
        <v/>
      </c>
      <c r="T105" t="str">
        <f>IF(F105="ENAP carga", COUNTIF(F$5:F105, "ENAP carga"), "")</f>
        <v/>
      </c>
    </row>
    <row r="106" spans="12:20" x14ac:dyDescent="0.2">
      <c r="L106" s="23" t="str">
        <f t="shared" si="3"/>
        <v/>
      </c>
      <c r="Q106" t="str">
        <f>IF(F106="CJ", COUNTIF(F$5:F106, "CJ"), "")</f>
        <v/>
      </c>
      <c r="R106" t="str">
        <f>IF(F106="Ignacio", COUNTIF(F$5:F106, "Ignacio"), "")</f>
        <v/>
      </c>
      <c r="S106" t="str">
        <f>IF(F106="Tripulacion", COUNTIF(F$5:F106, "Tripulacion"), "")</f>
        <v/>
      </c>
      <c r="T106" t="str">
        <f>IF(F106="ENAP carga", COUNTIF(F$5:F106, "ENAP carga"), "")</f>
        <v/>
      </c>
    </row>
    <row r="107" spans="12:20" x14ac:dyDescent="0.2">
      <c r="L107" s="23" t="str">
        <f t="shared" si="3"/>
        <v/>
      </c>
      <c r="Q107" t="str">
        <f>IF(F107="CJ", COUNTIF(F$5:F107, "CJ"), "")</f>
        <v/>
      </c>
      <c r="R107" t="str">
        <f>IF(F107="Ignacio", COUNTIF(F$5:F107, "Ignacio"), "")</f>
        <v/>
      </c>
      <c r="S107" t="str">
        <f>IF(F107="Tripulacion", COUNTIF(F$5:F107, "Tripulacion"), "")</f>
        <v/>
      </c>
      <c r="T107" t="str">
        <f>IF(F107="ENAP carga", COUNTIF(F$5:F107, "ENAP carga"), "")</f>
        <v/>
      </c>
    </row>
    <row r="108" spans="12:20" x14ac:dyDescent="0.2">
      <c r="L108" s="23" t="str">
        <f t="shared" si="3"/>
        <v/>
      </c>
      <c r="Q108" t="str">
        <f>IF(F108="CJ", COUNTIF(F$5:F108, "CJ"), "")</f>
        <v/>
      </c>
      <c r="R108" t="str">
        <f>IF(F108="Ignacio", COUNTIF(F$5:F108, "Ignacio"), "")</f>
        <v/>
      </c>
      <c r="S108" t="str">
        <f>IF(F108="Tripulacion", COUNTIF(F$5:F108, "Tripulacion"), "")</f>
        <v/>
      </c>
      <c r="T108" t="str">
        <f>IF(F108="ENAP carga", COUNTIF(F$5:F108, "ENAP carga"), "")</f>
        <v/>
      </c>
    </row>
    <row r="109" spans="12:20" x14ac:dyDescent="0.2">
      <c r="L109" s="23" t="str">
        <f t="shared" si="3"/>
        <v/>
      </c>
      <c r="Q109" t="str">
        <f>IF(F109="CJ", COUNTIF(F$5:F109, "CJ"), "")</f>
        <v/>
      </c>
      <c r="R109" t="str">
        <f>IF(F109="Ignacio", COUNTIF(F$5:F109, "Ignacio"), "")</f>
        <v/>
      </c>
      <c r="S109" t="str">
        <f>IF(F109="Tripulacion", COUNTIF(F$5:F109, "Tripulacion"), "")</f>
        <v/>
      </c>
      <c r="T109" t="str">
        <f>IF(F109="ENAP carga", COUNTIF(F$5:F109, "ENAP carga"), "")</f>
        <v/>
      </c>
    </row>
    <row r="110" spans="12:20" x14ac:dyDescent="0.2">
      <c r="L110" s="23" t="str">
        <f t="shared" si="3"/>
        <v/>
      </c>
      <c r="Q110" t="str">
        <f>IF(F110="CJ", COUNTIF(F$5:F110, "CJ"), "")</f>
        <v/>
      </c>
      <c r="R110" t="str">
        <f>IF(F110="Ignacio", COUNTIF(F$5:F110, "Ignacio"), "")</f>
        <v/>
      </c>
      <c r="S110" t="str">
        <f>IF(F110="Tripulacion", COUNTIF(F$5:F110, "Tripulacion"), "")</f>
        <v/>
      </c>
      <c r="T110" t="str">
        <f>IF(F110="ENAP carga", COUNTIF(F$5:F110, "ENAP carga"), "")</f>
        <v/>
      </c>
    </row>
    <row r="111" spans="12:20" x14ac:dyDescent="0.2">
      <c r="L111" s="23" t="str">
        <f t="shared" si="3"/>
        <v/>
      </c>
      <c r="Q111" t="str">
        <f>IF(F111="CJ", COUNTIF(F$5:F111, "CJ"), "")</f>
        <v/>
      </c>
      <c r="R111" t="str">
        <f>IF(F111="Ignacio", COUNTIF(F$5:F111, "Ignacio"), "")</f>
        <v/>
      </c>
      <c r="S111" t="str">
        <f>IF(F111="Tripulacion", COUNTIF(F$5:F111, "Tripulacion"), "")</f>
        <v/>
      </c>
      <c r="T111" t="str">
        <f>IF(F111="ENAP carga", COUNTIF(F$5:F111, "ENAP carga"), "")</f>
        <v/>
      </c>
    </row>
    <row r="112" spans="12:20" x14ac:dyDescent="0.2">
      <c r="L112" s="23" t="str">
        <f t="shared" si="3"/>
        <v/>
      </c>
      <c r="Q112" t="str">
        <f>IF(F112="CJ", COUNTIF(F$5:F112, "CJ"), "")</f>
        <v/>
      </c>
      <c r="R112" t="str">
        <f>IF(F112="Ignacio", COUNTIF(F$5:F112, "Ignacio"), "")</f>
        <v/>
      </c>
      <c r="S112" t="str">
        <f>IF(F112="Tripulacion", COUNTIF(F$5:F112, "Tripulacion"), "")</f>
        <v/>
      </c>
      <c r="T112" t="str">
        <f>IF(F112="ENAP carga", COUNTIF(F$5:F112, "ENAP carga"), "")</f>
        <v/>
      </c>
    </row>
    <row r="113" spans="12:20" x14ac:dyDescent="0.2">
      <c r="L113" s="23" t="str">
        <f t="shared" si="3"/>
        <v/>
      </c>
      <c r="Q113" t="str">
        <f>IF(F113="CJ", COUNTIF(F$5:F113, "CJ"), "")</f>
        <v/>
      </c>
      <c r="R113" t="str">
        <f>IF(F113="Ignacio", COUNTIF(F$5:F113, "Ignacio"), "")</f>
        <v/>
      </c>
      <c r="S113" t="str">
        <f>IF(F113="Tripulacion", COUNTIF(F$5:F113, "Tripulacion"), "")</f>
        <v/>
      </c>
      <c r="T113" t="str">
        <f>IF(F113="ENAP carga", COUNTIF(F$5:F113, "ENAP carga"), "")</f>
        <v/>
      </c>
    </row>
    <row r="114" spans="12:20" x14ac:dyDescent="0.2">
      <c r="L114" s="23" t="str">
        <f t="shared" si="3"/>
        <v/>
      </c>
      <c r="Q114" t="str">
        <f>IF(F114="CJ", COUNTIF(F$5:F114, "CJ"), "")</f>
        <v/>
      </c>
      <c r="R114" t="str">
        <f>IF(F114="Ignacio", COUNTIF(F$5:F114, "Ignacio"), "")</f>
        <v/>
      </c>
      <c r="S114" t="str">
        <f>IF(F114="Tripulacion", COUNTIF(F$5:F114, "Tripulacion"), "")</f>
        <v/>
      </c>
      <c r="T114" t="str">
        <f>IF(F114="ENAP carga", COUNTIF(F$5:F114, "ENAP carga"), "")</f>
        <v/>
      </c>
    </row>
    <row r="115" spans="12:20" x14ac:dyDescent="0.2">
      <c r="L115" s="23" t="str">
        <f t="shared" si="3"/>
        <v/>
      </c>
      <c r="Q115" t="str">
        <f>IF(F115="CJ", COUNTIF(F$5:F115, "CJ"), "")</f>
        <v/>
      </c>
      <c r="R115" t="str">
        <f>IF(F115="Ignacio", COUNTIF(F$5:F115, "Ignacio"), "")</f>
        <v/>
      </c>
      <c r="S115" t="str">
        <f>IF(F115="Tripulacion", COUNTIF(F$5:F115, "Tripulacion"), "")</f>
        <v/>
      </c>
      <c r="T115" t="str">
        <f>IF(F115="ENAP carga", COUNTIF(F$5:F115, "ENAP carga"), "")</f>
        <v/>
      </c>
    </row>
    <row r="116" spans="12:20" x14ac:dyDescent="0.2">
      <c r="L116" s="23" t="str">
        <f t="shared" si="3"/>
        <v/>
      </c>
      <c r="Q116" t="str">
        <f>IF(F116="CJ", COUNTIF(F$5:F116, "CJ"), "")</f>
        <v/>
      </c>
      <c r="R116" t="str">
        <f>IF(F116="Ignacio", COUNTIF(F$5:F116, "Ignacio"), "")</f>
        <v/>
      </c>
      <c r="S116" t="str">
        <f>IF(F116="Tripulacion", COUNTIF(F$5:F116, "Tripulacion"), "")</f>
        <v/>
      </c>
      <c r="T116" t="str">
        <f>IF(F116="ENAP carga", COUNTIF(F$5:F116, "ENAP carga"), "")</f>
        <v/>
      </c>
    </row>
    <row r="117" spans="12:20" x14ac:dyDescent="0.2">
      <c r="L117" s="23" t="str">
        <f t="shared" si="3"/>
        <v/>
      </c>
      <c r="Q117" t="str">
        <f>IF(F117="CJ", COUNTIF(F$5:F117, "CJ"), "")</f>
        <v/>
      </c>
      <c r="R117" t="str">
        <f>IF(F117="Ignacio", COUNTIF(F$5:F117, "Ignacio"), "")</f>
        <v/>
      </c>
      <c r="S117" t="str">
        <f>IF(F117="Tripulacion", COUNTIF(F$5:F117, "Tripulacion"), "")</f>
        <v/>
      </c>
      <c r="T117" t="str">
        <f>IF(F117="ENAP carga", COUNTIF(F$5:F117, "ENAP carga"), "")</f>
        <v/>
      </c>
    </row>
    <row r="118" spans="12:20" x14ac:dyDescent="0.2">
      <c r="L118" s="23" t="str">
        <f t="shared" si="3"/>
        <v/>
      </c>
      <c r="Q118" t="str">
        <f>IF(F118="CJ", COUNTIF(F$5:F118, "CJ"), "")</f>
        <v/>
      </c>
      <c r="R118" t="str">
        <f>IF(F118="Ignacio", COUNTIF(F$5:F118, "Ignacio"), "")</f>
        <v/>
      </c>
      <c r="S118" t="str">
        <f>IF(F118="Tripulacion", COUNTIF(F$5:F118, "Tripulacion"), "")</f>
        <v/>
      </c>
      <c r="T118" t="str">
        <f>IF(F118="ENAP carga", COUNTIF(F$5:F118, "ENAP carga"), "")</f>
        <v/>
      </c>
    </row>
    <row r="119" spans="12:20" x14ac:dyDescent="0.2">
      <c r="L119" s="23" t="str">
        <f t="shared" si="3"/>
        <v/>
      </c>
      <c r="Q119" t="str">
        <f>IF(F119="CJ", COUNTIF(F$5:F119, "CJ"), "")</f>
        <v/>
      </c>
      <c r="R119" t="str">
        <f>IF(F119="Ignacio", COUNTIF(F$5:F119, "Ignacio"), "")</f>
        <v/>
      </c>
      <c r="S119" t="str">
        <f>IF(F119="Tripulacion", COUNTIF(F$5:F119, "Tripulacion"), "")</f>
        <v/>
      </c>
      <c r="T119" t="str">
        <f>IF(F119="ENAP carga", COUNTIF(F$5:F119, "ENAP carga"), "")</f>
        <v/>
      </c>
    </row>
    <row r="120" spans="12:20" x14ac:dyDescent="0.2">
      <c r="L120" s="23" t="str">
        <f t="shared" si="3"/>
        <v/>
      </c>
      <c r="Q120" t="str">
        <f>IF(F120="CJ", COUNTIF(F$5:F120, "CJ"), "")</f>
        <v/>
      </c>
      <c r="R120" t="str">
        <f>IF(F120="Ignacio", COUNTIF(F$5:F120, "Ignacio"), "")</f>
        <v/>
      </c>
      <c r="S120" t="str">
        <f>IF(F120="Tripulacion", COUNTIF(F$5:F120, "Tripulacion"), "")</f>
        <v/>
      </c>
      <c r="T120" t="str">
        <f>IF(F120="ENAP carga", COUNTIF(F$5:F120, "ENAP carga"), "")</f>
        <v/>
      </c>
    </row>
    <row r="121" spans="12:20" x14ac:dyDescent="0.2">
      <c r="L121" s="23" t="str">
        <f t="shared" si="3"/>
        <v/>
      </c>
      <c r="Q121" t="str">
        <f>IF(F121="CJ", COUNTIF(F$5:F121, "CJ"), "")</f>
        <v/>
      </c>
      <c r="R121" t="str">
        <f>IF(F121="Ignacio", COUNTIF(F$5:F121, "Ignacio"), "")</f>
        <v/>
      </c>
      <c r="S121" t="str">
        <f>IF(F121="Tripulacion", COUNTIF(F$5:F121, "Tripulacion"), "")</f>
        <v/>
      </c>
      <c r="T121" t="str">
        <f>IF(F121="ENAP carga", COUNTIF(F$5:F121, "ENAP carga"), "")</f>
        <v/>
      </c>
    </row>
    <row r="122" spans="12:20" x14ac:dyDescent="0.2">
      <c r="L122" s="23" t="str">
        <f t="shared" si="3"/>
        <v/>
      </c>
      <c r="Q122" t="str">
        <f>IF(F122="CJ", COUNTIF(F$5:F122, "CJ"), "")</f>
        <v/>
      </c>
      <c r="R122" t="str">
        <f>IF(F122="Ignacio", COUNTIF(F$5:F122, "Ignacio"), "")</f>
        <v/>
      </c>
      <c r="S122" t="str">
        <f>IF(F122="Tripulacion", COUNTIF(F$5:F122, "Tripulacion"), "")</f>
        <v/>
      </c>
      <c r="T122" t="str">
        <f>IF(F122="ENAP carga", COUNTIF(F$5:F122, "ENAP carga"), "")</f>
        <v/>
      </c>
    </row>
    <row r="123" spans="12:20" x14ac:dyDescent="0.2">
      <c r="L123" s="23" t="str">
        <f t="shared" si="3"/>
        <v/>
      </c>
      <c r="Q123" t="str">
        <f>IF(F123="CJ", COUNTIF(F$5:F123, "CJ"), "")</f>
        <v/>
      </c>
      <c r="R123" t="str">
        <f>IF(F123="Ignacio", COUNTIF(F$5:F123, "Ignacio"), "")</f>
        <v/>
      </c>
      <c r="S123" t="str">
        <f>IF(F123="Tripulacion", COUNTIF(F$5:F123, "Tripulacion"), "")</f>
        <v/>
      </c>
      <c r="T123" t="str">
        <f>IF(F123="ENAP carga", COUNTIF(F$5:F123, "ENAP carga"), "")</f>
        <v/>
      </c>
    </row>
    <row r="124" spans="12:20" x14ac:dyDescent="0.2">
      <c r="L124" s="23" t="str">
        <f t="shared" si="3"/>
        <v/>
      </c>
      <c r="Q124" t="str">
        <f>IF(F124="CJ", COUNTIF(F$5:F124, "CJ"), "")</f>
        <v/>
      </c>
      <c r="R124" t="str">
        <f>IF(F124="Ignacio", COUNTIF(F$5:F124, "Ignacio"), "")</f>
        <v/>
      </c>
      <c r="S124" t="str">
        <f>IF(F124="Tripulacion", COUNTIF(F$5:F124, "Tripulacion"), "")</f>
        <v/>
      </c>
      <c r="T124" t="str">
        <f>IF(F124="ENAP carga", COUNTIF(F$5:F124, "ENAP carga"), "")</f>
        <v/>
      </c>
    </row>
    <row r="125" spans="12:20" x14ac:dyDescent="0.2">
      <c r="L125" s="23" t="str">
        <f t="shared" si="3"/>
        <v/>
      </c>
      <c r="Q125" t="str">
        <f>IF(F125="CJ", COUNTIF(F$5:F125, "CJ"), "")</f>
        <v/>
      </c>
      <c r="R125" t="str">
        <f>IF(F125="Ignacio", COUNTIF(F$5:F125, "Ignacio"), "")</f>
        <v/>
      </c>
      <c r="S125" t="str">
        <f>IF(F125="Tripulacion", COUNTIF(F$5:F125, "Tripulacion"), "")</f>
        <v/>
      </c>
      <c r="T125" t="str">
        <f>IF(F125="ENAP carga", COUNTIF(F$5:F125, "ENAP carga"), "")</f>
        <v/>
      </c>
    </row>
    <row r="126" spans="12:20" x14ac:dyDescent="0.2">
      <c r="L126" s="23" t="str">
        <f t="shared" si="3"/>
        <v/>
      </c>
      <c r="Q126" t="str">
        <f>IF(F126="CJ", COUNTIF(F$5:F126, "CJ"), "")</f>
        <v/>
      </c>
      <c r="R126" t="str">
        <f>IF(F126="Ignacio", COUNTIF(F$5:F126, "Ignacio"), "")</f>
        <v/>
      </c>
      <c r="S126" t="str">
        <f>IF(F126="Tripulacion", COUNTIF(F$5:F126, "Tripulacion"), "")</f>
        <v/>
      </c>
      <c r="T126" t="str">
        <f>IF(F126="ENAP carga", COUNTIF(F$5:F126, "ENAP carga"), "")</f>
        <v/>
      </c>
    </row>
    <row r="127" spans="12:20" x14ac:dyDescent="0.2">
      <c r="L127" s="23" t="str">
        <f t="shared" si="3"/>
        <v/>
      </c>
      <c r="Q127" t="str">
        <f>IF(F127="CJ", COUNTIF(F$5:F127, "CJ"), "")</f>
        <v/>
      </c>
      <c r="R127" t="str">
        <f>IF(F127="Ignacio", COUNTIF(F$5:F127, "Ignacio"), "")</f>
        <v/>
      </c>
      <c r="S127" t="str">
        <f>IF(F127="Tripulacion", COUNTIF(F$5:F127, "Tripulacion"), "")</f>
        <v/>
      </c>
      <c r="T127" t="str">
        <f>IF(F127="ENAP carga", COUNTIF(F$5:F127, "ENAP carga"), "")</f>
        <v/>
      </c>
    </row>
    <row r="128" spans="12:20" x14ac:dyDescent="0.2">
      <c r="L128" s="23" t="str">
        <f t="shared" si="3"/>
        <v/>
      </c>
      <c r="Q128" t="str">
        <f>IF(F128="CJ", COUNTIF(F$5:F128, "CJ"), "")</f>
        <v/>
      </c>
      <c r="R128" t="str">
        <f>IF(F128="Ignacio", COUNTIF(F$5:F128, "Ignacio"), "")</f>
        <v/>
      </c>
      <c r="S128" t="str">
        <f>IF(F128="Tripulacion", COUNTIF(F$5:F128, "Tripulacion"), "")</f>
        <v/>
      </c>
      <c r="T128" t="str">
        <f>IF(F128="ENAP carga", COUNTIF(F$5:F128, "ENAP carga"), "")</f>
        <v/>
      </c>
    </row>
    <row r="129" spans="12:20" x14ac:dyDescent="0.2">
      <c r="L129" s="23" t="str">
        <f t="shared" si="3"/>
        <v/>
      </c>
      <c r="Q129" t="str">
        <f>IF(F129="CJ", COUNTIF(F$5:F129, "CJ"), "")</f>
        <v/>
      </c>
      <c r="R129" t="str">
        <f>IF(F129="Ignacio", COUNTIF(F$5:F129, "Ignacio"), "")</f>
        <v/>
      </c>
      <c r="S129" t="str">
        <f>IF(F129="Tripulacion", COUNTIF(F$5:F129, "Tripulacion"), "")</f>
        <v/>
      </c>
      <c r="T129" t="str">
        <f>IF(F129="ENAP carga", COUNTIF(F$5:F129, "ENAP carga"), "")</f>
        <v/>
      </c>
    </row>
    <row r="130" spans="12:20" x14ac:dyDescent="0.2">
      <c r="L130" s="23" t="str">
        <f t="shared" si="3"/>
        <v/>
      </c>
      <c r="Q130" t="str">
        <f>IF(F130="CJ", COUNTIF(F$5:F130, "CJ"), "")</f>
        <v/>
      </c>
      <c r="R130" t="str">
        <f>IF(F130="Ignacio", COUNTIF(F$5:F130, "Ignacio"), "")</f>
        <v/>
      </c>
      <c r="S130" t="str">
        <f>IF(F130="Tripulacion", COUNTIF(F$5:F130, "Tripulacion"), "")</f>
        <v/>
      </c>
      <c r="T130" t="str">
        <f>IF(F130="ENAP carga", COUNTIF(F$5:F130, "ENAP carga"), "")</f>
        <v/>
      </c>
    </row>
    <row r="131" spans="12:20" x14ac:dyDescent="0.2">
      <c r="L131" s="23" t="str">
        <f t="shared" si="3"/>
        <v/>
      </c>
      <c r="Q131" t="str">
        <f>IF(F131="CJ", COUNTIF(F$5:F131, "CJ"), "")</f>
        <v/>
      </c>
      <c r="R131" t="str">
        <f>IF(F131="Ignacio", COUNTIF(F$5:F131, "Ignacio"), "")</f>
        <v/>
      </c>
      <c r="S131" t="str">
        <f>IF(F131="Tripulacion", COUNTIF(F$5:F131, "Tripulacion"), "")</f>
        <v/>
      </c>
      <c r="T131" t="str">
        <f>IF(F131="ENAP carga", COUNTIF(F$5:F131, "ENAP carga"), "")</f>
        <v/>
      </c>
    </row>
    <row r="132" spans="12:20" x14ac:dyDescent="0.2">
      <c r="L132" s="23" t="str">
        <f t="shared" si="3"/>
        <v/>
      </c>
      <c r="Q132" t="str">
        <f>IF(F132="CJ", COUNTIF(F$5:F132, "CJ"), "")</f>
        <v/>
      </c>
      <c r="R132" t="str">
        <f>IF(F132="Ignacio", COUNTIF(F$5:F132, "Ignacio"), "")</f>
        <v/>
      </c>
      <c r="S132" t="str">
        <f>IF(F132="Tripulacion", COUNTIF(F$5:F132, "Tripulacion"), "")</f>
        <v/>
      </c>
      <c r="T132" t="str">
        <f>IF(F132="ENAP carga", COUNTIF(F$5:F132, "ENAP carga"), "")</f>
        <v/>
      </c>
    </row>
    <row r="133" spans="12:20" x14ac:dyDescent="0.2">
      <c r="L133" s="23" t="str">
        <f t="shared" si="3"/>
        <v/>
      </c>
      <c r="Q133" t="str">
        <f>IF(F133="CJ", COUNTIF(F$5:F133, "CJ"), "")</f>
        <v/>
      </c>
      <c r="R133" t="str">
        <f>IF(F133="Ignacio", COUNTIF(F$5:F133, "Ignacio"), "")</f>
        <v/>
      </c>
      <c r="S133" t="str">
        <f>IF(F133="Tripulacion", COUNTIF(F$5:F133, "Tripulacion"), "")</f>
        <v/>
      </c>
      <c r="T133" t="str">
        <f>IF(F133="ENAP carga", COUNTIF(F$5:F133, "ENAP carga"), "")</f>
        <v/>
      </c>
    </row>
    <row r="134" spans="12:20" x14ac:dyDescent="0.2">
      <c r="L134" s="23" t="str">
        <f t="shared" si="3"/>
        <v/>
      </c>
      <c r="Q134" t="str">
        <f>IF(F134="CJ", COUNTIF(F$5:F134, "CJ"), "")</f>
        <v/>
      </c>
      <c r="R134" t="str">
        <f>IF(F134="Ignacio", COUNTIF(F$5:F134, "Ignacio"), "")</f>
        <v/>
      </c>
      <c r="S134" t="str">
        <f>IF(F134="Tripulacion", COUNTIF(F$5:F134, "Tripulacion"), "")</f>
        <v/>
      </c>
      <c r="T134" t="str">
        <f>IF(F134="ENAP carga", COUNTIF(F$5:F134, "ENAP carga"), "")</f>
        <v/>
      </c>
    </row>
    <row r="135" spans="12:20" x14ac:dyDescent="0.2">
      <c r="L135" s="23" t="str">
        <f t="shared" si="3"/>
        <v/>
      </c>
      <c r="Q135" t="str">
        <f>IF(F135="CJ", COUNTIF(F$5:F135, "CJ"), "")</f>
        <v/>
      </c>
      <c r="R135" t="str">
        <f>IF(F135="Ignacio", COUNTIF(F$5:F135, "Ignacio"), "")</f>
        <v/>
      </c>
      <c r="S135" t="str">
        <f>IF(F135="Tripulacion", COUNTIF(F$5:F135, "Tripulacion"), "")</f>
        <v/>
      </c>
      <c r="T135" t="str">
        <f>IF(F135="ENAP carga", COUNTIF(F$5:F135, "ENAP carga"), "")</f>
        <v/>
      </c>
    </row>
    <row r="136" spans="12:20" x14ac:dyDescent="0.2">
      <c r="L136" s="23" t="str">
        <f t="shared" si="3"/>
        <v/>
      </c>
      <c r="Q136" t="str">
        <f>IF(F136="CJ", COUNTIF(F$5:F136, "CJ"), "")</f>
        <v/>
      </c>
      <c r="R136" t="str">
        <f>IF(F136="Ignacio", COUNTIF(F$5:F136, "Ignacio"), "")</f>
        <v/>
      </c>
      <c r="S136" t="str">
        <f>IF(F136="Tripulacion", COUNTIF(F$5:F136, "Tripulacion"), "")</f>
        <v/>
      </c>
      <c r="T136" t="str">
        <f>IF(F136="ENAP carga", COUNTIF(F$5:F136, "ENAP carga"), "")</f>
        <v/>
      </c>
    </row>
    <row r="137" spans="12:20" x14ac:dyDescent="0.2">
      <c r="L137" s="23" t="str">
        <f t="shared" si="3"/>
        <v/>
      </c>
      <c r="Q137" t="str">
        <f>IF(F137="CJ", COUNTIF(F$5:F137, "CJ"), "")</f>
        <v/>
      </c>
      <c r="R137" t="str">
        <f>IF(F137="Ignacio", COUNTIF(F$5:F137, "Ignacio"), "")</f>
        <v/>
      </c>
      <c r="S137" t="str">
        <f>IF(F137="Tripulacion", COUNTIF(F$5:F137, "Tripulacion"), "")</f>
        <v/>
      </c>
      <c r="T137" t="str">
        <f>IF(F137="ENAP carga", COUNTIF(F$5:F137, "ENAP carga"), "")</f>
        <v/>
      </c>
    </row>
    <row r="138" spans="12:20" x14ac:dyDescent="0.2">
      <c r="L138" s="23" t="str">
        <f t="shared" si="3"/>
        <v/>
      </c>
      <c r="Q138" t="str">
        <f>IF(F138="CJ", COUNTIF(F$5:F138, "CJ"), "")</f>
        <v/>
      </c>
      <c r="R138" t="str">
        <f>IF(F138="Ignacio", COUNTIF(F$5:F138, "Ignacio"), "")</f>
        <v/>
      </c>
      <c r="S138" t="str">
        <f>IF(F138="Tripulacion", COUNTIF(F$5:F138, "Tripulacion"), "")</f>
        <v/>
      </c>
      <c r="T138" t="str">
        <f>IF(F138="ENAP carga", COUNTIF(F$5:F138, "ENAP carga"), "")</f>
        <v/>
      </c>
    </row>
    <row r="139" spans="12:20" x14ac:dyDescent="0.2">
      <c r="L139" s="23" t="str">
        <f t="shared" si="3"/>
        <v/>
      </c>
      <c r="Q139" t="str">
        <f>IF(F139="CJ", COUNTIF(F$5:F139, "CJ"), "")</f>
        <v/>
      </c>
      <c r="R139" t="str">
        <f>IF(F139="Ignacio", COUNTIF(F$5:F139, "Ignacio"), "")</f>
        <v/>
      </c>
      <c r="S139" t="str">
        <f>IF(F139="Tripulacion", COUNTIF(F$5:F139, "Tripulacion"), "")</f>
        <v/>
      </c>
      <c r="T139" t="str">
        <f>IF(F139="ENAP carga", COUNTIF(F$5:F139, "ENAP carga"), "")</f>
        <v/>
      </c>
    </row>
    <row r="140" spans="12:20" x14ac:dyDescent="0.2">
      <c r="L140" s="23" t="str">
        <f t="shared" si="3"/>
        <v/>
      </c>
      <c r="Q140" t="str">
        <f>IF(F140="CJ", COUNTIF(F$5:F140, "CJ"), "")</f>
        <v/>
      </c>
      <c r="R140" t="str">
        <f>IF(F140="Ignacio", COUNTIF(F$5:F140, "Ignacio"), "")</f>
        <v/>
      </c>
      <c r="S140" t="str">
        <f>IF(F140="Tripulacion", COUNTIF(F$5:F140, "Tripulacion"), "")</f>
        <v/>
      </c>
      <c r="T140" t="str">
        <f>IF(F140="ENAP carga", COUNTIF(F$5:F140, "ENAP carga"), "")</f>
        <v/>
      </c>
    </row>
    <row r="141" spans="12:20" x14ac:dyDescent="0.2">
      <c r="L141" s="23" t="str">
        <f t="shared" si="3"/>
        <v/>
      </c>
      <c r="Q141" t="str">
        <f>IF(F141="CJ", COUNTIF(F$5:F141, "CJ"), "")</f>
        <v/>
      </c>
      <c r="R141" t="str">
        <f>IF(F141="Ignacio", COUNTIF(F$5:F141, "Ignacio"), "")</f>
        <v/>
      </c>
      <c r="S141" t="str">
        <f>IF(F141="Tripulacion", COUNTIF(F$5:F141, "Tripulacion"), "")</f>
        <v/>
      </c>
      <c r="T141" t="str">
        <f>IF(F141="ENAP carga", COUNTIF(F$5:F141, "ENAP carga"), "")</f>
        <v/>
      </c>
    </row>
    <row r="142" spans="12:20" x14ac:dyDescent="0.2">
      <c r="L142" s="23" t="str">
        <f t="shared" ref="L142:L205" si="4">IF(F142="CJ", I142*200, "")</f>
        <v/>
      </c>
      <c r="Q142" t="str">
        <f>IF(F142="CJ", COUNTIF(F$5:F142, "CJ"), "")</f>
        <v/>
      </c>
      <c r="R142" t="str">
        <f>IF(F142="Ignacio", COUNTIF(F$5:F142, "Ignacio"), "")</f>
        <v/>
      </c>
      <c r="S142" t="str">
        <f>IF(F142="Tripulacion", COUNTIF(F$5:F142, "Tripulacion"), "")</f>
        <v/>
      </c>
      <c r="T142" t="str">
        <f>IF(F142="ENAP carga", COUNTIF(F$5:F142, "ENAP carga"), "")</f>
        <v/>
      </c>
    </row>
    <row r="143" spans="12:20" x14ac:dyDescent="0.2">
      <c r="L143" s="23" t="str">
        <f t="shared" si="4"/>
        <v/>
      </c>
      <c r="Q143" t="str">
        <f>IF(F143="CJ", COUNTIF(F$5:F143, "CJ"), "")</f>
        <v/>
      </c>
      <c r="R143" t="str">
        <f>IF(F143="Ignacio", COUNTIF(F$5:F143, "Ignacio"), "")</f>
        <v/>
      </c>
      <c r="S143" t="str">
        <f>IF(F143="Tripulacion", COUNTIF(F$5:F143, "Tripulacion"), "")</f>
        <v/>
      </c>
      <c r="T143" t="str">
        <f>IF(F143="ENAP carga", COUNTIF(F$5:F143, "ENAP carga"), "")</f>
        <v/>
      </c>
    </row>
    <row r="144" spans="12:20" x14ac:dyDescent="0.2">
      <c r="L144" s="23" t="str">
        <f t="shared" si="4"/>
        <v/>
      </c>
      <c r="Q144" t="str">
        <f>IF(F144="CJ", COUNTIF(F$5:F144, "CJ"), "")</f>
        <v/>
      </c>
      <c r="R144" t="str">
        <f>IF(F144="Ignacio", COUNTIF(F$5:F144, "Ignacio"), "")</f>
        <v/>
      </c>
      <c r="S144" t="str">
        <f>IF(F144="Tripulacion", COUNTIF(F$5:F144, "Tripulacion"), "")</f>
        <v/>
      </c>
      <c r="T144" t="str">
        <f>IF(F144="ENAP carga", COUNTIF(F$5:F144, "ENAP carga"), "")</f>
        <v/>
      </c>
    </row>
    <row r="145" spans="12:20" x14ac:dyDescent="0.2">
      <c r="L145" s="23" t="str">
        <f t="shared" si="4"/>
        <v/>
      </c>
      <c r="Q145" t="str">
        <f>IF(F145="CJ", COUNTIF(F$5:F145, "CJ"), "")</f>
        <v/>
      </c>
      <c r="R145" t="str">
        <f>IF(F145="Ignacio", COUNTIF(F$5:F145, "Ignacio"), "")</f>
        <v/>
      </c>
      <c r="S145" t="str">
        <f>IF(F145="Tripulacion", COUNTIF(F$5:F145, "Tripulacion"), "")</f>
        <v/>
      </c>
      <c r="T145" t="str">
        <f>IF(F145="ENAP carga", COUNTIF(F$5:F145, "ENAP carga"), "")</f>
        <v/>
      </c>
    </row>
    <row r="146" spans="12:20" x14ac:dyDescent="0.2">
      <c r="L146" s="23" t="str">
        <f t="shared" si="4"/>
        <v/>
      </c>
      <c r="Q146" t="str">
        <f>IF(F146="CJ", COUNTIF(F$5:F146, "CJ"), "")</f>
        <v/>
      </c>
      <c r="R146" t="str">
        <f>IF(F146="Ignacio", COUNTIF(F$5:F146, "Ignacio"), "")</f>
        <v/>
      </c>
      <c r="S146" t="str">
        <f>IF(F146="Tripulacion", COUNTIF(F$5:F146, "Tripulacion"), "")</f>
        <v/>
      </c>
      <c r="T146" t="str">
        <f>IF(F146="ENAP carga", COUNTIF(F$5:F146, "ENAP carga"), "")</f>
        <v/>
      </c>
    </row>
    <row r="147" spans="12:20" x14ac:dyDescent="0.2">
      <c r="L147" s="23" t="str">
        <f t="shared" si="4"/>
        <v/>
      </c>
      <c r="Q147" t="str">
        <f>IF(F147="CJ", COUNTIF(F$5:F147, "CJ"), "")</f>
        <v/>
      </c>
      <c r="R147" t="str">
        <f>IF(F147="Ignacio", COUNTIF(F$5:F147, "Ignacio"), "")</f>
        <v/>
      </c>
      <c r="S147" t="str">
        <f>IF(F147="Tripulacion", COUNTIF(F$5:F147, "Tripulacion"), "")</f>
        <v/>
      </c>
      <c r="T147" t="str">
        <f>IF(F147="ENAP carga", COUNTIF(F$5:F147, "ENAP carga"), "")</f>
        <v/>
      </c>
    </row>
    <row r="148" spans="12:20" x14ac:dyDescent="0.2">
      <c r="L148" s="23" t="str">
        <f t="shared" si="4"/>
        <v/>
      </c>
      <c r="Q148" t="str">
        <f>IF(F148="CJ", COUNTIF(F$5:F148, "CJ"), "")</f>
        <v/>
      </c>
      <c r="R148" t="str">
        <f>IF(F148="Ignacio", COUNTIF(F$5:F148, "Ignacio"), "")</f>
        <v/>
      </c>
      <c r="S148" t="str">
        <f>IF(F148="Tripulacion", COUNTIF(F$5:F148, "Tripulacion"), "")</f>
        <v/>
      </c>
      <c r="T148" t="str">
        <f>IF(F148="ENAP carga", COUNTIF(F$5:F148, "ENAP carga"), "")</f>
        <v/>
      </c>
    </row>
    <row r="149" spans="12:20" x14ac:dyDescent="0.2">
      <c r="L149" s="23" t="str">
        <f t="shared" si="4"/>
        <v/>
      </c>
      <c r="Q149" t="str">
        <f>IF(F149="CJ", COUNTIF(F$5:F149, "CJ"), "")</f>
        <v/>
      </c>
      <c r="R149" t="str">
        <f>IF(F149="Ignacio", COUNTIF(F$5:F149, "Ignacio"), "")</f>
        <v/>
      </c>
      <c r="S149" t="str">
        <f>IF(F149="Tripulacion", COUNTIF(F$5:F149, "Tripulacion"), "")</f>
        <v/>
      </c>
      <c r="T149" t="str">
        <f>IF(F149="ENAP carga", COUNTIF(F$5:F149, "ENAP carga"), "")</f>
        <v/>
      </c>
    </row>
    <row r="150" spans="12:20" x14ac:dyDescent="0.2">
      <c r="L150" s="23" t="str">
        <f t="shared" si="4"/>
        <v/>
      </c>
      <c r="Q150" t="str">
        <f>IF(F150="CJ", COUNTIF(F$5:F150, "CJ"), "")</f>
        <v/>
      </c>
      <c r="R150" t="str">
        <f>IF(F150="Ignacio", COUNTIF(F$5:F150, "Ignacio"), "")</f>
        <v/>
      </c>
      <c r="S150" t="str">
        <f>IF(F150="Tripulacion", COUNTIF(F$5:F150, "Tripulacion"), "")</f>
        <v/>
      </c>
      <c r="T150" t="str">
        <f>IF(F150="ENAP carga", COUNTIF(F$5:F150, "ENAP carga"), "")</f>
        <v/>
      </c>
    </row>
    <row r="151" spans="12:20" x14ac:dyDescent="0.2">
      <c r="L151" s="23" t="str">
        <f t="shared" si="4"/>
        <v/>
      </c>
      <c r="Q151" t="str">
        <f>IF(F151="CJ", COUNTIF(F$5:F151, "CJ"), "")</f>
        <v/>
      </c>
      <c r="R151" t="str">
        <f>IF(F151="Ignacio", COUNTIF(F$5:F151, "Ignacio"), "")</f>
        <v/>
      </c>
      <c r="S151" t="str">
        <f>IF(F151="Tripulacion", COUNTIF(F$5:F151, "Tripulacion"), "")</f>
        <v/>
      </c>
      <c r="T151" t="str">
        <f>IF(F151="ENAP carga", COUNTIF(F$5:F151, "ENAP carga"), "")</f>
        <v/>
      </c>
    </row>
    <row r="152" spans="12:20" x14ac:dyDescent="0.2">
      <c r="L152" s="23" t="str">
        <f t="shared" si="4"/>
        <v/>
      </c>
      <c r="Q152" t="str">
        <f>IF(F152="CJ", COUNTIF(F$5:F152, "CJ"), "")</f>
        <v/>
      </c>
      <c r="R152" t="str">
        <f>IF(F152="Ignacio", COUNTIF(F$5:F152, "Ignacio"), "")</f>
        <v/>
      </c>
      <c r="S152" t="str">
        <f>IF(F152="Tripulacion", COUNTIF(F$5:F152, "Tripulacion"), "")</f>
        <v/>
      </c>
      <c r="T152" t="str">
        <f>IF(F152="ENAP carga", COUNTIF(F$5:F152, "ENAP carga"), "")</f>
        <v/>
      </c>
    </row>
    <row r="153" spans="12:20" x14ac:dyDescent="0.2">
      <c r="L153" s="23" t="str">
        <f t="shared" si="4"/>
        <v/>
      </c>
      <c r="Q153" t="str">
        <f>IF(F153="CJ", COUNTIF(F$5:F153, "CJ"), "")</f>
        <v/>
      </c>
      <c r="R153" t="str">
        <f>IF(F153="Ignacio", COUNTIF(F$5:F153, "Ignacio"), "")</f>
        <v/>
      </c>
      <c r="S153" t="str">
        <f>IF(F153="Tripulacion", COUNTIF(F$5:F153, "Tripulacion"), "")</f>
        <v/>
      </c>
      <c r="T153" t="str">
        <f>IF(F153="ENAP carga", COUNTIF(F$5:F153, "ENAP carga"), "")</f>
        <v/>
      </c>
    </row>
    <row r="154" spans="12:20" x14ac:dyDescent="0.2">
      <c r="L154" s="23" t="str">
        <f t="shared" si="4"/>
        <v/>
      </c>
      <c r="Q154" t="str">
        <f>IF(F154="CJ", COUNTIF(F$5:F154, "CJ"), "")</f>
        <v/>
      </c>
      <c r="R154" t="str">
        <f>IF(F154="Ignacio", COUNTIF(F$5:F154, "Ignacio"), "")</f>
        <v/>
      </c>
      <c r="S154" t="str">
        <f>IF(F154="Tripulacion", COUNTIF(F$5:F154, "Tripulacion"), "")</f>
        <v/>
      </c>
      <c r="T154" t="str">
        <f>IF(F154="ENAP carga", COUNTIF(F$5:F154, "ENAP carga"), "")</f>
        <v/>
      </c>
    </row>
    <row r="155" spans="12:20" x14ac:dyDescent="0.2">
      <c r="L155" s="23" t="str">
        <f t="shared" si="4"/>
        <v/>
      </c>
      <c r="Q155" t="str">
        <f>IF(F155="CJ", COUNTIF(F$5:F155, "CJ"), "")</f>
        <v/>
      </c>
      <c r="R155" t="str">
        <f>IF(F155="Ignacio", COUNTIF(F$5:F155, "Ignacio"), "")</f>
        <v/>
      </c>
      <c r="S155" t="str">
        <f>IF(F155="Tripulacion", COUNTIF(F$5:F155, "Tripulacion"), "")</f>
        <v/>
      </c>
      <c r="T155" t="str">
        <f>IF(F155="ENAP carga", COUNTIF(F$5:F155, "ENAP carga"), "")</f>
        <v/>
      </c>
    </row>
    <row r="156" spans="12:20" x14ac:dyDescent="0.2">
      <c r="L156" s="23" t="str">
        <f t="shared" si="4"/>
        <v/>
      </c>
      <c r="Q156" t="str">
        <f>IF(F156="CJ", COUNTIF(F$5:F156, "CJ"), "")</f>
        <v/>
      </c>
      <c r="R156" t="str">
        <f>IF(F156="Ignacio", COUNTIF(F$5:F156, "Ignacio"), "")</f>
        <v/>
      </c>
      <c r="S156" t="str">
        <f>IF(F156="Tripulacion", COUNTIF(F$5:F156, "Tripulacion"), "")</f>
        <v/>
      </c>
      <c r="T156" t="str">
        <f>IF(F156="ENAP carga", COUNTIF(F$5:F156, "ENAP carga"), "")</f>
        <v/>
      </c>
    </row>
    <row r="157" spans="12:20" x14ac:dyDescent="0.2">
      <c r="L157" s="23" t="str">
        <f t="shared" si="4"/>
        <v/>
      </c>
      <c r="Q157" t="str">
        <f>IF(F157="CJ", COUNTIF(F$5:F157, "CJ"), "")</f>
        <v/>
      </c>
      <c r="R157" t="str">
        <f>IF(F157="Ignacio", COUNTIF(F$5:F157, "Ignacio"), "")</f>
        <v/>
      </c>
      <c r="S157" t="str">
        <f>IF(F157="Tripulacion", COUNTIF(F$5:F157, "Tripulacion"), "")</f>
        <v/>
      </c>
      <c r="T157" t="str">
        <f>IF(F157="ENAP carga", COUNTIF(F$5:F157, "ENAP carga"), "")</f>
        <v/>
      </c>
    </row>
    <row r="158" spans="12:20" x14ac:dyDescent="0.2">
      <c r="L158" s="23" t="str">
        <f t="shared" si="4"/>
        <v/>
      </c>
      <c r="Q158" t="str">
        <f>IF(F158="CJ", COUNTIF(F$5:F158, "CJ"), "")</f>
        <v/>
      </c>
      <c r="R158" t="str">
        <f>IF(F158="Ignacio", COUNTIF(F$5:F158, "Ignacio"), "")</f>
        <v/>
      </c>
      <c r="S158" t="str">
        <f>IF(F158="Tripulacion", COUNTIF(F$5:F158, "Tripulacion"), "")</f>
        <v/>
      </c>
      <c r="T158" t="str">
        <f>IF(F158="ENAP carga", COUNTIF(F$5:F158, "ENAP carga"), "")</f>
        <v/>
      </c>
    </row>
    <row r="159" spans="12:20" x14ac:dyDescent="0.2">
      <c r="L159" s="23" t="str">
        <f t="shared" si="4"/>
        <v/>
      </c>
      <c r="Q159" t="str">
        <f>IF(F159="CJ", COUNTIF(F$5:F159, "CJ"), "")</f>
        <v/>
      </c>
      <c r="R159" t="str">
        <f>IF(F159="Ignacio", COUNTIF(F$5:F159, "Ignacio"), "")</f>
        <v/>
      </c>
      <c r="S159" t="str">
        <f>IF(F159="Tripulacion", COUNTIF(F$5:F159, "Tripulacion"), "")</f>
        <v/>
      </c>
      <c r="T159" t="str">
        <f>IF(F159="ENAP carga", COUNTIF(F$5:F159, "ENAP carga"), "")</f>
        <v/>
      </c>
    </row>
    <row r="160" spans="12:20" x14ac:dyDescent="0.2">
      <c r="L160" s="23" t="str">
        <f t="shared" si="4"/>
        <v/>
      </c>
      <c r="Q160" t="str">
        <f>IF(F160="CJ", COUNTIF(F$5:F160, "CJ"), "")</f>
        <v/>
      </c>
      <c r="R160" t="str">
        <f>IF(F160="Ignacio", COUNTIF(F$5:F160, "Ignacio"), "")</f>
        <v/>
      </c>
      <c r="S160" t="str">
        <f>IF(F160="Tripulacion", COUNTIF(F$5:F160, "Tripulacion"), "")</f>
        <v/>
      </c>
      <c r="T160" t="str">
        <f>IF(F160="ENAP carga", COUNTIF(F$5:F160, "ENAP carga"), "")</f>
        <v/>
      </c>
    </row>
    <row r="161" spans="12:20" x14ac:dyDescent="0.2">
      <c r="L161" s="23" t="str">
        <f t="shared" si="4"/>
        <v/>
      </c>
      <c r="Q161" t="str">
        <f>IF(F161="CJ", COUNTIF(F$5:F161, "CJ"), "")</f>
        <v/>
      </c>
      <c r="R161" t="str">
        <f>IF(F161="Ignacio", COUNTIF(F$5:F161, "Ignacio"), "")</f>
        <v/>
      </c>
      <c r="S161" t="str">
        <f>IF(F161="Tripulacion", COUNTIF(F$5:F161, "Tripulacion"), "")</f>
        <v/>
      </c>
      <c r="T161" t="str">
        <f>IF(F161="ENAP carga", COUNTIF(F$5:F161, "ENAP carga"), "")</f>
        <v/>
      </c>
    </row>
    <row r="162" spans="12:20" x14ac:dyDescent="0.2">
      <c r="L162" s="23" t="str">
        <f t="shared" si="4"/>
        <v/>
      </c>
      <c r="Q162" t="str">
        <f>IF(F162="CJ", COUNTIF(F$5:F162, "CJ"), "")</f>
        <v/>
      </c>
      <c r="R162" t="str">
        <f>IF(F162="Ignacio", COUNTIF(F$5:F162, "Ignacio"), "")</f>
        <v/>
      </c>
      <c r="S162" t="str">
        <f>IF(F162="Tripulacion", COUNTIF(F$5:F162, "Tripulacion"), "")</f>
        <v/>
      </c>
      <c r="T162" t="str">
        <f>IF(F162="ENAP carga", COUNTIF(F$5:F162, "ENAP carga"), "")</f>
        <v/>
      </c>
    </row>
    <row r="163" spans="12:20" x14ac:dyDescent="0.2">
      <c r="L163" s="23" t="str">
        <f t="shared" si="4"/>
        <v/>
      </c>
      <c r="Q163" t="str">
        <f>IF(F163="CJ", COUNTIF(F$5:F163, "CJ"), "")</f>
        <v/>
      </c>
      <c r="R163" t="str">
        <f>IF(F163="Ignacio", COUNTIF(F$5:F163, "Ignacio"), "")</f>
        <v/>
      </c>
      <c r="S163" t="str">
        <f>IF(F163="Tripulacion", COUNTIF(F$5:F163, "Tripulacion"), "")</f>
        <v/>
      </c>
      <c r="T163" t="str">
        <f>IF(F163="ENAP carga", COUNTIF(F$5:F163, "ENAP carga"), "")</f>
        <v/>
      </c>
    </row>
    <row r="164" spans="12:20" x14ac:dyDescent="0.2">
      <c r="L164" s="23" t="str">
        <f t="shared" si="4"/>
        <v/>
      </c>
      <c r="Q164" t="str">
        <f>IF(F164="CJ", COUNTIF(F$5:F164, "CJ"), "")</f>
        <v/>
      </c>
      <c r="R164" t="str">
        <f>IF(F164="Ignacio", COUNTIF(F$5:F164, "Ignacio"), "")</f>
        <v/>
      </c>
      <c r="S164" t="str">
        <f>IF(F164="Tripulacion", COUNTIF(F$5:F164, "Tripulacion"), "")</f>
        <v/>
      </c>
      <c r="T164" t="str">
        <f>IF(F164="ENAP carga", COUNTIF(F$5:F164, "ENAP carga"), "")</f>
        <v/>
      </c>
    </row>
    <row r="165" spans="12:20" x14ac:dyDescent="0.2">
      <c r="L165" s="23" t="str">
        <f t="shared" si="4"/>
        <v/>
      </c>
      <c r="Q165" t="str">
        <f>IF(F165="CJ", COUNTIF(F$5:F165, "CJ"), "")</f>
        <v/>
      </c>
      <c r="R165" t="str">
        <f>IF(F165="Ignacio", COUNTIF(F$5:F165, "Ignacio"), "")</f>
        <v/>
      </c>
      <c r="S165" t="str">
        <f>IF(F165="Tripulacion", COUNTIF(F$5:F165, "Tripulacion"), "")</f>
        <v/>
      </c>
      <c r="T165" t="str">
        <f>IF(F165="ENAP carga", COUNTIF(F$5:F165, "ENAP carga"), "")</f>
        <v/>
      </c>
    </row>
    <row r="166" spans="12:20" x14ac:dyDescent="0.2">
      <c r="L166" s="23" t="str">
        <f t="shared" si="4"/>
        <v/>
      </c>
      <c r="Q166" t="str">
        <f>IF(F166="CJ", COUNTIF(F$5:F166, "CJ"), "")</f>
        <v/>
      </c>
      <c r="R166" t="str">
        <f>IF(F166="Ignacio", COUNTIF(F$5:F166, "Ignacio"), "")</f>
        <v/>
      </c>
      <c r="S166" t="str">
        <f>IF(F166="Tripulacion", COUNTIF(F$5:F166, "Tripulacion"), "")</f>
        <v/>
      </c>
      <c r="T166" t="str">
        <f>IF(F166="ENAP carga", COUNTIF(F$5:F166, "ENAP carga"), "")</f>
        <v/>
      </c>
    </row>
    <row r="167" spans="12:20" x14ac:dyDescent="0.2">
      <c r="L167" s="23" t="str">
        <f t="shared" si="4"/>
        <v/>
      </c>
      <c r="Q167" t="str">
        <f>IF(F167="CJ", COUNTIF(F$5:F167, "CJ"), "")</f>
        <v/>
      </c>
      <c r="R167" t="str">
        <f>IF(F167="Ignacio", COUNTIF(F$5:F167, "Ignacio"), "")</f>
        <v/>
      </c>
      <c r="S167" t="str">
        <f>IF(F167="Tripulacion", COUNTIF(F$5:F167, "Tripulacion"), "")</f>
        <v/>
      </c>
      <c r="T167" t="str">
        <f>IF(F167="ENAP carga", COUNTIF(F$5:F167, "ENAP carga"), "")</f>
        <v/>
      </c>
    </row>
    <row r="168" spans="12:20" x14ac:dyDescent="0.2">
      <c r="L168" s="23" t="str">
        <f t="shared" si="4"/>
        <v/>
      </c>
      <c r="Q168" t="str">
        <f>IF(F168="CJ", COUNTIF(F$5:F168, "CJ"), "")</f>
        <v/>
      </c>
      <c r="R168" t="str">
        <f>IF(F168="Ignacio", COUNTIF(F$5:F168, "Ignacio"), "")</f>
        <v/>
      </c>
      <c r="S168" t="str">
        <f>IF(F168="Tripulacion", COUNTIF(F$5:F168, "Tripulacion"), "")</f>
        <v/>
      </c>
      <c r="T168" t="str">
        <f>IF(F168="ENAP carga", COUNTIF(F$5:F168, "ENAP carga"), "")</f>
        <v/>
      </c>
    </row>
    <row r="169" spans="12:20" x14ac:dyDescent="0.2">
      <c r="L169" s="23" t="str">
        <f t="shared" si="4"/>
        <v/>
      </c>
      <c r="Q169" t="str">
        <f>IF(F169="CJ", COUNTIF(F$5:F169, "CJ"), "")</f>
        <v/>
      </c>
      <c r="R169" t="str">
        <f>IF(F169="Ignacio", COUNTIF(F$5:F169, "Ignacio"), "")</f>
        <v/>
      </c>
      <c r="S169" t="str">
        <f>IF(F169="Tripulacion", COUNTIF(F$5:F169, "Tripulacion"), "")</f>
        <v/>
      </c>
      <c r="T169" t="str">
        <f>IF(F169="ENAP carga", COUNTIF(F$5:F169, "ENAP carga"), "")</f>
        <v/>
      </c>
    </row>
    <row r="170" spans="12:20" x14ac:dyDescent="0.2">
      <c r="L170" s="23" t="str">
        <f t="shared" si="4"/>
        <v/>
      </c>
      <c r="Q170" t="str">
        <f>IF(F170="CJ", COUNTIF(F$5:F170, "CJ"), "")</f>
        <v/>
      </c>
      <c r="R170" t="str">
        <f>IF(F170="Ignacio", COUNTIF(F$5:F170, "Ignacio"), "")</f>
        <v/>
      </c>
      <c r="S170" t="str">
        <f>IF(F170="Tripulacion", COUNTIF(F$5:F170, "Tripulacion"), "")</f>
        <v/>
      </c>
      <c r="T170" t="str">
        <f>IF(F170="ENAP carga", COUNTIF(F$5:F170, "ENAP carga"), "")</f>
        <v/>
      </c>
    </row>
    <row r="171" spans="12:20" x14ac:dyDescent="0.2">
      <c r="L171" s="23" t="str">
        <f t="shared" si="4"/>
        <v/>
      </c>
      <c r="Q171" t="str">
        <f>IF(F171="CJ", COUNTIF(F$5:F171, "CJ"), "")</f>
        <v/>
      </c>
      <c r="R171" t="str">
        <f>IF(F171="Ignacio", COUNTIF(F$5:F171, "Ignacio"), "")</f>
        <v/>
      </c>
      <c r="S171" t="str">
        <f>IF(F171="Tripulacion", COUNTIF(F$5:F171, "Tripulacion"), "")</f>
        <v/>
      </c>
      <c r="T171" t="str">
        <f>IF(F171="ENAP carga", COUNTIF(F$5:F171, "ENAP carga"), "")</f>
        <v/>
      </c>
    </row>
    <row r="172" spans="12:20" x14ac:dyDescent="0.2">
      <c r="L172" s="23" t="str">
        <f t="shared" si="4"/>
        <v/>
      </c>
      <c r="Q172" t="str">
        <f>IF(F172="CJ", COUNTIF(F$5:F172, "CJ"), "")</f>
        <v/>
      </c>
      <c r="R172" t="str">
        <f>IF(F172="Ignacio", COUNTIF(F$5:F172, "Ignacio"), "")</f>
        <v/>
      </c>
      <c r="S172" t="str">
        <f>IF(F172="Tripulacion", COUNTIF(F$5:F172, "Tripulacion"), "")</f>
        <v/>
      </c>
      <c r="T172" t="str">
        <f>IF(F172="ENAP carga", COUNTIF(F$5:F172, "ENAP carga"), "")</f>
        <v/>
      </c>
    </row>
    <row r="173" spans="12:20" x14ac:dyDescent="0.2">
      <c r="L173" s="23" t="str">
        <f t="shared" si="4"/>
        <v/>
      </c>
      <c r="Q173" t="str">
        <f>IF(F173="CJ", COUNTIF(F$5:F173, "CJ"), "")</f>
        <v/>
      </c>
      <c r="R173" t="str">
        <f>IF(F173="Ignacio", COUNTIF(F$5:F173, "Ignacio"), "")</f>
        <v/>
      </c>
      <c r="S173" t="str">
        <f>IF(F173="Tripulacion", COUNTIF(F$5:F173, "Tripulacion"), "")</f>
        <v/>
      </c>
      <c r="T173" t="str">
        <f>IF(F173="ENAP carga", COUNTIF(F$5:F173, "ENAP carga"), "")</f>
        <v/>
      </c>
    </row>
    <row r="174" spans="12:20" x14ac:dyDescent="0.2">
      <c r="L174" s="23" t="str">
        <f t="shared" si="4"/>
        <v/>
      </c>
      <c r="Q174" t="str">
        <f>IF(F174="CJ", COUNTIF(F$5:F174, "CJ"), "")</f>
        <v/>
      </c>
      <c r="R174" t="str">
        <f>IF(F174="Ignacio", COUNTIF(F$5:F174, "Ignacio"), "")</f>
        <v/>
      </c>
      <c r="S174" t="str">
        <f>IF(F174="Tripulacion", COUNTIF(F$5:F174, "Tripulacion"), "")</f>
        <v/>
      </c>
      <c r="T174" t="str">
        <f>IF(F174="ENAP carga", COUNTIF(F$5:F174, "ENAP carga"), "")</f>
        <v/>
      </c>
    </row>
    <row r="175" spans="12:20" x14ac:dyDescent="0.2">
      <c r="L175" s="23" t="str">
        <f t="shared" si="4"/>
        <v/>
      </c>
      <c r="Q175" t="str">
        <f>IF(F175="CJ", COUNTIF(F$5:F175, "CJ"), "")</f>
        <v/>
      </c>
      <c r="R175" t="str">
        <f>IF(F175="Ignacio", COUNTIF(F$5:F175, "Ignacio"), "")</f>
        <v/>
      </c>
      <c r="S175" t="str">
        <f>IF(F175="Tripulacion", COUNTIF(F$5:F175, "Tripulacion"), "")</f>
        <v/>
      </c>
      <c r="T175" t="str">
        <f>IF(F175="ENAP carga", COUNTIF(F$5:F175, "ENAP carga"), "")</f>
        <v/>
      </c>
    </row>
    <row r="176" spans="12:20" x14ac:dyDescent="0.2">
      <c r="L176" s="23" t="str">
        <f t="shared" si="4"/>
        <v/>
      </c>
      <c r="Q176" t="str">
        <f>IF(F176="CJ", COUNTIF(F$5:F176, "CJ"), "")</f>
        <v/>
      </c>
      <c r="R176" t="str">
        <f>IF(F176="Ignacio", COUNTIF(F$5:F176, "Ignacio"), "")</f>
        <v/>
      </c>
      <c r="S176" t="str">
        <f>IF(F176="Tripulacion", COUNTIF(F$5:F176, "Tripulacion"), "")</f>
        <v/>
      </c>
      <c r="T176" t="str">
        <f>IF(F176="ENAP carga", COUNTIF(F$5:F176, "ENAP carga"), "")</f>
        <v/>
      </c>
    </row>
    <row r="177" spans="12:20" x14ac:dyDescent="0.2">
      <c r="L177" s="23" t="str">
        <f t="shared" si="4"/>
        <v/>
      </c>
      <c r="Q177" t="str">
        <f>IF(F177="CJ", COUNTIF(F$5:F177, "CJ"), "")</f>
        <v/>
      </c>
      <c r="R177" t="str">
        <f>IF(F177="Ignacio", COUNTIF(F$5:F177, "Ignacio"), "")</f>
        <v/>
      </c>
      <c r="S177" t="str">
        <f>IF(F177="Tripulacion", COUNTIF(F$5:F177, "Tripulacion"), "")</f>
        <v/>
      </c>
      <c r="T177" t="str">
        <f>IF(F177="ENAP carga", COUNTIF(F$5:F177, "ENAP carga"), "")</f>
        <v/>
      </c>
    </row>
    <row r="178" spans="12:20" x14ac:dyDescent="0.2">
      <c r="L178" s="23" t="str">
        <f t="shared" si="4"/>
        <v/>
      </c>
      <c r="Q178" t="str">
        <f>IF(F178="CJ", COUNTIF(F$5:F178, "CJ"), "")</f>
        <v/>
      </c>
      <c r="R178" t="str">
        <f>IF(F178="Ignacio", COUNTIF(F$5:F178, "Ignacio"), "")</f>
        <v/>
      </c>
      <c r="S178" t="str">
        <f>IF(F178="Tripulacion", COUNTIF(F$5:F178, "Tripulacion"), "")</f>
        <v/>
      </c>
      <c r="T178" t="str">
        <f>IF(F178="ENAP carga", COUNTIF(F$5:F178, "ENAP carga"), "")</f>
        <v/>
      </c>
    </row>
    <row r="179" spans="12:20" x14ac:dyDescent="0.2">
      <c r="L179" s="23" t="str">
        <f t="shared" si="4"/>
        <v/>
      </c>
      <c r="Q179" t="str">
        <f>IF(F179="CJ", COUNTIF(F$5:F179, "CJ"), "")</f>
        <v/>
      </c>
      <c r="R179" t="str">
        <f>IF(F179="Ignacio", COUNTIF(F$5:F179, "Ignacio"), "")</f>
        <v/>
      </c>
      <c r="S179" t="str">
        <f>IF(F179="Tripulacion", COUNTIF(F$5:F179, "Tripulacion"), "")</f>
        <v/>
      </c>
      <c r="T179" t="str">
        <f>IF(F179="ENAP carga", COUNTIF(F$5:F179, "ENAP carga"), "")</f>
        <v/>
      </c>
    </row>
    <row r="180" spans="12:20" x14ac:dyDescent="0.2">
      <c r="L180" s="23" t="str">
        <f t="shared" si="4"/>
        <v/>
      </c>
      <c r="Q180" t="str">
        <f>IF(F180="CJ", COUNTIF(F$5:F180, "CJ"), "")</f>
        <v/>
      </c>
      <c r="R180" t="str">
        <f>IF(F180="Ignacio", COUNTIF(F$5:F180, "Ignacio"), "")</f>
        <v/>
      </c>
      <c r="S180" t="str">
        <f>IF(F180="Tripulacion", COUNTIF(F$5:F180, "Tripulacion"), "")</f>
        <v/>
      </c>
      <c r="T180" t="str">
        <f>IF(F180="ENAP carga", COUNTIF(F$5:F180, "ENAP carga"), "")</f>
        <v/>
      </c>
    </row>
    <row r="181" spans="12:20" x14ac:dyDescent="0.2">
      <c r="L181" s="23" t="str">
        <f t="shared" si="4"/>
        <v/>
      </c>
      <c r="Q181" t="str">
        <f>IF(F181="CJ", COUNTIF(F$5:F181, "CJ"), "")</f>
        <v/>
      </c>
      <c r="R181" t="str">
        <f>IF(F181="Ignacio", COUNTIF(F$5:F181, "Ignacio"), "")</f>
        <v/>
      </c>
      <c r="S181" t="str">
        <f>IF(F181="Tripulacion", COUNTIF(F$5:F181, "Tripulacion"), "")</f>
        <v/>
      </c>
      <c r="T181" t="str">
        <f>IF(F181="ENAP carga", COUNTIF(F$5:F181, "ENAP carga"), "")</f>
        <v/>
      </c>
    </row>
    <row r="182" spans="12:20" x14ac:dyDescent="0.2">
      <c r="L182" s="23" t="str">
        <f t="shared" si="4"/>
        <v/>
      </c>
      <c r="Q182" t="str">
        <f>IF(F182="CJ", COUNTIF(F$5:F182, "CJ"), "")</f>
        <v/>
      </c>
      <c r="R182" t="str">
        <f>IF(F182="Ignacio", COUNTIF(F$5:F182, "Ignacio"), "")</f>
        <v/>
      </c>
      <c r="S182" t="str">
        <f>IF(F182="Tripulacion", COUNTIF(F$5:F182, "Tripulacion"), "")</f>
        <v/>
      </c>
      <c r="T182" t="str">
        <f>IF(F182="ENAP carga", COUNTIF(F$5:F182, "ENAP carga"), "")</f>
        <v/>
      </c>
    </row>
    <row r="183" spans="12:20" x14ac:dyDescent="0.2">
      <c r="L183" s="23" t="str">
        <f t="shared" si="4"/>
        <v/>
      </c>
      <c r="Q183" t="str">
        <f>IF(F183="CJ", COUNTIF(F$5:F183, "CJ"), "")</f>
        <v/>
      </c>
      <c r="R183" t="str">
        <f>IF(F183="Ignacio", COUNTIF(F$5:F183, "Ignacio"), "")</f>
        <v/>
      </c>
      <c r="S183" t="str">
        <f>IF(F183="Tripulacion", COUNTIF(F$5:F183, "Tripulacion"), "")</f>
        <v/>
      </c>
      <c r="T183" t="str">
        <f>IF(F183="ENAP carga", COUNTIF(F$5:F183, "ENAP carga"), "")</f>
        <v/>
      </c>
    </row>
    <row r="184" spans="12:20" x14ac:dyDescent="0.2">
      <c r="L184" s="23" t="str">
        <f t="shared" si="4"/>
        <v/>
      </c>
      <c r="Q184" t="str">
        <f>IF(F184="CJ", COUNTIF(F$5:F184, "CJ"), "")</f>
        <v/>
      </c>
      <c r="R184" t="str">
        <f>IF(F184="Ignacio", COUNTIF(F$5:F184, "Ignacio"), "")</f>
        <v/>
      </c>
      <c r="S184" t="str">
        <f>IF(F184="Tripulacion", COUNTIF(F$5:F184, "Tripulacion"), "")</f>
        <v/>
      </c>
      <c r="T184" t="str">
        <f>IF(F184="ENAP carga", COUNTIF(F$5:F184, "ENAP carga"), "")</f>
        <v/>
      </c>
    </row>
    <row r="185" spans="12:20" x14ac:dyDescent="0.2">
      <c r="L185" s="23" t="str">
        <f t="shared" si="4"/>
        <v/>
      </c>
      <c r="Q185" t="str">
        <f>IF(F185="CJ", COUNTIF(F$5:F185, "CJ"), "")</f>
        <v/>
      </c>
      <c r="R185" t="str">
        <f>IF(F185="Ignacio", COUNTIF(F$5:F185, "Ignacio"), "")</f>
        <v/>
      </c>
      <c r="S185" t="str">
        <f>IF(F185="Tripulacion", COUNTIF(F$5:F185, "Tripulacion"), "")</f>
        <v/>
      </c>
      <c r="T185" t="str">
        <f>IF(F185="ENAP carga", COUNTIF(F$5:F185, "ENAP carga"), "")</f>
        <v/>
      </c>
    </row>
    <row r="186" spans="12:20" x14ac:dyDescent="0.2">
      <c r="L186" s="23" t="str">
        <f t="shared" si="4"/>
        <v/>
      </c>
      <c r="Q186" t="str">
        <f>IF(F186="CJ", COUNTIF(F$5:F186, "CJ"), "")</f>
        <v/>
      </c>
      <c r="R186" t="str">
        <f>IF(F186="Ignacio", COUNTIF(F$5:F186, "Ignacio"), "")</f>
        <v/>
      </c>
      <c r="S186" t="str">
        <f>IF(F186="Tripulacion", COUNTIF(F$5:F186, "Tripulacion"), "")</f>
        <v/>
      </c>
      <c r="T186" t="str">
        <f>IF(F186="ENAP carga", COUNTIF(F$5:F186, "ENAP carga"), "")</f>
        <v/>
      </c>
    </row>
    <row r="187" spans="12:20" x14ac:dyDescent="0.2">
      <c r="L187" s="23" t="str">
        <f t="shared" si="4"/>
        <v/>
      </c>
      <c r="Q187" t="str">
        <f>IF(F187="CJ", COUNTIF(F$5:F187, "CJ"), "")</f>
        <v/>
      </c>
      <c r="R187" t="str">
        <f>IF(F187="Ignacio", COUNTIF(F$5:F187, "Ignacio"), "")</f>
        <v/>
      </c>
      <c r="S187" t="str">
        <f>IF(F187="Tripulacion", COUNTIF(F$5:F187, "Tripulacion"), "")</f>
        <v/>
      </c>
      <c r="T187" t="str">
        <f>IF(F187="ENAP carga", COUNTIF(F$5:F187, "ENAP carga"), "")</f>
        <v/>
      </c>
    </row>
    <row r="188" spans="12:20" x14ac:dyDescent="0.2">
      <c r="L188" s="23" t="str">
        <f t="shared" si="4"/>
        <v/>
      </c>
      <c r="Q188" t="str">
        <f>IF(F188="CJ", COUNTIF(F$5:F188, "CJ"), "")</f>
        <v/>
      </c>
      <c r="R188" t="str">
        <f>IF(F188="Ignacio", COUNTIF(F$5:F188, "Ignacio"), "")</f>
        <v/>
      </c>
      <c r="S188" t="str">
        <f>IF(F188="Tripulacion", COUNTIF(F$5:F188, "Tripulacion"), "")</f>
        <v/>
      </c>
      <c r="T188" t="str">
        <f>IF(F188="ENAP carga", COUNTIF(F$5:F188, "ENAP carga"), "")</f>
        <v/>
      </c>
    </row>
    <row r="189" spans="12:20" x14ac:dyDescent="0.2">
      <c r="L189" s="23" t="str">
        <f t="shared" si="4"/>
        <v/>
      </c>
      <c r="Q189" t="str">
        <f>IF(F189="CJ", COUNTIF(F$5:F189, "CJ"), "")</f>
        <v/>
      </c>
      <c r="R189" t="str">
        <f>IF(F189="Ignacio", COUNTIF(F$5:F189, "Ignacio"), "")</f>
        <v/>
      </c>
      <c r="S189" t="str">
        <f>IF(F189="Tripulacion", COUNTIF(F$5:F189, "Tripulacion"), "")</f>
        <v/>
      </c>
      <c r="T189" t="str">
        <f>IF(F189="ENAP carga", COUNTIF(F$5:F189, "ENAP carga"), "")</f>
        <v/>
      </c>
    </row>
    <row r="190" spans="12:20" x14ac:dyDescent="0.2">
      <c r="L190" s="23" t="str">
        <f t="shared" si="4"/>
        <v/>
      </c>
      <c r="Q190" t="str">
        <f>IF(F190="CJ", COUNTIF(F$5:F190, "CJ"), "")</f>
        <v/>
      </c>
      <c r="R190" t="str">
        <f>IF(F190="Ignacio", COUNTIF(F$5:F190, "Ignacio"), "")</f>
        <v/>
      </c>
      <c r="S190" t="str">
        <f>IF(F190="Tripulacion", COUNTIF(F$5:F190, "Tripulacion"), "")</f>
        <v/>
      </c>
      <c r="T190" t="str">
        <f>IF(F190="ENAP carga", COUNTIF(F$5:F190, "ENAP carga"), "")</f>
        <v/>
      </c>
    </row>
    <row r="191" spans="12:20" x14ac:dyDescent="0.2">
      <c r="L191" s="23" t="str">
        <f t="shared" si="4"/>
        <v/>
      </c>
      <c r="Q191" t="str">
        <f>IF(F191="CJ", COUNTIF(F$5:F191, "CJ"), "")</f>
        <v/>
      </c>
      <c r="R191" t="str">
        <f>IF(F191="Ignacio", COUNTIF(F$5:F191, "Ignacio"), "")</f>
        <v/>
      </c>
      <c r="S191" t="str">
        <f>IF(F191="Tripulacion", COUNTIF(F$5:F191, "Tripulacion"), "")</f>
        <v/>
      </c>
      <c r="T191" t="str">
        <f>IF(F191="ENAP carga", COUNTIF(F$5:F191, "ENAP carga"), "")</f>
        <v/>
      </c>
    </row>
    <row r="192" spans="12:20" x14ac:dyDescent="0.2">
      <c r="L192" s="23" t="str">
        <f t="shared" si="4"/>
        <v/>
      </c>
      <c r="Q192" t="str">
        <f>IF(F192="CJ", COUNTIF(F$5:F192, "CJ"), "")</f>
        <v/>
      </c>
      <c r="R192" t="str">
        <f>IF(F192="Ignacio", COUNTIF(F$5:F192, "Ignacio"), "")</f>
        <v/>
      </c>
      <c r="S192" t="str">
        <f>IF(F192="Tripulacion", COUNTIF(F$5:F192, "Tripulacion"), "")</f>
        <v/>
      </c>
      <c r="T192" t="str">
        <f>IF(F192="ENAP carga", COUNTIF(F$5:F192, "ENAP carga"), "")</f>
        <v/>
      </c>
    </row>
    <row r="193" spans="12:20" x14ac:dyDescent="0.2">
      <c r="L193" s="23" t="str">
        <f t="shared" si="4"/>
        <v/>
      </c>
      <c r="Q193" t="str">
        <f>IF(F193="CJ", COUNTIF(F$5:F193, "CJ"), "")</f>
        <v/>
      </c>
      <c r="R193" t="str">
        <f>IF(F193="Ignacio", COUNTIF(F$5:F193, "Ignacio"), "")</f>
        <v/>
      </c>
      <c r="S193" t="str">
        <f>IF(F193="Tripulacion", COUNTIF(F$5:F193, "Tripulacion"), "")</f>
        <v/>
      </c>
      <c r="T193" t="str">
        <f>IF(F193="ENAP carga", COUNTIF(F$5:F193, "ENAP carga"), "")</f>
        <v/>
      </c>
    </row>
    <row r="194" spans="12:20" x14ac:dyDescent="0.2">
      <c r="L194" s="23" t="str">
        <f t="shared" si="4"/>
        <v/>
      </c>
      <c r="Q194" t="str">
        <f>IF(F194="CJ", COUNTIF(F$5:F194, "CJ"), "")</f>
        <v/>
      </c>
      <c r="R194" t="str">
        <f>IF(F194="Ignacio", COUNTIF(F$5:F194, "Ignacio"), "")</f>
        <v/>
      </c>
      <c r="S194" t="str">
        <f>IF(F194="Tripulacion", COUNTIF(F$5:F194, "Tripulacion"), "")</f>
        <v/>
      </c>
      <c r="T194" t="str">
        <f>IF(F194="ENAP carga", COUNTIF(F$5:F194, "ENAP carga"), "")</f>
        <v/>
      </c>
    </row>
    <row r="195" spans="12:20" x14ac:dyDescent="0.2">
      <c r="L195" s="23" t="str">
        <f t="shared" si="4"/>
        <v/>
      </c>
      <c r="Q195" t="str">
        <f>IF(F195="CJ", COUNTIF(F$5:F195, "CJ"), "")</f>
        <v/>
      </c>
      <c r="R195" t="str">
        <f>IF(F195="Ignacio", COUNTIF(F$5:F195, "Ignacio"), "")</f>
        <v/>
      </c>
      <c r="S195" t="str">
        <f>IF(F195="Tripulacion", COUNTIF(F$5:F195, "Tripulacion"), "")</f>
        <v/>
      </c>
      <c r="T195" t="str">
        <f>IF(F195="ENAP carga", COUNTIF(F$5:F195, "ENAP carga"), "")</f>
        <v/>
      </c>
    </row>
    <row r="196" spans="12:20" x14ac:dyDescent="0.2">
      <c r="L196" s="23" t="str">
        <f t="shared" si="4"/>
        <v/>
      </c>
      <c r="Q196" t="str">
        <f>IF(F196="CJ", COUNTIF(F$5:F196, "CJ"), "")</f>
        <v/>
      </c>
      <c r="R196" t="str">
        <f>IF(F196="Ignacio", COUNTIF(F$5:F196, "Ignacio"), "")</f>
        <v/>
      </c>
      <c r="S196" t="str">
        <f>IF(F196="Tripulacion", COUNTIF(F$5:F196, "Tripulacion"), "")</f>
        <v/>
      </c>
      <c r="T196" t="str">
        <f>IF(F196="ENAP carga", COUNTIF(F$5:F196, "ENAP carga"), "")</f>
        <v/>
      </c>
    </row>
    <row r="197" spans="12:20" x14ac:dyDescent="0.2">
      <c r="L197" s="23" t="str">
        <f t="shared" si="4"/>
        <v/>
      </c>
      <c r="Q197" t="str">
        <f>IF(F197="CJ", COUNTIF(F$5:F197, "CJ"), "")</f>
        <v/>
      </c>
      <c r="R197" t="str">
        <f>IF(F197="Ignacio", COUNTIF(F$5:F197, "Ignacio"), "")</f>
        <v/>
      </c>
      <c r="S197" t="str">
        <f>IF(F197="Tripulacion", COUNTIF(F$5:F197, "Tripulacion"), "")</f>
        <v/>
      </c>
      <c r="T197" t="str">
        <f>IF(F197="ENAP carga", COUNTIF(F$5:F197, "ENAP carga"), "")</f>
        <v/>
      </c>
    </row>
    <row r="198" spans="12:20" x14ac:dyDescent="0.2">
      <c r="L198" s="23" t="str">
        <f t="shared" si="4"/>
        <v/>
      </c>
      <c r="Q198" t="str">
        <f>IF(F198="CJ", COUNTIF(F$5:F198, "CJ"), "")</f>
        <v/>
      </c>
      <c r="R198" t="str">
        <f>IF(F198="Ignacio", COUNTIF(F$5:F198, "Ignacio"), "")</f>
        <v/>
      </c>
      <c r="S198" t="str">
        <f>IF(F198="Tripulacion", COUNTIF(F$5:F198, "Tripulacion"), "")</f>
        <v/>
      </c>
      <c r="T198" t="str">
        <f>IF(F198="ENAP carga", COUNTIF(F$5:F198, "ENAP carga"), "")</f>
        <v/>
      </c>
    </row>
    <row r="199" spans="12:20" x14ac:dyDescent="0.2">
      <c r="L199" s="23" t="str">
        <f t="shared" si="4"/>
        <v/>
      </c>
      <c r="Q199" t="str">
        <f>IF(F199="CJ", COUNTIF(F$5:F199, "CJ"), "")</f>
        <v/>
      </c>
      <c r="R199" t="str">
        <f>IF(F199="Ignacio", COUNTIF(F$5:F199, "Ignacio"), "")</f>
        <v/>
      </c>
      <c r="S199" t="str">
        <f>IF(F199="Tripulacion", COUNTIF(F$5:F199, "Tripulacion"), "")</f>
        <v/>
      </c>
      <c r="T199" t="str">
        <f>IF(F199="ENAP carga", COUNTIF(F$5:F199, "ENAP carga"), "")</f>
        <v/>
      </c>
    </row>
    <row r="200" spans="12:20" x14ac:dyDescent="0.2">
      <c r="L200" s="23" t="str">
        <f t="shared" si="4"/>
        <v/>
      </c>
      <c r="Q200" t="str">
        <f>IF(F200="CJ", COUNTIF(F$5:F200, "CJ"), "")</f>
        <v/>
      </c>
      <c r="R200" t="str">
        <f>IF(F200="Ignacio", COUNTIF(F$5:F200, "Ignacio"), "")</f>
        <v/>
      </c>
      <c r="S200" t="str">
        <f>IF(F200="Tripulacion", COUNTIF(F$5:F200, "Tripulacion"), "")</f>
        <v/>
      </c>
      <c r="T200" t="str">
        <f>IF(F200="ENAP carga", COUNTIF(F$5:F200, "ENAP carga"), "")</f>
        <v/>
      </c>
    </row>
    <row r="201" spans="12:20" x14ac:dyDescent="0.2">
      <c r="L201" s="23" t="str">
        <f t="shared" si="4"/>
        <v/>
      </c>
      <c r="Q201" t="str">
        <f>IF(F201="CJ", COUNTIF(F$5:F201, "CJ"), "")</f>
        <v/>
      </c>
      <c r="R201" t="str">
        <f>IF(F201="Ignacio", COUNTIF(F$5:F201, "Ignacio"), "")</f>
        <v/>
      </c>
      <c r="S201" t="str">
        <f>IF(F201="Tripulacion", COUNTIF(F$5:F201, "Tripulacion"), "")</f>
        <v/>
      </c>
      <c r="T201" t="str">
        <f>IF(F201="ENAP carga", COUNTIF(F$5:F201, "ENAP carga"), "")</f>
        <v/>
      </c>
    </row>
    <row r="202" spans="12:20" x14ac:dyDescent="0.2">
      <c r="L202" s="23" t="str">
        <f t="shared" si="4"/>
        <v/>
      </c>
      <c r="Q202" t="str">
        <f>IF(F202="CJ", COUNTIF(F$5:F202, "CJ"), "")</f>
        <v/>
      </c>
      <c r="R202" t="str">
        <f>IF(F202="Ignacio", COUNTIF(F$5:F202, "Ignacio"), "")</f>
        <v/>
      </c>
      <c r="S202" t="str">
        <f>IF(F202="Tripulacion", COUNTIF(F$5:F202, "Tripulacion"), "")</f>
        <v/>
      </c>
      <c r="T202" t="str">
        <f>IF(F202="ENAP carga", COUNTIF(F$5:F202, "ENAP carga"), "")</f>
        <v/>
      </c>
    </row>
    <row r="203" spans="12:20" x14ac:dyDescent="0.2">
      <c r="L203" s="23" t="str">
        <f t="shared" si="4"/>
        <v/>
      </c>
      <c r="Q203" t="str">
        <f>IF(F203="CJ", COUNTIF(F$5:F203, "CJ"), "")</f>
        <v/>
      </c>
      <c r="R203" t="str">
        <f>IF(F203="Ignacio", COUNTIF(F$5:F203, "Ignacio"), "")</f>
        <v/>
      </c>
      <c r="S203" t="str">
        <f>IF(F203="Tripulacion", COUNTIF(F$5:F203, "Tripulacion"), "")</f>
        <v/>
      </c>
      <c r="T203" t="str">
        <f>IF(F203="ENAP carga", COUNTIF(F$5:F203, "ENAP carga"), "")</f>
        <v/>
      </c>
    </row>
    <row r="204" spans="12:20" x14ac:dyDescent="0.2">
      <c r="L204" s="23" t="str">
        <f t="shared" si="4"/>
        <v/>
      </c>
      <c r="Q204" t="str">
        <f>IF(F204="CJ", COUNTIF(F$5:F204, "CJ"), "")</f>
        <v/>
      </c>
      <c r="R204" t="str">
        <f>IF(F204="Ignacio", COUNTIF(F$5:F204, "Ignacio"), "")</f>
        <v/>
      </c>
      <c r="S204" t="str">
        <f>IF(F204="Tripulacion", COUNTIF(F$5:F204, "Tripulacion"), "")</f>
        <v/>
      </c>
      <c r="T204" t="str">
        <f>IF(F204="ENAP carga", COUNTIF(F$5:F204, "ENAP carga"), "")</f>
        <v/>
      </c>
    </row>
    <row r="205" spans="12:20" x14ac:dyDescent="0.2">
      <c r="L205" s="23" t="str">
        <f t="shared" si="4"/>
        <v/>
      </c>
      <c r="Q205" t="str">
        <f>IF(F205="CJ", COUNTIF(F$5:F205, "CJ"), "")</f>
        <v/>
      </c>
      <c r="R205" t="str">
        <f>IF(F205="Ignacio", COUNTIF(F$5:F205, "Ignacio"), "")</f>
        <v/>
      </c>
      <c r="S205" t="str">
        <f>IF(F205="Tripulacion", COUNTIF(F$5:F205, "Tripulacion"), "")</f>
        <v/>
      </c>
      <c r="T205" t="str">
        <f>IF(F205="ENAP carga", COUNTIF(F$5:F205, "ENAP carga"), "")</f>
        <v/>
      </c>
    </row>
    <row r="206" spans="12:20" x14ac:dyDescent="0.2">
      <c r="L206" s="23" t="str">
        <f t="shared" ref="L206:L269" si="5">IF(F206="CJ", I206*200, "")</f>
        <v/>
      </c>
      <c r="Q206" t="str">
        <f>IF(F206="CJ", COUNTIF(F$5:F206, "CJ"), "")</f>
        <v/>
      </c>
      <c r="R206" t="str">
        <f>IF(F206="Ignacio", COUNTIF(F$5:F206, "Ignacio"), "")</f>
        <v/>
      </c>
      <c r="S206" t="str">
        <f>IF(F206="Tripulacion", COUNTIF(F$5:F206, "Tripulacion"), "")</f>
        <v/>
      </c>
      <c r="T206" t="str">
        <f>IF(F206="ENAP carga", COUNTIF(F$5:F206, "ENAP carga"), "")</f>
        <v/>
      </c>
    </row>
    <row r="207" spans="12:20" x14ac:dyDescent="0.2">
      <c r="L207" s="23" t="str">
        <f t="shared" si="5"/>
        <v/>
      </c>
      <c r="Q207" t="str">
        <f>IF(F207="CJ", COUNTIF(F$5:F207, "CJ"), "")</f>
        <v/>
      </c>
      <c r="R207" t="str">
        <f>IF(F207="Ignacio", COUNTIF(F$5:F207, "Ignacio"), "")</f>
        <v/>
      </c>
      <c r="S207" t="str">
        <f>IF(F207="Tripulacion", COUNTIF(F$5:F207, "Tripulacion"), "")</f>
        <v/>
      </c>
      <c r="T207" t="str">
        <f>IF(F207="ENAP carga", COUNTIF(F$5:F207, "ENAP carga"), "")</f>
        <v/>
      </c>
    </row>
    <row r="208" spans="12:20" x14ac:dyDescent="0.2">
      <c r="L208" s="23" t="str">
        <f t="shared" si="5"/>
        <v/>
      </c>
      <c r="Q208" t="str">
        <f>IF(F208="CJ", COUNTIF(F$5:F208, "CJ"), "")</f>
        <v/>
      </c>
      <c r="R208" t="str">
        <f>IF(F208="Ignacio", COUNTIF(F$5:F208, "Ignacio"), "")</f>
        <v/>
      </c>
      <c r="S208" t="str">
        <f>IF(F208="Tripulacion", COUNTIF(F$5:F208, "Tripulacion"), "")</f>
        <v/>
      </c>
      <c r="T208" t="str">
        <f>IF(F208="ENAP carga", COUNTIF(F$5:F208, "ENAP carga"), "")</f>
        <v/>
      </c>
    </row>
    <row r="209" spans="12:20" x14ac:dyDescent="0.2">
      <c r="L209" s="23" t="str">
        <f t="shared" si="5"/>
        <v/>
      </c>
      <c r="Q209" t="str">
        <f>IF(F209="CJ", COUNTIF(F$5:F209, "CJ"), "")</f>
        <v/>
      </c>
      <c r="R209" t="str">
        <f>IF(F209="Ignacio", COUNTIF(F$5:F209, "Ignacio"), "")</f>
        <v/>
      </c>
      <c r="S209" t="str">
        <f>IF(F209="Tripulacion", COUNTIF(F$5:F209, "Tripulacion"), "")</f>
        <v/>
      </c>
      <c r="T209" t="str">
        <f>IF(F209="ENAP carga", COUNTIF(F$5:F209, "ENAP carga"), "")</f>
        <v/>
      </c>
    </row>
    <row r="210" spans="12:20" x14ac:dyDescent="0.2">
      <c r="L210" s="23" t="str">
        <f t="shared" si="5"/>
        <v/>
      </c>
      <c r="Q210" t="str">
        <f>IF(F210="CJ", COUNTIF(F$5:F210, "CJ"), "")</f>
        <v/>
      </c>
      <c r="R210" t="str">
        <f>IF(F210="Ignacio", COUNTIF(F$5:F210, "Ignacio"), "")</f>
        <v/>
      </c>
      <c r="S210" t="str">
        <f>IF(F210="Tripulacion", COUNTIF(F$5:F210, "Tripulacion"), "")</f>
        <v/>
      </c>
      <c r="T210" t="str">
        <f>IF(F210="ENAP carga", COUNTIF(F$5:F210, "ENAP carga"), "")</f>
        <v/>
      </c>
    </row>
    <row r="211" spans="12:20" x14ac:dyDescent="0.2">
      <c r="L211" s="23" t="str">
        <f t="shared" si="5"/>
        <v/>
      </c>
      <c r="Q211" t="str">
        <f>IF(F211="CJ", COUNTIF(F$5:F211, "CJ"), "")</f>
        <v/>
      </c>
      <c r="R211" t="str">
        <f>IF(F211="Ignacio", COUNTIF(F$5:F211, "Ignacio"), "")</f>
        <v/>
      </c>
      <c r="S211" t="str">
        <f>IF(F211="Tripulacion", COUNTIF(F$5:F211, "Tripulacion"), "")</f>
        <v/>
      </c>
      <c r="T211" t="str">
        <f>IF(F211="ENAP carga", COUNTIF(F$5:F211, "ENAP carga"), "")</f>
        <v/>
      </c>
    </row>
    <row r="212" spans="12:20" x14ac:dyDescent="0.2">
      <c r="L212" s="23" t="str">
        <f t="shared" si="5"/>
        <v/>
      </c>
      <c r="Q212" t="str">
        <f>IF(F212="CJ", COUNTIF(F$5:F212, "CJ"), "")</f>
        <v/>
      </c>
      <c r="R212" t="str">
        <f>IF(F212="Ignacio", COUNTIF(F$5:F212, "Ignacio"), "")</f>
        <v/>
      </c>
      <c r="S212" t="str">
        <f>IF(F212="Tripulacion", COUNTIF(F$5:F212, "Tripulacion"), "")</f>
        <v/>
      </c>
      <c r="T212" t="str">
        <f>IF(F212="ENAP carga", COUNTIF(F$5:F212, "ENAP carga"), "")</f>
        <v/>
      </c>
    </row>
    <row r="213" spans="12:20" x14ac:dyDescent="0.2">
      <c r="L213" s="23" t="str">
        <f t="shared" si="5"/>
        <v/>
      </c>
      <c r="Q213" t="str">
        <f>IF(F213="CJ", COUNTIF(F$5:F213, "CJ"), "")</f>
        <v/>
      </c>
      <c r="R213" t="str">
        <f>IF(F213="Ignacio", COUNTIF(F$5:F213, "Ignacio"), "")</f>
        <v/>
      </c>
      <c r="S213" t="str">
        <f>IF(F213="Tripulacion", COUNTIF(F$5:F213, "Tripulacion"), "")</f>
        <v/>
      </c>
      <c r="T213" t="str">
        <f>IF(F213="ENAP carga", COUNTIF(F$5:F213, "ENAP carga"), "")</f>
        <v/>
      </c>
    </row>
    <row r="214" spans="12:20" x14ac:dyDescent="0.2">
      <c r="L214" s="23" t="str">
        <f t="shared" si="5"/>
        <v/>
      </c>
      <c r="Q214" t="str">
        <f>IF(F214="CJ", COUNTIF(F$5:F214, "CJ"), "")</f>
        <v/>
      </c>
      <c r="R214" t="str">
        <f>IF(F214="Ignacio", COUNTIF(F$5:F214, "Ignacio"), "")</f>
        <v/>
      </c>
      <c r="S214" t="str">
        <f>IF(F214="Tripulacion", COUNTIF(F$5:F214, "Tripulacion"), "")</f>
        <v/>
      </c>
      <c r="T214" t="str">
        <f>IF(F214="ENAP carga", COUNTIF(F$5:F214, "ENAP carga"), "")</f>
        <v/>
      </c>
    </row>
    <row r="215" spans="12:20" x14ac:dyDescent="0.2">
      <c r="L215" s="23" t="str">
        <f t="shared" si="5"/>
        <v/>
      </c>
      <c r="Q215" t="str">
        <f>IF(F215="CJ", COUNTIF(F$5:F215, "CJ"), "")</f>
        <v/>
      </c>
      <c r="R215" t="str">
        <f>IF(F215="Ignacio", COUNTIF(F$5:F215, "Ignacio"), "")</f>
        <v/>
      </c>
      <c r="S215" t="str">
        <f>IF(F215="Tripulacion", COUNTIF(F$5:F215, "Tripulacion"), "")</f>
        <v/>
      </c>
      <c r="T215" t="str">
        <f>IF(F215="ENAP carga", COUNTIF(F$5:F215, "ENAP carga"), "")</f>
        <v/>
      </c>
    </row>
    <row r="216" spans="12:20" x14ac:dyDescent="0.2">
      <c r="L216" s="23" t="str">
        <f t="shared" si="5"/>
        <v/>
      </c>
      <c r="Q216" t="str">
        <f>IF(F216="CJ", COUNTIF(F$5:F216, "CJ"), "")</f>
        <v/>
      </c>
      <c r="R216" t="str">
        <f>IF(F216="Ignacio", COUNTIF(F$5:F216, "Ignacio"), "")</f>
        <v/>
      </c>
      <c r="S216" t="str">
        <f>IF(F216="Tripulacion", COUNTIF(F$5:F216, "Tripulacion"), "")</f>
        <v/>
      </c>
      <c r="T216" t="str">
        <f>IF(F216="ENAP carga", COUNTIF(F$5:F216, "ENAP carga"), "")</f>
        <v/>
      </c>
    </row>
    <row r="217" spans="12:20" x14ac:dyDescent="0.2">
      <c r="L217" s="23" t="str">
        <f t="shared" si="5"/>
        <v/>
      </c>
      <c r="Q217" t="str">
        <f>IF(F217="CJ", COUNTIF(F$5:F217, "CJ"), "")</f>
        <v/>
      </c>
      <c r="R217" t="str">
        <f>IF(F217="Ignacio", COUNTIF(F$5:F217, "Ignacio"), "")</f>
        <v/>
      </c>
      <c r="S217" t="str">
        <f>IF(F217="Tripulacion", COUNTIF(F$5:F217, "Tripulacion"), "")</f>
        <v/>
      </c>
      <c r="T217" t="str">
        <f>IF(F217="ENAP carga", COUNTIF(F$5:F217, "ENAP carga"), "")</f>
        <v/>
      </c>
    </row>
    <row r="218" spans="12:20" x14ac:dyDescent="0.2">
      <c r="L218" s="23" t="str">
        <f t="shared" si="5"/>
        <v/>
      </c>
      <c r="Q218" t="str">
        <f>IF(F218="CJ", COUNTIF(F$5:F218, "CJ"), "")</f>
        <v/>
      </c>
      <c r="R218" t="str">
        <f>IF(F218="Ignacio", COUNTIF(F$5:F218, "Ignacio"), "")</f>
        <v/>
      </c>
      <c r="S218" t="str">
        <f>IF(F218="Tripulacion", COUNTIF(F$5:F218, "Tripulacion"), "")</f>
        <v/>
      </c>
      <c r="T218" t="str">
        <f>IF(F218="ENAP carga", COUNTIF(F$5:F218, "ENAP carga"), "")</f>
        <v/>
      </c>
    </row>
    <row r="219" spans="12:20" x14ac:dyDescent="0.2">
      <c r="L219" s="23" t="str">
        <f t="shared" si="5"/>
        <v/>
      </c>
      <c r="Q219" t="str">
        <f>IF(F219="CJ", COUNTIF(F$5:F219, "CJ"), "")</f>
        <v/>
      </c>
      <c r="R219" t="str">
        <f>IF(F219="Ignacio", COUNTIF(F$5:F219, "Ignacio"), "")</f>
        <v/>
      </c>
      <c r="S219" t="str">
        <f>IF(F219="Tripulacion", COUNTIF(F$5:F219, "Tripulacion"), "")</f>
        <v/>
      </c>
      <c r="T219" t="str">
        <f>IF(F219="ENAP carga", COUNTIF(F$5:F219, "ENAP carga"), "")</f>
        <v/>
      </c>
    </row>
    <row r="220" spans="12:20" x14ac:dyDescent="0.2">
      <c r="L220" s="23" t="str">
        <f t="shared" si="5"/>
        <v/>
      </c>
      <c r="Q220" t="str">
        <f>IF(F220="CJ", COUNTIF(F$5:F220, "CJ"), "")</f>
        <v/>
      </c>
      <c r="R220" t="str">
        <f>IF(F220="Ignacio", COUNTIF(F$5:F220, "Ignacio"), "")</f>
        <v/>
      </c>
      <c r="S220" t="str">
        <f>IF(F220="Tripulacion", COUNTIF(F$5:F220, "Tripulacion"), "")</f>
        <v/>
      </c>
      <c r="T220" t="str">
        <f>IF(F220="ENAP carga", COUNTIF(F$5:F220, "ENAP carga"), "")</f>
        <v/>
      </c>
    </row>
    <row r="221" spans="12:20" x14ac:dyDescent="0.2">
      <c r="L221" s="23" t="str">
        <f t="shared" si="5"/>
        <v/>
      </c>
      <c r="Q221" t="str">
        <f>IF(F221="CJ", COUNTIF(F$5:F221, "CJ"), "")</f>
        <v/>
      </c>
      <c r="R221" t="str">
        <f>IF(F221="Ignacio", COUNTIF(F$5:F221, "Ignacio"), "")</f>
        <v/>
      </c>
      <c r="S221" t="str">
        <f>IF(F221="Tripulacion", COUNTIF(F$5:F221, "Tripulacion"), "")</f>
        <v/>
      </c>
      <c r="T221" t="str">
        <f>IF(F221="ENAP carga", COUNTIF(F$5:F221, "ENAP carga"), "")</f>
        <v/>
      </c>
    </row>
    <row r="222" spans="12:20" x14ac:dyDescent="0.2">
      <c r="L222" s="23" t="str">
        <f t="shared" si="5"/>
        <v/>
      </c>
      <c r="Q222" t="str">
        <f>IF(F222="CJ", COUNTIF(F$5:F222, "CJ"), "")</f>
        <v/>
      </c>
      <c r="R222" t="str">
        <f>IF(F222="Ignacio", COUNTIF(F$5:F222, "Ignacio"), "")</f>
        <v/>
      </c>
      <c r="S222" t="str">
        <f>IF(F222="Tripulacion", COUNTIF(F$5:F222, "Tripulacion"), "")</f>
        <v/>
      </c>
      <c r="T222" t="str">
        <f>IF(F222="ENAP carga", COUNTIF(F$5:F222, "ENAP carga"), "")</f>
        <v/>
      </c>
    </row>
    <row r="223" spans="12:20" x14ac:dyDescent="0.2">
      <c r="L223" s="23" t="str">
        <f t="shared" si="5"/>
        <v/>
      </c>
      <c r="Q223" t="str">
        <f>IF(F223="CJ", COUNTIF(F$5:F223, "CJ"), "")</f>
        <v/>
      </c>
      <c r="R223" t="str">
        <f>IF(F223="Ignacio", COUNTIF(F$5:F223, "Ignacio"), "")</f>
        <v/>
      </c>
      <c r="S223" t="str">
        <f>IF(F223="Tripulacion", COUNTIF(F$5:F223, "Tripulacion"), "")</f>
        <v/>
      </c>
      <c r="T223" t="str">
        <f>IF(F223="ENAP carga", COUNTIF(F$5:F223, "ENAP carga"), "")</f>
        <v/>
      </c>
    </row>
    <row r="224" spans="12:20" x14ac:dyDescent="0.2">
      <c r="L224" s="23" t="str">
        <f t="shared" si="5"/>
        <v/>
      </c>
      <c r="Q224" t="str">
        <f>IF(F224="CJ", COUNTIF(F$5:F224, "CJ"), "")</f>
        <v/>
      </c>
      <c r="R224" t="str">
        <f>IF(F224="Ignacio", COUNTIF(F$5:F224, "Ignacio"), "")</f>
        <v/>
      </c>
      <c r="S224" t="str">
        <f>IF(F224="Tripulacion", COUNTIF(F$5:F224, "Tripulacion"), "")</f>
        <v/>
      </c>
      <c r="T224" t="str">
        <f>IF(F224="ENAP carga", COUNTIF(F$5:F224, "ENAP carga"), "")</f>
        <v/>
      </c>
    </row>
    <row r="225" spans="12:20" x14ac:dyDescent="0.2">
      <c r="L225" s="23" t="str">
        <f t="shared" si="5"/>
        <v/>
      </c>
      <c r="Q225" t="str">
        <f>IF(F225="CJ", COUNTIF(F$5:F225, "CJ"), "")</f>
        <v/>
      </c>
      <c r="R225" t="str">
        <f>IF(F225="Ignacio", COUNTIF(F$5:F225, "Ignacio"), "")</f>
        <v/>
      </c>
      <c r="S225" t="str">
        <f>IF(F225="Tripulacion", COUNTIF(F$5:F225, "Tripulacion"), "")</f>
        <v/>
      </c>
      <c r="T225" t="str">
        <f>IF(F225="ENAP carga", COUNTIF(F$5:F225, "ENAP carga"), "")</f>
        <v/>
      </c>
    </row>
    <row r="226" spans="12:20" x14ac:dyDescent="0.2">
      <c r="L226" s="23" t="str">
        <f t="shared" si="5"/>
        <v/>
      </c>
      <c r="Q226" t="str">
        <f>IF(F226="CJ", COUNTIF(F$5:F226, "CJ"), "")</f>
        <v/>
      </c>
      <c r="R226" t="str">
        <f>IF(F226="Ignacio", COUNTIF(F$5:F226, "Ignacio"), "")</f>
        <v/>
      </c>
      <c r="S226" t="str">
        <f>IF(F226="Tripulacion", COUNTIF(F$5:F226, "Tripulacion"), "")</f>
        <v/>
      </c>
      <c r="T226" t="str">
        <f>IF(F226="ENAP carga", COUNTIF(F$5:F226, "ENAP carga"), "")</f>
        <v/>
      </c>
    </row>
    <row r="227" spans="12:20" x14ac:dyDescent="0.2">
      <c r="L227" s="23" t="str">
        <f t="shared" si="5"/>
        <v/>
      </c>
      <c r="Q227" t="str">
        <f>IF(F227="CJ", COUNTIF(F$5:F227, "CJ"), "")</f>
        <v/>
      </c>
      <c r="R227" t="str">
        <f>IF(F227="Ignacio", COUNTIF(F$5:F227, "Ignacio"), "")</f>
        <v/>
      </c>
      <c r="S227" t="str">
        <f>IF(F227="Tripulacion", COUNTIF(F$5:F227, "Tripulacion"), "")</f>
        <v/>
      </c>
      <c r="T227" t="str">
        <f>IF(F227="ENAP carga", COUNTIF(F$5:F227, "ENAP carga"), "")</f>
        <v/>
      </c>
    </row>
    <row r="228" spans="12:20" x14ac:dyDescent="0.2">
      <c r="L228" s="23" t="str">
        <f t="shared" si="5"/>
        <v/>
      </c>
      <c r="Q228" t="str">
        <f>IF(F228="CJ", COUNTIF(F$5:F228, "CJ"), "")</f>
        <v/>
      </c>
      <c r="R228" t="str">
        <f>IF(F228="Ignacio", COUNTIF(F$5:F228, "Ignacio"), "")</f>
        <v/>
      </c>
      <c r="S228" t="str">
        <f>IF(F228="Tripulacion", COUNTIF(F$5:F228, "Tripulacion"), "")</f>
        <v/>
      </c>
      <c r="T228" t="str">
        <f>IF(F228="ENAP carga", COUNTIF(F$5:F228, "ENAP carga"), "")</f>
        <v/>
      </c>
    </row>
    <row r="229" spans="12:20" x14ac:dyDescent="0.2">
      <c r="L229" s="23" t="str">
        <f t="shared" si="5"/>
        <v/>
      </c>
      <c r="Q229" t="str">
        <f>IF(F229="CJ", COUNTIF(F$5:F229, "CJ"), "")</f>
        <v/>
      </c>
      <c r="R229" t="str">
        <f>IF(F229="Ignacio", COUNTIF(F$5:F229, "Ignacio"), "")</f>
        <v/>
      </c>
      <c r="S229" t="str">
        <f>IF(F229="Tripulacion", COUNTIF(F$5:F229, "Tripulacion"), "")</f>
        <v/>
      </c>
      <c r="T229" t="str">
        <f>IF(F229="ENAP carga", COUNTIF(F$5:F229, "ENAP carga"), "")</f>
        <v/>
      </c>
    </row>
    <row r="230" spans="12:20" x14ac:dyDescent="0.2">
      <c r="L230" s="23" t="str">
        <f t="shared" si="5"/>
        <v/>
      </c>
      <c r="Q230" t="str">
        <f>IF(F230="CJ", COUNTIF(F$5:F230, "CJ"), "")</f>
        <v/>
      </c>
      <c r="R230" t="str">
        <f>IF(F230="Ignacio", COUNTIF(F$5:F230, "Ignacio"), "")</f>
        <v/>
      </c>
      <c r="S230" t="str">
        <f>IF(F230="Tripulacion", COUNTIF(F$5:F230, "Tripulacion"), "")</f>
        <v/>
      </c>
      <c r="T230" t="str">
        <f>IF(F230="ENAP carga", COUNTIF(F$5:F230, "ENAP carga"), "")</f>
        <v/>
      </c>
    </row>
    <row r="231" spans="12:20" x14ac:dyDescent="0.2">
      <c r="L231" s="23" t="str">
        <f t="shared" si="5"/>
        <v/>
      </c>
      <c r="Q231" t="str">
        <f>IF(F231="CJ", COUNTIF(F$5:F231, "CJ"), "")</f>
        <v/>
      </c>
      <c r="R231" t="str">
        <f>IF(F231="Ignacio", COUNTIF(F$5:F231, "Ignacio"), "")</f>
        <v/>
      </c>
      <c r="S231" t="str">
        <f>IF(F231="Tripulacion", COUNTIF(F$5:F231, "Tripulacion"), "")</f>
        <v/>
      </c>
      <c r="T231" t="str">
        <f>IF(F231="ENAP carga", COUNTIF(F$5:F231, "ENAP carga"), "")</f>
        <v/>
      </c>
    </row>
    <row r="232" spans="12:20" x14ac:dyDescent="0.2">
      <c r="L232" s="23" t="str">
        <f t="shared" si="5"/>
        <v/>
      </c>
      <c r="Q232" t="str">
        <f>IF(F232="CJ", COUNTIF(F$5:F232, "CJ"), "")</f>
        <v/>
      </c>
      <c r="R232" t="str">
        <f>IF(F232="Ignacio", COUNTIF(F$5:F232, "Ignacio"), "")</f>
        <v/>
      </c>
      <c r="S232" t="str">
        <f>IF(F232="Tripulacion", COUNTIF(F$5:F232, "Tripulacion"), "")</f>
        <v/>
      </c>
      <c r="T232" t="str">
        <f>IF(F232="ENAP carga", COUNTIF(F$5:F232, "ENAP carga"), "")</f>
        <v/>
      </c>
    </row>
    <row r="233" spans="12:20" x14ac:dyDescent="0.2">
      <c r="L233" s="23" t="str">
        <f t="shared" si="5"/>
        <v/>
      </c>
      <c r="Q233" t="str">
        <f>IF(F233="CJ", COUNTIF(F$5:F233, "CJ"), "")</f>
        <v/>
      </c>
      <c r="R233" t="str">
        <f>IF(F233="Ignacio", COUNTIF(F$5:F233, "Ignacio"), "")</f>
        <v/>
      </c>
      <c r="S233" t="str">
        <f>IF(F233="Tripulacion", COUNTIF(F$5:F233, "Tripulacion"), "")</f>
        <v/>
      </c>
      <c r="T233" t="str">
        <f>IF(F233="ENAP carga", COUNTIF(F$5:F233, "ENAP carga"), "")</f>
        <v/>
      </c>
    </row>
    <row r="234" spans="12:20" x14ac:dyDescent="0.2">
      <c r="L234" s="23" t="str">
        <f t="shared" si="5"/>
        <v/>
      </c>
      <c r="Q234" t="str">
        <f>IF(F234="CJ", COUNTIF(F$5:F234, "CJ"), "")</f>
        <v/>
      </c>
      <c r="R234" t="str">
        <f>IF(F234="Ignacio", COUNTIF(F$5:F234, "Ignacio"), "")</f>
        <v/>
      </c>
      <c r="S234" t="str">
        <f>IF(F234="Tripulacion", COUNTIF(F$5:F234, "Tripulacion"), "")</f>
        <v/>
      </c>
      <c r="T234" t="str">
        <f>IF(F234="ENAP carga", COUNTIF(F$5:F234, "ENAP carga"), "")</f>
        <v/>
      </c>
    </row>
    <row r="235" spans="12:20" x14ac:dyDescent="0.2">
      <c r="L235" s="23" t="str">
        <f t="shared" si="5"/>
        <v/>
      </c>
      <c r="Q235" t="str">
        <f>IF(F235="CJ", COUNTIF(F$5:F235, "CJ"), "")</f>
        <v/>
      </c>
      <c r="R235" t="str">
        <f>IF(F235="Ignacio", COUNTIF(F$5:F235, "Ignacio"), "")</f>
        <v/>
      </c>
      <c r="S235" t="str">
        <f>IF(F235="Tripulacion", COUNTIF(F$5:F235, "Tripulacion"), "")</f>
        <v/>
      </c>
      <c r="T235" t="str">
        <f>IF(F235="ENAP carga", COUNTIF(F$5:F235, "ENAP carga"), "")</f>
        <v/>
      </c>
    </row>
    <row r="236" spans="12:20" x14ac:dyDescent="0.2">
      <c r="L236" s="23" t="str">
        <f t="shared" si="5"/>
        <v/>
      </c>
      <c r="Q236" t="str">
        <f>IF(F236="CJ", COUNTIF(F$5:F236, "CJ"), "")</f>
        <v/>
      </c>
      <c r="R236" t="str">
        <f>IF(F236="Ignacio", COUNTIF(F$5:F236, "Ignacio"), "")</f>
        <v/>
      </c>
      <c r="S236" t="str">
        <f>IF(F236="Tripulacion", COUNTIF(F$5:F236, "Tripulacion"), "")</f>
        <v/>
      </c>
      <c r="T236" t="str">
        <f>IF(F236="ENAP carga", COUNTIF(F$5:F236, "ENAP carga"), "")</f>
        <v/>
      </c>
    </row>
    <row r="237" spans="12:20" x14ac:dyDescent="0.2">
      <c r="L237" s="23" t="str">
        <f t="shared" si="5"/>
        <v/>
      </c>
      <c r="Q237" t="str">
        <f>IF(F237="CJ", COUNTIF(F$5:F237, "CJ"), "")</f>
        <v/>
      </c>
      <c r="R237" t="str">
        <f>IF(F237="Ignacio", COUNTIF(F$5:F237, "Ignacio"), "")</f>
        <v/>
      </c>
      <c r="S237" t="str">
        <f>IF(F237="Tripulacion", COUNTIF(F$5:F237, "Tripulacion"), "")</f>
        <v/>
      </c>
      <c r="T237" t="str">
        <f>IF(F237="ENAP carga", COUNTIF(F$5:F237, "ENAP carga"), "")</f>
        <v/>
      </c>
    </row>
    <row r="238" spans="12:20" x14ac:dyDescent="0.2">
      <c r="L238" s="23" t="str">
        <f t="shared" si="5"/>
        <v/>
      </c>
      <c r="Q238" t="str">
        <f>IF(F238="CJ", COUNTIF(F$5:F238, "CJ"), "")</f>
        <v/>
      </c>
      <c r="R238" t="str">
        <f>IF(F238="Ignacio", COUNTIF(F$5:F238, "Ignacio"), "")</f>
        <v/>
      </c>
      <c r="S238" t="str">
        <f>IF(F238="Tripulacion", COUNTIF(F$5:F238, "Tripulacion"), "")</f>
        <v/>
      </c>
      <c r="T238" t="str">
        <f>IF(F238="ENAP carga", COUNTIF(F$5:F238, "ENAP carga"), "")</f>
        <v/>
      </c>
    </row>
    <row r="239" spans="12:20" x14ac:dyDescent="0.2">
      <c r="L239" s="23" t="str">
        <f t="shared" si="5"/>
        <v/>
      </c>
      <c r="Q239" t="str">
        <f>IF(F239="CJ", COUNTIF(F$5:F239, "CJ"), "")</f>
        <v/>
      </c>
      <c r="R239" t="str">
        <f>IF(F239="Ignacio", COUNTIF(F$5:F239, "Ignacio"), "")</f>
        <v/>
      </c>
      <c r="S239" t="str">
        <f>IF(F239="Tripulacion", COUNTIF(F$5:F239, "Tripulacion"), "")</f>
        <v/>
      </c>
      <c r="T239" t="str">
        <f>IF(F239="ENAP carga", COUNTIF(F$5:F239, "ENAP carga"), "")</f>
        <v/>
      </c>
    </row>
    <row r="240" spans="12:20" x14ac:dyDescent="0.2">
      <c r="L240" s="23" t="str">
        <f t="shared" si="5"/>
        <v/>
      </c>
      <c r="Q240" t="str">
        <f>IF(F240="CJ", COUNTIF(F$5:F240, "CJ"), "")</f>
        <v/>
      </c>
      <c r="R240" t="str">
        <f>IF(F240="Ignacio", COUNTIF(F$5:F240, "Ignacio"), "")</f>
        <v/>
      </c>
      <c r="S240" t="str">
        <f>IF(F240="Tripulacion", COUNTIF(F$5:F240, "Tripulacion"), "")</f>
        <v/>
      </c>
      <c r="T240" t="str">
        <f>IF(F240="ENAP carga", COUNTIF(F$5:F240, "ENAP carga"), "")</f>
        <v/>
      </c>
    </row>
    <row r="241" spans="12:20" x14ac:dyDescent="0.2">
      <c r="L241" s="23" t="str">
        <f t="shared" si="5"/>
        <v/>
      </c>
      <c r="Q241" t="str">
        <f>IF(F241="CJ", COUNTIF(F$5:F241, "CJ"), "")</f>
        <v/>
      </c>
      <c r="R241" t="str">
        <f>IF(F241="Ignacio", COUNTIF(F$5:F241, "Ignacio"), "")</f>
        <v/>
      </c>
      <c r="S241" t="str">
        <f>IF(F241="Tripulacion", COUNTIF(F$5:F241, "Tripulacion"), "")</f>
        <v/>
      </c>
      <c r="T241" t="str">
        <f>IF(F241="ENAP carga", COUNTIF(F$5:F241, "ENAP carga"), "")</f>
        <v/>
      </c>
    </row>
    <row r="242" spans="12:20" x14ac:dyDescent="0.2">
      <c r="L242" s="23" t="str">
        <f t="shared" si="5"/>
        <v/>
      </c>
      <c r="Q242" t="str">
        <f>IF(F242="CJ", COUNTIF(F$5:F242, "CJ"), "")</f>
        <v/>
      </c>
      <c r="R242" t="str">
        <f>IF(F242="Ignacio", COUNTIF(F$5:F242, "Ignacio"), "")</f>
        <v/>
      </c>
      <c r="S242" t="str">
        <f>IF(F242="Tripulacion", COUNTIF(F$5:F242, "Tripulacion"), "")</f>
        <v/>
      </c>
      <c r="T242" t="str">
        <f>IF(F242="ENAP carga", COUNTIF(F$5:F242, "ENAP carga"), "")</f>
        <v/>
      </c>
    </row>
    <row r="243" spans="12:20" x14ac:dyDescent="0.2">
      <c r="L243" s="23" t="str">
        <f t="shared" si="5"/>
        <v/>
      </c>
      <c r="Q243" t="str">
        <f>IF(F243="CJ", COUNTIF(F$5:F243, "CJ"), "")</f>
        <v/>
      </c>
      <c r="R243" t="str">
        <f>IF(F243="Ignacio", COUNTIF(F$5:F243, "Ignacio"), "")</f>
        <v/>
      </c>
      <c r="S243" t="str">
        <f>IF(F243="Tripulacion", COUNTIF(F$5:F243, "Tripulacion"), "")</f>
        <v/>
      </c>
      <c r="T243" t="str">
        <f>IF(F243="ENAP carga", COUNTIF(F$5:F243, "ENAP carga"), "")</f>
        <v/>
      </c>
    </row>
    <row r="244" spans="12:20" x14ac:dyDescent="0.2">
      <c r="L244" s="23" t="str">
        <f t="shared" si="5"/>
        <v/>
      </c>
      <c r="Q244" t="str">
        <f>IF(F244="CJ", COUNTIF(F$5:F244, "CJ"), "")</f>
        <v/>
      </c>
      <c r="R244" t="str">
        <f>IF(F244="Ignacio", COUNTIF(F$5:F244, "Ignacio"), "")</f>
        <v/>
      </c>
      <c r="S244" t="str">
        <f>IF(F244="Tripulacion", COUNTIF(F$5:F244, "Tripulacion"), "")</f>
        <v/>
      </c>
      <c r="T244" t="str">
        <f>IF(F244="ENAP carga", COUNTIF(F$5:F244, "ENAP carga"), "")</f>
        <v/>
      </c>
    </row>
    <row r="245" spans="12:20" x14ac:dyDescent="0.2">
      <c r="L245" s="23" t="str">
        <f t="shared" si="5"/>
        <v/>
      </c>
      <c r="Q245" t="str">
        <f>IF(F245="CJ", COUNTIF(F$5:F245, "CJ"), "")</f>
        <v/>
      </c>
      <c r="R245" t="str">
        <f>IF(F245="Ignacio", COUNTIF(F$5:F245, "Ignacio"), "")</f>
        <v/>
      </c>
      <c r="S245" t="str">
        <f>IF(F245="Tripulacion", COUNTIF(F$5:F245, "Tripulacion"), "")</f>
        <v/>
      </c>
      <c r="T245" t="str">
        <f>IF(F245="ENAP carga", COUNTIF(F$5:F245, "ENAP carga"), "")</f>
        <v/>
      </c>
    </row>
    <row r="246" spans="12:20" x14ac:dyDescent="0.2">
      <c r="L246" s="23" t="str">
        <f t="shared" si="5"/>
        <v/>
      </c>
      <c r="Q246" t="str">
        <f>IF(F246="CJ", COUNTIF(F$5:F246, "CJ"), "")</f>
        <v/>
      </c>
      <c r="R246" t="str">
        <f>IF(F246="Ignacio", COUNTIF(F$5:F246, "Ignacio"), "")</f>
        <v/>
      </c>
      <c r="S246" t="str">
        <f>IF(F246="Tripulacion", COUNTIF(F$5:F246, "Tripulacion"), "")</f>
        <v/>
      </c>
      <c r="T246" t="str">
        <f>IF(F246="ENAP carga", COUNTIF(F$5:F246, "ENAP carga"), "")</f>
        <v/>
      </c>
    </row>
    <row r="247" spans="12:20" x14ac:dyDescent="0.2">
      <c r="L247" s="23" t="str">
        <f t="shared" si="5"/>
        <v/>
      </c>
      <c r="Q247" t="str">
        <f>IF(F247="CJ", COUNTIF(F$5:F247, "CJ"), "")</f>
        <v/>
      </c>
      <c r="R247" t="str">
        <f>IF(F247="Ignacio", COUNTIF(F$5:F247, "Ignacio"), "")</f>
        <v/>
      </c>
      <c r="S247" t="str">
        <f>IF(F247="Tripulacion", COUNTIF(F$5:F247, "Tripulacion"), "")</f>
        <v/>
      </c>
      <c r="T247" t="str">
        <f>IF(F247="ENAP carga", COUNTIF(F$5:F247, "ENAP carga"), "")</f>
        <v/>
      </c>
    </row>
    <row r="248" spans="12:20" x14ac:dyDescent="0.2">
      <c r="L248" s="23" t="str">
        <f t="shared" si="5"/>
        <v/>
      </c>
      <c r="Q248" t="str">
        <f>IF(F248="CJ", COUNTIF(F$5:F248, "CJ"), "")</f>
        <v/>
      </c>
      <c r="R248" t="str">
        <f>IF(F248="Ignacio", COUNTIF(F$5:F248, "Ignacio"), "")</f>
        <v/>
      </c>
      <c r="S248" t="str">
        <f>IF(F248="Tripulacion", COUNTIF(F$5:F248, "Tripulacion"), "")</f>
        <v/>
      </c>
      <c r="T248" t="str">
        <f>IF(F248="ENAP carga", COUNTIF(F$5:F248, "ENAP carga"), "")</f>
        <v/>
      </c>
    </row>
    <row r="249" spans="12:20" x14ac:dyDescent="0.2">
      <c r="L249" s="23" t="str">
        <f t="shared" si="5"/>
        <v/>
      </c>
      <c r="Q249" t="str">
        <f>IF(F249="CJ", COUNTIF(F$5:F249, "CJ"), "")</f>
        <v/>
      </c>
      <c r="R249" t="str">
        <f>IF(F249="Ignacio", COUNTIF(F$5:F249, "Ignacio"), "")</f>
        <v/>
      </c>
      <c r="S249" t="str">
        <f>IF(F249="Tripulacion", COUNTIF(F$5:F249, "Tripulacion"), "")</f>
        <v/>
      </c>
      <c r="T249" t="str">
        <f>IF(F249="ENAP carga", COUNTIF(F$5:F249, "ENAP carga"), "")</f>
        <v/>
      </c>
    </row>
    <row r="250" spans="12:20" x14ac:dyDescent="0.2">
      <c r="L250" s="23" t="str">
        <f t="shared" si="5"/>
        <v/>
      </c>
      <c r="Q250" t="str">
        <f>IF(F250="CJ", COUNTIF(F$5:F250, "CJ"), "")</f>
        <v/>
      </c>
      <c r="R250" t="str">
        <f>IF(F250="Ignacio", COUNTIF(F$5:F250, "Ignacio"), "")</f>
        <v/>
      </c>
      <c r="S250" t="str">
        <f>IF(F250="Tripulacion", COUNTIF(F$5:F250, "Tripulacion"), "")</f>
        <v/>
      </c>
      <c r="T250" t="str">
        <f>IF(F250="ENAP carga", COUNTIF(F$5:F250, "ENAP carga"), "")</f>
        <v/>
      </c>
    </row>
    <row r="251" spans="12:20" x14ac:dyDescent="0.2">
      <c r="L251" s="23" t="str">
        <f t="shared" si="5"/>
        <v/>
      </c>
      <c r="Q251" t="str">
        <f>IF(F251="CJ", COUNTIF(F$5:F251, "CJ"), "")</f>
        <v/>
      </c>
      <c r="R251" t="str">
        <f>IF(F251="Ignacio", COUNTIF(F$5:F251, "Ignacio"), "")</f>
        <v/>
      </c>
      <c r="S251" t="str">
        <f>IF(F251="Tripulacion", COUNTIF(F$5:F251, "Tripulacion"), "")</f>
        <v/>
      </c>
      <c r="T251" t="str">
        <f>IF(F251="ENAP carga", COUNTIF(F$5:F251, "ENAP carga"), "")</f>
        <v/>
      </c>
    </row>
    <row r="252" spans="12:20" x14ac:dyDescent="0.2">
      <c r="L252" s="23" t="str">
        <f t="shared" si="5"/>
        <v/>
      </c>
      <c r="Q252" t="str">
        <f>IF(F252="CJ", COUNTIF(F$5:F252, "CJ"), "")</f>
        <v/>
      </c>
      <c r="R252" t="str">
        <f>IF(F252="Ignacio", COUNTIF(F$5:F252, "Ignacio"), "")</f>
        <v/>
      </c>
      <c r="S252" t="str">
        <f>IF(F252="Tripulacion", COUNTIF(F$5:F252, "Tripulacion"), "")</f>
        <v/>
      </c>
      <c r="T252" t="str">
        <f>IF(F252="ENAP carga", COUNTIF(F$5:F252, "ENAP carga"), "")</f>
        <v/>
      </c>
    </row>
    <row r="253" spans="12:20" x14ac:dyDescent="0.2">
      <c r="L253" s="23" t="str">
        <f t="shared" si="5"/>
        <v/>
      </c>
      <c r="Q253" t="str">
        <f>IF(F253="CJ", COUNTIF(F$5:F253, "CJ"), "")</f>
        <v/>
      </c>
      <c r="R253" t="str">
        <f>IF(F253="Ignacio", COUNTIF(F$5:F253, "Ignacio"), "")</f>
        <v/>
      </c>
      <c r="S253" t="str">
        <f>IF(F253="Tripulacion", COUNTIF(F$5:F253, "Tripulacion"), "")</f>
        <v/>
      </c>
      <c r="T253" t="str">
        <f>IF(F253="ENAP carga", COUNTIF(F$5:F253, "ENAP carga"), "")</f>
        <v/>
      </c>
    </row>
    <row r="254" spans="12:20" x14ac:dyDescent="0.2">
      <c r="L254" s="23" t="str">
        <f t="shared" si="5"/>
        <v/>
      </c>
      <c r="Q254" t="str">
        <f>IF(F254="CJ", COUNTIF(F$5:F254, "CJ"), "")</f>
        <v/>
      </c>
      <c r="R254" t="str">
        <f>IF(F254="Ignacio", COUNTIF(F$5:F254, "Ignacio"), "")</f>
        <v/>
      </c>
      <c r="S254" t="str">
        <f>IF(F254="Tripulacion", COUNTIF(F$5:F254, "Tripulacion"), "")</f>
        <v/>
      </c>
      <c r="T254" t="str">
        <f>IF(F254="ENAP carga", COUNTIF(F$5:F254, "ENAP carga"), "")</f>
        <v/>
      </c>
    </row>
    <row r="255" spans="12:20" x14ac:dyDescent="0.2">
      <c r="L255" s="23" t="str">
        <f t="shared" si="5"/>
        <v/>
      </c>
      <c r="Q255" t="str">
        <f>IF(F255="CJ", COUNTIF(F$5:F255, "CJ"), "")</f>
        <v/>
      </c>
      <c r="R255" t="str">
        <f>IF(F255="Ignacio", COUNTIF(F$5:F255, "Ignacio"), "")</f>
        <v/>
      </c>
      <c r="S255" t="str">
        <f>IF(F255="Tripulacion", COUNTIF(F$5:F255, "Tripulacion"), "")</f>
        <v/>
      </c>
      <c r="T255" t="str">
        <f>IF(F255="ENAP carga", COUNTIF(F$5:F255, "ENAP carga"), "")</f>
        <v/>
      </c>
    </row>
    <row r="256" spans="12:20" x14ac:dyDescent="0.2">
      <c r="L256" s="23" t="str">
        <f t="shared" si="5"/>
        <v/>
      </c>
      <c r="Q256" t="str">
        <f>IF(F256="CJ", COUNTIF(F$5:F256, "CJ"), "")</f>
        <v/>
      </c>
      <c r="R256" t="str">
        <f>IF(F256="Ignacio", COUNTIF(F$5:F256, "Ignacio"), "")</f>
        <v/>
      </c>
      <c r="S256" t="str">
        <f>IF(F256="Tripulacion", COUNTIF(F$5:F256, "Tripulacion"), "")</f>
        <v/>
      </c>
      <c r="T256" t="str">
        <f>IF(F256="ENAP carga", COUNTIF(F$5:F256, "ENAP carga"), "")</f>
        <v/>
      </c>
    </row>
    <row r="257" spans="12:20" x14ac:dyDescent="0.2">
      <c r="L257" s="23" t="str">
        <f t="shared" si="5"/>
        <v/>
      </c>
      <c r="Q257" t="str">
        <f>IF(F257="CJ", COUNTIF(F$5:F257, "CJ"), "")</f>
        <v/>
      </c>
      <c r="R257" t="str">
        <f>IF(F257="Ignacio", COUNTIF(F$5:F257, "Ignacio"), "")</f>
        <v/>
      </c>
      <c r="S257" t="str">
        <f>IF(F257="Tripulacion", COUNTIF(F$5:F257, "Tripulacion"), "")</f>
        <v/>
      </c>
      <c r="T257" t="str">
        <f>IF(F257="ENAP carga", COUNTIF(F$5:F257, "ENAP carga"), "")</f>
        <v/>
      </c>
    </row>
    <row r="258" spans="12:20" x14ac:dyDescent="0.2">
      <c r="L258" s="23" t="str">
        <f t="shared" si="5"/>
        <v/>
      </c>
      <c r="Q258" t="str">
        <f>IF(F258="CJ", COUNTIF(F$5:F258, "CJ"), "")</f>
        <v/>
      </c>
      <c r="R258" t="str">
        <f>IF(F258="Ignacio", COUNTIF(F$5:F258, "Ignacio"), "")</f>
        <v/>
      </c>
      <c r="S258" t="str">
        <f>IF(F258="Tripulacion", COUNTIF(F$5:F258, "Tripulacion"), "")</f>
        <v/>
      </c>
      <c r="T258" t="str">
        <f>IF(F258="ENAP carga", COUNTIF(F$5:F258, "ENAP carga"), "")</f>
        <v/>
      </c>
    </row>
    <row r="259" spans="12:20" x14ac:dyDescent="0.2">
      <c r="L259" s="23" t="str">
        <f t="shared" si="5"/>
        <v/>
      </c>
      <c r="Q259" t="str">
        <f>IF(F259="CJ", COUNTIF(F$5:F259, "CJ"), "")</f>
        <v/>
      </c>
      <c r="R259" t="str">
        <f>IF(F259="Ignacio", COUNTIF(F$5:F259, "Ignacio"), "")</f>
        <v/>
      </c>
      <c r="S259" t="str">
        <f>IF(F259="Tripulacion", COUNTIF(F$5:F259, "Tripulacion"), "")</f>
        <v/>
      </c>
      <c r="T259" t="str">
        <f>IF(F259="ENAP carga", COUNTIF(F$5:F259, "ENAP carga"), "")</f>
        <v/>
      </c>
    </row>
    <row r="260" spans="12:20" x14ac:dyDescent="0.2">
      <c r="L260" s="23" t="str">
        <f t="shared" si="5"/>
        <v/>
      </c>
      <c r="Q260" t="str">
        <f>IF(F260="CJ", COUNTIF(F$5:F260, "CJ"), "")</f>
        <v/>
      </c>
      <c r="R260" t="str">
        <f>IF(F260="Ignacio", COUNTIF(F$5:F260, "Ignacio"), "")</f>
        <v/>
      </c>
      <c r="S260" t="str">
        <f>IF(F260="Tripulacion", COUNTIF(F$5:F260, "Tripulacion"), "")</f>
        <v/>
      </c>
      <c r="T260" t="str">
        <f>IF(F260="ENAP carga", COUNTIF(F$5:F260, "ENAP carga"), "")</f>
        <v/>
      </c>
    </row>
    <row r="261" spans="12:20" x14ac:dyDescent="0.2">
      <c r="L261" s="23" t="str">
        <f t="shared" si="5"/>
        <v/>
      </c>
      <c r="Q261" t="str">
        <f>IF(F261="CJ", COUNTIF(F$5:F261, "CJ"), "")</f>
        <v/>
      </c>
      <c r="R261" t="str">
        <f>IF(F261="Ignacio", COUNTIF(F$5:F261, "Ignacio"), "")</f>
        <v/>
      </c>
      <c r="S261" t="str">
        <f>IF(F261="Tripulacion", COUNTIF(F$5:F261, "Tripulacion"), "")</f>
        <v/>
      </c>
      <c r="T261" t="str">
        <f>IF(F261="ENAP carga", COUNTIF(F$5:F261, "ENAP carga"), "")</f>
        <v/>
      </c>
    </row>
    <row r="262" spans="12:20" x14ac:dyDescent="0.2">
      <c r="L262" s="23" t="str">
        <f t="shared" si="5"/>
        <v/>
      </c>
      <c r="Q262" t="str">
        <f>IF(F262="CJ", COUNTIF(F$5:F262, "CJ"), "")</f>
        <v/>
      </c>
      <c r="R262" t="str">
        <f>IF(F262="Ignacio", COUNTIF(F$5:F262, "Ignacio"), "")</f>
        <v/>
      </c>
      <c r="S262" t="str">
        <f>IF(F262="Tripulacion", COUNTIF(F$5:F262, "Tripulacion"), "")</f>
        <v/>
      </c>
      <c r="T262" t="str">
        <f>IF(F262="ENAP carga", COUNTIF(F$5:F262, "ENAP carga"), "")</f>
        <v/>
      </c>
    </row>
    <row r="263" spans="12:20" x14ac:dyDescent="0.2">
      <c r="L263" s="23" t="str">
        <f t="shared" si="5"/>
        <v/>
      </c>
      <c r="Q263" t="str">
        <f>IF(F263="CJ", COUNTIF(F$5:F263, "CJ"), "")</f>
        <v/>
      </c>
      <c r="R263" t="str">
        <f>IF(F263="Ignacio", COUNTIF(F$5:F263, "Ignacio"), "")</f>
        <v/>
      </c>
      <c r="S263" t="str">
        <f>IF(F263="Tripulacion", COUNTIF(F$5:F263, "Tripulacion"), "")</f>
        <v/>
      </c>
      <c r="T263" t="str">
        <f>IF(F263="ENAP carga", COUNTIF(F$5:F263, "ENAP carga"), "")</f>
        <v/>
      </c>
    </row>
    <row r="264" spans="12:20" x14ac:dyDescent="0.2">
      <c r="L264" s="23" t="str">
        <f t="shared" si="5"/>
        <v/>
      </c>
      <c r="Q264" t="str">
        <f>IF(F264="CJ", COUNTIF(F$5:F264, "CJ"), "")</f>
        <v/>
      </c>
      <c r="R264" t="str">
        <f>IF(F264="Ignacio", COUNTIF(F$5:F264, "Ignacio"), "")</f>
        <v/>
      </c>
      <c r="S264" t="str">
        <f>IF(F264="Tripulacion", COUNTIF(F$5:F264, "Tripulacion"), "")</f>
        <v/>
      </c>
      <c r="T264" t="str">
        <f>IF(F264="ENAP carga", COUNTIF(F$5:F264, "ENAP carga"), "")</f>
        <v/>
      </c>
    </row>
    <row r="265" spans="12:20" x14ac:dyDescent="0.2">
      <c r="L265" s="23" t="str">
        <f t="shared" si="5"/>
        <v/>
      </c>
      <c r="Q265" t="str">
        <f>IF(F265="CJ", COUNTIF(F$5:F265, "CJ"), "")</f>
        <v/>
      </c>
      <c r="R265" t="str">
        <f>IF(F265="Ignacio", COUNTIF(F$5:F265, "Ignacio"), "")</f>
        <v/>
      </c>
      <c r="S265" t="str">
        <f>IF(F265="Tripulacion", COUNTIF(F$5:F265, "Tripulacion"), "")</f>
        <v/>
      </c>
      <c r="T265" t="str">
        <f>IF(F265="ENAP carga", COUNTIF(F$5:F265, "ENAP carga"), "")</f>
        <v/>
      </c>
    </row>
    <row r="266" spans="12:20" x14ac:dyDescent="0.2">
      <c r="L266" s="23" t="str">
        <f t="shared" si="5"/>
        <v/>
      </c>
      <c r="Q266" t="str">
        <f>IF(F266="CJ", COUNTIF(F$5:F266, "CJ"), "")</f>
        <v/>
      </c>
      <c r="R266" t="str">
        <f>IF(F266="Ignacio", COUNTIF(F$5:F266, "Ignacio"), "")</f>
        <v/>
      </c>
      <c r="S266" t="str">
        <f>IF(F266="Tripulacion", COUNTIF(F$5:F266, "Tripulacion"), "")</f>
        <v/>
      </c>
      <c r="T266" t="str">
        <f>IF(F266="ENAP carga", COUNTIF(F$5:F266, "ENAP carga"), "")</f>
        <v/>
      </c>
    </row>
    <row r="267" spans="12:20" x14ac:dyDescent="0.2">
      <c r="L267" s="23" t="str">
        <f t="shared" si="5"/>
        <v/>
      </c>
      <c r="Q267" t="str">
        <f>IF(F267="CJ", COUNTIF(F$5:F267, "CJ"), "")</f>
        <v/>
      </c>
      <c r="R267" t="str">
        <f>IF(F267="Ignacio", COUNTIF(F$5:F267, "Ignacio"), "")</f>
        <v/>
      </c>
      <c r="S267" t="str">
        <f>IF(F267="Tripulacion", COUNTIF(F$5:F267, "Tripulacion"), "")</f>
        <v/>
      </c>
      <c r="T267" t="str">
        <f>IF(F267="ENAP carga", COUNTIF(F$5:F267, "ENAP carga"), "")</f>
        <v/>
      </c>
    </row>
    <row r="268" spans="12:20" x14ac:dyDescent="0.2">
      <c r="L268" s="23" t="str">
        <f t="shared" si="5"/>
        <v/>
      </c>
      <c r="Q268" t="str">
        <f>IF(F268="CJ", COUNTIF(F$5:F268, "CJ"), "")</f>
        <v/>
      </c>
      <c r="R268" t="str">
        <f>IF(F268="Ignacio", COUNTIF(F$5:F268, "Ignacio"), "")</f>
        <v/>
      </c>
      <c r="S268" t="str">
        <f>IF(F268="Tripulacion", COUNTIF(F$5:F268, "Tripulacion"), "")</f>
        <v/>
      </c>
      <c r="T268" t="str">
        <f>IF(F268="ENAP carga", COUNTIF(F$5:F268, "ENAP carga"), "")</f>
        <v/>
      </c>
    </row>
    <row r="269" spans="12:20" x14ac:dyDescent="0.2">
      <c r="L269" s="23" t="str">
        <f t="shared" si="5"/>
        <v/>
      </c>
      <c r="Q269" t="str">
        <f>IF(F269="CJ", COUNTIF(F$5:F269, "CJ"), "")</f>
        <v/>
      </c>
      <c r="R269" t="str">
        <f>IF(F269="Ignacio", COUNTIF(F$5:F269, "Ignacio"), "")</f>
        <v/>
      </c>
      <c r="S269" t="str">
        <f>IF(F269="Tripulacion", COUNTIF(F$5:F269, "Tripulacion"), "")</f>
        <v/>
      </c>
      <c r="T269" t="str">
        <f>IF(F269="ENAP carga", COUNTIF(F$5:F269, "ENAP carga"), "")</f>
        <v/>
      </c>
    </row>
    <row r="270" spans="12:20" x14ac:dyDescent="0.2">
      <c r="L270" s="23" t="str">
        <f t="shared" ref="L270:L333" si="6">IF(F270="CJ", I270*200, "")</f>
        <v/>
      </c>
      <c r="Q270" t="str">
        <f>IF(F270="CJ", COUNTIF(F$5:F270, "CJ"), "")</f>
        <v/>
      </c>
      <c r="R270" t="str">
        <f>IF(F270="Ignacio", COUNTIF(F$5:F270, "Ignacio"), "")</f>
        <v/>
      </c>
      <c r="S270" t="str">
        <f>IF(F270="Tripulacion", COUNTIF(F$5:F270, "Tripulacion"), "")</f>
        <v/>
      </c>
      <c r="T270" t="str">
        <f>IF(F270="ENAP carga", COUNTIF(F$5:F270, "ENAP carga"), "")</f>
        <v/>
      </c>
    </row>
    <row r="271" spans="12:20" x14ac:dyDescent="0.2">
      <c r="L271" s="23" t="str">
        <f t="shared" si="6"/>
        <v/>
      </c>
      <c r="Q271" t="str">
        <f>IF(F271="CJ", COUNTIF(F$5:F271, "CJ"), "")</f>
        <v/>
      </c>
      <c r="R271" t="str">
        <f>IF(F271="Ignacio", COUNTIF(F$5:F271, "Ignacio"), "")</f>
        <v/>
      </c>
      <c r="S271" t="str">
        <f>IF(F271="Tripulacion", COUNTIF(F$5:F271, "Tripulacion"), "")</f>
        <v/>
      </c>
      <c r="T271" t="str">
        <f>IF(F271="ENAP carga", COUNTIF(F$5:F271, "ENAP carga"), "")</f>
        <v/>
      </c>
    </row>
    <row r="272" spans="12:20" x14ac:dyDescent="0.2">
      <c r="L272" s="23" t="str">
        <f t="shared" si="6"/>
        <v/>
      </c>
      <c r="Q272" t="str">
        <f>IF(F272="CJ", COUNTIF(F$5:F272, "CJ"), "")</f>
        <v/>
      </c>
      <c r="R272" t="str">
        <f>IF(F272="Ignacio", COUNTIF(F$5:F272, "Ignacio"), "")</f>
        <v/>
      </c>
      <c r="S272" t="str">
        <f>IF(F272="Tripulacion", COUNTIF(F$5:F272, "Tripulacion"), "")</f>
        <v/>
      </c>
      <c r="T272" t="str">
        <f>IF(F272="ENAP carga", COUNTIF(F$5:F272, "ENAP carga"), "")</f>
        <v/>
      </c>
    </row>
    <row r="273" spans="12:20" x14ac:dyDescent="0.2">
      <c r="L273" s="23" t="str">
        <f t="shared" si="6"/>
        <v/>
      </c>
      <c r="Q273" t="str">
        <f>IF(F273="CJ", COUNTIF(F$5:F273, "CJ"), "")</f>
        <v/>
      </c>
      <c r="R273" t="str">
        <f>IF(F273="Ignacio", COUNTIF(F$5:F273, "Ignacio"), "")</f>
        <v/>
      </c>
      <c r="S273" t="str">
        <f>IF(F273="Tripulacion", COUNTIF(F$5:F273, "Tripulacion"), "")</f>
        <v/>
      </c>
      <c r="T273" t="str">
        <f>IF(F273="ENAP carga", COUNTIF(F$5:F273, "ENAP carga"), "")</f>
        <v/>
      </c>
    </row>
    <row r="274" spans="12:20" x14ac:dyDescent="0.2">
      <c r="L274" s="23" t="str">
        <f t="shared" si="6"/>
        <v/>
      </c>
      <c r="Q274" t="str">
        <f>IF(F274="CJ", COUNTIF(F$5:F274, "CJ"), "")</f>
        <v/>
      </c>
      <c r="R274" t="str">
        <f>IF(F274="Ignacio", COUNTIF(F$5:F274, "Ignacio"), "")</f>
        <v/>
      </c>
      <c r="S274" t="str">
        <f>IF(F274="Tripulacion", COUNTIF(F$5:F274, "Tripulacion"), "")</f>
        <v/>
      </c>
      <c r="T274" t="str">
        <f>IF(F274="ENAP carga", COUNTIF(F$5:F274, "ENAP carga"), "")</f>
        <v/>
      </c>
    </row>
    <row r="275" spans="12:20" x14ac:dyDescent="0.2">
      <c r="L275" s="23" t="str">
        <f t="shared" si="6"/>
        <v/>
      </c>
      <c r="Q275" t="str">
        <f>IF(F275="CJ", COUNTIF(F$5:F275, "CJ"), "")</f>
        <v/>
      </c>
      <c r="R275" t="str">
        <f>IF(F275="Ignacio", COUNTIF(F$5:F275, "Ignacio"), "")</f>
        <v/>
      </c>
      <c r="S275" t="str">
        <f>IF(F275="Tripulacion", COUNTIF(F$5:F275, "Tripulacion"), "")</f>
        <v/>
      </c>
      <c r="T275" t="str">
        <f>IF(F275="ENAP carga", COUNTIF(F$5:F275, "ENAP carga"), "")</f>
        <v/>
      </c>
    </row>
    <row r="276" spans="12:20" x14ac:dyDescent="0.2">
      <c r="L276" s="23" t="str">
        <f t="shared" si="6"/>
        <v/>
      </c>
      <c r="Q276" t="str">
        <f>IF(F276="CJ", COUNTIF(F$5:F276, "CJ"), "")</f>
        <v/>
      </c>
      <c r="R276" t="str">
        <f>IF(F276="Ignacio", COUNTIF(F$5:F276, "Ignacio"), "")</f>
        <v/>
      </c>
      <c r="S276" t="str">
        <f>IF(F276="Tripulacion", COUNTIF(F$5:F276, "Tripulacion"), "")</f>
        <v/>
      </c>
      <c r="T276" t="str">
        <f>IF(F276="ENAP carga", COUNTIF(F$5:F276, "ENAP carga"), "")</f>
        <v/>
      </c>
    </row>
    <row r="277" spans="12:20" x14ac:dyDescent="0.2">
      <c r="L277" s="23" t="str">
        <f t="shared" si="6"/>
        <v/>
      </c>
      <c r="Q277" t="str">
        <f>IF(F277="CJ", COUNTIF(F$5:F277, "CJ"), "")</f>
        <v/>
      </c>
      <c r="R277" t="str">
        <f>IF(F277="Ignacio", COUNTIF(F$5:F277, "Ignacio"), "")</f>
        <v/>
      </c>
      <c r="S277" t="str">
        <f>IF(F277="Tripulacion", COUNTIF(F$5:F277, "Tripulacion"), "")</f>
        <v/>
      </c>
      <c r="T277" t="str">
        <f>IF(F277="ENAP carga", COUNTIF(F$5:F277, "ENAP carga"), "")</f>
        <v/>
      </c>
    </row>
    <row r="278" spans="12:20" x14ac:dyDescent="0.2">
      <c r="L278" s="23" t="str">
        <f t="shared" si="6"/>
        <v/>
      </c>
      <c r="Q278" t="str">
        <f>IF(F278="CJ", COUNTIF(F$5:F278, "CJ"), "")</f>
        <v/>
      </c>
      <c r="R278" t="str">
        <f>IF(F278="Ignacio", COUNTIF(F$5:F278, "Ignacio"), "")</f>
        <v/>
      </c>
      <c r="S278" t="str">
        <f>IF(F278="Tripulacion", COUNTIF(F$5:F278, "Tripulacion"), "")</f>
        <v/>
      </c>
      <c r="T278" t="str">
        <f>IF(F278="ENAP carga", COUNTIF(F$5:F278, "ENAP carga"), "")</f>
        <v/>
      </c>
    </row>
    <row r="279" spans="12:20" x14ac:dyDescent="0.2">
      <c r="L279" s="23" t="str">
        <f t="shared" si="6"/>
        <v/>
      </c>
      <c r="Q279" t="str">
        <f>IF(F279="CJ", COUNTIF(F$5:F279, "CJ"), "")</f>
        <v/>
      </c>
      <c r="R279" t="str">
        <f>IF(F279="Ignacio", COUNTIF(F$5:F279, "Ignacio"), "")</f>
        <v/>
      </c>
      <c r="S279" t="str">
        <f>IF(F279="Tripulacion", COUNTIF(F$5:F279, "Tripulacion"), "")</f>
        <v/>
      </c>
      <c r="T279" t="str">
        <f>IF(F279="ENAP carga", COUNTIF(F$5:F279, "ENAP carga"), "")</f>
        <v/>
      </c>
    </row>
    <row r="280" spans="12:20" x14ac:dyDescent="0.2">
      <c r="L280" s="23" t="str">
        <f t="shared" si="6"/>
        <v/>
      </c>
      <c r="Q280" t="str">
        <f>IF(F280="CJ", COUNTIF(F$5:F280, "CJ"), "")</f>
        <v/>
      </c>
      <c r="R280" t="str">
        <f>IF(F280="Ignacio", COUNTIF(F$5:F280, "Ignacio"), "")</f>
        <v/>
      </c>
      <c r="S280" t="str">
        <f>IF(F280="Tripulacion", COUNTIF(F$5:F280, "Tripulacion"), "")</f>
        <v/>
      </c>
      <c r="T280" t="str">
        <f>IF(F280="ENAP carga", COUNTIF(F$5:F280, "ENAP carga"), "")</f>
        <v/>
      </c>
    </row>
    <row r="281" spans="12:20" x14ac:dyDescent="0.2">
      <c r="L281" s="23" t="str">
        <f t="shared" si="6"/>
        <v/>
      </c>
      <c r="Q281" t="str">
        <f>IF(F281="CJ", COUNTIF(F$5:F281, "CJ"), "")</f>
        <v/>
      </c>
      <c r="R281" t="str">
        <f>IF(F281="Ignacio", COUNTIF(F$5:F281, "Ignacio"), "")</f>
        <v/>
      </c>
      <c r="S281" t="str">
        <f>IF(F281="Tripulacion", COUNTIF(F$5:F281, "Tripulacion"), "")</f>
        <v/>
      </c>
      <c r="T281" t="str">
        <f>IF(F281="ENAP carga", COUNTIF(F$5:F281, "ENAP carga"), "")</f>
        <v/>
      </c>
    </row>
    <row r="282" spans="12:20" x14ac:dyDescent="0.2">
      <c r="L282" s="23" t="str">
        <f t="shared" si="6"/>
        <v/>
      </c>
      <c r="Q282" t="str">
        <f>IF(F282="CJ", COUNTIF(F$5:F282, "CJ"), "")</f>
        <v/>
      </c>
      <c r="R282" t="str">
        <f>IF(F282="Ignacio", COUNTIF(F$5:F282, "Ignacio"), "")</f>
        <v/>
      </c>
      <c r="S282" t="str">
        <f>IF(F282="Tripulacion", COUNTIF(F$5:F282, "Tripulacion"), "")</f>
        <v/>
      </c>
      <c r="T282" t="str">
        <f>IF(F282="ENAP carga", COUNTIF(F$5:F282, "ENAP carga"), "")</f>
        <v/>
      </c>
    </row>
    <row r="283" spans="12:20" x14ac:dyDescent="0.2">
      <c r="L283" s="23" t="str">
        <f t="shared" si="6"/>
        <v/>
      </c>
      <c r="Q283" t="str">
        <f>IF(F283="CJ", COUNTIF(F$5:F283, "CJ"), "")</f>
        <v/>
      </c>
      <c r="R283" t="str">
        <f>IF(F283="Ignacio", COUNTIF(F$5:F283, "Ignacio"), "")</f>
        <v/>
      </c>
      <c r="S283" t="str">
        <f>IF(F283="Tripulacion", COUNTIF(F$5:F283, "Tripulacion"), "")</f>
        <v/>
      </c>
      <c r="T283" t="str">
        <f>IF(F283="ENAP carga", COUNTIF(F$5:F283, "ENAP carga"), "")</f>
        <v/>
      </c>
    </row>
    <row r="284" spans="12:20" x14ac:dyDescent="0.2">
      <c r="L284" s="23" t="str">
        <f t="shared" si="6"/>
        <v/>
      </c>
      <c r="Q284" t="str">
        <f>IF(F284="CJ", COUNTIF(F$5:F284, "CJ"), "")</f>
        <v/>
      </c>
      <c r="R284" t="str">
        <f>IF(F284="Ignacio", COUNTIF(F$5:F284, "Ignacio"), "")</f>
        <v/>
      </c>
      <c r="S284" t="str">
        <f>IF(F284="Tripulacion", COUNTIF(F$5:F284, "Tripulacion"), "")</f>
        <v/>
      </c>
      <c r="T284" t="str">
        <f>IF(F284="ENAP carga", COUNTIF(F$5:F284, "ENAP carga"), "")</f>
        <v/>
      </c>
    </row>
    <row r="285" spans="12:20" x14ac:dyDescent="0.2">
      <c r="L285" s="23" t="str">
        <f t="shared" si="6"/>
        <v/>
      </c>
      <c r="Q285" t="str">
        <f>IF(F285="CJ", COUNTIF(F$5:F285, "CJ"), "")</f>
        <v/>
      </c>
      <c r="R285" t="str">
        <f>IF(F285="Ignacio", COUNTIF(F$5:F285, "Ignacio"), "")</f>
        <v/>
      </c>
      <c r="S285" t="str">
        <f>IF(F285="Tripulacion", COUNTIF(F$5:F285, "Tripulacion"), "")</f>
        <v/>
      </c>
      <c r="T285" t="str">
        <f>IF(F285="ENAP carga", COUNTIF(F$5:F285, "ENAP carga"), "")</f>
        <v/>
      </c>
    </row>
    <row r="286" spans="12:20" x14ac:dyDescent="0.2">
      <c r="L286" s="23" t="str">
        <f t="shared" si="6"/>
        <v/>
      </c>
      <c r="Q286" t="str">
        <f>IF(F286="CJ", COUNTIF(F$5:F286, "CJ"), "")</f>
        <v/>
      </c>
      <c r="R286" t="str">
        <f>IF(F286="Ignacio", COUNTIF(F$5:F286, "Ignacio"), "")</f>
        <v/>
      </c>
      <c r="S286" t="str">
        <f>IF(F286="Tripulacion", COUNTIF(F$5:F286, "Tripulacion"), "")</f>
        <v/>
      </c>
      <c r="T286" t="str">
        <f>IF(F286="ENAP carga", COUNTIF(F$5:F286, "ENAP carga"), "")</f>
        <v/>
      </c>
    </row>
    <row r="287" spans="12:20" x14ac:dyDescent="0.2">
      <c r="L287" s="23" t="str">
        <f t="shared" si="6"/>
        <v/>
      </c>
      <c r="Q287" t="str">
        <f>IF(F287="CJ", COUNTIF(F$5:F287, "CJ"), "")</f>
        <v/>
      </c>
      <c r="R287" t="str">
        <f>IF(F287="Ignacio", COUNTIF(F$5:F287, "Ignacio"), "")</f>
        <v/>
      </c>
      <c r="S287" t="str">
        <f>IF(F287="Tripulacion", COUNTIF(F$5:F287, "Tripulacion"), "")</f>
        <v/>
      </c>
      <c r="T287" t="str">
        <f>IF(F287="ENAP carga", COUNTIF(F$5:F287, "ENAP carga"), "")</f>
        <v/>
      </c>
    </row>
    <row r="288" spans="12:20" x14ac:dyDescent="0.2">
      <c r="L288" s="23" t="str">
        <f t="shared" si="6"/>
        <v/>
      </c>
      <c r="Q288" t="str">
        <f>IF(F288="CJ", COUNTIF(F$5:F288, "CJ"), "")</f>
        <v/>
      </c>
      <c r="R288" t="str">
        <f>IF(F288="Ignacio", COUNTIF(F$5:F288, "Ignacio"), "")</f>
        <v/>
      </c>
      <c r="S288" t="str">
        <f>IF(F288="Tripulacion", COUNTIF(F$5:F288, "Tripulacion"), "")</f>
        <v/>
      </c>
      <c r="T288" t="str">
        <f>IF(F288="ENAP carga", COUNTIF(F$5:F288, "ENAP carga"), "")</f>
        <v/>
      </c>
    </row>
    <row r="289" spans="12:20" x14ac:dyDescent="0.2">
      <c r="L289" s="23" t="str">
        <f t="shared" si="6"/>
        <v/>
      </c>
      <c r="Q289" t="str">
        <f>IF(F289="CJ", COUNTIF(F$5:F289, "CJ"), "")</f>
        <v/>
      </c>
      <c r="R289" t="str">
        <f>IF(F289="Ignacio", COUNTIF(F$5:F289, "Ignacio"), "")</f>
        <v/>
      </c>
      <c r="S289" t="str">
        <f>IF(F289="Tripulacion", COUNTIF(F$5:F289, "Tripulacion"), "")</f>
        <v/>
      </c>
      <c r="T289" t="str">
        <f>IF(F289="ENAP carga", COUNTIF(F$5:F289, "ENAP carga"), "")</f>
        <v/>
      </c>
    </row>
    <row r="290" spans="12:20" x14ac:dyDescent="0.2">
      <c r="L290" s="23" t="str">
        <f t="shared" si="6"/>
        <v/>
      </c>
      <c r="Q290" t="str">
        <f>IF(F290="CJ", COUNTIF(F$5:F290, "CJ"), "")</f>
        <v/>
      </c>
      <c r="R290" t="str">
        <f>IF(F290="Ignacio", COUNTIF(F$5:F290, "Ignacio"), "")</f>
        <v/>
      </c>
      <c r="S290" t="str">
        <f>IF(F290="Tripulacion", COUNTIF(F$5:F290, "Tripulacion"), "")</f>
        <v/>
      </c>
      <c r="T290" t="str">
        <f>IF(F290="ENAP carga", COUNTIF(F$5:F290, "ENAP carga"), "")</f>
        <v/>
      </c>
    </row>
    <row r="291" spans="12:20" x14ac:dyDescent="0.2">
      <c r="L291" s="23" t="str">
        <f t="shared" si="6"/>
        <v/>
      </c>
      <c r="Q291" t="str">
        <f>IF(F291="CJ", COUNTIF(F$5:F291, "CJ"), "")</f>
        <v/>
      </c>
      <c r="R291" t="str">
        <f>IF(F291="Ignacio", COUNTIF(F$5:F291, "Ignacio"), "")</f>
        <v/>
      </c>
      <c r="S291" t="str">
        <f>IF(F291="Tripulacion", COUNTIF(F$5:F291, "Tripulacion"), "")</f>
        <v/>
      </c>
      <c r="T291" t="str">
        <f>IF(F291="ENAP carga", COUNTIF(F$5:F291, "ENAP carga"), "")</f>
        <v/>
      </c>
    </row>
    <row r="292" spans="12:20" x14ac:dyDescent="0.2">
      <c r="L292" s="23" t="str">
        <f t="shared" si="6"/>
        <v/>
      </c>
      <c r="Q292" t="str">
        <f>IF(F292="CJ", COUNTIF(F$5:F292, "CJ"), "")</f>
        <v/>
      </c>
      <c r="R292" t="str">
        <f>IF(F292="Ignacio", COUNTIF(F$5:F292, "Ignacio"), "")</f>
        <v/>
      </c>
      <c r="S292" t="str">
        <f>IF(F292="Tripulacion", COUNTIF(F$5:F292, "Tripulacion"), "")</f>
        <v/>
      </c>
      <c r="T292" t="str">
        <f>IF(F292="ENAP carga", COUNTIF(F$5:F292, "ENAP carga"), "")</f>
        <v/>
      </c>
    </row>
    <row r="293" spans="12:20" x14ac:dyDescent="0.2">
      <c r="L293" s="23" t="str">
        <f t="shared" si="6"/>
        <v/>
      </c>
      <c r="Q293" t="str">
        <f>IF(F293="CJ", COUNTIF(F$5:F293, "CJ"), "")</f>
        <v/>
      </c>
      <c r="R293" t="str">
        <f>IF(F293="Ignacio", COUNTIF(F$5:F293, "Ignacio"), "")</f>
        <v/>
      </c>
      <c r="S293" t="str">
        <f>IF(F293="Tripulacion", COUNTIF(F$5:F293, "Tripulacion"), "")</f>
        <v/>
      </c>
      <c r="T293" t="str">
        <f>IF(F293="ENAP carga", COUNTIF(F$5:F293, "ENAP carga"), "")</f>
        <v/>
      </c>
    </row>
    <row r="294" spans="12:20" x14ac:dyDescent="0.2">
      <c r="L294" s="23" t="str">
        <f t="shared" si="6"/>
        <v/>
      </c>
      <c r="Q294" t="str">
        <f>IF(F294="CJ", COUNTIF(F$5:F294, "CJ"), "")</f>
        <v/>
      </c>
      <c r="R294" t="str">
        <f>IF(F294="Ignacio", COUNTIF(F$5:F294, "Ignacio"), "")</f>
        <v/>
      </c>
      <c r="S294" t="str">
        <f>IF(F294="Tripulacion", COUNTIF(F$5:F294, "Tripulacion"), "")</f>
        <v/>
      </c>
      <c r="T294" t="str">
        <f>IF(F294="ENAP carga", COUNTIF(F$5:F294, "ENAP carga"), "")</f>
        <v/>
      </c>
    </row>
    <row r="295" spans="12:20" x14ac:dyDescent="0.2">
      <c r="L295" s="23" t="str">
        <f t="shared" si="6"/>
        <v/>
      </c>
      <c r="Q295" t="str">
        <f>IF(F295="CJ", COUNTIF(F$5:F295, "CJ"), "")</f>
        <v/>
      </c>
      <c r="R295" t="str">
        <f>IF(F295="Ignacio", COUNTIF(F$5:F295, "Ignacio"), "")</f>
        <v/>
      </c>
      <c r="S295" t="str">
        <f>IF(F295="Tripulacion", COUNTIF(F$5:F295, "Tripulacion"), "")</f>
        <v/>
      </c>
      <c r="T295" t="str">
        <f>IF(F295="ENAP carga", COUNTIF(F$5:F295, "ENAP carga"), "")</f>
        <v/>
      </c>
    </row>
    <row r="296" spans="12:20" x14ac:dyDescent="0.2">
      <c r="L296" s="23" t="str">
        <f t="shared" si="6"/>
        <v/>
      </c>
      <c r="Q296" t="str">
        <f>IF(F296="CJ", COUNTIF(F$5:F296, "CJ"), "")</f>
        <v/>
      </c>
      <c r="R296" t="str">
        <f>IF(F296="Ignacio", COUNTIF(F$5:F296, "Ignacio"), "")</f>
        <v/>
      </c>
      <c r="S296" t="str">
        <f>IF(F296="Tripulacion", COUNTIF(F$5:F296, "Tripulacion"), "")</f>
        <v/>
      </c>
      <c r="T296" t="str">
        <f>IF(F296="ENAP carga", COUNTIF(F$5:F296, "ENAP carga"), "")</f>
        <v/>
      </c>
    </row>
    <row r="297" spans="12:20" x14ac:dyDescent="0.2">
      <c r="L297" s="23" t="str">
        <f t="shared" si="6"/>
        <v/>
      </c>
      <c r="Q297" t="str">
        <f>IF(F297="CJ", COUNTIF(F$5:F297, "CJ"), "")</f>
        <v/>
      </c>
      <c r="R297" t="str">
        <f>IF(F297="Ignacio", COUNTIF(F$5:F297, "Ignacio"), "")</f>
        <v/>
      </c>
      <c r="S297" t="str">
        <f>IF(F297="Tripulacion", COUNTIF(F$5:F297, "Tripulacion"), "")</f>
        <v/>
      </c>
      <c r="T297" t="str">
        <f>IF(F297="ENAP carga", COUNTIF(F$5:F297, "ENAP carga"), "")</f>
        <v/>
      </c>
    </row>
    <row r="298" spans="12:20" x14ac:dyDescent="0.2">
      <c r="L298" s="23" t="str">
        <f t="shared" si="6"/>
        <v/>
      </c>
      <c r="Q298" t="str">
        <f>IF(F298="CJ", COUNTIF(F$5:F298, "CJ"), "")</f>
        <v/>
      </c>
      <c r="R298" t="str">
        <f>IF(F298="Ignacio", COUNTIF(F$5:F298, "Ignacio"), "")</f>
        <v/>
      </c>
      <c r="S298" t="str">
        <f>IF(F298="Tripulacion", COUNTIF(F$5:F298, "Tripulacion"), "")</f>
        <v/>
      </c>
      <c r="T298" t="str">
        <f>IF(F298="ENAP carga", COUNTIF(F$5:F298, "ENAP carga"), "")</f>
        <v/>
      </c>
    </row>
    <row r="299" spans="12:20" x14ac:dyDescent="0.2">
      <c r="L299" s="23" t="str">
        <f t="shared" si="6"/>
        <v/>
      </c>
      <c r="Q299" t="str">
        <f>IF(F299="CJ", COUNTIF(F$5:F299, "CJ"), "")</f>
        <v/>
      </c>
      <c r="R299" t="str">
        <f>IF(F299="Ignacio", COUNTIF(F$5:F299, "Ignacio"), "")</f>
        <v/>
      </c>
      <c r="S299" t="str">
        <f>IF(F299="Tripulacion", COUNTIF(F$5:F299, "Tripulacion"), "")</f>
        <v/>
      </c>
      <c r="T299" t="str">
        <f>IF(F299="ENAP carga", COUNTIF(F$5:F299, "ENAP carga"), "")</f>
        <v/>
      </c>
    </row>
    <row r="300" spans="12:20" x14ac:dyDescent="0.2">
      <c r="L300" s="23" t="str">
        <f t="shared" si="6"/>
        <v/>
      </c>
      <c r="Q300" t="str">
        <f>IF(F300="CJ", COUNTIF(F$5:F300, "CJ"), "")</f>
        <v/>
      </c>
      <c r="R300" t="str">
        <f>IF(F300="Ignacio", COUNTIF(F$5:F300, "Ignacio"), "")</f>
        <v/>
      </c>
      <c r="S300" t="str">
        <f>IF(F300="Tripulacion", COUNTIF(F$5:F300, "Tripulacion"), "")</f>
        <v/>
      </c>
      <c r="T300" t="str">
        <f>IF(F300="ENAP carga", COUNTIF(F$5:F300, "ENAP carga"), "")</f>
        <v/>
      </c>
    </row>
    <row r="301" spans="12:20" x14ac:dyDescent="0.2">
      <c r="L301" s="23" t="str">
        <f t="shared" si="6"/>
        <v/>
      </c>
      <c r="Q301" t="str">
        <f>IF(F301="CJ", COUNTIF(F$5:F301, "CJ"), "")</f>
        <v/>
      </c>
      <c r="R301" t="str">
        <f>IF(F301="Ignacio", COUNTIF(F$5:F301, "Ignacio"), "")</f>
        <v/>
      </c>
      <c r="S301" t="str">
        <f>IF(F301="Tripulacion", COUNTIF(F$5:F301, "Tripulacion"), "")</f>
        <v/>
      </c>
      <c r="T301" t="str">
        <f>IF(F301="ENAP carga", COUNTIF(F$5:F301, "ENAP carga"), "")</f>
        <v/>
      </c>
    </row>
    <row r="302" spans="12:20" x14ac:dyDescent="0.2">
      <c r="L302" s="23" t="str">
        <f t="shared" si="6"/>
        <v/>
      </c>
      <c r="Q302" t="str">
        <f>IF(F302="CJ", COUNTIF(F$5:F302, "CJ"), "")</f>
        <v/>
      </c>
      <c r="R302" t="str">
        <f>IF(F302="Ignacio", COUNTIF(F$5:F302, "Ignacio"), "")</f>
        <v/>
      </c>
      <c r="S302" t="str">
        <f>IF(F302="Tripulacion", COUNTIF(F$5:F302, "Tripulacion"), "")</f>
        <v/>
      </c>
      <c r="T302" t="str">
        <f>IF(F302="ENAP carga", COUNTIF(F$5:F302, "ENAP carga"), "")</f>
        <v/>
      </c>
    </row>
    <row r="303" spans="12:20" x14ac:dyDescent="0.2">
      <c r="L303" s="23" t="str">
        <f t="shared" si="6"/>
        <v/>
      </c>
      <c r="Q303" t="str">
        <f>IF(F303="CJ", COUNTIF(F$5:F303, "CJ"), "")</f>
        <v/>
      </c>
      <c r="R303" t="str">
        <f>IF(F303="Ignacio", COUNTIF(F$5:F303, "Ignacio"), "")</f>
        <v/>
      </c>
      <c r="S303" t="str">
        <f>IF(F303="Tripulacion", COUNTIF(F$5:F303, "Tripulacion"), "")</f>
        <v/>
      </c>
      <c r="T303" t="str">
        <f>IF(F303="ENAP carga", COUNTIF(F$5:F303, "ENAP carga"), "")</f>
        <v/>
      </c>
    </row>
    <row r="304" spans="12:20" x14ac:dyDescent="0.2">
      <c r="L304" s="23" t="str">
        <f t="shared" si="6"/>
        <v/>
      </c>
      <c r="Q304" t="str">
        <f>IF(F304="CJ", COUNTIF(F$5:F304, "CJ"), "")</f>
        <v/>
      </c>
      <c r="R304" t="str">
        <f>IF(F304="Ignacio", COUNTIF(F$5:F304, "Ignacio"), "")</f>
        <v/>
      </c>
      <c r="S304" t="str">
        <f>IF(F304="Tripulacion", COUNTIF(F$5:F304, "Tripulacion"), "")</f>
        <v/>
      </c>
      <c r="T304" t="str">
        <f>IF(F304="ENAP carga", COUNTIF(F$5:F304, "ENAP carga"), "")</f>
        <v/>
      </c>
    </row>
    <row r="305" spans="12:20" x14ac:dyDescent="0.2">
      <c r="L305" s="23" t="str">
        <f t="shared" si="6"/>
        <v/>
      </c>
      <c r="Q305" t="str">
        <f>IF(F305="CJ", COUNTIF(F$5:F305, "CJ"), "")</f>
        <v/>
      </c>
      <c r="R305" t="str">
        <f>IF(F305="Ignacio", COUNTIF(F$5:F305, "Ignacio"), "")</f>
        <v/>
      </c>
      <c r="S305" t="str">
        <f>IF(F305="Tripulacion", COUNTIF(F$5:F305, "Tripulacion"), "")</f>
        <v/>
      </c>
      <c r="T305" t="str">
        <f>IF(F305="ENAP carga", COUNTIF(F$5:F305, "ENAP carga"), "")</f>
        <v/>
      </c>
    </row>
    <row r="306" spans="12:20" x14ac:dyDescent="0.2">
      <c r="L306" s="23" t="str">
        <f t="shared" si="6"/>
        <v/>
      </c>
      <c r="Q306" t="str">
        <f>IF(F306="CJ", COUNTIF(F$5:F306, "CJ"), "")</f>
        <v/>
      </c>
      <c r="R306" t="str">
        <f>IF(F306="Ignacio", COUNTIF(F$5:F306, "Ignacio"), "")</f>
        <v/>
      </c>
      <c r="S306" t="str">
        <f>IF(F306="Tripulacion", COUNTIF(F$5:F306, "Tripulacion"), "")</f>
        <v/>
      </c>
      <c r="T306" t="str">
        <f>IF(F306="ENAP carga", COUNTIF(F$5:F306, "ENAP carga"), "")</f>
        <v/>
      </c>
    </row>
    <row r="307" spans="12:20" x14ac:dyDescent="0.2">
      <c r="L307" s="23" t="str">
        <f t="shared" si="6"/>
        <v/>
      </c>
      <c r="Q307" t="str">
        <f>IF(F307="CJ", COUNTIF(F$5:F307, "CJ"), "")</f>
        <v/>
      </c>
      <c r="R307" t="str">
        <f>IF(F307="Ignacio", COUNTIF(F$5:F307, "Ignacio"), "")</f>
        <v/>
      </c>
      <c r="S307" t="str">
        <f>IF(F307="Tripulacion", COUNTIF(F$5:F307, "Tripulacion"), "")</f>
        <v/>
      </c>
      <c r="T307" t="str">
        <f>IF(F307="ENAP carga", COUNTIF(F$5:F307, "ENAP carga"), "")</f>
        <v/>
      </c>
    </row>
    <row r="308" spans="12:20" x14ac:dyDescent="0.2">
      <c r="L308" s="23" t="str">
        <f t="shared" si="6"/>
        <v/>
      </c>
      <c r="Q308" t="str">
        <f>IF(F308="CJ", COUNTIF(F$5:F308, "CJ"), "")</f>
        <v/>
      </c>
      <c r="R308" t="str">
        <f>IF(F308="Ignacio", COUNTIF(F$5:F308, "Ignacio"), "")</f>
        <v/>
      </c>
      <c r="S308" t="str">
        <f>IF(F308="Tripulacion", COUNTIF(F$5:F308, "Tripulacion"), "")</f>
        <v/>
      </c>
      <c r="T308" t="str">
        <f>IF(F308="ENAP carga", COUNTIF(F$5:F308, "ENAP carga"), "")</f>
        <v/>
      </c>
    </row>
    <row r="309" spans="12:20" x14ac:dyDescent="0.2">
      <c r="L309" s="23" t="str">
        <f t="shared" si="6"/>
        <v/>
      </c>
      <c r="Q309" t="str">
        <f>IF(F309="CJ", COUNTIF(F$5:F309, "CJ"), "")</f>
        <v/>
      </c>
      <c r="R309" t="str">
        <f>IF(F309="Ignacio", COUNTIF(F$5:F309, "Ignacio"), "")</f>
        <v/>
      </c>
      <c r="S309" t="str">
        <f>IF(F309="Tripulacion", COUNTIF(F$5:F309, "Tripulacion"), "")</f>
        <v/>
      </c>
      <c r="T309" t="str">
        <f>IF(F309="ENAP carga", COUNTIF(F$5:F309, "ENAP carga"), "")</f>
        <v/>
      </c>
    </row>
    <row r="310" spans="12:20" x14ac:dyDescent="0.2">
      <c r="L310" s="23" t="str">
        <f t="shared" si="6"/>
        <v/>
      </c>
      <c r="Q310" t="str">
        <f>IF(F310="CJ", COUNTIF(F$5:F310, "CJ"), "")</f>
        <v/>
      </c>
      <c r="R310" t="str">
        <f>IF(F310="Ignacio", COUNTIF(F$5:F310, "Ignacio"), "")</f>
        <v/>
      </c>
      <c r="S310" t="str">
        <f>IF(F310="Tripulacion", COUNTIF(F$5:F310, "Tripulacion"), "")</f>
        <v/>
      </c>
      <c r="T310" t="str">
        <f>IF(F310="ENAP carga", COUNTIF(F$5:F310, "ENAP carga"), "")</f>
        <v/>
      </c>
    </row>
    <row r="311" spans="12:20" x14ac:dyDescent="0.2">
      <c r="L311" s="23" t="str">
        <f t="shared" si="6"/>
        <v/>
      </c>
      <c r="Q311" t="str">
        <f>IF(F311="CJ", COUNTIF(F$5:F311, "CJ"), "")</f>
        <v/>
      </c>
      <c r="R311" t="str">
        <f>IF(F311="Ignacio", COUNTIF(F$5:F311, "Ignacio"), "")</f>
        <v/>
      </c>
      <c r="S311" t="str">
        <f>IF(F311="Tripulacion", COUNTIF(F$5:F311, "Tripulacion"), "")</f>
        <v/>
      </c>
      <c r="T311" t="str">
        <f>IF(F311="ENAP carga", COUNTIF(F$5:F311, "ENAP carga"), "")</f>
        <v/>
      </c>
    </row>
    <row r="312" spans="12:20" x14ac:dyDescent="0.2">
      <c r="L312" s="23" t="str">
        <f t="shared" si="6"/>
        <v/>
      </c>
      <c r="Q312" t="str">
        <f>IF(F312="CJ", COUNTIF(F$5:F312, "CJ"), "")</f>
        <v/>
      </c>
      <c r="R312" t="str">
        <f>IF(F312="Ignacio", COUNTIF(F$5:F312, "Ignacio"), "")</f>
        <v/>
      </c>
      <c r="S312" t="str">
        <f>IF(F312="Tripulacion", COUNTIF(F$5:F312, "Tripulacion"), "")</f>
        <v/>
      </c>
      <c r="T312" t="str">
        <f>IF(F312="ENAP carga", COUNTIF(F$5:F312, "ENAP carga"), "")</f>
        <v/>
      </c>
    </row>
    <row r="313" spans="12:20" x14ac:dyDescent="0.2">
      <c r="L313" s="23" t="str">
        <f t="shared" si="6"/>
        <v/>
      </c>
      <c r="Q313" t="str">
        <f>IF(F313="CJ", COUNTIF(F$5:F313, "CJ"), "")</f>
        <v/>
      </c>
      <c r="R313" t="str">
        <f>IF(F313="Ignacio", COUNTIF(F$5:F313, "Ignacio"), "")</f>
        <v/>
      </c>
      <c r="S313" t="str">
        <f>IF(F313="Tripulacion", COUNTIF(F$5:F313, "Tripulacion"), "")</f>
        <v/>
      </c>
      <c r="T313" t="str">
        <f>IF(F313="ENAP carga", COUNTIF(F$5:F313, "ENAP carga"), "")</f>
        <v/>
      </c>
    </row>
    <row r="314" spans="12:20" x14ac:dyDescent="0.2">
      <c r="L314" s="23" t="str">
        <f t="shared" si="6"/>
        <v/>
      </c>
      <c r="Q314" t="str">
        <f>IF(F314="CJ", COUNTIF(F$5:F314, "CJ"), "")</f>
        <v/>
      </c>
      <c r="R314" t="str">
        <f>IF(F314="Ignacio", COUNTIF(F$5:F314, "Ignacio"), "")</f>
        <v/>
      </c>
      <c r="S314" t="str">
        <f>IF(F314="Tripulacion", COUNTIF(F$5:F314, "Tripulacion"), "")</f>
        <v/>
      </c>
      <c r="T314" t="str">
        <f>IF(F314="ENAP carga", COUNTIF(F$5:F314, "ENAP carga"), "")</f>
        <v/>
      </c>
    </row>
    <row r="315" spans="12:20" x14ac:dyDescent="0.2">
      <c r="L315" s="23" t="str">
        <f t="shared" si="6"/>
        <v/>
      </c>
      <c r="Q315" t="str">
        <f>IF(F315="CJ", COUNTIF(F$5:F315, "CJ"), "")</f>
        <v/>
      </c>
      <c r="R315" t="str">
        <f>IF(F315="Ignacio", COUNTIF(F$5:F315, "Ignacio"), "")</f>
        <v/>
      </c>
      <c r="S315" t="str">
        <f>IF(F315="Tripulacion", COUNTIF(F$5:F315, "Tripulacion"), "")</f>
        <v/>
      </c>
      <c r="T315" t="str">
        <f>IF(F315="ENAP carga", COUNTIF(F$5:F315, "ENAP carga"), "")</f>
        <v/>
      </c>
    </row>
    <row r="316" spans="12:20" x14ac:dyDescent="0.2">
      <c r="L316" s="23" t="str">
        <f t="shared" si="6"/>
        <v/>
      </c>
      <c r="Q316" t="str">
        <f>IF(F316="CJ", COUNTIF(F$5:F316, "CJ"), "")</f>
        <v/>
      </c>
      <c r="R316" t="str">
        <f>IF(F316="Ignacio", COUNTIF(F$5:F316, "Ignacio"), "")</f>
        <v/>
      </c>
      <c r="S316" t="str">
        <f>IF(F316="Tripulacion", COUNTIF(F$5:F316, "Tripulacion"), "")</f>
        <v/>
      </c>
      <c r="T316" t="str">
        <f>IF(F316="ENAP carga", COUNTIF(F$5:F316, "ENAP carga"), "")</f>
        <v/>
      </c>
    </row>
    <row r="317" spans="12:20" x14ac:dyDescent="0.2">
      <c r="L317" s="23" t="str">
        <f t="shared" si="6"/>
        <v/>
      </c>
      <c r="Q317" t="str">
        <f>IF(F317="CJ", COUNTIF(F$5:F317, "CJ"), "")</f>
        <v/>
      </c>
      <c r="R317" t="str">
        <f>IF(F317="Ignacio", COUNTIF(F$5:F317, "Ignacio"), "")</f>
        <v/>
      </c>
      <c r="S317" t="str">
        <f>IF(F317="Tripulacion", COUNTIF(F$5:F317, "Tripulacion"), "")</f>
        <v/>
      </c>
      <c r="T317" t="str">
        <f>IF(F317="ENAP carga", COUNTIF(F$5:F317, "ENAP carga"), "")</f>
        <v/>
      </c>
    </row>
    <row r="318" spans="12:20" x14ac:dyDescent="0.2">
      <c r="L318" s="23" t="str">
        <f t="shared" si="6"/>
        <v/>
      </c>
      <c r="Q318" t="str">
        <f>IF(F318="CJ", COUNTIF(F$5:F318, "CJ"), "")</f>
        <v/>
      </c>
      <c r="R318" t="str">
        <f>IF(F318="Ignacio", COUNTIF(F$5:F318, "Ignacio"), "")</f>
        <v/>
      </c>
      <c r="S318" t="str">
        <f>IF(F318="Tripulacion", COUNTIF(F$5:F318, "Tripulacion"), "")</f>
        <v/>
      </c>
      <c r="T318" t="str">
        <f>IF(F318="ENAP carga", COUNTIF(F$5:F318, "ENAP carga"), "")</f>
        <v/>
      </c>
    </row>
    <row r="319" spans="12:20" x14ac:dyDescent="0.2">
      <c r="L319" s="23" t="str">
        <f t="shared" si="6"/>
        <v/>
      </c>
      <c r="Q319" t="str">
        <f>IF(F319="CJ", COUNTIF(F$5:F319, "CJ"), "")</f>
        <v/>
      </c>
      <c r="R319" t="str">
        <f>IF(F319="Ignacio", COUNTIF(F$5:F319, "Ignacio"), "")</f>
        <v/>
      </c>
      <c r="S319" t="str">
        <f>IF(F319="Tripulacion", COUNTIF(F$5:F319, "Tripulacion"), "")</f>
        <v/>
      </c>
      <c r="T319" t="str">
        <f>IF(F319="ENAP carga", COUNTIF(F$5:F319, "ENAP carga"), "")</f>
        <v/>
      </c>
    </row>
    <row r="320" spans="12:20" x14ac:dyDescent="0.2">
      <c r="L320" s="23" t="str">
        <f t="shared" si="6"/>
        <v/>
      </c>
      <c r="Q320" t="str">
        <f>IF(F320="CJ", COUNTIF(F$5:F320, "CJ"), "")</f>
        <v/>
      </c>
      <c r="R320" t="str">
        <f>IF(F320="Ignacio", COUNTIF(F$5:F320, "Ignacio"), "")</f>
        <v/>
      </c>
      <c r="S320" t="str">
        <f>IF(F320="Tripulacion", COUNTIF(F$5:F320, "Tripulacion"), "")</f>
        <v/>
      </c>
      <c r="T320" t="str">
        <f>IF(F320="ENAP carga", COUNTIF(F$5:F320, "ENAP carga"), "")</f>
        <v/>
      </c>
    </row>
    <row r="321" spans="12:20" x14ac:dyDescent="0.2">
      <c r="L321" s="23" t="str">
        <f t="shared" si="6"/>
        <v/>
      </c>
      <c r="Q321" t="str">
        <f>IF(F321="CJ", COUNTIF(F$5:F321, "CJ"), "")</f>
        <v/>
      </c>
      <c r="R321" t="str">
        <f>IF(F321="Ignacio", COUNTIF(F$5:F321, "Ignacio"), "")</f>
        <v/>
      </c>
      <c r="S321" t="str">
        <f>IF(F321="Tripulacion", COUNTIF(F$5:F321, "Tripulacion"), "")</f>
        <v/>
      </c>
      <c r="T321" t="str">
        <f>IF(F321="ENAP carga", COUNTIF(F$5:F321, "ENAP carga"), "")</f>
        <v/>
      </c>
    </row>
    <row r="322" spans="12:20" x14ac:dyDescent="0.2">
      <c r="L322" s="23" t="str">
        <f t="shared" si="6"/>
        <v/>
      </c>
      <c r="Q322" t="str">
        <f>IF(F322="CJ", COUNTIF(F$5:F322, "CJ"), "")</f>
        <v/>
      </c>
      <c r="R322" t="str">
        <f>IF(F322="Ignacio", COUNTIF(F$5:F322, "Ignacio"), "")</f>
        <v/>
      </c>
      <c r="S322" t="str">
        <f>IF(F322="Tripulacion", COUNTIF(F$5:F322, "Tripulacion"), "")</f>
        <v/>
      </c>
      <c r="T322" t="str">
        <f>IF(F322="ENAP carga", COUNTIF(F$5:F322, "ENAP carga"), "")</f>
        <v/>
      </c>
    </row>
    <row r="323" spans="12:20" x14ac:dyDescent="0.2">
      <c r="L323" s="23" t="str">
        <f t="shared" si="6"/>
        <v/>
      </c>
      <c r="Q323" t="str">
        <f>IF(F323="CJ", COUNTIF(F$5:F323, "CJ"), "")</f>
        <v/>
      </c>
      <c r="R323" t="str">
        <f>IF(F323="Ignacio", COUNTIF(F$5:F323, "Ignacio"), "")</f>
        <v/>
      </c>
      <c r="S323" t="str">
        <f>IF(F323="Tripulacion", COUNTIF(F$5:F323, "Tripulacion"), "")</f>
        <v/>
      </c>
      <c r="T323" t="str">
        <f>IF(F323="ENAP carga", COUNTIF(F$5:F323, "ENAP carga"), "")</f>
        <v/>
      </c>
    </row>
    <row r="324" spans="12:20" x14ac:dyDescent="0.2">
      <c r="L324" s="23" t="str">
        <f t="shared" si="6"/>
        <v/>
      </c>
      <c r="Q324" t="str">
        <f>IF(F324="CJ", COUNTIF(F$5:F324, "CJ"), "")</f>
        <v/>
      </c>
      <c r="R324" t="str">
        <f>IF(F324="Ignacio", COUNTIF(F$5:F324, "Ignacio"), "")</f>
        <v/>
      </c>
      <c r="S324" t="str">
        <f>IF(F324="Tripulacion", COUNTIF(F$5:F324, "Tripulacion"), "")</f>
        <v/>
      </c>
      <c r="T324" t="str">
        <f>IF(F324="ENAP carga", COUNTIF(F$5:F324, "ENAP carga"), "")</f>
        <v/>
      </c>
    </row>
    <row r="325" spans="12:20" x14ac:dyDescent="0.2">
      <c r="L325" s="23" t="str">
        <f t="shared" si="6"/>
        <v/>
      </c>
      <c r="Q325" t="str">
        <f>IF(F325="CJ", COUNTIF(F$5:F325, "CJ"), "")</f>
        <v/>
      </c>
      <c r="R325" t="str">
        <f>IF(F325="Ignacio", COUNTIF(F$5:F325, "Ignacio"), "")</f>
        <v/>
      </c>
      <c r="S325" t="str">
        <f>IF(F325="Tripulacion", COUNTIF(F$5:F325, "Tripulacion"), "")</f>
        <v/>
      </c>
      <c r="T325" t="str">
        <f>IF(F325="ENAP carga", COUNTIF(F$5:F325, "ENAP carga"), "")</f>
        <v/>
      </c>
    </row>
    <row r="326" spans="12:20" x14ac:dyDescent="0.2">
      <c r="L326" s="23" t="str">
        <f t="shared" si="6"/>
        <v/>
      </c>
      <c r="Q326" t="str">
        <f>IF(F326="CJ", COUNTIF(F$5:F326, "CJ"), "")</f>
        <v/>
      </c>
      <c r="R326" t="str">
        <f>IF(F326="Ignacio", COUNTIF(F$5:F326, "Ignacio"), "")</f>
        <v/>
      </c>
      <c r="S326" t="str">
        <f>IF(F326="Tripulacion", COUNTIF(F$5:F326, "Tripulacion"), "")</f>
        <v/>
      </c>
      <c r="T326" t="str">
        <f>IF(F326="ENAP carga", COUNTIF(F$5:F326, "ENAP carga"), "")</f>
        <v/>
      </c>
    </row>
    <row r="327" spans="12:20" x14ac:dyDescent="0.2">
      <c r="L327" s="23" t="str">
        <f t="shared" si="6"/>
        <v/>
      </c>
      <c r="Q327" t="str">
        <f>IF(F327="CJ", COUNTIF(F$5:F327, "CJ"), "")</f>
        <v/>
      </c>
      <c r="R327" t="str">
        <f>IF(F327="Ignacio", COUNTIF(F$5:F327, "Ignacio"), "")</f>
        <v/>
      </c>
      <c r="S327" t="str">
        <f>IF(F327="Tripulacion", COUNTIF(F$5:F327, "Tripulacion"), "")</f>
        <v/>
      </c>
      <c r="T327" t="str">
        <f>IF(F327="ENAP carga", COUNTIF(F$5:F327, "ENAP carga"), "")</f>
        <v/>
      </c>
    </row>
    <row r="328" spans="12:20" x14ac:dyDescent="0.2">
      <c r="L328" s="23" t="str">
        <f t="shared" si="6"/>
        <v/>
      </c>
      <c r="Q328" t="str">
        <f>IF(F328="CJ", COUNTIF(F$5:F328, "CJ"), "")</f>
        <v/>
      </c>
      <c r="R328" t="str">
        <f>IF(F328="Ignacio", COUNTIF(F$5:F328, "Ignacio"), "")</f>
        <v/>
      </c>
      <c r="S328" t="str">
        <f>IF(F328="Tripulacion", COUNTIF(F$5:F328, "Tripulacion"), "")</f>
        <v/>
      </c>
      <c r="T328" t="str">
        <f>IF(F328="ENAP carga", COUNTIF(F$5:F328, "ENAP carga"), "")</f>
        <v/>
      </c>
    </row>
    <row r="329" spans="12:20" x14ac:dyDescent="0.2">
      <c r="L329" s="23" t="str">
        <f t="shared" si="6"/>
        <v/>
      </c>
      <c r="Q329" t="str">
        <f>IF(F329="CJ", COUNTIF(F$5:F329, "CJ"), "")</f>
        <v/>
      </c>
      <c r="R329" t="str">
        <f>IF(F329="Ignacio", COUNTIF(F$5:F329, "Ignacio"), "")</f>
        <v/>
      </c>
      <c r="S329" t="str">
        <f>IF(F329="Tripulacion", COUNTIF(F$5:F329, "Tripulacion"), "")</f>
        <v/>
      </c>
      <c r="T329" t="str">
        <f>IF(F329="ENAP carga", COUNTIF(F$5:F329, "ENAP carga"), "")</f>
        <v/>
      </c>
    </row>
    <row r="330" spans="12:20" x14ac:dyDescent="0.2">
      <c r="L330" s="23" t="str">
        <f t="shared" si="6"/>
        <v/>
      </c>
      <c r="Q330" t="str">
        <f>IF(F330="CJ", COUNTIF(F$5:F330, "CJ"), "")</f>
        <v/>
      </c>
      <c r="R330" t="str">
        <f>IF(F330="Ignacio", COUNTIF(F$5:F330, "Ignacio"), "")</f>
        <v/>
      </c>
      <c r="S330" t="str">
        <f>IF(F330="Tripulacion", COUNTIF(F$5:F330, "Tripulacion"), "")</f>
        <v/>
      </c>
      <c r="T330" t="str">
        <f>IF(F330="ENAP carga", COUNTIF(F$5:F330, "ENAP carga"), "")</f>
        <v/>
      </c>
    </row>
    <row r="331" spans="12:20" x14ac:dyDescent="0.2">
      <c r="L331" s="23" t="str">
        <f t="shared" si="6"/>
        <v/>
      </c>
      <c r="Q331" t="str">
        <f>IF(F331="CJ", COUNTIF(F$5:F331, "CJ"), "")</f>
        <v/>
      </c>
      <c r="R331" t="str">
        <f>IF(F331="Ignacio", COUNTIF(F$5:F331, "Ignacio"), "")</f>
        <v/>
      </c>
      <c r="S331" t="str">
        <f>IF(F331="Tripulacion", COUNTIF(F$5:F331, "Tripulacion"), "")</f>
        <v/>
      </c>
      <c r="T331" t="str">
        <f>IF(F331="ENAP carga", COUNTIF(F$5:F331, "ENAP carga"), "")</f>
        <v/>
      </c>
    </row>
    <row r="332" spans="12:20" x14ac:dyDescent="0.2">
      <c r="L332" s="23" t="str">
        <f t="shared" si="6"/>
        <v/>
      </c>
      <c r="Q332" t="str">
        <f>IF(F332="CJ", COUNTIF(F$5:F332, "CJ"), "")</f>
        <v/>
      </c>
      <c r="R332" t="str">
        <f>IF(F332="Ignacio", COUNTIF(F$5:F332, "Ignacio"), "")</f>
        <v/>
      </c>
      <c r="S332" t="str">
        <f>IF(F332="Tripulacion", COUNTIF(F$5:F332, "Tripulacion"), "")</f>
        <v/>
      </c>
      <c r="T332" t="str">
        <f>IF(F332="ENAP carga", COUNTIF(F$5:F332, "ENAP carga"), "")</f>
        <v/>
      </c>
    </row>
    <row r="333" spans="12:20" x14ac:dyDescent="0.2">
      <c r="L333" s="23" t="str">
        <f t="shared" si="6"/>
        <v/>
      </c>
      <c r="Q333" t="str">
        <f>IF(F333="CJ", COUNTIF(F$5:F333, "CJ"), "")</f>
        <v/>
      </c>
      <c r="R333" t="str">
        <f>IF(F333="Ignacio", COUNTIF(F$5:F333, "Ignacio"), "")</f>
        <v/>
      </c>
      <c r="S333" t="str">
        <f>IF(F333="Tripulacion", COUNTIF(F$5:F333, "Tripulacion"), "")</f>
        <v/>
      </c>
      <c r="T333" t="str">
        <f>IF(F333="ENAP carga", COUNTIF(F$5:F333, "ENAP carga"), "")</f>
        <v/>
      </c>
    </row>
    <row r="334" spans="12:20" x14ac:dyDescent="0.2">
      <c r="L334" s="23" t="str">
        <f t="shared" ref="L334:L397" si="7">IF(F334="CJ", I334*200, "")</f>
        <v/>
      </c>
      <c r="Q334" t="str">
        <f>IF(F334="CJ", COUNTIF(F$5:F334, "CJ"), "")</f>
        <v/>
      </c>
      <c r="R334" t="str">
        <f>IF(F334="Ignacio", COUNTIF(F$5:F334, "Ignacio"), "")</f>
        <v/>
      </c>
      <c r="S334" t="str">
        <f>IF(F334="Tripulacion", COUNTIF(F$5:F334, "Tripulacion"), "")</f>
        <v/>
      </c>
      <c r="T334" t="str">
        <f>IF(F334="ENAP carga", COUNTIF(F$5:F334, "ENAP carga"), "")</f>
        <v/>
      </c>
    </row>
    <row r="335" spans="12:20" x14ac:dyDescent="0.2">
      <c r="L335" s="23" t="str">
        <f t="shared" si="7"/>
        <v/>
      </c>
      <c r="Q335" t="str">
        <f>IF(F335="CJ", COUNTIF(F$5:F335, "CJ"), "")</f>
        <v/>
      </c>
      <c r="R335" t="str">
        <f>IF(F335="Ignacio", COUNTIF(F$5:F335, "Ignacio"), "")</f>
        <v/>
      </c>
      <c r="S335" t="str">
        <f>IF(F335="Tripulacion", COUNTIF(F$5:F335, "Tripulacion"), "")</f>
        <v/>
      </c>
      <c r="T335" t="str">
        <f>IF(F335="ENAP carga", COUNTIF(F$5:F335, "ENAP carga"), "")</f>
        <v/>
      </c>
    </row>
    <row r="336" spans="12:20" x14ac:dyDescent="0.2">
      <c r="L336" s="23" t="str">
        <f t="shared" si="7"/>
        <v/>
      </c>
      <c r="Q336" t="str">
        <f>IF(F336="CJ", COUNTIF(F$5:F336, "CJ"), "")</f>
        <v/>
      </c>
      <c r="R336" t="str">
        <f>IF(F336="Ignacio", COUNTIF(F$5:F336, "Ignacio"), "")</f>
        <v/>
      </c>
      <c r="S336" t="str">
        <f>IF(F336="Tripulacion", COUNTIF(F$5:F336, "Tripulacion"), "")</f>
        <v/>
      </c>
      <c r="T336" t="str">
        <f>IF(F336="ENAP carga", COUNTIF(F$5:F336, "ENAP carga"), "")</f>
        <v/>
      </c>
    </row>
    <row r="337" spans="12:20" x14ac:dyDescent="0.2">
      <c r="L337" s="23" t="str">
        <f t="shared" si="7"/>
        <v/>
      </c>
      <c r="Q337" t="str">
        <f>IF(F337="CJ", COUNTIF(F$5:F337, "CJ"), "")</f>
        <v/>
      </c>
      <c r="R337" t="str">
        <f>IF(F337="Ignacio", COUNTIF(F$5:F337, "Ignacio"), "")</f>
        <v/>
      </c>
      <c r="S337" t="str">
        <f>IF(F337="Tripulacion", COUNTIF(F$5:F337, "Tripulacion"), "")</f>
        <v/>
      </c>
      <c r="T337" t="str">
        <f>IF(F337="ENAP carga", COUNTIF(F$5:F337, "ENAP carga"), "")</f>
        <v/>
      </c>
    </row>
    <row r="338" spans="12:20" x14ac:dyDescent="0.2">
      <c r="L338" s="23" t="str">
        <f t="shared" si="7"/>
        <v/>
      </c>
      <c r="Q338" t="str">
        <f>IF(F338="CJ", COUNTIF(F$5:F338, "CJ"), "")</f>
        <v/>
      </c>
      <c r="R338" t="str">
        <f>IF(F338="Ignacio", COUNTIF(F$5:F338, "Ignacio"), "")</f>
        <v/>
      </c>
      <c r="S338" t="str">
        <f>IF(F338="Tripulacion", COUNTIF(F$5:F338, "Tripulacion"), "")</f>
        <v/>
      </c>
      <c r="T338" t="str">
        <f>IF(F338="ENAP carga", COUNTIF(F$5:F338, "ENAP carga"), "")</f>
        <v/>
      </c>
    </row>
    <row r="339" spans="12:20" x14ac:dyDescent="0.2">
      <c r="L339" s="23" t="str">
        <f t="shared" si="7"/>
        <v/>
      </c>
      <c r="Q339" t="str">
        <f>IF(F339="CJ", COUNTIF(F$5:F339, "CJ"), "")</f>
        <v/>
      </c>
      <c r="R339" t="str">
        <f>IF(F339="Ignacio", COUNTIF(F$5:F339, "Ignacio"), "")</f>
        <v/>
      </c>
      <c r="S339" t="str">
        <f>IF(F339="Tripulacion", COUNTIF(F$5:F339, "Tripulacion"), "")</f>
        <v/>
      </c>
      <c r="T339" t="str">
        <f>IF(F339="ENAP carga", COUNTIF(F$5:F339, "ENAP carga"), "")</f>
        <v/>
      </c>
    </row>
    <row r="340" spans="12:20" x14ac:dyDescent="0.2">
      <c r="L340" s="23" t="str">
        <f t="shared" si="7"/>
        <v/>
      </c>
      <c r="Q340" t="str">
        <f>IF(F340="CJ", COUNTIF(F$5:F340, "CJ"), "")</f>
        <v/>
      </c>
      <c r="R340" t="str">
        <f>IF(F340="Ignacio", COUNTIF(F$5:F340, "Ignacio"), "")</f>
        <v/>
      </c>
      <c r="S340" t="str">
        <f>IF(F340="Tripulacion", COUNTIF(F$5:F340, "Tripulacion"), "")</f>
        <v/>
      </c>
      <c r="T340" t="str">
        <f>IF(F340="ENAP carga", COUNTIF(F$5:F340, "ENAP carga"), "")</f>
        <v/>
      </c>
    </row>
    <row r="341" spans="12:20" x14ac:dyDescent="0.2">
      <c r="L341" s="23" t="str">
        <f t="shared" si="7"/>
        <v/>
      </c>
      <c r="Q341" t="str">
        <f>IF(F341="CJ", COUNTIF(F$5:F341, "CJ"), "")</f>
        <v/>
      </c>
      <c r="R341" t="str">
        <f>IF(F341="Ignacio", COUNTIF(F$5:F341, "Ignacio"), "")</f>
        <v/>
      </c>
      <c r="S341" t="str">
        <f>IF(F341="Tripulacion", COUNTIF(F$5:F341, "Tripulacion"), "")</f>
        <v/>
      </c>
      <c r="T341" t="str">
        <f>IF(F341="ENAP carga", COUNTIF(F$5:F341, "ENAP carga"), "")</f>
        <v/>
      </c>
    </row>
    <row r="342" spans="12:20" x14ac:dyDescent="0.2">
      <c r="L342" s="23" t="str">
        <f t="shared" si="7"/>
        <v/>
      </c>
      <c r="Q342" t="str">
        <f>IF(F342="CJ", COUNTIF(F$5:F342, "CJ"), "")</f>
        <v/>
      </c>
      <c r="R342" t="str">
        <f>IF(F342="Ignacio", COUNTIF(F$5:F342, "Ignacio"), "")</f>
        <v/>
      </c>
      <c r="S342" t="str">
        <f>IF(F342="Tripulacion", COUNTIF(F$5:F342, "Tripulacion"), "")</f>
        <v/>
      </c>
      <c r="T342" t="str">
        <f>IF(F342="ENAP carga", COUNTIF(F$5:F342, "ENAP carga"), "")</f>
        <v/>
      </c>
    </row>
    <row r="343" spans="12:20" x14ac:dyDescent="0.2">
      <c r="L343" s="23" t="str">
        <f t="shared" si="7"/>
        <v/>
      </c>
      <c r="Q343" t="str">
        <f>IF(F343="CJ", COUNTIF(F$5:F343, "CJ"), "")</f>
        <v/>
      </c>
      <c r="R343" t="str">
        <f>IF(F343="Ignacio", COUNTIF(F$5:F343, "Ignacio"), "")</f>
        <v/>
      </c>
      <c r="S343" t="str">
        <f>IF(F343="Tripulacion", COUNTIF(F$5:F343, "Tripulacion"), "")</f>
        <v/>
      </c>
      <c r="T343" t="str">
        <f>IF(F343="ENAP carga", COUNTIF(F$5:F343, "ENAP carga"), "")</f>
        <v/>
      </c>
    </row>
    <row r="344" spans="12:20" x14ac:dyDescent="0.2">
      <c r="L344" s="23" t="str">
        <f t="shared" si="7"/>
        <v/>
      </c>
      <c r="Q344" t="str">
        <f>IF(F344="CJ", COUNTIF(F$5:F344, "CJ"), "")</f>
        <v/>
      </c>
      <c r="R344" t="str">
        <f>IF(F344="Ignacio", COUNTIF(F$5:F344, "Ignacio"), "")</f>
        <v/>
      </c>
      <c r="S344" t="str">
        <f>IF(F344="Tripulacion", COUNTIF(F$5:F344, "Tripulacion"), "")</f>
        <v/>
      </c>
      <c r="T344" t="str">
        <f>IF(F344="ENAP carga", COUNTIF(F$5:F344, "ENAP carga"), "")</f>
        <v/>
      </c>
    </row>
    <row r="345" spans="12:20" x14ac:dyDescent="0.2">
      <c r="L345" s="23" t="str">
        <f t="shared" si="7"/>
        <v/>
      </c>
      <c r="Q345" t="str">
        <f>IF(F345="CJ", COUNTIF(F$5:F345, "CJ"), "")</f>
        <v/>
      </c>
      <c r="R345" t="str">
        <f>IF(F345="Ignacio", COUNTIF(F$5:F345, "Ignacio"), "")</f>
        <v/>
      </c>
      <c r="S345" t="str">
        <f>IF(F345="Tripulacion", COUNTIF(F$5:F345, "Tripulacion"), "")</f>
        <v/>
      </c>
      <c r="T345" t="str">
        <f>IF(F345="ENAP carga", COUNTIF(F$5:F345, "ENAP carga"), "")</f>
        <v/>
      </c>
    </row>
    <row r="346" spans="12:20" x14ac:dyDescent="0.2">
      <c r="L346" s="23" t="str">
        <f t="shared" si="7"/>
        <v/>
      </c>
      <c r="Q346" t="str">
        <f>IF(F346="CJ", COUNTIF(F$5:F346, "CJ"), "")</f>
        <v/>
      </c>
      <c r="R346" t="str">
        <f>IF(F346="Ignacio", COUNTIF(F$5:F346, "Ignacio"), "")</f>
        <v/>
      </c>
      <c r="S346" t="str">
        <f>IF(F346="Tripulacion", COUNTIF(F$5:F346, "Tripulacion"), "")</f>
        <v/>
      </c>
      <c r="T346" t="str">
        <f>IF(F346="ENAP carga", COUNTIF(F$5:F346, "ENAP carga"), "")</f>
        <v/>
      </c>
    </row>
    <row r="347" spans="12:20" x14ac:dyDescent="0.2">
      <c r="L347" s="23" t="str">
        <f t="shared" si="7"/>
        <v/>
      </c>
      <c r="Q347" t="str">
        <f>IF(F347="CJ", COUNTIF(F$5:F347, "CJ"), "")</f>
        <v/>
      </c>
      <c r="R347" t="str">
        <f>IF(F347="Ignacio", COUNTIF(F$5:F347, "Ignacio"), "")</f>
        <v/>
      </c>
      <c r="S347" t="str">
        <f>IF(F347="Tripulacion", COUNTIF(F$5:F347, "Tripulacion"), "")</f>
        <v/>
      </c>
      <c r="T347" t="str">
        <f>IF(F347="ENAP carga", COUNTIF(F$5:F347, "ENAP carga"), "")</f>
        <v/>
      </c>
    </row>
    <row r="348" spans="12:20" x14ac:dyDescent="0.2">
      <c r="L348" s="23" t="str">
        <f t="shared" si="7"/>
        <v/>
      </c>
      <c r="Q348" t="str">
        <f>IF(F348="CJ", COUNTIF(F$5:F348, "CJ"), "")</f>
        <v/>
      </c>
      <c r="R348" t="str">
        <f>IF(F348="Ignacio", COUNTIF(F$5:F348, "Ignacio"), "")</f>
        <v/>
      </c>
      <c r="S348" t="str">
        <f>IF(F348="Tripulacion", COUNTIF(F$5:F348, "Tripulacion"), "")</f>
        <v/>
      </c>
      <c r="T348" t="str">
        <f>IF(F348="ENAP carga", COUNTIF(F$5:F348, "ENAP carga"), "")</f>
        <v/>
      </c>
    </row>
    <row r="349" spans="12:20" x14ac:dyDescent="0.2">
      <c r="L349" s="23" t="str">
        <f t="shared" si="7"/>
        <v/>
      </c>
      <c r="Q349" t="str">
        <f>IF(F349="CJ", COUNTIF(F$5:F349, "CJ"), "")</f>
        <v/>
      </c>
      <c r="R349" t="str">
        <f>IF(F349="Ignacio", COUNTIF(F$5:F349, "Ignacio"), "")</f>
        <v/>
      </c>
      <c r="S349" t="str">
        <f>IF(F349="Tripulacion", COUNTIF(F$5:F349, "Tripulacion"), "")</f>
        <v/>
      </c>
      <c r="T349" t="str">
        <f>IF(F349="ENAP carga", COUNTIF(F$5:F349, "ENAP carga"), "")</f>
        <v/>
      </c>
    </row>
    <row r="350" spans="12:20" x14ac:dyDescent="0.2">
      <c r="L350" s="23" t="str">
        <f t="shared" si="7"/>
        <v/>
      </c>
      <c r="Q350" t="str">
        <f>IF(F350="CJ", COUNTIF(F$5:F350, "CJ"), "")</f>
        <v/>
      </c>
      <c r="R350" t="str">
        <f>IF(F350="Ignacio", COUNTIF(F$5:F350, "Ignacio"), "")</f>
        <v/>
      </c>
      <c r="S350" t="str">
        <f>IF(F350="Tripulacion", COUNTIF(F$5:F350, "Tripulacion"), "")</f>
        <v/>
      </c>
      <c r="T350" t="str">
        <f>IF(F350="ENAP carga", COUNTIF(F$5:F350, "ENAP carga"), "")</f>
        <v/>
      </c>
    </row>
    <row r="351" spans="12:20" x14ac:dyDescent="0.2">
      <c r="L351" s="23" t="str">
        <f t="shared" si="7"/>
        <v/>
      </c>
      <c r="Q351" t="str">
        <f>IF(F351="CJ", COUNTIF(F$5:F351, "CJ"), "")</f>
        <v/>
      </c>
      <c r="R351" t="str">
        <f>IF(F351="Ignacio", COUNTIF(F$5:F351, "Ignacio"), "")</f>
        <v/>
      </c>
      <c r="S351" t="str">
        <f>IF(F351="Tripulacion", COUNTIF(F$5:F351, "Tripulacion"), "")</f>
        <v/>
      </c>
      <c r="T351" t="str">
        <f>IF(F351="ENAP carga", COUNTIF(F$5:F351, "ENAP carga"), "")</f>
        <v/>
      </c>
    </row>
    <row r="352" spans="12:20" x14ac:dyDescent="0.2">
      <c r="L352" s="23" t="str">
        <f t="shared" si="7"/>
        <v/>
      </c>
      <c r="Q352" t="str">
        <f>IF(F352="CJ", COUNTIF(F$5:F352, "CJ"), "")</f>
        <v/>
      </c>
      <c r="R352" t="str">
        <f>IF(F352="Ignacio", COUNTIF(F$5:F352, "Ignacio"), "")</f>
        <v/>
      </c>
      <c r="S352" t="str">
        <f>IF(F352="Tripulacion", COUNTIF(F$5:F352, "Tripulacion"), "")</f>
        <v/>
      </c>
      <c r="T352" t="str">
        <f>IF(F352="ENAP carga", COUNTIF(F$5:F352, "ENAP carga"), "")</f>
        <v/>
      </c>
    </row>
    <row r="353" spans="12:20" x14ac:dyDescent="0.2">
      <c r="L353" s="23" t="str">
        <f t="shared" si="7"/>
        <v/>
      </c>
      <c r="Q353" t="str">
        <f>IF(F353="CJ", COUNTIF(F$5:F353, "CJ"), "")</f>
        <v/>
      </c>
      <c r="R353" t="str">
        <f>IF(F353="Ignacio", COUNTIF(F$5:F353, "Ignacio"), "")</f>
        <v/>
      </c>
      <c r="S353" t="str">
        <f>IF(F353="Tripulacion", COUNTIF(F$5:F353, "Tripulacion"), "")</f>
        <v/>
      </c>
      <c r="T353" t="str">
        <f>IF(F353="ENAP carga", COUNTIF(F$5:F353, "ENAP carga"), "")</f>
        <v/>
      </c>
    </row>
    <row r="354" spans="12:20" x14ac:dyDescent="0.2">
      <c r="L354" s="23" t="str">
        <f t="shared" si="7"/>
        <v/>
      </c>
      <c r="Q354" t="str">
        <f>IF(F354="CJ", COUNTIF(F$5:F354, "CJ"), "")</f>
        <v/>
      </c>
      <c r="R354" t="str">
        <f>IF(F354="Ignacio", COUNTIF(F$5:F354, "Ignacio"), "")</f>
        <v/>
      </c>
      <c r="S354" t="str">
        <f>IF(F354="Tripulacion", COUNTIF(F$5:F354, "Tripulacion"), "")</f>
        <v/>
      </c>
      <c r="T354" t="str">
        <f>IF(F354="ENAP carga", COUNTIF(F$5:F354, "ENAP carga"), "")</f>
        <v/>
      </c>
    </row>
    <row r="355" spans="12:20" x14ac:dyDescent="0.2">
      <c r="L355" s="23" t="str">
        <f t="shared" si="7"/>
        <v/>
      </c>
      <c r="Q355" t="str">
        <f>IF(F355="CJ", COUNTIF(F$5:F355, "CJ"), "")</f>
        <v/>
      </c>
      <c r="R355" t="str">
        <f>IF(F355="Ignacio", COUNTIF(F$5:F355, "Ignacio"), "")</f>
        <v/>
      </c>
      <c r="S355" t="str">
        <f>IF(F355="Tripulacion", COUNTIF(F$5:F355, "Tripulacion"), "")</f>
        <v/>
      </c>
      <c r="T355" t="str">
        <f>IF(F355="ENAP carga", COUNTIF(F$5:F355, "ENAP carga"), "")</f>
        <v/>
      </c>
    </row>
    <row r="356" spans="12:20" x14ac:dyDescent="0.2">
      <c r="L356" s="23" t="str">
        <f t="shared" si="7"/>
        <v/>
      </c>
      <c r="Q356" t="str">
        <f>IF(F356="CJ", COUNTIF(F$5:F356, "CJ"), "")</f>
        <v/>
      </c>
      <c r="R356" t="str">
        <f>IF(F356="Ignacio", COUNTIF(F$5:F356, "Ignacio"), "")</f>
        <v/>
      </c>
      <c r="S356" t="str">
        <f>IF(F356="Tripulacion", COUNTIF(F$5:F356, "Tripulacion"), "")</f>
        <v/>
      </c>
      <c r="T356" t="str">
        <f>IF(F356="ENAP carga", COUNTIF(F$5:F356, "ENAP carga"), "")</f>
        <v/>
      </c>
    </row>
    <row r="357" spans="12:20" x14ac:dyDescent="0.2">
      <c r="L357" s="23" t="str">
        <f t="shared" si="7"/>
        <v/>
      </c>
      <c r="Q357" t="str">
        <f>IF(F357="CJ", COUNTIF(F$5:F357, "CJ"), "")</f>
        <v/>
      </c>
      <c r="R357" t="str">
        <f>IF(F357="Ignacio", COUNTIF(F$5:F357, "Ignacio"), "")</f>
        <v/>
      </c>
      <c r="S357" t="str">
        <f>IF(F357="Tripulacion", COUNTIF(F$5:F357, "Tripulacion"), "")</f>
        <v/>
      </c>
      <c r="T357" t="str">
        <f>IF(F357="ENAP carga", COUNTIF(F$5:F357, "ENAP carga"), "")</f>
        <v/>
      </c>
    </row>
    <row r="358" spans="12:20" x14ac:dyDescent="0.2">
      <c r="L358" s="23" t="str">
        <f t="shared" si="7"/>
        <v/>
      </c>
      <c r="Q358" t="str">
        <f>IF(F358="CJ", COUNTIF(F$5:F358, "CJ"), "")</f>
        <v/>
      </c>
      <c r="R358" t="str">
        <f>IF(F358="Ignacio", COUNTIF(F$5:F358, "Ignacio"), "")</f>
        <v/>
      </c>
      <c r="S358" t="str">
        <f>IF(F358="Tripulacion", COUNTIF(F$5:F358, "Tripulacion"), "")</f>
        <v/>
      </c>
      <c r="T358" t="str">
        <f>IF(F358="ENAP carga", COUNTIF(F$5:F358, "ENAP carga"), "")</f>
        <v/>
      </c>
    </row>
    <row r="359" spans="12:20" x14ac:dyDescent="0.2">
      <c r="L359" s="23" t="str">
        <f t="shared" si="7"/>
        <v/>
      </c>
      <c r="Q359" t="str">
        <f>IF(F359="CJ", COUNTIF(F$5:F359, "CJ"), "")</f>
        <v/>
      </c>
      <c r="R359" t="str">
        <f>IF(F359="Ignacio", COUNTIF(F$5:F359, "Ignacio"), "")</f>
        <v/>
      </c>
      <c r="S359" t="str">
        <f>IF(F359="Tripulacion", COUNTIF(F$5:F359, "Tripulacion"), "")</f>
        <v/>
      </c>
      <c r="T359" t="str">
        <f>IF(F359="ENAP carga", COUNTIF(F$5:F359, "ENAP carga"), "")</f>
        <v/>
      </c>
    </row>
    <row r="360" spans="12:20" x14ac:dyDescent="0.2">
      <c r="L360" s="23" t="str">
        <f t="shared" si="7"/>
        <v/>
      </c>
      <c r="Q360" t="str">
        <f>IF(F360="CJ", COUNTIF(F$5:F360, "CJ"), "")</f>
        <v/>
      </c>
      <c r="R360" t="str">
        <f>IF(F360="Ignacio", COUNTIF(F$5:F360, "Ignacio"), "")</f>
        <v/>
      </c>
      <c r="S360" t="str">
        <f>IF(F360="Tripulacion", COUNTIF(F$5:F360, "Tripulacion"), "")</f>
        <v/>
      </c>
      <c r="T360" t="str">
        <f>IF(F360="ENAP carga", COUNTIF(F$5:F360, "ENAP carga"), "")</f>
        <v/>
      </c>
    </row>
    <row r="361" spans="12:20" x14ac:dyDescent="0.2">
      <c r="L361" s="23" t="str">
        <f t="shared" si="7"/>
        <v/>
      </c>
      <c r="Q361" t="str">
        <f>IF(F361="CJ", COUNTIF(F$5:F361, "CJ"), "")</f>
        <v/>
      </c>
      <c r="R361" t="str">
        <f>IF(F361="Ignacio", COUNTIF(F$5:F361, "Ignacio"), "")</f>
        <v/>
      </c>
      <c r="S361" t="str">
        <f>IF(F361="Tripulacion", COUNTIF(F$5:F361, "Tripulacion"), "")</f>
        <v/>
      </c>
      <c r="T361" t="str">
        <f>IF(F361="ENAP carga", COUNTIF(F$5:F361, "ENAP carga"), "")</f>
        <v/>
      </c>
    </row>
    <row r="362" spans="12:20" x14ac:dyDescent="0.2">
      <c r="L362" s="23" t="str">
        <f t="shared" si="7"/>
        <v/>
      </c>
      <c r="Q362" t="str">
        <f>IF(F362="CJ", COUNTIF(F$5:F362, "CJ"), "")</f>
        <v/>
      </c>
      <c r="R362" t="str">
        <f>IF(F362="Ignacio", COUNTIF(F$5:F362, "Ignacio"), "")</f>
        <v/>
      </c>
      <c r="S362" t="str">
        <f>IF(F362="Tripulacion", COUNTIF(F$5:F362, "Tripulacion"), "")</f>
        <v/>
      </c>
      <c r="T362" t="str">
        <f>IF(F362="ENAP carga", COUNTIF(F$5:F362, "ENAP carga"), "")</f>
        <v/>
      </c>
    </row>
    <row r="363" spans="12:20" x14ac:dyDescent="0.2">
      <c r="L363" s="23" t="str">
        <f t="shared" si="7"/>
        <v/>
      </c>
      <c r="Q363" t="str">
        <f>IF(F363="CJ", COUNTIF(F$5:F363, "CJ"), "")</f>
        <v/>
      </c>
      <c r="R363" t="str">
        <f>IF(F363="Ignacio", COUNTIF(F$5:F363, "Ignacio"), "")</f>
        <v/>
      </c>
      <c r="S363" t="str">
        <f>IF(F363="Tripulacion", COUNTIF(F$5:F363, "Tripulacion"), "")</f>
        <v/>
      </c>
      <c r="T363" t="str">
        <f>IF(F363="ENAP carga", COUNTIF(F$5:F363, "ENAP carga"), "")</f>
        <v/>
      </c>
    </row>
    <row r="364" spans="12:20" x14ac:dyDescent="0.2">
      <c r="L364" s="23" t="str">
        <f t="shared" si="7"/>
        <v/>
      </c>
      <c r="Q364" t="str">
        <f>IF(F364="CJ", COUNTIF(F$5:F364, "CJ"), "")</f>
        <v/>
      </c>
      <c r="R364" t="str">
        <f>IF(F364="Ignacio", COUNTIF(F$5:F364, "Ignacio"), "")</f>
        <v/>
      </c>
      <c r="S364" t="str">
        <f>IF(F364="Tripulacion", COUNTIF(F$5:F364, "Tripulacion"), "")</f>
        <v/>
      </c>
      <c r="T364" t="str">
        <f>IF(F364="ENAP carga", COUNTIF(F$5:F364, "ENAP carga"), "")</f>
        <v/>
      </c>
    </row>
    <row r="365" spans="12:20" x14ac:dyDescent="0.2">
      <c r="L365" s="23" t="str">
        <f t="shared" si="7"/>
        <v/>
      </c>
      <c r="Q365" t="str">
        <f>IF(F365="CJ", COUNTIF(F$5:F365, "CJ"), "")</f>
        <v/>
      </c>
      <c r="R365" t="str">
        <f>IF(F365="Ignacio", COUNTIF(F$5:F365, "Ignacio"), "")</f>
        <v/>
      </c>
      <c r="S365" t="str">
        <f>IF(F365="Tripulacion", COUNTIF(F$5:F365, "Tripulacion"), "")</f>
        <v/>
      </c>
      <c r="T365" t="str">
        <f>IF(F365="ENAP carga", COUNTIF(F$5:F365, "ENAP carga"), "")</f>
        <v/>
      </c>
    </row>
    <row r="366" spans="12:20" x14ac:dyDescent="0.2">
      <c r="L366" s="23" t="str">
        <f t="shared" si="7"/>
        <v/>
      </c>
      <c r="Q366" t="str">
        <f>IF(F366="CJ", COUNTIF(F$5:F366, "CJ"), "")</f>
        <v/>
      </c>
      <c r="R366" t="str">
        <f>IF(F366="Ignacio", COUNTIF(F$5:F366, "Ignacio"), "")</f>
        <v/>
      </c>
      <c r="S366" t="str">
        <f>IF(F366="Tripulacion", COUNTIF(F$5:F366, "Tripulacion"), "")</f>
        <v/>
      </c>
      <c r="T366" t="str">
        <f>IF(F366="ENAP carga", COUNTIF(F$5:F366, "ENAP carga"), "")</f>
        <v/>
      </c>
    </row>
    <row r="367" spans="12:20" x14ac:dyDescent="0.2">
      <c r="L367" s="23" t="str">
        <f t="shared" si="7"/>
        <v/>
      </c>
      <c r="Q367" t="str">
        <f>IF(F367="CJ", COUNTIF(F$5:F367, "CJ"), "")</f>
        <v/>
      </c>
      <c r="R367" t="str">
        <f>IF(F367="Ignacio", COUNTIF(F$5:F367, "Ignacio"), "")</f>
        <v/>
      </c>
      <c r="S367" t="str">
        <f>IF(F367="Tripulacion", COUNTIF(F$5:F367, "Tripulacion"), "")</f>
        <v/>
      </c>
      <c r="T367" t="str">
        <f>IF(F367="ENAP carga", COUNTIF(F$5:F367, "ENAP carga"), "")</f>
        <v/>
      </c>
    </row>
    <row r="368" spans="12:20" x14ac:dyDescent="0.2">
      <c r="L368" s="23" t="str">
        <f t="shared" si="7"/>
        <v/>
      </c>
      <c r="Q368" t="str">
        <f>IF(F368="CJ", COUNTIF(F$5:F368, "CJ"), "")</f>
        <v/>
      </c>
      <c r="R368" t="str">
        <f>IF(F368="Ignacio", COUNTIF(F$5:F368, "Ignacio"), "")</f>
        <v/>
      </c>
      <c r="S368" t="str">
        <f>IF(F368="Tripulacion", COUNTIF(F$5:F368, "Tripulacion"), "")</f>
        <v/>
      </c>
      <c r="T368" t="str">
        <f>IF(F368="ENAP carga", COUNTIF(F$5:F368, "ENAP carga"), "")</f>
        <v/>
      </c>
    </row>
    <row r="369" spans="12:20" x14ac:dyDescent="0.2">
      <c r="L369" s="23" t="str">
        <f t="shared" si="7"/>
        <v/>
      </c>
      <c r="Q369" t="str">
        <f>IF(F369="CJ", COUNTIF(F$5:F369, "CJ"), "")</f>
        <v/>
      </c>
      <c r="R369" t="str">
        <f>IF(F369="Ignacio", COUNTIF(F$5:F369, "Ignacio"), "")</f>
        <v/>
      </c>
      <c r="S369" t="str">
        <f>IF(F369="Tripulacion", COUNTIF(F$5:F369, "Tripulacion"), "")</f>
        <v/>
      </c>
      <c r="T369" t="str">
        <f>IF(F369="ENAP carga", COUNTIF(F$5:F369, "ENAP carga"), "")</f>
        <v/>
      </c>
    </row>
    <row r="370" spans="12:20" x14ac:dyDescent="0.2">
      <c r="L370" s="23" t="str">
        <f t="shared" si="7"/>
        <v/>
      </c>
      <c r="Q370" t="str">
        <f>IF(F370="CJ", COUNTIF(F$5:F370, "CJ"), "")</f>
        <v/>
      </c>
      <c r="R370" t="str">
        <f>IF(F370="Ignacio", COUNTIF(F$5:F370, "Ignacio"), "")</f>
        <v/>
      </c>
      <c r="S370" t="str">
        <f>IF(F370="Tripulacion", COUNTIF(F$5:F370, "Tripulacion"), "")</f>
        <v/>
      </c>
      <c r="T370" t="str">
        <f>IF(F370="ENAP carga", COUNTIF(F$5:F370, "ENAP carga"), "")</f>
        <v/>
      </c>
    </row>
    <row r="371" spans="12:20" x14ac:dyDescent="0.2">
      <c r="L371" s="23" t="str">
        <f t="shared" si="7"/>
        <v/>
      </c>
      <c r="Q371" t="str">
        <f>IF(F371="CJ", COUNTIF(F$5:F371, "CJ"), "")</f>
        <v/>
      </c>
      <c r="R371" t="str">
        <f>IF(F371="Ignacio", COUNTIF(F$5:F371, "Ignacio"), "")</f>
        <v/>
      </c>
      <c r="S371" t="str">
        <f>IF(F371="Tripulacion", COUNTIF(F$5:F371, "Tripulacion"), "")</f>
        <v/>
      </c>
      <c r="T371" t="str">
        <f>IF(F371="ENAP carga", COUNTIF(F$5:F371, "ENAP carga"), "")</f>
        <v/>
      </c>
    </row>
    <row r="372" spans="12:20" x14ac:dyDescent="0.2">
      <c r="L372" s="23" t="str">
        <f t="shared" si="7"/>
        <v/>
      </c>
      <c r="Q372" t="str">
        <f>IF(F372="CJ", COUNTIF(F$5:F372, "CJ"), "")</f>
        <v/>
      </c>
      <c r="R372" t="str">
        <f>IF(F372="Ignacio", COUNTIF(F$5:F372, "Ignacio"), "")</f>
        <v/>
      </c>
      <c r="S372" t="str">
        <f>IF(F372="Tripulacion", COUNTIF(F$5:F372, "Tripulacion"), "")</f>
        <v/>
      </c>
      <c r="T372" t="str">
        <f>IF(F372="ENAP carga", COUNTIF(F$5:F372, "ENAP carga"), "")</f>
        <v/>
      </c>
    </row>
    <row r="373" spans="12:20" x14ac:dyDescent="0.2">
      <c r="L373" s="23" t="str">
        <f t="shared" si="7"/>
        <v/>
      </c>
      <c r="Q373" t="str">
        <f>IF(F373="CJ", COUNTIF(F$5:F373, "CJ"), "")</f>
        <v/>
      </c>
      <c r="R373" t="str">
        <f>IF(F373="Ignacio", COUNTIF(F$5:F373, "Ignacio"), "")</f>
        <v/>
      </c>
      <c r="S373" t="str">
        <f>IF(F373="Tripulacion", COUNTIF(F$5:F373, "Tripulacion"), "")</f>
        <v/>
      </c>
      <c r="T373" t="str">
        <f>IF(F373="ENAP carga", COUNTIF(F$5:F373, "ENAP carga"), "")</f>
        <v/>
      </c>
    </row>
    <row r="374" spans="12:20" x14ac:dyDescent="0.2">
      <c r="L374" s="23" t="str">
        <f t="shared" si="7"/>
        <v/>
      </c>
      <c r="Q374" t="str">
        <f>IF(F374="CJ", COUNTIF(F$5:F374, "CJ"), "")</f>
        <v/>
      </c>
      <c r="R374" t="str">
        <f>IF(F374="Ignacio", COUNTIF(F$5:F374, "Ignacio"), "")</f>
        <v/>
      </c>
      <c r="S374" t="str">
        <f>IF(F374="Tripulacion", COUNTIF(F$5:F374, "Tripulacion"), "")</f>
        <v/>
      </c>
      <c r="T374" t="str">
        <f>IF(F374="ENAP carga", COUNTIF(F$5:F374, "ENAP carga"), "")</f>
        <v/>
      </c>
    </row>
    <row r="375" spans="12:20" x14ac:dyDescent="0.2">
      <c r="L375" s="23" t="str">
        <f t="shared" si="7"/>
        <v/>
      </c>
      <c r="Q375" t="str">
        <f>IF(F375="CJ", COUNTIF(F$5:F375, "CJ"), "")</f>
        <v/>
      </c>
      <c r="R375" t="str">
        <f>IF(F375="Ignacio", COUNTIF(F$5:F375, "Ignacio"), "")</f>
        <v/>
      </c>
      <c r="S375" t="str">
        <f>IF(F375="Tripulacion", COUNTIF(F$5:F375, "Tripulacion"), "")</f>
        <v/>
      </c>
      <c r="T375" t="str">
        <f>IF(F375="ENAP carga", COUNTIF(F$5:F375, "ENAP carga"), "")</f>
        <v/>
      </c>
    </row>
    <row r="376" spans="12:20" x14ac:dyDescent="0.2">
      <c r="L376" s="23" t="str">
        <f t="shared" si="7"/>
        <v/>
      </c>
      <c r="Q376" t="str">
        <f>IF(F376="CJ", COUNTIF(F$5:F376, "CJ"), "")</f>
        <v/>
      </c>
      <c r="R376" t="str">
        <f>IF(F376="Ignacio", COUNTIF(F$5:F376, "Ignacio"), "")</f>
        <v/>
      </c>
      <c r="S376" t="str">
        <f>IF(F376="Tripulacion", COUNTIF(F$5:F376, "Tripulacion"), "")</f>
        <v/>
      </c>
      <c r="T376" t="str">
        <f>IF(F376="ENAP carga", COUNTIF(F$5:F376, "ENAP carga"), "")</f>
        <v/>
      </c>
    </row>
    <row r="377" spans="12:20" x14ac:dyDescent="0.2">
      <c r="L377" s="23" t="str">
        <f t="shared" si="7"/>
        <v/>
      </c>
      <c r="Q377" t="str">
        <f>IF(F377="CJ", COUNTIF(F$5:F377, "CJ"), "")</f>
        <v/>
      </c>
      <c r="R377" t="str">
        <f>IF(F377="Ignacio", COUNTIF(F$5:F377, "Ignacio"), "")</f>
        <v/>
      </c>
      <c r="S377" t="str">
        <f>IF(F377="Tripulacion", COUNTIF(F$5:F377, "Tripulacion"), "")</f>
        <v/>
      </c>
      <c r="T377" t="str">
        <f>IF(F377="ENAP carga", COUNTIF(F$5:F377, "ENAP carga"), "")</f>
        <v/>
      </c>
    </row>
    <row r="378" spans="12:20" x14ac:dyDescent="0.2">
      <c r="L378" s="23" t="str">
        <f t="shared" si="7"/>
        <v/>
      </c>
      <c r="Q378" t="str">
        <f>IF(F378="CJ", COUNTIF(F$5:F378, "CJ"), "")</f>
        <v/>
      </c>
      <c r="R378" t="str">
        <f>IF(F378="Ignacio", COUNTIF(F$5:F378, "Ignacio"), "")</f>
        <v/>
      </c>
      <c r="S378" t="str">
        <f>IF(F378="Tripulacion", COUNTIF(F$5:F378, "Tripulacion"), "")</f>
        <v/>
      </c>
      <c r="T378" t="str">
        <f>IF(F378="ENAP carga", COUNTIF(F$5:F378, "ENAP carga"), "")</f>
        <v/>
      </c>
    </row>
    <row r="379" spans="12:20" x14ac:dyDescent="0.2">
      <c r="L379" s="23" t="str">
        <f t="shared" si="7"/>
        <v/>
      </c>
      <c r="Q379" t="str">
        <f>IF(F379="CJ", COUNTIF(F$5:F379, "CJ"), "")</f>
        <v/>
      </c>
      <c r="R379" t="str">
        <f>IF(F379="Ignacio", COUNTIF(F$5:F379, "Ignacio"), "")</f>
        <v/>
      </c>
      <c r="S379" t="str">
        <f>IF(F379="Tripulacion", COUNTIF(F$5:F379, "Tripulacion"), "")</f>
        <v/>
      </c>
      <c r="T379" t="str">
        <f>IF(F379="ENAP carga", COUNTIF(F$5:F379, "ENAP carga"), "")</f>
        <v/>
      </c>
    </row>
    <row r="380" spans="12:20" x14ac:dyDescent="0.2">
      <c r="L380" s="23" t="str">
        <f t="shared" si="7"/>
        <v/>
      </c>
      <c r="Q380" t="str">
        <f>IF(F380="CJ", COUNTIF(F$5:F380, "CJ"), "")</f>
        <v/>
      </c>
      <c r="R380" t="str">
        <f>IF(F380="Ignacio", COUNTIF(F$5:F380, "Ignacio"), "")</f>
        <v/>
      </c>
      <c r="S380" t="str">
        <f>IF(F380="Tripulacion", COUNTIF(F$5:F380, "Tripulacion"), "")</f>
        <v/>
      </c>
      <c r="T380" t="str">
        <f>IF(F380="ENAP carga", COUNTIF(F$5:F380, "ENAP carga"), "")</f>
        <v/>
      </c>
    </row>
    <row r="381" spans="12:20" x14ac:dyDescent="0.2">
      <c r="L381" s="23" t="str">
        <f t="shared" si="7"/>
        <v/>
      </c>
      <c r="Q381" t="str">
        <f>IF(F381="CJ", COUNTIF(F$5:F381, "CJ"), "")</f>
        <v/>
      </c>
      <c r="R381" t="str">
        <f>IF(F381="Ignacio", COUNTIF(F$5:F381, "Ignacio"), "")</f>
        <v/>
      </c>
      <c r="S381" t="str">
        <f>IF(F381="Tripulacion", COUNTIF(F$5:F381, "Tripulacion"), "")</f>
        <v/>
      </c>
      <c r="T381" t="str">
        <f>IF(F381="ENAP carga", COUNTIF(F$5:F381, "ENAP carga"), "")</f>
        <v/>
      </c>
    </row>
    <row r="382" spans="12:20" x14ac:dyDescent="0.2">
      <c r="L382" s="23" t="str">
        <f t="shared" si="7"/>
        <v/>
      </c>
      <c r="Q382" t="str">
        <f>IF(F382="CJ", COUNTIF(F$5:F382, "CJ"), "")</f>
        <v/>
      </c>
      <c r="R382" t="str">
        <f>IF(F382="Ignacio", COUNTIF(F$5:F382, "Ignacio"), "")</f>
        <v/>
      </c>
      <c r="S382" t="str">
        <f>IF(F382="Tripulacion", COUNTIF(F$5:F382, "Tripulacion"), "")</f>
        <v/>
      </c>
      <c r="T382" t="str">
        <f>IF(F382="ENAP carga", COUNTIF(F$5:F382, "ENAP carga"), "")</f>
        <v/>
      </c>
    </row>
    <row r="383" spans="12:20" x14ac:dyDescent="0.2">
      <c r="L383" s="23" t="str">
        <f t="shared" si="7"/>
        <v/>
      </c>
      <c r="Q383" t="str">
        <f>IF(F383="CJ", COUNTIF(F$5:F383, "CJ"), "")</f>
        <v/>
      </c>
      <c r="R383" t="str">
        <f>IF(F383="Ignacio", COUNTIF(F$5:F383, "Ignacio"), "")</f>
        <v/>
      </c>
      <c r="S383" t="str">
        <f>IF(F383="Tripulacion", COUNTIF(F$5:F383, "Tripulacion"), "")</f>
        <v/>
      </c>
      <c r="T383" t="str">
        <f>IF(F383="ENAP carga", COUNTIF(F$5:F383, "ENAP carga"), "")</f>
        <v/>
      </c>
    </row>
    <row r="384" spans="12:20" x14ac:dyDescent="0.2">
      <c r="L384" s="23" t="str">
        <f t="shared" si="7"/>
        <v/>
      </c>
      <c r="Q384" t="str">
        <f>IF(F384="CJ", COUNTIF(F$5:F384, "CJ"), "")</f>
        <v/>
      </c>
      <c r="R384" t="str">
        <f>IF(F384="Ignacio", COUNTIF(F$5:F384, "Ignacio"), "")</f>
        <v/>
      </c>
      <c r="S384" t="str">
        <f>IF(F384="Tripulacion", COUNTIF(F$5:F384, "Tripulacion"), "")</f>
        <v/>
      </c>
      <c r="T384" t="str">
        <f>IF(F384="ENAP carga", COUNTIF(F$5:F384, "ENAP carga"), "")</f>
        <v/>
      </c>
    </row>
    <row r="385" spans="12:20" x14ac:dyDescent="0.2">
      <c r="L385" s="23" t="str">
        <f t="shared" si="7"/>
        <v/>
      </c>
      <c r="Q385" t="str">
        <f>IF(F385="CJ", COUNTIF(F$5:F385, "CJ"), "")</f>
        <v/>
      </c>
      <c r="R385" t="str">
        <f>IF(F385="Ignacio", COUNTIF(F$5:F385, "Ignacio"), "")</f>
        <v/>
      </c>
      <c r="S385" t="str">
        <f>IF(F385="Tripulacion", COUNTIF(F$5:F385, "Tripulacion"), "")</f>
        <v/>
      </c>
      <c r="T385" t="str">
        <f>IF(F385="ENAP carga", COUNTIF(F$5:F385, "ENAP carga"), "")</f>
        <v/>
      </c>
    </row>
    <row r="386" spans="12:20" x14ac:dyDescent="0.2">
      <c r="L386" s="23" t="str">
        <f t="shared" si="7"/>
        <v/>
      </c>
      <c r="Q386" t="str">
        <f>IF(F386="CJ", COUNTIF(F$5:F386, "CJ"), "")</f>
        <v/>
      </c>
      <c r="R386" t="str">
        <f>IF(F386="Ignacio", COUNTIF(F$5:F386, "Ignacio"), "")</f>
        <v/>
      </c>
      <c r="S386" t="str">
        <f>IF(F386="Tripulacion", COUNTIF(F$5:F386, "Tripulacion"), "")</f>
        <v/>
      </c>
      <c r="T386" t="str">
        <f>IF(F386="ENAP carga", COUNTIF(F$5:F386, "ENAP carga"), "")</f>
        <v/>
      </c>
    </row>
    <row r="387" spans="12:20" x14ac:dyDescent="0.2">
      <c r="L387" s="23" t="str">
        <f t="shared" si="7"/>
        <v/>
      </c>
      <c r="Q387" t="str">
        <f>IF(F387="CJ", COUNTIF(F$5:F387, "CJ"), "")</f>
        <v/>
      </c>
      <c r="R387" t="str">
        <f>IF(F387="Ignacio", COUNTIF(F$5:F387, "Ignacio"), "")</f>
        <v/>
      </c>
      <c r="S387" t="str">
        <f>IF(F387="Tripulacion", COUNTIF(F$5:F387, "Tripulacion"), "")</f>
        <v/>
      </c>
      <c r="T387" t="str">
        <f>IF(F387="ENAP carga", COUNTIF(F$5:F387, "ENAP carga"), "")</f>
        <v/>
      </c>
    </row>
    <row r="388" spans="12:20" x14ac:dyDescent="0.2">
      <c r="L388" s="23" t="str">
        <f t="shared" si="7"/>
        <v/>
      </c>
      <c r="Q388" t="str">
        <f>IF(F388="CJ", COUNTIF(F$5:F388, "CJ"), "")</f>
        <v/>
      </c>
      <c r="R388" t="str">
        <f>IF(F388="Ignacio", COUNTIF(F$5:F388, "Ignacio"), "")</f>
        <v/>
      </c>
      <c r="S388" t="str">
        <f>IF(F388="Tripulacion", COUNTIF(F$5:F388, "Tripulacion"), "")</f>
        <v/>
      </c>
      <c r="T388" t="str">
        <f>IF(F388="ENAP carga", COUNTIF(F$5:F388, "ENAP carga"), "")</f>
        <v/>
      </c>
    </row>
    <row r="389" spans="12:20" x14ac:dyDescent="0.2">
      <c r="L389" s="23" t="str">
        <f t="shared" si="7"/>
        <v/>
      </c>
      <c r="Q389" t="str">
        <f>IF(F389="CJ", COUNTIF(F$5:F389, "CJ"), "")</f>
        <v/>
      </c>
      <c r="R389" t="str">
        <f>IF(F389="Ignacio", COUNTIF(F$5:F389, "Ignacio"), "")</f>
        <v/>
      </c>
      <c r="S389" t="str">
        <f>IF(F389="Tripulacion", COUNTIF(F$5:F389, "Tripulacion"), "")</f>
        <v/>
      </c>
      <c r="T389" t="str">
        <f>IF(F389="ENAP carga", COUNTIF(F$5:F389, "ENAP carga"), "")</f>
        <v/>
      </c>
    </row>
    <row r="390" spans="12:20" x14ac:dyDescent="0.2">
      <c r="L390" s="23" t="str">
        <f t="shared" si="7"/>
        <v/>
      </c>
      <c r="Q390" t="str">
        <f>IF(F390="CJ", COUNTIF(F$5:F390, "CJ"), "")</f>
        <v/>
      </c>
      <c r="R390" t="str">
        <f>IF(F390="Ignacio", COUNTIF(F$5:F390, "Ignacio"), "")</f>
        <v/>
      </c>
      <c r="S390" t="str">
        <f>IF(F390="Tripulacion", COUNTIF(F$5:F390, "Tripulacion"), "")</f>
        <v/>
      </c>
      <c r="T390" t="str">
        <f>IF(F390="ENAP carga", COUNTIF(F$5:F390, "ENAP carga"), "")</f>
        <v/>
      </c>
    </row>
    <row r="391" spans="12:20" x14ac:dyDescent="0.2">
      <c r="L391" s="23" t="str">
        <f t="shared" si="7"/>
        <v/>
      </c>
      <c r="Q391" t="str">
        <f>IF(F391="CJ", COUNTIF(F$5:F391, "CJ"), "")</f>
        <v/>
      </c>
      <c r="R391" t="str">
        <f>IF(F391="Ignacio", COUNTIF(F$5:F391, "Ignacio"), "")</f>
        <v/>
      </c>
      <c r="S391" t="str">
        <f>IF(F391="Tripulacion", COUNTIF(F$5:F391, "Tripulacion"), "")</f>
        <v/>
      </c>
      <c r="T391" t="str">
        <f>IF(F391="ENAP carga", COUNTIF(F$5:F391, "ENAP carga"), "")</f>
        <v/>
      </c>
    </row>
    <row r="392" spans="12:20" x14ac:dyDescent="0.2">
      <c r="L392" s="23" t="str">
        <f t="shared" si="7"/>
        <v/>
      </c>
      <c r="Q392" t="str">
        <f>IF(F392="CJ", COUNTIF(F$5:F392, "CJ"), "")</f>
        <v/>
      </c>
      <c r="R392" t="str">
        <f>IF(F392="Ignacio", COUNTIF(F$5:F392, "Ignacio"), "")</f>
        <v/>
      </c>
      <c r="S392" t="str">
        <f>IF(F392="Tripulacion", COUNTIF(F$5:F392, "Tripulacion"), "")</f>
        <v/>
      </c>
      <c r="T392" t="str">
        <f>IF(F392="ENAP carga", COUNTIF(F$5:F392, "ENAP carga"), "")</f>
        <v/>
      </c>
    </row>
    <row r="393" spans="12:20" x14ac:dyDescent="0.2">
      <c r="L393" s="23" t="str">
        <f t="shared" si="7"/>
        <v/>
      </c>
      <c r="Q393" t="str">
        <f>IF(F393="CJ", COUNTIF(F$5:F393, "CJ"), "")</f>
        <v/>
      </c>
      <c r="R393" t="str">
        <f>IF(F393="Ignacio", COUNTIF(F$5:F393, "Ignacio"), "")</f>
        <v/>
      </c>
      <c r="S393" t="str">
        <f>IF(F393="Tripulacion", COUNTIF(F$5:F393, "Tripulacion"), "")</f>
        <v/>
      </c>
      <c r="T393" t="str">
        <f>IF(F393="ENAP carga", COUNTIF(F$5:F393, "ENAP carga"), "")</f>
        <v/>
      </c>
    </row>
    <row r="394" spans="12:20" x14ac:dyDescent="0.2">
      <c r="L394" s="23" t="str">
        <f t="shared" si="7"/>
        <v/>
      </c>
      <c r="Q394" t="str">
        <f>IF(F394="CJ", COUNTIF(F$5:F394, "CJ"), "")</f>
        <v/>
      </c>
      <c r="R394" t="str">
        <f>IF(F394="Ignacio", COUNTIF(F$5:F394, "Ignacio"), "")</f>
        <v/>
      </c>
      <c r="S394" t="str">
        <f>IF(F394="Tripulacion", COUNTIF(F$5:F394, "Tripulacion"), "")</f>
        <v/>
      </c>
      <c r="T394" t="str">
        <f>IF(F394="ENAP carga", COUNTIF(F$5:F394, "ENAP carga"), "")</f>
        <v/>
      </c>
    </row>
    <row r="395" spans="12:20" x14ac:dyDescent="0.2">
      <c r="L395" s="23" t="str">
        <f t="shared" si="7"/>
        <v/>
      </c>
      <c r="Q395" t="str">
        <f>IF(F395="CJ", COUNTIF(F$5:F395, "CJ"), "")</f>
        <v/>
      </c>
      <c r="R395" t="str">
        <f>IF(F395="Ignacio", COUNTIF(F$5:F395, "Ignacio"), "")</f>
        <v/>
      </c>
      <c r="S395" t="str">
        <f>IF(F395="Tripulacion", COUNTIF(F$5:F395, "Tripulacion"), "")</f>
        <v/>
      </c>
      <c r="T395" t="str">
        <f>IF(F395="ENAP carga", COUNTIF(F$5:F395, "ENAP carga"), "")</f>
        <v/>
      </c>
    </row>
    <row r="396" spans="12:20" x14ac:dyDescent="0.2">
      <c r="L396" s="23" t="str">
        <f t="shared" si="7"/>
        <v/>
      </c>
      <c r="Q396" t="str">
        <f>IF(F396="CJ", COUNTIF(F$5:F396, "CJ"), "")</f>
        <v/>
      </c>
      <c r="R396" t="str">
        <f>IF(F396="Ignacio", COUNTIF(F$5:F396, "Ignacio"), "")</f>
        <v/>
      </c>
      <c r="S396" t="str">
        <f>IF(F396="Tripulacion", COUNTIF(F$5:F396, "Tripulacion"), "")</f>
        <v/>
      </c>
      <c r="T396" t="str">
        <f>IF(F396="ENAP carga", COUNTIF(F$5:F396, "ENAP carga"), "")</f>
        <v/>
      </c>
    </row>
    <row r="397" spans="12:20" x14ac:dyDescent="0.2">
      <c r="L397" s="23" t="str">
        <f t="shared" si="7"/>
        <v/>
      </c>
      <c r="Q397" t="str">
        <f>IF(F397="CJ", COUNTIF(F$5:F397, "CJ"), "")</f>
        <v/>
      </c>
      <c r="R397" t="str">
        <f>IF(F397="Ignacio", COUNTIF(F$5:F397, "Ignacio"), "")</f>
        <v/>
      </c>
      <c r="S397" t="str">
        <f>IF(F397="Tripulacion", COUNTIF(F$5:F397, "Tripulacion"), "")</f>
        <v/>
      </c>
      <c r="T397" t="str">
        <f>IF(F397="ENAP carga", COUNTIF(F$5:F397, "ENAP carga"), "")</f>
        <v/>
      </c>
    </row>
    <row r="398" spans="12:20" x14ac:dyDescent="0.2">
      <c r="L398" s="23" t="str">
        <f t="shared" ref="L398:L461" si="8">IF(F398="CJ", I398*200, "")</f>
        <v/>
      </c>
      <c r="Q398" t="str">
        <f>IF(F398="CJ", COUNTIF(F$5:F398, "CJ"), "")</f>
        <v/>
      </c>
      <c r="R398" t="str">
        <f>IF(F398="Ignacio", COUNTIF(F$5:F398, "Ignacio"), "")</f>
        <v/>
      </c>
      <c r="S398" t="str">
        <f>IF(F398="Tripulacion", COUNTIF(F$5:F398, "Tripulacion"), "")</f>
        <v/>
      </c>
      <c r="T398" t="str">
        <f>IF(F398="ENAP carga", COUNTIF(F$5:F398, "ENAP carga"), "")</f>
        <v/>
      </c>
    </row>
    <row r="399" spans="12:20" x14ac:dyDescent="0.2">
      <c r="L399" s="23" t="str">
        <f t="shared" si="8"/>
        <v/>
      </c>
      <c r="Q399" t="str">
        <f>IF(F399="CJ", COUNTIF(F$5:F399, "CJ"), "")</f>
        <v/>
      </c>
      <c r="R399" t="str">
        <f>IF(F399="Ignacio", COUNTIF(F$5:F399, "Ignacio"), "")</f>
        <v/>
      </c>
      <c r="S399" t="str">
        <f>IF(F399="Tripulacion", COUNTIF(F$5:F399, "Tripulacion"), "")</f>
        <v/>
      </c>
      <c r="T399" t="str">
        <f>IF(F399="ENAP carga", COUNTIF(F$5:F399, "ENAP carga"), "")</f>
        <v/>
      </c>
    </row>
    <row r="400" spans="12:20" x14ac:dyDescent="0.2">
      <c r="L400" s="23" t="str">
        <f t="shared" si="8"/>
        <v/>
      </c>
      <c r="Q400" t="str">
        <f>IF(F400="CJ", COUNTIF(F$5:F400, "CJ"), "")</f>
        <v/>
      </c>
      <c r="R400" t="str">
        <f>IF(F400="Ignacio", COUNTIF(F$5:F400, "Ignacio"), "")</f>
        <v/>
      </c>
      <c r="S400" t="str">
        <f>IF(F400="Tripulacion", COUNTIF(F$5:F400, "Tripulacion"), "")</f>
        <v/>
      </c>
      <c r="T400" t="str">
        <f>IF(F400="ENAP carga", COUNTIF(F$5:F400, "ENAP carga"), "")</f>
        <v/>
      </c>
    </row>
    <row r="401" spans="12:20" x14ac:dyDescent="0.2">
      <c r="L401" s="23" t="str">
        <f t="shared" si="8"/>
        <v/>
      </c>
      <c r="Q401" t="str">
        <f>IF(F401="CJ", COUNTIF(F$5:F401, "CJ"), "")</f>
        <v/>
      </c>
      <c r="R401" t="str">
        <f>IF(F401="Ignacio", COUNTIF(F$5:F401, "Ignacio"), "")</f>
        <v/>
      </c>
      <c r="S401" t="str">
        <f>IF(F401="Tripulacion", COUNTIF(F$5:F401, "Tripulacion"), "")</f>
        <v/>
      </c>
      <c r="T401" t="str">
        <f>IF(F401="ENAP carga", COUNTIF(F$5:F401, "ENAP carga"), "")</f>
        <v/>
      </c>
    </row>
    <row r="402" spans="12:20" x14ac:dyDescent="0.2">
      <c r="L402" s="23" t="str">
        <f t="shared" si="8"/>
        <v/>
      </c>
      <c r="Q402" t="str">
        <f>IF(F402="CJ", COUNTIF(F$5:F402, "CJ"), "")</f>
        <v/>
      </c>
      <c r="R402" t="str">
        <f>IF(F402="Ignacio", COUNTIF(F$5:F402, "Ignacio"), "")</f>
        <v/>
      </c>
      <c r="S402" t="str">
        <f>IF(F402="Tripulacion", COUNTIF(F$5:F402, "Tripulacion"), "")</f>
        <v/>
      </c>
      <c r="T402" t="str">
        <f>IF(F402="ENAP carga", COUNTIF(F$5:F402, "ENAP carga"), "")</f>
        <v/>
      </c>
    </row>
    <row r="403" spans="12:20" x14ac:dyDescent="0.2">
      <c r="L403" s="23" t="str">
        <f t="shared" si="8"/>
        <v/>
      </c>
      <c r="Q403" t="str">
        <f>IF(F403="CJ", COUNTIF(F$5:F403, "CJ"), "")</f>
        <v/>
      </c>
      <c r="R403" t="str">
        <f>IF(F403="Ignacio", COUNTIF(F$5:F403, "Ignacio"), "")</f>
        <v/>
      </c>
      <c r="S403" t="str">
        <f>IF(F403="Tripulacion", COUNTIF(F$5:F403, "Tripulacion"), "")</f>
        <v/>
      </c>
      <c r="T403" t="str">
        <f>IF(F403="ENAP carga", COUNTIF(F$5:F403, "ENAP carga"), "")</f>
        <v/>
      </c>
    </row>
    <row r="404" spans="12:20" x14ac:dyDescent="0.2">
      <c r="L404" s="23" t="str">
        <f t="shared" si="8"/>
        <v/>
      </c>
      <c r="Q404" t="str">
        <f>IF(F404="CJ", COUNTIF(F$5:F404, "CJ"), "")</f>
        <v/>
      </c>
      <c r="R404" t="str">
        <f>IF(F404="Ignacio", COUNTIF(F$5:F404, "Ignacio"), "")</f>
        <v/>
      </c>
      <c r="S404" t="str">
        <f>IF(F404="Tripulacion", COUNTIF(F$5:F404, "Tripulacion"), "")</f>
        <v/>
      </c>
      <c r="T404" t="str">
        <f>IF(F404="ENAP carga", COUNTIF(F$5:F404, "ENAP carga"), "")</f>
        <v/>
      </c>
    </row>
    <row r="405" spans="12:20" x14ac:dyDescent="0.2">
      <c r="L405" s="23" t="str">
        <f t="shared" si="8"/>
        <v/>
      </c>
      <c r="Q405" t="str">
        <f>IF(F405="CJ", COUNTIF(F$5:F405, "CJ"), "")</f>
        <v/>
      </c>
      <c r="R405" t="str">
        <f>IF(F405="Ignacio", COUNTIF(F$5:F405, "Ignacio"), "")</f>
        <v/>
      </c>
      <c r="S405" t="str">
        <f>IF(F405="Tripulacion", COUNTIF(F$5:F405, "Tripulacion"), "")</f>
        <v/>
      </c>
      <c r="T405" t="str">
        <f>IF(F405="ENAP carga", COUNTIF(F$5:F405, "ENAP carga"), "")</f>
        <v/>
      </c>
    </row>
    <row r="406" spans="12:20" x14ac:dyDescent="0.2">
      <c r="L406" s="23" t="str">
        <f t="shared" si="8"/>
        <v/>
      </c>
      <c r="Q406" t="str">
        <f>IF(F406="CJ", COUNTIF(F$5:F406, "CJ"), "")</f>
        <v/>
      </c>
      <c r="R406" t="str">
        <f>IF(F406="Ignacio", COUNTIF(F$5:F406, "Ignacio"), "")</f>
        <v/>
      </c>
      <c r="S406" t="str">
        <f>IF(F406="Tripulacion", COUNTIF(F$5:F406, "Tripulacion"), "")</f>
        <v/>
      </c>
      <c r="T406" t="str">
        <f>IF(F406="ENAP carga", COUNTIF(F$5:F406, "ENAP carga"), "")</f>
        <v/>
      </c>
    </row>
    <row r="407" spans="12:20" x14ac:dyDescent="0.2">
      <c r="L407" s="23" t="str">
        <f t="shared" si="8"/>
        <v/>
      </c>
      <c r="Q407" t="str">
        <f>IF(F407="CJ", COUNTIF(F$5:F407, "CJ"), "")</f>
        <v/>
      </c>
      <c r="R407" t="str">
        <f>IF(F407="Ignacio", COUNTIF(F$5:F407, "Ignacio"), "")</f>
        <v/>
      </c>
      <c r="S407" t="str">
        <f>IF(F407="Tripulacion", COUNTIF(F$5:F407, "Tripulacion"), "")</f>
        <v/>
      </c>
      <c r="T407" t="str">
        <f>IF(F407="ENAP carga", COUNTIF(F$5:F407, "ENAP carga"), "")</f>
        <v/>
      </c>
    </row>
    <row r="408" spans="12:20" x14ac:dyDescent="0.2">
      <c r="L408" s="23" t="str">
        <f t="shared" si="8"/>
        <v/>
      </c>
      <c r="Q408" t="str">
        <f>IF(F408="CJ", COUNTIF(F$5:F408, "CJ"), "")</f>
        <v/>
      </c>
      <c r="R408" t="str">
        <f>IF(F408="Ignacio", COUNTIF(F$5:F408, "Ignacio"), "")</f>
        <v/>
      </c>
      <c r="S408" t="str">
        <f>IF(F408="Tripulacion", COUNTIF(F$5:F408, "Tripulacion"), "")</f>
        <v/>
      </c>
      <c r="T408" t="str">
        <f>IF(F408="ENAP carga", COUNTIF(F$5:F408, "ENAP carga"), "")</f>
        <v/>
      </c>
    </row>
    <row r="409" spans="12:20" x14ac:dyDescent="0.2">
      <c r="L409" s="23" t="str">
        <f t="shared" si="8"/>
        <v/>
      </c>
      <c r="Q409" t="str">
        <f>IF(F409="CJ", COUNTIF(F$5:F409, "CJ"), "")</f>
        <v/>
      </c>
      <c r="R409" t="str">
        <f>IF(F409="Ignacio", COUNTIF(F$5:F409, "Ignacio"), "")</f>
        <v/>
      </c>
      <c r="S409" t="str">
        <f>IF(F409="Tripulacion", COUNTIF(F$5:F409, "Tripulacion"), "")</f>
        <v/>
      </c>
      <c r="T409" t="str">
        <f>IF(F409="ENAP carga", COUNTIF(F$5:F409, "ENAP carga"), "")</f>
        <v/>
      </c>
    </row>
    <row r="410" spans="12:20" x14ac:dyDescent="0.2">
      <c r="L410" s="23" t="str">
        <f t="shared" si="8"/>
        <v/>
      </c>
      <c r="Q410" t="str">
        <f>IF(F410="CJ", COUNTIF(F$5:F410, "CJ"), "")</f>
        <v/>
      </c>
      <c r="R410" t="str">
        <f>IF(F410="Ignacio", COUNTIF(F$5:F410, "Ignacio"), "")</f>
        <v/>
      </c>
      <c r="S410" t="str">
        <f>IF(F410="Tripulacion", COUNTIF(F$5:F410, "Tripulacion"), "")</f>
        <v/>
      </c>
      <c r="T410" t="str">
        <f>IF(F410="ENAP carga", COUNTIF(F$5:F410, "ENAP carga"), "")</f>
        <v/>
      </c>
    </row>
    <row r="411" spans="12:20" x14ac:dyDescent="0.2">
      <c r="L411" s="23" t="str">
        <f t="shared" si="8"/>
        <v/>
      </c>
      <c r="Q411" t="str">
        <f>IF(F411="CJ", COUNTIF(F$5:F411, "CJ"), "")</f>
        <v/>
      </c>
      <c r="R411" t="str">
        <f>IF(F411="Ignacio", COUNTIF(F$5:F411, "Ignacio"), "")</f>
        <v/>
      </c>
      <c r="S411" t="str">
        <f>IF(F411="Tripulacion", COUNTIF(F$5:F411, "Tripulacion"), "")</f>
        <v/>
      </c>
      <c r="T411" t="str">
        <f>IF(F411="ENAP carga", COUNTIF(F$5:F411, "ENAP carga"), "")</f>
        <v/>
      </c>
    </row>
    <row r="412" spans="12:20" x14ac:dyDescent="0.2">
      <c r="L412" s="23" t="str">
        <f t="shared" si="8"/>
        <v/>
      </c>
      <c r="Q412" t="str">
        <f>IF(F412="CJ", COUNTIF(F$5:F412, "CJ"), "")</f>
        <v/>
      </c>
      <c r="R412" t="str">
        <f>IF(F412="Ignacio", COUNTIF(F$5:F412, "Ignacio"), "")</f>
        <v/>
      </c>
      <c r="S412" t="str">
        <f>IF(F412="Tripulacion", COUNTIF(F$5:F412, "Tripulacion"), "")</f>
        <v/>
      </c>
      <c r="T412" t="str">
        <f>IF(F412="ENAP carga", COUNTIF(F$5:F412, "ENAP carga"), "")</f>
        <v/>
      </c>
    </row>
    <row r="413" spans="12:20" x14ac:dyDescent="0.2">
      <c r="L413" s="23" t="str">
        <f t="shared" si="8"/>
        <v/>
      </c>
      <c r="Q413" t="str">
        <f>IF(F413="CJ", COUNTIF(F$5:F413, "CJ"), "")</f>
        <v/>
      </c>
      <c r="R413" t="str">
        <f>IF(F413="Ignacio", COUNTIF(F$5:F413, "Ignacio"), "")</f>
        <v/>
      </c>
      <c r="S413" t="str">
        <f>IF(F413="Tripulacion", COUNTIF(F$5:F413, "Tripulacion"), "")</f>
        <v/>
      </c>
      <c r="T413" t="str">
        <f>IF(F413="ENAP carga", COUNTIF(F$5:F413, "ENAP carga"), "")</f>
        <v/>
      </c>
    </row>
    <row r="414" spans="12:20" x14ac:dyDescent="0.2">
      <c r="L414" s="23" t="str">
        <f t="shared" si="8"/>
        <v/>
      </c>
      <c r="Q414" t="str">
        <f>IF(F414="CJ", COUNTIF(F$5:F414, "CJ"), "")</f>
        <v/>
      </c>
      <c r="R414" t="str">
        <f>IF(F414="Ignacio", COUNTIF(F$5:F414, "Ignacio"), "")</f>
        <v/>
      </c>
      <c r="S414" t="str">
        <f>IF(F414="Tripulacion", COUNTIF(F$5:F414, "Tripulacion"), "")</f>
        <v/>
      </c>
      <c r="T414" t="str">
        <f>IF(F414="ENAP carga", COUNTIF(F$5:F414, "ENAP carga"), "")</f>
        <v/>
      </c>
    </row>
    <row r="415" spans="12:20" x14ac:dyDescent="0.2">
      <c r="L415" s="23" t="str">
        <f t="shared" si="8"/>
        <v/>
      </c>
      <c r="Q415" t="str">
        <f>IF(F415="CJ", COUNTIF(F$5:F415, "CJ"), "")</f>
        <v/>
      </c>
      <c r="R415" t="str">
        <f>IF(F415="Ignacio", COUNTIF(F$5:F415, "Ignacio"), "")</f>
        <v/>
      </c>
      <c r="S415" t="str">
        <f>IF(F415="Tripulacion", COUNTIF(F$5:F415, "Tripulacion"), "")</f>
        <v/>
      </c>
      <c r="T415" t="str">
        <f>IF(F415="ENAP carga", COUNTIF(F$5:F415, "ENAP carga"), "")</f>
        <v/>
      </c>
    </row>
    <row r="416" spans="12:20" x14ac:dyDescent="0.2">
      <c r="L416" s="23" t="str">
        <f t="shared" si="8"/>
        <v/>
      </c>
      <c r="Q416" t="str">
        <f>IF(F416="CJ", COUNTIF(F$5:F416, "CJ"), "")</f>
        <v/>
      </c>
      <c r="R416" t="str">
        <f>IF(F416="Ignacio", COUNTIF(F$5:F416, "Ignacio"), "")</f>
        <v/>
      </c>
      <c r="S416" t="str">
        <f>IF(F416="Tripulacion", COUNTIF(F$5:F416, "Tripulacion"), "")</f>
        <v/>
      </c>
      <c r="T416" t="str">
        <f>IF(F416="ENAP carga", COUNTIF(F$5:F416, "ENAP carga"), "")</f>
        <v/>
      </c>
    </row>
    <row r="417" spans="12:20" x14ac:dyDescent="0.2">
      <c r="L417" s="23" t="str">
        <f t="shared" si="8"/>
        <v/>
      </c>
      <c r="Q417" t="str">
        <f>IF(F417="CJ", COUNTIF(F$5:F417, "CJ"), "")</f>
        <v/>
      </c>
      <c r="R417" t="str">
        <f>IF(F417="Ignacio", COUNTIF(F$5:F417, "Ignacio"), "")</f>
        <v/>
      </c>
      <c r="S417" t="str">
        <f>IF(F417="Tripulacion", COUNTIF(F$5:F417, "Tripulacion"), "")</f>
        <v/>
      </c>
      <c r="T417" t="str">
        <f>IF(F417="ENAP carga", COUNTIF(F$5:F417, "ENAP carga"), "")</f>
        <v/>
      </c>
    </row>
    <row r="418" spans="12:20" x14ac:dyDescent="0.2">
      <c r="L418" s="23" t="str">
        <f t="shared" si="8"/>
        <v/>
      </c>
      <c r="Q418" t="str">
        <f>IF(F418="CJ", COUNTIF(F$5:F418, "CJ"), "")</f>
        <v/>
      </c>
      <c r="R418" t="str">
        <f>IF(F418="Ignacio", COUNTIF(F$5:F418, "Ignacio"), "")</f>
        <v/>
      </c>
      <c r="S418" t="str">
        <f>IF(F418="Tripulacion", COUNTIF(F$5:F418, "Tripulacion"), "")</f>
        <v/>
      </c>
      <c r="T418" t="str">
        <f>IF(F418="ENAP carga", COUNTIF(F$5:F418, "ENAP carga"), "")</f>
        <v/>
      </c>
    </row>
    <row r="419" spans="12:20" x14ac:dyDescent="0.2">
      <c r="L419" s="23" t="str">
        <f t="shared" si="8"/>
        <v/>
      </c>
      <c r="Q419" t="str">
        <f>IF(F419="CJ", COUNTIF(F$5:F419, "CJ"), "")</f>
        <v/>
      </c>
      <c r="R419" t="str">
        <f>IF(F419="Ignacio", COUNTIF(F$5:F419, "Ignacio"), "")</f>
        <v/>
      </c>
      <c r="S419" t="str">
        <f>IF(F419="Tripulacion", COUNTIF(F$5:F419, "Tripulacion"), "")</f>
        <v/>
      </c>
      <c r="T419" t="str">
        <f>IF(F419="ENAP carga", COUNTIF(F$5:F419, "ENAP carga"), "")</f>
        <v/>
      </c>
    </row>
    <row r="420" spans="12:20" x14ac:dyDescent="0.2">
      <c r="L420" s="23" t="str">
        <f t="shared" si="8"/>
        <v/>
      </c>
      <c r="Q420" t="str">
        <f>IF(F420="CJ", COUNTIF(F$5:F420, "CJ"), "")</f>
        <v/>
      </c>
      <c r="R420" t="str">
        <f>IF(F420="Ignacio", COUNTIF(F$5:F420, "Ignacio"), "")</f>
        <v/>
      </c>
      <c r="S420" t="str">
        <f>IF(F420="Tripulacion", COUNTIF(F$5:F420, "Tripulacion"), "")</f>
        <v/>
      </c>
      <c r="T420" t="str">
        <f>IF(F420="ENAP carga", COUNTIF(F$5:F420, "ENAP carga"), "")</f>
        <v/>
      </c>
    </row>
    <row r="421" spans="12:20" x14ac:dyDescent="0.2">
      <c r="L421" s="23" t="str">
        <f t="shared" si="8"/>
        <v/>
      </c>
      <c r="Q421" t="str">
        <f>IF(F421="CJ", COUNTIF(F$5:F421, "CJ"), "")</f>
        <v/>
      </c>
      <c r="R421" t="str">
        <f>IF(F421="Ignacio", COUNTIF(F$5:F421, "Ignacio"), "")</f>
        <v/>
      </c>
      <c r="S421" t="str">
        <f>IF(F421="Tripulacion", COUNTIF(F$5:F421, "Tripulacion"), "")</f>
        <v/>
      </c>
      <c r="T421" t="str">
        <f>IF(F421="ENAP carga", COUNTIF(F$5:F421, "ENAP carga"), "")</f>
        <v/>
      </c>
    </row>
    <row r="422" spans="12:20" x14ac:dyDescent="0.2">
      <c r="L422" s="23" t="str">
        <f t="shared" si="8"/>
        <v/>
      </c>
      <c r="Q422" t="str">
        <f>IF(F422="CJ", COUNTIF(F$5:F422, "CJ"), "")</f>
        <v/>
      </c>
      <c r="R422" t="str">
        <f>IF(F422="Ignacio", COUNTIF(F$5:F422, "Ignacio"), "")</f>
        <v/>
      </c>
      <c r="S422" t="str">
        <f>IF(F422="Tripulacion", COUNTIF(F$5:F422, "Tripulacion"), "")</f>
        <v/>
      </c>
      <c r="T422" t="str">
        <f>IF(F422="ENAP carga", COUNTIF(F$5:F422, "ENAP carga"), "")</f>
        <v/>
      </c>
    </row>
    <row r="423" spans="12:20" x14ac:dyDescent="0.2">
      <c r="L423" s="23" t="str">
        <f t="shared" si="8"/>
        <v/>
      </c>
      <c r="Q423" t="str">
        <f>IF(F423="CJ", COUNTIF(F$5:F423, "CJ"), "")</f>
        <v/>
      </c>
      <c r="R423" t="str">
        <f>IF(F423="Ignacio", COUNTIF(F$5:F423, "Ignacio"), "")</f>
        <v/>
      </c>
      <c r="S423" t="str">
        <f>IF(F423="Tripulacion", COUNTIF(F$5:F423, "Tripulacion"), "")</f>
        <v/>
      </c>
      <c r="T423" t="str">
        <f>IF(F423="ENAP carga", COUNTIF(F$5:F423, "ENAP carga"), "")</f>
        <v/>
      </c>
    </row>
    <row r="424" spans="12:20" x14ac:dyDescent="0.2">
      <c r="L424" s="23" t="str">
        <f t="shared" si="8"/>
        <v/>
      </c>
      <c r="Q424" t="str">
        <f>IF(F424="CJ", COUNTIF(F$5:F424, "CJ"), "")</f>
        <v/>
      </c>
      <c r="R424" t="str">
        <f>IF(F424="Ignacio", COUNTIF(F$5:F424, "Ignacio"), "")</f>
        <v/>
      </c>
      <c r="S424" t="str">
        <f>IF(F424="Tripulacion", COUNTIF(F$5:F424, "Tripulacion"), "")</f>
        <v/>
      </c>
      <c r="T424" t="str">
        <f>IF(F424="ENAP carga", COUNTIF(F$5:F424, "ENAP carga"), "")</f>
        <v/>
      </c>
    </row>
    <row r="425" spans="12:20" x14ac:dyDescent="0.2">
      <c r="L425" s="23" t="str">
        <f t="shared" si="8"/>
        <v/>
      </c>
      <c r="Q425" t="str">
        <f>IF(F425="CJ", COUNTIF(F$5:F425, "CJ"), "")</f>
        <v/>
      </c>
      <c r="R425" t="str">
        <f>IF(F425="Ignacio", COUNTIF(F$5:F425, "Ignacio"), "")</f>
        <v/>
      </c>
      <c r="S425" t="str">
        <f>IF(F425="Tripulacion", COUNTIF(F$5:F425, "Tripulacion"), "")</f>
        <v/>
      </c>
      <c r="T425" t="str">
        <f>IF(F425="ENAP carga", COUNTIF(F$5:F425, "ENAP carga"), "")</f>
        <v/>
      </c>
    </row>
    <row r="426" spans="12:20" x14ac:dyDescent="0.2">
      <c r="L426" s="23" t="str">
        <f t="shared" si="8"/>
        <v/>
      </c>
      <c r="Q426" t="str">
        <f>IF(F426="CJ", COUNTIF(F$5:F426, "CJ"), "")</f>
        <v/>
      </c>
      <c r="R426" t="str">
        <f>IF(F426="Ignacio", COUNTIF(F$5:F426, "Ignacio"), "")</f>
        <v/>
      </c>
      <c r="S426" t="str">
        <f>IF(F426="Tripulacion", COUNTIF(F$5:F426, "Tripulacion"), "")</f>
        <v/>
      </c>
      <c r="T426" t="str">
        <f>IF(F426="ENAP carga", COUNTIF(F$5:F426, "ENAP carga"), "")</f>
        <v/>
      </c>
    </row>
    <row r="427" spans="12:20" x14ac:dyDescent="0.2">
      <c r="L427" s="23" t="str">
        <f t="shared" si="8"/>
        <v/>
      </c>
      <c r="Q427" t="str">
        <f>IF(F427="CJ", COUNTIF(F$5:F427, "CJ"), "")</f>
        <v/>
      </c>
      <c r="R427" t="str">
        <f>IF(F427="Ignacio", COUNTIF(F$5:F427, "Ignacio"), "")</f>
        <v/>
      </c>
      <c r="S427" t="str">
        <f>IF(F427="Tripulacion", COUNTIF(F$5:F427, "Tripulacion"), "")</f>
        <v/>
      </c>
      <c r="T427" t="str">
        <f>IF(F427="ENAP carga", COUNTIF(F$5:F427, "ENAP carga"), "")</f>
        <v/>
      </c>
    </row>
    <row r="428" spans="12:20" x14ac:dyDescent="0.2">
      <c r="L428" s="23" t="str">
        <f t="shared" si="8"/>
        <v/>
      </c>
      <c r="Q428" t="str">
        <f>IF(F428="CJ", COUNTIF(F$5:F428, "CJ"), "")</f>
        <v/>
      </c>
      <c r="R428" t="str">
        <f>IF(F428="Ignacio", COUNTIF(F$5:F428, "Ignacio"), "")</f>
        <v/>
      </c>
      <c r="S428" t="str">
        <f>IF(F428="Tripulacion", COUNTIF(F$5:F428, "Tripulacion"), "")</f>
        <v/>
      </c>
      <c r="T428" t="str">
        <f>IF(F428="ENAP carga", COUNTIF(F$5:F428, "ENAP carga"), "")</f>
        <v/>
      </c>
    </row>
    <row r="429" spans="12:20" x14ac:dyDescent="0.2">
      <c r="L429" s="23" t="str">
        <f t="shared" si="8"/>
        <v/>
      </c>
      <c r="Q429" t="str">
        <f>IF(F429="CJ", COUNTIF(F$5:F429, "CJ"), "")</f>
        <v/>
      </c>
      <c r="R429" t="str">
        <f>IF(F429="Ignacio", COUNTIF(F$5:F429, "Ignacio"), "")</f>
        <v/>
      </c>
      <c r="S429" t="str">
        <f>IF(F429="Tripulacion", COUNTIF(F$5:F429, "Tripulacion"), "")</f>
        <v/>
      </c>
      <c r="T429" t="str">
        <f>IF(F429="ENAP carga", COUNTIF(F$5:F429, "ENAP carga"), "")</f>
        <v/>
      </c>
    </row>
    <row r="430" spans="12:20" x14ac:dyDescent="0.2">
      <c r="L430" s="23" t="str">
        <f t="shared" si="8"/>
        <v/>
      </c>
      <c r="Q430" t="str">
        <f>IF(F430="CJ", COUNTIF(F$5:F430, "CJ"), "")</f>
        <v/>
      </c>
      <c r="R430" t="str">
        <f>IF(F430="Ignacio", COUNTIF(F$5:F430, "Ignacio"), "")</f>
        <v/>
      </c>
      <c r="S430" t="str">
        <f>IF(F430="Tripulacion", COUNTIF(F$5:F430, "Tripulacion"), "")</f>
        <v/>
      </c>
      <c r="T430" t="str">
        <f>IF(F430="ENAP carga", COUNTIF(F$5:F430, "ENAP carga"), "")</f>
        <v/>
      </c>
    </row>
    <row r="431" spans="12:20" x14ac:dyDescent="0.2">
      <c r="L431" s="23" t="str">
        <f t="shared" si="8"/>
        <v/>
      </c>
      <c r="Q431" t="str">
        <f>IF(F431="CJ", COUNTIF(F$5:F431, "CJ"), "")</f>
        <v/>
      </c>
      <c r="R431" t="str">
        <f>IF(F431="Ignacio", COUNTIF(F$5:F431, "Ignacio"), "")</f>
        <v/>
      </c>
      <c r="S431" t="str">
        <f>IF(F431="Tripulacion", COUNTIF(F$5:F431, "Tripulacion"), "")</f>
        <v/>
      </c>
      <c r="T431" t="str">
        <f>IF(F431="ENAP carga", COUNTIF(F$5:F431, "ENAP carga"), "")</f>
        <v/>
      </c>
    </row>
    <row r="432" spans="12:20" x14ac:dyDescent="0.2">
      <c r="L432" s="23" t="str">
        <f t="shared" si="8"/>
        <v/>
      </c>
      <c r="Q432" t="str">
        <f>IF(F432="CJ", COUNTIF(F$5:F432, "CJ"), "")</f>
        <v/>
      </c>
      <c r="R432" t="str">
        <f>IF(F432="Ignacio", COUNTIF(F$5:F432, "Ignacio"), "")</f>
        <v/>
      </c>
      <c r="S432" t="str">
        <f>IF(F432="Tripulacion", COUNTIF(F$5:F432, "Tripulacion"), "")</f>
        <v/>
      </c>
      <c r="T432" t="str">
        <f>IF(F432="ENAP carga", COUNTIF(F$5:F432, "ENAP carga"), "")</f>
        <v/>
      </c>
    </row>
    <row r="433" spans="12:20" x14ac:dyDescent="0.2">
      <c r="L433" s="23" t="str">
        <f t="shared" si="8"/>
        <v/>
      </c>
      <c r="Q433" t="str">
        <f>IF(F433="CJ", COUNTIF(F$5:F433, "CJ"), "")</f>
        <v/>
      </c>
      <c r="R433" t="str">
        <f>IF(F433="Ignacio", COUNTIF(F$5:F433, "Ignacio"), "")</f>
        <v/>
      </c>
      <c r="S433" t="str">
        <f>IF(F433="Tripulacion", COUNTIF(F$5:F433, "Tripulacion"), "")</f>
        <v/>
      </c>
      <c r="T433" t="str">
        <f>IF(F433="ENAP carga", COUNTIF(F$5:F433, "ENAP carga"), "")</f>
        <v/>
      </c>
    </row>
    <row r="434" spans="12:20" x14ac:dyDescent="0.2">
      <c r="L434" s="23" t="str">
        <f t="shared" si="8"/>
        <v/>
      </c>
      <c r="Q434" t="str">
        <f>IF(F434="CJ", COUNTIF(F$5:F434, "CJ"), "")</f>
        <v/>
      </c>
      <c r="R434" t="str">
        <f>IF(F434="Ignacio", COUNTIF(F$5:F434, "Ignacio"), "")</f>
        <v/>
      </c>
      <c r="S434" t="str">
        <f>IF(F434="Tripulacion", COUNTIF(F$5:F434, "Tripulacion"), "")</f>
        <v/>
      </c>
      <c r="T434" t="str">
        <f>IF(F434="ENAP carga", COUNTIF(F$5:F434, "ENAP carga"), "")</f>
        <v/>
      </c>
    </row>
    <row r="435" spans="12:20" x14ac:dyDescent="0.2">
      <c r="L435" s="23" t="str">
        <f t="shared" si="8"/>
        <v/>
      </c>
      <c r="Q435" t="str">
        <f>IF(F435="CJ", COUNTIF(F$5:F435, "CJ"), "")</f>
        <v/>
      </c>
      <c r="R435" t="str">
        <f>IF(F435="Ignacio", COUNTIF(F$5:F435, "Ignacio"), "")</f>
        <v/>
      </c>
      <c r="S435" t="str">
        <f>IF(F435="Tripulacion", COUNTIF(F$5:F435, "Tripulacion"), "")</f>
        <v/>
      </c>
      <c r="T435" t="str">
        <f>IF(F435="ENAP carga", COUNTIF(F$5:F435, "ENAP carga"), "")</f>
        <v/>
      </c>
    </row>
    <row r="436" spans="12:20" x14ac:dyDescent="0.2">
      <c r="L436" s="23" t="str">
        <f t="shared" si="8"/>
        <v/>
      </c>
      <c r="Q436" t="str">
        <f>IF(F436="CJ", COUNTIF(F$5:F436, "CJ"), "")</f>
        <v/>
      </c>
      <c r="R436" t="str">
        <f>IF(F436="Ignacio", COUNTIF(F$5:F436, "Ignacio"), "")</f>
        <v/>
      </c>
      <c r="S436" t="str">
        <f>IF(F436="Tripulacion", COUNTIF(F$5:F436, "Tripulacion"), "")</f>
        <v/>
      </c>
      <c r="T436" t="str">
        <f>IF(F436="ENAP carga", COUNTIF(F$5:F436, "ENAP carga"), "")</f>
        <v/>
      </c>
    </row>
    <row r="437" spans="12:20" x14ac:dyDescent="0.2">
      <c r="L437" s="23" t="str">
        <f t="shared" si="8"/>
        <v/>
      </c>
      <c r="Q437" t="str">
        <f>IF(F437="CJ", COUNTIF(F$5:F437, "CJ"), "")</f>
        <v/>
      </c>
      <c r="R437" t="str">
        <f>IF(F437="Ignacio", COUNTIF(F$5:F437, "Ignacio"), "")</f>
        <v/>
      </c>
      <c r="S437" t="str">
        <f>IF(F437="Tripulacion", COUNTIF(F$5:F437, "Tripulacion"), "")</f>
        <v/>
      </c>
      <c r="T437" t="str">
        <f>IF(F437="ENAP carga", COUNTIF(F$5:F437, "ENAP carga"), "")</f>
        <v/>
      </c>
    </row>
    <row r="438" spans="12:20" x14ac:dyDescent="0.2">
      <c r="L438" s="23" t="str">
        <f t="shared" si="8"/>
        <v/>
      </c>
      <c r="Q438" t="str">
        <f>IF(F438="CJ", COUNTIF(F$5:F438, "CJ"), "")</f>
        <v/>
      </c>
      <c r="R438" t="str">
        <f>IF(F438="Ignacio", COUNTIF(F$5:F438, "Ignacio"), "")</f>
        <v/>
      </c>
      <c r="S438" t="str">
        <f>IF(F438="Tripulacion", COUNTIF(F$5:F438, "Tripulacion"), "")</f>
        <v/>
      </c>
      <c r="T438" t="str">
        <f>IF(F438="ENAP carga", COUNTIF(F$5:F438, "ENAP carga"), "")</f>
        <v/>
      </c>
    </row>
    <row r="439" spans="12:20" x14ac:dyDescent="0.2">
      <c r="L439" s="23" t="str">
        <f t="shared" si="8"/>
        <v/>
      </c>
      <c r="Q439" t="str">
        <f>IF(F439="CJ", COUNTIF(F$5:F439, "CJ"), "")</f>
        <v/>
      </c>
      <c r="R439" t="str">
        <f>IF(F439="Ignacio", COUNTIF(F$5:F439, "Ignacio"), "")</f>
        <v/>
      </c>
      <c r="S439" t="str">
        <f>IF(F439="Tripulacion", COUNTIF(F$5:F439, "Tripulacion"), "")</f>
        <v/>
      </c>
      <c r="T439" t="str">
        <f>IF(F439="ENAP carga", COUNTIF(F$5:F439, "ENAP carga"), "")</f>
        <v/>
      </c>
    </row>
    <row r="440" spans="12:20" x14ac:dyDescent="0.2">
      <c r="L440" s="23" t="str">
        <f t="shared" si="8"/>
        <v/>
      </c>
      <c r="Q440" t="str">
        <f>IF(F440="CJ", COUNTIF(F$5:F440, "CJ"), "")</f>
        <v/>
      </c>
      <c r="R440" t="str">
        <f>IF(F440="Ignacio", COUNTIF(F$5:F440, "Ignacio"), "")</f>
        <v/>
      </c>
      <c r="S440" t="str">
        <f>IF(F440="Tripulacion", COUNTIF(F$5:F440, "Tripulacion"), "")</f>
        <v/>
      </c>
      <c r="T440" t="str">
        <f>IF(F440="ENAP carga", COUNTIF(F$5:F440, "ENAP carga"), "")</f>
        <v/>
      </c>
    </row>
    <row r="441" spans="12:20" x14ac:dyDescent="0.2">
      <c r="L441" s="23" t="str">
        <f t="shared" si="8"/>
        <v/>
      </c>
      <c r="Q441" t="str">
        <f>IF(F441="CJ", COUNTIF(F$5:F441, "CJ"), "")</f>
        <v/>
      </c>
      <c r="R441" t="str">
        <f>IF(F441="Ignacio", COUNTIF(F$5:F441, "Ignacio"), "")</f>
        <v/>
      </c>
      <c r="S441" t="str">
        <f>IF(F441="Tripulacion", COUNTIF(F$5:F441, "Tripulacion"), "")</f>
        <v/>
      </c>
      <c r="T441" t="str">
        <f>IF(F441="ENAP carga", COUNTIF(F$5:F441, "ENAP carga"), "")</f>
        <v/>
      </c>
    </row>
    <row r="442" spans="12:20" x14ac:dyDescent="0.2">
      <c r="L442" s="23" t="str">
        <f t="shared" si="8"/>
        <v/>
      </c>
      <c r="Q442" t="str">
        <f>IF(F442="CJ", COUNTIF(F$5:F442, "CJ"), "")</f>
        <v/>
      </c>
      <c r="R442" t="str">
        <f>IF(F442="Ignacio", COUNTIF(F$5:F442, "Ignacio"), "")</f>
        <v/>
      </c>
      <c r="S442" t="str">
        <f>IF(F442="Tripulacion", COUNTIF(F$5:F442, "Tripulacion"), "")</f>
        <v/>
      </c>
      <c r="T442" t="str">
        <f>IF(F442="ENAP carga", COUNTIF(F$5:F442, "ENAP carga"), "")</f>
        <v/>
      </c>
    </row>
    <row r="443" spans="12:20" x14ac:dyDescent="0.2">
      <c r="L443" s="23" t="str">
        <f t="shared" si="8"/>
        <v/>
      </c>
      <c r="Q443" t="str">
        <f>IF(F443="CJ", COUNTIF(F$5:F443, "CJ"), "")</f>
        <v/>
      </c>
      <c r="R443" t="str">
        <f>IF(F443="Ignacio", COUNTIF(F$5:F443, "Ignacio"), "")</f>
        <v/>
      </c>
      <c r="S443" t="str">
        <f>IF(F443="Tripulacion", COUNTIF(F$5:F443, "Tripulacion"), "")</f>
        <v/>
      </c>
      <c r="T443" t="str">
        <f>IF(F443="ENAP carga", COUNTIF(F$5:F443, "ENAP carga"), "")</f>
        <v/>
      </c>
    </row>
    <row r="444" spans="12:20" x14ac:dyDescent="0.2">
      <c r="L444" s="23" t="str">
        <f t="shared" si="8"/>
        <v/>
      </c>
      <c r="Q444" t="str">
        <f>IF(F444="CJ", COUNTIF(F$5:F444, "CJ"), "")</f>
        <v/>
      </c>
      <c r="R444" t="str">
        <f>IF(F444="Ignacio", COUNTIF(F$5:F444, "Ignacio"), "")</f>
        <v/>
      </c>
      <c r="S444" t="str">
        <f>IF(F444="Tripulacion", COUNTIF(F$5:F444, "Tripulacion"), "")</f>
        <v/>
      </c>
      <c r="T444" t="str">
        <f>IF(F444="ENAP carga", COUNTIF(F$5:F444, "ENAP carga"), "")</f>
        <v/>
      </c>
    </row>
    <row r="445" spans="12:20" x14ac:dyDescent="0.2">
      <c r="L445" s="23" t="str">
        <f t="shared" si="8"/>
        <v/>
      </c>
      <c r="Q445" t="str">
        <f>IF(F445="CJ", COUNTIF(F$5:F445, "CJ"), "")</f>
        <v/>
      </c>
      <c r="R445" t="str">
        <f>IF(F445="Ignacio", COUNTIF(F$5:F445, "Ignacio"), "")</f>
        <v/>
      </c>
      <c r="S445" t="str">
        <f>IF(F445="Tripulacion", COUNTIF(F$5:F445, "Tripulacion"), "")</f>
        <v/>
      </c>
      <c r="T445" t="str">
        <f>IF(F445="ENAP carga", COUNTIF(F$5:F445, "ENAP carga"), "")</f>
        <v/>
      </c>
    </row>
    <row r="446" spans="12:20" x14ac:dyDescent="0.2">
      <c r="L446" s="23" t="str">
        <f t="shared" si="8"/>
        <v/>
      </c>
      <c r="Q446" t="str">
        <f>IF(F446="CJ", COUNTIF(F$5:F446, "CJ"), "")</f>
        <v/>
      </c>
      <c r="R446" t="str">
        <f>IF(F446="Ignacio", COUNTIF(F$5:F446, "Ignacio"), "")</f>
        <v/>
      </c>
      <c r="S446" t="str">
        <f>IF(F446="Tripulacion", COUNTIF(F$5:F446, "Tripulacion"), "")</f>
        <v/>
      </c>
      <c r="T446" t="str">
        <f>IF(F446="ENAP carga", COUNTIF(F$5:F446, "ENAP carga"), "")</f>
        <v/>
      </c>
    </row>
    <row r="447" spans="12:20" x14ac:dyDescent="0.2">
      <c r="L447" s="23" t="str">
        <f t="shared" si="8"/>
        <v/>
      </c>
      <c r="Q447" t="str">
        <f>IF(F447="CJ", COUNTIF(F$5:F447, "CJ"), "")</f>
        <v/>
      </c>
      <c r="R447" t="str">
        <f>IF(F447="Ignacio", COUNTIF(F$5:F447, "Ignacio"), "")</f>
        <v/>
      </c>
      <c r="S447" t="str">
        <f>IF(F447="Tripulacion", COUNTIF(F$5:F447, "Tripulacion"), "")</f>
        <v/>
      </c>
      <c r="T447" t="str">
        <f>IF(F447="ENAP carga", COUNTIF(F$5:F447, "ENAP carga"), "")</f>
        <v/>
      </c>
    </row>
    <row r="448" spans="12:20" x14ac:dyDescent="0.2">
      <c r="L448" s="23" t="str">
        <f t="shared" si="8"/>
        <v/>
      </c>
      <c r="Q448" t="str">
        <f>IF(F448="CJ", COUNTIF(F$5:F448, "CJ"), "")</f>
        <v/>
      </c>
      <c r="R448" t="str">
        <f>IF(F448="Ignacio", COUNTIF(F$5:F448, "Ignacio"), "")</f>
        <v/>
      </c>
      <c r="S448" t="str">
        <f>IF(F448="Tripulacion", COUNTIF(F$5:F448, "Tripulacion"), "")</f>
        <v/>
      </c>
      <c r="T448" t="str">
        <f>IF(F448="ENAP carga", COUNTIF(F$5:F448, "ENAP carga"), "")</f>
        <v/>
      </c>
    </row>
    <row r="449" spans="12:20" x14ac:dyDescent="0.2">
      <c r="L449" s="23" t="str">
        <f t="shared" si="8"/>
        <v/>
      </c>
      <c r="Q449" t="str">
        <f>IF(F449="CJ", COUNTIF(F$5:F449, "CJ"), "")</f>
        <v/>
      </c>
      <c r="R449" t="str">
        <f>IF(F449="Ignacio", COUNTIF(F$5:F449, "Ignacio"), "")</f>
        <v/>
      </c>
      <c r="S449" t="str">
        <f>IF(F449="Tripulacion", COUNTIF(F$5:F449, "Tripulacion"), "")</f>
        <v/>
      </c>
      <c r="T449" t="str">
        <f>IF(F449="ENAP carga", COUNTIF(F$5:F449, "ENAP carga"), "")</f>
        <v/>
      </c>
    </row>
    <row r="450" spans="12:20" x14ac:dyDescent="0.2">
      <c r="L450" s="23" t="str">
        <f t="shared" si="8"/>
        <v/>
      </c>
      <c r="Q450" t="str">
        <f>IF(F450="CJ", COUNTIF(F$5:F450, "CJ"), "")</f>
        <v/>
      </c>
      <c r="R450" t="str">
        <f>IF(F450="Ignacio", COUNTIF(F$5:F450, "Ignacio"), "")</f>
        <v/>
      </c>
      <c r="S450" t="str">
        <f>IF(F450="Tripulacion", COUNTIF(F$5:F450, "Tripulacion"), "")</f>
        <v/>
      </c>
      <c r="T450" t="str">
        <f>IF(F450="ENAP carga", COUNTIF(F$5:F450, "ENAP carga"), "")</f>
        <v/>
      </c>
    </row>
    <row r="451" spans="12:20" x14ac:dyDescent="0.2">
      <c r="L451" s="23" t="str">
        <f t="shared" si="8"/>
        <v/>
      </c>
      <c r="Q451" t="str">
        <f>IF(F451="CJ", COUNTIF(F$5:F451, "CJ"), "")</f>
        <v/>
      </c>
      <c r="R451" t="str">
        <f>IF(F451="Ignacio", COUNTIF(F$5:F451, "Ignacio"), "")</f>
        <v/>
      </c>
      <c r="S451" t="str">
        <f>IF(F451="Tripulacion", COUNTIF(F$5:F451, "Tripulacion"), "")</f>
        <v/>
      </c>
      <c r="T451" t="str">
        <f>IF(F451="ENAP carga", COUNTIF(F$5:F451, "ENAP carga"), "")</f>
        <v/>
      </c>
    </row>
    <row r="452" spans="12:20" x14ac:dyDescent="0.2">
      <c r="L452" s="23" t="str">
        <f t="shared" si="8"/>
        <v/>
      </c>
      <c r="Q452" t="str">
        <f>IF(F452="CJ", COUNTIF(F$5:F452, "CJ"), "")</f>
        <v/>
      </c>
      <c r="R452" t="str">
        <f>IF(F452="Ignacio", COUNTIF(F$5:F452, "Ignacio"), "")</f>
        <v/>
      </c>
      <c r="S452" t="str">
        <f>IF(F452="Tripulacion", COUNTIF(F$5:F452, "Tripulacion"), "")</f>
        <v/>
      </c>
      <c r="T452" t="str">
        <f>IF(F452="ENAP carga", COUNTIF(F$5:F452, "ENAP carga"), "")</f>
        <v/>
      </c>
    </row>
    <row r="453" spans="12:20" x14ac:dyDescent="0.2">
      <c r="L453" s="23" t="str">
        <f t="shared" si="8"/>
        <v/>
      </c>
      <c r="Q453" t="str">
        <f>IF(F453="CJ", COUNTIF(F$5:F453, "CJ"), "")</f>
        <v/>
      </c>
      <c r="R453" t="str">
        <f>IF(F453="Ignacio", COUNTIF(F$5:F453, "Ignacio"), "")</f>
        <v/>
      </c>
      <c r="S453" t="str">
        <f>IF(F453="Tripulacion", COUNTIF(F$5:F453, "Tripulacion"), "")</f>
        <v/>
      </c>
      <c r="T453" t="str">
        <f>IF(F453="ENAP carga", COUNTIF(F$5:F453, "ENAP carga"), "")</f>
        <v/>
      </c>
    </row>
    <row r="454" spans="12:20" x14ac:dyDescent="0.2">
      <c r="L454" s="23" t="str">
        <f t="shared" si="8"/>
        <v/>
      </c>
      <c r="Q454" t="str">
        <f>IF(F454="CJ", COUNTIF(F$5:F454, "CJ"), "")</f>
        <v/>
      </c>
      <c r="R454" t="str">
        <f>IF(F454="Ignacio", COUNTIF(F$5:F454, "Ignacio"), "")</f>
        <v/>
      </c>
      <c r="S454" t="str">
        <f>IF(F454="Tripulacion", COUNTIF(F$5:F454, "Tripulacion"), "")</f>
        <v/>
      </c>
      <c r="T454" t="str">
        <f>IF(F454="ENAP carga", COUNTIF(F$5:F454, "ENAP carga"), "")</f>
        <v/>
      </c>
    </row>
    <row r="455" spans="12:20" x14ac:dyDescent="0.2">
      <c r="L455" s="23" t="str">
        <f t="shared" si="8"/>
        <v/>
      </c>
      <c r="Q455" t="str">
        <f>IF(F455="CJ", COUNTIF(F$5:F455, "CJ"), "")</f>
        <v/>
      </c>
      <c r="R455" t="str">
        <f>IF(F455="Ignacio", COUNTIF(F$5:F455, "Ignacio"), "")</f>
        <v/>
      </c>
      <c r="S455" t="str">
        <f>IF(F455="Tripulacion", COUNTIF(F$5:F455, "Tripulacion"), "")</f>
        <v/>
      </c>
      <c r="T455" t="str">
        <f>IF(F455="ENAP carga", COUNTIF(F$5:F455, "ENAP carga"), "")</f>
        <v/>
      </c>
    </row>
    <row r="456" spans="12:20" x14ac:dyDescent="0.2">
      <c r="L456" s="23" t="str">
        <f t="shared" si="8"/>
        <v/>
      </c>
      <c r="Q456" t="str">
        <f>IF(F456="CJ", COUNTIF(F$5:F456, "CJ"), "")</f>
        <v/>
      </c>
      <c r="R456" t="str">
        <f>IF(F456="Ignacio", COUNTIF(F$5:F456, "Ignacio"), "")</f>
        <v/>
      </c>
      <c r="S456" t="str">
        <f>IF(F456="Tripulacion", COUNTIF(F$5:F456, "Tripulacion"), "")</f>
        <v/>
      </c>
      <c r="T456" t="str">
        <f>IF(F456="ENAP carga", COUNTIF(F$5:F456, "ENAP carga"), "")</f>
        <v/>
      </c>
    </row>
    <row r="457" spans="12:20" x14ac:dyDescent="0.2">
      <c r="L457" s="23" t="str">
        <f t="shared" si="8"/>
        <v/>
      </c>
      <c r="Q457" t="str">
        <f>IF(F457="CJ", COUNTIF(F$5:F457, "CJ"), "")</f>
        <v/>
      </c>
      <c r="R457" t="str">
        <f>IF(F457="Ignacio", COUNTIF(F$5:F457, "Ignacio"), "")</f>
        <v/>
      </c>
      <c r="S457" t="str">
        <f>IF(F457="Tripulacion", COUNTIF(F$5:F457, "Tripulacion"), "")</f>
        <v/>
      </c>
      <c r="T457" t="str">
        <f>IF(F457="ENAP carga", COUNTIF(F$5:F457, "ENAP carga"), "")</f>
        <v/>
      </c>
    </row>
    <row r="458" spans="12:20" x14ac:dyDescent="0.2">
      <c r="L458" s="23" t="str">
        <f t="shared" si="8"/>
        <v/>
      </c>
      <c r="Q458" t="str">
        <f>IF(F458="CJ", COUNTIF(F$5:F458, "CJ"), "")</f>
        <v/>
      </c>
      <c r="R458" t="str">
        <f>IF(F458="Ignacio", COUNTIF(F$5:F458, "Ignacio"), "")</f>
        <v/>
      </c>
      <c r="S458" t="str">
        <f>IF(F458="Tripulacion", COUNTIF(F$5:F458, "Tripulacion"), "")</f>
        <v/>
      </c>
      <c r="T458" t="str">
        <f>IF(F458="ENAP carga", COUNTIF(F$5:F458, "ENAP carga"), "")</f>
        <v/>
      </c>
    </row>
    <row r="459" spans="12:20" x14ac:dyDescent="0.2">
      <c r="L459" s="23" t="str">
        <f t="shared" si="8"/>
        <v/>
      </c>
      <c r="Q459" t="str">
        <f>IF(F459="CJ", COUNTIF(F$5:F459, "CJ"), "")</f>
        <v/>
      </c>
      <c r="R459" t="str">
        <f>IF(F459="Ignacio", COUNTIF(F$5:F459, "Ignacio"), "")</f>
        <v/>
      </c>
      <c r="S459" t="str">
        <f>IF(F459="Tripulacion", COUNTIF(F$5:F459, "Tripulacion"), "")</f>
        <v/>
      </c>
      <c r="T459" t="str">
        <f>IF(F459="ENAP carga", COUNTIF(F$5:F459, "ENAP carga"), "")</f>
        <v/>
      </c>
    </row>
    <row r="460" spans="12:20" x14ac:dyDescent="0.2">
      <c r="L460" s="23" t="str">
        <f t="shared" si="8"/>
        <v/>
      </c>
      <c r="Q460" t="str">
        <f>IF(F460="CJ", COUNTIF(F$5:F460, "CJ"), "")</f>
        <v/>
      </c>
      <c r="R460" t="str">
        <f>IF(F460="Ignacio", COUNTIF(F$5:F460, "Ignacio"), "")</f>
        <v/>
      </c>
      <c r="S460" t="str">
        <f>IF(F460="Tripulacion", COUNTIF(F$5:F460, "Tripulacion"), "")</f>
        <v/>
      </c>
      <c r="T460" t="str">
        <f>IF(F460="ENAP carga", COUNTIF(F$5:F460, "ENAP carga"), "")</f>
        <v/>
      </c>
    </row>
    <row r="461" spans="12:20" x14ac:dyDescent="0.2">
      <c r="L461" s="23" t="str">
        <f t="shared" si="8"/>
        <v/>
      </c>
      <c r="Q461" t="str">
        <f>IF(F461="CJ", COUNTIF(F$5:F461, "CJ"), "")</f>
        <v/>
      </c>
      <c r="R461" t="str">
        <f>IF(F461="Ignacio", COUNTIF(F$5:F461, "Ignacio"), "")</f>
        <v/>
      </c>
      <c r="S461" t="str">
        <f>IF(F461="Tripulacion", COUNTIF(F$5:F461, "Tripulacion"), "")</f>
        <v/>
      </c>
      <c r="T461" t="str">
        <f>IF(F461="ENAP carga", COUNTIF(F$5:F461, "ENAP carga"), "")</f>
        <v/>
      </c>
    </row>
    <row r="462" spans="12:20" x14ac:dyDescent="0.2">
      <c r="L462" s="23" t="str">
        <f t="shared" ref="L462:L525" si="9">IF(F462="CJ", I462*200, "")</f>
        <v/>
      </c>
      <c r="Q462" t="str">
        <f>IF(F462="CJ", COUNTIF(F$5:F462, "CJ"), "")</f>
        <v/>
      </c>
      <c r="R462" t="str">
        <f>IF(F462="Ignacio", COUNTIF(F$5:F462, "Ignacio"), "")</f>
        <v/>
      </c>
      <c r="S462" t="str">
        <f>IF(F462="Tripulacion", COUNTIF(F$5:F462, "Tripulacion"), "")</f>
        <v/>
      </c>
      <c r="T462" t="str">
        <f>IF(F462="ENAP carga", COUNTIF(F$5:F462, "ENAP carga"), "")</f>
        <v/>
      </c>
    </row>
    <row r="463" spans="12:20" x14ac:dyDescent="0.2">
      <c r="L463" s="23" t="str">
        <f t="shared" si="9"/>
        <v/>
      </c>
      <c r="Q463" t="str">
        <f>IF(F463="CJ", COUNTIF(F$5:F463, "CJ"), "")</f>
        <v/>
      </c>
      <c r="R463" t="str">
        <f>IF(F463="Ignacio", COUNTIF(F$5:F463, "Ignacio"), "")</f>
        <v/>
      </c>
      <c r="S463" t="str">
        <f>IF(F463="Tripulacion", COUNTIF(F$5:F463, "Tripulacion"), "")</f>
        <v/>
      </c>
      <c r="T463" t="str">
        <f>IF(F463="ENAP carga", COUNTIF(F$5:F463, "ENAP carga"), "")</f>
        <v/>
      </c>
    </row>
    <row r="464" spans="12:20" x14ac:dyDescent="0.2">
      <c r="L464" s="23" t="str">
        <f t="shared" si="9"/>
        <v/>
      </c>
      <c r="Q464" t="str">
        <f>IF(F464="CJ", COUNTIF(F$5:F464, "CJ"), "")</f>
        <v/>
      </c>
      <c r="R464" t="str">
        <f>IF(F464="Ignacio", COUNTIF(F$5:F464, "Ignacio"), "")</f>
        <v/>
      </c>
      <c r="S464" t="str">
        <f>IF(F464="Tripulacion", COUNTIF(F$5:F464, "Tripulacion"), "")</f>
        <v/>
      </c>
      <c r="T464" t="str">
        <f>IF(F464="ENAP carga", COUNTIF(F$5:F464, "ENAP carga"), "")</f>
        <v/>
      </c>
    </row>
    <row r="465" spans="12:20" x14ac:dyDescent="0.2">
      <c r="L465" s="23" t="str">
        <f t="shared" si="9"/>
        <v/>
      </c>
      <c r="Q465" t="str">
        <f>IF(F465="CJ", COUNTIF(F$5:F465, "CJ"), "")</f>
        <v/>
      </c>
      <c r="R465" t="str">
        <f>IF(F465="Ignacio", COUNTIF(F$5:F465, "Ignacio"), "")</f>
        <v/>
      </c>
      <c r="S465" t="str">
        <f>IF(F465="Tripulacion", COUNTIF(F$5:F465, "Tripulacion"), "")</f>
        <v/>
      </c>
      <c r="T465" t="str">
        <f>IF(F465="ENAP carga", COUNTIF(F$5:F465, "ENAP carga"), "")</f>
        <v/>
      </c>
    </row>
    <row r="466" spans="12:20" x14ac:dyDescent="0.2">
      <c r="L466" s="23" t="str">
        <f t="shared" si="9"/>
        <v/>
      </c>
      <c r="Q466" t="str">
        <f>IF(F466="CJ", COUNTIF(F$5:F466, "CJ"), "")</f>
        <v/>
      </c>
      <c r="R466" t="str">
        <f>IF(F466="Ignacio", COUNTIF(F$5:F466, "Ignacio"), "")</f>
        <v/>
      </c>
      <c r="S466" t="str">
        <f>IF(F466="Tripulacion", COUNTIF(F$5:F466, "Tripulacion"), "")</f>
        <v/>
      </c>
      <c r="T466" t="str">
        <f>IF(F466="ENAP carga", COUNTIF(F$5:F466, "ENAP carga"), "")</f>
        <v/>
      </c>
    </row>
    <row r="467" spans="12:20" x14ac:dyDescent="0.2">
      <c r="L467" s="23" t="str">
        <f t="shared" si="9"/>
        <v/>
      </c>
      <c r="Q467" t="str">
        <f>IF(F467="CJ", COUNTIF(F$5:F467, "CJ"), "")</f>
        <v/>
      </c>
      <c r="R467" t="str">
        <f>IF(F467="Ignacio", COUNTIF(F$5:F467, "Ignacio"), "")</f>
        <v/>
      </c>
      <c r="S467" t="str">
        <f>IF(F467="Tripulacion", COUNTIF(F$5:F467, "Tripulacion"), "")</f>
        <v/>
      </c>
      <c r="T467" t="str">
        <f>IF(F467="ENAP carga", COUNTIF(F$5:F467, "ENAP carga"), "")</f>
        <v/>
      </c>
    </row>
    <row r="468" spans="12:20" x14ac:dyDescent="0.2">
      <c r="L468" s="23" t="str">
        <f t="shared" si="9"/>
        <v/>
      </c>
      <c r="Q468" t="str">
        <f>IF(F468="CJ", COUNTIF(F$5:F468, "CJ"), "")</f>
        <v/>
      </c>
      <c r="R468" t="str">
        <f>IF(F468="Ignacio", COUNTIF(F$5:F468, "Ignacio"), "")</f>
        <v/>
      </c>
      <c r="S468" t="str">
        <f>IF(F468="Tripulacion", COUNTIF(F$5:F468, "Tripulacion"), "")</f>
        <v/>
      </c>
      <c r="T468" t="str">
        <f>IF(F468="ENAP carga", COUNTIF(F$5:F468, "ENAP carga"), "")</f>
        <v/>
      </c>
    </row>
    <row r="469" spans="12:20" x14ac:dyDescent="0.2">
      <c r="L469" s="23" t="str">
        <f t="shared" si="9"/>
        <v/>
      </c>
      <c r="Q469" t="str">
        <f>IF(F469="CJ", COUNTIF(F$5:F469, "CJ"), "")</f>
        <v/>
      </c>
      <c r="R469" t="str">
        <f>IF(F469="Ignacio", COUNTIF(F$5:F469, "Ignacio"), "")</f>
        <v/>
      </c>
      <c r="S469" t="str">
        <f>IF(F469="Tripulacion", COUNTIF(F$5:F469, "Tripulacion"), "")</f>
        <v/>
      </c>
      <c r="T469" t="str">
        <f>IF(F469="ENAP carga", COUNTIF(F$5:F469, "ENAP carga"), "")</f>
        <v/>
      </c>
    </row>
    <row r="470" spans="12:20" x14ac:dyDescent="0.2">
      <c r="L470" s="23" t="str">
        <f t="shared" si="9"/>
        <v/>
      </c>
      <c r="Q470" t="str">
        <f>IF(F470="CJ", COUNTIF(F$5:F470, "CJ"), "")</f>
        <v/>
      </c>
      <c r="R470" t="str">
        <f>IF(F470="Ignacio", COUNTIF(F$5:F470, "Ignacio"), "")</f>
        <v/>
      </c>
      <c r="S470" t="str">
        <f>IF(F470="Tripulacion", COUNTIF(F$5:F470, "Tripulacion"), "")</f>
        <v/>
      </c>
      <c r="T470" t="str">
        <f>IF(F470="ENAP carga", COUNTIF(F$5:F470, "ENAP carga"), "")</f>
        <v/>
      </c>
    </row>
    <row r="471" spans="12:20" x14ac:dyDescent="0.2">
      <c r="L471" s="23" t="str">
        <f t="shared" si="9"/>
        <v/>
      </c>
      <c r="Q471" t="str">
        <f>IF(F471="CJ", COUNTIF(F$5:F471, "CJ"), "")</f>
        <v/>
      </c>
      <c r="R471" t="str">
        <f>IF(F471="Ignacio", COUNTIF(F$5:F471, "Ignacio"), "")</f>
        <v/>
      </c>
      <c r="S471" t="str">
        <f>IF(F471="Tripulacion", COUNTIF(F$5:F471, "Tripulacion"), "")</f>
        <v/>
      </c>
      <c r="T471" t="str">
        <f>IF(F471="ENAP carga", COUNTIF(F$5:F471, "ENAP carga"), "")</f>
        <v/>
      </c>
    </row>
    <row r="472" spans="12:20" x14ac:dyDescent="0.2">
      <c r="L472" s="23" t="str">
        <f t="shared" si="9"/>
        <v/>
      </c>
      <c r="Q472" t="str">
        <f>IF(F472="CJ", COUNTIF(F$5:F472, "CJ"), "")</f>
        <v/>
      </c>
      <c r="R472" t="str">
        <f>IF(F472="Ignacio", COUNTIF(F$5:F472, "Ignacio"), "")</f>
        <v/>
      </c>
      <c r="S472" t="str">
        <f>IF(F472="Tripulacion", COUNTIF(F$5:F472, "Tripulacion"), "")</f>
        <v/>
      </c>
      <c r="T472" t="str">
        <f>IF(F472="ENAP carga", COUNTIF(F$5:F472, "ENAP carga"), "")</f>
        <v/>
      </c>
    </row>
    <row r="473" spans="12:20" x14ac:dyDescent="0.2">
      <c r="L473" s="23" t="str">
        <f t="shared" si="9"/>
        <v/>
      </c>
      <c r="Q473" t="str">
        <f>IF(F473="CJ", COUNTIF(F$5:F473, "CJ"), "")</f>
        <v/>
      </c>
      <c r="R473" t="str">
        <f>IF(F473="Ignacio", COUNTIF(F$5:F473, "Ignacio"), "")</f>
        <v/>
      </c>
      <c r="S473" t="str">
        <f>IF(F473="Tripulacion", COUNTIF(F$5:F473, "Tripulacion"), "")</f>
        <v/>
      </c>
      <c r="T473" t="str">
        <f>IF(F473="ENAP carga", COUNTIF(F$5:F473, "ENAP carga"), "")</f>
        <v/>
      </c>
    </row>
    <row r="474" spans="12:20" x14ac:dyDescent="0.2">
      <c r="L474" s="23" t="str">
        <f t="shared" si="9"/>
        <v/>
      </c>
      <c r="Q474" t="str">
        <f>IF(F474="CJ", COUNTIF(F$5:F474, "CJ"), "")</f>
        <v/>
      </c>
      <c r="R474" t="str">
        <f>IF(F474="Ignacio", COUNTIF(F$5:F474, "Ignacio"), "")</f>
        <v/>
      </c>
      <c r="S474" t="str">
        <f>IF(F474="Tripulacion", COUNTIF(F$5:F474, "Tripulacion"), "")</f>
        <v/>
      </c>
      <c r="T474" t="str">
        <f>IF(F474="ENAP carga", COUNTIF(F$5:F474, "ENAP carga"), "")</f>
        <v/>
      </c>
    </row>
    <row r="475" spans="12:20" x14ac:dyDescent="0.2">
      <c r="L475" s="23" t="str">
        <f t="shared" si="9"/>
        <v/>
      </c>
      <c r="Q475" t="str">
        <f>IF(F475="CJ", COUNTIF(F$5:F475, "CJ"), "")</f>
        <v/>
      </c>
      <c r="R475" t="str">
        <f>IF(F475="Ignacio", COUNTIF(F$5:F475, "Ignacio"), "")</f>
        <v/>
      </c>
      <c r="S475" t="str">
        <f>IF(F475="Tripulacion", COUNTIF(F$5:F475, "Tripulacion"), "")</f>
        <v/>
      </c>
      <c r="T475" t="str">
        <f>IF(F475="ENAP carga", COUNTIF(F$5:F475, "ENAP carga"), "")</f>
        <v/>
      </c>
    </row>
    <row r="476" spans="12:20" x14ac:dyDescent="0.2">
      <c r="L476" s="23" t="str">
        <f t="shared" si="9"/>
        <v/>
      </c>
      <c r="Q476" t="str">
        <f>IF(F476="CJ", COUNTIF(F$5:F476, "CJ"), "")</f>
        <v/>
      </c>
      <c r="R476" t="str">
        <f>IF(F476="Ignacio", COUNTIF(F$5:F476, "Ignacio"), "")</f>
        <v/>
      </c>
      <c r="S476" t="str">
        <f>IF(F476="Tripulacion", COUNTIF(F$5:F476, "Tripulacion"), "")</f>
        <v/>
      </c>
      <c r="T476" t="str">
        <f>IF(F476="ENAP carga", COUNTIF(F$5:F476, "ENAP carga"), "")</f>
        <v/>
      </c>
    </row>
    <row r="477" spans="12:20" x14ac:dyDescent="0.2">
      <c r="L477" s="23" t="str">
        <f t="shared" si="9"/>
        <v/>
      </c>
      <c r="Q477" t="str">
        <f>IF(F477="CJ", COUNTIF(F$5:F477, "CJ"), "")</f>
        <v/>
      </c>
      <c r="R477" t="str">
        <f>IF(F477="Ignacio", COUNTIF(F$5:F477, "Ignacio"), "")</f>
        <v/>
      </c>
      <c r="S477" t="str">
        <f>IF(F477="Tripulacion", COUNTIF(F$5:F477, "Tripulacion"), "")</f>
        <v/>
      </c>
      <c r="T477" t="str">
        <f>IF(F477="ENAP carga", COUNTIF(F$5:F477, "ENAP carga"), "")</f>
        <v/>
      </c>
    </row>
    <row r="478" spans="12:20" x14ac:dyDescent="0.2">
      <c r="L478" s="23" t="str">
        <f t="shared" si="9"/>
        <v/>
      </c>
      <c r="Q478" t="str">
        <f>IF(F478="CJ", COUNTIF(F$5:F478, "CJ"), "")</f>
        <v/>
      </c>
      <c r="R478" t="str">
        <f>IF(F478="Ignacio", COUNTIF(F$5:F478, "Ignacio"), "")</f>
        <v/>
      </c>
      <c r="S478" t="str">
        <f>IF(F478="Tripulacion", COUNTIF(F$5:F478, "Tripulacion"), "")</f>
        <v/>
      </c>
      <c r="T478" t="str">
        <f>IF(F478="ENAP carga", COUNTIF(F$5:F478, "ENAP carga"), "")</f>
        <v/>
      </c>
    </row>
    <row r="479" spans="12:20" x14ac:dyDescent="0.2">
      <c r="L479" s="23" t="str">
        <f t="shared" si="9"/>
        <v/>
      </c>
      <c r="Q479" t="str">
        <f>IF(F479="CJ", COUNTIF(F$5:F479, "CJ"), "")</f>
        <v/>
      </c>
      <c r="R479" t="str">
        <f>IF(F479="Ignacio", COUNTIF(F$5:F479, "Ignacio"), "")</f>
        <v/>
      </c>
      <c r="S479" t="str">
        <f>IF(F479="Tripulacion", COUNTIF(F$5:F479, "Tripulacion"), "")</f>
        <v/>
      </c>
      <c r="T479" t="str">
        <f>IF(F479="ENAP carga", COUNTIF(F$5:F479, "ENAP carga"), "")</f>
        <v/>
      </c>
    </row>
    <row r="480" spans="12:20" x14ac:dyDescent="0.2">
      <c r="L480" s="23" t="str">
        <f t="shared" si="9"/>
        <v/>
      </c>
      <c r="Q480" t="str">
        <f>IF(F480="CJ", COUNTIF(F$5:F480, "CJ"), "")</f>
        <v/>
      </c>
      <c r="R480" t="str">
        <f>IF(F480="Ignacio", COUNTIF(F$5:F480, "Ignacio"), "")</f>
        <v/>
      </c>
      <c r="S480" t="str">
        <f>IF(F480="Tripulacion", COUNTIF(F$5:F480, "Tripulacion"), "")</f>
        <v/>
      </c>
      <c r="T480" t="str">
        <f>IF(F480="ENAP carga", COUNTIF(F$5:F480, "ENAP carga"), "")</f>
        <v/>
      </c>
    </row>
    <row r="481" spans="12:20" x14ac:dyDescent="0.2">
      <c r="L481" s="23" t="str">
        <f t="shared" si="9"/>
        <v/>
      </c>
      <c r="Q481" t="str">
        <f>IF(F481="CJ", COUNTIF(F$5:F481, "CJ"), "")</f>
        <v/>
      </c>
      <c r="R481" t="str">
        <f>IF(F481="Ignacio", COUNTIF(F$5:F481, "Ignacio"), "")</f>
        <v/>
      </c>
      <c r="S481" t="str">
        <f>IF(F481="Tripulacion", COUNTIF(F$5:F481, "Tripulacion"), "")</f>
        <v/>
      </c>
      <c r="T481" t="str">
        <f>IF(F481="ENAP carga", COUNTIF(F$5:F481, "ENAP carga"), "")</f>
        <v/>
      </c>
    </row>
    <row r="482" spans="12:20" x14ac:dyDescent="0.2">
      <c r="L482" s="23" t="str">
        <f t="shared" si="9"/>
        <v/>
      </c>
      <c r="Q482" t="str">
        <f>IF(F482="CJ", COUNTIF(F$5:F482, "CJ"), "")</f>
        <v/>
      </c>
      <c r="R482" t="str">
        <f>IF(F482="Ignacio", COUNTIF(F$5:F482, "Ignacio"), "")</f>
        <v/>
      </c>
      <c r="S482" t="str">
        <f>IF(F482="Tripulacion", COUNTIF(F$5:F482, "Tripulacion"), "")</f>
        <v/>
      </c>
      <c r="T482" t="str">
        <f>IF(F482="ENAP carga", COUNTIF(F$5:F482, "ENAP carga"), "")</f>
        <v/>
      </c>
    </row>
    <row r="483" spans="12:20" x14ac:dyDescent="0.2">
      <c r="L483" s="23" t="str">
        <f t="shared" si="9"/>
        <v/>
      </c>
      <c r="Q483" t="str">
        <f>IF(F483="CJ", COUNTIF(F$5:F483, "CJ"), "")</f>
        <v/>
      </c>
      <c r="R483" t="str">
        <f>IF(F483="Ignacio", COUNTIF(F$5:F483, "Ignacio"), "")</f>
        <v/>
      </c>
      <c r="S483" t="str">
        <f>IF(F483="Tripulacion", COUNTIF(F$5:F483, "Tripulacion"), "")</f>
        <v/>
      </c>
      <c r="T483" t="str">
        <f>IF(F483="ENAP carga", COUNTIF(F$5:F483, "ENAP carga"), "")</f>
        <v/>
      </c>
    </row>
    <row r="484" spans="12:20" x14ac:dyDescent="0.2">
      <c r="L484" s="23" t="str">
        <f t="shared" si="9"/>
        <v/>
      </c>
      <c r="Q484" t="str">
        <f>IF(F484="CJ", COUNTIF(F$5:F484, "CJ"), "")</f>
        <v/>
      </c>
      <c r="R484" t="str">
        <f>IF(F484="Ignacio", COUNTIF(F$5:F484, "Ignacio"), "")</f>
        <v/>
      </c>
      <c r="S484" t="str">
        <f>IF(F484="Tripulacion", COUNTIF(F$5:F484, "Tripulacion"), "")</f>
        <v/>
      </c>
      <c r="T484" t="str">
        <f>IF(F484="ENAP carga", COUNTIF(F$5:F484, "ENAP carga"), "")</f>
        <v/>
      </c>
    </row>
    <row r="485" spans="12:20" x14ac:dyDescent="0.2">
      <c r="L485" s="23" t="str">
        <f t="shared" si="9"/>
        <v/>
      </c>
      <c r="Q485" t="str">
        <f>IF(F485="CJ", COUNTIF(F$5:F485, "CJ"), "")</f>
        <v/>
      </c>
      <c r="R485" t="str">
        <f>IF(F485="Ignacio", COUNTIF(F$5:F485, "Ignacio"), "")</f>
        <v/>
      </c>
      <c r="S485" t="str">
        <f>IF(F485="Tripulacion", COUNTIF(F$5:F485, "Tripulacion"), "")</f>
        <v/>
      </c>
      <c r="T485" t="str">
        <f>IF(F485="ENAP carga", COUNTIF(F$5:F485, "ENAP carga"), "")</f>
        <v/>
      </c>
    </row>
    <row r="486" spans="12:20" x14ac:dyDescent="0.2">
      <c r="L486" s="23" t="str">
        <f t="shared" si="9"/>
        <v/>
      </c>
      <c r="Q486" t="str">
        <f>IF(F486="CJ", COUNTIF(F$5:F486, "CJ"), "")</f>
        <v/>
      </c>
      <c r="R486" t="str">
        <f>IF(F486="Ignacio", COUNTIF(F$5:F486, "Ignacio"), "")</f>
        <v/>
      </c>
      <c r="S486" t="str">
        <f>IF(F486="Tripulacion", COUNTIF(F$5:F486, "Tripulacion"), "")</f>
        <v/>
      </c>
      <c r="T486" t="str">
        <f>IF(F486="ENAP carga", COUNTIF(F$5:F486, "ENAP carga"), "")</f>
        <v/>
      </c>
    </row>
    <row r="487" spans="12:20" x14ac:dyDescent="0.2">
      <c r="L487" s="23" t="str">
        <f t="shared" si="9"/>
        <v/>
      </c>
      <c r="Q487" t="str">
        <f>IF(F487="CJ", COUNTIF(F$5:F487, "CJ"), "")</f>
        <v/>
      </c>
      <c r="R487" t="str">
        <f>IF(F487="Ignacio", COUNTIF(F$5:F487, "Ignacio"), "")</f>
        <v/>
      </c>
      <c r="S487" t="str">
        <f>IF(F487="Tripulacion", COUNTIF(F$5:F487, "Tripulacion"), "")</f>
        <v/>
      </c>
      <c r="T487" t="str">
        <f>IF(F487="ENAP carga", COUNTIF(F$5:F487, "ENAP carga"), "")</f>
        <v/>
      </c>
    </row>
    <row r="488" spans="12:20" x14ac:dyDescent="0.2">
      <c r="L488" s="23" t="str">
        <f t="shared" si="9"/>
        <v/>
      </c>
      <c r="Q488" t="str">
        <f>IF(F488="CJ", COUNTIF(F$5:F488, "CJ"), "")</f>
        <v/>
      </c>
      <c r="R488" t="str">
        <f>IF(F488="Ignacio", COUNTIF(F$5:F488, "Ignacio"), "")</f>
        <v/>
      </c>
      <c r="S488" t="str">
        <f>IF(F488="Tripulacion", COUNTIF(F$5:F488, "Tripulacion"), "")</f>
        <v/>
      </c>
      <c r="T488" t="str">
        <f>IF(F488="ENAP carga", COUNTIF(F$5:F488, "ENAP carga"), "")</f>
        <v/>
      </c>
    </row>
    <row r="489" spans="12:20" x14ac:dyDescent="0.2">
      <c r="L489" s="23" t="str">
        <f t="shared" si="9"/>
        <v/>
      </c>
      <c r="Q489" t="str">
        <f>IF(F489="CJ", COUNTIF(F$5:F489, "CJ"), "")</f>
        <v/>
      </c>
      <c r="R489" t="str">
        <f>IF(F489="Ignacio", COUNTIF(F$5:F489, "Ignacio"), "")</f>
        <v/>
      </c>
      <c r="S489" t="str">
        <f>IF(F489="Tripulacion", COUNTIF(F$5:F489, "Tripulacion"), "")</f>
        <v/>
      </c>
      <c r="T489" t="str">
        <f>IF(F489="ENAP carga", COUNTIF(F$5:F489, "ENAP carga"), "")</f>
        <v/>
      </c>
    </row>
    <row r="490" spans="12:20" x14ac:dyDescent="0.2">
      <c r="L490" s="23" t="str">
        <f t="shared" si="9"/>
        <v/>
      </c>
      <c r="Q490" t="str">
        <f>IF(F490="CJ", COUNTIF(F$5:F490, "CJ"), "")</f>
        <v/>
      </c>
      <c r="R490" t="str">
        <f>IF(F490="Ignacio", COUNTIF(F$5:F490, "Ignacio"), "")</f>
        <v/>
      </c>
      <c r="S490" t="str">
        <f>IF(F490="Tripulacion", COUNTIF(F$5:F490, "Tripulacion"), "")</f>
        <v/>
      </c>
      <c r="T490" t="str">
        <f>IF(F490="ENAP carga", COUNTIF(F$5:F490, "ENAP carga"), "")</f>
        <v/>
      </c>
    </row>
    <row r="491" spans="12:20" x14ac:dyDescent="0.2">
      <c r="L491" s="23" t="str">
        <f t="shared" si="9"/>
        <v/>
      </c>
      <c r="Q491" t="str">
        <f>IF(F491="CJ", COUNTIF(F$5:F491, "CJ"), "")</f>
        <v/>
      </c>
      <c r="R491" t="str">
        <f>IF(F491="Ignacio", COUNTIF(F$5:F491, "Ignacio"), "")</f>
        <v/>
      </c>
      <c r="S491" t="str">
        <f>IF(F491="Tripulacion", COUNTIF(F$5:F491, "Tripulacion"), "")</f>
        <v/>
      </c>
      <c r="T491" t="str">
        <f>IF(F491="ENAP carga", COUNTIF(F$5:F491, "ENAP carga"), "")</f>
        <v/>
      </c>
    </row>
    <row r="492" spans="12:20" x14ac:dyDescent="0.2">
      <c r="L492" s="23" t="str">
        <f t="shared" si="9"/>
        <v/>
      </c>
      <c r="Q492" t="str">
        <f>IF(F492="CJ", COUNTIF(F$5:F492, "CJ"), "")</f>
        <v/>
      </c>
      <c r="R492" t="str">
        <f>IF(F492="Ignacio", COUNTIF(F$5:F492, "Ignacio"), "")</f>
        <v/>
      </c>
      <c r="S492" t="str">
        <f>IF(F492="Tripulacion", COUNTIF(F$5:F492, "Tripulacion"), "")</f>
        <v/>
      </c>
      <c r="T492" t="str">
        <f>IF(F492="ENAP carga", COUNTIF(F$5:F492, "ENAP carga"), "")</f>
        <v/>
      </c>
    </row>
    <row r="493" spans="12:20" x14ac:dyDescent="0.2">
      <c r="L493" s="23" t="str">
        <f t="shared" si="9"/>
        <v/>
      </c>
      <c r="Q493" t="str">
        <f>IF(F493="CJ", COUNTIF(F$5:F493, "CJ"), "")</f>
        <v/>
      </c>
      <c r="R493" t="str">
        <f>IF(F493="Ignacio", COUNTIF(F$5:F493, "Ignacio"), "")</f>
        <v/>
      </c>
      <c r="S493" t="str">
        <f>IF(F493="Tripulacion", COUNTIF(F$5:F493, "Tripulacion"), "")</f>
        <v/>
      </c>
      <c r="T493" t="str">
        <f>IF(F493="ENAP carga", COUNTIF(F$5:F493, "ENAP carga"), "")</f>
        <v/>
      </c>
    </row>
    <row r="494" spans="12:20" x14ac:dyDescent="0.2">
      <c r="L494" s="23" t="str">
        <f t="shared" si="9"/>
        <v/>
      </c>
      <c r="Q494" t="str">
        <f>IF(F494="CJ", COUNTIF(F$5:F494, "CJ"), "")</f>
        <v/>
      </c>
      <c r="R494" t="str">
        <f>IF(F494="Ignacio", COUNTIF(F$5:F494, "Ignacio"), "")</f>
        <v/>
      </c>
      <c r="S494" t="str">
        <f>IF(F494="Tripulacion", COUNTIF(F$5:F494, "Tripulacion"), "")</f>
        <v/>
      </c>
      <c r="T494" t="str">
        <f>IF(F494="ENAP carga", COUNTIF(F$5:F494, "ENAP carga"), "")</f>
        <v/>
      </c>
    </row>
    <row r="495" spans="12:20" x14ac:dyDescent="0.2">
      <c r="L495" s="23" t="str">
        <f t="shared" si="9"/>
        <v/>
      </c>
      <c r="Q495" t="str">
        <f>IF(F495="CJ", COUNTIF(F$5:F495, "CJ"), "")</f>
        <v/>
      </c>
      <c r="R495" t="str">
        <f>IF(F495="Ignacio", COUNTIF(F$5:F495, "Ignacio"), "")</f>
        <v/>
      </c>
      <c r="S495" t="str">
        <f>IF(F495="Tripulacion", COUNTIF(F$5:F495, "Tripulacion"), "")</f>
        <v/>
      </c>
      <c r="T495" t="str">
        <f>IF(F495="ENAP carga", COUNTIF(F$5:F495, "ENAP carga"), "")</f>
        <v/>
      </c>
    </row>
    <row r="496" spans="12:20" x14ac:dyDescent="0.2">
      <c r="L496" s="23" t="str">
        <f t="shared" si="9"/>
        <v/>
      </c>
      <c r="Q496" t="str">
        <f>IF(F496="CJ", COUNTIF(F$5:F496, "CJ"), "")</f>
        <v/>
      </c>
      <c r="R496" t="str">
        <f>IF(F496="Ignacio", COUNTIF(F$5:F496, "Ignacio"), "")</f>
        <v/>
      </c>
      <c r="S496" t="str">
        <f>IF(F496="Tripulacion", COUNTIF(F$5:F496, "Tripulacion"), "")</f>
        <v/>
      </c>
      <c r="T496" t="str">
        <f>IF(F496="ENAP carga", COUNTIF(F$5:F496, "ENAP carga"), "")</f>
        <v/>
      </c>
    </row>
    <row r="497" spans="12:20" x14ac:dyDescent="0.2">
      <c r="L497" s="23" t="str">
        <f t="shared" si="9"/>
        <v/>
      </c>
      <c r="Q497" t="str">
        <f>IF(F497="CJ", COUNTIF(F$5:F497, "CJ"), "")</f>
        <v/>
      </c>
      <c r="R497" t="str">
        <f>IF(F497="Ignacio", COUNTIF(F$5:F497, "Ignacio"), "")</f>
        <v/>
      </c>
      <c r="S497" t="str">
        <f>IF(F497="Tripulacion", COUNTIF(F$5:F497, "Tripulacion"), "")</f>
        <v/>
      </c>
      <c r="T497" t="str">
        <f>IF(F497="ENAP carga", COUNTIF(F$5:F497, "ENAP carga"), "")</f>
        <v/>
      </c>
    </row>
    <row r="498" spans="12:20" x14ac:dyDescent="0.2">
      <c r="L498" s="23" t="str">
        <f t="shared" si="9"/>
        <v/>
      </c>
      <c r="Q498" t="str">
        <f>IF(F498="CJ", COUNTIF(F$5:F498, "CJ"), "")</f>
        <v/>
      </c>
      <c r="R498" t="str">
        <f>IF(F498="Ignacio", COUNTIF(F$5:F498, "Ignacio"), "")</f>
        <v/>
      </c>
      <c r="S498" t="str">
        <f>IF(F498="Tripulacion", COUNTIF(F$5:F498, "Tripulacion"), "")</f>
        <v/>
      </c>
      <c r="T498" t="str">
        <f>IF(F498="ENAP carga", COUNTIF(F$5:F498, "ENAP carga"), "")</f>
        <v/>
      </c>
    </row>
    <row r="499" spans="12:20" x14ac:dyDescent="0.2">
      <c r="L499" s="23" t="str">
        <f t="shared" si="9"/>
        <v/>
      </c>
      <c r="Q499" t="str">
        <f>IF(F499="CJ", COUNTIF(F$5:F499, "CJ"), "")</f>
        <v/>
      </c>
      <c r="R499" t="str">
        <f>IF(F499="Ignacio", COUNTIF(F$5:F499, "Ignacio"), "")</f>
        <v/>
      </c>
      <c r="S499" t="str">
        <f>IF(F499="Tripulacion", COUNTIF(F$5:F499, "Tripulacion"), "")</f>
        <v/>
      </c>
      <c r="T499" t="str">
        <f>IF(F499="ENAP carga", COUNTIF(F$5:F499, "ENAP carga"), "")</f>
        <v/>
      </c>
    </row>
    <row r="500" spans="12:20" x14ac:dyDescent="0.2">
      <c r="L500" s="23" t="str">
        <f t="shared" si="9"/>
        <v/>
      </c>
      <c r="Q500" t="str">
        <f>IF(F500="CJ", COUNTIF(F$5:F500, "CJ"), "")</f>
        <v/>
      </c>
      <c r="R500" t="str">
        <f>IF(F500="Ignacio", COUNTIF(F$5:F500, "Ignacio"), "")</f>
        <v/>
      </c>
      <c r="S500" t="str">
        <f>IF(F500="Tripulacion", COUNTIF(F$5:F500, "Tripulacion"), "")</f>
        <v/>
      </c>
      <c r="T500" t="str">
        <f>IF(F500="ENAP carga", COUNTIF(F$5:F500, "ENAP carga"), "")</f>
        <v/>
      </c>
    </row>
    <row r="501" spans="12:20" x14ac:dyDescent="0.2">
      <c r="L501" s="23" t="str">
        <f t="shared" si="9"/>
        <v/>
      </c>
      <c r="Q501" t="str">
        <f>IF(F501="CJ", COUNTIF(F$5:F501, "CJ"), "")</f>
        <v/>
      </c>
      <c r="R501" t="str">
        <f>IF(F501="Ignacio", COUNTIF(F$5:F501, "Ignacio"), "")</f>
        <v/>
      </c>
      <c r="S501" t="str">
        <f>IF(F501="Tripulacion", COUNTIF(F$5:F501, "Tripulacion"), "")</f>
        <v/>
      </c>
      <c r="T501" t="str">
        <f>IF(F501="ENAP carga", COUNTIF(F$5:F501, "ENAP carga"), "")</f>
        <v/>
      </c>
    </row>
    <row r="502" spans="12:20" x14ac:dyDescent="0.2">
      <c r="L502" s="23" t="str">
        <f t="shared" si="9"/>
        <v/>
      </c>
      <c r="Q502" t="str">
        <f>IF(F502="CJ", COUNTIF(F$5:F502, "CJ"), "")</f>
        <v/>
      </c>
      <c r="R502" t="str">
        <f>IF(F502="Ignacio", COUNTIF(F$5:F502, "Ignacio"), "")</f>
        <v/>
      </c>
      <c r="S502" t="str">
        <f>IF(F502="Tripulacion", COUNTIF(F$5:F502, "Tripulacion"), "")</f>
        <v/>
      </c>
      <c r="T502" t="str">
        <f>IF(F502="ENAP carga", COUNTIF(F$5:F502, "ENAP carga"), "")</f>
        <v/>
      </c>
    </row>
    <row r="503" spans="12:20" x14ac:dyDescent="0.2">
      <c r="L503" s="23" t="str">
        <f t="shared" si="9"/>
        <v/>
      </c>
      <c r="Q503" t="str">
        <f>IF(F503="CJ", COUNTIF(F$5:F503, "CJ"), "")</f>
        <v/>
      </c>
      <c r="R503" t="str">
        <f>IF(F503="Ignacio", COUNTIF(F$5:F503, "Ignacio"), "")</f>
        <v/>
      </c>
      <c r="S503" t="str">
        <f>IF(F503="Tripulacion", COUNTIF(F$5:F503, "Tripulacion"), "")</f>
        <v/>
      </c>
      <c r="T503" t="str">
        <f>IF(F503="ENAP carga", COUNTIF(F$5:F503, "ENAP carga"), "")</f>
        <v/>
      </c>
    </row>
    <row r="504" spans="12:20" x14ac:dyDescent="0.2">
      <c r="L504" s="23" t="str">
        <f t="shared" si="9"/>
        <v/>
      </c>
      <c r="Q504" t="str">
        <f>IF(F504="CJ", COUNTIF(F$5:F504, "CJ"), "")</f>
        <v/>
      </c>
      <c r="R504" t="str">
        <f>IF(F504="Ignacio", COUNTIF(F$5:F504, "Ignacio"), "")</f>
        <v/>
      </c>
      <c r="S504" t="str">
        <f>IF(F504="Tripulacion", COUNTIF(F$5:F504, "Tripulacion"), "")</f>
        <v/>
      </c>
      <c r="T504" t="str">
        <f>IF(F504="ENAP carga", COUNTIF(F$5:F504, "ENAP carga"), "")</f>
        <v/>
      </c>
    </row>
    <row r="505" spans="12:20" x14ac:dyDescent="0.2">
      <c r="L505" s="23" t="str">
        <f t="shared" si="9"/>
        <v/>
      </c>
      <c r="Q505" t="str">
        <f>IF(F505="CJ", COUNTIF(F$5:F505, "CJ"), "")</f>
        <v/>
      </c>
      <c r="R505" t="str">
        <f>IF(F505="Ignacio", COUNTIF(F$5:F505, "Ignacio"), "")</f>
        <v/>
      </c>
      <c r="S505" t="str">
        <f>IF(F505="Tripulacion", COUNTIF(F$5:F505, "Tripulacion"), "")</f>
        <v/>
      </c>
      <c r="T505" t="str">
        <f>IF(F505="ENAP carga", COUNTIF(F$5:F505, "ENAP carga"), "")</f>
        <v/>
      </c>
    </row>
    <row r="506" spans="12:20" x14ac:dyDescent="0.2">
      <c r="L506" s="23" t="str">
        <f t="shared" si="9"/>
        <v/>
      </c>
      <c r="Q506" t="str">
        <f>IF(F506="CJ", COUNTIF(F$5:F506, "CJ"), "")</f>
        <v/>
      </c>
      <c r="R506" t="str">
        <f>IF(F506="Ignacio", COUNTIF(F$5:F506, "Ignacio"), "")</f>
        <v/>
      </c>
      <c r="S506" t="str">
        <f>IF(F506="Tripulacion", COUNTIF(F$5:F506, "Tripulacion"), "")</f>
        <v/>
      </c>
      <c r="T506" t="str">
        <f>IF(F506="ENAP carga", COUNTIF(F$5:F506, "ENAP carga"), "")</f>
        <v/>
      </c>
    </row>
    <row r="507" spans="12:20" x14ac:dyDescent="0.2">
      <c r="L507" s="23" t="str">
        <f t="shared" si="9"/>
        <v/>
      </c>
      <c r="Q507" t="str">
        <f>IF(F507="CJ", COUNTIF(F$5:F507, "CJ"), "")</f>
        <v/>
      </c>
      <c r="R507" t="str">
        <f>IF(F507="Ignacio", COUNTIF(F$5:F507, "Ignacio"), "")</f>
        <v/>
      </c>
      <c r="S507" t="str">
        <f>IF(F507="Tripulacion", COUNTIF(F$5:F507, "Tripulacion"), "")</f>
        <v/>
      </c>
      <c r="T507" t="str">
        <f>IF(F507="ENAP carga", COUNTIF(F$5:F507, "ENAP carga"), "")</f>
        <v/>
      </c>
    </row>
    <row r="508" spans="12:20" x14ac:dyDescent="0.2">
      <c r="L508" s="23" t="str">
        <f t="shared" si="9"/>
        <v/>
      </c>
      <c r="Q508" t="str">
        <f>IF(F508="CJ", COUNTIF(F$5:F508, "CJ"), "")</f>
        <v/>
      </c>
      <c r="R508" t="str">
        <f>IF(F508="Ignacio", COUNTIF(F$5:F508, "Ignacio"), "")</f>
        <v/>
      </c>
      <c r="S508" t="str">
        <f>IF(F508="Tripulacion", COUNTIF(F$5:F508, "Tripulacion"), "")</f>
        <v/>
      </c>
      <c r="T508" t="str">
        <f>IF(F508="ENAP carga", COUNTIF(F$5:F508, "ENAP carga"), "")</f>
        <v/>
      </c>
    </row>
    <row r="509" spans="12:20" x14ac:dyDescent="0.2">
      <c r="L509" s="23" t="str">
        <f t="shared" si="9"/>
        <v/>
      </c>
      <c r="Q509" t="str">
        <f>IF(F509="CJ", COUNTIF(F$5:F509, "CJ"), "")</f>
        <v/>
      </c>
      <c r="R509" t="str">
        <f>IF(F509="Ignacio", COUNTIF(F$5:F509, "Ignacio"), "")</f>
        <v/>
      </c>
      <c r="S509" t="str">
        <f>IF(F509="Tripulacion", COUNTIF(F$5:F509, "Tripulacion"), "")</f>
        <v/>
      </c>
      <c r="T509" t="str">
        <f>IF(F509="ENAP carga", COUNTIF(F$5:F509, "ENAP carga"), "")</f>
        <v/>
      </c>
    </row>
    <row r="510" spans="12:20" x14ac:dyDescent="0.2">
      <c r="L510" s="23" t="str">
        <f t="shared" si="9"/>
        <v/>
      </c>
      <c r="Q510" t="str">
        <f>IF(F510="CJ", COUNTIF(F$5:F510, "CJ"), "")</f>
        <v/>
      </c>
      <c r="R510" t="str">
        <f>IF(F510="Ignacio", COUNTIF(F$5:F510, "Ignacio"), "")</f>
        <v/>
      </c>
      <c r="S510" t="str">
        <f>IF(F510="Tripulacion", COUNTIF(F$5:F510, "Tripulacion"), "")</f>
        <v/>
      </c>
      <c r="T510" t="str">
        <f>IF(F510="ENAP carga", COUNTIF(F$5:F510, "ENAP carga"), "")</f>
        <v/>
      </c>
    </row>
    <row r="511" spans="12:20" x14ac:dyDescent="0.2">
      <c r="L511" s="23" t="str">
        <f t="shared" si="9"/>
        <v/>
      </c>
      <c r="Q511" t="str">
        <f>IF(F511="CJ", COUNTIF(F$5:F511, "CJ"), "")</f>
        <v/>
      </c>
      <c r="R511" t="str">
        <f>IF(F511="Ignacio", COUNTIF(F$5:F511, "Ignacio"), "")</f>
        <v/>
      </c>
      <c r="S511" t="str">
        <f>IF(F511="Tripulacion", COUNTIF(F$5:F511, "Tripulacion"), "")</f>
        <v/>
      </c>
      <c r="T511" t="str">
        <f>IF(F511="ENAP carga", COUNTIF(F$5:F511, "ENAP carga"), "")</f>
        <v/>
      </c>
    </row>
    <row r="512" spans="12:20" x14ac:dyDescent="0.2">
      <c r="L512" s="23" t="str">
        <f t="shared" si="9"/>
        <v/>
      </c>
      <c r="Q512" t="str">
        <f>IF(F512="CJ", COUNTIF(F$5:F512, "CJ"), "")</f>
        <v/>
      </c>
      <c r="R512" t="str">
        <f>IF(F512="Ignacio", COUNTIF(F$5:F512, "Ignacio"), "")</f>
        <v/>
      </c>
      <c r="S512" t="str">
        <f>IF(F512="Tripulacion", COUNTIF(F$5:F512, "Tripulacion"), "")</f>
        <v/>
      </c>
      <c r="T512" t="str">
        <f>IF(F512="ENAP carga", COUNTIF(F$5:F512, "ENAP carga"), "")</f>
        <v/>
      </c>
    </row>
    <row r="513" spans="12:20" x14ac:dyDescent="0.2">
      <c r="L513" s="23" t="str">
        <f t="shared" si="9"/>
        <v/>
      </c>
      <c r="Q513" t="str">
        <f>IF(F513="CJ", COUNTIF(F$5:F513, "CJ"), "")</f>
        <v/>
      </c>
      <c r="R513" t="str">
        <f>IF(F513="Ignacio", COUNTIF(F$5:F513, "Ignacio"), "")</f>
        <v/>
      </c>
      <c r="S513" t="str">
        <f>IF(F513="Tripulacion", COUNTIF(F$5:F513, "Tripulacion"), "")</f>
        <v/>
      </c>
      <c r="T513" t="str">
        <f>IF(F513="ENAP carga", COUNTIF(F$5:F513, "ENAP carga"), "")</f>
        <v/>
      </c>
    </row>
    <row r="514" spans="12:20" x14ac:dyDescent="0.2">
      <c r="L514" s="23" t="str">
        <f t="shared" si="9"/>
        <v/>
      </c>
      <c r="Q514" t="str">
        <f>IF(F514="CJ", COUNTIF(F$5:F514, "CJ"), "")</f>
        <v/>
      </c>
      <c r="R514" t="str">
        <f>IF(F514="Ignacio", COUNTIF(F$5:F514, "Ignacio"), "")</f>
        <v/>
      </c>
      <c r="S514" t="str">
        <f>IF(F514="Tripulacion", COUNTIF(F$5:F514, "Tripulacion"), "")</f>
        <v/>
      </c>
      <c r="T514" t="str">
        <f>IF(F514="ENAP carga", COUNTIF(F$5:F514, "ENAP carga"), "")</f>
        <v/>
      </c>
    </row>
    <row r="515" spans="12:20" x14ac:dyDescent="0.2">
      <c r="L515" s="23" t="str">
        <f t="shared" si="9"/>
        <v/>
      </c>
      <c r="Q515" t="str">
        <f>IF(F515="CJ", COUNTIF(F$5:F515, "CJ"), "")</f>
        <v/>
      </c>
      <c r="R515" t="str">
        <f>IF(F515="Ignacio", COUNTIF(F$5:F515, "Ignacio"), "")</f>
        <v/>
      </c>
      <c r="S515" t="str">
        <f>IF(F515="Tripulacion", COUNTIF(F$5:F515, "Tripulacion"), "")</f>
        <v/>
      </c>
      <c r="T515" t="str">
        <f>IF(F515="ENAP carga", COUNTIF(F$5:F515, "ENAP carga"), "")</f>
        <v/>
      </c>
    </row>
    <row r="516" spans="12:20" x14ac:dyDescent="0.2">
      <c r="L516" s="23" t="str">
        <f t="shared" si="9"/>
        <v/>
      </c>
      <c r="Q516" t="str">
        <f>IF(F516="CJ", COUNTIF(F$5:F516, "CJ"), "")</f>
        <v/>
      </c>
      <c r="R516" t="str">
        <f>IF(F516="Ignacio", COUNTIF(F$5:F516, "Ignacio"), "")</f>
        <v/>
      </c>
      <c r="S516" t="str">
        <f>IF(F516="Tripulacion", COUNTIF(F$5:F516, "Tripulacion"), "")</f>
        <v/>
      </c>
      <c r="T516" t="str">
        <f>IF(F516="ENAP carga", COUNTIF(F$5:F516, "ENAP carga"), "")</f>
        <v/>
      </c>
    </row>
    <row r="517" spans="12:20" x14ac:dyDescent="0.2">
      <c r="L517" s="23" t="str">
        <f t="shared" si="9"/>
        <v/>
      </c>
      <c r="Q517" t="str">
        <f>IF(F517="CJ", COUNTIF(F$5:F517, "CJ"), "")</f>
        <v/>
      </c>
      <c r="R517" t="str">
        <f>IF(F517="Ignacio", COUNTIF(F$5:F517, "Ignacio"), "")</f>
        <v/>
      </c>
      <c r="S517" t="str">
        <f>IF(F517="Tripulacion", COUNTIF(F$5:F517, "Tripulacion"), "")</f>
        <v/>
      </c>
      <c r="T517" t="str">
        <f>IF(F517="ENAP carga", COUNTIF(F$5:F517, "ENAP carga"), "")</f>
        <v/>
      </c>
    </row>
    <row r="518" spans="12:20" x14ac:dyDescent="0.2">
      <c r="L518" s="23" t="str">
        <f t="shared" si="9"/>
        <v/>
      </c>
      <c r="Q518" t="str">
        <f>IF(F518="CJ", COUNTIF(F$5:F518, "CJ"), "")</f>
        <v/>
      </c>
      <c r="R518" t="str">
        <f>IF(F518="Ignacio", COUNTIF(F$5:F518, "Ignacio"), "")</f>
        <v/>
      </c>
      <c r="S518" t="str">
        <f>IF(F518="Tripulacion", COUNTIF(F$5:F518, "Tripulacion"), "")</f>
        <v/>
      </c>
      <c r="T518" t="str">
        <f>IF(F518="ENAP carga", COUNTIF(F$5:F518, "ENAP carga"), "")</f>
        <v/>
      </c>
    </row>
    <row r="519" spans="12:20" x14ac:dyDescent="0.2">
      <c r="L519" s="23" t="str">
        <f t="shared" si="9"/>
        <v/>
      </c>
      <c r="Q519" t="str">
        <f>IF(F519="CJ", COUNTIF(F$5:F519, "CJ"), "")</f>
        <v/>
      </c>
      <c r="R519" t="str">
        <f>IF(F519="Ignacio", COUNTIF(F$5:F519, "Ignacio"), "")</f>
        <v/>
      </c>
      <c r="S519" t="str">
        <f>IF(F519="Tripulacion", COUNTIF(F$5:F519, "Tripulacion"), "")</f>
        <v/>
      </c>
      <c r="T519" t="str">
        <f>IF(F519="ENAP carga", COUNTIF(F$5:F519, "ENAP carga"), "")</f>
        <v/>
      </c>
    </row>
    <row r="520" spans="12:20" x14ac:dyDescent="0.2">
      <c r="L520" s="23" t="str">
        <f t="shared" si="9"/>
        <v/>
      </c>
      <c r="Q520" t="str">
        <f>IF(F520="CJ", COUNTIF(F$5:F520, "CJ"), "")</f>
        <v/>
      </c>
      <c r="R520" t="str">
        <f>IF(F520="Ignacio", COUNTIF(F$5:F520, "Ignacio"), "")</f>
        <v/>
      </c>
      <c r="S520" t="str">
        <f>IF(F520="Tripulacion", COUNTIF(F$5:F520, "Tripulacion"), "")</f>
        <v/>
      </c>
      <c r="T520" t="str">
        <f>IF(F520="ENAP carga", COUNTIF(F$5:F520, "ENAP carga"), "")</f>
        <v/>
      </c>
    </row>
    <row r="521" spans="12:20" x14ac:dyDescent="0.2">
      <c r="L521" s="23" t="str">
        <f t="shared" si="9"/>
        <v/>
      </c>
      <c r="Q521" t="str">
        <f>IF(F521="CJ", COUNTIF(F$5:F521, "CJ"), "")</f>
        <v/>
      </c>
      <c r="R521" t="str">
        <f>IF(F521="Ignacio", COUNTIF(F$5:F521, "Ignacio"), "")</f>
        <v/>
      </c>
      <c r="S521" t="str">
        <f>IF(F521="Tripulacion", COUNTIF(F$5:F521, "Tripulacion"), "")</f>
        <v/>
      </c>
      <c r="T521" t="str">
        <f>IF(F521="ENAP carga", COUNTIF(F$5:F521, "ENAP carga"), "")</f>
        <v/>
      </c>
    </row>
    <row r="522" spans="12:20" x14ac:dyDescent="0.2">
      <c r="L522" s="23" t="str">
        <f t="shared" si="9"/>
        <v/>
      </c>
      <c r="Q522" t="str">
        <f>IF(F522="CJ", COUNTIF(F$5:F522, "CJ"), "")</f>
        <v/>
      </c>
      <c r="R522" t="str">
        <f>IF(F522="Ignacio", COUNTIF(F$5:F522, "Ignacio"), "")</f>
        <v/>
      </c>
      <c r="S522" t="str">
        <f>IF(F522="Tripulacion", COUNTIF(F$5:F522, "Tripulacion"), "")</f>
        <v/>
      </c>
      <c r="T522" t="str">
        <f>IF(F522="ENAP carga", COUNTIF(F$5:F522, "ENAP carga"), "")</f>
        <v/>
      </c>
    </row>
    <row r="523" spans="12:20" x14ac:dyDescent="0.2">
      <c r="L523" s="23" t="str">
        <f t="shared" si="9"/>
        <v/>
      </c>
      <c r="Q523" t="str">
        <f>IF(F523="CJ", COUNTIF(F$5:F523, "CJ"), "")</f>
        <v/>
      </c>
      <c r="R523" t="str">
        <f>IF(F523="Ignacio", COUNTIF(F$5:F523, "Ignacio"), "")</f>
        <v/>
      </c>
      <c r="S523" t="str">
        <f>IF(F523="Tripulacion", COUNTIF(F$5:F523, "Tripulacion"), "")</f>
        <v/>
      </c>
      <c r="T523" t="str">
        <f>IF(F523="ENAP carga", COUNTIF(F$5:F523, "ENAP carga"), "")</f>
        <v/>
      </c>
    </row>
    <row r="524" spans="12:20" x14ac:dyDescent="0.2">
      <c r="L524" s="23" t="str">
        <f t="shared" si="9"/>
        <v/>
      </c>
      <c r="Q524" t="str">
        <f>IF(F524="CJ", COUNTIF(F$5:F524, "CJ"), "")</f>
        <v/>
      </c>
      <c r="R524" t="str">
        <f>IF(F524="Ignacio", COUNTIF(F$5:F524, "Ignacio"), "")</f>
        <v/>
      </c>
      <c r="S524" t="str">
        <f>IF(F524="Tripulacion", COUNTIF(F$5:F524, "Tripulacion"), "")</f>
        <v/>
      </c>
      <c r="T524" t="str">
        <f>IF(F524="ENAP carga", COUNTIF(F$5:F524, "ENAP carga"), "")</f>
        <v/>
      </c>
    </row>
    <row r="525" spans="12:20" x14ac:dyDescent="0.2">
      <c r="L525" s="23" t="str">
        <f t="shared" si="9"/>
        <v/>
      </c>
      <c r="Q525" t="str">
        <f>IF(F525="CJ", COUNTIF(F$5:F525, "CJ"), "")</f>
        <v/>
      </c>
      <c r="R525" t="str">
        <f>IF(F525="Ignacio", COUNTIF(F$5:F525, "Ignacio"), "")</f>
        <v/>
      </c>
      <c r="S525" t="str">
        <f>IF(F525="Tripulacion", COUNTIF(F$5:F525, "Tripulacion"), "")</f>
        <v/>
      </c>
      <c r="T525" t="str">
        <f>IF(F525="ENAP carga", COUNTIF(F$5:F525, "ENAP carga"), "")</f>
        <v/>
      </c>
    </row>
    <row r="526" spans="12:20" x14ac:dyDescent="0.2">
      <c r="L526" s="23" t="str">
        <f t="shared" ref="L526:L589" si="10">IF(F526="CJ", I526*200, "")</f>
        <v/>
      </c>
      <c r="Q526" t="str">
        <f>IF(F526="CJ", COUNTIF(F$5:F526, "CJ"), "")</f>
        <v/>
      </c>
      <c r="R526" t="str">
        <f>IF(F526="Ignacio", COUNTIF(F$5:F526, "Ignacio"), "")</f>
        <v/>
      </c>
      <c r="S526" t="str">
        <f>IF(F526="Tripulacion", COUNTIF(F$5:F526, "Tripulacion"), "")</f>
        <v/>
      </c>
      <c r="T526" t="str">
        <f>IF(F526="ENAP carga", COUNTIF(F$5:F526, "ENAP carga"), "")</f>
        <v/>
      </c>
    </row>
    <row r="527" spans="12:20" x14ac:dyDescent="0.2">
      <c r="L527" s="23" t="str">
        <f t="shared" si="10"/>
        <v/>
      </c>
      <c r="Q527" t="str">
        <f>IF(F527="CJ", COUNTIF(F$5:F527, "CJ"), "")</f>
        <v/>
      </c>
      <c r="R527" t="str">
        <f>IF(F527="Ignacio", COUNTIF(F$5:F527, "Ignacio"), "")</f>
        <v/>
      </c>
      <c r="S527" t="str">
        <f>IF(F527="Tripulacion", COUNTIF(F$5:F527, "Tripulacion"), "")</f>
        <v/>
      </c>
      <c r="T527" t="str">
        <f>IF(F527="ENAP carga", COUNTIF(F$5:F527, "ENAP carga"), "")</f>
        <v/>
      </c>
    </row>
    <row r="528" spans="12:20" x14ac:dyDescent="0.2">
      <c r="L528" s="23" t="str">
        <f t="shared" si="10"/>
        <v/>
      </c>
      <c r="Q528" t="str">
        <f>IF(F528="CJ", COUNTIF(F$5:F528, "CJ"), "")</f>
        <v/>
      </c>
      <c r="R528" t="str">
        <f>IF(F528="Ignacio", COUNTIF(F$5:F528, "Ignacio"), "")</f>
        <v/>
      </c>
      <c r="S528" t="str">
        <f>IF(F528="Tripulacion", COUNTIF(F$5:F528, "Tripulacion"), "")</f>
        <v/>
      </c>
      <c r="T528" t="str">
        <f>IF(F528="ENAP carga", COUNTIF(F$5:F528, "ENAP carga"), "")</f>
        <v/>
      </c>
    </row>
    <row r="529" spans="12:20" x14ac:dyDescent="0.2">
      <c r="L529" s="23" t="str">
        <f t="shared" si="10"/>
        <v/>
      </c>
      <c r="Q529" t="str">
        <f>IF(F529="CJ", COUNTIF(F$5:F529, "CJ"), "")</f>
        <v/>
      </c>
      <c r="R529" t="str">
        <f>IF(F529="Ignacio", COUNTIF(F$5:F529, "Ignacio"), "")</f>
        <v/>
      </c>
      <c r="S529" t="str">
        <f>IF(F529="Tripulacion", COUNTIF(F$5:F529, "Tripulacion"), "")</f>
        <v/>
      </c>
      <c r="T529" t="str">
        <f>IF(F529="ENAP carga", COUNTIF(F$5:F529, "ENAP carga"), "")</f>
        <v/>
      </c>
    </row>
    <row r="530" spans="12:20" x14ac:dyDescent="0.2">
      <c r="L530" s="23" t="str">
        <f t="shared" si="10"/>
        <v/>
      </c>
      <c r="Q530" t="str">
        <f>IF(F530="CJ", COUNTIF(F$5:F530, "CJ"), "")</f>
        <v/>
      </c>
      <c r="R530" t="str">
        <f>IF(F530="Ignacio", COUNTIF(F$5:F530, "Ignacio"), "")</f>
        <v/>
      </c>
      <c r="S530" t="str">
        <f>IF(F530="Tripulacion", COUNTIF(F$5:F530, "Tripulacion"), "")</f>
        <v/>
      </c>
      <c r="T530" t="str">
        <f>IF(F530="ENAP carga", COUNTIF(F$5:F530, "ENAP carga"), "")</f>
        <v/>
      </c>
    </row>
    <row r="531" spans="12:20" x14ac:dyDescent="0.2">
      <c r="L531" s="23" t="str">
        <f t="shared" si="10"/>
        <v/>
      </c>
      <c r="Q531" t="str">
        <f>IF(F531="CJ", COUNTIF(F$5:F531, "CJ"), "")</f>
        <v/>
      </c>
      <c r="R531" t="str">
        <f>IF(F531="Ignacio", COUNTIF(F$5:F531, "Ignacio"), "")</f>
        <v/>
      </c>
      <c r="S531" t="str">
        <f>IF(F531="Tripulacion", COUNTIF(F$5:F531, "Tripulacion"), "")</f>
        <v/>
      </c>
      <c r="T531" t="str">
        <f>IF(F531="ENAP carga", COUNTIF(F$5:F531, "ENAP carga"), "")</f>
        <v/>
      </c>
    </row>
    <row r="532" spans="12:20" x14ac:dyDescent="0.2">
      <c r="L532" s="23" t="str">
        <f t="shared" si="10"/>
        <v/>
      </c>
      <c r="Q532" t="str">
        <f>IF(F532="CJ", COUNTIF(F$5:F532, "CJ"), "")</f>
        <v/>
      </c>
      <c r="R532" t="str">
        <f>IF(F532="Ignacio", COUNTIF(F$5:F532, "Ignacio"), "")</f>
        <v/>
      </c>
      <c r="S532" t="str">
        <f>IF(F532="Tripulacion", COUNTIF(F$5:F532, "Tripulacion"), "")</f>
        <v/>
      </c>
      <c r="T532" t="str">
        <f>IF(F532="ENAP carga", COUNTIF(F$5:F532, "ENAP carga"), "")</f>
        <v/>
      </c>
    </row>
    <row r="533" spans="12:20" x14ac:dyDescent="0.2">
      <c r="L533" s="23" t="str">
        <f t="shared" si="10"/>
        <v/>
      </c>
      <c r="Q533" t="str">
        <f>IF(F533="CJ", COUNTIF(F$5:F533, "CJ"), "")</f>
        <v/>
      </c>
      <c r="R533" t="str">
        <f>IF(F533="Ignacio", COUNTIF(F$5:F533, "Ignacio"), "")</f>
        <v/>
      </c>
      <c r="S533" t="str">
        <f>IF(F533="Tripulacion", COUNTIF(F$5:F533, "Tripulacion"), "")</f>
        <v/>
      </c>
      <c r="T533" t="str">
        <f>IF(F533="ENAP carga", COUNTIF(F$5:F533, "ENAP carga"), "")</f>
        <v/>
      </c>
    </row>
    <row r="534" spans="12:20" x14ac:dyDescent="0.2">
      <c r="L534" s="23" t="str">
        <f t="shared" si="10"/>
        <v/>
      </c>
      <c r="Q534" t="str">
        <f>IF(F534="CJ", COUNTIF(F$5:F534, "CJ"), "")</f>
        <v/>
      </c>
      <c r="R534" t="str">
        <f>IF(F534="Ignacio", COUNTIF(F$5:F534, "Ignacio"), "")</f>
        <v/>
      </c>
      <c r="S534" t="str">
        <f>IF(F534="Tripulacion", COUNTIF(F$5:F534, "Tripulacion"), "")</f>
        <v/>
      </c>
      <c r="T534" t="str">
        <f>IF(F534="ENAP carga", COUNTIF(F$5:F534, "ENAP carga"), "")</f>
        <v/>
      </c>
    </row>
    <row r="535" spans="12:20" x14ac:dyDescent="0.2">
      <c r="L535" s="23" t="str">
        <f t="shared" si="10"/>
        <v/>
      </c>
      <c r="Q535" t="str">
        <f>IF(F535="CJ", COUNTIF(F$5:F535, "CJ"), "")</f>
        <v/>
      </c>
      <c r="R535" t="str">
        <f>IF(F535="Ignacio", COUNTIF(F$5:F535, "Ignacio"), "")</f>
        <v/>
      </c>
      <c r="S535" t="str">
        <f>IF(F535="Tripulacion", COUNTIF(F$5:F535, "Tripulacion"), "")</f>
        <v/>
      </c>
      <c r="T535" t="str">
        <f>IF(F535="ENAP carga", COUNTIF(F$5:F535, "ENAP carga"), "")</f>
        <v/>
      </c>
    </row>
    <row r="536" spans="12:20" x14ac:dyDescent="0.2">
      <c r="L536" s="23" t="str">
        <f t="shared" si="10"/>
        <v/>
      </c>
      <c r="Q536" t="str">
        <f>IF(F536="CJ", COUNTIF(F$5:F536, "CJ"), "")</f>
        <v/>
      </c>
      <c r="R536" t="str">
        <f>IF(F536="Ignacio", COUNTIF(F$5:F536, "Ignacio"), "")</f>
        <v/>
      </c>
      <c r="S536" t="str">
        <f>IF(F536="Tripulacion", COUNTIF(F$5:F536, "Tripulacion"), "")</f>
        <v/>
      </c>
      <c r="T536" t="str">
        <f>IF(F536="ENAP carga", COUNTIF(F$5:F536, "ENAP carga"), "")</f>
        <v/>
      </c>
    </row>
    <row r="537" spans="12:20" x14ac:dyDescent="0.2">
      <c r="L537" s="23" t="str">
        <f t="shared" si="10"/>
        <v/>
      </c>
      <c r="Q537" t="str">
        <f>IF(F537="CJ", COUNTIF(F$5:F537, "CJ"), "")</f>
        <v/>
      </c>
      <c r="R537" t="str">
        <f>IF(F537="Ignacio", COUNTIF(F$5:F537, "Ignacio"), "")</f>
        <v/>
      </c>
      <c r="S537" t="str">
        <f>IF(F537="Tripulacion", COUNTIF(F$5:F537, "Tripulacion"), "")</f>
        <v/>
      </c>
      <c r="T537" t="str">
        <f>IF(F537="ENAP carga", COUNTIF(F$5:F537, "ENAP carga"), "")</f>
        <v/>
      </c>
    </row>
    <row r="538" spans="12:20" x14ac:dyDescent="0.2">
      <c r="L538" s="23" t="str">
        <f t="shared" si="10"/>
        <v/>
      </c>
      <c r="Q538" t="str">
        <f>IF(F538="CJ", COUNTIF(F$5:F538, "CJ"), "")</f>
        <v/>
      </c>
      <c r="R538" t="str">
        <f>IF(F538="Ignacio", COUNTIF(F$5:F538, "Ignacio"), "")</f>
        <v/>
      </c>
      <c r="S538" t="str">
        <f>IF(F538="Tripulacion", COUNTIF(F$5:F538, "Tripulacion"), "")</f>
        <v/>
      </c>
      <c r="T538" t="str">
        <f>IF(F538="ENAP carga", COUNTIF(F$5:F538, "ENAP carga"), "")</f>
        <v/>
      </c>
    </row>
    <row r="539" spans="12:20" x14ac:dyDescent="0.2">
      <c r="L539" s="23" t="str">
        <f t="shared" si="10"/>
        <v/>
      </c>
      <c r="Q539" t="str">
        <f>IF(F539="CJ", COUNTIF(F$5:F539, "CJ"), "")</f>
        <v/>
      </c>
      <c r="R539" t="str">
        <f>IF(F539="Ignacio", COUNTIF(F$5:F539, "Ignacio"), "")</f>
        <v/>
      </c>
      <c r="S539" t="str">
        <f>IF(F539="Tripulacion", COUNTIF(F$5:F539, "Tripulacion"), "")</f>
        <v/>
      </c>
      <c r="T539" t="str">
        <f>IF(F539="ENAP carga", COUNTIF(F$5:F539, "ENAP carga"), "")</f>
        <v/>
      </c>
    </row>
    <row r="540" spans="12:20" x14ac:dyDescent="0.2">
      <c r="L540" s="23" t="str">
        <f t="shared" si="10"/>
        <v/>
      </c>
      <c r="Q540" t="str">
        <f>IF(F540="CJ", COUNTIF(F$5:F540, "CJ"), "")</f>
        <v/>
      </c>
      <c r="R540" t="str">
        <f>IF(F540="Ignacio", COUNTIF(F$5:F540, "Ignacio"), "")</f>
        <v/>
      </c>
      <c r="S540" t="str">
        <f>IF(F540="Tripulacion", COUNTIF(F$5:F540, "Tripulacion"), "")</f>
        <v/>
      </c>
      <c r="T540" t="str">
        <f>IF(F540="ENAP carga", COUNTIF(F$5:F540, "ENAP carga"), "")</f>
        <v/>
      </c>
    </row>
    <row r="541" spans="12:20" x14ac:dyDescent="0.2">
      <c r="L541" s="23" t="str">
        <f t="shared" si="10"/>
        <v/>
      </c>
      <c r="Q541" t="str">
        <f>IF(F541="CJ", COUNTIF(F$5:F541, "CJ"), "")</f>
        <v/>
      </c>
      <c r="R541" t="str">
        <f>IF(F541="Ignacio", COUNTIF(F$5:F541, "Ignacio"), "")</f>
        <v/>
      </c>
      <c r="S541" t="str">
        <f>IF(F541="Tripulacion", COUNTIF(F$5:F541, "Tripulacion"), "")</f>
        <v/>
      </c>
      <c r="T541" t="str">
        <f>IF(F541="ENAP carga", COUNTIF(F$5:F541, "ENAP carga"), "")</f>
        <v/>
      </c>
    </row>
    <row r="542" spans="12:20" x14ac:dyDescent="0.2">
      <c r="L542" s="23" t="str">
        <f t="shared" si="10"/>
        <v/>
      </c>
      <c r="Q542" t="str">
        <f>IF(F542="CJ", COUNTIF(F$5:F542, "CJ"), "")</f>
        <v/>
      </c>
      <c r="R542" t="str">
        <f>IF(F542="Ignacio", COUNTIF(F$5:F542, "Ignacio"), "")</f>
        <v/>
      </c>
      <c r="S542" t="str">
        <f>IF(F542="Tripulacion", COUNTIF(F$5:F542, "Tripulacion"), "")</f>
        <v/>
      </c>
      <c r="T542" t="str">
        <f>IF(F542="ENAP carga", COUNTIF(F$5:F542, "ENAP carga"), "")</f>
        <v/>
      </c>
    </row>
    <row r="543" spans="12:20" x14ac:dyDescent="0.2">
      <c r="L543" s="23" t="str">
        <f t="shared" si="10"/>
        <v/>
      </c>
      <c r="Q543" t="str">
        <f>IF(F543="CJ", COUNTIF(F$5:F543, "CJ"), "")</f>
        <v/>
      </c>
      <c r="R543" t="str">
        <f>IF(F543="Ignacio", COUNTIF(F$5:F543, "Ignacio"), "")</f>
        <v/>
      </c>
      <c r="S543" t="str">
        <f>IF(F543="Tripulacion", COUNTIF(F$5:F543, "Tripulacion"), "")</f>
        <v/>
      </c>
      <c r="T543" t="str">
        <f>IF(F543="ENAP carga", COUNTIF(F$5:F543, "ENAP carga"), "")</f>
        <v/>
      </c>
    </row>
    <row r="544" spans="12:20" x14ac:dyDescent="0.2">
      <c r="L544" s="23" t="str">
        <f t="shared" si="10"/>
        <v/>
      </c>
      <c r="Q544" t="str">
        <f>IF(F544="CJ", COUNTIF(F$5:F544, "CJ"), "")</f>
        <v/>
      </c>
      <c r="R544" t="str">
        <f>IF(F544="Ignacio", COUNTIF(F$5:F544, "Ignacio"), "")</f>
        <v/>
      </c>
      <c r="S544" t="str">
        <f>IF(F544="Tripulacion", COUNTIF(F$5:F544, "Tripulacion"), "")</f>
        <v/>
      </c>
      <c r="T544" t="str">
        <f>IF(F544="ENAP carga", COUNTIF(F$5:F544, "ENAP carga"), "")</f>
        <v/>
      </c>
    </row>
    <row r="545" spans="12:20" x14ac:dyDescent="0.2">
      <c r="L545" s="23" t="str">
        <f t="shared" si="10"/>
        <v/>
      </c>
      <c r="Q545" t="str">
        <f>IF(F545="CJ", COUNTIF(F$5:F545, "CJ"), "")</f>
        <v/>
      </c>
      <c r="R545" t="str">
        <f>IF(F545="Ignacio", COUNTIF(F$5:F545, "Ignacio"), "")</f>
        <v/>
      </c>
      <c r="S545" t="str">
        <f>IF(F545="Tripulacion", COUNTIF(F$5:F545, "Tripulacion"), "")</f>
        <v/>
      </c>
      <c r="T545" t="str">
        <f>IF(F545="ENAP carga", COUNTIF(F$5:F545, "ENAP carga"), "")</f>
        <v/>
      </c>
    </row>
    <row r="546" spans="12:20" x14ac:dyDescent="0.2">
      <c r="L546" s="23" t="str">
        <f t="shared" si="10"/>
        <v/>
      </c>
      <c r="Q546" t="str">
        <f>IF(F546="CJ", COUNTIF(F$5:F546, "CJ"), "")</f>
        <v/>
      </c>
      <c r="R546" t="str">
        <f>IF(F546="Ignacio", COUNTIF(F$5:F546, "Ignacio"), "")</f>
        <v/>
      </c>
      <c r="S546" t="str">
        <f>IF(F546="Tripulacion", COUNTIF(F$5:F546, "Tripulacion"), "")</f>
        <v/>
      </c>
      <c r="T546" t="str">
        <f>IF(F546="ENAP carga", COUNTIF(F$5:F546, "ENAP carga"), "")</f>
        <v/>
      </c>
    </row>
    <row r="547" spans="12:20" x14ac:dyDescent="0.2">
      <c r="L547" s="23" t="str">
        <f t="shared" si="10"/>
        <v/>
      </c>
      <c r="Q547" t="str">
        <f>IF(F547="CJ", COUNTIF(F$5:F547, "CJ"), "")</f>
        <v/>
      </c>
      <c r="R547" t="str">
        <f>IF(F547="Ignacio", COUNTIF(F$5:F547, "Ignacio"), "")</f>
        <v/>
      </c>
      <c r="S547" t="str">
        <f>IF(F547="Tripulacion", COUNTIF(F$5:F547, "Tripulacion"), "")</f>
        <v/>
      </c>
      <c r="T547" t="str">
        <f>IF(F547="ENAP carga", COUNTIF(F$5:F547, "ENAP carga"), "")</f>
        <v/>
      </c>
    </row>
    <row r="548" spans="12:20" x14ac:dyDescent="0.2">
      <c r="L548" s="23" t="str">
        <f t="shared" si="10"/>
        <v/>
      </c>
      <c r="Q548" t="str">
        <f>IF(F548="CJ", COUNTIF(F$5:F548, "CJ"), "")</f>
        <v/>
      </c>
      <c r="R548" t="str">
        <f>IF(F548="Ignacio", COUNTIF(F$5:F548, "Ignacio"), "")</f>
        <v/>
      </c>
      <c r="S548" t="str">
        <f>IF(F548="Tripulacion", COUNTIF(F$5:F548, "Tripulacion"), "")</f>
        <v/>
      </c>
      <c r="T548" t="str">
        <f>IF(F548="ENAP carga", COUNTIF(F$5:F548, "ENAP carga"), "")</f>
        <v/>
      </c>
    </row>
    <row r="549" spans="12:20" x14ac:dyDescent="0.2">
      <c r="L549" s="23" t="str">
        <f t="shared" si="10"/>
        <v/>
      </c>
      <c r="Q549" t="str">
        <f>IF(F549="CJ", COUNTIF(F$5:F549, "CJ"), "")</f>
        <v/>
      </c>
      <c r="R549" t="str">
        <f>IF(F549="Ignacio", COUNTIF(F$5:F549, "Ignacio"), "")</f>
        <v/>
      </c>
      <c r="S549" t="str">
        <f>IF(F549="Tripulacion", COUNTIF(F$5:F549, "Tripulacion"), "")</f>
        <v/>
      </c>
      <c r="T549" t="str">
        <f>IF(F549="ENAP carga", COUNTIF(F$5:F549, "ENAP carga"), "")</f>
        <v/>
      </c>
    </row>
    <row r="550" spans="12:20" x14ac:dyDescent="0.2">
      <c r="L550" s="23" t="str">
        <f t="shared" si="10"/>
        <v/>
      </c>
      <c r="Q550" t="str">
        <f>IF(F550="CJ", COUNTIF(F$5:F550, "CJ"), "")</f>
        <v/>
      </c>
      <c r="R550" t="str">
        <f>IF(F550="Ignacio", COUNTIF(F$5:F550, "Ignacio"), "")</f>
        <v/>
      </c>
      <c r="S550" t="str">
        <f>IF(F550="Tripulacion", COUNTIF(F$5:F550, "Tripulacion"), "")</f>
        <v/>
      </c>
      <c r="T550" t="str">
        <f>IF(F550="ENAP carga", COUNTIF(F$5:F550, "ENAP carga"), "")</f>
        <v/>
      </c>
    </row>
    <row r="551" spans="12:20" x14ac:dyDescent="0.2">
      <c r="L551" s="23" t="str">
        <f t="shared" si="10"/>
        <v/>
      </c>
      <c r="Q551" t="str">
        <f>IF(F551="CJ", COUNTIF(F$5:F551, "CJ"), "")</f>
        <v/>
      </c>
      <c r="R551" t="str">
        <f>IF(F551="Ignacio", COUNTIF(F$5:F551, "Ignacio"), "")</f>
        <v/>
      </c>
      <c r="S551" t="str">
        <f>IF(F551="Tripulacion", COUNTIF(F$5:F551, "Tripulacion"), "")</f>
        <v/>
      </c>
      <c r="T551" t="str">
        <f>IF(F551="ENAP carga", COUNTIF(F$5:F551, "ENAP carga"), "")</f>
        <v/>
      </c>
    </row>
    <row r="552" spans="12:20" x14ac:dyDescent="0.2">
      <c r="L552" s="23" t="str">
        <f t="shared" si="10"/>
        <v/>
      </c>
      <c r="Q552" t="str">
        <f>IF(F552="CJ", COUNTIF(F$5:F552, "CJ"), "")</f>
        <v/>
      </c>
      <c r="R552" t="str">
        <f>IF(F552="Ignacio", COUNTIF(F$5:F552, "Ignacio"), "")</f>
        <v/>
      </c>
      <c r="S552" t="str">
        <f>IF(F552="Tripulacion", COUNTIF(F$5:F552, "Tripulacion"), "")</f>
        <v/>
      </c>
      <c r="T552" t="str">
        <f>IF(F552="ENAP carga", COUNTIF(F$5:F552, "ENAP carga"), "")</f>
        <v/>
      </c>
    </row>
    <row r="553" spans="12:20" x14ac:dyDescent="0.2">
      <c r="L553" s="23" t="str">
        <f t="shared" si="10"/>
        <v/>
      </c>
      <c r="Q553" t="str">
        <f>IF(F553="CJ", COUNTIF(F$5:F553, "CJ"), "")</f>
        <v/>
      </c>
      <c r="R553" t="str">
        <f>IF(F553="Ignacio", COUNTIF(F$5:F553, "Ignacio"), "")</f>
        <v/>
      </c>
      <c r="S553" t="str">
        <f>IF(F553="Tripulacion", COUNTIF(F$5:F553, "Tripulacion"), "")</f>
        <v/>
      </c>
      <c r="T553" t="str">
        <f>IF(F553="ENAP carga", COUNTIF(F$5:F553, "ENAP carga"), "")</f>
        <v/>
      </c>
    </row>
    <row r="554" spans="12:20" x14ac:dyDescent="0.2">
      <c r="L554" s="23" t="str">
        <f t="shared" si="10"/>
        <v/>
      </c>
      <c r="Q554" t="str">
        <f>IF(F554="CJ", COUNTIF(F$5:F554, "CJ"), "")</f>
        <v/>
      </c>
      <c r="R554" t="str">
        <f>IF(F554="Ignacio", COUNTIF(F$5:F554, "Ignacio"), "")</f>
        <v/>
      </c>
      <c r="S554" t="str">
        <f>IF(F554="Tripulacion", COUNTIF(F$5:F554, "Tripulacion"), "")</f>
        <v/>
      </c>
      <c r="T554" t="str">
        <f>IF(F554="ENAP carga", COUNTIF(F$5:F554, "ENAP carga"), "")</f>
        <v/>
      </c>
    </row>
    <row r="555" spans="12:20" x14ac:dyDescent="0.2">
      <c r="L555" s="23" t="str">
        <f t="shared" si="10"/>
        <v/>
      </c>
      <c r="Q555" t="str">
        <f>IF(F555="CJ", COUNTIF(F$5:F555, "CJ"), "")</f>
        <v/>
      </c>
      <c r="R555" t="str">
        <f>IF(F555="Ignacio", COUNTIF(F$5:F555, "Ignacio"), "")</f>
        <v/>
      </c>
      <c r="S555" t="str">
        <f>IF(F555="Tripulacion", COUNTIF(F$5:F555, "Tripulacion"), "")</f>
        <v/>
      </c>
      <c r="T555" t="str">
        <f>IF(F555="ENAP carga", COUNTIF(F$5:F555, "ENAP carga"), "")</f>
        <v/>
      </c>
    </row>
    <row r="556" spans="12:20" x14ac:dyDescent="0.2">
      <c r="L556" s="23" t="str">
        <f t="shared" si="10"/>
        <v/>
      </c>
      <c r="Q556" t="str">
        <f>IF(F556="CJ", COUNTIF(F$5:F556, "CJ"), "")</f>
        <v/>
      </c>
      <c r="R556" t="str">
        <f>IF(F556="Ignacio", COUNTIF(F$5:F556, "Ignacio"), "")</f>
        <v/>
      </c>
      <c r="S556" t="str">
        <f>IF(F556="Tripulacion", COUNTIF(F$5:F556, "Tripulacion"), "")</f>
        <v/>
      </c>
      <c r="T556" t="str">
        <f>IF(F556="ENAP carga", COUNTIF(F$5:F556, "ENAP carga"), "")</f>
        <v/>
      </c>
    </row>
    <row r="557" spans="12:20" x14ac:dyDescent="0.2">
      <c r="L557" s="23" t="str">
        <f t="shared" si="10"/>
        <v/>
      </c>
      <c r="Q557" t="str">
        <f>IF(F557="CJ", COUNTIF(F$5:F557, "CJ"), "")</f>
        <v/>
      </c>
      <c r="R557" t="str">
        <f>IF(F557="Ignacio", COUNTIF(F$5:F557, "Ignacio"), "")</f>
        <v/>
      </c>
      <c r="S557" t="str">
        <f>IF(F557="Tripulacion", COUNTIF(F$5:F557, "Tripulacion"), "")</f>
        <v/>
      </c>
      <c r="T557" t="str">
        <f>IF(F557="ENAP carga", COUNTIF(F$5:F557, "ENAP carga"), "")</f>
        <v/>
      </c>
    </row>
    <row r="558" spans="12:20" x14ac:dyDescent="0.2">
      <c r="L558" s="23" t="str">
        <f t="shared" si="10"/>
        <v/>
      </c>
      <c r="Q558" t="str">
        <f>IF(F558="CJ", COUNTIF(F$5:F558, "CJ"), "")</f>
        <v/>
      </c>
      <c r="R558" t="str">
        <f>IF(F558="Ignacio", COUNTIF(F$5:F558, "Ignacio"), "")</f>
        <v/>
      </c>
      <c r="S558" t="str">
        <f>IF(F558="Tripulacion", COUNTIF(F$5:F558, "Tripulacion"), "")</f>
        <v/>
      </c>
      <c r="T558" t="str">
        <f>IF(F558="ENAP carga", COUNTIF(F$5:F558, "ENAP carga"), "")</f>
        <v/>
      </c>
    </row>
    <row r="559" spans="12:20" x14ac:dyDescent="0.2">
      <c r="L559" s="23" t="str">
        <f t="shared" si="10"/>
        <v/>
      </c>
      <c r="Q559" t="str">
        <f>IF(F559="CJ", COUNTIF(F$5:F559, "CJ"), "")</f>
        <v/>
      </c>
      <c r="R559" t="str">
        <f>IF(F559="Ignacio", COUNTIF(F$5:F559, "Ignacio"), "")</f>
        <v/>
      </c>
      <c r="S559" t="str">
        <f>IF(F559="Tripulacion", COUNTIF(F$5:F559, "Tripulacion"), "")</f>
        <v/>
      </c>
      <c r="T559" t="str">
        <f>IF(F559="ENAP carga", COUNTIF(F$5:F559, "ENAP carga"), "")</f>
        <v/>
      </c>
    </row>
    <row r="560" spans="12:20" x14ac:dyDescent="0.2">
      <c r="L560" s="23" t="str">
        <f t="shared" si="10"/>
        <v/>
      </c>
      <c r="Q560" t="str">
        <f>IF(F560="CJ", COUNTIF(F$5:F560, "CJ"), "")</f>
        <v/>
      </c>
      <c r="R560" t="str">
        <f>IF(F560="Ignacio", COUNTIF(F$5:F560, "Ignacio"), "")</f>
        <v/>
      </c>
      <c r="S560" t="str">
        <f>IF(F560="Tripulacion", COUNTIF(F$5:F560, "Tripulacion"), "")</f>
        <v/>
      </c>
      <c r="T560" t="str">
        <f>IF(F560="ENAP carga", COUNTIF(F$5:F560, "ENAP carga"), "")</f>
        <v/>
      </c>
    </row>
    <row r="561" spans="12:20" x14ac:dyDescent="0.2">
      <c r="L561" s="23" t="str">
        <f t="shared" si="10"/>
        <v/>
      </c>
      <c r="Q561" t="str">
        <f>IF(F561="CJ", COUNTIF(F$5:F561, "CJ"), "")</f>
        <v/>
      </c>
      <c r="R561" t="str">
        <f>IF(F561="Ignacio", COUNTIF(F$5:F561, "Ignacio"), "")</f>
        <v/>
      </c>
      <c r="S561" t="str">
        <f>IF(F561="Tripulacion", COUNTIF(F$5:F561, "Tripulacion"), "")</f>
        <v/>
      </c>
      <c r="T561" t="str">
        <f>IF(F561="ENAP carga", COUNTIF(F$5:F561, "ENAP carga"), "")</f>
        <v/>
      </c>
    </row>
    <row r="562" spans="12:20" x14ac:dyDescent="0.2">
      <c r="L562" s="23" t="str">
        <f t="shared" si="10"/>
        <v/>
      </c>
      <c r="Q562" t="str">
        <f>IF(F562="CJ", COUNTIF(F$5:F562, "CJ"), "")</f>
        <v/>
      </c>
      <c r="R562" t="str">
        <f>IF(F562="Ignacio", COUNTIF(F$5:F562, "Ignacio"), "")</f>
        <v/>
      </c>
      <c r="S562" t="str">
        <f>IF(F562="Tripulacion", COUNTIF(F$5:F562, "Tripulacion"), "")</f>
        <v/>
      </c>
      <c r="T562" t="str">
        <f>IF(F562="ENAP carga", COUNTIF(F$5:F562, "ENAP carga"), "")</f>
        <v/>
      </c>
    </row>
    <row r="563" spans="12:20" x14ac:dyDescent="0.2">
      <c r="L563" s="23" t="str">
        <f t="shared" si="10"/>
        <v/>
      </c>
      <c r="Q563" t="str">
        <f>IF(F563="CJ", COUNTIF(F$5:F563, "CJ"), "")</f>
        <v/>
      </c>
      <c r="R563" t="str">
        <f>IF(F563="Ignacio", COUNTIF(F$5:F563, "Ignacio"), "")</f>
        <v/>
      </c>
      <c r="S563" t="str">
        <f>IF(F563="Tripulacion", COUNTIF(F$5:F563, "Tripulacion"), "")</f>
        <v/>
      </c>
      <c r="T563" t="str">
        <f>IF(F563="ENAP carga", COUNTIF(F$5:F563, "ENAP carga"), "")</f>
        <v/>
      </c>
    </row>
    <row r="564" spans="12:20" x14ac:dyDescent="0.2">
      <c r="L564" s="23" t="str">
        <f t="shared" si="10"/>
        <v/>
      </c>
      <c r="Q564" t="str">
        <f>IF(F564="CJ", COUNTIF(F$5:F564, "CJ"), "")</f>
        <v/>
      </c>
      <c r="R564" t="str">
        <f>IF(F564="Ignacio", COUNTIF(F$5:F564, "Ignacio"), "")</f>
        <v/>
      </c>
      <c r="S564" t="str">
        <f>IF(F564="Tripulacion", COUNTIF(F$5:F564, "Tripulacion"), "")</f>
        <v/>
      </c>
      <c r="T564" t="str">
        <f>IF(F564="ENAP carga", COUNTIF(F$5:F564, "ENAP carga"), "")</f>
        <v/>
      </c>
    </row>
    <row r="565" spans="12:20" x14ac:dyDescent="0.2">
      <c r="L565" s="23" t="str">
        <f t="shared" si="10"/>
        <v/>
      </c>
      <c r="Q565" t="str">
        <f>IF(F565="CJ", COUNTIF(F$5:F565, "CJ"), "")</f>
        <v/>
      </c>
      <c r="R565" t="str">
        <f>IF(F565="Ignacio", COUNTIF(F$5:F565, "Ignacio"), "")</f>
        <v/>
      </c>
      <c r="S565" t="str">
        <f>IF(F565="Tripulacion", COUNTIF(F$5:F565, "Tripulacion"), "")</f>
        <v/>
      </c>
      <c r="T565" t="str">
        <f>IF(F565="ENAP carga", COUNTIF(F$5:F565, "ENAP carga"), "")</f>
        <v/>
      </c>
    </row>
    <row r="566" spans="12:20" x14ac:dyDescent="0.2">
      <c r="L566" s="23" t="str">
        <f t="shared" si="10"/>
        <v/>
      </c>
      <c r="Q566" t="str">
        <f>IF(F566="CJ", COUNTIF(F$5:F566, "CJ"), "")</f>
        <v/>
      </c>
      <c r="R566" t="str">
        <f>IF(F566="Ignacio", COUNTIF(F$5:F566, "Ignacio"), "")</f>
        <v/>
      </c>
      <c r="S566" t="str">
        <f>IF(F566="Tripulacion", COUNTIF(F$5:F566, "Tripulacion"), "")</f>
        <v/>
      </c>
      <c r="T566" t="str">
        <f>IF(F566="ENAP carga", COUNTIF(F$5:F566, "ENAP carga"), "")</f>
        <v/>
      </c>
    </row>
    <row r="567" spans="12:20" x14ac:dyDescent="0.2">
      <c r="L567" s="23" t="str">
        <f t="shared" si="10"/>
        <v/>
      </c>
      <c r="Q567" t="str">
        <f>IF(F567="CJ", COUNTIF(F$5:F567, "CJ"), "")</f>
        <v/>
      </c>
      <c r="R567" t="str">
        <f>IF(F567="Ignacio", COUNTIF(F$5:F567, "Ignacio"), "")</f>
        <v/>
      </c>
      <c r="S567" t="str">
        <f>IF(F567="Tripulacion", COUNTIF(F$5:F567, "Tripulacion"), "")</f>
        <v/>
      </c>
      <c r="T567" t="str">
        <f>IF(F567="ENAP carga", COUNTIF(F$5:F567, "ENAP carga"), "")</f>
        <v/>
      </c>
    </row>
    <row r="568" spans="12:20" x14ac:dyDescent="0.2">
      <c r="L568" s="23" t="str">
        <f t="shared" si="10"/>
        <v/>
      </c>
      <c r="Q568" t="str">
        <f>IF(F568="CJ", COUNTIF(F$5:F568, "CJ"), "")</f>
        <v/>
      </c>
      <c r="R568" t="str">
        <f>IF(F568="Ignacio", COUNTIF(F$5:F568, "Ignacio"), "")</f>
        <v/>
      </c>
      <c r="S568" t="str">
        <f>IF(F568="Tripulacion", COUNTIF(F$5:F568, "Tripulacion"), "")</f>
        <v/>
      </c>
      <c r="T568" t="str">
        <f>IF(F568="ENAP carga", COUNTIF(F$5:F568, "ENAP carga"), "")</f>
        <v/>
      </c>
    </row>
    <row r="569" spans="12:20" x14ac:dyDescent="0.2">
      <c r="L569" s="23" t="str">
        <f t="shared" si="10"/>
        <v/>
      </c>
      <c r="Q569" t="str">
        <f>IF(F569="CJ", COUNTIF(F$5:F569, "CJ"), "")</f>
        <v/>
      </c>
      <c r="R569" t="str">
        <f>IF(F569="Ignacio", COUNTIF(F$5:F569, "Ignacio"), "")</f>
        <v/>
      </c>
      <c r="S569" t="str">
        <f>IF(F569="Tripulacion", COUNTIF(F$5:F569, "Tripulacion"), "")</f>
        <v/>
      </c>
      <c r="T569" t="str">
        <f>IF(F569="ENAP carga", COUNTIF(F$5:F569, "ENAP carga"), "")</f>
        <v/>
      </c>
    </row>
    <row r="570" spans="12:20" x14ac:dyDescent="0.2">
      <c r="L570" s="23" t="str">
        <f t="shared" si="10"/>
        <v/>
      </c>
      <c r="Q570" t="str">
        <f>IF(F570="CJ", COUNTIF(F$5:F570, "CJ"), "")</f>
        <v/>
      </c>
      <c r="R570" t="str">
        <f>IF(F570="Ignacio", COUNTIF(F$5:F570, "Ignacio"), "")</f>
        <v/>
      </c>
      <c r="S570" t="str">
        <f>IF(F570="Tripulacion", COUNTIF(F$5:F570, "Tripulacion"), "")</f>
        <v/>
      </c>
      <c r="T570" t="str">
        <f>IF(F570="ENAP carga", COUNTIF(F$5:F570, "ENAP carga"), "")</f>
        <v/>
      </c>
    </row>
    <row r="571" spans="12:20" x14ac:dyDescent="0.2">
      <c r="L571" s="23" t="str">
        <f t="shared" si="10"/>
        <v/>
      </c>
      <c r="Q571" t="str">
        <f>IF(F571="CJ", COUNTIF(F$5:F571, "CJ"), "")</f>
        <v/>
      </c>
      <c r="R571" t="str">
        <f>IF(F571="Ignacio", COUNTIF(F$5:F571, "Ignacio"), "")</f>
        <v/>
      </c>
      <c r="S571" t="str">
        <f>IF(F571="Tripulacion", COUNTIF(F$5:F571, "Tripulacion"), "")</f>
        <v/>
      </c>
      <c r="T571" t="str">
        <f>IF(F571="ENAP carga", COUNTIF(F$5:F571, "ENAP carga"), "")</f>
        <v/>
      </c>
    </row>
    <row r="572" spans="12:20" x14ac:dyDescent="0.2">
      <c r="L572" s="23" t="str">
        <f t="shared" si="10"/>
        <v/>
      </c>
      <c r="Q572" t="str">
        <f>IF(F572="CJ", COUNTIF(F$5:F572, "CJ"), "")</f>
        <v/>
      </c>
      <c r="R572" t="str">
        <f>IF(F572="Ignacio", COUNTIF(F$5:F572, "Ignacio"), "")</f>
        <v/>
      </c>
      <c r="S572" t="str">
        <f>IF(F572="Tripulacion", COUNTIF(F$5:F572, "Tripulacion"), "")</f>
        <v/>
      </c>
      <c r="T572" t="str">
        <f>IF(F572="ENAP carga", COUNTIF(F$5:F572, "ENAP carga"), "")</f>
        <v/>
      </c>
    </row>
    <row r="573" spans="12:20" x14ac:dyDescent="0.2">
      <c r="L573" s="23" t="str">
        <f t="shared" si="10"/>
        <v/>
      </c>
      <c r="Q573" t="str">
        <f>IF(F573="CJ", COUNTIF(F$5:F573, "CJ"), "")</f>
        <v/>
      </c>
      <c r="R573" t="str">
        <f>IF(F573="Ignacio", COUNTIF(F$5:F573, "Ignacio"), "")</f>
        <v/>
      </c>
      <c r="S573" t="str">
        <f>IF(F573="Tripulacion", COUNTIF(F$5:F573, "Tripulacion"), "")</f>
        <v/>
      </c>
      <c r="T573" t="str">
        <f>IF(F573="ENAP carga", COUNTIF(F$5:F573, "ENAP carga"), "")</f>
        <v/>
      </c>
    </row>
    <row r="574" spans="12:20" x14ac:dyDescent="0.2">
      <c r="L574" s="23" t="str">
        <f t="shared" si="10"/>
        <v/>
      </c>
      <c r="Q574" t="str">
        <f>IF(F574="CJ", COUNTIF(F$5:F574, "CJ"), "")</f>
        <v/>
      </c>
      <c r="R574" t="str">
        <f>IF(F574="Ignacio", COUNTIF(F$5:F574, "Ignacio"), "")</f>
        <v/>
      </c>
      <c r="S574" t="str">
        <f>IF(F574="Tripulacion", COUNTIF(F$5:F574, "Tripulacion"), "")</f>
        <v/>
      </c>
      <c r="T574" t="str">
        <f>IF(F574="ENAP carga", COUNTIF(F$5:F574, "ENAP carga"), "")</f>
        <v/>
      </c>
    </row>
    <row r="575" spans="12:20" x14ac:dyDescent="0.2">
      <c r="L575" s="23" t="str">
        <f t="shared" si="10"/>
        <v/>
      </c>
      <c r="Q575" t="str">
        <f>IF(F575="CJ", COUNTIF(F$5:F575, "CJ"), "")</f>
        <v/>
      </c>
      <c r="R575" t="str">
        <f>IF(F575="Ignacio", COUNTIF(F$5:F575, "Ignacio"), "")</f>
        <v/>
      </c>
      <c r="S575" t="str">
        <f>IF(F575="Tripulacion", COUNTIF(F$5:F575, "Tripulacion"), "")</f>
        <v/>
      </c>
      <c r="T575" t="str">
        <f>IF(F575="ENAP carga", COUNTIF(F$5:F575, "ENAP carga"), "")</f>
        <v/>
      </c>
    </row>
    <row r="576" spans="12:20" x14ac:dyDescent="0.2">
      <c r="L576" s="23" t="str">
        <f t="shared" si="10"/>
        <v/>
      </c>
      <c r="Q576" t="str">
        <f>IF(F576="CJ", COUNTIF(F$5:F576, "CJ"), "")</f>
        <v/>
      </c>
      <c r="R576" t="str">
        <f>IF(F576="Ignacio", COUNTIF(F$5:F576, "Ignacio"), "")</f>
        <v/>
      </c>
      <c r="S576" t="str">
        <f>IF(F576="Tripulacion", COUNTIF(F$5:F576, "Tripulacion"), "")</f>
        <v/>
      </c>
      <c r="T576" t="str">
        <f>IF(F576="ENAP carga", COUNTIF(F$5:F576, "ENAP carga"), "")</f>
        <v/>
      </c>
    </row>
    <row r="577" spans="12:20" x14ac:dyDescent="0.2">
      <c r="L577" s="23" t="str">
        <f t="shared" si="10"/>
        <v/>
      </c>
      <c r="Q577" t="str">
        <f>IF(F577="CJ", COUNTIF(F$5:F577, "CJ"), "")</f>
        <v/>
      </c>
      <c r="R577" t="str">
        <f>IF(F577="Ignacio", COUNTIF(F$5:F577, "Ignacio"), "")</f>
        <v/>
      </c>
      <c r="S577" t="str">
        <f>IF(F577="Tripulacion", COUNTIF(F$5:F577, "Tripulacion"), "")</f>
        <v/>
      </c>
      <c r="T577" t="str">
        <f>IF(F577="ENAP carga", COUNTIF(F$5:F577, "ENAP carga"), "")</f>
        <v/>
      </c>
    </row>
    <row r="578" spans="12:20" x14ac:dyDescent="0.2">
      <c r="L578" s="23" t="str">
        <f t="shared" si="10"/>
        <v/>
      </c>
      <c r="Q578" t="str">
        <f>IF(F578="CJ", COUNTIF(F$5:F578, "CJ"), "")</f>
        <v/>
      </c>
      <c r="R578" t="str">
        <f>IF(F578="Ignacio", COUNTIF(F$5:F578, "Ignacio"), "")</f>
        <v/>
      </c>
      <c r="S578" t="str">
        <f>IF(F578="Tripulacion", COUNTIF(F$5:F578, "Tripulacion"), "")</f>
        <v/>
      </c>
      <c r="T578" t="str">
        <f>IF(F578="ENAP carga", COUNTIF(F$5:F578, "ENAP carga"), "")</f>
        <v/>
      </c>
    </row>
    <row r="579" spans="12:20" x14ac:dyDescent="0.2">
      <c r="L579" s="23" t="str">
        <f t="shared" si="10"/>
        <v/>
      </c>
      <c r="Q579" t="str">
        <f>IF(F579="CJ", COUNTIF(F$5:F579, "CJ"), "")</f>
        <v/>
      </c>
      <c r="R579" t="str">
        <f>IF(F579="Ignacio", COUNTIF(F$5:F579, "Ignacio"), "")</f>
        <v/>
      </c>
      <c r="S579" t="str">
        <f>IF(F579="Tripulacion", COUNTIF(F$5:F579, "Tripulacion"), "")</f>
        <v/>
      </c>
      <c r="T579" t="str">
        <f>IF(F579="ENAP carga", COUNTIF(F$5:F579, "ENAP carga"), "")</f>
        <v/>
      </c>
    </row>
    <row r="580" spans="12:20" x14ac:dyDescent="0.2">
      <c r="L580" s="23" t="str">
        <f t="shared" si="10"/>
        <v/>
      </c>
      <c r="Q580" t="str">
        <f>IF(F580="CJ", COUNTIF(F$5:F580, "CJ"), "")</f>
        <v/>
      </c>
      <c r="R580" t="str">
        <f>IF(F580="Ignacio", COUNTIF(F$5:F580, "Ignacio"), "")</f>
        <v/>
      </c>
      <c r="S580" t="str">
        <f>IF(F580="Tripulacion", COUNTIF(F$5:F580, "Tripulacion"), "")</f>
        <v/>
      </c>
      <c r="T580" t="str">
        <f>IF(F580="ENAP carga", COUNTIF(F$5:F580, "ENAP carga"), "")</f>
        <v/>
      </c>
    </row>
    <row r="581" spans="12:20" x14ac:dyDescent="0.2">
      <c r="L581" s="23" t="str">
        <f t="shared" si="10"/>
        <v/>
      </c>
      <c r="Q581" t="str">
        <f>IF(F581="CJ", COUNTIF(F$5:F581, "CJ"), "")</f>
        <v/>
      </c>
      <c r="R581" t="str">
        <f>IF(F581="Ignacio", COUNTIF(F$5:F581, "Ignacio"), "")</f>
        <v/>
      </c>
      <c r="S581" t="str">
        <f>IF(F581="Tripulacion", COUNTIF(F$5:F581, "Tripulacion"), "")</f>
        <v/>
      </c>
      <c r="T581" t="str">
        <f>IF(F581="ENAP carga", COUNTIF(F$5:F581, "ENAP carga"), "")</f>
        <v/>
      </c>
    </row>
    <row r="582" spans="12:20" x14ac:dyDescent="0.2">
      <c r="L582" s="23" t="str">
        <f t="shared" si="10"/>
        <v/>
      </c>
      <c r="Q582" t="str">
        <f>IF(F582="CJ", COUNTIF(F$5:F582, "CJ"), "")</f>
        <v/>
      </c>
      <c r="R582" t="str">
        <f>IF(F582="Ignacio", COUNTIF(F$5:F582, "Ignacio"), "")</f>
        <v/>
      </c>
      <c r="S582" t="str">
        <f>IF(F582="Tripulacion", COUNTIF(F$5:F582, "Tripulacion"), "")</f>
        <v/>
      </c>
      <c r="T582" t="str">
        <f>IF(F582="ENAP carga", COUNTIF(F$5:F582, "ENAP carga"), "")</f>
        <v/>
      </c>
    </row>
    <row r="583" spans="12:20" x14ac:dyDescent="0.2">
      <c r="L583" s="23" t="str">
        <f t="shared" si="10"/>
        <v/>
      </c>
      <c r="Q583" t="str">
        <f>IF(F583="CJ", COUNTIF(F$5:F583, "CJ"), "")</f>
        <v/>
      </c>
      <c r="R583" t="str">
        <f>IF(F583="Ignacio", COUNTIF(F$5:F583, "Ignacio"), "")</f>
        <v/>
      </c>
      <c r="S583" t="str">
        <f>IF(F583="Tripulacion", COUNTIF(F$5:F583, "Tripulacion"), "")</f>
        <v/>
      </c>
      <c r="T583" t="str">
        <f>IF(F583="ENAP carga", COUNTIF(F$5:F583, "ENAP carga"), "")</f>
        <v/>
      </c>
    </row>
    <row r="584" spans="12:20" x14ac:dyDescent="0.2">
      <c r="L584" s="23" t="str">
        <f t="shared" si="10"/>
        <v/>
      </c>
      <c r="Q584" t="str">
        <f>IF(F584="CJ", COUNTIF(F$5:F584, "CJ"), "")</f>
        <v/>
      </c>
      <c r="R584" t="str">
        <f>IF(F584="Ignacio", COUNTIF(F$5:F584, "Ignacio"), "")</f>
        <v/>
      </c>
      <c r="S584" t="str">
        <f>IF(F584="Tripulacion", COUNTIF(F$5:F584, "Tripulacion"), "")</f>
        <v/>
      </c>
      <c r="T584" t="str">
        <f>IF(F584="ENAP carga", COUNTIF(F$5:F584, "ENAP carga"), "")</f>
        <v/>
      </c>
    </row>
    <row r="585" spans="12:20" x14ac:dyDescent="0.2">
      <c r="L585" s="23" t="str">
        <f t="shared" si="10"/>
        <v/>
      </c>
      <c r="Q585" t="str">
        <f>IF(F585="CJ", COUNTIF(F$5:F585, "CJ"), "")</f>
        <v/>
      </c>
      <c r="R585" t="str">
        <f>IF(F585="Ignacio", COUNTIF(F$5:F585, "Ignacio"), "")</f>
        <v/>
      </c>
      <c r="S585" t="str">
        <f>IF(F585="Tripulacion", COUNTIF(F$5:F585, "Tripulacion"), "")</f>
        <v/>
      </c>
      <c r="T585" t="str">
        <f>IF(F585="ENAP carga", COUNTIF(F$5:F585, "ENAP carga"), "")</f>
        <v/>
      </c>
    </row>
    <row r="586" spans="12:20" x14ac:dyDescent="0.2">
      <c r="L586" s="23" t="str">
        <f t="shared" si="10"/>
        <v/>
      </c>
      <c r="Q586" t="str">
        <f>IF(F586="CJ", COUNTIF(F$5:F586, "CJ"), "")</f>
        <v/>
      </c>
      <c r="R586" t="str">
        <f>IF(F586="Ignacio", COUNTIF(F$5:F586, "Ignacio"), "")</f>
        <v/>
      </c>
      <c r="S586" t="str">
        <f>IF(F586="Tripulacion", COUNTIF(F$5:F586, "Tripulacion"), "")</f>
        <v/>
      </c>
      <c r="T586" t="str">
        <f>IF(F586="ENAP carga", COUNTIF(F$5:F586, "ENAP carga"), "")</f>
        <v/>
      </c>
    </row>
    <row r="587" spans="12:20" x14ac:dyDescent="0.2">
      <c r="L587" s="23" t="str">
        <f t="shared" si="10"/>
        <v/>
      </c>
      <c r="Q587" t="str">
        <f>IF(F587="CJ", COUNTIF(F$5:F587, "CJ"), "")</f>
        <v/>
      </c>
      <c r="R587" t="str">
        <f>IF(F587="Ignacio", COUNTIF(F$5:F587, "Ignacio"), "")</f>
        <v/>
      </c>
      <c r="S587" t="str">
        <f>IF(F587="Tripulacion", COUNTIF(F$5:F587, "Tripulacion"), "")</f>
        <v/>
      </c>
      <c r="T587" t="str">
        <f>IF(F587="ENAP carga", COUNTIF(F$5:F587, "ENAP carga"), "")</f>
        <v/>
      </c>
    </row>
    <row r="588" spans="12:20" x14ac:dyDescent="0.2">
      <c r="L588" s="23" t="str">
        <f t="shared" si="10"/>
        <v/>
      </c>
      <c r="Q588" t="str">
        <f>IF(F588="CJ", COUNTIF(F$5:F588, "CJ"), "")</f>
        <v/>
      </c>
      <c r="R588" t="str">
        <f>IF(F588="Ignacio", COUNTIF(F$5:F588, "Ignacio"), "")</f>
        <v/>
      </c>
      <c r="S588" t="str">
        <f>IF(F588="Tripulacion", COUNTIF(F$5:F588, "Tripulacion"), "")</f>
        <v/>
      </c>
      <c r="T588" t="str">
        <f>IF(F588="ENAP carga", COUNTIF(F$5:F588, "ENAP carga"), "")</f>
        <v/>
      </c>
    </row>
    <row r="589" spans="12:20" x14ac:dyDescent="0.2">
      <c r="L589" s="23" t="str">
        <f t="shared" si="10"/>
        <v/>
      </c>
      <c r="Q589" t="str">
        <f>IF(F589="CJ", COUNTIF(F$5:F589, "CJ"), "")</f>
        <v/>
      </c>
      <c r="R589" t="str">
        <f>IF(F589="Ignacio", COUNTIF(F$5:F589, "Ignacio"), "")</f>
        <v/>
      </c>
      <c r="S589" t="str">
        <f>IF(F589="Tripulacion", COUNTIF(F$5:F589, "Tripulacion"), "")</f>
        <v/>
      </c>
      <c r="T589" t="str">
        <f>IF(F589="ENAP carga", COUNTIF(F$5:F589, "ENAP carga"), "")</f>
        <v/>
      </c>
    </row>
    <row r="590" spans="12:20" x14ac:dyDescent="0.2">
      <c r="L590" s="23" t="str">
        <f t="shared" ref="L590:L653" si="11">IF(F590="CJ", I590*200, "")</f>
        <v/>
      </c>
      <c r="Q590" t="str">
        <f>IF(F590="CJ", COUNTIF(F$5:F590, "CJ"), "")</f>
        <v/>
      </c>
      <c r="R590" t="str">
        <f>IF(F590="Ignacio", COUNTIF(F$5:F590, "Ignacio"), "")</f>
        <v/>
      </c>
      <c r="S590" t="str">
        <f>IF(F590="Tripulacion", COUNTIF(F$5:F590, "Tripulacion"), "")</f>
        <v/>
      </c>
      <c r="T590" t="str">
        <f>IF(F590="ENAP carga", COUNTIF(F$5:F590, "ENAP carga"), "")</f>
        <v/>
      </c>
    </row>
    <row r="591" spans="12:20" x14ac:dyDescent="0.2">
      <c r="L591" s="23" t="str">
        <f t="shared" si="11"/>
        <v/>
      </c>
      <c r="Q591" t="str">
        <f>IF(F591="CJ", COUNTIF(F$5:F591, "CJ"), "")</f>
        <v/>
      </c>
      <c r="R591" t="str">
        <f>IF(F591="Ignacio", COUNTIF(F$5:F591, "Ignacio"), "")</f>
        <v/>
      </c>
      <c r="S591" t="str">
        <f>IF(F591="Tripulacion", COUNTIF(F$5:F591, "Tripulacion"), "")</f>
        <v/>
      </c>
      <c r="T591" t="str">
        <f>IF(F591="ENAP carga", COUNTIF(F$5:F591, "ENAP carga"), "")</f>
        <v/>
      </c>
    </row>
    <row r="592" spans="12:20" x14ac:dyDescent="0.2">
      <c r="L592" s="23" t="str">
        <f t="shared" si="11"/>
        <v/>
      </c>
      <c r="Q592" t="str">
        <f>IF(F592="CJ", COUNTIF(F$5:F592, "CJ"), "")</f>
        <v/>
      </c>
      <c r="R592" t="str">
        <f>IF(F592="Ignacio", COUNTIF(F$5:F592, "Ignacio"), "")</f>
        <v/>
      </c>
      <c r="S592" t="str">
        <f>IF(F592="Tripulacion", COUNTIF(F$5:F592, "Tripulacion"), "")</f>
        <v/>
      </c>
      <c r="T592" t="str">
        <f>IF(F592="ENAP carga", COUNTIF(F$5:F592, "ENAP carga"), "")</f>
        <v/>
      </c>
    </row>
    <row r="593" spans="12:20" x14ac:dyDescent="0.2">
      <c r="L593" s="23" t="str">
        <f t="shared" si="11"/>
        <v/>
      </c>
      <c r="Q593" t="str">
        <f>IF(F593="CJ", COUNTIF(F$5:F593, "CJ"), "")</f>
        <v/>
      </c>
      <c r="R593" t="str">
        <f>IF(F593="Ignacio", COUNTIF(F$5:F593, "Ignacio"), "")</f>
        <v/>
      </c>
      <c r="S593" t="str">
        <f>IF(F593="Tripulacion", COUNTIF(F$5:F593, "Tripulacion"), "")</f>
        <v/>
      </c>
      <c r="T593" t="str">
        <f>IF(F593="ENAP carga", COUNTIF(F$5:F593, "ENAP carga"), "")</f>
        <v/>
      </c>
    </row>
    <row r="594" spans="12:20" x14ac:dyDescent="0.2">
      <c r="L594" s="23" t="str">
        <f t="shared" si="11"/>
        <v/>
      </c>
      <c r="Q594" t="str">
        <f>IF(F594="CJ", COUNTIF(F$5:F594, "CJ"), "")</f>
        <v/>
      </c>
      <c r="R594" t="str">
        <f>IF(F594="Ignacio", COUNTIF(F$5:F594, "Ignacio"), "")</f>
        <v/>
      </c>
      <c r="S594" t="str">
        <f>IF(F594="Tripulacion", COUNTIF(F$5:F594, "Tripulacion"), "")</f>
        <v/>
      </c>
      <c r="T594" t="str">
        <f>IF(F594="ENAP carga", COUNTIF(F$5:F594, "ENAP carga"), "")</f>
        <v/>
      </c>
    </row>
    <row r="595" spans="12:20" x14ac:dyDescent="0.2">
      <c r="L595" s="23" t="str">
        <f t="shared" si="11"/>
        <v/>
      </c>
      <c r="Q595" t="str">
        <f>IF(F595="CJ", COUNTIF(F$5:F595, "CJ"), "")</f>
        <v/>
      </c>
      <c r="R595" t="str">
        <f>IF(F595="Ignacio", COUNTIF(F$5:F595, "Ignacio"), "")</f>
        <v/>
      </c>
      <c r="S595" t="str">
        <f>IF(F595="Tripulacion", COUNTIF(F$5:F595, "Tripulacion"), "")</f>
        <v/>
      </c>
      <c r="T595" t="str">
        <f>IF(F595="ENAP carga", COUNTIF(F$5:F595, "ENAP carga"), "")</f>
        <v/>
      </c>
    </row>
    <row r="596" spans="12:20" x14ac:dyDescent="0.2">
      <c r="L596" s="23" t="str">
        <f t="shared" si="11"/>
        <v/>
      </c>
      <c r="Q596" t="str">
        <f>IF(F596="CJ", COUNTIF(F$5:F596, "CJ"), "")</f>
        <v/>
      </c>
      <c r="R596" t="str">
        <f>IF(F596="Ignacio", COUNTIF(F$5:F596, "Ignacio"), "")</f>
        <v/>
      </c>
      <c r="S596" t="str">
        <f>IF(F596="Tripulacion", COUNTIF(F$5:F596, "Tripulacion"), "")</f>
        <v/>
      </c>
      <c r="T596" t="str">
        <f>IF(F596="ENAP carga", COUNTIF(F$5:F596, "ENAP carga"), "")</f>
        <v/>
      </c>
    </row>
    <row r="597" spans="12:20" x14ac:dyDescent="0.2">
      <c r="L597" s="23" t="str">
        <f t="shared" si="11"/>
        <v/>
      </c>
      <c r="Q597" t="str">
        <f>IF(F597="CJ", COUNTIF(F$5:F597, "CJ"), "")</f>
        <v/>
      </c>
      <c r="R597" t="str">
        <f>IF(F597="Ignacio", COUNTIF(F$5:F597, "Ignacio"), "")</f>
        <v/>
      </c>
      <c r="S597" t="str">
        <f>IF(F597="Tripulacion", COUNTIF(F$5:F597, "Tripulacion"), "")</f>
        <v/>
      </c>
      <c r="T597" t="str">
        <f>IF(F597="ENAP carga", COUNTIF(F$5:F597, "ENAP carga"), "")</f>
        <v/>
      </c>
    </row>
    <row r="598" spans="12:20" x14ac:dyDescent="0.2">
      <c r="L598" s="23" t="str">
        <f t="shared" si="11"/>
        <v/>
      </c>
      <c r="Q598" t="str">
        <f>IF(F598="CJ", COUNTIF(F$5:F598, "CJ"), "")</f>
        <v/>
      </c>
      <c r="R598" t="str">
        <f>IF(F598="Ignacio", COUNTIF(F$5:F598, "Ignacio"), "")</f>
        <v/>
      </c>
      <c r="S598" t="str">
        <f>IF(F598="Tripulacion", COUNTIF(F$5:F598, "Tripulacion"), "")</f>
        <v/>
      </c>
      <c r="T598" t="str">
        <f>IF(F598="ENAP carga", COUNTIF(F$5:F598, "ENAP carga"), "")</f>
        <v/>
      </c>
    </row>
    <row r="599" spans="12:20" x14ac:dyDescent="0.2">
      <c r="L599" s="23" t="str">
        <f t="shared" si="11"/>
        <v/>
      </c>
      <c r="Q599" t="str">
        <f>IF(F599="CJ", COUNTIF(F$5:F599, "CJ"), "")</f>
        <v/>
      </c>
      <c r="R599" t="str">
        <f>IF(F599="Ignacio", COUNTIF(F$5:F599, "Ignacio"), "")</f>
        <v/>
      </c>
      <c r="S599" t="str">
        <f>IF(F599="Tripulacion", COUNTIF(F$5:F599, "Tripulacion"), "")</f>
        <v/>
      </c>
      <c r="T599" t="str">
        <f>IF(F599="ENAP carga", COUNTIF(F$5:F599, "ENAP carga"), "")</f>
        <v/>
      </c>
    </row>
    <row r="600" spans="12:20" x14ac:dyDescent="0.2">
      <c r="L600" s="23" t="str">
        <f t="shared" si="11"/>
        <v/>
      </c>
      <c r="Q600" t="str">
        <f>IF(F600="CJ", COUNTIF(F$5:F600, "CJ"), "")</f>
        <v/>
      </c>
      <c r="R600" t="str">
        <f>IF(F600="Ignacio", COUNTIF(F$5:F600, "Ignacio"), "")</f>
        <v/>
      </c>
      <c r="S600" t="str">
        <f>IF(F600="Tripulacion", COUNTIF(F$5:F600, "Tripulacion"), "")</f>
        <v/>
      </c>
      <c r="T600" t="str">
        <f>IF(F600="ENAP carga", COUNTIF(F$5:F600, "ENAP carga"), "")</f>
        <v/>
      </c>
    </row>
    <row r="601" spans="12:20" x14ac:dyDescent="0.2">
      <c r="L601" s="23" t="str">
        <f t="shared" si="11"/>
        <v/>
      </c>
      <c r="Q601" t="str">
        <f>IF(F601="CJ", COUNTIF(F$5:F601, "CJ"), "")</f>
        <v/>
      </c>
      <c r="R601" t="str">
        <f>IF(F601="Ignacio", COUNTIF(F$5:F601, "Ignacio"), "")</f>
        <v/>
      </c>
      <c r="S601" t="str">
        <f>IF(F601="Tripulacion", COUNTIF(F$5:F601, "Tripulacion"), "")</f>
        <v/>
      </c>
      <c r="T601" t="str">
        <f>IF(F601="ENAP carga", COUNTIF(F$5:F601, "ENAP carga"), "")</f>
        <v/>
      </c>
    </row>
    <row r="602" spans="12:20" x14ac:dyDescent="0.2">
      <c r="L602" s="23" t="str">
        <f t="shared" si="11"/>
        <v/>
      </c>
      <c r="Q602" t="str">
        <f>IF(F602="CJ", COUNTIF(F$5:F602, "CJ"), "")</f>
        <v/>
      </c>
      <c r="R602" t="str">
        <f>IF(F602="Ignacio", COUNTIF(F$5:F602, "Ignacio"), "")</f>
        <v/>
      </c>
      <c r="S602" t="str">
        <f>IF(F602="Tripulacion", COUNTIF(F$5:F602, "Tripulacion"), "")</f>
        <v/>
      </c>
      <c r="T602" t="str">
        <f>IF(F602="ENAP carga", COUNTIF(F$5:F602, "ENAP carga"), "")</f>
        <v/>
      </c>
    </row>
    <row r="603" spans="12:20" x14ac:dyDescent="0.2">
      <c r="L603" s="23" t="str">
        <f t="shared" si="11"/>
        <v/>
      </c>
      <c r="Q603" t="str">
        <f>IF(F603="CJ", COUNTIF(F$5:F603, "CJ"), "")</f>
        <v/>
      </c>
      <c r="R603" t="str">
        <f>IF(F603="Ignacio", COUNTIF(F$5:F603, "Ignacio"), "")</f>
        <v/>
      </c>
      <c r="S603" t="str">
        <f>IF(F603="Tripulacion", COUNTIF(F$5:F603, "Tripulacion"), "")</f>
        <v/>
      </c>
      <c r="T603" t="str">
        <f>IF(F603="ENAP carga", COUNTIF(F$5:F603, "ENAP carga"), "")</f>
        <v/>
      </c>
    </row>
    <row r="604" spans="12:20" x14ac:dyDescent="0.2">
      <c r="L604" s="23" t="str">
        <f t="shared" si="11"/>
        <v/>
      </c>
      <c r="Q604" t="str">
        <f>IF(F604="CJ", COUNTIF(F$5:F604, "CJ"), "")</f>
        <v/>
      </c>
      <c r="R604" t="str">
        <f>IF(F604="Ignacio", COUNTIF(F$5:F604, "Ignacio"), "")</f>
        <v/>
      </c>
      <c r="S604" t="str">
        <f>IF(F604="Tripulacion", COUNTIF(F$5:F604, "Tripulacion"), "")</f>
        <v/>
      </c>
      <c r="T604" t="str">
        <f>IF(F604="ENAP carga", COUNTIF(F$5:F604, "ENAP carga"), "")</f>
        <v/>
      </c>
    </row>
    <row r="605" spans="12:20" x14ac:dyDescent="0.2">
      <c r="L605" s="23" t="str">
        <f t="shared" si="11"/>
        <v/>
      </c>
      <c r="Q605" t="str">
        <f>IF(F605="CJ", COUNTIF(F$5:F605, "CJ"), "")</f>
        <v/>
      </c>
      <c r="R605" t="str">
        <f>IF(F605="Ignacio", COUNTIF(F$5:F605, "Ignacio"), "")</f>
        <v/>
      </c>
      <c r="S605" t="str">
        <f>IF(F605="Tripulacion", COUNTIF(F$5:F605, "Tripulacion"), "")</f>
        <v/>
      </c>
      <c r="T605" t="str">
        <f>IF(F605="ENAP carga", COUNTIF(F$5:F605, "ENAP carga"), "")</f>
        <v/>
      </c>
    </row>
    <row r="606" spans="12:20" x14ac:dyDescent="0.2">
      <c r="L606" s="23" t="str">
        <f t="shared" si="11"/>
        <v/>
      </c>
      <c r="Q606" t="str">
        <f>IF(F606="CJ", COUNTIF(F$5:F606, "CJ"), "")</f>
        <v/>
      </c>
      <c r="R606" t="str">
        <f>IF(F606="Ignacio", COUNTIF(F$5:F606, "Ignacio"), "")</f>
        <v/>
      </c>
      <c r="S606" t="str">
        <f>IF(F606="Tripulacion", COUNTIF(F$5:F606, "Tripulacion"), "")</f>
        <v/>
      </c>
      <c r="T606" t="str">
        <f>IF(F606="ENAP carga", COUNTIF(F$5:F606, "ENAP carga"), "")</f>
        <v/>
      </c>
    </row>
    <row r="607" spans="12:20" x14ac:dyDescent="0.2">
      <c r="L607" s="23" t="str">
        <f t="shared" si="11"/>
        <v/>
      </c>
      <c r="Q607" t="str">
        <f>IF(F607="CJ", COUNTIF(F$5:F607, "CJ"), "")</f>
        <v/>
      </c>
      <c r="R607" t="str">
        <f>IF(F607="Ignacio", COUNTIF(F$5:F607, "Ignacio"), "")</f>
        <v/>
      </c>
      <c r="S607" t="str">
        <f>IF(F607="Tripulacion", COUNTIF(F$5:F607, "Tripulacion"), "")</f>
        <v/>
      </c>
      <c r="T607" t="str">
        <f>IF(F607="ENAP carga", COUNTIF(F$5:F607, "ENAP carga"), "")</f>
        <v/>
      </c>
    </row>
    <row r="608" spans="12:20" x14ac:dyDescent="0.2">
      <c r="L608" s="23" t="str">
        <f t="shared" si="11"/>
        <v/>
      </c>
      <c r="Q608" t="str">
        <f>IF(F608="CJ", COUNTIF(F$5:F608, "CJ"), "")</f>
        <v/>
      </c>
      <c r="R608" t="str">
        <f>IF(F608="Ignacio", COUNTIF(F$5:F608, "Ignacio"), "")</f>
        <v/>
      </c>
      <c r="S608" t="str">
        <f>IF(F608="Tripulacion", COUNTIF(F$5:F608, "Tripulacion"), "")</f>
        <v/>
      </c>
      <c r="T608" t="str">
        <f>IF(F608="ENAP carga", COUNTIF(F$5:F608, "ENAP carga"), "")</f>
        <v/>
      </c>
    </row>
    <row r="609" spans="12:20" x14ac:dyDescent="0.2">
      <c r="L609" s="23" t="str">
        <f t="shared" si="11"/>
        <v/>
      </c>
      <c r="Q609" t="str">
        <f>IF(F609="CJ", COUNTIF(F$5:F609, "CJ"), "")</f>
        <v/>
      </c>
      <c r="R609" t="str">
        <f>IF(F609="Ignacio", COUNTIF(F$5:F609, "Ignacio"), "")</f>
        <v/>
      </c>
      <c r="S609" t="str">
        <f>IF(F609="Tripulacion", COUNTIF(F$5:F609, "Tripulacion"), "")</f>
        <v/>
      </c>
      <c r="T609" t="str">
        <f>IF(F609="ENAP carga", COUNTIF(F$5:F609, "ENAP carga"), "")</f>
        <v/>
      </c>
    </row>
    <row r="610" spans="12:20" x14ac:dyDescent="0.2">
      <c r="L610" s="23" t="str">
        <f t="shared" si="11"/>
        <v/>
      </c>
      <c r="Q610" t="str">
        <f>IF(F610="CJ", COUNTIF(F$5:F610, "CJ"), "")</f>
        <v/>
      </c>
      <c r="R610" t="str">
        <f>IF(F610="Ignacio", COUNTIF(F$5:F610, "Ignacio"), "")</f>
        <v/>
      </c>
      <c r="S610" t="str">
        <f>IF(F610="Tripulacion", COUNTIF(F$5:F610, "Tripulacion"), "")</f>
        <v/>
      </c>
      <c r="T610" t="str">
        <f>IF(F610="ENAP carga", COUNTIF(F$5:F610, "ENAP carga"), "")</f>
        <v/>
      </c>
    </row>
    <row r="611" spans="12:20" x14ac:dyDescent="0.2">
      <c r="L611" s="23" t="str">
        <f t="shared" si="11"/>
        <v/>
      </c>
      <c r="Q611" t="str">
        <f>IF(F611="CJ", COUNTIF(F$5:F611, "CJ"), "")</f>
        <v/>
      </c>
      <c r="R611" t="str">
        <f>IF(F611="Ignacio", COUNTIF(F$5:F611, "Ignacio"), "")</f>
        <v/>
      </c>
      <c r="S611" t="str">
        <f>IF(F611="Tripulacion", COUNTIF(F$5:F611, "Tripulacion"), "")</f>
        <v/>
      </c>
      <c r="T611" t="str">
        <f>IF(F611="ENAP carga", COUNTIF(F$5:F611, "ENAP carga"), "")</f>
        <v/>
      </c>
    </row>
    <row r="612" spans="12:20" x14ac:dyDescent="0.2">
      <c r="L612" s="23" t="str">
        <f t="shared" si="11"/>
        <v/>
      </c>
      <c r="Q612" t="str">
        <f>IF(F612="CJ", COUNTIF(F$5:F612, "CJ"), "")</f>
        <v/>
      </c>
      <c r="R612" t="str">
        <f>IF(F612="Ignacio", COUNTIF(F$5:F612, "Ignacio"), "")</f>
        <v/>
      </c>
      <c r="S612" t="str">
        <f>IF(F612="Tripulacion", COUNTIF(F$5:F612, "Tripulacion"), "")</f>
        <v/>
      </c>
      <c r="T612" t="str">
        <f>IF(F612="ENAP carga", COUNTIF(F$5:F612, "ENAP carga"), "")</f>
        <v/>
      </c>
    </row>
    <row r="613" spans="12:20" x14ac:dyDescent="0.2">
      <c r="L613" s="23" t="str">
        <f t="shared" si="11"/>
        <v/>
      </c>
      <c r="Q613" t="str">
        <f>IF(F613="CJ", COUNTIF(F$5:F613, "CJ"), "")</f>
        <v/>
      </c>
      <c r="R613" t="str">
        <f>IF(F613="Ignacio", COUNTIF(F$5:F613, "Ignacio"), "")</f>
        <v/>
      </c>
      <c r="S613" t="str">
        <f>IF(F613="Tripulacion", COUNTIF(F$5:F613, "Tripulacion"), "")</f>
        <v/>
      </c>
      <c r="T613" t="str">
        <f>IF(F613="ENAP carga", COUNTIF(F$5:F613, "ENAP carga"), "")</f>
        <v/>
      </c>
    </row>
    <row r="614" spans="12:20" x14ac:dyDescent="0.2">
      <c r="L614" s="23" t="str">
        <f t="shared" si="11"/>
        <v/>
      </c>
      <c r="Q614" t="str">
        <f>IF(F614="CJ", COUNTIF(F$5:F614, "CJ"), "")</f>
        <v/>
      </c>
      <c r="R614" t="str">
        <f>IF(F614="Ignacio", COUNTIF(F$5:F614, "Ignacio"), "")</f>
        <v/>
      </c>
      <c r="S614" t="str">
        <f>IF(F614="Tripulacion", COUNTIF(F$5:F614, "Tripulacion"), "")</f>
        <v/>
      </c>
      <c r="T614" t="str">
        <f>IF(F614="ENAP carga", COUNTIF(F$5:F614, "ENAP carga"), "")</f>
        <v/>
      </c>
    </row>
    <row r="615" spans="12:20" x14ac:dyDescent="0.2">
      <c r="L615" s="23" t="str">
        <f t="shared" si="11"/>
        <v/>
      </c>
      <c r="Q615" t="str">
        <f>IF(F615="CJ", COUNTIF(F$5:F615, "CJ"), "")</f>
        <v/>
      </c>
      <c r="R615" t="str">
        <f>IF(F615="Ignacio", COUNTIF(F$5:F615, "Ignacio"), "")</f>
        <v/>
      </c>
      <c r="S615" t="str">
        <f>IF(F615="Tripulacion", COUNTIF(F$5:F615, "Tripulacion"), "")</f>
        <v/>
      </c>
      <c r="T615" t="str">
        <f>IF(F615="ENAP carga", COUNTIF(F$5:F615, "ENAP carga"), "")</f>
        <v/>
      </c>
    </row>
    <row r="616" spans="12:20" x14ac:dyDescent="0.2">
      <c r="L616" s="23" t="str">
        <f t="shared" si="11"/>
        <v/>
      </c>
      <c r="Q616" t="str">
        <f>IF(F616="CJ", COUNTIF(F$5:F616, "CJ"), "")</f>
        <v/>
      </c>
      <c r="R616" t="str">
        <f>IF(F616="Ignacio", COUNTIF(F$5:F616, "Ignacio"), "")</f>
        <v/>
      </c>
      <c r="S616" t="str">
        <f>IF(F616="Tripulacion", COUNTIF(F$5:F616, "Tripulacion"), "")</f>
        <v/>
      </c>
      <c r="T616" t="str">
        <f>IF(F616="ENAP carga", COUNTIF(F$5:F616, "ENAP carga"), "")</f>
        <v/>
      </c>
    </row>
    <row r="617" spans="12:20" x14ac:dyDescent="0.2">
      <c r="L617" s="23" t="str">
        <f t="shared" si="11"/>
        <v/>
      </c>
      <c r="Q617" t="str">
        <f>IF(F617="CJ", COUNTIF(F$5:F617, "CJ"), "")</f>
        <v/>
      </c>
      <c r="R617" t="str">
        <f>IF(F617="Ignacio", COUNTIF(F$5:F617, "Ignacio"), "")</f>
        <v/>
      </c>
      <c r="S617" t="str">
        <f>IF(F617="Tripulacion", COUNTIF(F$5:F617, "Tripulacion"), "")</f>
        <v/>
      </c>
      <c r="T617" t="str">
        <f>IF(F617="ENAP carga", COUNTIF(F$5:F617, "ENAP carga"), "")</f>
        <v/>
      </c>
    </row>
    <row r="618" spans="12:20" x14ac:dyDescent="0.2">
      <c r="L618" s="23" t="str">
        <f t="shared" si="11"/>
        <v/>
      </c>
      <c r="Q618" t="str">
        <f>IF(F618="CJ", COUNTIF(F$5:F618, "CJ"), "")</f>
        <v/>
      </c>
      <c r="R618" t="str">
        <f>IF(F618="Ignacio", COUNTIF(F$5:F618, "Ignacio"), "")</f>
        <v/>
      </c>
      <c r="S618" t="str">
        <f>IF(F618="Tripulacion", COUNTIF(F$5:F618, "Tripulacion"), "")</f>
        <v/>
      </c>
      <c r="T618" t="str">
        <f>IF(F618="ENAP carga", COUNTIF(F$5:F618, "ENAP carga"), "")</f>
        <v/>
      </c>
    </row>
    <row r="619" spans="12:20" x14ac:dyDescent="0.2">
      <c r="L619" s="23" t="str">
        <f t="shared" si="11"/>
        <v/>
      </c>
      <c r="Q619" t="str">
        <f>IF(F619="CJ", COUNTIF(F$5:F619, "CJ"), "")</f>
        <v/>
      </c>
      <c r="R619" t="str">
        <f>IF(F619="Ignacio", COUNTIF(F$5:F619, "Ignacio"), "")</f>
        <v/>
      </c>
      <c r="S619" t="str">
        <f>IF(F619="Tripulacion", COUNTIF(F$5:F619, "Tripulacion"), "")</f>
        <v/>
      </c>
      <c r="T619" t="str">
        <f>IF(F619="ENAP carga", COUNTIF(F$5:F619, "ENAP carga"), "")</f>
        <v/>
      </c>
    </row>
    <row r="620" spans="12:20" x14ac:dyDescent="0.2">
      <c r="L620" s="23" t="str">
        <f t="shared" si="11"/>
        <v/>
      </c>
      <c r="Q620" t="str">
        <f>IF(F620="CJ", COUNTIF(F$5:F620, "CJ"), "")</f>
        <v/>
      </c>
      <c r="R620" t="str">
        <f>IF(F620="Ignacio", COUNTIF(F$5:F620, "Ignacio"), "")</f>
        <v/>
      </c>
      <c r="S620" t="str">
        <f>IF(F620="Tripulacion", COUNTIF(F$5:F620, "Tripulacion"), "")</f>
        <v/>
      </c>
      <c r="T620" t="str">
        <f>IF(F620="ENAP carga", COUNTIF(F$5:F620, "ENAP carga"), "")</f>
        <v/>
      </c>
    </row>
    <row r="621" spans="12:20" x14ac:dyDescent="0.2">
      <c r="L621" s="23" t="str">
        <f t="shared" si="11"/>
        <v/>
      </c>
      <c r="Q621" t="str">
        <f>IF(F621="CJ", COUNTIF(F$5:F621, "CJ"), "")</f>
        <v/>
      </c>
      <c r="R621" t="str">
        <f>IF(F621="Ignacio", COUNTIF(F$5:F621, "Ignacio"), "")</f>
        <v/>
      </c>
      <c r="S621" t="str">
        <f>IF(F621="Tripulacion", COUNTIF(F$5:F621, "Tripulacion"), "")</f>
        <v/>
      </c>
      <c r="T621" t="str">
        <f>IF(F621="ENAP carga", COUNTIF(F$5:F621, "ENAP carga"), "")</f>
        <v/>
      </c>
    </row>
    <row r="622" spans="12:20" x14ac:dyDescent="0.2">
      <c r="L622" s="23" t="str">
        <f t="shared" si="11"/>
        <v/>
      </c>
      <c r="Q622" t="str">
        <f>IF(F622="CJ", COUNTIF(F$5:F622, "CJ"), "")</f>
        <v/>
      </c>
      <c r="R622" t="str">
        <f>IF(F622="Ignacio", COUNTIF(F$5:F622, "Ignacio"), "")</f>
        <v/>
      </c>
      <c r="S622" t="str">
        <f>IF(F622="Tripulacion", COUNTIF(F$5:F622, "Tripulacion"), "")</f>
        <v/>
      </c>
      <c r="T622" t="str">
        <f>IF(F622="ENAP carga", COUNTIF(F$5:F622, "ENAP carga"), "")</f>
        <v/>
      </c>
    </row>
    <row r="623" spans="12:20" x14ac:dyDescent="0.2">
      <c r="L623" s="23" t="str">
        <f t="shared" si="11"/>
        <v/>
      </c>
      <c r="Q623" t="str">
        <f>IF(F623="CJ", COUNTIF(F$5:F623, "CJ"), "")</f>
        <v/>
      </c>
      <c r="R623" t="str">
        <f>IF(F623="Ignacio", COUNTIF(F$5:F623, "Ignacio"), "")</f>
        <v/>
      </c>
      <c r="S623" t="str">
        <f>IF(F623="Tripulacion", COUNTIF(F$5:F623, "Tripulacion"), "")</f>
        <v/>
      </c>
      <c r="T623" t="str">
        <f>IF(F623="ENAP carga", COUNTIF(F$5:F623, "ENAP carga"), "")</f>
        <v/>
      </c>
    </row>
    <row r="624" spans="12:20" x14ac:dyDescent="0.2">
      <c r="L624" s="23" t="str">
        <f t="shared" si="11"/>
        <v/>
      </c>
      <c r="Q624" t="str">
        <f>IF(F624="CJ", COUNTIF(F$5:F624, "CJ"), "")</f>
        <v/>
      </c>
      <c r="R624" t="str">
        <f>IF(F624="Ignacio", COUNTIF(F$5:F624, "Ignacio"), "")</f>
        <v/>
      </c>
      <c r="S624" t="str">
        <f>IF(F624="Tripulacion", COUNTIF(F$5:F624, "Tripulacion"), "")</f>
        <v/>
      </c>
      <c r="T624" t="str">
        <f>IF(F624="ENAP carga", COUNTIF(F$5:F624, "ENAP carga"), "")</f>
        <v/>
      </c>
    </row>
    <row r="625" spans="12:20" x14ac:dyDescent="0.2">
      <c r="L625" s="23" t="str">
        <f t="shared" si="11"/>
        <v/>
      </c>
      <c r="Q625" t="str">
        <f>IF(F625="CJ", COUNTIF(F$5:F625, "CJ"), "")</f>
        <v/>
      </c>
      <c r="R625" t="str">
        <f>IF(F625="Ignacio", COUNTIF(F$5:F625, "Ignacio"), "")</f>
        <v/>
      </c>
      <c r="S625" t="str">
        <f>IF(F625="Tripulacion", COUNTIF(F$5:F625, "Tripulacion"), "")</f>
        <v/>
      </c>
      <c r="T625" t="str">
        <f>IF(F625="ENAP carga", COUNTIF(F$5:F625, "ENAP carga"), "")</f>
        <v/>
      </c>
    </row>
    <row r="626" spans="12:20" x14ac:dyDescent="0.2">
      <c r="L626" s="23" t="str">
        <f t="shared" si="11"/>
        <v/>
      </c>
      <c r="Q626" t="str">
        <f>IF(F626="CJ", COUNTIF(F$5:F626, "CJ"), "")</f>
        <v/>
      </c>
      <c r="R626" t="str">
        <f>IF(F626="Ignacio", COUNTIF(F$5:F626, "Ignacio"), "")</f>
        <v/>
      </c>
      <c r="S626" t="str">
        <f>IF(F626="Tripulacion", COUNTIF(F$5:F626, "Tripulacion"), "")</f>
        <v/>
      </c>
      <c r="T626" t="str">
        <f>IF(F626="ENAP carga", COUNTIF(F$5:F626, "ENAP carga"), "")</f>
        <v/>
      </c>
    </row>
    <row r="627" spans="12:20" x14ac:dyDescent="0.2">
      <c r="L627" s="23" t="str">
        <f t="shared" si="11"/>
        <v/>
      </c>
      <c r="Q627" t="str">
        <f>IF(F627="CJ", COUNTIF(F$5:F627, "CJ"), "")</f>
        <v/>
      </c>
      <c r="R627" t="str">
        <f>IF(F627="Ignacio", COUNTIF(F$5:F627, "Ignacio"), "")</f>
        <v/>
      </c>
      <c r="S627" t="str">
        <f>IF(F627="Tripulacion", COUNTIF(F$5:F627, "Tripulacion"), "")</f>
        <v/>
      </c>
      <c r="T627" t="str">
        <f>IF(F627="ENAP carga", COUNTIF(F$5:F627, "ENAP carga"), "")</f>
        <v/>
      </c>
    </row>
    <row r="628" spans="12:20" x14ac:dyDescent="0.2">
      <c r="L628" s="23" t="str">
        <f t="shared" si="11"/>
        <v/>
      </c>
      <c r="Q628" t="str">
        <f>IF(F628="CJ", COUNTIF(F$5:F628, "CJ"), "")</f>
        <v/>
      </c>
      <c r="R628" t="str">
        <f>IF(F628="Ignacio", COUNTIF(F$5:F628, "Ignacio"), "")</f>
        <v/>
      </c>
      <c r="S628" t="str">
        <f>IF(F628="Tripulacion", COUNTIF(F$5:F628, "Tripulacion"), "")</f>
        <v/>
      </c>
      <c r="T628" t="str">
        <f>IF(F628="ENAP carga", COUNTIF(F$5:F628, "ENAP carga"), "")</f>
        <v/>
      </c>
    </row>
    <row r="629" spans="12:20" x14ac:dyDescent="0.2">
      <c r="L629" s="23" t="str">
        <f t="shared" si="11"/>
        <v/>
      </c>
      <c r="Q629" t="str">
        <f>IF(F629="CJ", COUNTIF(F$5:F629, "CJ"), "")</f>
        <v/>
      </c>
      <c r="R629" t="str">
        <f>IF(F629="Ignacio", COUNTIF(F$5:F629, "Ignacio"), "")</f>
        <v/>
      </c>
      <c r="S629" t="str">
        <f>IF(F629="Tripulacion", COUNTIF(F$5:F629, "Tripulacion"), "")</f>
        <v/>
      </c>
      <c r="T629" t="str">
        <f>IF(F629="ENAP carga", COUNTIF(F$5:F629, "ENAP carga"), "")</f>
        <v/>
      </c>
    </row>
    <row r="630" spans="12:20" x14ac:dyDescent="0.2">
      <c r="L630" s="23" t="str">
        <f t="shared" si="11"/>
        <v/>
      </c>
      <c r="Q630" t="str">
        <f>IF(F630="CJ", COUNTIF(F$5:F630, "CJ"), "")</f>
        <v/>
      </c>
      <c r="R630" t="str">
        <f>IF(F630="Ignacio", COUNTIF(F$5:F630, "Ignacio"), "")</f>
        <v/>
      </c>
      <c r="S630" t="str">
        <f>IF(F630="Tripulacion", COUNTIF(F$5:F630, "Tripulacion"), "")</f>
        <v/>
      </c>
      <c r="T630" t="str">
        <f>IF(F630="ENAP carga", COUNTIF(F$5:F630, "ENAP carga"), "")</f>
        <v/>
      </c>
    </row>
    <row r="631" spans="12:20" x14ac:dyDescent="0.2">
      <c r="L631" s="23" t="str">
        <f t="shared" si="11"/>
        <v/>
      </c>
      <c r="Q631" t="str">
        <f>IF(F631="CJ", COUNTIF(F$5:F631, "CJ"), "")</f>
        <v/>
      </c>
      <c r="R631" t="str">
        <f>IF(F631="Ignacio", COUNTIF(F$5:F631, "Ignacio"), "")</f>
        <v/>
      </c>
      <c r="S631" t="str">
        <f>IF(F631="Tripulacion", COUNTIF(F$5:F631, "Tripulacion"), "")</f>
        <v/>
      </c>
      <c r="T631" t="str">
        <f>IF(F631="ENAP carga", COUNTIF(F$5:F631, "ENAP carga"), "")</f>
        <v/>
      </c>
    </row>
    <row r="632" spans="12:20" x14ac:dyDescent="0.2">
      <c r="L632" s="23" t="str">
        <f t="shared" si="11"/>
        <v/>
      </c>
      <c r="Q632" t="str">
        <f>IF(F632="CJ", COUNTIF(F$5:F632, "CJ"), "")</f>
        <v/>
      </c>
      <c r="R632" t="str">
        <f>IF(F632="Ignacio", COUNTIF(F$5:F632, "Ignacio"), "")</f>
        <v/>
      </c>
      <c r="S632" t="str">
        <f>IF(F632="Tripulacion", COUNTIF(F$5:F632, "Tripulacion"), "")</f>
        <v/>
      </c>
      <c r="T632" t="str">
        <f>IF(F632="ENAP carga", COUNTIF(F$5:F632, "ENAP carga"), "")</f>
        <v/>
      </c>
    </row>
    <row r="633" spans="12:20" x14ac:dyDescent="0.2">
      <c r="L633" s="23" t="str">
        <f t="shared" si="11"/>
        <v/>
      </c>
      <c r="Q633" t="str">
        <f>IF(F633="CJ", COUNTIF(F$5:F633, "CJ"), "")</f>
        <v/>
      </c>
      <c r="R633" t="str">
        <f>IF(F633="Ignacio", COUNTIF(F$5:F633, "Ignacio"), "")</f>
        <v/>
      </c>
      <c r="S633" t="str">
        <f>IF(F633="Tripulacion", COUNTIF(F$5:F633, "Tripulacion"), "")</f>
        <v/>
      </c>
      <c r="T633" t="str">
        <f>IF(F633="ENAP carga", COUNTIF(F$5:F633, "ENAP carga"), "")</f>
        <v/>
      </c>
    </row>
    <row r="634" spans="12:20" x14ac:dyDescent="0.2">
      <c r="L634" s="23" t="str">
        <f t="shared" si="11"/>
        <v/>
      </c>
      <c r="Q634" t="str">
        <f>IF(F634="CJ", COUNTIF(F$5:F634, "CJ"), "")</f>
        <v/>
      </c>
      <c r="R634" t="str">
        <f>IF(F634="Ignacio", COUNTIF(F$5:F634, "Ignacio"), "")</f>
        <v/>
      </c>
      <c r="S634" t="str">
        <f>IF(F634="Tripulacion", COUNTIF(F$5:F634, "Tripulacion"), "")</f>
        <v/>
      </c>
      <c r="T634" t="str">
        <f>IF(F634="ENAP carga", COUNTIF(F$5:F634, "ENAP carga"), "")</f>
        <v/>
      </c>
    </row>
    <row r="635" spans="12:20" x14ac:dyDescent="0.2">
      <c r="L635" s="23" t="str">
        <f t="shared" si="11"/>
        <v/>
      </c>
      <c r="Q635" t="str">
        <f>IF(F635="CJ", COUNTIF(F$5:F635, "CJ"), "")</f>
        <v/>
      </c>
      <c r="R635" t="str">
        <f>IF(F635="Ignacio", COUNTIF(F$5:F635, "Ignacio"), "")</f>
        <v/>
      </c>
      <c r="S635" t="str">
        <f>IF(F635="Tripulacion", COUNTIF(F$5:F635, "Tripulacion"), "")</f>
        <v/>
      </c>
      <c r="T635" t="str">
        <f>IF(F635="ENAP carga", COUNTIF(F$5:F635, "ENAP carga"), "")</f>
        <v/>
      </c>
    </row>
    <row r="636" spans="12:20" x14ac:dyDescent="0.2">
      <c r="L636" s="23" t="str">
        <f t="shared" si="11"/>
        <v/>
      </c>
      <c r="Q636" t="str">
        <f>IF(F636="CJ", COUNTIF(F$5:F636, "CJ"), "")</f>
        <v/>
      </c>
      <c r="R636" t="str">
        <f>IF(F636="Ignacio", COUNTIF(F$5:F636, "Ignacio"), "")</f>
        <v/>
      </c>
      <c r="S636" t="str">
        <f>IF(F636="Tripulacion", COUNTIF(F$5:F636, "Tripulacion"), "")</f>
        <v/>
      </c>
      <c r="T636" t="str">
        <f>IF(F636="ENAP carga", COUNTIF(F$5:F636, "ENAP carga"), "")</f>
        <v/>
      </c>
    </row>
    <row r="637" spans="12:20" x14ac:dyDescent="0.2">
      <c r="L637" s="23" t="str">
        <f t="shared" si="11"/>
        <v/>
      </c>
      <c r="Q637" t="str">
        <f>IF(F637="CJ", COUNTIF(F$5:F637, "CJ"), "")</f>
        <v/>
      </c>
      <c r="R637" t="str">
        <f>IF(F637="Ignacio", COUNTIF(F$5:F637, "Ignacio"), "")</f>
        <v/>
      </c>
      <c r="S637" t="str">
        <f>IF(F637="Tripulacion", COUNTIF(F$5:F637, "Tripulacion"), "")</f>
        <v/>
      </c>
      <c r="T637" t="str">
        <f>IF(F637="ENAP carga", COUNTIF(F$5:F637, "ENAP carga"), "")</f>
        <v/>
      </c>
    </row>
    <row r="638" spans="12:20" x14ac:dyDescent="0.2">
      <c r="L638" s="23" t="str">
        <f t="shared" si="11"/>
        <v/>
      </c>
      <c r="Q638" t="str">
        <f>IF(F638="CJ", COUNTIF(F$5:F638, "CJ"), "")</f>
        <v/>
      </c>
      <c r="R638" t="str">
        <f>IF(F638="Ignacio", COUNTIF(F$5:F638, "Ignacio"), "")</f>
        <v/>
      </c>
      <c r="S638" t="str">
        <f>IF(F638="Tripulacion", COUNTIF(F$5:F638, "Tripulacion"), "")</f>
        <v/>
      </c>
      <c r="T638" t="str">
        <f>IF(F638="ENAP carga", COUNTIF(F$5:F638, "ENAP carga"), "")</f>
        <v/>
      </c>
    </row>
    <row r="639" spans="12:20" x14ac:dyDescent="0.2">
      <c r="L639" s="23" t="str">
        <f t="shared" si="11"/>
        <v/>
      </c>
      <c r="Q639" t="str">
        <f>IF(F639="CJ", COUNTIF(F$5:F639, "CJ"), "")</f>
        <v/>
      </c>
      <c r="R639" t="str">
        <f>IF(F639="Ignacio", COUNTIF(F$5:F639, "Ignacio"), "")</f>
        <v/>
      </c>
      <c r="S639" t="str">
        <f>IF(F639="Tripulacion", COUNTIF(F$5:F639, "Tripulacion"), "")</f>
        <v/>
      </c>
      <c r="T639" t="str">
        <f>IF(F639="ENAP carga", COUNTIF(F$5:F639, "ENAP carga"), "")</f>
        <v/>
      </c>
    </row>
    <row r="640" spans="12:20" x14ac:dyDescent="0.2">
      <c r="L640" s="23" t="str">
        <f t="shared" si="11"/>
        <v/>
      </c>
      <c r="Q640" t="str">
        <f>IF(F640="CJ", COUNTIF(F$5:F640, "CJ"), "")</f>
        <v/>
      </c>
      <c r="R640" t="str">
        <f>IF(F640="Ignacio", COUNTIF(F$5:F640, "Ignacio"), "")</f>
        <v/>
      </c>
      <c r="S640" t="str">
        <f>IF(F640="Tripulacion", COUNTIF(F$5:F640, "Tripulacion"), "")</f>
        <v/>
      </c>
      <c r="T640" t="str">
        <f>IF(F640="ENAP carga", COUNTIF(F$5:F640, "ENAP carga"), "")</f>
        <v/>
      </c>
    </row>
    <row r="641" spans="12:20" x14ac:dyDescent="0.2">
      <c r="L641" s="23" t="str">
        <f t="shared" si="11"/>
        <v/>
      </c>
      <c r="Q641" t="str">
        <f>IF(F641="CJ", COUNTIF(F$5:F641, "CJ"), "")</f>
        <v/>
      </c>
      <c r="R641" t="str">
        <f>IF(F641="Ignacio", COUNTIF(F$5:F641, "Ignacio"), "")</f>
        <v/>
      </c>
      <c r="S641" t="str">
        <f>IF(F641="Tripulacion", COUNTIF(F$5:F641, "Tripulacion"), "")</f>
        <v/>
      </c>
      <c r="T641" t="str">
        <f>IF(F641="ENAP carga", COUNTIF(F$5:F641, "ENAP carga"), "")</f>
        <v/>
      </c>
    </row>
    <row r="642" spans="12:20" x14ac:dyDescent="0.2">
      <c r="L642" s="23" t="str">
        <f t="shared" si="11"/>
        <v/>
      </c>
      <c r="Q642" t="str">
        <f>IF(F642="CJ", COUNTIF(F$5:F642, "CJ"), "")</f>
        <v/>
      </c>
      <c r="R642" t="str">
        <f>IF(F642="Ignacio", COUNTIF(F$5:F642, "Ignacio"), "")</f>
        <v/>
      </c>
      <c r="S642" t="str">
        <f>IF(F642="Tripulacion", COUNTIF(F$5:F642, "Tripulacion"), "")</f>
        <v/>
      </c>
      <c r="T642" t="str">
        <f>IF(F642="ENAP carga", COUNTIF(F$5:F642, "ENAP carga"), "")</f>
        <v/>
      </c>
    </row>
    <row r="643" spans="12:20" x14ac:dyDescent="0.2">
      <c r="L643" s="23" t="str">
        <f t="shared" si="11"/>
        <v/>
      </c>
      <c r="Q643" t="str">
        <f>IF(F643="CJ", COUNTIF(F$5:F643, "CJ"), "")</f>
        <v/>
      </c>
      <c r="R643" t="str">
        <f>IF(F643="Ignacio", COUNTIF(F$5:F643, "Ignacio"), "")</f>
        <v/>
      </c>
      <c r="S643" t="str">
        <f>IF(F643="Tripulacion", COUNTIF(F$5:F643, "Tripulacion"), "")</f>
        <v/>
      </c>
      <c r="T643" t="str">
        <f>IF(F643="ENAP carga", COUNTIF(F$5:F643, "ENAP carga"), "")</f>
        <v/>
      </c>
    </row>
    <row r="644" spans="12:20" x14ac:dyDescent="0.2">
      <c r="L644" s="23" t="str">
        <f t="shared" si="11"/>
        <v/>
      </c>
      <c r="Q644" t="str">
        <f>IF(F644="CJ", COUNTIF(F$5:F644, "CJ"), "")</f>
        <v/>
      </c>
      <c r="R644" t="str">
        <f>IF(F644="Ignacio", COUNTIF(F$5:F644, "Ignacio"), "")</f>
        <v/>
      </c>
      <c r="S644" t="str">
        <f>IF(F644="Tripulacion", COUNTIF(F$5:F644, "Tripulacion"), "")</f>
        <v/>
      </c>
      <c r="T644" t="str">
        <f>IF(F644="ENAP carga", COUNTIF(F$5:F644, "ENAP carga"), "")</f>
        <v/>
      </c>
    </row>
    <row r="645" spans="12:20" x14ac:dyDescent="0.2">
      <c r="L645" s="23" t="str">
        <f t="shared" si="11"/>
        <v/>
      </c>
      <c r="Q645" t="str">
        <f>IF(F645="CJ", COUNTIF(F$5:F645, "CJ"), "")</f>
        <v/>
      </c>
      <c r="R645" t="str">
        <f>IF(F645="Ignacio", COUNTIF(F$5:F645, "Ignacio"), "")</f>
        <v/>
      </c>
      <c r="S645" t="str">
        <f>IF(F645="Tripulacion", COUNTIF(F$5:F645, "Tripulacion"), "")</f>
        <v/>
      </c>
      <c r="T645" t="str">
        <f>IF(F645="ENAP carga", COUNTIF(F$5:F645, "ENAP carga"), "")</f>
        <v/>
      </c>
    </row>
    <row r="646" spans="12:20" x14ac:dyDescent="0.2">
      <c r="L646" s="23" t="str">
        <f t="shared" si="11"/>
        <v/>
      </c>
      <c r="Q646" t="str">
        <f>IF(F646="CJ", COUNTIF(F$5:F646, "CJ"), "")</f>
        <v/>
      </c>
      <c r="R646" t="str">
        <f>IF(F646="Ignacio", COUNTIF(F$5:F646, "Ignacio"), "")</f>
        <v/>
      </c>
      <c r="S646" t="str">
        <f>IF(F646="Tripulacion", COUNTIF(F$5:F646, "Tripulacion"), "")</f>
        <v/>
      </c>
      <c r="T646" t="str">
        <f>IF(F646="ENAP carga", COUNTIF(F$5:F646, "ENAP carga"), "")</f>
        <v/>
      </c>
    </row>
    <row r="647" spans="12:20" x14ac:dyDescent="0.2">
      <c r="L647" s="23" t="str">
        <f t="shared" si="11"/>
        <v/>
      </c>
      <c r="Q647" t="str">
        <f>IF(F647="CJ", COUNTIF(F$5:F647, "CJ"), "")</f>
        <v/>
      </c>
      <c r="R647" t="str">
        <f>IF(F647="Ignacio", COUNTIF(F$5:F647, "Ignacio"), "")</f>
        <v/>
      </c>
      <c r="S647" t="str">
        <f>IF(F647="Tripulacion", COUNTIF(F$5:F647, "Tripulacion"), "")</f>
        <v/>
      </c>
      <c r="T647" t="str">
        <f>IF(F647="ENAP carga", COUNTIF(F$5:F647, "ENAP carga"), "")</f>
        <v/>
      </c>
    </row>
    <row r="648" spans="12:20" x14ac:dyDescent="0.2">
      <c r="L648" s="23" t="str">
        <f t="shared" si="11"/>
        <v/>
      </c>
      <c r="Q648" t="str">
        <f>IF(F648="CJ", COUNTIF(F$5:F648, "CJ"), "")</f>
        <v/>
      </c>
      <c r="R648" t="str">
        <f>IF(F648="Ignacio", COUNTIF(F$5:F648, "Ignacio"), "")</f>
        <v/>
      </c>
      <c r="S648" t="str">
        <f>IF(F648="Tripulacion", COUNTIF(F$5:F648, "Tripulacion"), "")</f>
        <v/>
      </c>
      <c r="T648" t="str">
        <f>IF(F648="ENAP carga", COUNTIF(F$5:F648, "ENAP carga"), "")</f>
        <v/>
      </c>
    </row>
    <row r="649" spans="12:20" x14ac:dyDescent="0.2">
      <c r="L649" s="23" t="str">
        <f t="shared" si="11"/>
        <v/>
      </c>
      <c r="Q649" t="str">
        <f>IF(F649="CJ", COUNTIF(F$5:F649, "CJ"), "")</f>
        <v/>
      </c>
      <c r="R649" t="str">
        <f>IF(F649="Ignacio", COUNTIF(F$5:F649, "Ignacio"), "")</f>
        <v/>
      </c>
      <c r="S649" t="str">
        <f>IF(F649="Tripulacion", COUNTIF(F$5:F649, "Tripulacion"), "")</f>
        <v/>
      </c>
      <c r="T649" t="str">
        <f>IF(F649="ENAP carga", COUNTIF(F$5:F649, "ENAP carga"), "")</f>
        <v/>
      </c>
    </row>
    <row r="650" spans="12:20" x14ac:dyDescent="0.2">
      <c r="L650" s="23" t="str">
        <f t="shared" si="11"/>
        <v/>
      </c>
      <c r="Q650" t="str">
        <f>IF(F650="CJ", COUNTIF(F$5:F650, "CJ"), "")</f>
        <v/>
      </c>
      <c r="R650" t="str">
        <f>IF(F650="Ignacio", COUNTIF(F$5:F650, "Ignacio"), "")</f>
        <v/>
      </c>
      <c r="S650" t="str">
        <f>IF(F650="Tripulacion", COUNTIF(F$5:F650, "Tripulacion"), "")</f>
        <v/>
      </c>
      <c r="T650" t="str">
        <f>IF(F650="ENAP carga", COUNTIF(F$5:F650, "ENAP carga"), "")</f>
        <v/>
      </c>
    </row>
    <row r="651" spans="12:20" x14ac:dyDescent="0.2">
      <c r="L651" s="23" t="str">
        <f t="shared" si="11"/>
        <v/>
      </c>
      <c r="Q651" t="str">
        <f>IF(F651="CJ", COUNTIF(F$5:F651, "CJ"), "")</f>
        <v/>
      </c>
      <c r="R651" t="str">
        <f>IF(F651="Ignacio", COUNTIF(F$5:F651, "Ignacio"), "")</f>
        <v/>
      </c>
      <c r="S651" t="str">
        <f>IF(F651="Tripulacion", COUNTIF(F$5:F651, "Tripulacion"), "")</f>
        <v/>
      </c>
      <c r="T651" t="str">
        <f>IF(F651="ENAP carga", COUNTIF(F$5:F651, "ENAP carga"), "")</f>
        <v/>
      </c>
    </row>
    <row r="652" spans="12:20" x14ac:dyDescent="0.2">
      <c r="L652" s="23" t="str">
        <f t="shared" si="11"/>
        <v/>
      </c>
      <c r="Q652" t="str">
        <f>IF(F652="CJ", COUNTIF(F$5:F652, "CJ"), "")</f>
        <v/>
      </c>
      <c r="R652" t="str">
        <f>IF(F652="Ignacio", COUNTIF(F$5:F652, "Ignacio"), "")</f>
        <v/>
      </c>
      <c r="S652" t="str">
        <f>IF(F652="Tripulacion", COUNTIF(F$5:F652, "Tripulacion"), "")</f>
        <v/>
      </c>
      <c r="T652" t="str">
        <f>IF(F652="ENAP carga", COUNTIF(F$5:F652, "ENAP carga"), "")</f>
        <v/>
      </c>
    </row>
    <row r="653" spans="12:20" x14ac:dyDescent="0.2">
      <c r="L653" s="23" t="str">
        <f t="shared" si="11"/>
        <v/>
      </c>
      <c r="Q653" t="str">
        <f>IF(F653="CJ", COUNTIF(F$5:F653, "CJ"), "")</f>
        <v/>
      </c>
      <c r="R653" t="str">
        <f>IF(F653="Ignacio", COUNTIF(F$5:F653, "Ignacio"), "")</f>
        <v/>
      </c>
      <c r="S653" t="str">
        <f>IF(F653="Tripulacion", COUNTIF(F$5:F653, "Tripulacion"), "")</f>
        <v/>
      </c>
      <c r="T653" t="str">
        <f>IF(F653="ENAP carga", COUNTIF(F$5:F653, "ENAP carga"), "")</f>
        <v/>
      </c>
    </row>
    <row r="654" spans="12:20" x14ac:dyDescent="0.2">
      <c r="L654" s="23" t="str">
        <f t="shared" ref="L654:L717" si="12">IF(F654="CJ", I654*200, "")</f>
        <v/>
      </c>
      <c r="Q654" t="str">
        <f>IF(F654="CJ", COUNTIF(F$5:F654, "CJ"), "")</f>
        <v/>
      </c>
      <c r="R654" t="str">
        <f>IF(F654="Ignacio", COUNTIF(F$5:F654, "Ignacio"), "")</f>
        <v/>
      </c>
      <c r="S654" t="str">
        <f>IF(F654="Tripulacion", COUNTIF(F$5:F654, "Tripulacion"), "")</f>
        <v/>
      </c>
      <c r="T654" t="str">
        <f>IF(F654="ENAP carga", COUNTIF(F$5:F654, "ENAP carga"), "")</f>
        <v/>
      </c>
    </row>
    <row r="655" spans="12:20" x14ac:dyDescent="0.2">
      <c r="L655" s="23" t="str">
        <f t="shared" si="12"/>
        <v/>
      </c>
      <c r="Q655" t="str">
        <f>IF(F655="CJ", COUNTIF(F$5:F655, "CJ"), "")</f>
        <v/>
      </c>
      <c r="R655" t="str">
        <f>IF(F655="Ignacio", COUNTIF(F$5:F655, "Ignacio"), "")</f>
        <v/>
      </c>
      <c r="S655" t="str">
        <f>IF(F655="Tripulacion", COUNTIF(F$5:F655, "Tripulacion"), "")</f>
        <v/>
      </c>
      <c r="T655" t="str">
        <f>IF(F655="ENAP carga", COUNTIF(F$5:F655, "ENAP carga"), "")</f>
        <v/>
      </c>
    </row>
    <row r="656" spans="12:20" x14ac:dyDescent="0.2">
      <c r="L656" s="23" t="str">
        <f t="shared" si="12"/>
        <v/>
      </c>
      <c r="Q656" t="str">
        <f>IF(F656="CJ", COUNTIF(F$5:F656, "CJ"), "")</f>
        <v/>
      </c>
      <c r="R656" t="str">
        <f>IF(F656="Ignacio", COUNTIF(F$5:F656, "Ignacio"), "")</f>
        <v/>
      </c>
      <c r="S656" t="str">
        <f>IF(F656="Tripulacion", COUNTIF(F$5:F656, "Tripulacion"), "")</f>
        <v/>
      </c>
      <c r="T656" t="str">
        <f>IF(F656="ENAP carga", COUNTIF(F$5:F656, "ENAP carga"), "")</f>
        <v/>
      </c>
    </row>
    <row r="657" spans="12:20" x14ac:dyDescent="0.2">
      <c r="L657" s="23" t="str">
        <f t="shared" si="12"/>
        <v/>
      </c>
      <c r="Q657" t="str">
        <f>IF(F657="CJ", COUNTIF(F$5:F657, "CJ"), "")</f>
        <v/>
      </c>
      <c r="R657" t="str">
        <f>IF(F657="Ignacio", COUNTIF(F$5:F657, "Ignacio"), "")</f>
        <v/>
      </c>
      <c r="S657" t="str">
        <f>IF(F657="Tripulacion", COUNTIF(F$5:F657, "Tripulacion"), "")</f>
        <v/>
      </c>
      <c r="T657" t="str">
        <f>IF(F657="ENAP carga", COUNTIF(F$5:F657, "ENAP carga"), "")</f>
        <v/>
      </c>
    </row>
    <row r="658" spans="12:20" x14ac:dyDescent="0.2">
      <c r="L658" s="23" t="str">
        <f t="shared" si="12"/>
        <v/>
      </c>
      <c r="Q658" t="str">
        <f>IF(F658="CJ", COUNTIF(F$5:F658, "CJ"), "")</f>
        <v/>
      </c>
      <c r="R658" t="str">
        <f>IF(F658="Ignacio", COUNTIF(F$5:F658, "Ignacio"), "")</f>
        <v/>
      </c>
      <c r="S658" t="str">
        <f>IF(F658="Tripulacion", COUNTIF(F$5:F658, "Tripulacion"), "")</f>
        <v/>
      </c>
      <c r="T658" t="str">
        <f>IF(F658="ENAP carga", COUNTIF(F$5:F658, "ENAP carga"), "")</f>
        <v/>
      </c>
    </row>
    <row r="659" spans="12:20" x14ac:dyDescent="0.2">
      <c r="L659" s="23" t="str">
        <f t="shared" si="12"/>
        <v/>
      </c>
      <c r="Q659" t="str">
        <f>IF(F659="CJ", COUNTIF(F$5:F659, "CJ"), "")</f>
        <v/>
      </c>
      <c r="R659" t="str">
        <f>IF(F659="Ignacio", COUNTIF(F$5:F659, "Ignacio"), "")</f>
        <v/>
      </c>
      <c r="S659" t="str">
        <f>IF(F659="Tripulacion", COUNTIF(F$5:F659, "Tripulacion"), "")</f>
        <v/>
      </c>
      <c r="T659" t="str">
        <f>IF(F659="ENAP carga", COUNTIF(F$5:F659, "ENAP carga"), "")</f>
        <v/>
      </c>
    </row>
    <row r="660" spans="12:20" x14ac:dyDescent="0.2">
      <c r="L660" s="23" t="str">
        <f t="shared" si="12"/>
        <v/>
      </c>
      <c r="Q660" t="str">
        <f>IF(F660="CJ", COUNTIF(F$5:F660, "CJ"), "")</f>
        <v/>
      </c>
      <c r="R660" t="str">
        <f>IF(F660="Ignacio", COUNTIF(F$5:F660, "Ignacio"), "")</f>
        <v/>
      </c>
      <c r="S660" t="str">
        <f>IF(F660="Tripulacion", COUNTIF(F$5:F660, "Tripulacion"), "")</f>
        <v/>
      </c>
      <c r="T660" t="str">
        <f>IF(F660="ENAP carga", COUNTIF(F$5:F660, "ENAP carga"), "")</f>
        <v/>
      </c>
    </row>
    <row r="661" spans="12:20" x14ac:dyDescent="0.2">
      <c r="L661" s="23" t="str">
        <f t="shared" si="12"/>
        <v/>
      </c>
      <c r="Q661" t="str">
        <f>IF(F661="CJ", COUNTIF(F$5:F661, "CJ"), "")</f>
        <v/>
      </c>
      <c r="R661" t="str">
        <f>IF(F661="Ignacio", COUNTIF(F$5:F661, "Ignacio"), "")</f>
        <v/>
      </c>
      <c r="S661" t="str">
        <f>IF(F661="Tripulacion", COUNTIF(F$5:F661, "Tripulacion"), "")</f>
        <v/>
      </c>
      <c r="T661" t="str">
        <f>IF(F661="ENAP carga", COUNTIF(F$5:F661, "ENAP carga"), "")</f>
        <v/>
      </c>
    </row>
    <row r="662" spans="12:20" x14ac:dyDescent="0.2">
      <c r="L662" s="23" t="str">
        <f t="shared" si="12"/>
        <v/>
      </c>
      <c r="Q662" t="str">
        <f>IF(F662="CJ", COUNTIF(F$5:F662, "CJ"), "")</f>
        <v/>
      </c>
      <c r="R662" t="str">
        <f>IF(F662="Ignacio", COUNTIF(F$5:F662, "Ignacio"), "")</f>
        <v/>
      </c>
      <c r="S662" t="str">
        <f>IF(F662="Tripulacion", COUNTIF(F$5:F662, "Tripulacion"), "")</f>
        <v/>
      </c>
      <c r="T662" t="str">
        <f>IF(F662="ENAP carga", COUNTIF(F$5:F662, "ENAP carga"), "")</f>
        <v/>
      </c>
    </row>
    <row r="663" spans="12:20" x14ac:dyDescent="0.2">
      <c r="L663" s="23" t="str">
        <f t="shared" si="12"/>
        <v/>
      </c>
      <c r="Q663" t="str">
        <f>IF(F663="CJ", COUNTIF(F$5:F663, "CJ"), "")</f>
        <v/>
      </c>
      <c r="R663" t="str">
        <f>IF(F663="Ignacio", COUNTIF(F$5:F663, "Ignacio"), "")</f>
        <v/>
      </c>
      <c r="S663" t="str">
        <f>IF(F663="Tripulacion", COUNTIF(F$5:F663, "Tripulacion"), "")</f>
        <v/>
      </c>
      <c r="T663" t="str">
        <f>IF(F663="ENAP carga", COUNTIF(F$5:F663, "ENAP carga"), "")</f>
        <v/>
      </c>
    </row>
    <row r="664" spans="12:20" x14ac:dyDescent="0.2">
      <c r="L664" s="23" t="str">
        <f t="shared" si="12"/>
        <v/>
      </c>
      <c r="Q664" t="str">
        <f>IF(F664="CJ", COUNTIF(F$5:F664, "CJ"), "")</f>
        <v/>
      </c>
      <c r="R664" t="str">
        <f>IF(F664="Ignacio", COUNTIF(F$5:F664, "Ignacio"), "")</f>
        <v/>
      </c>
      <c r="S664" t="str">
        <f>IF(F664="Tripulacion", COUNTIF(F$5:F664, "Tripulacion"), "")</f>
        <v/>
      </c>
      <c r="T664" t="str">
        <f>IF(F664="ENAP carga", COUNTIF(F$5:F664, "ENAP carga"), "")</f>
        <v/>
      </c>
    </row>
    <row r="665" spans="12:20" x14ac:dyDescent="0.2">
      <c r="L665" s="23" t="str">
        <f t="shared" si="12"/>
        <v/>
      </c>
      <c r="Q665" t="str">
        <f>IF(F665="CJ", COUNTIF(F$5:F665, "CJ"), "")</f>
        <v/>
      </c>
      <c r="R665" t="str">
        <f>IF(F665="Ignacio", COUNTIF(F$5:F665, "Ignacio"), "")</f>
        <v/>
      </c>
      <c r="S665" t="str">
        <f>IF(F665="Tripulacion", COUNTIF(F$5:F665, "Tripulacion"), "")</f>
        <v/>
      </c>
      <c r="T665" t="str">
        <f>IF(F665="ENAP carga", COUNTIF(F$5:F665, "ENAP carga"), "")</f>
        <v/>
      </c>
    </row>
    <row r="666" spans="12:20" x14ac:dyDescent="0.2">
      <c r="L666" s="23" t="str">
        <f t="shared" si="12"/>
        <v/>
      </c>
      <c r="Q666" t="str">
        <f>IF(F666="CJ", COUNTIF(F$5:F666, "CJ"), "")</f>
        <v/>
      </c>
      <c r="R666" t="str">
        <f>IF(F666="Ignacio", COUNTIF(F$5:F666, "Ignacio"), "")</f>
        <v/>
      </c>
      <c r="S666" t="str">
        <f>IF(F666="Tripulacion", COUNTIF(F$5:F666, "Tripulacion"), "")</f>
        <v/>
      </c>
      <c r="T666" t="str">
        <f>IF(F666="ENAP carga", COUNTIF(F$5:F666, "ENAP carga"), "")</f>
        <v/>
      </c>
    </row>
    <row r="667" spans="12:20" x14ac:dyDescent="0.2">
      <c r="L667" s="23" t="str">
        <f t="shared" si="12"/>
        <v/>
      </c>
      <c r="Q667" t="str">
        <f>IF(F667="CJ", COUNTIF(F$5:F667, "CJ"), "")</f>
        <v/>
      </c>
      <c r="R667" t="str">
        <f>IF(F667="Ignacio", COUNTIF(F$5:F667, "Ignacio"), "")</f>
        <v/>
      </c>
      <c r="S667" t="str">
        <f>IF(F667="Tripulacion", COUNTIF(F$5:F667, "Tripulacion"), "")</f>
        <v/>
      </c>
      <c r="T667" t="str">
        <f>IF(F667="ENAP carga", COUNTIF(F$5:F667, "ENAP carga"), "")</f>
        <v/>
      </c>
    </row>
    <row r="668" spans="12:20" x14ac:dyDescent="0.2">
      <c r="L668" s="23" t="str">
        <f t="shared" si="12"/>
        <v/>
      </c>
      <c r="Q668" t="str">
        <f>IF(F668="CJ", COUNTIF(F$5:F668, "CJ"), "")</f>
        <v/>
      </c>
      <c r="R668" t="str">
        <f>IF(F668="Ignacio", COUNTIF(F$5:F668, "Ignacio"), "")</f>
        <v/>
      </c>
      <c r="S668" t="str">
        <f>IF(F668="Tripulacion", COUNTIF(F$5:F668, "Tripulacion"), "")</f>
        <v/>
      </c>
      <c r="T668" t="str">
        <f>IF(F668="ENAP carga", COUNTIF(F$5:F668, "ENAP carga"), "")</f>
        <v/>
      </c>
    </row>
    <row r="669" spans="12:20" x14ac:dyDescent="0.2">
      <c r="L669" s="23" t="str">
        <f t="shared" si="12"/>
        <v/>
      </c>
      <c r="Q669" t="str">
        <f>IF(F669="CJ", COUNTIF(F$5:F669, "CJ"), "")</f>
        <v/>
      </c>
      <c r="R669" t="str">
        <f>IF(F669="Ignacio", COUNTIF(F$5:F669, "Ignacio"), "")</f>
        <v/>
      </c>
      <c r="S669" t="str">
        <f>IF(F669="Tripulacion", COUNTIF(F$5:F669, "Tripulacion"), "")</f>
        <v/>
      </c>
      <c r="T669" t="str">
        <f>IF(F669="ENAP carga", COUNTIF(F$5:F669, "ENAP carga"), "")</f>
        <v/>
      </c>
    </row>
    <row r="670" spans="12:20" x14ac:dyDescent="0.2">
      <c r="L670" s="23" t="str">
        <f t="shared" si="12"/>
        <v/>
      </c>
      <c r="Q670" t="str">
        <f>IF(F670="CJ", COUNTIF(F$5:F670, "CJ"), "")</f>
        <v/>
      </c>
      <c r="R670" t="str">
        <f>IF(F670="Ignacio", COUNTIF(F$5:F670, "Ignacio"), "")</f>
        <v/>
      </c>
      <c r="S670" t="str">
        <f>IF(F670="Tripulacion", COUNTIF(F$5:F670, "Tripulacion"), "")</f>
        <v/>
      </c>
      <c r="T670" t="str">
        <f>IF(F670="ENAP carga", COUNTIF(F$5:F670, "ENAP carga"), "")</f>
        <v/>
      </c>
    </row>
    <row r="671" spans="12:20" x14ac:dyDescent="0.2">
      <c r="L671" s="23" t="str">
        <f t="shared" si="12"/>
        <v/>
      </c>
      <c r="Q671" t="str">
        <f>IF(F671="CJ", COUNTIF(F$5:F671, "CJ"), "")</f>
        <v/>
      </c>
      <c r="R671" t="str">
        <f>IF(F671="Ignacio", COUNTIF(F$5:F671, "Ignacio"), "")</f>
        <v/>
      </c>
      <c r="S671" t="str">
        <f>IF(F671="Tripulacion", COUNTIF(F$5:F671, "Tripulacion"), "")</f>
        <v/>
      </c>
      <c r="T671" t="str">
        <f>IF(F671="ENAP carga", COUNTIF(F$5:F671, "ENAP carga"), "")</f>
        <v/>
      </c>
    </row>
    <row r="672" spans="12:20" x14ac:dyDescent="0.2">
      <c r="L672" s="23" t="str">
        <f t="shared" si="12"/>
        <v/>
      </c>
      <c r="Q672" t="str">
        <f>IF(F672="CJ", COUNTIF(F$5:F672, "CJ"), "")</f>
        <v/>
      </c>
      <c r="R672" t="str">
        <f>IF(F672="Ignacio", COUNTIF(F$5:F672, "Ignacio"), "")</f>
        <v/>
      </c>
      <c r="S672" t="str">
        <f>IF(F672="Tripulacion", COUNTIF(F$5:F672, "Tripulacion"), "")</f>
        <v/>
      </c>
      <c r="T672" t="str">
        <f>IF(F672="ENAP carga", COUNTIF(F$5:F672, "ENAP carga"), "")</f>
        <v/>
      </c>
    </row>
    <row r="673" spans="12:20" x14ac:dyDescent="0.2">
      <c r="L673" s="23" t="str">
        <f t="shared" si="12"/>
        <v/>
      </c>
      <c r="Q673" t="str">
        <f>IF(F673="CJ", COUNTIF(F$5:F673, "CJ"), "")</f>
        <v/>
      </c>
      <c r="R673" t="str">
        <f>IF(F673="Ignacio", COUNTIF(F$5:F673, "Ignacio"), "")</f>
        <v/>
      </c>
      <c r="S673" t="str">
        <f>IF(F673="Tripulacion", COUNTIF(F$5:F673, "Tripulacion"), "")</f>
        <v/>
      </c>
      <c r="T673" t="str">
        <f>IF(F673="ENAP carga", COUNTIF(F$5:F673, "ENAP carga"), "")</f>
        <v/>
      </c>
    </row>
    <row r="674" spans="12:20" x14ac:dyDescent="0.2">
      <c r="L674" s="23" t="str">
        <f t="shared" si="12"/>
        <v/>
      </c>
      <c r="Q674" t="str">
        <f>IF(F674="CJ", COUNTIF(F$5:F674, "CJ"), "")</f>
        <v/>
      </c>
      <c r="R674" t="str">
        <f>IF(F674="Ignacio", COUNTIF(F$5:F674, "Ignacio"), "")</f>
        <v/>
      </c>
      <c r="S674" t="str">
        <f>IF(F674="Tripulacion", COUNTIF(F$5:F674, "Tripulacion"), "")</f>
        <v/>
      </c>
      <c r="T674" t="str">
        <f>IF(F674="ENAP carga", COUNTIF(F$5:F674, "ENAP carga"), "")</f>
        <v/>
      </c>
    </row>
    <row r="675" spans="12:20" x14ac:dyDescent="0.2">
      <c r="L675" s="23" t="str">
        <f t="shared" si="12"/>
        <v/>
      </c>
      <c r="Q675" t="str">
        <f>IF(F675="CJ", COUNTIF(F$5:F675, "CJ"), "")</f>
        <v/>
      </c>
      <c r="R675" t="str">
        <f>IF(F675="Ignacio", COUNTIF(F$5:F675, "Ignacio"), "")</f>
        <v/>
      </c>
      <c r="S675" t="str">
        <f>IF(F675="Tripulacion", COUNTIF(F$5:F675, "Tripulacion"), "")</f>
        <v/>
      </c>
      <c r="T675" t="str">
        <f>IF(F675="ENAP carga", COUNTIF(F$5:F675, "ENAP carga"), "")</f>
        <v/>
      </c>
    </row>
    <row r="676" spans="12:20" x14ac:dyDescent="0.2">
      <c r="L676" s="23" t="str">
        <f t="shared" si="12"/>
        <v/>
      </c>
      <c r="Q676" t="str">
        <f>IF(F676="CJ", COUNTIF(F$5:F676, "CJ"), "")</f>
        <v/>
      </c>
      <c r="R676" t="str">
        <f>IF(F676="Ignacio", COUNTIF(F$5:F676, "Ignacio"), "")</f>
        <v/>
      </c>
      <c r="S676" t="str">
        <f>IF(F676="Tripulacion", COUNTIF(F$5:F676, "Tripulacion"), "")</f>
        <v/>
      </c>
      <c r="T676" t="str">
        <f>IF(F676="ENAP carga", COUNTIF(F$5:F676, "ENAP carga"), "")</f>
        <v/>
      </c>
    </row>
    <row r="677" spans="12:20" x14ac:dyDescent="0.2">
      <c r="L677" s="23" t="str">
        <f t="shared" si="12"/>
        <v/>
      </c>
      <c r="Q677" t="str">
        <f>IF(F677="CJ", COUNTIF(F$5:F677, "CJ"), "")</f>
        <v/>
      </c>
      <c r="R677" t="str">
        <f>IF(F677="Ignacio", COUNTIF(F$5:F677, "Ignacio"), "")</f>
        <v/>
      </c>
      <c r="S677" t="str">
        <f>IF(F677="Tripulacion", COUNTIF(F$5:F677, "Tripulacion"), "")</f>
        <v/>
      </c>
      <c r="T677" t="str">
        <f>IF(F677="ENAP carga", COUNTIF(F$5:F677, "ENAP carga"), "")</f>
        <v/>
      </c>
    </row>
    <row r="678" spans="12:20" x14ac:dyDescent="0.2">
      <c r="L678" s="23" t="str">
        <f t="shared" si="12"/>
        <v/>
      </c>
      <c r="Q678" t="str">
        <f>IF(F678="CJ", COUNTIF(F$5:F678, "CJ"), "")</f>
        <v/>
      </c>
      <c r="R678" t="str">
        <f>IF(F678="Ignacio", COUNTIF(F$5:F678, "Ignacio"), "")</f>
        <v/>
      </c>
      <c r="S678" t="str">
        <f>IF(F678="Tripulacion", COUNTIF(F$5:F678, "Tripulacion"), "")</f>
        <v/>
      </c>
      <c r="T678" t="str">
        <f>IF(F678="ENAP carga", COUNTIF(F$5:F678, "ENAP carga"), "")</f>
        <v/>
      </c>
    </row>
    <row r="679" spans="12:20" x14ac:dyDescent="0.2">
      <c r="L679" s="23" t="str">
        <f t="shared" si="12"/>
        <v/>
      </c>
      <c r="Q679" t="str">
        <f>IF(F679="CJ", COUNTIF(F$5:F679, "CJ"), "")</f>
        <v/>
      </c>
      <c r="R679" t="str">
        <f>IF(F679="Ignacio", COUNTIF(F$5:F679, "Ignacio"), "")</f>
        <v/>
      </c>
      <c r="S679" t="str">
        <f>IF(F679="Tripulacion", COUNTIF(F$5:F679, "Tripulacion"), "")</f>
        <v/>
      </c>
      <c r="T679" t="str">
        <f>IF(F679="ENAP carga", COUNTIF(F$5:F679, "ENAP carga"), "")</f>
        <v/>
      </c>
    </row>
    <row r="680" spans="12:20" x14ac:dyDescent="0.2">
      <c r="L680" s="23" t="str">
        <f t="shared" si="12"/>
        <v/>
      </c>
      <c r="Q680" t="str">
        <f>IF(F680="CJ", COUNTIF(F$5:F680, "CJ"), "")</f>
        <v/>
      </c>
      <c r="R680" t="str">
        <f>IF(F680="Ignacio", COUNTIF(F$5:F680, "Ignacio"), "")</f>
        <v/>
      </c>
      <c r="S680" t="str">
        <f>IF(F680="Tripulacion", COUNTIF(F$5:F680, "Tripulacion"), "")</f>
        <v/>
      </c>
      <c r="T680" t="str">
        <f>IF(F680="ENAP carga", COUNTIF(F$5:F680, "ENAP carga"), "")</f>
        <v/>
      </c>
    </row>
    <row r="681" spans="12:20" x14ac:dyDescent="0.2">
      <c r="L681" s="23" t="str">
        <f t="shared" si="12"/>
        <v/>
      </c>
      <c r="Q681" t="str">
        <f>IF(F681="CJ", COUNTIF(F$5:F681, "CJ"), "")</f>
        <v/>
      </c>
      <c r="R681" t="str">
        <f>IF(F681="Ignacio", COUNTIF(F$5:F681, "Ignacio"), "")</f>
        <v/>
      </c>
      <c r="S681" t="str">
        <f>IF(F681="Tripulacion", COUNTIF(F$5:F681, "Tripulacion"), "")</f>
        <v/>
      </c>
      <c r="T681" t="str">
        <f>IF(F681="ENAP carga", COUNTIF(F$5:F681, "ENAP carga"), "")</f>
        <v/>
      </c>
    </row>
    <row r="682" spans="12:20" x14ac:dyDescent="0.2">
      <c r="L682" s="23" t="str">
        <f t="shared" si="12"/>
        <v/>
      </c>
      <c r="Q682" t="str">
        <f>IF(F682="CJ", COUNTIF(F$5:F682, "CJ"), "")</f>
        <v/>
      </c>
      <c r="R682" t="str">
        <f>IF(F682="Ignacio", COUNTIF(F$5:F682, "Ignacio"), "")</f>
        <v/>
      </c>
      <c r="S682" t="str">
        <f>IF(F682="Tripulacion", COUNTIF(F$5:F682, "Tripulacion"), "")</f>
        <v/>
      </c>
      <c r="T682" t="str">
        <f>IF(F682="ENAP carga", COUNTIF(F$5:F682, "ENAP carga"), "")</f>
        <v/>
      </c>
    </row>
    <row r="683" spans="12:20" x14ac:dyDescent="0.2">
      <c r="L683" s="23" t="str">
        <f t="shared" si="12"/>
        <v/>
      </c>
      <c r="Q683" t="str">
        <f>IF(F683="CJ", COUNTIF(F$5:F683, "CJ"), "")</f>
        <v/>
      </c>
      <c r="R683" t="str">
        <f>IF(F683="Ignacio", COUNTIF(F$5:F683, "Ignacio"), "")</f>
        <v/>
      </c>
      <c r="S683" t="str">
        <f>IF(F683="Tripulacion", COUNTIF(F$5:F683, "Tripulacion"), "")</f>
        <v/>
      </c>
      <c r="T683" t="str">
        <f>IF(F683="ENAP carga", COUNTIF(F$5:F683, "ENAP carga"), "")</f>
        <v/>
      </c>
    </row>
    <row r="684" spans="12:20" x14ac:dyDescent="0.2">
      <c r="L684" s="23" t="str">
        <f t="shared" si="12"/>
        <v/>
      </c>
      <c r="Q684" t="str">
        <f>IF(F684="CJ", COUNTIF(F$5:F684, "CJ"), "")</f>
        <v/>
      </c>
      <c r="R684" t="str">
        <f>IF(F684="Ignacio", COUNTIF(F$5:F684, "Ignacio"), "")</f>
        <v/>
      </c>
      <c r="S684" t="str">
        <f>IF(F684="Tripulacion", COUNTIF(F$5:F684, "Tripulacion"), "")</f>
        <v/>
      </c>
      <c r="T684" t="str">
        <f>IF(F684="ENAP carga", COUNTIF(F$5:F684, "ENAP carga"), "")</f>
        <v/>
      </c>
    </row>
    <row r="685" spans="12:20" x14ac:dyDescent="0.2">
      <c r="L685" s="23" t="str">
        <f t="shared" si="12"/>
        <v/>
      </c>
      <c r="Q685" t="str">
        <f>IF(F685="CJ", COUNTIF(F$5:F685, "CJ"), "")</f>
        <v/>
      </c>
      <c r="R685" t="str">
        <f>IF(F685="Ignacio", COUNTIF(F$5:F685, "Ignacio"), "")</f>
        <v/>
      </c>
      <c r="S685" t="str">
        <f>IF(F685="Tripulacion", COUNTIF(F$5:F685, "Tripulacion"), "")</f>
        <v/>
      </c>
      <c r="T685" t="str">
        <f>IF(F685="ENAP carga", COUNTIF(F$5:F685, "ENAP carga"), "")</f>
        <v/>
      </c>
    </row>
    <row r="686" spans="12:20" x14ac:dyDescent="0.2">
      <c r="L686" s="23" t="str">
        <f t="shared" si="12"/>
        <v/>
      </c>
      <c r="Q686" t="str">
        <f>IF(F686="CJ", COUNTIF(F$5:F686, "CJ"), "")</f>
        <v/>
      </c>
      <c r="R686" t="str">
        <f>IF(F686="Ignacio", COUNTIF(F$5:F686, "Ignacio"), "")</f>
        <v/>
      </c>
      <c r="S686" t="str">
        <f>IF(F686="Tripulacion", COUNTIF(F$5:F686, "Tripulacion"), "")</f>
        <v/>
      </c>
      <c r="T686" t="str">
        <f>IF(F686="ENAP carga", COUNTIF(F$5:F686, "ENAP carga"), "")</f>
        <v/>
      </c>
    </row>
    <row r="687" spans="12:20" x14ac:dyDescent="0.2">
      <c r="L687" s="23" t="str">
        <f t="shared" si="12"/>
        <v/>
      </c>
      <c r="Q687" t="str">
        <f>IF(F687="CJ", COUNTIF(F$5:F687, "CJ"), "")</f>
        <v/>
      </c>
      <c r="R687" t="str">
        <f>IF(F687="Ignacio", COUNTIF(F$5:F687, "Ignacio"), "")</f>
        <v/>
      </c>
      <c r="S687" t="str">
        <f>IF(F687="Tripulacion", COUNTIF(F$5:F687, "Tripulacion"), "")</f>
        <v/>
      </c>
      <c r="T687" t="str">
        <f>IF(F687="ENAP carga", COUNTIF(F$5:F687, "ENAP carga"), "")</f>
        <v/>
      </c>
    </row>
    <row r="688" spans="12:20" x14ac:dyDescent="0.2">
      <c r="L688" s="23" t="str">
        <f t="shared" si="12"/>
        <v/>
      </c>
      <c r="Q688" t="str">
        <f>IF(F688="CJ", COUNTIF(F$5:F688, "CJ"), "")</f>
        <v/>
      </c>
      <c r="R688" t="str">
        <f>IF(F688="Ignacio", COUNTIF(F$5:F688, "Ignacio"), "")</f>
        <v/>
      </c>
      <c r="S688" t="str">
        <f>IF(F688="Tripulacion", COUNTIF(F$5:F688, "Tripulacion"), "")</f>
        <v/>
      </c>
      <c r="T688" t="str">
        <f>IF(F688="ENAP carga", COUNTIF(F$5:F688, "ENAP carga"), "")</f>
        <v/>
      </c>
    </row>
    <row r="689" spans="12:20" x14ac:dyDescent="0.2">
      <c r="L689" s="23" t="str">
        <f t="shared" si="12"/>
        <v/>
      </c>
      <c r="Q689" t="str">
        <f>IF(F689="CJ", COUNTIF(F$5:F689, "CJ"), "")</f>
        <v/>
      </c>
      <c r="R689" t="str">
        <f>IF(F689="Ignacio", COUNTIF(F$5:F689, "Ignacio"), "")</f>
        <v/>
      </c>
      <c r="S689" t="str">
        <f>IF(F689="Tripulacion", COUNTIF(F$5:F689, "Tripulacion"), "")</f>
        <v/>
      </c>
      <c r="T689" t="str">
        <f>IF(F689="ENAP carga", COUNTIF(F$5:F689, "ENAP carga"), "")</f>
        <v/>
      </c>
    </row>
    <row r="690" spans="12:20" x14ac:dyDescent="0.2">
      <c r="L690" s="23" t="str">
        <f t="shared" si="12"/>
        <v/>
      </c>
      <c r="Q690" t="str">
        <f>IF(F690="CJ", COUNTIF(F$5:F690, "CJ"), "")</f>
        <v/>
      </c>
      <c r="R690" t="str">
        <f>IF(F690="Ignacio", COUNTIF(F$5:F690, "Ignacio"), "")</f>
        <v/>
      </c>
      <c r="S690" t="str">
        <f>IF(F690="Tripulacion", COUNTIF(F$5:F690, "Tripulacion"), "")</f>
        <v/>
      </c>
      <c r="T690" t="str">
        <f>IF(F690="ENAP carga", COUNTIF(F$5:F690, "ENAP carga"), "")</f>
        <v/>
      </c>
    </row>
    <row r="691" spans="12:20" x14ac:dyDescent="0.2">
      <c r="L691" s="23" t="str">
        <f t="shared" si="12"/>
        <v/>
      </c>
      <c r="Q691" t="str">
        <f>IF(F691="CJ", COUNTIF(F$5:F691, "CJ"), "")</f>
        <v/>
      </c>
      <c r="R691" t="str">
        <f>IF(F691="Ignacio", COUNTIF(F$5:F691, "Ignacio"), "")</f>
        <v/>
      </c>
      <c r="S691" t="str">
        <f>IF(F691="Tripulacion", COUNTIF(F$5:F691, "Tripulacion"), "")</f>
        <v/>
      </c>
      <c r="T691" t="str">
        <f>IF(F691="ENAP carga", COUNTIF(F$5:F691, "ENAP carga"), "")</f>
        <v/>
      </c>
    </row>
    <row r="692" spans="12:20" x14ac:dyDescent="0.2">
      <c r="L692" s="23" t="str">
        <f t="shared" si="12"/>
        <v/>
      </c>
      <c r="Q692" t="str">
        <f>IF(F692="CJ", COUNTIF(F$5:F692, "CJ"), "")</f>
        <v/>
      </c>
      <c r="R692" t="str">
        <f>IF(F692="Ignacio", COUNTIF(F$5:F692, "Ignacio"), "")</f>
        <v/>
      </c>
      <c r="S692" t="str">
        <f>IF(F692="Tripulacion", COUNTIF(F$5:F692, "Tripulacion"), "")</f>
        <v/>
      </c>
      <c r="T692" t="str">
        <f>IF(F692="ENAP carga", COUNTIF(F$5:F692, "ENAP carga"), "")</f>
        <v/>
      </c>
    </row>
    <row r="693" spans="12:20" x14ac:dyDescent="0.2">
      <c r="L693" s="23" t="str">
        <f t="shared" si="12"/>
        <v/>
      </c>
      <c r="Q693" t="str">
        <f>IF(F693="CJ", COUNTIF(F$5:F693, "CJ"), "")</f>
        <v/>
      </c>
      <c r="R693" t="str">
        <f>IF(F693="Ignacio", COUNTIF(F$5:F693, "Ignacio"), "")</f>
        <v/>
      </c>
      <c r="S693" t="str">
        <f>IF(F693="Tripulacion", COUNTIF(F$5:F693, "Tripulacion"), "")</f>
        <v/>
      </c>
      <c r="T693" t="str">
        <f>IF(F693="ENAP carga", COUNTIF(F$5:F693, "ENAP carga"), "")</f>
        <v/>
      </c>
    </row>
    <row r="694" spans="12:20" x14ac:dyDescent="0.2">
      <c r="L694" s="23" t="str">
        <f t="shared" si="12"/>
        <v/>
      </c>
      <c r="Q694" t="str">
        <f>IF(F694="CJ", COUNTIF(F$5:F694, "CJ"), "")</f>
        <v/>
      </c>
      <c r="R694" t="str">
        <f>IF(F694="Ignacio", COUNTIF(F$5:F694, "Ignacio"), "")</f>
        <v/>
      </c>
      <c r="S694" t="str">
        <f>IF(F694="Tripulacion", COUNTIF(F$5:F694, "Tripulacion"), "")</f>
        <v/>
      </c>
      <c r="T694" t="str">
        <f>IF(F694="ENAP carga", COUNTIF(F$5:F694, "ENAP carga"), "")</f>
        <v/>
      </c>
    </row>
    <row r="695" spans="12:20" x14ac:dyDescent="0.2">
      <c r="L695" s="23" t="str">
        <f t="shared" si="12"/>
        <v/>
      </c>
      <c r="Q695" t="str">
        <f>IF(F695="CJ", COUNTIF(F$5:F695, "CJ"), "")</f>
        <v/>
      </c>
      <c r="R695" t="str">
        <f>IF(F695="Ignacio", COUNTIF(F$5:F695, "Ignacio"), "")</f>
        <v/>
      </c>
      <c r="S695" t="str">
        <f>IF(F695="Tripulacion", COUNTIF(F$5:F695, "Tripulacion"), "")</f>
        <v/>
      </c>
      <c r="T695" t="str">
        <f>IF(F695="ENAP carga", COUNTIF(F$5:F695, "ENAP carga"), "")</f>
        <v/>
      </c>
    </row>
    <row r="696" spans="12:20" x14ac:dyDescent="0.2">
      <c r="L696" s="23" t="str">
        <f t="shared" si="12"/>
        <v/>
      </c>
      <c r="Q696" t="str">
        <f>IF(F696="CJ", COUNTIF(F$5:F696, "CJ"), "")</f>
        <v/>
      </c>
      <c r="R696" t="str">
        <f>IF(F696="Ignacio", COUNTIF(F$5:F696, "Ignacio"), "")</f>
        <v/>
      </c>
      <c r="S696" t="str">
        <f>IF(F696="Tripulacion", COUNTIF(F$5:F696, "Tripulacion"), "")</f>
        <v/>
      </c>
      <c r="T696" t="str">
        <f>IF(F696="ENAP carga", COUNTIF(F$5:F696, "ENAP carga"), "")</f>
        <v/>
      </c>
    </row>
    <row r="697" spans="12:20" x14ac:dyDescent="0.2">
      <c r="L697" s="23" t="str">
        <f t="shared" si="12"/>
        <v/>
      </c>
      <c r="Q697" t="str">
        <f>IF(F697="CJ", COUNTIF(F$5:F697, "CJ"), "")</f>
        <v/>
      </c>
      <c r="R697" t="str">
        <f>IF(F697="Ignacio", COUNTIF(F$5:F697, "Ignacio"), "")</f>
        <v/>
      </c>
      <c r="S697" t="str">
        <f>IF(F697="Tripulacion", COUNTIF(F$5:F697, "Tripulacion"), "")</f>
        <v/>
      </c>
      <c r="T697" t="str">
        <f>IF(F697="ENAP carga", COUNTIF(F$5:F697, "ENAP carga"), "")</f>
        <v/>
      </c>
    </row>
    <row r="698" spans="12:20" x14ac:dyDescent="0.2">
      <c r="L698" s="23" t="str">
        <f t="shared" si="12"/>
        <v/>
      </c>
      <c r="Q698" t="str">
        <f>IF(F698="CJ", COUNTIF(F$5:F698, "CJ"), "")</f>
        <v/>
      </c>
      <c r="R698" t="str">
        <f>IF(F698="Ignacio", COUNTIF(F$5:F698, "Ignacio"), "")</f>
        <v/>
      </c>
      <c r="S698" t="str">
        <f>IF(F698="Tripulacion", COUNTIF(F$5:F698, "Tripulacion"), "")</f>
        <v/>
      </c>
      <c r="T698" t="str">
        <f>IF(F698="ENAP carga", COUNTIF(F$5:F698, "ENAP carga"), "")</f>
        <v/>
      </c>
    </row>
    <row r="699" spans="12:20" x14ac:dyDescent="0.2">
      <c r="L699" s="23" t="str">
        <f t="shared" si="12"/>
        <v/>
      </c>
      <c r="Q699" t="str">
        <f>IF(F699="CJ", COUNTIF(F$5:F699, "CJ"), "")</f>
        <v/>
      </c>
      <c r="R699" t="str">
        <f>IF(F699="Ignacio", COUNTIF(F$5:F699, "Ignacio"), "")</f>
        <v/>
      </c>
      <c r="S699" t="str">
        <f>IF(F699="Tripulacion", COUNTIF(F$5:F699, "Tripulacion"), "")</f>
        <v/>
      </c>
      <c r="T699" t="str">
        <f>IF(F699="ENAP carga", COUNTIF(F$5:F699, "ENAP carga"), "")</f>
        <v/>
      </c>
    </row>
    <row r="700" spans="12:20" x14ac:dyDescent="0.2">
      <c r="L700" s="23" t="str">
        <f t="shared" si="12"/>
        <v/>
      </c>
      <c r="Q700" t="str">
        <f>IF(F700="CJ", COUNTIF(F$5:F700, "CJ"), "")</f>
        <v/>
      </c>
      <c r="R700" t="str">
        <f>IF(F700="Ignacio", COUNTIF(F$5:F700, "Ignacio"), "")</f>
        <v/>
      </c>
      <c r="S700" t="str">
        <f>IF(F700="Tripulacion", COUNTIF(F$5:F700, "Tripulacion"), "")</f>
        <v/>
      </c>
      <c r="T700" t="str">
        <f>IF(F700="ENAP carga", COUNTIF(F$5:F700, "ENAP carga"), "")</f>
        <v/>
      </c>
    </row>
    <row r="701" spans="12:20" x14ac:dyDescent="0.2">
      <c r="L701" s="23" t="str">
        <f t="shared" si="12"/>
        <v/>
      </c>
      <c r="Q701" t="str">
        <f>IF(F701="CJ", COUNTIF(F$5:F701, "CJ"), "")</f>
        <v/>
      </c>
      <c r="R701" t="str">
        <f>IF(F701="Ignacio", COUNTIF(F$5:F701, "Ignacio"), "")</f>
        <v/>
      </c>
      <c r="S701" t="str">
        <f>IF(F701="Tripulacion", COUNTIF(F$5:F701, "Tripulacion"), "")</f>
        <v/>
      </c>
      <c r="T701" t="str">
        <f>IF(F701="ENAP carga", COUNTIF(F$5:F701, "ENAP carga"), "")</f>
        <v/>
      </c>
    </row>
    <row r="702" spans="12:20" x14ac:dyDescent="0.2">
      <c r="L702" s="23" t="str">
        <f t="shared" si="12"/>
        <v/>
      </c>
      <c r="Q702" t="str">
        <f>IF(F702="CJ", COUNTIF(F$5:F702, "CJ"), "")</f>
        <v/>
      </c>
      <c r="R702" t="str">
        <f>IF(F702="Ignacio", COUNTIF(F$5:F702, "Ignacio"), "")</f>
        <v/>
      </c>
      <c r="S702" t="str">
        <f>IF(F702="Tripulacion", COUNTIF(F$5:F702, "Tripulacion"), "")</f>
        <v/>
      </c>
      <c r="T702" t="str">
        <f>IF(F702="ENAP carga", COUNTIF(F$5:F702, "ENAP carga"), "")</f>
        <v/>
      </c>
    </row>
    <row r="703" spans="12:20" x14ac:dyDescent="0.2">
      <c r="L703" s="23" t="str">
        <f t="shared" si="12"/>
        <v/>
      </c>
      <c r="Q703" t="str">
        <f>IF(F703="CJ", COUNTIF(F$5:F703, "CJ"), "")</f>
        <v/>
      </c>
      <c r="R703" t="str">
        <f>IF(F703="Ignacio", COUNTIF(F$5:F703, "Ignacio"), "")</f>
        <v/>
      </c>
      <c r="S703" t="str">
        <f>IF(F703="Tripulacion", COUNTIF(F$5:F703, "Tripulacion"), "")</f>
        <v/>
      </c>
      <c r="T703" t="str">
        <f>IF(F703="ENAP carga", COUNTIF(F$5:F703, "ENAP carga"), "")</f>
        <v/>
      </c>
    </row>
    <row r="704" spans="12:20" x14ac:dyDescent="0.2">
      <c r="L704" s="23" t="str">
        <f t="shared" si="12"/>
        <v/>
      </c>
      <c r="Q704" t="str">
        <f>IF(F704="CJ", COUNTIF(F$5:F704, "CJ"), "")</f>
        <v/>
      </c>
      <c r="R704" t="str">
        <f>IF(F704="Ignacio", COUNTIF(F$5:F704, "Ignacio"), "")</f>
        <v/>
      </c>
      <c r="S704" t="str">
        <f>IF(F704="Tripulacion", COUNTIF(F$5:F704, "Tripulacion"), "")</f>
        <v/>
      </c>
      <c r="T704" t="str">
        <f>IF(F704="ENAP carga", COUNTIF(F$5:F704, "ENAP carga"), "")</f>
        <v/>
      </c>
    </row>
    <row r="705" spans="12:20" x14ac:dyDescent="0.2">
      <c r="L705" s="23" t="str">
        <f t="shared" si="12"/>
        <v/>
      </c>
      <c r="Q705" t="str">
        <f>IF(F705="CJ", COUNTIF(F$5:F705, "CJ"), "")</f>
        <v/>
      </c>
      <c r="R705" t="str">
        <f>IF(F705="Ignacio", COUNTIF(F$5:F705, "Ignacio"), "")</f>
        <v/>
      </c>
      <c r="S705" t="str">
        <f>IF(F705="Tripulacion", COUNTIF(F$5:F705, "Tripulacion"), "")</f>
        <v/>
      </c>
      <c r="T705" t="str">
        <f>IF(F705="ENAP carga", COUNTIF(F$5:F705, "ENAP carga"), "")</f>
        <v/>
      </c>
    </row>
    <row r="706" spans="12:20" x14ac:dyDescent="0.2">
      <c r="L706" s="23" t="str">
        <f t="shared" si="12"/>
        <v/>
      </c>
      <c r="Q706" t="str">
        <f>IF(F706="CJ", COUNTIF(F$5:F706, "CJ"), "")</f>
        <v/>
      </c>
      <c r="R706" t="str">
        <f>IF(F706="Ignacio", COUNTIF(F$5:F706, "Ignacio"), "")</f>
        <v/>
      </c>
      <c r="S706" t="str">
        <f>IF(F706="Tripulacion", COUNTIF(F$5:F706, "Tripulacion"), "")</f>
        <v/>
      </c>
      <c r="T706" t="str">
        <f>IF(F706="ENAP carga", COUNTIF(F$5:F706, "ENAP carga"), "")</f>
        <v/>
      </c>
    </row>
    <row r="707" spans="12:20" x14ac:dyDescent="0.2">
      <c r="L707" s="23" t="str">
        <f t="shared" si="12"/>
        <v/>
      </c>
      <c r="Q707" t="str">
        <f>IF(F707="CJ", COUNTIF(F$5:F707, "CJ"), "")</f>
        <v/>
      </c>
      <c r="R707" t="str">
        <f>IF(F707="Ignacio", COUNTIF(F$5:F707, "Ignacio"), "")</f>
        <v/>
      </c>
      <c r="S707" t="str">
        <f>IF(F707="Tripulacion", COUNTIF(F$5:F707, "Tripulacion"), "")</f>
        <v/>
      </c>
      <c r="T707" t="str">
        <f>IF(F707="ENAP carga", COUNTIF(F$5:F707, "ENAP carga"), "")</f>
        <v/>
      </c>
    </row>
    <row r="708" spans="12:20" x14ac:dyDescent="0.2">
      <c r="L708" s="23" t="str">
        <f t="shared" si="12"/>
        <v/>
      </c>
      <c r="Q708" t="str">
        <f>IF(F708="CJ", COUNTIF(F$5:F708, "CJ"), "")</f>
        <v/>
      </c>
      <c r="R708" t="str">
        <f>IF(F708="Ignacio", COUNTIF(F$5:F708, "Ignacio"), "")</f>
        <v/>
      </c>
      <c r="S708" t="str">
        <f>IF(F708="Tripulacion", COUNTIF(F$5:F708, "Tripulacion"), "")</f>
        <v/>
      </c>
      <c r="T708" t="str">
        <f>IF(F708="ENAP carga", COUNTIF(F$5:F708, "ENAP carga"), "")</f>
        <v/>
      </c>
    </row>
    <row r="709" spans="12:20" x14ac:dyDescent="0.2">
      <c r="L709" s="23" t="str">
        <f t="shared" si="12"/>
        <v/>
      </c>
      <c r="Q709" t="str">
        <f>IF(F709="CJ", COUNTIF(F$5:F709, "CJ"), "")</f>
        <v/>
      </c>
      <c r="R709" t="str">
        <f>IF(F709="Ignacio", COUNTIF(F$5:F709, "Ignacio"), "")</f>
        <v/>
      </c>
      <c r="S709" t="str">
        <f>IF(F709="Tripulacion", COUNTIF(F$5:F709, "Tripulacion"), "")</f>
        <v/>
      </c>
      <c r="T709" t="str">
        <f>IF(F709="ENAP carga", COUNTIF(F$5:F709, "ENAP carga"), "")</f>
        <v/>
      </c>
    </row>
    <row r="710" spans="12:20" x14ac:dyDescent="0.2">
      <c r="L710" s="23" t="str">
        <f t="shared" si="12"/>
        <v/>
      </c>
      <c r="Q710" t="str">
        <f>IF(F710="CJ", COUNTIF(F$5:F710, "CJ"), "")</f>
        <v/>
      </c>
      <c r="R710" t="str">
        <f>IF(F710="Ignacio", COUNTIF(F$5:F710, "Ignacio"), "")</f>
        <v/>
      </c>
      <c r="S710" t="str">
        <f>IF(F710="Tripulacion", COUNTIF(F$5:F710, "Tripulacion"), "")</f>
        <v/>
      </c>
      <c r="T710" t="str">
        <f>IF(F710="ENAP carga", COUNTIF(F$5:F710, "ENAP carga"), "")</f>
        <v/>
      </c>
    </row>
    <row r="711" spans="12:20" x14ac:dyDescent="0.2">
      <c r="L711" s="23" t="str">
        <f t="shared" si="12"/>
        <v/>
      </c>
      <c r="Q711" t="str">
        <f>IF(F711="CJ", COUNTIF(F$5:F711, "CJ"), "")</f>
        <v/>
      </c>
      <c r="R711" t="str">
        <f>IF(F711="Ignacio", COUNTIF(F$5:F711, "Ignacio"), "")</f>
        <v/>
      </c>
      <c r="S711" t="str">
        <f>IF(F711="Tripulacion", COUNTIF(F$5:F711, "Tripulacion"), "")</f>
        <v/>
      </c>
      <c r="T711" t="str">
        <f>IF(F711="ENAP carga", COUNTIF(F$5:F711, "ENAP carga"), "")</f>
        <v/>
      </c>
    </row>
    <row r="712" spans="12:20" x14ac:dyDescent="0.2">
      <c r="L712" s="23" t="str">
        <f t="shared" si="12"/>
        <v/>
      </c>
      <c r="Q712" t="str">
        <f>IF(F712="CJ", COUNTIF(F$5:F712, "CJ"), "")</f>
        <v/>
      </c>
      <c r="R712" t="str">
        <f>IF(F712="Ignacio", COUNTIF(F$5:F712, "Ignacio"), "")</f>
        <v/>
      </c>
      <c r="S712" t="str">
        <f>IF(F712="Tripulacion", COUNTIF(F$5:F712, "Tripulacion"), "")</f>
        <v/>
      </c>
      <c r="T712" t="str">
        <f>IF(F712="ENAP carga", COUNTIF(F$5:F712, "ENAP carga"), "")</f>
        <v/>
      </c>
    </row>
    <row r="713" spans="12:20" x14ac:dyDescent="0.2">
      <c r="L713" s="23" t="str">
        <f t="shared" si="12"/>
        <v/>
      </c>
      <c r="Q713" t="str">
        <f>IF(F713="CJ", COUNTIF(F$5:F713, "CJ"), "")</f>
        <v/>
      </c>
      <c r="R713" t="str">
        <f>IF(F713="Ignacio", COUNTIF(F$5:F713, "Ignacio"), "")</f>
        <v/>
      </c>
      <c r="S713" t="str">
        <f>IF(F713="Tripulacion", COUNTIF(F$5:F713, "Tripulacion"), "")</f>
        <v/>
      </c>
      <c r="T713" t="str">
        <f>IF(F713="ENAP carga", COUNTIF(F$5:F713, "ENAP carga"), "")</f>
        <v/>
      </c>
    </row>
    <row r="714" spans="12:20" x14ac:dyDescent="0.2">
      <c r="L714" s="23" t="str">
        <f t="shared" si="12"/>
        <v/>
      </c>
      <c r="Q714" t="str">
        <f>IF(F714="CJ", COUNTIF(F$5:F714, "CJ"), "")</f>
        <v/>
      </c>
      <c r="R714" t="str">
        <f>IF(F714="Ignacio", COUNTIF(F$5:F714, "Ignacio"), "")</f>
        <v/>
      </c>
      <c r="S714" t="str">
        <f>IF(F714="Tripulacion", COUNTIF(F$5:F714, "Tripulacion"), "")</f>
        <v/>
      </c>
      <c r="T714" t="str">
        <f>IF(F714="ENAP carga", COUNTIF(F$5:F714, "ENAP carga"), "")</f>
        <v/>
      </c>
    </row>
    <row r="715" spans="12:20" x14ac:dyDescent="0.2">
      <c r="L715" s="23" t="str">
        <f t="shared" si="12"/>
        <v/>
      </c>
      <c r="Q715" t="str">
        <f>IF(F715="CJ", COUNTIF(F$5:F715, "CJ"), "")</f>
        <v/>
      </c>
      <c r="R715" t="str">
        <f>IF(F715="Ignacio", COUNTIF(F$5:F715, "Ignacio"), "")</f>
        <v/>
      </c>
      <c r="S715" t="str">
        <f>IF(F715="Tripulacion", COUNTIF(F$5:F715, "Tripulacion"), "")</f>
        <v/>
      </c>
      <c r="T715" t="str">
        <f>IF(F715="ENAP carga", COUNTIF(F$5:F715, "ENAP carga"), "")</f>
        <v/>
      </c>
    </row>
    <row r="716" spans="12:20" x14ac:dyDescent="0.2">
      <c r="L716" s="23" t="str">
        <f t="shared" si="12"/>
        <v/>
      </c>
      <c r="Q716" t="str">
        <f>IF(F716="CJ", COUNTIF(F$5:F716, "CJ"), "")</f>
        <v/>
      </c>
      <c r="R716" t="str">
        <f>IF(F716="Ignacio", COUNTIF(F$5:F716, "Ignacio"), "")</f>
        <v/>
      </c>
      <c r="S716" t="str">
        <f>IF(F716="Tripulacion", COUNTIF(F$5:F716, "Tripulacion"), "")</f>
        <v/>
      </c>
      <c r="T716" t="str">
        <f>IF(F716="ENAP carga", COUNTIF(F$5:F716, "ENAP carga"), "")</f>
        <v/>
      </c>
    </row>
    <row r="717" spans="12:20" x14ac:dyDescent="0.2">
      <c r="L717" s="23" t="str">
        <f t="shared" si="12"/>
        <v/>
      </c>
      <c r="Q717" t="str">
        <f>IF(F717="CJ", COUNTIF(F$5:F717, "CJ"), "")</f>
        <v/>
      </c>
      <c r="R717" t="str">
        <f>IF(F717="Ignacio", COUNTIF(F$5:F717, "Ignacio"), "")</f>
        <v/>
      </c>
      <c r="S717" t="str">
        <f>IF(F717="Tripulacion", COUNTIF(F$5:F717, "Tripulacion"), "")</f>
        <v/>
      </c>
      <c r="T717" t="str">
        <f>IF(F717="ENAP carga", COUNTIF(F$5:F717, "ENAP carga"), "")</f>
        <v/>
      </c>
    </row>
    <row r="718" spans="12:20" x14ac:dyDescent="0.2">
      <c r="L718" s="23" t="str">
        <f t="shared" ref="L718:L781" si="13">IF(F718="CJ", I718*200, "")</f>
        <v/>
      </c>
      <c r="Q718" t="str">
        <f>IF(F718="CJ", COUNTIF(F$5:F718, "CJ"), "")</f>
        <v/>
      </c>
      <c r="R718" t="str">
        <f>IF(F718="Ignacio", COUNTIF(F$5:F718, "Ignacio"), "")</f>
        <v/>
      </c>
      <c r="S718" t="str">
        <f>IF(F718="Tripulacion", COUNTIF(F$5:F718, "Tripulacion"), "")</f>
        <v/>
      </c>
      <c r="T718" t="str">
        <f>IF(F718="ENAP carga", COUNTIF(F$5:F718, "ENAP carga"), "")</f>
        <v/>
      </c>
    </row>
    <row r="719" spans="12:20" x14ac:dyDescent="0.2">
      <c r="L719" s="23" t="str">
        <f t="shared" si="13"/>
        <v/>
      </c>
      <c r="Q719" t="str">
        <f>IF(F719="CJ", COUNTIF(F$5:F719, "CJ"), "")</f>
        <v/>
      </c>
      <c r="R719" t="str">
        <f>IF(F719="Ignacio", COUNTIF(F$5:F719, "Ignacio"), "")</f>
        <v/>
      </c>
      <c r="S719" t="str">
        <f>IF(F719="Tripulacion", COUNTIF(F$5:F719, "Tripulacion"), "")</f>
        <v/>
      </c>
      <c r="T719" t="str">
        <f>IF(F719="ENAP carga", COUNTIF(F$5:F719, "ENAP carga"), "")</f>
        <v/>
      </c>
    </row>
    <row r="720" spans="12:20" x14ac:dyDescent="0.2">
      <c r="L720" s="23" t="str">
        <f t="shared" si="13"/>
        <v/>
      </c>
      <c r="Q720" t="str">
        <f>IF(F720="CJ", COUNTIF(F$5:F720, "CJ"), "")</f>
        <v/>
      </c>
      <c r="R720" t="str">
        <f>IF(F720="Ignacio", COUNTIF(F$5:F720, "Ignacio"), "")</f>
        <v/>
      </c>
      <c r="S720" t="str">
        <f>IF(F720="Tripulacion", COUNTIF(F$5:F720, "Tripulacion"), "")</f>
        <v/>
      </c>
      <c r="T720" t="str">
        <f>IF(F720="ENAP carga", COUNTIF(F$5:F720, "ENAP carga"), "")</f>
        <v/>
      </c>
    </row>
    <row r="721" spans="12:20" x14ac:dyDescent="0.2">
      <c r="L721" s="23" t="str">
        <f t="shared" si="13"/>
        <v/>
      </c>
      <c r="Q721" t="str">
        <f>IF(F721="CJ", COUNTIF(F$5:F721, "CJ"), "")</f>
        <v/>
      </c>
      <c r="R721" t="str">
        <f>IF(F721="Ignacio", COUNTIF(F$5:F721, "Ignacio"), "")</f>
        <v/>
      </c>
      <c r="S721" t="str">
        <f>IF(F721="Tripulacion", COUNTIF(F$5:F721, "Tripulacion"), "")</f>
        <v/>
      </c>
      <c r="T721" t="str">
        <f>IF(F721="ENAP carga", COUNTIF(F$5:F721, "ENAP carga"), "")</f>
        <v/>
      </c>
    </row>
    <row r="722" spans="12:20" x14ac:dyDescent="0.2">
      <c r="L722" s="23" t="str">
        <f t="shared" si="13"/>
        <v/>
      </c>
      <c r="Q722" t="str">
        <f>IF(F722="CJ", COUNTIF(F$5:F722, "CJ"), "")</f>
        <v/>
      </c>
      <c r="R722" t="str">
        <f>IF(F722="Ignacio", COUNTIF(F$5:F722, "Ignacio"), "")</f>
        <v/>
      </c>
      <c r="S722" t="str">
        <f>IF(F722="Tripulacion", COUNTIF(F$5:F722, "Tripulacion"), "")</f>
        <v/>
      </c>
      <c r="T722" t="str">
        <f>IF(F722="ENAP carga", COUNTIF(F$5:F722, "ENAP carga"), "")</f>
        <v/>
      </c>
    </row>
    <row r="723" spans="12:20" x14ac:dyDescent="0.2">
      <c r="L723" s="23" t="str">
        <f t="shared" si="13"/>
        <v/>
      </c>
      <c r="Q723" t="str">
        <f>IF(F723="CJ", COUNTIF(F$5:F723, "CJ"), "")</f>
        <v/>
      </c>
      <c r="R723" t="str">
        <f>IF(F723="Ignacio", COUNTIF(F$5:F723, "Ignacio"), "")</f>
        <v/>
      </c>
      <c r="S723" t="str">
        <f>IF(F723="Tripulacion", COUNTIF(F$5:F723, "Tripulacion"), "")</f>
        <v/>
      </c>
      <c r="T723" t="str">
        <f>IF(F723="ENAP carga", COUNTIF(F$5:F723, "ENAP carga"), "")</f>
        <v/>
      </c>
    </row>
    <row r="724" spans="12:20" x14ac:dyDescent="0.2">
      <c r="L724" s="23" t="str">
        <f t="shared" si="13"/>
        <v/>
      </c>
      <c r="Q724" t="str">
        <f>IF(F724="CJ", COUNTIF(F$5:F724, "CJ"), "")</f>
        <v/>
      </c>
      <c r="R724" t="str">
        <f>IF(F724="Ignacio", COUNTIF(F$5:F724, "Ignacio"), "")</f>
        <v/>
      </c>
      <c r="S724" t="str">
        <f>IF(F724="Tripulacion", COUNTIF(F$5:F724, "Tripulacion"), "")</f>
        <v/>
      </c>
      <c r="T724" t="str">
        <f>IF(F724="ENAP carga", COUNTIF(F$5:F724, "ENAP carga"), "")</f>
        <v/>
      </c>
    </row>
    <row r="725" spans="12:20" x14ac:dyDescent="0.2">
      <c r="L725" s="23" t="str">
        <f t="shared" si="13"/>
        <v/>
      </c>
      <c r="Q725" t="str">
        <f>IF(F725="CJ", COUNTIF(F$5:F725, "CJ"), "")</f>
        <v/>
      </c>
      <c r="R725" t="str">
        <f>IF(F725="Ignacio", COUNTIF(F$5:F725, "Ignacio"), "")</f>
        <v/>
      </c>
      <c r="S725" t="str">
        <f>IF(F725="Tripulacion", COUNTIF(F$5:F725, "Tripulacion"), "")</f>
        <v/>
      </c>
      <c r="T725" t="str">
        <f>IF(F725="ENAP carga", COUNTIF(F$5:F725, "ENAP carga"), "")</f>
        <v/>
      </c>
    </row>
    <row r="726" spans="12:20" x14ac:dyDescent="0.2">
      <c r="L726" s="23" t="str">
        <f t="shared" si="13"/>
        <v/>
      </c>
      <c r="Q726" t="str">
        <f>IF(F726="CJ", COUNTIF(F$5:F726, "CJ"), "")</f>
        <v/>
      </c>
      <c r="R726" t="str">
        <f>IF(F726="Ignacio", COUNTIF(F$5:F726, "Ignacio"), "")</f>
        <v/>
      </c>
      <c r="S726" t="str">
        <f>IF(F726="Tripulacion", COUNTIF(F$5:F726, "Tripulacion"), "")</f>
        <v/>
      </c>
      <c r="T726" t="str">
        <f>IF(F726="ENAP carga", COUNTIF(F$5:F726, "ENAP carga"), "")</f>
        <v/>
      </c>
    </row>
    <row r="727" spans="12:20" x14ac:dyDescent="0.2">
      <c r="L727" s="23" t="str">
        <f t="shared" si="13"/>
        <v/>
      </c>
      <c r="Q727" t="str">
        <f>IF(F727="CJ", COUNTIF(F$5:F727, "CJ"), "")</f>
        <v/>
      </c>
      <c r="R727" t="str">
        <f>IF(F727="Ignacio", COUNTIF(F$5:F727, "Ignacio"), "")</f>
        <v/>
      </c>
      <c r="S727" t="str">
        <f>IF(F727="Tripulacion", COUNTIF(F$5:F727, "Tripulacion"), "")</f>
        <v/>
      </c>
      <c r="T727" t="str">
        <f>IF(F727="ENAP carga", COUNTIF(F$5:F727, "ENAP carga"), "")</f>
        <v/>
      </c>
    </row>
    <row r="728" spans="12:20" x14ac:dyDescent="0.2">
      <c r="L728" s="23" t="str">
        <f t="shared" si="13"/>
        <v/>
      </c>
      <c r="Q728" t="str">
        <f>IF(F728="CJ", COUNTIF(F$5:F728, "CJ"), "")</f>
        <v/>
      </c>
      <c r="R728" t="str">
        <f>IF(F728="Ignacio", COUNTIF(F$5:F728, "Ignacio"), "")</f>
        <v/>
      </c>
      <c r="S728" t="str">
        <f>IF(F728="Tripulacion", COUNTIF(F$5:F728, "Tripulacion"), "")</f>
        <v/>
      </c>
      <c r="T728" t="str">
        <f>IF(F728="ENAP carga", COUNTIF(F$5:F728, "ENAP carga"), "")</f>
        <v/>
      </c>
    </row>
    <row r="729" spans="12:20" x14ac:dyDescent="0.2">
      <c r="L729" s="23" t="str">
        <f t="shared" si="13"/>
        <v/>
      </c>
      <c r="Q729" t="str">
        <f>IF(F729="CJ", COUNTIF(F$5:F729, "CJ"), "")</f>
        <v/>
      </c>
      <c r="R729" t="str">
        <f>IF(F729="Ignacio", COUNTIF(F$5:F729, "Ignacio"), "")</f>
        <v/>
      </c>
      <c r="S729" t="str">
        <f>IF(F729="Tripulacion", COUNTIF(F$5:F729, "Tripulacion"), "")</f>
        <v/>
      </c>
      <c r="T729" t="str">
        <f>IF(F729="ENAP carga", COUNTIF(F$5:F729, "ENAP carga"), "")</f>
        <v/>
      </c>
    </row>
    <row r="730" spans="12:20" x14ac:dyDescent="0.2">
      <c r="L730" s="23" t="str">
        <f t="shared" si="13"/>
        <v/>
      </c>
      <c r="Q730" t="str">
        <f>IF(F730="CJ", COUNTIF(F$5:F730, "CJ"), "")</f>
        <v/>
      </c>
      <c r="R730" t="str">
        <f>IF(F730="Ignacio", COUNTIF(F$5:F730, "Ignacio"), "")</f>
        <v/>
      </c>
      <c r="S730" t="str">
        <f>IF(F730="Tripulacion", COUNTIF(F$5:F730, "Tripulacion"), "")</f>
        <v/>
      </c>
      <c r="T730" t="str">
        <f>IF(F730="ENAP carga", COUNTIF(F$5:F730, "ENAP carga"), "")</f>
        <v/>
      </c>
    </row>
    <row r="731" spans="12:20" x14ac:dyDescent="0.2">
      <c r="L731" s="23" t="str">
        <f t="shared" si="13"/>
        <v/>
      </c>
      <c r="Q731" t="str">
        <f>IF(F731="CJ", COUNTIF(F$5:F731, "CJ"), "")</f>
        <v/>
      </c>
      <c r="R731" t="str">
        <f>IF(F731="Ignacio", COUNTIF(F$5:F731, "Ignacio"), "")</f>
        <v/>
      </c>
      <c r="S731" t="str">
        <f>IF(F731="Tripulacion", COUNTIF(F$5:F731, "Tripulacion"), "")</f>
        <v/>
      </c>
      <c r="T731" t="str">
        <f>IF(F731="ENAP carga", COUNTIF(F$5:F731, "ENAP carga"), "")</f>
        <v/>
      </c>
    </row>
    <row r="732" spans="12:20" x14ac:dyDescent="0.2">
      <c r="L732" s="23" t="str">
        <f t="shared" si="13"/>
        <v/>
      </c>
      <c r="Q732" t="str">
        <f>IF(F732="CJ", COUNTIF(F$5:F732, "CJ"), "")</f>
        <v/>
      </c>
      <c r="R732" t="str">
        <f>IF(F732="Ignacio", COUNTIF(F$5:F732, "Ignacio"), "")</f>
        <v/>
      </c>
      <c r="S732" t="str">
        <f>IF(F732="Tripulacion", COUNTIF(F$5:F732, "Tripulacion"), "")</f>
        <v/>
      </c>
      <c r="T732" t="str">
        <f>IF(F732="ENAP carga", COUNTIF(F$5:F732, "ENAP carga"), "")</f>
        <v/>
      </c>
    </row>
    <row r="733" spans="12:20" x14ac:dyDescent="0.2">
      <c r="L733" s="23" t="str">
        <f t="shared" si="13"/>
        <v/>
      </c>
      <c r="Q733" t="str">
        <f>IF(F733="CJ", COUNTIF(F$5:F733, "CJ"), "")</f>
        <v/>
      </c>
      <c r="R733" t="str">
        <f>IF(F733="Ignacio", COUNTIF(F$5:F733, "Ignacio"), "")</f>
        <v/>
      </c>
      <c r="S733" t="str">
        <f>IF(F733="Tripulacion", COUNTIF(F$5:F733, "Tripulacion"), "")</f>
        <v/>
      </c>
      <c r="T733" t="str">
        <f>IF(F733="ENAP carga", COUNTIF(F$5:F733, "ENAP carga"), "")</f>
        <v/>
      </c>
    </row>
    <row r="734" spans="12:20" x14ac:dyDescent="0.2">
      <c r="L734" s="23" t="str">
        <f t="shared" si="13"/>
        <v/>
      </c>
      <c r="Q734" t="str">
        <f>IF(F734="CJ", COUNTIF(F$5:F734, "CJ"), "")</f>
        <v/>
      </c>
      <c r="R734" t="str">
        <f>IF(F734="Ignacio", COUNTIF(F$5:F734, "Ignacio"), "")</f>
        <v/>
      </c>
      <c r="S734" t="str">
        <f>IF(F734="Tripulacion", COUNTIF(F$5:F734, "Tripulacion"), "")</f>
        <v/>
      </c>
      <c r="T734" t="str">
        <f>IF(F734="ENAP carga", COUNTIF(F$5:F734, "ENAP carga"), "")</f>
        <v/>
      </c>
    </row>
    <row r="735" spans="12:20" x14ac:dyDescent="0.2">
      <c r="L735" s="23" t="str">
        <f t="shared" si="13"/>
        <v/>
      </c>
      <c r="Q735" t="str">
        <f>IF(F735="CJ", COUNTIF(F$5:F735, "CJ"), "")</f>
        <v/>
      </c>
      <c r="R735" t="str">
        <f>IF(F735="Ignacio", COUNTIF(F$5:F735, "Ignacio"), "")</f>
        <v/>
      </c>
      <c r="S735" t="str">
        <f>IF(F735="Tripulacion", COUNTIF(F$5:F735, "Tripulacion"), "")</f>
        <v/>
      </c>
      <c r="T735" t="str">
        <f>IF(F735="ENAP carga", COUNTIF(F$5:F735, "ENAP carga"), "")</f>
        <v/>
      </c>
    </row>
    <row r="736" spans="12:20" x14ac:dyDescent="0.2">
      <c r="L736" s="23" t="str">
        <f t="shared" si="13"/>
        <v/>
      </c>
      <c r="Q736" t="str">
        <f>IF(F736="CJ", COUNTIF(F$5:F736, "CJ"), "")</f>
        <v/>
      </c>
      <c r="R736" t="str">
        <f>IF(F736="Ignacio", COUNTIF(F$5:F736, "Ignacio"), "")</f>
        <v/>
      </c>
      <c r="S736" t="str">
        <f>IF(F736="Tripulacion", COUNTIF(F$5:F736, "Tripulacion"), "")</f>
        <v/>
      </c>
      <c r="T736" t="str">
        <f>IF(F736="ENAP carga", COUNTIF(F$5:F736, "ENAP carga"), "")</f>
        <v/>
      </c>
    </row>
    <row r="737" spans="12:20" x14ac:dyDescent="0.2">
      <c r="L737" s="23" t="str">
        <f t="shared" si="13"/>
        <v/>
      </c>
      <c r="Q737" t="str">
        <f>IF(F737="CJ", COUNTIF(F$5:F737, "CJ"), "")</f>
        <v/>
      </c>
      <c r="R737" t="str">
        <f>IF(F737="Ignacio", COUNTIF(F$5:F737, "Ignacio"), "")</f>
        <v/>
      </c>
      <c r="S737" t="str">
        <f>IF(F737="Tripulacion", COUNTIF(F$5:F737, "Tripulacion"), "")</f>
        <v/>
      </c>
      <c r="T737" t="str">
        <f>IF(F737="ENAP carga", COUNTIF(F$5:F737, "ENAP carga"), "")</f>
        <v/>
      </c>
    </row>
    <row r="738" spans="12:20" x14ac:dyDescent="0.2">
      <c r="L738" s="23" t="str">
        <f t="shared" si="13"/>
        <v/>
      </c>
      <c r="Q738" t="str">
        <f>IF(F738="CJ", COUNTIF(F$5:F738, "CJ"), "")</f>
        <v/>
      </c>
      <c r="R738" t="str">
        <f>IF(F738="Ignacio", COUNTIF(F$5:F738, "Ignacio"), "")</f>
        <v/>
      </c>
      <c r="S738" t="str">
        <f>IF(F738="Tripulacion", COUNTIF(F$5:F738, "Tripulacion"), "")</f>
        <v/>
      </c>
      <c r="T738" t="str">
        <f>IF(F738="ENAP carga", COUNTIF(F$5:F738, "ENAP carga"), "")</f>
        <v/>
      </c>
    </row>
    <row r="739" spans="12:20" x14ac:dyDescent="0.2">
      <c r="L739" s="23" t="str">
        <f t="shared" si="13"/>
        <v/>
      </c>
      <c r="Q739" t="str">
        <f>IF(F739="CJ", COUNTIF(F$5:F739, "CJ"), "")</f>
        <v/>
      </c>
      <c r="R739" t="str">
        <f>IF(F739="Ignacio", COUNTIF(F$5:F739, "Ignacio"), "")</f>
        <v/>
      </c>
      <c r="S739" t="str">
        <f>IF(F739="Tripulacion", COUNTIF(F$5:F739, "Tripulacion"), "")</f>
        <v/>
      </c>
      <c r="T739" t="str">
        <f>IF(F739="ENAP carga", COUNTIF(F$5:F739, "ENAP carga"), "")</f>
        <v/>
      </c>
    </row>
    <row r="740" spans="12:20" x14ac:dyDescent="0.2">
      <c r="L740" s="23" t="str">
        <f t="shared" si="13"/>
        <v/>
      </c>
      <c r="Q740" t="str">
        <f>IF(F740="CJ", COUNTIF(F$5:F740, "CJ"), "")</f>
        <v/>
      </c>
      <c r="R740" t="str">
        <f>IF(F740="Ignacio", COUNTIF(F$5:F740, "Ignacio"), "")</f>
        <v/>
      </c>
      <c r="S740" t="str">
        <f>IF(F740="Tripulacion", COUNTIF(F$5:F740, "Tripulacion"), "")</f>
        <v/>
      </c>
      <c r="T740" t="str">
        <f>IF(F740="ENAP carga", COUNTIF(F$5:F740, "ENAP carga"), "")</f>
        <v/>
      </c>
    </row>
    <row r="741" spans="12:20" x14ac:dyDescent="0.2">
      <c r="L741" s="23" t="str">
        <f t="shared" si="13"/>
        <v/>
      </c>
      <c r="Q741" t="str">
        <f>IF(F741="CJ", COUNTIF(F$5:F741, "CJ"), "")</f>
        <v/>
      </c>
      <c r="R741" t="str">
        <f>IF(F741="Ignacio", COUNTIF(F$5:F741, "Ignacio"), "")</f>
        <v/>
      </c>
      <c r="S741" t="str">
        <f>IF(F741="Tripulacion", COUNTIF(F$5:F741, "Tripulacion"), "")</f>
        <v/>
      </c>
      <c r="T741" t="str">
        <f>IF(F741="ENAP carga", COUNTIF(F$5:F741, "ENAP carga"), "")</f>
        <v/>
      </c>
    </row>
    <row r="742" spans="12:20" x14ac:dyDescent="0.2">
      <c r="L742" s="23" t="str">
        <f t="shared" si="13"/>
        <v/>
      </c>
      <c r="Q742" t="str">
        <f>IF(F742="CJ", COUNTIF(F$5:F742, "CJ"), "")</f>
        <v/>
      </c>
      <c r="R742" t="str">
        <f>IF(F742="Ignacio", COUNTIF(F$5:F742, "Ignacio"), "")</f>
        <v/>
      </c>
      <c r="S742" t="str">
        <f>IF(F742="Tripulacion", COUNTIF(F$5:F742, "Tripulacion"), "")</f>
        <v/>
      </c>
      <c r="T742" t="str">
        <f>IF(F742="ENAP carga", COUNTIF(F$5:F742, "ENAP carga"), "")</f>
        <v/>
      </c>
    </row>
    <row r="743" spans="12:20" x14ac:dyDescent="0.2">
      <c r="L743" s="23" t="str">
        <f t="shared" si="13"/>
        <v/>
      </c>
      <c r="Q743" t="str">
        <f>IF(F743="CJ", COUNTIF(F$5:F743, "CJ"), "")</f>
        <v/>
      </c>
      <c r="R743" t="str">
        <f>IF(F743="Ignacio", COUNTIF(F$5:F743, "Ignacio"), "")</f>
        <v/>
      </c>
      <c r="S743" t="str">
        <f>IF(F743="Tripulacion", COUNTIF(F$5:F743, "Tripulacion"), "")</f>
        <v/>
      </c>
      <c r="T743" t="str">
        <f>IF(F743="ENAP carga", COUNTIF(F$5:F743, "ENAP carga"), "")</f>
        <v/>
      </c>
    </row>
    <row r="744" spans="12:20" x14ac:dyDescent="0.2">
      <c r="L744" s="23" t="str">
        <f t="shared" si="13"/>
        <v/>
      </c>
      <c r="Q744" t="str">
        <f>IF(F744="CJ", COUNTIF(F$5:F744, "CJ"), "")</f>
        <v/>
      </c>
      <c r="R744" t="str">
        <f>IF(F744="Ignacio", COUNTIF(F$5:F744, "Ignacio"), "")</f>
        <v/>
      </c>
      <c r="S744" t="str">
        <f>IF(F744="Tripulacion", COUNTIF(F$5:F744, "Tripulacion"), "")</f>
        <v/>
      </c>
      <c r="T744" t="str">
        <f>IF(F744="ENAP carga", COUNTIF(F$5:F744, "ENAP carga"), "")</f>
        <v/>
      </c>
    </row>
    <row r="745" spans="12:20" x14ac:dyDescent="0.2">
      <c r="L745" s="23" t="str">
        <f t="shared" si="13"/>
        <v/>
      </c>
      <c r="Q745" t="str">
        <f>IF(F745="CJ", COUNTIF(F$5:F745, "CJ"), "")</f>
        <v/>
      </c>
      <c r="R745" t="str">
        <f>IF(F745="Ignacio", COUNTIF(F$5:F745, "Ignacio"), "")</f>
        <v/>
      </c>
      <c r="S745" t="str">
        <f>IF(F745="Tripulacion", COUNTIF(F$5:F745, "Tripulacion"), "")</f>
        <v/>
      </c>
      <c r="T745" t="str">
        <f>IF(F745="ENAP carga", COUNTIF(F$5:F745, "ENAP carga"), "")</f>
        <v/>
      </c>
    </row>
    <row r="746" spans="12:20" x14ac:dyDescent="0.2">
      <c r="L746" s="23" t="str">
        <f t="shared" si="13"/>
        <v/>
      </c>
      <c r="Q746" t="str">
        <f>IF(F746="CJ", COUNTIF(F$5:F746, "CJ"), "")</f>
        <v/>
      </c>
      <c r="R746" t="str">
        <f>IF(F746="Ignacio", COUNTIF(F$5:F746, "Ignacio"), "")</f>
        <v/>
      </c>
      <c r="S746" t="str">
        <f>IF(F746="Tripulacion", COUNTIF(F$5:F746, "Tripulacion"), "")</f>
        <v/>
      </c>
      <c r="T746" t="str">
        <f>IF(F746="ENAP carga", COUNTIF(F$5:F746, "ENAP carga"), "")</f>
        <v/>
      </c>
    </row>
    <row r="747" spans="12:20" x14ac:dyDescent="0.2">
      <c r="L747" s="23" t="str">
        <f t="shared" si="13"/>
        <v/>
      </c>
      <c r="Q747" t="str">
        <f>IF(F747="CJ", COUNTIF(F$5:F747, "CJ"), "")</f>
        <v/>
      </c>
      <c r="R747" t="str">
        <f>IF(F747="Ignacio", COUNTIF(F$5:F747, "Ignacio"), "")</f>
        <v/>
      </c>
      <c r="S747" t="str">
        <f>IF(F747="Tripulacion", COUNTIF(F$5:F747, "Tripulacion"), "")</f>
        <v/>
      </c>
      <c r="T747" t="str">
        <f>IF(F747="ENAP carga", COUNTIF(F$5:F747, "ENAP carga"), "")</f>
        <v/>
      </c>
    </row>
    <row r="748" spans="12:20" x14ac:dyDescent="0.2">
      <c r="L748" s="23" t="str">
        <f t="shared" si="13"/>
        <v/>
      </c>
      <c r="Q748" t="str">
        <f>IF(F748="CJ", COUNTIF(F$5:F748, "CJ"), "")</f>
        <v/>
      </c>
      <c r="R748" t="str">
        <f>IF(F748="Ignacio", COUNTIF(F$5:F748, "Ignacio"), "")</f>
        <v/>
      </c>
      <c r="S748" t="str">
        <f>IF(F748="Tripulacion", COUNTIF(F$5:F748, "Tripulacion"), "")</f>
        <v/>
      </c>
      <c r="T748" t="str">
        <f>IF(F748="ENAP carga", COUNTIF(F$5:F748, "ENAP carga"), "")</f>
        <v/>
      </c>
    </row>
    <row r="749" spans="12:20" x14ac:dyDescent="0.2">
      <c r="L749" s="23" t="str">
        <f t="shared" si="13"/>
        <v/>
      </c>
      <c r="Q749" t="str">
        <f>IF(F749="CJ", COUNTIF(F$5:F749, "CJ"), "")</f>
        <v/>
      </c>
      <c r="R749" t="str">
        <f>IF(F749="Ignacio", COUNTIF(F$5:F749, "Ignacio"), "")</f>
        <v/>
      </c>
      <c r="S749" t="str">
        <f>IF(F749="Tripulacion", COUNTIF(F$5:F749, "Tripulacion"), "")</f>
        <v/>
      </c>
      <c r="T749" t="str">
        <f>IF(F749="ENAP carga", COUNTIF(F$5:F749, "ENAP carga"), "")</f>
        <v/>
      </c>
    </row>
    <row r="750" spans="12:20" x14ac:dyDescent="0.2">
      <c r="L750" s="23" t="str">
        <f t="shared" si="13"/>
        <v/>
      </c>
      <c r="Q750" t="str">
        <f>IF(F750="CJ", COUNTIF(F$5:F750, "CJ"), "")</f>
        <v/>
      </c>
      <c r="R750" t="str">
        <f>IF(F750="Ignacio", COUNTIF(F$5:F750, "Ignacio"), "")</f>
        <v/>
      </c>
      <c r="S750" t="str">
        <f>IF(F750="Tripulacion", COUNTIF(F$5:F750, "Tripulacion"), "")</f>
        <v/>
      </c>
      <c r="T750" t="str">
        <f>IF(F750="ENAP carga", COUNTIF(F$5:F750, "ENAP carga"), "")</f>
        <v/>
      </c>
    </row>
    <row r="751" spans="12:20" x14ac:dyDescent="0.2">
      <c r="L751" s="23" t="str">
        <f t="shared" si="13"/>
        <v/>
      </c>
      <c r="Q751" t="str">
        <f>IF(F751="CJ", COUNTIF(F$5:F751, "CJ"), "")</f>
        <v/>
      </c>
      <c r="R751" t="str">
        <f>IF(F751="Ignacio", COUNTIF(F$5:F751, "Ignacio"), "")</f>
        <v/>
      </c>
      <c r="S751" t="str">
        <f>IF(F751="Tripulacion", COUNTIF(F$5:F751, "Tripulacion"), "")</f>
        <v/>
      </c>
      <c r="T751" t="str">
        <f>IF(F751="ENAP carga", COUNTIF(F$5:F751, "ENAP carga"), "")</f>
        <v/>
      </c>
    </row>
    <row r="752" spans="12:20" x14ac:dyDescent="0.2">
      <c r="L752" s="23" t="str">
        <f t="shared" si="13"/>
        <v/>
      </c>
      <c r="Q752" t="str">
        <f>IF(F752="CJ", COUNTIF(F$5:F752, "CJ"), "")</f>
        <v/>
      </c>
      <c r="R752" t="str">
        <f>IF(F752="Ignacio", COUNTIF(F$5:F752, "Ignacio"), "")</f>
        <v/>
      </c>
      <c r="S752" t="str">
        <f>IF(F752="Tripulacion", COUNTIF(F$5:F752, "Tripulacion"), "")</f>
        <v/>
      </c>
      <c r="T752" t="str">
        <f>IF(F752="ENAP carga", COUNTIF(F$5:F752, "ENAP carga"), "")</f>
        <v/>
      </c>
    </row>
    <row r="753" spans="12:20" x14ac:dyDescent="0.2">
      <c r="L753" s="23" t="str">
        <f t="shared" si="13"/>
        <v/>
      </c>
      <c r="Q753" t="str">
        <f>IF(F753="CJ", COUNTIF(F$5:F753, "CJ"), "")</f>
        <v/>
      </c>
      <c r="R753" t="str">
        <f>IF(F753="Ignacio", COUNTIF(F$5:F753, "Ignacio"), "")</f>
        <v/>
      </c>
      <c r="S753" t="str">
        <f>IF(F753="Tripulacion", COUNTIF(F$5:F753, "Tripulacion"), "")</f>
        <v/>
      </c>
      <c r="T753" t="str">
        <f>IF(F753="ENAP carga", COUNTIF(F$5:F753, "ENAP carga"), "")</f>
        <v/>
      </c>
    </row>
    <row r="754" spans="12:20" x14ac:dyDescent="0.2">
      <c r="L754" s="23" t="str">
        <f t="shared" si="13"/>
        <v/>
      </c>
      <c r="Q754" t="str">
        <f>IF(F754="CJ", COUNTIF(F$5:F754, "CJ"), "")</f>
        <v/>
      </c>
      <c r="R754" t="str">
        <f>IF(F754="Ignacio", COUNTIF(F$5:F754, "Ignacio"), "")</f>
        <v/>
      </c>
      <c r="S754" t="str">
        <f>IF(F754="Tripulacion", COUNTIF(F$5:F754, "Tripulacion"), "")</f>
        <v/>
      </c>
      <c r="T754" t="str">
        <f>IF(F754="ENAP carga", COUNTIF(F$5:F754, "ENAP carga"), "")</f>
        <v/>
      </c>
    </row>
    <row r="755" spans="12:20" x14ac:dyDescent="0.2">
      <c r="L755" s="23" t="str">
        <f t="shared" si="13"/>
        <v/>
      </c>
      <c r="Q755" t="str">
        <f>IF(F755="CJ", COUNTIF(F$5:F755, "CJ"), "")</f>
        <v/>
      </c>
      <c r="R755" t="str">
        <f>IF(F755="Ignacio", COUNTIF(F$5:F755, "Ignacio"), "")</f>
        <v/>
      </c>
      <c r="S755" t="str">
        <f>IF(F755="Tripulacion", COUNTIF(F$5:F755, "Tripulacion"), "")</f>
        <v/>
      </c>
      <c r="T755" t="str">
        <f>IF(F755="ENAP carga", COUNTIF(F$5:F755, "ENAP carga"), "")</f>
        <v/>
      </c>
    </row>
    <row r="756" spans="12:20" x14ac:dyDescent="0.2">
      <c r="L756" s="23" t="str">
        <f t="shared" si="13"/>
        <v/>
      </c>
      <c r="Q756" t="str">
        <f>IF(F756="CJ", COUNTIF(F$5:F756, "CJ"), "")</f>
        <v/>
      </c>
      <c r="R756" t="str">
        <f>IF(F756="Ignacio", COUNTIF(F$5:F756, "Ignacio"), "")</f>
        <v/>
      </c>
      <c r="S756" t="str">
        <f>IF(F756="Tripulacion", COUNTIF(F$5:F756, "Tripulacion"), "")</f>
        <v/>
      </c>
      <c r="T756" t="str">
        <f>IF(F756="ENAP carga", COUNTIF(F$5:F756, "ENAP carga"), "")</f>
        <v/>
      </c>
    </row>
    <row r="757" spans="12:20" x14ac:dyDescent="0.2">
      <c r="L757" s="23" t="str">
        <f t="shared" si="13"/>
        <v/>
      </c>
      <c r="Q757" t="str">
        <f>IF(F757="CJ", COUNTIF(F$5:F757, "CJ"), "")</f>
        <v/>
      </c>
      <c r="R757" t="str">
        <f>IF(F757="Ignacio", COUNTIF(F$5:F757, "Ignacio"), "")</f>
        <v/>
      </c>
      <c r="S757" t="str">
        <f>IF(F757="Tripulacion", COUNTIF(F$5:F757, "Tripulacion"), "")</f>
        <v/>
      </c>
      <c r="T757" t="str">
        <f>IF(F757="ENAP carga", COUNTIF(F$5:F757, "ENAP carga"), "")</f>
        <v/>
      </c>
    </row>
    <row r="758" spans="12:20" x14ac:dyDescent="0.2">
      <c r="L758" s="23" t="str">
        <f t="shared" si="13"/>
        <v/>
      </c>
      <c r="Q758" t="str">
        <f>IF(F758="CJ", COUNTIF(F$5:F758, "CJ"), "")</f>
        <v/>
      </c>
      <c r="R758" t="str">
        <f>IF(F758="Ignacio", COUNTIF(F$5:F758, "Ignacio"), "")</f>
        <v/>
      </c>
      <c r="S758" t="str">
        <f>IF(F758="Tripulacion", COUNTIF(F$5:F758, "Tripulacion"), "")</f>
        <v/>
      </c>
      <c r="T758" t="str">
        <f>IF(F758="ENAP carga", COUNTIF(F$5:F758, "ENAP carga"), "")</f>
        <v/>
      </c>
    </row>
    <row r="759" spans="12:20" x14ac:dyDescent="0.2">
      <c r="L759" s="23" t="str">
        <f t="shared" si="13"/>
        <v/>
      </c>
      <c r="Q759" t="str">
        <f>IF(F759="CJ", COUNTIF(F$5:F759, "CJ"), "")</f>
        <v/>
      </c>
      <c r="R759" t="str">
        <f>IF(F759="Ignacio", COUNTIF(F$5:F759, "Ignacio"), "")</f>
        <v/>
      </c>
      <c r="S759" t="str">
        <f>IF(F759="Tripulacion", COUNTIF(F$5:F759, "Tripulacion"), "")</f>
        <v/>
      </c>
      <c r="T759" t="str">
        <f>IF(F759="ENAP carga", COUNTIF(F$5:F759, "ENAP carga"), "")</f>
        <v/>
      </c>
    </row>
    <row r="760" spans="12:20" x14ac:dyDescent="0.2">
      <c r="L760" s="23" t="str">
        <f t="shared" si="13"/>
        <v/>
      </c>
      <c r="Q760" t="str">
        <f>IF(F760="CJ", COUNTIF(F$5:F760, "CJ"), "")</f>
        <v/>
      </c>
      <c r="R760" t="str">
        <f>IF(F760="Ignacio", COUNTIF(F$5:F760, "Ignacio"), "")</f>
        <v/>
      </c>
      <c r="S760" t="str">
        <f>IF(F760="Tripulacion", COUNTIF(F$5:F760, "Tripulacion"), "")</f>
        <v/>
      </c>
      <c r="T760" t="str">
        <f>IF(F760="ENAP carga", COUNTIF(F$5:F760, "ENAP carga"), "")</f>
        <v/>
      </c>
    </row>
    <row r="761" spans="12:20" x14ac:dyDescent="0.2">
      <c r="L761" s="23" t="str">
        <f t="shared" si="13"/>
        <v/>
      </c>
      <c r="Q761" t="str">
        <f>IF(F761="CJ", COUNTIF(F$5:F761, "CJ"), "")</f>
        <v/>
      </c>
      <c r="R761" t="str">
        <f>IF(F761="Ignacio", COUNTIF(F$5:F761, "Ignacio"), "")</f>
        <v/>
      </c>
      <c r="S761" t="str">
        <f>IF(F761="Tripulacion", COUNTIF(F$5:F761, "Tripulacion"), "")</f>
        <v/>
      </c>
      <c r="T761" t="str">
        <f>IF(F761="ENAP carga", COUNTIF(F$5:F761, "ENAP carga"), "")</f>
        <v/>
      </c>
    </row>
    <row r="762" spans="12:20" x14ac:dyDescent="0.2">
      <c r="L762" s="23" t="str">
        <f t="shared" si="13"/>
        <v/>
      </c>
      <c r="Q762" t="str">
        <f>IF(F762="CJ", COUNTIF(F$5:F762, "CJ"), "")</f>
        <v/>
      </c>
      <c r="R762" t="str">
        <f>IF(F762="Ignacio", COUNTIF(F$5:F762, "Ignacio"), "")</f>
        <v/>
      </c>
      <c r="S762" t="str">
        <f>IF(F762="Tripulacion", COUNTIF(F$5:F762, "Tripulacion"), "")</f>
        <v/>
      </c>
      <c r="T762" t="str">
        <f>IF(F762="ENAP carga", COUNTIF(F$5:F762, "ENAP carga"), "")</f>
        <v/>
      </c>
    </row>
    <row r="763" spans="12:20" x14ac:dyDescent="0.2">
      <c r="L763" s="23" t="str">
        <f t="shared" si="13"/>
        <v/>
      </c>
      <c r="Q763" t="str">
        <f>IF(F763="CJ", COUNTIF(F$5:F763, "CJ"), "")</f>
        <v/>
      </c>
      <c r="R763" t="str">
        <f>IF(F763="Ignacio", COUNTIF(F$5:F763, "Ignacio"), "")</f>
        <v/>
      </c>
      <c r="S763" t="str">
        <f>IF(F763="Tripulacion", COUNTIF(F$5:F763, "Tripulacion"), "")</f>
        <v/>
      </c>
      <c r="T763" t="str">
        <f>IF(F763="ENAP carga", COUNTIF(F$5:F763, "ENAP carga"), "")</f>
        <v/>
      </c>
    </row>
    <row r="764" spans="12:20" x14ac:dyDescent="0.2">
      <c r="L764" s="23" t="str">
        <f t="shared" si="13"/>
        <v/>
      </c>
      <c r="Q764" t="str">
        <f>IF(F764="CJ", COUNTIF(F$5:F764, "CJ"), "")</f>
        <v/>
      </c>
      <c r="R764" t="str">
        <f>IF(F764="Ignacio", COUNTIF(F$5:F764, "Ignacio"), "")</f>
        <v/>
      </c>
      <c r="S764" t="str">
        <f>IF(F764="Tripulacion", COUNTIF(F$5:F764, "Tripulacion"), "")</f>
        <v/>
      </c>
      <c r="T764" t="str">
        <f>IF(F764="ENAP carga", COUNTIF(F$5:F764, "ENAP carga"), "")</f>
        <v/>
      </c>
    </row>
    <row r="765" spans="12:20" x14ac:dyDescent="0.2">
      <c r="L765" s="23" t="str">
        <f t="shared" si="13"/>
        <v/>
      </c>
      <c r="Q765" t="str">
        <f>IF(F765="CJ", COUNTIF(F$5:F765, "CJ"), "")</f>
        <v/>
      </c>
      <c r="R765" t="str">
        <f>IF(F765="Ignacio", COUNTIF(F$5:F765, "Ignacio"), "")</f>
        <v/>
      </c>
      <c r="S765" t="str">
        <f>IF(F765="Tripulacion", COUNTIF(F$5:F765, "Tripulacion"), "")</f>
        <v/>
      </c>
      <c r="T765" t="str">
        <f>IF(F765="ENAP carga", COUNTIF(F$5:F765, "ENAP carga"), "")</f>
        <v/>
      </c>
    </row>
    <row r="766" spans="12:20" x14ac:dyDescent="0.2">
      <c r="L766" s="23" t="str">
        <f t="shared" si="13"/>
        <v/>
      </c>
      <c r="Q766" t="str">
        <f>IF(F766="CJ", COUNTIF(F$5:F766, "CJ"), "")</f>
        <v/>
      </c>
      <c r="R766" t="str">
        <f>IF(F766="Ignacio", COUNTIF(F$5:F766, "Ignacio"), "")</f>
        <v/>
      </c>
      <c r="S766" t="str">
        <f>IF(F766="Tripulacion", COUNTIF(F$5:F766, "Tripulacion"), "")</f>
        <v/>
      </c>
      <c r="T766" t="str">
        <f>IF(F766="ENAP carga", COUNTIF(F$5:F766, "ENAP carga"), "")</f>
        <v/>
      </c>
    </row>
    <row r="767" spans="12:20" x14ac:dyDescent="0.2">
      <c r="L767" s="23" t="str">
        <f t="shared" si="13"/>
        <v/>
      </c>
      <c r="Q767" t="str">
        <f>IF(F767="CJ", COUNTIF(F$5:F767, "CJ"), "")</f>
        <v/>
      </c>
      <c r="R767" t="str">
        <f>IF(F767="Ignacio", COUNTIF(F$5:F767, "Ignacio"), "")</f>
        <v/>
      </c>
      <c r="S767" t="str">
        <f>IF(F767="Tripulacion", COUNTIF(F$5:F767, "Tripulacion"), "")</f>
        <v/>
      </c>
      <c r="T767" t="str">
        <f>IF(F767="ENAP carga", COUNTIF(F$5:F767, "ENAP carga"), "")</f>
        <v/>
      </c>
    </row>
    <row r="768" spans="12:20" x14ac:dyDescent="0.2">
      <c r="L768" s="23" t="str">
        <f t="shared" si="13"/>
        <v/>
      </c>
      <c r="Q768" t="str">
        <f>IF(F768="CJ", COUNTIF(F$5:F768, "CJ"), "")</f>
        <v/>
      </c>
      <c r="R768" t="str">
        <f>IF(F768="Ignacio", COUNTIF(F$5:F768, "Ignacio"), "")</f>
        <v/>
      </c>
      <c r="S768" t="str">
        <f>IF(F768="Tripulacion", COUNTIF(F$5:F768, "Tripulacion"), "")</f>
        <v/>
      </c>
      <c r="T768" t="str">
        <f>IF(F768="ENAP carga", COUNTIF(F$5:F768, "ENAP carga"), "")</f>
        <v/>
      </c>
    </row>
    <row r="769" spans="12:20" x14ac:dyDescent="0.2">
      <c r="L769" s="23" t="str">
        <f t="shared" si="13"/>
        <v/>
      </c>
      <c r="Q769" t="str">
        <f>IF(F769="CJ", COUNTIF(F$5:F769, "CJ"), "")</f>
        <v/>
      </c>
      <c r="R769" t="str">
        <f>IF(F769="Ignacio", COUNTIF(F$5:F769, "Ignacio"), "")</f>
        <v/>
      </c>
      <c r="S769" t="str">
        <f>IF(F769="Tripulacion", COUNTIF(F$5:F769, "Tripulacion"), "")</f>
        <v/>
      </c>
      <c r="T769" t="str">
        <f>IF(F769="ENAP carga", COUNTIF(F$5:F769, "ENAP carga"), "")</f>
        <v/>
      </c>
    </row>
    <row r="770" spans="12:20" x14ac:dyDescent="0.2">
      <c r="L770" s="23" t="str">
        <f t="shared" si="13"/>
        <v/>
      </c>
      <c r="Q770" t="str">
        <f>IF(F770="CJ", COUNTIF(F$5:F770, "CJ"), "")</f>
        <v/>
      </c>
      <c r="R770" t="str">
        <f>IF(F770="Ignacio", COUNTIF(F$5:F770, "Ignacio"), "")</f>
        <v/>
      </c>
      <c r="S770" t="str">
        <f>IF(F770="Tripulacion", COUNTIF(F$5:F770, "Tripulacion"), "")</f>
        <v/>
      </c>
      <c r="T770" t="str">
        <f>IF(F770="ENAP carga", COUNTIF(F$5:F770, "ENAP carga"), "")</f>
        <v/>
      </c>
    </row>
    <row r="771" spans="12:20" x14ac:dyDescent="0.2">
      <c r="L771" s="23" t="str">
        <f t="shared" si="13"/>
        <v/>
      </c>
      <c r="Q771" t="str">
        <f>IF(F771="CJ", COUNTIF(F$5:F771, "CJ"), "")</f>
        <v/>
      </c>
      <c r="R771" t="str">
        <f>IF(F771="Ignacio", COUNTIF(F$5:F771, "Ignacio"), "")</f>
        <v/>
      </c>
      <c r="S771" t="str">
        <f>IF(F771="Tripulacion", COUNTIF(F$5:F771, "Tripulacion"), "")</f>
        <v/>
      </c>
      <c r="T771" t="str">
        <f>IF(F771="ENAP carga", COUNTIF(F$5:F771, "ENAP carga"), "")</f>
        <v/>
      </c>
    </row>
    <row r="772" spans="12:20" x14ac:dyDescent="0.2">
      <c r="L772" s="23" t="str">
        <f t="shared" si="13"/>
        <v/>
      </c>
      <c r="Q772" t="str">
        <f>IF(F772="CJ", COUNTIF(F$5:F772, "CJ"), "")</f>
        <v/>
      </c>
      <c r="R772" t="str">
        <f>IF(F772="Ignacio", COUNTIF(F$5:F772, "Ignacio"), "")</f>
        <v/>
      </c>
      <c r="S772" t="str">
        <f>IF(F772="Tripulacion", COUNTIF(F$5:F772, "Tripulacion"), "")</f>
        <v/>
      </c>
      <c r="T772" t="str">
        <f>IF(F772="ENAP carga", COUNTIF(F$5:F772, "ENAP carga"), "")</f>
        <v/>
      </c>
    </row>
    <row r="773" spans="12:20" x14ac:dyDescent="0.2">
      <c r="L773" s="23" t="str">
        <f t="shared" si="13"/>
        <v/>
      </c>
      <c r="Q773" t="str">
        <f>IF(F773="CJ", COUNTIF(F$5:F773, "CJ"), "")</f>
        <v/>
      </c>
      <c r="R773" t="str">
        <f>IF(F773="Ignacio", COUNTIF(F$5:F773, "Ignacio"), "")</f>
        <v/>
      </c>
      <c r="S773" t="str">
        <f>IF(F773="Tripulacion", COUNTIF(F$5:F773, "Tripulacion"), "")</f>
        <v/>
      </c>
      <c r="T773" t="str">
        <f>IF(F773="ENAP carga", COUNTIF(F$5:F773, "ENAP carga"), "")</f>
        <v/>
      </c>
    </row>
    <row r="774" spans="12:20" x14ac:dyDescent="0.2">
      <c r="L774" s="23" t="str">
        <f t="shared" si="13"/>
        <v/>
      </c>
      <c r="Q774" t="str">
        <f>IF(F774="CJ", COUNTIF(F$5:F774, "CJ"), "")</f>
        <v/>
      </c>
      <c r="R774" t="str">
        <f>IF(F774="Ignacio", COUNTIF(F$5:F774, "Ignacio"), "")</f>
        <v/>
      </c>
      <c r="S774" t="str">
        <f>IF(F774="Tripulacion", COUNTIF(F$5:F774, "Tripulacion"), "")</f>
        <v/>
      </c>
      <c r="T774" t="str">
        <f>IF(F774="ENAP carga", COUNTIF(F$5:F774, "ENAP carga"), "")</f>
        <v/>
      </c>
    </row>
    <row r="775" spans="12:20" x14ac:dyDescent="0.2">
      <c r="L775" s="23" t="str">
        <f t="shared" si="13"/>
        <v/>
      </c>
      <c r="Q775" t="str">
        <f>IF(F775="CJ", COUNTIF(F$5:F775, "CJ"), "")</f>
        <v/>
      </c>
      <c r="R775" t="str">
        <f>IF(F775="Ignacio", COUNTIF(F$5:F775, "Ignacio"), "")</f>
        <v/>
      </c>
      <c r="S775" t="str">
        <f>IF(F775="Tripulacion", COUNTIF(F$5:F775, "Tripulacion"), "")</f>
        <v/>
      </c>
      <c r="T775" t="str">
        <f>IF(F775="ENAP carga", COUNTIF(F$5:F775, "ENAP carga"), "")</f>
        <v/>
      </c>
    </row>
    <row r="776" spans="12:20" x14ac:dyDescent="0.2">
      <c r="L776" s="23" t="str">
        <f t="shared" si="13"/>
        <v/>
      </c>
      <c r="Q776" t="str">
        <f>IF(F776="CJ", COUNTIF(F$5:F776, "CJ"), "")</f>
        <v/>
      </c>
      <c r="R776" t="str">
        <f>IF(F776="Ignacio", COUNTIF(F$5:F776, "Ignacio"), "")</f>
        <v/>
      </c>
      <c r="S776" t="str">
        <f>IF(F776="Tripulacion", COUNTIF(F$5:F776, "Tripulacion"), "")</f>
        <v/>
      </c>
      <c r="T776" t="str">
        <f>IF(F776="ENAP carga", COUNTIF(F$5:F776, "ENAP carga"), "")</f>
        <v/>
      </c>
    </row>
    <row r="777" spans="12:20" x14ac:dyDescent="0.2">
      <c r="L777" s="23" t="str">
        <f t="shared" si="13"/>
        <v/>
      </c>
      <c r="Q777" t="str">
        <f>IF(F777="CJ", COUNTIF(F$5:F777, "CJ"), "")</f>
        <v/>
      </c>
      <c r="R777" t="str">
        <f>IF(F777="Ignacio", COUNTIF(F$5:F777, "Ignacio"), "")</f>
        <v/>
      </c>
      <c r="S777" t="str">
        <f>IF(F777="Tripulacion", COUNTIF(F$5:F777, "Tripulacion"), "")</f>
        <v/>
      </c>
      <c r="T777" t="str">
        <f>IF(F777="ENAP carga", COUNTIF(F$5:F777, "ENAP carga"), "")</f>
        <v/>
      </c>
    </row>
    <row r="778" spans="12:20" x14ac:dyDescent="0.2">
      <c r="L778" s="23" t="str">
        <f t="shared" si="13"/>
        <v/>
      </c>
      <c r="Q778" t="str">
        <f>IF(F778="CJ", COUNTIF(F$5:F778, "CJ"), "")</f>
        <v/>
      </c>
      <c r="R778" t="str">
        <f>IF(F778="Ignacio", COUNTIF(F$5:F778, "Ignacio"), "")</f>
        <v/>
      </c>
      <c r="S778" t="str">
        <f>IF(F778="Tripulacion", COUNTIF(F$5:F778, "Tripulacion"), "")</f>
        <v/>
      </c>
      <c r="T778" t="str">
        <f>IF(F778="ENAP carga", COUNTIF(F$5:F778, "ENAP carga"), "")</f>
        <v/>
      </c>
    </row>
    <row r="779" spans="12:20" x14ac:dyDescent="0.2">
      <c r="L779" s="23" t="str">
        <f t="shared" si="13"/>
        <v/>
      </c>
      <c r="Q779" t="str">
        <f>IF(F779="CJ", COUNTIF(F$5:F779, "CJ"), "")</f>
        <v/>
      </c>
      <c r="R779" t="str">
        <f>IF(F779="Ignacio", COUNTIF(F$5:F779, "Ignacio"), "")</f>
        <v/>
      </c>
      <c r="S779" t="str">
        <f>IF(F779="Tripulacion", COUNTIF(F$5:F779, "Tripulacion"), "")</f>
        <v/>
      </c>
      <c r="T779" t="str">
        <f>IF(F779="ENAP carga", COUNTIF(F$5:F779, "ENAP carga"), "")</f>
        <v/>
      </c>
    </row>
    <row r="780" spans="12:20" x14ac:dyDescent="0.2">
      <c r="L780" s="23" t="str">
        <f t="shared" si="13"/>
        <v/>
      </c>
      <c r="Q780" t="str">
        <f>IF(F780="CJ", COUNTIF(F$5:F780, "CJ"), "")</f>
        <v/>
      </c>
      <c r="R780" t="str">
        <f>IF(F780="Ignacio", COUNTIF(F$5:F780, "Ignacio"), "")</f>
        <v/>
      </c>
      <c r="S780" t="str">
        <f>IF(F780="Tripulacion", COUNTIF(F$5:F780, "Tripulacion"), "")</f>
        <v/>
      </c>
      <c r="T780" t="str">
        <f>IF(F780="ENAP carga", COUNTIF(F$5:F780, "ENAP carga"), "")</f>
        <v/>
      </c>
    </row>
    <row r="781" spans="12:20" x14ac:dyDescent="0.2">
      <c r="L781" s="23" t="str">
        <f t="shared" si="13"/>
        <v/>
      </c>
      <c r="Q781" t="str">
        <f>IF(F781="CJ", COUNTIF(F$5:F781, "CJ"), "")</f>
        <v/>
      </c>
      <c r="R781" t="str">
        <f>IF(F781="Ignacio", COUNTIF(F$5:F781, "Ignacio"), "")</f>
        <v/>
      </c>
      <c r="S781" t="str">
        <f>IF(F781="Tripulacion", COUNTIF(F$5:F781, "Tripulacion"), "")</f>
        <v/>
      </c>
      <c r="T781" t="str">
        <f>IF(F781="ENAP carga", COUNTIF(F$5:F781, "ENAP carga"), "")</f>
        <v/>
      </c>
    </row>
    <row r="782" spans="12:20" x14ac:dyDescent="0.2">
      <c r="L782" s="23" t="str">
        <f t="shared" ref="L782:L845" si="14">IF(F782="CJ", I782*200, "")</f>
        <v/>
      </c>
      <c r="Q782" t="str">
        <f>IF(F782="CJ", COUNTIF(F$5:F782, "CJ"), "")</f>
        <v/>
      </c>
      <c r="R782" t="str">
        <f>IF(F782="Ignacio", COUNTIF(F$5:F782, "Ignacio"), "")</f>
        <v/>
      </c>
      <c r="S782" t="str">
        <f>IF(F782="Tripulacion", COUNTIF(F$5:F782, "Tripulacion"), "")</f>
        <v/>
      </c>
      <c r="T782" t="str">
        <f>IF(F782="ENAP carga", COUNTIF(F$5:F782, "ENAP carga"), "")</f>
        <v/>
      </c>
    </row>
    <row r="783" spans="12:20" x14ac:dyDescent="0.2">
      <c r="L783" s="23" t="str">
        <f t="shared" si="14"/>
        <v/>
      </c>
      <c r="Q783" t="str">
        <f>IF(F783="CJ", COUNTIF(F$5:F783, "CJ"), "")</f>
        <v/>
      </c>
      <c r="R783" t="str">
        <f>IF(F783="Ignacio", COUNTIF(F$5:F783, "Ignacio"), "")</f>
        <v/>
      </c>
      <c r="S783" t="str">
        <f>IF(F783="Tripulacion", COUNTIF(F$5:F783, "Tripulacion"), "")</f>
        <v/>
      </c>
      <c r="T783" t="str">
        <f>IF(F783="ENAP carga", COUNTIF(F$5:F783, "ENAP carga"), "")</f>
        <v/>
      </c>
    </row>
    <row r="784" spans="12:20" x14ac:dyDescent="0.2">
      <c r="L784" s="23" t="str">
        <f t="shared" si="14"/>
        <v/>
      </c>
      <c r="Q784" t="str">
        <f>IF(F784="CJ", COUNTIF(F$5:F784, "CJ"), "")</f>
        <v/>
      </c>
      <c r="R784" t="str">
        <f>IF(F784="Ignacio", COUNTIF(F$5:F784, "Ignacio"), "")</f>
        <v/>
      </c>
      <c r="S784" t="str">
        <f>IF(F784="Tripulacion", COUNTIF(F$5:F784, "Tripulacion"), "")</f>
        <v/>
      </c>
      <c r="T784" t="str">
        <f>IF(F784="ENAP carga", COUNTIF(F$5:F784, "ENAP carga"), "")</f>
        <v/>
      </c>
    </row>
    <row r="785" spans="12:20" x14ac:dyDescent="0.2">
      <c r="L785" s="23" t="str">
        <f t="shared" si="14"/>
        <v/>
      </c>
      <c r="Q785" t="str">
        <f>IF(F785="CJ", COUNTIF(F$5:F785, "CJ"), "")</f>
        <v/>
      </c>
      <c r="R785" t="str">
        <f>IF(F785="Ignacio", COUNTIF(F$5:F785, "Ignacio"), "")</f>
        <v/>
      </c>
      <c r="S785" t="str">
        <f>IF(F785="Tripulacion", COUNTIF(F$5:F785, "Tripulacion"), "")</f>
        <v/>
      </c>
      <c r="T785" t="str">
        <f>IF(F785="ENAP carga", COUNTIF(F$5:F785, "ENAP carga"), "")</f>
        <v/>
      </c>
    </row>
    <row r="786" spans="12:20" x14ac:dyDescent="0.2">
      <c r="L786" s="23" t="str">
        <f t="shared" si="14"/>
        <v/>
      </c>
      <c r="Q786" t="str">
        <f>IF(F786="CJ", COUNTIF(F$5:F786, "CJ"), "")</f>
        <v/>
      </c>
      <c r="R786" t="str">
        <f>IF(F786="Ignacio", COUNTIF(F$5:F786, "Ignacio"), "")</f>
        <v/>
      </c>
      <c r="S786" t="str">
        <f>IF(F786="Tripulacion", COUNTIF(F$5:F786, "Tripulacion"), "")</f>
        <v/>
      </c>
      <c r="T786" t="str">
        <f>IF(F786="ENAP carga", COUNTIF(F$5:F786, "ENAP carga"), "")</f>
        <v/>
      </c>
    </row>
    <row r="787" spans="12:20" x14ac:dyDescent="0.2">
      <c r="L787" s="23" t="str">
        <f t="shared" si="14"/>
        <v/>
      </c>
      <c r="Q787" t="str">
        <f>IF(F787="CJ", COUNTIF(F$5:F787, "CJ"), "")</f>
        <v/>
      </c>
      <c r="R787" t="str">
        <f>IF(F787="Ignacio", COUNTIF(F$5:F787, "Ignacio"), "")</f>
        <v/>
      </c>
      <c r="S787" t="str">
        <f>IF(F787="Tripulacion", COUNTIF(F$5:F787, "Tripulacion"), "")</f>
        <v/>
      </c>
      <c r="T787" t="str">
        <f>IF(F787="ENAP carga", COUNTIF(F$5:F787, "ENAP carga"), "")</f>
        <v/>
      </c>
    </row>
    <row r="788" spans="12:20" x14ac:dyDescent="0.2">
      <c r="L788" s="23" t="str">
        <f t="shared" si="14"/>
        <v/>
      </c>
      <c r="Q788" t="str">
        <f>IF(F788="CJ", COUNTIF(F$5:F788, "CJ"), "")</f>
        <v/>
      </c>
      <c r="R788" t="str">
        <f>IF(F788="Ignacio", COUNTIF(F$5:F788, "Ignacio"), "")</f>
        <v/>
      </c>
      <c r="S788" t="str">
        <f>IF(F788="Tripulacion", COUNTIF(F$5:F788, "Tripulacion"), "")</f>
        <v/>
      </c>
      <c r="T788" t="str">
        <f>IF(F788="ENAP carga", COUNTIF(F$5:F788, "ENAP carga"), "")</f>
        <v/>
      </c>
    </row>
    <row r="789" spans="12:20" x14ac:dyDescent="0.2">
      <c r="L789" s="23" t="str">
        <f t="shared" si="14"/>
        <v/>
      </c>
      <c r="Q789" t="str">
        <f>IF(F789="CJ", COUNTIF(F$5:F789, "CJ"), "")</f>
        <v/>
      </c>
      <c r="R789" t="str">
        <f>IF(F789="Ignacio", COUNTIF(F$5:F789, "Ignacio"), "")</f>
        <v/>
      </c>
      <c r="S789" t="str">
        <f>IF(F789="Tripulacion", COUNTIF(F$5:F789, "Tripulacion"), "")</f>
        <v/>
      </c>
      <c r="T789" t="str">
        <f>IF(F789="ENAP carga", COUNTIF(F$5:F789, "ENAP carga"), "")</f>
        <v/>
      </c>
    </row>
    <row r="790" spans="12:20" x14ac:dyDescent="0.2">
      <c r="L790" s="23" t="str">
        <f t="shared" si="14"/>
        <v/>
      </c>
      <c r="Q790" t="str">
        <f>IF(F790="CJ", COUNTIF(F$5:F790, "CJ"), "")</f>
        <v/>
      </c>
      <c r="R790" t="str">
        <f>IF(F790="Ignacio", COUNTIF(F$5:F790, "Ignacio"), "")</f>
        <v/>
      </c>
      <c r="S790" t="str">
        <f>IF(F790="Tripulacion", COUNTIF(F$5:F790, "Tripulacion"), "")</f>
        <v/>
      </c>
      <c r="T790" t="str">
        <f>IF(F790="ENAP carga", COUNTIF(F$5:F790, "ENAP carga"), "")</f>
        <v/>
      </c>
    </row>
    <row r="791" spans="12:20" x14ac:dyDescent="0.2">
      <c r="L791" s="23" t="str">
        <f t="shared" si="14"/>
        <v/>
      </c>
      <c r="Q791" t="str">
        <f>IF(F791="CJ", COUNTIF(F$5:F791, "CJ"), "")</f>
        <v/>
      </c>
      <c r="R791" t="str">
        <f>IF(F791="Ignacio", COUNTIF(F$5:F791, "Ignacio"), "")</f>
        <v/>
      </c>
      <c r="S791" t="str">
        <f>IF(F791="Tripulacion", COUNTIF(F$5:F791, "Tripulacion"), "")</f>
        <v/>
      </c>
      <c r="T791" t="str">
        <f>IF(F791="ENAP carga", COUNTIF(F$5:F791, "ENAP carga"), "")</f>
        <v/>
      </c>
    </row>
    <row r="792" spans="12:20" x14ac:dyDescent="0.2">
      <c r="L792" s="23" t="str">
        <f t="shared" si="14"/>
        <v/>
      </c>
      <c r="Q792" t="str">
        <f>IF(F792="CJ", COUNTIF(F$5:F792, "CJ"), "")</f>
        <v/>
      </c>
      <c r="R792" t="str">
        <f>IF(F792="Ignacio", COUNTIF(F$5:F792, "Ignacio"), "")</f>
        <v/>
      </c>
      <c r="S792" t="str">
        <f>IF(F792="Tripulacion", COUNTIF(F$5:F792, "Tripulacion"), "")</f>
        <v/>
      </c>
      <c r="T792" t="str">
        <f>IF(F792="ENAP carga", COUNTIF(F$5:F792, "ENAP carga"), "")</f>
        <v/>
      </c>
    </row>
    <row r="793" spans="12:20" x14ac:dyDescent="0.2">
      <c r="L793" s="23" t="str">
        <f t="shared" si="14"/>
        <v/>
      </c>
      <c r="Q793" t="str">
        <f>IF(F793="CJ", COUNTIF(F$5:F793, "CJ"), "")</f>
        <v/>
      </c>
      <c r="R793" t="str">
        <f>IF(F793="Ignacio", COUNTIF(F$5:F793, "Ignacio"), "")</f>
        <v/>
      </c>
      <c r="S793" t="str">
        <f>IF(F793="Tripulacion", COUNTIF(F$5:F793, "Tripulacion"), "")</f>
        <v/>
      </c>
      <c r="T793" t="str">
        <f>IF(F793="ENAP carga", COUNTIF(F$5:F793, "ENAP carga"), "")</f>
        <v/>
      </c>
    </row>
    <row r="794" spans="12:20" x14ac:dyDescent="0.2">
      <c r="L794" s="23" t="str">
        <f t="shared" si="14"/>
        <v/>
      </c>
      <c r="Q794" t="str">
        <f>IF(F794="CJ", COUNTIF(F$5:F794, "CJ"), "")</f>
        <v/>
      </c>
      <c r="R794" t="str">
        <f>IF(F794="Ignacio", COUNTIF(F$5:F794, "Ignacio"), "")</f>
        <v/>
      </c>
      <c r="S794" t="str">
        <f>IF(F794="Tripulacion", COUNTIF(F$5:F794, "Tripulacion"), "")</f>
        <v/>
      </c>
      <c r="T794" t="str">
        <f>IF(F794="ENAP carga", COUNTIF(F$5:F794, "ENAP carga"), "")</f>
        <v/>
      </c>
    </row>
    <row r="795" spans="12:20" x14ac:dyDescent="0.2">
      <c r="L795" s="23" t="str">
        <f t="shared" si="14"/>
        <v/>
      </c>
      <c r="Q795" t="str">
        <f>IF(F795="CJ", COUNTIF(F$5:F795, "CJ"), "")</f>
        <v/>
      </c>
      <c r="R795" t="str">
        <f>IF(F795="Ignacio", COUNTIF(F$5:F795, "Ignacio"), "")</f>
        <v/>
      </c>
      <c r="S795" t="str">
        <f>IF(F795="Tripulacion", COUNTIF(F$5:F795, "Tripulacion"), "")</f>
        <v/>
      </c>
      <c r="T795" t="str">
        <f>IF(F795="ENAP carga", COUNTIF(F$5:F795, "ENAP carga"), "")</f>
        <v/>
      </c>
    </row>
    <row r="796" spans="12:20" x14ac:dyDescent="0.2">
      <c r="L796" s="23" t="str">
        <f t="shared" si="14"/>
        <v/>
      </c>
      <c r="Q796" t="str">
        <f>IF(F796="CJ", COUNTIF(F$5:F796, "CJ"), "")</f>
        <v/>
      </c>
      <c r="R796" t="str">
        <f>IF(F796="Ignacio", COUNTIF(F$5:F796, "Ignacio"), "")</f>
        <v/>
      </c>
      <c r="S796" t="str">
        <f>IF(F796="Tripulacion", COUNTIF(F$5:F796, "Tripulacion"), "")</f>
        <v/>
      </c>
      <c r="T796" t="str">
        <f>IF(F796="ENAP carga", COUNTIF(F$5:F796, "ENAP carga"), "")</f>
        <v/>
      </c>
    </row>
    <row r="797" spans="12:20" x14ac:dyDescent="0.2">
      <c r="L797" s="23" t="str">
        <f t="shared" si="14"/>
        <v/>
      </c>
      <c r="Q797" t="str">
        <f>IF(F797="CJ", COUNTIF(F$5:F797, "CJ"), "")</f>
        <v/>
      </c>
      <c r="R797" t="str">
        <f>IF(F797="Ignacio", COUNTIF(F$5:F797, "Ignacio"), "")</f>
        <v/>
      </c>
      <c r="S797" t="str">
        <f>IF(F797="Tripulacion", COUNTIF(F$5:F797, "Tripulacion"), "")</f>
        <v/>
      </c>
      <c r="T797" t="str">
        <f>IF(F797="ENAP carga", COUNTIF(F$5:F797, "ENAP carga"), "")</f>
        <v/>
      </c>
    </row>
    <row r="798" spans="12:20" x14ac:dyDescent="0.2">
      <c r="L798" s="23" t="str">
        <f t="shared" si="14"/>
        <v/>
      </c>
      <c r="Q798" t="str">
        <f>IF(F798="CJ", COUNTIF(F$5:F798, "CJ"), "")</f>
        <v/>
      </c>
      <c r="R798" t="str">
        <f>IF(F798="Ignacio", COUNTIF(F$5:F798, "Ignacio"), "")</f>
        <v/>
      </c>
      <c r="S798" t="str">
        <f>IF(F798="Tripulacion", COUNTIF(F$5:F798, "Tripulacion"), "")</f>
        <v/>
      </c>
      <c r="T798" t="str">
        <f>IF(F798="ENAP carga", COUNTIF(F$5:F798, "ENAP carga"), "")</f>
        <v/>
      </c>
    </row>
    <row r="799" spans="12:20" x14ac:dyDescent="0.2">
      <c r="L799" s="23" t="str">
        <f t="shared" si="14"/>
        <v/>
      </c>
      <c r="Q799" t="str">
        <f>IF(F799="CJ", COUNTIF(F$5:F799, "CJ"), "")</f>
        <v/>
      </c>
      <c r="R799" t="str">
        <f>IF(F799="Ignacio", COUNTIF(F$5:F799, "Ignacio"), "")</f>
        <v/>
      </c>
      <c r="S799" t="str">
        <f>IF(F799="Tripulacion", COUNTIF(F$5:F799, "Tripulacion"), "")</f>
        <v/>
      </c>
      <c r="T799" t="str">
        <f>IF(F799="ENAP carga", COUNTIF(F$5:F799, "ENAP carga"), "")</f>
        <v/>
      </c>
    </row>
    <row r="800" spans="12:20" x14ac:dyDescent="0.2">
      <c r="L800" s="23" t="str">
        <f t="shared" si="14"/>
        <v/>
      </c>
      <c r="Q800" t="str">
        <f>IF(F800="CJ", COUNTIF(F$5:F800, "CJ"), "")</f>
        <v/>
      </c>
      <c r="R800" t="str">
        <f>IF(F800="Ignacio", COUNTIF(F$5:F800, "Ignacio"), "")</f>
        <v/>
      </c>
      <c r="S800" t="str">
        <f>IF(F800="Tripulacion", COUNTIF(F$5:F800, "Tripulacion"), "")</f>
        <v/>
      </c>
      <c r="T800" t="str">
        <f>IF(F800="ENAP carga", COUNTIF(F$5:F800, "ENAP carga"), "")</f>
        <v/>
      </c>
    </row>
    <row r="801" spans="12:20" x14ac:dyDescent="0.2">
      <c r="L801" s="23" t="str">
        <f t="shared" si="14"/>
        <v/>
      </c>
      <c r="Q801" t="str">
        <f>IF(F801="CJ", COUNTIF(F$5:F801, "CJ"), "")</f>
        <v/>
      </c>
      <c r="R801" t="str">
        <f>IF(F801="Ignacio", COUNTIF(F$5:F801, "Ignacio"), "")</f>
        <v/>
      </c>
      <c r="S801" t="str">
        <f>IF(F801="Tripulacion", COUNTIF(F$5:F801, "Tripulacion"), "")</f>
        <v/>
      </c>
      <c r="T801" t="str">
        <f>IF(F801="ENAP carga", COUNTIF(F$5:F801, "ENAP carga"), "")</f>
        <v/>
      </c>
    </row>
    <row r="802" spans="12:20" x14ac:dyDescent="0.2">
      <c r="L802" s="23" t="str">
        <f t="shared" si="14"/>
        <v/>
      </c>
      <c r="Q802" t="str">
        <f>IF(F802="CJ", COUNTIF(F$5:F802, "CJ"), "")</f>
        <v/>
      </c>
      <c r="R802" t="str">
        <f>IF(F802="Ignacio", COUNTIF(F$5:F802, "Ignacio"), "")</f>
        <v/>
      </c>
      <c r="S802" t="str">
        <f>IF(F802="Tripulacion", COUNTIF(F$5:F802, "Tripulacion"), "")</f>
        <v/>
      </c>
      <c r="T802" t="str">
        <f>IF(F802="ENAP carga", COUNTIF(F$5:F802, "ENAP carga"), "")</f>
        <v/>
      </c>
    </row>
    <row r="803" spans="12:20" x14ac:dyDescent="0.2">
      <c r="L803" s="23" t="str">
        <f t="shared" si="14"/>
        <v/>
      </c>
      <c r="Q803" t="str">
        <f>IF(F803="CJ", COUNTIF(F$5:F803, "CJ"), "")</f>
        <v/>
      </c>
      <c r="R803" t="str">
        <f>IF(F803="Ignacio", COUNTIF(F$5:F803, "Ignacio"), "")</f>
        <v/>
      </c>
      <c r="S803" t="str">
        <f>IF(F803="Tripulacion", COUNTIF(F$5:F803, "Tripulacion"), "")</f>
        <v/>
      </c>
      <c r="T803" t="str">
        <f>IF(F803="ENAP carga", COUNTIF(F$5:F803, "ENAP carga"), "")</f>
        <v/>
      </c>
    </row>
    <row r="804" spans="12:20" x14ac:dyDescent="0.2">
      <c r="L804" s="23" t="str">
        <f t="shared" si="14"/>
        <v/>
      </c>
      <c r="Q804" t="str">
        <f>IF(F804="CJ", COUNTIF(F$5:F804, "CJ"), "")</f>
        <v/>
      </c>
      <c r="R804" t="str">
        <f>IF(F804="Ignacio", COUNTIF(F$5:F804, "Ignacio"), "")</f>
        <v/>
      </c>
      <c r="S804" t="str">
        <f>IF(F804="Tripulacion", COUNTIF(F$5:F804, "Tripulacion"), "")</f>
        <v/>
      </c>
      <c r="T804" t="str">
        <f>IF(F804="ENAP carga", COUNTIF(F$5:F804, "ENAP carga"), "")</f>
        <v/>
      </c>
    </row>
    <row r="805" spans="12:20" x14ac:dyDescent="0.2">
      <c r="L805" s="23" t="str">
        <f t="shared" si="14"/>
        <v/>
      </c>
      <c r="Q805" t="str">
        <f>IF(F805="CJ", COUNTIF(F$5:F805, "CJ"), "")</f>
        <v/>
      </c>
      <c r="R805" t="str">
        <f>IF(F805="Ignacio", COUNTIF(F$5:F805, "Ignacio"), "")</f>
        <v/>
      </c>
      <c r="S805" t="str">
        <f>IF(F805="Tripulacion", COUNTIF(F$5:F805, "Tripulacion"), "")</f>
        <v/>
      </c>
      <c r="T805" t="str">
        <f>IF(F805="ENAP carga", COUNTIF(F$5:F805, "ENAP carga"), "")</f>
        <v/>
      </c>
    </row>
    <row r="806" spans="12:20" x14ac:dyDescent="0.2">
      <c r="L806" s="23" t="str">
        <f t="shared" si="14"/>
        <v/>
      </c>
      <c r="Q806" t="str">
        <f>IF(F806="CJ", COUNTIF(F$5:F806, "CJ"), "")</f>
        <v/>
      </c>
      <c r="R806" t="str">
        <f>IF(F806="Ignacio", COUNTIF(F$5:F806, "Ignacio"), "")</f>
        <v/>
      </c>
      <c r="S806" t="str">
        <f>IF(F806="Tripulacion", COUNTIF(F$5:F806, "Tripulacion"), "")</f>
        <v/>
      </c>
      <c r="T806" t="str">
        <f>IF(F806="ENAP carga", COUNTIF(F$5:F806, "ENAP carga"), "")</f>
        <v/>
      </c>
    </row>
    <row r="807" spans="12:20" x14ac:dyDescent="0.2">
      <c r="L807" s="23" t="str">
        <f t="shared" si="14"/>
        <v/>
      </c>
      <c r="Q807" t="str">
        <f>IF(F807="CJ", COUNTIF(F$5:F807, "CJ"), "")</f>
        <v/>
      </c>
      <c r="R807" t="str">
        <f>IF(F807="Ignacio", COUNTIF(F$5:F807, "Ignacio"), "")</f>
        <v/>
      </c>
      <c r="S807" t="str">
        <f>IF(F807="Tripulacion", COUNTIF(F$5:F807, "Tripulacion"), "")</f>
        <v/>
      </c>
      <c r="T807" t="str">
        <f>IF(F807="ENAP carga", COUNTIF(F$5:F807, "ENAP carga"), "")</f>
        <v/>
      </c>
    </row>
    <row r="808" spans="12:20" x14ac:dyDescent="0.2">
      <c r="L808" s="23" t="str">
        <f t="shared" si="14"/>
        <v/>
      </c>
      <c r="Q808" t="str">
        <f>IF(F808="CJ", COUNTIF(F$5:F808, "CJ"), "")</f>
        <v/>
      </c>
      <c r="R808" t="str">
        <f>IF(F808="Ignacio", COUNTIF(F$5:F808, "Ignacio"), "")</f>
        <v/>
      </c>
      <c r="S808" t="str">
        <f>IF(F808="Tripulacion", COUNTIF(F$5:F808, "Tripulacion"), "")</f>
        <v/>
      </c>
      <c r="T808" t="str">
        <f>IF(F808="ENAP carga", COUNTIF(F$5:F808, "ENAP carga"), "")</f>
        <v/>
      </c>
    </row>
    <row r="809" spans="12:20" x14ac:dyDescent="0.2">
      <c r="L809" s="23" t="str">
        <f t="shared" si="14"/>
        <v/>
      </c>
      <c r="Q809" t="str">
        <f>IF(F809="CJ", COUNTIF(F$5:F809, "CJ"), "")</f>
        <v/>
      </c>
      <c r="R809" t="str">
        <f>IF(F809="Ignacio", COUNTIF(F$5:F809, "Ignacio"), "")</f>
        <v/>
      </c>
      <c r="S809" t="str">
        <f>IF(F809="Tripulacion", COUNTIF(F$5:F809, "Tripulacion"), "")</f>
        <v/>
      </c>
      <c r="T809" t="str">
        <f>IF(F809="ENAP carga", COUNTIF(F$5:F809, "ENAP carga"), "")</f>
        <v/>
      </c>
    </row>
    <row r="810" spans="12:20" x14ac:dyDescent="0.2">
      <c r="L810" s="23" t="str">
        <f t="shared" si="14"/>
        <v/>
      </c>
      <c r="Q810" t="str">
        <f>IF(F810="CJ", COUNTIF(F$5:F810, "CJ"), "")</f>
        <v/>
      </c>
      <c r="R810" t="str">
        <f>IF(F810="Ignacio", COUNTIF(F$5:F810, "Ignacio"), "")</f>
        <v/>
      </c>
      <c r="S810" t="str">
        <f>IF(F810="Tripulacion", COUNTIF(F$5:F810, "Tripulacion"), "")</f>
        <v/>
      </c>
      <c r="T810" t="str">
        <f>IF(F810="ENAP carga", COUNTIF(F$5:F810, "ENAP carga"), "")</f>
        <v/>
      </c>
    </row>
    <row r="811" spans="12:20" x14ac:dyDescent="0.2">
      <c r="L811" s="23" t="str">
        <f t="shared" si="14"/>
        <v/>
      </c>
      <c r="Q811" t="str">
        <f>IF(F811="CJ", COUNTIF(F$5:F811, "CJ"), "")</f>
        <v/>
      </c>
      <c r="R811" t="str">
        <f>IF(F811="Ignacio", COUNTIF(F$5:F811, "Ignacio"), "")</f>
        <v/>
      </c>
      <c r="S811" t="str">
        <f>IF(F811="Tripulacion", COUNTIF(F$5:F811, "Tripulacion"), "")</f>
        <v/>
      </c>
      <c r="T811" t="str">
        <f>IF(F811="ENAP carga", COUNTIF(F$5:F811, "ENAP carga"), "")</f>
        <v/>
      </c>
    </row>
    <row r="812" spans="12:20" x14ac:dyDescent="0.2">
      <c r="L812" s="23" t="str">
        <f t="shared" si="14"/>
        <v/>
      </c>
      <c r="Q812" t="str">
        <f>IF(F812="CJ", COUNTIF(F$5:F812, "CJ"), "")</f>
        <v/>
      </c>
      <c r="R812" t="str">
        <f>IF(F812="Ignacio", COUNTIF(F$5:F812, "Ignacio"), "")</f>
        <v/>
      </c>
      <c r="S812" t="str">
        <f>IF(F812="Tripulacion", COUNTIF(F$5:F812, "Tripulacion"), "")</f>
        <v/>
      </c>
      <c r="T812" t="str">
        <f>IF(F812="ENAP carga", COUNTIF(F$5:F812, "ENAP carga"), "")</f>
        <v/>
      </c>
    </row>
    <row r="813" spans="12:20" x14ac:dyDescent="0.2">
      <c r="L813" s="23" t="str">
        <f t="shared" si="14"/>
        <v/>
      </c>
      <c r="Q813" t="str">
        <f>IF(F813="CJ", COUNTIF(F$5:F813, "CJ"), "")</f>
        <v/>
      </c>
      <c r="R813" t="str">
        <f>IF(F813="Ignacio", COUNTIF(F$5:F813, "Ignacio"), "")</f>
        <v/>
      </c>
      <c r="S813" t="str">
        <f>IF(F813="Tripulacion", COUNTIF(F$5:F813, "Tripulacion"), "")</f>
        <v/>
      </c>
      <c r="T813" t="str">
        <f>IF(F813="ENAP carga", COUNTIF(F$5:F813, "ENAP carga"), "")</f>
        <v/>
      </c>
    </row>
    <row r="814" spans="12:20" x14ac:dyDescent="0.2">
      <c r="L814" s="23" t="str">
        <f t="shared" si="14"/>
        <v/>
      </c>
      <c r="Q814" t="str">
        <f>IF(F814="CJ", COUNTIF(F$5:F814, "CJ"), "")</f>
        <v/>
      </c>
      <c r="R814" t="str">
        <f>IF(F814="Ignacio", COUNTIF(F$5:F814, "Ignacio"), "")</f>
        <v/>
      </c>
      <c r="S814" t="str">
        <f>IF(F814="Tripulacion", COUNTIF(F$5:F814, "Tripulacion"), "")</f>
        <v/>
      </c>
      <c r="T814" t="str">
        <f>IF(F814="ENAP carga", COUNTIF(F$5:F814, "ENAP carga"), "")</f>
        <v/>
      </c>
    </row>
    <row r="815" spans="12:20" x14ac:dyDescent="0.2">
      <c r="L815" s="23" t="str">
        <f t="shared" si="14"/>
        <v/>
      </c>
      <c r="Q815" t="str">
        <f>IF(F815="CJ", COUNTIF(F$5:F815, "CJ"), "")</f>
        <v/>
      </c>
      <c r="R815" t="str">
        <f>IF(F815="Ignacio", COUNTIF(F$5:F815, "Ignacio"), "")</f>
        <v/>
      </c>
      <c r="S815" t="str">
        <f>IF(F815="Tripulacion", COUNTIF(F$5:F815, "Tripulacion"), "")</f>
        <v/>
      </c>
      <c r="T815" t="str">
        <f>IF(F815="ENAP carga", COUNTIF(F$5:F815, "ENAP carga"), "")</f>
        <v/>
      </c>
    </row>
    <row r="816" spans="12:20" x14ac:dyDescent="0.2">
      <c r="L816" s="23" t="str">
        <f t="shared" si="14"/>
        <v/>
      </c>
      <c r="Q816" t="str">
        <f>IF(F816="CJ", COUNTIF(F$5:F816, "CJ"), "")</f>
        <v/>
      </c>
      <c r="R816" t="str">
        <f>IF(F816="Ignacio", COUNTIF(F$5:F816, "Ignacio"), "")</f>
        <v/>
      </c>
      <c r="S816" t="str">
        <f>IF(F816="Tripulacion", COUNTIF(F$5:F816, "Tripulacion"), "")</f>
        <v/>
      </c>
      <c r="T816" t="str">
        <f>IF(F816="ENAP carga", COUNTIF(F$5:F816, "ENAP carga"), "")</f>
        <v/>
      </c>
    </row>
    <row r="817" spans="12:20" x14ac:dyDescent="0.2">
      <c r="L817" s="23" t="str">
        <f t="shared" si="14"/>
        <v/>
      </c>
      <c r="Q817" t="str">
        <f>IF(F817="CJ", COUNTIF(F$5:F817, "CJ"), "")</f>
        <v/>
      </c>
      <c r="R817" t="str">
        <f>IF(F817="Ignacio", COUNTIF(F$5:F817, "Ignacio"), "")</f>
        <v/>
      </c>
      <c r="S817" t="str">
        <f>IF(F817="Tripulacion", COUNTIF(F$5:F817, "Tripulacion"), "")</f>
        <v/>
      </c>
      <c r="T817" t="str">
        <f>IF(F817="ENAP carga", COUNTIF(F$5:F817, "ENAP carga"), "")</f>
        <v/>
      </c>
    </row>
    <row r="818" spans="12:20" x14ac:dyDescent="0.2">
      <c r="L818" s="23" t="str">
        <f t="shared" si="14"/>
        <v/>
      </c>
      <c r="Q818" t="str">
        <f>IF(F818="CJ", COUNTIF(F$5:F818, "CJ"), "")</f>
        <v/>
      </c>
      <c r="R818" t="str">
        <f>IF(F818="Ignacio", COUNTIF(F$5:F818, "Ignacio"), "")</f>
        <v/>
      </c>
      <c r="S818" t="str">
        <f>IF(F818="Tripulacion", COUNTIF(F$5:F818, "Tripulacion"), "")</f>
        <v/>
      </c>
      <c r="T818" t="str">
        <f>IF(F818="ENAP carga", COUNTIF(F$5:F818, "ENAP carga"), "")</f>
        <v/>
      </c>
    </row>
    <row r="819" spans="12:20" x14ac:dyDescent="0.2">
      <c r="L819" s="23" t="str">
        <f t="shared" si="14"/>
        <v/>
      </c>
      <c r="Q819" t="str">
        <f>IF(F819="CJ", COUNTIF(F$5:F819, "CJ"), "")</f>
        <v/>
      </c>
      <c r="R819" t="str">
        <f>IF(F819="Ignacio", COUNTIF(F$5:F819, "Ignacio"), "")</f>
        <v/>
      </c>
      <c r="S819" t="str">
        <f>IF(F819="Tripulacion", COUNTIF(F$5:F819, "Tripulacion"), "")</f>
        <v/>
      </c>
      <c r="T819" t="str">
        <f>IF(F819="ENAP carga", COUNTIF(F$5:F819, "ENAP carga"), "")</f>
        <v/>
      </c>
    </row>
    <row r="820" spans="12:20" x14ac:dyDescent="0.2">
      <c r="L820" s="23" t="str">
        <f t="shared" si="14"/>
        <v/>
      </c>
      <c r="Q820" t="str">
        <f>IF(F820="CJ", COUNTIF(F$5:F820, "CJ"), "")</f>
        <v/>
      </c>
      <c r="R820" t="str">
        <f>IF(F820="Ignacio", COUNTIF(F$5:F820, "Ignacio"), "")</f>
        <v/>
      </c>
      <c r="S820" t="str">
        <f>IF(F820="Tripulacion", COUNTIF(F$5:F820, "Tripulacion"), "")</f>
        <v/>
      </c>
      <c r="T820" t="str">
        <f>IF(F820="ENAP carga", COUNTIF(F$5:F820, "ENAP carga"), "")</f>
        <v/>
      </c>
    </row>
    <row r="821" spans="12:20" x14ac:dyDescent="0.2">
      <c r="L821" s="23" t="str">
        <f t="shared" si="14"/>
        <v/>
      </c>
      <c r="Q821" t="str">
        <f>IF(F821="CJ", COUNTIF(F$5:F821, "CJ"), "")</f>
        <v/>
      </c>
      <c r="R821" t="str">
        <f>IF(F821="Ignacio", COUNTIF(F$5:F821, "Ignacio"), "")</f>
        <v/>
      </c>
      <c r="S821" t="str">
        <f>IF(F821="Tripulacion", COUNTIF(F$5:F821, "Tripulacion"), "")</f>
        <v/>
      </c>
      <c r="T821" t="str">
        <f>IF(F821="ENAP carga", COUNTIF(F$5:F821, "ENAP carga"), "")</f>
        <v/>
      </c>
    </row>
    <row r="822" spans="12:20" x14ac:dyDescent="0.2">
      <c r="L822" s="23" t="str">
        <f t="shared" si="14"/>
        <v/>
      </c>
      <c r="Q822" t="str">
        <f>IF(F822="CJ", COUNTIF(F$5:F822, "CJ"), "")</f>
        <v/>
      </c>
      <c r="R822" t="str">
        <f>IF(F822="Ignacio", COUNTIF(F$5:F822, "Ignacio"), "")</f>
        <v/>
      </c>
      <c r="S822" t="str">
        <f>IF(F822="Tripulacion", COUNTIF(F$5:F822, "Tripulacion"), "")</f>
        <v/>
      </c>
      <c r="T822" t="str">
        <f>IF(F822="ENAP carga", COUNTIF(F$5:F822, "ENAP carga"), "")</f>
        <v/>
      </c>
    </row>
    <row r="823" spans="12:20" x14ac:dyDescent="0.2">
      <c r="L823" s="23" t="str">
        <f t="shared" si="14"/>
        <v/>
      </c>
      <c r="Q823" t="str">
        <f>IF(F823="CJ", COUNTIF(F$5:F823, "CJ"), "")</f>
        <v/>
      </c>
      <c r="R823" t="str">
        <f>IF(F823="Ignacio", COUNTIF(F$5:F823, "Ignacio"), "")</f>
        <v/>
      </c>
      <c r="S823" t="str">
        <f>IF(F823="Tripulacion", COUNTIF(F$5:F823, "Tripulacion"), "")</f>
        <v/>
      </c>
      <c r="T823" t="str">
        <f>IF(F823="ENAP carga", COUNTIF(F$5:F823, "ENAP carga"), "")</f>
        <v/>
      </c>
    </row>
    <row r="824" spans="12:20" x14ac:dyDescent="0.2">
      <c r="L824" s="23" t="str">
        <f t="shared" si="14"/>
        <v/>
      </c>
      <c r="Q824" t="str">
        <f>IF(F824="CJ", COUNTIF(F$5:F824, "CJ"), "")</f>
        <v/>
      </c>
      <c r="R824" t="str">
        <f>IF(F824="Ignacio", COUNTIF(F$5:F824, "Ignacio"), "")</f>
        <v/>
      </c>
      <c r="S824" t="str">
        <f>IF(F824="Tripulacion", COUNTIF(F$5:F824, "Tripulacion"), "")</f>
        <v/>
      </c>
      <c r="T824" t="str">
        <f>IF(F824="ENAP carga", COUNTIF(F$5:F824, "ENAP carga"), "")</f>
        <v/>
      </c>
    </row>
    <row r="825" spans="12:20" x14ac:dyDescent="0.2">
      <c r="L825" s="23" t="str">
        <f t="shared" si="14"/>
        <v/>
      </c>
      <c r="Q825" t="str">
        <f>IF(F825="CJ", COUNTIF(F$5:F825, "CJ"), "")</f>
        <v/>
      </c>
      <c r="R825" t="str">
        <f>IF(F825="Ignacio", COUNTIF(F$5:F825, "Ignacio"), "")</f>
        <v/>
      </c>
      <c r="S825" t="str">
        <f>IF(F825="Tripulacion", COUNTIF(F$5:F825, "Tripulacion"), "")</f>
        <v/>
      </c>
      <c r="T825" t="str">
        <f>IF(F825="ENAP carga", COUNTIF(F$5:F825, "ENAP carga"), "")</f>
        <v/>
      </c>
    </row>
    <row r="826" spans="12:20" x14ac:dyDescent="0.2">
      <c r="L826" s="23" t="str">
        <f t="shared" si="14"/>
        <v/>
      </c>
      <c r="Q826" t="str">
        <f>IF(F826="CJ", COUNTIF(F$5:F826, "CJ"), "")</f>
        <v/>
      </c>
      <c r="R826" t="str">
        <f>IF(F826="Ignacio", COUNTIF(F$5:F826, "Ignacio"), "")</f>
        <v/>
      </c>
      <c r="S826" t="str">
        <f>IF(F826="Tripulacion", COUNTIF(F$5:F826, "Tripulacion"), "")</f>
        <v/>
      </c>
      <c r="T826" t="str">
        <f>IF(F826="ENAP carga", COUNTIF(F$5:F826, "ENAP carga"), "")</f>
        <v/>
      </c>
    </row>
    <row r="827" spans="12:20" x14ac:dyDescent="0.2">
      <c r="L827" s="23" t="str">
        <f t="shared" si="14"/>
        <v/>
      </c>
      <c r="Q827" t="str">
        <f>IF(F827="CJ", COUNTIF(F$5:F827, "CJ"), "")</f>
        <v/>
      </c>
      <c r="R827" t="str">
        <f>IF(F827="Ignacio", COUNTIF(F$5:F827, "Ignacio"), "")</f>
        <v/>
      </c>
      <c r="S827" t="str">
        <f>IF(F827="Tripulacion", COUNTIF(F$5:F827, "Tripulacion"), "")</f>
        <v/>
      </c>
      <c r="T827" t="str">
        <f>IF(F827="ENAP carga", COUNTIF(F$5:F827, "ENAP carga"), "")</f>
        <v/>
      </c>
    </row>
    <row r="828" spans="12:20" x14ac:dyDescent="0.2">
      <c r="L828" s="23" t="str">
        <f t="shared" si="14"/>
        <v/>
      </c>
      <c r="Q828" t="str">
        <f>IF(F828="CJ", COUNTIF(F$5:F828, "CJ"), "")</f>
        <v/>
      </c>
      <c r="R828" t="str">
        <f>IF(F828="Ignacio", COUNTIF(F$5:F828, "Ignacio"), "")</f>
        <v/>
      </c>
      <c r="S828" t="str">
        <f>IF(F828="Tripulacion", COUNTIF(F$5:F828, "Tripulacion"), "")</f>
        <v/>
      </c>
      <c r="T828" t="str">
        <f>IF(F828="ENAP carga", COUNTIF(F$5:F828, "ENAP carga"), "")</f>
        <v/>
      </c>
    </row>
    <row r="829" spans="12:20" x14ac:dyDescent="0.2">
      <c r="L829" s="23" t="str">
        <f t="shared" si="14"/>
        <v/>
      </c>
      <c r="Q829" t="str">
        <f>IF(F829="CJ", COUNTIF(F$5:F829, "CJ"), "")</f>
        <v/>
      </c>
      <c r="R829" t="str">
        <f>IF(F829="Ignacio", COUNTIF(F$5:F829, "Ignacio"), "")</f>
        <v/>
      </c>
      <c r="S829" t="str">
        <f>IF(F829="Tripulacion", COUNTIF(F$5:F829, "Tripulacion"), "")</f>
        <v/>
      </c>
      <c r="T829" t="str">
        <f>IF(F829="ENAP carga", COUNTIF(F$5:F829, "ENAP carga"), "")</f>
        <v/>
      </c>
    </row>
    <row r="830" spans="12:20" x14ac:dyDescent="0.2">
      <c r="L830" s="23" t="str">
        <f t="shared" si="14"/>
        <v/>
      </c>
      <c r="Q830" t="str">
        <f>IF(F830="CJ", COUNTIF(F$5:F830, "CJ"), "")</f>
        <v/>
      </c>
      <c r="R830" t="str">
        <f>IF(F830="Ignacio", COUNTIF(F$5:F830, "Ignacio"), "")</f>
        <v/>
      </c>
      <c r="S830" t="str">
        <f>IF(F830="Tripulacion", COUNTIF(F$5:F830, "Tripulacion"), "")</f>
        <v/>
      </c>
      <c r="T830" t="str">
        <f>IF(F830="ENAP carga", COUNTIF(F$5:F830, "ENAP carga"), "")</f>
        <v/>
      </c>
    </row>
    <row r="831" spans="12:20" x14ac:dyDescent="0.2">
      <c r="L831" s="23" t="str">
        <f t="shared" si="14"/>
        <v/>
      </c>
      <c r="Q831" t="str">
        <f>IF(F831="CJ", COUNTIF(F$5:F831, "CJ"), "")</f>
        <v/>
      </c>
      <c r="R831" t="str">
        <f>IF(F831="Ignacio", COUNTIF(F$5:F831, "Ignacio"), "")</f>
        <v/>
      </c>
      <c r="S831" t="str">
        <f>IF(F831="Tripulacion", COUNTIF(F$5:F831, "Tripulacion"), "")</f>
        <v/>
      </c>
      <c r="T831" t="str">
        <f>IF(F831="ENAP carga", COUNTIF(F$5:F831, "ENAP carga"), "")</f>
        <v/>
      </c>
    </row>
    <row r="832" spans="12:20" x14ac:dyDescent="0.2">
      <c r="L832" s="23" t="str">
        <f t="shared" si="14"/>
        <v/>
      </c>
      <c r="Q832" t="str">
        <f>IF(F832="CJ", COUNTIF(F$5:F832, "CJ"), "")</f>
        <v/>
      </c>
      <c r="R832" t="str">
        <f>IF(F832="Ignacio", COUNTIF(F$5:F832, "Ignacio"), "")</f>
        <v/>
      </c>
      <c r="S832" t="str">
        <f>IF(F832="Tripulacion", COUNTIF(F$5:F832, "Tripulacion"), "")</f>
        <v/>
      </c>
      <c r="T832" t="str">
        <f>IF(F832="ENAP carga", COUNTIF(F$5:F832, "ENAP carga"), "")</f>
        <v/>
      </c>
    </row>
    <row r="833" spans="12:20" x14ac:dyDescent="0.2">
      <c r="L833" s="23" t="str">
        <f t="shared" si="14"/>
        <v/>
      </c>
      <c r="Q833" t="str">
        <f>IF(F833="CJ", COUNTIF(F$5:F833, "CJ"), "")</f>
        <v/>
      </c>
      <c r="R833" t="str">
        <f>IF(F833="Ignacio", COUNTIF(F$5:F833, "Ignacio"), "")</f>
        <v/>
      </c>
      <c r="S833" t="str">
        <f>IF(F833="Tripulacion", COUNTIF(F$5:F833, "Tripulacion"), "")</f>
        <v/>
      </c>
      <c r="T833" t="str">
        <f>IF(F833="ENAP carga", COUNTIF(F$5:F833, "ENAP carga"), "")</f>
        <v/>
      </c>
    </row>
    <row r="834" spans="12:20" x14ac:dyDescent="0.2">
      <c r="L834" s="23" t="str">
        <f t="shared" si="14"/>
        <v/>
      </c>
      <c r="Q834" t="str">
        <f>IF(F834="CJ", COUNTIF(F$5:F834, "CJ"), "")</f>
        <v/>
      </c>
      <c r="R834" t="str">
        <f>IF(F834="Ignacio", COUNTIF(F$5:F834, "Ignacio"), "")</f>
        <v/>
      </c>
      <c r="S834" t="str">
        <f>IF(F834="Tripulacion", COUNTIF(F$5:F834, "Tripulacion"), "")</f>
        <v/>
      </c>
      <c r="T834" t="str">
        <f>IF(F834="ENAP carga", COUNTIF(F$5:F834, "ENAP carga"), "")</f>
        <v/>
      </c>
    </row>
    <row r="835" spans="12:20" x14ac:dyDescent="0.2">
      <c r="L835" s="23" t="str">
        <f t="shared" si="14"/>
        <v/>
      </c>
      <c r="Q835" t="str">
        <f>IF(F835="CJ", COUNTIF(F$5:F835, "CJ"), "")</f>
        <v/>
      </c>
      <c r="R835" t="str">
        <f>IF(F835="Ignacio", COUNTIF(F$5:F835, "Ignacio"), "")</f>
        <v/>
      </c>
      <c r="S835" t="str">
        <f>IF(F835="Tripulacion", COUNTIF(F$5:F835, "Tripulacion"), "")</f>
        <v/>
      </c>
      <c r="T835" t="str">
        <f>IF(F835="ENAP carga", COUNTIF(F$5:F835, "ENAP carga"), "")</f>
        <v/>
      </c>
    </row>
    <row r="836" spans="12:20" x14ac:dyDescent="0.2">
      <c r="L836" s="23" t="str">
        <f t="shared" si="14"/>
        <v/>
      </c>
      <c r="Q836" t="str">
        <f>IF(F836="CJ", COUNTIF(F$5:F836, "CJ"), "")</f>
        <v/>
      </c>
      <c r="R836" t="str">
        <f>IF(F836="Ignacio", COUNTIF(F$5:F836, "Ignacio"), "")</f>
        <v/>
      </c>
      <c r="S836" t="str">
        <f>IF(F836="Tripulacion", COUNTIF(F$5:F836, "Tripulacion"), "")</f>
        <v/>
      </c>
      <c r="T836" t="str">
        <f>IF(F836="ENAP carga", COUNTIF(F$5:F836, "ENAP carga"), "")</f>
        <v/>
      </c>
    </row>
    <row r="837" spans="12:20" x14ac:dyDescent="0.2">
      <c r="L837" s="23" t="str">
        <f t="shared" si="14"/>
        <v/>
      </c>
      <c r="Q837" t="str">
        <f>IF(F837="CJ", COUNTIF(F$5:F837, "CJ"), "")</f>
        <v/>
      </c>
      <c r="R837" t="str">
        <f>IF(F837="Ignacio", COUNTIF(F$5:F837, "Ignacio"), "")</f>
        <v/>
      </c>
      <c r="S837" t="str">
        <f>IF(F837="Tripulacion", COUNTIF(F$5:F837, "Tripulacion"), "")</f>
        <v/>
      </c>
      <c r="T837" t="str">
        <f>IF(F837="ENAP carga", COUNTIF(F$5:F837, "ENAP carga"), "")</f>
        <v/>
      </c>
    </row>
    <row r="838" spans="12:20" x14ac:dyDescent="0.2">
      <c r="L838" s="23" t="str">
        <f t="shared" si="14"/>
        <v/>
      </c>
      <c r="Q838" t="str">
        <f>IF(F838="CJ", COUNTIF(F$5:F838, "CJ"), "")</f>
        <v/>
      </c>
      <c r="R838" t="str">
        <f>IF(F838="Ignacio", COUNTIF(F$5:F838, "Ignacio"), "")</f>
        <v/>
      </c>
      <c r="S838" t="str">
        <f>IF(F838="Tripulacion", COUNTIF(F$5:F838, "Tripulacion"), "")</f>
        <v/>
      </c>
      <c r="T838" t="str">
        <f>IF(F838="ENAP carga", COUNTIF(F$5:F838, "ENAP carga"), "")</f>
        <v/>
      </c>
    </row>
    <row r="839" spans="12:20" x14ac:dyDescent="0.2">
      <c r="L839" s="23" t="str">
        <f t="shared" si="14"/>
        <v/>
      </c>
      <c r="Q839" t="str">
        <f>IF(F839="CJ", COUNTIF(F$5:F839, "CJ"), "")</f>
        <v/>
      </c>
      <c r="R839" t="str">
        <f>IF(F839="Ignacio", COUNTIF(F$5:F839, "Ignacio"), "")</f>
        <v/>
      </c>
      <c r="S839" t="str">
        <f>IF(F839="Tripulacion", COUNTIF(F$5:F839, "Tripulacion"), "")</f>
        <v/>
      </c>
      <c r="T839" t="str">
        <f>IF(F839="ENAP carga", COUNTIF(F$5:F839, "ENAP carga"), "")</f>
        <v/>
      </c>
    </row>
    <row r="840" spans="12:20" x14ac:dyDescent="0.2">
      <c r="L840" s="23" t="str">
        <f t="shared" si="14"/>
        <v/>
      </c>
      <c r="Q840" t="str">
        <f>IF(F840="CJ", COUNTIF(F$5:F840, "CJ"), "")</f>
        <v/>
      </c>
      <c r="R840" t="str">
        <f>IF(F840="Ignacio", COUNTIF(F$5:F840, "Ignacio"), "")</f>
        <v/>
      </c>
      <c r="S840" t="str">
        <f>IF(F840="Tripulacion", COUNTIF(F$5:F840, "Tripulacion"), "")</f>
        <v/>
      </c>
      <c r="T840" t="str">
        <f>IF(F840="ENAP carga", COUNTIF(F$5:F840, "ENAP carga"), "")</f>
        <v/>
      </c>
    </row>
    <row r="841" spans="12:20" x14ac:dyDescent="0.2">
      <c r="L841" s="23" t="str">
        <f t="shared" si="14"/>
        <v/>
      </c>
      <c r="Q841" t="str">
        <f>IF(F841="CJ", COUNTIF(F$5:F841, "CJ"), "")</f>
        <v/>
      </c>
      <c r="R841" t="str">
        <f>IF(F841="Ignacio", COUNTIF(F$5:F841, "Ignacio"), "")</f>
        <v/>
      </c>
      <c r="S841" t="str">
        <f>IF(F841="Tripulacion", COUNTIF(F$5:F841, "Tripulacion"), "")</f>
        <v/>
      </c>
      <c r="T841" t="str">
        <f>IF(F841="ENAP carga", COUNTIF(F$5:F841, "ENAP carga"), "")</f>
        <v/>
      </c>
    </row>
    <row r="842" spans="12:20" x14ac:dyDescent="0.2">
      <c r="L842" s="23" t="str">
        <f t="shared" si="14"/>
        <v/>
      </c>
      <c r="Q842" t="str">
        <f>IF(F842="CJ", COUNTIF(F$5:F842, "CJ"), "")</f>
        <v/>
      </c>
      <c r="R842" t="str">
        <f>IF(F842="Ignacio", COUNTIF(F$5:F842, "Ignacio"), "")</f>
        <v/>
      </c>
      <c r="S842" t="str">
        <f>IF(F842="Tripulacion", COUNTIF(F$5:F842, "Tripulacion"), "")</f>
        <v/>
      </c>
      <c r="T842" t="str">
        <f>IF(F842="ENAP carga", COUNTIF(F$5:F842, "ENAP carga"), "")</f>
        <v/>
      </c>
    </row>
    <row r="843" spans="12:20" x14ac:dyDescent="0.2">
      <c r="L843" s="23" t="str">
        <f t="shared" si="14"/>
        <v/>
      </c>
      <c r="Q843" t="str">
        <f>IF(F843="CJ", COUNTIF(F$5:F843, "CJ"), "")</f>
        <v/>
      </c>
      <c r="R843" t="str">
        <f>IF(F843="Ignacio", COUNTIF(F$5:F843, "Ignacio"), "")</f>
        <v/>
      </c>
      <c r="S843" t="str">
        <f>IF(F843="Tripulacion", COUNTIF(F$5:F843, "Tripulacion"), "")</f>
        <v/>
      </c>
      <c r="T843" t="str">
        <f>IF(F843="ENAP carga", COUNTIF(F$5:F843, "ENAP carga"), "")</f>
        <v/>
      </c>
    </row>
    <row r="844" spans="12:20" x14ac:dyDescent="0.2">
      <c r="L844" s="23" t="str">
        <f t="shared" si="14"/>
        <v/>
      </c>
      <c r="Q844" t="str">
        <f>IF(F844="CJ", COUNTIF(F$5:F844, "CJ"), "")</f>
        <v/>
      </c>
      <c r="R844" t="str">
        <f>IF(F844="Ignacio", COUNTIF(F$5:F844, "Ignacio"), "")</f>
        <v/>
      </c>
      <c r="S844" t="str">
        <f>IF(F844="Tripulacion", COUNTIF(F$5:F844, "Tripulacion"), "")</f>
        <v/>
      </c>
      <c r="T844" t="str">
        <f>IF(F844="ENAP carga", COUNTIF(F$5:F844, "ENAP carga"), "")</f>
        <v/>
      </c>
    </row>
    <row r="845" spans="12:20" x14ac:dyDescent="0.2">
      <c r="L845" s="23" t="str">
        <f t="shared" si="14"/>
        <v/>
      </c>
      <c r="Q845" t="str">
        <f>IF(F845="CJ", COUNTIF(F$5:F845, "CJ"), "")</f>
        <v/>
      </c>
      <c r="R845" t="str">
        <f>IF(F845="Ignacio", COUNTIF(F$5:F845, "Ignacio"), "")</f>
        <v/>
      </c>
      <c r="S845" t="str">
        <f>IF(F845="Tripulacion", COUNTIF(F$5:F845, "Tripulacion"), "")</f>
        <v/>
      </c>
      <c r="T845" t="str">
        <f>IF(F845="ENAP carga", COUNTIF(F$5:F845, "ENAP carga"), "")</f>
        <v/>
      </c>
    </row>
    <row r="846" spans="12:20" x14ac:dyDescent="0.2">
      <c r="L846" s="23" t="str">
        <f t="shared" ref="L846:L909" si="15">IF(F846="CJ", I846*200, "")</f>
        <v/>
      </c>
      <c r="Q846" t="str">
        <f>IF(F846="CJ", COUNTIF(F$5:F846, "CJ"), "")</f>
        <v/>
      </c>
      <c r="R846" t="str">
        <f>IF(F846="Ignacio", COUNTIF(F$5:F846, "Ignacio"), "")</f>
        <v/>
      </c>
      <c r="S846" t="str">
        <f>IF(F846="Tripulacion", COUNTIF(F$5:F846, "Tripulacion"), "")</f>
        <v/>
      </c>
      <c r="T846" t="str">
        <f>IF(F846="ENAP carga", COUNTIF(F$5:F846, "ENAP carga"), "")</f>
        <v/>
      </c>
    </row>
    <row r="847" spans="12:20" x14ac:dyDescent="0.2">
      <c r="L847" s="23" t="str">
        <f t="shared" si="15"/>
        <v/>
      </c>
      <c r="Q847" t="str">
        <f>IF(F847="CJ", COUNTIF(F$5:F847, "CJ"), "")</f>
        <v/>
      </c>
      <c r="R847" t="str">
        <f>IF(F847="Ignacio", COUNTIF(F$5:F847, "Ignacio"), "")</f>
        <v/>
      </c>
      <c r="S847" t="str">
        <f>IF(F847="Tripulacion", COUNTIF(F$5:F847, "Tripulacion"), "")</f>
        <v/>
      </c>
      <c r="T847" t="str">
        <f>IF(F847="ENAP carga", COUNTIF(F$5:F847, "ENAP carga"), "")</f>
        <v/>
      </c>
    </row>
    <row r="848" spans="12:20" x14ac:dyDescent="0.2">
      <c r="L848" s="23" t="str">
        <f t="shared" si="15"/>
        <v/>
      </c>
      <c r="Q848" t="str">
        <f>IF(F848="CJ", COUNTIF(F$5:F848, "CJ"), "")</f>
        <v/>
      </c>
      <c r="R848" t="str">
        <f>IF(F848="Ignacio", COUNTIF(F$5:F848, "Ignacio"), "")</f>
        <v/>
      </c>
      <c r="S848" t="str">
        <f>IF(F848="Tripulacion", COUNTIF(F$5:F848, "Tripulacion"), "")</f>
        <v/>
      </c>
      <c r="T848" t="str">
        <f>IF(F848="ENAP carga", COUNTIF(F$5:F848, "ENAP carga"), "")</f>
        <v/>
      </c>
    </row>
    <row r="849" spans="12:20" x14ac:dyDescent="0.2">
      <c r="L849" s="23" t="str">
        <f t="shared" si="15"/>
        <v/>
      </c>
      <c r="Q849" t="str">
        <f>IF(F849="CJ", COUNTIF(F$5:F849, "CJ"), "")</f>
        <v/>
      </c>
      <c r="R849" t="str">
        <f>IF(F849="Ignacio", COUNTIF(F$5:F849, "Ignacio"), "")</f>
        <v/>
      </c>
      <c r="S849" t="str">
        <f>IF(F849="Tripulacion", COUNTIF(F$5:F849, "Tripulacion"), "")</f>
        <v/>
      </c>
      <c r="T849" t="str">
        <f>IF(F849="ENAP carga", COUNTIF(F$5:F849, "ENAP carga"), "")</f>
        <v/>
      </c>
    </row>
    <row r="850" spans="12:20" x14ac:dyDescent="0.2">
      <c r="L850" s="23" t="str">
        <f t="shared" si="15"/>
        <v/>
      </c>
      <c r="Q850" t="str">
        <f>IF(F850="CJ", COUNTIF(F$5:F850, "CJ"), "")</f>
        <v/>
      </c>
      <c r="R850" t="str">
        <f>IF(F850="Ignacio", COUNTIF(F$5:F850, "Ignacio"), "")</f>
        <v/>
      </c>
      <c r="S850" t="str">
        <f>IF(F850="Tripulacion", COUNTIF(F$5:F850, "Tripulacion"), "")</f>
        <v/>
      </c>
      <c r="T850" t="str">
        <f>IF(F850="ENAP carga", COUNTIF(F$5:F850, "ENAP carga"), "")</f>
        <v/>
      </c>
    </row>
    <row r="851" spans="12:20" x14ac:dyDescent="0.2">
      <c r="L851" s="23" t="str">
        <f t="shared" si="15"/>
        <v/>
      </c>
      <c r="Q851" t="str">
        <f>IF(F851="CJ", COUNTIF(F$5:F851, "CJ"), "")</f>
        <v/>
      </c>
      <c r="R851" t="str">
        <f>IF(F851="Ignacio", COUNTIF(F$5:F851, "Ignacio"), "")</f>
        <v/>
      </c>
      <c r="S851" t="str">
        <f>IF(F851="Tripulacion", COUNTIF(F$5:F851, "Tripulacion"), "")</f>
        <v/>
      </c>
      <c r="T851" t="str">
        <f>IF(F851="ENAP carga", COUNTIF(F$5:F851, "ENAP carga"), "")</f>
        <v/>
      </c>
    </row>
    <row r="852" spans="12:20" x14ac:dyDescent="0.2">
      <c r="L852" s="23" t="str">
        <f t="shared" si="15"/>
        <v/>
      </c>
      <c r="Q852" t="str">
        <f>IF(F852="CJ", COUNTIF(F$5:F852, "CJ"), "")</f>
        <v/>
      </c>
      <c r="R852" t="str">
        <f>IF(F852="Ignacio", COUNTIF(F$5:F852, "Ignacio"), "")</f>
        <v/>
      </c>
      <c r="S852" t="str">
        <f>IF(F852="Tripulacion", COUNTIF(F$5:F852, "Tripulacion"), "")</f>
        <v/>
      </c>
      <c r="T852" t="str">
        <f>IF(F852="ENAP carga", COUNTIF(F$5:F852, "ENAP carga"), "")</f>
        <v/>
      </c>
    </row>
    <row r="853" spans="12:20" x14ac:dyDescent="0.2">
      <c r="L853" s="23" t="str">
        <f t="shared" si="15"/>
        <v/>
      </c>
      <c r="Q853" t="str">
        <f>IF(F853="CJ", COUNTIF(F$5:F853, "CJ"), "")</f>
        <v/>
      </c>
      <c r="R853" t="str">
        <f>IF(F853="Ignacio", COUNTIF(F$5:F853, "Ignacio"), "")</f>
        <v/>
      </c>
      <c r="S853" t="str">
        <f>IF(F853="Tripulacion", COUNTIF(F$5:F853, "Tripulacion"), "")</f>
        <v/>
      </c>
      <c r="T853" t="str">
        <f>IF(F853="ENAP carga", COUNTIF(F$5:F853, "ENAP carga"), "")</f>
        <v/>
      </c>
    </row>
    <row r="854" spans="12:20" x14ac:dyDescent="0.2">
      <c r="L854" s="23" t="str">
        <f t="shared" si="15"/>
        <v/>
      </c>
      <c r="Q854" t="str">
        <f>IF(F854="CJ", COUNTIF(F$5:F854, "CJ"), "")</f>
        <v/>
      </c>
      <c r="R854" t="str">
        <f>IF(F854="Ignacio", COUNTIF(F$5:F854, "Ignacio"), "")</f>
        <v/>
      </c>
      <c r="S854" t="str">
        <f>IF(F854="Tripulacion", COUNTIF(F$5:F854, "Tripulacion"), "")</f>
        <v/>
      </c>
      <c r="T854" t="str">
        <f>IF(F854="ENAP carga", COUNTIF(F$5:F854, "ENAP carga"), "")</f>
        <v/>
      </c>
    </row>
    <row r="855" spans="12:20" x14ac:dyDescent="0.2">
      <c r="L855" s="23" t="str">
        <f t="shared" si="15"/>
        <v/>
      </c>
      <c r="Q855" t="str">
        <f>IF(F855="CJ", COUNTIF(F$5:F855, "CJ"), "")</f>
        <v/>
      </c>
      <c r="R855" t="str">
        <f>IF(F855="Ignacio", COUNTIF(F$5:F855, "Ignacio"), "")</f>
        <v/>
      </c>
      <c r="S855" t="str">
        <f>IF(F855="Tripulacion", COUNTIF(F$5:F855, "Tripulacion"), "")</f>
        <v/>
      </c>
      <c r="T855" t="str">
        <f>IF(F855="ENAP carga", COUNTIF(F$5:F855, "ENAP carga"), "")</f>
        <v/>
      </c>
    </row>
    <row r="856" spans="12:20" x14ac:dyDescent="0.2">
      <c r="L856" s="23" t="str">
        <f t="shared" si="15"/>
        <v/>
      </c>
      <c r="Q856" t="str">
        <f>IF(F856="CJ", COUNTIF(F$5:F856, "CJ"), "")</f>
        <v/>
      </c>
      <c r="R856" t="str">
        <f>IF(F856="Ignacio", COUNTIF(F$5:F856, "Ignacio"), "")</f>
        <v/>
      </c>
      <c r="S856" t="str">
        <f>IF(F856="Tripulacion", COUNTIF(F$5:F856, "Tripulacion"), "")</f>
        <v/>
      </c>
      <c r="T856" t="str">
        <f>IF(F856="ENAP carga", COUNTIF(F$5:F856, "ENAP carga"), "")</f>
        <v/>
      </c>
    </row>
    <row r="857" spans="12:20" x14ac:dyDescent="0.2">
      <c r="L857" s="23" t="str">
        <f t="shared" si="15"/>
        <v/>
      </c>
      <c r="Q857" t="str">
        <f>IF(F857="CJ", COUNTIF(F$5:F857, "CJ"), "")</f>
        <v/>
      </c>
      <c r="R857" t="str">
        <f>IF(F857="Ignacio", COUNTIF(F$5:F857, "Ignacio"), "")</f>
        <v/>
      </c>
      <c r="S857" t="str">
        <f>IF(F857="Tripulacion", COUNTIF(F$5:F857, "Tripulacion"), "")</f>
        <v/>
      </c>
      <c r="T857" t="str">
        <f>IF(F857="ENAP carga", COUNTIF(F$5:F857, "ENAP carga"), "")</f>
        <v/>
      </c>
    </row>
    <row r="858" spans="12:20" x14ac:dyDescent="0.2">
      <c r="L858" s="23" t="str">
        <f t="shared" si="15"/>
        <v/>
      </c>
      <c r="Q858" t="str">
        <f>IF(F858="CJ", COUNTIF(F$5:F858, "CJ"), "")</f>
        <v/>
      </c>
      <c r="R858" t="str">
        <f>IF(F858="Ignacio", COUNTIF(F$5:F858, "Ignacio"), "")</f>
        <v/>
      </c>
      <c r="S858" t="str">
        <f>IF(F858="Tripulacion", COUNTIF(F$5:F858, "Tripulacion"), "")</f>
        <v/>
      </c>
      <c r="T858" t="str">
        <f>IF(F858="ENAP carga", COUNTIF(F$5:F858, "ENAP carga"), "")</f>
        <v/>
      </c>
    </row>
    <row r="859" spans="12:20" x14ac:dyDescent="0.2">
      <c r="L859" s="23" t="str">
        <f t="shared" si="15"/>
        <v/>
      </c>
      <c r="Q859" t="str">
        <f>IF(F859="CJ", COUNTIF(F$5:F859, "CJ"), "")</f>
        <v/>
      </c>
      <c r="R859" t="str">
        <f>IF(F859="Ignacio", COUNTIF(F$5:F859, "Ignacio"), "")</f>
        <v/>
      </c>
      <c r="S859" t="str">
        <f>IF(F859="Tripulacion", COUNTIF(F$5:F859, "Tripulacion"), "")</f>
        <v/>
      </c>
      <c r="T859" t="str">
        <f>IF(F859="ENAP carga", COUNTIF(F$5:F859, "ENAP carga"), "")</f>
        <v/>
      </c>
    </row>
    <row r="860" spans="12:20" x14ac:dyDescent="0.2">
      <c r="L860" s="23" t="str">
        <f t="shared" si="15"/>
        <v/>
      </c>
      <c r="Q860" t="str">
        <f>IF(F860="CJ", COUNTIF(F$5:F860, "CJ"), "")</f>
        <v/>
      </c>
      <c r="R860" t="str">
        <f>IF(F860="Ignacio", COUNTIF(F$5:F860, "Ignacio"), "")</f>
        <v/>
      </c>
      <c r="S860" t="str">
        <f>IF(F860="Tripulacion", COUNTIF(F$5:F860, "Tripulacion"), "")</f>
        <v/>
      </c>
      <c r="T860" t="str">
        <f>IF(F860="ENAP carga", COUNTIF(F$5:F860, "ENAP carga"), "")</f>
        <v/>
      </c>
    </row>
    <row r="861" spans="12:20" x14ac:dyDescent="0.2">
      <c r="L861" s="23" t="str">
        <f t="shared" si="15"/>
        <v/>
      </c>
      <c r="Q861" t="str">
        <f>IF(F861="CJ", COUNTIF(F$5:F861, "CJ"), "")</f>
        <v/>
      </c>
      <c r="R861" t="str">
        <f>IF(F861="Ignacio", COUNTIF(F$5:F861, "Ignacio"), "")</f>
        <v/>
      </c>
      <c r="S861" t="str">
        <f>IF(F861="Tripulacion", COUNTIF(F$5:F861, "Tripulacion"), "")</f>
        <v/>
      </c>
      <c r="T861" t="str">
        <f>IF(F861="ENAP carga", COUNTIF(F$5:F861, "ENAP carga"), "")</f>
        <v/>
      </c>
    </row>
    <row r="862" spans="12:20" x14ac:dyDescent="0.2">
      <c r="L862" s="23" t="str">
        <f t="shared" si="15"/>
        <v/>
      </c>
      <c r="Q862" t="str">
        <f>IF(F862="CJ", COUNTIF(F$5:F862, "CJ"), "")</f>
        <v/>
      </c>
      <c r="R862" t="str">
        <f>IF(F862="Ignacio", COUNTIF(F$5:F862, "Ignacio"), "")</f>
        <v/>
      </c>
      <c r="S862" t="str">
        <f>IF(F862="Tripulacion", COUNTIF(F$5:F862, "Tripulacion"), "")</f>
        <v/>
      </c>
      <c r="T862" t="str">
        <f>IF(F862="ENAP carga", COUNTIF(F$5:F862, "ENAP carga"), "")</f>
        <v/>
      </c>
    </row>
    <row r="863" spans="12:20" x14ac:dyDescent="0.2">
      <c r="L863" s="23" t="str">
        <f t="shared" si="15"/>
        <v/>
      </c>
      <c r="Q863" t="str">
        <f>IF(F863="CJ", COUNTIF(F$5:F863, "CJ"), "")</f>
        <v/>
      </c>
      <c r="R863" t="str">
        <f>IF(F863="Ignacio", COUNTIF(F$5:F863, "Ignacio"), "")</f>
        <v/>
      </c>
      <c r="S863" t="str">
        <f>IF(F863="Tripulacion", COUNTIF(F$5:F863, "Tripulacion"), "")</f>
        <v/>
      </c>
      <c r="T863" t="str">
        <f>IF(F863="ENAP carga", COUNTIF(F$5:F863, "ENAP carga"), "")</f>
        <v/>
      </c>
    </row>
    <row r="864" spans="12:20" x14ac:dyDescent="0.2">
      <c r="L864" s="23" t="str">
        <f t="shared" si="15"/>
        <v/>
      </c>
      <c r="Q864" t="str">
        <f>IF(F864="CJ", COUNTIF(F$5:F864, "CJ"), "")</f>
        <v/>
      </c>
      <c r="R864" t="str">
        <f>IF(F864="Ignacio", COUNTIF(F$5:F864, "Ignacio"), "")</f>
        <v/>
      </c>
      <c r="S864" t="str">
        <f>IF(F864="Tripulacion", COUNTIF(F$5:F864, "Tripulacion"), "")</f>
        <v/>
      </c>
      <c r="T864" t="str">
        <f>IF(F864="ENAP carga", COUNTIF(F$5:F864, "ENAP carga"), "")</f>
        <v/>
      </c>
    </row>
    <row r="865" spans="12:20" x14ac:dyDescent="0.2">
      <c r="L865" s="23" t="str">
        <f t="shared" si="15"/>
        <v/>
      </c>
      <c r="Q865" t="str">
        <f>IF(F865="CJ", COUNTIF(F$5:F865, "CJ"), "")</f>
        <v/>
      </c>
      <c r="R865" t="str">
        <f>IF(F865="Ignacio", COUNTIF(F$5:F865, "Ignacio"), "")</f>
        <v/>
      </c>
      <c r="S865" t="str">
        <f>IF(F865="Tripulacion", COUNTIF(F$5:F865, "Tripulacion"), "")</f>
        <v/>
      </c>
      <c r="T865" t="str">
        <f>IF(F865="ENAP carga", COUNTIF(F$5:F865, "ENAP carga"), "")</f>
        <v/>
      </c>
    </row>
    <row r="866" spans="12:20" x14ac:dyDescent="0.2">
      <c r="L866" s="23" t="str">
        <f t="shared" si="15"/>
        <v/>
      </c>
      <c r="Q866" t="str">
        <f>IF(F866="CJ", COUNTIF(F$5:F866, "CJ"), "")</f>
        <v/>
      </c>
      <c r="R866" t="str">
        <f>IF(F866="Ignacio", COUNTIF(F$5:F866, "Ignacio"), "")</f>
        <v/>
      </c>
      <c r="S866" t="str">
        <f>IF(F866="Tripulacion", COUNTIF(F$5:F866, "Tripulacion"), "")</f>
        <v/>
      </c>
      <c r="T866" t="str">
        <f>IF(F866="ENAP carga", COUNTIF(F$5:F866, "ENAP carga"), "")</f>
        <v/>
      </c>
    </row>
    <row r="867" spans="12:20" x14ac:dyDescent="0.2">
      <c r="L867" s="23" t="str">
        <f t="shared" si="15"/>
        <v/>
      </c>
      <c r="Q867" t="str">
        <f>IF(F867="CJ", COUNTIF(F$5:F867, "CJ"), "")</f>
        <v/>
      </c>
      <c r="R867" t="str">
        <f>IF(F867="Ignacio", COUNTIF(F$5:F867, "Ignacio"), "")</f>
        <v/>
      </c>
      <c r="S867" t="str">
        <f>IF(F867="Tripulacion", COUNTIF(F$5:F867, "Tripulacion"), "")</f>
        <v/>
      </c>
      <c r="T867" t="str">
        <f>IF(F867="ENAP carga", COUNTIF(F$5:F867, "ENAP carga"), "")</f>
        <v/>
      </c>
    </row>
    <row r="868" spans="12:20" x14ac:dyDescent="0.2">
      <c r="L868" s="23" t="str">
        <f t="shared" si="15"/>
        <v/>
      </c>
      <c r="Q868" t="str">
        <f>IF(F868="CJ", COUNTIF(F$5:F868, "CJ"), "")</f>
        <v/>
      </c>
      <c r="R868" t="str">
        <f>IF(F868="Ignacio", COUNTIF(F$5:F868, "Ignacio"), "")</f>
        <v/>
      </c>
      <c r="S868" t="str">
        <f>IF(F868="Tripulacion", COUNTIF(F$5:F868, "Tripulacion"), "")</f>
        <v/>
      </c>
      <c r="T868" t="str">
        <f>IF(F868="ENAP carga", COUNTIF(F$5:F868, "ENAP carga"), "")</f>
        <v/>
      </c>
    </row>
    <row r="869" spans="12:20" x14ac:dyDescent="0.2">
      <c r="L869" s="23" t="str">
        <f t="shared" si="15"/>
        <v/>
      </c>
      <c r="Q869" t="str">
        <f>IF(F869="CJ", COUNTIF(F$5:F869, "CJ"), "")</f>
        <v/>
      </c>
      <c r="R869" t="str">
        <f>IF(F869="Ignacio", COUNTIF(F$5:F869, "Ignacio"), "")</f>
        <v/>
      </c>
      <c r="S869" t="str">
        <f>IF(F869="Tripulacion", COUNTIF(F$5:F869, "Tripulacion"), "")</f>
        <v/>
      </c>
      <c r="T869" t="str">
        <f>IF(F869="ENAP carga", COUNTIF(F$5:F869, "ENAP carga"), "")</f>
        <v/>
      </c>
    </row>
    <row r="870" spans="12:20" x14ac:dyDescent="0.2">
      <c r="L870" s="23" t="str">
        <f t="shared" si="15"/>
        <v/>
      </c>
      <c r="Q870" t="str">
        <f>IF(F870="CJ", COUNTIF(F$5:F870, "CJ"), "")</f>
        <v/>
      </c>
      <c r="R870" t="str">
        <f>IF(F870="Ignacio", COUNTIF(F$5:F870, "Ignacio"), "")</f>
        <v/>
      </c>
      <c r="S870" t="str">
        <f>IF(F870="Tripulacion", COUNTIF(F$5:F870, "Tripulacion"), "")</f>
        <v/>
      </c>
      <c r="T870" t="str">
        <f>IF(F870="ENAP carga", COUNTIF(F$5:F870, "ENAP carga"), "")</f>
        <v/>
      </c>
    </row>
    <row r="871" spans="12:20" x14ac:dyDescent="0.2">
      <c r="L871" s="23" t="str">
        <f t="shared" si="15"/>
        <v/>
      </c>
      <c r="Q871" t="str">
        <f>IF(F871="CJ", COUNTIF(F$5:F871, "CJ"), "")</f>
        <v/>
      </c>
      <c r="R871" t="str">
        <f>IF(F871="Ignacio", COUNTIF(F$5:F871, "Ignacio"), "")</f>
        <v/>
      </c>
      <c r="S871" t="str">
        <f>IF(F871="Tripulacion", COUNTIF(F$5:F871, "Tripulacion"), "")</f>
        <v/>
      </c>
      <c r="T871" t="str">
        <f>IF(F871="ENAP carga", COUNTIF(F$5:F871, "ENAP carga"), "")</f>
        <v/>
      </c>
    </row>
    <row r="872" spans="12:20" x14ac:dyDescent="0.2">
      <c r="L872" s="23" t="str">
        <f t="shared" si="15"/>
        <v/>
      </c>
      <c r="Q872" t="str">
        <f>IF(F872="CJ", COUNTIF(F$5:F872, "CJ"), "")</f>
        <v/>
      </c>
      <c r="R872" t="str">
        <f>IF(F872="Ignacio", COUNTIF(F$5:F872, "Ignacio"), "")</f>
        <v/>
      </c>
      <c r="S872" t="str">
        <f>IF(F872="Tripulacion", COUNTIF(F$5:F872, "Tripulacion"), "")</f>
        <v/>
      </c>
      <c r="T872" t="str">
        <f>IF(F872="ENAP carga", COUNTIF(F$5:F872, "ENAP carga"), "")</f>
        <v/>
      </c>
    </row>
    <row r="873" spans="12:20" x14ac:dyDescent="0.2">
      <c r="L873" s="23" t="str">
        <f t="shared" si="15"/>
        <v/>
      </c>
      <c r="Q873" t="str">
        <f>IF(F873="CJ", COUNTIF(F$5:F873, "CJ"), "")</f>
        <v/>
      </c>
      <c r="R873" t="str">
        <f>IF(F873="Ignacio", COUNTIF(F$5:F873, "Ignacio"), "")</f>
        <v/>
      </c>
      <c r="S873" t="str">
        <f>IF(F873="Tripulacion", COUNTIF(F$5:F873, "Tripulacion"), "")</f>
        <v/>
      </c>
      <c r="T873" t="str">
        <f>IF(F873="ENAP carga", COUNTIF(F$5:F873, "ENAP carga"), "")</f>
        <v/>
      </c>
    </row>
    <row r="874" spans="12:20" x14ac:dyDescent="0.2">
      <c r="L874" s="23" t="str">
        <f t="shared" si="15"/>
        <v/>
      </c>
      <c r="Q874" t="str">
        <f>IF(F874="CJ", COUNTIF(F$5:F874, "CJ"), "")</f>
        <v/>
      </c>
      <c r="R874" t="str">
        <f>IF(F874="Ignacio", COUNTIF(F$5:F874, "Ignacio"), "")</f>
        <v/>
      </c>
      <c r="S874" t="str">
        <f>IF(F874="Tripulacion", COUNTIF(F$5:F874, "Tripulacion"), "")</f>
        <v/>
      </c>
      <c r="T874" t="str">
        <f>IF(F874="ENAP carga", COUNTIF(F$5:F874, "ENAP carga"), "")</f>
        <v/>
      </c>
    </row>
    <row r="875" spans="12:20" x14ac:dyDescent="0.2">
      <c r="L875" s="23" t="str">
        <f t="shared" si="15"/>
        <v/>
      </c>
      <c r="Q875" t="str">
        <f>IF(F875="CJ", COUNTIF(F$5:F875, "CJ"), "")</f>
        <v/>
      </c>
      <c r="R875" t="str">
        <f>IF(F875="Ignacio", COUNTIF(F$5:F875, "Ignacio"), "")</f>
        <v/>
      </c>
      <c r="S875" t="str">
        <f>IF(F875="Tripulacion", COUNTIF(F$5:F875, "Tripulacion"), "")</f>
        <v/>
      </c>
      <c r="T875" t="str">
        <f>IF(F875="ENAP carga", COUNTIF(F$5:F875, "ENAP carga"), "")</f>
        <v/>
      </c>
    </row>
    <row r="876" spans="12:20" x14ac:dyDescent="0.2">
      <c r="L876" s="23" t="str">
        <f t="shared" si="15"/>
        <v/>
      </c>
      <c r="Q876" t="str">
        <f>IF(F876="CJ", COUNTIF(F$5:F876, "CJ"), "")</f>
        <v/>
      </c>
      <c r="R876" t="str">
        <f>IF(F876="Ignacio", COUNTIF(F$5:F876, "Ignacio"), "")</f>
        <v/>
      </c>
      <c r="S876" t="str">
        <f>IF(F876="Tripulacion", COUNTIF(F$5:F876, "Tripulacion"), "")</f>
        <v/>
      </c>
      <c r="T876" t="str">
        <f>IF(F876="ENAP carga", COUNTIF(F$5:F876, "ENAP carga"), "")</f>
        <v/>
      </c>
    </row>
    <row r="877" spans="12:20" x14ac:dyDescent="0.2">
      <c r="L877" s="23" t="str">
        <f t="shared" si="15"/>
        <v/>
      </c>
      <c r="Q877" t="str">
        <f>IF(F877="CJ", COUNTIF(F$5:F877, "CJ"), "")</f>
        <v/>
      </c>
      <c r="R877" t="str">
        <f>IF(F877="Ignacio", COUNTIF(F$5:F877, "Ignacio"), "")</f>
        <v/>
      </c>
      <c r="S877" t="str">
        <f>IF(F877="Tripulacion", COUNTIF(F$5:F877, "Tripulacion"), "")</f>
        <v/>
      </c>
      <c r="T877" t="str">
        <f>IF(F877="ENAP carga", COUNTIF(F$5:F877, "ENAP carga"), "")</f>
        <v/>
      </c>
    </row>
    <row r="878" spans="12:20" x14ac:dyDescent="0.2">
      <c r="L878" s="23" t="str">
        <f t="shared" si="15"/>
        <v/>
      </c>
      <c r="Q878" t="str">
        <f>IF(F878="CJ", COUNTIF(F$5:F878, "CJ"), "")</f>
        <v/>
      </c>
      <c r="R878" t="str">
        <f>IF(F878="Ignacio", COUNTIF(F$5:F878, "Ignacio"), "")</f>
        <v/>
      </c>
      <c r="S878" t="str">
        <f>IF(F878="Tripulacion", COUNTIF(F$5:F878, "Tripulacion"), "")</f>
        <v/>
      </c>
      <c r="T878" t="str">
        <f>IF(F878="ENAP carga", COUNTIF(F$5:F878, "ENAP carga"), "")</f>
        <v/>
      </c>
    </row>
    <row r="879" spans="12:20" x14ac:dyDescent="0.2">
      <c r="L879" s="23" t="str">
        <f t="shared" si="15"/>
        <v/>
      </c>
      <c r="Q879" t="str">
        <f>IF(F879="CJ", COUNTIF(F$5:F879, "CJ"), "")</f>
        <v/>
      </c>
      <c r="R879" t="str">
        <f>IF(F879="Ignacio", COUNTIF(F$5:F879, "Ignacio"), "")</f>
        <v/>
      </c>
      <c r="S879" t="str">
        <f>IF(F879="Tripulacion", COUNTIF(F$5:F879, "Tripulacion"), "")</f>
        <v/>
      </c>
      <c r="T879" t="str">
        <f>IF(F879="ENAP carga", COUNTIF(F$5:F879, "ENAP carga"), "")</f>
        <v/>
      </c>
    </row>
    <row r="880" spans="12:20" x14ac:dyDescent="0.2">
      <c r="L880" s="23" t="str">
        <f t="shared" si="15"/>
        <v/>
      </c>
      <c r="Q880" t="str">
        <f>IF(F880="CJ", COUNTIF(F$5:F880, "CJ"), "")</f>
        <v/>
      </c>
      <c r="R880" t="str">
        <f>IF(F880="Ignacio", COUNTIF(F$5:F880, "Ignacio"), "")</f>
        <v/>
      </c>
      <c r="S880" t="str">
        <f>IF(F880="Tripulacion", COUNTIF(F$5:F880, "Tripulacion"), "")</f>
        <v/>
      </c>
      <c r="T880" t="str">
        <f>IF(F880="ENAP carga", COUNTIF(F$5:F880, "ENAP carga"), "")</f>
        <v/>
      </c>
    </row>
    <row r="881" spans="12:20" x14ac:dyDescent="0.2">
      <c r="L881" s="23" t="str">
        <f t="shared" si="15"/>
        <v/>
      </c>
      <c r="Q881" t="str">
        <f>IF(F881="CJ", COUNTIF(F$5:F881, "CJ"), "")</f>
        <v/>
      </c>
      <c r="R881" t="str">
        <f>IF(F881="Ignacio", COUNTIF(F$5:F881, "Ignacio"), "")</f>
        <v/>
      </c>
      <c r="S881" t="str">
        <f>IF(F881="Tripulacion", COUNTIF(F$5:F881, "Tripulacion"), "")</f>
        <v/>
      </c>
      <c r="T881" t="str">
        <f>IF(F881="ENAP carga", COUNTIF(F$5:F881, "ENAP carga"), "")</f>
        <v/>
      </c>
    </row>
    <row r="882" spans="12:20" x14ac:dyDescent="0.2">
      <c r="L882" s="23" t="str">
        <f t="shared" si="15"/>
        <v/>
      </c>
      <c r="Q882" t="str">
        <f>IF(F882="CJ", COUNTIF(F$5:F882, "CJ"), "")</f>
        <v/>
      </c>
      <c r="R882" t="str">
        <f>IF(F882="Ignacio", COUNTIF(F$5:F882, "Ignacio"), "")</f>
        <v/>
      </c>
      <c r="S882" t="str">
        <f>IF(F882="Tripulacion", COUNTIF(F$5:F882, "Tripulacion"), "")</f>
        <v/>
      </c>
      <c r="T882" t="str">
        <f>IF(F882="ENAP carga", COUNTIF(F$5:F882, "ENAP carga"), "")</f>
        <v/>
      </c>
    </row>
    <row r="883" spans="12:20" x14ac:dyDescent="0.2">
      <c r="L883" s="23" t="str">
        <f t="shared" si="15"/>
        <v/>
      </c>
      <c r="Q883" t="str">
        <f>IF(F883="CJ", COUNTIF(F$5:F883, "CJ"), "")</f>
        <v/>
      </c>
      <c r="R883" t="str">
        <f>IF(F883="Ignacio", COUNTIF(F$5:F883, "Ignacio"), "")</f>
        <v/>
      </c>
      <c r="S883" t="str">
        <f>IF(F883="Tripulacion", COUNTIF(F$5:F883, "Tripulacion"), "")</f>
        <v/>
      </c>
      <c r="T883" t="str">
        <f>IF(F883="ENAP carga", COUNTIF(F$5:F883, "ENAP carga"), "")</f>
        <v/>
      </c>
    </row>
    <row r="884" spans="12:20" x14ac:dyDescent="0.2">
      <c r="L884" s="23" t="str">
        <f t="shared" si="15"/>
        <v/>
      </c>
      <c r="Q884" t="str">
        <f>IF(F884="CJ", COUNTIF(F$5:F884, "CJ"), "")</f>
        <v/>
      </c>
      <c r="R884" t="str">
        <f>IF(F884="Ignacio", COUNTIF(F$5:F884, "Ignacio"), "")</f>
        <v/>
      </c>
      <c r="S884" t="str">
        <f>IF(F884="Tripulacion", COUNTIF(F$5:F884, "Tripulacion"), "")</f>
        <v/>
      </c>
      <c r="T884" t="str">
        <f>IF(F884="ENAP carga", COUNTIF(F$5:F884, "ENAP carga"), "")</f>
        <v/>
      </c>
    </row>
    <row r="885" spans="12:20" x14ac:dyDescent="0.2">
      <c r="L885" s="23" t="str">
        <f t="shared" si="15"/>
        <v/>
      </c>
      <c r="Q885" t="str">
        <f>IF(F885="CJ", COUNTIF(F$5:F885, "CJ"), "")</f>
        <v/>
      </c>
      <c r="R885" t="str">
        <f>IF(F885="Ignacio", COUNTIF(F$5:F885, "Ignacio"), "")</f>
        <v/>
      </c>
      <c r="S885" t="str">
        <f>IF(F885="Tripulacion", COUNTIF(F$5:F885, "Tripulacion"), "")</f>
        <v/>
      </c>
      <c r="T885" t="str">
        <f>IF(F885="ENAP carga", COUNTIF(F$5:F885, "ENAP carga"), "")</f>
        <v/>
      </c>
    </row>
    <row r="886" spans="12:20" x14ac:dyDescent="0.2">
      <c r="L886" s="23" t="str">
        <f t="shared" si="15"/>
        <v/>
      </c>
      <c r="Q886" t="str">
        <f>IF(F886="CJ", COUNTIF(F$5:F886, "CJ"), "")</f>
        <v/>
      </c>
      <c r="R886" t="str">
        <f>IF(F886="Ignacio", COUNTIF(F$5:F886, "Ignacio"), "")</f>
        <v/>
      </c>
      <c r="S886" t="str">
        <f>IF(F886="Tripulacion", COUNTIF(F$5:F886, "Tripulacion"), "")</f>
        <v/>
      </c>
      <c r="T886" t="str">
        <f>IF(F886="ENAP carga", COUNTIF(F$5:F886, "ENAP carga"), "")</f>
        <v/>
      </c>
    </row>
    <row r="887" spans="12:20" x14ac:dyDescent="0.2">
      <c r="L887" s="23" t="str">
        <f t="shared" si="15"/>
        <v/>
      </c>
      <c r="Q887" t="str">
        <f>IF(F887="CJ", COUNTIF(F$5:F887, "CJ"), "")</f>
        <v/>
      </c>
      <c r="R887" t="str">
        <f>IF(F887="Ignacio", COUNTIF(F$5:F887, "Ignacio"), "")</f>
        <v/>
      </c>
      <c r="S887" t="str">
        <f>IF(F887="Tripulacion", COUNTIF(F$5:F887, "Tripulacion"), "")</f>
        <v/>
      </c>
      <c r="T887" t="str">
        <f>IF(F887="ENAP carga", COUNTIF(F$5:F887, "ENAP carga"), "")</f>
        <v/>
      </c>
    </row>
    <row r="888" spans="12:20" x14ac:dyDescent="0.2">
      <c r="L888" s="23" t="str">
        <f t="shared" si="15"/>
        <v/>
      </c>
      <c r="Q888" t="str">
        <f>IF(F888="CJ", COUNTIF(F$5:F888, "CJ"), "")</f>
        <v/>
      </c>
      <c r="R888" t="str">
        <f>IF(F888="Ignacio", COUNTIF(F$5:F888, "Ignacio"), "")</f>
        <v/>
      </c>
      <c r="S888" t="str">
        <f>IF(F888="Tripulacion", COUNTIF(F$5:F888, "Tripulacion"), "")</f>
        <v/>
      </c>
      <c r="T888" t="str">
        <f>IF(F888="ENAP carga", COUNTIF(F$5:F888, "ENAP carga"), "")</f>
        <v/>
      </c>
    </row>
    <row r="889" spans="12:20" x14ac:dyDescent="0.2">
      <c r="L889" s="23" t="str">
        <f t="shared" si="15"/>
        <v/>
      </c>
      <c r="Q889" t="str">
        <f>IF(F889="CJ", COUNTIF(F$5:F889, "CJ"), "")</f>
        <v/>
      </c>
      <c r="R889" t="str">
        <f>IF(F889="Ignacio", COUNTIF(F$5:F889, "Ignacio"), "")</f>
        <v/>
      </c>
      <c r="S889" t="str">
        <f>IF(F889="Tripulacion", COUNTIF(F$5:F889, "Tripulacion"), "")</f>
        <v/>
      </c>
      <c r="T889" t="str">
        <f>IF(F889="ENAP carga", COUNTIF(F$5:F889, "ENAP carga"), "")</f>
        <v/>
      </c>
    </row>
    <row r="890" spans="12:20" x14ac:dyDescent="0.2">
      <c r="L890" s="23" t="str">
        <f t="shared" si="15"/>
        <v/>
      </c>
      <c r="Q890" t="str">
        <f>IF(F890="CJ", COUNTIF(F$5:F890, "CJ"), "")</f>
        <v/>
      </c>
      <c r="R890" t="str">
        <f>IF(F890="Ignacio", COUNTIF(F$5:F890, "Ignacio"), "")</f>
        <v/>
      </c>
      <c r="S890" t="str">
        <f>IF(F890="Tripulacion", COUNTIF(F$5:F890, "Tripulacion"), "")</f>
        <v/>
      </c>
      <c r="T890" t="str">
        <f>IF(F890="ENAP carga", COUNTIF(F$5:F890, "ENAP carga"), "")</f>
        <v/>
      </c>
    </row>
    <row r="891" spans="12:20" x14ac:dyDescent="0.2">
      <c r="L891" s="23" t="str">
        <f t="shared" si="15"/>
        <v/>
      </c>
      <c r="Q891" t="str">
        <f>IF(F891="CJ", COUNTIF(F$5:F891, "CJ"), "")</f>
        <v/>
      </c>
      <c r="R891" t="str">
        <f>IF(F891="Ignacio", COUNTIF(F$5:F891, "Ignacio"), "")</f>
        <v/>
      </c>
      <c r="S891" t="str">
        <f>IF(F891="Tripulacion", COUNTIF(F$5:F891, "Tripulacion"), "")</f>
        <v/>
      </c>
      <c r="T891" t="str">
        <f>IF(F891="ENAP carga", COUNTIF(F$5:F891, "ENAP carga"), "")</f>
        <v/>
      </c>
    </row>
    <row r="892" spans="12:20" x14ac:dyDescent="0.2">
      <c r="L892" s="23" t="str">
        <f t="shared" si="15"/>
        <v/>
      </c>
      <c r="Q892" t="str">
        <f>IF(F892="CJ", COUNTIF(F$5:F892, "CJ"), "")</f>
        <v/>
      </c>
      <c r="R892" t="str">
        <f>IF(F892="Ignacio", COUNTIF(F$5:F892, "Ignacio"), "")</f>
        <v/>
      </c>
      <c r="S892" t="str">
        <f>IF(F892="Tripulacion", COUNTIF(F$5:F892, "Tripulacion"), "")</f>
        <v/>
      </c>
      <c r="T892" t="str">
        <f>IF(F892="ENAP carga", COUNTIF(F$5:F892, "ENAP carga"), "")</f>
        <v/>
      </c>
    </row>
    <row r="893" spans="12:20" x14ac:dyDescent="0.2">
      <c r="L893" s="23" t="str">
        <f t="shared" si="15"/>
        <v/>
      </c>
      <c r="Q893" t="str">
        <f>IF(F893="CJ", COUNTIF(F$5:F893, "CJ"), "")</f>
        <v/>
      </c>
      <c r="R893" t="str">
        <f>IF(F893="Ignacio", COUNTIF(F$5:F893, "Ignacio"), "")</f>
        <v/>
      </c>
      <c r="S893" t="str">
        <f>IF(F893="Tripulacion", COUNTIF(F$5:F893, "Tripulacion"), "")</f>
        <v/>
      </c>
      <c r="T893" t="str">
        <f>IF(F893="ENAP carga", COUNTIF(F$5:F893, "ENAP carga"), "")</f>
        <v/>
      </c>
    </row>
    <row r="894" spans="12:20" x14ac:dyDescent="0.2">
      <c r="L894" s="23" t="str">
        <f t="shared" si="15"/>
        <v/>
      </c>
      <c r="Q894" t="str">
        <f>IF(F894="CJ", COUNTIF(F$5:F894, "CJ"), "")</f>
        <v/>
      </c>
      <c r="R894" t="str">
        <f>IF(F894="Ignacio", COUNTIF(F$5:F894, "Ignacio"), "")</f>
        <v/>
      </c>
      <c r="S894" t="str">
        <f>IF(F894="Tripulacion", COUNTIF(F$5:F894, "Tripulacion"), "")</f>
        <v/>
      </c>
      <c r="T894" t="str">
        <f>IF(F894="ENAP carga", COUNTIF(F$5:F894, "ENAP carga"), "")</f>
        <v/>
      </c>
    </row>
    <row r="895" spans="12:20" x14ac:dyDescent="0.2">
      <c r="L895" s="23" t="str">
        <f t="shared" si="15"/>
        <v/>
      </c>
      <c r="Q895" t="str">
        <f>IF(F895="CJ", COUNTIF(F$5:F895, "CJ"), "")</f>
        <v/>
      </c>
      <c r="R895" t="str">
        <f>IF(F895="Ignacio", COUNTIF(F$5:F895, "Ignacio"), "")</f>
        <v/>
      </c>
      <c r="S895" t="str">
        <f>IF(F895="Tripulacion", COUNTIF(F$5:F895, "Tripulacion"), "")</f>
        <v/>
      </c>
      <c r="T895" t="str">
        <f>IF(F895="ENAP carga", COUNTIF(F$5:F895, "ENAP carga"), "")</f>
        <v/>
      </c>
    </row>
    <row r="896" spans="12:20" x14ac:dyDescent="0.2">
      <c r="L896" s="23" t="str">
        <f t="shared" si="15"/>
        <v/>
      </c>
      <c r="Q896" t="str">
        <f>IF(F896="CJ", COUNTIF(F$5:F896, "CJ"), "")</f>
        <v/>
      </c>
      <c r="R896" t="str">
        <f>IF(F896="Ignacio", COUNTIF(F$5:F896, "Ignacio"), "")</f>
        <v/>
      </c>
      <c r="S896" t="str">
        <f>IF(F896="Tripulacion", COUNTIF(F$5:F896, "Tripulacion"), "")</f>
        <v/>
      </c>
      <c r="T896" t="str">
        <f>IF(F896="ENAP carga", COUNTIF(F$5:F896, "ENAP carga"), "")</f>
        <v/>
      </c>
    </row>
    <row r="897" spans="12:20" x14ac:dyDescent="0.2">
      <c r="L897" s="23" t="str">
        <f t="shared" si="15"/>
        <v/>
      </c>
      <c r="Q897" t="str">
        <f>IF(F897="CJ", COUNTIF(F$5:F897, "CJ"), "")</f>
        <v/>
      </c>
      <c r="R897" t="str">
        <f>IF(F897="Ignacio", COUNTIF(F$5:F897, "Ignacio"), "")</f>
        <v/>
      </c>
      <c r="S897" t="str">
        <f>IF(F897="Tripulacion", COUNTIF(F$5:F897, "Tripulacion"), "")</f>
        <v/>
      </c>
      <c r="T897" t="str">
        <f>IF(F897="ENAP carga", COUNTIF(F$5:F897, "ENAP carga"), "")</f>
        <v/>
      </c>
    </row>
    <row r="898" spans="12:20" x14ac:dyDescent="0.2">
      <c r="L898" s="23" t="str">
        <f t="shared" si="15"/>
        <v/>
      </c>
      <c r="Q898" t="str">
        <f>IF(F898="CJ", COUNTIF(F$5:F898, "CJ"), "")</f>
        <v/>
      </c>
      <c r="R898" t="str">
        <f>IF(F898="Ignacio", COUNTIF(F$5:F898, "Ignacio"), "")</f>
        <v/>
      </c>
      <c r="S898" t="str">
        <f>IF(F898="Tripulacion", COUNTIF(F$5:F898, "Tripulacion"), "")</f>
        <v/>
      </c>
      <c r="T898" t="str">
        <f>IF(F898="ENAP carga", COUNTIF(F$5:F898, "ENAP carga"), "")</f>
        <v/>
      </c>
    </row>
    <row r="899" spans="12:20" x14ac:dyDescent="0.2">
      <c r="L899" s="23" t="str">
        <f t="shared" si="15"/>
        <v/>
      </c>
      <c r="Q899" t="str">
        <f>IF(F899="CJ", COUNTIF(F$5:F899, "CJ"), "")</f>
        <v/>
      </c>
      <c r="R899" t="str">
        <f>IF(F899="Ignacio", COUNTIF(F$5:F899, "Ignacio"), "")</f>
        <v/>
      </c>
      <c r="S899" t="str">
        <f>IF(F899="Tripulacion", COUNTIF(F$5:F899, "Tripulacion"), "")</f>
        <v/>
      </c>
      <c r="T899" t="str">
        <f>IF(F899="ENAP carga", COUNTIF(F$5:F899, "ENAP carga"), "")</f>
        <v/>
      </c>
    </row>
    <row r="900" spans="12:20" x14ac:dyDescent="0.2">
      <c r="L900" s="23" t="str">
        <f t="shared" si="15"/>
        <v/>
      </c>
      <c r="Q900" t="str">
        <f>IF(F900="CJ", COUNTIF(F$5:F900, "CJ"), "")</f>
        <v/>
      </c>
      <c r="R900" t="str">
        <f>IF(F900="Ignacio", COUNTIF(F$5:F900, "Ignacio"), "")</f>
        <v/>
      </c>
      <c r="S900" t="str">
        <f>IF(F900="Tripulacion", COUNTIF(F$5:F900, "Tripulacion"), "")</f>
        <v/>
      </c>
      <c r="T900" t="str">
        <f>IF(F900="ENAP carga", COUNTIF(F$5:F900, "ENAP carga"), "")</f>
        <v/>
      </c>
    </row>
    <row r="901" spans="12:20" x14ac:dyDescent="0.2">
      <c r="L901" s="23" t="str">
        <f t="shared" si="15"/>
        <v/>
      </c>
      <c r="Q901" t="str">
        <f>IF(F901="CJ", COUNTIF(F$5:F901, "CJ"), "")</f>
        <v/>
      </c>
      <c r="R901" t="str">
        <f>IF(F901="Ignacio", COUNTIF(F$5:F901, "Ignacio"), "")</f>
        <v/>
      </c>
      <c r="S901" t="str">
        <f>IF(F901="Tripulacion", COUNTIF(F$5:F901, "Tripulacion"), "")</f>
        <v/>
      </c>
      <c r="T901" t="str">
        <f>IF(F901="ENAP carga", COUNTIF(F$5:F901, "ENAP carga"), "")</f>
        <v/>
      </c>
    </row>
    <row r="902" spans="12:20" x14ac:dyDescent="0.2">
      <c r="L902" s="23" t="str">
        <f t="shared" si="15"/>
        <v/>
      </c>
      <c r="Q902" t="str">
        <f>IF(F902="CJ", COUNTIF(F$5:F902, "CJ"), "")</f>
        <v/>
      </c>
      <c r="R902" t="str">
        <f>IF(F902="Ignacio", COUNTIF(F$5:F902, "Ignacio"), "")</f>
        <v/>
      </c>
      <c r="S902" t="str">
        <f>IF(F902="Tripulacion", COUNTIF(F$5:F902, "Tripulacion"), "")</f>
        <v/>
      </c>
      <c r="T902" t="str">
        <f>IF(F902="ENAP carga", COUNTIF(F$5:F902, "ENAP carga"), "")</f>
        <v/>
      </c>
    </row>
    <row r="903" spans="12:20" x14ac:dyDescent="0.2">
      <c r="L903" s="23" t="str">
        <f t="shared" si="15"/>
        <v/>
      </c>
      <c r="Q903" t="str">
        <f>IF(F903="CJ", COUNTIF(F$5:F903, "CJ"), "")</f>
        <v/>
      </c>
      <c r="R903" t="str">
        <f>IF(F903="Ignacio", COUNTIF(F$5:F903, "Ignacio"), "")</f>
        <v/>
      </c>
      <c r="S903" t="str">
        <f>IF(F903="Tripulacion", COUNTIF(F$5:F903, "Tripulacion"), "")</f>
        <v/>
      </c>
      <c r="T903" t="str">
        <f>IF(F903="ENAP carga", COUNTIF(F$5:F903, "ENAP carga"), "")</f>
        <v/>
      </c>
    </row>
    <row r="904" spans="12:20" x14ac:dyDescent="0.2">
      <c r="L904" s="23" t="str">
        <f t="shared" si="15"/>
        <v/>
      </c>
      <c r="Q904" t="str">
        <f>IF(F904="CJ", COUNTIF(F$5:F904, "CJ"), "")</f>
        <v/>
      </c>
      <c r="R904" t="str">
        <f>IF(F904="Ignacio", COUNTIF(F$5:F904, "Ignacio"), "")</f>
        <v/>
      </c>
      <c r="S904" t="str">
        <f>IF(F904="Tripulacion", COUNTIF(F$5:F904, "Tripulacion"), "")</f>
        <v/>
      </c>
      <c r="T904" t="str">
        <f>IF(F904="ENAP carga", COUNTIF(F$5:F904, "ENAP carga"), "")</f>
        <v/>
      </c>
    </row>
    <row r="905" spans="12:20" x14ac:dyDescent="0.2">
      <c r="L905" s="23" t="str">
        <f t="shared" si="15"/>
        <v/>
      </c>
      <c r="Q905" t="str">
        <f>IF(F905="CJ", COUNTIF(F$5:F905, "CJ"), "")</f>
        <v/>
      </c>
      <c r="R905" t="str">
        <f>IF(F905="Ignacio", COUNTIF(F$5:F905, "Ignacio"), "")</f>
        <v/>
      </c>
      <c r="S905" t="str">
        <f>IF(F905="Tripulacion", COUNTIF(F$5:F905, "Tripulacion"), "")</f>
        <v/>
      </c>
      <c r="T905" t="str">
        <f>IF(F905="ENAP carga", COUNTIF(F$5:F905, "ENAP carga"), "")</f>
        <v/>
      </c>
    </row>
    <row r="906" spans="12:20" x14ac:dyDescent="0.2">
      <c r="L906" s="23" t="str">
        <f t="shared" si="15"/>
        <v/>
      </c>
      <c r="Q906" t="str">
        <f>IF(F906="CJ", COUNTIF(F$5:F906, "CJ"), "")</f>
        <v/>
      </c>
      <c r="R906" t="str">
        <f>IF(F906="Ignacio", COUNTIF(F$5:F906, "Ignacio"), "")</f>
        <v/>
      </c>
      <c r="S906" t="str">
        <f>IF(F906="Tripulacion", COUNTIF(F$5:F906, "Tripulacion"), "")</f>
        <v/>
      </c>
      <c r="T906" t="str">
        <f>IF(F906="ENAP carga", COUNTIF(F$5:F906, "ENAP carga"), "")</f>
        <v/>
      </c>
    </row>
    <row r="907" spans="12:20" x14ac:dyDescent="0.2">
      <c r="L907" s="23" t="str">
        <f t="shared" si="15"/>
        <v/>
      </c>
      <c r="Q907" t="str">
        <f>IF(F907="CJ", COUNTIF(F$5:F907, "CJ"), "")</f>
        <v/>
      </c>
      <c r="R907" t="str">
        <f>IF(F907="Ignacio", COUNTIF(F$5:F907, "Ignacio"), "")</f>
        <v/>
      </c>
      <c r="S907" t="str">
        <f>IF(F907="Tripulacion", COUNTIF(F$5:F907, "Tripulacion"), "")</f>
        <v/>
      </c>
      <c r="T907" t="str">
        <f>IF(F907="ENAP carga", COUNTIF(F$5:F907, "ENAP carga"), "")</f>
        <v/>
      </c>
    </row>
    <row r="908" spans="12:20" x14ac:dyDescent="0.2">
      <c r="L908" s="23" t="str">
        <f t="shared" si="15"/>
        <v/>
      </c>
      <c r="Q908" t="str">
        <f>IF(F908="CJ", COUNTIF(F$5:F908, "CJ"), "")</f>
        <v/>
      </c>
      <c r="R908" t="str">
        <f>IF(F908="Ignacio", COUNTIF(F$5:F908, "Ignacio"), "")</f>
        <v/>
      </c>
      <c r="S908" t="str">
        <f>IF(F908="Tripulacion", COUNTIF(F$5:F908, "Tripulacion"), "")</f>
        <v/>
      </c>
      <c r="T908" t="str">
        <f>IF(F908="ENAP carga", COUNTIF(F$5:F908, "ENAP carga"), "")</f>
        <v/>
      </c>
    </row>
    <row r="909" spans="12:20" x14ac:dyDescent="0.2">
      <c r="L909" s="23" t="str">
        <f t="shared" si="15"/>
        <v/>
      </c>
      <c r="Q909" t="str">
        <f>IF(F909="CJ", COUNTIF(F$5:F909, "CJ"), "")</f>
        <v/>
      </c>
      <c r="R909" t="str">
        <f>IF(F909="Ignacio", COUNTIF(F$5:F909, "Ignacio"), "")</f>
        <v/>
      </c>
      <c r="S909" t="str">
        <f>IF(F909="Tripulacion", COUNTIF(F$5:F909, "Tripulacion"), "")</f>
        <v/>
      </c>
      <c r="T909" t="str">
        <f>IF(F909="ENAP carga", COUNTIF(F$5:F909, "ENAP carga"), "")</f>
        <v/>
      </c>
    </row>
    <row r="910" spans="12:20" x14ac:dyDescent="0.2">
      <c r="L910" s="23" t="str">
        <f t="shared" ref="L910:L973" si="16">IF(F910="CJ", I910*200, "")</f>
        <v/>
      </c>
      <c r="Q910" t="str">
        <f>IF(F910="CJ", COUNTIF(F$5:F910, "CJ"), "")</f>
        <v/>
      </c>
      <c r="R910" t="str">
        <f>IF(F910="Ignacio", COUNTIF(F$5:F910, "Ignacio"), "")</f>
        <v/>
      </c>
      <c r="S910" t="str">
        <f>IF(F910="Tripulacion", COUNTIF(F$5:F910, "Tripulacion"), "")</f>
        <v/>
      </c>
      <c r="T910" t="str">
        <f>IF(F910="ENAP carga", COUNTIF(F$5:F910, "ENAP carga"), "")</f>
        <v/>
      </c>
    </row>
    <row r="911" spans="12:20" x14ac:dyDescent="0.2">
      <c r="L911" s="23" t="str">
        <f t="shared" si="16"/>
        <v/>
      </c>
      <c r="Q911" t="str">
        <f>IF(F911="CJ", COUNTIF(F$5:F911, "CJ"), "")</f>
        <v/>
      </c>
      <c r="R911" t="str">
        <f>IF(F911="Ignacio", COUNTIF(F$5:F911, "Ignacio"), "")</f>
        <v/>
      </c>
      <c r="S911" t="str">
        <f>IF(F911="Tripulacion", COUNTIF(F$5:F911, "Tripulacion"), "")</f>
        <v/>
      </c>
      <c r="T911" t="str">
        <f>IF(F911="ENAP carga", COUNTIF(F$5:F911, "ENAP carga"), "")</f>
        <v/>
      </c>
    </row>
    <row r="912" spans="12:20" x14ac:dyDescent="0.2">
      <c r="L912" s="23" t="str">
        <f t="shared" si="16"/>
        <v/>
      </c>
      <c r="Q912" t="str">
        <f>IF(F912="CJ", COUNTIF(F$5:F912, "CJ"), "")</f>
        <v/>
      </c>
      <c r="R912" t="str">
        <f>IF(F912="Ignacio", COUNTIF(F$5:F912, "Ignacio"), "")</f>
        <v/>
      </c>
      <c r="S912" t="str">
        <f>IF(F912="Tripulacion", COUNTIF(F$5:F912, "Tripulacion"), "")</f>
        <v/>
      </c>
      <c r="T912" t="str">
        <f>IF(F912="ENAP carga", COUNTIF(F$5:F912, "ENAP carga"), "")</f>
        <v/>
      </c>
    </row>
    <row r="913" spans="12:20" x14ac:dyDescent="0.2">
      <c r="L913" s="23" t="str">
        <f t="shared" si="16"/>
        <v/>
      </c>
      <c r="Q913" t="str">
        <f>IF(F913="CJ", COUNTIF(F$5:F913, "CJ"), "")</f>
        <v/>
      </c>
      <c r="R913" t="str">
        <f>IF(F913="Ignacio", COUNTIF(F$5:F913, "Ignacio"), "")</f>
        <v/>
      </c>
      <c r="S913" t="str">
        <f>IF(F913="Tripulacion", COUNTIF(F$5:F913, "Tripulacion"), "")</f>
        <v/>
      </c>
      <c r="T913" t="str">
        <f>IF(F913="ENAP carga", COUNTIF(F$5:F913, "ENAP carga"), "")</f>
        <v/>
      </c>
    </row>
    <row r="914" spans="12:20" x14ac:dyDescent="0.2">
      <c r="L914" s="23" t="str">
        <f t="shared" si="16"/>
        <v/>
      </c>
      <c r="Q914" t="str">
        <f>IF(F914="CJ", COUNTIF(F$5:F914, "CJ"), "")</f>
        <v/>
      </c>
      <c r="R914" t="str">
        <f>IF(F914="Ignacio", COUNTIF(F$5:F914, "Ignacio"), "")</f>
        <v/>
      </c>
      <c r="S914" t="str">
        <f>IF(F914="Tripulacion", COUNTIF(F$5:F914, "Tripulacion"), "")</f>
        <v/>
      </c>
      <c r="T914" t="str">
        <f>IF(F914="ENAP carga", COUNTIF(F$5:F914, "ENAP carga"), "")</f>
        <v/>
      </c>
    </row>
    <row r="915" spans="12:20" x14ac:dyDescent="0.2">
      <c r="L915" s="23" t="str">
        <f t="shared" si="16"/>
        <v/>
      </c>
      <c r="Q915" t="str">
        <f>IF(F915="CJ", COUNTIF(F$5:F915, "CJ"), "")</f>
        <v/>
      </c>
      <c r="R915" t="str">
        <f>IF(F915="Ignacio", COUNTIF(F$5:F915, "Ignacio"), "")</f>
        <v/>
      </c>
      <c r="S915" t="str">
        <f>IF(F915="Tripulacion", COUNTIF(F$5:F915, "Tripulacion"), "")</f>
        <v/>
      </c>
      <c r="T915" t="str">
        <f>IF(F915="ENAP carga", COUNTIF(F$5:F915, "ENAP carga"), "")</f>
        <v/>
      </c>
    </row>
    <row r="916" spans="12:20" x14ac:dyDescent="0.2">
      <c r="L916" s="23" t="str">
        <f t="shared" si="16"/>
        <v/>
      </c>
      <c r="Q916" t="str">
        <f>IF(F916="CJ", COUNTIF(F$5:F916, "CJ"), "")</f>
        <v/>
      </c>
      <c r="R916" t="str">
        <f>IF(F916="Ignacio", COUNTIF(F$5:F916, "Ignacio"), "")</f>
        <v/>
      </c>
      <c r="S916" t="str">
        <f>IF(F916="Tripulacion", COUNTIF(F$5:F916, "Tripulacion"), "")</f>
        <v/>
      </c>
      <c r="T916" t="str">
        <f>IF(F916="ENAP carga", COUNTIF(F$5:F916, "ENAP carga"), "")</f>
        <v/>
      </c>
    </row>
    <row r="917" spans="12:20" x14ac:dyDescent="0.2">
      <c r="L917" s="23" t="str">
        <f t="shared" si="16"/>
        <v/>
      </c>
      <c r="Q917" t="str">
        <f>IF(F917="CJ", COUNTIF(F$5:F917, "CJ"), "")</f>
        <v/>
      </c>
      <c r="R917" t="str">
        <f>IF(F917="Ignacio", COUNTIF(F$5:F917, "Ignacio"), "")</f>
        <v/>
      </c>
      <c r="S917" t="str">
        <f>IF(F917="Tripulacion", COUNTIF(F$5:F917, "Tripulacion"), "")</f>
        <v/>
      </c>
      <c r="T917" t="str">
        <f>IF(F917="ENAP carga", COUNTIF(F$5:F917, "ENAP carga"), "")</f>
        <v/>
      </c>
    </row>
    <row r="918" spans="12:20" x14ac:dyDescent="0.2">
      <c r="L918" s="23" t="str">
        <f t="shared" si="16"/>
        <v/>
      </c>
      <c r="Q918" t="str">
        <f>IF(F918="CJ", COUNTIF(F$5:F918, "CJ"), "")</f>
        <v/>
      </c>
      <c r="R918" t="str">
        <f>IF(F918="Ignacio", COUNTIF(F$5:F918, "Ignacio"), "")</f>
        <v/>
      </c>
      <c r="S918" t="str">
        <f>IF(F918="Tripulacion", COUNTIF(F$5:F918, "Tripulacion"), "")</f>
        <v/>
      </c>
      <c r="T918" t="str">
        <f>IF(F918="ENAP carga", COUNTIF(F$5:F918, "ENAP carga"), "")</f>
        <v/>
      </c>
    </row>
    <row r="919" spans="12:20" x14ac:dyDescent="0.2">
      <c r="L919" s="23" t="str">
        <f t="shared" si="16"/>
        <v/>
      </c>
      <c r="Q919" t="str">
        <f>IF(F919="CJ", COUNTIF(F$5:F919, "CJ"), "")</f>
        <v/>
      </c>
      <c r="R919" t="str">
        <f>IF(F919="Ignacio", COUNTIF(F$5:F919, "Ignacio"), "")</f>
        <v/>
      </c>
      <c r="S919" t="str">
        <f>IF(F919="Tripulacion", COUNTIF(F$5:F919, "Tripulacion"), "")</f>
        <v/>
      </c>
      <c r="T919" t="str">
        <f>IF(F919="ENAP carga", COUNTIF(F$5:F919, "ENAP carga"), "")</f>
        <v/>
      </c>
    </row>
    <row r="920" spans="12:20" x14ac:dyDescent="0.2">
      <c r="L920" s="23" t="str">
        <f t="shared" si="16"/>
        <v/>
      </c>
      <c r="Q920" t="str">
        <f>IF(F920="CJ", COUNTIF(F$5:F920, "CJ"), "")</f>
        <v/>
      </c>
      <c r="R920" t="str">
        <f>IF(F920="Ignacio", COUNTIF(F$5:F920, "Ignacio"), "")</f>
        <v/>
      </c>
      <c r="S920" t="str">
        <f>IF(F920="Tripulacion", COUNTIF(F$5:F920, "Tripulacion"), "")</f>
        <v/>
      </c>
      <c r="T920" t="str">
        <f>IF(F920="ENAP carga", COUNTIF(F$5:F920, "ENAP carga"), "")</f>
        <v/>
      </c>
    </row>
    <row r="921" spans="12:20" x14ac:dyDescent="0.2">
      <c r="L921" s="23" t="str">
        <f t="shared" si="16"/>
        <v/>
      </c>
      <c r="Q921" t="str">
        <f>IF(F921="CJ", COUNTIF(F$5:F921, "CJ"), "")</f>
        <v/>
      </c>
      <c r="R921" t="str">
        <f>IF(F921="Ignacio", COUNTIF(F$5:F921, "Ignacio"), "")</f>
        <v/>
      </c>
      <c r="S921" t="str">
        <f>IF(F921="Tripulacion", COUNTIF(F$5:F921, "Tripulacion"), "")</f>
        <v/>
      </c>
      <c r="T921" t="str">
        <f>IF(F921="ENAP carga", COUNTIF(F$5:F921, "ENAP carga"), "")</f>
        <v/>
      </c>
    </row>
    <row r="922" spans="12:20" x14ac:dyDescent="0.2">
      <c r="L922" s="23" t="str">
        <f t="shared" si="16"/>
        <v/>
      </c>
      <c r="Q922" t="str">
        <f>IF(F922="CJ", COUNTIF(F$5:F922, "CJ"), "")</f>
        <v/>
      </c>
      <c r="R922" t="str">
        <f>IF(F922="Ignacio", COUNTIF(F$5:F922, "Ignacio"), "")</f>
        <v/>
      </c>
      <c r="S922" t="str">
        <f>IF(F922="Tripulacion", COUNTIF(F$5:F922, "Tripulacion"), "")</f>
        <v/>
      </c>
      <c r="T922" t="str">
        <f>IF(F922="ENAP carga", COUNTIF(F$5:F922, "ENAP carga"), "")</f>
        <v/>
      </c>
    </row>
    <row r="923" spans="12:20" x14ac:dyDescent="0.2">
      <c r="L923" s="23" t="str">
        <f t="shared" si="16"/>
        <v/>
      </c>
      <c r="Q923" t="str">
        <f>IF(F923="CJ", COUNTIF(F$5:F923, "CJ"), "")</f>
        <v/>
      </c>
      <c r="R923" t="str">
        <f>IF(F923="Ignacio", COUNTIF(F$5:F923, "Ignacio"), "")</f>
        <v/>
      </c>
      <c r="S923" t="str">
        <f>IF(F923="Tripulacion", COUNTIF(F$5:F923, "Tripulacion"), "")</f>
        <v/>
      </c>
      <c r="T923" t="str">
        <f>IF(F923="ENAP carga", COUNTIF(F$5:F923, "ENAP carga"), "")</f>
        <v/>
      </c>
    </row>
    <row r="924" spans="12:20" x14ac:dyDescent="0.2">
      <c r="L924" s="23" t="str">
        <f t="shared" si="16"/>
        <v/>
      </c>
      <c r="Q924" t="str">
        <f>IF(F924="CJ", COUNTIF(F$5:F924, "CJ"), "")</f>
        <v/>
      </c>
      <c r="R924" t="str">
        <f>IF(F924="Ignacio", COUNTIF(F$5:F924, "Ignacio"), "")</f>
        <v/>
      </c>
      <c r="S924" t="str">
        <f>IF(F924="Tripulacion", COUNTIF(F$5:F924, "Tripulacion"), "")</f>
        <v/>
      </c>
      <c r="T924" t="str">
        <f>IF(F924="ENAP carga", COUNTIF(F$5:F924, "ENAP carga"), "")</f>
        <v/>
      </c>
    </row>
    <row r="925" spans="12:20" x14ac:dyDescent="0.2">
      <c r="L925" s="23" t="str">
        <f t="shared" si="16"/>
        <v/>
      </c>
      <c r="Q925" t="str">
        <f>IF(F925="CJ", COUNTIF(F$5:F925, "CJ"), "")</f>
        <v/>
      </c>
      <c r="R925" t="str">
        <f>IF(F925="Ignacio", COUNTIF(F$5:F925, "Ignacio"), "")</f>
        <v/>
      </c>
      <c r="S925" t="str">
        <f>IF(F925="Tripulacion", COUNTIF(F$5:F925, "Tripulacion"), "")</f>
        <v/>
      </c>
      <c r="T925" t="str">
        <f>IF(F925="ENAP carga", COUNTIF(F$5:F925, "ENAP carga"), "")</f>
        <v/>
      </c>
    </row>
    <row r="926" spans="12:20" x14ac:dyDescent="0.2">
      <c r="L926" s="23" t="str">
        <f t="shared" si="16"/>
        <v/>
      </c>
      <c r="Q926" t="str">
        <f>IF(F926="CJ", COUNTIF(F$5:F926, "CJ"), "")</f>
        <v/>
      </c>
      <c r="R926" t="str">
        <f>IF(F926="Ignacio", COUNTIF(F$5:F926, "Ignacio"), "")</f>
        <v/>
      </c>
      <c r="S926" t="str">
        <f>IF(F926="Tripulacion", COUNTIF(F$5:F926, "Tripulacion"), "")</f>
        <v/>
      </c>
      <c r="T926" t="str">
        <f>IF(F926="ENAP carga", COUNTIF(F$5:F926, "ENAP carga"), "")</f>
        <v/>
      </c>
    </row>
    <row r="927" spans="12:20" x14ac:dyDescent="0.2">
      <c r="L927" s="23" t="str">
        <f t="shared" si="16"/>
        <v/>
      </c>
      <c r="Q927" t="str">
        <f>IF(F927="CJ", COUNTIF(F$5:F927, "CJ"), "")</f>
        <v/>
      </c>
      <c r="R927" t="str">
        <f>IF(F927="Ignacio", COUNTIF(F$5:F927, "Ignacio"), "")</f>
        <v/>
      </c>
      <c r="S927" t="str">
        <f>IF(F927="Tripulacion", COUNTIF(F$5:F927, "Tripulacion"), "")</f>
        <v/>
      </c>
      <c r="T927" t="str">
        <f>IF(F927="ENAP carga", COUNTIF(F$5:F927, "ENAP carga"), "")</f>
        <v/>
      </c>
    </row>
    <row r="928" spans="12:20" x14ac:dyDescent="0.2">
      <c r="L928" s="23" t="str">
        <f t="shared" si="16"/>
        <v/>
      </c>
      <c r="Q928" t="str">
        <f>IF(F928="CJ", COUNTIF(F$5:F928, "CJ"), "")</f>
        <v/>
      </c>
      <c r="R928" t="str">
        <f>IF(F928="Ignacio", COUNTIF(F$5:F928, "Ignacio"), "")</f>
        <v/>
      </c>
      <c r="S928" t="str">
        <f>IF(F928="Tripulacion", COUNTIF(F$5:F928, "Tripulacion"), "")</f>
        <v/>
      </c>
      <c r="T928" t="str">
        <f>IF(F928="ENAP carga", COUNTIF(F$5:F928, "ENAP carga"), "")</f>
        <v/>
      </c>
    </row>
    <row r="929" spans="12:20" x14ac:dyDescent="0.2">
      <c r="L929" s="23" t="str">
        <f t="shared" si="16"/>
        <v/>
      </c>
      <c r="Q929" t="str">
        <f>IF(F929="CJ", COUNTIF(F$5:F929, "CJ"), "")</f>
        <v/>
      </c>
      <c r="R929" t="str">
        <f>IF(F929="Ignacio", COUNTIF(F$5:F929, "Ignacio"), "")</f>
        <v/>
      </c>
      <c r="S929" t="str">
        <f>IF(F929="Tripulacion", COUNTIF(F$5:F929, "Tripulacion"), "")</f>
        <v/>
      </c>
      <c r="T929" t="str">
        <f>IF(F929="ENAP carga", COUNTIF(F$5:F929, "ENAP carga"), "")</f>
        <v/>
      </c>
    </row>
    <row r="930" spans="12:20" x14ac:dyDescent="0.2">
      <c r="L930" s="23" t="str">
        <f t="shared" si="16"/>
        <v/>
      </c>
      <c r="Q930" t="str">
        <f>IF(F930="CJ", COUNTIF(F$5:F930, "CJ"), "")</f>
        <v/>
      </c>
      <c r="R930" t="str">
        <f>IF(F930="Ignacio", COUNTIF(F$5:F930, "Ignacio"), "")</f>
        <v/>
      </c>
      <c r="S930" t="str">
        <f>IF(F930="Tripulacion", COUNTIF(F$5:F930, "Tripulacion"), "")</f>
        <v/>
      </c>
      <c r="T930" t="str">
        <f>IF(F930="ENAP carga", COUNTIF(F$5:F930, "ENAP carga"), "")</f>
        <v/>
      </c>
    </row>
    <row r="931" spans="12:20" x14ac:dyDescent="0.2">
      <c r="L931" s="23" t="str">
        <f t="shared" si="16"/>
        <v/>
      </c>
      <c r="Q931" t="str">
        <f>IF(F931="CJ", COUNTIF(F$5:F931, "CJ"), "")</f>
        <v/>
      </c>
      <c r="R931" t="str">
        <f>IF(F931="Ignacio", COUNTIF(F$5:F931, "Ignacio"), "")</f>
        <v/>
      </c>
      <c r="S931" t="str">
        <f>IF(F931="Tripulacion", COUNTIF(F$5:F931, "Tripulacion"), "")</f>
        <v/>
      </c>
      <c r="T931" t="str">
        <f>IF(F931="ENAP carga", COUNTIF(F$5:F931, "ENAP carga"), "")</f>
        <v/>
      </c>
    </row>
    <row r="932" spans="12:20" x14ac:dyDescent="0.2">
      <c r="L932" s="23" t="str">
        <f t="shared" si="16"/>
        <v/>
      </c>
      <c r="Q932" t="str">
        <f>IF(F932="CJ", COUNTIF(F$5:F932, "CJ"), "")</f>
        <v/>
      </c>
      <c r="R932" t="str">
        <f>IF(F932="Ignacio", COUNTIF(F$5:F932, "Ignacio"), "")</f>
        <v/>
      </c>
      <c r="S932" t="str">
        <f>IF(F932="Tripulacion", COUNTIF(F$5:F932, "Tripulacion"), "")</f>
        <v/>
      </c>
      <c r="T932" t="str">
        <f>IF(F932="ENAP carga", COUNTIF(F$5:F932, "ENAP carga"), "")</f>
        <v/>
      </c>
    </row>
    <row r="933" spans="12:20" x14ac:dyDescent="0.2">
      <c r="L933" s="23" t="str">
        <f t="shared" si="16"/>
        <v/>
      </c>
      <c r="Q933" t="str">
        <f>IF(F933="CJ", COUNTIF(F$5:F933, "CJ"), "")</f>
        <v/>
      </c>
      <c r="R933" t="str">
        <f>IF(F933="Ignacio", COUNTIF(F$5:F933, "Ignacio"), "")</f>
        <v/>
      </c>
      <c r="S933" t="str">
        <f>IF(F933="Tripulacion", COUNTIF(F$5:F933, "Tripulacion"), "")</f>
        <v/>
      </c>
      <c r="T933" t="str">
        <f>IF(F933="ENAP carga", COUNTIF(F$5:F933, "ENAP carga"), "")</f>
        <v/>
      </c>
    </row>
    <row r="934" spans="12:20" x14ac:dyDescent="0.2">
      <c r="L934" s="23" t="str">
        <f t="shared" si="16"/>
        <v/>
      </c>
      <c r="Q934" t="str">
        <f>IF(F934="CJ", COUNTIF(F$5:F934, "CJ"), "")</f>
        <v/>
      </c>
      <c r="R934" t="str">
        <f>IF(F934="Ignacio", COUNTIF(F$5:F934, "Ignacio"), "")</f>
        <v/>
      </c>
      <c r="S934" t="str">
        <f>IF(F934="Tripulacion", COUNTIF(F$5:F934, "Tripulacion"), "")</f>
        <v/>
      </c>
      <c r="T934" t="str">
        <f>IF(F934="ENAP carga", COUNTIF(F$5:F934, "ENAP carga"), "")</f>
        <v/>
      </c>
    </row>
    <row r="935" spans="12:20" x14ac:dyDescent="0.2">
      <c r="L935" s="23" t="str">
        <f t="shared" si="16"/>
        <v/>
      </c>
      <c r="Q935" t="str">
        <f>IF(F935="CJ", COUNTIF(F$5:F935, "CJ"), "")</f>
        <v/>
      </c>
      <c r="R935" t="str">
        <f>IF(F935="Ignacio", COUNTIF(F$5:F935, "Ignacio"), "")</f>
        <v/>
      </c>
      <c r="S935" t="str">
        <f>IF(F935="Tripulacion", COUNTIF(F$5:F935, "Tripulacion"), "")</f>
        <v/>
      </c>
      <c r="T935" t="str">
        <f>IF(F935="ENAP carga", COUNTIF(F$5:F935, "ENAP carga"), "")</f>
        <v/>
      </c>
    </row>
    <row r="936" spans="12:20" x14ac:dyDescent="0.2">
      <c r="L936" s="23" t="str">
        <f t="shared" si="16"/>
        <v/>
      </c>
      <c r="Q936" t="str">
        <f>IF(F936="CJ", COUNTIF(F$5:F936, "CJ"), "")</f>
        <v/>
      </c>
      <c r="R936" t="str">
        <f>IF(F936="Ignacio", COUNTIF(F$5:F936, "Ignacio"), "")</f>
        <v/>
      </c>
      <c r="S936" t="str">
        <f>IF(F936="Tripulacion", COUNTIF(F$5:F936, "Tripulacion"), "")</f>
        <v/>
      </c>
      <c r="T936" t="str">
        <f>IF(F936="ENAP carga", COUNTIF(F$5:F936, "ENAP carga"), "")</f>
        <v/>
      </c>
    </row>
    <row r="937" spans="12:20" x14ac:dyDescent="0.2">
      <c r="L937" s="23" t="str">
        <f t="shared" si="16"/>
        <v/>
      </c>
      <c r="Q937" t="str">
        <f>IF(F937="CJ", COUNTIF(F$5:F937, "CJ"), "")</f>
        <v/>
      </c>
      <c r="R937" t="str">
        <f>IF(F937="Ignacio", COUNTIF(F$5:F937, "Ignacio"), "")</f>
        <v/>
      </c>
      <c r="S937" t="str">
        <f>IF(F937="Tripulacion", COUNTIF(F$5:F937, "Tripulacion"), "")</f>
        <v/>
      </c>
      <c r="T937" t="str">
        <f>IF(F937="ENAP carga", COUNTIF(F$5:F937, "ENAP carga"), "")</f>
        <v/>
      </c>
    </row>
    <row r="938" spans="12:20" x14ac:dyDescent="0.2">
      <c r="L938" s="23" t="str">
        <f t="shared" si="16"/>
        <v/>
      </c>
      <c r="Q938" t="str">
        <f>IF(F938="CJ", COUNTIF(F$5:F938, "CJ"), "")</f>
        <v/>
      </c>
      <c r="R938" t="str">
        <f>IF(F938="Ignacio", COUNTIF(F$5:F938, "Ignacio"), "")</f>
        <v/>
      </c>
      <c r="S938" t="str">
        <f>IF(F938="Tripulacion", COUNTIF(F$5:F938, "Tripulacion"), "")</f>
        <v/>
      </c>
      <c r="T938" t="str">
        <f>IF(F938="ENAP carga", COUNTIF(F$5:F938, "ENAP carga"), "")</f>
        <v/>
      </c>
    </row>
    <row r="939" spans="12:20" x14ac:dyDescent="0.2">
      <c r="L939" s="23" t="str">
        <f t="shared" si="16"/>
        <v/>
      </c>
      <c r="Q939" t="str">
        <f>IF(F939="CJ", COUNTIF(F$5:F939, "CJ"), "")</f>
        <v/>
      </c>
      <c r="R939" t="str">
        <f>IF(F939="Ignacio", COUNTIF(F$5:F939, "Ignacio"), "")</f>
        <v/>
      </c>
      <c r="S939" t="str">
        <f>IF(F939="Tripulacion", COUNTIF(F$5:F939, "Tripulacion"), "")</f>
        <v/>
      </c>
      <c r="T939" t="str">
        <f>IF(F939="ENAP carga", COUNTIF(F$5:F939, "ENAP carga"), "")</f>
        <v/>
      </c>
    </row>
    <row r="940" spans="12:20" x14ac:dyDescent="0.2">
      <c r="L940" s="23" t="str">
        <f t="shared" si="16"/>
        <v/>
      </c>
      <c r="Q940" t="str">
        <f>IF(F940="CJ", COUNTIF(F$5:F940, "CJ"), "")</f>
        <v/>
      </c>
      <c r="R940" t="str">
        <f>IF(F940="Ignacio", COUNTIF(F$5:F940, "Ignacio"), "")</f>
        <v/>
      </c>
      <c r="S940" t="str">
        <f>IF(F940="Tripulacion", COUNTIF(F$5:F940, "Tripulacion"), "")</f>
        <v/>
      </c>
      <c r="T940" t="str">
        <f>IF(F940="ENAP carga", COUNTIF(F$5:F940, "ENAP carga"), "")</f>
        <v/>
      </c>
    </row>
    <row r="941" spans="12:20" x14ac:dyDescent="0.2">
      <c r="L941" s="23" t="str">
        <f t="shared" si="16"/>
        <v/>
      </c>
      <c r="Q941" t="str">
        <f>IF(F941="CJ", COUNTIF(F$5:F941, "CJ"), "")</f>
        <v/>
      </c>
      <c r="R941" t="str">
        <f>IF(F941="Ignacio", COUNTIF(F$5:F941, "Ignacio"), "")</f>
        <v/>
      </c>
      <c r="S941" t="str">
        <f>IF(F941="Tripulacion", COUNTIF(F$5:F941, "Tripulacion"), "")</f>
        <v/>
      </c>
      <c r="T941" t="str">
        <f>IF(F941="ENAP carga", COUNTIF(F$5:F941, "ENAP carga"), "")</f>
        <v/>
      </c>
    </row>
    <row r="942" spans="12:20" x14ac:dyDescent="0.2">
      <c r="L942" s="23" t="str">
        <f t="shared" si="16"/>
        <v/>
      </c>
      <c r="Q942" t="str">
        <f>IF(F942="CJ", COUNTIF(F$5:F942, "CJ"), "")</f>
        <v/>
      </c>
      <c r="R942" t="str">
        <f>IF(F942="Ignacio", COUNTIF(F$5:F942, "Ignacio"), "")</f>
        <v/>
      </c>
      <c r="S942" t="str">
        <f>IF(F942="Tripulacion", COUNTIF(F$5:F942, "Tripulacion"), "")</f>
        <v/>
      </c>
      <c r="T942" t="str">
        <f>IF(F942="ENAP carga", COUNTIF(F$5:F942, "ENAP carga"), "")</f>
        <v/>
      </c>
    </row>
    <row r="943" spans="12:20" x14ac:dyDescent="0.2">
      <c r="L943" s="23" t="str">
        <f t="shared" si="16"/>
        <v/>
      </c>
      <c r="Q943" t="str">
        <f>IF(F943="CJ", COUNTIF(F$5:F943, "CJ"), "")</f>
        <v/>
      </c>
      <c r="R943" t="str">
        <f>IF(F943="Ignacio", COUNTIF(F$5:F943, "Ignacio"), "")</f>
        <v/>
      </c>
      <c r="S943" t="str">
        <f>IF(F943="Tripulacion", COUNTIF(F$5:F943, "Tripulacion"), "")</f>
        <v/>
      </c>
      <c r="T943" t="str">
        <f>IF(F943="ENAP carga", COUNTIF(F$5:F943, "ENAP carga"), "")</f>
        <v/>
      </c>
    </row>
    <row r="944" spans="12:20" x14ac:dyDescent="0.2">
      <c r="L944" s="23" t="str">
        <f t="shared" si="16"/>
        <v/>
      </c>
      <c r="Q944" t="str">
        <f>IF(F944="CJ", COUNTIF(F$5:F944, "CJ"), "")</f>
        <v/>
      </c>
      <c r="R944" t="str">
        <f>IF(F944="Ignacio", COUNTIF(F$5:F944, "Ignacio"), "")</f>
        <v/>
      </c>
      <c r="S944" t="str">
        <f>IF(F944="Tripulacion", COUNTIF(F$5:F944, "Tripulacion"), "")</f>
        <v/>
      </c>
      <c r="T944" t="str">
        <f>IF(F944="ENAP carga", COUNTIF(F$5:F944, "ENAP carga"), "")</f>
        <v/>
      </c>
    </row>
    <row r="945" spans="12:20" x14ac:dyDescent="0.2">
      <c r="L945" s="23" t="str">
        <f t="shared" si="16"/>
        <v/>
      </c>
      <c r="Q945" t="str">
        <f>IF(F945="CJ", COUNTIF(F$5:F945, "CJ"), "")</f>
        <v/>
      </c>
      <c r="R945" t="str">
        <f>IF(F945="Ignacio", COUNTIF(F$5:F945, "Ignacio"), "")</f>
        <v/>
      </c>
      <c r="S945" t="str">
        <f>IF(F945="Tripulacion", COUNTIF(F$5:F945, "Tripulacion"), "")</f>
        <v/>
      </c>
      <c r="T945" t="str">
        <f>IF(F945="ENAP carga", COUNTIF(F$5:F945, "ENAP carga"), "")</f>
        <v/>
      </c>
    </row>
    <row r="946" spans="12:20" x14ac:dyDescent="0.2">
      <c r="L946" s="23" t="str">
        <f t="shared" si="16"/>
        <v/>
      </c>
      <c r="Q946" t="str">
        <f>IF(F946="CJ", COUNTIF(F$5:F946, "CJ"), "")</f>
        <v/>
      </c>
      <c r="R946" t="str">
        <f>IF(F946="Ignacio", COUNTIF(F$5:F946, "Ignacio"), "")</f>
        <v/>
      </c>
      <c r="S946" t="str">
        <f>IF(F946="Tripulacion", COUNTIF(F$5:F946, "Tripulacion"), "")</f>
        <v/>
      </c>
      <c r="T946" t="str">
        <f>IF(F946="ENAP carga", COUNTIF(F$5:F946, "ENAP carga"), "")</f>
        <v/>
      </c>
    </row>
    <row r="947" spans="12:20" x14ac:dyDescent="0.2">
      <c r="L947" s="23" t="str">
        <f t="shared" si="16"/>
        <v/>
      </c>
      <c r="Q947" t="str">
        <f>IF(F947="CJ", COUNTIF(F$5:F947, "CJ"), "")</f>
        <v/>
      </c>
      <c r="R947" t="str">
        <f>IF(F947="Ignacio", COUNTIF(F$5:F947, "Ignacio"), "")</f>
        <v/>
      </c>
      <c r="S947" t="str">
        <f>IF(F947="Tripulacion", COUNTIF(F$5:F947, "Tripulacion"), "")</f>
        <v/>
      </c>
      <c r="T947" t="str">
        <f>IF(F947="ENAP carga", COUNTIF(F$5:F947, "ENAP carga"), "")</f>
        <v/>
      </c>
    </row>
    <row r="948" spans="12:20" x14ac:dyDescent="0.2">
      <c r="L948" s="23" t="str">
        <f t="shared" si="16"/>
        <v/>
      </c>
      <c r="Q948" t="str">
        <f>IF(F948="CJ", COUNTIF(F$5:F948, "CJ"), "")</f>
        <v/>
      </c>
      <c r="R948" t="str">
        <f>IF(F948="Ignacio", COUNTIF(F$5:F948, "Ignacio"), "")</f>
        <v/>
      </c>
      <c r="S948" t="str">
        <f>IF(F948="Tripulacion", COUNTIF(F$5:F948, "Tripulacion"), "")</f>
        <v/>
      </c>
      <c r="T948" t="str">
        <f>IF(F948="ENAP carga", COUNTIF(F$5:F948, "ENAP carga"), "")</f>
        <v/>
      </c>
    </row>
    <row r="949" spans="12:20" x14ac:dyDescent="0.2">
      <c r="L949" s="23" t="str">
        <f t="shared" si="16"/>
        <v/>
      </c>
      <c r="Q949" t="str">
        <f>IF(F949="CJ", COUNTIF(F$5:F949, "CJ"), "")</f>
        <v/>
      </c>
      <c r="R949" t="str">
        <f>IF(F949="Ignacio", COUNTIF(F$5:F949, "Ignacio"), "")</f>
        <v/>
      </c>
      <c r="S949" t="str">
        <f>IF(F949="Tripulacion", COUNTIF(F$5:F949, "Tripulacion"), "")</f>
        <v/>
      </c>
      <c r="T949" t="str">
        <f>IF(F949="ENAP carga", COUNTIF(F$5:F949, "ENAP carga"), "")</f>
        <v/>
      </c>
    </row>
    <row r="950" spans="12:20" x14ac:dyDescent="0.2">
      <c r="L950" s="23" t="str">
        <f t="shared" si="16"/>
        <v/>
      </c>
      <c r="Q950" t="str">
        <f>IF(F950="CJ", COUNTIF(F$5:F950, "CJ"), "")</f>
        <v/>
      </c>
      <c r="R950" t="str">
        <f>IF(F950="Ignacio", COUNTIF(F$5:F950, "Ignacio"), "")</f>
        <v/>
      </c>
      <c r="S950" t="str">
        <f>IF(F950="Tripulacion", COUNTIF(F$5:F950, "Tripulacion"), "")</f>
        <v/>
      </c>
      <c r="T950" t="str">
        <f>IF(F950="ENAP carga", COUNTIF(F$5:F950, "ENAP carga"), "")</f>
        <v/>
      </c>
    </row>
    <row r="951" spans="12:20" x14ac:dyDescent="0.2">
      <c r="L951" s="23" t="str">
        <f t="shared" si="16"/>
        <v/>
      </c>
      <c r="Q951" t="str">
        <f>IF(F951="CJ", COUNTIF(F$5:F951, "CJ"), "")</f>
        <v/>
      </c>
      <c r="R951" t="str">
        <f>IF(F951="Ignacio", COUNTIF(F$5:F951, "Ignacio"), "")</f>
        <v/>
      </c>
      <c r="S951" t="str">
        <f>IF(F951="Tripulacion", COUNTIF(F$5:F951, "Tripulacion"), "")</f>
        <v/>
      </c>
      <c r="T951" t="str">
        <f>IF(F951="ENAP carga", COUNTIF(F$5:F951, "ENAP carga"), "")</f>
        <v/>
      </c>
    </row>
    <row r="952" spans="12:20" x14ac:dyDescent="0.2">
      <c r="L952" s="23" t="str">
        <f t="shared" si="16"/>
        <v/>
      </c>
      <c r="Q952" t="str">
        <f>IF(F952="CJ", COUNTIF(F$5:F952, "CJ"), "")</f>
        <v/>
      </c>
      <c r="R952" t="str">
        <f>IF(F952="Ignacio", COUNTIF(F$5:F952, "Ignacio"), "")</f>
        <v/>
      </c>
      <c r="S952" t="str">
        <f>IF(F952="Tripulacion", COUNTIF(F$5:F952, "Tripulacion"), "")</f>
        <v/>
      </c>
      <c r="T952" t="str">
        <f>IF(F952="ENAP carga", COUNTIF(F$5:F952, "ENAP carga"), "")</f>
        <v/>
      </c>
    </row>
    <row r="953" spans="12:20" x14ac:dyDescent="0.2">
      <c r="L953" s="23" t="str">
        <f t="shared" si="16"/>
        <v/>
      </c>
      <c r="Q953" t="str">
        <f>IF(F953="CJ", COUNTIF(F$5:F953, "CJ"), "")</f>
        <v/>
      </c>
      <c r="R953" t="str">
        <f>IF(F953="Ignacio", COUNTIF(F$5:F953, "Ignacio"), "")</f>
        <v/>
      </c>
      <c r="S953" t="str">
        <f>IF(F953="Tripulacion", COUNTIF(F$5:F953, "Tripulacion"), "")</f>
        <v/>
      </c>
      <c r="T953" t="str">
        <f>IF(F953="ENAP carga", COUNTIF(F$5:F953, "ENAP carga"), "")</f>
        <v/>
      </c>
    </row>
    <row r="954" spans="12:20" x14ac:dyDescent="0.2">
      <c r="L954" s="23" t="str">
        <f t="shared" si="16"/>
        <v/>
      </c>
      <c r="Q954" t="str">
        <f>IF(F954="CJ", COUNTIF(F$5:F954, "CJ"), "")</f>
        <v/>
      </c>
      <c r="R954" t="str">
        <f>IF(F954="Ignacio", COUNTIF(F$5:F954, "Ignacio"), "")</f>
        <v/>
      </c>
      <c r="S954" t="str">
        <f>IF(F954="Tripulacion", COUNTIF(F$5:F954, "Tripulacion"), "")</f>
        <v/>
      </c>
      <c r="T954" t="str">
        <f>IF(F954="ENAP carga", COUNTIF(F$5:F954, "ENAP carga"), "")</f>
        <v/>
      </c>
    </row>
    <row r="955" spans="12:20" x14ac:dyDescent="0.2">
      <c r="L955" s="23" t="str">
        <f t="shared" si="16"/>
        <v/>
      </c>
      <c r="Q955" t="str">
        <f>IF(F955="CJ", COUNTIF(F$5:F955, "CJ"), "")</f>
        <v/>
      </c>
      <c r="R955" t="str">
        <f>IF(F955="Ignacio", COUNTIF(F$5:F955, "Ignacio"), "")</f>
        <v/>
      </c>
      <c r="S955" t="str">
        <f>IF(F955="Tripulacion", COUNTIF(F$5:F955, "Tripulacion"), "")</f>
        <v/>
      </c>
      <c r="T955" t="str">
        <f>IF(F955="ENAP carga", COUNTIF(F$5:F955, "ENAP carga"), "")</f>
        <v/>
      </c>
    </row>
    <row r="956" spans="12:20" x14ac:dyDescent="0.2">
      <c r="L956" s="23" t="str">
        <f t="shared" si="16"/>
        <v/>
      </c>
      <c r="Q956" t="str">
        <f>IF(F956="CJ", COUNTIF(F$5:F956, "CJ"), "")</f>
        <v/>
      </c>
      <c r="R956" t="str">
        <f>IF(F956="Ignacio", COUNTIF(F$5:F956, "Ignacio"), "")</f>
        <v/>
      </c>
      <c r="S956" t="str">
        <f>IF(F956="Tripulacion", COUNTIF(F$5:F956, "Tripulacion"), "")</f>
        <v/>
      </c>
      <c r="T956" t="str">
        <f>IF(F956="ENAP carga", COUNTIF(F$5:F956, "ENAP carga"), "")</f>
        <v/>
      </c>
    </row>
    <row r="957" spans="12:20" x14ac:dyDescent="0.2">
      <c r="L957" s="23" t="str">
        <f t="shared" si="16"/>
        <v/>
      </c>
      <c r="Q957" t="str">
        <f>IF(F957="CJ", COUNTIF(F$5:F957, "CJ"), "")</f>
        <v/>
      </c>
      <c r="R957" t="str">
        <f>IF(F957="Ignacio", COUNTIF(F$5:F957, "Ignacio"), "")</f>
        <v/>
      </c>
      <c r="S957" t="str">
        <f>IF(F957="Tripulacion", COUNTIF(F$5:F957, "Tripulacion"), "")</f>
        <v/>
      </c>
      <c r="T957" t="str">
        <f>IF(F957="ENAP carga", COUNTIF(F$5:F957, "ENAP carga"), "")</f>
        <v/>
      </c>
    </row>
    <row r="958" spans="12:20" x14ac:dyDescent="0.2">
      <c r="L958" s="23" t="str">
        <f t="shared" si="16"/>
        <v/>
      </c>
      <c r="Q958" t="str">
        <f>IF(F958="CJ", COUNTIF(F$5:F958, "CJ"), "")</f>
        <v/>
      </c>
      <c r="R958" t="str">
        <f>IF(F958="Ignacio", COUNTIF(F$5:F958, "Ignacio"), "")</f>
        <v/>
      </c>
      <c r="S958" t="str">
        <f>IF(F958="Tripulacion", COUNTIF(F$5:F958, "Tripulacion"), "")</f>
        <v/>
      </c>
      <c r="T958" t="str">
        <f>IF(F958="ENAP carga", COUNTIF(F$5:F958, "ENAP carga"), "")</f>
        <v/>
      </c>
    </row>
    <row r="959" spans="12:20" x14ac:dyDescent="0.2">
      <c r="L959" s="23" t="str">
        <f t="shared" si="16"/>
        <v/>
      </c>
      <c r="Q959" t="str">
        <f>IF(F959="CJ", COUNTIF(F$5:F959, "CJ"), "")</f>
        <v/>
      </c>
      <c r="R959" t="str">
        <f>IF(F959="Ignacio", COUNTIF(F$5:F959, "Ignacio"), "")</f>
        <v/>
      </c>
      <c r="S959" t="str">
        <f>IF(F959="Tripulacion", COUNTIF(F$5:F959, "Tripulacion"), "")</f>
        <v/>
      </c>
      <c r="T959" t="str">
        <f>IF(F959="ENAP carga", COUNTIF(F$5:F959, "ENAP carga"), "")</f>
        <v/>
      </c>
    </row>
    <row r="960" spans="12:20" x14ac:dyDescent="0.2">
      <c r="L960" s="23" t="str">
        <f t="shared" si="16"/>
        <v/>
      </c>
      <c r="Q960" t="str">
        <f>IF(F960="CJ", COUNTIF(F$5:F960, "CJ"), "")</f>
        <v/>
      </c>
      <c r="R960" t="str">
        <f>IF(F960="Ignacio", COUNTIF(F$5:F960, "Ignacio"), "")</f>
        <v/>
      </c>
      <c r="S960" t="str">
        <f>IF(F960="Tripulacion", COUNTIF(F$5:F960, "Tripulacion"), "")</f>
        <v/>
      </c>
      <c r="T960" t="str">
        <f>IF(F960="ENAP carga", COUNTIF(F$5:F960, "ENAP carga"), "")</f>
        <v/>
      </c>
    </row>
    <row r="961" spans="12:20" x14ac:dyDescent="0.2">
      <c r="L961" s="23" t="str">
        <f t="shared" si="16"/>
        <v/>
      </c>
      <c r="Q961" t="str">
        <f>IF(F961="CJ", COUNTIF(F$5:F961, "CJ"), "")</f>
        <v/>
      </c>
      <c r="R961" t="str">
        <f>IF(F961="Ignacio", COUNTIF(F$5:F961, "Ignacio"), "")</f>
        <v/>
      </c>
      <c r="S961" t="str">
        <f>IF(F961="Tripulacion", COUNTIF(F$5:F961, "Tripulacion"), "")</f>
        <v/>
      </c>
      <c r="T961" t="str">
        <f>IF(F961="ENAP carga", COUNTIF(F$5:F961, "ENAP carga"), "")</f>
        <v/>
      </c>
    </row>
    <row r="962" spans="12:20" x14ac:dyDescent="0.2">
      <c r="L962" s="23" t="str">
        <f t="shared" si="16"/>
        <v/>
      </c>
      <c r="Q962" t="str">
        <f>IF(F962="CJ", COUNTIF(F$5:F962, "CJ"), "")</f>
        <v/>
      </c>
      <c r="R962" t="str">
        <f>IF(F962="Ignacio", COUNTIF(F$5:F962, "Ignacio"), "")</f>
        <v/>
      </c>
      <c r="S962" t="str">
        <f>IF(F962="Tripulacion", COUNTIF(F$5:F962, "Tripulacion"), "")</f>
        <v/>
      </c>
      <c r="T962" t="str">
        <f>IF(F962="ENAP carga", COUNTIF(F$5:F962, "ENAP carga"), "")</f>
        <v/>
      </c>
    </row>
    <row r="963" spans="12:20" x14ac:dyDescent="0.2">
      <c r="L963" s="23" t="str">
        <f t="shared" si="16"/>
        <v/>
      </c>
      <c r="Q963" t="str">
        <f>IF(F963="CJ", COUNTIF(F$5:F963, "CJ"), "")</f>
        <v/>
      </c>
      <c r="R963" t="str">
        <f>IF(F963="Ignacio", COUNTIF(F$5:F963, "Ignacio"), "")</f>
        <v/>
      </c>
      <c r="S963" t="str">
        <f>IF(F963="Tripulacion", COUNTIF(F$5:F963, "Tripulacion"), "")</f>
        <v/>
      </c>
      <c r="T963" t="str">
        <f>IF(F963="ENAP carga", COUNTIF(F$5:F963, "ENAP carga"), "")</f>
        <v/>
      </c>
    </row>
    <row r="964" spans="12:20" x14ac:dyDescent="0.2">
      <c r="L964" s="23" t="str">
        <f t="shared" si="16"/>
        <v/>
      </c>
      <c r="Q964" t="str">
        <f>IF(F964="CJ", COUNTIF(F$5:F964, "CJ"), "")</f>
        <v/>
      </c>
      <c r="R964" t="str">
        <f>IF(F964="Ignacio", COUNTIF(F$5:F964, "Ignacio"), "")</f>
        <v/>
      </c>
      <c r="S964" t="str">
        <f>IF(F964="Tripulacion", COUNTIF(F$5:F964, "Tripulacion"), "")</f>
        <v/>
      </c>
      <c r="T964" t="str">
        <f>IF(F964="ENAP carga", COUNTIF(F$5:F964, "ENAP carga"), "")</f>
        <v/>
      </c>
    </row>
    <row r="965" spans="12:20" x14ac:dyDescent="0.2">
      <c r="L965" s="23" t="str">
        <f t="shared" si="16"/>
        <v/>
      </c>
      <c r="Q965" t="str">
        <f>IF(F965="CJ", COUNTIF(F$5:F965, "CJ"), "")</f>
        <v/>
      </c>
      <c r="R965" t="str">
        <f>IF(F965="Ignacio", COUNTIF(F$5:F965, "Ignacio"), "")</f>
        <v/>
      </c>
      <c r="S965" t="str">
        <f>IF(F965="Tripulacion", COUNTIF(F$5:F965, "Tripulacion"), "")</f>
        <v/>
      </c>
      <c r="T965" t="str">
        <f>IF(F965="ENAP carga", COUNTIF(F$5:F965, "ENAP carga"), "")</f>
        <v/>
      </c>
    </row>
    <row r="966" spans="12:20" x14ac:dyDescent="0.2">
      <c r="L966" s="23" t="str">
        <f t="shared" si="16"/>
        <v/>
      </c>
      <c r="Q966" t="str">
        <f>IF(F966="CJ", COUNTIF(F$5:F966, "CJ"), "")</f>
        <v/>
      </c>
      <c r="R966" t="str">
        <f>IF(F966="Ignacio", COUNTIF(F$5:F966, "Ignacio"), "")</f>
        <v/>
      </c>
      <c r="S966" t="str">
        <f>IF(F966="Tripulacion", COUNTIF(F$5:F966, "Tripulacion"), "")</f>
        <v/>
      </c>
      <c r="T966" t="str">
        <f>IF(F966="ENAP carga", COUNTIF(F$5:F966, "ENAP carga"), "")</f>
        <v/>
      </c>
    </row>
    <row r="967" spans="12:20" x14ac:dyDescent="0.2">
      <c r="L967" s="23" t="str">
        <f t="shared" si="16"/>
        <v/>
      </c>
      <c r="Q967" t="str">
        <f>IF(F967="CJ", COUNTIF(F$5:F967, "CJ"), "")</f>
        <v/>
      </c>
      <c r="R967" t="str">
        <f>IF(F967="Ignacio", COUNTIF(F$5:F967, "Ignacio"), "")</f>
        <v/>
      </c>
      <c r="S967" t="str">
        <f>IF(F967="Tripulacion", COUNTIF(F$5:F967, "Tripulacion"), "")</f>
        <v/>
      </c>
      <c r="T967" t="str">
        <f>IF(F967="ENAP carga", COUNTIF(F$5:F967, "ENAP carga"), "")</f>
        <v/>
      </c>
    </row>
    <row r="968" spans="12:20" x14ac:dyDescent="0.2">
      <c r="L968" s="23" t="str">
        <f t="shared" si="16"/>
        <v/>
      </c>
      <c r="Q968" t="str">
        <f>IF(F968="CJ", COUNTIF(F$5:F968, "CJ"), "")</f>
        <v/>
      </c>
      <c r="R968" t="str">
        <f>IF(F968="Ignacio", COUNTIF(F$5:F968, "Ignacio"), "")</f>
        <v/>
      </c>
      <c r="S968" t="str">
        <f>IF(F968="Tripulacion", COUNTIF(F$5:F968, "Tripulacion"), "")</f>
        <v/>
      </c>
      <c r="T968" t="str">
        <f>IF(F968="ENAP carga", COUNTIF(F$5:F968, "ENAP carga"), "")</f>
        <v/>
      </c>
    </row>
    <row r="969" spans="12:20" x14ac:dyDescent="0.2">
      <c r="L969" s="23" t="str">
        <f t="shared" si="16"/>
        <v/>
      </c>
      <c r="Q969" t="str">
        <f>IF(F969="CJ", COUNTIF(F$5:F969, "CJ"), "")</f>
        <v/>
      </c>
      <c r="R969" t="str">
        <f>IF(F969="Ignacio", COUNTIF(F$5:F969, "Ignacio"), "")</f>
        <v/>
      </c>
      <c r="S969" t="str">
        <f>IF(F969="Tripulacion", COUNTIF(F$5:F969, "Tripulacion"), "")</f>
        <v/>
      </c>
      <c r="T969" t="str">
        <f>IF(F969="ENAP carga", COUNTIF(F$5:F969, "ENAP carga"), "")</f>
        <v/>
      </c>
    </row>
    <row r="970" spans="12:20" x14ac:dyDescent="0.2">
      <c r="L970" s="23" t="str">
        <f t="shared" si="16"/>
        <v/>
      </c>
      <c r="Q970" t="str">
        <f>IF(F970="CJ", COUNTIF(F$5:F970, "CJ"), "")</f>
        <v/>
      </c>
      <c r="R970" t="str">
        <f>IF(F970="Ignacio", COUNTIF(F$5:F970, "Ignacio"), "")</f>
        <v/>
      </c>
      <c r="S970" t="str">
        <f>IF(F970="Tripulacion", COUNTIF(F$5:F970, "Tripulacion"), "")</f>
        <v/>
      </c>
      <c r="T970" t="str">
        <f>IF(F970="ENAP carga", COUNTIF(F$5:F970, "ENAP carga"), "")</f>
        <v/>
      </c>
    </row>
    <row r="971" spans="12:20" x14ac:dyDescent="0.2">
      <c r="L971" s="23" t="str">
        <f t="shared" si="16"/>
        <v/>
      </c>
      <c r="Q971" t="str">
        <f>IF(F971="CJ", COUNTIF(F$5:F971, "CJ"), "")</f>
        <v/>
      </c>
      <c r="R971" t="str">
        <f>IF(F971="Ignacio", COUNTIF(F$5:F971, "Ignacio"), "")</f>
        <v/>
      </c>
      <c r="S971" t="str">
        <f>IF(F971="Tripulacion", COUNTIF(F$5:F971, "Tripulacion"), "")</f>
        <v/>
      </c>
      <c r="T971" t="str">
        <f>IF(F971="ENAP carga", COUNTIF(F$5:F971, "ENAP carga"), "")</f>
        <v/>
      </c>
    </row>
    <row r="972" spans="12:20" x14ac:dyDescent="0.2">
      <c r="L972" s="23" t="str">
        <f t="shared" si="16"/>
        <v/>
      </c>
      <c r="Q972" t="str">
        <f>IF(F972="CJ", COUNTIF(F$5:F972, "CJ"), "")</f>
        <v/>
      </c>
      <c r="R972" t="str">
        <f>IF(F972="Ignacio", COUNTIF(F$5:F972, "Ignacio"), "")</f>
        <v/>
      </c>
      <c r="S972" t="str">
        <f>IF(F972="Tripulacion", COUNTIF(F$5:F972, "Tripulacion"), "")</f>
        <v/>
      </c>
      <c r="T972" t="str">
        <f>IF(F972="ENAP carga", COUNTIF(F$5:F972, "ENAP carga"), "")</f>
        <v/>
      </c>
    </row>
    <row r="973" spans="12:20" x14ac:dyDescent="0.2">
      <c r="L973" s="23" t="str">
        <f t="shared" si="16"/>
        <v/>
      </c>
      <c r="Q973" t="str">
        <f>IF(F973="CJ", COUNTIF(F$5:F973, "CJ"), "")</f>
        <v/>
      </c>
      <c r="R973" t="str">
        <f>IF(F973="Ignacio", COUNTIF(F$5:F973, "Ignacio"), "")</f>
        <v/>
      </c>
      <c r="S973" t="str">
        <f>IF(F973="Tripulacion", COUNTIF(F$5:F973, "Tripulacion"), "")</f>
        <v/>
      </c>
      <c r="T973" t="str">
        <f>IF(F973="ENAP carga", COUNTIF(F$5:F973, "ENAP carga"), "")</f>
        <v/>
      </c>
    </row>
    <row r="974" spans="12:20" x14ac:dyDescent="0.2">
      <c r="L974" s="23" t="str">
        <f t="shared" ref="L974:L1000" si="17">IF(F974="CJ", I974*200, "")</f>
        <v/>
      </c>
      <c r="Q974" t="str">
        <f>IF(F974="CJ", COUNTIF(F$5:F974, "CJ"), "")</f>
        <v/>
      </c>
      <c r="R974" t="str">
        <f>IF(F974="Ignacio", COUNTIF(F$5:F974, "Ignacio"), "")</f>
        <v/>
      </c>
      <c r="S974" t="str">
        <f>IF(F974="Tripulacion", COUNTIF(F$5:F974, "Tripulacion"), "")</f>
        <v/>
      </c>
      <c r="T974" t="str">
        <f>IF(F974="ENAP carga", COUNTIF(F$5:F974, "ENAP carga"), "")</f>
        <v/>
      </c>
    </row>
    <row r="975" spans="12:20" x14ac:dyDescent="0.2">
      <c r="L975" s="23" t="str">
        <f t="shared" si="17"/>
        <v/>
      </c>
      <c r="Q975" t="str">
        <f>IF(F975="CJ", COUNTIF(F$5:F975, "CJ"), "")</f>
        <v/>
      </c>
      <c r="R975" t="str">
        <f>IF(F975="Ignacio", COUNTIF(F$5:F975, "Ignacio"), "")</f>
        <v/>
      </c>
      <c r="S975" t="str">
        <f>IF(F975="Tripulacion", COUNTIF(F$5:F975, "Tripulacion"), "")</f>
        <v/>
      </c>
      <c r="T975" t="str">
        <f>IF(F975="ENAP carga", COUNTIF(F$5:F975, "ENAP carga"), "")</f>
        <v/>
      </c>
    </row>
    <row r="976" spans="12:20" x14ac:dyDescent="0.2">
      <c r="L976" s="23" t="str">
        <f t="shared" si="17"/>
        <v/>
      </c>
      <c r="Q976" t="str">
        <f>IF(F976="CJ", COUNTIF(F$5:F976, "CJ"), "")</f>
        <v/>
      </c>
      <c r="R976" t="str">
        <f>IF(F976="Ignacio", COUNTIF(F$5:F976, "Ignacio"), "")</f>
        <v/>
      </c>
      <c r="S976" t="str">
        <f>IF(F976="Tripulacion", COUNTIF(F$5:F976, "Tripulacion"), "")</f>
        <v/>
      </c>
      <c r="T976" t="str">
        <f>IF(F976="ENAP carga", COUNTIF(F$5:F976, "ENAP carga"), "")</f>
        <v/>
      </c>
    </row>
    <row r="977" spans="12:20" x14ac:dyDescent="0.2">
      <c r="L977" s="23" t="str">
        <f t="shared" si="17"/>
        <v/>
      </c>
      <c r="Q977" t="str">
        <f>IF(F977="CJ", COUNTIF(F$5:F977, "CJ"), "")</f>
        <v/>
      </c>
      <c r="R977" t="str">
        <f>IF(F977="Ignacio", COUNTIF(F$5:F977, "Ignacio"), "")</f>
        <v/>
      </c>
      <c r="S977" t="str">
        <f>IF(F977="Tripulacion", COUNTIF(F$5:F977, "Tripulacion"), "")</f>
        <v/>
      </c>
      <c r="T977" t="str">
        <f>IF(F977="ENAP carga", COUNTIF(F$5:F977, "ENAP carga"), "")</f>
        <v/>
      </c>
    </row>
    <row r="978" spans="12:20" x14ac:dyDescent="0.2">
      <c r="L978" s="23" t="str">
        <f t="shared" si="17"/>
        <v/>
      </c>
      <c r="Q978" t="str">
        <f>IF(F978="CJ", COUNTIF(F$5:F978, "CJ"), "")</f>
        <v/>
      </c>
      <c r="R978" t="str">
        <f>IF(F978="Ignacio", COUNTIF(F$5:F978, "Ignacio"), "")</f>
        <v/>
      </c>
      <c r="S978" t="str">
        <f>IF(F978="Tripulacion", COUNTIF(F$5:F978, "Tripulacion"), "")</f>
        <v/>
      </c>
      <c r="T978" t="str">
        <f>IF(F978="ENAP carga", COUNTIF(F$5:F978, "ENAP carga"), "")</f>
        <v/>
      </c>
    </row>
    <row r="979" spans="12:20" x14ac:dyDescent="0.2">
      <c r="L979" s="23" t="str">
        <f t="shared" si="17"/>
        <v/>
      </c>
      <c r="Q979" t="str">
        <f>IF(F979="CJ", COUNTIF(F$5:F979, "CJ"), "")</f>
        <v/>
      </c>
      <c r="R979" t="str">
        <f>IF(F979="Ignacio", COUNTIF(F$5:F979, "Ignacio"), "")</f>
        <v/>
      </c>
      <c r="S979" t="str">
        <f>IF(F979="Tripulacion", COUNTIF(F$5:F979, "Tripulacion"), "")</f>
        <v/>
      </c>
      <c r="T979" t="str">
        <f>IF(F979="ENAP carga", COUNTIF(F$5:F979, "ENAP carga"), "")</f>
        <v/>
      </c>
    </row>
    <row r="980" spans="12:20" x14ac:dyDescent="0.2">
      <c r="L980" s="23" t="str">
        <f t="shared" si="17"/>
        <v/>
      </c>
      <c r="Q980" t="str">
        <f>IF(F980="CJ", COUNTIF(F$5:F980, "CJ"), "")</f>
        <v/>
      </c>
      <c r="R980" t="str">
        <f>IF(F980="Ignacio", COUNTIF(F$5:F980, "Ignacio"), "")</f>
        <v/>
      </c>
      <c r="S980" t="str">
        <f>IF(F980="Tripulacion", COUNTIF(F$5:F980, "Tripulacion"), "")</f>
        <v/>
      </c>
      <c r="T980" t="str">
        <f>IF(F980="ENAP carga", COUNTIF(F$5:F980, "ENAP carga"), "")</f>
        <v/>
      </c>
    </row>
    <row r="981" spans="12:20" x14ac:dyDescent="0.2">
      <c r="L981" s="23" t="str">
        <f t="shared" si="17"/>
        <v/>
      </c>
      <c r="Q981" t="str">
        <f>IF(F981="CJ", COUNTIF(F$5:F981, "CJ"), "")</f>
        <v/>
      </c>
      <c r="R981" t="str">
        <f>IF(F981="Ignacio", COUNTIF(F$5:F981, "Ignacio"), "")</f>
        <v/>
      </c>
      <c r="S981" t="str">
        <f>IF(F981="Tripulacion", COUNTIF(F$5:F981, "Tripulacion"), "")</f>
        <v/>
      </c>
      <c r="T981" t="str">
        <f>IF(F981="ENAP carga", COUNTIF(F$5:F981, "ENAP carga"), "")</f>
        <v/>
      </c>
    </row>
    <row r="982" spans="12:20" x14ac:dyDescent="0.2">
      <c r="L982" s="23" t="str">
        <f t="shared" si="17"/>
        <v/>
      </c>
      <c r="Q982" t="str">
        <f>IF(F982="CJ", COUNTIF(F$5:F982, "CJ"), "")</f>
        <v/>
      </c>
      <c r="R982" t="str">
        <f>IF(F982="Ignacio", COUNTIF(F$5:F982, "Ignacio"), "")</f>
        <v/>
      </c>
      <c r="S982" t="str">
        <f>IF(F982="Tripulacion", COUNTIF(F$5:F982, "Tripulacion"), "")</f>
        <v/>
      </c>
      <c r="T982" t="str">
        <f>IF(F982="ENAP carga", COUNTIF(F$5:F982, "ENAP carga"), "")</f>
        <v/>
      </c>
    </row>
    <row r="983" spans="12:20" x14ac:dyDescent="0.2">
      <c r="L983" s="23" t="str">
        <f t="shared" si="17"/>
        <v/>
      </c>
      <c r="Q983" t="str">
        <f>IF(F983="CJ", COUNTIF(F$5:F983, "CJ"), "")</f>
        <v/>
      </c>
      <c r="R983" t="str">
        <f>IF(F983="Ignacio", COUNTIF(F$5:F983, "Ignacio"), "")</f>
        <v/>
      </c>
      <c r="S983" t="str">
        <f>IF(F983="Tripulacion", COUNTIF(F$5:F983, "Tripulacion"), "")</f>
        <v/>
      </c>
      <c r="T983" t="str">
        <f>IF(F983="ENAP carga", COUNTIF(F$5:F983, "ENAP carga"), "")</f>
        <v/>
      </c>
    </row>
    <row r="984" spans="12:20" x14ac:dyDescent="0.2">
      <c r="L984" s="23" t="str">
        <f t="shared" si="17"/>
        <v/>
      </c>
      <c r="Q984" t="str">
        <f>IF(F984="CJ", COUNTIF(F$5:F984, "CJ"), "")</f>
        <v/>
      </c>
      <c r="R984" t="str">
        <f>IF(F984="Ignacio", COUNTIF(F$5:F984, "Ignacio"), "")</f>
        <v/>
      </c>
      <c r="S984" t="str">
        <f>IF(F984="Tripulacion", COUNTIF(F$5:F984, "Tripulacion"), "")</f>
        <v/>
      </c>
      <c r="T984" t="str">
        <f>IF(F984="ENAP carga", COUNTIF(F$5:F984, "ENAP carga"), "")</f>
        <v/>
      </c>
    </row>
    <row r="985" spans="12:20" x14ac:dyDescent="0.2">
      <c r="L985" s="23" t="str">
        <f t="shared" si="17"/>
        <v/>
      </c>
      <c r="Q985" t="str">
        <f>IF(F985="CJ", COUNTIF(F$5:F985, "CJ"), "")</f>
        <v/>
      </c>
      <c r="R985" t="str">
        <f>IF(F985="Ignacio", COUNTIF(F$5:F985, "Ignacio"), "")</f>
        <v/>
      </c>
      <c r="S985" t="str">
        <f>IF(F985="Tripulacion", COUNTIF(F$5:F985, "Tripulacion"), "")</f>
        <v/>
      </c>
      <c r="T985" t="str">
        <f>IF(F985="ENAP carga", COUNTIF(F$5:F985, "ENAP carga"), "")</f>
        <v/>
      </c>
    </row>
    <row r="986" spans="12:20" x14ac:dyDescent="0.2">
      <c r="L986" s="23" t="str">
        <f t="shared" si="17"/>
        <v/>
      </c>
      <c r="Q986" t="str">
        <f>IF(F986="CJ", COUNTIF(F$5:F986, "CJ"), "")</f>
        <v/>
      </c>
      <c r="R986" t="str">
        <f>IF(F986="Ignacio", COUNTIF(F$5:F986, "Ignacio"), "")</f>
        <v/>
      </c>
      <c r="S986" t="str">
        <f>IF(F986="Tripulacion", COUNTIF(F$5:F986, "Tripulacion"), "")</f>
        <v/>
      </c>
      <c r="T986" t="str">
        <f>IF(F986="ENAP carga", COUNTIF(F$5:F986, "ENAP carga"), "")</f>
        <v/>
      </c>
    </row>
    <row r="987" spans="12:20" x14ac:dyDescent="0.2">
      <c r="L987" s="23" t="str">
        <f t="shared" si="17"/>
        <v/>
      </c>
      <c r="Q987" t="str">
        <f>IF(F987="CJ", COUNTIF(F$5:F987, "CJ"), "")</f>
        <v/>
      </c>
      <c r="R987" t="str">
        <f>IF(F987="Ignacio", COUNTIF(F$5:F987, "Ignacio"), "")</f>
        <v/>
      </c>
      <c r="S987" t="str">
        <f>IF(F987="Tripulacion", COUNTIF(F$5:F987, "Tripulacion"), "")</f>
        <v/>
      </c>
      <c r="T987" t="str">
        <f>IF(F987="ENAP carga", COUNTIF(F$5:F987, "ENAP carga"), "")</f>
        <v/>
      </c>
    </row>
    <row r="988" spans="12:20" x14ac:dyDescent="0.2">
      <c r="L988" s="23" t="str">
        <f t="shared" si="17"/>
        <v/>
      </c>
      <c r="Q988" t="str">
        <f>IF(F988="CJ", COUNTIF(F$5:F988, "CJ"), "")</f>
        <v/>
      </c>
      <c r="R988" t="str">
        <f>IF(F988="Ignacio", COUNTIF(F$5:F988, "Ignacio"), "")</f>
        <v/>
      </c>
      <c r="S988" t="str">
        <f>IF(F988="Tripulacion", COUNTIF(F$5:F988, "Tripulacion"), "")</f>
        <v/>
      </c>
      <c r="T988" t="str">
        <f>IF(F988="ENAP carga", COUNTIF(F$5:F988, "ENAP carga"), "")</f>
        <v/>
      </c>
    </row>
    <row r="989" spans="12:20" x14ac:dyDescent="0.2">
      <c r="L989" s="23" t="str">
        <f t="shared" si="17"/>
        <v/>
      </c>
      <c r="Q989" t="str">
        <f>IF(F989="CJ", COUNTIF(F$5:F989, "CJ"), "")</f>
        <v/>
      </c>
      <c r="R989" t="str">
        <f>IF(F989="Ignacio", COUNTIF(F$5:F989, "Ignacio"), "")</f>
        <v/>
      </c>
      <c r="S989" t="str">
        <f>IF(F989="Tripulacion", COUNTIF(F$5:F989, "Tripulacion"), "")</f>
        <v/>
      </c>
      <c r="T989" t="str">
        <f>IF(F989="ENAP carga", COUNTIF(F$5:F989, "ENAP carga"), "")</f>
        <v/>
      </c>
    </row>
    <row r="990" spans="12:20" x14ac:dyDescent="0.2">
      <c r="L990" s="23" t="str">
        <f t="shared" si="17"/>
        <v/>
      </c>
      <c r="Q990" t="str">
        <f>IF(F990="CJ", COUNTIF(F$5:F990, "CJ"), "")</f>
        <v/>
      </c>
      <c r="R990" t="str">
        <f>IF(F990="Ignacio", COUNTIF(F$5:F990, "Ignacio"), "")</f>
        <v/>
      </c>
      <c r="S990" t="str">
        <f>IF(F990="Tripulacion", COUNTIF(F$5:F990, "Tripulacion"), "")</f>
        <v/>
      </c>
      <c r="T990" t="str">
        <f>IF(F990="ENAP carga", COUNTIF(F$5:F990, "ENAP carga"), "")</f>
        <v/>
      </c>
    </row>
    <row r="991" spans="12:20" x14ac:dyDescent="0.2">
      <c r="L991" s="23" t="str">
        <f t="shared" si="17"/>
        <v/>
      </c>
      <c r="Q991" t="str">
        <f>IF(F991="CJ", COUNTIF(F$5:F991, "CJ"), "")</f>
        <v/>
      </c>
      <c r="R991" t="str">
        <f>IF(F991="Ignacio", COUNTIF(F$5:F991, "Ignacio"), "")</f>
        <v/>
      </c>
      <c r="S991" t="str">
        <f>IF(F991="Tripulacion", COUNTIF(F$5:F991, "Tripulacion"), "")</f>
        <v/>
      </c>
      <c r="T991" t="str">
        <f>IF(F991="ENAP carga", COUNTIF(F$5:F991, "ENAP carga"), "")</f>
        <v/>
      </c>
    </row>
    <row r="992" spans="12:20" x14ac:dyDescent="0.2">
      <c r="L992" s="23" t="str">
        <f t="shared" si="17"/>
        <v/>
      </c>
      <c r="Q992" t="str">
        <f>IF(F992="CJ", COUNTIF(F$5:F992, "CJ"), "")</f>
        <v/>
      </c>
      <c r="R992" t="str">
        <f>IF(F992="Ignacio", COUNTIF(F$5:F992, "Ignacio"), "")</f>
        <v/>
      </c>
      <c r="S992" t="str">
        <f>IF(F992="Tripulacion", COUNTIF(F$5:F992, "Tripulacion"), "")</f>
        <v/>
      </c>
      <c r="T992" t="str">
        <f>IF(F992="ENAP carga", COUNTIF(F$5:F992, "ENAP carga"), "")</f>
        <v/>
      </c>
    </row>
    <row r="993" spans="12:20" x14ac:dyDescent="0.2">
      <c r="L993" s="23" t="str">
        <f t="shared" si="17"/>
        <v/>
      </c>
      <c r="Q993" t="str">
        <f>IF(F993="CJ", COUNTIF(F$5:F993, "CJ"), "")</f>
        <v/>
      </c>
      <c r="R993" t="str">
        <f>IF(F993="Ignacio", COUNTIF(F$5:F993, "Ignacio"), "")</f>
        <v/>
      </c>
      <c r="S993" t="str">
        <f>IF(F993="Tripulacion", COUNTIF(F$5:F993, "Tripulacion"), "")</f>
        <v/>
      </c>
      <c r="T993" t="str">
        <f>IF(F993="ENAP carga", COUNTIF(F$5:F993, "ENAP carga"), "")</f>
        <v/>
      </c>
    </row>
    <row r="994" spans="12:20" x14ac:dyDescent="0.2">
      <c r="L994" s="23" t="str">
        <f t="shared" si="17"/>
        <v/>
      </c>
      <c r="Q994" t="str">
        <f>IF(F994="CJ", COUNTIF(F$5:F994, "CJ"), "")</f>
        <v/>
      </c>
      <c r="R994" t="str">
        <f>IF(F994="Ignacio", COUNTIF(F$5:F994, "Ignacio"), "")</f>
        <v/>
      </c>
      <c r="S994" t="str">
        <f>IF(F994="Tripulacion", COUNTIF(F$5:F994, "Tripulacion"), "")</f>
        <v/>
      </c>
      <c r="T994" t="str">
        <f>IF(F994="ENAP carga", COUNTIF(F$5:F994, "ENAP carga"), "")</f>
        <v/>
      </c>
    </row>
    <row r="995" spans="12:20" x14ac:dyDescent="0.2">
      <c r="L995" s="23" t="str">
        <f t="shared" si="17"/>
        <v/>
      </c>
      <c r="Q995" t="str">
        <f>IF(F995="CJ", COUNTIF(F$5:F995, "CJ"), "")</f>
        <v/>
      </c>
      <c r="R995" t="str">
        <f>IF(F995="Ignacio", COUNTIF(F$5:F995, "Ignacio"), "")</f>
        <v/>
      </c>
      <c r="S995" t="str">
        <f>IF(F995="Tripulacion", COUNTIF(F$5:F995, "Tripulacion"), "")</f>
        <v/>
      </c>
      <c r="T995" t="str">
        <f>IF(F995="ENAP carga", COUNTIF(F$5:F995, "ENAP carga"), "")</f>
        <v/>
      </c>
    </row>
    <row r="996" spans="12:20" x14ac:dyDescent="0.2">
      <c r="L996" s="23" t="str">
        <f t="shared" si="17"/>
        <v/>
      </c>
      <c r="Q996" t="str">
        <f>IF(F996="CJ", COUNTIF(F$5:F996, "CJ"), "")</f>
        <v/>
      </c>
      <c r="R996" t="str">
        <f>IF(F996="Ignacio", COUNTIF(F$5:F996, "Ignacio"), "")</f>
        <v/>
      </c>
      <c r="S996" t="str">
        <f>IF(F996="Tripulacion", COUNTIF(F$5:F996, "Tripulacion"), "")</f>
        <v/>
      </c>
      <c r="T996" t="str">
        <f>IF(F996="ENAP carga", COUNTIF(F$5:F996, "ENAP carga"), "")</f>
        <v/>
      </c>
    </row>
    <row r="997" spans="12:20" x14ac:dyDescent="0.2">
      <c r="L997" s="23" t="str">
        <f t="shared" si="17"/>
        <v/>
      </c>
      <c r="Q997" t="str">
        <f>IF(F997="CJ", COUNTIF(F$5:F997, "CJ"), "")</f>
        <v/>
      </c>
      <c r="R997" t="str">
        <f>IF(F997="Ignacio", COUNTIF(F$5:F997, "Ignacio"), "")</f>
        <v/>
      </c>
      <c r="S997" t="str">
        <f>IF(F997="Tripulacion", COUNTIF(F$5:F997, "Tripulacion"), "")</f>
        <v/>
      </c>
      <c r="T997" t="str">
        <f>IF(F997="ENAP carga", COUNTIF(F$5:F997, "ENAP carga"), "")</f>
        <v/>
      </c>
    </row>
    <row r="998" spans="12:20" x14ac:dyDescent="0.2">
      <c r="L998" s="23" t="str">
        <f t="shared" si="17"/>
        <v/>
      </c>
      <c r="Q998" t="str">
        <f>IF(F998="CJ", COUNTIF(F$5:F998, "CJ"), "")</f>
        <v/>
      </c>
      <c r="R998" t="str">
        <f>IF(F998="Ignacio", COUNTIF(F$5:F998, "Ignacio"), "")</f>
        <v/>
      </c>
      <c r="S998" t="str">
        <f>IF(F998="Tripulacion", COUNTIF(F$5:F998, "Tripulacion"), "")</f>
        <v/>
      </c>
      <c r="T998" t="str">
        <f>IF(F998="ENAP carga", COUNTIF(F$5:F998, "ENAP carga"), "")</f>
        <v/>
      </c>
    </row>
    <row r="999" spans="12:20" x14ac:dyDescent="0.2">
      <c r="L999" s="23" t="str">
        <f t="shared" si="17"/>
        <v/>
      </c>
      <c r="Q999" t="str">
        <f>IF(F999="CJ", COUNTIF(F$5:F999, "CJ"), "")</f>
        <v/>
      </c>
      <c r="R999" t="str">
        <f>IF(F999="Ignacio", COUNTIF(F$5:F999, "Ignacio"), "")</f>
        <v/>
      </c>
      <c r="S999" t="str">
        <f>IF(F999="Tripulacion", COUNTIF(F$5:F999, "Tripulacion"), "")</f>
        <v/>
      </c>
      <c r="T999" t="str">
        <f>IF(F999="ENAP carga", COUNTIF(F$5:F999, "ENAP carga"), "")</f>
        <v/>
      </c>
    </row>
    <row r="1000" spans="12:20" x14ac:dyDescent="0.2">
      <c r="L1000" s="23" t="str">
        <f t="shared" si="17"/>
        <v/>
      </c>
      <c r="Q1000" t="str">
        <f>IF(F1000="CJ", COUNTIF(F$5:F1000, "CJ"), "")</f>
        <v/>
      </c>
      <c r="R1000" t="str">
        <f>IF(F1000="Ignacio", COUNTIF(F$5:F1000, "Ignacio"), "")</f>
        <v/>
      </c>
      <c r="S1000" t="str">
        <f>IF(F1000="Tripulacion", COUNTIF(F$5:F1000, "Tripulacion"), "")</f>
        <v/>
      </c>
      <c r="T1000" t="str">
        <f>IF(F1000="ENAP carga", COUNTIF(F$5:F1000, "ENAP carga"), "")</f>
        <v/>
      </c>
    </row>
  </sheetData>
  <mergeCells count="1">
    <mergeCell ref="C2:O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B2:M161"/>
  <sheetViews>
    <sheetView showGridLines="0" workbookViewId="0">
      <selection activeCell="G3" sqref="G3"/>
    </sheetView>
  </sheetViews>
  <sheetFormatPr baseColWidth="10" defaultColWidth="8.83203125" defaultRowHeight="16" x14ac:dyDescent="0.2"/>
  <cols>
    <col min="1" max="1" width="4" customWidth="1"/>
    <col min="2" max="2" width="14" customWidth="1"/>
    <col min="3" max="3" width="26" customWidth="1"/>
    <col min="4" max="4" width="12" customWidth="1"/>
    <col min="5" max="5" width="14" customWidth="1"/>
    <col min="6" max="6" width="32" customWidth="1"/>
    <col min="7" max="8" width="14" customWidth="1"/>
    <col min="9" max="9" width="16" customWidth="1"/>
    <col min="10" max="10" width="18" customWidth="1"/>
    <col min="11" max="11" width="16" customWidth="1"/>
    <col min="12" max="12" width="24" customWidth="1"/>
    <col min="13" max="13" width="45" customWidth="1"/>
  </cols>
  <sheetData>
    <row r="2" spans="2:13" ht="22" x14ac:dyDescent="0.3">
      <c r="B2" s="15" t="s">
        <v>63</v>
      </c>
    </row>
    <row r="3" spans="2:13" x14ac:dyDescent="0.2">
      <c r="B3" s="16" t="s">
        <v>64</v>
      </c>
    </row>
    <row r="5" spans="2:13" x14ac:dyDescent="0.2">
      <c r="B5" s="24" t="s">
        <v>65</v>
      </c>
      <c r="C5" s="25"/>
      <c r="E5" s="24" t="s">
        <v>66</v>
      </c>
      <c r="F5" s="25"/>
      <c r="H5" s="24" t="s">
        <v>67</v>
      </c>
      <c r="I5" s="25"/>
      <c r="K5" s="24" t="s">
        <v>68</v>
      </c>
      <c r="L5" s="25"/>
    </row>
    <row r="6" spans="2:13" x14ac:dyDescent="0.2">
      <c r="B6" s="27">
        <f>SUMIFS('Detalles movimientos'!I$5:I$1000, 'Detalles movimientos'!F$5:F$1000, "CJ")</f>
        <v>5108.8</v>
      </c>
      <c r="C6" s="25"/>
      <c r="E6" s="26">
        <f>SUMIFS('Detalles movimientos'!J$5:J$1000, 'Detalles movimientos'!F$5:F$1000, "CJ")</f>
        <v>5282100</v>
      </c>
      <c r="F6" s="25"/>
      <c r="H6" s="26">
        <f>SUMIFS('Detalles movimientos'!L$5:L$1000, 'Detalles movimientos'!F$5:F$1000, "CJ", 'Detalles movimientos'!M$5:M$1000, "*Comision Pagada*")</f>
        <v>485760</v>
      </c>
      <c r="I6" s="25"/>
      <c r="K6" s="26">
        <f>SUMIFS('Detalles movimientos'!L$5:L$1000, 'Detalles movimientos'!F$5:F$1000, "CJ", 'Detalles movimientos'!M$5:M$1000, "&lt;&gt;*Comision Pagada*")</f>
        <v>536000</v>
      </c>
      <c r="L6" s="25"/>
    </row>
    <row r="7" spans="2:13" x14ac:dyDescent="0.2">
      <c r="B7" s="25"/>
      <c r="C7" s="25"/>
      <c r="E7" s="25"/>
      <c r="F7" s="25"/>
      <c r="H7" s="25"/>
      <c r="I7" s="25"/>
      <c r="K7" s="25"/>
      <c r="L7" s="25"/>
    </row>
    <row r="9" spans="2:13" x14ac:dyDescent="0.2">
      <c r="B9" s="29" t="s">
        <v>69</v>
      </c>
      <c r="C9" s="25"/>
      <c r="D9" s="28" t="str">
        <f>"Del " &amp; TEXT(_xlfn.MINIFS('Detalles movimientos'!C$5:C$1000, 'Detalles movimientos'!F$5:F$1000, "CJ", 'Detalles movimientos'!M$5:M$1000, "*Comision Pagada*"), "dd/mm/yyyy") &amp; " al " &amp; TEXT(_xlfn.MAXIFS('Detalles movimientos'!C$5:C$1000, 'Detalles movimientos'!F$5:F$1000, "CJ", 'Detalles movimientos'!M$5:M$1000, "*Comision Pagada*"), "dd/mm/yyyy")</f>
        <v>Del 27/07/2026 al 27/07/2026</v>
      </c>
      <c r="E9" s="25"/>
      <c r="F9" s="25"/>
      <c r="H9" s="29" t="s">
        <v>70</v>
      </c>
      <c r="I9" s="25"/>
      <c r="J9" s="28" t="str">
        <f>"Del " &amp; TEXT(_xlfn.MINIFS('Detalles movimientos'!C$5:C$1000, 'Detalles movimientos'!F$5:F$1000, "CJ", 'Detalles movimientos'!M$5:M$1000, "&lt;&gt;*Comision Pagada*", 'Detalles movimientos'!C$5:C$1000, "&gt;0"), "dd/mm/yyyy") &amp; " al " &amp; TEXT(_xlfn.MAXIFS('Detalles movimientos'!C$5:C$1000, 'Detalles movimientos'!F$5:F$1000, "CJ", 'Detalles movimientos'!M$5:M$1000, "&lt;&gt;*Comision Pagada*"), "dd/mm/yyyy")</f>
        <v>Del 28/07/2026 al 11/08/2026</v>
      </c>
      <c r="K9" s="25"/>
      <c r="L9" s="25"/>
    </row>
    <row r="12" spans="2:13" ht="25" customHeight="1" x14ac:dyDescent="0.2">
      <c r="B12" s="17" t="s">
        <v>1</v>
      </c>
      <c r="C12" s="17" t="s">
        <v>2</v>
      </c>
      <c r="D12" s="17" t="s">
        <v>3</v>
      </c>
      <c r="E12" s="17" t="s">
        <v>4</v>
      </c>
      <c r="F12" s="17" t="s">
        <v>5</v>
      </c>
      <c r="G12" s="17" t="s">
        <v>6</v>
      </c>
      <c r="H12" s="17" t="s">
        <v>7</v>
      </c>
      <c r="I12" s="17" t="s">
        <v>8</v>
      </c>
      <c r="J12" s="17" t="s">
        <v>9</v>
      </c>
      <c r="K12" s="17" t="s">
        <v>10</v>
      </c>
      <c r="L12" s="17" t="s">
        <v>11</v>
      </c>
      <c r="M12" s="17" t="s">
        <v>71</v>
      </c>
    </row>
    <row r="13" spans="2:13" x14ac:dyDescent="0.2">
      <c r="B13" s="18">
        <f>IFERROR(INDEX('Detalles movimientos'!C$5:C$1000, MATCH(1, 'Detalles movimientos'!$Q$5:$Q$1000, 0)), "")</f>
        <v>46230</v>
      </c>
      <c r="C13" s="19" t="str">
        <f>IFERROR(INDEX('Detalles movimientos'!D$5:D$1000, MATCH(1, 'Detalles movimientos'!$Q$5:$Q$1000, 0)), "")</f>
        <v>Ricardo Brisas del Raco</v>
      </c>
      <c r="D13" s="20" t="str">
        <f>IFERROR(INDEX('Detalles movimientos'!E$5:E$1000, MATCH(1, 'Detalles movimientos'!$Q$5:$Q$1000, 0)), "")</f>
        <v>VJYL61</v>
      </c>
      <c r="E13" s="20" t="str">
        <f>IFERROR(INDEX('Detalles movimientos'!F$5:F$1000, MATCH(1, 'Detalles movimientos'!$Q$5:$Q$1000, 0)), "")</f>
        <v>CJ</v>
      </c>
      <c r="F13" s="19" t="str">
        <f>IFERROR(INDEX('Detalles movimientos'!G$5:G$1000, MATCH(1, 'Detalles movimientos'!$Q$5:$Q$1000, 0)), "")</f>
        <v>Brisas del Raco</v>
      </c>
      <c r="G13" s="21">
        <f>IFERROR(INDEX('Detalles movimientos'!H$5:H$1000, MATCH(1, 'Detalles movimientos'!$Q$5:$Q$1000, 0)), "")</f>
        <v>1000</v>
      </c>
      <c r="H13" s="22">
        <f>IFERROR(INDEX('Detalles movimientos'!I$5:I$1000, MATCH(1, 'Detalles movimientos'!$Q$5:$Q$1000, 0)), "")</f>
        <v>179.2</v>
      </c>
      <c r="I13" s="21">
        <f>IFERROR(INDEX('Detalles movimientos'!J$5:J$1000, MATCH(1, 'Detalles movimientos'!$Q$5:$Q$1000, 0)), "")</f>
        <v>179200</v>
      </c>
      <c r="J13" s="20" t="str">
        <f>IFERROR(INDEX('Detalles movimientos'!K$5:K$1000, MATCH(1, 'Detalles movimientos'!$Q$5:$Q$1000, 0)), "")</f>
        <v>Tarjeta</v>
      </c>
      <c r="K13" s="21">
        <f>IFERROR(INDEX('Detalles movimientos'!L$5:L$1000, MATCH(1, 'Detalles movimientos'!$Q$5:$Q$1000, 0)), "")</f>
        <v>35840</v>
      </c>
      <c r="L13" s="19" t="str">
        <f>IFERROR(INDEX('Detalles movimientos'!M$5:M$1000, MATCH(1, 'Detalles movimientos'!$Q$5:$Q$1000, 0)), "")</f>
        <v>Comision Pagada</v>
      </c>
      <c r="M13" s="19">
        <f>IFERROR(INDEX('Detalles movimientos'!P$5:P$1000, MATCH(1, 'Detalles movimientos'!$Q$5:$Q$1000, 0)), "")</f>
        <v>0</v>
      </c>
    </row>
    <row r="14" spans="2:13" x14ac:dyDescent="0.2">
      <c r="B14" s="18">
        <f>IFERROR(INDEX('Detalles movimientos'!C$5:C$1000, MATCH(2, 'Detalles movimientos'!$Q$5:$Q$1000, 0)), "")</f>
        <v>46230</v>
      </c>
      <c r="C14" s="19" t="str">
        <f>IFERROR(INDEX('Detalles movimientos'!D$5:D$1000, MATCH(2, 'Detalles movimientos'!$Q$5:$Q$1000, 0)), "")</f>
        <v>Ale Turko</v>
      </c>
      <c r="D14" s="20" t="str">
        <f>IFERROR(INDEX('Detalles movimientos'!E$5:E$1000, MATCH(2, 'Detalles movimientos'!$Q$5:$Q$1000, 0)), "")</f>
        <v>VJYL61</v>
      </c>
      <c r="E14" s="20" t="str">
        <f>IFERROR(INDEX('Detalles movimientos'!F$5:F$1000, MATCH(2, 'Detalles movimientos'!$Q$5:$Q$1000, 0)), "")</f>
        <v>CJ</v>
      </c>
      <c r="F14" s="19">
        <f>IFERROR(INDEX('Detalles movimientos'!G$5:G$1000, MATCH(2, 'Detalles movimientos'!$Q$5:$Q$1000, 0)), "")</f>
        <v>0</v>
      </c>
      <c r="G14" s="21">
        <f>IFERROR(INDEX('Detalles movimientos'!H$5:H$1000, MATCH(2, 'Detalles movimientos'!$Q$5:$Q$1000, 0)), "")</f>
        <v>1000</v>
      </c>
      <c r="H14" s="22">
        <f>IFERROR(INDEX('Detalles movimientos'!I$5:I$1000, MATCH(2, 'Detalles movimientos'!$Q$5:$Q$1000, 0)), "")</f>
        <v>518.1</v>
      </c>
      <c r="I14" s="21">
        <f>IFERROR(INDEX('Detalles movimientos'!J$5:J$1000, MATCH(2, 'Detalles movimientos'!$Q$5:$Q$1000, 0)), "")</f>
        <v>518100</v>
      </c>
      <c r="J14" s="20" t="str">
        <f>IFERROR(INDEX('Detalles movimientos'!K$5:K$1000, MATCH(2, 'Detalles movimientos'!$Q$5:$Q$1000, 0)), "")</f>
        <v>Pendiente de pago</v>
      </c>
      <c r="K14" s="21">
        <f>IFERROR(INDEX('Detalles movimientos'!L$5:L$1000, MATCH(2, 'Detalles movimientos'!$Q$5:$Q$1000, 0)), "")</f>
        <v>103620</v>
      </c>
      <c r="L14" s="19" t="str">
        <f>IFERROR(INDEX('Detalles movimientos'!M$5:M$1000, MATCH(2, 'Detalles movimientos'!$Q$5:$Q$1000, 0)), "")</f>
        <v>Comision Pagada</v>
      </c>
      <c r="M14" s="19">
        <f>IFERROR(INDEX('Detalles movimientos'!P$5:P$1000, MATCH(2, 'Detalles movimientos'!$Q$5:$Q$1000, 0)), "")</f>
        <v>0</v>
      </c>
    </row>
    <row r="15" spans="2:13" x14ac:dyDescent="0.2">
      <c r="B15" s="18">
        <f>IFERROR(INDEX('Detalles movimientos'!C$5:C$1000, MATCH(3, 'Detalles movimientos'!$Q$5:$Q$1000, 0)), "")</f>
        <v>46230</v>
      </c>
      <c r="C15" s="19" t="str">
        <f>IFERROR(INDEX('Detalles movimientos'!D$5:D$1000, MATCH(3, 'Detalles movimientos'!$Q$5:$Q$1000, 0)), "")</f>
        <v xml:space="preserve">Tirua </v>
      </c>
      <c r="D15" s="20" t="str">
        <f>IFERROR(INDEX('Detalles movimientos'!E$5:E$1000, MATCH(3, 'Detalles movimientos'!$Q$5:$Q$1000, 0)), "")</f>
        <v>VJYL61</v>
      </c>
      <c r="E15" s="20" t="str">
        <f>IFERROR(INDEX('Detalles movimientos'!F$5:F$1000, MATCH(3, 'Detalles movimientos'!$Q$5:$Q$1000, 0)), "")</f>
        <v>CJ</v>
      </c>
      <c r="F15" s="19">
        <f>IFERROR(INDEX('Detalles movimientos'!G$5:G$1000, MATCH(3, 'Detalles movimientos'!$Q$5:$Q$1000, 0)), "")</f>
        <v>0</v>
      </c>
      <c r="G15" s="21">
        <f>IFERROR(INDEX('Detalles movimientos'!H$5:H$1000, MATCH(3, 'Detalles movimientos'!$Q$5:$Q$1000, 0)), "")</f>
        <v>1000</v>
      </c>
      <c r="H15" s="22">
        <f>IFERROR(INDEX('Detalles movimientos'!I$5:I$1000, MATCH(3, 'Detalles movimientos'!$Q$5:$Q$1000, 0)), "")</f>
        <v>488.2</v>
      </c>
      <c r="I15" s="21">
        <f>IFERROR(INDEX('Detalles movimientos'!J$5:J$1000, MATCH(3, 'Detalles movimientos'!$Q$5:$Q$1000, 0)), "")</f>
        <v>488200</v>
      </c>
      <c r="J15" s="20" t="str">
        <f>IFERROR(INDEX('Detalles movimientos'!K$5:K$1000, MATCH(3, 'Detalles movimientos'!$Q$5:$Q$1000, 0)), "")</f>
        <v>Pendiente de pago</v>
      </c>
      <c r="K15" s="21">
        <f>IFERROR(INDEX('Detalles movimientos'!L$5:L$1000, MATCH(3, 'Detalles movimientos'!$Q$5:$Q$1000, 0)), "")</f>
        <v>97640</v>
      </c>
      <c r="L15" s="19" t="str">
        <f>IFERROR(INDEX('Detalles movimientos'!M$5:M$1000, MATCH(3, 'Detalles movimientos'!$Q$5:$Q$1000, 0)), "")</f>
        <v>Comision Pagada</v>
      </c>
      <c r="M15" s="19">
        <f>IFERROR(INDEX('Detalles movimientos'!P$5:P$1000, MATCH(3, 'Detalles movimientos'!$Q$5:$Q$1000, 0)), "")</f>
        <v>0</v>
      </c>
    </row>
    <row r="16" spans="2:13" x14ac:dyDescent="0.2">
      <c r="B16" s="18">
        <f>IFERROR(INDEX('Detalles movimientos'!C$5:C$1000, MATCH(4, 'Detalles movimientos'!$Q$5:$Q$1000, 0)), "")</f>
        <v>46230</v>
      </c>
      <c r="C16" s="19" t="str">
        <f>IFERROR(INDEX('Detalles movimientos'!D$5:D$1000, MATCH(4, 'Detalles movimientos'!$Q$5:$Q$1000, 0)), "")</f>
        <v xml:space="preserve">Ciao Italia </v>
      </c>
      <c r="D16" s="20" t="str">
        <f>IFERROR(INDEX('Detalles movimientos'!E$5:E$1000, MATCH(4, 'Detalles movimientos'!$Q$5:$Q$1000, 0)), "")</f>
        <v>VJYL61</v>
      </c>
      <c r="E16" s="20" t="str">
        <f>IFERROR(INDEX('Detalles movimientos'!F$5:F$1000, MATCH(4, 'Detalles movimientos'!$Q$5:$Q$1000, 0)), "")</f>
        <v>CJ</v>
      </c>
      <c r="F16" s="19">
        <f>IFERROR(INDEX('Detalles movimientos'!G$5:G$1000, MATCH(4, 'Detalles movimientos'!$Q$5:$Q$1000, 0)), "")</f>
        <v>0</v>
      </c>
      <c r="G16" s="21">
        <f>IFERROR(INDEX('Detalles movimientos'!H$5:H$1000, MATCH(4, 'Detalles movimientos'!$Q$5:$Q$1000, 0)), "")</f>
        <v>1000</v>
      </c>
      <c r="H16" s="22">
        <f>IFERROR(INDEX('Detalles movimientos'!I$5:I$1000, MATCH(4, 'Detalles movimientos'!$Q$5:$Q$1000, 0)), "")</f>
        <v>500.3</v>
      </c>
      <c r="I16" s="21">
        <f>IFERROR(INDEX('Detalles movimientos'!J$5:J$1000, MATCH(4, 'Detalles movimientos'!$Q$5:$Q$1000, 0)), "")</f>
        <v>500300</v>
      </c>
      <c r="J16" s="20" t="str">
        <f>IFERROR(INDEX('Detalles movimientos'!K$5:K$1000, MATCH(4, 'Detalles movimientos'!$Q$5:$Q$1000, 0)), "")</f>
        <v>Pendiente de pago</v>
      </c>
      <c r="K16" s="21">
        <f>IFERROR(INDEX('Detalles movimientos'!L$5:L$1000, MATCH(4, 'Detalles movimientos'!$Q$5:$Q$1000, 0)), "")</f>
        <v>100060</v>
      </c>
      <c r="L16" s="19" t="str">
        <f>IFERROR(INDEX('Detalles movimientos'!M$5:M$1000, MATCH(4, 'Detalles movimientos'!$Q$5:$Q$1000, 0)), "")</f>
        <v>Comision Pagada</v>
      </c>
      <c r="M16" s="19">
        <f>IFERROR(INDEX('Detalles movimientos'!P$5:P$1000, MATCH(4, 'Detalles movimientos'!$Q$5:$Q$1000, 0)), "")</f>
        <v>0</v>
      </c>
    </row>
    <row r="17" spans="2:13" x14ac:dyDescent="0.2">
      <c r="B17" s="18">
        <f>IFERROR(INDEX('Detalles movimientos'!C$5:C$1000, MATCH(5, 'Detalles movimientos'!$Q$5:$Q$1000, 0)), "")</f>
        <v>46230</v>
      </c>
      <c r="C17" s="19" t="str">
        <f>IFERROR(INDEX('Detalles movimientos'!D$5:D$1000, MATCH(5, 'Detalles movimientos'!$Q$5:$Q$1000, 0)), "")</f>
        <v xml:space="preserve">Claudio Ulloa </v>
      </c>
      <c r="D17" s="20" t="str">
        <f>IFERROR(INDEX('Detalles movimientos'!E$5:E$1000, MATCH(5, 'Detalles movimientos'!$Q$5:$Q$1000, 0)), "")</f>
        <v>VJYL61</v>
      </c>
      <c r="E17" s="20" t="str">
        <f>IFERROR(INDEX('Detalles movimientos'!F$5:F$1000, MATCH(5, 'Detalles movimientos'!$Q$5:$Q$1000, 0)), "")</f>
        <v>CJ</v>
      </c>
      <c r="F17" s="19">
        <f>IFERROR(INDEX('Detalles movimientos'!G$5:G$1000, MATCH(5, 'Detalles movimientos'!$Q$5:$Q$1000, 0)), "")</f>
        <v>0</v>
      </c>
      <c r="G17" s="21">
        <f>IFERROR(INDEX('Detalles movimientos'!H$5:H$1000, MATCH(5, 'Detalles movimientos'!$Q$5:$Q$1000, 0)), "")</f>
        <v>1000</v>
      </c>
      <c r="H17" s="22">
        <f>IFERROR(INDEX('Detalles movimientos'!I$5:I$1000, MATCH(5, 'Detalles movimientos'!$Q$5:$Q$1000, 0)), "")</f>
        <v>237.9</v>
      </c>
      <c r="I17" s="21">
        <f>IFERROR(INDEX('Detalles movimientos'!J$5:J$1000, MATCH(5, 'Detalles movimientos'!$Q$5:$Q$1000, 0)), "")</f>
        <v>237900</v>
      </c>
      <c r="J17" s="20" t="str">
        <f>IFERROR(INDEX('Detalles movimientos'!K$5:K$1000, MATCH(5, 'Detalles movimientos'!$Q$5:$Q$1000, 0)), "")</f>
        <v>Pendiente de pago</v>
      </c>
      <c r="K17" s="21">
        <f>IFERROR(INDEX('Detalles movimientos'!L$5:L$1000, MATCH(5, 'Detalles movimientos'!$Q$5:$Q$1000, 0)), "")</f>
        <v>47580</v>
      </c>
      <c r="L17" s="19" t="str">
        <f>IFERROR(INDEX('Detalles movimientos'!M$5:M$1000, MATCH(5, 'Detalles movimientos'!$Q$5:$Q$1000, 0)), "")</f>
        <v>Comision Pagada</v>
      </c>
      <c r="M17" s="19">
        <f>IFERROR(INDEX('Detalles movimientos'!P$5:P$1000, MATCH(5, 'Detalles movimientos'!$Q$5:$Q$1000, 0)), "")</f>
        <v>0</v>
      </c>
    </row>
    <row r="18" spans="2:13" x14ac:dyDescent="0.2">
      <c r="B18" s="18">
        <f>IFERROR(INDEX('Detalles movimientos'!C$5:C$1000, MATCH(6, 'Detalles movimientos'!$Q$5:$Q$1000, 0)), "")</f>
        <v>46230</v>
      </c>
      <c r="C18" s="19" t="str">
        <f>IFERROR(INDEX('Detalles movimientos'!D$5:D$1000, MATCH(6, 'Detalles movimientos'!$Q$5:$Q$1000, 0)), "")</f>
        <v>Francisco Ulloa</v>
      </c>
      <c r="D18" s="20" t="str">
        <f>IFERROR(INDEX('Detalles movimientos'!E$5:E$1000, MATCH(6, 'Detalles movimientos'!$Q$5:$Q$1000, 0)), "")</f>
        <v>VJYL61</v>
      </c>
      <c r="E18" s="20" t="str">
        <f>IFERROR(INDEX('Detalles movimientos'!F$5:F$1000, MATCH(6, 'Detalles movimientos'!$Q$5:$Q$1000, 0)), "")</f>
        <v>CJ</v>
      </c>
      <c r="F18" s="19">
        <f>IFERROR(INDEX('Detalles movimientos'!G$5:G$1000, MATCH(6, 'Detalles movimientos'!$Q$5:$Q$1000, 0)), "")</f>
        <v>0</v>
      </c>
      <c r="G18" s="21">
        <f>IFERROR(INDEX('Detalles movimientos'!H$5:H$1000, MATCH(6, 'Detalles movimientos'!$Q$5:$Q$1000, 0)), "")</f>
        <v>1000</v>
      </c>
      <c r="H18" s="22">
        <f>IFERROR(INDEX('Detalles movimientos'!I$5:I$1000, MATCH(6, 'Detalles movimientos'!$Q$5:$Q$1000, 0)), "")</f>
        <v>205.1</v>
      </c>
      <c r="I18" s="21">
        <f>IFERROR(INDEX('Detalles movimientos'!J$5:J$1000, MATCH(6, 'Detalles movimientos'!$Q$5:$Q$1000, 0)), "")</f>
        <v>205100</v>
      </c>
      <c r="J18" s="20" t="str">
        <f>IFERROR(INDEX('Detalles movimientos'!K$5:K$1000, MATCH(6, 'Detalles movimientos'!$Q$5:$Q$1000, 0)), "")</f>
        <v>Pendiente de pago</v>
      </c>
      <c r="K18" s="21">
        <f>IFERROR(INDEX('Detalles movimientos'!L$5:L$1000, MATCH(6, 'Detalles movimientos'!$Q$5:$Q$1000, 0)), "")</f>
        <v>41020</v>
      </c>
      <c r="L18" s="19" t="str">
        <f>IFERROR(INDEX('Detalles movimientos'!M$5:M$1000, MATCH(6, 'Detalles movimientos'!$Q$5:$Q$1000, 0)), "")</f>
        <v>Comision Pagada</v>
      </c>
      <c r="M18" s="19">
        <f>IFERROR(INDEX('Detalles movimientos'!P$5:P$1000, MATCH(6, 'Detalles movimientos'!$Q$5:$Q$1000, 0)), "")</f>
        <v>0</v>
      </c>
    </row>
    <row r="19" spans="2:13" x14ac:dyDescent="0.2">
      <c r="B19" s="18">
        <f>IFERROR(INDEX('Detalles movimientos'!C$5:C$1000, MATCH(7, 'Detalles movimientos'!$Q$5:$Q$1000, 0)), "")</f>
        <v>46230</v>
      </c>
      <c r="C19" s="19" t="str">
        <f>IFERROR(INDEX('Detalles movimientos'!D$5:D$1000, MATCH(7, 'Detalles movimientos'!$Q$5:$Q$1000, 0)), "")</f>
        <v>Alicia Pavez</v>
      </c>
      <c r="D19" s="20" t="str">
        <f>IFERROR(INDEX('Detalles movimientos'!E$5:E$1000, MATCH(7, 'Detalles movimientos'!$Q$5:$Q$1000, 0)), "")</f>
        <v>VJYL61</v>
      </c>
      <c r="E19" s="20" t="str">
        <f>IFERROR(INDEX('Detalles movimientos'!F$5:F$1000, MATCH(7, 'Detalles movimientos'!$Q$5:$Q$1000, 0)), "")</f>
        <v>CJ</v>
      </c>
      <c r="F19" s="19">
        <f>IFERROR(INDEX('Detalles movimientos'!G$5:G$1000, MATCH(7, 'Detalles movimientos'!$Q$5:$Q$1000, 0)), "")</f>
        <v>0</v>
      </c>
      <c r="G19" s="21">
        <f>IFERROR(INDEX('Detalles movimientos'!H$5:H$1000, MATCH(7, 'Detalles movimientos'!$Q$5:$Q$1000, 0)), "")</f>
        <v>1000</v>
      </c>
      <c r="H19" s="22">
        <f>IFERROR(INDEX('Detalles movimientos'!I$5:I$1000, MATCH(7, 'Detalles movimientos'!$Q$5:$Q$1000, 0)), "")</f>
        <v>300</v>
      </c>
      <c r="I19" s="21">
        <f>IFERROR(INDEX('Detalles movimientos'!J$5:J$1000, MATCH(7, 'Detalles movimientos'!$Q$5:$Q$1000, 0)), "")</f>
        <v>300000</v>
      </c>
      <c r="J19" s="20" t="str">
        <f>IFERROR(INDEX('Detalles movimientos'!K$5:K$1000, MATCH(7, 'Detalles movimientos'!$Q$5:$Q$1000, 0)), "")</f>
        <v>Transferencia</v>
      </c>
      <c r="K19" s="21">
        <f>IFERROR(INDEX('Detalles movimientos'!L$5:L$1000, MATCH(7, 'Detalles movimientos'!$Q$5:$Q$1000, 0)), "")</f>
        <v>60000</v>
      </c>
      <c r="L19" s="19" t="str">
        <f>IFERROR(INDEX('Detalles movimientos'!M$5:M$1000, MATCH(7, 'Detalles movimientos'!$Q$5:$Q$1000, 0)), "")</f>
        <v>Comision Pagada</v>
      </c>
      <c r="M19" s="19">
        <f>IFERROR(INDEX('Detalles movimientos'!P$5:P$1000, MATCH(7, 'Detalles movimientos'!$Q$5:$Q$1000, 0)), "")</f>
        <v>2428.8000000000002</v>
      </c>
    </row>
    <row r="20" spans="2:13" x14ac:dyDescent="0.2">
      <c r="B20" s="18">
        <f>IFERROR(INDEX('Detalles movimientos'!C$5:C$1000, MATCH(8, 'Detalles movimientos'!$Q$5:$Q$1000, 0)), "")</f>
        <v>46231</v>
      </c>
      <c r="C20" s="19" t="str">
        <f>IFERROR(INDEX('Detalles movimientos'!D$5:D$1000, MATCH(8, 'Detalles movimientos'!$Q$5:$Q$1000, 0)), "")</f>
        <v xml:space="preserve">Vanessa </v>
      </c>
      <c r="D20" s="20" t="str">
        <f>IFERROR(INDEX('Detalles movimientos'!E$5:E$1000, MATCH(8, 'Detalles movimientos'!$Q$5:$Q$1000, 0)), "")</f>
        <v>VJYL61</v>
      </c>
      <c r="E20" s="20" t="str">
        <f>IFERROR(INDEX('Detalles movimientos'!F$5:F$1000, MATCH(8, 'Detalles movimientos'!$Q$5:$Q$1000, 0)), "")</f>
        <v>CJ</v>
      </c>
      <c r="F20" s="19">
        <f>IFERROR(INDEX('Detalles movimientos'!G$5:G$1000, MATCH(8, 'Detalles movimientos'!$Q$5:$Q$1000, 0)), "")</f>
        <v>0</v>
      </c>
      <c r="G20" s="21">
        <f>IFERROR(INDEX('Detalles movimientos'!H$5:H$1000, MATCH(8, 'Detalles movimientos'!$Q$5:$Q$1000, 0)), "")</f>
        <v>1000</v>
      </c>
      <c r="H20" s="22">
        <f>IFERROR(INDEX('Detalles movimientos'!I$5:I$1000, MATCH(8, 'Detalles movimientos'!$Q$5:$Q$1000, 0)), "")</f>
        <v>200</v>
      </c>
      <c r="I20" s="21">
        <f>IFERROR(INDEX('Detalles movimientos'!J$5:J$1000, MATCH(8, 'Detalles movimientos'!$Q$5:$Q$1000, 0)), "")</f>
        <v>200000</v>
      </c>
      <c r="J20" s="20" t="str">
        <f>IFERROR(INDEX('Detalles movimientos'!K$5:K$1000, MATCH(8, 'Detalles movimientos'!$Q$5:$Q$1000, 0)), "")</f>
        <v>Transferencia</v>
      </c>
      <c r="K20" s="21">
        <f>IFERROR(INDEX('Detalles movimientos'!L$5:L$1000, MATCH(8, 'Detalles movimientos'!$Q$5:$Q$1000, 0)), "")</f>
        <v>40000</v>
      </c>
      <c r="L20" s="19">
        <f>IFERROR(INDEX('Detalles movimientos'!M$5:M$1000, MATCH(8, 'Detalles movimientos'!$Q$5:$Q$1000, 0)), "")</f>
        <v>0</v>
      </c>
      <c r="M20" s="19">
        <f>IFERROR(INDEX('Detalles movimientos'!P$5:P$1000, MATCH(8, 'Detalles movimientos'!$Q$5:$Q$1000, 0)), "")</f>
        <v>0</v>
      </c>
    </row>
    <row r="21" spans="2:13" x14ac:dyDescent="0.2">
      <c r="B21" s="18">
        <f>IFERROR(INDEX('Detalles movimientos'!C$5:C$1000, MATCH(9, 'Detalles movimientos'!$Q$5:$Q$1000, 0)), "")</f>
        <v>46233</v>
      </c>
      <c r="C21" s="19" t="str">
        <f>IFERROR(INDEX('Detalles movimientos'!D$5:D$1000, MATCH(9, 'Detalles movimientos'!$Q$5:$Q$1000, 0)), "")</f>
        <v>Simon</v>
      </c>
      <c r="D21" s="20" t="str">
        <f>IFERROR(INDEX('Detalles movimientos'!E$5:E$1000, MATCH(9, 'Detalles movimientos'!$Q$5:$Q$1000, 0)), "")</f>
        <v>VJYL61</v>
      </c>
      <c r="E21" s="20" t="str">
        <f>IFERROR(INDEX('Detalles movimientos'!F$5:F$1000, MATCH(9, 'Detalles movimientos'!$Q$5:$Q$1000, 0)), "")</f>
        <v>CJ</v>
      </c>
      <c r="F21" s="19" t="str">
        <f>IFERROR(INDEX('Detalles movimientos'!G$5:G$1000, MATCH(9, 'Detalles movimientos'!$Q$5:$Q$1000, 0)), "")</f>
        <v>Camino el Chalaco 66B</v>
      </c>
      <c r="G21" s="21">
        <f>IFERROR(INDEX('Detalles movimientos'!H$5:H$1000, MATCH(9, 'Detalles movimientos'!$Q$5:$Q$1000, 0)), "")</f>
        <v>1000</v>
      </c>
      <c r="H21" s="22">
        <f>IFERROR(INDEX('Detalles movimientos'!I$5:I$1000, MATCH(9, 'Detalles movimientos'!$Q$5:$Q$1000, 0)), "")</f>
        <v>747</v>
      </c>
      <c r="I21" s="21">
        <f>IFERROR(INDEX('Detalles movimientos'!J$5:J$1000, MATCH(9, 'Detalles movimientos'!$Q$5:$Q$1000, 0)), "")</f>
        <v>747000</v>
      </c>
      <c r="J21" s="20" t="str">
        <f>IFERROR(INDEX('Detalles movimientos'!K$5:K$1000, MATCH(9, 'Detalles movimientos'!$Q$5:$Q$1000, 0)), "")</f>
        <v>Transferencia</v>
      </c>
      <c r="K21" s="21">
        <f>IFERROR(INDEX('Detalles movimientos'!L$5:L$1000, MATCH(9, 'Detalles movimientos'!$Q$5:$Q$1000, 0)), "")</f>
        <v>149400</v>
      </c>
      <c r="L21" s="19" t="str">
        <f>IFERROR(INDEX('Detalles movimientos'!M$5:M$1000, MATCH(9, 'Detalles movimientos'!$Q$5:$Q$1000, 0)), "")</f>
        <v>Factura</v>
      </c>
      <c r="M21" s="19" t="str">
        <f>IFERROR(INDEX('Detalles movimientos'!P$5:P$1000, MATCH(9, 'Detalles movimientos'!$Q$5:$Q$1000, 0)), "")</f>
        <v>Ebal spa - RUT: 77.625.623-4 - Av Gabriela 3264 La Pintana - Giro Construccion</v>
      </c>
    </row>
    <row r="22" spans="2:13" x14ac:dyDescent="0.2">
      <c r="B22" s="18">
        <f>IFERROR(INDEX('Detalles movimientos'!C$5:C$1000, MATCH(10, 'Detalles movimientos'!$Q$5:$Q$1000, 0)), "")</f>
        <v>46237</v>
      </c>
      <c r="C22" s="19" t="str">
        <f>IFERROR(INDEX('Detalles movimientos'!D$5:D$1000, MATCH(10, 'Detalles movimientos'!$Q$5:$Q$1000, 0)), "")</f>
        <v>Manuel Vergara Ricci</v>
      </c>
      <c r="D22" s="20" t="str">
        <f>IFERROR(INDEX('Detalles movimientos'!E$5:E$1000, MATCH(10, 'Detalles movimientos'!$Q$5:$Q$1000, 0)), "")</f>
        <v>VJYL61</v>
      </c>
      <c r="E22" s="20" t="str">
        <f>IFERROR(INDEX('Detalles movimientos'!F$5:F$1000, MATCH(10, 'Detalles movimientos'!$Q$5:$Q$1000, 0)), "")</f>
        <v>CJ</v>
      </c>
      <c r="F22" s="19" t="str">
        <f>IFERROR(INDEX('Detalles movimientos'!G$5:G$1000, MATCH(10, 'Detalles movimientos'!$Q$5:$Q$1000, 0)), "")</f>
        <v>Avenida Virginia subercaseaux 4175 (parcela 15)</v>
      </c>
      <c r="G22" s="21">
        <f>IFERROR(INDEX('Detalles movimientos'!H$5:H$1000, MATCH(10, 'Detalles movimientos'!$Q$5:$Q$1000, 0)), "")</f>
        <v>1100</v>
      </c>
      <c r="H22" s="22">
        <f>IFERROR(INDEX('Detalles movimientos'!I$5:I$1000, MATCH(10, 'Detalles movimientos'!$Q$5:$Q$1000, 0)), "")</f>
        <v>200</v>
      </c>
      <c r="I22" s="21">
        <f>IFERROR(INDEX('Detalles movimientos'!J$5:J$1000, MATCH(10, 'Detalles movimientos'!$Q$5:$Q$1000, 0)), "")</f>
        <v>220000</v>
      </c>
      <c r="J22" s="20" t="str">
        <f>IFERROR(INDEX('Detalles movimientos'!K$5:K$1000, MATCH(10, 'Detalles movimientos'!$Q$5:$Q$1000, 0)), "")</f>
        <v>Transferencia</v>
      </c>
      <c r="K22" s="21">
        <f>IFERROR(INDEX('Detalles movimientos'!L$5:L$1000, MATCH(10, 'Detalles movimientos'!$Q$5:$Q$1000, 0)), "")</f>
        <v>40000</v>
      </c>
      <c r="L22" s="19">
        <f>IFERROR(INDEX('Detalles movimientos'!M$5:M$1000, MATCH(10, 'Detalles movimientos'!$Q$5:$Q$1000, 0)), "")</f>
        <v>0</v>
      </c>
      <c r="M22" s="19">
        <f>IFERROR(INDEX('Detalles movimientos'!P$5:P$1000, MATCH(10, 'Detalles movimientos'!$Q$5:$Q$1000, 0)), "")</f>
        <v>0</v>
      </c>
    </row>
    <row r="23" spans="2:13" x14ac:dyDescent="0.2">
      <c r="B23" s="18">
        <f>IFERROR(INDEX('Detalles movimientos'!C$5:C$1000, MATCH(11, 'Detalles movimientos'!$Q$5:$Q$1000, 0)), "")</f>
        <v>46237</v>
      </c>
      <c r="C23" s="19" t="str">
        <f>IFERROR(INDEX('Detalles movimientos'!D$5:D$1000, MATCH(11, 'Detalles movimientos'!$Q$5:$Q$1000, 0)), "")</f>
        <v>Gabriela Rojas</v>
      </c>
      <c r="D23" s="20" t="str">
        <f>IFERROR(INDEX('Detalles movimientos'!E$5:E$1000, MATCH(11, 'Detalles movimientos'!$Q$5:$Q$1000, 0)), "")</f>
        <v>VJYL61</v>
      </c>
      <c r="E23" s="20" t="str">
        <f>IFERROR(INDEX('Detalles movimientos'!F$5:F$1000, MATCH(11, 'Detalles movimientos'!$Q$5:$Q$1000, 0)), "")</f>
        <v>CJ</v>
      </c>
      <c r="F23" s="19" t="str">
        <f>IFERROR(INDEX('Detalles movimientos'!G$5:G$1000, MATCH(11, 'Detalles movimientos'!$Q$5:$Q$1000, 0)), "")</f>
        <v>Camino de las flores 1262 Pirque</v>
      </c>
      <c r="G23" s="21">
        <f>IFERROR(INDEX('Detalles movimientos'!H$5:H$1000, MATCH(11, 'Detalles movimientos'!$Q$5:$Q$1000, 0)), "")</f>
        <v>1100</v>
      </c>
      <c r="H23" s="22">
        <f>IFERROR(INDEX('Detalles movimientos'!I$5:I$1000, MATCH(11, 'Detalles movimientos'!$Q$5:$Q$1000, 0)), "")</f>
        <v>350</v>
      </c>
      <c r="I23" s="21">
        <f>IFERROR(INDEX('Detalles movimientos'!J$5:J$1000, MATCH(11, 'Detalles movimientos'!$Q$5:$Q$1000, 0)), "")</f>
        <v>385000</v>
      </c>
      <c r="J23" s="20" t="str">
        <f>IFERROR(INDEX('Detalles movimientos'!K$5:K$1000, MATCH(11, 'Detalles movimientos'!$Q$5:$Q$1000, 0)), "")</f>
        <v>Transferencia en dos</v>
      </c>
      <c r="K23" s="21">
        <f>IFERROR(INDEX('Detalles movimientos'!L$5:L$1000, MATCH(11, 'Detalles movimientos'!$Q$5:$Q$1000, 0)), "")</f>
        <v>70000</v>
      </c>
      <c r="L23" s="19" t="str">
        <f>IFERROR(INDEX('Detalles movimientos'!M$5:M$1000, MATCH(11, 'Detalles movimientos'!$Q$5:$Q$1000, 0)), "")</f>
        <v>Quedó saldo de $35 mil para mañana</v>
      </c>
      <c r="M23" s="19">
        <f>IFERROR(INDEX('Detalles movimientos'!P$5:P$1000, MATCH(11, 'Detalles movimientos'!$Q$5:$Q$1000, 0)), "")</f>
        <v>0</v>
      </c>
    </row>
    <row r="24" spans="2:13" x14ac:dyDescent="0.2">
      <c r="B24" s="18">
        <f>IFERROR(INDEX('Detalles movimientos'!C$5:C$1000, MATCH(12, 'Detalles movimientos'!$Q$5:$Q$1000, 0)), "")</f>
        <v>46239</v>
      </c>
      <c r="C24" s="19" t="str">
        <f>IFERROR(INDEX('Detalles movimientos'!D$5:D$1000, MATCH(12, 'Detalles movimientos'!$Q$5:$Q$1000, 0)), "")</f>
        <v>Casa de Reposo Brisas</v>
      </c>
      <c r="D24" s="20" t="str">
        <f>IFERROR(INDEX('Detalles movimientos'!E$5:E$1000, MATCH(12, 'Detalles movimientos'!$Q$5:$Q$1000, 0)), "")</f>
        <v>VJYL61</v>
      </c>
      <c r="E24" s="20" t="str">
        <f>IFERROR(INDEX('Detalles movimientos'!F$5:F$1000, MATCH(12, 'Detalles movimientos'!$Q$5:$Q$1000, 0)), "")</f>
        <v>CJ</v>
      </c>
      <c r="F24" s="19" t="str">
        <f>IFERROR(INDEX('Detalles movimientos'!G$5:G$1000, MATCH(12, 'Detalles movimientos'!$Q$5:$Q$1000, 0)), "")</f>
        <v>Brisas del raco parcela 36 Pirque</v>
      </c>
      <c r="G24" s="21">
        <f>IFERROR(INDEX('Detalles movimientos'!H$5:H$1000, MATCH(12, 'Detalles movimientos'!$Q$5:$Q$1000, 0)), "")</f>
        <v>1100</v>
      </c>
      <c r="H24" s="22">
        <f>IFERROR(INDEX('Detalles movimientos'!I$5:I$1000, MATCH(12, 'Detalles movimientos'!$Q$5:$Q$1000, 0)), "")</f>
        <v>270</v>
      </c>
      <c r="I24" s="21">
        <f>IFERROR(INDEX('Detalles movimientos'!J$5:J$1000, MATCH(12, 'Detalles movimientos'!$Q$5:$Q$1000, 0)), "")</f>
        <v>297000</v>
      </c>
      <c r="J24" s="20" t="str">
        <f>IFERROR(INDEX('Detalles movimientos'!K$5:K$1000, MATCH(12, 'Detalles movimientos'!$Q$5:$Q$1000, 0)), "")</f>
        <v>Transferencia</v>
      </c>
      <c r="K24" s="21">
        <f>IFERROR(INDEX('Detalles movimientos'!L$5:L$1000, MATCH(12, 'Detalles movimientos'!$Q$5:$Q$1000, 0)), "")</f>
        <v>54000</v>
      </c>
      <c r="L24" s="19" t="str">
        <f>IFERROR(INDEX('Detalles movimientos'!M$5:M$1000, MATCH(12, 'Detalles movimientos'!$Q$5:$Q$1000, 0)), "")</f>
        <v>Factura</v>
      </c>
      <c r="M24" s="19" t="str">
        <f>IFERROR(INDEX('Detalles movimientos'!P$5:P$1000, MATCH(12, 'Detalles movimientos'!$Q$5:$Q$1000, 0)), "")</f>
        <v>Residencia Adulto Mayor Amor Eterno SpA - Rut 76.699.397-4 - Los Almendros Parcela2B Pirque</v>
      </c>
    </row>
    <row r="25" spans="2:13" x14ac:dyDescent="0.2">
      <c r="B25" s="18">
        <f>IFERROR(INDEX('Detalles movimientos'!C$5:C$1000, MATCH(13, 'Detalles movimientos'!$Q$5:$Q$1000, 0)), "")</f>
        <v>46245</v>
      </c>
      <c r="C25" s="19" t="str">
        <f>IFERROR(INDEX('Detalles movimientos'!D$5:D$1000, MATCH(13, 'Detalles movimientos'!$Q$5:$Q$1000, 0)), "")</f>
        <v>Eli Ciao Italia</v>
      </c>
      <c r="D25" s="20" t="str">
        <f>IFERROR(INDEX('Detalles movimientos'!E$5:E$1000, MATCH(13, 'Detalles movimientos'!$Q$5:$Q$1000, 0)), "")</f>
        <v>VJYL61</v>
      </c>
      <c r="E25" s="20" t="str">
        <f>IFERROR(INDEX('Detalles movimientos'!F$5:F$1000, MATCH(13, 'Detalles movimientos'!$Q$5:$Q$1000, 0)), "")</f>
        <v>CJ</v>
      </c>
      <c r="F25" s="19" t="str">
        <f>IFERROR(INDEX('Detalles movimientos'!G$5:G$1000, MATCH(13, 'Detalles movimientos'!$Q$5:$Q$1000, 0)), "")</f>
        <v>Camino rinconada san Vicente parcela 38</v>
      </c>
      <c r="G25" s="21">
        <f>IFERROR(INDEX('Detalles movimientos'!H$5:H$1000, MATCH(13, 'Detalles movimientos'!$Q$5:$Q$1000, 0)), "")</f>
        <v>1100</v>
      </c>
      <c r="H25" s="22">
        <f>IFERROR(INDEX('Detalles movimientos'!I$5:I$1000, MATCH(13, 'Detalles movimientos'!$Q$5:$Q$1000, 0)), "")</f>
        <v>404</v>
      </c>
      <c r="I25" s="21">
        <f>IFERROR(INDEX('Detalles movimientos'!J$5:J$1000, MATCH(13, 'Detalles movimientos'!$Q$5:$Q$1000, 0)), "")</f>
        <v>444400</v>
      </c>
      <c r="J25" s="20" t="str">
        <f>IFERROR(INDEX('Detalles movimientos'!K$5:K$1000, MATCH(13, 'Detalles movimientos'!$Q$5:$Q$1000, 0)), "")</f>
        <v>Transferencia</v>
      </c>
      <c r="K25" s="21">
        <f>IFERROR(INDEX('Detalles movimientos'!L$5:L$1000, MATCH(13, 'Detalles movimientos'!$Q$5:$Q$1000, 0)), "")</f>
        <v>80800</v>
      </c>
      <c r="L25" s="19">
        <f>IFERROR(INDEX('Detalles movimientos'!M$5:M$1000, MATCH(13, 'Detalles movimientos'!$Q$5:$Q$1000, 0)), "")</f>
        <v>0</v>
      </c>
      <c r="M25" s="19">
        <f>IFERROR(INDEX('Detalles movimientos'!P$5:P$1000, MATCH(13, 'Detalles movimientos'!$Q$5:$Q$1000, 0)), "")</f>
        <v>0</v>
      </c>
    </row>
    <row r="26" spans="2:13" x14ac:dyDescent="0.2">
      <c r="B26" s="18">
        <f>IFERROR(INDEX('Detalles movimientos'!C$5:C$1000, MATCH(14, 'Detalles movimientos'!$Q$5:$Q$1000, 0)), "")</f>
        <v>46245</v>
      </c>
      <c r="C26" s="19" t="str">
        <f>IFERROR(INDEX('Detalles movimientos'!D$5:D$1000, MATCH(14, 'Detalles movimientos'!$Q$5:$Q$1000, 0)), "")</f>
        <v>Javier Quiroz</v>
      </c>
      <c r="D26" s="20" t="str">
        <f>IFERROR(INDEX('Detalles movimientos'!E$5:E$1000, MATCH(14, 'Detalles movimientos'!$Q$5:$Q$1000, 0)), "")</f>
        <v>VJYL61</v>
      </c>
      <c r="E26" s="20" t="str">
        <f>IFERROR(INDEX('Detalles movimientos'!F$5:F$1000, MATCH(14, 'Detalles movimientos'!$Q$5:$Q$1000, 0)), "")</f>
        <v>CJ</v>
      </c>
      <c r="F26" s="19" t="str">
        <f>IFERROR(INDEX('Detalles movimientos'!G$5:G$1000, MATCH(14, 'Detalles movimientos'!$Q$5:$Q$1000, 0)), "")</f>
        <v>Condominio majadas C parcela 5</v>
      </c>
      <c r="G26" s="21">
        <f>IFERROR(INDEX('Detalles movimientos'!H$5:H$1000, MATCH(14, 'Detalles movimientos'!$Q$5:$Q$1000, 0)), "")</f>
        <v>1100</v>
      </c>
      <c r="H26" s="22">
        <f>IFERROR(INDEX('Detalles movimientos'!I$5:I$1000, MATCH(14, 'Detalles movimientos'!$Q$5:$Q$1000, 0)), "")</f>
        <v>509</v>
      </c>
      <c r="I26" s="21">
        <f>IFERROR(INDEX('Detalles movimientos'!J$5:J$1000, MATCH(14, 'Detalles movimientos'!$Q$5:$Q$1000, 0)), "")</f>
        <v>559900</v>
      </c>
      <c r="J26" s="20" t="str">
        <f>IFERROR(INDEX('Detalles movimientos'!K$5:K$1000, MATCH(14, 'Detalles movimientos'!$Q$5:$Q$1000, 0)), "")</f>
        <v>Transferencia</v>
      </c>
      <c r="K26" s="21">
        <f>IFERROR(INDEX('Detalles movimientos'!L$5:L$1000, MATCH(14, 'Detalles movimientos'!$Q$5:$Q$1000, 0)), "")</f>
        <v>101800</v>
      </c>
      <c r="L26" s="19">
        <f>IFERROR(INDEX('Detalles movimientos'!M$5:M$1000, MATCH(14, 'Detalles movimientos'!$Q$5:$Q$1000, 0)), "")</f>
        <v>0</v>
      </c>
      <c r="M26" s="19">
        <f>IFERROR(INDEX('Detalles movimientos'!P$5:P$1000, MATCH(14, 'Detalles movimientos'!$Q$5:$Q$1000, 0)), "")</f>
        <v>0</v>
      </c>
    </row>
    <row r="27" spans="2:13" x14ac:dyDescent="0.2">
      <c r="B27" s="18" t="str">
        <f>IFERROR(INDEX('Detalles movimientos'!C$5:C$1000, MATCH(15, 'Detalles movimientos'!$Q$5:$Q$1000, 0)), "")</f>
        <v/>
      </c>
      <c r="C27" s="19" t="str">
        <f>IFERROR(INDEX('Detalles movimientos'!D$5:D$1000, MATCH(15, 'Detalles movimientos'!$Q$5:$Q$1000, 0)), "")</f>
        <v/>
      </c>
      <c r="D27" s="20" t="str">
        <f>IFERROR(INDEX('Detalles movimientos'!E$5:E$1000, MATCH(15, 'Detalles movimientos'!$Q$5:$Q$1000, 0)), "")</f>
        <v/>
      </c>
      <c r="E27" s="20" t="str">
        <f>IFERROR(INDEX('Detalles movimientos'!F$5:F$1000, MATCH(15, 'Detalles movimientos'!$Q$5:$Q$1000, 0)), "")</f>
        <v/>
      </c>
      <c r="F27" s="19" t="str">
        <f>IFERROR(INDEX('Detalles movimientos'!G$5:G$1000, MATCH(15, 'Detalles movimientos'!$Q$5:$Q$1000, 0)), "")</f>
        <v/>
      </c>
      <c r="G27" s="21" t="str">
        <f>IFERROR(INDEX('Detalles movimientos'!H$5:H$1000, MATCH(15, 'Detalles movimientos'!$Q$5:$Q$1000, 0)), "")</f>
        <v/>
      </c>
      <c r="H27" s="22" t="str">
        <f>IFERROR(INDEX('Detalles movimientos'!I$5:I$1000, MATCH(15, 'Detalles movimientos'!$Q$5:$Q$1000, 0)), "")</f>
        <v/>
      </c>
      <c r="I27" s="21" t="str">
        <f>IFERROR(INDEX('Detalles movimientos'!J$5:J$1000, MATCH(15, 'Detalles movimientos'!$Q$5:$Q$1000, 0)), "")</f>
        <v/>
      </c>
      <c r="J27" s="20" t="str">
        <f>IFERROR(INDEX('Detalles movimientos'!K$5:K$1000, MATCH(15, 'Detalles movimientos'!$Q$5:$Q$1000, 0)), "")</f>
        <v/>
      </c>
      <c r="K27" s="21" t="str">
        <f>IFERROR(INDEX('Detalles movimientos'!L$5:L$1000, MATCH(15, 'Detalles movimientos'!$Q$5:$Q$1000, 0)), "")</f>
        <v/>
      </c>
      <c r="L27" s="19" t="str">
        <f>IFERROR(INDEX('Detalles movimientos'!M$5:M$1000, MATCH(15, 'Detalles movimientos'!$Q$5:$Q$1000, 0)), "")</f>
        <v/>
      </c>
      <c r="M27" s="19" t="str">
        <f>IFERROR(INDEX('Detalles movimientos'!P$5:P$1000, MATCH(15, 'Detalles movimientos'!$Q$5:$Q$1000, 0)), "")</f>
        <v/>
      </c>
    </row>
    <row r="28" spans="2:13" x14ac:dyDescent="0.2">
      <c r="B28" s="18" t="str">
        <f>IFERROR(INDEX('Detalles movimientos'!C$5:C$1000, MATCH(16, 'Detalles movimientos'!$Q$5:$Q$1000, 0)), "")</f>
        <v/>
      </c>
      <c r="C28" s="19" t="str">
        <f>IFERROR(INDEX('Detalles movimientos'!D$5:D$1000, MATCH(16, 'Detalles movimientos'!$Q$5:$Q$1000, 0)), "")</f>
        <v/>
      </c>
      <c r="D28" s="20" t="str">
        <f>IFERROR(INDEX('Detalles movimientos'!E$5:E$1000, MATCH(16, 'Detalles movimientos'!$Q$5:$Q$1000, 0)), "")</f>
        <v/>
      </c>
      <c r="E28" s="20" t="str">
        <f>IFERROR(INDEX('Detalles movimientos'!F$5:F$1000, MATCH(16, 'Detalles movimientos'!$Q$5:$Q$1000, 0)), "")</f>
        <v/>
      </c>
      <c r="F28" s="19" t="str">
        <f>IFERROR(INDEX('Detalles movimientos'!G$5:G$1000, MATCH(16, 'Detalles movimientos'!$Q$5:$Q$1000, 0)), "")</f>
        <v/>
      </c>
      <c r="G28" s="21" t="str">
        <f>IFERROR(INDEX('Detalles movimientos'!H$5:H$1000, MATCH(16, 'Detalles movimientos'!$Q$5:$Q$1000, 0)), "")</f>
        <v/>
      </c>
      <c r="H28" s="22" t="str">
        <f>IFERROR(INDEX('Detalles movimientos'!I$5:I$1000, MATCH(16, 'Detalles movimientos'!$Q$5:$Q$1000, 0)), "")</f>
        <v/>
      </c>
      <c r="I28" s="21" t="str">
        <f>IFERROR(INDEX('Detalles movimientos'!J$5:J$1000, MATCH(16, 'Detalles movimientos'!$Q$5:$Q$1000, 0)), "")</f>
        <v/>
      </c>
      <c r="J28" s="20" t="str">
        <f>IFERROR(INDEX('Detalles movimientos'!K$5:K$1000, MATCH(16, 'Detalles movimientos'!$Q$5:$Q$1000, 0)), "")</f>
        <v/>
      </c>
      <c r="K28" s="21" t="str">
        <f>IFERROR(INDEX('Detalles movimientos'!L$5:L$1000, MATCH(16, 'Detalles movimientos'!$Q$5:$Q$1000, 0)), "")</f>
        <v/>
      </c>
      <c r="L28" s="19" t="str">
        <f>IFERROR(INDEX('Detalles movimientos'!M$5:M$1000, MATCH(16, 'Detalles movimientos'!$Q$5:$Q$1000, 0)), "")</f>
        <v/>
      </c>
      <c r="M28" s="19" t="str">
        <f>IFERROR(INDEX('Detalles movimientos'!P$5:P$1000, MATCH(16, 'Detalles movimientos'!$Q$5:$Q$1000, 0)), "")</f>
        <v/>
      </c>
    </row>
    <row r="29" spans="2:13" x14ac:dyDescent="0.2">
      <c r="B29" s="18" t="str">
        <f>IFERROR(INDEX('Detalles movimientos'!C$5:C$1000, MATCH(17, 'Detalles movimientos'!$Q$5:$Q$1000, 0)), "")</f>
        <v/>
      </c>
      <c r="C29" s="19" t="str">
        <f>IFERROR(INDEX('Detalles movimientos'!D$5:D$1000, MATCH(17, 'Detalles movimientos'!$Q$5:$Q$1000, 0)), "")</f>
        <v/>
      </c>
      <c r="D29" s="20" t="str">
        <f>IFERROR(INDEX('Detalles movimientos'!E$5:E$1000, MATCH(17, 'Detalles movimientos'!$Q$5:$Q$1000, 0)), "")</f>
        <v/>
      </c>
      <c r="E29" s="20" t="str">
        <f>IFERROR(INDEX('Detalles movimientos'!F$5:F$1000, MATCH(17, 'Detalles movimientos'!$Q$5:$Q$1000, 0)), "")</f>
        <v/>
      </c>
      <c r="F29" s="19" t="str">
        <f>IFERROR(INDEX('Detalles movimientos'!G$5:G$1000, MATCH(17, 'Detalles movimientos'!$Q$5:$Q$1000, 0)), "")</f>
        <v/>
      </c>
      <c r="G29" s="21" t="str">
        <f>IFERROR(INDEX('Detalles movimientos'!H$5:H$1000, MATCH(17, 'Detalles movimientos'!$Q$5:$Q$1000, 0)), "")</f>
        <v/>
      </c>
      <c r="H29" s="22" t="str">
        <f>IFERROR(INDEX('Detalles movimientos'!I$5:I$1000, MATCH(17, 'Detalles movimientos'!$Q$5:$Q$1000, 0)), "")</f>
        <v/>
      </c>
      <c r="I29" s="21" t="str">
        <f>IFERROR(INDEX('Detalles movimientos'!J$5:J$1000, MATCH(17, 'Detalles movimientos'!$Q$5:$Q$1000, 0)), "")</f>
        <v/>
      </c>
      <c r="J29" s="20" t="str">
        <f>IFERROR(INDEX('Detalles movimientos'!K$5:K$1000, MATCH(17, 'Detalles movimientos'!$Q$5:$Q$1000, 0)), "")</f>
        <v/>
      </c>
      <c r="K29" s="21" t="str">
        <f>IFERROR(INDEX('Detalles movimientos'!L$5:L$1000, MATCH(17, 'Detalles movimientos'!$Q$5:$Q$1000, 0)), "")</f>
        <v/>
      </c>
      <c r="L29" s="19" t="str">
        <f>IFERROR(INDEX('Detalles movimientos'!M$5:M$1000, MATCH(17, 'Detalles movimientos'!$Q$5:$Q$1000, 0)), "")</f>
        <v/>
      </c>
      <c r="M29" s="19" t="str">
        <f>IFERROR(INDEX('Detalles movimientos'!P$5:P$1000, MATCH(17, 'Detalles movimientos'!$Q$5:$Q$1000, 0)), "")</f>
        <v/>
      </c>
    </row>
    <row r="30" spans="2:13" x14ac:dyDescent="0.2">
      <c r="B30" s="18" t="str">
        <f>IFERROR(INDEX('Detalles movimientos'!C$5:C$1000, MATCH(18, 'Detalles movimientos'!$Q$5:$Q$1000, 0)), "")</f>
        <v/>
      </c>
      <c r="C30" s="19" t="str">
        <f>IFERROR(INDEX('Detalles movimientos'!D$5:D$1000, MATCH(18, 'Detalles movimientos'!$Q$5:$Q$1000, 0)), "")</f>
        <v/>
      </c>
      <c r="D30" s="20" t="str">
        <f>IFERROR(INDEX('Detalles movimientos'!E$5:E$1000, MATCH(18, 'Detalles movimientos'!$Q$5:$Q$1000, 0)), "")</f>
        <v/>
      </c>
      <c r="E30" s="20" t="str">
        <f>IFERROR(INDEX('Detalles movimientos'!F$5:F$1000, MATCH(18, 'Detalles movimientos'!$Q$5:$Q$1000, 0)), "")</f>
        <v/>
      </c>
      <c r="F30" s="19" t="str">
        <f>IFERROR(INDEX('Detalles movimientos'!G$5:G$1000, MATCH(18, 'Detalles movimientos'!$Q$5:$Q$1000, 0)), "")</f>
        <v/>
      </c>
      <c r="G30" s="21" t="str">
        <f>IFERROR(INDEX('Detalles movimientos'!H$5:H$1000, MATCH(18, 'Detalles movimientos'!$Q$5:$Q$1000, 0)), "")</f>
        <v/>
      </c>
      <c r="H30" s="22" t="str">
        <f>IFERROR(INDEX('Detalles movimientos'!I$5:I$1000, MATCH(18, 'Detalles movimientos'!$Q$5:$Q$1000, 0)), "")</f>
        <v/>
      </c>
      <c r="I30" s="21" t="str">
        <f>IFERROR(INDEX('Detalles movimientos'!J$5:J$1000, MATCH(18, 'Detalles movimientos'!$Q$5:$Q$1000, 0)), "")</f>
        <v/>
      </c>
      <c r="J30" s="20" t="str">
        <f>IFERROR(INDEX('Detalles movimientos'!K$5:K$1000, MATCH(18, 'Detalles movimientos'!$Q$5:$Q$1000, 0)), "")</f>
        <v/>
      </c>
      <c r="K30" s="21" t="str">
        <f>IFERROR(INDEX('Detalles movimientos'!L$5:L$1000, MATCH(18, 'Detalles movimientos'!$Q$5:$Q$1000, 0)), "")</f>
        <v/>
      </c>
      <c r="L30" s="19" t="str">
        <f>IFERROR(INDEX('Detalles movimientos'!M$5:M$1000, MATCH(18, 'Detalles movimientos'!$Q$5:$Q$1000, 0)), "")</f>
        <v/>
      </c>
      <c r="M30" s="19" t="str">
        <f>IFERROR(INDEX('Detalles movimientos'!P$5:P$1000, MATCH(18, 'Detalles movimientos'!$Q$5:$Q$1000, 0)), "")</f>
        <v/>
      </c>
    </row>
    <row r="31" spans="2:13" x14ac:dyDescent="0.2">
      <c r="B31" s="18" t="str">
        <f>IFERROR(INDEX('Detalles movimientos'!C$5:C$1000, MATCH(19, 'Detalles movimientos'!$Q$5:$Q$1000, 0)), "")</f>
        <v/>
      </c>
      <c r="C31" s="19" t="str">
        <f>IFERROR(INDEX('Detalles movimientos'!D$5:D$1000, MATCH(19, 'Detalles movimientos'!$Q$5:$Q$1000, 0)), "")</f>
        <v/>
      </c>
      <c r="D31" s="20" t="str">
        <f>IFERROR(INDEX('Detalles movimientos'!E$5:E$1000, MATCH(19, 'Detalles movimientos'!$Q$5:$Q$1000, 0)), "")</f>
        <v/>
      </c>
      <c r="E31" s="20" t="str">
        <f>IFERROR(INDEX('Detalles movimientos'!F$5:F$1000, MATCH(19, 'Detalles movimientos'!$Q$5:$Q$1000, 0)), "")</f>
        <v/>
      </c>
      <c r="F31" s="19" t="str">
        <f>IFERROR(INDEX('Detalles movimientos'!G$5:G$1000, MATCH(19, 'Detalles movimientos'!$Q$5:$Q$1000, 0)), "")</f>
        <v/>
      </c>
      <c r="G31" s="21" t="str">
        <f>IFERROR(INDEX('Detalles movimientos'!H$5:H$1000, MATCH(19, 'Detalles movimientos'!$Q$5:$Q$1000, 0)), "")</f>
        <v/>
      </c>
      <c r="H31" s="22" t="str">
        <f>IFERROR(INDEX('Detalles movimientos'!I$5:I$1000, MATCH(19, 'Detalles movimientos'!$Q$5:$Q$1000, 0)), "")</f>
        <v/>
      </c>
      <c r="I31" s="21" t="str">
        <f>IFERROR(INDEX('Detalles movimientos'!J$5:J$1000, MATCH(19, 'Detalles movimientos'!$Q$5:$Q$1000, 0)), "")</f>
        <v/>
      </c>
      <c r="J31" s="20" t="str">
        <f>IFERROR(INDEX('Detalles movimientos'!K$5:K$1000, MATCH(19, 'Detalles movimientos'!$Q$5:$Q$1000, 0)), "")</f>
        <v/>
      </c>
      <c r="K31" s="21" t="str">
        <f>IFERROR(INDEX('Detalles movimientos'!L$5:L$1000, MATCH(19, 'Detalles movimientos'!$Q$5:$Q$1000, 0)), "")</f>
        <v/>
      </c>
      <c r="L31" s="19" t="str">
        <f>IFERROR(INDEX('Detalles movimientos'!M$5:M$1000, MATCH(19, 'Detalles movimientos'!$Q$5:$Q$1000, 0)), "")</f>
        <v/>
      </c>
      <c r="M31" s="19" t="str">
        <f>IFERROR(INDEX('Detalles movimientos'!P$5:P$1000, MATCH(19, 'Detalles movimientos'!$Q$5:$Q$1000, 0)), "")</f>
        <v/>
      </c>
    </row>
    <row r="32" spans="2:13" x14ac:dyDescent="0.2">
      <c r="B32" s="18" t="str">
        <f>IFERROR(INDEX('Detalles movimientos'!C$5:C$1000, MATCH(20, 'Detalles movimientos'!$Q$5:$Q$1000, 0)), "")</f>
        <v/>
      </c>
      <c r="C32" s="19" t="str">
        <f>IFERROR(INDEX('Detalles movimientos'!D$5:D$1000, MATCH(20, 'Detalles movimientos'!$Q$5:$Q$1000, 0)), "")</f>
        <v/>
      </c>
      <c r="D32" s="20" t="str">
        <f>IFERROR(INDEX('Detalles movimientos'!E$5:E$1000, MATCH(20, 'Detalles movimientos'!$Q$5:$Q$1000, 0)), "")</f>
        <v/>
      </c>
      <c r="E32" s="20" t="str">
        <f>IFERROR(INDEX('Detalles movimientos'!F$5:F$1000, MATCH(20, 'Detalles movimientos'!$Q$5:$Q$1000, 0)), "")</f>
        <v/>
      </c>
      <c r="F32" s="19" t="str">
        <f>IFERROR(INDEX('Detalles movimientos'!G$5:G$1000, MATCH(20, 'Detalles movimientos'!$Q$5:$Q$1000, 0)), "")</f>
        <v/>
      </c>
      <c r="G32" s="21" t="str">
        <f>IFERROR(INDEX('Detalles movimientos'!H$5:H$1000, MATCH(20, 'Detalles movimientos'!$Q$5:$Q$1000, 0)), "")</f>
        <v/>
      </c>
      <c r="H32" s="22" t="str">
        <f>IFERROR(INDEX('Detalles movimientos'!I$5:I$1000, MATCH(20, 'Detalles movimientos'!$Q$5:$Q$1000, 0)), "")</f>
        <v/>
      </c>
      <c r="I32" s="21" t="str">
        <f>IFERROR(INDEX('Detalles movimientos'!J$5:J$1000, MATCH(20, 'Detalles movimientos'!$Q$5:$Q$1000, 0)), "")</f>
        <v/>
      </c>
      <c r="J32" s="20" t="str">
        <f>IFERROR(INDEX('Detalles movimientos'!K$5:K$1000, MATCH(20, 'Detalles movimientos'!$Q$5:$Q$1000, 0)), "")</f>
        <v/>
      </c>
      <c r="K32" s="21" t="str">
        <f>IFERROR(INDEX('Detalles movimientos'!L$5:L$1000, MATCH(20, 'Detalles movimientos'!$Q$5:$Q$1000, 0)), "")</f>
        <v/>
      </c>
      <c r="L32" s="19" t="str">
        <f>IFERROR(INDEX('Detalles movimientos'!M$5:M$1000, MATCH(20, 'Detalles movimientos'!$Q$5:$Q$1000, 0)), "")</f>
        <v/>
      </c>
      <c r="M32" s="19" t="str">
        <f>IFERROR(INDEX('Detalles movimientos'!P$5:P$1000, MATCH(20, 'Detalles movimientos'!$Q$5:$Q$1000, 0)), "")</f>
        <v/>
      </c>
    </row>
    <row r="33" spans="2:13" x14ac:dyDescent="0.2">
      <c r="B33" s="18" t="str">
        <f>IFERROR(INDEX('Detalles movimientos'!C$5:C$1000, MATCH(21, 'Detalles movimientos'!$Q$5:$Q$1000, 0)), "")</f>
        <v/>
      </c>
      <c r="C33" s="19" t="str">
        <f>IFERROR(INDEX('Detalles movimientos'!D$5:D$1000, MATCH(21, 'Detalles movimientos'!$Q$5:$Q$1000, 0)), "")</f>
        <v/>
      </c>
      <c r="D33" s="20" t="str">
        <f>IFERROR(INDEX('Detalles movimientos'!E$5:E$1000, MATCH(21, 'Detalles movimientos'!$Q$5:$Q$1000, 0)), "")</f>
        <v/>
      </c>
      <c r="E33" s="20" t="str">
        <f>IFERROR(INDEX('Detalles movimientos'!F$5:F$1000, MATCH(21, 'Detalles movimientos'!$Q$5:$Q$1000, 0)), "")</f>
        <v/>
      </c>
      <c r="F33" s="19" t="str">
        <f>IFERROR(INDEX('Detalles movimientos'!G$5:G$1000, MATCH(21, 'Detalles movimientos'!$Q$5:$Q$1000, 0)), "")</f>
        <v/>
      </c>
      <c r="G33" s="21" t="str">
        <f>IFERROR(INDEX('Detalles movimientos'!H$5:H$1000, MATCH(21, 'Detalles movimientos'!$Q$5:$Q$1000, 0)), "")</f>
        <v/>
      </c>
      <c r="H33" s="22" t="str">
        <f>IFERROR(INDEX('Detalles movimientos'!I$5:I$1000, MATCH(21, 'Detalles movimientos'!$Q$5:$Q$1000, 0)), "")</f>
        <v/>
      </c>
      <c r="I33" s="21" t="str">
        <f>IFERROR(INDEX('Detalles movimientos'!J$5:J$1000, MATCH(21, 'Detalles movimientos'!$Q$5:$Q$1000, 0)), "")</f>
        <v/>
      </c>
      <c r="J33" s="20" t="str">
        <f>IFERROR(INDEX('Detalles movimientos'!K$5:K$1000, MATCH(21, 'Detalles movimientos'!$Q$5:$Q$1000, 0)), "")</f>
        <v/>
      </c>
      <c r="K33" s="21" t="str">
        <f>IFERROR(INDEX('Detalles movimientos'!L$5:L$1000, MATCH(21, 'Detalles movimientos'!$Q$5:$Q$1000, 0)), "")</f>
        <v/>
      </c>
      <c r="L33" s="19" t="str">
        <f>IFERROR(INDEX('Detalles movimientos'!M$5:M$1000, MATCH(21, 'Detalles movimientos'!$Q$5:$Q$1000, 0)), "")</f>
        <v/>
      </c>
      <c r="M33" s="19" t="str">
        <f>IFERROR(INDEX('Detalles movimientos'!P$5:P$1000, MATCH(21, 'Detalles movimientos'!$Q$5:$Q$1000, 0)), "")</f>
        <v/>
      </c>
    </row>
    <row r="34" spans="2:13" x14ac:dyDescent="0.2">
      <c r="B34" s="18" t="str">
        <f>IFERROR(INDEX('Detalles movimientos'!C$5:C$1000, MATCH(22, 'Detalles movimientos'!$Q$5:$Q$1000, 0)), "")</f>
        <v/>
      </c>
      <c r="C34" s="19" t="str">
        <f>IFERROR(INDEX('Detalles movimientos'!D$5:D$1000, MATCH(22, 'Detalles movimientos'!$Q$5:$Q$1000, 0)), "")</f>
        <v/>
      </c>
      <c r="D34" s="20" t="str">
        <f>IFERROR(INDEX('Detalles movimientos'!E$5:E$1000, MATCH(22, 'Detalles movimientos'!$Q$5:$Q$1000, 0)), "")</f>
        <v/>
      </c>
      <c r="E34" s="20" t="str">
        <f>IFERROR(INDEX('Detalles movimientos'!F$5:F$1000, MATCH(22, 'Detalles movimientos'!$Q$5:$Q$1000, 0)), "")</f>
        <v/>
      </c>
      <c r="F34" s="19" t="str">
        <f>IFERROR(INDEX('Detalles movimientos'!G$5:G$1000, MATCH(22, 'Detalles movimientos'!$Q$5:$Q$1000, 0)), "")</f>
        <v/>
      </c>
      <c r="G34" s="21" t="str">
        <f>IFERROR(INDEX('Detalles movimientos'!H$5:H$1000, MATCH(22, 'Detalles movimientos'!$Q$5:$Q$1000, 0)), "")</f>
        <v/>
      </c>
      <c r="H34" s="22" t="str">
        <f>IFERROR(INDEX('Detalles movimientos'!I$5:I$1000, MATCH(22, 'Detalles movimientos'!$Q$5:$Q$1000, 0)), "")</f>
        <v/>
      </c>
      <c r="I34" s="21" t="str">
        <f>IFERROR(INDEX('Detalles movimientos'!J$5:J$1000, MATCH(22, 'Detalles movimientos'!$Q$5:$Q$1000, 0)), "")</f>
        <v/>
      </c>
      <c r="J34" s="20" t="str">
        <f>IFERROR(INDEX('Detalles movimientos'!K$5:K$1000, MATCH(22, 'Detalles movimientos'!$Q$5:$Q$1000, 0)), "")</f>
        <v/>
      </c>
      <c r="K34" s="21" t="str">
        <f>IFERROR(INDEX('Detalles movimientos'!L$5:L$1000, MATCH(22, 'Detalles movimientos'!$Q$5:$Q$1000, 0)), "")</f>
        <v/>
      </c>
      <c r="L34" s="19" t="str">
        <f>IFERROR(INDEX('Detalles movimientos'!M$5:M$1000, MATCH(22, 'Detalles movimientos'!$Q$5:$Q$1000, 0)), "")</f>
        <v/>
      </c>
      <c r="M34" s="19" t="str">
        <f>IFERROR(INDEX('Detalles movimientos'!P$5:P$1000, MATCH(22, 'Detalles movimientos'!$Q$5:$Q$1000, 0)), "")</f>
        <v/>
      </c>
    </row>
    <row r="35" spans="2:13" x14ac:dyDescent="0.2">
      <c r="B35" s="18" t="str">
        <f>IFERROR(INDEX('Detalles movimientos'!C$5:C$1000, MATCH(23, 'Detalles movimientos'!$Q$5:$Q$1000, 0)), "")</f>
        <v/>
      </c>
      <c r="C35" s="19" t="str">
        <f>IFERROR(INDEX('Detalles movimientos'!D$5:D$1000, MATCH(23, 'Detalles movimientos'!$Q$5:$Q$1000, 0)), "")</f>
        <v/>
      </c>
      <c r="D35" s="20" t="str">
        <f>IFERROR(INDEX('Detalles movimientos'!E$5:E$1000, MATCH(23, 'Detalles movimientos'!$Q$5:$Q$1000, 0)), "")</f>
        <v/>
      </c>
      <c r="E35" s="20" t="str">
        <f>IFERROR(INDEX('Detalles movimientos'!F$5:F$1000, MATCH(23, 'Detalles movimientos'!$Q$5:$Q$1000, 0)), "")</f>
        <v/>
      </c>
      <c r="F35" s="19" t="str">
        <f>IFERROR(INDEX('Detalles movimientos'!G$5:G$1000, MATCH(23, 'Detalles movimientos'!$Q$5:$Q$1000, 0)), "")</f>
        <v/>
      </c>
      <c r="G35" s="21" t="str">
        <f>IFERROR(INDEX('Detalles movimientos'!H$5:H$1000, MATCH(23, 'Detalles movimientos'!$Q$5:$Q$1000, 0)), "")</f>
        <v/>
      </c>
      <c r="H35" s="22" t="str">
        <f>IFERROR(INDEX('Detalles movimientos'!I$5:I$1000, MATCH(23, 'Detalles movimientos'!$Q$5:$Q$1000, 0)), "")</f>
        <v/>
      </c>
      <c r="I35" s="21" t="str">
        <f>IFERROR(INDEX('Detalles movimientos'!J$5:J$1000, MATCH(23, 'Detalles movimientos'!$Q$5:$Q$1000, 0)), "")</f>
        <v/>
      </c>
      <c r="J35" s="20" t="str">
        <f>IFERROR(INDEX('Detalles movimientos'!K$5:K$1000, MATCH(23, 'Detalles movimientos'!$Q$5:$Q$1000, 0)), "")</f>
        <v/>
      </c>
      <c r="K35" s="21" t="str">
        <f>IFERROR(INDEX('Detalles movimientos'!L$5:L$1000, MATCH(23, 'Detalles movimientos'!$Q$5:$Q$1000, 0)), "")</f>
        <v/>
      </c>
      <c r="L35" s="19" t="str">
        <f>IFERROR(INDEX('Detalles movimientos'!M$5:M$1000, MATCH(23, 'Detalles movimientos'!$Q$5:$Q$1000, 0)), "")</f>
        <v/>
      </c>
      <c r="M35" s="19" t="str">
        <f>IFERROR(INDEX('Detalles movimientos'!P$5:P$1000, MATCH(23, 'Detalles movimientos'!$Q$5:$Q$1000, 0)), "")</f>
        <v/>
      </c>
    </row>
    <row r="36" spans="2:13" x14ac:dyDescent="0.2">
      <c r="B36" s="18" t="str">
        <f>IFERROR(INDEX('Detalles movimientos'!C$5:C$1000, MATCH(24, 'Detalles movimientos'!$Q$5:$Q$1000, 0)), "")</f>
        <v/>
      </c>
      <c r="C36" s="19" t="str">
        <f>IFERROR(INDEX('Detalles movimientos'!D$5:D$1000, MATCH(24, 'Detalles movimientos'!$Q$5:$Q$1000, 0)), "")</f>
        <v/>
      </c>
      <c r="D36" s="20" t="str">
        <f>IFERROR(INDEX('Detalles movimientos'!E$5:E$1000, MATCH(24, 'Detalles movimientos'!$Q$5:$Q$1000, 0)), "")</f>
        <v/>
      </c>
      <c r="E36" s="20" t="str">
        <f>IFERROR(INDEX('Detalles movimientos'!F$5:F$1000, MATCH(24, 'Detalles movimientos'!$Q$5:$Q$1000, 0)), "")</f>
        <v/>
      </c>
      <c r="F36" s="19" t="str">
        <f>IFERROR(INDEX('Detalles movimientos'!G$5:G$1000, MATCH(24, 'Detalles movimientos'!$Q$5:$Q$1000, 0)), "")</f>
        <v/>
      </c>
      <c r="G36" s="21" t="str">
        <f>IFERROR(INDEX('Detalles movimientos'!H$5:H$1000, MATCH(24, 'Detalles movimientos'!$Q$5:$Q$1000, 0)), "")</f>
        <v/>
      </c>
      <c r="H36" s="22" t="str">
        <f>IFERROR(INDEX('Detalles movimientos'!I$5:I$1000, MATCH(24, 'Detalles movimientos'!$Q$5:$Q$1000, 0)), "")</f>
        <v/>
      </c>
      <c r="I36" s="21" t="str">
        <f>IFERROR(INDEX('Detalles movimientos'!J$5:J$1000, MATCH(24, 'Detalles movimientos'!$Q$5:$Q$1000, 0)), "")</f>
        <v/>
      </c>
      <c r="J36" s="20" t="str">
        <f>IFERROR(INDEX('Detalles movimientos'!K$5:K$1000, MATCH(24, 'Detalles movimientos'!$Q$5:$Q$1000, 0)), "")</f>
        <v/>
      </c>
      <c r="K36" s="21" t="str">
        <f>IFERROR(INDEX('Detalles movimientos'!L$5:L$1000, MATCH(24, 'Detalles movimientos'!$Q$5:$Q$1000, 0)), "")</f>
        <v/>
      </c>
      <c r="L36" s="19" t="str">
        <f>IFERROR(INDEX('Detalles movimientos'!M$5:M$1000, MATCH(24, 'Detalles movimientos'!$Q$5:$Q$1000, 0)), "")</f>
        <v/>
      </c>
      <c r="M36" s="19" t="str">
        <f>IFERROR(INDEX('Detalles movimientos'!P$5:P$1000, MATCH(24, 'Detalles movimientos'!$Q$5:$Q$1000, 0)), "")</f>
        <v/>
      </c>
    </row>
    <row r="37" spans="2:13" x14ac:dyDescent="0.2">
      <c r="B37" s="18" t="str">
        <f>IFERROR(INDEX('Detalles movimientos'!C$5:C$1000, MATCH(25, 'Detalles movimientos'!$Q$5:$Q$1000, 0)), "")</f>
        <v/>
      </c>
      <c r="C37" s="19" t="str">
        <f>IFERROR(INDEX('Detalles movimientos'!D$5:D$1000, MATCH(25, 'Detalles movimientos'!$Q$5:$Q$1000, 0)), "")</f>
        <v/>
      </c>
      <c r="D37" s="20" t="str">
        <f>IFERROR(INDEX('Detalles movimientos'!E$5:E$1000, MATCH(25, 'Detalles movimientos'!$Q$5:$Q$1000, 0)), "")</f>
        <v/>
      </c>
      <c r="E37" s="20" t="str">
        <f>IFERROR(INDEX('Detalles movimientos'!F$5:F$1000, MATCH(25, 'Detalles movimientos'!$Q$5:$Q$1000, 0)), "")</f>
        <v/>
      </c>
      <c r="F37" s="19" t="str">
        <f>IFERROR(INDEX('Detalles movimientos'!G$5:G$1000, MATCH(25, 'Detalles movimientos'!$Q$5:$Q$1000, 0)), "")</f>
        <v/>
      </c>
      <c r="G37" s="21" t="str">
        <f>IFERROR(INDEX('Detalles movimientos'!H$5:H$1000, MATCH(25, 'Detalles movimientos'!$Q$5:$Q$1000, 0)), "")</f>
        <v/>
      </c>
      <c r="H37" s="22" t="str">
        <f>IFERROR(INDEX('Detalles movimientos'!I$5:I$1000, MATCH(25, 'Detalles movimientos'!$Q$5:$Q$1000, 0)), "")</f>
        <v/>
      </c>
      <c r="I37" s="21" t="str">
        <f>IFERROR(INDEX('Detalles movimientos'!J$5:J$1000, MATCH(25, 'Detalles movimientos'!$Q$5:$Q$1000, 0)), "")</f>
        <v/>
      </c>
      <c r="J37" s="20" t="str">
        <f>IFERROR(INDEX('Detalles movimientos'!K$5:K$1000, MATCH(25, 'Detalles movimientos'!$Q$5:$Q$1000, 0)), "")</f>
        <v/>
      </c>
      <c r="K37" s="21" t="str">
        <f>IFERROR(INDEX('Detalles movimientos'!L$5:L$1000, MATCH(25, 'Detalles movimientos'!$Q$5:$Q$1000, 0)), "")</f>
        <v/>
      </c>
      <c r="L37" s="19" t="str">
        <f>IFERROR(INDEX('Detalles movimientos'!M$5:M$1000, MATCH(25, 'Detalles movimientos'!$Q$5:$Q$1000, 0)), "")</f>
        <v/>
      </c>
      <c r="M37" s="19" t="str">
        <f>IFERROR(INDEX('Detalles movimientos'!P$5:P$1000, MATCH(25, 'Detalles movimientos'!$Q$5:$Q$1000, 0)), "")</f>
        <v/>
      </c>
    </row>
    <row r="38" spans="2:13" x14ac:dyDescent="0.2">
      <c r="B38" s="18" t="str">
        <f>IFERROR(INDEX('Detalles movimientos'!C$5:C$1000, MATCH(26, 'Detalles movimientos'!$Q$5:$Q$1000, 0)), "")</f>
        <v/>
      </c>
      <c r="C38" s="19" t="str">
        <f>IFERROR(INDEX('Detalles movimientos'!D$5:D$1000, MATCH(26, 'Detalles movimientos'!$Q$5:$Q$1000, 0)), "")</f>
        <v/>
      </c>
      <c r="D38" s="20" t="str">
        <f>IFERROR(INDEX('Detalles movimientos'!E$5:E$1000, MATCH(26, 'Detalles movimientos'!$Q$5:$Q$1000, 0)), "")</f>
        <v/>
      </c>
      <c r="E38" s="20" t="str">
        <f>IFERROR(INDEX('Detalles movimientos'!F$5:F$1000, MATCH(26, 'Detalles movimientos'!$Q$5:$Q$1000, 0)), "")</f>
        <v/>
      </c>
      <c r="F38" s="19" t="str">
        <f>IFERROR(INDEX('Detalles movimientos'!G$5:G$1000, MATCH(26, 'Detalles movimientos'!$Q$5:$Q$1000, 0)), "")</f>
        <v/>
      </c>
      <c r="G38" s="21" t="str">
        <f>IFERROR(INDEX('Detalles movimientos'!H$5:H$1000, MATCH(26, 'Detalles movimientos'!$Q$5:$Q$1000, 0)), "")</f>
        <v/>
      </c>
      <c r="H38" s="22" t="str">
        <f>IFERROR(INDEX('Detalles movimientos'!I$5:I$1000, MATCH(26, 'Detalles movimientos'!$Q$5:$Q$1000, 0)), "")</f>
        <v/>
      </c>
      <c r="I38" s="21" t="str">
        <f>IFERROR(INDEX('Detalles movimientos'!J$5:J$1000, MATCH(26, 'Detalles movimientos'!$Q$5:$Q$1000, 0)), "")</f>
        <v/>
      </c>
      <c r="J38" s="20" t="str">
        <f>IFERROR(INDEX('Detalles movimientos'!K$5:K$1000, MATCH(26, 'Detalles movimientos'!$Q$5:$Q$1000, 0)), "")</f>
        <v/>
      </c>
      <c r="K38" s="21" t="str">
        <f>IFERROR(INDEX('Detalles movimientos'!L$5:L$1000, MATCH(26, 'Detalles movimientos'!$Q$5:$Q$1000, 0)), "")</f>
        <v/>
      </c>
      <c r="L38" s="19" t="str">
        <f>IFERROR(INDEX('Detalles movimientos'!M$5:M$1000, MATCH(26, 'Detalles movimientos'!$Q$5:$Q$1000, 0)), "")</f>
        <v/>
      </c>
      <c r="M38" s="19" t="str">
        <f>IFERROR(INDEX('Detalles movimientos'!P$5:P$1000, MATCH(26, 'Detalles movimientos'!$Q$5:$Q$1000, 0)), "")</f>
        <v/>
      </c>
    </row>
    <row r="39" spans="2:13" x14ac:dyDescent="0.2">
      <c r="B39" s="18" t="str">
        <f>IFERROR(INDEX('Detalles movimientos'!C$5:C$1000, MATCH(27, 'Detalles movimientos'!$Q$5:$Q$1000, 0)), "")</f>
        <v/>
      </c>
      <c r="C39" s="19" t="str">
        <f>IFERROR(INDEX('Detalles movimientos'!D$5:D$1000, MATCH(27, 'Detalles movimientos'!$Q$5:$Q$1000, 0)), "")</f>
        <v/>
      </c>
      <c r="D39" s="20" t="str">
        <f>IFERROR(INDEX('Detalles movimientos'!E$5:E$1000, MATCH(27, 'Detalles movimientos'!$Q$5:$Q$1000, 0)), "")</f>
        <v/>
      </c>
      <c r="E39" s="20" t="str">
        <f>IFERROR(INDEX('Detalles movimientos'!F$5:F$1000, MATCH(27, 'Detalles movimientos'!$Q$5:$Q$1000, 0)), "")</f>
        <v/>
      </c>
      <c r="F39" s="19" t="str">
        <f>IFERROR(INDEX('Detalles movimientos'!G$5:G$1000, MATCH(27, 'Detalles movimientos'!$Q$5:$Q$1000, 0)), "")</f>
        <v/>
      </c>
      <c r="G39" s="21" t="str">
        <f>IFERROR(INDEX('Detalles movimientos'!H$5:H$1000, MATCH(27, 'Detalles movimientos'!$Q$5:$Q$1000, 0)), "")</f>
        <v/>
      </c>
      <c r="H39" s="22" t="str">
        <f>IFERROR(INDEX('Detalles movimientos'!I$5:I$1000, MATCH(27, 'Detalles movimientos'!$Q$5:$Q$1000, 0)), "")</f>
        <v/>
      </c>
      <c r="I39" s="21" t="str">
        <f>IFERROR(INDEX('Detalles movimientos'!J$5:J$1000, MATCH(27, 'Detalles movimientos'!$Q$5:$Q$1000, 0)), "")</f>
        <v/>
      </c>
      <c r="J39" s="20" t="str">
        <f>IFERROR(INDEX('Detalles movimientos'!K$5:K$1000, MATCH(27, 'Detalles movimientos'!$Q$5:$Q$1000, 0)), "")</f>
        <v/>
      </c>
      <c r="K39" s="21" t="str">
        <f>IFERROR(INDEX('Detalles movimientos'!L$5:L$1000, MATCH(27, 'Detalles movimientos'!$Q$5:$Q$1000, 0)), "")</f>
        <v/>
      </c>
      <c r="L39" s="19" t="str">
        <f>IFERROR(INDEX('Detalles movimientos'!M$5:M$1000, MATCH(27, 'Detalles movimientos'!$Q$5:$Q$1000, 0)), "")</f>
        <v/>
      </c>
      <c r="M39" s="19" t="str">
        <f>IFERROR(INDEX('Detalles movimientos'!P$5:P$1000, MATCH(27, 'Detalles movimientos'!$Q$5:$Q$1000, 0)), "")</f>
        <v/>
      </c>
    </row>
    <row r="40" spans="2:13" x14ac:dyDescent="0.2">
      <c r="B40" s="18" t="str">
        <f>IFERROR(INDEX('Detalles movimientos'!C$5:C$1000, MATCH(28, 'Detalles movimientos'!$Q$5:$Q$1000, 0)), "")</f>
        <v/>
      </c>
      <c r="C40" s="19" t="str">
        <f>IFERROR(INDEX('Detalles movimientos'!D$5:D$1000, MATCH(28, 'Detalles movimientos'!$Q$5:$Q$1000, 0)), "")</f>
        <v/>
      </c>
      <c r="D40" s="20" t="str">
        <f>IFERROR(INDEX('Detalles movimientos'!E$5:E$1000, MATCH(28, 'Detalles movimientos'!$Q$5:$Q$1000, 0)), "")</f>
        <v/>
      </c>
      <c r="E40" s="20" t="str">
        <f>IFERROR(INDEX('Detalles movimientos'!F$5:F$1000, MATCH(28, 'Detalles movimientos'!$Q$5:$Q$1000, 0)), "")</f>
        <v/>
      </c>
      <c r="F40" s="19" t="str">
        <f>IFERROR(INDEX('Detalles movimientos'!G$5:G$1000, MATCH(28, 'Detalles movimientos'!$Q$5:$Q$1000, 0)), "")</f>
        <v/>
      </c>
      <c r="G40" s="21" t="str">
        <f>IFERROR(INDEX('Detalles movimientos'!H$5:H$1000, MATCH(28, 'Detalles movimientos'!$Q$5:$Q$1000, 0)), "")</f>
        <v/>
      </c>
      <c r="H40" s="22" t="str">
        <f>IFERROR(INDEX('Detalles movimientos'!I$5:I$1000, MATCH(28, 'Detalles movimientos'!$Q$5:$Q$1000, 0)), "")</f>
        <v/>
      </c>
      <c r="I40" s="21" t="str">
        <f>IFERROR(INDEX('Detalles movimientos'!J$5:J$1000, MATCH(28, 'Detalles movimientos'!$Q$5:$Q$1000, 0)), "")</f>
        <v/>
      </c>
      <c r="J40" s="20" t="str">
        <f>IFERROR(INDEX('Detalles movimientos'!K$5:K$1000, MATCH(28, 'Detalles movimientos'!$Q$5:$Q$1000, 0)), "")</f>
        <v/>
      </c>
      <c r="K40" s="21" t="str">
        <f>IFERROR(INDEX('Detalles movimientos'!L$5:L$1000, MATCH(28, 'Detalles movimientos'!$Q$5:$Q$1000, 0)), "")</f>
        <v/>
      </c>
      <c r="L40" s="19" t="str">
        <f>IFERROR(INDEX('Detalles movimientos'!M$5:M$1000, MATCH(28, 'Detalles movimientos'!$Q$5:$Q$1000, 0)), "")</f>
        <v/>
      </c>
      <c r="M40" s="19" t="str">
        <f>IFERROR(INDEX('Detalles movimientos'!P$5:P$1000, MATCH(28, 'Detalles movimientos'!$Q$5:$Q$1000, 0)), "")</f>
        <v/>
      </c>
    </row>
    <row r="41" spans="2:13" x14ac:dyDescent="0.2">
      <c r="B41" s="18" t="str">
        <f>IFERROR(INDEX('Detalles movimientos'!C$5:C$1000, MATCH(29, 'Detalles movimientos'!$Q$5:$Q$1000, 0)), "")</f>
        <v/>
      </c>
      <c r="C41" s="19" t="str">
        <f>IFERROR(INDEX('Detalles movimientos'!D$5:D$1000, MATCH(29, 'Detalles movimientos'!$Q$5:$Q$1000, 0)), "")</f>
        <v/>
      </c>
      <c r="D41" s="20" t="str">
        <f>IFERROR(INDEX('Detalles movimientos'!E$5:E$1000, MATCH(29, 'Detalles movimientos'!$Q$5:$Q$1000, 0)), "")</f>
        <v/>
      </c>
      <c r="E41" s="20" t="str">
        <f>IFERROR(INDEX('Detalles movimientos'!F$5:F$1000, MATCH(29, 'Detalles movimientos'!$Q$5:$Q$1000, 0)), "")</f>
        <v/>
      </c>
      <c r="F41" s="19" t="str">
        <f>IFERROR(INDEX('Detalles movimientos'!G$5:G$1000, MATCH(29, 'Detalles movimientos'!$Q$5:$Q$1000, 0)), "")</f>
        <v/>
      </c>
      <c r="G41" s="21" t="str">
        <f>IFERROR(INDEX('Detalles movimientos'!H$5:H$1000, MATCH(29, 'Detalles movimientos'!$Q$5:$Q$1000, 0)), "")</f>
        <v/>
      </c>
      <c r="H41" s="22" t="str">
        <f>IFERROR(INDEX('Detalles movimientos'!I$5:I$1000, MATCH(29, 'Detalles movimientos'!$Q$5:$Q$1000, 0)), "")</f>
        <v/>
      </c>
      <c r="I41" s="21" t="str">
        <f>IFERROR(INDEX('Detalles movimientos'!J$5:J$1000, MATCH(29, 'Detalles movimientos'!$Q$5:$Q$1000, 0)), "")</f>
        <v/>
      </c>
      <c r="J41" s="20" t="str">
        <f>IFERROR(INDEX('Detalles movimientos'!K$5:K$1000, MATCH(29, 'Detalles movimientos'!$Q$5:$Q$1000, 0)), "")</f>
        <v/>
      </c>
      <c r="K41" s="21" t="str">
        <f>IFERROR(INDEX('Detalles movimientos'!L$5:L$1000, MATCH(29, 'Detalles movimientos'!$Q$5:$Q$1000, 0)), "")</f>
        <v/>
      </c>
      <c r="L41" s="19" t="str">
        <f>IFERROR(INDEX('Detalles movimientos'!M$5:M$1000, MATCH(29, 'Detalles movimientos'!$Q$5:$Q$1000, 0)), "")</f>
        <v/>
      </c>
      <c r="M41" s="19" t="str">
        <f>IFERROR(INDEX('Detalles movimientos'!P$5:P$1000, MATCH(29, 'Detalles movimientos'!$Q$5:$Q$1000, 0)), "")</f>
        <v/>
      </c>
    </row>
    <row r="42" spans="2:13" x14ac:dyDescent="0.2">
      <c r="B42" s="18" t="str">
        <f>IFERROR(INDEX('Detalles movimientos'!C$5:C$1000, MATCH(30, 'Detalles movimientos'!$Q$5:$Q$1000, 0)), "")</f>
        <v/>
      </c>
      <c r="C42" s="19" t="str">
        <f>IFERROR(INDEX('Detalles movimientos'!D$5:D$1000, MATCH(30, 'Detalles movimientos'!$Q$5:$Q$1000, 0)), "")</f>
        <v/>
      </c>
      <c r="D42" s="20" t="str">
        <f>IFERROR(INDEX('Detalles movimientos'!E$5:E$1000, MATCH(30, 'Detalles movimientos'!$Q$5:$Q$1000, 0)), "")</f>
        <v/>
      </c>
      <c r="E42" s="20" t="str">
        <f>IFERROR(INDEX('Detalles movimientos'!F$5:F$1000, MATCH(30, 'Detalles movimientos'!$Q$5:$Q$1000, 0)), "")</f>
        <v/>
      </c>
      <c r="F42" s="19" t="str">
        <f>IFERROR(INDEX('Detalles movimientos'!G$5:G$1000, MATCH(30, 'Detalles movimientos'!$Q$5:$Q$1000, 0)), "")</f>
        <v/>
      </c>
      <c r="G42" s="21" t="str">
        <f>IFERROR(INDEX('Detalles movimientos'!H$5:H$1000, MATCH(30, 'Detalles movimientos'!$Q$5:$Q$1000, 0)), "")</f>
        <v/>
      </c>
      <c r="H42" s="22" t="str">
        <f>IFERROR(INDEX('Detalles movimientos'!I$5:I$1000, MATCH(30, 'Detalles movimientos'!$Q$5:$Q$1000, 0)), "")</f>
        <v/>
      </c>
      <c r="I42" s="21" t="str">
        <f>IFERROR(INDEX('Detalles movimientos'!J$5:J$1000, MATCH(30, 'Detalles movimientos'!$Q$5:$Q$1000, 0)), "")</f>
        <v/>
      </c>
      <c r="J42" s="20" t="str">
        <f>IFERROR(INDEX('Detalles movimientos'!K$5:K$1000, MATCH(30, 'Detalles movimientos'!$Q$5:$Q$1000, 0)), "")</f>
        <v/>
      </c>
      <c r="K42" s="21" t="str">
        <f>IFERROR(INDEX('Detalles movimientos'!L$5:L$1000, MATCH(30, 'Detalles movimientos'!$Q$5:$Q$1000, 0)), "")</f>
        <v/>
      </c>
      <c r="L42" s="19" t="str">
        <f>IFERROR(INDEX('Detalles movimientos'!M$5:M$1000, MATCH(30, 'Detalles movimientos'!$Q$5:$Q$1000, 0)), "")</f>
        <v/>
      </c>
      <c r="M42" s="19" t="str">
        <f>IFERROR(INDEX('Detalles movimientos'!P$5:P$1000, MATCH(30, 'Detalles movimientos'!$Q$5:$Q$1000, 0)), "")</f>
        <v/>
      </c>
    </row>
    <row r="43" spans="2:13" x14ac:dyDescent="0.2">
      <c r="B43" s="18" t="str">
        <f>IFERROR(INDEX('Detalles movimientos'!C$5:C$1000, MATCH(31, 'Detalles movimientos'!$Q$5:$Q$1000, 0)), "")</f>
        <v/>
      </c>
      <c r="C43" s="19" t="str">
        <f>IFERROR(INDEX('Detalles movimientos'!D$5:D$1000, MATCH(31, 'Detalles movimientos'!$Q$5:$Q$1000, 0)), "")</f>
        <v/>
      </c>
      <c r="D43" s="20" t="str">
        <f>IFERROR(INDEX('Detalles movimientos'!E$5:E$1000, MATCH(31, 'Detalles movimientos'!$Q$5:$Q$1000, 0)), "")</f>
        <v/>
      </c>
      <c r="E43" s="20" t="str">
        <f>IFERROR(INDEX('Detalles movimientos'!F$5:F$1000, MATCH(31, 'Detalles movimientos'!$Q$5:$Q$1000, 0)), "")</f>
        <v/>
      </c>
      <c r="F43" s="19" t="str">
        <f>IFERROR(INDEX('Detalles movimientos'!G$5:G$1000, MATCH(31, 'Detalles movimientos'!$Q$5:$Q$1000, 0)), "")</f>
        <v/>
      </c>
      <c r="G43" s="21" t="str">
        <f>IFERROR(INDEX('Detalles movimientos'!H$5:H$1000, MATCH(31, 'Detalles movimientos'!$Q$5:$Q$1000, 0)), "")</f>
        <v/>
      </c>
      <c r="H43" s="22" t="str">
        <f>IFERROR(INDEX('Detalles movimientos'!I$5:I$1000, MATCH(31, 'Detalles movimientos'!$Q$5:$Q$1000, 0)), "")</f>
        <v/>
      </c>
      <c r="I43" s="21" t="str">
        <f>IFERROR(INDEX('Detalles movimientos'!J$5:J$1000, MATCH(31, 'Detalles movimientos'!$Q$5:$Q$1000, 0)), "")</f>
        <v/>
      </c>
      <c r="J43" s="20" t="str">
        <f>IFERROR(INDEX('Detalles movimientos'!K$5:K$1000, MATCH(31, 'Detalles movimientos'!$Q$5:$Q$1000, 0)), "")</f>
        <v/>
      </c>
      <c r="K43" s="21" t="str">
        <f>IFERROR(INDEX('Detalles movimientos'!L$5:L$1000, MATCH(31, 'Detalles movimientos'!$Q$5:$Q$1000, 0)), "")</f>
        <v/>
      </c>
      <c r="L43" s="19" t="str">
        <f>IFERROR(INDEX('Detalles movimientos'!M$5:M$1000, MATCH(31, 'Detalles movimientos'!$Q$5:$Q$1000, 0)), "")</f>
        <v/>
      </c>
      <c r="M43" s="19" t="str">
        <f>IFERROR(INDEX('Detalles movimientos'!P$5:P$1000, MATCH(31, 'Detalles movimientos'!$Q$5:$Q$1000, 0)), "")</f>
        <v/>
      </c>
    </row>
    <row r="44" spans="2:13" x14ac:dyDescent="0.2">
      <c r="B44" s="18" t="str">
        <f>IFERROR(INDEX('Detalles movimientos'!C$5:C$1000, MATCH(32, 'Detalles movimientos'!$Q$5:$Q$1000, 0)), "")</f>
        <v/>
      </c>
      <c r="C44" s="19" t="str">
        <f>IFERROR(INDEX('Detalles movimientos'!D$5:D$1000, MATCH(32, 'Detalles movimientos'!$Q$5:$Q$1000, 0)), "")</f>
        <v/>
      </c>
      <c r="D44" s="20" t="str">
        <f>IFERROR(INDEX('Detalles movimientos'!E$5:E$1000, MATCH(32, 'Detalles movimientos'!$Q$5:$Q$1000, 0)), "")</f>
        <v/>
      </c>
      <c r="E44" s="20" t="str">
        <f>IFERROR(INDEX('Detalles movimientos'!F$5:F$1000, MATCH(32, 'Detalles movimientos'!$Q$5:$Q$1000, 0)), "")</f>
        <v/>
      </c>
      <c r="F44" s="19" t="str">
        <f>IFERROR(INDEX('Detalles movimientos'!G$5:G$1000, MATCH(32, 'Detalles movimientos'!$Q$5:$Q$1000, 0)), "")</f>
        <v/>
      </c>
      <c r="G44" s="21" t="str">
        <f>IFERROR(INDEX('Detalles movimientos'!H$5:H$1000, MATCH(32, 'Detalles movimientos'!$Q$5:$Q$1000, 0)), "")</f>
        <v/>
      </c>
      <c r="H44" s="22" t="str">
        <f>IFERROR(INDEX('Detalles movimientos'!I$5:I$1000, MATCH(32, 'Detalles movimientos'!$Q$5:$Q$1000, 0)), "")</f>
        <v/>
      </c>
      <c r="I44" s="21" t="str">
        <f>IFERROR(INDEX('Detalles movimientos'!J$5:J$1000, MATCH(32, 'Detalles movimientos'!$Q$5:$Q$1000, 0)), "")</f>
        <v/>
      </c>
      <c r="J44" s="20" t="str">
        <f>IFERROR(INDEX('Detalles movimientos'!K$5:K$1000, MATCH(32, 'Detalles movimientos'!$Q$5:$Q$1000, 0)), "")</f>
        <v/>
      </c>
      <c r="K44" s="21" t="str">
        <f>IFERROR(INDEX('Detalles movimientos'!L$5:L$1000, MATCH(32, 'Detalles movimientos'!$Q$5:$Q$1000, 0)), "")</f>
        <v/>
      </c>
      <c r="L44" s="19" t="str">
        <f>IFERROR(INDEX('Detalles movimientos'!M$5:M$1000, MATCH(32, 'Detalles movimientos'!$Q$5:$Q$1000, 0)), "")</f>
        <v/>
      </c>
      <c r="M44" s="19" t="str">
        <f>IFERROR(INDEX('Detalles movimientos'!P$5:P$1000, MATCH(32, 'Detalles movimientos'!$Q$5:$Q$1000, 0)), "")</f>
        <v/>
      </c>
    </row>
    <row r="45" spans="2:13" x14ac:dyDescent="0.2">
      <c r="B45" s="18" t="str">
        <f>IFERROR(INDEX('Detalles movimientos'!C$5:C$1000, MATCH(33, 'Detalles movimientos'!$Q$5:$Q$1000, 0)), "")</f>
        <v/>
      </c>
      <c r="C45" s="19" t="str">
        <f>IFERROR(INDEX('Detalles movimientos'!D$5:D$1000, MATCH(33, 'Detalles movimientos'!$Q$5:$Q$1000, 0)), "")</f>
        <v/>
      </c>
      <c r="D45" s="20" t="str">
        <f>IFERROR(INDEX('Detalles movimientos'!E$5:E$1000, MATCH(33, 'Detalles movimientos'!$Q$5:$Q$1000, 0)), "")</f>
        <v/>
      </c>
      <c r="E45" s="20" t="str">
        <f>IFERROR(INDEX('Detalles movimientos'!F$5:F$1000, MATCH(33, 'Detalles movimientos'!$Q$5:$Q$1000, 0)), "")</f>
        <v/>
      </c>
      <c r="F45" s="19" t="str">
        <f>IFERROR(INDEX('Detalles movimientos'!G$5:G$1000, MATCH(33, 'Detalles movimientos'!$Q$5:$Q$1000, 0)), "")</f>
        <v/>
      </c>
      <c r="G45" s="21" t="str">
        <f>IFERROR(INDEX('Detalles movimientos'!H$5:H$1000, MATCH(33, 'Detalles movimientos'!$Q$5:$Q$1000, 0)), "")</f>
        <v/>
      </c>
      <c r="H45" s="22" t="str">
        <f>IFERROR(INDEX('Detalles movimientos'!I$5:I$1000, MATCH(33, 'Detalles movimientos'!$Q$5:$Q$1000, 0)), "")</f>
        <v/>
      </c>
      <c r="I45" s="21" t="str">
        <f>IFERROR(INDEX('Detalles movimientos'!J$5:J$1000, MATCH(33, 'Detalles movimientos'!$Q$5:$Q$1000, 0)), "")</f>
        <v/>
      </c>
      <c r="J45" s="20" t="str">
        <f>IFERROR(INDEX('Detalles movimientos'!K$5:K$1000, MATCH(33, 'Detalles movimientos'!$Q$5:$Q$1000, 0)), "")</f>
        <v/>
      </c>
      <c r="K45" s="21" t="str">
        <f>IFERROR(INDEX('Detalles movimientos'!L$5:L$1000, MATCH(33, 'Detalles movimientos'!$Q$5:$Q$1000, 0)), "")</f>
        <v/>
      </c>
      <c r="L45" s="19" t="str">
        <f>IFERROR(INDEX('Detalles movimientos'!M$5:M$1000, MATCH(33, 'Detalles movimientos'!$Q$5:$Q$1000, 0)), "")</f>
        <v/>
      </c>
      <c r="M45" s="19" t="str">
        <f>IFERROR(INDEX('Detalles movimientos'!P$5:P$1000, MATCH(33, 'Detalles movimientos'!$Q$5:$Q$1000, 0)), "")</f>
        <v/>
      </c>
    </row>
    <row r="46" spans="2:13" x14ac:dyDescent="0.2">
      <c r="B46" s="18" t="str">
        <f>IFERROR(INDEX('Detalles movimientos'!C$5:C$1000, MATCH(34, 'Detalles movimientos'!$Q$5:$Q$1000, 0)), "")</f>
        <v/>
      </c>
      <c r="C46" s="19" t="str">
        <f>IFERROR(INDEX('Detalles movimientos'!D$5:D$1000, MATCH(34, 'Detalles movimientos'!$Q$5:$Q$1000, 0)), "")</f>
        <v/>
      </c>
      <c r="D46" s="20" t="str">
        <f>IFERROR(INDEX('Detalles movimientos'!E$5:E$1000, MATCH(34, 'Detalles movimientos'!$Q$5:$Q$1000, 0)), "")</f>
        <v/>
      </c>
      <c r="E46" s="20" t="str">
        <f>IFERROR(INDEX('Detalles movimientos'!F$5:F$1000, MATCH(34, 'Detalles movimientos'!$Q$5:$Q$1000, 0)), "")</f>
        <v/>
      </c>
      <c r="F46" s="19" t="str">
        <f>IFERROR(INDEX('Detalles movimientos'!G$5:G$1000, MATCH(34, 'Detalles movimientos'!$Q$5:$Q$1000, 0)), "")</f>
        <v/>
      </c>
      <c r="G46" s="21" t="str">
        <f>IFERROR(INDEX('Detalles movimientos'!H$5:H$1000, MATCH(34, 'Detalles movimientos'!$Q$5:$Q$1000, 0)), "")</f>
        <v/>
      </c>
      <c r="H46" s="22" t="str">
        <f>IFERROR(INDEX('Detalles movimientos'!I$5:I$1000, MATCH(34, 'Detalles movimientos'!$Q$5:$Q$1000, 0)), "")</f>
        <v/>
      </c>
      <c r="I46" s="21" t="str">
        <f>IFERROR(INDEX('Detalles movimientos'!J$5:J$1000, MATCH(34, 'Detalles movimientos'!$Q$5:$Q$1000, 0)), "")</f>
        <v/>
      </c>
      <c r="J46" s="20" t="str">
        <f>IFERROR(INDEX('Detalles movimientos'!K$5:K$1000, MATCH(34, 'Detalles movimientos'!$Q$5:$Q$1000, 0)), "")</f>
        <v/>
      </c>
      <c r="K46" s="21" t="str">
        <f>IFERROR(INDEX('Detalles movimientos'!L$5:L$1000, MATCH(34, 'Detalles movimientos'!$Q$5:$Q$1000, 0)), "")</f>
        <v/>
      </c>
      <c r="L46" s="19" t="str">
        <f>IFERROR(INDEX('Detalles movimientos'!M$5:M$1000, MATCH(34, 'Detalles movimientos'!$Q$5:$Q$1000, 0)), "")</f>
        <v/>
      </c>
      <c r="M46" s="19" t="str">
        <f>IFERROR(INDEX('Detalles movimientos'!P$5:P$1000, MATCH(34, 'Detalles movimientos'!$Q$5:$Q$1000, 0)), "")</f>
        <v/>
      </c>
    </row>
    <row r="47" spans="2:13" x14ac:dyDescent="0.2">
      <c r="B47" s="18" t="str">
        <f>IFERROR(INDEX('Detalles movimientos'!C$5:C$1000, MATCH(35, 'Detalles movimientos'!$Q$5:$Q$1000, 0)), "")</f>
        <v/>
      </c>
      <c r="C47" s="19" t="str">
        <f>IFERROR(INDEX('Detalles movimientos'!D$5:D$1000, MATCH(35, 'Detalles movimientos'!$Q$5:$Q$1000, 0)), "")</f>
        <v/>
      </c>
      <c r="D47" s="20" t="str">
        <f>IFERROR(INDEX('Detalles movimientos'!E$5:E$1000, MATCH(35, 'Detalles movimientos'!$Q$5:$Q$1000, 0)), "")</f>
        <v/>
      </c>
      <c r="E47" s="20" t="str">
        <f>IFERROR(INDEX('Detalles movimientos'!F$5:F$1000, MATCH(35, 'Detalles movimientos'!$Q$5:$Q$1000, 0)), "")</f>
        <v/>
      </c>
      <c r="F47" s="19" t="str">
        <f>IFERROR(INDEX('Detalles movimientos'!G$5:G$1000, MATCH(35, 'Detalles movimientos'!$Q$5:$Q$1000, 0)), "")</f>
        <v/>
      </c>
      <c r="G47" s="21" t="str">
        <f>IFERROR(INDEX('Detalles movimientos'!H$5:H$1000, MATCH(35, 'Detalles movimientos'!$Q$5:$Q$1000, 0)), "")</f>
        <v/>
      </c>
      <c r="H47" s="22" t="str">
        <f>IFERROR(INDEX('Detalles movimientos'!I$5:I$1000, MATCH(35, 'Detalles movimientos'!$Q$5:$Q$1000, 0)), "")</f>
        <v/>
      </c>
      <c r="I47" s="21" t="str">
        <f>IFERROR(INDEX('Detalles movimientos'!J$5:J$1000, MATCH(35, 'Detalles movimientos'!$Q$5:$Q$1000, 0)), "")</f>
        <v/>
      </c>
      <c r="J47" s="20" t="str">
        <f>IFERROR(INDEX('Detalles movimientos'!K$5:K$1000, MATCH(35, 'Detalles movimientos'!$Q$5:$Q$1000, 0)), "")</f>
        <v/>
      </c>
      <c r="K47" s="21" t="str">
        <f>IFERROR(INDEX('Detalles movimientos'!L$5:L$1000, MATCH(35, 'Detalles movimientos'!$Q$5:$Q$1000, 0)), "")</f>
        <v/>
      </c>
      <c r="L47" s="19" t="str">
        <f>IFERROR(INDEX('Detalles movimientos'!M$5:M$1000, MATCH(35, 'Detalles movimientos'!$Q$5:$Q$1000, 0)), "")</f>
        <v/>
      </c>
      <c r="M47" s="19" t="str">
        <f>IFERROR(INDEX('Detalles movimientos'!P$5:P$1000, MATCH(35, 'Detalles movimientos'!$Q$5:$Q$1000, 0)), "")</f>
        <v/>
      </c>
    </row>
    <row r="48" spans="2:13" x14ac:dyDescent="0.2">
      <c r="B48" s="18" t="str">
        <f>IFERROR(INDEX('Detalles movimientos'!C$5:C$1000, MATCH(36, 'Detalles movimientos'!$Q$5:$Q$1000, 0)), "")</f>
        <v/>
      </c>
      <c r="C48" s="19" t="str">
        <f>IFERROR(INDEX('Detalles movimientos'!D$5:D$1000, MATCH(36, 'Detalles movimientos'!$Q$5:$Q$1000, 0)), "")</f>
        <v/>
      </c>
      <c r="D48" s="20" t="str">
        <f>IFERROR(INDEX('Detalles movimientos'!E$5:E$1000, MATCH(36, 'Detalles movimientos'!$Q$5:$Q$1000, 0)), "")</f>
        <v/>
      </c>
      <c r="E48" s="20" t="str">
        <f>IFERROR(INDEX('Detalles movimientos'!F$5:F$1000, MATCH(36, 'Detalles movimientos'!$Q$5:$Q$1000, 0)), "")</f>
        <v/>
      </c>
      <c r="F48" s="19" t="str">
        <f>IFERROR(INDEX('Detalles movimientos'!G$5:G$1000, MATCH(36, 'Detalles movimientos'!$Q$5:$Q$1000, 0)), "")</f>
        <v/>
      </c>
      <c r="G48" s="21" t="str">
        <f>IFERROR(INDEX('Detalles movimientos'!H$5:H$1000, MATCH(36, 'Detalles movimientos'!$Q$5:$Q$1000, 0)), "")</f>
        <v/>
      </c>
      <c r="H48" s="22" t="str">
        <f>IFERROR(INDEX('Detalles movimientos'!I$5:I$1000, MATCH(36, 'Detalles movimientos'!$Q$5:$Q$1000, 0)), "")</f>
        <v/>
      </c>
      <c r="I48" s="21" t="str">
        <f>IFERROR(INDEX('Detalles movimientos'!J$5:J$1000, MATCH(36, 'Detalles movimientos'!$Q$5:$Q$1000, 0)), "")</f>
        <v/>
      </c>
      <c r="J48" s="20" t="str">
        <f>IFERROR(INDEX('Detalles movimientos'!K$5:K$1000, MATCH(36, 'Detalles movimientos'!$Q$5:$Q$1000, 0)), "")</f>
        <v/>
      </c>
      <c r="K48" s="21" t="str">
        <f>IFERROR(INDEX('Detalles movimientos'!L$5:L$1000, MATCH(36, 'Detalles movimientos'!$Q$5:$Q$1000, 0)), "")</f>
        <v/>
      </c>
      <c r="L48" s="19" t="str">
        <f>IFERROR(INDEX('Detalles movimientos'!M$5:M$1000, MATCH(36, 'Detalles movimientos'!$Q$5:$Q$1000, 0)), "")</f>
        <v/>
      </c>
      <c r="M48" s="19" t="str">
        <f>IFERROR(INDEX('Detalles movimientos'!P$5:P$1000, MATCH(36, 'Detalles movimientos'!$Q$5:$Q$1000, 0)), "")</f>
        <v/>
      </c>
    </row>
    <row r="49" spans="2:13" x14ac:dyDescent="0.2">
      <c r="B49" s="18" t="str">
        <f>IFERROR(INDEX('Detalles movimientos'!C$5:C$1000, MATCH(37, 'Detalles movimientos'!$Q$5:$Q$1000, 0)), "")</f>
        <v/>
      </c>
      <c r="C49" s="19" t="str">
        <f>IFERROR(INDEX('Detalles movimientos'!D$5:D$1000, MATCH(37, 'Detalles movimientos'!$Q$5:$Q$1000, 0)), "")</f>
        <v/>
      </c>
      <c r="D49" s="20" t="str">
        <f>IFERROR(INDEX('Detalles movimientos'!E$5:E$1000, MATCH(37, 'Detalles movimientos'!$Q$5:$Q$1000, 0)), "")</f>
        <v/>
      </c>
      <c r="E49" s="20" t="str">
        <f>IFERROR(INDEX('Detalles movimientos'!F$5:F$1000, MATCH(37, 'Detalles movimientos'!$Q$5:$Q$1000, 0)), "")</f>
        <v/>
      </c>
      <c r="F49" s="19" t="str">
        <f>IFERROR(INDEX('Detalles movimientos'!G$5:G$1000, MATCH(37, 'Detalles movimientos'!$Q$5:$Q$1000, 0)), "")</f>
        <v/>
      </c>
      <c r="G49" s="21" t="str">
        <f>IFERROR(INDEX('Detalles movimientos'!H$5:H$1000, MATCH(37, 'Detalles movimientos'!$Q$5:$Q$1000, 0)), "")</f>
        <v/>
      </c>
      <c r="H49" s="22" t="str">
        <f>IFERROR(INDEX('Detalles movimientos'!I$5:I$1000, MATCH(37, 'Detalles movimientos'!$Q$5:$Q$1000, 0)), "")</f>
        <v/>
      </c>
      <c r="I49" s="21" t="str">
        <f>IFERROR(INDEX('Detalles movimientos'!J$5:J$1000, MATCH(37, 'Detalles movimientos'!$Q$5:$Q$1000, 0)), "")</f>
        <v/>
      </c>
      <c r="J49" s="20" t="str">
        <f>IFERROR(INDEX('Detalles movimientos'!K$5:K$1000, MATCH(37, 'Detalles movimientos'!$Q$5:$Q$1000, 0)), "")</f>
        <v/>
      </c>
      <c r="K49" s="21" t="str">
        <f>IFERROR(INDEX('Detalles movimientos'!L$5:L$1000, MATCH(37, 'Detalles movimientos'!$Q$5:$Q$1000, 0)), "")</f>
        <v/>
      </c>
      <c r="L49" s="19" t="str">
        <f>IFERROR(INDEX('Detalles movimientos'!M$5:M$1000, MATCH(37, 'Detalles movimientos'!$Q$5:$Q$1000, 0)), "")</f>
        <v/>
      </c>
      <c r="M49" s="19" t="str">
        <f>IFERROR(INDEX('Detalles movimientos'!P$5:P$1000, MATCH(37, 'Detalles movimientos'!$Q$5:$Q$1000, 0)), "")</f>
        <v/>
      </c>
    </row>
    <row r="50" spans="2:13" x14ac:dyDescent="0.2">
      <c r="B50" s="18" t="str">
        <f>IFERROR(INDEX('Detalles movimientos'!C$5:C$1000, MATCH(38, 'Detalles movimientos'!$Q$5:$Q$1000, 0)), "")</f>
        <v/>
      </c>
      <c r="C50" s="19" t="str">
        <f>IFERROR(INDEX('Detalles movimientos'!D$5:D$1000, MATCH(38, 'Detalles movimientos'!$Q$5:$Q$1000, 0)), "")</f>
        <v/>
      </c>
      <c r="D50" s="20" t="str">
        <f>IFERROR(INDEX('Detalles movimientos'!E$5:E$1000, MATCH(38, 'Detalles movimientos'!$Q$5:$Q$1000, 0)), "")</f>
        <v/>
      </c>
      <c r="E50" s="20" t="str">
        <f>IFERROR(INDEX('Detalles movimientos'!F$5:F$1000, MATCH(38, 'Detalles movimientos'!$Q$5:$Q$1000, 0)), "")</f>
        <v/>
      </c>
      <c r="F50" s="19" t="str">
        <f>IFERROR(INDEX('Detalles movimientos'!G$5:G$1000, MATCH(38, 'Detalles movimientos'!$Q$5:$Q$1000, 0)), "")</f>
        <v/>
      </c>
      <c r="G50" s="21" t="str">
        <f>IFERROR(INDEX('Detalles movimientos'!H$5:H$1000, MATCH(38, 'Detalles movimientos'!$Q$5:$Q$1000, 0)), "")</f>
        <v/>
      </c>
      <c r="H50" s="22" t="str">
        <f>IFERROR(INDEX('Detalles movimientos'!I$5:I$1000, MATCH(38, 'Detalles movimientos'!$Q$5:$Q$1000, 0)), "")</f>
        <v/>
      </c>
      <c r="I50" s="21" t="str">
        <f>IFERROR(INDEX('Detalles movimientos'!J$5:J$1000, MATCH(38, 'Detalles movimientos'!$Q$5:$Q$1000, 0)), "")</f>
        <v/>
      </c>
      <c r="J50" s="20" t="str">
        <f>IFERROR(INDEX('Detalles movimientos'!K$5:K$1000, MATCH(38, 'Detalles movimientos'!$Q$5:$Q$1000, 0)), "")</f>
        <v/>
      </c>
      <c r="K50" s="21" t="str">
        <f>IFERROR(INDEX('Detalles movimientos'!L$5:L$1000, MATCH(38, 'Detalles movimientos'!$Q$5:$Q$1000, 0)), "")</f>
        <v/>
      </c>
      <c r="L50" s="19" t="str">
        <f>IFERROR(INDEX('Detalles movimientos'!M$5:M$1000, MATCH(38, 'Detalles movimientos'!$Q$5:$Q$1000, 0)), "")</f>
        <v/>
      </c>
      <c r="M50" s="19" t="str">
        <f>IFERROR(INDEX('Detalles movimientos'!P$5:P$1000, MATCH(38, 'Detalles movimientos'!$Q$5:$Q$1000, 0)), "")</f>
        <v/>
      </c>
    </row>
    <row r="51" spans="2:13" x14ac:dyDescent="0.2">
      <c r="B51" s="18" t="str">
        <f>IFERROR(INDEX('Detalles movimientos'!C$5:C$1000, MATCH(39, 'Detalles movimientos'!$Q$5:$Q$1000, 0)), "")</f>
        <v/>
      </c>
      <c r="C51" s="19" t="str">
        <f>IFERROR(INDEX('Detalles movimientos'!D$5:D$1000, MATCH(39, 'Detalles movimientos'!$Q$5:$Q$1000, 0)), "")</f>
        <v/>
      </c>
      <c r="D51" s="20" t="str">
        <f>IFERROR(INDEX('Detalles movimientos'!E$5:E$1000, MATCH(39, 'Detalles movimientos'!$Q$5:$Q$1000, 0)), "")</f>
        <v/>
      </c>
      <c r="E51" s="20" t="str">
        <f>IFERROR(INDEX('Detalles movimientos'!F$5:F$1000, MATCH(39, 'Detalles movimientos'!$Q$5:$Q$1000, 0)), "")</f>
        <v/>
      </c>
      <c r="F51" s="19" t="str">
        <f>IFERROR(INDEX('Detalles movimientos'!G$5:G$1000, MATCH(39, 'Detalles movimientos'!$Q$5:$Q$1000, 0)), "")</f>
        <v/>
      </c>
      <c r="G51" s="21" t="str">
        <f>IFERROR(INDEX('Detalles movimientos'!H$5:H$1000, MATCH(39, 'Detalles movimientos'!$Q$5:$Q$1000, 0)), "")</f>
        <v/>
      </c>
      <c r="H51" s="22" t="str">
        <f>IFERROR(INDEX('Detalles movimientos'!I$5:I$1000, MATCH(39, 'Detalles movimientos'!$Q$5:$Q$1000, 0)), "")</f>
        <v/>
      </c>
      <c r="I51" s="21" t="str">
        <f>IFERROR(INDEX('Detalles movimientos'!J$5:J$1000, MATCH(39, 'Detalles movimientos'!$Q$5:$Q$1000, 0)), "")</f>
        <v/>
      </c>
      <c r="J51" s="20" t="str">
        <f>IFERROR(INDEX('Detalles movimientos'!K$5:K$1000, MATCH(39, 'Detalles movimientos'!$Q$5:$Q$1000, 0)), "")</f>
        <v/>
      </c>
      <c r="K51" s="21" t="str">
        <f>IFERROR(INDEX('Detalles movimientos'!L$5:L$1000, MATCH(39, 'Detalles movimientos'!$Q$5:$Q$1000, 0)), "")</f>
        <v/>
      </c>
      <c r="L51" s="19" t="str">
        <f>IFERROR(INDEX('Detalles movimientos'!M$5:M$1000, MATCH(39, 'Detalles movimientos'!$Q$5:$Q$1000, 0)), "")</f>
        <v/>
      </c>
      <c r="M51" s="19" t="str">
        <f>IFERROR(INDEX('Detalles movimientos'!P$5:P$1000, MATCH(39, 'Detalles movimientos'!$Q$5:$Q$1000, 0)), "")</f>
        <v/>
      </c>
    </row>
    <row r="52" spans="2:13" x14ac:dyDescent="0.2">
      <c r="B52" s="18" t="str">
        <f>IFERROR(INDEX('Detalles movimientos'!C$5:C$1000, MATCH(40, 'Detalles movimientos'!$Q$5:$Q$1000, 0)), "")</f>
        <v/>
      </c>
      <c r="C52" s="19" t="str">
        <f>IFERROR(INDEX('Detalles movimientos'!D$5:D$1000, MATCH(40, 'Detalles movimientos'!$Q$5:$Q$1000, 0)), "")</f>
        <v/>
      </c>
      <c r="D52" s="20" t="str">
        <f>IFERROR(INDEX('Detalles movimientos'!E$5:E$1000, MATCH(40, 'Detalles movimientos'!$Q$5:$Q$1000, 0)), "")</f>
        <v/>
      </c>
      <c r="E52" s="20" t="str">
        <f>IFERROR(INDEX('Detalles movimientos'!F$5:F$1000, MATCH(40, 'Detalles movimientos'!$Q$5:$Q$1000, 0)), "")</f>
        <v/>
      </c>
      <c r="F52" s="19" t="str">
        <f>IFERROR(INDEX('Detalles movimientos'!G$5:G$1000, MATCH(40, 'Detalles movimientos'!$Q$5:$Q$1000, 0)), "")</f>
        <v/>
      </c>
      <c r="G52" s="21" t="str">
        <f>IFERROR(INDEX('Detalles movimientos'!H$5:H$1000, MATCH(40, 'Detalles movimientos'!$Q$5:$Q$1000, 0)), "")</f>
        <v/>
      </c>
      <c r="H52" s="22" t="str">
        <f>IFERROR(INDEX('Detalles movimientos'!I$5:I$1000, MATCH(40, 'Detalles movimientos'!$Q$5:$Q$1000, 0)), "")</f>
        <v/>
      </c>
      <c r="I52" s="21" t="str">
        <f>IFERROR(INDEX('Detalles movimientos'!J$5:J$1000, MATCH(40, 'Detalles movimientos'!$Q$5:$Q$1000, 0)), "")</f>
        <v/>
      </c>
      <c r="J52" s="20" t="str">
        <f>IFERROR(INDEX('Detalles movimientos'!K$5:K$1000, MATCH(40, 'Detalles movimientos'!$Q$5:$Q$1000, 0)), "")</f>
        <v/>
      </c>
      <c r="K52" s="21" t="str">
        <f>IFERROR(INDEX('Detalles movimientos'!L$5:L$1000, MATCH(40, 'Detalles movimientos'!$Q$5:$Q$1000, 0)), "")</f>
        <v/>
      </c>
      <c r="L52" s="19" t="str">
        <f>IFERROR(INDEX('Detalles movimientos'!M$5:M$1000, MATCH(40, 'Detalles movimientos'!$Q$5:$Q$1000, 0)), "")</f>
        <v/>
      </c>
      <c r="M52" s="19" t="str">
        <f>IFERROR(INDEX('Detalles movimientos'!P$5:P$1000, MATCH(40, 'Detalles movimientos'!$Q$5:$Q$1000, 0)), "")</f>
        <v/>
      </c>
    </row>
    <row r="53" spans="2:13" x14ac:dyDescent="0.2">
      <c r="B53" s="18" t="str">
        <f>IFERROR(INDEX('Detalles movimientos'!C$5:C$1000, MATCH(41, 'Detalles movimientos'!$Q$5:$Q$1000, 0)), "")</f>
        <v/>
      </c>
      <c r="C53" s="19" t="str">
        <f>IFERROR(INDEX('Detalles movimientos'!D$5:D$1000, MATCH(41, 'Detalles movimientos'!$Q$5:$Q$1000, 0)), "")</f>
        <v/>
      </c>
      <c r="D53" s="20" t="str">
        <f>IFERROR(INDEX('Detalles movimientos'!E$5:E$1000, MATCH(41, 'Detalles movimientos'!$Q$5:$Q$1000, 0)), "")</f>
        <v/>
      </c>
      <c r="E53" s="20" t="str">
        <f>IFERROR(INDEX('Detalles movimientos'!F$5:F$1000, MATCH(41, 'Detalles movimientos'!$Q$5:$Q$1000, 0)), "")</f>
        <v/>
      </c>
      <c r="F53" s="19" t="str">
        <f>IFERROR(INDEX('Detalles movimientos'!G$5:G$1000, MATCH(41, 'Detalles movimientos'!$Q$5:$Q$1000, 0)), "")</f>
        <v/>
      </c>
      <c r="G53" s="21" t="str">
        <f>IFERROR(INDEX('Detalles movimientos'!H$5:H$1000, MATCH(41, 'Detalles movimientos'!$Q$5:$Q$1000, 0)), "")</f>
        <v/>
      </c>
      <c r="H53" s="22" t="str">
        <f>IFERROR(INDEX('Detalles movimientos'!I$5:I$1000, MATCH(41, 'Detalles movimientos'!$Q$5:$Q$1000, 0)), "")</f>
        <v/>
      </c>
      <c r="I53" s="21" t="str">
        <f>IFERROR(INDEX('Detalles movimientos'!J$5:J$1000, MATCH(41, 'Detalles movimientos'!$Q$5:$Q$1000, 0)), "")</f>
        <v/>
      </c>
      <c r="J53" s="20" t="str">
        <f>IFERROR(INDEX('Detalles movimientos'!K$5:K$1000, MATCH(41, 'Detalles movimientos'!$Q$5:$Q$1000, 0)), "")</f>
        <v/>
      </c>
      <c r="K53" s="21" t="str">
        <f>IFERROR(INDEX('Detalles movimientos'!L$5:L$1000, MATCH(41, 'Detalles movimientos'!$Q$5:$Q$1000, 0)), "")</f>
        <v/>
      </c>
      <c r="L53" s="19" t="str">
        <f>IFERROR(INDEX('Detalles movimientos'!M$5:M$1000, MATCH(41, 'Detalles movimientos'!$Q$5:$Q$1000, 0)), "")</f>
        <v/>
      </c>
      <c r="M53" s="19" t="str">
        <f>IFERROR(INDEX('Detalles movimientos'!P$5:P$1000, MATCH(41, 'Detalles movimientos'!$Q$5:$Q$1000, 0)), "")</f>
        <v/>
      </c>
    </row>
    <row r="54" spans="2:13" x14ac:dyDescent="0.2">
      <c r="B54" s="18" t="str">
        <f>IFERROR(INDEX('Detalles movimientos'!C$5:C$1000, MATCH(42, 'Detalles movimientos'!$Q$5:$Q$1000, 0)), "")</f>
        <v/>
      </c>
      <c r="C54" s="19" t="str">
        <f>IFERROR(INDEX('Detalles movimientos'!D$5:D$1000, MATCH(42, 'Detalles movimientos'!$Q$5:$Q$1000, 0)), "")</f>
        <v/>
      </c>
      <c r="D54" s="20" t="str">
        <f>IFERROR(INDEX('Detalles movimientos'!E$5:E$1000, MATCH(42, 'Detalles movimientos'!$Q$5:$Q$1000, 0)), "")</f>
        <v/>
      </c>
      <c r="E54" s="20" t="str">
        <f>IFERROR(INDEX('Detalles movimientos'!F$5:F$1000, MATCH(42, 'Detalles movimientos'!$Q$5:$Q$1000, 0)), "")</f>
        <v/>
      </c>
      <c r="F54" s="19" t="str">
        <f>IFERROR(INDEX('Detalles movimientos'!G$5:G$1000, MATCH(42, 'Detalles movimientos'!$Q$5:$Q$1000, 0)), "")</f>
        <v/>
      </c>
      <c r="G54" s="21" t="str">
        <f>IFERROR(INDEX('Detalles movimientos'!H$5:H$1000, MATCH(42, 'Detalles movimientos'!$Q$5:$Q$1000, 0)), "")</f>
        <v/>
      </c>
      <c r="H54" s="22" t="str">
        <f>IFERROR(INDEX('Detalles movimientos'!I$5:I$1000, MATCH(42, 'Detalles movimientos'!$Q$5:$Q$1000, 0)), "")</f>
        <v/>
      </c>
      <c r="I54" s="21" t="str">
        <f>IFERROR(INDEX('Detalles movimientos'!J$5:J$1000, MATCH(42, 'Detalles movimientos'!$Q$5:$Q$1000, 0)), "")</f>
        <v/>
      </c>
      <c r="J54" s="20" t="str">
        <f>IFERROR(INDEX('Detalles movimientos'!K$5:K$1000, MATCH(42, 'Detalles movimientos'!$Q$5:$Q$1000, 0)), "")</f>
        <v/>
      </c>
      <c r="K54" s="21" t="str">
        <f>IFERROR(INDEX('Detalles movimientos'!L$5:L$1000, MATCH(42, 'Detalles movimientos'!$Q$5:$Q$1000, 0)), "")</f>
        <v/>
      </c>
      <c r="L54" s="19" t="str">
        <f>IFERROR(INDEX('Detalles movimientos'!M$5:M$1000, MATCH(42, 'Detalles movimientos'!$Q$5:$Q$1000, 0)), "")</f>
        <v/>
      </c>
      <c r="M54" s="19" t="str">
        <f>IFERROR(INDEX('Detalles movimientos'!P$5:P$1000, MATCH(42, 'Detalles movimientos'!$Q$5:$Q$1000, 0)), "")</f>
        <v/>
      </c>
    </row>
    <row r="55" spans="2:13" x14ac:dyDescent="0.2">
      <c r="B55" s="18" t="str">
        <f>IFERROR(INDEX('Detalles movimientos'!C$5:C$1000, MATCH(43, 'Detalles movimientos'!$Q$5:$Q$1000, 0)), "")</f>
        <v/>
      </c>
      <c r="C55" s="19" t="str">
        <f>IFERROR(INDEX('Detalles movimientos'!D$5:D$1000, MATCH(43, 'Detalles movimientos'!$Q$5:$Q$1000, 0)), "")</f>
        <v/>
      </c>
      <c r="D55" s="20" t="str">
        <f>IFERROR(INDEX('Detalles movimientos'!E$5:E$1000, MATCH(43, 'Detalles movimientos'!$Q$5:$Q$1000, 0)), "")</f>
        <v/>
      </c>
      <c r="E55" s="20" t="str">
        <f>IFERROR(INDEX('Detalles movimientos'!F$5:F$1000, MATCH(43, 'Detalles movimientos'!$Q$5:$Q$1000, 0)), "")</f>
        <v/>
      </c>
      <c r="F55" s="19" t="str">
        <f>IFERROR(INDEX('Detalles movimientos'!G$5:G$1000, MATCH(43, 'Detalles movimientos'!$Q$5:$Q$1000, 0)), "")</f>
        <v/>
      </c>
      <c r="G55" s="21" t="str">
        <f>IFERROR(INDEX('Detalles movimientos'!H$5:H$1000, MATCH(43, 'Detalles movimientos'!$Q$5:$Q$1000, 0)), "")</f>
        <v/>
      </c>
      <c r="H55" s="22" t="str">
        <f>IFERROR(INDEX('Detalles movimientos'!I$5:I$1000, MATCH(43, 'Detalles movimientos'!$Q$5:$Q$1000, 0)), "")</f>
        <v/>
      </c>
      <c r="I55" s="21" t="str">
        <f>IFERROR(INDEX('Detalles movimientos'!J$5:J$1000, MATCH(43, 'Detalles movimientos'!$Q$5:$Q$1000, 0)), "")</f>
        <v/>
      </c>
      <c r="J55" s="20" t="str">
        <f>IFERROR(INDEX('Detalles movimientos'!K$5:K$1000, MATCH(43, 'Detalles movimientos'!$Q$5:$Q$1000, 0)), "")</f>
        <v/>
      </c>
      <c r="K55" s="21" t="str">
        <f>IFERROR(INDEX('Detalles movimientos'!L$5:L$1000, MATCH(43, 'Detalles movimientos'!$Q$5:$Q$1000, 0)), "")</f>
        <v/>
      </c>
      <c r="L55" s="19" t="str">
        <f>IFERROR(INDEX('Detalles movimientos'!M$5:M$1000, MATCH(43, 'Detalles movimientos'!$Q$5:$Q$1000, 0)), "")</f>
        <v/>
      </c>
      <c r="M55" s="19" t="str">
        <f>IFERROR(INDEX('Detalles movimientos'!P$5:P$1000, MATCH(43, 'Detalles movimientos'!$Q$5:$Q$1000, 0)), "")</f>
        <v/>
      </c>
    </row>
    <row r="56" spans="2:13" x14ac:dyDescent="0.2">
      <c r="B56" s="18" t="str">
        <f>IFERROR(INDEX('Detalles movimientos'!C$5:C$1000, MATCH(44, 'Detalles movimientos'!$Q$5:$Q$1000, 0)), "")</f>
        <v/>
      </c>
      <c r="C56" s="19" t="str">
        <f>IFERROR(INDEX('Detalles movimientos'!D$5:D$1000, MATCH(44, 'Detalles movimientos'!$Q$5:$Q$1000, 0)), "")</f>
        <v/>
      </c>
      <c r="D56" s="20" t="str">
        <f>IFERROR(INDEX('Detalles movimientos'!E$5:E$1000, MATCH(44, 'Detalles movimientos'!$Q$5:$Q$1000, 0)), "")</f>
        <v/>
      </c>
      <c r="E56" s="20" t="str">
        <f>IFERROR(INDEX('Detalles movimientos'!F$5:F$1000, MATCH(44, 'Detalles movimientos'!$Q$5:$Q$1000, 0)), "")</f>
        <v/>
      </c>
      <c r="F56" s="19" t="str">
        <f>IFERROR(INDEX('Detalles movimientos'!G$5:G$1000, MATCH(44, 'Detalles movimientos'!$Q$5:$Q$1000, 0)), "")</f>
        <v/>
      </c>
      <c r="G56" s="21" t="str">
        <f>IFERROR(INDEX('Detalles movimientos'!H$5:H$1000, MATCH(44, 'Detalles movimientos'!$Q$5:$Q$1000, 0)), "")</f>
        <v/>
      </c>
      <c r="H56" s="22" t="str">
        <f>IFERROR(INDEX('Detalles movimientos'!I$5:I$1000, MATCH(44, 'Detalles movimientos'!$Q$5:$Q$1000, 0)), "")</f>
        <v/>
      </c>
      <c r="I56" s="21" t="str">
        <f>IFERROR(INDEX('Detalles movimientos'!J$5:J$1000, MATCH(44, 'Detalles movimientos'!$Q$5:$Q$1000, 0)), "")</f>
        <v/>
      </c>
      <c r="J56" s="20" t="str">
        <f>IFERROR(INDEX('Detalles movimientos'!K$5:K$1000, MATCH(44, 'Detalles movimientos'!$Q$5:$Q$1000, 0)), "")</f>
        <v/>
      </c>
      <c r="K56" s="21" t="str">
        <f>IFERROR(INDEX('Detalles movimientos'!L$5:L$1000, MATCH(44, 'Detalles movimientos'!$Q$5:$Q$1000, 0)), "")</f>
        <v/>
      </c>
      <c r="L56" s="19" t="str">
        <f>IFERROR(INDEX('Detalles movimientos'!M$5:M$1000, MATCH(44, 'Detalles movimientos'!$Q$5:$Q$1000, 0)), "")</f>
        <v/>
      </c>
      <c r="M56" s="19" t="str">
        <f>IFERROR(INDEX('Detalles movimientos'!P$5:P$1000, MATCH(44, 'Detalles movimientos'!$Q$5:$Q$1000, 0)), "")</f>
        <v/>
      </c>
    </row>
    <row r="57" spans="2:13" x14ac:dyDescent="0.2">
      <c r="B57" s="18" t="str">
        <f>IFERROR(INDEX('Detalles movimientos'!C$5:C$1000, MATCH(45, 'Detalles movimientos'!$Q$5:$Q$1000, 0)), "")</f>
        <v/>
      </c>
      <c r="C57" s="19" t="str">
        <f>IFERROR(INDEX('Detalles movimientos'!D$5:D$1000, MATCH(45, 'Detalles movimientos'!$Q$5:$Q$1000, 0)), "")</f>
        <v/>
      </c>
      <c r="D57" s="20" t="str">
        <f>IFERROR(INDEX('Detalles movimientos'!E$5:E$1000, MATCH(45, 'Detalles movimientos'!$Q$5:$Q$1000, 0)), "")</f>
        <v/>
      </c>
      <c r="E57" s="20" t="str">
        <f>IFERROR(INDEX('Detalles movimientos'!F$5:F$1000, MATCH(45, 'Detalles movimientos'!$Q$5:$Q$1000, 0)), "")</f>
        <v/>
      </c>
      <c r="F57" s="19" t="str">
        <f>IFERROR(INDEX('Detalles movimientos'!G$5:G$1000, MATCH(45, 'Detalles movimientos'!$Q$5:$Q$1000, 0)), "")</f>
        <v/>
      </c>
      <c r="G57" s="21" t="str">
        <f>IFERROR(INDEX('Detalles movimientos'!H$5:H$1000, MATCH(45, 'Detalles movimientos'!$Q$5:$Q$1000, 0)), "")</f>
        <v/>
      </c>
      <c r="H57" s="22" t="str">
        <f>IFERROR(INDEX('Detalles movimientos'!I$5:I$1000, MATCH(45, 'Detalles movimientos'!$Q$5:$Q$1000, 0)), "")</f>
        <v/>
      </c>
      <c r="I57" s="21" t="str">
        <f>IFERROR(INDEX('Detalles movimientos'!J$5:J$1000, MATCH(45, 'Detalles movimientos'!$Q$5:$Q$1000, 0)), "")</f>
        <v/>
      </c>
      <c r="J57" s="20" t="str">
        <f>IFERROR(INDEX('Detalles movimientos'!K$5:K$1000, MATCH(45, 'Detalles movimientos'!$Q$5:$Q$1000, 0)), "")</f>
        <v/>
      </c>
      <c r="K57" s="21" t="str">
        <f>IFERROR(INDEX('Detalles movimientos'!L$5:L$1000, MATCH(45, 'Detalles movimientos'!$Q$5:$Q$1000, 0)), "")</f>
        <v/>
      </c>
      <c r="L57" s="19" t="str">
        <f>IFERROR(INDEX('Detalles movimientos'!M$5:M$1000, MATCH(45, 'Detalles movimientos'!$Q$5:$Q$1000, 0)), "")</f>
        <v/>
      </c>
      <c r="M57" s="19" t="str">
        <f>IFERROR(INDEX('Detalles movimientos'!P$5:P$1000, MATCH(45, 'Detalles movimientos'!$Q$5:$Q$1000, 0)), "")</f>
        <v/>
      </c>
    </row>
    <row r="58" spans="2:13" x14ac:dyDescent="0.2">
      <c r="B58" s="18" t="str">
        <f>IFERROR(INDEX('Detalles movimientos'!C$5:C$1000, MATCH(46, 'Detalles movimientos'!$Q$5:$Q$1000, 0)), "")</f>
        <v/>
      </c>
      <c r="C58" s="19" t="str">
        <f>IFERROR(INDEX('Detalles movimientos'!D$5:D$1000, MATCH(46, 'Detalles movimientos'!$Q$5:$Q$1000, 0)), "")</f>
        <v/>
      </c>
      <c r="D58" s="20" t="str">
        <f>IFERROR(INDEX('Detalles movimientos'!E$5:E$1000, MATCH(46, 'Detalles movimientos'!$Q$5:$Q$1000, 0)), "")</f>
        <v/>
      </c>
      <c r="E58" s="20" t="str">
        <f>IFERROR(INDEX('Detalles movimientos'!F$5:F$1000, MATCH(46, 'Detalles movimientos'!$Q$5:$Q$1000, 0)), "")</f>
        <v/>
      </c>
      <c r="F58" s="19" t="str">
        <f>IFERROR(INDEX('Detalles movimientos'!G$5:G$1000, MATCH(46, 'Detalles movimientos'!$Q$5:$Q$1000, 0)), "")</f>
        <v/>
      </c>
      <c r="G58" s="21" t="str">
        <f>IFERROR(INDEX('Detalles movimientos'!H$5:H$1000, MATCH(46, 'Detalles movimientos'!$Q$5:$Q$1000, 0)), "")</f>
        <v/>
      </c>
      <c r="H58" s="22" t="str">
        <f>IFERROR(INDEX('Detalles movimientos'!I$5:I$1000, MATCH(46, 'Detalles movimientos'!$Q$5:$Q$1000, 0)), "")</f>
        <v/>
      </c>
      <c r="I58" s="21" t="str">
        <f>IFERROR(INDEX('Detalles movimientos'!J$5:J$1000, MATCH(46, 'Detalles movimientos'!$Q$5:$Q$1000, 0)), "")</f>
        <v/>
      </c>
      <c r="J58" s="20" t="str">
        <f>IFERROR(INDEX('Detalles movimientos'!K$5:K$1000, MATCH(46, 'Detalles movimientos'!$Q$5:$Q$1000, 0)), "")</f>
        <v/>
      </c>
      <c r="K58" s="21" t="str">
        <f>IFERROR(INDEX('Detalles movimientos'!L$5:L$1000, MATCH(46, 'Detalles movimientos'!$Q$5:$Q$1000, 0)), "")</f>
        <v/>
      </c>
      <c r="L58" s="19" t="str">
        <f>IFERROR(INDEX('Detalles movimientos'!M$5:M$1000, MATCH(46, 'Detalles movimientos'!$Q$5:$Q$1000, 0)), "")</f>
        <v/>
      </c>
      <c r="M58" s="19" t="str">
        <f>IFERROR(INDEX('Detalles movimientos'!P$5:P$1000, MATCH(46, 'Detalles movimientos'!$Q$5:$Q$1000, 0)), "")</f>
        <v/>
      </c>
    </row>
    <row r="59" spans="2:13" x14ac:dyDescent="0.2">
      <c r="B59" s="18" t="str">
        <f>IFERROR(INDEX('Detalles movimientos'!C$5:C$1000, MATCH(47, 'Detalles movimientos'!$Q$5:$Q$1000, 0)), "")</f>
        <v/>
      </c>
      <c r="C59" s="19" t="str">
        <f>IFERROR(INDEX('Detalles movimientos'!D$5:D$1000, MATCH(47, 'Detalles movimientos'!$Q$5:$Q$1000, 0)), "")</f>
        <v/>
      </c>
      <c r="D59" s="20" t="str">
        <f>IFERROR(INDEX('Detalles movimientos'!E$5:E$1000, MATCH(47, 'Detalles movimientos'!$Q$5:$Q$1000, 0)), "")</f>
        <v/>
      </c>
      <c r="E59" s="20" t="str">
        <f>IFERROR(INDEX('Detalles movimientos'!F$5:F$1000, MATCH(47, 'Detalles movimientos'!$Q$5:$Q$1000, 0)), "")</f>
        <v/>
      </c>
      <c r="F59" s="19" t="str">
        <f>IFERROR(INDEX('Detalles movimientos'!G$5:G$1000, MATCH(47, 'Detalles movimientos'!$Q$5:$Q$1000, 0)), "")</f>
        <v/>
      </c>
      <c r="G59" s="21" t="str">
        <f>IFERROR(INDEX('Detalles movimientos'!H$5:H$1000, MATCH(47, 'Detalles movimientos'!$Q$5:$Q$1000, 0)), "")</f>
        <v/>
      </c>
      <c r="H59" s="22" t="str">
        <f>IFERROR(INDEX('Detalles movimientos'!I$5:I$1000, MATCH(47, 'Detalles movimientos'!$Q$5:$Q$1000, 0)), "")</f>
        <v/>
      </c>
      <c r="I59" s="21" t="str">
        <f>IFERROR(INDEX('Detalles movimientos'!J$5:J$1000, MATCH(47, 'Detalles movimientos'!$Q$5:$Q$1000, 0)), "")</f>
        <v/>
      </c>
      <c r="J59" s="20" t="str">
        <f>IFERROR(INDEX('Detalles movimientos'!K$5:K$1000, MATCH(47, 'Detalles movimientos'!$Q$5:$Q$1000, 0)), "")</f>
        <v/>
      </c>
      <c r="K59" s="21" t="str">
        <f>IFERROR(INDEX('Detalles movimientos'!L$5:L$1000, MATCH(47, 'Detalles movimientos'!$Q$5:$Q$1000, 0)), "")</f>
        <v/>
      </c>
      <c r="L59" s="19" t="str">
        <f>IFERROR(INDEX('Detalles movimientos'!M$5:M$1000, MATCH(47, 'Detalles movimientos'!$Q$5:$Q$1000, 0)), "")</f>
        <v/>
      </c>
      <c r="M59" s="19" t="str">
        <f>IFERROR(INDEX('Detalles movimientos'!P$5:P$1000, MATCH(47, 'Detalles movimientos'!$Q$5:$Q$1000, 0)), "")</f>
        <v/>
      </c>
    </row>
    <row r="60" spans="2:13" x14ac:dyDescent="0.2">
      <c r="B60" s="18" t="str">
        <f>IFERROR(INDEX('Detalles movimientos'!C$5:C$1000, MATCH(48, 'Detalles movimientos'!$Q$5:$Q$1000, 0)), "")</f>
        <v/>
      </c>
      <c r="C60" s="19" t="str">
        <f>IFERROR(INDEX('Detalles movimientos'!D$5:D$1000, MATCH(48, 'Detalles movimientos'!$Q$5:$Q$1000, 0)), "")</f>
        <v/>
      </c>
      <c r="D60" s="20" t="str">
        <f>IFERROR(INDEX('Detalles movimientos'!E$5:E$1000, MATCH(48, 'Detalles movimientos'!$Q$5:$Q$1000, 0)), "")</f>
        <v/>
      </c>
      <c r="E60" s="20" t="str">
        <f>IFERROR(INDEX('Detalles movimientos'!F$5:F$1000, MATCH(48, 'Detalles movimientos'!$Q$5:$Q$1000, 0)), "")</f>
        <v/>
      </c>
      <c r="F60" s="19" t="str">
        <f>IFERROR(INDEX('Detalles movimientos'!G$5:G$1000, MATCH(48, 'Detalles movimientos'!$Q$5:$Q$1000, 0)), "")</f>
        <v/>
      </c>
      <c r="G60" s="21" t="str">
        <f>IFERROR(INDEX('Detalles movimientos'!H$5:H$1000, MATCH(48, 'Detalles movimientos'!$Q$5:$Q$1000, 0)), "")</f>
        <v/>
      </c>
      <c r="H60" s="22" t="str">
        <f>IFERROR(INDEX('Detalles movimientos'!I$5:I$1000, MATCH(48, 'Detalles movimientos'!$Q$5:$Q$1000, 0)), "")</f>
        <v/>
      </c>
      <c r="I60" s="21" t="str">
        <f>IFERROR(INDEX('Detalles movimientos'!J$5:J$1000, MATCH(48, 'Detalles movimientos'!$Q$5:$Q$1000, 0)), "")</f>
        <v/>
      </c>
      <c r="J60" s="20" t="str">
        <f>IFERROR(INDEX('Detalles movimientos'!K$5:K$1000, MATCH(48, 'Detalles movimientos'!$Q$5:$Q$1000, 0)), "")</f>
        <v/>
      </c>
      <c r="K60" s="21" t="str">
        <f>IFERROR(INDEX('Detalles movimientos'!L$5:L$1000, MATCH(48, 'Detalles movimientos'!$Q$5:$Q$1000, 0)), "")</f>
        <v/>
      </c>
      <c r="L60" s="19" t="str">
        <f>IFERROR(INDEX('Detalles movimientos'!M$5:M$1000, MATCH(48, 'Detalles movimientos'!$Q$5:$Q$1000, 0)), "")</f>
        <v/>
      </c>
      <c r="M60" s="19" t="str">
        <f>IFERROR(INDEX('Detalles movimientos'!P$5:P$1000, MATCH(48, 'Detalles movimientos'!$Q$5:$Q$1000, 0)), "")</f>
        <v/>
      </c>
    </row>
    <row r="61" spans="2:13" x14ac:dyDescent="0.2">
      <c r="B61" s="18" t="str">
        <f>IFERROR(INDEX('Detalles movimientos'!C$5:C$1000, MATCH(49, 'Detalles movimientos'!$Q$5:$Q$1000, 0)), "")</f>
        <v/>
      </c>
      <c r="C61" s="19" t="str">
        <f>IFERROR(INDEX('Detalles movimientos'!D$5:D$1000, MATCH(49, 'Detalles movimientos'!$Q$5:$Q$1000, 0)), "")</f>
        <v/>
      </c>
      <c r="D61" s="20" t="str">
        <f>IFERROR(INDEX('Detalles movimientos'!E$5:E$1000, MATCH(49, 'Detalles movimientos'!$Q$5:$Q$1000, 0)), "")</f>
        <v/>
      </c>
      <c r="E61" s="20" t="str">
        <f>IFERROR(INDEX('Detalles movimientos'!F$5:F$1000, MATCH(49, 'Detalles movimientos'!$Q$5:$Q$1000, 0)), "")</f>
        <v/>
      </c>
      <c r="F61" s="19" t="str">
        <f>IFERROR(INDEX('Detalles movimientos'!G$5:G$1000, MATCH(49, 'Detalles movimientos'!$Q$5:$Q$1000, 0)), "")</f>
        <v/>
      </c>
      <c r="G61" s="21" t="str">
        <f>IFERROR(INDEX('Detalles movimientos'!H$5:H$1000, MATCH(49, 'Detalles movimientos'!$Q$5:$Q$1000, 0)), "")</f>
        <v/>
      </c>
      <c r="H61" s="22" t="str">
        <f>IFERROR(INDEX('Detalles movimientos'!I$5:I$1000, MATCH(49, 'Detalles movimientos'!$Q$5:$Q$1000, 0)), "")</f>
        <v/>
      </c>
      <c r="I61" s="21" t="str">
        <f>IFERROR(INDEX('Detalles movimientos'!J$5:J$1000, MATCH(49, 'Detalles movimientos'!$Q$5:$Q$1000, 0)), "")</f>
        <v/>
      </c>
      <c r="J61" s="20" t="str">
        <f>IFERROR(INDEX('Detalles movimientos'!K$5:K$1000, MATCH(49, 'Detalles movimientos'!$Q$5:$Q$1000, 0)), "")</f>
        <v/>
      </c>
      <c r="K61" s="21" t="str">
        <f>IFERROR(INDEX('Detalles movimientos'!L$5:L$1000, MATCH(49, 'Detalles movimientos'!$Q$5:$Q$1000, 0)), "")</f>
        <v/>
      </c>
      <c r="L61" s="19" t="str">
        <f>IFERROR(INDEX('Detalles movimientos'!M$5:M$1000, MATCH(49, 'Detalles movimientos'!$Q$5:$Q$1000, 0)), "")</f>
        <v/>
      </c>
      <c r="M61" s="19" t="str">
        <f>IFERROR(INDEX('Detalles movimientos'!P$5:P$1000, MATCH(49, 'Detalles movimientos'!$Q$5:$Q$1000, 0)), "")</f>
        <v/>
      </c>
    </row>
    <row r="62" spans="2:13" x14ac:dyDescent="0.2">
      <c r="B62" s="18" t="str">
        <f>IFERROR(INDEX('Detalles movimientos'!C$5:C$1000, MATCH(50, 'Detalles movimientos'!$Q$5:$Q$1000, 0)), "")</f>
        <v/>
      </c>
      <c r="C62" s="19" t="str">
        <f>IFERROR(INDEX('Detalles movimientos'!D$5:D$1000, MATCH(50, 'Detalles movimientos'!$Q$5:$Q$1000, 0)), "")</f>
        <v/>
      </c>
      <c r="D62" s="20" t="str">
        <f>IFERROR(INDEX('Detalles movimientos'!E$5:E$1000, MATCH(50, 'Detalles movimientos'!$Q$5:$Q$1000, 0)), "")</f>
        <v/>
      </c>
      <c r="E62" s="20" t="str">
        <f>IFERROR(INDEX('Detalles movimientos'!F$5:F$1000, MATCH(50, 'Detalles movimientos'!$Q$5:$Q$1000, 0)), "")</f>
        <v/>
      </c>
      <c r="F62" s="19" t="str">
        <f>IFERROR(INDEX('Detalles movimientos'!G$5:G$1000, MATCH(50, 'Detalles movimientos'!$Q$5:$Q$1000, 0)), "")</f>
        <v/>
      </c>
      <c r="G62" s="21" t="str">
        <f>IFERROR(INDEX('Detalles movimientos'!H$5:H$1000, MATCH(50, 'Detalles movimientos'!$Q$5:$Q$1000, 0)), "")</f>
        <v/>
      </c>
      <c r="H62" s="22" t="str">
        <f>IFERROR(INDEX('Detalles movimientos'!I$5:I$1000, MATCH(50, 'Detalles movimientos'!$Q$5:$Q$1000, 0)), "")</f>
        <v/>
      </c>
      <c r="I62" s="21" t="str">
        <f>IFERROR(INDEX('Detalles movimientos'!J$5:J$1000, MATCH(50, 'Detalles movimientos'!$Q$5:$Q$1000, 0)), "")</f>
        <v/>
      </c>
      <c r="J62" s="20" t="str">
        <f>IFERROR(INDEX('Detalles movimientos'!K$5:K$1000, MATCH(50, 'Detalles movimientos'!$Q$5:$Q$1000, 0)), "")</f>
        <v/>
      </c>
      <c r="K62" s="21" t="str">
        <f>IFERROR(INDEX('Detalles movimientos'!L$5:L$1000, MATCH(50, 'Detalles movimientos'!$Q$5:$Q$1000, 0)), "")</f>
        <v/>
      </c>
      <c r="L62" s="19" t="str">
        <f>IFERROR(INDEX('Detalles movimientos'!M$5:M$1000, MATCH(50, 'Detalles movimientos'!$Q$5:$Q$1000, 0)), "")</f>
        <v/>
      </c>
      <c r="M62" s="19" t="str">
        <f>IFERROR(INDEX('Detalles movimientos'!P$5:P$1000, MATCH(50, 'Detalles movimientos'!$Q$5:$Q$1000, 0)), "")</f>
        <v/>
      </c>
    </row>
    <row r="63" spans="2:13" x14ac:dyDescent="0.2">
      <c r="B63" s="18" t="str">
        <f>IFERROR(INDEX('Detalles movimientos'!C$5:C$1000, MATCH(51, 'Detalles movimientos'!$Q$5:$Q$1000, 0)), "")</f>
        <v/>
      </c>
      <c r="C63" s="19" t="str">
        <f>IFERROR(INDEX('Detalles movimientos'!D$5:D$1000, MATCH(51, 'Detalles movimientos'!$Q$5:$Q$1000, 0)), "")</f>
        <v/>
      </c>
      <c r="D63" s="20" t="str">
        <f>IFERROR(INDEX('Detalles movimientos'!E$5:E$1000, MATCH(51, 'Detalles movimientos'!$Q$5:$Q$1000, 0)), "")</f>
        <v/>
      </c>
      <c r="E63" s="20" t="str">
        <f>IFERROR(INDEX('Detalles movimientos'!F$5:F$1000, MATCH(51, 'Detalles movimientos'!$Q$5:$Q$1000, 0)), "")</f>
        <v/>
      </c>
      <c r="F63" s="19" t="str">
        <f>IFERROR(INDEX('Detalles movimientos'!G$5:G$1000, MATCH(51, 'Detalles movimientos'!$Q$5:$Q$1000, 0)), "")</f>
        <v/>
      </c>
      <c r="G63" s="21" t="str">
        <f>IFERROR(INDEX('Detalles movimientos'!H$5:H$1000, MATCH(51, 'Detalles movimientos'!$Q$5:$Q$1000, 0)), "")</f>
        <v/>
      </c>
      <c r="H63" s="22" t="str">
        <f>IFERROR(INDEX('Detalles movimientos'!I$5:I$1000, MATCH(51, 'Detalles movimientos'!$Q$5:$Q$1000, 0)), "")</f>
        <v/>
      </c>
      <c r="I63" s="21" t="str">
        <f>IFERROR(INDEX('Detalles movimientos'!J$5:J$1000, MATCH(51, 'Detalles movimientos'!$Q$5:$Q$1000, 0)), "")</f>
        <v/>
      </c>
      <c r="J63" s="20" t="str">
        <f>IFERROR(INDEX('Detalles movimientos'!K$5:K$1000, MATCH(51, 'Detalles movimientos'!$Q$5:$Q$1000, 0)), "")</f>
        <v/>
      </c>
      <c r="K63" s="21" t="str">
        <f>IFERROR(INDEX('Detalles movimientos'!L$5:L$1000, MATCH(51, 'Detalles movimientos'!$Q$5:$Q$1000, 0)), "")</f>
        <v/>
      </c>
      <c r="L63" s="19" t="str">
        <f>IFERROR(INDEX('Detalles movimientos'!M$5:M$1000, MATCH(51, 'Detalles movimientos'!$Q$5:$Q$1000, 0)), "")</f>
        <v/>
      </c>
      <c r="M63" s="19" t="str">
        <f>IFERROR(INDEX('Detalles movimientos'!P$5:P$1000, MATCH(51, 'Detalles movimientos'!$Q$5:$Q$1000, 0)), "")</f>
        <v/>
      </c>
    </row>
    <row r="64" spans="2:13" x14ac:dyDescent="0.2">
      <c r="B64" s="18" t="str">
        <f>IFERROR(INDEX('Detalles movimientos'!C$5:C$1000, MATCH(52, 'Detalles movimientos'!$Q$5:$Q$1000, 0)), "")</f>
        <v/>
      </c>
      <c r="C64" s="19" t="str">
        <f>IFERROR(INDEX('Detalles movimientos'!D$5:D$1000, MATCH(52, 'Detalles movimientos'!$Q$5:$Q$1000, 0)), "")</f>
        <v/>
      </c>
      <c r="D64" s="20" t="str">
        <f>IFERROR(INDEX('Detalles movimientos'!E$5:E$1000, MATCH(52, 'Detalles movimientos'!$Q$5:$Q$1000, 0)), "")</f>
        <v/>
      </c>
      <c r="E64" s="20" t="str">
        <f>IFERROR(INDEX('Detalles movimientos'!F$5:F$1000, MATCH(52, 'Detalles movimientos'!$Q$5:$Q$1000, 0)), "")</f>
        <v/>
      </c>
      <c r="F64" s="19" t="str">
        <f>IFERROR(INDEX('Detalles movimientos'!G$5:G$1000, MATCH(52, 'Detalles movimientos'!$Q$5:$Q$1000, 0)), "")</f>
        <v/>
      </c>
      <c r="G64" s="21" t="str">
        <f>IFERROR(INDEX('Detalles movimientos'!H$5:H$1000, MATCH(52, 'Detalles movimientos'!$Q$5:$Q$1000, 0)), "")</f>
        <v/>
      </c>
      <c r="H64" s="22" t="str">
        <f>IFERROR(INDEX('Detalles movimientos'!I$5:I$1000, MATCH(52, 'Detalles movimientos'!$Q$5:$Q$1000, 0)), "")</f>
        <v/>
      </c>
      <c r="I64" s="21" t="str">
        <f>IFERROR(INDEX('Detalles movimientos'!J$5:J$1000, MATCH(52, 'Detalles movimientos'!$Q$5:$Q$1000, 0)), "")</f>
        <v/>
      </c>
      <c r="J64" s="20" t="str">
        <f>IFERROR(INDEX('Detalles movimientos'!K$5:K$1000, MATCH(52, 'Detalles movimientos'!$Q$5:$Q$1000, 0)), "")</f>
        <v/>
      </c>
      <c r="K64" s="21" t="str">
        <f>IFERROR(INDEX('Detalles movimientos'!L$5:L$1000, MATCH(52, 'Detalles movimientos'!$Q$5:$Q$1000, 0)), "")</f>
        <v/>
      </c>
      <c r="L64" s="19" t="str">
        <f>IFERROR(INDEX('Detalles movimientos'!M$5:M$1000, MATCH(52, 'Detalles movimientos'!$Q$5:$Q$1000, 0)), "")</f>
        <v/>
      </c>
      <c r="M64" s="19" t="str">
        <f>IFERROR(INDEX('Detalles movimientos'!P$5:P$1000, MATCH(52, 'Detalles movimientos'!$Q$5:$Q$1000, 0)), "")</f>
        <v/>
      </c>
    </row>
    <row r="65" spans="2:13" x14ac:dyDescent="0.2">
      <c r="B65" s="18" t="str">
        <f>IFERROR(INDEX('Detalles movimientos'!C$5:C$1000, MATCH(53, 'Detalles movimientos'!$Q$5:$Q$1000, 0)), "")</f>
        <v/>
      </c>
      <c r="C65" s="19" t="str">
        <f>IFERROR(INDEX('Detalles movimientos'!D$5:D$1000, MATCH(53, 'Detalles movimientos'!$Q$5:$Q$1000, 0)), "")</f>
        <v/>
      </c>
      <c r="D65" s="20" t="str">
        <f>IFERROR(INDEX('Detalles movimientos'!E$5:E$1000, MATCH(53, 'Detalles movimientos'!$Q$5:$Q$1000, 0)), "")</f>
        <v/>
      </c>
      <c r="E65" s="20" t="str">
        <f>IFERROR(INDEX('Detalles movimientos'!F$5:F$1000, MATCH(53, 'Detalles movimientos'!$Q$5:$Q$1000, 0)), "")</f>
        <v/>
      </c>
      <c r="F65" s="19" t="str">
        <f>IFERROR(INDEX('Detalles movimientos'!G$5:G$1000, MATCH(53, 'Detalles movimientos'!$Q$5:$Q$1000, 0)), "")</f>
        <v/>
      </c>
      <c r="G65" s="21" t="str">
        <f>IFERROR(INDEX('Detalles movimientos'!H$5:H$1000, MATCH(53, 'Detalles movimientos'!$Q$5:$Q$1000, 0)), "")</f>
        <v/>
      </c>
      <c r="H65" s="22" t="str">
        <f>IFERROR(INDEX('Detalles movimientos'!I$5:I$1000, MATCH(53, 'Detalles movimientos'!$Q$5:$Q$1000, 0)), "")</f>
        <v/>
      </c>
      <c r="I65" s="21" t="str">
        <f>IFERROR(INDEX('Detalles movimientos'!J$5:J$1000, MATCH(53, 'Detalles movimientos'!$Q$5:$Q$1000, 0)), "")</f>
        <v/>
      </c>
      <c r="J65" s="20" t="str">
        <f>IFERROR(INDEX('Detalles movimientos'!K$5:K$1000, MATCH(53, 'Detalles movimientos'!$Q$5:$Q$1000, 0)), "")</f>
        <v/>
      </c>
      <c r="K65" s="21" t="str">
        <f>IFERROR(INDEX('Detalles movimientos'!L$5:L$1000, MATCH(53, 'Detalles movimientos'!$Q$5:$Q$1000, 0)), "")</f>
        <v/>
      </c>
      <c r="L65" s="19" t="str">
        <f>IFERROR(INDEX('Detalles movimientos'!M$5:M$1000, MATCH(53, 'Detalles movimientos'!$Q$5:$Q$1000, 0)), "")</f>
        <v/>
      </c>
      <c r="M65" s="19" t="str">
        <f>IFERROR(INDEX('Detalles movimientos'!P$5:P$1000, MATCH(53, 'Detalles movimientos'!$Q$5:$Q$1000, 0)), "")</f>
        <v/>
      </c>
    </row>
    <row r="66" spans="2:13" x14ac:dyDescent="0.2">
      <c r="B66" s="18" t="str">
        <f>IFERROR(INDEX('Detalles movimientos'!C$5:C$1000, MATCH(54, 'Detalles movimientos'!$Q$5:$Q$1000, 0)), "")</f>
        <v/>
      </c>
      <c r="C66" s="19" t="str">
        <f>IFERROR(INDEX('Detalles movimientos'!D$5:D$1000, MATCH(54, 'Detalles movimientos'!$Q$5:$Q$1000, 0)), "")</f>
        <v/>
      </c>
      <c r="D66" s="20" t="str">
        <f>IFERROR(INDEX('Detalles movimientos'!E$5:E$1000, MATCH(54, 'Detalles movimientos'!$Q$5:$Q$1000, 0)), "")</f>
        <v/>
      </c>
      <c r="E66" s="20" t="str">
        <f>IFERROR(INDEX('Detalles movimientos'!F$5:F$1000, MATCH(54, 'Detalles movimientos'!$Q$5:$Q$1000, 0)), "")</f>
        <v/>
      </c>
      <c r="F66" s="19" t="str">
        <f>IFERROR(INDEX('Detalles movimientos'!G$5:G$1000, MATCH(54, 'Detalles movimientos'!$Q$5:$Q$1000, 0)), "")</f>
        <v/>
      </c>
      <c r="G66" s="21" t="str">
        <f>IFERROR(INDEX('Detalles movimientos'!H$5:H$1000, MATCH(54, 'Detalles movimientos'!$Q$5:$Q$1000, 0)), "")</f>
        <v/>
      </c>
      <c r="H66" s="22" t="str">
        <f>IFERROR(INDEX('Detalles movimientos'!I$5:I$1000, MATCH(54, 'Detalles movimientos'!$Q$5:$Q$1000, 0)), "")</f>
        <v/>
      </c>
      <c r="I66" s="21" t="str">
        <f>IFERROR(INDEX('Detalles movimientos'!J$5:J$1000, MATCH(54, 'Detalles movimientos'!$Q$5:$Q$1000, 0)), "")</f>
        <v/>
      </c>
      <c r="J66" s="20" t="str">
        <f>IFERROR(INDEX('Detalles movimientos'!K$5:K$1000, MATCH(54, 'Detalles movimientos'!$Q$5:$Q$1000, 0)), "")</f>
        <v/>
      </c>
      <c r="K66" s="21" t="str">
        <f>IFERROR(INDEX('Detalles movimientos'!L$5:L$1000, MATCH(54, 'Detalles movimientos'!$Q$5:$Q$1000, 0)), "")</f>
        <v/>
      </c>
      <c r="L66" s="19" t="str">
        <f>IFERROR(INDEX('Detalles movimientos'!M$5:M$1000, MATCH(54, 'Detalles movimientos'!$Q$5:$Q$1000, 0)), "")</f>
        <v/>
      </c>
      <c r="M66" s="19" t="str">
        <f>IFERROR(INDEX('Detalles movimientos'!P$5:P$1000, MATCH(54, 'Detalles movimientos'!$Q$5:$Q$1000, 0)), "")</f>
        <v/>
      </c>
    </row>
    <row r="67" spans="2:13" x14ac:dyDescent="0.2">
      <c r="B67" s="18" t="str">
        <f>IFERROR(INDEX('Detalles movimientos'!C$5:C$1000, MATCH(55, 'Detalles movimientos'!$Q$5:$Q$1000, 0)), "")</f>
        <v/>
      </c>
      <c r="C67" s="19" t="str">
        <f>IFERROR(INDEX('Detalles movimientos'!D$5:D$1000, MATCH(55, 'Detalles movimientos'!$Q$5:$Q$1000, 0)), "")</f>
        <v/>
      </c>
      <c r="D67" s="20" t="str">
        <f>IFERROR(INDEX('Detalles movimientos'!E$5:E$1000, MATCH(55, 'Detalles movimientos'!$Q$5:$Q$1000, 0)), "")</f>
        <v/>
      </c>
      <c r="E67" s="20" t="str">
        <f>IFERROR(INDEX('Detalles movimientos'!F$5:F$1000, MATCH(55, 'Detalles movimientos'!$Q$5:$Q$1000, 0)), "")</f>
        <v/>
      </c>
      <c r="F67" s="19" t="str">
        <f>IFERROR(INDEX('Detalles movimientos'!G$5:G$1000, MATCH(55, 'Detalles movimientos'!$Q$5:$Q$1000, 0)), "")</f>
        <v/>
      </c>
      <c r="G67" s="21" t="str">
        <f>IFERROR(INDEX('Detalles movimientos'!H$5:H$1000, MATCH(55, 'Detalles movimientos'!$Q$5:$Q$1000, 0)), "")</f>
        <v/>
      </c>
      <c r="H67" s="22" t="str">
        <f>IFERROR(INDEX('Detalles movimientos'!I$5:I$1000, MATCH(55, 'Detalles movimientos'!$Q$5:$Q$1000, 0)), "")</f>
        <v/>
      </c>
      <c r="I67" s="21" t="str">
        <f>IFERROR(INDEX('Detalles movimientos'!J$5:J$1000, MATCH(55, 'Detalles movimientos'!$Q$5:$Q$1000, 0)), "")</f>
        <v/>
      </c>
      <c r="J67" s="20" t="str">
        <f>IFERROR(INDEX('Detalles movimientos'!K$5:K$1000, MATCH(55, 'Detalles movimientos'!$Q$5:$Q$1000, 0)), "")</f>
        <v/>
      </c>
      <c r="K67" s="21" t="str">
        <f>IFERROR(INDEX('Detalles movimientos'!L$5:L$1000, MATCH(55, 'Detalles movimientos'!$Q$5:$Q$1000, 0)), "")</f>
        <v/>
      </c>
      <c r="L67" s="19" t="str">
        <f>IFERROR(INDEX('Detalles movimientos'!M$5:M$1000, MATCH(55, 'Detalles movimientos'!$Q$5:$Q$1000, 0)), "")</f>
        <v/>
      </c>
      <c r="M67" s="19" t="str">
        <f>IFERROR(INDEX('Detalles movimientos'!P$5:P$1000, MATCH(55, 'Detalles movimientos'!$Q$5:$Q$1000, 0)), "")</f>
        <v/>
      </c>
    </row>
    <row r="68" spans="2:13" x14ac:dyDescent="0.2">
      <c r="B68" s="18" t="str">
        <f>IFERROR(INDEX('Detalles movimientos'!C$5:C$1000, MATCH(56, 'Detalles movimientos'!$Q$5:$Q$1000, 0)), "")</f>
        <v/>
      </c>
      <c r="C68" s="19" t="str">
        <f>IFERROR(INDEX('Detalles movimientos'!D$5:D$1000, MATCH(56, 'Detalles movimientos'!$Q$5:$Q$1000, 0)), "")</f>
        <v/>
      </c>
      <c r="D68" s="20" t="str">
        <f>IFERROR(INDEX('Detalles movimientos'!E$5:E$1000, MATCH(56, 'Detalles movimientos'!$Q$5:$Q$1000, 0)), "")</f>
        <v/>
      </c>
      <c r="E68" s="20" t="str">
        <f>IFERROR(INDEX('Detalles movimientos'!F$5:F$1000, MATCH(56, 'Detalles movimientos'!$Q$5:$Q$1000, 0)), "")</f>
        <v/>
      </c>
      <c r="F68" s="19" t="str">
        <f>IFERROR(INDEX('Detalles movimientos'!G$5:G$1000, MATCH(56, 'Detalles movimientos'!$Q$5:$Q$1000, 0)), "")</f>
        <v/>
      </c>
      <c r="G68" s="21" t="str">
        <f>IFERROR(INDEX('Detalles movimientos'!H$5:H$1000, MATCH(56, 'Detalles movimientos'!$Q$5:$Q$1000, 0)), "")</f>
        <v/>
      </c>
      <c r="H68" s="22" t="str">
        <f>IFERROR(INDEX('Detalles movimientos'!I$5:I$1000, MATCH(56, 'Detalles movimientos'!$Q$5:$Q$1000, 0)), "")</f>
        <v/>
      </c>
      <c r="I68" s="21" t="str">
        <f>IFERROR(INDEX('Detalles movimientos'!J$5:J$1000, MATCH(56, 'Detalles movimientos'!$Q$5:$Q$1000, 0)), "")</f>
        <v/>
      </c>
      <c r="J68" s="20" t="str">
        <f>IFERROR(INDEX('Detalles movimientos'!K$5:K$1000, MATCH(56, 'Detalles movimientos'!$Q$5:$Q$1000, 0)), "")</f>
        <v/>
      </c>
      <c r="K68" s="21" t="str">
        <f>IFERROR(INDEX('Detalles movimientos'!L$5:L$1000, MATCH(56, 'Detalles movimientos'!$Q$5:$Q$1000, 0)), "")</f>
        <v/>
      </c>
      <c r="L68" s="19" t="str">
        <f>IFERROR(INDEX('Detalles movimientos'!M$5:M$1000, MATCH(56, 'Detalles movimientos'!$Q$5:$Q$1000, 0)), "")</f>
        <v/>
      </c>
      <c r="M68" s="19" t="str">
        <f>IFERROR(INDEX('Detalles movimientos'!P$5:P$1000, MATCH(56, 'Detalles movimientos'!$Q$5:$Q$1000, 0)), "")</f>
        <v/>
      </c>
    </row>
    <row r="69" spans="2:13" x14ac:dyDescent="0.2">
      <c r="B69" s="18" t="str">
        <f>IFERROR(INDEX('Detalles movimientos'!C$5:C$1000, MATCH(57, 'Detalles movimientos'!$Q$5:$Q$1000, 0)), "")</f>
        <v/>
      </c>
      <c r="C69" s="19" t="str">
        <f>IFERROR(INDEX('Detalles movimientos'!D$5:D$1000, MATCH(57, 'Detalles movimientos'!$Q$5:$Q$1000, 0)), "")</f>
        <v/>
      </c>
      <c r="D69" s="20" t="str">
        <f>IFERROR(INDEX('Detalles movimientos'!E$5:E$1000, MATCH(57, 'Detalles movimientos'!$Q$5:$Q$1000, 0)), "")</f>
        <v/>
      </c>
      <c r="E69" s="20" t="str">
        <f>IFERROR(INDEX('Detalles movimientos'!F$5:F$1000, MATCH(57, 'Detalles movimientos'!$Q$5:$Q$1000, 0)), "")</f>
        <v/>
      </c>
      <c r="F69" s="19" t="str">
        <f>IFERROR(INDEX('Detalles movimientos'!G$5:G$1000, MATCH(57, 'Detalles movimientos'!$Q$5:$Q$1000, 0)), "")</f>
        <v/>
      </c>
      <c r="G69" s="21" t="str">
        <f>IFERROR(INDEX('Detalles movimientos'!H$5:H$1000, MATCH(57, 'Detalles movimientos'!$Q$5:$Q$1000, 0)), "")</f>
        <v/>
      </c>
      <c r="H69" s="22" t="str">
        <f>IFERROR(INDEX('Detalles movimientos'!I$5:I$1000, MATCH(57, 'Detalles movimientos'!$Q$5:$Q$1000, 0)), "")</f>
        <v/>
      </c>
      <c r="I69" s="21" t="str">
        <f>IFERROR(INDEX('Detalles movimientos'!J$5:J$1000, MATCH(57, 'Detalles movimientos'!$Q$5:$Q$1000, 0)), "")</f>
        <v/>
      </c>
      <c r="J69" s="20" t="str">
        <f>IFERROR(INDEX('Detalles movimientos'!K$5:K$1000, MATCH(57, 'Detalles movimientos'!$Q$5:$Q$1000, 0)), "")</f>
        <v/>
      </c>
      <c r="K69" s="21" t="str">
        <f>IFERROR(INDEX('Detalles movimientos'!L$5:L$1000, MATCH(57, 'Detalles movimientos'!$Q$5:$Q$1000, 0)), "")</f>
        <v/>
      </c>
      <c r="L69" s="19" t="str">
        <f>IFERROR(INDEX('Detalles movimientos'!M$5:M$1000, MATCH(57, 'Detalles movimientos'!$Q$5:$Q$1000, 0)), "")</f>
        <v/>
      </c>
      <c r="M69" s="19" t="str">
        <f>IFERROR(INDEX('Detalles movimientos'!P$5:P$1000, MATCH(57, 'Detalles movimientos'!$Q$5:$Q$1000, 0)), "")</f>
        <v/>
      </c>
    </row>
    <row r="70" spans="2:13" x14ac:dyDescent="0.2">
      <c r="B70" s="18" t="str">
        <f>IFERROR(INDEX('Detalles movimientos'!C$5:C$1000, MATCH(58, 'Detalles movimientos'!$Q$5:$Q$1000, 0)), "")</f>
        <v/>
      </c>
      <c r="C70" s="19" t="str">
        <f>IFERROR(INDEX('Detalles movimientos'!D$5:D$1000, MATCH(58, 'Detalles movimientos'!$Q$5:$Q$1000, 0)), "")</f>
        <v/>
      </c>
      <c r="D70" s="20" t="str">
        <f>IFERROR(INDEX('Detalles movimientos'!E$5:E$1000, MATCH(58, 'Detalles movimientos'!$Q$5:$Q$1000, 0)), "")</f>
        <v/>
      </c>
      <c r="E70" s="20" t="str">
        <f>IFERROR(INDEX('Detalles movimientos'!F$5:F$1000, MATCH(58, 'Detalles movimientos'!$Q$5:$Q$1000, 0)), "")</f>
        <v/>
      </c>
      <c r="F70" s="19" t="str">
        <f>IFERROR(INDEX('Detalles movimientos'!G$5:G$1000, MATCH(58, 'Detalles movimientos'!$Q$5:$Q$1000, 0)), "")</f>
        <v/>
      </c>
      <c r="G70" s="21" t="str">
        <f>IFERROR(INDEX('Detalles movimientos'!H$5:H$1000, MATCH(58, 'Detalles movimientos'!$Q$5:$Q$1000, 0)), "")</f>
        <v/>
      </c>
      <c r="H70" s="22" t="str">
        <f>IFERROR(INDEX('Detalles movimientos'!I$5:I$1000, MATCH(58, 'Detalles movimientos'!$Q$5:$Q$1000, 0)), "")</f>
        <v/>
      </c>
      <c r="I70" s="21" t="str">
        <f>IFERROR(INDEX('Detalles movimientos'!J$5:J$1000, MATCH(58, 'Detalles movimientos'!$Q$5:$Q$1000, 0)), "")</f>
        <v/>
      </c>
      <c r="J70" s="20" t="str">
        <f>IFERROR(INDEX('Detalles movimientos'!K$5:K$1000, MATCH(58, 'Detalles movimientos'!$Q$5:$Q$1000, 0)), "")</f>
        <v/>
      </c>
      <c r="K70" s="21" t="str">
        <f>IFERROR(INDEX('Detalles movimientos'!L$5:L$1000, MATCH(58, 'Detalles movimientos'!$Q$5:$Q$1000, 0)), "")</f>
        <v/>
      </c>
      <c r="L70" s="19" t="str">
        <f>IFERROR(INDEX('Detalles movimientos'!M$5:M$1000, MATCH(58, 'Detalles movimientos'!$Q$5:$Q$1000, 0)), "")</f>
        <v/>
      </c>
      <c r="M70" s="19" t="str">
        <f>IFERROR(INDEX('Detalles movimientos'!P$5:P$1000, MATCH(58, 'Detalles movimientos'!$Q$5:$Q$1000, 0)), "")</f>
        <v/>
      </c>
    </row>
    <row r="71" spans="2:13" x14ac:dyDescent="0.2">
      <c r="B71" s="18" t="str">
        <f>IFERROR(INDEX('Detalles movimientos'!C$5:C$1000, MATCH(59, 'Detalles movimientos'!$Q$5:$Q$1000, 0)), "")</f>
        <v/>
      </c>
      <c r="C71" s="19" t="str">
        <f>IFERROR(INDEX('Detalles movimientos'!D$5:D$1000, MATCH(59, 'Detalles movimientos'!$Q$5:$Q$1000, 0)), "")</f>
        <v/>
      </c>
      <c r="D71" s="20" t="str">
        <f>IFERROR(INDEX('Detalles movimientos'!E$5:E$1000, MATCH(59, 'Detalles movimientos'!$Q$5:$Q$1000, 0)), "")</f>
        <v/>
      </c>
      <c r="E71" s="20" t="str">
        <f>IFERROR(INDEX('Detalles movimientos'!F$5:F$1000, MATCH(59, 'Detalles movimientos'!$Q$5:$Q$1000, 0)), "")</f>
        <v/>
      </c>
      <c r="F71" s="19" t="str">
        <f>IFERROR(INDEX('Detalles movimientos'!G$5:G$1000, MATCH(59, 'Detalles movimientos'!$Q$5:$Q$1000, 0)), "")</f>
        <v/>
      </c>
      <c r="G71" s="21" t="str">
        <f>IFERROR(INDEX('Detalles movimientos'!H$5:H$1000, MATCH(59, 'Detalles movimientos'!$Q$5:$Q$1000, 0)), "")</f>
        <v/>
      </c>
      <c r="H71" s="22" t="str">
        <f>IFERROR(INDEX('Detalles movimientos'!I$5:I$1000, MATCH(59, 'Detalles movimientos'!$Q$5:$Q$1000, 0)), "")</f>
        <v/>
      </c>
      <c r="I71" s="21" t="str">
        <f>IFERROR(INDEX('Detalles movimientos'!J$5:J$1000, MATCH(59, 'Detalles movimientos'!$Q$5:$Q$1000, 0)), "")</f>
        <v/>
      </c>
      <c r="J71" s="20" t="str">
        <f>IFERROR(INDEX('Detalles movimientos'!K$5:K$1000, MATCH(59, 'Detalles movimientos'!$Q$5:$Q$1000, 0)), "")</f>
        <v/>
      </c>
      <c r="K71" s="21" t="str">
        <f>IFERROR(INDEX('Detalles movimientos'!L$5:L$1000, MATCH(59, 'Detalles movimientos'!$Q$5:$Q$1000, 0)), "")</f>
        <v/>
      </c>
      <c r="L71" s="19" t="str">
        <f>IFERROR(INDEX('Detalles movimientos'!M$5:M$1000, MATCH(59, 'Detalles movimientos'!$Q$5:$Q$1000, 0)), "")</f>
        <v/>
      </c>
      <c r="M71" s="19" t="str">
        <f>IFERROR(INDEX('Detalles movimientos'!P$5:P$1000, MATCH(59, 'Detalles movimientos'!$Q$5:$Q$1000, 0)), "")</f>
        <v/>
      </c>
    </row>
    <row r="72" spans="2:13" x14ac:dyDescent="0.2">
      <c r="B72" s="18" t="str">
        <f>IFERROR(INDEX('Detalles movimientos'!C$5:C$1000, MATCH(60, 'Detalles movimientos'!$Q$5:$Q$1000, 0)), "")</f>
        <v/>
      </c>
      <c r="C72" s="19" t="str">
        <f>IFERROR(INDEX('Detalles movimientos'!D$5:D$1000, MATCH(60, 'Detalles movimientos'!$Q$5:$Q$1000, 0)), "")</f>
        <v/>
      </c>
      <c r="D72" s="20" t="str">
        <f>IFERROR(INDEX('Detalles movimientos'!E$5:E$1000, MATCH(60, 'Detalles movimientos'!$Q$5:$Q$1000, 0)), "")</f>
        <v/>
      </c>
      <c r="E72" s="20" t="str">
        <f>IFERROR(INDEX('Detalles movimientos'!F$5:F$1000, MATCH(60, 'Detalles movimientos'!$Q$5:$Q$1000, 0)), "")</f>
        <v/>
      </c>
      <c r="F72" s="19" t="str">
        <f>IFERROR(INDEX('Detalles movimientos'!G$5:G$1000, MATCH(60, 'Detalles movimientos'!$Q$5:$Q$1000, 0)), "")</f>
        <v/>
      </c>
      <c r="G72" s="21" t="str">
        <f>IFERROR(INDEX('Detalles movimientos'!H$5:H$1000, MATCH(60, 'Detalles movimientos'!$Q$5:$Q$1000, 0)), "")</f>
        <v/>
      </c>
      <c r="H72" s="22" t="str">
        <f>IFERROR(INDEX('Detalles movimientos'!I$5:I$1000, MATCH(60, 'Detalles movimientos'!$Q$5:$Q$1000, 0)), "")</f>
        <v/>
      </c>
      <c r="I72" s="21" t="str">
        <f>IFERROR(INDEX('Detalles movimientos'!J$5:J$1000, MATCH(60, 'Detalles movimientos'!$Q$5:$Q$1000, 0)), "")</f>
        <v/>
      </c>
      <c r="J72" s="20" t="str">
        <f>IFERROR(INDEX('Detalles movimientos'!K$5:K$1000, MATCH(60, 'Detalles movimientos'!$Q$5:$Q$1000, 0)), "")</f>
        <v/>
      </c>
      <c r="K72" s="21" t="str">
        <f>IFERROR(INDEX('Detalles movimientos'!L$5:L$1000, MATCH(60, 'Detalles movimientos'!$Q$5:$Q$1000, 0)), "")</f>
        <v/>
      </c>
      <c r="L72" s="19" t="str">
        <f>IFERROR(INDEX('Detalles movimientos'!M$5:M$1000, MATCH(60, 'Detalles movimientos'!$Q$5:$Q$1000, 0)), "")</f>
        <v/>
      </c>
      <c r="M72" s="19" t="str">
        <f>IFERROR(INDEX('Detalles movimientos'!P$5:P$1000, MATCH(60, 'Detalles movimientos'!$Q$5:$Q$1000, 0)), "")</f>
        <v/>
      </c>
    </row>
    <row r="73" spans="2:13" x14ac:dyDescent="0.2">
      <c r="B73" s="18" t="str">
        <f>IFERROR(INDEX('Detalles movimientos'!C$5:C$1000, MATCH(61, 'Detalles movimientos'!$Q$5:$Q$1000, 0)), "")</f>
        <v/>
      </c>
      <c r="C73" s="19" t="str">
        <f>IFERROR(INDEX('Detalles movimientos'!D$5:D$1000, MATCH(61, 'Detalles movimientos'!$Q$5:$Q$1000, 0)), "")</f>
        <v/>
      </c>
      <c r="D73" s="20" t="str">
        <f>IFERROR(INDEX('Detalles movimientos'!E$5:E$1000, MATCH(61, 'Detalles movimientos'!$Q$5:$Q$1000, 0)), "")</f>
        <v/>
      </c>
      <c r="E73" s="20" t="str">
        <f>IFERROR(INDEX('Detalles movimientos'!F$5:F$1000, MATCH(61, 'Detalles movimientos'!$Q$5:$Q$1000, 0)), "")</f>
        <v/>
      </c>
      <c r="F73" s="19" t="str">
        <f>IFERROR(INDEX('Detalles movimientos'!G$5:G$1000, MATCH(61, 'Detalles movimientos'!$Q$5:$Q$1000, 0)), "")</f>
        <v/>
      </c>
      <c r="G73" s="21" t="str">
        <f>IFERROR(INDEX('Detalles movimientos'!H$5:H$1000, MATCH(61, 'Detalles movimientos'!$Q$5:$Q$1000, 0)), "")</f>
        <v/>
      </c>
      <c r="H73" s="22" t="str">
        <f>IFERROR(INDEX('Detalles movimientos'!I$5:I$1000, MATCH(61, 'Detalles movimientos'!$Q$5:$Q$1000, 0)), "")</f>
        <v/>
      </c>
      <c r="I73" s="21" t="str">
        <f>IFERROR(INDEX('Detalles movimientos'!J$5:J$1000, MATCH(61, 'Detalles movimientos'!$Q$5:$Q$1000, 0)), "")</f>
        <v/>
      </c>
      <c r="J73" s="20" t="str">
        <f>IFERROR(INDEX('Detalles movimientos'!K$5:K$1000, MATCH(61, 'Detalles movimientos'!$Q$5:$Q$1000, 0)), "")</f>
        <v/>
      </c>
      <c r="K73" s="21" t="str">
        <f>IFERROR(INDEX('Detalles movimientos'!L$5:L$1000, MATCH(61, 'Detalles movimientos'!$Q$5:$Q$1000, 0)), "")</f>
        <v/>
      </c>
      <c r="L73" s="19" t="str">
        <f>IFERROR(INDEX('Detalles movimientos'!M$5:M$1000, MATCH(61, 'Detalles movimientos'!$Q$5:$Q$1000, 0)), "")</f>
        <v/>
      </c>
      <c r="M73" s="19" t="str">
        <f>IFERROR(INDEX('Detalles movimientos'!P$5:P$1000, MATCH(61, 'Detalles movimientos'!$Q$5:$Q$1000, 0)), "")</f>
        <v/>
      </c>
    </row>
    <row r="74" spans="2:13" x14ac:dyDescent="0.2">
      <c r="B74" s="18" t="str">
        <f>IFERROR(INDEX('Detalles movimientos'!C$5:C$1000, MATCH(62, 'Detalles movimientos'!$Q$5:$Q$1000, 0)), "")</f>
        <v/>
      </c>
      <c r="C74" s="19" t="str">
        <f>IFERROR(INDEX('Detalles movimientos'!D$5:D$1000, MATCH(62, 'Detalles movimientos'!$Q$5:$Q$1000, 0)), "")</f>
        <v/>
      </c>
      <c r="D74" s="20" t="str">
        <f>IFERROR(INDEX('Detalles movimientos'!E$5:E$1000, MATCH(62, 'Detalles movimientos'!$Q$5:$Q$1000, 0)), "")</f>
        <v/>
      </c>
      <c r="E74" s="20" t="str">
        <f>IFERROR(INDEX('Detalles movimientos'!F$5:F$1000, MATCH(62, 'Detalles movimientos'!$Q$5:$Q$1000, 0)), "")</f>
        <v/>
      </c>
      <c r="F74" s="19" t="str">
        <f>IFERROR(INDEX('Detalles movimientos'!G$5:G$1000, MATCH(62, 'Detalles movimientos'!$Q$5:$Q$1000, 0)), "")</f>
        <v/>
      </c>
      <c r="G74" s="21" t="str">
        <f>IFERROR(INDEX('Detalles movimientos'!H$5:H$1000, MATCH(62, 'Detalles movimientos'!$Q$5:$Q$1000, 0)), "")</f>
        <v/>
      </c>
      <c r="H74" s="22" t="str">
        <f>IFERROR(INDEX('Detalles movimientos'!I$5:I$1000, MATCH(62, 'Detalles movimientos'!$Q$5:$Q$1000, 0)), "")</f>
        <v/>
      </c>
      <c r="I74" s="21" t="str">
        <f>IFERROR(INDEX('Detalles movimientos'!J$5:J$1000, MATCH(62, 'Detalles movimientos'!$Q$5:$Q$1000, 0)), "")</f>
        <v/>
      </c>
      <c r="J74" s="20" t="str">
        <f>IFERROR(INDEX('Detalles movimientos'!K$5:K$1000, MATCH(62, 'Detalles movimientos'!$Q$5:$Q$1000, 0)), "")</f>
        <v/>
      </c>
      <c r="K74" s="21" t="str">
        <f>IFERROR(INDEX('Detalles movimientos'!L$5:L$1000, MATCH(62, 'Detalles movimientos'!$Q$5:$Q$1000, 0)), "")</f>
        <v/>
      </c>
      <c r="L74" s="19" t="str">
        <f>IFERROR(INDEX('Detalles movimientos'!M$5:M$1000, MATCH(62, 'Detalles movimientos'!$Q$5:$Q$1000, 0)), "")</f>
        <v/>
      </c>
      <c r="M74" s="19" t="str">
        <f>IFERROR(INDEX('Detalles movimientos'!P$5:P$1000, MATCH(62, 'Detalles movimientos'!$Q$5:$Q$1000, 0)), "")</f>
        <v/>
      </c>
    </row>
    <row r="75" spans="2:13" x14ac:dyDescent="0.2">
      <c r="B75" s="18" t="str">
        <f>IFERROR(INDEX('Detalles movimientos'!C$5:C$1000, MATCH(63, 'Detalles movimientos'!$Q$5:$Q$1000, 0)), "")</f>
        <v/>
      </c>
      <c r="C75" s="19" t="str">
        <f>IFERROR(INDEX('Detalles movimientos'!D$5:D$1000, MATCH(63, 'Detalles movimientos'!$Q$5:$Q$1000, 0)), "")</f>
        <v/>
      </c>
      <c r="D75" s="20" t="str">
        <f>IFERROR(INDEX('Detalles movimientos'!E$5:E$1000, MATCH(63, 'Detalles movimientos'!$Q$5:$Q$1000, 0)), "")</f>
        <v/>
      </c>
      <c r="E75" s="20" t="str">
        <f>IFERROR(INDEX('Detalles movimientos'!F$5:F$1000, MATCH(63, 'Detalles movimientos'!$Q$5:$Q$1000, 0)), "")</f>
        <v/>
      </c>
      <c r="F75" s="19" t="str">
        <f>IFERROR(INDEX('Detalles movimientos'!G$5:G$1000, MATCH(63, 'Detalles movimientos'!$Q$5:$Q$1000, 0)), "")</f>
        <v/>
      </c>
      <c r="G75" s="21" t="str">
        <f>IFERROR(INDEX('Detalles movimientos'!H$5:H$1000, MATCH(63, 'Detalles movimientos'!$Q$5:$Q$1000, 0)), "")</f>
        <v/>
      </c>
      <c r="H75" s="22" t="str">
        <f>IFERROR(INDEX('Detalles movimientos'!I$5:I$1000, MATCH(63, 'Detalles movimientos'!$Q$5:$Q$1000, 0)), "")</f>
        <v/>
      </c>
      <c r="I75" s="21" t="str">
        <f>IFERROR(INDEX('Detalles movimientos'!J$5:J$1000, MATCH(63, 'Detalles movimientos'!$Q$5:$Q$1000, 0)), "")</f>
        <v/>
      </c>
      <c r="J75" s="20" t="str">
        <f>IFERROR(INDEX('Detalles movimientos'!K$5:K$1000, MATCH(63, 'Detalles movimientos'!$Q$5:$Q$1000, 0)), "")</f>
        <v/>
      </c>
      <c r="K75" s="21" t="str">
        <f>IFERROR(INDEX('Detalles movimientos'!L$5:L$1000, MATCH(63, 'Detalles movimientos'!$Q$5:$Q$1000, 0)), "")</f>
        <v/>
      </c>
      <c r="L75" s="19" t="str">
        <f>IFERROR(INDEX('Detalles movimientos'!M$5:M$1000, MATCH(63, 'Detalles movimientos'!$Q$5:$Q$1000, 0)), "")</f>
        <v/>
      </c>
      <c r="M75" s="19" t="str">
        <f>IFERROR(INDEX('Detalles movimientos'!P$5:P$1000, MATCH(63, 'Detalles movimientos'!$Q$5:$Q$1000, 0)), "")</f>
        <v/>
      </c>
    </row>
    <row r="76" spans="2:13" x14ac:dyDescent="0.2">
      <c r="B76" s="18" t="str">
        <f>IFERROR(INDEX('Detalles movimientos'!C$5:C$1000, MATCH(64, 'Detalles movimientos'!$Q$5:$Q$1000, 0)), "")</f>
        <v/>
      </c>
      <c r="C76" s="19" t="str">
        <f>IFERROR(INDEX('Detalles movimientos'!D$5:D$1000, MATCH(64, 'Detalles movimientos'!$Q$5:$Q$1000, 0)), "")</f>
        <v/>
      </c>
      <c r="D76" s="20" t="str">
        <f>IFERROR(INDEX('Detalles movimientos'!E$5:E$1000, MATCH(64, 'Detalles movimientos'!$Q$5:$Q$1000, 0)), "")</f>
        <v/>
      </c>
      <c r="E76" s="20" t="str">
        <f>IFERROR(INDEX('Detalles movimientos'!F$5:F$1000, MATCH(64, 'Detalles movimientos'!$Q$5:$Q$1000, 0)), "")</f>
        <v/>
      </c>
      <c r="F76" s="19" t="str">
        <f>IFERROR(INDEX('Detalles movimientos'!G$5:G$1000, MATCH(64, 'Detalles movimientos'!$Q$5:$Q$1000, 0)), "")</f>
        <v/>
      </c>
      <c r="G76" s="21" t="str">
        <f>IFERROR(INDEX('Detalles movimientos'!H$5:H$1000, MATCH(64, 'Detalles movimientos'!$Q$5:$Q$1000, 0)), "")</f>
        <v/>
      </c>
      <c r="H76" s="22" t="str">
        <f>IFERROR(INDEX('Detalles movimientos'!I$5:I$1000, MATCH(64, 'Detalles movimientos'!$Q$5:$Q$1000, 0)), "")</f>
        <v/>
      </c>
      <c r="I76" s="21" t="str">
        <f>IFERROR(INDEX('Detalles movimientos'!J$5:J$1000, MATCH(64, 'Detalles movimientos'!$Q$5:$Q$1000, 0)), "")</f>
        <v/>
      </c>
      <c r="J76" s="20" t="str">
        <f>IFERROR(INDEX('Detalles movimientos'!K$5:K$1000, MATCH(64, 'Detalles movimientos'!$Q$5:$Q$1000, 0)), "")</f>
        <v/>
      </c>
      <c r="K76" s="21" t="str">
        <f>IFERROR(INDEX('Detalles movimientos'!L$5:L$1000, MATCH(64, 'Detalles movimientos'!$Q$5:$Q$1000, 0)), "")</f>
        <v/>
      </c>
      <c r="L76" s="19" t="str">
        <f>IFERROR(INDEX('Detalles movimientos'!M$5:M$1000, MATCH(64, 'Detalles movimientos'!$Q$5:$Q$1000, 0)), "")</f>
        <v/>
      </c>
      <c r="M76" s="19" t="str">
        <f>IFERROR(INDEX('Detalles movimientos'!P$5:P$1000, MATCH(64, 'Detalles movimientos'!$Q$5:$Q$1000, 0)), "")</f>
        <v/>
      </c>
    </row>
    <row r="77" spans="2:13" x14ac:dyDescent="0.2">
      <c r="B77" s="18" t="str">
        <f>IFERROR(INDEX('Detalles movimientos'!C$5:C$1000, MATCH(65, 'Detalles movimientos'!$Q$5:$Q$1000, 0)), "")</f>
        <v/>
      </c>
      <c r="C77" s="19" t="str">
        <f>IFERROR(INDEX('Detalles movimientos'!D$5:D$1000, MATCH(65, 'Detalles movimientos'!$Q$5:$Q$1000, 0)), "")</f>
        <v/>
      </c>
      <c r="D77" s="20" t="str">
        <f>IFERROR(INDEX('Detalles movimientos'!E$5:E$1000, MATCH(65, 'Detalles movimientos'!$Q$5:$Q$1000, 0)), "")</f>
        <v/>
      </c>
      <c r="E77" s="20" t="str">
        <f>IFERROR(INDEX('Detalles movimientos'!F$5:F$1000, MATCH(65, 'Detalles movimientos'!$Q$5:$Q$1000, 0)), "")</f>
        <v/>
      </c>
      <c r="F77" s="19" t="str">
        <f>IFERROR(INDEX('Detalles movimientos'!G$5:G$1000, MATCH(65, 'Detalles movimientos'!$Q$5:$Q$1000, 0)), "")</f>
        <v/>
      </c>
      <c r="G77" s="21" t="str">
        <f>IFERROR(INDEX('Detalles movimientos'!H$5:H$1000, MATCH(65, 'Detalles movimientos'!$Q$5:$Q$1000, 0)), "")</f>
        <v/>
      </c>
      <c r="H77" s="22" t="str">
        <f>IFERROR(INDEX('Detalles movimientos'!I$5:I$1000, MATCH(65, 'Detalles movimientos'!$Q$5:$Q$1000, 0)), "")</f>
        <v/>
      </c>
      <c r="I77" s="21" t="str">
        <f>IFERROR(INDEX('Detalles movimientos'!J$5:J$1000, MATCH(65, 'Detalles movimientos'!$Q$5:$Q$1000, 0)), "")</f>
        <v/>
      </c>
      <c r="J77" s="20" t="str">
        <f>IFERROR(INDEX('Detalles movimientos'!K$5:K$1000, MATCH(65, 'Detalles movimientos'!$Q$5:$Q$1000, 0)), "")</f>
        <v/>
      </c>
      <c r="K77" s="21" t="str">
        <f>IFERROR(INDEX('Detalles movimientos'!L$5:L$1000, MATCH(65, 'Detalles movimientos'!$Q$5:$Q$1000, 0)), "")</f>
        <v/>
      </c>
      <c r="L77" s="19" t="str">
        <f>IFERROR(INDEX('Detalles movimientos'!M$5:M$1000, MATCH(65, 'Detalles movimientos'!$Q$5:$Q$1000, 0)), "")</f>
        <v/>
      </c>
      <c r="M77" s="19" t="str">
        <f>IFERROR(INDEX('Detalles movimientos'!P$5:P$1000, MATCH(65, 'Detalles movimientos'!$Q$5:$Q$1000, 0)), "")</f>
        <v/>
      </c>
    </row>
    <row r="78" spans="2:13" x14ac:dyDescent="0.2">
      <c r="B78" s="18" t="str">
        <f>IFERROR(INDEX('Detalles movimientos'!C$5:C$1000, MATCH(66, 'Detalles movimientos'!$Q$5:$Q$1000, 0)), "")</f>
        <v/>
      </c>
      <c r="C78" s="19" t="str">
        <f>IFERROR(INDEX('Detalles movimientos'!D$5:D$1000, MATCH(66, 'Detalles movimientos'!$Q$5:$Q$1000, 0)), "")</f>
        <v/>
      </c>
      <c r="D78" s="20" t="str">
        <f>IFERROR(INDEX('Detalles movimientos'!E$5:E$1000, MATCH(66, 'Detalles movimientos'!$Q$5:$Q$1000, 0)), "")</f>
        <v/>
      </c>
      <c r="E78" s="20" t="str">
        <f>IFERROR(INDEX('Detalles movimientos'!F$5:F$1000, MATCH(66, 'Detalles movimientos'!$Q$5:$Q$1000, 0)), "")</f>
        <v/>
      </c>
      <c r="F78" s="19" t="str">
        <f>IFERROR(INDEX('Detalles movimientos'!G$5:G$1000, MATCH(66, 'Detalles movimientos'!$Q$5:$Q$1000, 0)), "")</f>
        <v/>
      </c>
      <c r="G78" s="21" t="str">
        <f>IFERROR(INDEX('Detalles movimientos'!H$5:H$1000, MATCH(66, 'Detalles movimientos'!$Q$5:$Q$1000, 0)), "")</f>
        <v/>
      </c>
      <c r="H78" s="22" t="str">
        <f>IFERROR(INDEX('Detalles movimientos'!I$5:I$1000, MATCH(66, 'Detalles movimientos'!$Q$5:$Q$1000, 0)), "")</f>
        <v/>
      </c>
      <c r="I78" s="21" t="str">
        <f>IFERROR(INDEX('Detalles movimientos'!J$5:J$1000, MATCH(66, 'Detalles movimientos'!$Q$5:$Q$1000, 0)), "")</f>
        <v/>
      </c>
      <c r="J78" s="20" t="str">
        <f>IFERROR(INDEX('Detalles movimientos'!K$5:K$1000, MATCH(66, 'Detalles movimientos'!$Q$5:$Q$1000, 0)), "")</f>
        <v/>
      </c>
      <c r="K78" s="21" t="str">
        <f>IFERROR(INDEX('Detalles movimientos'!L$5:L$1000, MATCH(66, 'Detalles movimientos'!$Q$5:$Q$1000, 0)), "")</f>
        <v/>
      </c>
      <c r="L78" s="19" t="str">
        <f>IFERROR(INDEX('Detalles movimientos'!M$5:M$1000, MATCH(66, 'Detalles movimientos'!$Q$5:$Q$1000, 0)), "")</f>
        <v/>
      </c>
      <c r="M78" s="19" t="str">
        <f>IFERROR(INDEX('Detalles movimientos'!P$5:P$1000, MATCH(66, 'Detalles movimientos'!$Q$5:$Q$1000, 0)), "")</f>
        <v/>
      </c>
    </row>
    <row r="79" spans="2:13" x14ac:dyDescent="0.2">
      <c r="B79" s="18" t="str">
        <f>IFERROR(INDEX('Detalles movimientos'!C$5:C$1000, MATCH(67, 'Detalles movimientos'!$Q$5:$Q$1000, 0)), "")</f>
        <v/>
      </c>
      <c r="C79" s="19" t="str">
        <f>IFERROR(INDEX('Detalles movimientos'!D$5:D$1000, MATCH(67, 'Detalles movimientos'!$Q$5:$Q$1000, 0)), "")</f>
        <v/>
      </c>
      <c r="D79" s="20" t="str">
        <f>IFERROR(INDEX('Detalles movimientos'!E$5:E$1000, MATCH(67, 'Detalles movimientos'!$Q$5:$Q$1000, 0)), "")</f>
        <v/>
      </c>
      <c r="E79" s="20" t="str">
        <f>IFERROR(INDEX('Detalles movimientos'!F$5:F$1000, MATCH(67, 'Detalles movimientos'!$Q$5:$Q$1000, 0)), "")</f>
        <v/>
      </c>
      <c r="F79" s="19" t="str">
        <f>IFERROR(INDEX('Detalles movimientos'!G$5:G$1000, MATCH(67, 'Detalles movimientos'!$Q$5:$Q$1000, 0)), "")</f>
        <v/>
      </c>
      <c r="G79" s="21" t="str">
        <f>IFERROR(INDEX('Detalles movimientos'!H$5:H$1000, MATCH(67, 'Detalles movimientos'!$Q$5:$Q$1000, 0)), "")</f>
        <v/>
      </c>
      <c r="H79" s="22" t="str">
        <f>IFERROR(INDEX('Detalles movimientos'!I$5:I$1000, MATCH(67, 'Detalles movimientos'!$Q$5:$Q$1000, 0)), "")</f>
        <v/>
      </c>
      <c r="I79" s="21" t="str">
        <f>IFERROR(INDEX('Detalles movimientos'!J$5:J$1000, MATCH(67, 'Detalles movimientos'!$Q$5:$Q$1000, 0)), "")</f>
        <v/>
      </c>
      <c r="J79" s="20" t="str">
        <f>IFERROR(INDEX('Detalles movimientos'!K$5:K$1000, MATCH(67, 'Detalles movimientos'!$Q$5:$Q$1000, 0)), "")</f>
        <v/>
      </c>
      <c r="K79" s="21" t="str">
        <f>IFERROR(INDEX('Detalles movimientos'!L$5:L$1000, MATCH(67, 'Detalles movimientos'!$Q$5:$Q$1000, 0)), "")</f>
        <v/>
      </c>
      <c r="L79" s="19" t="str">
        <f>IFERROR(INDEX('Detalles movimientos'!M$5:M$1000, MATCH(67, 'Detalles movimientos'!$Q$5:$Q$1000, 0)), "")</f>
        <v/>
      </c>
      <c r="M79" s="19" t="str">
        <f>IFERROR(INDEX('Detalles movimientos'!P$5:P$1000, MATCH(67, 'Detalles movimientos'!$Q$5:$Q$1000, 0)), "")</f>
        <v/>
      </c>
    </row>
    <row r="80" spans="2:13" x14ac:dyDescent="0.2">
      <c r="B80" s="18" t="str">
        <f>IFERROR(INDEX('Detalles movimientos'!C$5:C$1000, MATCH(68, 'Detalles movimientos'!$Q$5:$Q$1000, 0)), "")</f>
        <v/>
      </c>
      <c r="C80" s="19" t="str">
        <f>IFERROR(INDEX('Detalles movimientos'!D$5:D$1000, MATCH(68, 'Detalles movimientos'!$Q$5:$Q$1000, 0)), "")</f>
        <v/>
      </c>
      <c r="D80" s="20" t="str">
        <f>IFERROR(INDEX('Detalles movimientos'!E$5:E$1000, MATCH(68, 'Detalles movimientos'!$Q$5:$Q$1000, 0)), "")</f>
        <v/>
      </c>
      <c r="E80" s="20" t="str">
        <f>IFERROR(INDEX('Detalles movimientos'!F$5:F$1000, MATCH(68, 'Detalles movimientos'!$Q$5:$Q$1000, 0)), "")</f>
        <v/>
      </c>
      <c r="F80" s="19" t="str">
        <f>IFERROR(INDEX('Detalles movimientos'!G$5:G$1000, MATCH(68, 'Detalles movimientos'!$Q$5:$Q$1000, 0)), "")</f>
        <v/>
      </c>
      <c r="G80" s="21" t="str">
        <f>IFERROR(INDEX('Detalles movimientos'!H$5:H$1000, MATCH(68, 'Detalles movimientos'!$Q$5:$Q$1000, 0)), "")</f>
        <v/>
      </c>
      <c r="H80" s="22" t="str">
        <f>IFERROR(INDEX('Detalles movimientos'!I$5:I$1000, MATCH(68, 'Detalles movimientos'!$Q$5:$Q$1000, 0)), "")</f>
        <v/>
      </c>
      <c r="I80" s="21" t="str">
        <f>IFERROR(INDEX('Detalles movimientos'!J$5:J$1000, MATCH(68, 'Detalles movimientos'!$Q$5:$Q$1000, 0)), "")</f>
        <v/>
      </c>
      <c r="J80" s="20" t="str">
        <f>IFERROR(INDEX('Detalles movimientos'!K$5:K$1000, MATCH(68, 'Detalles movimientos'!$Q$5:$Q$1000, 0)), "")</f>
        <v/>
      </c>
      <c r="K80" s="21" t="str">
        <f>IFERROR(INDEX('Detalles movimientos'!L$5:L$1000, MATCH(68, 'Detalles movimientos'!$Q$5:$Q$1000, 0)), "")</f>
        <v/>
      </c>
      <c r="L80" s="19" t="str">
        <f>IFERROR(INDEX('Detalles movimientos'!M$5:M$1000, MATCH(68, 'Detalles movimientos'!$Q$5:$Q$1000, 0)), "")</f>
        <v/>
      </c>
      <c r="M80" s="19" t="str">
        <f>IFERROR(INDEX('Detalles movimientos'!P$5:P$1000, MATCH(68, 'Detalles movimientos'!$Q$5:$Q$1000, 0)), "")</f>
        <v/>
      </c>
    </row>
    <row r="81" spans="2:13" x14ac:dyDescent="0.2">
      <c r="B81" s="18" t="str">
        <f>IFERROR(INDEX('Detalles movimientos'!C$5:C$1000, MATCH(69, 'Detalles movimientos'!$Q$5:$Q$1000, 0)), "")</f>
        <v/>
      </c>
      <c r="C81" s="19" t="str">
        <f>IFERROR(INDEX('Detalles movimientos'!D$5:D$1000, MATCH(69, 'Detalles movimientos'!$Q$5:$Q$1000, 0)), "")</f>
        <v/>
      </c>
      <c r="D81" s="20" t="str">
        <f>IFERROR(INDEX('Detalles movimientos'!E$5:E$1000, MATCH(69, 'Detalles movimientos'!$Q$5:$Q$1000, 0)), "")</f>
        <v/>
      </c>
      <c r="E81" s="20" t="str">
        <f>IFERROR(INDEX('Detalles movimientos'!F$5:F$1000, MATCH(69, 'Detalles movimientos'!$Q$5:$Q$1000, 0)), "")</f>
        <v/>
      </c>
      <c r="F81" s="19" t="str">
        <f>IFERROR(INDEX('Detalles movimientos'!G$5:G$1000, MATCH(69, 'Detalles movimientos'!$Q$5:$Q$1000, 0)), "")</f>
        <v/>
      </c>
      <c r="G81" s="21" t="str">
        <f>IFERROR(INDEX('Detalles movimientos'!H$5:H$1000, MATCH(69, 'Detalles movimientos'!$Q$5:$Q$1000, 0)), "")</f>
        <v/>
      </c>
      <c r="H81" s="22" t="str">
        <f>IFERROR(INDEX('Detalles movimientos'!I$5:I$1000, MATCH(69, 'Detalles movimientos'!$Q$5:$Q$1000, 0)), "")</f>
        <v/>
      </c>
      <c r="I81" s="21" t="str">
        <f>IFERROR(INDEX('Detalles movimientos'!J$5:J$1000, MATCH(69, 'Detalles movimientos'!$Q$5:$Q$1000, 0)), "")</f>
        <v/>
      </c>
      <c r="J81" s="20" t="str">
        <f>IFERROR(INDEX('Detalles movimientos'!K$5:K$1000, MATCH(69, 'Detalles movimientos'!$Q$5:$Q$1000, 0)), "")</f>
        <v/>
      </c>
      <c r="K81" s="21" t="str">
        <f>IFERROR(INDEX('Detalles movimientos'!L$5:L$1000, MATCH(69, 'Detalles movimientos'!$Q$5:$Q$1000, 0)), "")</f>
        <v/>
      </c>
      <c r="L81" s="19" t="str">
        <f>IFERROR(INDEX('Detalles movimientos'!M$5:M$1000, MATCH(69, 'Detalles movimientos'!$Q$5:$Q$1000, 0)), "")</f>
        <v/>
      </c>
      <c r="M81" s="19" t="str">
        <f>IFERROR(INDEX('Detalles movimientos'!P$5:P$1000, MATCH(69, 'Detalles movimientos'!$Q$5:$Q$1000, 0)), "")</f>
        <v/>
      </c>
    </row>
    <row r="82" spans="2:13" x14ac:dyDescent="0.2">
      <c r="B82" s="18" t="str">
        <f>IFERROR(INDEX('Detalles movimientos'!C$5:C$1000, MATCH(70, 'Detalles movimientos'!$Q$5:$Q$1000, 0)), "")</f>
        <v/>
      </c>
      <c r="C82" s="19" t="str">
        <f>IFERROR(INDEX('Detalles movimientos'!D$5:D$1000, MATCH(70, 'Detalles movimientos'!$Q$5:$Q$1000, 0)), "")</f>
        <v/>
      </c>
      <c r="D82" s="20" t="str">
        <f>IFERROR(INDEX('Detalles movimientos'!E$5:E$1000, MATCH(70, 'Detalles movimientos'!$Q$5:$Q$1000, 0)), "")</f>
        <v/>
      </c>
      <c r="E82" s="20" t="str">
        <f>IFERROR(INDEX('Detalles movimientos'!F$5:F$1000, MATCH(70, 'Detalles movimientos'!$Q$5:$Q$1000, 0)), "")</f>
        <v/>
      </c>
      <c r="F82" s="19" t="str">
        <f>IFERROR(INDEX('Detalles movimientos'!G$5:G$1000, MATCH(70, 'Detalles movimientos'!$Q$5:$Q$1000, 0)), "")</f>
        <v/>
      </c>
      <c r="G82" s="21" t="str">
        <f>IFERROR(INDEX('Detalles movimientos'!H$5:H$1000, MATCH(70, 'Detalles movimientos'!$Q$5:$Q$1000, 0)), "")</f>
        <v/>
      </c>
      <c r="H82" s="22" t="str">
        <f>IFERROR(INDEX('Detalles movimientos'!I$5:I$1000, MATCH(70, 'Detalles movimientos'!$Q$5:$Q$1000, 0)), "")</f>
        <v/>
      </c>
      <c r="I82" s="21" t="str">
        <f>IFERROR(INDEX('Detalles movimientos'!J$5:J$1000, MATCH(70, 'Detalles movimientos'!$Q$5:$Q$1000, 0)), "")</f>
        <v/>
      </c>
      <c r="J82" s="20" t="str">
        <f>IFERROR(INDEX('Detalles movimientos'!K$5:K$1000, MATCH(70, 'Detalles movimientos'!$Q$5:$Q$1000, 0)), "")</f>
        <v/>
      </c>
      <c r="K82" s="21" t="str">
        <f>IFERROR(INDEX('Detalles movimientos'!L$5:L$1000, MATCH(70, 'Detalles movimientos'!$Q$5:$Q$1000, 0)), "")</f>
        <v/>
      </c>
      <c r="L82" s="19" t="str">
        <f>IFERROR(INDEX('Detalles movimientos'!M$5:M$1000, MATCH(70, 'Detalles movimientos'!$Q$5:$Q$1000, 0)), "")</f>
        <v/>
      </c>
      <c r="M82" s="19" t="str">
        <f>IFERROR(INDEX('Detalles movimientos'!P$5:P$1000, MATCH(70, 'Detalles movimientos'!$Q$5:$Q$1000, 0)), "")</f>
        <v/>
      </c>
    </row>
    <row r="83" spans="2:13" x14ac:dyDescent="0.2">
      <c r="B83" s="18" t="str">
        <f>IFERROR(INDEX('Detalles movimientos'!C$5:C$1000, MATCH(71, 'Detalles movimientos'!$Q$5:$Q$1000, 0)), "")</f>
        <v/>
      </c>
      <c r="C83" s="19" t="str">
        <f>IFERROR(INDEX('Detalles movimientos'!D$5:D$1000, MATCH(71, 'Detalles movimientos'!$Q$5:$Q$1000, 0)), "")</f>
        <v/>
      </c>
      <c r="D83" s="20" t="str">
        <f>IFERROR(INDEX('Detalles movimientos'!E$5:E$1000, MATCH(71, 'Detalles movimientos'!$Q$5:$Q$1000, 0)), "")</f>
        <v/>
      </c>
      <c r="E83" s="20" t="str">
        <f>IFERROR(INDEX('Detalles movimientos'!F$5:F$1000, MATCH(71, 'Detalles movimientos'!$Q$5:$Q$1000, 0)), "")</f>
        <v/>
      </c>
      <c r="F83" s="19" t="str">
        <f>IFERROR(INDEX('Detalles movimientos'!G$5:G$1000, MATCH(71, 'Detalles movimientos'!$Q$5:$Q$1000, 0)), "")</f>
        <v/>
      </c>
      <c r="G83" s="21" t="str">
        <f>IFERROR(INDEX('Detalles movimientos'!H$5:H$1000, MATCH(71, 'Detalles movimientos'!$Q$5:$Q$1000, 0)), "")</f>
        <v/>
      </c>
      <c r="H83" s="22" t="str">
        <f>IFERROR(INDEX('Detalles movimientos'!I$5:I$1000, MATCH(71, 'Detalles movimientos'!$Q$5:$Q$1000, 0)), "")</f>
        <v/>
      </c>
      <c r="I83" s="21" t="str">
        <f>IFERROR(INDEX('Detalles movimientos'!J$5:J$1000, MATCH(71, 'Detalles movimientos'!$Q$5:$Q$1000, 0)), "")</f>
        <v/>
      </c>
      <c r="J83" s="20" t="str">
        <f>IFERROR(INDEX('Detalles movimientos'!K$5:K$1000, MATCH(71, 'Detalles movimientos'!$Q$5:$Q$1000, 0)), "")</f>
        <v/>
      </c>
      <c r="K83" s="21" t="str">
        <f>IFERROR(INDEX('Detalles movimientos'!L$5:L$1000, MATCH(71, 'Detalles movimientos'!$Q$5:$Q$1000, 0)), "")</f>
        <v/>
      </c>
      <c r="L83" s="19" t="str">
        <f>IFERROR(INDEX('Detalles movimientos'!M$5:M$1000, MATCH(71, 'Detalles movimientos'!$Q$5:$Q$1000, 0)), "")</f>
        <v/>
      </c>
      <c r="M83" s="19" t="str">
        <f>IFERROR(INDEX('Detalles movimientos'!P$5:P$1000, MATCH(71, 'Detalles movimientos'!$Q$5:$Q$1000, 0)), "")</f>
        <v/>
      </c>
    </row>
    <row r="84" spans="2:13" x14ac:dyDescent="0.2">
      <c r="B84" s="18" t="str">
        <f>IFERROR(INDEX('Detalles movimientos'!C$5:C$1000, MATCH(72, 'Detalles movimientos'!$Q$5:$Q$1000, 0)), "")</f>
        <v/>
      </c>
      <c r="C84" s="19" t="str">
        <f>IFERROR(INDEX('Detalles movimientos'!D$5:D$1000, MATCH(72, 'Detalles movimientos'!$Q$5:$Q$1000, 0)), "")</f>
        <v/>
      </c>
      <c r="D84" s="20" t="str">
        <f>IFERROR(INDEX('Detalles movimientos'!E$5:E$1000, MATCH(72, 'Detalles movimientos'!$Q$5:$Q$1000, 0)), "")</f>
        <v/>
      </c>
      <c r="E84" s="20" t="str">
        <f>IFERROR(INDEX('Detalles movimientos'!F$5:F$1000, MATCH(72, 'Detalles movimientos'!$Q$5:$Q$1000, 0)), "")</f>
        <v/>
      </c>
      <c r="F84" s="19" t="str">
        <f>IFERROR(INDEX('Detalles movimientos'!G$5:G$1000, MATCH(72, 'Detalles movimientos'!$Q$5:$Q$1000, 0)), "")</f>
        <v/>
      </c>
      <c r="G84" s="21" t="str">
        <f>IFERROR(INDEX('Detalles movimientos'!H$5:H$1000, MATCH(72, 'Detalles movimientos'!$Q$5:$Q$1000, 0)), "")</f>
        <v/>
      </c>
      <c r="H84" s="22" t="str">
        <f>IFERROR(INDEX('Detalles movimientos'!I$5:I$1000, MATCH(72, 'Detalles movimientos'!$Q$5:$Q$1000, 0)), "")</f>
        <v/>
      </c>
      <c r="I84" s="21" t="str">
        <f>IFERROR(INDEX('Detalles movimientos'!J$5:J$1000, MATCH(72, 'Detalles movimientos'!$Q$5:$Q$1000, 0)), "")</f>
        <v/>
      </c>
      <c r="J84" s="20" t="str">
        <f>IFERROR(INDEX('Detalles movimientos'!K$5:K$1000, MATCH(72, 'Detalles movimientos'!$Q$5:$Q$1000, 0)), "")</f>
        <v/>
      </c>
      <c r="K84" s="21" t="str">
        <f>IFERROR(INDEX('Detalles movimientos'!L$5:L$1000, MATCH(72, 'Detalles movimientos'!$Q$5:$Q$1000, 0)), "")</f>
        <v/>
      </c>
      <c r="L84" s="19" t="str">
        <f>IFERROR(INDEX('Detalles movimientos'!M$5:M$1000, MATCH(72, 'Detalles movimientos'!$Q$5:$Q$1000, 0)), "")</f>
        <v/>
      </c>
      <c r="M84" s="19" t="str">
        <f>IFERROR(INDEX('Detalles movimientos'!P$5:P$1000, MATCH(72, 'Detalles movimientos'!$Q$5:$Q$1000, 0)), "")</f>
        <v/>
      </c>
    </row>
    <row r="85" spans="2:13" x14ac:dyDescent="0.2">
      <c r="B85" s="18" t="str">
        <f>IFERROR(INDEX('Detalles movimientos'!C$5:C$1000, MATCH(73, 'Detalles movimientos'!$Q$5:$Q$1000, 0)), "")</f>
        <v/>
      </c>
      <c r="C85" s="19" t="str">
        <f>IFERROR(INDEX('Detalles movimientos'!D$5:D$1000, MATCH(73, 'Detalles movimientos'!$Q$5:$Q$1000, 0)), "")</f>
        <v/>
      </c>
      <c r="D85" s="20" t="str">
        <f>IFERROR(INDEX('Detalles movimientos'!E$5:E$1000, MATCH(73, 'Detalles movimientos'!$Q$5:$Q$1000, 0)), "")</f>
        <v/>
      </c>
      <c r="E85" s="20" t="str">
        <f>IFERROR(INDEX('Detalles movimientos'!F$5:F$1000, MATCH(73, 'Detalles movimientos'!$Q$5:$Q$1000, 0)), "")</f>
        <v/>
      </c>
      <c r="F85" s="19" t="str">
        <f>IFERROR(INDEX('Detalles movimientos'!G$5:G$1000, MATCH(73, 'Detalles movimientos'!$Q$5:$Q$1000, 0)), "")</f>
        <v/>
      </c>
      <c r="G85" s="21" t="str">
        <f>IFERROR(INDEX('Detalles movimientos'!H$5:H$1000, MATCH(73, 'Detalles movimientos'!$Q$5:$Q$1000, 0)), "")</f>
        <v/>
      </c>
      <c r="H85" s="22" t="str">
        <f>IFERROR(INDEX('Detalles movimientos'!I$5:I$1000, MATCH(73, 'Detalles movimientos'!$Q$5:$Q$1000, 0)), "")</f>
        <v/>
      </c>
      <c r="I85" s="21" t="str">
        <f>IFERROR(INDEX('Detalles movimientos'!J$5:J$1000, MATCH(73, 'Detalles movimientos'!$Q$5:$Q$1000, 0)), "")</f>
        <v/>
      </c>
      <c r="J85" s="20" t="str">
        <f>IFERROR(INDEX('Detalles movimientos'!K$5:K$1000, MATCH(73, 'Detalles movimientos'!$Q$5:$Q$1000, 0)), "")</f>
        <v/>
      </c>
      <c r="K85" s="21" t="str">
        <f>IFERROR(INDEX('Detalles movimientos'!L$5:L$1000, MATCH(73, 'Detalles movimientos'!$Q$5:$Q$1000, 0)), "")</f>
        <v/>
      </c>
      <c r="L85" s="19" t="str">
        <f>IFERROR(INDEX('Detalles movimientos'!M$5:M$1000, MATCH(73, 'Detalles movimientos'!$Q$5:$Q$1000, 0)), "")</f>
        <v/>
      </c>
      <c r="M85" s="19" t="str">
        <f>IFERROR(INDEX('Detalles movimientos'!P$5:P$1000, MATCH(73, 'Detalles movimientos'!$Q$5:$Q$1000, 0)), "")</f>
        <v/>
      </c>
    </row>
    <row r="86" spans="2:13" x14ac:dyDescent="0.2">
      <c r="B86" s="18" t="str">
        <f>IFERROR(INDEX('Detalles movimientos'!C$5:C$1000, MATCH(74, 'Detalles movimientos'!$Q$5:$Q$1000, 0)), "")</f>
        <v/>
      </c>
      <c r="C86" s="19" t="str">
        <f>IFERROR(INDEX('Detalles movimientos'!D$5:D$1000, MATCH(74, 'Detalles movimientos'!$Q$5:$Q$1000, 0)), "")</f>
        <v/>
      </c>
      <c r="D86" s="20" t="str">
        <f>IFERROR(INDEX('Detalles movimientos'!E$5:E$1000, MATCH(74, 'Detalles movimientos'!$Q$5:$Q$1000, 0)), "")</f>
        <v/>
      </c>
      <c r="E86" s="20" t="str">
        <f>IFERROR(INDEX('Detalles movimientos'!F$5:F$1000, MATCH(74, 'Detalles movimientos'!$Q$5:$Q$1000, 0)), "")</f>
        <v/>
      </c>
      <c r="F86" s="19" t="str">
        <f>IFERROR(INDEX('Detalles movimientos'!G$5:G$1000, MATCH(74, 'Detalles movimientos'!$Q$5:$Q$1000, 0)), "")</f>
        <v/>
      </c>
      <c r="G86" s="21" t="str">
        <f>IFERROR(INDEX('Detalles movimientos'!H$5:H$1000, MATCH(74, 'Detalles movimientos'!$Q$5:$Q$1000, 0)), "")</f>
        <v/>
      </c>
      <c r="H86" s="22" t="str">
        <f>IFERROR(INDEX('Detalles movimientos'!I$5:I$1000, MATCH(74, 'Detalles movimientos'!$Q$5:$Q$1000, 0)), "")</f>
        <v/>
      </c>
      <c r="I86" s="21" t="str">
        <f>IFERROR(INDEX('Detalles movimientos'!J$5:J$1000, MATCH(74, 'Detalles movimientos'!$Q$5:$Q$1000, 0)), "")</f>
        <v/>
      </c>
      <c r="J86" s="20" t="str">
        <f>IFERROR(INDEX('Detalles movimientos'!K$5:K$1000, MATCH(74, 'Detalles movimientos'!$Q$5:$Q$1000, 0)), "")</f>
        <v/>
      </c>
      <c r="K86" s="21" t="str">
        <f>IFERROR(INDEX('Detalles movimientos'!L$5:L$1000, MATCH(74, 'Detalles movimientos'!$Q$5:$Q$1000, 0)), "")</f>
        <v/>
      </c>
      <c r="L86" s="19" t="str">
        <f>IFERROR(INDEX('Detalles movimientos'!M$5:M$1000, MATCH(74, 'Detalles movimientos'!$Q$5:$Q$1000, 0)), "")</f>
        <v/>
      </c>
      <c r="M86" s="19" t="str">
        <f>IFERROR(INDEX('Detalles movimientos'!P$5:P$1000, MATCH(74, 'Detalles movimientos'!$Q$5:$Q$1000, 0)), "")</f>
        <v/>
      </c>
    </row>
    <row r="87" spans="2:13" x14ac:dyDescent="0.2">
      <c r="B87" s="18" t="str">
        <f>IFERROR(INDEX('Detalles movimientos'!C$5:C$1000, MATCH(75, 'Detalles movimientos'!$Q$5:$Q$1000, 0)), "")</f>
        <v/>
      </c>
      <c r="C87" s="19" t="str">
        <f>IFERROR(INDEX('Detalles movimientos'!D$5:D$1000, MATCH(75, 'Detalles movimientos'!$Q$5:$Q$1000, 0)), "")</f>
        <v/>
      </c>
      <c r="D87" s="20" t="str">
        <f>IFERROR(INDEX('Detalles movimientos'!E$5:E$1000, MATCH(75, 'Detalles movimientos'!$Q$5:$Q$1000, 0)), "")</f>
        <v/>
      </c>
      <c r="E87" s="20" t="str">
        <f>IFERROR(INDEX('Detalles movimientos'!F$5:F$1000, MATCH(75, 'Detalles movimientos'!$Q$5:$Q$1000, 0)), "")</f>
        <v/>
      </c>
      <c r="F87" s="19" t="str">
        <f>IFERROR(INDEX('Detalles movimientos'!G$5:G$1000, MATCH(75, 'Detalles movimientos'!$Q$5:$Q$1000, 0)), "")</f>
        <v/>
      </c>
      <c r="G87" s="21" t="str">
        <f>IFERROR(INDEX('Detalles movimientos'!H$5:H$1000, MATCH(75, 'Detalles movimientos'!$Q$5:$Q$1000, 0)), "")</f>
        <v/>
      </c>
      <c r="H87" s="22" t="str">
        <f>IFERROR(INDEX('Detalles movimientos'!I$5:I$1000, MATCH(75, 'Detalles movimientos'!$Q$5:$Q$1000, 0)), "")</f>
        <v/>
      </c>
      <c r="I87" s="21" t="str">
        <f>IFERROR(INDEX('Detalles movimientos'!J$5:J$1000, MATCH(75, 'Detalles movimientos'!$Q$5:$Q$1000, 0)), "")</f>
        <v/>
      </c>
      <c r="J87" s="20" t="str">
        <f>IFERROR(INDEX('Detalles movimientos'!K$5:K$1000, MATCH(75, 'Detalles movimientos'!$Q$5:$Q$1000, 0)), "")</f>
        <v/>
      </c>
      <c r="K87" s="21" t="str">
        <f>IFERROR(INDEX('Detalles movimientos'!L$5:L$1000, MATCH(75, 'Detalles movimientos'!$Q$5:$Q$1000, 0)), "")</f>
        <v/>
      </c>
      <c r="L87" s="19" t="str">
        <f>IFERROR(INDEX('Detalles movimientos'!M$5:M$1000, MATCH(75, 'Detalles movimientos'!$Q$5:$Q$1000, 0)), "")</f>
        <v/>
      </c>
      <c r="M87" s="19" t="str">
        <f>IFERROR(INDEX('Detalles movimientos'!P$5:P$1000, MATCH(75, 'Detalles movimientos'!$Q$5:$Q$1000, 0)), "")</f>
        <v/>
      </c>
    </row>
    <row r="88" spans="2:13" x14ac:dyDescent="0.2">
      <c r="B88" s="18" t="str">
        <f>IFERROR(INDEX('Detalles movimientos'!C$5:C$1000, MATCH(76, 'Detalles movimientos'!$Q$5:$Q$1000, 0)), "")</f>
        <v/>
      </c>
      <c r="C88" s="19" t="str">
        <f>IFERROR(INDEX('Detalles movimientos'!D$5:D$1000, MATCH(76, 'Detalles movimientos'!$Q$5:$Q$1000, 0)), "")</f>
        <v/>
      </c>
      <c r="D88" s="20" t="str">
        <f>IFERROR(INDEX('Detalles movimientos'!E$5:E$1000, MATCH(76, 'Detalles movimientos'!$Q$5:$Q$1000, 0)), "")</f>
        <v/>
      </c>
      <c r="E88" s="20" t="str">
        <f>IFERROR(INDEX('Detalles movimientos'!F$5:F$1000, MATCH(76, 'Detalles movimientos'!$Q$5:$Q$1000, 0)), "")</f>
        <v/>
      </c>
      <c r="F88" s="19" t="str">
        <f>IFERROR(INDEX('Detalles movimientos'!G$5:G$1000, MATCH(76, 'Detalles movimientos'!$Q$5:$Q$1000, 0)), "")</f>
        <v/>
      </c>
      <c r="G88" s="21" t="str">
        <f>IFERROR(INDEX('Detalles movimientos'!H$5:H$1000, MATCH(76, 'Detalles movimientos'!$Q$5:$Q$1000, 0)), "")</f>
        <v/>
      </c>
      <c r="H88" s="22" t="str">
        <f>IFERROR(INDEX('Detalles movimientos'!I$5:I$1000, MATCH(76, 'Detalles movimientos'!$Q$5:$Q$1000, 0)), "")</f>
        <v/>
      </c>
      <c r="I88" s="21" t="str">
        <f>IFERROR(INDEX('Detalles movimientos'!J$5:J$1000, MATCH(76, 'Detalles movimientos'!$Q$5:$Q$1000, 0)), "")</f>
        <v/>
      </c>
      <c r="J88" s="20" t="str">
        <f>IFERROR(INDEX('Detalles movimientos'!K$5:K$1000, MATCH(76, 'Detalles movimientos'!$Q$5:$Q$1000, 0)), "")</f>
        <v/>
      </c>
      <c r="K88" s="21" t="str">
        <f>IFERROR(INDEX('Detalles movimientos'!L$5:L$1000, MATCH(76, 'Detalles movimientos'!$Q$5:$Q$1000, 0)), "")</f>
        <v/>
      </c>
      <c r="L88" s="19" t="str">
        <f>IFERROR(INDEX('Detalles movimientos'!M$5:M$1000, MATCH(76, 'Detalles movimientos'!$Q$5:$Q$1000, 0)), "")</f>
        <v/>
      </c>
      <c r="M88" s="19" t="str">
        <f>IFERROR(INDEX('Detalles movimientos'!P$5:P$1000, MATCH(76, 'Detalles movimientos'!$Q$5:$Q$1000, 0)), "")</f>
        <v/>
      </c>
    </row>
    <row r="89" spans="2:13" x14ac:dyDescent="0.2">
      <c r="B89" s="18" t="str">
        <f>IFERROR(INDEX('Detalles movimientos'!C$5:C$1000, MATCH(77, 'Detalles movimientos'!$Q$5:$Q$1000, 0)), "")</f>
        <v/>
      </c>
      <c r="C89" s="19" t="str">
        <f>IFERROR(INDEX('Detalles movimientos'!D$5:D$1000, MATCH(77, 'Detalles movimientos'!$Q$5:$Q$1000, 0)), "")</f>
        <v/>
      </c>
      <c r="D89" s="20" t="str">
        <f>IFERROR(INDEX('Detalles movimientos'!E$5:E$1000, MATCH(77, 'Detalles movimientos'!$Q$5:$Q$1000, 0)), "")</f>
        <v/>
      </c>
      <c r="E89" s="20" t="str">
        <f>IFERROR(INDEX('Detalles movimientos'!F$5:F$1000, MATCH(77, 'Detalles movimientos'!$Q$5:$Q$1000, 0)), "")</f>
        <v/>
      </c>
      <c r="F89" s="19" t="str">
        <f>IFERROR(INDEX('Detalles movimientos'!G$5:G$1000, MATCH(77, 'Detalles movimientos'!$Q$5:$Q$1000, 0)), "")</f>
        <v/>
      </c>
      <c r="G89" s="21" t="str">
        <f>IFERROR(INDEX('Detalles movimientos'!H$5:H$1000, MATCH(77, 'Detalles movimientos'!$Q$5:$Q$1000, 0)), "")</f>
        <v/>
      </c>
      <c r="H89" s="22" t="str">
        <f>IFERROR(INDEX('Detalles movimientos'!I$5:I$1000, MATCH(77, 'Detalles movimientos'!$Q$5:$Q$1000, 0)), "")</f>
        <v/>
      </c>
      <c r="I89" s="21" t="str">
        <f>IFERROR(INDEX('Detalles movimientos'!J$5:J$1000, MATCH(77, 'Detalles movimientos'!$Q$5:$Q$1000, 0)), "")</f>
        <v/>
      </c>
      <c r="J89" s="20" t="str">
        <f>IFERROR(INDEX('Detalles movimientos'!K$5:K$1000, MATCH(77, 'Detalles movimientos'!$Q$5:$Q$1000, 0)), "")</f>
        <v/>
      </c>
      <c r="K89" s="21" t="str">
        <f>IFERROR(INDEX('Detalles movimientos'!L$5:L$1000, MATCH(77, 'Detalles movimientos'!$Q$5:$Q$1000, 0)), "")</f>
        <v/>
      </c>
      <c r="L89" s="19" t="str">
        <f>IFERROR(INDEX('Detalles movimientos'!M$5:M$1000, MATCH(77, 'Detalles movimientos'!$Q$5:$Q$1000, 0)), "")</f>
        <v/>
      </c>
      <c r="M89" s="19" t="str">
        <f>IFERROR(INDEX('Detalles movimientos'!P$5:P$1000, MATCH(77, 'Detalles movimientos'!$Q$5:$Q$1000, 0)), "")</f>
        <v/>
      </c>
    </row>
    <row r="90" spans="2:13" x14ac:dyDescent="0.2">
      <c r="B90" s="18" t="str">
        <f>IFERROR(INDEX('Detalles movimientos'!C$5:C$1000, MATCH(78, 'Detalles movimientos'!$Q$5:$Q$1000, 0)), "")</f>
        <v/>
      </c>
      <c r="C90" s="19" t="str">
        <f>IFERROR(INDEX('Detalles movimientos'!D$5:D$1000, MATCH(78, 'Detalles movimientos'!$Q$5:$Q$1000, 0)), "")</f>
        <v/>
      </c>
      <c r="D90" s="20" t="str">
        <f>IFERROR(INDEX('Detalles movimientos'!E$5:E$1000, MATCH(78, 'Detalles movimientos'!$Q$5:$Q$1000, 0)), "")</f>
        <v/>
      </c>
      <c r="E90" s="20" t="str">
        <f>IFERROR(INDEX('Detalles movimientos'!F$5:F$1000, MATCH(78, 'Detalles movimientos'!$Q$5:$Q$1000, 0)), "")</f>
        <v/>
      </c>
      <c r="F90" s="19" t="str">
        <f>IFERROR(INDEX('Detalles movimientos'!G$5:G$1000, MATCH(78, 'Detalles movimientos'!$Q$5:$Q$1000, 0)), "")</f>
        <v/>
      </c>
      <c r="G90" s="21" t="str">
        <f>IFERROR(INDEX('Detalles movimientos'!H$5:H$1000, MATCH(78, 'Detalles movimientos'!$Q$5:$Q$1000, 0)), "")</f>
        <v/>
      </c>
      <c r="H90" s="22" t="str">
        <f>IFERROR(INDEX('Detalles movimientos'!I$5:I$1000, MATCH(78, 'Detalles movimientos'!$Q$5:$Q$1000, 0)), "")</f>
        <v/>
      </c>
      <c r="I90" s="21" t="str">
        <f>IFERROR(INDEX('Detalles movimientos'!J$5:J$1000, MATCH(78, 'Detalles movimientos'!$Q$5:$Q$1000, 0)), "")</f>
        <v/>
      </c>
      <c r="J90" s="20" t="str">
        <f>IFERROR(INDEX('Detalles movimientos'!K$5:K$1000, MATCH(78, 'Detalles movimientos'!$Q$5:$Q$1000, 0)), "")</f>
        <v/>
      </c>
      <c r="K90" s="21" t="str">
        <f>IFERROR(INDEX('Detalles movimientos'!L$5:L$1000, MATCH(78, 'Detalles movimientos'!$Q$5:$Q$1000, 0)), "")</f>
        <v/>
      </c>
      <c r="L90" s="19" t="str">
        <f>IFERROR(INDEX('Detalles movimientos'!M$5:M$1000, MATCH(78, 'Detalles movimientos'!$Q$5:$Q$1000, 0)), "")</f>
        <v/>
      </c>
      <c r="M90" s="19" t="str">
        <f>IFERROR(INDEX('Detalles movimientos'!P$5:P$1000, MATCH(78, 'Detalles movimientos'!$Q$5:$Q$1000, 0)), "")</f>
        <v/>
      </c>
    </row>
    <row r="91" spans="2:13" x14ac:dyDescent="0.2">
      <c r="B91" s="18" t="str">
        <f>IFERROR(INDEX('Detalles movimientos'!C$5:C$1000, MATCH(79, 'Detalles movimientos'!$Q$5:$Q$1000, 0)), "")</f>
        <v/>
      </c>
      <c r="C91" s="19" t="str">
        <f>IFERROR(INDEX('Detalles movimientos'!D$5:D$1000, MATCH(79, 'Detalles movimientos'!$Q$5:$Q$1000, 0)), "")</f>
        <v/>
      </c>
      <c r="D91" s="20" t="str">
        <f>IFERROR(INDEX('Detalles movimientos'!E$5:E$1000, MATCH(79, 'Detalles movimientos'!$Q$5:$Q$1000, 0)), "")</f>
        <v/>
      </c>
      <c r="E91" s="20" t="str">
        <f>IFERROR(INDEX('Detalles movimientos'!F$5:F$1000, MATCH(79, 'Detalles movimientos'!$Q$5:$Q$1000, 0)), "")</f>
        <v/>
      </c>
      <c r="F91" s="19" t="str">
        <f>IFERROR(INDEX('Detalles movimientos'!G$5:G$1000, MATCH(79, 'Detalles movimientos'!$Q$5:$Q$1000, 0)), "")</f>
        <v/>
      </c>
      <c r="G91" s="21" t="str">
        <f>IFERROR(INDEX('Detalles movimientos'!H$5:H$1000, MATCH(79, 'Detalles movimientos'!$Q$5:$Q$1000, 0)), "")</f>
        <v/>
      </c>
      <c r="H91" s="22" t="str">
        <f>IFERROR(INDEX('Detalles movimientos'!I$5:I$1000, MATCH(79, 'Detalles movimientos'!$Q$5:$Q$1000, 0)), "")</f>
        <v/>
      </c>
      <c r="I91" s="21" t="str">
        <f>IFERROR(INDEX('Detalles movimientos'!J$5:J$1000, MATCH(79, 'Detalles movimientos'!$Q$5:$Q$1000, 0)), "")</f>
        <v/>
      </c>
      <c r="J91" s="20" t="str">
        <f>IFERROR(INDEX('Detalles movimientos'!K$5:K$1000, MATCH(79, 'Detalles movimientos'!$Q$5:$Q$1000, 0)), "")</f>
        <v/>
      </c>
      <c r="K91" s="21" t="str">
        <f>IFERROR(INDEX('Detalles movimientos'!L$5:L$1000, MATCH(79, 'Detalles movimientos'!$Q$5:$Q$1000, 0)), "")</f>
        <v/>
      </c>
      <c r="L91" s="19" t="str">
        <f>IFERROR(INDEX('Detalles movimientos'!M$5:M$1000, MATCH(79, 'Detalles movimientos'!$Q$5:$Q$1000, 0)), "")</f>
        <v/>
      </c>
      <c r="M91" s="19" t="str">
        <f>IFERROR(INDEX('Detalles movimientos'!P$5:P$1000, MATCH(79, 'Detalles movimientos'!$Q$5:$Q$1000, 0)), "")</f>
        <v/>
      </c>
    </row>
    <row r="92" spans="2:13" x14ac:dyDescent="0.2">
      <c r="B92" s="18" t="str">
        <f>IFERROR(INDEX('Detalles movimientos'!C$5:C$1000, MATCH(80, 'Detalles movimientos'!$Q$5:$Q$1000, 0)), "")</f>
        <v/>
      </c>
      <c r="C92" s="19" t="str">
        <f>IFERROR(INDEX('Detalles movimientos'!D$5:D$1000, MATCH(80, 'Detalles movimientos'!$Q$5:$Q$1000, 0)), "")</f>
        <v/>
      </c>
      <c r="D92" s="20" t="str">
        <f>IFERROR(INDEX('Detalles movimientos'!E$5:E$1000, MATCH(80, 'Detalles movimientos'!$Q$5:$Q$1000, 0)), "")</f>
        <v/>
      </c>
      <c r="E92" s="20" t="str">
        <f>IFERROR(INDEX('Detalles movimientos'!F$5:F$1000, MATCH(80, 'Detalles movimientos'!$Q$5:$Q$1000, 0)), "")</f>
        <v/>
      </c>
      <c r="F92" s="19" t="str">
        <f>IFERROR(INDEX('Detalles movimientos'!G$5:G$1000, MATCH(80, 'Detalles movimientos'!$Q$5:$Q$1000, 0)), "")</f>
        <v/>
      </c>
      <c r="G92" s="21" t="str">
        <f>IFERROR(INDEX('Detalles movimientos'!H$5:H$1000, MATCH(80, 'Detalles movimientos'!$Q$5:$Q$1000, 0)), "")</f>
        <v/>
      </c>
      <c r="H92" s="22" t="str">
        <f>IFERROR(INDEX('Detalles movimientos'!I$5:I$1000, MATCH(80, 'Detalles movimientos'!$Q$5:$Q$1000, 0)), "")</f>
        <v/>
      </c>
      <c r="I92" s="21" t="str">
        <f>IFERROR(INDEX('Detalles movimientos'!J$5:J$1000, MATCH(80, 'Detalles movimientos'!$Q$5:$Q$1000, 0)), "")</f>
        <v/>
      </c>
      <c r="J92" s="20" t="str">
        <f>IFERROR(INDEX('Detalles movimientos'!K$5:K$1000, MATCH(80, 'Detalles movimientos'!$Q$5:$Q$1000, 0)), "")</f>
        <v/>
      </c>
      <c r="K92" s="21" t="str">
        <f>IFERROR(INDEX('Detalles movimientos'!L$5:L$1000, MATCH(80, 'Detalles movimientos'!$Q$5:$Q$1000, 0)), "")</f>
        <v/>
      </c>
      <c r="L92" s="19" t="str">
        <f>IFERROR(INDEX('Detalles movimientos'!M$5:M$1000, MATCH(80, 'Detalles movimientos'!$Q$5:$Q$1000, 0)), "")</f>
        <v/>
      </c>
      <c r="M92" s="19" t="str">
        <f>IFERROR(INDEX('Detalles movimientos'!P$5:P$1000, MATCH(80, 'Detalles movimientos'!$Q$5:$Q$1000, 0)), "")</f>
        <v/>
      </c>
    </row>
    <row r="93" spans="2:13" x14ac:dyDescent="0.2">
      <c r="B93" s="18" t="str">
        <f>IFERROR(INDEX('Detalles movimientos'!C$5:C$1000, MATCH(81, 'Detalles movimientos'!$Q$5:$Q$1000, 0)), "")</f>
        <v/>
      </c>
      <c r="C93" s="19" t="str">
        <f>IFERROR(INDEX('Detalles movimientos'!D$5:D$1000, MATCH(81, 'Detalles movimientos'!$Q$5:$Q$1000, 0)), "")</f>
        <v/>
      </c>
      <c r="D93" s="20" t="str">
        <f>IFERROR(INDEX('Detalles movimientos'!E$5:E$1000, MATCH(81, 'Detalles movimientos'!$Q$5:$Q$1000, 0)), "")</f>
        <v/>
      </c>
      <c r="E93" s="20" t="str">
        <f>IFERROR(INDEX('Detalles movimientos'!F$5:F$1000, MATCH(81, 'Detalles movimientos'!$Q$5:$Q$1000, 0)), "")</f>
        <v/>
      </c>
      <c r="F93" s="19" t="str">
        <f>IFERROR(INDEX('Detalles movimientos'!G$5:G$1000, MATCH(81, 'Detalles movimientos'!$Q$5:$Q$1000, 0)), "")</f>
        <v/>
      </c>
      <c r="G93" s="21" t="str">
        <f>IFERROR(INDEX('Detalles movimientos'!H$5:H$1000, MATCH(81, 'Detalles movimientos'!$Q$5:$Q$1000, 0)), "")</f>
        <v/>
      </c>
      <c r="H93" s="22" t="str">
        <f>IFERROR(INDEX('Detalles movimientos'!I$5:I$1000, MATCH(81, 'Detalles movimientos'!$Q$5:$Q$1000, 0)), "")</f>
        <v/>
      </c>
      <c r="I93" s="21" t="str">
        <f>IFERROR(INDEX('Detalles movimientos'!J$5:J$1000, MATCH(81, 'Detalles movimientos'!$Q$5:$Q$1000, 0)), "")</f>
        <v/>
      </c>
      <c r="J93" s="20" t="str">
        <f>IFERROR(INDEX('Detalles movimientos'!K$5:K$1000, MATCH(81, 'Detalles movimientos'!$Q$5:$Q$1000, 0)), "")</f>
        <v/>
      </c>
      <c r="K93" s="21" t="str">
        <f>IFERROR(INDEX('Detalles movimientos'!L$5:L$1000, MATCH(81, 'Detalles movimientos'!$Q$5:$Q$1000, 0)), "")</f>
        <v/>
      </c>
      <c r="L93" s="19" t="str">
        <f>IFERROR(INDEX('Detalles movimientos'!M$5:M$1000, MATCH(81, 'Detalles movimientos'!$Q$5:$Q$1000, 0)), "")</f>
        <v/>
      </c>
      <c r="M93" s="19" t="str">
        <f>IFERROR(INDEX('Detalles movimientos'!P$5:P$1000, MATCH(81, 'Detalles movimientos'!$Q$5:$Q$1000, 0)), "")</f>
        <v/>
      </c>
    </row>
    <row r="94" spans="2:13" x14ac:dyDescent="0.2">
      <c r="B94" s="18" t="str">
        <f>IFERROR(INDEX('Detalles movimientos'!C$5:C$1000, MATCH(82, 'Detalles movimientos'!$Q$5:$Q$1000, 0)), "")</f>
        <v/>
      </c>
      <c r="C94" s="19" t="str">
        <f>IFERROR(INDEX('Detalles movimientos'!D$5:D$1000, MATCH(82, 'Detalles movimientos'!$Q$5:$Q$1000, 0)), "")</f>
        <v/>
      </c>
      <c r="D94" s="20" t="str">
        <f>IFERROR(INDEX('Detalles movimientos'!E$5:E$1000, MATCH(82, 'Detalles movimientos'!$Q$5:$Q$1000, 0)), "")</f>
        <v/>
      </c>
      <c r="E94" s="20" t="str">
        <f>IFERROR(INDEX('Detalles movimientos'!F$5:F$1000, MATCH(82, 'Detalles movimientos'!$Q$5:$Q$1000, 0)), "")</f>
        <v/>
      </c>
      <c r="F94" s="19" t="str">
        <f>IFERROR(INDEX('Detalles movimientos'!G$5:G$1000, MATCH(82, 'Detalles movimientos'!$Q$5:$Q$1000, 0)), "")</f>
        <v/>
      </c>
      <c r="G94" s="21" t="str">
        <f>IFERROR(INDEX('Detalles movimientos'!H$5:H$1000, MATCH(82, 'Detalles movimientos'!$Q$5:$Q$1000, 0)), "")</f>
        <v/>
      </c>
      <c r="H94" s="22" t="str">
        <f>IFERROR(INDEX('Detalles movimientos'!I$5:I$1000, MATCH(82, 'Detalles movimientos'!$Q$5:$Q$1000, 0)), "")</f>
        <v/>
      </c>
      <c r="I94" s="21" t="str">
        <f>IFERROR(INDEX('Detalles movimientos'!J$5:J$1000, MATCH(82, 'Detalles movimientos'!$Q$5:$Q$1000, 0)), "")</f>
        <v/>
      </c>
      <c r="J94" s="20" t="str">
        <f>IFERROR(INDEX('Detalles movimientos'!K$5:K$1000, MATCH(82, 'Detalles movimientos'!$Q$5:$Q$1000, 0)), "")</f>
        <v/>
      </c>
      <c r="K94" s="21" t="str">
        <f>IFERROR(INDEX('Detalles movimientos'!L$5:L$1000, MATCH(82, 'Detalles movimientos'!$Q$5:$Q$1000, 0)), "")</f>
        <v/>
      </c>
      <c r="L94" s="19" t="str">
        <f>IFERROR(INDEX('Detalles movimientos'!M$5:M$1000, MATCH(82, 'Detalles movimientos'!$Q$5:$Q$1000, 0)), "")</f>
        <v/>
      </c>
      <c r="M94" s="19" t="str">
        <f>IFERROR(INDEX('Detalles movimientos'!P$5:P$1000, MATCH(82, 'Detalles movimientos'!$Q$5:$Q$1000, 0)), "")</f>
        <v/>
      </c>
    </row>
    <row r="95" spans="2:13" x14ac:dyDescent="0.2">
      <c r="B95" s="18" t="str">
        <f>IFERROR(INDEX('Detalles movimientos'!C$5:C$1000, MATCH(83, 'Detalles movimientos'!$Q$5:$Q$1000, 0)), "")</f>
        <v/>
      </c>
      <c r="C95" s="19" t="str">
        <f>IFERROR(INDEX('Detalles movimientos'!D$5:D$1000, MATCH(83, 'Detalles movimientos'!$Q$5:$Q$1000, 0)), "")</f>
        <v/>
      </c>
      <c r="D95" s="20" t="str">
        <f>IFERROR(INDEX('Detalles movimientos'!E$5:E$1000, MATCH(83, 'Detalles movimientos'!$Q$5:$Q$1000, 0)), "")</f>
        <v/>
      </c>
      <c r="E95" s="20" t="str">
        <f>IFERROR(INDEX('Detalles movimientos'!F$5:F$1000, MATCH(83, 'Detalles movimientos'!$Q$5:$Q$1000, 0)), "")</f>
        <v/>
      </c>
      <c r="F95" s="19" t="str">
        <f>IFERROR(INDEX('Detalles movimientos'!G$5:G$1000, MATCH(83, 'Detalles movimientos'!$Q$5:$Q$1000, 0)), "")</f>
        <v/>
      </c>
      <c r="G95" s="21" t="str">
        <f>IFERROR(INDEX('Detalles movimientos'!H$5:H$1000, MATCH(83, 'Detalles movimientos'!$Q$5:$Q$1000, 0)), "")</f>
        <v/>
      </c>
      <c r="H95" s="22" t="str">
        <f>IFERROR(INDEX('Detalles movimientos'!I$5:I$1000, MATCH(83, 'Detalles movimientos'!$Q$5:$Q$1000, 0)), "")</f>
        <v/>
      </c>
      <c r="I95" s="21" t="str">
        <f>IFERROR(INDEX('Detalles movimientos'!J$5:J$1000, MATCH(83, 'Detalles movimientos'!$Q$5:$Q$1000, 0)), "")</f>
        <v/>
      </c>
      <c r="J95" s="20" t="str">
        <f>IFERROR(INDEX('Detalles movimientos'!K$5:K$1000, MATCH(83, 'Detalles movimientos'!$Q$5:$Q$1000, 0)), "")</f>
        <v/>
      </c>
      <c r="K95" s="21" t="str">
        <f>IFERROR(INDEX('Detalles movimientos'!L$5:L$1000, MATCH(83, 'Detalles movimientos'!$Q$5:$Q$1000, 0)), "")</f>
        <v/>
      </c>
      <c r="L95" s="19" t="str">
        <f>IFERROR(INDEX('Detalles movimientos'!M$5:M$1000, MATCH(83, 'Detalles movimientos'!$Q$5:$Q$1000, 0)), "")</f>
        <v/>
      </c>
      <c r="M95" s="19" t="str">
        <f>IFERROR(INDEX('Detalles movimientos'!P$5:P$1000, MATCH(83, 'Detalles movimientos'!$Q$5:$Q$1000, 0)), "")</f>
        <v/>
      </c>
    </row>
    <row r="96" spans="2:13" x14ac:dyDescent="0.2">
      <c r="B96" s="18" t="str">
        <f>IFERROR(INDEX('Detalles movimientos'!C$5:C$1000, MATCH(84, 'Detalles movimientos'!$Q$5:$Q$1000, 0)), "")</f>
        <v/>
      </c>
      <c r="C96" s="19" t="str">
        <f>IFERROR(INDEX('Detalles movimientos'!D$5:D$1000, MATCH(84, 'Detalles movimientos'!$Q$5:$Q$1000, 0)), "")</f>
        <v/>
      </c>
      <c r="D96" s="20" t="str">
        <f>IFERROR(INDEX('Detalles movimientos'!E$5:E$1000, MATCH(84, 'Detalles movimientos'!$Q$5:$Q$1000, 0)), "")</f>
        <v/>
      </c>
      <c r="E96" s="20" t="str">
        <f>IFERROR(INDEX('Detalles movimientos'!F$5:F$1000, MATCH(84, 'Detalles movimientos'!$Q$5:$Q$1000, 0)), "")</f>
        <v/>
      </c>
      <c r="F96" s="19" t="str">
        <f>IFERROR(INDEX('Detalles movimientos'!G$5:G$1000, MATCH(84, 'Detalles movimientos'!$Q$5:$Q$1000, 0)), "")</f>
        <v/>
      </c>
      <c r="G96" s="21" t="str">
        <f>IFERROR(INDEX('Detalles movimientos'!H$5:H$1000, MATCH(84, 'Detalles movimientos'!$Q$5:$Q$1000, 0)), "")</f>
        <v/>
      </c>
      <c r="H96" s="22" t="str">
        <f>IFERROR(INDEX('Detalles movimientos'!I$5:I$1000, MATCH(84, 'Detalles movimientos'!$Q$5:$Q$1000, 0)), "")</f>
        <v/>
      </c>
      <c r="I96" s="21" t="str">
        <f>IFERROR(INDEX('Detalles movimientos'!J$5:J$1000, MATCH(84, 'Detalles movimientos'!$Q$5:$Q$1000, 0)), "")</f>
        <v/>
      </c>
      <c r="J96" s="20" t="str">
        <f>IFERROR(INDEX('Detalles movimientos'!K$5:K$1000, MATCH(84, 'Detalles movimientos'!$Q$5:$Q$1000, 0)), "")</f>
        <v/>
      </c>
      <c r="K96" s="21" t="str">
        <f>IFERROR(INDEX('Detalles movimientos'!L$5:L$1000, MATCH(84, 'Detalles movimientos'!$Q$5:$Q$1000, 0)), "")</f>
        <v/>
      </c>
      <c r="L96" s="19" t="str">
        <f>IFERROR(INDEX('Detalles movimientos'!M$5:M$1000, MATCH(84, 'Detalles movimientos'!$Q$5:$Q$1000, 0)), "")</f>
        <v/>
      </c>
      <c r="M96" s="19" t="str">
        <f>IFERROR(INDEX('Detalles movimientos'!P$5:P$1000, MATCH(84, 'Detalles movimientos'!$Q$5:$Q$1000, 0)), "")</f>
        <v/>
      </c>
    </row>
    <row r="97" spans="2:13" x14ac:dyDescent="0.2">
      <c r="B97" s="18" t="str">
        <f>IFERROR(INDEX('Detalles movimientos'!C$5:C$1000, MATCH(85, 'Detalles movimientos'!$Q$5:$Q$1000, 0)), "")</f>
        <v/>
      </c>
      <c r="C97" s="19" t="str">
        <f>IFERROR(INDEX('Detalles movimientos'!D$5:D$1000, MATCH(85, 'Detalles movimientos'!$Q$5:$Q$1000, 0)), "")</f>
        <v/>
      </c>
      <c r="D97" s="20" t="str">
        <f>IFERROR(INDEX('Detalles movimientos'!E$5:E$1000, MATCH(85, 'Detalles movimientos'!$Q$5:$Q$1000, 0)), "")</f>
        <v/>
      </c>
      <c r="E97" s="20" t="str">
        <f>IFERROR(INDEX('Detalles movimientos'!F$5:F$1000, MATCH(85, 'Detalles movimientos'!$Q$5:$Q$1000, 0)), "")</f>
        <v/>
      </c>
      <c r="F97" s="19" t="str">
        <f>IFERROR(INDEX('Detalles movimientos'!G$5:G$1000, MATCH(85, 'Detalles movimientos'!$Q$5:$Q$1000, 0)), "")</f>
        <v/>
      </c>
      <c r="G97" s="21" t="str">
        <f>IFERROR(INDEX('Detalles movimientos'!H$5:H$1000, MATCH(85, 'Detalles movimientos'!$Q$5:$Q$1000, 0)), "")</f>
        <v/>
      </c>
      <c r="H97" s="22" t="str">
        <f>IFERROR(INDEX('Detalles movimientos'!I$5:I$1000, MATCH(85, 'Detalles movimientos'!$Q$5:$Q$1000, 0)), "")</f>
        <v/>
      </c>
      <c r="I97" s="21" t="str">
        <f>IFERROR(INDEX('Detalles movimientos'!J$5:J$1000, MATCH(85, 'Detalles movimientos'!$Q$5:$Q$1000, 0)), "")</f>
        <v/>
      </c>
      <c r="J97" s="20" t="str">
        <f>IFERROR(INDEX('Detalles movimientos'!K$5:K$1000, MATCH(85, 'Detalles movimientos'!$Q$5:$Q$1000, 0)), "")</f>
        <v/>
      </c>
      <c r="K97" s="21" t="str">
        <f>IFERROR(INDEX('Detalles movimientos'!L$5:L$1000, MATCH(85, 'Detalles movimientos'!$Q$5:$Q$1000, 0)), "")</f>
        <v/>
      </c>
      <c r="L97" s="19" t="str">
        <f>IFERROR(INDEX('Detalles movimientos'!M$5:M$1000, MATCH(85, 'Detalles movimientos'!$Q$5:$Q$1000, 0)), "")</f>
        <v/>
      </c>
      <c r="M97" s="19" t="str">
        <f>IFERROR(INDEX('Detalles movimientos'!P$5:P$1000, MATCH(85, 'Detalles movimientos'!$Q$5:$Q$1000, 0)), "")</f>
        <v/>
      </c>
    </row>
    <row r="98" spans="2:13" x14ac:dyDescent="0.2">
      <c r="B98" s="18" t="str">
        <f>IFERROR(INDEX('Detalles movimientos'!C$5:C$1000, MATCH(86, 'Detalles movimientos'!$Q$5:$Q$1000, 0)), "")</f>
        <v/>
      </c>
      <c r="C98" s="19" t="str">
        <f>IFERROR(INDEX('Detalles movimientos'!D$5:D$1000, MATCH(86, 'Detalles movimientos'!$Q$5:$Q$1000, 0)), "")</f>
        <v/>
      </c>
      <c r="D98" s="20" t="str">
        <f>IFERROR(INDEX('Detalles movimientos'!E$5:E$1000, MATCH(86, 'Detalles movimientos'!$Q$5:$Q$1000, 0)), "")</f>
        <v/>
      </c>
      <c r="E98" s="20" t="str">
        <f>IFERROR(INDEX('Detalles movimientos'!F$5:F$1000, MATCH(86, 'Detalles movimientos'!$Q$5:$Q$1000, 0)), "")</f>
        <v/>
      </c>
      <c r="F98" s="19" t="str">
        <f>IFERROR(INDEX('Detalles movimientos'!G$5:G$1000, MATCH(86, 'Detalles movimientos'!$Q$5:$Q$1000, 0)), "")</f>
        <v/>
      </c>
      <c r="G98" s="21" t="str">
        <f>IFERROR(INDEX('Detalles movimientos'!H$5:H$1000, MATCH(86, 'Detalles movimientos'!$Q$5:$Q$1000, 0)), "")</f>
        <v/>
      </c>
      <c r="H98" s="22" t="str">
        <f>IFERROR(INDEX('Detalles movimientos'!I$5:I$1000, MATCH(86, 'Detalles movimientos'!$Q$5:$Q$1000, 0)), "")</f>
        <v/>
      </c>
      <c r="I98" s="21" t="str">
        <f>IFERROR(INDEX('Detalles movimientos'!J$5:J$1000, MATCH(86, 'Detalles movimientos'!$Q$5:$Q$1000, 0)), "")</f>
        <v/>
      </c>
      <c r="J98" s="20" t="str">
        <f>IFERROR(INDEX('Detalles movimientos'!K$5:K$1000, MATCH(86, 'Detalles movimientos'!$Q$5:$Q$1000, 0)), "")</f>
        <v/>
      </c>
      <c r="K98" s="21" t="str">
        <f>IFERROR(INDEX('Detalles movimientos'!L$5:L$1000, MATCH(86, 'Detalles movimientos'!$Q$5:$Q$1000, 0)), "")</f>
        <v/>
      </c>
      <c r="L98" s="19" t="str">
        <f>IFERROR(INDEX('Detalles movimientos'!M$5:M$1000, MATCH(86, 'Detalles movimientos'!$Q$5:$Q$1000, 0)), "")</f>
        <v/>
      </c>
      <c r="M98" s="19" t="str">
        <f>IFERROR(INDEX('Detalles movimientos'!P$5:P$1000, MATCH(86, 'Detalles movimientos'!$Q$5:$Q$1000, 0)), "")</f>
        <v/>
      </c>
    </row>
    <row r="99" spans="2:13" x14ac:dyDescent="0.2">
      <c r="B99" s="18" t="str">
        <f>IFERROR(INDEX('Detalles movimientos'!C$5:C$1000, MATCH(87, 'Detalles movimientos'!$Q$5:$Q$1000, 0)), "")</f>
        <v/>
      </c>
      <c r="C99" s="19" t="str">
        <f>IFERROR(INDEX('Detalles movimientos'!D$5:D$1000, MATCH(87, 'Detalles movimientos'!$Q$5:$Q$1000, 0)), "")</f>
        <v/>
      </c>
      <c r="D99" s="20" t="str">
        <f>IFERROR(INDEX('Detalles movimientos'!E$5:E$1000, MATCH(87, 'Detalles movimientos'!$Q$5:$Q$1000, 0)), "")</f>
        <v/>
      </c>
      <c r="E99" s="20" t="str">
        <f>IFERROR(INDEX('Detalles movimientos'!F$5:F$1000, MATCH(87, 'Detalles movimientos'!$Q$5:$Q$1000, 0)), "")</f>
        <v/>
      </c>
      <c r="F99" s="19" t="str">
        <f>IFERROR(INDEX('Detalles movimientos'!G$5:G$1000, MATCH(87, 'Detalles movimientos'!$Q$5:$Q$1000, 0)), "")</f>
        <v/>
      </c>
      <c r="G99" s="21" t="str">
        <f>IFERROR(INDEX('Detalles movimientos'!H$5:H$1000, MATCH(87, 'Detalles movimientos'!$Q$5:$Q$1000, 0)), "")</f>
        <v/>
      </c>
      <c r="H99" s="22" t="str">
        <f>IFERROR(INDEX('Detalles movimientos'!I$5:I$1000, MATCH(87, 'Detalles movimientos'!$Q$5:$Q$1000, 0)), "")</f>
        <v/>
      </c>
      <c r="I99" s="21" t="str">
        <f>IFERROR(INDEX('Detalles movimientos'!J$5:J$1000, MATCH(87, 'Detalles movimientos'!$Q$5:$Q$1000, 0)), "")</f>
        <v/>
      </c>
      <c r="J99" s="20" t="str">
        <f>IFERROR(INDEX('Detalles movimientos'!K$5:K$1000, MATCH(87, 'Detalles movimientos'!$Q$5:$Q$1000, 0)), "")</f>
        <v/>
      </c>
      <c r="K99" s="21" t="str">
        <f>IFERROR(INDEX('Detalles movimientos'!L$5:L$1000, MATCH(87, 'Detalles movimientos'!$Q$5:$Q$1000, 0)), "")</f>
        <v/>
      </c>
      <c r="L99" s="19" t="str">
        <f>IFERROR(INDEX('Detalles movimientos'!M$5:M$1000, MATCH(87, 'Detalles movimientos'!$Q$5:$Q$1000, 0)), "")</f>
        <v/>
      </c>
      <c r="M99" s="19" t="str">
        <f>IFERROR(INDEX('Detalles movimientos'!P$5:P$1000, MATCH(87, 'Detalles movimientos'!$Q$5:$Q$1000, 0)), "")</f>
        <v/>
      </c>
    </row>
    <row r="100" spans="2:13" x14ac:dyDescent="0.2">
      <c r="B100" s="18" t="str">
        <f>IFERROR(INDEX('Detalles movimientos'!C$5:C$1000, MATCH(88, 'Detalles movimientos'!$Q$5:$Q$1000, 0)), "")</f>
        <v/>
      </c>
      <c r="C100" s="19" t="str">
        <f>IFERROR(INDEX('Detalles movimientos'!D$5:D$1000, MATCH(88, 'Detalles movimientos'!$Q$5:$Q$1000, 0)), "")</f>
        <v/>
      </c>
      <c r="D100" s="20" t="str">
        <f>IFERROR(INDEX('Detalles movimientos'!E$5:E$1000, MATCH(88, 'Detalles movimientos'!$Q$5:$Q$1000, 0)), "")</f>
        <v/>
      </c>
      <c r="E100" s="20" t="str">
        <f>IFERROR(INDEX('Detalles movimientos'!F$5:F$1000, MATCH(88, 'Detalles movimientos'!$Q$5:$Q$1000, 0)), "")</f>
        <v/>
      </c>
      <c r="F100" s="19" t="str">
        <f>IFERROR(INDEX('Detalles movimientos'!G$5:G$1000, MATCH(88, 'Detalles movimientos'!$Q$5:$Q$1000, 0)), "")</f>
        <v/>
      </c>
      <c r="G100" s="21" t="str">
        <f>IFERROR(INDEX('Detalles movimientos'!H$5:H$1000, MATCH(88, 'Detalles movimientos'!$Q$5:$Q$1000, 0)), "")</f>
        <v/>
      </c>
      <c r="H100" s="22" t="str">
        <f>IFERROR(INDEX('Detalles movimientos'!I$5:I$1000, MATCH(88, 'Detalles movimientos'!$Q$5:$Q$1000, 0)), "")</f>
        <v/>
      </c>
      <c r="I100" s="21" t="str">
        <f>IFERROR(INDEX('Detalles movimientos'!J$5:J$1000, MATCH(88, 'Detalles movimientos'!$Q$5:$Q$1000, 0)), "")</f>
        <v/>
      </c>
      <c r="J100" s="20" t="str">
        <f>IFERROR(INDEX('Detalles movimientos'!K$5:K$1000, MATCH(88, 'Detalles movimientos'!$Q$5:$Q$1000, 0)), "")</f>
        <v/>
      </c>
      <c r="K100" s="21" t="str">
        <f>IFERROR(INDEX('Detalles movimientos'!L$5:L$1000, MATCH(88, 'Detalles movimientos'!$Q$5:$Q$1000, 0)), "")</f>
        <v/>
      </c>
      <c r="L100" s="19" t="str">
        <f>IFERROR(INDEX('Detalles movimientos'!M$5:M$1000, MATCH(88, 'Detalles movimientos'!$Q$5:$Q$1000, 0)), "")</f>
        <v/>
      </c>
      <c r="M100" s="19" t="str">
        <f>IFERROR(INDEX('Detalles movimientos'!P$5:P$1000, MATCH(88, 'Detalles movimientos'!$Q$5:$Q$1000, 0)), "")</f>
        <v/>
      </c>
    </row>
    <row r="101" spans="2:13" x14ac:dyDescent="0.2">
      <c r="B101" s="18" t="str">
        <f>IFERROR(INDEX('Detalles movimientos'!C$5:C$1000, MATCH(89, 'Detalles movimientos'!$Q$5:$Q$1000, 0)), "")</f>
        <v/>
      </c>
      <c r="C101" s="19" t="str">
        <f>IFERROR(INDEX('Detalles movimientos'!D$5:D$1000, MATCH(89, 'Detalles movimientos'!$Q$5:$Q$1000, 0)), "")</f>
        <v/>
      </c>
      <c r="D101" s="20" t="str">
        <f>IFERROR(INDEX('Detalles movimientos'!E$5:E$1000, MATCH(89, 'Detalles movimientos'!$Q$5:$Q$1000, 0)), "")</f>
        <v/>
      </c>
      <c r="E101" s="20" t="str">
        <f>IFERROR(INDEX('Detalles movimientos'!F$5:F$1000, MATCH(89, 'Detalles movimientos'!$Q$5:$Q$1000, 0)), "")</f>
        <v/>
      </c>
      <c r="F101" s="19" t="str">
        <f>IFERROR(INDEX('Detalles movimientos'!G$5:G$1000, MATCH(89, 'Detalles movimientos'!$Q$5:$Q$1000, 0)), "")</f>
        <v/>
      </c>
      <c r="G101" s="21" t="str">
        <f>IFERROR(INDEX('Detalles movimientos'!H$5:H$1000, MATCH(89, 'Detalles movimientos'!$Q$5:$Q$1000, 0)), "")</f>
        <v/>
      </c>
      <c r="H101" s="22" t="str">
        <f>IFERROR(INDEX('Detalles movimientos'!I$5:I$1000, MATCH(89, 'Detalles movimientos'!$Q$5:$Q$1000, 0)), "")</f>
        <v/>
      </c>
      <c r="I101" s="21" t="str">
        <f>IFERROR(INDEX('Detalles movimientos'!J$5:J$1000, MATCH(89, 'Detalles movimientos'!$Q$5:$Q$1000, 0)), "")</f>
        <v/>
      </c>
      <c r="J101" s="20" t="str">
        <f>IFERROR(INDEX('Detalles movimientos'!K$5:K$1000, MATCH(89, 'Detalles movimientos'!$Q$5:$Q$1000, 0)), "")</f>
        <v/>
      </c>
      <c r="K101" s="21" t="str">
        <f>IFERROR(INDEX('Detalles movimientos'!L$5:L$1000, MATCH(89, 'Detalles movimientos'!$Q$5:$Q$1000, 0)), "")</f>
        <v/>
      </c>
      <c r="L101" s="19" t="str">
        <f>IFERROR(INDEX('Detalles movimientos'!M$5:M$1000, MATCH(89, 'Detalles movimientos'!$Q$5:$Q$1000, 0)), "")</f>
        <v/>
      </c>
      <c r="M101" s="19" t="str">
        <f>IFERROR(INDEX('Detalles movimientos'!P$5:P$1000, MATCH(89, 'Detalles movimientos'!$Q$5:$Q$1000, 0)), "")</f>
        <v/>
      </c>
    </row>
    <row r="102" spans="2:13" x14ac:dyDescent="0.2">
      <c r="B102" s="18" t="str">
        <f>IFERROR(INDEX('Detalles movimientos'!C$5:C$1000, MATCH(90, 'Detalles movimientos'!$Q$5:$Q$1000, 0)), "")</f>
        <v/>
      </c>
      <c r="C102" s="19" t="str">
        <f>IFERROR(INDEX('Detalles movimientos'!D$5:D$1000, MATCH(90, 'Detalles movimientos'!$Q$5:$Q$1000, 0)), "")</f>
        <v/>
      </c>
      <c r="D102" s="20" t="str">
        <f>IFERROR(INDEX('Detalles movimientos'!E$5:E$1000, MATCH(90, 'Detalles movimientos'!$Q$5:$Q$1000, 0)), "")</f>
        <v/>
      </c>
      <c r="E102" s="20" t="str">
        <f>IFERROR(INDEX('Detalles movimientos'!F$5:F$1000, MATCH(90, 'Detalles movimientos'!$Q$5:$Q$1000, 0)), "")</f>
        <v/>
      </c>
      <c r="F102" s="19" t="str">
        <f>IFERROR(INDEX('Detalles movimientos'!G$5:G$1000, MATCH(90, 'Detalles movimientos'!$Q$5:$Q$1000, 0)), "")</f>
        <v/>
      </c>
      <c r="G102" s="21" t="str">
        <f>IFERROR(INDEX('Detalles movimientos'!H$5:H$1000, MATCH(90, 'Detalles movimientos'!$Q$5:$Q$1000, 0)), "")</f>
        <v/>
      </c>
      <c r="H102" s="22" t="str">
        <f>IFERROR(INDEX('Detalles movimientos'!I$5:I$1000, MATCH(90, 'Detalles movimientos'!$Q$5:$Q$1000, 0)), "")</f>
        <v/>
      </c>
      <c r="I102" s="21" t="str">
        <f>IFERROR(INDEX('Detalles movimientos'!J$5:J$1000, MATCH(90, 'Detalles movimientos'!$Q$5:$Q$1000, 0)), "")</f>
        <v/>
      </c>
      <c r="J102" s="20" t="str">
        <f>IFERROR(INDEX('Detalles movimientos'!K$5:K$1000, MATCH(90, 'Detalles movimientos'!$Q$5:$Q$1000, 0)), "")</f>
        <v/>
      </c>
      <c r="K102" s="21" t="str">
        <f>IFERROR(INDEX('Detalles movimientos'!L$5:L$1000, MATCH(90, 'Detalles movimientos'!$Q$5:$Q$1000, 0)), "")</f>
        <v/>
      </c>
      <c r="L102" s="19" t="str">
        <f>IFERROR(INDEX('Detalles movimientos'!M$5:M$1000, MATCH(90, 'Detalles movimientos'!$Q$5:$Q$1000, 0)), "")</f>
        <v/>
      </c>
      <c r="M102" s="19" t="str">
        <f>IFERROR(INDEX('Detalles movimientos'!P$5:P$1000, MATCH(90, 'Detalles movimientos'!$Q$5:$Q$1000, 0)), "")</f>
        <v/>
      </c>
    </row>
    <row r="103" spans="2:13" x14ac:dyDescent="0.2">
      <c r="B103" s="18" t="str">
        <f>IFERROR(INDEX('Detalles movimientos'!C$5:C$1000, MATCH(91, 'Detalles movimientos'!$Q$5:$Q$1000, 0)), "")</f>
        <v/>
      </c>
      <c r="C103" s="19" t="str">
        <f>IFERROR(INDEX('Detalles movimientos'!D$5:D$1000, MATCH(91, 'Detalles movimientos'!$Q$5:$Q$1000, 0)), "")</f>
        <v/>
      </c>
      <c r="D103" s="20" t="str">
        <f>IFERROR(INDEX('Detalles movimientos'!E$5:E$1000, MATCH(91, 'Detalles movimientos'!$Q$5:$Q$1000, 0)), "")</f>
        <v/>
      </c>
      <c r="E103" s="20" t="str">
        <f>IFERROR(INDEX('Detalles movimientos'!F$5:F$1000, MATCH(91, 'Detalles movimientos'!$Q$5:$Q$1000, 0)), "")</f>
        <v/>
      </c>
      <c r="F103" s="19" t="str">
        <f>IFERROR(INDEX('Detalles movimientos'!G$5:G$1000, MATCH(91, 'Detalles movimientos'!$Q$5:$Q$1000, 0)), "")</f>
        <v/>
      </c>
      <c r="G103" s="21" t="str">
        <f>IFERROR(INDEX('Detalles movimientos'!H$5:H$1000, MATCH(91, 'Detalles movimientos'!$Q$5:$Q$1000, 0)), "")</f>
        <v/>
      </c>
      <c r="H103" s="22" t="str">
        <f>IFERROR(INDEX('Detalles movimientos'!I$5:I$1000, MATCH(91, 'Detalles movimientos'!$Q$5:$Q$1000, 0)), "")</f>
        <v/>
      </c>
      <c r="I103" s="21" t="str">
        <f>IFERROR(INDEX('Detalles movimientos'!J$5:J$1000, MATCH(91, 'Detalles movimientos'!$Q$5:$Q$1000, 0)), "")</f>
        <v/>
      </c>
      <c r="J103" s="20" t="str">
        <f>IFERROR(INDEX('Detalles movimientos'!K$5:K$1000, MATCH(91, 'Detalles movimientos'!$Q$5:$Q$1000, 0)), "")</f>
        <v/>
      </c>
      <c r="K103" s="21" t="str">
        <f>IFERROR(INDEX('Detalles movimientos'!L$5:L$1000, MATCH(91, 'Detalles movimientos'!$Q$5:$Q$1000, 0)), "")</f>
        <v/>
      </c>
      <c r="L103" s="19" t="str">
        <f>IFERROR(INDEX('Detalles movimientos'!M$5:M$1000, MATCH(91, 'Detalles movimientos'!$Q$5:$Q$1000, 0)), "")</f>
        <v/>
      </c>
      <c r="M103" s="19" t="str">
        <f>IFERROR(INDEX('Detalles movimientos'!P$5:P$1000, MATCH(91, 'Detalles movimientos'!$Q$5:$Q$1000, 0)), "")</f>
        <v/>
      </c>
    </row>
    <row r="104" spans="2:13" x14ac:dyDescent="0.2">
      <c r="B104" s="18" t="str">
        <f>IFERROR(INDEX('Detalles movimientos'!C$5:C$1000, MATCH(92, 'Detalles movimientos'!$Q$5:$Q$1000, 0)), "")</f>
        <v/>
      </c>
      <c r="C104" s="19" t="str">
        <f>IFERROR(INDEX('Detalles movimientos'!D$5:D$1000, MATCH(92, 'Detalles movimientos'!$Q$5:$Q$1000, 0)), "")</f>
        <v/>
      </c>
      <c r="D104" s="20" t="str">
        <f>IFERROR(INDEX('Detalles movimientos'!E$5:E$1000, MATCH(92, 'Detalles movimientos'!$Q$5:$Q$1000, 0)), "")</f>
        <v/>
      </c>
      <c r="E104" s="20" t="str">
        <f>IFERROR(INDEX('Detalles movimientos'!F$5:F$1000, MATCH(92, 'Detalles movimientos'!$Q$5:$Q$1000, 0)), "")</f>
        <v/>
      </c>
      <c r="F104" s="19" t="str">
        <f>IFERROR(INDEX('Detalles movimientos'!G$5:G$1000, MATCH(92, 'Detalles movimientos'!$Q$5:$Q$1000, 0)), "")</f>
        <v/>
      </c>
      <c r="G104" s="21" t="str">
        <f>IFERROR(INDEX('Detalles movimientos'!H$5:H$1000, MATCH(92, 'Detalles movimientos'!$Q$5:$Q$1000, 0)), "")</f>
        <v/>
      </c>
      <c r="H104" s="22" t="str">
        <f>IFERROR(INDEX('Detalles movimientos'!I$5:I$1000, MATCH(92, 'Detalles movimientos'!$Q$5:$Q$1000, 0)), "")</f>
        <v/>
      </c>
      <c r="I104" s="21" t="str">
        <f>IFERROR(INDEX('Detalles movimientos'!J$5:J$1000, MATCH(92, 'Detalles movimientos'!$Q$5:$Q$1000, 0)), "")</f>
        <v/>
      </c>
      <c r="J104" s="20" t="str">
        <f>IFERROR(INDEX('Detalles movimientos'!K$5:K$1000, MATCH(92, 'Detalles movimientos'!$Q$5:$Q$1000, 0)), "")</f>
        <v/>
      </c>
      <c r="K104" s="21" t="str">
        <f>IFERROR(INDEX('Detalles movimientos'!L$5:L$1000, MATCH(92, 'Detalles movimientos'!$Q$5:$Q$1000, 0)), "")</f>
        <v/>
      </c>
      <c r="L104" s="19" t="str">
        <f>IFERROR(INDEX('Detalles movimientos'!M$5:M$1000, MATCH(92, 'Detalles movimientos'!$Q$5:$Q$1000, 0)), "")</f>
        <v/>
      </c>
      <c r="M104" s="19" t="str">
        <f>IFERROR(INDEX('Detalles movimientos'!P$5:P$1000, MATCH(92, 'Detalles movimientos'!$Q$5:$Q$1000, 0)), "")</f>
        <v/>
      </c>
    </row>
    <row r="105" spans="2:13" x14ac:dyDescent="0.2">
      <c r="B105" s="18" t="str">
        <f>IFERROR(INDEX('Detalles movimientos'!C$5:C$1000, MATCH(93, 'Detalles movimientos'!$Q$5:$Q$1000, 0)), "")</f>
        <v/>
      </c>
      <c r="C105" s="19" t="str">
        <f>IFERROR(INDEX('Detalles movimientos'!D$5:D$1000, MATCH(93, 'Detalles movimientos'!$Q$5:$Q$1000, 0)), "")</f>
        <v/>
      </c>
      <c r="D105" s="20" t="str">
        <f>IFERROR(INDEX('Detalles movimientos'!E$5:E$1000, MATCH(93, 'Detalles movimientos'!$Q$5:$Q$1000, 0)), "")</f>
        <v/>
      </c>
      <c r="E105" s="20" t="str">
        <f>IFERROR(INDEX('Detalles movimientos'!F$5:F$1000, MATCH(93, 'Detalles movimientos'!$Q$5:$Q$1000, 0)), "")</f>
        <v/>
      </c>
      <c r="F105" s="19" t="str">
        <f>IFERROR(INDEX('Detalles movimientos'!G$5:G$1000, MATCH(93, 'Detalles movimientos'!$Q$5:$Q$1000, 0)), "")</f>
        <v/>
      </c>
      <c r="G105" s="21" t="str">
        <f>IFERROR(INDEX('Detalles movimientos'!H$5:H$1000, MATCH(93, 'Detalles movimientos'!$Q$5:$Q$1000, 0)), "")</f>
        <v/>
      </c>
      <c r="H105" s="22" t="str">
        <f>IFERROR(INDEX('Detalles movimientos'!I$5:I$1000, MATCH(93, 'Detalles movimientos'!$Q$5:$Q$1000, 0)), "")</f>
        <v/>
      </c>
      <c r="I105" s="21" t="str">
        <f>IFERROR(INDEX('Detalles movimientos'!J$5:J$1000, MATCH(93, 'Detalles movimientos'!$Q$5:$Q$1000, 0)), "")</f>
        <v/>
      </c>
      <c r="J105" s="20" t="str">
        <f>IFERROR(INDEX('Detalles movimientos'!K$5:K$1000, MATCH(93, 'Detalles movimientos'!$Q$5:$Q$1000, 0)), "")</f>
        <v/>
      </c>
      <c r="K105" s="21" t="str">
        <f>IFERROR(INDEX('Detalles movimientos'!L$5:L$1000, MATCH(93, 'Detalles movimientos'!$Q$5:$Q$1000, 0)), "")</f>
        <v/>
      </c>
      <c r="L105" s="19" t="str">
        <f>IFERROR(INDEX('Detalles movimientos'!M$5:M$1000, MATCH(93, 'Detalles movimientos'!$Q$5:$Q$1000, 0)), "")</f>
        <v/>
      </c>
      <c r="M105" s="19" t="str">
        <f>IFERROR(INDEX('Detalles movimientos'!P$5:P$1000, MATCH(93, 'Detalles movimientos'!$Q$5:$Q$1000, 0)), "")</f>
        <v/>
      </c>
    </row>
    <row r="106" spans="2:13" x14ac:dyDescent="0.2">
      <c r="B106" s="18" t="str">
        <f>IFERROR(INDEX('Detalles movimientos'!C$5:C$1000, MATCH(94, 'Detalles movimientos'!$Q$5:$Q$1000, 0)), "")</f>
        <v/>
      </c>
      <c r="C106" s="19" t="str">
        <f>IFERROR(INDEX('Detalles movimientos'!D$5:D$1000, MATCH(94, 'Detalles movimientos'!$Q$5:$Q$1000, 0)), "")</f>
        <v/>
      </c>
      <c r="D106" s="20" t="str">
        <f>IFERROR(INDEX('Detalles movimientos'!E$5:E$1000, MATCH(94, 'Detalles movimientos'!$Q$5:$Q$1000, 0)), "")</f>
        <v/>
      </c>
      <c r="E106" s="20" t="str">
        <f>IFERROR(INDEX('Detalles movimientos'!F$5:F$1000, MATCH(94, 'Detalles movimientos'!$Q$5:$Q$1000, 0)), "")</f>
        <v/>
      </c>
      <c r="F106" s="19" t="str">
        <f>IFERROR(INDEX('Detalles movimientos'!G$5:G$1000, MATCH(94, 'Detalles movimientos'!$Q$5:$Q$1000, 0)), "")</f>
        <v/>
      </c>
      <c r="G106" s="21" t="str">
        <f>IFERROR(INDEX('Detalles movimientos'!H$5:H$1000, MATCH(94, 'Detalles movimientos'!$Q$5:$Q$1000, 0)), "")</f>
        <v/>
      </c>
      <c r="H106" s="22" t="str">
        <f>IFERROR(INDEX('Detalles movimientos'!I$5:I$1000, MATCH(94, 'Detalles movimientos'!$Q$5:$Q$1000, 0)), "")</f>
        <v/>
      </c>
      <c r="I106" s="21" t="str">
        <f>IFERROR(INDEX('Detalles movimientos'!J$5:J$1000, MATCH(94, 'Detalles movimientos'!$Q$5:$Q$1000, 0)), "")</f>
        <v/>
      </c>
      <c r="J106" s="20" t="str">
        <f>IFERROR(INDEX('Detalles movimientos'!K$5:K$1000, MATCH(94, 'Detalles movimientos'!$Q$5:$Q$1000, 0)), "")</f>
        <v/>
      </c>
      <c r="K106" s="21" t="str">
        <f>IFERROR(INDEX('Detalles movimientos'!L$5:L$1000, MATCH(94, 'Detalles movimientos'!$Q$5:$Q$1000, 0)), "")</f>
        <v/>
      </c>
      <c r="L106" s="19" t="str">
        <f>IFERROR(INDEX('Detalles movimientos'!M$5:M$1000, MATCH(94, 'Detalles movimientos'!$Q$5:$Q$1000, 0)), "")</f>
        <v/>
      </c>
      <c r="M106" s="19" t="str">
        <f>IFERROR(INDEX('Detalles movimientos'!P$5:P$1000, MATCH(94, 'Detalles movimientos'!$Q$5:$Q$1000, 0)), "")</f>
        <v/>
      </c>
    </row>
    <row r="107" spans="2:13" x14ac:dyDescent="0.2">
      <c r="B107" s="18" t="str">
        <f>IFERROR(INDEX('Detalles movimientos'!C$5:C$1000, MATCH(95, 'Detalles movimientos'!$Q$5:$Q$1000, 0)), "")</f>
        <v/>
      </c>
      <c r="C107" s="19" t="str">
        <f>IFERROR(INDEX('Detalles movimientos'!D$5:D$1000, MATCH(95, 'Detalles movimientos'!$Q$5:$Q$1000, 0)), "")</f>
        <v/>
      </c>
      <c r="D107" s="20" t="str">
        <f>IFERROR(INDEX('Detalles movimientos'!E$5:E$1000, MATCH(95, 'Detalles movimientos'!$Q$5:$Q$1000, 0)), "")</f>
        <v/>
      </c>
      <c r="E107" s="20" t="str">
        <f>IFERROR(INDEX('Detalles movimientos'!F$5:F$1000, MATCH(95, 'Detalles movimientos'!$Q$5:$Q$1000, 0)), "")</f>
        <v/>
      </c>
      <c r="F107" s="19" t="str">
        <f>IFERROR(INDEX('Detalles movimientos'!G$5:G$1000, MATCH(95, 'Detalles movimientos'!$Q$5:$Q$1000, 0)), "")</f>
        <v/>
      </c>
      <c r="G107" s="21" t="str">
        <f>IFERROR(INDEX('Detalles movimientos'!H$5:H$1000, MATCH(95, 'Detalles movimientos'!$Q$5:$Q$1000, 0)), "")</f>
        <v/>
      </c>
      <c r="H107" s="22" t="str">
        <f>IFERROR(INDEX('Detalles movimientos'!I$5:I$1000, MATCH(95, 'Detalles movimientos'!$Q$5:$Q$1000, 0)), "")</f>
        <v/>
      </c>
      <c r="I107" s="21" t="str">
        <f>IFERROR(INDEX('Detalles movimientos'!J$5:J$1000, MATCH(95, 'Detalles movimientos'!$Q$5:$Q$1000, 0)), "")</f>
        <v/>
      </c>
      <c r="J107" s="20" t="str">
        <f>IFERROR(INDEX('Detalles movimientos'!K$5:K$1000, MATCH(95, 'Detalles movimientos'!$Q$5:$Q$1000, 0)), "")</f>
        <v/>
      </c>
      <c r="K107" s="21" t="str">
        <f>IFERROR(INDEX('Detalles movimientos'!L$5:L$1000, MATCH(95, 'Detalles movimientos'!$Q$5:$Q$1000, 0)), "")</f>
        <v/>
      </c>
      <c r="L107" s="19" t="str">
        <f>IFERROR(INDEX('Detalles movimientos'!M$5:M$1000, MATCH(95, 'Detalles movimientos'!$Q$5:$Q$1000, 0)), "")</f>
        <v/>
      </c>
      <c r="M107" s="19" t="str">
        <f>IFERROR(INDEX('Detalles movimientos'!P$5:P$1000, MATCH(95, 'Detalles movimientos'!$Q$5:$Q$1000, 0)), "")</f>
        <v/>
      </c>
    </row>
    <row r="108" spans="2:13" x14ac:dyDescent="0.2">
      <c r="B108" s="18" t="str">
        <f>IFERROR(INDEX('Detalles movimientos'!C$5:C$1000, MATCH(96, 'Detalles movimientos'!$Q$5:$Q$1000, 0)), "")</f>
        <v/>
      </c>
      <c r="C108" s="19" t="str">
        <f>IFERROR(INDEX('Detalles movimientos'!D$5:D$1000, MATCH(96, 'Detalles movimientos'!$Q$5:$Q$1000, 0)), "")</f>
        <v/>
      </c>
      <c r="D108" s="20" t="str">
        <f>IFERROR(INDEX('Detalles movimientos'!E$5:E$1000, MATCH(96, 'Detalles movimientos'!$Q$5:$Q$1000, 0)), "")</f>
        <v/>
      </c>
      <c r="E108" s="20" t="str">
        <f>IFERROR(INDEX('Detalles movimientos'!F$5:F$1000, MATCH(96, 'Detalles movimientos'!$Q$5:$Q$1000, 0)), "")</f>
        <v/>
      </c>
      <c r="F108" s="19" t="str">
        <f>IFERROR(INDEX('Detalles movimientos'!G$5:G$1000, MATCH(96, 'Detalles movimientos'!$Q$5:$Q$1000, 0)), "")</f>
        <v/>
      </c>
      <c r="G108" s="21" t="str">
        <f>IFERROR(INDEX('Detalles movimientos'!H$5:H$1000, MATCH(96, 'Detalles movimientos'!$Q$5:$Q$1000, 0)), "")</f>
        <v/>
      </c>
      <c r="H108" s="22" t="str">
        <f>IFERROR(INDEX('Detalles movimientos'!I$5:I$1000, MATCH(96, 'Detalles movimientos'!$Q$5:$Q$1000, 0)), "")</f>
        <v/>
      </c>
      <c r="I108" s="21" t="str">
        <f>IFERROR(INDEX('Detalles movimientos'!J$5:J$1000, MATCH(96, 'Detalles movimientos'!$Q$5:$Q$1000, 0)), "")</f>
        <v/>
      </c>
      <c r="J108" s="20" t="str">
        <f>IFERROR(INDEX('Detalles movimientos'!K$5:K$1000, MATCH(96, 'Detalles movimientos'!$Q$5:$Q$1000, 0)), "")</f>
        <v/>
      </c>
      <c r="K108" s="21" t="str">
        <f>IFERROR(INDEX('Detalles movimientos'!L$5:L$1000, MATCH(96, 'Detalles movimientos'!$Q$5:$Q$1000, 0)), "")</f>
        <v/>
      </c>
      <c r="L108" s="19" t="str">
        <f>IFERROR(INDEX('Detalles movimientos'!M$5:M$1000, MATCH(96, 'Detalles movimientos'!$Q$5:$Q$1000, 0)), "")</f>
        <v/>
      </c>
      <c r="M108" s="19" t="str">
        <f>IFERROR(INDEX('Detalles movimientos'!P$5:P$1000, MATCH(96, 'Detalles movimientos'!$Q$5:$Q$1000, 0)), "")</f>
        <v/>
      </c>
    </row>
    <row r="109" spans="2:13" x14ac:dyDescent="0.2">
      <c r="B109" s="18" t="str">
        <f>IFERROR(INDEX('Detalles movimientos'!C$5:C$1000, MATCH(97, 'Detalles movimientos'!$Q$5:$Q$1000, 0)), "")</f>
        <v/>
      </c>
      <c r="C109" s="19" t="str">
        <f>IFERROR(INDEX('Detalles movimientos'!D$5:D$1000, MATCH(97, 'Detalles movimientos'!$Q$5:$Q$1000, 0)), "")</f>
        <v/>
      </c>
      <c r="D109" s="20" t="str">
        <f>IFERROR(INDEX('Detalles movimientos'!E$5:E$1000, MATCH(97, 'Detalles movimientos'!$Q$5:$Q$1000, 0)), "")</f>
        <v/>
      </c>
      <c r="E109" s="20" t="str">
        <f>IFERROR(INDEX('Detalles movimientos'!F$5:F$1000, MATCH(97, 'Detalles movimientos'!$Q$5:$Q$1000, 0)), "")</f>
        <v/>
      </c>
      <c r="F109" s="19" t="str">
        <f>IFERROR(INDEX('Detalles movimientos'!G$5:G$1000, MATCH(97, 'Detalles movimientos'!$Q$5:$Q$1000, 0)), "")</f>
        <v/>
      </c>
      <c r="G109" s="21" t="str">
        <f>IFERROR(INDEX('Detalles movimientos'!H$5:H$1000, MATCH(97, 'Detalles movimientos'!$Q$5:$Q$1000, 0)), "")</f>
        <v/>
      </c>
      <c r="H109" s="22" t="str">
        <f>IFERROR(INDEX('Detalles movimientos'!I$5:I$1000, MATCH(97, 'Detalles movimientos'!$Q$5:$Q$1000, 0)), "")</f>
        <v/>
      </c>
      <c r="I109" s="21" t="str">
        <f>IFERROR(INDEX('Detalles movimientos'!J$5:J$1000, MATCH(97, 'Detalles movimientos'!$Q$5:$Q$1000, 0)), "")</f>
        <v/>
      </c>
      <c r="J109" s="20" t="str">
        <f>IFERROR(INDEX('Detalles movimientos'!K$5:K$1000, MATCH(97, 'Detalles movimientos'!$Q$5:$Q$1000, 0)), "")</f>
        <v/>
      </c>
      <c r="K109" s="21" t="str">
        <f>IFERROR(INDEX('Detalles movimientos'!L$5:L$1000, MATCH(97, 'Detalles movimientos'!$Q$5:$Q$1000, 0)), "")</f>
        <v/>
      </c>
      <c r="L109" s="19" t="str">
        <f>IFERROR(INDEX('Detalles movimientos'!M$5:M$1000, MATCH(97, 'Detalles movimientos'!$Q$5:$Q$1000, 0)), "")</f>
        <v/>
      </c>
      <c r="M109" s="19" t="str">
        <f>IFERROR(INDEX('Detalles movimientos'!P$5:P$1000, MATCH(97, 'Detalles movimientos'!$Q$5:$Q$1000, 0)), "")</f>
        <v/>
      </c>
    </row>
    <row r="110" spans="2:13" x14ac:dyDescent="0.2">
      <c r="B110" s="18" t="str">
        <f>IFERROR(INDEX('Detalles movimientos'!C$5:C$1000, MATCH(98, 'Detalles movimientos'!$Q$5:$Q$1000, 0)), "")</f>
        <v/>
      </c>
      <c r="C110" s="19" t="str">
        <f>IFERROR(INDEX('Detalles movimientos'!D$5:D$1000, MATCH(98, 'Detalles movimientos'!$Q$5:$Q$1000, 0)), "")</f>
        <v/>
      </c>
      <c r="D110" s="20" t="str">
        <f>IFERROR(INDEX('Detalles movimientos'!E$5:E$1000, MATCH(98, 'Detalles movimientos'!$Q$5:$Q$1000, 0)), "")</f>
        <v/>
      </c>
      <c r="E110" s="20" t="str">
        <f>IFERROR(INDEX('Detalles movimientos'!F$5:F$1000, MATCH(98, 'Detalles movimientos'!$Q$5:$Q$1000, 0)), "")</f>
        <v/>
      </c>
      <c r="F110" s="19" t="str">
        <f>IFERROR(INDEX('Detalles movimientos'!G$5:G$1000, MATCH(98, 'Detalles movimientos'!$Q$5:$Q$1000, 0)), "")</f>
        <v/>
      </c>
      <c r="G110" s="21" t="str">
        <f>IFERROR(INDEX('Detalles movimientos'!H$5:H$1000, MATCH(98, 'Detalles movimientos'!$Q$5:$Q$1000, 0)), "")</f>
        <v/>
      </c>
      <c r="H110" s="22" t="str">
        <f>IFERROR(INDEX('Detalles movimientos'!I$5:I$1000, MATCH(98, 'Detalles movimientos'!$Q$5:$Q$1000, 0)), "")</f>
        <v/>
      </c>
      <c r="I110" s="21" t="str">
        <f>IFERROR(INDEX('Detalles movimientos'!J$5:J$1000, MATCH(98, 'Detalles movimientos'!$Q$5:$Q$1000, 0)), "")</f>
        <v/>
      </c>
      <c r="J110" s="20" t="str">
        <f>IFERROR(INDEX('Detalles movimientos'!K$5:K$1000, MATCH(98, 'Detalles movimientos'!$Q$5:$Q$1000, 0)), "")</f>
        <v/>
      </c>
      <c r="K110" s="21" t="str">
        <f>IFERROR(INDEX('Detalles movimientos'!L$5:L$1000, MATCH(98, 'Detalles movimientos'!$Q$5:$Q$1000, 0)), "")</f>
        <v/>
      </c>
      <c r="L110" s="19" t="str">
        <f>IFERROR(INDEX('Detalles movimientos'!M$5:M$1000, MATCH(98, 'Detalles movimientos'!$Q$5:$Q$1000, 0)), "")</f>
        <v/>
      </c>
      <c r="M110" s="19" t="str">
        <f>IFERROR(INDEX('Detalles movimientos'!P$5:P$1000, MATCH(98, 'Detalles movimientos'!$Q$5:$Q$1000, 0)), "")</f>
        <v/>
      </c>
    </row>
    <row r="111" spans="2:13" x14ac:dyDescent="0.2">
      <c r="B111" s="18" t="str">
        <f>IFERROR(INDEX('Detalles movimientos'!C$5:C$1000, MATCH(99, 'Detalles movimientos'!$Q$5:$Q$1000, 0)), "")</f>
        <v/>
      </c>
      <c r="C111" s="19" t="str">
        <f>IFERROR(INDEX('Detalles movimientos'!D$5:D$1000, MATCH(99, 'Detalles movimientos'!$Q$5:$Q$1000, 0)), "")</f>
        <v/>
      </c>
      <c r="D111" s="20" t="str">
        <f>IFERROR(INDEX('Detalles movimientos'!E$5:E$1000, MATCH(99, 'Detalles movimientos'!$Q$5:$Q$1000, 0)), "")</f>
        <v/>
      </c>
      <c r="E111" s="20" t="str">
        <f>IFERROR(INDEX('Detalles movimientos'!F$5:F$1000, MATCH(99, 'Detalles movimientos'!$Q$5:$Q$1000, 0)), "")</f>
        <v/>
      </c>
      <c r="F111" s="19" t="str">
        <f>IFERROR(INDEX('Detalles movimientos'!G$5:G$1000, MATCH(99, 'Detalles movimientos'!$Q$5:$Q$1000, 0)), "")</f>
        <v/>
      </c>
      <c r="G111" s="21" t="str">
        <f>IFERROR(INDEX('Detalles movimientos'!H$5:H$1000, MATCH(99, 'Detalles movimientos'!$Q$5:$Q$1000, 0)), "")</f>
        <v/>
      </c>
      <c r="H111" s="22" t="str">
        <f>IFERROR(INDEX('Detalles movimientos'!I$5:I$1000, MATCH(99, 'Detalles movimientos'!$Q$5:$Q$1000, 0)), "")</f>
        <v/>
      </c>
      <c r="I111" s="21" t="str">
        <f>IFERROR(INDEX('Detalles movimientos'!J$5:J$1000, MATCH(99, 'Detalles movimientos'!$Q$5:$Q$1000, 0)), "")</f>
        <v/>
      </c>
      <c r="J111" s="20" t="str">
        <f>IFERROR(INDEX('Detalles movimientos'!K$5:K$1000, MATCH(99, 'Detalles movimientos'!$Q$5:$Q$1000, 0)), "")</f>
        <v/>
      </c>
      <c r="K111" s="21" t="str">
        <f>IFERROR(INDEX('Detalles movimientos'!L$5:L$1000, MATCH(99, 'Detalles movimientos'!$Q$5:$Q$1000, 0)), "")</f>
        <v/>
      </c>
      <c r="L111" s="19" t="str">
        <f>IFERROR(INDEX('Detalles movimientos'!M$5:M$1000, MATCH(99, 'Detalles movimientos'!$Q$5:$Q$1000, 0)), "")</f>
        <v/>
      </c>
      <c r="M111" s="19" t="str">
        <f>IFERROR(INDEX('Detalles movimientos'!P$5:P$1000, MATCH(99, 'Detalles movimientos'!$Q$5:$Q$1000, 0)), "")</f>
        <v/>
      </c>
    </row>
    <row r="112" spans="2:13" x14ac:dyDescent="0.2">
      <c r="B112" s="18" t="str">
        <f>IFERROR(INDEX('Detalles movimientos'!C$5:C$1000, MATCH(100, 'Detalles movimientos'!$Q$5:$Q$1000, 0)), "")</f>
        <v/>
      </c>
      <c r="C112" s="19" t="str">
        <f>IFERROR(INDEX('Detalles movimientos'!D$5:D$1000, MATCH(100, 'Detalles movimientos'!$Q$5:$Q$1000, 0)), "")</f>
        <v/>
      </c>
      <c r="D112" s="20" t="str">
        <f>IFERROR(INDEX('Detalles movimientos'!E$5:E$1000, MATCH(100, 'Detalles movimientos'!$Q$5:$Q$1000, 0)), "")</f>
        <v/>
      </c>
      <c r="E112" s="20" t="str">
        <f>IFERROR(INDEX('Detalles movimientos'!F$5:F$1000, MATCH(100, 'Detalles movimientos'!$Q$5:$Q$1000, 0)), "")</f>
        <v/>
      </c>
      <c r="F112" s="19" t="str">
        <f>IFERROR(INDEX('Detalles movimientos'!G$5:G$1000, MATCH(100, 'Detalles movimientos'!$Q$5:$Q$1000, 0)), "")</f>
        <v/>
      </c>
      <c r="G112" s="21" t="str">
        <f>IFERROR(INDEX('Detalles movimientos'!H$5:H$1000, MATCH(100, 'Detalles movimientos'!$Q$5:$Q$1000, 0)), "")</f>
        <v/>
      </c>
      <c r="H112" s="22" t="str">
        <f>IFERROR(INDEX('Detalles movimientos'!I$5:I$1000, MATCH(100, 'Detalles movimientos'!$Q$5:$Q$1000, 0)), "")</f>
        <v/>
      </c>
      <c r="I112" s="21" t="str">
        <f>IFERROR(INDEX('Detalles movimientos'!J$5:J$1000, MATCH(100, 'Detalles movimientos'!$Q$5:$Q$1000, 0)), "")</f>
        <v/>
      </c>
      <c r="J112" s="20" t="str">
        <f>IFERROR(INDEX('Detalles movimientos'!K$5:K$1000, MATCH(100, 'Detalles movimientos'!$Q$5:$Q$1000, 0)), "")</f>
        <v/>
      </c>
      <c r="K112" s="21" t="str">
        <f>IFERROR(INDEX('Detalles movimientos'!L$5:L$1000, MATCH(100, 'Detalles movimientos'!$Q$5:$Q$1000, 0)), "")</f>
        <v/>
      </c>
      <c r="L112" s="19" t="str">
        <f>IFERROR(INDEX('Detalles movimientos'!M$5:M$1000, MATCH(100, 'Detalles movimientos'!$Q$5:$Q$1000, 0)), "")</f>
        <v/>
      </c>
      <c r="M112" s="19" t="str">
        <f>IFERROR(INDEX('Detalles movimientos'!P$5:P$1000, MATCH(100, 'Detalles movimientos'!$Q$5:$Q$1000, 0)), "")</f>
        <v/>
      </c>
    </row>
    <row r="113" spans="2:13" x14ac:dyDescent="0.2">
      <c r="B113" s="18" t="str">
        <f>IFERROR(INDEX('Detalles movimientos'!C$5:C$1000, MATCH(101, 'Detalles movimientos'!$Q$5:$Q$1000, 0)), "")</f>
        <v/>
      </c>
      <c r="C113" s="19" t="str">
        <f>IFERROR(INDEX('Detalles movimientos'!D$5:D$1000, MATCH(101, 'Detalles movimientos'!$Q$5:$Q$1000, 0)), "")</f>
        <v/>
      </c>
      <c r="D113" s="20" t="str">
        <f>IFERROR(INDEX('Detalles movimientos'!E$5:E$1000, MATCH(101, 'Detalles movimientos'!$Q$5:$Q$1000, 0)), "")</f>
        <v/>
      </c>
      <c r="E113" s="20" t="str">
        <f>IFERROR(INDEX('Detalles movimientos'!F$5:F$1000, MATCH(101, 'Detalles movimientos'!$Q$5:$Q$1000, 0)), "")</f>
        <v/>
      </c>
      <c r="F113" s="19" t="str">
        <f>IFERROR(INDEX('Detalles movimientos'!G$5:G$1000, MATCH(101, 'Detalles movimientos'!$Q$5:$Q$1000, 0)), "")</f>
        <v/>
      </c>
      <c r="G113" s="21" t="str">
        <f>IFERROR(INDEX('Detalles movimientos'!H$5:H$1000, MATCH(101, 'Detalles movimientos'!$Q$5:$Q$1000, 0)), "")</f>
        <v/>
      </c>
      <c r="H113" s="22" t="str">
        <f>IFERROR(INDEX('Detalles movimientos'!I$5:I$1000, MATCH(101, 'Detalles movimientos'!$Q$5:$Q$1000, 0)), "")</f>
        <v/>
      </c>
      <c r="I113" s="21" t="str">
        <f>IFERROR(INDEX('Detalles movimientos'!J$5:J$1000, MATCH(101, 'Detalles movimientos'!$Q$5:$Q$1000, 0)), "")</f>
        <v/>
      </c>
      <c r="J113" s="20" t="str">
        <f>IFERROR(INDEX('Detalles movimientos'!K$5:K$1000, MATCH(101, 'Detalles movimientos'!$Q$5:$Q$1000, 0)), "")</f>
        <v/>
      </c>
      <c r="K113" s="21" t="str">
        <f>IFERROR(INDEX('Detalles movimientos'!L$5:L$1000, MATCH(101, 'Detalles movimientos'!$Q$5:$Q$1000, 0)), "")</f>
        <v/>
      </c>
      <c r="L113" s="19" t="str">
        <f>IFERROR(INDEX('Detalles movimientos'!M$5:M$1000, MATCH(101, 'Detalles movimientos'!$Q$5:$Q$1000, 0)), "")</f>
        <v/>
      </c>
      <c r="M113" s="19" t="str">
        <f>IFERROR(INDEX('Detalles movimientos'!P$5:P$1000, MATCH(101, 'Detalles movimientos'!$Q$5:$Q$1000, 0)), "")</f>
        <v/>
      </c>
    </row>
    <row r="114" spans="2:13" x14ac:dyDescent="0.2">
      <c r="B114" s="18" t="str">
        <f>IFERROR(INDEX('Detalles movimientos'!C$5:C$1000, MATCH(102, 'Detalles movimientos'!$Q$5:$Q$1000, 0)), "")</f>
        <v/>
      </c>
      <c r="C114" s="19" t="str">
        <f>IFERROR(INDEX('Detalles movimientos'!D$5:D$1000, MATCH(102, 'Detalles movimientos'!$Q$5:$Q$1000, 0)), "")</f>
        <v/>
      </c>
      <c r="D114" s="20" t="str">
        <f>IFERROR(INDEX('Detalles movimientos'!E$5:E$1000, MATCH(102, 'Detalles movimientos'!$Q$5:$Q$1000, 0)), "")</f>
        <v/>
      </c>
      <c r="E114" s="20" t="str">
        <f>IFERROR(INDEX('Detalles movimientos'!F$5:F$1000, MATCH(102, 'Detalles movimientos'!$Q$5:$Q$1000, 0)), "")</f>
        <v/>
      </c>
      <c r="F114" s="19" t="str">
        <f>IFERROR(INDEX('Detalles movimientos'!G$5:G$1000, MATCH(102, 'Detalles movimientos'!$Q$5:$Q$1000, 0)), "")</f>
        <v/>
      </c>
      <c r="G114" s="21" t="str">
        <f>IFERROR(INDEX('Detalles movimientos'!H$5:H$1000, MATCH(102, 'Detalles movimientos'!$Q$5:$Q$1000, 0)), "")</f>
        <v/>
      </c>
      <c r="H114" s="22" t="str">
        <f>IFERROR(INDEX('Detalles movimientos'!I$5:I$1000, MATCH(102, 'Detalles movimientos'!$Q$5:$Q$1000, 0)), "")</f>
        <v/>
      </c>
      <c r="I114" s="21" t="str">
        <f>IFERROR(INDEX('Detalles movimientos'!J$5:J$1000, MATCH(102, 'Detalles movimientos'!$Q$5:$Q$1000, 0)), "")</f>
        <v/>
      </c>
      <c r="J114" s="20" t="str">
        <f>IFERROR(INDEX('Detalles movimientos'!K$5:K$1000, MATCH(102, 'Detalles movimientos'!$Q$5:$Q$1000, 0)), "")</f>
        <v/>
      </c>
      <c r="K114" s="21" t="str">
        <f>IFERROR(INDEX('Detalles movimientos'!L$5:L$1000, MATCH(102, 'Detalles movimientos'!$Q$5:$Q$1000, 0)), "")</f>
        <v/>
      </c>
      <c r="L114" s="19" t="str">
        <f>IFERROR(INDEX('Detalles movimientos'!M$5:M$1000, MATCH(102, 'Detalles movimientos'!$Q$5:$Q$1000, 0)), "")</f>
        <v/>
      </c>
      <c r="M114" s="19" t="str">
        <f>IFERROR(INDEX('Detalles movimientos'!P$5:P$1000, MATCH(102, 'Detalles movimientos'!$Q$5:$Q$1000, 0)), "")</f>
        <v/>
      </c>
    </row>
    <row r="115" spans="2:13" x14ac:dyDescent="0.2">
      <c r="B115" s="18" t="str">
        <f>IFERROR(INDEX('Detalles movimientos'!C$5:C$1000, MATCH(103, 'Detalles movimientos'!$Q$5:$Q$1000, 0)), "")</f>
        <v/>
      </c>
      <c r="C115" s="19" t="str">
        <f>IFERROR(INDEX('Detalles movimientos'!D$5:D$1000, MATCH(103, 'Detalles movimientos'!$Q$5:$Q$1000, 0)), "")</f>
        <v/>
      </c>
      <c r="D115" s="20" t="str">
        <f>IFERROR(INDEX('Detalles movimientos'!E$5:E$1000, MATCH(103, 'Detalles movimientos'!$Q$5:$Q$1000, 0)), "")</f>
        <v/>
      </c>
      <c r="E115" s="20" t="str">
        <f>IFERROR(INDEX('Detalles movimientos'!F$5:F$1000, MATCH(103, 'Detalles movimientos'!$Q$5:$Q$1000, 0)), "")</f>
        <v/>
      </c>
      <c r="F115" s="19" t="str">
        <f>IFERROR(INDEX('Detalles movimientos'!G$5:G$1000, MATCH(103, 'Detalles movimientos'!$Q$5:$Q$1000, 0)), "")</f>
        <v/>
      </c>
      <c r="G115" s="21" t="str">
        <f>IFERROR(INDEX('Detalles movimientos'!H$5:H$1000, MATCH(103, 'Detalles movimientos'!$Q$5:$Q$1000, 0)), "")</f>
        <v/>
      </c>
      <c r="H115" s="22" t="str">
        <f>IFERROR(INDEX('Detalles movimientos'!I$5:I$1000, MATCH(103, 'Detalles movimientos'!$Q$5:$Q$1000, 0)), "")</f>
        <v/>
      </c>
      <c r="I115" s="21" t="str">
        <f>IFERROR(INDEX('Detalles movimientos'!J$5:J$1000, MATCH(103, 'Detalles movimientos'!$Q$5:$Q$1000, 0)), "")</f>
        <v/>
      </c>
      <c r="J115" s="20" t="str">
        <f>IFERROR(INDEX('Detalles movimientos'!K$5:K$1000, MATCH(103, 'Detalles movimientos'!$Q$5:$Q$1000, 0)), "")</f>
        <v/>
      </c>
      <c r="K115" s="21" t="str">
        <f>IFERROR(INDEX('Detalles movimientos'!L$5:L$1000, MATCH(103, 'Detalles movimientos'!$Q$5:$Q$1000, 0)), "")</f>
        <v/>
      </c>
      <c r="L115" s="19" t="str">
        <f>IFERROR(INDEX('Detalles movimientos'!M$5:M$1000, MATCH(103, 'Detalles movimientos'!$Q$5:$Q$1000, 0)), "")</f>
        <v/>
      </c>
      <c r="M115" s="19" t="str">
        <f>IFERROR(INDEX('Detalles movimientos'!P$5:P$1000, MATCH(103, 'Detalles movimientos'!$Q$5:$Q$1000, 0)), "")</f>
        <v/>
      </c>
    </row>
    <row r="116" spans="2:13" x14ac:dyDescent="0.2">
      <c r="B116" s="18" t="str">
        <f>IFERROR(INDEX('Detalles movimientos'!C$5:C$1000, MATCH(104, 'Detalles movimientos'!$Q$5:$Q$1000, 0)), "")</f>
        <v/>
      </c>
      <c r="C116" s="19" t="str">
        <f>IFERROR(INDEX('Detalles movimientos'!D$5:D$1000, MATCH(104, 'Detalles movimientos'!$Q$5:$Q$1000, 0)), "")</f>
        <v/>
      </c>
      <c r="D116" s="20" t="str">
        <f>IFERROR(INDEX('Detalles movimientos'!E$5:E$1000, MATCH(104, 'Detalles movimientos'!$Q$5:$Q$1000, 0)), "")</f>
        <v/>
      </c>
      <c r="E116" s="20" t="str">
        <f>IFERROR(INDEX('Detalles movimientos'!F$5:F$1000, MATCH(104, 'Detalles movimientos'!$Q$5:$Q$1000, 0)), "")</f>
        <v/>
      </c>
      <c r="F116" s="19" t="str">
        <f>IFERROR(INDEX('Detalles movimientos'!G$5:G$1000, MATCH(104, 'Detalles movimientos'!$Q$5:$Q$1000, 0)), "")</f>
        <v/>
      </c>
      <c r="G116" s="21" t="str">
        <f>IFERROR(INDEX('Detalles movimientos'!H$5:H$1000, MATCH(104, 'Detalles movimientos'!$Q$5:$Q$1000, 0)), "")</f>
        <v/>
      </c>
      <c r="H116" s="22" t="str">
        <f>IFERROR(INDEX('Detalles movimientos'!I$5:I$1000, MATCH(104, 'Detalles movimientos'!$Q$5:$Q$1000, 0)), "")</f>
        <v/>
      </c>
      <c r="I116" s="21" t="str">
        <f>IFERROR(INDEX('Detalles movimientos'!J$5:J$1000, MATCH(104, 'Detalles movimientos'!$Q$5:$Q$1000, 0)), "")</f>
        <v/>
      </c>
      <c r="J116" s="20" t="str">
        <f>IFERROR(INDEX('Detalles movimientos'!K$5:K$1000, MATCH(104, 'Detalles movimientos'!$Q$5:$Q$1000, 0)), "")</f>
        <v/>
      </c>
      <c r="K116" s="21" t="str">
        <f>IFERROR(INDEX('Detalles movimientos'!L$5:L$1000, MATCH(104, 'Detalles movimientos'!$Q$5:$Q$1000, 0)), "")</f>
        <v/>
      </c>
      <c r="L116" s="19" t="str">
        <f>IFERROR(INDEX('Detalles movimientos'!M$5:M$1000, MATCH(104, 'Detalles movimientos'!$Q$5:$Q$1000, 0)), "")</f>
        <v/>
      </c>
      <c r="M116" s="19" t="str">
        <f>IFERROR(INDEX('Detalles movimientos'!P$5:P$1000, MATCH(104, 'Detalles movimientos'!$Q$5:$Q$1000, 0)), "")</f>
        <v/>
      </c>
    </row>
    <row r="117" spans="2:13" x14ac:dyDescent="0.2">
      <c r="B117" s="18" t="str">
        <f>IFERROR(INDEX('Detalles movimientos'!C$5:C$1000, MATCH(105, 'Detalles movimientos'!$Q$5:$Q$1000, 0)), "")</f>
        <v/>
      </c>
      <c r="C117" s="19" t="str">
        <f>IFERROR(INDEX('Detalles movimientos'!D$5:D$1000, MATCH(105, 'Detalles movimientos'!$Q$5:$Q$1000, 0)), "")</f>
        <v/>
      </c>
      <c r="D117" s="20" t="str">
        <f>IFERROR(INDEX('Detalles movimientos'!E$5:E$1000, MATCH(105, 'Detalles movimientos'!$Q$5:$Q$1000, 0)), "")</f>
        <v/>
      </c>
      <c r="E117" s="20" t="str">
        <f>IFERROR(INDEX('Detalles movimientos'!F$5:F$1000, MATCH(105, 'Detalles movimientos'!$Q$5:$Q$1000, 0)), "")</f>
        <v/>
      </c>
      <c r="F117" s="19" t="str">
        <f>IFERROR(INDEX('Detalles movimientos'!G$5:G$1000, MATCH(105, 'Detalles movimientos'!$Q$5:$Q$1000, 0)), "")</f>
        <v/>
      </c>
      <c r="G117" s="21" t="str">
        <f>IFERROR(INDEX('Detalles movimientos'!H$5:H$1000, MATCH(105, 'Detalles movimientos'!$Q$5:$Q$1000, 0)), "")</f>
        <v/>
      </c>
      <c r="H117" s="22" t="str">
        <f>IFERROR(INDEX('Detalles movimientos'!I$5:I$1000, MATCH(105, 'Detalles movimientos'!$Q$5:$Q$1000, 0)), "")</f>
        <v/>
      </c>
      <c r="I117" s="21" t="str">
        <f>IFERROR(INDEX('Detalles movimientos'!J$5:J$1000, MATCH(105, 'Detalles movimientos'!$Q$5:$Q$1000, 0)), "")</f>
        <v/>
      </c>
      <c r="J117" s="20" t="str">
        <f>IFERROR(INDEX('Detalles movimientos'!K$5:K$1000, MATCH(105, 'Detalles movimientos'!$Q$5:$Q$1000, 0)), "")</f>
        <v/>
      </c>
      <c r="K117" s="21" t="str">
        <f>IFERROR(INDEX('Detalles movimientos'!L$5:L$1000, MATCH(105, 'Detalles movimientos'!$Q$5:$Q$1000, 0)), "")</f>
        <v/>
      </c>
      <c r="L117" s="19" t="str">
        <f>IFERROR(INDEX('Detalles movimientos'!M$5:M$1000, MATCH(105, 'Detalles movimientos'!$Q$5:$Q$1000, 0)), "")</f>
        <v/>
      </c>
      <c r="M117" s="19" t="str">
        <f>IFERROR(INDEX('Detalles movimientos'!P$5:P$1000, MATCH(105, 'Detalles movimientos'!$Q$5:$Q$1000, 0)), "")</f>
        <v/>
      </c>
    </row>
    <row r="118" spans="2:13" x14ac:dyDescent="0.2">
      <c r="B118" s="18" t="str">
        <f>IFERROR(INDEX('Detalles movimientos'!C$5:C$1000, MATCH(106, 'Detalles movimientos'!$Q$5:$Q$1000, 0)), "")</f>
        <v/>
      </c>
      <c r="C118" s="19" t="str">
        <f>IFERROR(INDEX('Detalles movimientos'!D$5:D$1000, MATCH(106, 'Detalles movimientos'!$Q$5:$Q$1000, 0)), "")</f>
        <v/>
      </c>
      <c r="D118" s="20" t="str">
        <f>IFERROR(INDEX('Detalles movimientos'!E$5:E$1000, MATCH(106, 'Detalles movimientos'!$Q$5:$Q$1000, 0)), "")</f>
        <v/>
      </c>
      <c r="E118" s="20" t="str">
        <f>IFERROR(INDEX('Detalles movimientos'!F$5:F$1000, MATCH(106, 'Detalles movimientos'!$Q$5:$Q$1000, 0)), "")</f>
        <v/>
      </c>
      <c r="F118" s="19" t="str">
        <f>IFERROR(INDEX('Detalles movimientos'!G$5:G$1000, MATCH(106, 'Detalles movimientos'!$Q$5:$Q$1000, 0)), "")</f>
        <v/>
      </c>
      <c r="G118" s="21" t="str">
        <f>IFERROR(INDEX('Detalles movimientos'!H$5:H$1000, MATCH(106, 'Detalles movimientos'!$Q$5:$Q$1000, 0)), "")</f>
        <v/>
      </c>
      <c r="H118" s="22" t="str">
        <f>IFERROR(INDEX('Detalles movimientos'!I$5:I$1000, MATCH(106, 'Detalles movimientos'!$Q$5:$Q$1000, 0)), "")</f>
        <v/>
      </c>
      <c r="I118" s="21" t="str">
        <f>IFERROR(INDEX('Detalles movimientos'!J$5:J$1000, MATCH(106, 'Detalles movimientos'!$Q$5:$Q$1000, 0)), "")</f>
        <v/>
      </c>
      <c r="J118" s="20" t="str">
        <f>IFERROR(INDEX('Detalles movimientos'!K$5:K$1000, MATCH(106, 'Detalles movimientos'!$Q$5:$Q$1000, 0)), "")</f>
        <v/>
      </c>
      <c r="K118" s="21" t="str">
        <f>IFERROR(INDEX('Detalles movimientos'!L$5:L$1000, MATCH(106, 'Detalles movimientos'!$Q$5:$Q$1000, 0)), "")</f>
        <v/>
      </c>
      <c r="L118" s="19" t="str">
        <f>IFERROR(INDEX('Detalles movimientos'!M$5:M$1000, MATCH(106, 'Detalles movimientos'!$Q$5:$Q$1000, 0)), "")</f>
        <v/>
      </c>
      <c r="M118" s="19" t="str">
        <f>IFERROR(INDEX('Detalles movimientos'!P$5:P$1000, MATCH(106, 'Detalles movimientos'!$Q$5:$Q$1000, 0)), "")</f>
        <v/>
      </c>
    </row>
    <row r="119" spans="2:13" x14ac:dyDescent="0.2">
      <c r="B119" s="18" t="str">
        <f>IFERROR(INDEX('Detalles movimientos'!C$5:C$1000, MATCH(107, 'Detalles movimientos'!$Q$5:$Q$1000, 0)), "")</f>
        <v/>
      </c>
      <c r="C119" s="19" t="str">
        <f>IFERROR(INDEX('Detalles movimientos'!D$5:D$1000, MATCH(107, 'Detalles movimientos'!$Q$5:$Q$1000, 0)), "")</f>
        <v/>
      </c>
      <c r="D119" s="20" t="str">
        <f>IFERROR(INDEX('Detalles movimientos'!E$5:E$1000, MATCH(107, 'Detalles movimientos'!$Q$5:$Q$1000, 0)), "")</f>
        <v/>
      </c>
      <c r="E119" s="20" t="str">
        <f>IFERROR(INDEX('Detalles movimientos'!F$5:F$1000, MATCH(107, 'Detalles movimientos'!$Q$5:$Q$1000, 0)), "")</f>
        <v/>
      </c>
      <c r="F119" s="19" t="str">
        <f>IFERROR(INDEX('Detalles movimientos'!G$5:G$1000, MATCH(107, 'Detalles movimientos'!$Q$5:$Q$1000, 0)), "")</f>
        <v/>
      </c>
      <c r="G119" s="21" t="str">
        <f>IFERROR(INDEX('Detalles movimientos'!H$5:H$1000, MATCH(107, 'Detalles movimientos'!$Q$5:$Q$1000, 0)), "")</f>
        <v/>
      </c>
      <c r="H119" s="22" t="str">
        <f>IFERROR(INDEX('Detalles movimientos'!I$5:I$1000, MATCH(107, 'Detalles movimientos'!$Q$5:$Q$1000, 0)), "")</f>
        <v/>
      </c>
      <c r="I119" s="21" t="str">
        <f>IFERROR(INDEX('Detalles movimientos'!J$5:J$1000, MATCH(107, 'Detalles movimientos'!$Q$5:$Q$1000, 0)), "")</f>
        <v/>
      </c>
      <c r="J119" s="20" t="str">
        <f>IFERROR(INDEX('Detalles movimientos'!K$5:K$1000, MATCH(107, 'Detalles movimientos'!$Q$5:$Q$1000, 0)), "")</f>
        <v/>
      </c>
      <c r="K119" s="21" t="str">
        <f>IFERROR(INDEX('Detalles movimientos'!L$5:L$1000, MATCH(107, 'Detalles movimientos'!$Q$5:$Q$1000, 0)), "")</f>
        <v/>
      </c>
      <c r="L119" s="19" t="str">
        <f>IFERROR(INDEX('Detalles movimientos'!M$5:M$1000, MATCH(107, 'Detalles movimientos'!$Q$5:$Q$1000, 0)), "")</f>
        <v/>
      </c>
      <c r="M119" s="19" t="str">
        <f>IFERROR(INDEX('Detalles movimientos'!P$5:P$1000, MATCH(107, 'Detalles movimientos'!$Q$5:$Q$1000, 0)), "")</f>
        <v/>
      </c>
    </row>
    <row r="120" spans="2:13" x14ac:dyDescent="0.2">
      <c r="B120" s="18" t="str">
        <f>IFERROR(INDEX('Detalles movimientos'!C$5:C$1000, MATCH(108, 'Detalles movimientos'!$Q$5:$Q$1000, 0)), "")</f>
        <v/>
      </c>
      <c r="C120" s="19" t="str">
        <f>IFERROR(INDEX('Detalles movimientos'!D$5:D$1000, MATCH(108, 'Detalles movimientos'!$Q$5:$Q$1000, 0)), "")</f>
        <v/>
      </c>
      <c r="D120" s="20" t="str">
        <f>IFERROR(INDEX('Detalles movimientos'!E$5:E$1000, MATCH(108, 'Detalles movimientos'!$Q$5:$Q$1000, 0)), "")</f>
        <v/>
      </c>
      <c r="E120" s="20" t="str">
        <f>IFERROR(INDEX('Detalles movimientos'!F$5:F$1000, MATCH(108, 'Detalles movimientos'!$Q$5:$Q$1000, 0)), "")</f>
        <v/>
      </c>
      <c r="F120" s="19" t="str">
        <f>IFERROR(INDEX('Detalles movimientos'!G$5:G$1000, MATCH(108, 'Detalles movimientos'!$Q$5:$Q$1000, 0)), "")</f>
        <v/>
      </c>
      <c r="G120" s="21" t="str">
        <f>IFERROR(INDEX('Detalles movimientos'!H$5:H$1000, MATCH(108, 'Detalles movimientos'!$Q$5:$Q$1000, 0)), "")</f>
        <v/>
      </c>
      <c r="H120" s="22" t="str">
        <f>IFERROR(INDEX('Detalles movimientos'!I$5:I$1000, MATCH(108, 'Detalles movimientos'!$Q$5:$Q$1000, 0)), "")</f>
        <v/>
      </c>
      <c r="I120" s="21" t="str">
        <f>IFERROR(INDEX('Detalles movimientos'!J$5:J$1000, MATCH(108, 'Detalles movimientos'!$Q$5:$Q$1000, 0)), "")</f>
        <v/>
      </c>
      <c r="J120" s="20" t="str">
        <f>IFERROR(INDEX('Detalles movimientos'!K$5:K$1000, MATCH(108, 'Detalles movimientos'!$Q$5:$Q$1000, 0)), "")</f>
        <v/>
      </c>
      <c r="K120" s="21" t="str">
        <f>IFERROR(INDEX('Detalles movimientos'!L$5:L$1000, MATCH(108, 'Detalles movimientos'!$Q$5:$Q$1000, 0)), "")</f>
        <v/>
      </c>
      <c r="L120" s="19" t="str">
        <f>IFERROR(INDEX('Detalles movimientos'!M$5:M$1000, MATCH(108, 'Detalles movimientos'!$Q$5:$Q$1000, 0)), "")</f>
        <v/>
      </c>
      <c r="M120" s="19" t="str">
        <f>IFERROR(INDEX('Detalles movimientos'!P$5:P$1000, MATCH(108, 'Detalles movimientos'!$Q$5:$Q$1000, 0)), "")</f>
        <v/>
      </c>
    </row>
    <row r="121" spans="2:13" x14ac:dyDescent="0.2">
      <c r="B121" s="18" t="str">
        <f>IFERROR(INDEX('Detalles movimientos'!C$5:C$1000, MATCH(109, 'Detalles movimientos'!$Q$5:$Q$1000, 0)), "")</f>
        <v/>
      </c>
      <c r="C121" s="19" t="str">
        <f>IFERROR(INDEX('Detalles movimientos'!D$5:D$1000, MATCH(109, 'Detalles movimientos'!$Q$5:$Q$1000, 0)), "")</f>
        <v/>
      </c>
      <c r="D121" s="20" t="str">
        <f>IFERROR(INDEX('Detalles movimientos'!E$5:E$1000, MATCH(109, 'Detalles movimientos'!$Q$5:$Q$1000, 0)), "")</f>
        <v/>
      </c>
      <c r="E121" s="20" t="str">
        <f>IFERROR(INDEX('Detalles movimientos'!F$5:F$1000, MATCH(109, 'Detalles movimientos'!$Q$5:$Q$1000, 0)), "")</f>
        <v/>
      </c>
      <c r="F121" s="19" t="str">
        <f>IFERROR(INDEX('Detalles movimientos'!G$5:G$1000, MATCH(109, 'Detalles movimientos'!$Q$5:$Q$1000, 0)), "")</f>
        <v/>
      </c>
      <c r="G121" s="21" t="str">
        <f>IFERROR(INDEX('Detalles movimientos'!H$5:H$1000, MATCH(109, 'Detalles movimientos'!$Q$5:$Q$1000, 0)), "")</f>
        <v/>
      </c>
      <c r="H121" s="22" t="str">
        <f>IFERROR(INDEX('Detalles movimientos'!I$5:I$1000, MATCH(109, 'Detalles movimientos'!$Q$5:$Q$1000, 0)), "")</f>
        <v/>
      </c>
      <c r="I121" s="21" t="str">
        <f>IFERROR(INDEX('Detalles movimientos'!J$5:J$1000, MATCH(109, 'Detalles movimientos'!$Q$5:$Q$1000, 0)), "")</f>
        <v/>
      </c>
      <c r="J121" s="20" t="str">
        <f>IFERROR(INDEX('Detalles movimientos'!K$5:K$1000, MATCH(109, 'Detalles movimientos'!$Q$5:$Q$1000, 0)), "")</f>
        <v/>
      </c>
      <c r="K121" s="21" t="str">
        <f>IFERROR(INDEX('Detalles movimientos'!L$5:L$1000, MATCH(109, 'Detalles movimientos'!$Q$5:$Q$1000, 0)), "")</f>
        <v/>
      </c>
      <c r="L121" s="19" t="str">
        <f>IFERROR(INDEX('Detalles movimientos'!M$5:M$1000, MATCH(109, 'Detalles movimientos'!$Q$5:$Q$1000, 0)), "")</f>
        <v/>
      </c>
      <c r="M121" s="19" t="str">
        <f>IFERROR(INDEX('Detalles movimientos'!P$5:P$1000, MATCH(109, 'Detalles movimientos'!$Q$5:$Q$1000, 0)), "")</f>
        <v/>
      </c>
    </row>
    <row r="122" spans="2:13" x14ac:dyDescent="0.2">
      <c r="B122" s="18" t="str">
        <f>IFERROR(INDEX('Detalles movimientos'!C$5:C$1000, MATCH(110, 'Detalles movimientos'!$Q$5:$Q$1000, 0)), "")</f>
        <v/>
      </c>
      <c r="C122" s="19" t="str">
        <f>IFERROR(INDEX('Detalles movimientos'!D$5:D$1000, MATCH(110, 'Detalles movimientos'!$Q$5:$Q$1000, 0)), "")</f>
        <v/>
      </c>
      <c r="D122" s="20" t="str">
        <f>IFERROR(INDEX('Detalles movimientos'!E$5:E$1000, MATCH(110, 'Detalles movimientos'!$Q$5:$Q$1000, 0)), "")</f>
        <v/>
      </c>
      <c r="E122" s="20" t="str">
        <f>IFERROR(INDEX('Detalles movimientos'!F$5:F$1000, MATCH(110, 'Detalles movimientos'!$Q$5:$Q$1000, 0)), "")</f>
        <v/>
      </c>
      <c r="F122" s="19" t="str">
        <f>IFERROR(INDEX('Detalles movimientos'!G$5:G$1000, MATCH(110, 'Detalles movimientos'!$Q$5:$Q$1000, 0)), "")</f>
        <v/>
      </c>
      <c r="G122" s="21" t="str">
        <f>IFERROR(INDEX('Detalles movimientos'!H$5:H$1000, MATCH(110, 'Detalles movimientos'!$Q$5:$Q$1000, 0)), "")</f>
        <v/>
      </c>
      <c r="H122" s="22" t="str">
        <f>IFERROR(INDEX('Detalles movimientos'!I$5:I$1000, MATCH(110, 'Detalles movimientos'!$Q$5:$Q$1000, 0)), "")</f>
        <v/>
      </c>
      <c r="I122" s="21" t="str">
        <f>IFERROR(INDEX('Detalles movimientos'!J$5:J$1000, MATCH(110, 'Detalles movimientos'!$Q$5:$Q$1000, 0)), "")</f>
        <v/>
      </c>
      <c r="J122" s="20" t="str">
        <f>IFERROR(INDEX('Detalles movimientos'!K$5:K$1000, MATCH(110, 'Detalles movimientos'!$Q$5:$Q$1000, 0)), "")</f>
        <v/>
      </c>
      <c r="K122" s="21" t="str">
        <f>IFERROR(INDEX('Detalles movimientos'!L$5:L$1000, MATCH(110, 'Detalles movimientos'!$Q$5:$Q$1000, 0)), "")</f>
        <v/>
      </c>
      <c r="L122" s="19" t="str">
        <f>IFERROR(INDEX('Detalles movimientos'!M$5:M$1000, MATCH(110, 'Detalles movimientos'!$Q$5:$Q$1000, 0)), "")</f>
        <v/>
      </c>
      <c r="M122" s="19" t="str">
        <f>IFERROR(INDEX('Detalles movimientos'!P$5:P$1000, MATCH(110, 'Detalles movimientos'!$Q$5:$Q$1000, 0)), "")</f>
        <v/>
      </c>
    </row>
    <row r="123" spans="2:13" x14ac:dyDescent="0.2">
      <c r="B123" s="18" t="str">
        <f>IFERROR(INDEX('Detalles movimientos'!C$5:C$1000, MATCH(111, 'Detalles movimientos'!$Q$5:$Q$1000, 0)), "")</f>
        <v/>
      </c>
      <c r="C123" s="19" t="str">
        <f>IFERROR(INDEX('Detalles movimientos'!D$5:D$1000, MATCH(111, 'Detalles movimientos'!$Q$5:$Q$1000, 0)), "")</f>
        <v/>
      </c>
      <c r="D123" s="20" t="str">
        <f>IFERROR(INDEX('Detalles movimientos'!E$5:E$1000, MATCH(111, 'Detalles movimientos'!$Q$5:$Q$1000, 0)), "")</f>
        <v/>
      </c>
      <c r="E123" s="20" t="str">
        <f>IFERROR(INDEX('Detalles movimientos'!F$5:F$1000, MATCH(111, 'Detalles movimientos'!$Q$5:$Q$1000, 0)), "")</f>
        <v/>
      </c>
      <c r="F123" s="19" t="str">
        <f>IFERROR(INDEX('Detalles movimientos'!G$5:G$1000, MATCH(111, 'Detalles movimientos'!$Q$5:$Q$1000, 0)), "")</f>
        <v/>
      </c>
      <c r="G123" s="21" t="str">
        <f>IFERROR(INDEX('Detalles movimientos'!H$5:H$1000, MATCH(111, 'Detalles movimientos'!$Q$5:$Q$1000, 0)), "")</f>
        <v/>
      </c>
      <c r="H123" s="22" t="str">
        <f>IFERROR(INDEX('Detalles movimientos'!I$5:I$1000, MATCH(111, 'Detalles movimientos'!$Q$5:$Q$1000, 0)), "")</f>
        <v/>
      </c>
      <c r="I123" s="21" t="str">
        <f>IFERROR(INDEX('Detalles movimientos'!J$5:J$1000, MATCH(111, 'Detalles movimientos'!$Q$5:$Q$1000, 0)), "")</f>
        <v/>
      </c>
      <c r="J123" s="20" t="str">
        <f>IFERROR(INDEX('Detalles movimientos'!K$5:K$1000, MATCH(111, 'Detalles movimientos'!$Q$5:$Q$1000, 0)), "")</f>
        <v/>
      </c>
      <c r="K123" s="21" t="str">
        <f>IFERROR(INDEX('Detalles movimientos'!L$5:L$1000, MATCH(111, 'Detalles movimientos'!$Q$5:$Q$1000, 0)), "")</f>
        <v/>
      </c>
      <c r="L123" s="19" t="str">
        <f>IFERROR(INDEX('Detalles movimientos'!M$5:M$1000, MATCH(111, 'Detalles movimientos'!$Q$5:$Q$1000, 0)), "")</f>
        <v/>
      </c>
      <c r="M123" s="19" t="str">
        <f>IFERROR(INDEX('Detalles movimientos'!P$5:P$1000, MATCH(111, 'Detalles movimientos'!$Q$5:$Q$1000, 0)), "")</f>
        <v/>
      </c>
    </row>
    <row r="124" spans="2:13" x14ac:dyDescent="0.2">
      <c r="B124" s="18" t="str">
        <f>IFERROR(INDEX('Detalles movimientos'!C$5:C$1000, MATCH(112, 'Detalles movimientos'!$Q$5:$Q$1000, 0)), "")</f>
        <v/>
      </c>
      <c r="C124" s="19" t="str">
        <f>IFERROR(INDEX('Detalles movimientos'!D$5:D$1000, MATCH(112, 'Detalles movimientos'!$Q$5:$Q$1000, 0)), "")</f>
        <v/>
      </c>
      <c r="D124" s="20" t="str">
        <f>IFERROR(INDEX('Detalles movimientos'!E$5:E$1000, MATCH(112, 'Detalles movimientos'!$Q$5:$Q$1000, 0)), "")</f>
        <v/>
      </c>
      <c r="E124" s="20" t="str">
        <f>IFERROR(INDEX('Detalles movimientos'!F$5:F$1000, MATCH(112, 'Detalles movimientos'!$Q$5:$Q$1000, 0)), "")</f>
        <v/>
      </c>
      <c r="F124" s="19" t="str">
        <f>IFERROR(INDEX('Detalles movimientos'!G$5:G$1000, MATCH(112, 'Detalles movimientos'!$Q$5:$Q$1000, 0)), "")</f>
        <v/>
      </c>
      <c r="G124" s="21" t="str">
        <f>IFERROR(INDEX('Detalles movimientos'!H$5:H$1000, MATCH(112, 'Detalles movimientos'!$Q$5:$Q$1000, 0)), "")</f>
        <v/>
      </c>
      <c r="H124" s="22" t="str">
        <f>IFERROR(INDEX('Detalles movimientos'!I$5:I$1000, MATCH(112, 'Detalles movimientos'!$Q$5:$Q$1000, 0)), "")</f>
        <v/>
      </c>
      <c r="I124" s="21" t="str">
        <f>IFERROR(INDEX('Detalles movimientos'!J$5:J$1000, MATCH(112, 'Detalles movimientos'!$Q$5:$Q$1000, 0)), "")</f>
        <v/>
      </c>
      <c r="J124" s="20" t="str">
        <f>IFERROR(INDEX('Detalles movimientos'!K$5:K$1000, MATCH(112, 'Detalles movimientos'!$Q$5:$Q$1000, 0)), "")</f>
        <v/>
      </c>
      <c r="K124" s="21" t="str">
        <f>IFERROR(INDEX('Detalles movimientos'!L$5:L$1000, MATCH(112, 'Detalles movimientos'!$Q$5:$Q$1000, 0)), "")</f>
        <v/>
      </c>
      <c r="L124" s="19" t="str">
        <f>IFERROR(INDEX('Detalles movimientos'!M$5:M$1000, MATCH(112, 'Detalles movimientos'!$Q$5:$Q$1000, 0)), "")</f>
        <v/>
      </c>
      <c r="M124" s="19" t="str">
        <f>IFERROR(INDEX('Detalles movimientos'!P$5:P$1000, MATCH(112, 'Detalles movimientos'!$Q$5:$Q$1000, 0)), "")</f>
        <v/>
      </c>
    </row>
    <row r="125" spans="2:13" x14ac:dyDescent="0.2">
      <c r="B125" s="18" t="str">
        <f>IFERROR(INDEX('Detalles movimientos'!C$5:C$1000, MATCH(113, 'Detalles movimientos'!$Q$5:$Q$1000, 0)), "")</f>
        <v/>
      </c>
      <c r="C125" s="19" t="str">
        <f>IFERROR(INDEX('Detalles movimientos'!D$5:D$1000, MATCH(113, 'Detalles movimientos'!$Q$5:$Q$1000, 0)), "")</f>
        <v/>
      </c>
      <c r="D125" s="20" t="str">
        <f>IFERROR(INDEX('Detalles movimientos'!E$5:E$1000, MATCH(113, 'Detalles movimientos'!$Q$5:$Q$1000, 0)), "")</f>
        <v/>
      </c>
      <c r="E125" s="20" t="str">
        <f>IFERROR(INDEX('Detalles movimientos'!F$5:F$1000, MATCH(113, 'Detalles movimientos'!$Q$5:$Q$1000, 0)), "")</f>
        <v/>
      </c>
      <c r="F125" s="19" t="str">
        <f>IFERROR(INDEX('Detalles movimientos'!G$5:G$1000, MATCH(113, 'Detalles movimientos'!$Q$5:$Q$1000, 0)), "")</f>
        <v/>
      </c>
      <c r="G125" s="21" t="str">
        <f>IFERROR(INDEX('Detalles movimientos'!H$5:H$1000, MATCH(113, 'Detalles movimientos'!$Q$5:$Q$1000, 0)), "")</f>
        <v/>
      </c>
      <c r="H125" s="22" t="str">
        <f>IFERROR(INDEX('Detalles movimientos'!I$5:I$1000, MATCH(113, 'Detalles movimientos'!$Q$5:$Q$1000, 0)), "")</f>
        <v/>
      </c>
      <c r="I125" s="21" t="str">
        <f>IFERROR(INDEX('Detalles movimientos'!J$5:J$1000, MATCH(113, 'Detalles movimientos'!$Q$5:$Q$1000, 0)), "")</f>
        <v/>
      </c>
      <c r="J125" s="20" t="str">
        <f>IFERROR(INDEX('Detalles movimientos'!K$5:K$1000, MATCH(113, 'Detalles movimientos'!$Q$5:$Q$1000, 0)), "")</f>
        <v/>
      </c>
      <c r="K125" s="21" t="str">
        <f>IFERROR(INDEX('Detalles movimientos'!L$5:L$1000, MATCH(113, 'Detalles movimientos'!$Q$5:$Q$1000, 0)), "")</f>
        <v/>
      </c>
      <c r="L125" s="19" t="str">
        <f>IFERROR(INDEX('Detalles movimientos'!M$5:M$1000, MATCH(113, 'Detalles movimientos'!$Q$5:$Q$1000, 0)), "")</f>
        <v/>
      </c>
      <c r="M125" s="19" t="str">
        <f>IFERROR(INDEX('Detalles movimientos'!P$5:P$1000, MATCH(113, 'Detalles movimientos'!$Q$5:$Q$1000, 0)), "")</f>
        <v/>
      </c>
    </row>
    <row r="126" spans="2:13" x14ac:dyDescent="0.2">
      <c r="B126" s="18" t="str">
        <f>IFERROR(INDEX('Detalles movimientos'!C$5:C$1000, MATCH(114, 'Detalles movimientos'!$Q$5:$Q$1000, 0)), "")</f>
        <v/>
      </c>
      <c r="C126" s="19" t="str">
        <f>IFERROR(INDEX('Detalles movimientos'!D$5:D$1000, MATCH(114, 'Detalles movimientos'!$Q$5:$Q$1000, 0)), "")</f>
        <v/>
      </c>
      <c r="D126" s="20" t="str">
        <f>IFERROR(INDEX('Detalles movimientos'!E$5:E$1000, MATCH(114, 'Detalles movimientos'!$Q$5:$Q$1000, 0)), "")</f>
        <v/>
      </c>
      <c r="E126" s="20" t="str">
        <f>IFERROR(INDEX('Detalles movimientos'!F$5:F$1000, MATCH(114, 'Detalles movimientos'!$Q$5:$Q$1000, 0)), "")</f>
        <v/>
      </c>
      <c r="F126" s="19" t="str">
        <f>IFERROR(INDEX('Detalles movimientos'!G$5:G$1000, MATCH(114, 'Detalles movimientos'!$Q$5:$Q$1000, 0)), "")</f>
        <v/>
      </c>
      <c r="G126" s="21" t="str">
        <f>IFERROR(INDEX('Detalles movimientos'!H$5:H$1000, MATCH(114, 'Detalles movimientos'!$Q$5:$Q$1000, 0)), "")</f>
        <v/>
      </c>
      <c r="H126" s="22" t="str">
        <f>IFERROR(INDEX('Detalles movimientos'!I$5:I$1000, MATCH(114, 'Detalles movimientos'!$Q$5:$Q$1000, 0)), "")</f>
        <v/>
      </c>
      <c r="I126" s="21" t="str">
        <f>IFERROR(INDEX('Detalles movimientos'!J$5:J$1000, MATCH(114, 'Detalles movimientos'!$Q$5:$Q$1000, 0)), "")</f>
        <v/>
      </c>
      <c r="J126" s="20" t="str">
        <f>IFERROR(INDEX('Detalles movimientos'!K$5:K$1000, MATCH(114, 'Detalles movimientos'!$Q$5:$Q$1000, 0)), "")</f>
        <v/>
      </c>
      <c r="K126" s="21" t="str">
        <f>IFERROR(INDEX('Detalles movimientos'!L$5:L$1000, MATCH(114, 'Detalles movimientos'!$Q$5:$Q$1000, 0)), "")</f>
        <v/>
      </c>
      <c r="L126" s="19" t="str">
        <f>IFERROR(INDEX('Detalles movimientos'!M$5:M$1000, MATCH(114, 'Detalles movimientos'!$Q$5:$Q$1000, 0)), "")</f>
        <v/>
      </c>
      <c r="M126" s="19" t="str">
        <f>IFERROR(INDEX('Detalles movimientos'!P$5:P$1000, MATCH(114, 'Detalles movimientos'!$Q$5:$Q$1000, 0)), "")</f>
        <v/>
      </c>
    </row>
    <row r="127" spans="2:13" x14ac:dyDescent="0.2">
      <c r="B127" s="18" t="str">
        <f>IFERROR(INDEX('Detalles movimientos'!C$5:C$1000, MATCH(115, 'Detalles movimientos'!$Q$5:$Q$1000, 0)), "")</f>
        <v/>
      </c>
      <c r="C127" s="19" t="str">
        <f>IFERROR(INDEX('Detalles movimientos'!D$5:D$1000, MATCH(115, 'Detalles movimientos'!$Q$5:$Q$1000, 0)), "")</f>
        <v/>
      </c>
      <c r="D127" s="20" t="str">
        <f>IFERROR(INDEX('Detalles movimientos'!E$5:E$1000, MATCH(115, 'Detalles movimientos'!$Q$5:$Q$1000, 0)), "")</f>
        <v/>
      </c>
      <c r="E127" s="20" t="str">
        <f>IFERROR(INDEX('Detalles movimientos'!F$5:F$1000, MATCH(115, 'Detalles movimientos'!$Q$5:$Q$1000, 0)), "")</f>
        <v/>
      </c>
      <c r="F127" s="19" t="str">
        <f>IFERROR(INDEX('Detalles movimientos'!G$5:G$1000, MATCH(115, 'Detalles movimientos'!$Q$5:$Q$1000, 0)), "")</f>
        <v/>
      </c>
      <c r="G127" s="21" t="str">
        <f>IFERROR(INDEX('Detalles movimientos'!H$5:H$1000, MATCH(115, 'Detalles movimientos'!$Q$5:$Q$1000, 0)), "")</f>
        <v/>
      </c>
      <c r="H127" s="22" t="str">
        <f>IFERROR(INDEX('Detalles movimientos'!I$5:I$1000, MATCH(115, 'Detalles movimientos'!$Q$5:$Q$1000, 0)), "")</f>
        <v/>
      </c>
      <c r="I127" s="21" t="str">
        <f>IFERROR(INDEX('Detalles movimientos'!J$5:J$1000, MATCH(115, 'Detalles movimientos'!$Q$5:$Q$1000, 0)), "")</f>
        <v/>
      </c>
      <c r="J127" s="20" t="str">
        <f>IFERROR(INDEX('Detalles movimientos'!K$5:K$1000, MATCH(115, 'Detalles movimientos'!$Q$5:$Q$1000, 0)), "")</f>
        <v/>
      </c>
      <c r="K127" s="21" t="str">
        <f>IFERROR(INDEX('Detalles movimientos'!L$5:L$1000, MATCH(115, 'Detalles movimientos'!$Q$5:$Q$1000, 0)), "")</f>
        <v/>
      </c>
      <c r="L127" s="19" t="str">
        <f>IFERROR(INDEX('Detalles movimientos'!M$5:M$1000, MATCH(115, 'Detalles movimientos'!$Q$5:$Q$1000, 0)), "")</f>
        <v/>
      </c>
      <c r="M127" s="19" t="str">
        <f>IFERROR(INDEX('Detalles movimientos'!P$5:P$1000, MATCH(115, 'Detalles movimientos'!$Q$5:$Q$1000, 0)), "")</f>
        <v/>
      </c>
    </row>
    <row r="128" spans="2:13" x14ac:dyDescent="0.2">
      <c r="B128" s="18" t="str">
        <f>IFERROR(INDEX('Detalles movimientos'!C$5:C$1000, MATCH(116, 'Detalles movimientos'!$Q$5:$Q$1000, 0)), "")</f>
        <v/>
      </c>
      <c r="C128" s="19" t="str">
        <f>IFERROR(INDEX('Detalles movimientos'!D$5:D$1000, MATCH(116, 'Detalles movimientos'!$Q$5:$Q$1000, 0)), "")</f>
        <v/>
      </c>
      <c r="D128" s="20" t="str">
        <f>IFERROR(INDEX('Detalles movimientos'!E$5:E$1000, MATCH(116, 'Detalles movimientos'!$Q$5:$Q$1000, 0)), "")</f>
        <v/>
      </c>
      <c r="E128" s="20" t="str">
        <f>IFERROR(INDEX('Detalles movimientos'!F$5:F$1000, MATCH(116, 'Detalles movimientos'!$Q$5:$Q$1000, 0)), "")</f>
        <v/>
      </c>
      <c r="F128" s="19" t="str">
        <f>IFERROR(INDEX('Detalles movimientos'!G$5:G$1000, MATCH(116, 'Detalles movimientos'!$Q$5:$Q$1000, 0)), "")</f>
        <v/>
      </c>
      <c r="G128" s="21" t="str">
        <f>IFERROR(INDEX('Detalles movimientos'!H$5:H$1000, MATCH(116, 'Detalles movimientos'!$Q$5:$Q$1000, 0)), "")</f>
        <v/>
      </c>
      <c r="H128" s="22" t="str">
        <f>IFERROR(INDEX('Detalles movimientos'!I$5:I$1000, MATCH(116, 'Detalles movimientos'!$Q$5:$Q$1000, 0)), "")</f>
        <v/>
      </c>
      <c r="I128" s="21" t="str">
        <f>IFERROR(INDEX('Detalles movimientos'!J$5:J$1000, MATCH(116, 'Detalles movimientos'!$Q$5:$Q$1000, 0)), "")</f>
        <v/>
      </c>
      <c r="J128" s="20" t="str">
        <f>IFERROR(INDEX('Detalles movimientos'!K$5:K$1000, MATCH(116, 'Detalles movimientos'!$Q$5:$Q$1000, 0)), "")</f>
        <v/>
      </c>
      <c r="K128" s="21" t="str">
        <f>IFERROR(INDEX('Detalles movimientos'!L$5:L$1000, MATCH(116, 'Detalles movimientos'!$Q$5:$Q$1000, 0)), "")</f>
        <v/>
      </c>
      <c r="L128" s="19" t="str">
        <f>IFERROR(INDEX('Detalles movimientos'!M$5:M$1000, MATCH(116, 'Detalles movimientos'!$Q$5:$Q$1000, 0)), "")</f>
        <v/>
      </c>
      <c r="M128" s="19" t="str">
        <f>IFERROR(INDEX('Detalles movimientos'!P$5:P$1000, MATCH(116, 'Detalles movimientos'!$Q$5:$Q$1000, 0)), "")</f>
        <v/>
      </c>
    </row>
    <row r="129" spans="2:13" x14ac:dyDescent="0.2">
      <c r="B129" s="18" t="str">
        <f>IFERROR(INDEX('Detalles movimientos'!C$5:C$1000, MATCH(117, 'Detalles movimientos'!$Q$5:$Q$1000, 0)), "")</f>
        <v/>
      </c>
      <c r="C129" s="19" t="str">
        <f>IFERROR(INDEX('Detalles movimientos'!D$5:D$1000, MATCH(117, 'Detalles movimientos'!$Q$5:$Q$1000, 0)), "")</f>
        <v/>
      </c>
      <c r="D129" s="20" t="str">
        <f>IFERROR(INDEX('Detalles movimientos'!E$5:E$1000, MATCH(117, 'Detalles movimientos'!$Q$5:$Q$1000, 0)), "")</f>
        <v/>
      </c>
      <c r="E129" s="20" t="str">
        <f>IFERROR(INDEX('Detalles movimientos'!F$5:F$1000, MATCH(117, 'Detalles movimientos'!$Q$5:$Q$1000, 0)), "")</f>
        <v/>
      </c>
      <c r="F129" s="19" t="str">
        <f>IFERROR(INDEX('Detalles movimientos'!G$5:G$1000, MATCH(117, 'Detalles movimientos'!$Q$5:$Q$1000, 0)), "")</f>
        <v/>
      </c>
      <c r="G129" s="21" t="str">
        <f>IFERROR(INDEX('Detalles movimientos'!H$5:H$1000, MATCH(117, 'Detalles movimientos'!$Q$5:$Q$1000, 0)), "")</f>
        <v/>
      </c>
      <c r="H129" s="22" t="str">
        <f>IFERROR(INDEX('Detalles movimientos'!I$5:I$1000, MATCH(117, 'Detalles movimientos'!$Q$5:$Q$1000, 0)), "")</f>
        <v/>
      </c>
      <c r="I129" s="21" t="str">
        <f>IFERROR(INDEX('Detalles movimientos'!J$5:J$1000, MATCH(117, 'Detalles movimientos'!$Q$5:$Q$1000, 0)), "")</f>
        <v/>
      </c>
      <c r="J129" s="20" t="str">
        <f>IFERROR(INDEX('Detalles movimientos'!K$5:K$1000, MATCH(117, 'Detalles movimientos'!$Q$5:$Q$1000, 0)), "")</f>
        <v/>
      </c>
      <c r="K129" s="21" t="str">
        <f>IFERROR(INDEX('Detalles movimientos'!L$5:L$1000, MATCH(117, 'Detalles movimientos'!$Q$5:$Q$1000, 0)), "")</f>
        <v/>
      </c>
      <c r="L129" s="19" t="str">
        <f>IFERROR(INDEX('Detalles movimientos'!M$5:M$1000, MATCH(117, 'Detalles movimientos'!$Q$5:$Q$1000, 0)), "")</f>
        <v/>
      </c>
      <c r="M129" s="19" t="str">
        <f>IFERROR(INDEX('Detalles movimientos'!P$5:P$1000, MATCH(117, 'Detalles movimientos'!$Q$5:$Q$1000, 0)), "")</f>
        <v/>
      </c>
    </row>
    <row r="130" spans="2:13" x14ac:dyDescent="0.2">
      <c r="B130" s="18" t="str">
        <f>IFERROR(INDEX('Detalles movimientos'!C$5:C$1000, MATCH(118, 'Detalles movimientos'!$Q$5:$Q$1000, 0)), "")</f>
        <v/>
      </c>
      <c r="C130" s="19" t="str">
        <f>IFERROR(INDEX('Detalles movimientos'!D$5:D$1000, MATCH(118, 'Detalles movimientos'!$Q$5:$Q$1000, 0)), "")</f>
        <v/>
      </c>
      <c r="D130" s="20" t="str">
        <f>IFERROR(INDEX('Detalles movimientos'!E$5:E$1000, MATCH(118, 'Detalles movimientos'!$Q$5:$Q$1000, 0)), "")</f>
        <v/>
      </c>
      <c r="E130" s="20" t="str">
        <f>IFERROR(INDEX('Detalles movimientos'!F$5:F$1000, MATCH(118, 'Detalles movimientos'!$Q$5:$Q$1000, 0)), "")</f>
        <v/>
      </c>
      <c r="F130" s="19" t="str">
        <f>IFERROR(INDEX('Detalles movimientos'!G$5:G$1000, MATCH(118, 'Detalles movimientos'!$Q$5:$Q$1000, 0)), "")</f>
        <v/>
      </c>
      <c r="G130" s="21" t="str">
        <f>IFERROR(INDEX('Detalles movimientos'!H$5:H$1000, MATCH(118, 'Detalles movimientos'!$Q$5:$Q$1000, 0)), "")</f>
        <v/>
      </c>
      <c r="H130" s="22" t="str">
        <f>IFERROR(INDEX('Detalles movimientos'!I$5:I$1000, MATCH(118, 'Detalles movimientos'!$Q$5:$Q$1000, 0)), "")</f>
        <v/>
      </c>
      <c r="I130" s="21" t="str">
        <f>IFERROR(INDEX('Detalles movimientos'!J$5:J$1000, MATCH(118, 'Detalles movimientos'!$Q$5:$Q$1000, 0)), "")</f>
        <v/>
      </c>
      <c r="J130" s="20" t="str">
        <f>IFERROR(INDEX('Detalles movimientos'!K$5:K$1000, MATCH(118, 'Detalles movimientos'!$Q$5:$Q$1000, 0)), "")</f>
        <v/>
      </c>
      <c r="K130" s="21" t="str">
        <f>IFERROR(INDEX('Detalles movimientos'!L$5:L$1000, MATCH(118, 'Detalles movimientos'!$Q$5:$Q$1000, 0)), "")</f>
        <v/>
      </c>
      <c r="L130" s="19" t="str">
        <f>IFERROR(INDEX('Detalles movimientos'!M$5:M$1000, MATCH(118, 'Detalles movimientos'!$Q$5:$Q$1000, 0)), "")</f>
        <v/>
      </c>
      <c r="M130" s="19" t="str">
        <f>IFERROR(INDEX('Detalles movimientos'!P$5:P$1000, MATCH(118, 'Detalles movimientos'!$Q$5:$Q$1000, 0)), "")</f>
        <v/>
      </c>
    </row>
    <row r="131" spans="2:13" x14ac:dyDescent="0.2">
      <c r="B131" s="18" t="str">
        <f>IFERROR(INDEX('Detalles movimientos'!C$5:C$1000, MATCH(119, 'Detalles movimientos'!$Q$5:$Q$1000, 0)), "")</f>
        <v/>
      </c>
      <c r="C131" s="19" t="str">
        <f>IFERROR(INDEX('Detalles movimientos'!D$5:D$1000, MATCH(119, 'Detalles movimientos'!$Q$5:$Q$1000, 0)), "")</f>
        <v/>
      </c>
      <c r="D131" s="20" t="str">
        <f>IFERROR(INDEX('Detalles movimientos'!E$5:E$1000, MATCH(119, 'Detalles movimientos'!$Q$5:$Q$1000, 0)), "")</f>
        <v/>
      </c>
      <c r="E131" s="20" t="str">
        <f>IFERROR(INDEX('Detalles movimientos'!F$5:F$1000, MATCH(119, 'Detalles movimientos'!$Q$5:$Q$1000, 0)), "")</f>
        <v/>
      </c>
      <c r="F131" s="19" t="str">
        <f>IFERROR(INDEX('Detalles movimientos'!G$5:G$1000, MATCH(119, 'Detalles movimientos'!$Q$5:$Q$1000, 0)), "")</f>
        <v/>
      </c>
      <c r="G131" s="21" t="str">
        <f>IFERROR(INDEX('Detalles movimientos'!H$5:H$1000, MATCH(119, 'Detalles movimientos'!$Q$5:$Q$1000, 0)), "")</f>
        <v/>
      </c>
      <c r="H131" s="22" t="str">
        <f>IFERROR(INDEX('Detalles movimientos'!I$5:I$1000, MATCH(119, 'Detalles movimientos'!$Q$5:$Q$1000, 0)), "")</f>
        <v/>
      </c>
      <c r="I131" s="21" t="str">
        <f>IFERROR(INDEX('Detalles movimientos'!J$5:J$1000, MATCH(119, 'Detalles movimientos'!$Q$5:$Q$1000, 0)), "")</f>
        <v/>
      </c>
      <c r="J131" s="20" t="str">
        <f>IFERROR(INDEX('Detalles movimientos'!K$5:K$1000, MATCH(119, 'Detalles movimientos'!$Q$5:$Q$1000, 0)), "")</f>
        <v/>
      </c>
      <c r="K131" s="21" t="str">
        <f>IFERROR(INDEX('Detalles movimientos'!L$5:L$1000, MATCH(119, 'Detalles movimientos'!$Q$5:$Q$1000, 0)), "")</f>
        <v/>
      </c>
      <c r="L131" s="19" t="str">
        <f>IFERROR(INDEX('Detalles movimientos'!M$5:M$1000, MATCH(119, 'Detalles movimientos'!$Q$5:$Q$1000, 0)), "")</f>
        <v/>
      </c>
      <c r="M131" s="19" t="str">
        <f>IFERROR(INDEX('Detalles movimientos'!P$5:P$1000, MATCH(119, 'Detalles movimientos'!$Q$5:$Q$1000, 0)), "")</f>
        <v/>
      </c>
    </row>
    <row r="132" spans="2:13" x14ac:dyDescent="0.2">
      <c r="B132" s="18" t="str">
        <f>IFERROR(INDEX('Detalles movimientos'!C$5:C$1000, MATCH(120, 'Detalles movimientos'!$Q$5:$Q$1000, 0)), "")</f>
        <v/>
      </c>
      <c r="C132" s="19" t="str">
        <f>IFERROR(INDEX('Detalles movimientos'!D$5:D$1000, MATCH(120, 'Detalles movimientos'!$Q$5:$Q$1000, 0)), "")</f>
        <v/>
      </c>
      <c r="D132" s="20" t="str">
        <f>IFERROR(INDEX('Detalles movimientos'!E$5:E$1000, MATCH(120, 'Detalles movimientos'!$Q$5:$Q$1000, 0)), "")</f>
        <v/>
      </c>
      <c r="E132" s="20" t="str">
        <f>IFERROR(INDEX('Detalles movimientos'!F$5:F$1000, MATCH(120, 'Detalles movimientos'!$Q$5:$Q$1000, 0)), "")</f>
        <v/>
      </c>
      <c r="F132" s="19" t="str">
        <f>IFERROR(INDEX('Detalles movimientos'!G$5:G$1000, MATCH(120, 'Detalles movimientos'!$Q$5:$Q$1000, 0)), "")</f>
        <v/>
      </c>
      <c r="G132" s="21" t="str">
        <f>IFERROR(INDEX('Detalles movimientos'!H$5:H$1000, MATCH(120, 'Detalles movimientos'!$Q$5:$Q$1000, 0)), "")</f>
        <v/>
      </c>
      <c r="H132" s="22" t="str">
        <f>IFERROR(INDEX('Detalles movimientos'!I$5:I$1000, MATCH(120, 'Detalles movimientos'!$Q$5:$Q$1000, 0)), "")</f>
        <v/>
      </c>
      <c r="I132" s="21" t="str">
        <f>IFERROR(INDEX('Detalles movimientos'!J$5:J$1000, MATCH(120, 'Detalles movimientos'!$Q$5:$Q$1000, 0)), "")</f>
        <v/>
      </c>
      <c r="J132" s="20" t="str">
        <f>IFERROR(INDEX('Detalles movimientos'!K$5:K$1000, MATCH(120, 'Detalles movimientos'!$Q$5:$Q$1000, 0)), "")</f>
        <v/>
      </c>
      <c r="K132" s="21" t="str">
        <f>IFERROR(INDEX('Detalles movimientos'!L$5:L$1000, MATCH(120, 'Detalles movimientos'!$Q$5:$Q$1000, 0)), "")</f>
        <v/>
      </c>
      <c r="L132" s="19" t="str">
        <f>IFERROR(INDEX('Detalles movimientos'!M$5:M$1000, MATCH(120, 'Detalles movimientos'!$Q$5:$Q$1000, 0)), "")</f>
        <v/>
      </c>
      <c r="M132" s="19" t="str">
        <f>IFERROR(INDEX('Detalles movimientos'!P$5:P$1000, MATCH(120, 'Detalles movimientos'!$Q$5:$Q$1000, 0)), "")</f>
        <v/>
      </c>
    </row>
    <row r="133" spans="2:13" x14ac:dyDescent="0.2">
      <c r="B133" s="18" t="str">
        <f>IFERROR(INDEX('Detalles movimientos'!C$5:C$1000, MATCH(121, 'Detalles movimientos'!$Q$5:$Q$1000, 0)), "")</f>
        <v/>
      </c>
      <c r="C133" s="19" t="str">
        <f>IFERROR(INDEX('Detalles movimientos'!D$5:D$1000, MATCH(121, 'Detalles movimientos'!$Q$5:$Q$1000, 0)), "")</f>
        <v/>
      </c>
      <c r="D133" s="20" t="str">
        <f>IFERROR(INDEX('Detalles movimientos'!E$5:E$1000, MATCH(121, 'Detalles movimientos'!$Q$5:$Q$1000, 0)), "")</f>
        <v/>
      </c>
      <c r="E133" s="20" t="str">
        <f>IFERROR(INDEX('Detalles movimientos'!F$5:F$1000, MATCH(121, 'Detalles movimientos'!$Q$5:$Q$1000, 0)), "")</f>
        <v/>
      </c>
      <c r="F133" s="19" t="str">
        <f>IFERROR(INDEX('Detalles movimientos'!G$5:G$1000, MATCH(121, 'Detalles movimientos'!$Q$5:$Q$1000, 0)), "")</f>
        <v/>
      </c>
      <c r="G133" s="21" t="str">
        <f>IFERROR(INDEX('Detalles movimientos'!H$5:H$1000, MATCH(121, 'Detalles movimientos'!$Q$5:$Q$1000, 0)), "")</f>
        <v/>
      </c>
      <c r="H133" s="22" t="str">
        <f>IFERROR(INDEX('Detalles movimientos'!I$5:I$1000, MATCH(121, 'Detalles movimientos'!$Q$5:$Q$1000, 0)), "")</f>
        <v/>
      </c>
      <c r="I133" s="21" t="str">
        <f>IFERROR(INDEX('Detalles movimientos'!J$5:J$1000, MATCH(121, 'Detalles movimientos'!$Q$5:$Q$1000, 0)), "")</f>
        <v/>
      </c>
      <c r="J133" s="20" t="str">
        <f>IFERROR(INDEX('Detalles movimientos'!K$5:K$1000, MATCH(121, 'Detalles movimientos'!$Q$5:$Q$1000, 0)), "")</f>
        <v/>
      </c>
      <c r="K133" s="21" t="str">
        <f>IFERROR(INDEX('Detalles movimientos'!L$5:L$1000, MATCH(121, 'Detalles movimientos'!$Q$5:$Q$1000, 0)), "")</f>
        <v/>
      </c>
      <c r="L133" s="19" t="str">
        <f>IFERROR(INDEX('Detalles movimientos'!M$5:M$1000, MATCH(121, 'Detalles movimientos'!$Q$5:$Q$1000, 0)), "")</f>
        <v/>
      </c>
      <c r="M133" s="19" t="str">
        <f>IFERROR(INDEX('Detalles movimientos'!P$5:P$1000, MATCH(121, 'Detalles movimientos'!$Q$5:$Q$1000, 0)), "")</f>
        <v/>
      </c>
    </row>
    <row r="134" spans="2:13" x14ac:dyDescent="0.2">
      <c r="B134" s="18" t="str">
        <f>IFERROR(INDEX('Detalles movimientos'!C$5:C$1000, MATCH(122, 'Detalles movimientos'!$Q$5:$Q$1000, 0)), "")</f>
        <v/>
      </c>
      <c r="C134" s="19" t="str">
        <f>IFERROR(INDEX('Detalles movimientos'!D$5:D$1000, MATCH(122, 'Detalles movimientos'!$Q$5:$Q$1000, 0)), "")</f>
        <v/>
      </c>
      <c r="D134" s="20" t="str">
        <f>IFERROR(INDEX('Detalles movimientos'!E$5:E$1000, MATCH(122, 'Detalles movimientos'!$Q$5:$Q$1000, 0)), "")</f>
        <v/>
      </c>
      <c r="E134" s="20" t="str">
        <f>IFERROR(INDEX('Detalles movimientos'!F$5:F$1000, MATCH(122, 'Detalles movimientos'!$Q$5:$Q$1000, 0)), "")</f>
        <v/>
      </c>
      <c r="F134" s="19" t="str">
        <f>IFERROR(INDEX('Detalles movimientos'!G$5:G$1000, MATCH(122, 'Detalles movimientos'!$Q$5:$Q$1000, 0)), "")</f>
        <v/>
      </c>
      <c r="G134" s="21" t="str">
        <f>IFERROR(INDEX('Detalles movimientos'!H$5:H$1000, MATCH(122, 'Detalles movimientos'!$Q$5:$Q$1000, 0)), "")</f>
        <v/>
      </c>
      <c r="H134" s="22" t="str">
        <f>IFERROR(INDEX('Detalles movimientos'!I$5:I$1000, MATCH(122, 'Detalles movimientos'!$Q$5:$Q$1000, 0)), "")</f>
        <v/>
      </c>
      <c r="I134" s="21" t="str">
        <f>IFERROR(INDEX('Detalles movimientos'!J$5:J$1000, MATCH(122, 'Detalles movimientos'!$Q$5:$Q$1000, 0)), "")</f>
        <v/>
      </c>
      <c r="J134" s="20" t="str">
        <f>IFERROR(INDEX('Detalles movimientos'!K$5:K$1000, MATCH(122, 'Detalles movimientos'!$Q$5:$Q$1000, 0)), "")</f>
        <v/>
      </c>
      <c r="K134" s="21" t="str">
        <f>IFERROR(INDEX('Detalles movimientos'!L$5:L$1000, MATCH(122, 'Detalles movimientos'!$Q$5:$Q$1000, 0)), "")</f>
        <v/>
      </c>
      <c r="L134" s="19" t="str">
        <f>IFERROR(INDEX('Detalles movimientos'!M$5:M$1000, MATCH(122, 'Detalles movimientos'!$Q$5:$Q$1000, 0)), "")</f>
        <v/>
      </c>
      <c r="M134" s="19" t="str">
        <f>IFERROR(INDEX('Detalles movimientos'!P$5:P$1000, MATCH(122, 'Detalles movimientos'!$Q$5:$Q$1000, 0)), "")</f>
        <v/>
      </c>
    </row>
    <row r="135" spans="2:13" x14ac:dyDescent="0.2">
      <c r="B135" s="18" t="str">
        <f>IFERROR(INDEX('Detalles movimientos'!C$5:C$1000, MATCH(123, 'Detalles movimientos'!$Q$5:$Q$1000, 0)), "")</f>
        <v/>
      </c>
      <c r="C135" s="19" t="str">
        <f>IFERROR(INDEX('Detalles movimientos'!D$5:D$1000, MATCH(123, 'Detalles movimientos'!$Q$5:$Q$1000, 0)), "")</f>
        <v/>
      </c>
      <c r="D135" s="20" t="str">
        <f>IFERROR(INDEX('Detalles movimientos'!E$5:E$1000, MATCH(123, 'Detalles movimientos'!$Q$5:$Q$1000, 0)), "")</f>
        <v/>
      </c>
      <c r="E135" s="20" t="str">
        <f>IFERROR(INDEX('Detalles movimientos'!F$5:F$1000, MATCH(123, 'Detalles movimientos'!$Q$5:$Q$1000, 0)), "")</f>
        <v/>
      </c>
      <c r="F135" s="19" t="str">
        <f>IFERROR(INDEX('Detalles movimientos'!G$5:G$1000, MATCH(123, 'Detalles movimientos'!$Q$5:$Q$1000, 0)), "")</f>
        <v/>
      </c>
      <c r="G135" s="21" t="str">
        <f>IFERROR(INDEX('Detalles movimientos'!H$5:H$1000, MATCH(123, 'Detalles movimientos'!$Q$5:$Q$1000, 0)), "")</f>
        <v/>
      </c>
      <c r="H135" s="22" t="str">
        <f>IFERROR(INDEX('Detalles movimientos'!I$5:I$1000, MATCH(123, 'Detalles movimientos'!$Q$5:$Q$1000, 0)), "")</f>
        <v/>
      </c>
      <c r="I135" s="21" t="str">
        <f>IFERROR(INDEX('Detalles movimientos'!J$5:J$1000, MATCH(123, 'Detalles movimientos'!$Q$5:$Q$1000, 0)), "")</f>
        <v/>
      </c>
      <c r="J135" s="20" t="str">
        <f>IFERROR(INDEX('Detalles movimientos'!K$5:K$1000, MATCH(123, 'Detalles movimientos'!$Q$5:$Q$1000, 0)), "")</f>
        <v/>
      </c>
      <c r="K135" s="21" t="str">
        <f>IFERROR(INDEX('Detalles movimientos'!L$5:L$1000, MATCH(123, 'Detalles movimientos'!$Q$5:$Q$1000, 0)), "")</f>
        <v/>
      </c>
      <c r="L135" s="19" t="str">
        <f>IFERROR(INDEX('Detalles movimientos'!M$5:M$1000, MATCH(123, 'Detalles movimientos'!$Q$5:$Q$1000, 0)), "")</f>
        <v/>
      </c>
      <c r="M135" s="19" t="str">
        <f>IFERROR(INDEX('Detalles movimientos'!P$5:P$1000, MATCH(123, 'Detalles movimientos'!$Q$5:$Q$1000, 0)), "")</f>
        <v/>
      </c>
    </row>
    <row r="136" spans="2:13" x14ac:dyDescent="0.2">
      <c r="B136" s="18" t="str">
        <f>IFERROR(INDEX('Detalles movimientos'!C$5:C$1000, MATCH(124, 'Detalles movimientos'!$Q$5:$Q$1000, 0)), "")</f>
        <v/>
      </c>
      <c r="C136" s="19" t="str">
        <f>IFERROR(INDEX('Detalles movimientos'!D$5:D$1000, MATCH(124, 'Detalles movimientos'!$Q$5:$Q$1000, 0)), "")</f>
        <v/>
      </c>
      <c r="D136" s="20" t="str">
        <f>IFERROR(INDEX('Detalles movimientos'!E$5:E$1000, MATCH(124, 'Detalles movimientos'!$Q$5:$Q$1000, 0)), "")</f>
        <v/>
      </c>
      <c r="E136" s="20" t="str">
        <f>IFERROR(INDEX('Detalles movimientos'!F$5:F$1000, MATCH(124, 'Detalles movimientos'!$Q$5:$Q$1000, 0)), "")</f>
        <v/>
      </c>
      <c r="F136" s="19" t="str">
        <f>IFERROR(INDEX('Detalles movimientos'!G$5:G$1000, MATCH(124, 'Detalles movimientos'!$Q$5:$Q$1000, 0)), "")</f>
        <v/>
      </c>
      <c r="G136" s="21" t="str">
        <f>IFERROR(INDEX('Detalles movimientos'!H$5:H$1000, MATCH(124, 'Detalles movimientos'!$Q$5:$Q$1000, 0)), "")</f>
        <v/>
      </c>
      <c r="H136" s="22" t="str">
        <f>IFERROR(INDEX('Detalles movimientos'!I$5:I$1000, MATCH(124, 'Detalles movimientos'!$Q$5:$Q$1000, 0)), "")</f>
        <v/>
      </c>
      <c r="I136" s="21" t="str">
        <f>IFERROR(INDEX('Detalles movimientos'!J$5:J$1000, MATCH(124, 'Detalles movimientos'!$Q$5:$Q$1000, 0)), "")</f>
        <v/>
      </c>
      <c r="J136" s="20" t="str">
        <f>IFERROR(INDEX('Detalles movimientos'!K$5:K$1000, MATCH(124, 'Detalles movimientos'!$Q$5:$Q$1000, 0)), "")</f>
        <v/>
      </c>
      <c r="K136" s="21" t="str">
        <f>IFERROR(INDEX('Detalles movimientos'!L$5:L$1000, MATCH(124, 'Detalles movimientos'!$Q$5:$Q$1000, 0)), "")</f>
        <v/>
      </c>
      <c r="L136" s="19" t="str">
        <f>IFERROR(INDEX('Detalles movimientos'!M$5:M$1000, MATCH(124, 'Detalles movimientos'!$Q$5:$Q$1000, 0)), "")</f>
        <v/>
      </c>
      <c r="M136" s="19" t="str">
        <f>IFERROR(INDEX('Detalles movimientos'!P$5:P$1000, MATCH(124, 'Detalles movimientos'!$Q$5:$Q$1000, 0)), "")</f>
        <v/>
      </c>
    </row>
    <row r="137" spans="2:13" x14ac:dyDescent="0.2">
      <c r="B137" s="18" t="str">
        <f>IFERROR(INDEX('Detalles movimientos'!C$5:C$1000, MATCH(125, 'Detalles movimientos'!$Q$5:$Q$1000, 0)), "")</f>
        <v/>
      </c>
      <c r="C137" s="19" t="str">
        <f>IFERROR(INDEX('Detalles movimientos'!D$5:D$1000, MATCH(125, 'Detalles movimientos'!$Q$5:$Q$1000, 0)), "")</f>
        <v/>
      </c>
      <c r="D137" s="20" t="str">
        <f>IFERROR(INDEX('Detalles movimientos'!E$5:E$1000, MATCH(125, 'Detalles movimientos'!$Q$5:$Q$1000, 0)), "")</f>
        <v/>
      </c>
      <c r="E137" s="20" t="str">
        <f>IFERROR(INDEX('Detalles movimientos'!F$5:F$1000, MATCH(125, 'Detalles movimientos'!$Q$5:$Q$1000, 0)), "")</f>
        <v/>
      </c>
      <c r="F137" s="19" t="str">
        <f>IFERROR(INDEX('Detalles movimientos'!G$5:G$1000, MATCH(125, 'Detalles movimientos'!$Q$5:$Q$1000, 0)), "")</f>
        <v/>
      </c>
      <c r="G137" s="21" t="str">
        <f>IFERROR(INDEX('Detalles movimientos'!H$5:H$1000, MATCH(125, 'Detalles movimientos'!$Q$5:$Q$1000, 0)), "")</f>
        <v/>
      </c>
      <c r="H137" s="22" t="str">
        <f>IFERROR(INDEX('Detalles movimientos'!I$5:I$1000, MATCH(125, 'Detalles movimientos'!$Q$5:$Q$1000, 0)), "")</f>
        <v/>
      </c>
      <c r="I137" s="21" t="str">
        <f>IFERROR(INDEX('Detalles movimientos'!J$5:J$1000, MATCH(125, 'Detalles movimientos'!$Q$5:$Q$1000, 0)), "")</f>
        <v/>
      </c>
      <c r="J137" s="20" t="str">
        <f>IFERROR(INDEX('Detalles movimientos'!K$5:K$1000, MATCH(125, 'Detalles movimientos'!$Q$5:$Q$1000, 0)), "")</f>
        <v/>
      </c>
      <c r="K137" s="21" t="str">
        <f>IFERROR(INDEX('Detalles movimientos'!L$5:L$1000, MATCH(125, 'Detalles movimientos'!$Q$5:$Q$1000, 0)), "")</f>
        <v/>
      </c>
      <c r="L137" s="19" t="str">
        <f>IFERROR(INDEX('Detalles movimientos'!M$5:M$1000, MATCH(125, 'Detalles movimientos'!$Q$5:$Q$1000, 0)), "")</f>
        <v/>
      </c>
      <c r="M137" s="19" t="str">
        <f>IFERROR(INDEX('Detalles movimientos'!P$5:P$1000, MATCH(125, 'Detalles movimientos'!$Q$5:$Q$1000, 0)), "")</f>
        <v/>
      </c>
    </row>
    <row r="138" spans="2:13" x14ac:dyDescent="0.2">
      <c r="B138" s="18" t="str">
        <f>IFERROR(INDEX('Detalles movimientos'!C$5:C$1000, MATCH(126, 'Detalles movimientos'!$Q$5:$Q$1000, 0)), "")</f>
        <v/>
      </c>
      <c r="C138" s="19" t="str">
        <f>IFERROR(INDEX('Detalles movimientos'!D$5:D$1000, MATCH(126, 'Detalles movimientos'!$Q$5:$Q$1000, 0)), "")</f>
        <v/>
      </c>
      <c r="D138" s="20" t="str">
        <f>IFERROR(INDEX('Detalles movimientos'!E$5:E$1000, MATCH(126, 'Detalles movimientos'!$Q$5:$Q$1000, 0)), "")</f>
        <v/>
      </c>
      <c r="E138" s="20" t="str">
        <f>IFERROR(INDEX('Detalles movimientos'!F$5:F$1000, MATCH(126, 'Detalles movimientos'!$Q$5:$Q$1000, 0)), "")</f>
        <v/>
      </c>
      <c r="F138" s="19" t="str">
        <f>IFERROR(INDEX('Detalles movimientos'!G$5:G$1000, MATCH(126, 'Detalles movimientos'!$Q$5:$Q$1000, 0)), "")</f>
        <v/>
      </c>
      <c r="G138" s="21" t="str">
        <f>IFERROR(INDEX('Detalles movimientos'!H$5:H$1000, MATCH(126, 'Detalles movimientos'!$Q$5:$Q$1000, 0)), "")</f>
        <v/>
      </c>
      <c r="H138" s="22" t="str">
        <f>IFERROR(INDEX('Detalles movimientos'!I$5:I$1000, MATCH(126, 'Detalles movimientos'!$Q$5:$Q$1000, 0)), "")</f>
        <v/>
      </c>
      <c r="I138" s="21" t="str">
        <f>IFERROR(INDEX('Detalles movimientos'!J$5:J$1000, MATCH(126, 'Detalles movimientos'!$Q$5:$Q$1000, 0)), "")</f>
        <v/>
      </c>
      <c r="J138" s="20" t="str">
        <f>IFERROR(INDEX('Detalles movimientos'!K$5:K$1000, MATCH(126, 'Detalles movimientos'!$Q$5:$Q$1000, 0)), "")</f>
        <v/>
      </c>
      <c r="K138" s="21" t="str">
        <f>IFERROR(INDEX('Detalles movimientos'!L$5:L$1000, MATCH(126, 'Detalles movimientos'!$Q$5:$Q$1000, 0)), "")</f>
        <v/>
      </c>
      <c r="L138" s="19" t="str">
        <f>IFERROR(INDEX('Detalles movimientos'!M$5:M$1000, MATCH(126, 'Detalles movimientos'!$Q$5:$Q$1000, 0)), "")</f>
        <v/>
      </c>
      <c r="M138" s="19" t="str">
        <f>IFERROR(INDEX('Detalles movimientos'!P$5:P$1000, MATCH(126, 'Detalles movimientos'!$Q$5:$Q$1000, 0)), "")</f>
        <v/>
      </c>
    </row>
    <row r="139" spans="2:13" x14ac:dyDescent="0.2">
      <c r="B139" s="18" t="str">
        <f>IFERROR(INDEX('Detalles movimientos'!C$5:C$1000, MATCH(127, 'Detalles movimientos'!$Q$5:$Q$1000, 0)), "")</f>
        <v/>
      </c>
      <c r="C139" s="19" t="str">
        <f>IFERROR(INDEX('Detalles movimientos'!D$5:D$1000, MATCH(127, 'Detalles movimientos'!$Q$5:$Q$1000, 0)), "")</f>
        <v/>
      </c>
      <c r="D139" s="20" t="str">
        <f>IFERROR(INDEX('Detalles movimientos'!E$5:E$1000, MATCH(127, 'Detalles movimientos'!$Q$5:$Q$1000, 0)), "")</f>
        <v/>
      </c>
      <c r="E139" s="20" t="str">
        <f>IFERROR(INDEX('Detalles movimientos'!F$5:F$1000, MATCH(127, 'Detalles movimientos'!$Q$5:$Q$1000, 0)), "")</f>
        <v/>
      </c>
      <c r="F139" s="19" t="str">
        <f>IFERROR(INDEX('Detalles movimientos'!G$5:G$1000, MATCH(127, 'Detalles movimientos'!$Q$5:$Q$1000, 0)), "")</f>
        <v/>
      </c>
      <c r="G139" s="21" t="str">
        <f>IFERROR(INDEX('Detalles movimientos'!H$5:H$1000, MATCH(127, 'Detalles movimientos'!$Q$5:$Q$1000, 0)), "")</f>
        <v/>
      </c>
      <c r="H139" s="22" t="str">
        <f>IFERROR(INDEX('Detalles movimientos'!I$5:I$1000, MATCH(127, 'Detalles movimientos'!$Q$5:$Q$1000, 0)), "")</f>
        <v/>
      </c>
      <c r="I139" s="21" t="str">
        <f>IFERROR(INDEX('Detalles movimientos'!J$5:J$1000, MATCH(127, 'Detalles movimientos'!$Q$5:$Q$1000, 0)), "")</f>
        <v/>
      </c>
      <c r="J139" s="20" t="str">
        <f>IFERROR(INDEX('Detalles movimientos'!K$5:K$1000, MATCH(127, 'Detalles movimientos'!$Q$5:$Q$1000, 0)), "")</f>
        <v/>
      </c>
      <c r="K139" s="21" t="str">
        <f>IFERROR(INDEX('Detalles movimientos'!L$5:L$1000, MATCH(127, 'Detalles movimientos'!$Q$5:$Q$1000, 0)), "")</f>
        <v/>
      </c>
      <c r="L139" s="19" t="str">
        <f>IFERROR(INDEX('Detalles movimientos'!M$5:M$1000, MATCH(127, 'Detalles movimientos'!$Q$5:$Q$1000, 0)), "")</f>
        <v/>
      </c>
      <c r="M139" s="19" t="str">
        <f>IFERROR(INDEX('Detalles movimientos'!P$5:P$1000, MATCH(127, 'Detalles movimientos'!$Q$5:$Q$1000, 0)), "")</f>
        <v/>
      </c>
    </row>
    <row r="140" spans="2:13" x14ac:dyDescent="0.2">
      <c r="B140" s="18" t="str">
        <f>IFERROR(INDEX('Detalles movimientos'!C$5:C$1000, MATCH(128, 'Detalles movimientos'!$Q$5:$Q$1000, 0)), "")</f>
        <v/>
      </c>
      <c r="C140" s="19" t="str">
        <f>IFERROR(INDEX('Detalles movimientos'!D$5:D$1000, MATCH(128, 'Detalles movimientos'!$Q$5:$Q$1000, 0)), "")</f>
        <v/>
      </c>
      <c r="D140" s="20" t="str">
        <f>IFERROR(INDEX('Detalles movimientos'!E$5:E$1000, MATCH(128, 'Detalles movimientos'!$Q$5:$Q$1000, 0)), "")</f>
        <v/>
      </c>
      <c r="E140" s="20" t="str">
        <f>IFERROR(INDEX('Detalles movimientos'!F$5:F$1000, MATCH(128, 'Detalles movimientos'!$Q$5:$Q$1000, 0)), "")</f>
        <v/>
      </c>
      <c r="F140" s="19" t="str">
        <f>IFERROR(INDEX('Detalles movimientos'!G$5:G$1000, MATCH(128, 'Detalles movimientos'!$Q$5:$Q$1000, 0)), "")</f>
        <v/>
      </c>
      <c r="G140" s="21" t="str">
        <f>IFERROR(INDEX('Detalles movimientos'!H$5:H$1000, MATCH(128, 'Detalles movimientos'!$Q$5:$Q$1000, 0)), "")</f>
        <v/>
      </c>
      <c r="H140" s="22" t="str">
        <f>IFERROR(INDEX('Detalles movimientos'!I$5:I$1000, MATCH(128, 'Detalles movimientos'!$Q$5:$Q$1000, 0)), "")</f>
        <v/>
      </c>
      <c r="I140" s="21" t="str">
        <f>IFERROR(INDEX('Detalles movimientos'!J$5:J$1000, MATCH(128, 'Detalles movimientos'!$Q$5:$Q$1000, 0)), "")</f>
        <v/>
      </c>
      <c r="J140" s="20" t="str">
        <f>IFERROR(INDEX('Detalles movimientos'!K$5:K$1000, MATCH(128, 'Detalles movimientos'!$Q$5:$Q$1000, 0)), "")</f>
        <v/>
      </c>
      <c r="K140" s="21" t="str">
        <f>IFERROR(INDEX('Detalles movimientos'!L$5:L$1000, MATCH(128, 'Detalles movimientos'!$Q$5:$Q$1000, 0)), "")</f>
        <v/>
      </c>
      <c r="L140" s="19" t="str">
        <f>IFERROR(INDEX('Detalles movimientos'!M$5:M$1000, MATCH(128, 'Detalles movimientos'!$Q$5:$Q$1000, 0)), "")</f>
        <v/>
      </c>
      <c r="M140" s="19" t="str">
        <f>IFERROR(INDEX('Detalles movimientos'!P$5:P$1000, MATCH(128, 'Detalles movimientos'!$Q$5:$Q$1000, 0)), "")</f>
        <v/>
      </c>
    </row>
    <row r="141" spans="2:13" x14ac:dyDescent="0.2">
      <c r="B141" s="18" t="str">
        <f>IFERROR(INDEX('Detalles movimientos'!C$5:C$1000, MATCH(129, 'Detalles movimientos'!$Q$5:$Q$1000, 0)), "")</f>
        <v/>
      </c>
      <c r="C141" s="19" t="str">
        <f>IFERROR(INDEX('Detalles movimientos'!D$5:D$1000, MATCH(129, 'Detalles movimientos'!$Q$5:$Q$1000, 0)), "")</f>
        <v/>
      </c>
      <c r="D141" s="20" t="str">
        <f>IFERROR(INDEX('Detalles movimientos'!E$5:E$1000, MATCH(129, 'Detalles movimientos'!$Q$5:$Q$1000, 0)), "")</f>
        <v/>
      </c>
      <c r="E141" s="20" t="str">
        <f>IFERROR(INDEX('Detalles movimientos'!F$5:F$1000, MATCH(129, 'Detalles movimientos'!$Q$5:$Q$1000, 0)), "")</f>
        <v/>
      </c>
      <c r="F141" s="19" t="str">
        <f>IFERROR(INDEX('Detalles movimientos'!G$5:G$1000, MATCH(129, 'Detalles movimientos'!$Q$5:$Q$1000, 0)), "")</f>
        <v/>
      </c>
      <c r="G141" s="21" t="str">
        <f>IFERROR(INDEX('Detalles movimientos'!H$5:H$1000, MATCH(129, 'Detalles movimientos'!$Q$5:$Q$1000, 0)), "")</f>
        <v/>
      </c>
      <c r="H141" s="22" t="str">
        <f>IFERROR(INDEX('Detalles movimientos'!I$5:I$1000, MATCH(129, 'Detalles movimientos'!$Q$5:$Q$1000, 0)), "")</f>
        <v/>
      </c>
      <c r="I141" s="21" t="str">
        <f>IFERROR(INDEX('Detalles movimientos'!J$5:J$1000, MATCH(129, 'Detalles movimientos'!$Q$5:$Q$1000, 0)), "")</f>
        <v/>
      </c>
      <c r="J141" s="20" t="str">
        <f>IFERROR(INDEX('Detalles movimientos'!K$5:K$1000, MATCH(129, 'Detalles movimientos'!$Q$5:$Q$1000, 0)), "")</f>
        <v/>
      </c>
      <c r="K141" s="21" t="str">
        <f>IFERROR(INDEX('Detalles movimientos'!L$5:L$1000, MATCH(129, 'Detalles movimientos'!$Q$5:$Q$1000, 0)), "")</f>
        <v/>
      </c>
      <c r="L141" s="19" t="str">
        <f>IFERROR(INDEX('Detalles movimientos'!M$5:M$1000, MATCH(129, 'Detalles movimientos'!$Q$5:$Q$1000, 0)), "")</f>
        <v/>
      </c>
      <c r="M141" s="19" t="str">
        <f>IFERROR(INDEX('Detalles movimientos'!P$5:P$1000, MATCH(129, 'Detalles movimientos'!$Q$5:$Q$1000, 0)), "")</f>
        <v/>
      </c>
    </row>
    <row r="142" spans="2:13" x14ac:dyDescent="0.2">
      <c r="B142" s="18" t="str">
        <f>IFERROR(INDEX('Detalles movimientos'!C$5:C$1000, MATCH(130, 'Detalles movimientos'!$Q$5:$Q$1000, 0)), "")</f>
        <v/>
      </c>
      <c r="C142" s="19" t="str">
        <f>IFERROR(INDEX('Detalles movimientos'!D$5:D$1000, MATCH(130, 'Detalles movimientos'!$Q$5:$Q$1000, 0)), "")</f>
        <v/>
      </c>
      <c r="D142" s="20" t="str">
        <f>IFERROR(INDEX('Detalles movimientos'!E$5:E$1000, MATCH(130, 'Detalles movimientos'!$Q$5:$Q$1000, 0)), "")</f>
        <v/>
      </c>
      <c r="E142" s="20" t="str">
        <f>IFERROR(INDEX('Detalles movimientos'!F$5:F$1000, MATCH(130, 'Detalles movimientos'!$Q$5:$Q$1000, 0)), "")</f>
        <v/>
      </c>
      <c r="F142" s="19" t="str">
        <f>IFERROR(INDEX('Detalles movimientos'!G$5:G$1000, MATCH(130, 'Detalles movimientos'!$Q$5:$Q$1000, 0)), "")</f>
        <v/>
      </c>
      <c r="G142" s="21" t="str">
        <f>IFERROR(INDEX('Detalles movimientos'!H$5:H$1000, MATCH(130, 'Detalles movimientos'!$Q$5:$Q$1000, 0)), "")</f>
        <v/>
      </c>
      <c r="H142" s="22" t="str">
        <f>IFERROR(INDEX('Detalles movimientos'!I$5:I$1000, MATCH(130, 'Detalles movimientos'!$Q$5:$Q$1000, 0)), "")</f>
        <v/>
      </c>
      <c r="I142" s="21" t="str">
        <f>IFERROR(INDEX('Detalles movimientos'!J$5:J$1000, MATCH(130, 'Detalles movimientos'!$Q$5:$Q$1000, 0)), "")</f>
        <v/>
      </c>
      <c r="J142" s="20" t="str">
        <f>IFERROR(INDEX('Detalles movimientos'!K$5:K$1000, MATCH(130, 'Detalles movimientos'!$Q$5:$Q$1000, 0)), "")</f>
        <v/>
      </c>
      <c r="K142" s="21" t="str">
        <f>IFERROR(INDEX('Detalles movimientos'!L$5:L$1000, MATCH(130, 'Detalles movimientos'!$Q$5:$Q$1000, 0)), "")</f>
        <v/>
      </c>
      <c r="L142" s="19" t="str">
        <f>IFERROR(INDEX('Detalles movimientos'!M$5:M$1000, MATCH(130, 'Detalles movimientos'!$Q$5:$Q$1000, 0)), "")</f>
        <v/>
      </c>
      <c r="M142" s="19" t="str">
        <f>IFERROR(INDEX('Detalles movimientos'!P$5:P$1000, MATCH(130, 'Detalles movimientos'!$Q$5:$Q$1000, 0)), "")</f>
        <v/>
      </c>
    </row>
    <row r="143" spans="2:13" x14ac:dyDescent="0.2">
      <c r="B143" s="18" t="str">
        <f>IFERROR(INDEX('Detalles movimientos'!C$5:C$1000, MATCH(131, 'Detalles movimientos'!$Q$5:$Q$1000, 0)), "")</f>
        <v/>
      </c>
      <c r="C143" s="19" t="str">
        <f>IFERROR(INDEX('Detalles movimientos'!D$5:D$1000, MATCH(131, 'Detalles movimientos'!$Q$5:$Q$1000, 0)), "")</f>
        <v/>
      </c>
      <c r="D143" s="20" t="str">
        <f>IFERROR(INDEX('Detalles movimientos'!E$5:E$1000, MATCH(131, 'Detalles movimientos'!$Q$5:$Q$1000, 0)), "")</f>
        <v/>
      </c>
      <c r="E143" s="20" t="str">
        <f>IFERROR(INDEX('Detalles movimientos'!F$5:F$1000, MATCH(131, 'Detalles movimientos'!$Q$5:$Q$1000, 0)), "")</f>
        <v/>
      </c>
      <c r="F143" s="19" t="str">
        <f>IFERROR(INDEX('Detalles movimientos'!G$5:G$1000, MATCH(131, 'Detalles movimientos'!$Q$5:$Q$1000, 0)), "")</f>
        <v/>
      </c>
      <c r="G143" s="21" t="str">
        <f>IFERROR(INDEX('Detalles movimientos'!H$5:H$1000, MATCH(131, 'Detalles movimientos'!$Q$5:$Q$1000, 0)), "")</f>
        <v/>
      </c>
      <c r="H143" s="22" t="str">
        <f>IFERROR(INDEX('Detalles movimientos'!I$5:I$1000, MATCH(131, 'Detalles movimientos'!$Q$5:$Q$1000, 0)), "")</f>
        <v/>
      </c>
      <c r="I143" s="21" t="str">
        <f>IFERROR(INDEX('Detalles movimientos'!J$5:J$1000, MATCH(131, 'Detalles movimientos'!$Q$5:$Q$1000, 0)), "")</f>
        <v/>
      </c>
      <c r="J143" s="20" t="str">
        <f>IFERROR(INDEX('Detalles movimientos'!K$5:K$1000, MATCH(131, 'Detalles movimientos'!$Q$5:$Q$1000, 0)), "")</f>
        <v/>
      </c>
      <c r="K143" s="21" t="str">
        <f>IFERROR(INDEX('Detalles movimientos'!L$5:L$1000, MATCH(131, 'Detalles movimientos'!$Q$5:$Q$1000, 0)), "")</f>
        <v/>
      </c>
      <c r="L143" s="19" t="str">
        <f>IFERROR(INDEX('Detalles movimientos'!M$5:M$1000, MATCH(131, 'Detalles movimientos'!$Q$5:$Q$1000, 0)), "")</f>
        <v/>
      </c>
      <c r="M143" s="19" t="str">
        <f>IFERROR(INDEX('Detalles movimientos'!P$5:P$1000, MATCH(131, 'Detalles movimientos'!$Q$5:$Q$1000, 0)), "")</f>
        <v/>
      </c>
    </row>
    <row r="144" spans="2:13" x14ac:dyDescent="0.2">
      <c r="B144" s="18" t="str">
        <f>IFERROR(INDEX('Detalles movimientos'!C$5:C$1000, MATCH(132, 'Detalles movimientos'!$Q$5:$Q$1000, 0)), "")</f>
        <v/>
      </c>
      <c r="C144" s="19" t="str">
        <f>IFERROR(INDEX('Detalles movimientos'!D$5:D$1000, MATCH(132, 'Detalles movimientos'!$Q$5:$Q$1000, 0)), "")</f>
        <v/>
      </c>
      <c r="D144" s="20" t="str">
        <f>IFERROR(INDEX('Detalles movimientos'!E$5:E$1000, MATCH(132, 'Detalles movimientos'!$Q$5:$Q$1000, 0)), "")</f>
        <v/>
      </c>
      <c r="E144" s="20" t="str">
        <f>IFERROR(INDEX('Detalles movimientos'!F$5:F$1000, MATCH(132, 'Detalles movimientos'!$Q$5:$Q$1000, 0)), "")</f>
        <v/>
      </c>
      <c r="F144" s="19" t="str">
        <f>IFERROR(INDEX('Detalles movimientos'!G$5:G$1000, MATCH(132, 'Detalles movimientos'!$Q$5:$Q$1000, 0)), "")</f>
        <v/>
      </c>
      <c r="G144" s="21" t="str">
        <f>IFERROR(INDEX('Detalles movimientos'!H$5:H$1000, MATCH(132, 'Detalles movimientos'!$Q$5:$Q$1000, 0)), "")</f>
        <v/>
      </c>
      <c r="H144" s="22" t="str">
        <f>IFERROR(INDEX('Detalles movimientos'!I$5:I$1000, MATCH(132, 'Detalles movimientos'!$Q$5:$Q$1000, 0)), "")</f>
        <v/>
      </c>
      <c r="I144" s="21" t="str">
        <f>IFERROR(INDEX('Detalles movimientos'!J$5:J$1000, MATCH(132, 'Detalles movimientos'!$Q$5:$Q$1000, 0)), "")</f>
        <v/>
      </c>
      <c r="J144" s="20" t="str">
        <f>IFERROR(INDEX('Detalles movimientos'!K$5:K$1000, MATCH(132, 'Detalles movimientos'!$Q$5:$Q$1000, 0)), "")</f>
        <v/>
      </c>
      <c r="K144" s="21" t="str">
        <f>IFERROR(INDEX('Detalles movimientos'!L$5:L$1000, MATCH(132, 'Detalles movimientos'!$Q$5:$Q$1000, 0)), "")</f>
        <v/>
      </c>
      <c r="L144" s="19" t="str">
        <f>IFERROR(INDEX('Detalles movimientos'!M$5:M$1000, MATCH(132, 'Detalles movimientos'!$Q$5:$Q$1000, 0)), "")</f>
        <v/>
      </c>
      <c r="M144" s="19" t="str">
        <f>IFERROR(INDEX('Detalles movimientos'!P$5:P$1000, MATCH(132, 'Detalles movimientos'!$Q$5:$Q$1000, 0)), "")</f>
        <v/>
      </c>
    </row>
    <row r="145" spans="2:13" x14ac:dyDescent="0.2">
      <c r="B145" s="18" t="str">
        <f>IFERROR(INDEX('Detalles movimientos'!C$5:C$1000, MATCH(133, 'Detalles movimientos'!$Q$5:$Q$1000, 0)), "")</f>
        <v/>
      </c>
      <c r="C145" s="19" t="str">
        <f>IFERROR(INDEX('Detalles movimientos'!D$5:D$1000, MATCH(133, 'Detalles movimientos'!$Q$5:$Q$1000, 0)), "")</f>
        <v/>
      </c>
      <c r="D145" s="20" t="str">
        <f>IFERROR(INDEX('Detalles movimientos'!E$5:E$1000, MATCH(133, 'Detalles movimientos'!$Q$5:$Q$1000, 0)), "")</f>
        <v/>
      </c>
      <c r="E145" s="20" t="str">
        <f>IFERROR(INDEX('Detalles movimientos'!F$5:F$1000, MATCH(133, 'Detalles movimientos'!$Q$5:$Q$1000, 0)), "")</f>
        <v/>
      </c>
      <c r="F145" s="19" t="str">
        <f>IFERROR(INDEX('Detalles movimientos'!G$5:G$1000, MATCH(133, 'Detalles movimientos'!$Q$5:$Q$1000, 0)), "")</f>
        <v/>
      </c>
      <c r="G145" s="21" t="str">
        <f>IFERROR(INDEX('Detalles movimientos'!H$5:H$1000, MATCH(133, 'Detalles movimientos'!$Q$5:$Q$1000, 0)), "")</f>
        <v/>
      </c>
      <c r="H145" s="22" t="str">
        <f>IFERROR(INDEX('Detalles movimientos'!I$5:I$1000, MATCH(133, 'Detalles movimientos'!$Q$5:$Q$1000, 0)), "")</f>
        <v/>
      </c>
      <c r="I145" s="21" t="str">
        <f>IFERROR(INDEX('Detalles movimientos'!J$5:J$1000, MATCH(133, 'Detalles movimientos'!$Q$5:$Q$1000, 0)), "")</f>
        <v/>
      </c>
      <c r="J145" s="20" t="str">
        <f>IFERROR(INDEX('Detalles movimientos'!K$5:K$1000, MATCH(133, 'Detalles movimientos'!$Q$5:$Q$1000, 0)), "")</f>
        <v/>
      </c>
      <c r="K145" s="21" t="str">
        <f>IFERROR(INDEX('Detalles movimientos'!L$5:L$1000, MATCH(133, 'Detalles movimientos'!$Q$5:$Q$1000, 0)), "")</f>
        <v/>
      </c>
      <c r="L145" s="19" t="str">
        <f>IFERROR(INDEX('Detalles movimientos'!M$5:M$1000, MATCH(133, 'Detalles movimientos'!$Q$5:$Q$1000, 0)), "")</f>
        <v/>
      </c>
      <c r="M145" s="19" t="str">
        <f>IFERROR(INDEX('Detalles movimientos'!P$5:P$1000, MATCH(133, 'Detalles movimientos'!$Q$5:$Q$1000, 0)), "")</f>
        <v/>
      </c>
    </row>
    <row r="146" spans="2:13" x14ac:dyDescent="0.2">
      <c r="B146" s="18" t="str">
        <f>IFERROR(INDEX('Detalles movimientos'!C$5:C$1000, MATCH(134, 'Detalles movimientos'!$Q$5:$Q$1000, 0)), "")</f>
        <v/>
      </c>
      <c r="C146" s="19" t="str">
        <f>IFERROR(INDEX('Detalles movimientos'!D$5:D$1000, MATCH(134, 'Detalles movimientos'!$Q$5:$Q$1000, 0)), "")</f>
        <v/>
      </c>
      <c r="D146" s="20" t="str">
        <f>IFERROR(INDEX('Detalles movimientos'!E$5:E$1000, MATCH(134, 'Detalles movimientos'!$Q$5:$Q$1000, 0)), "")</f>
        <v/>
      </c>
      <c r="E146" s="20" t="str">
        <f>IFERROR(INDEX('Detalles movimientos'!F$5:F$1000, MATCH(134, 'Detalles movimientos'!$Q$5:$Q$1000, 0)), "")</f>
        <v/>
      </c>
      <c r="F146" s="19" t="str">
        <f>IFERROR(INDEX('Detalles movimientos'!G$5:G$1000, MATCH(134, 'Detalles movimientos'!$Q$5:$Q$1000, 0)), "")</f>
        <v/>
      </c>
      <c r="G146" s="21" t="str">
        <f>IFERROR(INDEX('Detalles movimientos'!H$5:H$1000, MATCH(134, 'Detalles movimientos'!$Q$5:$Q$1000, 0)), "")</f>
        <v/>
      </c>
      <c r="H146" s="22" t="str">
        <f>IFERROR(INDEX('Detalles movimientos'!I$5:I$1000, MATCH(134, 'Detalles movimientos'!$Q$5:$Q$1000, 0)), "")</f>
        <v/>
      </c>
      <c r="I146" s="21" t="str">
        <f>IFERROR(INDEX('Detalles movimientos'!J$5:J$1000, MATCH(134, 'Detalles movimientos'!$Q$5:$Q$1000, 0)), "")</f>
        <v/>
      </c>
      <c r="J146" s="20" t="str">
        <f>IFERROR(INDEX('Detalles movimientos'!K$5:K$1000, MATCH(134, 'Detalles movimientos'!$Q$5:$Q$1000, 0)), "")</f>
        <v/>
      </c>
      <c r="K146" s="21" t="str">
        <f>IFERROR(INDEX('Detalles movimientos'!L$5:L$1000, MATCH(134, 'Detalles movimientos'!$Q$5:$Q$1000, 0)), "")</f>
        <v/>
      </c>
      <c r="L146" s="19" t="str">
        <f>IFERROR(INDEX('Detalles movimientos'!M$5:M$1000, MATCH(134, 'Detalles movimientos'!$Q$5:$Q$1000, 0)), "")</f>
        <v/>
      </c>
      <c r="M146" s="19" t="str">
        <f>IFERROR(INDEX('Detalles movimientos'!P$5:P$1000, MATCH(134, 'Detalles movimientos'!$Q$5:$Q$1000, 0)), "")</f>
        <v/>
      </c>
    </row>
    <row r="147" spans="2:13" x14ac:dyDescent="0.2">
      <c r="B147" s="18" t="str">
        <f>IFERROR(INDEX('Detalles movimientos'!C$5:C$1000, MATCH(135, 'Detalles movimientos'!$Q$5:$Q$1000, 0)), "")</f>
        <v/>
      </c>
      <c r="C147" s="19" t="str">
        <f>IFERROR(INDEX('Detalles movimientos'!D$5:D$1000, MATCH(135, 'Detalles movimientos'!$Q$5:$Q$1000, 0)), "")</f>
        <v/>
      </c>
      <c r="D147" s="20" t="str">
        <f>IFERROR(INDEX('Detalles movimientos'!E$5:E$1000, MATCH(135, 'Detalles movimientos'!$Q$5:$Q$1000, 0)), "")</f>
        <v/>
      </c>
      <c r="E147" s="20" t="str">
        <f>IFERROR(INDEX('Detalles movimientos'!F$5:F$1000, MATCH(135, 'Detalles movimientos'!$Q$5:$Q$1000, 0)), "")</f>
        <v/>
      </c>
      <c r="F147" s="19" t="str">
        <f>IFERROR(INDEX('Detalles movimientos'!G$5:G$1000, MATCH(135, 'Detalles movimientos'!$Q$5:$Q$1000, 0)), "")</f>
        <v/>
      </c>
      <c r="G147" s="21" t="str">
        <f>IFERROR(INDEX('Detalles movimientos'!H$5:H$1000, MATCH(135, 'Detalles movimientos'!$Q$5:$Q$1000, 0)), "")</f>
        <v/>
      </c>
      <c r="H147" s="22" t="str">
        <f>IFERROR(INDEX('Detalles movimientos'!I$5:I$1000, MATCH(135, 'Detalles movimientos'!$Q$5:$Q$1000, 0)), "")</f>
        <v/>
      </c>
      <c r="I147" s="21" t="str">
        <f>IFERROR(INDEX('Detalles movimientos'!J$5:J$1000, MATCH(135, 'Detalles movimientos'!$Q$5:$Q$1000, 0)), "")</f>
        <v/>
      </c>
      <c r="J147" s="20" t="str">
        <f>IFERROR(INDEX('Detalles movimientos'!K$5:K$1000, MATCH(135, 'Detalles movimientos'!$Q$5:$Q$1000, 0)), "")</f>
        <v/>
      </c>
      <c r="K147" s="21" t="str">
        <f>IFERROR(INDEX('Detalles movimientos'!L$5:L$1000, MATCH(135, 'Detalles movimientos'!$Q$5:$Q$1000, 0)), "")</f>
        <v/>
      </c>
      <c r="L147" s="19" t="str">
        <f>IFERROR(INDEX('Detalles movimientos'!M$5:M$1000, MATCH(135, 'Detalles movimientos'!$Q$5:$Q$1000, 0)), "")</f>
        <v/>
      </c>
      <c r="M147" s="19" t="str">
        <f>IFERROR(INDEX('Detalles movimientos'!P$5:P$1000, MATCH(135, 'Detalles movimientos'!$Q$5:$Q$1000, 0)), "")</f>
        <v/>
      </c>
    </row>
    <row r="148" spans="2:13" x14ac:dyDescent="0.2">
      <c r="B148" s="18" t="str">
        <f>IFERROR(INDEX('Detalles movimientos'!C$5:C$1000, MATCH(136, 'Detalles movimientos'!$Q$5:$Q$1000, 0)), "")</f>
        <v/>
      </c>
      <c r="C148" s="19" t="str">
        <f>IFERROR(INDEX('Detalles movimientos'!D$5:D$1000, MATCH(136, 'Detalles movimientos'!$Q$5:$Q$1000, 0)), "")</f>
        <v/>
      </c>
      <c r="D148" s="20" t="str">
        <f>IFERROR(INDEX('Detalles movimientos'!E$5:E$1000, MATCH(136, 'Detalles movimientos'!$Q$5:$Q$1000, 0)), "")</f>
        <v/>
      </c>
      <c r="E148" s="20" t="str">
        <f>IFERROR(INDEX('Detalles movimientos'!F$5:F$1000, MATCH(136, 'Detalles movimientos'!$Q$5:$Q$1000, 0)), "")</f>
        <v/>
      </c>
      <c r="F148" s="19" t="str">
        <f>IFERROR(INDEX('Detalles movimientos'!G$5:G$1000, MATCH(136, 'Detalles movimientos'!$Q$5:$Q$1000, 0)), "")</f>
        <v/>
      </c>
      <c r="G148" s="21" t="str">
        <f>IFERROR(INDEX('Detalles movimientos'!H$5:H$1000, MATCH(136, 'Detalles movimientos'!$Q$5:$Q$1000, 0)), "")</f>
        <v/>
      </c>
      <c r="H148" s="22" t="str">
        <f>IFERROR(INDEX('Detalles movimientos'!I$5:I$1000, MATCH(136, 'Detalles movimientos'!$Q$5:$Q$1000, 0)), "")</f>
        <v/>
      </c>
      <c r="I148" s="21" t="str">
        <f>IFERROR(INDEX('Detalles movimientos'!J$5:J$1000, MATCH(136, 'Detalles movimientos'!$Q$5:$Q$1000, 0)), "")</f>
        <v/>
      </c>
      <c r="J148" s="20" t="str">
        <f>IFERROR(INDEX('Detalles movimientos'!K$5:K$1000, MATCH(136, 'Detalles movimientos'!$Q$5:$Q$1000, 0)), "")</f>
        <v/>
      </c>
      <c r="K148" s="21" t="str">
        <f>IFERROR(INDEX('Detalles movimientos'!L$5:L$1000, MATCH(136, 'Detalles movimientos'!$Q$5:$Q$1000, 0)), "")</f>
        <v/>
      </c>
      <c r="L148" s="19" t="str">
        <f>IFERROR(INDEX('Detalles movimientos'!M$5:M$1000, MATCH(136, 'Detalles movimientos'!$Q$5:$Q$1000, 0)), "")</f>
        <v/>
      </c>
      <c r="M148" s="19" t="str">
        <f>IFERROR(INDEX('Detalles movimientos'!P$5:P$1000, MATCH(136, 'Detalles movimientos'!$Q$5:$Q$1000, 0)), "")</f>
        <v/>
      </c>
    </row>
    <row r="149" spans="2:13" x14ac:dyDescent="0.2">
      <c r="B149" s="18" t="str">
        <f>IFERROR(INDEX('Detalles movimientos'!C$5:C$1000, MATCH(137, 'Detalles movimientos'!$Q$5:$Q$1000, 0)), "")</f>
        <v/>
      </c>
      <c r="C149" s="19" t="str">
        <f>IFERROR(INDEX('Detalles movimientos'!D$5:D$1000, MATCH(137, 'Detalles movimientos'!$Q$5:$Q$1000, 0)), "")</f>
        <v/>
      </c>
      <c r="D149" s="20" t="str">
        <f>IFERROR(INDEX('Detalles movimientos'!E$5:E$1000, MATCH(137, 'Detalles movimientos'!$Q$5:$Q$1000, 0)), "")</f>
        <v/>
      </c>
      <c r="E149" s="20" t="str">
        <f>IFERROR(INDEX('Detalles movimientos'!F$5:F$1000, MATCH(137, 'Detalles movimientos'!$Q$5:$Q$1000, 0)), "")</f>
        <v/>
      </c>
      <c r="F149" s="19" t="str">
        <f>IFERROR(INDEX('Detalles movimientos'!G$5:G$1000, MATCH(137, 'Detalles movimientos'!$Q$5:$Q$1000, 0)), "")</f>
        <v/>
      </c>
      <c r="G149" s="21" t="str">
        <f>IFERROR(INDEX('Detalles movimientos'!H$5:H$1000, MATCH(137, 'Detalles movimientos'!$Q$5:$Q$1000, 0)), "")</f>
        <v/>
      </c>
      <c r="H149" s="22" t="str">
        <f>IFERROR(INDEX('Detalles movimientos'!I$5:I$1000, MATCH(137, 'Detalles movimientos'!$Q$5:$Q$1000, 0)), "")</f>
        <v/>
      </c>
      <c r="I149" s="21" t="str">
        <f>IFERROR(INDEX('Detalles movimientos'!J$5:J$1000, MATCH(137, 'Detalles movimientos'!$Q$5:$Q$1000, 0)), "")</f>
        <v/>
      </c>
      <c r="J149" s="20" t="str">
        <f>IFERROR(INDEX('Detalles movimientos'!K$5:K$1000, MATCH(137, 'Detalles movimientos'!$Q$5:$Q$1000, 0)), "")</f>
        <v/>
      </c>
      <c r="K149" s="21" t="str">
        <f>IFERROR(INDEX('Detalles movimientos'!L$5:L$1000, MATCH(137, 'Detalles movimientos'!$Q$5:$Q$1000, 0)), "")</f>
        <v/>
      </c>
      <c r="L149" s="19" t="str">
        <f>IFERROR(INDEX('Detalles movimientos'!M$5:M$1000, MATCH(137, 'Detalles movimientos'!$Q$5:$Q$1000, 0)), "")</f>
        <v/>
      </c>
      <c r="M149" s="19" t="str">
        <f>IFERROR(INDEX('Detalles movimientos'!P$5:P$1000, MATCH(137, 'Detalles movimientos'!$Q$5:$Q$1000, 0)), "")</f>
        <v/>
      </c>
    </row>
    <row r="150" spans="2:13" x14ac:dyDescent="0.2">
      <c r="B150" s="18" t="str">
        <f>IFERROR(INDEX('Detalles movimientos'!C$5:C$1000, MATCH(138, 'Detalles movimientos'!$Q$5:$Q$1000, 0)), "")</f>
        <v/>
      </c>
      <c r="C150" s="19" t="str">
        <f>IFERROR(INDEX('Detalles movimientos'!D$5:D$1000, MATCH(138, 'Detalles movimientos'!$Q$5:$Q$1000, 0)), "")</f>
        <v/>
      </c>
      <c r="D150" s="20" t="str">
        <f>IFERROR(INDEX('Detalles movimientos'!E$5:E$1000, MATCH(138, 'Detalles movimientos'!$Q$5:$Q$1000, 0)), "")</f>
        <v/>
      </c>
      <c r="E150" s="20" t="str">
        <f>IFERROR(INDEX('Detalles movimientos'!F$5:F$1000, MATCH(138, 'Detalles movimientos'!$Q$5:$Q$1000, 0)), "")</f>
        <v/>
      </c>
      <c r="F150" s="19" t="str">
        <f>IFERROR(INDEX('Detalles movimientos'!G$5:G$1000, MATCH(138, 'Detalles movimientos'!$Q$5:$Q$1000, 0)), "")</f>
        <v/>
      </c>
      <c r="G150" s="21" t="str">
        <f>IFERROR(INDEX('Detalles movimientos'!H$5:H$1000, MATCH(138, 'Detalles movimientos'!$Q$5:$Q$1000, 0)), "")</f>
        <v/>
      </c>
      <c r="H150" s="22" t="str">
        <f>IFERROR(INDEX('Detalles movimientos'!I$5:I$1000, MATCH(138, 'Detalles movimientos'!$Q$5:$Q$1000, 0)), "")</f>
        <v/>
      </c>
      <c r="I150" s="21" t="str">
        <f>IFERROR(INDEX('Detalles movimientos'!J$5:J$1000, MATCH(138, 'Detalles movimientos'!$Q$5:$Q$1000, 0)), "")</f>
        <v/>
      </c>
      <c r="J150" s="20" t="str">
        <f>IFERROR(INDEX('Detalles movimientos'!K$5:K$1000, MATCH(138, 'Detalles movimientos'!$Q$5:$Q$1000, 0)), "")</f>
        <v/>
      </c>
      <c r="K150" s="21" t="str">
        <f>IFERROR(INDEX('Detalles movimientos'!L$5:L$1000, MATCH(138, 'Detalles movimientos'!$Q$5:$Q$1000, 0)), "")</f>
        <v/>
      </c>
      <c r="L150" s="19" t="str">
        <f>IFERROR(INDEX('Detalles movimientos'!M$5:M$1000, MATCH(138, 'Detalles movimientos'!$Q$5:$Q$1000, 0)), "")</f>
        <v/>
      </c>
      <c r="M150" s="19" t="str">
        <f>IFERROR(INDEX('Detalles movimientos'!P$5:P$1000, MATCH(138, 'Detalles movimientos'!$Q$5:$Q$1000, 0)), "")</f>
        <v/>
      </c>
    </row>
    <row r="151" spans="2:13" x14ac:dyDescent="0.2">
      <c r="B151" s="18" t="str">
        <f>IFERROR(INDEX('Detalles movimientos'!C$5:C$1000, MATCH(139, 'Detalles movimientos'!$Q$5:$Q$1000, 0)), "")</f>
        <v/>
      </c>
      <c r="C151" s="19" t="str">
        <f>IFERROR(INDEX('Detalles movimientos'!D$5:D$1000, MATCH(139, 'Detalles movimientos'!$Q$5:$Q$1000, 0)), "")</f>
        <v/>
      </c>
      <c r="D151" s="20" t="str">
        <f>IFERROR(INDEX('Detalles movimientos'!E$5:E$1000, MATCH(139, 'Detalles movimientos'!$Q$5:$Q$1000, 0)), "")</f>
        <v/>
      </c>
      <c r="E151" s="20" t="str">
        <f>IFERROR(INDEX('Detalles movimientos'!F$5:F$1000, MATCH(139, 'Detalles movimientos'!$Q$5:$Q$1000, 0)), "")</f>
        <v/>
      </c>
      <c r="F151" s="19" t="str">
        <f>IFERROR(INDEX('Detalles movimientos'!G$5:G$1000, MATCH(139, 'Detalles movimientos'!$Q$5:$Q$1000, 0)), "")</f>
        <v/>
      </c>
      <c r="G151" s="21" t="str">
        <f>IFERROR(INDEX('Detalles movimientos'!H$5:H$1000, MATCH(139, 'Detalles movimientos'!$Q$5:$Q$1000, 0)), "")</f>
        <v/>
      </c>
      <c r="H151" s="22" t="str">
        <f>IFERROR(INDEX('Detalles movimientos'!I$5:I$1000, MATCH(139, 'Detalles movimientos'!$Q$5:$Q$1000, 0)), "")</f>
        <v/>
      </c>
      <c r="I151" s="21" t="str">
        <f>IFERROR(INDEX('Detalles movimientos'!J$5:J$1000, MATCH(139, 'Detalles movimientos'!$Q$5:$Q$1000, 0)), "")</f>
        <v/>
      </c>
      <c r="J151" s="20" t="str">
        <f>IFERROR(INDEX('Detalles movimientos'!K$5:K$1000, MATCH(139, 'Detalles movimientos'!$Q$5:$Q$1000, 0)), "")</f>
        <v/>
      </c>
      <c r="K151" s="21" t="str">
        <f>IFERROR(INDEX('Detalles movimientos'!L$5:L$1000, MATCH(139, 'Detalles movimientos'!$Q$5:$Q$1000, 0)), "")</f>
        <v/>
      </c>
      <c r="L151" s="19" t="str">
        <f>IFERROR(INDEX('Detalles movimientos'!M$5:M$1000, MATCH(139, 'Detalles movimientos'!$Q$5:$Q$1000, 0)), "")</f>
        <v/>
      </c>
      <c r="M151" s="19" t="str">
        <f>IFERROR(INDEX('Detalles movimientos'!P$5:P$1000, MATCH(139, 'Detalles movimientos'!$Q$5:$Q$1000, 0)), "")</f>
        <v/>
      </c>
    </row>
    <row r="152" spans="2:13" x14ac:dyDescent="0.2">
      <c r="B152" s="18" t="str">
        <f>IFERROR(INDEX('Detalles movimientos'!C$5:C$1000, MATCH(140, 'Detalles movimientos'!$Q$5:$Q$1000, 0)), "")</f>
        <v/>
      </c>
      <c r="C152" s="19" t="str">
        <f>IFERROR(INDEX('Detalles movimientos'!D$5:D$1000, MATCH(140, 'Detalles movimientos'!$Q$5:$Q$1000, 0)), "")</f>
        <v/>
      </c>
      <c r="D152" s="20" t="str">
        <f>IFERROR(INDEX('Detalles movimientos'!E$5:E$1000, MATCH(140, 'Detalles movimientos'!$Q$5:$Q$1000, 0)), "")</f>
        <v/>
      </c>
      <c r="E152" s="20" t="str">
        <f>IFERROR(INDEX('Detalles movimientos'!F$5:F$1000, MATCH(140, 'Detalles movimientos'!$Q$5:$Q$1000, 0)), "")</f>
        <v/>
      </c>
      <c r="F152" s="19" t="str">
        <f>IFERROR(INDEX('Detalles movimientos'!G$5:G$1000, MATCH(140, 'Detalles movimientos'!$Q$5:$Q$1000, 0)), "")</f>
        <v/>
      </c>
      <c r="G152" s="21" t="str">
        <f>IFERROR(INDEX('Detalles movimientos'!H$5:H$1000, MATCH(140, 'Detalles movimientos'!$Q$5:$Q$1000, 0)), "")</f>
        <v/>
      </c>
      <c r="H152" s="22" t="str">
        <f>IFERROR(INDEX('Detalles movimientos'!I$5:I$1000, MATCH(140, 'Detalles movimientos'!$Q$5:$Q$1000, 0)), "")</f>
        <v/>
      </c>
      <c r="I152" s="21" t="str">
        <f>IFERROR(INDEX('Detalles movimientos'!J$5:J$1000, MATCH(140, 'Detalles movimientos'!$Q$5:$Q$1000, 0)), "")</f>
        <v/>
      </c>
      <c r="J152" s="20" t="str">
        <f>IFERROR(INDEX('Detalles movimientos'!K$5:K$1000, MATCH(140, 'Detalles movimientos'!$Q$5:$Q$1000, 0)), "")</f>
        <v/>
      </c>
      <c r="K152" s="21" t="str">
        <f>IFERROR(INDEX('Detalles movimientos'!L$5:L$1000, MATCH(140, 'Detalles movimientos'!$Q$5:$Q$1000, 0)), "")</f>
        <v/>
      </c>
      <c r="L152" s="19" t="str">
        <f>IFERROR(INDEX('Detalles movimientos'!M$5:M$1000, MATCH(140, 'Detalles movimientos'!$Q$5:$Q$1000, 0)), "")</f>
        <v/>
      </c>
      <c r="M152" s="19" t="str">
        <f>IFERROR(INDEX('Detalles movimientos'!P$5:P$1000, MATCH(140, 'Detalles movimientos'!$Q$5:$Q$1000, 0)), "")</f>
        <v/>
      </c>
    </row>
    <row r="153" spans="2:13" x14ac:dyDescent="0.2">
      <c r="B153" s="18" t="str">
        <f>IFERROR(INDEX('Detalles movimientos'!C$5:C$1000, MATCH(141, 'Detalles movimientos'!$Q$5:$Q$1000, 0)), "")</f>
        <v/>
      </c>
      <c r="C153" s="19" t="str">
        <f>IFERROR(INDEX('Detalles movimientos'!D$5:D$1000, MATCH(141, 'Detalles movimientos'!$Q$5:$Q$1000, 0)), "")</f>
        <v/>
      </c>
      <c r="D153" s="20" t="str">
        <f>IFERROR(INDEX('Detalles movimientos'!E$5:E$1000, MATCH(141, 'Detalles movimientos'!$Q$5:$Q$1000, 0)), "")</f>
        <v/>
      </c>
      <c r="E153" s="20" t="str">
        <f>IFERROR(INDEX('Detalles movimientos'!F$5:F$1000, MATCH(141, 'Detalles movimientos'!$Q$5:$Q$1000, 0)), "")</f>
        <v/>
      </c>
      <c r="F153" s="19" t="str">
        <f>IFERROR(INDEX('Detalles movimientos'!G$5:G$1000, MATCH(141, 'Detalles movimientos'!$Q$5:$Q$1000, 0)), "")</f>
        <v/>
      </c>
      <c r="G153" s="21" t="str">
        <f>IFERROR(INDEX('Detalles movimientos'!H$5:H$1000, MATCH(141, 'Detalles movimientos'!$Q$5:$Q$1000, 0)), "")</f>
        <v/>
      </c>
      <c r="H153" s="22" t="str">
        <f>IFERROR(INDEX('Detalles movimientos'!I$5:I$1000, MATCH(141, 'Detalles movimientos'!$Q$5:$Q$1000, 0)), "")</f>
        <v/>
      </c>
      <c r="I153" s="21" t="str">
        <f>IFERROR(INDEX('Detalles movimientos'!J$5:J$1000, MATCH(141, 'Detalles movimientos'!$Q$5:$Q$1000, 0)), "")</f>
        <v/>
      </c>
      <c r="J153" s="20" t="str">
        <f>IFERROR(INDEX('Detalles movimientos'!K$5:K$1000, MATCH(141, 'Detalles movimientos'!$Q$5:$Q$1000, 0)), "")</f>
        <v/>
      </c>
      <c r="K153" s="21" t="str">
        <f>IFERROR(INDEX('Detalles movimientos'!L$5:L$1000, MATCH(141, 'Detalles movimientos'!$Q$5:$Q$1000, 0)), "")</f>
        <v/>
      </c>
      <c r="L153" s="19" t="str">
        <f>IFERROR(INDEX('Detalles movimientos'!M$5:M$1000, MATCH(141, 'Detalles movimientos'!$Q$5:$Q$1000, 0)), "")</f>
        <v/>
      </c>
      <c r="M153" s="19" t="str">
        <f>IFERROR(INDEX('Detalles movimientos'!P$5:P$1000, MATCH(141, 'Detalles movimientos'!$Q$5:$Q$1000, 0)), "")</f>
        <v/>
      </c>
    </row>
    <row r="154" spans="2:13" x14ac:dyDescent="0.2">
      <c r="B154" s="18" t="str">
        <f>IFERROR(INDEX('Detalles movimientos'!C$5:C$1000, MATCH(142, 'Detalles movimientos'!$Q$5:$Q$1000, 0)), "")</f>
        <v/>
      </c>
      <c r="C154" s="19" t="str">
        <f>IFERROR(INDEX('Detalles movimientos'!D$5:D$1000, MATCH(142, 'Detalles movimientos'!$Q$5:$Q$1000, 0)), "")</f>
        <v/>
      </c>
      <c r="D154" s="20" t="str">
        <f>IFERROR(INDEX('Detalles movimientos'!E$5:E$1000, MATCH(142, 'Detalles movimientos'!$Q$5:$Q$1000, 0)), "")</f>
        <v/>
      </c>
      <c r="E154" s="20" t="str">
        <f>IFERROR(INDEX('Detalles movimientos'!F$5:F$1000, MATCH(142, 'Detalles movimientos'!$Q$5:$Q$1000, 0)), "")</f>
        <v/>
      </c>
      <c r="F154" s="19" t="str">
        <f>IFERROR(INDEX('Detalles movimientos'!G$5:G$1000, MATCH(142, 'Detalles movimientos'!$Q$5:$Q$1000, 0)), "")</f>
        <v/>
      </c>
      <c r="G154" s="21" t="str">
        <f>IFERROR(INDEX('Detalles movimientos'!H$5:H$1000, MATCH(142, 'Detalles movimientos'!$Q$5:$Q$1000, 0)), "")</f>
        <v/>
      </c>
      <c r="H154" s="22" t="str">
        <f>IFERROR(INDEX('Detalles movimientos'!I$5:I$1000, MATCH(142, 'Detalles movimientos'!$Q$5:$Q$1000, 0)), "")</f>
        <v/>
      </c>
      <c r="I154" s="21" t="str">
        <f>IFERROR(INDEX('Detalles movimientos'!J$5:J$1000, MATCH(142, 'Detalles movimientos'!$Q$5:$Q$1000, 0)), "")</f>
        <v/>
      </c>
      <c r="J154" s="20" t="str">
        <f>IFERROR(INDEX('Detalles movimientos'!K$5:K$1000, MATCH(142, 'Detalles movimientos'!$Q$5:$Q$1000, 0)), "")</f>
        <v/>
      </c>
      <c r="K154" s="21" t="str">
        <f>IFERROR(INDEX('Detalles movimientos'!L$5:L$1000, MATCH(142, 'Detalles movimientos'!$Q$5:$Q$1000, 0)), "")</f>
        <v/>
      </c>
      <c r="L154" s="19" t="str">
        <f>IFERROR(INDEX('Detalles movimientos'!M$5:M$1000, MATCH(142, 'Detalles movimientos'!$Q$5:$Q$1000, 0)), "")</f>
        <v/>
      </c>
      <c r="M154" s="19" t="str">
        <f>IFERROR(INDEX('Detalles movimientos'!P$5:P$1000, MATCH(142, 'Detalles movimientos'!$Q$5:$Q$1000, 0)), "")</f>
        <v/>
      </c>
    </row>
    <row r="155" spans="2:13" x14ac:dyDescent="0.2">
      <c r="B155" s="18" t="str">
        <f>IFERROR(INDEX('Detalles movimientos'!C$5:C$1000, MATCH(143, 'Detalles movimientos'!$Q$5:$Q$1000, 0)), "")</f>
        <v/>
      </c>
      <c r="C155" s="19" t="str">
        <f>IFERROR(INDEX('Detalles movimientos'!D$5:D$1000, MATCH(143, 'Detalles movimientos'!$Q$5:$Q$1000, 0)), "")</f>
        <v/>
      </c>
      <c r="D155" s="20" t="str">
        <f>IFERROR(INDEX('Detalles movimientos'!E$5:E$1000, MATCH(143, 'Detalles movimientos'!$Q$5:$Q$1000, 0)), "")</f>
        <v/>
      </c>
      <c r="E155" s="20" t="str">
        <f>IFERROR(INDEX('Detalles movimientos'!F$5:F$1000, MATCH(143, 'Detalles movimientos'!$Q$5:$Q$1000, 0)), "")</f>
        <v/>
      </c>
      <c r="F155" s="19" t="str">
        <f>IFERROR(INDEX('Detalles movimientos'!G$5:G$1000, MATCH(143, 'Detalles movimientos'!$Q$5:$Q$1000, 0)), "")</f>
        <v/>
      </c>
      <c r="G155" s="21" t="str">
        <f>IFERROR(INDEX('Detalles movimientos'!H$5:H$1000, MATCH(143, 'Detalles movimientos'!$Q$5:$Q$1000, 0)), "")</f>
        <v/>
      </c>
      <c r="H155" s="22" t="str">
        <f>IFERROR(INDEX('Detalles movimientos'!I$5:I$1000, MATCH(143, 'Detalles movimientos'!$Q$5:$Q$1000, 0)), "")</f>
        <v/>
      </c>
      <c r="I155" s="21" t="str">
        <f>IFERROR(INDEX('Detalles movimientos'!J$5:J$1000, MATCH(143, 'Detalles movimientos'!$Q$5:$Q$1000, 0)), "")</f>
        <v/>
      </c>
      <c r="J155" s="20" t="str">
        <f>IFERROR(INDEX('Detalles movimientos'!K$5:K$1000, MATCH(143, 'Detalles movimientos'!$Q$5:$Q$1000, 0)), "")</f>
        <v/>
      </c>
      <c r="K155" s="21" t="str">
        <f>IFERROR(INDEX('Detalles movimientos'!L$5:L$1000, MATCH(143, 'Detalles movimientos'!$Q$5:$Q$1000, 0)), "")</f>
        <v/>
      </c>
      <c r="L155" s="19" t="str">
        <f>IFERROR(INDEX('Detalles movimientos'!M$5:M$1000, MATCH(143, 'Detalles movimientos'!$Q$5:$Q$1000, 0)), "")</f>
        <v/>
      </c>
      <c r="M155" s="19" t="str">
        <f>IFERROR(INDEX('Detalles movimientos'!P$5:P$1000, MATCH(143, 'Detalles movimientos'!$Q$5:$Q$1000, 0)), "")</f>
        <v/>
      </c>
    </row>
    <row r="156" spans="2:13" x14ac:dyDescent="0.2">
      <c r="B156" s="18" t="str">
        <f>IFERROR(INDEX('Detalles movimientos'!C$5:C$1000, MATCH(144, 'Detalles movimientos'!$Q$5:$Q$1000, 0)), "")</f>
        <v/>
      </c>
      <c r="C156" s="19" t="str">
        <f>IFERROR(INDEX('Detalles movimientos'!D$5:D$1000, MATCH(144, 'Detalles movimientos'!$Q$5:$Q$1000, 0)), "")</f>
        <v/>
      </c>
      <c r="D156" s="20" t="str">
        <f>IFERROR(INDEX('Detalles movimientos'!E$5:E$1000, MATCH(144, 'Detalles movimientos'!$Q$5:$Q$1000, 0)), "")</f>
        <v/>
      </c>
      <c r="E156" s="20" t="str">
        <f>IFERROR(INDEX('Detalles movimientos'!F$5:F$1000, MATCH(144, 'Detalles movimientos'!$Q$5:$Q$1000, 0)), "")</f>
        <v/>
      </c>
      <c r="F156" s="19" t="str">
        <f>IFERROR(INDEX('Detalles movimientos'!G$5:G$1000, MATCH(144, 'Detalles movimientos'!$Q$5:$Q$1000, 0)), "")</f>
        <v/>
      </c>
      <c r="G156" s="21" t="str">
        <f>IFERROR(INDEX('Detalles movimientos'!H$5:H$1000, MATCH(144, 'Detalles movimientos'!$Q$5:$Q$1000, 0)), "")</f>
        <v/>
      </c>
      <c r="H156" s="22" t="str">
        <f>IFERROR(INDEX('Detalles movimientos'!I$5:I$1000, MATCH(144, 'Detalles movimientos'!$Q$5:$Q$1000, 0)), "")</f>
        <v/>
      </c>
      <c r="I156" s="21" t="str">
        <f>IFERROR(INDEX('Detalles movimientos'!J$5:J$1000, MATCH(144, 'Detalles movimientos'!$Q$5:$Q$1000, 0)), "")</f>
        <v/>
      </c>
      <c r="J156" s="20" t="str">
        <f>IFERROR(INDEX('Detalles movimientos'!K$5:K$1000, MATCH(144, 'Detalles movimientos'!$Q$5:$Q$1000, 0)), "")</f>
        <v/>
      </c>
      <c r="K156" s="21" t="str">
        <f>IFERROR(INDEX('Detalles movimientos'!L$5:L$1000, MATCH(144, 'Detalles movimientos'!$Q$5:$Q$1000, 0)), "")</f>
        <v/>
      </c>
      <c r="L156" s="19" t="str">
        <f>IFERROR(INDEX('Detalles movimientos'!M$5:M$1000, MATCH(144, 'Detalles movimientos'!$Q$5:$Q$1000, 0)), "")</f>
        <v/>
      </c>
      <c r="M156" s="19" t="str">
        <f>IFERROR(INDEX('Detalles movimientos'!P$5:P$1000, MATCH(144, 'Detalles movimientos'!$Q$5:$Q$1000, 0)), "")</f>
        <v/>
      </c>
    </row>
    <row r="157" spans="2:13" x14ac:dyDescent="0.2">
      <c r="B157" s="18" t="str">
        <f>IFERROR(INDEX('Detalles movimientos'!C$5:C$1000, MATCH(145, 'Detalles movimientos'!$Q$5:$Q$1000, 0)), "")</f>
        <v/>
      </c>
      <c r="C157" s="19" t="str">
        <f>IFERROR(INDEX('Detalles movimientos'!D$5:D$1000, MATCH(145, 'Detalles movimientos'!$Q$5:$Q$1000, 0)), "")</f>
        <v/>
      </c>
      <c r="D157" s="20" t="str">
        <f>IFERROR(INDEX('Detalles movimientos'!E$5:E$1000, MATCH(145, 'Detalles movimientos'!$Q$5:$Q$1000, 0)), "")</f>
        <v/>
      </c>
      <c r="E157" s="20" t="str">
        <f>IFERROR(INDEX('Detalles movimientos'!F$5:F$1000, MATCH(145, 'Detalles movimientos'!$Q$5:$Q$1000, 0)), "")</f>
        <v/>
      </c>
      <c r="F157" s="19" t="str">
        <f>IFERROR(INDEX('Detalles movimientos'!G$5:G$1000, MATCH(145, 'Detalles movimientos'!$Q$5:$Q$1000, 0)), "")</f>
        <v/>
      </c>
      <c r="G157" s="21" t="str">
        <f>IFERROR(INDEX('Detalles movimientos'!H$5:H$1000, MATCH(145, 'Detalles movimientos'!$Q$5:$Q$1000, 0)), "")</f>
        <v/>
      </c>
      <c r="H157" s="22" t="str">
        <f>IFERROR(INDEX('Detalles movimientos'!I$5:I$1000, MATCH(145, 'Detalles movimientos'!$Q$5:$Q$1000, 0)), "")</f>
        <v/>
      </c>
      <c r="I157" s="21" t="str">
        <f>IFERROR(INDEX('Detalles movimientos'!J$5:J$1000, MATCH(145, 'Detalles movimientos'!$Q$5:$Q$1000, 0)), "")</f>
        <v/>
      </c>
      <c r="J157" s="20" t="str">
        <f>IFERROR(INDEX('Detalles movimientos'!K$5:K$1000, MATCH(145, 'Detalles movimientos'!$Q$5:$Q$1000, 0)), "")</f>
        <v/>
      </c>
      <c r="K157" s="21" t="str">
        <f>IFERROR(INDEX('Detalles movimientos'!L$5:L$1000, MATCH(145, 'Detalles movimientos'!$Q$5:$Q$1000, 0)), "")</f>
        <v/>
      </c>
      <c r="L157" s="19" t="str">
        <f>IFERROR(INDEX('Detalles movimientos'!M$5:M$1000, MATCH(145, 'Detalles movimientos'!$Q$5:$Q$1000, 0)), "")</f>
        <v/>
      </c>
      <c r="M157" s="19" t="str">
        <f>IFERROR(INDEX('Detalles movimientos'!P$5:P$1000, MATCH(145, 'Detalles movimientos'!$Q$5:$Q$1000, 0)), "")</f>
        <v/>
      </c>
    </row>
    <row r="158" spans="2:13" x14ac:dyDescent="0.2">
      <c r="B158" s="18" t="str">
        <f>IFERROR(INDEX('Detalles movimientos'!C$5:C$1000, MATCH(146, 'Detalles movimientos'!$Q$5:$Q$1000, 0)), "")</f>
        <v/>
      </c>
      <c r="C158" s="19" t="str">
        <f>IFERROR(INDEX('Detalles movimientos'!D$5:D$1000, MATCH(146, 'Detalles movimientos'!$Q$5:$Q$1000, 0)), "")</f>
        <v/>
      </c>
      <c r="D158" s="20" t="str">
        <f>IFERROR(INDEX('Detalles movimientos'!E$5:E$1000, MATCH(146, 'Detalles movimientos'!$Q$5:$Q$1000, 0)), "")</f>
        <v/>
      </c>
      <c r="E158" s="20" t="str">
        <f>IFERROR(INDEX('Detalles movimientos'!F$5:F$1000, MATCH(146, 'Detalles movimientos'!$Q$5:$Q$1000, 0)), "")</f>
        <v/>
      </c>
      <c r="F158" s="19" t="str">
        <f>IFERROR(INDEX('Detalles movimientos'!G$5:G$1000, MATCH(146, 'Detalles movimientos'!$Q$5:$Q$1000, 0)), "")</f>
        <v/>
      </c>
      <c r="G158" s="21" t="str">
        <f>IFERROR(INDEX('Detalles movimientos'!H$5:H$1000, MATCH(146, 'Detalles movimientos'!$Q$5:$Q$1000, 0)), "")</f>
        <v/>
      </c>
      <c r="H158" s="22" t="str">
        <f>IFERROR(INDEX('Detalles movimientos'!I$5:I$1000, MATCH(146, 'Detalles movimientos'!$Q$5:$Q$1000, 0)), "")</f>
        <v/>
      </c>
      <c r="I158" s="21" t="str">
        <f>IFERROR(INDEX('Detalles movimientos'!J$5:J$1000, MATCH(146, 'Detalles movimientos'!$Q$5:$Q$1000, 0)), "")</f>
        <v/>
      </c>
      <c r="J158" s="20" t="str">
        <f>IFERROR(INDEX('Detalles movimientos'!K$5:K$1000, MATCH(146, 'Detalles movimientos'!$Q$5:$Q$1000, 0)), "")</f>
        <v/>
      </c>
      <c r="K158" s="21" t="str">
        <f>IFERROR(INDEX('Detalles movimientos'!L$5:L$1000, MATCH(146, 'Detalles movimientos'!$Q$5:$Q$1000, 0)), "")</f>
        <v/>
      </c>
      <c r="L158" s="19" t="str">
        <f>IFERROR(INDEX('Detalles movimientos'!M$5:M$1000, MATCH(146, 'Detalles movimientos'!$Q$5:$Q$1000, 0)), "")</f>
        <v/>
      </c>
      <c r="M158" s="19" t="str">
        <f>IFERROR(INDEX('Detalles movimientos'!P$5:P$1000, MATCH(146, 'Detalles movimientos'!$Q$5:$Q$1000, 0)), "")</f>
        <v/>
      </c>
    </row>
    <row r="159" spans="2:13" x14ac:dyDescent="0.2">
      <c r="B159" s="18" t="str">
        <f>IFERROR(INDEX('Detalles movimientos'!C$5:C$1000, MATCH(147, 'Detalles movimientos'!$Q$5:$Q$1000, 0)), "")</f>
        <v/>
      </c>
      <c r="C159" s="19" t="str">
        <f>IFERROR(INDEX('Detalles movimientos'!D$5:D$1000, MATCH(147, 'Detalles movimientos'!$Q$5:$Q$1000, 0)), "")</f>
        <v/>
      </c>
      <c r="D159" s="20" t="str">
        <f>IFERROR(INDEX('Detalles movimientos'!E$5:E$1000, MATCH(147, 'Detalles movimientos'!$Q$5:$Q$1000, 0)), "")</f>
        <v/>
      </c>
      <c r="E159" s="20" t="str">
        <f>IFERROR(INDEX('Detalles movimientos'!F$5:F$1000, MATCH(147, 'Detalles movimientos'!$Q$5:$Q$1000, 0)), "")</f>
        <v/>
      </c>
      <c r="F159" s="19" t="str">
        <f>IFERROR(INDEX('Detalles movimientos'!G$5:G$1000, MATCH(147, 'Detalles movimientos'!$Q$5:$Q$1000, 0)), "")</f>
        <v/>
      </c>
      <c r="G159" s="21" t="str">
        <f>IFERROR(INDEX('Detalles movimientos'!H$5:H$1000, MATCH(147, 'Detalles movimientos'!$Q$5:$Q$1000, 0)), "")</f>
        <v/>
      </c>
      <c r="H159" s="22" t="str">
        <f>IFERROR(INDEX('Detalles movimientos'!I$5:I$1000, MATCH(147, 'Detalles movimientos'!$Q$5:$Q$1000, 0)), "")</f>
        <v/>
      </c>
      <c r="I159" s="21" t="str">
        <f>IFERROR(INDEX('Detalles movimientos'!J$5:J$1000, MATCH(147, 'Detalles movimientos'!$Q$5:$Q$1000, 0)), "")</f>
        <v/>
      </c>
      <c r="J159" s="20" t="str">
        <f>IFERROR(INDEX('Detalles movimientos'!K$5:K$1000, MATCH(147, 'Detalles movimientos'!$Q$5:$Q$1000, 0)), "")</f>
        <v/>
      </c>
      <c r="K159" s="21" t="str">
        <f>IFERROR(INDEX('Detalles movimientos'!L$5:L$1000, MATCH(147, 'Detalles movimientos'!$Q$5:$Q$1000, 0)), "")</f>
        <v/>
      </c>
      <c r="L159" s="19" t="str">
        <f>IFERROR(INDEX('Detalles movimientos'!M$5:M$1000, MATCH(147, 'Detalles movimientos'!$Q$5:$Q$1000, 0)), "")</f>
        <v/>
      </c>
      <c r="M159" s="19" t="str">
        <f>IFERROR(INDEX('Detalles movimientos'!P$5:P$1000, MATCH(147, 'Detalles movimientos'!$Q$5:$Q$1000, 0)), "")</f>
        <v/>
      </c>
    </row>
    <row r="160" spans="2:13" x14ac:dyDescent="0.2">
      <c r="B160" s="18" t="str">
        <f>IFERROR(INDEX('Detalles movimientos'!C$5:C$1000, MATCH(148, 'Detalles movimientos'!$Q$5:$Q$1000, 0)), "")</f>
        <v/>
      </c>
      <c r="C160" s="19" t="str">
        <f>IFERROR(INDEX('Detalles movimientos'!D$5:D$1000, MATCH(148, 'Detalles movimientos'!$Q$5:$Q$1000, 0)), "")</f>
        <v/>
      </c>
      <c r="D160" s="20" t="str">
        <f>IFERROR(INDEX('Detalles movimientos'!E$5:E$1000, MATCH(148, 'Detalles movimientos'!$Q$5:$Q$1000, 0)), "")</f>
        <v/>
      </c>
      <c r="E160" s="20" t="str">
        <f>IFERROR(INDEX('Detalles movimientos'!F$5:F$1000, MATCH(148, 'Detalles movimientos'!$Q$5:$Q$1000, 0)), "")</f>
        <v/>
      </c>
      <c r="F160" s="19" t="str">
        <f>IFERROR(INDEX('Detalles movimientos'!G$5:G$1000, MATCH(148, 'Detalles movimientos'!$Q$5:$Q$1000, 0)), "")</f>
        <v/>
      </c>
      <c r="G160" s="21" t="str">
        <f>IFERROR(INDEX('Detalles movimientos'!H$5:H$1000, MATCH(148, 'Detalles movimientos'!$Q$5:$Q$1000, 0)), "")</f>
        <v/>
      </c>
      <c r="H160" s="22" t="str">
        <f>IFERROR(INDEX('Detalles movimientos'!I$5:I$1000, MATCH(148, 'Detalles movimientos'!$Q$5:$Q$1000, 0)), "")</f>
        <v/>
      </c>
      <c r="I160" s="21" t="str">
        <f>IFERROR(INDEX('Detalles movimientos'!J$5:J$1000, MATCH(148, 'Detalles movimientos'!$Q$5:$Q$1000, 0)), "")</f>
        <v/>
      </c>
      <c r="J160" s="20" t="str">
        <f>IFERROR(INDEX('Detalles movimientos'!K$5:K$1000, MATCH(148, 'Detalles movimientos'!$Q$5:$Q$1000, 0)), "")</f>
        <v/>
      </c>
      <c r="K160" s="21" t="str">
        <f>IFERROR(INDEX('Detalles movimientos'!L$5:L$1000, MATCH(148, 'Detalles movimientos'!$Q$5:$Q$1000, 0)), "")</f>
        <v/>
      </c>
      <c r="L160" s="19" t="str">
        <f>IFERROR(INDEX('Detalles movimientos'!M$5:M$1000, MATCH(148, 'Detalles movimientos'!$Q$5:$Q$1000, 0)), "")</f>
        <v/>
      </c>
      <c r="M160" s="19" t="str">
        <f>IFERROR(INDEX('Detalles movimientos'!P$5:P$1000, MATCH(148, 'Detalles movimientos'!$Q$5:$Q$1000, 0)), "")</f>
        <v/>
      </c>
    </row>
    <row r="161" spans="2:13" x14ac:dyDescent="0.2">
      <c r="B161" s="18" t="str">
        <f>IFERROR(INDEX('Detalles movimientos'!C$5:C$1000, MATCH(149, 'Detalles movimientos'!$Q$5:$Q$1000, 0)), "")</f>
        <v/>
      </c>
      <c r="C161" s="19" t="str">
        <f>IFERROR(INDEX('Detalles movimientos'!D$5:D$1000, MATCH(149, 'Detalles movimientos'!$Q$5:$Q$1000, 0)), "")</f>
        <v/>
      </c>
      <c r="D161" s="20" t="str">
        <f>IFERROR(INDEX('Detalles movimientos'!E$5:E$1000, MATCH(149, 'Detalles movimientos'!$Q$5:$Q$1000, 0)), "")</f>
        <v/>
      </c>
      <c r="E161" s="20" t="str">
        <f>IFERROR(INDEX('Detalles movimientos'!F$5:F$1000, MATCH(149, 'Detalles movimientos'!$Q$5:$Q$1000, 0)), "")</f>
        <v/>
      </c>
      <c r="F161" s="19" t="str">
        <f>IFERROR(INDEX('Detalles movimientos'!G$5:G$1000, MATCH(149, 'Detalles movimientos'!$Q$5:$Q$1000, 0)), "")</f>
        <v/>
      </c>
      <c r="G161" s="21" t="str">
        <f>IFERROR(INDEX('Detalles movimientos'!H$5:H$1000, MATCH(149, 'Detalles movimientos'!$Q$5:$Q$1000, 0)), "")</f>
        <v/>
      </c>
      <c r="H161" s="22" t="str">
        <f>IFERROR(INDEX('Detalles movimientos'!I$5:I$1000, MATCH(149, 'Detalles movimientos'!$Q$5:$Q$1000, 0)), "")</f>
        <v/>
      </c>
      <c r="I161" s="21" t="str">
        <f>IFERROR(INDEX('Detalles movimientos'!J$5:J$1000, MATCH(149, 'Detalles movimientos'!$Q$5:$Q$1000, 0)), "")</f>
        <v/>
      </c>
      <c r="J161" s="20" t="str">
        <f>IFERROR(INDEX('Detalles movimientos'!K$5:K$1000, MATCH(149, 'Detalles movimientos'!$Q$5:$Q$1000, 0)), "")</f>
        <v/>
      </c>
      <c r="K161" s="21" t="str">
        <f>IFERROR(INDEX('Detalles movimientos'!L$5:L$1000, MATCH(149, 'Detalles movimientos'!$Q$5:$Q$1000, 0)), "")</f>
        <v/>
      </c>
      <c r="L161" s="19" t="str">
        <f>IFERROR(INDEX('Detalles movimientos'!M$5:M$1000, MATCH(149, 'Detalles movimientos'!$Q$5:$Q$1000, 0)), "")</f>
        <v/>
      </c>
      <c r="M161" s="19" t="str">
        <f>IFERROR(INDEX('Detalles movimientos'!P$5:P$1000, MATCH(149, 'Detalles movimientos'!$Q$5:$Q$1000, 0)), "")</f>
        <v/>
      </c>
    </row>
  </sheetData>
  <mergeCells count="12">
    <mergeCell ref="D9:F9"/>
    <mergeCell ref="J9:L9"/>
    <mergeCell ref="B9:C9"/>
    <mergeCell ref="H9:I9"/>
    <mergeCell ref="E6:F7"/>
    <mergeCell ref="H6:I7"/>
    <mergeCell ref="B5:C5"/>
    <mergeCell ref="K6:L7"/>
    <mergeCell ref="E5:F5"/>
    <mergeCell ref="K5:L5"/>
    <mergeCell ref="B6:C7"/>
    <mergeCell ref="H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M158"/>
  <sheetViews>
    <sheetView showGridLines="0" workbookViewId="0">
      <selection activeCell="F31" sqref="F31"/>
    </sheetView>
  </sheetViews>
  <sheetFormatPr baseColWidth="10" defaultColWidth="8.83203125" defaultRowHeight="16" x14ac:dyDescent="0.2"/>
  <cols>
    <col min="1" max="1" width="4" customWidth="1"/>
    <col min="2" max="2" width="14" customWidth="1"/>
    <col min="3" max="3" width="26" customWidth="1"/>
    <col min="4" max="4" width="12" customWidth="1"/>
    <col min="5" max="5" width="14" customWidth="1"/>
    <col min="6" max="6" width="32" customWidth="1"/>
    <col min="7" max="8" width="14" customWidth="1"/>
    <col min="9" max="9" width="16" customWidth="1"/>
    <col min="10" max="10" width="18" customWidth="1"/>
    <col min="11" max="11" width="16" customWidth="1"/>
    <col min="12" max="12" width="24" customWidth="1"/>
    <col min="13" max="13" width="45" customWidth="1"/>
  </cols>
  <sheetData>
    <row r="2" spans="2:13" ht="22" x14ac:dyDescent="0.3">
      <c r="B2" s="15" t="s">
        <v>72</v>
      </c>
    </row>
    <row r="3" spans="2:13" x14ac:dyDescent="0.2">
      <c r="B3" s="16" t="s">
        <v>73</v>
      </c>
    </row>
    <row r="5" spans="2:13" x14ac:dyDescent="0.2">
      <c r="B5" s="24" t="s">
        <v>65</v>
      </c>
      <c r="C5" s="25"/>
      <c r="E5" s="24" t="s">
        <v>66</v>
      </c>
      <c r="F5" s="25"/>
      <c r="H5" s="24" t="s">
        <v>74</v>
      </c>
      <c r="I5" s="25"/>
      <c r="K5" s="24" t="s">
        <v>75</v>
      </c>
      <c r="L5" s="25"/>
    </row>
    <row r="6" spans="2:13" x14ac:dyDescent="0.2">
      <c r="B6" s="27">
        <f>SUMIFS('Detalles movimientos'!I$5:I$1000, 'Detalles movimientos'!F$5:F$1000, "Ignacio")</f>
        <v>16564</v>
      </c>
      <c r="C6" s="25"/>
      <c r="E6" s="26">
        <f>SUMIFS('Detalles movimientos'!J$5:J$1000, 'Detalles movimientos'!F$5:F$1000, "Ignacio")</f>
        <v>0</v>
      </c>
      <c r="F6" s="25"/>
      <c r="H6" s="30">
        <f>COUNTIFS('Detalles movimientos'!F$5:F$1000, "Ignacio")</f>
        <v>4</v>
      </c>
      <c r="I6" s="25"/>
      <c r="K6" s="26">
        <f>IFERROR(E6/B6, 0)</f>
        <v>0</v>
      </c>
      <c r="L6" s="25"/>
    </row>
    <row r="7" spans="2:13" x14ac:dyDescent="0.2">
      <c r="B7" s="25"/>
      <c r="C7" s="25"/>
      <c r="E7" s="25"/>
      <c r="F7" s="25"/>
      <c r="H7" s="25"/>
      <c r="I7" s="25"/>
      <c r="K7" s="25"/>
      <c r="L7" s="25"/>
    </row>
    <row r="9" spans="2:13" ht="25" customHeight="1" x14ac:dyDescent="0.2">
      <c r="B9" s="17" t="s">
        <v>1</v>
      </c>
      <c r="C9" s="17" t="s">
        <v>2</v>
      </c>
      <c r="D9" s="17" t="s">
        <v>3</v>
      </c>
      <c r="E9" s="17" t="s">
        <v>4</v>
      </c>
      <c r="F9" s="17" t="s">
        <v>5</v>
      </c>
      <c r="G9" s="17" t="s">
        <v>6</v>
      </c>
      <c r="H9" s="17" t="s">
        <v>7</v>
      </c>
      <c r="I9" s="17" t="s">
        <v>8</v>
      </c>
      <c r="J9" s="17" t="s">
        <v>9</v>
      </c>
      <c r="K9" s="17" t="s">
        <v>10</v>
      </c>
      <c r="L9" s="17" t="s">
        <v>11</v>
      </c>
      <c r="M9" s="17" t="s">
        <v>71</v>
      </c>
    </row>
    <row r="10" spans="2:13" x14ac:dyDescent="0.2">
      <c r="B10" s="18">
        <f>IFERROR(INDEX('Detalles movimientos'!C$5:C$1000, MATCH(1, 'Detalles movimientos'!$R$5:$R$1000, 0)), "")</f>
        <v>46230</v>
      </c>
      <c r="C10" s="19" t="str">
        <f>IFERROR(INDEX('Detalles movimientos'!D$5:D$1000, MATCH(1, 'Detalles movimientos'!$R$5:$R$1000, 0)), "")</f>
        <v>Ignacio Guerrero</v>
      </c>
      <c r="D10" s="20" t="str">
        <f>IFERROR(INDEX('Detalles movimientos'!E$5:E$1000, MATCH(1, 'Detalles movimientos'!$R$5:$R$1000, 0)), "")</f>
        <v>VJYL61</v>
      </c>
      <c r="E10" s="20" t="str">
        <f>IFERROR(INDEX('Detalles movimientos'!F$5:F$1000, MATCH(1, 'Detalles movimientos'!$R$5:$R$1000, 0)), "")</f>
        <v>Ignacio</v>
      </c>
      <c r="F10" s="19">
        <f>IFERROR(INDEX('Detalles movimientos'!G$5:G$1000, MATCH(1, 'Detalles movimientos'!$R$5:$R$1000, 0)), "")</f>
        <v>0</v>
      </c>
      <c r="G10" s="21">
        <f>IFERROR(INDEX('Detalles movimientos'!H$5:H$1000, MATCH(1, 'Detalles movimientos'!$R$5:$R$1000, 0)), "")</f>
        <v>0</v>
      </c>
      <c r="H10" s="22">
        <f>IFERROR(INDEX('Detalles movimientos'!I$5:I$1000, MATCH(1, 'Detalles movimientos'!$R$5:$R$1000, 0)), "")</f>
        <v>1403</v>
      </c>
      <c r="I10" s="21">
        <f>IFERROR(INDEX('Detalles movimientos'!J$5:J$1000, MATCH(1, 'Detalles movimientos'!$R$5:$R$1000, 0)), "")</f>
        <v>0</v>
      </c>
      <c r="J10" s="20" t="str">
        <f>IFERROR(INDEX('Detalles movimientos'!K$5:K$1000, MATCH(1, 'Detalles movimientos'!$R$5:$R$1000, 0)), "")</f>
        <v>Extraccion</v>
      </c>
      <c r="K10" s="21" t="str">
        <f>IFERROR(INDEX('Detalles movimientos'!L$5:L$1000, MATCH(1, 'Detalles movimientos'!$R$5:$R$1000, 0)), "")</f>
        <v/>
      </c>
      <c r="L10" s="19" t="str">
        <f>IFERROR(INDEX('Detalles movimientos'!M$5:M$1000, MATCH(1, 'Detalles movimientos'!$R$5:$R$1000, 0)), "")</f>
        <v>Extraccion</v>
      </c>
      <c r="M10" s="19">
        <f>IFERROR(INDEX('Detalles movimientos'!P$5:P$1000, MATCH(1, 'Detalles movimientos'!$R$5:$R$1000, 0)), "")</f>
        <v>0</v>
      </c>
    </row>
    <row r="11" spans="2:13" x14ac:dyDescent="0.2">
      <c r="B11" s="18">
        <f>IFERROR(INDEX('Detalles movimientos'!C$5:C$1000, MATCH(2, 'Detalles movimientos'!$R$5:$R$1000, 0)), "")</f>
        <v>46238</v>
      </c>
      <c r="C11" s="19" t="str">
        <f>IFERROR(INDEX('Detalles movimientos'!D$5:D$1000, MATCH(2, 'Detalles movimientos'!$R$5:$R$1000, 0)), "")</f>
        <v>Ignacio Guerrero</v>
      </c>
      <c r="D11" s="20" t="str">
        <f>IFERROR(INDEX('Detalles movimientos'!E$5:E$1000, MATCH(2, 'Detalles movimientos'!$R$5:$R$1000, 0)), "")</f>
        <v>VJYL61</v>
      </c>
      <c r="E11" s="20" t="str">
        <f>IFERROR(INDEX('Detalles movimientos'!F$5:F$1000, MATCH(2, 'Detalles movimientos'!$R$5:$R$1000, 0)), "")</f>
        <v>Ignacio</v>
      </c>
      <c r="F11" s="19">
        <f>IFERROR(INDEX('Detalles movimientos'!G$5:G$1000, MATCH(2, 'Detalles movimientos'!$R$5:$R$1000, 0)), "")</f>
        <v>0</v>
      </c>
      <c r="G11" s="21">
        <f>IFERROR(INDEX('Detalles movimientos'!H$5:H$1000, MATCH(2, 'Detalles movimientos'!$R$5:$R$1000, 0)), "")</f>
        <v>0</v>
      </c>
      <c r="H11" s="22">
        <f>IFERROR(INDEX('Detalles movimientos'!I$5:I$1000, MATCH(2, 'Detalles movimientos'!$R$5:$R$1000, 0)), "")</f>
        <v>1403</v>
      </c>
      <c r="I11" s="21">
        <f>IFERROR(INDEX('Detalles movimientos'!J$5:J$1000, MATCH(2, 'Detalles movimientos'!$R$5:$R$1000, 0)), "")</f>
        <v>0</v>
      </c>
      <c r="J11" s="20" t="str">
        <f>IFERROR(INDEX('Detalles movimientos'!K$5:K$1000, MATCH(2, 'Detalles movimientos'!$R$5:$R$1000, 0)), "")</f>
        <v>Extraccion</v>
      </c>
      <c r="K11" s="21" t="str">
        <f>IFERROR(INDEX('Detalles movimientos'!L$5:L$1000, MATCH(2, 'Detalles movimientos'!$R$5:$R$1000, 0)), "")</f>
        <v/>
      </c>
      <c r="L11" s="19" t="str">
        <f>IFERROR(INDEX('Detalles movimientos'!M$5:M$1000, MATCH(2, 'Detalles movimientos'!$R$5:$R$1000, 0)), "")</f>
        <v>Extraccion</v>
      </c>
      <c r="M11" s="19">
        <f>IFERROR(INDEX('Detalles movimientos'!P$5:P$1000, MATCH(2, 'Detalles movimientos'!$R$5:$R$1000, 0)), "")</f>
        <v>0</v>
      </c>
    </row>
    <row r="12" spans="2:13" x14ac:dyDescent="0.2">
      <c r="B12" s="18">
        <f>IFERROR(INDEX('Detalles movimientos'!C$5:C$1000, MATCH(3, 'Detalles movimientos'!$R$5:$R$1000, 0)), "")</f>
        <v>46242</v>
      </c>
      <c r="C12" s="19" t="str">
        <f>IFERROR(INDEX('Detalles movimientos'!D$5:D$1000, MATCH(3, 'Detalles movimientos'!$R$5:$R$1000, 0)), "")</f>
        <v>Ignacio Guerrero</v>
      </c>
      <c r="D12" s="20" t="str">
        <f>IFERROR(INDEX('Detalles movimientos'!E$5:E$1000, MATCH(3, 'Detalles movimientos'!$R$5:$R$1000, 0)), "")</f>
        <v>VJYL61</v>
      </c>
      <c r="E12" s="20" t="str">
        <f>IFERROR(INDEX('Detalles movimientos'!F$5:F$1000, MATCH(3, 'Detalles movimientos'!$R$5:$R$1000, 0)), "")</f>
        <v>Ignacio</v>
      </c>
      <c r="F12" s="19">
        <f>IFERROR(INDEX('Detalles movimientos'!G$5:G$1000, MATCH(3, 'Detalles movimientos'!$R$5:$R$1000, 0)), "")</f>
        <v>0</v>
      </c>
      <c r="G12" s="21">
        <f>IFERROR(INDEX('Detalles movimientos'!H$5:H$1000, MATCH(3, 'Detalles movimientos'!$R$5:$R$1000, 0)), "")</f>
        <v>0</v>
      </c>
      <c r="H12" s="22">
        <f>IFERROR(INDEX('Detalles movimientos'!I$5:I$1000, MATCH(3, 'Detalles movimientos'!$R$5:$R$1000, 0)), "")</f>
        <v>2219</v>
      </c>
      <c r="I12" s="21">
        <f>IFERROR(INDEX('Detalles movimientos'!J$5:J$1000, MATCH(3, 'Detalles movimientos'!$R$5:$R$1000, 0)), "")</f>
        <v>0</v>
      </c>
      <c r="J12" s="20" t="str">
        <f>IFERROR(INDEX('Detalles movimientos'!K$5:K$1000, MATCH(3, 'Detalles movimientos'!$R$5:$R$1000, 0)), "")</f>
        <v>Extraccion</v>
      </c>
      <c r="K12" s="21" t="str">
        <f>IFERROR(INDEX('Detalles movimientos'!L$5:L$1000, MATCH(3, 'Detalles movimientos'!$R$5:$R$1000, 0)), "")</f>
        <v/>
      </c>
      <c r="L12" s="19" t="str">
        <f>IFERROR(INDEX('Detalles movimientos'!M$5:M$1000, MATCH(3, 'Detalles movimientos'!$R$5:$R$1000, 0)), "")</f>
        <v>Extraccion</v>
      </c>
      <c r="M12" s="19">
        <f>IFERROR(INDEX('Detalles movimientos'!P$5:P$1000, MATCH(3, 'Detalles movimientos'!$R$5:$R$1000, 0)), "")</f>
        <v>0</v>
      </c>
    </row>
    <row r="13" spans="2:13" x14ac:dyDescent="0.2">
      <c r="B13" s="18">
        <f>IFERROR(INDEX('Detalles movimientos'!C$5:C$1000, MATCH(4, 'Detalles movimientos'!$R$5:$R$1000, 0)), "")</f>
        <v>46247</v>
      </c>
      <c r="C13" s="19" t="str">
        <f>IFERROR(INDEX('Detalles movimientos'!D$5:D$1000, MATCH(4, 'Detalles movimientos'!$R$5:$R$1000, 0)), "")</f>
        <v>Ignacio Guerrero</v>
      </c>
      <c r="D13" s="20" t="str">
        <f>IFERROR(INDEX('Detalles movimientos'!E$5:E$1000, MATCH(4, 'Detalles movimientos'!$R$5:$R$1000, 0)), "")</f>
        <v>VJYL42</v>
      </c>
      <c r="E13" s="20" t="str">
        <f>IFERROR(INDEX('Detalles movimientos'!F$5:F$1000, MATCH(4, 'Detalles movimientos'!$R$5:$R$1000, 0)), "")</f>
        <v>Ignacio</v>
      </c>
      <c r="F13" s="19">
        <f>IFERROR(INDEX('Detalles movimientos'!G$5:G$1000, MATCH(4, 'Detalles movimientos'!$R$5:$R$1000, 0)), "")</f>
        <v>0</v>
      </c>
      <c r="G13" s="21">
        <f>IFERROR(INDEX('Detalles movimientos'!H$5:H$1000, MATCH(4, 'Detalles movimientos'!$R$5:$R$1000, 0)), "")</f>
        <v>0</v>
      </c>
      <c r="H13" s="22">
        <f>IFERROR(INDEX('Detalles movimientos'!I$5:I$1000, MATCH(4, 'Detalles movimientos'!$R$5:$R$1000, 0)), "")</f>
        <v>11539</v>
      </c>
      <c r="I13" s="21">
        <f>IFERROR(INDEX('Detalles movimientos'!J$5:J$1000, MATCH(4, 'Detalles movimientos'!$R$5:$R$1000, 0)), "")</f>
        <v>0</v>
      </c>
      <c r="J13" s="20" t="str">
        <f>IFERROR(INDEX('Detalles movimientos'!K$5:K$1000, MATCH(4, 'Detalles movimientos'!$R$5:$R$1000, 0)), "")</f>
        <v>Extraccion</v>
      </c>
      <c r="K13" s="21" t="str">
        <f>IFERROR(INDEX('Detalles movimientos'!L$5:L$1000, MATCH(4, 'Detalles movimientos'!$R$5:$R$1000, 0)), "")</f>
        <v/>
      </c>
      <c r="L13" s="19" t="str">
        <f>IFERROR(INDEX('Detalles movimientos'!M$5:M$1000, MATCH(4, 'Detalles movimientos'!$R$5:$R$1000, 0)), "")</f>
        <v>Extraccion</v>
      </c>
      <c r="M13" s="19">
        <f>IFERROR(INDEX('Detalles movimientos'!P$5:P$1000, MATCH(4, 'Detalles movimientos'!$R$5:$R$1000, 0)), "")</f>
        <v>0</v>
      </c>
    </row>
    <row r="14" spans="2:13" x14ac:dyDescent="0.2">
      <c r="B14" s="18" t="str">
        <f>IFERROR(INDEX('Detalles movimientos'!C$5:C$1000, MATCH(5, 'Detalles movimientos'!$R$5:$R$1000, 0)), "")</f>
        <v/>
      </c>
      <c r="C14" s="19" t="str">
        <f>IFERROR(INDEX('Detalles movimientos'!D$5:D$1000, MATCH(5, 'Detalles movimientos'!$R$5:$R$1000, 0)), "")</f>
        <v/>
      </c>
      <c r="D14" s="20" t="str">
        <f>IFERROR(INDEX('Detalles movimientos'!E$5:E$1000, MATCH(5, 'Detalles movimientos'!$R$5:$R$1000, 0)), "")</f>
        <v/>
      </c>
      <c r="E14" s="20" t="str">
        <f>IFERROR(INDEX('Detalles movimientos'!F$5:F$1000, MATCH(5, 'Detalles movimientos'!$R$5:$R$1000, 0)), "")</f>
        <v/>
      </c>
      <c r="F14" s="19" t="str">
        <f>IFERROR(INDEX('Detalles movimientos'!G$5:G$1000, MATCH(5, 'Detalles movimientos'!$R$5:$R$1000, 0)), "")</f>
        <v/>
      </c>
      <c r="G14" s="21" t="str">
        <f>IFERROR(INDEX('Detalles movimientos'!H$5:H$1000, MATCH(5, 'Detalles movimientos'!$R$5:$R$1000, 0)), "")</f>
        <v/>
      </c>
      <c r="H14" s="22" t="str">
        <f>IFERROR(INDEX('Detalles movimientos'!I$5:I$1000, MATCH(5, 'Detalles movimientos'!$R$5:$R$1000, 0)), "")</f>
        <v/>
      </c>
      <c r="I14" s="21" t="str">
        <f>IFERROR(INDEX('Detalles movimientos'!J$5:J$1000, MATCH(5, 'Detalles movimientos'!$R$5:$R$1000, 0)), "")</f>
        <v/>
      </c>
      <c r="J14" s="20" t="str">
        <f>IFERROR(INDEX('Detalles movimientos'!K$5:K$1000, MATCH(5, 'Detalles movimientos'!$R$5:$R$1000, 0)), "")</f>
        <v/>
      </c>
      <c r="K14" s="21" t="str">
        <f>IFERROR(INDEX('Detalles movimientos'!L$5:L$1000, MATCH(5, 'Detalles movimientos'!$R$5:$R$1000, 0)), "")</f>
        <v/>
      </c>
      <c r="L14" s="19" t="str">
        <f>IFERROR(INDEX('Detalles movimientos'!M$5:M$1000, MATCH(5, 'Detalles movimientos'!$R$5:$R$1000, 0)), "")</f>
        <v/>
      </c>
      <c r="M14" s="19" t="str">
        <f>IFERROR(INDEX('Detalles movimientos'!P$5:P$1000, MATCH(5, 'Detalles movimientos'!$R$5:$R$1000, 0)), "")</f>
        <v/>
      </c>
    </row>
    <row r="15" spans="2:13" x14ac:dyDescent="0.2">
      <c r="B15" s="18" t="str">
        <f>IFERROR(INDEX('Detalles movimientos'!C$5:C$1000, MATCH(6, 'Detalles movimientos'!$R$5:$R$1000, 0)), "")</f>
        <v/>
      </c>
      <c r="C15" s="19" t="str">
        <f>IFERROR(INDEX('Detalles movimientos'!D$5:D$1000, MATCH(6, 'Detalles movimientos'!$R$5:$R$1000, 0)), "")</f>
        <v/>
      </c>
      <c r="D15" s="20" t="str">
        <f>IFERROR(INDEX('Detalles movimientos'!E$5:E$1000, MATCH(6, 'Detalles movimientos'!$R$5:$R$1000, 0)), "")</f>
        <v/>
      </c>
      <c r="E15" s="20" t="str">
        <f>IFERROR(INDEX('Detalles movimientos'!F$5:F$1000, MATCH(6, 'Detalles movimientos'!$R$5:$R$1000, 0)), "")</f>
        <v/>
      </c>
      <c r="F15" s="19" t="str">
        <f>IFERROR(INDEX('Detalles movimientos'!G$5:G$1000, MATCH(6, 'Detalles movimientos'!$R$5:$R$1000, 0)), "")</f>
        <v/>
      </c>
      <c r="G15" s="21" t="str">
        <f>IFERROR(INDEX('Detalles movimientos'!H$5:H$1000, MATCH(6, 'Detalles movimientos'!$R$5:$R$1000, 0)), "")</f>
        <v/>
      </c>
      <c r="H15" s="22" t="str">
        <f>IFERROR(INDEX('Detalles movimientos'!I$5:I$1000, MATCH(6, 'Detalles movimientos'!$R$5:$R$1000, 0)), "")</f>
        <v/>
      </c>
      <c r="I15" s="21" t="str">
        <f>IFERROR(INDEX('Detalles movimientos'!J$5:J$1000, MATCH(6, 'Detalles movimientos'!$R$5:$R$1000, 0)), "")</f>
        <v/>
      </c>
      <c r="J15" s="20" t="str">
        <f>IFERROR(INDEX('Detalles movimientos'!K$5:K$1000, MATCH(6, 'Detalles movimientos'!$R$5:$R$1000, 0)), "")</f>
        <v/>
      </c>
      <c r="K15" s="21" t="str">
        <f>IFERROR(INDEX('Detalles movimientos'!L$5:L$1000, MATCH(6, 'Detalles movimientos'!$R$5:$R$1000, 0)), "")</f>
        <v/>
      </c>
      <c r="L15" s="19" t="str">
        <f>IFERROR(INDEX('Detalles movimientos'!M$5:M$1000, MATCH(6, 'Detalles movimientos'!$R$5:$R$1000, 0)), "")</f>
        <v/>
      </c>
      <c r="M15" s="19" t="str">
        <f>IFERROR(INDEX('Detalles movimientos'!P$5:P$1000, MATCH(6, 'Detalles movimientos'!$R$5:$R$1000, 0)), "")</f>
        <v/>
      </c>
    </row>
    <row r="16" spans="2:13" x14ac:dyDescent="0.2">
      <c r="B16" s="18" t="str">
        <f>IFERROR(INDEX('Detalles movimientos'!C$5:C$1000, MATCH(7, 'Detalles movimientos'!$R$5:$R$1000, 0)), "")</f>
        <v/>
      </c>
      <c r="C16" s="19" t="str">
        <f>IFERROR(INDEX('Detalles movimientos'!D$5:D$1000, MATCH(7, 'Detalles movimientos'!$R$5:$R$1000, 0)), "")</f>
        <v/>
      </c>
      <c r="D16" s="20" t="str">
        <f>IFERROR(INDEX('Detalles movimientos'!E$5:E$1000, MATCH(7, 'Detalles movimientos'!$R$5:$R$1000, 0)), "")</f>
        <v/>
      </c>
      <c r="E16" s="20" t="str">
        <f>IFERROR(INDEX('Detalles movimientos'!F$5:F$1000, MATCH(7, 'Detalles movimientos'!$R$5:$R$1000, 0)), "")</f>
        <v/>
      </c>
      <c r="F16" s="19" t="str">
        <f>IFERROR(INDEX('Detalles movimientos'!G$5:G$1000, MATCH(7, 'Detalles movimientos'!$R$5:$R$1000, 0)), "")</f>
        <v/>
      </c>
      <c r="G16" s="21" t="str">
        <f>IFERROR(INDEX('Detalles movimientos'!H$5:H$1000, MATCH(7, 'Detalles movimientos'!$R$5:$R$1000, 0)), "")</f>
        <v/>
      </c>
      <c r="H16" s="22" t="str">
        <f>IFERROR(INDEX('Detalles movimientos'!I$5:I$1000, MATCH(7, 'Detalles movimientos'!$R$5:$R$1000, 0)), "")</f>
        <v/>
      </c>
      <c r="I16" s="21" t="str">
        <f>IFERROR(INDEX('Detalles movimientos'!J$5:J$1000, MATCH(7, 'Detalles movimientos'!$R$5:$R$1000, 0)), "")</f>
        <v/>
      </c>
      <c r="J16" s="20" t="str">
        <f>IFERROR(INDEX('Detalles movimientos'!K$5:K$1000, MATCH(7, 'Detalles movimientos'!$R$5:$R$1000, 0)), "")</f>
        <v/>
      </c>
      <c r="K16" s="21" t="str">
        <f>IFERROR(INDEX('Detalles movimientos'!L$5:L$1000, MATCH(7, 'Detalles movimientos'!$R$5:$R$1000, 0)), "")</f>
        <v/>
      </c>
      <c r="L16" s="19" t="str">
        <f>IFERROR(INDEX('Detalles movimientos'!M$5:M$1000, MATCH(7, 'Detalles movimientos'!$R$5:$R$1000, 0)), "")</f>
        <v/>
      </c>
      <c r="M16" s="19" t="str">
        <f>IFERROR(INDEX('Detalles movimientos'!P$5:P$1000, MATCH(7, 'Detalles movimientos'!$R$5:$R$1000, 0)), "")</f>
        <v/>
      </c>
    </row>
    <row r="17" spans="2:13" x14ac:dyDescent="0.2">
      <c r="B17" s="18" t="str">
        <f>IFERROR(INDEX('Detalles movimientos'!C$5:C$1000, MATCH(8, 'Detalles movimientos'!$R$5:$R$1000, 0)), "")</f>
        <v/>
      </c>
      <c r="C17" s="19" t="str">
        <f>IFERROR(INDEX('Detalles movimientos'!D$5:D$1000, MATCH(8, 'Detalles movimientos'!$R$5:$R$1000, 0)), "")</f>
        <v/>
      </c>
      <c r="D17" s="20" t="str">
        <f>IFERROR(INDEX('Detalles movimientos'!E$5:E$1000, MATCH(8, 'Detalles movimientos'!$R$5:$R$1000, 0)), "")</f>
        <v/>
      </c>
      <c r="E17" s="20" t="str">
        <f>IFERROR(INDEX('Detalles movimientos'!F$5:F$1000, MATCH(8, 'Detalles movimientos'!$R$5:$R$1000, 0)), "")</f>
        <v/>
      </c>
      <c r="F17" s="19" t="str">
        <f>IFERROR(INDEX('Detalles movimientos'!G$5:G$1000, MATCH(8, 'Detalles movimientos'!$R$5:$R$1000, 0)), "")</f>
        <v/>
      </c>
      <c r="G17" s="21" t="str">
        <f>IFERROR(INDEX('Detalles movimientos'!H$5:H$1000, MATCH(8, 'Detalles movimientos'!$R$5:$R$1000, 0)), "")</f>
        <v/>
      </c>
      <c r="H17" s="22" t="str">
        <f>IFERROR(INDEX('Detalles movimientos'!I$5:I$1000, MATCH(8, 'Detalles movimientos'!$R$5:$R$1000, 0)), "")</f>
        <v/>
      </c>
      <c r="I17" s="21" t="str">
        <f>IFERROR(INDEX('Detalles movimientos'!J$5:J$1000, MATCH(8, 'Detalles movimientos'!$R$5:$R$1000, 0)), "")</f>
        <v/>
      </c>
      <c r="J17" s="20" t="str">
        <f>IFERROR(INDEX('Detalles movimientos'!K$5:K$1000, MATCH(8, 'Detalles movimientos'!$R$5:$R$1000, 0)), "")</f>
        <v/>
      </c>
      <c r="K17" s="21" t="str">
        <f>IFERROR(INDEX('Detalles movimientos'!L$5:L$1000, MATCH(8, 'Detalles movimientos'!$R$5:$R$1000, 0)), "")</f>
        <v/>
      </c>
      <c r="L17" s="19" t="str">
        <f>IFERROR(INDEX('Detalles movimientos'!M$5:M$1000, MATCH(8, 'Detalles movimientos'!$R$5:$R$1000, 0)), "")</f>
        <v/>
      </c>
      <c r="M17" s="19" t="str">
        <f>IFERROR(INDEX('Detalles movimientos'!P$5:P$1000, MATCH(8, 'Detalles movimientos'!$R$5:$R$1000, 0)), "")</f>
        <v/>
      </c>
    </row>
    <row r="18" spans="2:13" x14ac:dyDescent="0.2">
      <c r="B18" s="18" t="str">
        <f>IFERROR(INDEX('Detalles movimientos'!C$5:C$1000, MATCH(9, 'Detalles movimientos'!$R$5:$R$1000, 0)), "")</f>
        <v/>
      </c>
      <c r="C18" s="19" t="str">
        <f>IFERROR(INDEX('Detalles movimientos'!D$5:D$1000, MATCH(9, 'Detalles movimientos'!$R$5:$R$1000, 0)), "")</f>
        <v/>
      </c>
      <c r="D18" s="20" t="str">
        <f>IFERROR(INDEX('Detalles movimientos'!E$5:E$1000, MATCH(9, 'Detalles movimientos'!$R$5:$R$1000, 0)), "")</f>
        <v/>
      </c>
      <c r="E18" s="20" t="str">
        <f>IFERROR(INDEX('Detalles movimientos'!F$5:F$1000, MATCH(9, 'Detalles movimientos'!$R$5:$R$1000, 0)), "")</f>
        <v/>
      </c>
      <c r="F18" s="19" t="str">
        <f>IFERROR(INDEX('Detalles movimientos'!G$5:G$1000, MATCH(9, 'Detalles movimientos'!$R$5:$R$1000, 0)), "")</f>
        <v/>
      </c>
      <c r="G18" s="21" t="str">
        <f>IFERROR(INDEX('Detalles movimientos'!H$5:H$1000, MATCH(9, 'Detalles movimientos'!$R$5:$R$1000, 0)), "")</f>
        <v/>
      </c>
      <c r="H18" s="22" t="str">
        <f>IFERROR(INDEX('Detalles movimientos'!I$5:I$1000, MATCH(9, 'Detalles movimientos'!$R$5:$R$1000, 0)), "")</f>
        <v/>
      </c>
      <c r="I18" s="21" t="str">
        <f>IFERROR(INDEX('Detalles movimientos'!J$5:J$1000, MATCH(9, 'Detalles movimientos'!$R$5:$R$1000, 0)), "")</f>
        <v/>
      </c>
      <c r="J18" s="20" t="str">
        <f>IFERROR(INDEX('Detalles movimientos'!K$5:K$1000, MATCH(9, 'Detalles movimientos'!$R$5:$R$1000, 0)), "")</f>
        <v/>
      </c>
      <c r="K18" s="21" t="str">
        <f>IFERROR(INDEX('Detalles movimientos'!L$5:L$1000, MATCH(9, 'Detalles movimientos'!$R$5:$R$1000, 0)), "")</f>
        <v/>
      </c>
      <c r="L18" s="19" t="str">
        <f>IFERROR(INDEX('Detalles movimientos'!M$5:M$1000, MATCH(9, 'Detalles movimientos'!$R$5:$R$1000, 0)), "")</f>
        <v/>
      </c>
      <c r="M18" s="19" t="str">
        <f>IFERROR(INDEX('Detalles movimientos'!P$5:P$1000, MATCH(9, 'Detalles movimientos'!$R$5:$R$1000, 0)), "")</f>
        <v/>
      </c>
    </row>
    <row r="19" spans="2:13" x14ac:dyDescent="0.2">
      <c r="B19" s="18" t="str">
        <f>IFERROR(INDEX('Detalles movimientos'!C$5:C$1000, MATCH(10, 'Detalles movimientos'!$R$5:$R$1000, 0)), "")</f>
        <v/>
      </c>
      <c r="C19" s="19" t="str">
        <f>IFERROR(INDEX('Detalles movimientos'!D$5:D$1000, MATCH(10, 'Detalles movimientos'!$R$5:$R$1000, 0)), "")</f>
        <v/>
      </c>
      <c r="D19" s="20" t="str">
        <f>IFERROR(INDEX('Detalles movimientos'!E$5:E$1000, MATCH(10, 'Detalles movimientos'!$R$5:$R$1000, 0)), "")</f>
        <v/>
      </c>
      <c r="E19" s="20" t="str">
        <f>IFERROR(INDEX('Detalles movimientos'!F$5:F$1000, MATCH(10, 'Detalles movimientos'!$R$5:$R$1000, 0)), "")</f>
        <v/>
      </c>
      <c r="F19" s="19" t="str">
        <f>IFERROR(INDEX('Detalles movimientos'!G$5:G$1000, MATCH(10, 'Detalles movimientos'!$R$5:$R$1000, 0)), "")</f>
        <v/>
      </c>
      <c r="G19" s="21" t="str">
        <f>IFERROR(INDEX('Detalles movimientos'!H$5:H$1000, MATCH(10, 'Detalles movimientos'!$R$5:$R$1000, 0)), "")</f>
        <v/>
      </c>
      <c r="H19" s="22" t="str">
        <f>IFERROR(INDEX('Detalles movimientos'!I$5:I$1000, MATCH(10, 'Detalles movimientos'!$R$5:$R$1000, 0)), "")</f>
        <v/>
      </c>
      <c r="I19" s="21" t="str">
        <f>IFERROR(INDEX('Detalles movimientos'!J$5:J$1000, MATCH(10, 'Detalles movimientos'!$R$5:$R$1000, 0)), "")</f>
        <v/>
      </c>
      <c r="J19" s="20" t="str">
        <f>IFERROR(INDEX('Detalles movimientos'!K$5:K$1000, MATCH(10, 'Detalles movimientos'!$R$5:$R$1000, 0)), "")</f>
        <v/>
      </c>
      <c r="K19" s="21" t="str">
        <f>IFERROR(INDEX('Detalles movimientos'!L$5:L$1000, MATCH(10, 'Detalles movimientos'!$R$5:$R$1000, 0)), "")</f>
        <v/>
      </c>
      <c r="L19" s="19" t="str">
        <f>IFERROR(INDEX('Detalles movimientos'!M$5:M$1000, MATCH(10, 'Detalles movimientos'!$R$5:$R$1000, 0)), "")</f>
        <v/>
      </c>
      <c r="M19" s="19" t="str">
        <f>IFERROR(INDEX('Detalles movimientos'!P$5:P$1000, MATCH(10, 'Detalles movimientos'!$R$5:$R$1000, 0)), "")</f>
        <v/>
      </c>
    </row>
    <row r="20" spans="2:13" x14ac:dyDescent="0.2">
      <c r="B20" s="18" t="str">
        <f>IFERROR(INDEX('Detalles movimientos'!C$5:C$1000, MATCH(11, 'Detalles movimientos'!$R$5:$R$1000, 0)), "")</f>
        <v/>
      </c>
      <c r="C20" s="19" t="str">
        <f>IFERROR(INDEX('Detalles movimientos'!D$5:D$1000, MATCH(11, 'Detalles movimientos'!$R$5:$R$1000, 0)), "")</f>
        <v/>
      </c>
      <c r="D20" s="20" t="str">
        <f>IFERROR(INDEX('Detalles movimientos'!E$5:E$1000, MATCH(11, 'Detalles movimientos'!$R$5:$R$1000, 0)), "")</f>
        <v/>
      </c>
      <c r="E20" s="20" t="str">
        <f>IFERROR(INDEX('Detalles movimientos'!F$5:F$1000, MATCH(11, 'Detalles movimientos'!$R$5:$R$1000, 0)), "")</f>
        <v/>
      </c>
      <c r="F20" s="19" t="str">
        <f>IFERROR(INDEX('Detalles movimientos'!G$5:G$1000, MATCH(11, 'Detalles movimientos'!$R$5:$R$1000, 0)), "")</f>
        <v/>
      </c>
      <c r="G20" s="21" t="str">
        <f>IFERROR(INDEX('Detalles movimientos'!H$5:H$1000, MATCH(11, 'Detalles movimientos'!$R$5:$R$1000, 0)), "")</f>
        <v/>
      </c>
      <c r="H20" s="22" t="str">
        <f>IFERROR(INDEX('Detalles movimientos'!I$5:I$1000, MATCH(11, 'Detalles movimientos'!$R$5:$R$1000, 0)), "")</f>
        <v/>
      </c>
      <c r="I20" s="21" t="str">
        <f>IFERROR(INDEX('Detalles movimientos'!J$5:J$1000, MATCH(11, 'Detalles movimientos'!$R$5:$R$1000, 0)), "")</f>
        <v/>
      </c>
      <c r="J20" s="20" t="str">
        <f>IFERROR(INDEX('Detalles movimientos'!K$5:K$1000, MATCH(11, 'Detalles movimientos'!$R$5:$R$1000, 0)), "")</f>
        <v/>
      </c>
      <c r="K20" s="21" t="str">
        <f>IFERROR(INDEX('Detalles movimientos'!L$5:L$1000, MATCH(11, 'Detalles movimientos'!$R$5:$R$1000, 0)), "")</f>
        <v/>
      </c>
      <c r="L20" s="19" t="str">
        <f>IFERROR(INDEX('Detalles movimientos'!M$5:M$1000, MATCH(11, 'Detalles movimientos'!$R$5:$R$1000, 0)), "")</f>
        <v/>
      </c>
      <c r="M20" s="19" t="str">
        <f>IFERROR(INDEX('Detalles movimientos'!P$5:P$1000, MATCH(11, 'Detalles movimientos'!$R$5:$R$1000, 0)), "")</f>
        <v/>
      </c>
    </row>
    <row r="21" spans="2:13" x14ac:dyDescent="0.2">
      <c r="B21" s="18" t="str">
        <f>IFERROR(INDEX('Detalles movimientos'!C$5:C$1000, MATCH(12, 'Detalles movimientos'!$R$5:$R$1000, 0)), "")</f>
        <v/>
      </c>
      <c r="C21" s="19" t="str">
        <f>IFERROR(INDEX('Detalles movimientos'!D$5:D$1000, MATCH(12, 'Detalles movimientos'!$R$5:$R$1000, 0)), "")</f>
        <v/>
      </c>
      <c r="D21" s="20" t="str">
        <f>IFERROR(INDEX('Detalles movimientos'!E$5:E$1000, MATCH(12, 'Detalles movimientos'!$R$5:$R$1000, 0)), "")</f>
        <v/>
      </c>
      <c r="E21" s="20" t="str">
        <f>IFERROR(INDEX('Detalles movimientos'!F$5:F$1000, MATCH(12, 'Detalles movimientos'!$R$5:$R$1000, 0)), "")</f>
        <v/>
      </c>
      <c r="F21" s="19" t="str">
        <f>IFERROR(INDEX('Detalles movimientos'!G$5:G$1000, MATCH(12, 'Detalles movimientos'!$R$5:$R$1000, 0)), "")</f>
        <v/>
      </c>
      <c r="G21" s="21" t="str">
        <f>IFERROR(INDEX('Detalles movimientos'!H$5:H$1000, MATCH(12, 'Detalles movimientos'!$R$5:$R$1000, 0)), "")</f>
        <v/>
      </c>
      <c r="H21" s="22" t="str">
        <f>IFERROR(INDEX('Detalles movimientos'!I$5:I$1000, MATCH(12, 'Detalles movimientos'!$R$5:$R$1000, 0)), "")</f>
        <v/>
      </c>
      <c r="I21" s="21" t="str">
        <f>IFERROR(INDEX('Detalles movimientos'!J$5:J$1000, MATCH(12, 'Detalles movimientos'!$R$5:$R$1000, 0)), "")</f>
        <v/>
      </c>
      <c r="J21" s="20" t="str">
        <f>IFERROR(INDEX('Detalles movimientos'!K$5:K$1000, MATCH(12, 'Detalles movimientos'!$R$5:$R$1000, 0)), "")</f>
        <v/>
      </c>
      <c r="K21" s="21" t="str">
        <f>IFERROR(INDEX('Detalles movimientos'!L$5:L$1000, MATCH(12, 'Detalles movimientos'!$R$5:$R$1000, 0)), "")</f>
        <v/>
      </c>
      <c r="L21" s="19" t="str">
        <f>IFERROR(INDEX('Detalles movimientos'!M$5:M$1000, MATCH(12, 'Detalles movimientos'!$R$5:$R$1000, 0)), "")</f>
        <v/>
      </c>
      <c r="M21" s="19" t="str">
        <f>IFERROR(INDEX('Detalles movimientos'!P$5:P$1000, MATCH(12, 'Detalles movimientos'!$R$5:$R$1000, 0)), "")</f>
        <v/>
      </c>
    </row>
    <row r="22" spans="2:13" x14ac:dyDescent="0.2">
      <c r="B22" s="18" t="str">
        <f>IFERROR(INDEX('Detalles movimientos'!C$5:C$1000, MATCH(13, 'Detalles movimientos'!$R$5:$R$1000, 0)), "")</f>
        <v/>
      </c>
      <c r="C22" s="19" t="str">
        <f>IFERROR(INDEX('Detalles movimientos'!D$5:D$1000, MATCH(13, 'Detalles movimientos'!$R$5:$R$1000, 0)), "")</f>
        <v/>
      </c>
      <c r="D22" s="20" t="str">
        <f>IFERROR(INDEX('Detalles movimientos'!E$5:E$1000, MATCH(13, 'Detalles movimientos'!$R$5:$R$1000, 0)), "")</f>
        <v/>
      </c>
      <c r="E22" s="20" t="str">
        <f>IFERROR(INDEX('Detalles movimientos'!F$5:F$1000, MATCH(13, 'Detalles movimientos'!$R$5:$R$1000, 0)), "")</f>
        <v/>
      </c>
      <c r="F22" s="19" t="str">
        <f>IFERROR(INDEX('Detalles movimientos'!G$5:G$1000, MATCH(13, 'Detalles movimientos'!$R$5:$R$1000, 0)), "")</f>
        <v/>
      </c>
      <c r="G22" s="21" t="str">
        <f>IFERROR(INDEX('Detalles movimientos'!H$5:H$1000, MATCH(13, 'Detalles movimientos'!$R$5:$R$1000, 0)), "")</f>
        <v/>
      </c>
      <c r="H22" s="22" t="str">
        <f>IFERROR(INDEX('Detalles movimientos'!I$5:I$1000, MATCH(13, 'Detalles movimientos'!$R$5:$R$1000, 0)), "")</f>
        <v/>
      </c>
      <c r="I22" s="21" t="str">
        <f>IFERROR(INDEX('Detalles movimientos'!J$5:J$1000, MATCH(13, 'Detalles movimientos'!$R$5:$R$1000, 0)), "")</f>
        <v/>
      </c>
      <c r="J22" s="20" t="str">
        <f>IFERROR(INDEX('Detalles movimientos'!K$5:K$1000, MATCH(13, 'Detalles movimientos'!$R$5:$R$1000, 0)), "")</f>
        <v/>
      </c>
      <c r="K22" s="21" t="str">
        <f>IFERROR(INDEX('Detalles movimientos'!L$5:L$1000, MATCH(13, 'Detalles movimientos'!$R$5:$R$1000, 0)), "")</f>
        <v/>
      </c>
      <c r="L22" s="19" t="str">
        <f>IFERROR(INDEX('Detalles movimientos'!M$5:M$1000, MATCH(13, 'Detalles movimientos'!$R$5:$R$1000, 0)), "")</f>
        <v/>
      </c>
      <c r="M22" s="19" t="str">
        <f>IFERROR(INDEX('Detalles movimientos'!P$5:P$1000, MATCH(13, 'Detalles movimientos'!$R$5:$R$1000, 0)), "")</f>
        <v/>
      </c>
    </row>
    <row r="23" spans="2:13" x14ac:dyDescent="0.2">
      <c r="B23" s="18" t="str">
        <f>IFERROR(INDEX('Detalles movimientos'!C$5:C$1000, MATCH(14, 'Detalles movimientos'!$R$5:$R$1000, 0)), "")</f>
        <v/>
      </c>
      <c r="C23" s="19" t="str">
        <f>IFERROR(INDEX('Detalles movimientos'!D$5:D$1000, MATCH(14, 'Detalles movimientos'!$R$5:$R$1000, 0)), "")</f>
        <v/>
      </c>
      <c r="D23" s="20" t="str">
        <f>IFERROR(INDEX('Detalles movimientos'!E$5:E$1000, MATCH(14, 'Detalles movimientos'!$R$5:$R$1000, 0)), "")</f>
        <v/>
      </c>
      <c r="E23" s="20" t="str">
        <f>IFERROR(INDEX('Detalles movimientos'!F$5:F$1000, MATCH(14, 'Detalles movimientos'!$R$5:$R$1000, 0)), "")</f>
        <v/>
      </c>
      <c r="F23" s="19" t="str">
        <f>IFERROR(INDEX('Detalles movimientos'!G$5:G$1000, MATCH(14, 'Detalles movimientos'!$R$5:$R$1000, 0)), "")</f>
        <v/>
      </c>
      <c r="G23" s="21" t="str">
        <f>IFERROR(INDEX('Detalles movimientos'!H$5:H$1000, MATCH(14, 'Detalles movimientos'!$R$5:$R$1000, 0)), "")</f>
        <v/>
      </c>
      <c r="H23" s="22" t="str">
        <f>IFERROR(INDEX('Detalles movimientos'!I$5:I$1000, MATCH(14, 'Detalles movimientos'!$R$5:$R$1000, 0)), "")</f>
        <v/>
      </c>
      <c r="I23" s="21" t="str">
        <f>IFERROR(INDEX('Detalles movimientos'!J$5:J$1000, MATCH(14, 'Detalles movimientos'!$R$5:$R$1000, 0)), "")</f>
        <v/>
      </c>
      <c r="J23" s="20" t="str">
        <f>IFERROR(INDEX('Detalles movimientos'!K$5:K$1000, MATCH(14, 'Detalles movimientos'!$R$5:$R$1000, 0)), "")</f>
        <v/>
      </c>
      <c r="K23" s="21" t="str">
        <f>IFERROR(INDEX('Detalles movimientos'!L$5:L$1000, MATCH(14, 'Detalles movimientos'!$R$5:$R$1000, 0)), "")</f>
        <v/>
      </c>
      <c r="L23" s="19" t="str">
        <f>IFERROR(INDEX('Detalles movimientos'!M$5:M$1000, MATCH(14, 'Detalles movimientos'!$R$5:$R$1000, 0)), "")</f>
        <v/>
      </c>
      <c r="M23" s="19" t="str">
        <f>IFERROR(INDEX('Detalles movimientos'!P$5:P$1000, MATCH(14, 'Detalles movimientos'!$R$5:$R$1000, 0)), "")</f>
        <v/>
      </c>
    </row>
    <row r="24" spans="2:13" x14ac:dyDescent="0.2">
      <c r="B24" s="18" t="str">
        <f>IFERROR(INDEX('Detalles movimientos'!C$5:C$1000, MATCH(15, 'Detalles movimientos'!$R$5:$R$1000, 0)), "")</f>
        <v/>
      </c>
      <c r="C24" s="19" t="str">
        <f>IFERROR(INDEX('Detalles movimientos'!D$5:D$1000, MATCH(15, 'Detalles movimientos'!$R$5:$R$1000, 0)), "")</f>
        <v/>
      </c>
      <c r="D24" s="20" t="str">
        <f>IFERROR(INDEX('Detalles movimientos'!E$5:E$1000, MATCH(15, 'Detalles movimientos'!$R$5:$R$1000, 0)), "")</f>
        <v/>
      </c>
      <c r="E24" s="20" t="str">
        <f>IFERROR(INDEX('Detalles movimientos'!F$5:F$1000, MATCH(15, 'Detalles movimientos'!$R$5:$R$1000, 0)), "")</f>
        <v/>
      </c>
      <c r="F24" s="19" t="str">
        <f>IFERROR(INDEX('Detalles movimientos'!G$5:G$1000, MATCH(15, 'Detalles movimientos'!$R$5:$R$1000, 0)), "")</f>
        <v/>
      </c>
      <c r="G24" s="21" t="str">
        <f>IFERROR(INDEX('Detalles movimientos'!H$5:H$1000, MATCH(15, 'Detalles movimientos'!$R$5:$R$1000, 0)), "")</f>
        <v/>
      </c>
      <c r="H24" s="22" t="str">
        <f>IFERROR(INDEX('Detalles movimientos'!I$5:I$1000, MATCH(15, 'Detalles movimientos'!$R$5:$R$1000, 0)), "")</f>
        <v/>
      </c>
      <c r="I24" s="21" t="str">
        <f>IFERROR(INDEX('Detalles movimientos'!J$5:J$1000, MATCH(15, 'Detalles movimientos'!$R$5:$R$1000, 0)), "")</f>
        <v/>
      </c>
      <c r="J24" s="20" t="str">
        <f>IFERROR(INDEX('Detalles movimientos'!K$5:K$1000, MATCH(15, 'Detalles movimientos'!$R$5:$R$1000, 0)), "")</f>
        <v/>
      </c>
      <c r="K24" s="21" t="str">
        <f>IFERROR(INDEX('Detalles movimientos'!L$5:L$1000, MATCH(15, 'Detalles movimientos'!$R$5:$R$1000, 0)), "")</f>
        <v/>
      </c>
      <c r="L24" s="19" t="str">
        <f>IFERROR(INDEX('Detalles movimientos'!M$5:M$1000, MATCH(15, 'Detalles movimientos'!$R$5:$R$1000, 0)), "")</f>
        <v/>
      </c>
      <c r="M24" s="19" t="str">
        <f>IFERROR(INDEX('Detalles movimientos'!P$5:P$1000, MATCH(15, 'Detalles movimientos'!$R$5:$R$1000, 0)), "")</f>
        <v/>
      </c>
    </row>
    <row r="25" spans="2:13" x14ac:dyDescent="0.2">
      <c r="B25" s="18" t="str">
        <f>IFERROR(INDEX('Detalles movimientos'!C$5:C$1000, MATCH(16, 'Detalles movimientos'!$R$5:$R$1000, 0)), "")</f>
        <v/>
      </c>
      <c r="C25" s="19" t="str">
        <f>IFERROR(INDEX('Detalles movimientos'!D$5:D$1000, MATCH(16, 'Detalles movimientos'!$R$5:$R$1000, 0)), "")</f>
        <v/>
      </c>
      <c r="D25" s="20" t="str">
        <f>IFERROR(INDEX('Detalles movimientos'!E$5:E$1000, MATCH(16, 'Detalles movimientos'!$R$5:$R$1000, 0)), "")</f>
        <v/>
      </c>
      <c r="E25" s="20" t="str">
        <f>IFERROR(INDEX('Detalles movimientos'!F$5:F$1000, MATCH(16, 'Detalles movimientos'!$R$5:$R$1000, 0)), "")</f>
        <v/>
      </c>
      <c r="F25" s="19" t="str">
        <f>IFERROR(INDEX('Detalles movimientos'!G$5:G$1000, MATCH(16, 'Detalles movimientos'!$R$5:$R$1000, 0)), "")</f>
        <v/>
      </c>
      <c r="G25" s="21" t="str">
        <f>IFERROR(INDEX('Detalles movimientos'!H$5:H$1000, MATCH(16, 'Detalles movimientos'!$R$5:$R$1000, 0)), "")</f>
        <v/>
      </c>
      <c r="H25" s="22" t="str">
        <f>IFERROR(INDEX('Detalles movimientos'!I$5:I$1000, MATCH(16, 'Detalles movimientos'!$R$5:$R$1000, 0)), "")</f>
        <v/>
      </c>
      <c r="I25" s="21" t="str">
        <f>IFERROR(INDEX('Detalles movimientos'!J$5:J$1000, MATCH(16, 'Detalles movimientos'!$R$5:$R$1000, 0)), "")</f>
        <v/>
      </c>
      <c r="J25" s="20" t="str">
        <f>IFERROR(INDEX('Detalles movimientos'!K$5:K$1000, MATCH(16, 'Detalles movimientos'!$R$5:$R$1000, 0)), "")</f>
        <v/>
      </c>
      <c r="K25" s="21" t="str">
        <f>IFERROR(INDEX('Detalles movimientos'!L$5:L$1000, MATCH(16, 'Detalles movimientos'!$R$5:$R$1000, 0)), "")</f>
        <v/>
      </c>
      <c r="L25" s="19" t="str">
        <f>IFERROR(INDEX('Detalles movimientos'!M$5:M$1000, MATCH(16, 'Detalles movimientos'!$R$5:$R$1000, 0)), "")</f>
        <v/>
      </c>
      <c r="M25" s="19" t="str">
        <f>IFERROR(INDEX('Detalles movimientos'!P$5:P$1000, MATCH(16, 'Detalles movimientos'!$R$5:$R$1000, 0)), "")</f>
        <v/>
      </c>
    </row>
    <row r="26" spans="2:13" x14ac:dyDescent="0.2">
      <c r="B26" s="18" t="str">
        <f>IFERROR(INDEX('Detalles movimientos'!C$5:C$1000, MATCH(17, 'Detalles movimientos'!$R$5:$R$1000, 0)), "")</f>
        <v/>
      </c>
      <c r="C26" s="19" t="str">
        <f>IFERROR(INDEX('Detalles movimientos'!D$5:D$1000, MATCH(17, 'Detalles movimientos'!$R$5:$R$1000, 0)), "")</f>
        <v/>
      </c>
      <c r="D26" s="20" t="str">
        <f>IFERROR(INDEX('Detalles movimientos'!E$5:E$1000, MATCH(17, 'Detalles movimientos'!$R$5:$R$1000, 0)), "")</f>
        <v/>
      </c>
      <c r="E26" s="20" t="str">
        <f>IFERROR(INDEX('Detalles movimientos'!F$5:F$1000, MATCH(17, 'Detalles movimientos'!$R$5:$R$1000, 0)), "")</f>
        <v/>
      </c>
      <c r="F26" s="19" t="str">
        <f>IFERROR(INDEX('Detalles movimientos'!G$5:G$1000, MATCH(17, 'Detalles movimientos'!$R$5:$R$1000, 0)), "")</f>
        <v/>
      </c>
      <c r="G26" s="21" t="str">
        <f>IFERROR(INDEX('Detalles movimientos'!H$5:H$1000, MATCH(17, 'Detalles movimientos'!$R$5:$R$1000, 0)), "")</f>
        <v/>
      </c>
      <c r="H26" s="22" t="str">
        <f>IFERROR(INDEX('Detalles movimientos'!I$5:I$1000, MATCH(17, 'Detalles movimientos'!$R$5:$R$1000, 0)), "")</f>
        <v/>
      </c>
      <c r="I26" s="21" t="str">
        <f>IFERROR(INDEX('Detalles movimientos'!J$5:J$1000, MATCH(17, 'Detalles movimientos'!$R$5:$R$1000, 0)), "")</f>
        <v/>
      </c>
      <c r="J26" s="20" t="str">
        <f>IFERROR(INDEX('Detalles movimientos'!K$5:K$1000, MATCH(17, 'Detalles movimientos'!$R$5:$R$1000, 0)), "")</f>
        <v/>
      </c>
      <c r="K26" s="21" t="str">
        <f>IFERROR(INDEX('Detalles movimientos'!L$5:L$1000, MATCH(17, 'Detalles movimientos'!$R$5:$R$1000, 0)), "")</f>
        <v/>
      </c>
      <c r="L26" s="19" t="str">
        <f>IFERROR(INDEX('Detalles movimientos'!M$5:M$1000, MATCH(17, 'Detalles movimientos'!$R$5:$R$1000, 0)), "")</f>
        <v/>
      </c>
      <c r="M26" s="19" t="str">
        <f>IFERROR(INDEX('Detalles movimientos'!P$5:P$1000, MATCH(17, 'Detalles movimientos'!$R$5:$R$1000, 0)), "")</f>
        <v/>
      </c>
    </row>
    <row r="27" spans="2:13" x14ac:dyDescent="0.2">
      <c r="B27" s="18" t="str">
        <f>IFERROR(INDEX('Detalles movimientos'!C$5:C$1000, MATCH(18, 'Detalles movimientos'!$R$5:$R$1000, 0)), "")</f>
        <v/>
      </c>
      <c r="C27" s="19" t="str">
        <f>IFERROR(INDEX('Detalles movimientos'!D$5:D$1000, MATCH(18, 'Detalles movimientos'!$R$5:$R$1000, 0)), "")</f>
        <v/>
      </c>
      <c r="D27" s="20" t="str">
        <f>IFERROR(INDEX('Detalles movimientos'!E$5:E$1000, MATCH(18, 'Detalles movimientos'!$R$5:$R$1000, 0)), "")</f>
        <v/>
      </c>
      <c r="E27" s="20" t="str">
        <f>IFERROR(INDEX('Detalles movimientos'!F$5:F$1000, MATCH(18, 'Detalles movimientos'!$R$5:$R$1000, 0)), "")</f>
        <v/>
      </c>
      <c r="F27" s="19" t="str">
        <f>IFERROR(INDEX('Detalles movimientos'!G$5:G$1000, MATCH(18, 'Detalles movimientos'!$R$5:$R$1000, 0)), "")</f>
        <v/>
      </c>
      <c r="G27" s="21" t="str">
        <f>IFERROR(INDEX('Detalles movimientos'!H$5:H$1000, MATCH(18, 'Detalles movimientos'!$R$5:$R$1000, 0)), "")</f>
        <v/>
      </c>
      <c r="H27" s="22" t="str">
        <f>IFERROR(INDEX('Detalles movimientos'!I$5:I$1000, MATCH(18, 'Detalles movimientos'!$R$5:$R$1000, 0)), "")</f>
        <v/>
      </c>
      <c r="I27" s="21" t="str">
        <f>IFERROR(INDEX('Detalles movimientos'!J$5:J$1000, MATCH(18, 'Detalles movimientos'!$R$5:$R$1000, 0)), "")</f>
        <v/>
      </c>
      <c r="J27" s="20" t="str">
        <f>IFERROR(INDEX('Detalles movimientos'!K$5:K$1000, MATCH(18, 'Detalles movimientos'!$R$5:$R$1000, 0)), "")</f>
        <v/>
      </c>
      <c r="K27" s="21" t="str">
        <f>IFERROR(INDEX('Detalles movimientos'!L$5:L$1000, MATCH(18, 'Detalles movimientos'!$R$5:$R$1000, 0)), "")</f>
        <v/>
      </c>
      <c r="L27" s="19" t="str">
        <f>IFERROR(INDEX('Detalles movimientos'!M$5:M$1000, MATCH(18, 'Detalles movimientos'!$R$5:$R$1000, 0)), "")</f>
        <v/>
      </c>
      <c r="M27" s="19" t="str">
        <f>IFERROR(INDEX('Detalles movimientos'!P$5:P$1000, MATCH(18, 'Detalles movimientos'!$R$5:$R$1000, 0)), "")</f>
        <v/>
      </c>
    </row>
    <row r="28" spans="2:13" x14ac:dyDescent="0.2">
      <c r="B28" s="18" t="str">
        <f>IFERROR(INDEX('Detalles movimientos'!C$5:C$1000, MATCH(19, 'Detalles movimientos'!$R$5:$R$1000, 0)), "")</f>
        <v/>
      </c>
      <c r="C28" s="19" t="str">
        <f>IFERROR(INDEX('Detalles movimientos'!D$5:D$1000, MATCH(19, 'Detalles movimientos'!$R$5:$R$1000, 0)), "")</f>
        <v/>
      </c>
      <c r="D28" s="20" t="str">
        <f>IFERROR(INDEX('Detalles movimientos'!E$5:E$1000, MATCH(19, 'Detalles movimientos'!$R$5:$R$1000, 0)), "")</f>
        <v/>
      </c>
      <c r="E28" s="20" t="str">
        <f>IFERROR(INDEX('Detalles movimientos'!F$5:F$1000, MATCH(19, 'Detalles movimientos'!$R$5:$R$1000, 0)), "")</f>
        <v/>
      </c>
      <c r="F28" s="19" t="str">
        <f>IFERROR(INDEX('Detalles movimientos'!G$5:G$1000, MATCH(19, 'Detalles movimientos'!$R$5:$R$1000, 0)), "")</f>
        <v/>
      </c>
      <c r="G28" s="21" t="str">
        <f>IFERROR(INDEX('Detalles movimientos'!H$5:H$1000, MATCH(19, 'Detalles movimientos'!$R$5:$R$1000, 0)), "")</f>
        <v/>
      </c>
      <c r="H28" s="22" t="str">
        <f>IFERROR(INDEX('Detalles movimientos'!I$5:I$1000, MATCH(19, 'Detalles movimientos'!$R$5:$R$1000, 0)), "")</f>
        <v/>
      </c>
      <c r="I28" s="21" t="str">
        <f>IFERROR(INDEX('Detalles movimientos'!J$5:J$1000, MATCH(19, 'Detalles movimientos'!$R$5:$R$1000, 0)), "")</f>
        <v/>
      </c>
      <c r="J28" s="20" t="str">
        <f>IFERROR(INDEX('Detalles movimientos'!K$5:K$1000, MATCH(19, 'Detalles movimientos'!$R$5:$R$1000, 0)), "")</f>
        <v/>
      </c>
      <c r="K28" s="21" t="str">
        <f>IFERROR(INDEX('Detalles movimientos'!L$5:L$1000, MATCH(19, 'Detalles movimientos'!$R$5:$R$1000, 0)), "")</f>
        <v/>
      </c>
      <c r="L28" s="19" t="str">
        <f>IFERROR(INDEX('Detalles movimientos'!M$5:M$1000, MATCH(19, 'Detalles movimientos'!$R$5:$R$1000, 0)), "")</f>
        <v/>
      </c>
      <c r="M28" s="19" t="str">
        <f>IFERROR(INDEX('Detalles movimientos'!P$5:P$1000, MATCH(19, 'Detalles movimientos'!$R$5:$R$1000, 0)), "")</f>
        <v/>
      </c>
    </row>
    <row r="29" spans="2:13" x14ac:dyDescent="0.2">
      <c r="B29" s="18" t="str">
        <f>IFERROR(INDEX('Detalles movimientos'!C$5:C$1000, MATCH(20, 'Detalles movimientos'!$R$5:$R$1000, 0)), "")</f>
        <v/>
      </c>
      <c r="C29" s="19" t="str">
        <f>IFERROR(INDEX('Detalles movimientos'!D$5:D$1000, MATCH(20, 'Detalles movimientos'!$R$5:$R$1000, 0)), "")</f>
        <v/>
      </c>
      <c r="D29" s="20" t="str">
        <f>IFERROR(INDEX('Detalles movimientos'!E$5:E$1000, MATCH(20, 'Detalles movimientos'!$R$5:$R$1000, 0)), "")</f>
        <v/>
      </c>
      <c r="E29" s="20" t="str">
        <f>IFERROR(INDEX('Detalles movimientos'!F$5:F$1000, MATCH(20, 'Detalles movimientos'!$R$5:$R$1000, 0)), "")</f>
        <v/>
      </c>
      <c r="F29" s="19" t="str">
        <f>IFERROR(INDEX('Detalles movimientos'!G$5:G$1000, MATCH(20, 'Detalles movimientos'!$R$5:$R$1000, 0)), "")</f>
        <v/>
      </c>
      <c r="G29" s="21" t="str">
        <f>IFERROR(INDEX('Detalles movimientos'!H$5:H$1000, MATCH(20, 'Detalles movimientos'!$R$5:$R$1000, 0)), "")</f>
        <v/>
      </c>
      <c r="H29" s="22" t="str">
        <f>IFERROR(INDEX('Detalles movimientos'!I$5:I$1000, MATCH(20, 'Detalles movimientos'!$R$5:$R$1000, 0)), "")</f>
        <v/>
      </c>
      <c r="I29" s="21" t="str">
        <f>IFERROR(INDEX('Detalles movimientos'!J$5:J$1000, MATCH(20, 'Detalles movimientos'!$R$5:$R$1000, 0)), "")</f>
        <v/>
      </c>
      <c r="J29" s="20" t="str">
        <f>IFERROR(INDEX('Detalles movimientos'!K$5:K$1000, MATCH(20, 'Detalles movimientos'!$R$5:$R$1000, 0)), "")</f>
        <v/>
      </c>
      <c r="K29" s="21" t="str">
        <f>IFERROR(INDEX('Detalles movimientos'!L$5:L$1000, MATCH(20, 'Detalles movimientos'!$R$5:$R$1000, 0)), "")</f>
        <v/>
      </c>
      <c r="L29" s="19" t="str">
        <f>IFERROR(INDEX('Detalles movimientos'!M$5:M$1000, MATCH(20, 'Detalles movimientos'!$R$5:$R$1000, 0)), "")</f>
        <v/>
      </c>
      <c r="M29" s="19" t="str">
        <f>IFERROR(INDEX('Detalles movimientos'!P$5:P$1000, MATCH(20, 'Detalles movimientos'!$R$5:$R$1000, 0)), "")</f>
        <v/>
      </c>
    </row>
    <row r="30" spans="2:13" x14ac:dyDescent="0.2">
      <c r="B30" s="18" t="str">
        <f>IFERROR(INDEX('Detalles movimientos'!C$5:C$1000, MATCH(21, 'Detalles movimientos'!$R$5:$R$1000, 0)), "")</f>
        <v/>
      </c>
      <c r="C30" s="19" t="str">
        <f>IFERROR(INDEX('Detalles movimientos'!D$5:D$1000, MATCH(21, 'Detalles movimientos'!$R$5:$R$1000, 0)), "")</f>
        <v/>
      </c>
      <c r="D30" s="20" t="str">
        <f>IFERROR(INDEX('Detalles movimientos'!E$5:E$1000, MATCH(21, 'Detalles movimientos'!$R$5:$R$1000, 0)), "")</f>
        <v/>
      </c>
      <c r="E30" s="20" t="str">
        <f>IFERROR(INDEX('Detalles movimientos'!F$5:F$1000, MATCH(21, 'Detalles movimientos'!$R$5:$R$1000, 0)), "")</f>
        <v/>
      </c>
      <c r="F30" s="19" t="str">
        <f>IFERROR(INDEX('Detalles movimientos'!G$5:G$1000, MATCH(21, 'Detalles movimientos'!$R$5:$R$1000, 0)), "")</f>
        <v/>
      </c>
      <c r="G30" s="21" t="str">
        <f>IFERROR(INDEX('Detalles movimientos'!H$5:H$1000, MATCH(21, 'Detalles movimientos'!$R$5:$R$1000, 0)), "")</f>
        <v/>
      </c>
      <c r="H30" s="22" t="str">
        <f>IFERROR(INDEX('Detalles movimientos'!I$5:I$1000, MATCH(21, 'Detalles movimientos'!$R$5:$R$1000, 0)), "")</f>
        <v/>
      </c>
      <c r="I30" s="21" t="str">
        <f>IFERROR(INDEX('Detalles movimientos'!J$5:J$1000, MATCH(21, 'Detalles movimientos'!$R$5:$R$1000, 0)), "")</f>
        <v/>
      </c>
      <c r="J30" s="20" t="str">
        <f>IFERROR(INDEX('Detalles movimientos'!K$5:K$1000, MATCH(21, 'Detalles movimientos'!$R$5:$R$1000, 0)), "")</f>
        <v/>
      </c>
      <c r="K30" s="21" t="str">
        <f>IFERROR(INDEX('Detalles movimientos'!L$5:L$1000, MATCH(21, 'Detalles movimientos'!$R$5:$R$1000, 0)), "")</f>
        <v/>
      </c>
      <c r="L30" s="19" t="str">
        <f>IFERROR(INDEX('Detalles movimientos'!M$5:M$1000, MATCH(21, 'Detalles movimientos'!$R$5:$R$1000, 0)), "")</f>
        <v/>
      </c>
      <c r="M30" s="19" t="str">
        <f>IFERROR(INDEX('Detalles movimientos'!P$5:P$1000, MATCH(21, 'Detalles movimientos'!$R$5:$R$1000, 0)), "")</f>
        <v/>
      </c>
    </row>
    <row r="31" spans="2:13" x14ac:dyDescent="0.2">
      <c r="B31" s="18" t="str">
        <f>IFERROR(INDEX('Detalles movimientos'!C$5:C$1000, MATCH(22, 'Detalles movimientos'!$R$5:$R$1000, 0)), "")</f>
        <v/>
      </c>
      <c r="C31" s="19" t="str">
        <f>IFERROR(INDEX('Detalles movimientos'!D$5:D$1000, MATCH(22, 'Detalles movimientos'!$R$5:$R$1000, 0)), "")</f>
        <v/>
      </c>
      <c r="D31" s="20" t="str">
        <f>IFERROR(INDEX('Detalles movimientos'!E$5:E$1000, MATCH(22, 'Detalles movimientos'!$R$5:$R$1000, 0)), "")</f>
        <v/>
      </c>
      <c r="E31" s="20" t="str">
        <f>IFERROR(INDEX('Detalles movimientos'!F$5:F$1000, MATCH(22, 'Detalles movimientos'!$R$5:$R$1000, 0)), "")</f>
        <v/>
      </c>
      <c r="F31" s="19" t="str">
        <f>IFERROR(INDEX('Detalles movimientos'!G$5:G$1000, MATCH(22, 'Detalles movimientos'!$R$5:$R$1000, 0)), "")</f>
        <v/>
      </c>
      <c r="G31" s="21" t="str">
        <f>IFERROR(INDEX('Detalles movimientos'!H$5:H$1000, MATCH(22, 'Detalles movimientos'!$R$5:$R$1000, 0)), "")</f>
        <v/>
      </c>
      <c r="H31" s="22" t="str">
        <f>IFERROR(INDEX('Detalles movimientos'!I$5:I$1000, MATCH(22, 'Detalles movimientos'!$R$5:$R$1000, 0)), "")</f>
        <v/>
      </c>
      <c r="I31" s="21" t="str">
        <f>IFERROR(INDEX('Detalles movimientos'!J$5:J$1000, MATCH(22, 'Detalles movimientos'!$R$5:$R$1000, 0)), "")</f>
        <v/>
      </c>
      <c r="J31" s="20" t="str">
        <f>IFERROR(INDEX('Detalles movimientos'!K$5:K$1000, MATCH(22, 'Detalles movimientos'!$R$5:$R$1000, 0)), "")</f>
        <v/>
      </c>
      <c r="K31" s="21" t="str">
        <f>IFERROR(INDEX('Detalles movimientos'!L$5:L$1000, MATCH(22, 'Detalles movimientos'!$R$5:$R$1000, 0)), "")</f>
        <v/>
      </c>
      <c r="L31" s="19" t="str">
        <f>IFERROR(INDEX('Detalles movimientos'!M$5:M$1000, MATCH(22, 'Detalles movimientos'!$R$5:$R$1000, 0)), "")</f>
        <v/>
      </c>
      <c r="M31" s="19" t="str">
        <f>IFERROR(INDEX('Detalles movimientos'!P$5:P$1000, MATCH(22, 'Detalles movimientos'!$R$5:$R$1000, 0)), "")</f>
        <v/>
      </c>
    </row>
    <row r="32" spans="2:13" x14ac:dyDescent="0.2">
      <c r="B32" s="18" t="str">
        <f>IFERROR(INDEX('Detalles movimientos'!C$5:C$1000, MATCH(23, 'Detalles movimientos'!$R$5:$R$1000, 0)), "")</f>
        <v/>
      </c>
      <c r="C32" s="19" t="str">
        <f>IFERROR(INDEX('Detalles movimientos'!D$5:D$1000, MATCH(23, 'Detalles movimientos'!$R$5:$R$1000, 0)), "")</f>
        <v/>
      </c>
      <c r="D32" s="20" t="str">
        <f>IFERROR(INDEX('Detalles movimientos'!E$5:E$1000, MATCH(23, 'Detalles movimientos'!$R$5:$R$1000, 0)), "")</f>
        <v/>
      </c>
      <c r="E32" s="20" t="str">
        <f>IFERROR(INDEX('Detalles movimientos'!F$5:F$1000, MATCH(23, 'Detalles movimientos'!$R$5:$R$1000, 0)), "")</f>
        <v/>
      </c>
      <c r="F32" s="19" t="str">
        <f>IFERROR(INDEX('Detalles movimientos'!G$5:G$1000, MATCH(23, 'Detalles movimientos'!$R$5:$R$1000, 0)), "")</f>
        <v/>
      </c>
      <c r="G32" s="21" t="str">
        <f>IFERROR(INDEX('Detalles movimientos'!H$5:H$1000, MATCH(23, 'Detalles movimientos'!$R$5:$R$1000, 0)), "")</f>
        <v/>
      </c>
      <c r="H32" s="22" t="str">
        <f>IFERROR(INDEX('Detalles movimientos'!I$5:I$1000, MATCH(23, 'Detalles movimientos'!$R$5:$R$1000, 0)), "")</f>
        <v/>
      </c>
      <c r="I32" s="21" t="str">
        <f>IFERROR(INDEX('Detalles movimientos'!J$5:J$1000, MATCH(23, 'Detalles movimientos'!$R$5:$R$1000, 0)), "")</f>
        <v/>
      </c>
      <c r="J32" s="20" t="str">
        <f>IFERROR(INDEX('Detalles movimientos'!K$5:K$1000, MATCH(23, 'Detalles movimientos'!$R$5:$R$1000, 0)), "")</f>
        <v/>
      </c>
      <c r="K32" s="21" t="str">
        <f>IFERROR(INDEX('Detalles movimientos'!L$5:L$1000, MATCH(23, 'Detalles movimientos'!$R$5:$R$1000, 0)), "")</f>
        <v/>
      </c>
      <c r="L32" s="19" t="str">
        <f>IFERROR(INDEX('Detalles movimientos'!M$5:M$1000, MATCH(23, 'Detalles movimientos'!$R$5:$R$1000, 0)), "")</f>
        <v/>
      </c>
      <c r="M32" s="19" t="str">
        <f>IFERROR(INDEX('Detalles movimientos'!P$5:P$1000, MATCH(23, 'Detalles movimientos'!$R$5:$R$1000, 0)), "")</f>
        <v/>
      </c>
    </row>
    <row r="33" spans="2:13" x14ac:dyDescent="0.2">
      <c r="B33" s="18" t="str">
        <f>IFERROR(INDEX('Detalles movimientos'!C$5:C$1000, MATCH(24, 'Detalles movimientos'!$R$5:$R$1000, 0)), "")</f>
        <v/>
      </c>
      <c r="C33" s="19" t="str">
        <f>IFERROR(INDEX('Detalles movimientos'!D$5:D$1000, MATCH(24, 'Detalles movimientos'!$R$5:$R$1000, 0)), "")</f>
        <v/>
      </c>
      <c r="D33" s="20" t="str">
        <f>IFERROR(INDEX('Detalles movimientos'!E$5:E$1000, MATCH(24, 'Detalles movimientos'!$R$5:$R$1000, 0)), "")</f>
        <v/>
      </c>
      <c r="E33" s="20" t="str">
        <f>IFERROR(INDEX('Detalles movimientos'!F$5:F$1000, MATCH(24, 'Detalles movimientos'!$R$5:$R$1000, 0)), "")</f>
        <v/>
      </c>
      <c r="F33" s="19" t="str">
        <f>IFERROR(INDEX('Detalles movimientos'!G$5:G$1000, MATCH(24, 'Detalles movimientos'!$R$5:$R$1000, 0)), "")</f>
        <v/>
      </c>
      <c r="G33" s="21" t="str">
        <f>IFERROR(INDEX('Detalles movimientos'!H$5:H$1000, MATCH(24, 'Detalles movimientos'!$R$5:$R$1000, 0)), "")</f>
        <v/>
      </c>
      <c r="H33" s="22" t="str">
        <f>IFERROR(INDEX('Detalles movimientos'!I$5:I$1000, MATCH(24, 'Detalles movimientos'!$R$5:$R$1000, 0)), "")</f>
        <v/>
      </c>
      <c r="I33" s="21" t="str">
        <f>IFERROR(INDEX('Detalles movimientos'!J$5:J$1000, MATCH(24, 'Detalles movimientos'!$R$5:$R$1000, 0)), "")</f>
        <v/>
      </c>
      <c r="J33" s="20" t="str">
        <f>IFERROR(INDEX('Detalles movimientos'!K$5:K$1000, MATCH(24, 'Detalles movimientos'!$R$5:$R$1000, 0)), "")</f>
        <v/>
      </c>
      <c r="K33" s="21" t="str">
        <f>IFERROR(INDEX('Detalles movimientos'!L$5:L$1000, MATCH(24, 'Detalles movimientos'!$R$5:$R$1000, 0)), "")</f>
        <v/>
      </c>
      <c r="L33" s="19" t="str">
        <f>IFERROR(INDEX('Detalles movimientos'!M$5:M$1000, MATCH(24, 'Detalles movimientos'!$R$5:$R$1000, 0)), "")</f>
        <v/>
      </c>
      <c r="M33" s="19" t="str">
        <f>IFERROR(INDEX('Detalles movimientos'!P$5:P$1000, MATCH(24, 'Detalles movimientos'!$R$5:$R$1000, 0)), "")</f>
        <v/>
      </c>
    </row>
    <row r="34" spans="2:13" x14ac:dyDescent="0.2">
      <c r="B34" s="18" t="str">
        <f>IFERROR(INDEX('Detalles movimientos'!C$5:C$1000, MATCH(25, 'Detalles movimientos'!$R$5:$R$1000, 0)), "")</f>
        <v/>
      </c>
      <c r="C34" s="19" t="str">
        <f>IFERROR(INDEX('Detalles movimientos'!D$5:D$1000, MATCH(25, 'Detalles movimientos'!$R$5:$R$1000, 0)), "")</f>
        <v/>
      </c>
      <c r="D34" s="20" t="str">
        <f>IFERROR(INDEX('Detalles movimientos'!E$5:E$1000, MATCH(25, 'Detalles movimientos'!$R$5:$R$1000, 0)), "")</f>
        <v/>
      </c>
      <c r="E34" s="20" t="str">
        <f>IFERROR(INDEX('Detalles movimientos'!F$5:F$1000, MATCH(25, 'Detalles movimientos'!$R$5:$R$1000, 0)), "")</f>
        <v/>
      </c>
      <c r="F34" s="19" t="str">
        <f>IFERROR(INDEX('Detalles movimientos'!G$5:G$1000, MATCH(25, 'Detalles movimientos'!$R$5:$R$1000, 0)), "")</f>
        <v/>
      </c>
      <c r="G34" s="21" t="str">
        <f>IFERROR(INDEX('Detalles movimientos'!H$5:H$1000, MATCH(25, 'Detalles movimientos'!$R$5:$R$1000, 0)), "")</f>
        <v/>
      </c>
      <c r="H34" s="22" t="str">
        <f>IFERROR(INDEX('Detalles movimientos'!I$5:I$1000, MATCH(25, 'Detalles movimientos'!$R$5:$R$1000, 0)), "")</f>
        <v/>
      </c>
      <c r="I34" s="21" t="str">
        <f>IFERROR(INDEX('Detalles movimientos'!J$5:J$1000, MATCH(25, 'Detalles movimientos'!$R$5:$R$1000, 0)), "")</f>
        <v/>
      </c>
      <c r="J34" s="20" t="str">
        <f>IFERROR(INDEX('Detalles movimientos'!K$5:K$1000, MATCH(25, 'Detalles movimientos'!$R$5:$R$1000, 0)), "")</f>
        <v/>
      </c>
      <c r="K34" s="21" t="str">
        <f>IFERROR(INDEX('Detalles movimientos'!L$5:L$1000, MATCH(25, 'Detalles movimientos'!$R$5:$R$1000, 0)), "")</f>
        <v/>
      </c>
      <c r="L34" s="19" t="str">
        <f>IFERROR(INDEX('Detalles movimientos'!M$5:M$1000, MATCH(25, 'Detalles movimientos'!$R$5:$R$1000, 0)), "")</f>
        <v/>
      </c>
      <c r="M34" s="19" t="str">
        <f>IFERROR(INDEX('Detalles movimientos'!P$5:P$1000, MATCH(25, 'Detalles movimientos'!$R$5:$R$1000, 0)), "")</f>
        <v/>
      </c>
    </row>
    <row r="35" spans="2:13" x14ac:dyDescent="0.2">
      <c r="B35" s="18" t="str">
        <f>IFERROR(INDEX('Detalles movimientos'!C$5:C$1000, MATCH(26, 'Detalles movimientos'!$R$5:$R$1000, 0)), "")</f>
        <v/>
      </c>
      <c r="C35" s="19" t="str">
        <f>IFERROR(INDEX('Detalles movimientos'!D$5:D$1000, MATCH(26, 'Detalles movimientos'!$R$5:$R$1000, 0)), "")</f>
        <v/>
      </c>
      <c r="D35" s="20" t="str">
        <f>IFERROR(INDEX('Detalles movimientos'!E$5:E$1000, MATCH(26, 'Detalles movimientos'!$R$5:$R$1000, 0)), "")</f>
        <v/>
      </c>
      <c r="E35" s="20" t="str">
        <f>IFERROR(INDEX('Detalles movimientos'!F$5:F$1000, MATCH(26, 'Detalles movimientos'!$R$5:$R$1000, 0)), "")</f>
        <v/>
      </c>
      <c r="F35" s="19" t="str">
        <f>IFERROR(INDEX('Detalles movimientos'!G$5:G$1000, MATCH(26, 'Detalles movimientos'!$R$5:$R$1000, 0)), "")</f>
        <v/>
      </c>
      <c r="G35" s="21" t="str">
        <f>IFERROR(INDEX('Detalles movimientos'!H$5:H$1000, MATCH(26, 'Detalles movimientos'!$R$5:$R$1000, 0)), "")</f>
        <v/>
      </c>
      <c r="H35" s="22" t="str">
        <f>IFERROR(INDEX('Detalles movimientos'!I$5:I$1000, MATCH(26, 'Detalles movimientos'!$R$5:$R$1000, 0)), "")</f>
        <v/>
      </c>
      <c r="I35" s="21" t="str">
        <f>IFERROR(INDEX('Detalles movimientos'!J$5:J$1000, MATCH(26, 'Detalles movimientos'!$R$5:$R$1000, 0)), "")</f>
        <v/>
      </c>
      <c r="J35" s="20" t="str">
        <f>IFERROR(INDEX('Detalles movimientos'!K$5:K$1000, MATCH(26, 'Detalles movimientos'!$R$5:$R$1000, 0)), "")</f>
        <v/>
      </c>
      <c r="K35" s="21" t="str">
        <f>IFERROR(INDEX('Detalles movimientos'!L$5:L$1000, MATCH(26, 'Detalles movimientos'!$R$5:$R$1000, 0)), "")</f>
        <v/>
      </c>
      <c r="L35" s="19" t="str">
        <f>IFERROR(INDEX('Detalles movimientos'!M$5:M$1000, MATCH(26, 'Detalles movimientos'!$R$5:$R$1000, 0)), "")</f>
        <v/>
      </c>
      <c r="M35" s="19" t="str">
        <f>IFERROR(INDEX('Detalles movimientos'!P$5:P$1000, MATCH(26, 'Detalles movimientos'!$R$5:$R$1000, 0)), "")</f>
        <v/>
      </c>
    </row>
    <row r="36" spans="2:13" x14ac:dyDescent="0.2">
      <c r="B36" s="18" t="str">
        <f>IFERROR(INDEX('Detalles movimientos'!C$5:C$1000, MATCH(27, 'Detalles movimientos'!$R$5:$R$1000, 0)), "")</f>
        <v/>
      </c>
      <c r="C36" s="19" t="str">
        <f>IFERROR(INDEX('Detalles movimientos'!D$5:D$1000, MATCH(27, 'Detalles movimientos'!$R$5:$R$1000, 0)), "")</f>
        <v/>
      </c>
      <c r="D36" s="20" t="str">
        <f>IFERROR(INDEX('Detalles movimientos'!E$5:E$1000, MATCH(27, 'Detalles movimientos'!$R$5:$R$1000, 0)), "")</f>
        <v/>
      </c>
      <c r="E36" s="20" t="str">
        <f>IFERROR(INDEX('Detalles movimientos'!F$5:F$1000, MATCH(27, 'Detalles movimientos'!$R$5:$R$1000, 0)), "")</f>
        <v/>
      </c>
      <c r="F36" s="19" t="str">
        <f>IFERROR(INDEX('Detalles movimientos'!G$5:G$1000, MATCH(27, 'Detalles movimientos'!$R$5:$R$1000, 0)), "")</f>
        <v/>
      </c>
      <c r="G36" s="21" t="str">
        <f>IFERROR(INDEX('Detalles movimientos'!H$5:H$1000, MATCH(27, 'Detalles movimientos'!$R$5:$R$1000, 0)), "")</f>
        <v/>
      </c>
      <c r="H36" s="22" t="str">
        <f>IFERROR(INDEX('Detalles movimientos'!I$5:I$1000, MATCH(27, 'Detalles movimientos'!$R$5:$R$1000, 0)), "")</f>
        <v/>
      </c>
      <c r="I36" s="21" t="str">
        <f>IFERROR(INDEX('Detalles movimientos'!J$5:J$1000, MATCH(27, 'Detalles movimientos'!$R$5:$R$1000, 0)), "")</f>
        <v/>
      </c>
      <c r="J36" s="20" t="str">
        <f>IFERROR(INDEX('Detalles movimientos'!K$5:K$1000, MATCH(27, 'Detalles movimientos'!$R$5:$R$1000, 0)), "")</f>
        <v/>
      </c>
      <c r="K36" s="21" t="str">
        <f>IFERROR(INDEX('Detalles movimientos'!L$5:L$1000, MATCH(27, 'Detalles movimientos'!$R$5:$R$1000, 0)), "")</f>
        <v/>
      </c>
      <c r="L36" s="19" t="str">
        <f>IFERROR(INDEX('Detalles movimientos'!M$5:M$1000, MATCH(27, 'Detalles movimientos'!$R$5:$R$1000, 0)), "")</f>
        <v/>
      </c>
      <c r="M36" s="19" t="str">
        <f>IFERROR(INDEX('Detalles movimientos'!P$5:P$1000, MATCH(27, 'Detalles movimientos'!$R$5:$R$1000, 0)), "")</f>
        <v/>
      </c>
    </row>
    <row r="37" spans="2:13" x14ac:dyDescent="0.2">
      <c r="B37" s="18" t="str">
        <f>IFERROR(INDEX('Detalles movimientos'!C$5:C$1000, MATCH(28, 'Detalles movimientos'!$R$5:$R$1000, 0)), "")</f>
        <v/>
      </c>
      <c r="C37" s="19" t="str">
        <f>IFERROR(INDEX('Detalles movimientos'!D$5:D$1000, MATCH(28, 'Detalles movimientos'!$R$5:$R$1000, 0)), "")</f>
        <v/>
      </c>
      <c r="D37" s="20" t="str">
        <f>IFERROR(INDEX('Detalles movimientos'!E$5:E$1000, MATCH(28, 'Detalles movimientos'!$R$5:$R$1000, 0)), "")</f>
        <v/>
      </c>
      <c r="E37" s="20" t="str">
        <f>IFERROR(INDEX('Detalles movimientos'!F$5:F$1000, MATCH(28, 'Detalles movimientos'!$R$5:$R$1000, 0)), "")</f>
        <v/>
      </c>
      <c r="F37" s="19" t="str">
        <f>IFERROR(INDEX('Detalles movimientos'!G$5:G$1000, MATCH(28, 'Detalles movimientos'!$R$5:$R$1000, 0)), "")</f>
        <v/>
      </c>
      <c r="G37" s="21" t="str">
        <f>IFERROR(INDEX('Detalles movimientos'!H$5:H$1000, MATCH(28, 'Detalles movimientos'!$R$5:$R$1000, 0)), "")</f>
        <v/>
      </c>
      <c r="H37" s="22" t="str">
        <f>IFERROR(INDEX('Detalles movimientos'!I$5:I$1000, MATCH(28, 'Detalles movimientos'!$R$5:$R$1000, 0)), "")</f>
        <v/>
      </c>
      <c r="I37" s="21" t="str">
        <f>IFERROR(INDEX('Detalles movimientos'!J$5:J$1000, MATCH(28, 'Detalles movimientos'!$R$5:$R$1000, 0)), "")</f>
        <v/>
      </c>
      <c r="J37" s="20" t="str">
        <f>IFERROR(INDEX('Detalles movimientos'!K$5:K$1000, MATCH(28, 'Detalles movimientos'!$R$5:$R$1000, 0)), "")</f>
        <v/>
      </c>
      <c r="K37" s="21" t="str">
        <f>IFERROR(INDEX('Detalles movimientos'!L$5:L$1000, MATCH(28, 'Detalles movimientos'!$R$5:$R$1000, 0)), "")</f>
        <v/>
      </c>
      <c r="L37" s="19" t="str">
        <f>IFERROR(INDEX('Detalles movimientos'!M$5:M$1000, MATCH(28, 'Detalles movimientos'!$R$5:$R$1000, 0)), "")</f>
        <v/>
      </c>
      <c r="M37" s="19" t="str">
        <f>IFERROR(INDEX('Detalles movimientos'!P$5:P$1000, MATCH(28, 'Detalles movimientos'!$R$5:$R$1000, 0)), "")</f>
        <v/>
      </c>
    </row>
    <row r="38" spans="2:13" x14ac:dyDescent="0.2">
      <c r="B38" s="18" t="str">
        <f>IFERROR(INDEX('Detalles movimientos'!C$5:C$1000, MATCH(29, 'Detalles movimientos'!$R$5:$R$1000, 0)), "")</f>
        <v/>
      </c>
      <c r="C38" s="19" t="str">
        <f>IFERROR(INDEX('Detalles movimientos'!D$5:D$1000, MATCH(29, 'Detalles movimientos'!$R$5:$R$1000, 0)), "")</f>
        <v/>
      </c>
      <c r="D38" s="20" t="str">
        <f>IFERROR(INDEX('Detalles movimientos'!E$5:E$1000, MATCH(29, 'Detalles movimientos'!$R$5:$R$1000, 0)), "")</f>
        <v/>
      </c>
      <c r="E38" s="20" t="str">
        <f>IFERROR(INDEX('Detalles movimientos'!F$5:F$1000, MATCH(29, 'Detalles movimientos'!$R$5:$R$1000, 0)), "")</f>
        <v/>
      </c>
      <c r="F38" s="19" t="str">
        <f>IFERROR(INDEX('Detalles movimientos'!G$5:G$1000, MATCH(29, 'Detalles movimientos'!$R$5:$R$1000, 0)), "")</f>
        <v/>
      </c>
      <c r="G38" s="21" t="str">
        <f>IFERROR(INDEX('Detalles movimientos'!H$5:H$1000, MATCH(29, 'Detalles movimientos'!$R$5:$R$1000, 0)), "")</f>
        <v/>
      </c>
      <c r="H38" s="22" t="str">
        <f>IFERROR(INDEX('Detalles movimientos'!I$5:I$1000, MATCH(29, 'Detalles movimientos'!$R$5:$R$1000, 0)), "")</f>
        <v/>
      </c>
      <c r="I38" s="21" t="str">
        <f>IFERROR(INDEX('Detalles movimientos'!J$5:J$1000, MATCH(29, 'Detalles movimientos'!$R$5:$R$1000, 0)), "")</f>
        <v/>
      </c>
      <c r="J38" s="20" t="str">
        <f>IFERROR(INDEX('Detalles movimientos'!K$5:K$1000, MATCH(29, 'Detalles movimientos'!$R$5:$R$1000, 0)), "")</f>
        <v/>
      </c>
      <c r="K38" s="21" t="str">
        <f>IFERROR(INDEX('Detalles movimientos'!L$5:L$1000, MATCH(29, 'Detalles movimientos'!$R$5:$R$1000, 0)), "")</f>
        <v/>
      </c>
      <c r="L38" s="19" t="str">
        <f>IFERROR(INDEX('Detalles movimientos'!M$5:M$1000, MATCH(29, 'Detalles movimientos'!$R$5:$R$1000, 0)), "")</f>
        <v/>
      </c>
      <c r="M38" s="19" t="str">
        <f>IFERROR(INDEX('Detalles movimientos'!P$5:P$1000, MATCH(29, 'Detalles movimientos'!$R$5:$R$1000, 0)), "")</f>
        <v/>
      </c>
    </row>
    <row r="39" spans="2:13" x14ac:dyDescent="0.2">
      <c r="B39" s="18" t="str">
        <f>IFERROR(INDEX('Detalles movimientos'!C$5:C$1000, MATCH(30, 'Detalles movimientos'!$R$5:$R$1000, 0)), "")</f>
        <v/>
      </c>
      <c r="C39" s="19" t="str">
        <f>IFERROR(INDEX('Detalles movimientos'!D$5:D$1000, MATCH(30, 'Detalles movimientos'!$R$5:$R$1000, 0)), "")</f>
        <v/>
      </c>
      <c r="D39" s="20" t="str">
        <f>IFERROR(INDEX('Detalles movimientos'!E$5:E$1000, MATCH(30, 'Detalles movimientos'!$R$5:$R$1000, 0)), "")</f>
        <v/>
      </c>
      <c r="E39" s="20" t="str">
        <f>IFERROR(INDEX('Detalles movimientos'!F$5:F$1000, MATCH(30, 'Detalles movimientos'!$R$5:$R$1000, 0)), "")</f>
        <v/>
      </c>
      <c r="F39" s="19" t="str">
        <f>IFERROR(INDEX('Detalles movimientos'!G$5:G$1000, MATCH(30, 'Detalles movimientos'!$R$5:$R$1000, 0)), "")</f>
        <v/>
      </c>
      <c r="G39" s="21" t="str">
        <f>IFERROR(INDEX('Detalles movimientos'!H$5:H$1000, MATCH(30, 'Detalles movimientos'!$R$5:$R$1000, 0)), "")</f>
        <v/>
      </c>
      <c r="H39" s="22" t="str">
        <f>IFERROR(INDEX('Detalles movimientos'!I$5:I$1000, MATCH(30, 'Detalles movimientos'!$R$5:$R$1000, 0)), "")</f>
        <v/>
      </c>
      <c r="I39" s="21" t="str">
        <f>IFERROR(INDEX('Detalles movimientos'!J$5:J$1000, MATCH(30, 'Detalles movimientos'!$R$5:$R$1000, 0)), "")</f>
        <v/>
      </c>
      <c r="J39" s="20" t="str">
        <f>IFERROR(INDEX('Detalles movimientos'!K$5:K$1000, MATCH(30, 'Detalles movimientos'!$R$5:$R$1000, 0)), "")</f>
        <v/>
      </c>
      <c r="K39" s="21" t="str">
        <f>IFERROR(INDEX('Detalles movimientos'!L$5:L$1000, MATCH(30, 'Detalles movimientos'!$R$5:$R$1000, 0)), "")</f>
        <v/>
      </c>
      <c r="L39" s="19" t="str">
        <f>IFERROR(INDEX('Detalles movimientos'!M$5:M$1000, MATCH(30, 'Detalles movimientos'!$R$5:$R$1000, 0)), "")</f>
        <v/>
      </c>
      <c r="M39" s="19" t="str">
        <f>IFERROR(INDEX('Detalles movimientos'!P$5:P$1000, MATCH(30, 'Detalles movimientos'!$R$5:$R$1000, 0)), "")</f>
        <v/>
      </c>
    </row>
    <row r="40" spans="2:13" x14ac:dyDescent="0.2">
      <c r="B40" s="18" t="str">
        <f>IFERROR(INDEX('Detalles movimientos'!C$5:C$1000, MATCH(31, 'Detalles movimientos'!$R$5:$R$1000, 0)), "")</f>
        <v/>
      </c>
      <c r="C40" s="19" t="str">
        <f>IFERROR(INDEX('Detalles movimientos'!D$5:D$1000, MATCH(31, 'Detalles movimientos'!$R$5:$R$1000, 0)), "")</f>
        <v/>
      </c>
      <c r="D40" s="20" t="str">
        <f>IFERROR(INDEX('Detalles movimientos'!E$5:E$1000, MATCH(31, 'Detalles movimientos'!$R$5:$R$1000, 0)), "")</f>
        <v/>
      </c>
      <c r="E40" s="20" t="str">
        <f>IFERROR(INDEX('Detalles movimientos'!F$5:F$1000, MATCH(31, 'Detalles movimientos'!$R$5:$R$1000, 0)), "")</f>
        <v/>
      </c>
      <c r="F40" s="19" t="str">
        <f>IFERROR(INDEX('Detalles movimientos'!G$5:G$1000, MATCH(31, 'Detalles movimientos'!$R$5:$R$1000, 0)), "")</f>
        <v/>
      </c>
      <c r="G40" s="21" t="str">
        <f>IFERROR(INDEX('Detalles movimientos'!H$5:H$1000, MATCH(31, 'Detalles movimientos'!$R$5:$R$1000, 0)), "")</f>
        <v/>
      </c>
      <c r="H40" s="22" t="str">
        <f>IFERROR(INDEX('Detalles movimientos'!I$5:I$1000, MATCH(31, 'Detalles movimientos'!$R$5:$R$1000, 0)), "")</f>
        <v/>
      </c>
      <c r="I40" s="21" t="str">
        <f>IFERROR(INDEX('Detalles movimientos'!J$5:J$1000, MATCH(31, 'Detalles movimientos'!$R$5:$R$1000, 0)), "")</f>
        <v/>
      </c>
      <c r="J40" s="20" t="str">
        <f>IFERROR(INDEX('Detalles movimientos'!K$5:K$1000, MATCH(31, 'Detalles movimientos'!$R$5:$R$1000, 0)), "")</f>
        <v/>
      </c>
      <c r="K40" s="21" t="str">
        <f>IFERROR(INDEX('Detalles movimientos'!L$5:L$1000, MATCH(31, 'Detalles movimientos'!$R$5:$R$1000, 0)), "")</f>
        <v/>
      </c>
      <c r="L40" s="19" t="str">
        <f>IFERROR(INDEX('Detalles movimientos'!M$5:M$1000, MATCH(31, 'Detalles movimientos'!$R$5:$R$1000, 0)), "")</f>
        <v/>
      </c>
      <c r="M40" s="19" t="str">
        <f>IFERROR(INDEX('Detalles movimientos'!P$5:P$1000, MATCH(31, 'Detalles movimientos'!$R$5:$R$1000, 0)), "")</f>
        <v/>
      </c>
    </row>
    <row r="41" spans="2:13" x14ac:dyDescent="0.2">
      <c r="B41" s="18" t="str">
        <f>IFERROR(INDEX('Detalles movimientos'!C$5:C$1000, MATCH(32, 'Detalles movimientos'!$R$5:$R$1000, 0)), "")</f>
        <v/>
      </c>
      <c r="C41" s="19" t="str">
        <f>IFERROR(INDEX('Detalles movimientos'!D$5:D$1000, MATCH(32, 'Detalles movimientos'!$R$5:$R$1000, 0)), "")</f>
        <v/>
      </c>
      <c r="D41" s="20" t="str">
        <f>IFERROR(INDEX('Detalles movimientos'!E$5:E$1000, MATCH(32, 'Detalles movimientos'!$R$5:$R$1000, 0)), "")</f>
        <v/>
      </c>
      <c r="E41" s="20" t="str">
        <f>IFERROR(INDEX('Detalles movimientos'!F$5:F$1000, MATCH(32, 'Detalles movimientos'!$R$5:$R$1000, 0)), "")</f>
        <v/>
      </c>
      <c r="F41" s="19" t="str">
        <f>IFERROR(INDEX('Detalles movimientos'!G$5:G$1000, MATCH(32, 'Detalles movimientos'!$R$5:$R$1000, 0)), "")</f>
        <v/>
      </c>
      <c r="G41" s="21" t="str">
        <f>IFERROR(INDEX('Detalles movimientos'!H$5:H$1000, MATCH(32, 'Detalles movimientos'!$R$5:$R$1000, 0)), "")</f>
        <v/>
      </c>
      <c r="H41" s="22" t="str">
        <f>IFERROR(INDEX('Detalles movimientos'!I$5:I$1000, MATCH(32, 'Detalles movimientos'!$R$5:$R$1000, 0)), "")</f>
        <v/>
      </c>
      <c r="I41" s="21" t="str">
        <f>IFERROR(INDEX('Detalles movimientos'!J$5:J$1000, MATCH(32, 'Detalles movimientos'!$R$5:$R$1000, 0)), "")</f>
        <v/>
      </c>
      <c r="J41" s="20" t="str">
        <f>IFERROR(INDEX('Detalles movimientos'!K$5:K$1000, MATCH(32, 'Detalles movimientos'!$R$5:$R$1000, 0)), "")</f>
        <v/>
      </c>
      <c r="K41" s="21" t="str">
        <f>IFERROR(INDEX('Detalles movimientos'!L$5:L$1000, MATCH(32, 'Detalles movimientos'!$R$5:$R$1000, 0)), "")</f>
        <v/>
      </c>
      <c r="L41" s="19" t="str">
        <f>IFERROR(INDEX('Detalles movimientos'!M$5:M$1000, MATCH(32, 'Detalles movimientos'!$R$5:$R$1000, 0)), "")</f>
        <v/>
      </c>
      <c r="M41" s="19" t="str">
        <f>IFERROR(INDEX('Detalles movimientos'!P$5:P$1000, MATCH(32, 'Detalles movimientos'!$R$5:$R$1000, 0)), "")</f>
        <v/>
      </c>
    </row>
    <row r="42" spans="2:13" x14ac:dyDescent="0.2">
      <c r="B42" s="18" t="str">
        <f>IFERROR(INDEX('Detalles movimientos'!C$5:C$1000, MATCH(33, 'Detalles movimientos'!$R$5:$R$1000, 0)), "")</f>
        <v/>
      </c>
      <c r="C42" s="19" t="str">
        <f>IFERROR(INDEX('Detalles movimientos'!D$5:D$1000, MATCH(33, 'Detalles movimientos'!$R$5:$R$1000, 0)), "")</f>
        <v/>
      </c>
      <c r="D42" s="20" t="str">
        <f>IFERROR(INDEX('Detalles movimientos'!E$5:E$1000, MATCH(33, 'Detalles movimientos'!$R$5:$R$1000, 0)), "")</f>
        <v/>
      </c>
      <c r="E42" s="20" t="str">
        <f>IFERROR(INDEX('Detalles movimientos'!F$5:F$1000, MATCH(33, 'Detalles movimientos'!$R$5:$R$1000, 0)), "")</f>
        <v/>
      </c>
      <c r="F42" s="19" t="str">
        <f>IFERROR(INDEX('Detalles movimientos'!G$5:G$1000, MATCH(33, 'Detalles movimientos'!$R$5:$R$1000, 0)), "")</f>
        <v/>
      </c>
      <c r="G42" s="21" t="str">
        <f>IFERROR(INDEX('Detalles movimientos'!H$5:H$1000, MATCH(33, 'Detalles movimientos'!$R$5:$R$1000, 0)), "")</f>
        <v/>
      </c>
      <c r="H42" s="22" t="str">
        <f>IFERROR(INDEX('Detalles movimientos'!I$5:I$1000, MATCH(33, 'Detalles movimientos'!$R$5:$R$1000, 0)), "")</f>
        <v/>
      </c>
      <c r="I42" s="21" t="str">
        <f>IFERROR(INDEX('Detalles movimientos'!J$5:J$1000, MATCH(33, 'Detalles movimientos'!$R$5:$R$1000, 0)), "")</f>
        <v/>
      </c>
      <c r="J42" s="20" t="str">
        <f>IFERROR(INDEX('Detalles movimientos'!K$5:K$1000, MATCH(33, 'Detalles movimientos'!$R$5:$R$1000, 0)), "")</f>
        <v/>
      </c>
      <c r="K42" s="21" t="str">
        <f>IFERROR(INDEX('Detalles movimientos'!L$5:L$1000, MATCH(33, 'Detalles movimientos'!$R$5:$R$1000, 0)), "")</f>
        <v/>
      </c>
      <c r="L42" s="19" t="str">
        <f>IFERROR(INDEX('Detalles movimientos'!M$5:M$1000, MATCH(33, 'Detalles movimientos'!$R$5:$R$1000, 0)), "")</f>
        <v/>
      </c>
      <c r="M42" s="19" t="str">
        <f>IFERROR(INDEX('Detalles movimientos'!P$5:P$1000, MATCH(33, 'Detalles movimientos'!$R$5:$R$1000, 0)), "")</f>
        <v/>
      </c>
    </row>
    <row r="43" spans="2:13" x14ac:dyDescent="0.2">
      <c r="B43" s="18" t="str">
        <f>IFERROR(INDEX('Detalles movimientos'!C$5:C$1000, MATCH(34, 'Detalles movimientos'!$R$5:$R$1000, 0)), "")</f>
        <v/>
      </c>
      <c r="C43" s="19" t="str">
        <f>IFERROR(INDEX('Detalles movimientos'!D$5:D$1000, MATCH(34, 'Detalles movimientos'!$R$5:$R$1000, 0)), "")</f>
        <v/>
      </c>
      <c r="D43" s="20" t="str">
        <f>IFERROR(INDEX('Detalles movimientos'!E$5:E$1000, MATCH(34, 'Detalles movimientos'!$R$5:$R$1000, 0)), "")</f>
        <v/>
      </c>
      <c r="E43" s="20" t="str">
        <f>IFERROR(INDEX('Detalles movimientos'!F$5:F$1000, MATCH(34, 'Detalles movimientos'!$R$5:$R$1000, 0)), "")</f>
        <v/>
      </c>
      <c r="F43" s="19" t="str">
        <f>IFERROR(INDEX('Detalles movimientos'!G$5:G$1000, MATCH(34, 'Detalles movimientos'!$R$5:$R$1000, 0)), "")</f>
        <v/>
      </c>
      <c r="G43" s="21" t="str">
        <f>IFERROR(INDEX('Detalles movimientos'!H$5:H$1000, MATCH(34, 'Detalles movimientos'!$R$5:$R$1000, 0)), "")</f>
        <v/>
      </c>
      <c r="H43" s="22" t="str">
        <f>IFERROR(INDEX('Detalles movimientos'!I$5:I$1000, MATCH(34, 'Detalles movimientos'!$R$5:$R$1000, 0)), "")</f>
        <v/>
      </c>
      <c r="I43" s="21" t="str">
        <f>IFERROR(INDEX('Detalles movimientos'!J$5:J$1000, MATCH(34, 'Detalles movimientos'!$R$5:$R$1000, 0)), "")</f>
        <v/>
      </c>
      <c r="J43" s="20" t="str">
        <f>IFERROR(INDEX('Detalles movimientos'!K$5:K$1000, MATCH(34, 'Detalles movimientos'!$R$5:$R$1000, 0)), "")</f>
        <v/>
      </c>
      <c r="K43" s="21" t="str">
        <f>IFERROR(INDEX('Detalles movimientos'!L$5:L$1000, MATCH(34, 'Detalles movimientos'!$R$5:$R$1000, 0)), "")</f>
        <v/>
      </c>
      <c r="L43" s="19" t="str">
        <f>IFERROR(INDEX('Detalles movimientos'!M$5:M$1000, MATCH(34, 'Detalles movimientos'!$R$5:$R$1000, 0)), "")</f>
        <v/>
      </c>
      <c r="M43" s="19" t="str">
        <f>IFERROR(INDEX('Detalles movimientos'!P$5:P$1000, MATCH(34, 'Detalles movimientos'!$R$5:$R$1000, 0)), "")</f>
        <v/>
      </c>
    </row>
    <row r="44" spans="2:13" x14ac:dyDescent="0.2">
      <c r="B44" s="18" t="str">
        <f>IFERROR(INDEX('Detalles movimientos'!C$5:C$1000, MATCH(35, 'Detalles movimientos'!$R$5:$R$1000, 0)), "")</f>
        <v/>
      </c>
      <c r="C44" s="19" t="str">
        <f>IFERROR(INDEX('Detalles movimientos'!D$5:D$1000, MATCH(35, 'Detalles movimientos'!$R$5:$R$1000, 0)), "")</f>
        <v/>
      </c>
      <c r="D44" s="20" t="str">
        <f>IFERROR(INDEX('Detalles movimientos'!E$5:E$1000, MATCH(35, 'Detalles movimientos'!$R$5:$R$1000, 0)), "")</f>
        <v/>
      </c>
      <c r="E44" s="20" t="str">
        <f>IFERROR(INDEX('Detalles movimientos'!F$5:F$1000, MATCH(35, 'Detalles movimientos'!$R$5:$R$1000, 0)), "")</f>
        <v/>
      </c>
      <c r="F44" s="19" t="str">
        <f>IFERROR(INDEX('Detalles movimientos'!G$5:G$1000, MATCH(35, 'Detalles movimientos'!$R$5:$R$1000, 0)), "")</f>
        <v/>
      </c>
      <c r="G44" s="21" t="str">
        <f>IFERROR(INDEX('Detalles movimientos'!H$5:H$1000, MATCH(35, 'Detalles movimientos'!$R$5:$R$1000, 0)), "")</f>
        <v/>
      </c>
      <c r="H44" s="22" t="str">
        <f>IFERROR(INDEX('Detalles movimientos'!I$5:I$1000, MATCH(35, 'Detalles movimientos'!$R$5:$R$1000, 0)), "")</f>
        <v/>
      </c>
      <c r="I44" s="21" t="str">
        <f>IFERROR(INDEX('Detalles movimientos'!J$5:J$1000, MATCH(35, 'Detalles movimientos'!$R$5:$R$1000, 0)), "")</f>
        <v/>
      </c>
      <c r="J44" s="20" t="str">
        <f>IFERROR(INDEX('Detalles movimientos'!K$5:K$1000, MATCH(35, 'Detalles movimientos'!$R$5:$R$1000, 0)), "")</f>
        <v/>
      </c>
      <c r="K44" s="21" t="str">
        <f>IFERROR(INDEX('Detalles movimientos'!L$5:L$1000, MATCH(35, 'Detalles movimientos'!$R$5:$R$1000, 0)), "")</f>
        <v/>
      </c>
      <c r="L44" s="19" t="str">
        <f>IFERROR(INDEX('Detalles movimientos'!M$5:M$1000, MATCH(35, 'Detalles movimientos'!$R$5:$R$1000, 0)), "")</f>
        <v/>
      </c>
      <c r="M44" s="19" t="str">
        <f>IFERROR(INDEX('Detalles movimientos'!P$5:P$1000, MATCH(35, 'Detalles movimientos'!$R$5:$R$1000, 0)), "")</f>
        <v/>
      </c>
    </row>
    <row r="45" spans="2:13" x14ac:dyDescent="0.2">
      <c r="B45" s="18" t="str">
        <f>IFERROR(INDEX('Detalles movimientos'!C$5:C$1000, MATCH(36, 'Detalles movimientos'!$R$5:$R$1000, 0)), "")</f>
        <v/>
      </c>
      <c r="C45" s="19" t="str">
        <f>IFERROR(INDEX('Detalles movimientos'!D$5:D$1000, MATCH(36, 'Detalles movimientos'!$R$5:$R$1000, 0)), "")</f>
        <v/>
      </c>
      <c r="D45" s="20" t="str">
        <f>IFERROR(INDEX('Detalles movimientos'!E$5:E$1000, MATCH(36, 'Detalles movimientos'!$R$5:$R$1000, 0)), "")</f>
        <v/>
      </c>
      <c r="E45" s="20" t="str">
        <f>IFERROR(INDEX('Detalles movimientos'!F$5:F$1000, MATCH(36, 'Detalles movimientos'!$R$5:$R$1000, 0)), "")</f>
        <v/>
      </c>
      <c r="F45" s="19" t="str">
        <f>IFERROR(INDEX('Detalles movimientos'!G$5:G$1000, MATCH(36, 'Detalles movimientos'!$R$5:$R$1000, 0)), "")</f>
        <v/>
      </c>
      <c r="G45" s="21" t="str">
        <f>IFERROR(INDEX('Detalles movimientos'!H$5:H$1000, MATCH(36, 'Detalles movimientos'!$R$5:$R$1000, 0)), "")</f>
        <v/>
      </c>
      <c r="H45" s="22" t="str">
        <f>IFERROR(INDEX('Detalles movimientos'!I$5:I$1000, MATCH(36, 'Detalles movimientos'!$R$5:$R$1000, 0)), "")</f>
        <v/>
      </c>
      <c r="I45" s="21" t="str">
        <f>IFERROR(INDEX('Detalles movimientos'!J$5:J$1000, MATCH(36, 'Detalles movimientos'!$R$5:$R$1000, 0)), "")</f>
        <v/>
      </c>
      <c r="J45" s="20" t="str">
        <f>IFERROR(INDEX('Detalles movimientos'!K$5:K$1000, MATCH(36, 'Detalles movimientos'!$R$5:$R$1000, 0)), "")</f>
        <v/>
      </c>
      <c r="K45" s="21" t="str">
        <f>IFERROR(INDEX('Detalles movimientos'!L$5:L$1000, MATCH(36, 'Detalles movimientos'!$R$5:$R$1000, 0)), "")</f>
        <v/>
      </c>
      <c r="L45" s="19" t="str">
        <f>IFERROR(INDEX('Detalles movimientos'!M$5:M$1000, MATCH(36, 'Detalles movimientos'!$R$5:$R$1000, 0)), "")</f>
        <v/>
      </c>
      <c r="M45" s="19" t="str">
        <f>IFERROR(INDEX('Detalles movimientos'!P$5:P$1000, MATCH(36, 'Detalles movimientos'!$R$5:$R$1000, 0)), "")</f>
        <v/>
      </c>
    </row>
    <row r="46" spans="2:13" x14ac:dyDescent="0.2">
      <c r="B46" s="18" t="str">
        <f>IFERROR(INDEX('Detalles movimientos'!C$5:C$1000, MATCH(37, 'Detalles movimientos'!$R$5:$R$1000, 0)), "")</f>
        <v/>
      </c>
      <c r="C46" s="19" t="str">
        <f>IFERROR(INDEX('Detalles movimientos'!D$5:D$1000, MATCH(37, 'Detalles movimientos'!$R$5:$R$1000, 0)), "")</f>
        <v/>
      </c>
      <c r="D46" s="20" t="str">
        <f>IFERROR(INDEX('Detalles movimientos'!E$5:E$1000, MATCH(37, 'Detalles movimientos'!$R$5:$R$1000, 0)), "")</f>
        <v/>
      </c>
      <c r="E46" s="20" t="str">
        <f>IFERROR(INDEX('Detalles movimientos'!F$5:F$1000, MATCH(37, 'Detalles movimientos'!$R$5:$R$1000, 0)), "")</f>
        <v/>
      </c>
      <c r="F46" s="19" t="str">
        <f>IFERROR(INDEX('Detalles movimientos'!G$5:G$1000, MATCH(37, 'Detalles movimientos'!$R$5:$R$1000, 0)), "")</f>
        <v/>
      </c>
      <c r="G46" s="21" t="str">
        <f>IFERROR(INDEX('Detalles movimientos'!H$5:H$1000, MATCH(37, 'Detalles movimientos'!$R$5:$R$1000, 0)), "")</f>
        <v/>
      </c>
      <c r="H46" s="22" t="str">
        <f>IFERROR(INDEX('Detalles movimientos'!I$5:I$1000, MATCH(37, 'Detalles movimientos'!$R$5:$R$1000, 0)), "")</f>
        <v/>
      </c>
      <c r="I46" s="21" t="str">
        <f>IFERROR(INDEX('Detalles movimientos'!J$5:J$1000, MATCH(37, 'Detalles movimientos'!$R$5:$R$1000, 0)), "")</f>
        <v/>
      </c>
      <c r="J46" s="20" t="str">
        <f>IFERROR(INDEX('Detalles movimientos'!K$5:K$1000, MATCH(37, 'Detalles movimientos'!$R$5:$R$1000, 0)), "")</f>
        <v/>
      </c>
      <c r="K46" s="21" t="str">
        <f>IFERROR(INDEX('Detalles movimientos'!L$5:L$1000, MATCH(37, 'Detalles movimientos'!$R$5:$R$1000, 0)), "")</f>
        <v/>
      </c>
      <c r="L46" s="19" t="str">
        <f>IFERROR(INDEX('Detalles movimientos'!M$5:M$1000, MATCH(37, 'Detalles movimientos'!$R$5:$R$1000, 0)), "")</f>
        <v/>
      </c>
      <c r="M46" s="19" t="str">
        <f>IFERROR(INDEX('Detalles movimientos'!P$5:P$1000, MATCH(37, 'Detalles movimientos'!$R$5:$R$1000, 0)), "")</f>
        <v/>
      </c>
    </row>
    <row r="47" spans="2:13" x14ac:dyDescent="0.2">
      <c r="B47" s="18" t="str">
        <f>IFERROR(INDEX('Detalles movimientos'!C$5:C$1000, MATCH(38, 'Detalles movimientos'!$R$5:$R$1000, 0)), "")</f>
        <v/>
      </c>
      <c r="C47" s="19" t="str">
        <f>IFERROR(INDEX('Detalles movimientos'!D$5:D$1000, MATCH(38, 'Detalles movimientos'!$R$5:$R$1000, 0)), "")</f>
        <v/>
      </c>
      <c r="D47" s="20" t="str">
        <f>IFERROR(INDEX('Detalles movimientos'!E$5:E$1000, MATCH(38, 'Detalles movimientos'!$R$5:$R$1000, 0)), "")</f>
        <v/>
      </c>
      <c r="E47" s="20" t="str">
        <f>IFERROR(INDEX('Detalles movimientos'!F$5:F$1000, MATCH(38, 'Detalles movimientos'!$R$5:$R$1000, 0)), "")</f>
        <v/>
      </c>
      <c r="F47" s="19" t="str">
        <f>IFERROR(INDEX('Detalles movimientos'!G$5:G$1000, MATCH(38, 'Detalles movimientos'!$R$5:$R$1000, 0)), "")</f>
        <v/>
      </c>
      <c r="G47" s="21" t="str">
        <f>IFERROR(INDEX('Detalles movimientos'!H$5:H$1000, MATCH(38, 'Detalles movimientos'!$R$5:$R$1000, 0)), "")</f>
        <v/>
      </c>
      <c r="H47" s="22" t="str">
        <f>IFERROR(INDEX('Detalles movimientos'!I$5:I$1000, MATCH(38, 'Detalles movimientos'!$R$5:$R$1000, 0)), "")</f>
        <v/>
      </c>
      <c r="I47" s="21" t="str">
        <f>IFERROR(INDEX('Detalles movimientos'!J$5:J$1000, MATCH(38, 'Detalles movimientos'!$R$5:$R$1000, 0)), "")</f>
        <v/>
      </c>
      <c r="J47" s="20" t="str">
        <f>IFERROR(INDEX('Detalles movimientos'!K$5:K$1000, MATCH(38, 'Detalles movimientos'!$R$5:$R$1000, 0)), "")</f>
        <v/>
      </c>
      <c r="K47" s="21" t="str">
        <f>IFERROR(INDEX('Detalles movimientos'!L$5:L$1000, MATCH(38, 'Detalles movimientos'!$R$5:$R$1000, 0)), "")</f>
        <v/>
      </c>
      <c r="L47" s="19" t="str">
        <f>IFERROR(INDEX('Detalles movimientos'!M$5:M$1000, MATCH(38, 'Detalles movimientos'!$R$5:$R$1000, 0)), "")</f>
        <v/>
      </c>
      <c r="M47" s="19" t="str">
        <f>IFERROR(INDEX('Detalles movimientos'!P$5:P$1000, MATCH(38, 'Detalles movimientos'!$R$5:$R$1000, 0)), "")</f>
        <v/>
      </c>
    </row>
    <row r="48" spans="2:13" x14ac:dyDescent="0.2">
      <c r="B48" s="18" t="str">
        <f>IFERROR(INDEX('Detalles movimientos'!C$5:C$1000, MATCH(39, 'Detalles movimientos'!$R$5:$R$1000, 0)), "")</f>
        <v/>
      </c>
      <c r="C48" s="19" t="str">
        <f>IFERROR(INDEX('Detalles movimientos'!D$5:D$1000, MATCH(39, 'Detalles movimientos'!$R$5:$R$1000, 0)), "")</f>
        <v/>
      </c>
      <c r="D48" s="20" t="str">
        <f>IFERROR(INDEX('Detalles movimientos'!E$5:E$1000, MATCH(39, 'Detalles movimientos'!$R$5:$R$1000, 0)), "")</f>
        <v/>
      </c>
      <c r="E48" s="20" t="str">
        <f>IFERROR(INDEX('Detalles movimientos'!F$5:F$1000, MATCH(39, 'Detalles movimientos'!$R$5:$R$1000, 0)), "")</f>
        <v/>
      </c>
      <c r="F48" s="19" t="str">
        <f>IFERROR(INDEX('Detalles movimientos'!G$5:G$1000, MATCH(39, 'Detalles movimientos'!$R$5:$R$1000, 0)), "")</f>
        <v/>
      </c>
      <c r="G48" s="21" t="str">
        <f>IFERROR(INDEX('Detalles movimientos'!H$5:H$1000, MATCH(39, 'Detalles movimientos'!$R$5:$R$1000, 0)), "")</f>
        <v/>
      </c>
      <c r="H48" s="22" t="str">
        <f>IFERROR(INDEX('Detalles movimientos'!I$5:I$1000, MATCH(39, 'Detalles movimientos'!$R$5:$R$1000, 0)), "")</f>
        <v/>
      </c>
      <c r="I48" s="21" t="str">
        <f>IFERROR(INDEX('Detalles movimientos'!J$5:J$1000, MATCH(39, 'Detalles movimientos'!$R$5:$R$1000, 0)), "")</f>
        <v/>
      </c>
      <c r="J48" s="20" t="str">
        <f>IFERROR(INDEX('Detalles movimientos'!K$5:K$1000, MATCH(39, 'Detalles movimientos'!$R$5:$R$1000, 0)), "")</f>
        <v/>
      </c>
      <c r="K48" s="21" t="str">
        <f>IFERROR(INDEX('Detalles movimientos'!L$5:L$1000, MATCH(39, 'Detalles movimientos'!$R$5:$R$1000, 0)), "")</f>
        <v/>
      </c>
      <c r="L48" s="19" t="str">
        <f>IFERROR(INDEX('Detalles movimientos'!M$5:M$1000, MATCH(39, 'Detalles movimientos'!$R$5:$R$1000, 0)), "")</f>
        <v/>
      </c>
      <c r="M48" s="19" t="str">
        <f>IFERROR(INDEX('Detalles movimientos'!P$5:P$1000, MATCH(39, 'Detalles movimientos'!$R$5:$R$1000, 0)), "")</f>
        <v/>
      </c>
    </row>
    <row r="49" spans="2:13" x14ac:dyDescent="0.2">
      <c r="B49" s="18" t="str">
        <f>IFERROR(INDEX('Detalles movimientos'!C$5:C$1000, MATCH(40, 'Detalles movimientos'!$R$5:$R$1000, 0)), "")</f>
        <v/>
      </c>
      <c r="C49" s="19" t="str">
        <f>IFERROR(INDEX('Detalles movimientos'!D$5:D$1000, MATCH(40, 'Detalles movimientos'!$R$5:$R$1000, 0)), "")</f>
        <v/>
      </c>
      <c r="D49" s="20" t="str">
        <f>IFERROR(INDEX('Detalles movimientos'!E$5:E$1000, MATCH(40, 'Detalles movimientos'!$R$5:$R$1000, 0)), "")</f>
        <v/>
      </c>
      <c r="E49" s="20" t="str">
        <f>IFERROR(INDEX('Detalles movimientos'!F$5:F$1000, MATCH(40, 'Detalles movimientos'!$R$5:$R$1000, 0)), "")</f>
        <v/>
      </c>
      <c r="F49" s="19" t="str">
        <f>IFERROR(INDEX('Detalles movimientos'!G$5:G$1000, MATCH(40, 'Detalles movimientos'!$R$5:$R$1000, 0)), "")</f>
        <v/>
      </c>
      <c r="G49" s="21" t="str">
        <f>IFERROR(INDEX('Detalles movimientos'!H$5:H$1000, MATCH(40, 'Detalles movimientos'!$R$5:$R$1000, 0)), "")</f>
        <v/>
      </c>
      <c r="H49" s="22" t="str">
        <f>IFERROR(INDEX('Detalles movimientos'!I$5:I$1000, MATCH(40, 'Detalles movimientos'!$R$5:$R$1000, 0)), "")</f>
        <v/>
      </c>
      <c r="I49" s="21" t="str">
        <f>IFERROR(INDEX('Detalles movimientos'!J$5:J$1000, MATCH(40, 'Detalles movimientos'!$R$5:$R$1000, 0)), "")</f>
        <v/>
      </c>
      <c r="J49" s="20" t="str">
        <f>IFERROR(INDEX('Detalles movimientos'!K$5:K$1000, MATCH(40, 'Detalles movimientos'!$R$5:$R$1000, 0)), "")</f>
        <v/>
      </c>
      <c r="K49" s="21" t="str">
        <f>IFERROR(INDEX('Detalles movimientos'!L$5:L$1000, MATCH(40, 'Detalles movimientos'!$R$5:$R$1000, 0)), "")</f>
        <v/>
      </c>
      <c r="L49" s="19" t="str">
        <f>IFERROR(INDEX('Detalles movimientos'!M$5:M$1000, MATCH(40, 'Detalles movimientos'!$R$5:$R$1000, 0)), "")</f>
        <v/>
      </c>
      <c r="M49" s="19" t="str">
        <f>IFERROR(INDEX('Detalles movimientos'!P$5:P$1000, MATCH(40, 'Detalles movimientos'!$R$5:$R$1000, 0)), "")</f>
        <v/>
      </c>
    </row>
    <row r="50" spans="2:13" x14ac:dyDescent="0.2">
      <c r="B50" s="18" t="str">
        <f>IFERROR(INDEX('Detalles movimientos'!C$5:C$1000, MATCH(41, 'Detalles movimientos'!$R$5:$R$1000, 0)), "")</f>
        <v/>
      </c>
      <c r="C50" s="19" t="str">
        <f>IFERROR(INDEX('Detalles movimientos'!D$5:D$1000, MATCH(41, 'Detalles movimientos'!$R$5:$R$1000, 0)), "")</f>
        <v/>
      </c>
      <c r="D50" s="20" t="str">
        <f>IFERROR(INDEX('Detalles movimientos'!E$5:E$1000, MATCH(41, 'Detalles movimientos'!$R$5:$R$1000, 0)), "")</f>
        <v/>
      </c>
      <c r="E50" s="20" t="str">
        <f>IFERROR(INDEX('Detalles movimientos'!F$5:F$1000, MATCH(41, 'Detalles movimientos'!$R$5:$R$1000, 0)), "")</f>
        <v/>
      </c>
      <c r="F50" s="19" t="str">
        <f>IFERROR(INDEX('Detalles movimientos'!G$5:G$1000, MATCH(41, 'Detalles movimientos'!$R$5:$R$1000, 0)), "")</f>
        <v/>
      </c>
      <c r="G50" s="21" t="str">
        <f>IFERROR(INDEX('Detalles movimientos'!H$5:H$1000, MATCH(41, 'Detalles movimientos'!$R$5:$R$1000, 0)), "")</f>
        <v/>
      </c>
      <c r="H50" s="22" t="str">
        <f>IFERROR(INDEX('Detalles movimientos'!I$5:I$1000, MATCH(41, 'Detalles movimientos'!$R$5:$R$1000, 0)), "")</f>
        <v/>
      </c>
      <c r="I50" s="21" t="str">
        <f>IFERROR(INDEX('Detalles movimientos'!J$5:J$1000, MATCH(41, 'Detalles movimientos'!$R$5:$R$1000, 0)), "")</f>
        <v/>
      </c>
      <c r="J50" s="20" t="str">
        <f>IFERROR(INDEX('Detalles movimientos'!K$5:K$1000, MATCH(41, 'Detalles movimientos'!$R$5:$R$1000, 0)), "")</f>
        <v/>
      </c>
      <c r="K50" s="21" t="str">
        <f>IFERROR(INDEX('Detalles movimientos'!L$5:L$1000, MATCH(41, 'Detalles movimientos'!$R$5:$R$1000, 0)), "")</f>
        <v/>
      </c>
      <c r="L50" s="19" t="str">
        <f>IFERROR(INDEX('Detalles movimientos'!M$5:M$1000, MATCH(41, 'Detalles movimientos'!$R$5:$R$1000, 0)), "")</f>
        <v/>
      </c>
      <c r="M50" s="19" t="str">
        <f>IFERROR(INDEX('Detalles movimientos'!P$5:P$1000, MATCH(41, 'Detalles movimientos'!$R$5:$R$1000, 0)), "")</f>
        <v/>
      </c>
    </row>
    <row r="51" spans="2:13" x14ac:dyDescent="0.2">
      <c r="B51" s="18" t="str">
        <f>IFERROR(INDEX('Detalles movimientos'!C$5:C$1000, MATCH(42, 'Detalles movimientos'!$R$5:$R$1000, 0)), "")</f>
        <v/>
      </c>
      <c r="C51" s="19" t="str">
        <f>IFERROR(INDEX('Detalles movimientos'!D$5:D$1000, MATCH(42, 'Detalles movimientos'!$R$5:$R$1000, 0)), "")</f>
        <v/>
      </c>
      <c r="D51" s="20" t="str">
        <f>IFERROR(INDEX('Detalles movimientos'!E$5:E$1000, MATCH(42, 'Detalles movimientos'!$R$5:$R$1000, 0)), "")</f>
        <v/>
      </c>
      <c r="E51" s="20" t="str">
        <f>IFERROR(INDEX('Detalles movimientos'!F$5:F$1000, MATCH(42, 'Detalles movimientos'!$R$5:$R$1000, 0)), "")</f>
        <v/>
      </c>
      <c r="F51" s="19" t="str">
        <f>IFERROR(INDEX('Detalles movimientos'!G$5:G$1000, MATCH(42, 'Detalles movimientos'!$R$5:$R$1000, 0)), "")</f>
        <v/>
      </c>
      <c r="G51" s="21" t="str">
        <f>IFERROR(INDEX('Detalles movimientos'!H$5:H$1000, MATCH(42, 'Detalles movimientos'!$R$5:$R$1000, 0)), "")</f>
        <v/>
      </c>
      <c r="H51" s="22" t="str">
        <f>IFERROR(INDEX('Detalles movimientos'!I$5:I$1000, MATCH(42, 'Detalles movimientos'!$R$5:$R$1000, 0)), "")</f>
        <v/>
      </c>
      <c r="I51" s="21" t="str">
        <f>IFERROR(INDEX('Detalles movimientos'!J$5:J$1000, MATCH(42, 'Detalles movimientos'!$R$5:$R$1000, 0)), "")</f>
        <v/>
      </c>
      <c r="J51" s="20" t="str">
        <f>IFERROR(INDEX('Detalles movimientos'!K$5:K$1000, MATCH(42, 'Detalles movimientos'!$R$5:$R$1000, 0)), "")</f>
        <v/>
      </c>
      <c r="K51" s="21" t="str">
        <f>IFERROR(INDEX('Detalles movimientos'!L$5:L$1000, MATCH(42, 'Detalles movimientos'!$R$5:$R$1000, 0)), "")</f>
        <v/>
      </c>
      <c r="L51" s="19" t="str">
        <f>IFERROR(INDEX('Detalles movimientos'!M$5:M$1000, MATCH(42, 'Detalles movimientos'!$R$5:$R$1000, 0)), "")</f>
        <v/>
      </c>
      <c r="M51" s="19" t="str">
        <f>IFERROR(INDEX('Detalles movimientos'!P$5:P$1000, MATCH(42, 'Detalles movimientos'!$R$5:$R$1000, 0)), "")</f>
        <v/>
      </c>
    </row>
    <row r="52" spans="2:13" x14ac:dyDescent="0.2">
      <c r="B52" s="18" t="str">
        <f>IFERROR(INDEX('Detalles movimientos'!C$5:C$1000, MATCH(43, 'Detalles movimientos'!$R$5:$R$1000, 0)), "")</f>
        <v/>
      </c>
      <c r="C52" s="19" t="str">
        <f>IFERROR(INDEX('Detalles movimientos'!D$5:D$1000, MATCH(43, 'Detalles movimientos'!$R$5:$R$1000, 0)), "")</f>
        <v/>
      </c>
      <c r="D52" s="20" t="str">
        <f>IFERROR(INDEX('Detalles movimientos'!E$5:E$1000, MATCH(43, 'Detalles movimientos'!$R$5:$R$1000, 0)), "")</f>
        <v/>
      </c>
      <c r="E52" s="20" t="str">
        <f>IFERROR(INDEX('Detalles movimientos'!F$5:F$1000, MATCH(43, 'Detalles movimientos'!$R$5:$R$1000, 0)), "")</f>
        <v/>
      </c>
      <c r="F52" s="19" t="str">
        <f>IFERROR(INDEX('Detalles movimientos'!G$5:G$1000, MATCH(43, 'Detalles movimientos'!$R$5:$R$1000, 0)), "")</f>
        <v/>
      </c>
      <c r="G52" s="21" t="str">
        <f>IFERROR(INDEX('Detalles movimientos'!H$5:H$1000, MATCH(43, 'Detalles movimientos'!$R$5:$R$1000, 0)), "")</f>
        <v/>
      </c>
      <c r="H52" s="22" t="str">
        <f>IFERROR(INDEX('Detalles movimientos'!I$5:I$1000, MATCH(43, 'Detalles movimientos'!$R$5:$R$1000, 0)), "")</f>
        <v/>
      </c>
      <c r="I52" s="21" t="str">
        <f>IFERROR(INDEX('Detalles movimientos'!J$5:J$1000, MATCH(43, 'Detalles movimientos'!$R$5:$R$1000, 0)), "")</f>
        <v/>
      </c>
      <c r="J52" s="20" t="str">
        <f>IFERROR(INDEX('Detalles movimientos'!K$5:K$1000, MATCH(43, 'Detalles movimientos'!$R$5:$R$1000, 0)), "")</f>
        <v/>
      </c>
      <c r="K52" s="21" t="str">
        <f>IFERROR(INDEX('Detalles movimientos'!L$5:L$1000, MATCH(43, 'Detalles movimientos'!$R$5:$R$1000, 0)), "")</f>
        <v/>
      </c>
      <c r="L52" s="19" t="str">
        <f>IFERROR(INDEX('Detalles movimientos'!M$5:M$1000, MATCH(43, 'Detalles movimientos'!$R$5:$R$1000, 0)), "")</f>
        <v/>
      </c>
      <c r="M52" s="19" t="str">
        <f>IFERROR(INDEX('Detalles movimientos'!P$5:P$1000, MATCH(43, 'Detalles movimientos'!$R$5:$R$1000, 0)), "")</f>
        <v/>
      </c>
    </row>
    <row r="53" spans="2:13" x14ac:dyDescent="0.2">
      <c r="B53" s="18" t="str">
        <f>IFERROR(INDEX('Detalles movimientos'!C$5:C$1000, MATCH(44, 'Detalles movimientos'!$R$5:$R$1000, 0)), "")</f>
        <v/>
      </c>
      <c r="C53" s="19" t="str">
        <f>IFERROR(INDEX('Detalles movimientos'!D$5:D$1000, MATCH(44, 'Detalles movimientos'!$R$5:$R$1000, 0)), "")</f>
        <v/>
      </c>
      <c r="D53" s="20" t="str">
        <f>IFERROR(INDEX('Detalles movimientos'!E$5:E$1000, MATCH(44, 'Detalles movimientos'!$R$5:$R$1000, 0)), "")</f>
        <v/>
      </c>
      <c r="E53" s="20" t="str">
        <f>IFERROR(INDEX('Detalles movimientos'!F$5:F$1000, MATCH(44, 'Detalles movimientos'!$R$5:$R$1000, 0)), "")</f>
        <v/>
      </c>
      <c r="F53" s="19" t="str">
        <f>IFERROR(INDEX('Detalles movimientos'!G$5:G$1000, MATCH(44, 'Detalles movimientos'!$R$5:$R$1000, 0)), "")</f>
        <v/>
      </c>
      <c r="G53" s="21" t="str">
        <f>IFERROR(INDEX('Detalles movimientos'!H$5:H$1000, MATCH(44, 'Detalles movimientos'!$R$5:$R$1000, 0)), "")</f>
        <v/>
      </c>
      <c r="H53" s="22" t="str">
        <f>IFERROR(INDEX('Detalles movimientos'!I$5:I$1000, MATCH(44, 'Detalles movimientos'!$R$5:$R$1000, 0)), "")</f>
        <v/>
      </c>
      <c r="I53" s="21" t="str">
        <f>IFERROR(INDEX('Detalles movimientos'!J$5:J$1000, MATCH(44, 'Detalles movimientos'!$R$5:$R$1000, 0)), "")</f>
        <v/>
      </c>
      <c r="J53" s="20" t="str">
        <f>IFERROR(INDEX('Detalles movimientos'!K$5:K$1000, MATCH(44, 'Detalles movimientos'!$R$5:$R$1000, 0)), "")</f>
        <v/>
      </c>
      <c r="K53" s="21" t="str">
        <f>IFERROR(INDEX('Detalles movimientos'!L$5:L$1000, MATCH(44, 'Detalles movimientos'!$R$5:$R$1000, 0)), "")</f>
        <v/>
      </c>
      <c r="L53" s="19" t="str">
        <f>IFERROR(INDEX('Detalles movimientos'!M$5:M$1000, MATCH(44, 'Detalles movimientos'!$R$5:$R$1000, 0)), "")</f>
        <v/>
      </c>
      <c r="M53" s="19" t="str">
        <f>IFERROR(INDEX('Detalles movimientos'!P$5:P$1000, MATCH(44, 'Detalles movimientos'!$R$5:$R$1000, 0)), "")</f>
        <v/>
      </c>
    </row>
    <row r="54" spans="2:13" x14ac:dyDescent="0.2">
      <c r="B54" s="18" t="str">
        <f>IFERROR(INDEX('Detalles movimientos'!C$5:C$1000, MATCH(45, 'Detalles movimientos'!$R$5:$R$1000, 0)), "")</f>
        <v/>
      </c>
      <c r="C54" s="19" t="str">
        <f>IFERROR(INDEX('Detalles movimientos'!D$5:D$1000, MATCH(45, 'Detalles movimientos'!$R$5:$R$1000, 0)), "")</f>
        <v/>
      </c>
      <c r="D54" s="20" t="str">
        <f>IFERROR(INDEX('Detalles movimientos'!E$5:E$1000, MATCH(45, 'Detalles movimientos'!$R$5:$R$1000, 0)), "")</f>
        <v/>
      </c>
      <c r="E54" s="20" t="str">
        <f>IFERROR(INDEX('Detalles movimientos'!F$5:F$1000, MATCH(45, 'Detalles movimientos'!$R$5:$R$1000, 0)), "")</f>
        <v/>
      </c>
      <c r="F54" s="19" t="str">
        <f>IFERROR(INDEX('Detalles movimientos'!G$5:G$1000, MATCH(45, 'Detalles movimientos'!$R$5:$R$1000, 0)), "")</f>
        <v/>
      </c>
      <c r="G54" s="21" t="str">
        <f>IFERROR(INDEX('Detalles movimientos'!H$5:H$1000, MATCH(45, 'Detalles movimientos'!$R$5:$R$1000, 0)), "")</f>
        <v/>
      </c>
      <c r="H54" s="22" t="str">
        <f>IFERROR(INDEX('Detalles movimientos'!I$5:I$1000, MATCH(45, 'Detalles movimientos'!$R$5:$R$1000, 0)), "")</f>
        <v/>
      </c>
      <c r="I54" s="21" t="str">
        <f>IFERROR(INDEX('Detalles movimientos'!J$5:J$1000, MATCH(45, 'Detalles movimientos'!$R$5:$R$1000, 0)), "")</f>
        <v/>
      </c>
      <c r="J54" s="20" t="str">
        <f>IFERROR(INDEX('Detalles movimientos'!K$5:K$1000, MATCH(45, 'Detalles movimientos'!$R$5:$R$1000, 0)), "")</f>
        <v/>
      </c>
      <c r="K54" s="21" t="str">
        <f>IFERROR(INDEX('Detalles movimientos'!L$5:L$1000, MATCH(45, 'Detalles movimientos'!$R$5:$R$1000, 0)), "")</f>
        <v/>
      </c>
      <c r="L54" s="19" t="str">
        <f>IFERROR(INDEX('Detalles movimientos'!M$5:M$1000, MATCH(45, 'Detalles movimientos'!$R$5:$R$1000, 0)), "")</f>
        <v/>
      </c>
      <c r="M54" s="19" t="str">
        <f>IFERROR(INDEX('Detalles movimientos'!P$5:P$1000, MATCH(45, 'Detalles movimientos'!$R$5:$R$1000, 0)), "")</f>
        <v/>
      </c>
    </row>
    <row r="55" spans="2:13" x14ac:dyDescent="0.2">
      <c r="B55" s="18" t="str">
        <f>IFERROR(INDEX('Detalles movimientos'!C$5:C$1000, MATCH(46, 'Detalles movimientos'!$R$5:$R$1000, 0)), "")</f>
        <v/>
      </c>
      <c r="C55" s="19" t="str">
        <f>IFERROR(INDEX('Detalles movimientos'!D$5:D$1000, MATCH(46, 'Detalles movimientos'!$R$5:$R$1000, 0)), "")</f>
        <v/>
      </c>
      <c r="D55" s="20" t="str">
        <f>IFERROR(INDEX('Detalles movimientos'!E$5:E$1000, MATCH(46, 'Detalles movimientos'!$R$5:$R$1000, 0)), "")</f>
        <v/>
      </c>
      <c r="E55" s="20" t="str">
        <f>IFERROR(INDEX('Detalles movimientos'!F$5:F$1000, MATCH(46, 'Detalles movimientos'!$R$5:$R$1000, 0)), "")</f>
        <v/>
      </c>
      <c r="F55" s="19" t="str">
        <f>IFERROR(INDEX('Detalles movimientos'!G$5:G$1000, MATCH(46, 'Detalles movimientos'!$R$5:$R$1000, 0)), "")</f>
        <v/>
      </c>
      <c r="G55" s="21" t="str">
        <f>IFERROR(INDEX('Detalles movimientos'!H$5:H$1000, MATCH(46, 'Detalles movimientos'!$R$5:$R$1000, 0)), "")</f>
        <v/>
      </c>
      <c r="H55" s="22" t="str">
        <f>IFERROR(INDEX('Detalles movimientos'!I$5:I$1000, MATCH(46, 'Detalles movimientos'!$R$5:$R$1000, 0)), "")</f>
        <v/>
      </c>
      <c r="I55" s="21" t="str">
        <f>IFERROR(INDEX('Detalles movimientos'!J$5:J$1000, MATCH(46, 'Detalles movimientos'!$R$5:$R$1000, 0)), "")</f>
        <v/>
      </c>
      <c r="J55" s="20" t="str">
        <f>IFERROR(INDEX('Detalles movimientos'!K$5:K$1000, MATCH(46, 'Detalles movimientos'!$R$5:$R$1000, 0)), "")</f>
        <v/>
      </c>
      <c r="K55" s="21" t="str">
        <f>IFERROR(INDEX('Detalles movimientos'!L$5:L$1000, MATCH(46, 'Detalles movimientos'!$R$5:$R$1000, 0)), "")</f>
        <v/>
      </c>
      <c r="L55" s="19" t="str">
        <f>IFERROR(INDEX('Detalles movimientos'!M$5:M$1000, MATCH(46, 'Detalles movimientos'!$R$5:$R$1000, 0)), "")</f>
        <v/>
      </c>
      <c r="M55" s="19" t="str">
        <f>IFERROR(INDEX('Detalles movimientos'!P$5:P$1000, MATCH(46, 'Detalles movimientos'!$R$5:$R$1000, 0)), "")</f>
        <v/>
      </c>
    </row>
    <row r="56" spans="2:13" x14ac:dyDescent="0.2">
      <c r="B56" s="18" t="str">
        <f>IFERROR(INDEX('Detalles movimientos'!C$5:C$1000, MATCH(47, 'Detalles movimientos'!$R$5:$R$1000, 0)), "")</f>
        <v/>
      </c>
      <c r="C56" s="19" t="str">
        <f>IFERROR(INDEX('Detalles movimientos'!D$5:D$1000, MATCH(47, 'Detalles movimientos'!$R$5:$R$1000, 0)), "")</f>
        <v/>
      </c>
      <c r="D56" s="20" t="str">
        <f>IFERROR(INDEX('Detalles movimientos'!E$5:E$1000, MATCH(47, 'Detalles movimientos'!$R$5:$R$1000, 0)), "")</f>
        <v/>
      </c>
      <c r="E56" s="20" t="str">
        <f>IFERROR(INDEX('Detalles movimientos'!F$5:F$1000, MATCH(47, 'Detalles movimientos'!$R$5:$R$1000, 0)), "")</f>
        <v/>
      </c>
      <c r="F56" s="19" t="str">
        <f>IFERROR(INDEX('Detalles movimientos'!G$5:G$1000, MATCH(47, 'Detalles movimientos'!$R$5:$R$1000, 0)), "")</f>
        <v/>
      </c>
      <c r="G56" s="21" t="str">
        <f>IFERROR(INDEX('Detalles movimientos'!H$5:H$1000, MATCH(47, 'Detalles movimientos'!$R$5:$R$1000, 0)), "")</f>
        <v/>
      </c>
      <c r="H56" s="22" t="str">
        <f>IFERROR(INDEX('Detalles movimientos'!I$5:I$1000, MATCH(47, 'Detalles movimientos'!$R$5:$R$1000, 0)), "")</f>
        <v/>
      </c>
      <c r="I56" s="21" t="str">
        <f>IFERROR(INDEX('Detalles movimientos'!J$5:J$1000, MATCH(47, 'Detalles movimientos'!$R$5:$R$1000, 0)), "")</f>
        <v/>
      </c>
      <c r="J56" s="20" t="str">
        <f>IFERROR(INDEX('Detalles movimientos'!K$5:K$1000, MATCH(47, 'Detalles movimientos'!$R$5:$R$1000, 0)), "")</f>
        <v/>
      </c>
      <c r="K56" s="21" t="str">
        <f>IFERROR(INDEX('Detalles movimientos'!L$5:L$1000, MATCH(47, 'Detalles movimientos'!$R$5:$R$1000, 0)), "")</f>
        <v/>
      </c>
      <c r="L56" s="19" t="str">
        <f>IFERROR(INDEX('Detalles movimientos'!M$5:M$1000, MATCH(47, 'Detalles movimientos'!$R$5:$R$1000, 0)), "")</f>
        <v/>
      </c>
      <c r="M56" s="19" t="str">
        <f>IFERROR(INDEX('Detalles movimientos'!P$5:P$1000, MATCH(47, 'Detalles movimientos'!$R$5:$R$1000, 0)), "")</f>
        <v/>
      </c>
    </row>
    <row r="57" spans="2:13" x14ac:dyDescent="0.2">
      <c r="B57" s="18" t="str">
        <f>IFERROR(INDEX('Detalles movimientos'!C$5:C$1000, MATCH(48, 'Detalles movimientos'!$R$5:$R$1000, 0)), "")</f>
        <v/>
      </c>
      <c r="C57" s="19" t="str">
        <f>IFERROR(INDEX('Detalles movimientos'!D$5:D$1000, MATCH(48, 'Detalles movimientos'!$R$5:$R$1000, 0)), "")</f>
        <v/>
      </c>
      <c r="D57" s="20" t="str">
        <f>IFERROR(INDEX('Detalles movimientos'!E$5:E$1000, MATCH(48, 'Detalles movimientos'!$R$5:$R$1000, 0)), "")</f>
        <v/>
      </c>
      <c r="E57" s="20" t="str">
        <f>IFERROR(INDEX('Detalles movimientos'!F$5:F$1000, MATCH(48, 'Detalles movimientos'!$R$5:$R$1000, 0)), "")</f>
        <v/>
      </c>
      <c r="F57" s="19" t="str">
        <f>IFERROR(INDEX('Detalles movimientos'!G$5:G$1000, MATCH(48, 'Detalles movimientos'!$R$5:$R$1000, 0)), "")</f>
        <v/>
      </c>
      <c r="G57" s="21" t="str">
        <f>IFERROR(INDEX('Detalles movimientos'!H$5:H$1000, MATCH(48, 'Detalles movimientos'!$R$5:$R$1000, 0)), "")</f>
        <v/>
      </c>
      <c r="H57" s="22" t="str">
        <f>IFERROR(INDEX('Detalles movimientos'!I$5:I$1000, MATCH(48, 'Detalles movimientos'!$R$5:$R$1000, 0)), "")</f>
        <v/>
      </c>
      <c r="I57" s="21" t="str">
        <f>IFERROR(INDEX('Detalles movimientos'!J$5:J$1000, MATCH(48, 'Detalles movimientos'!$R$5:$R$1000, 0)), "")</f>
        <v/>
      </c>
      <c r="J57" s="20" t="str">
        <f>IFERROR(INDEX('Detalles movimientos'!K$5:K$1000, MATCH(48, 'Detalles movimientos'!$R$5:$R$1000, 0)), "")</f>
        <v/>
      </c>
      <c r="K57" s="21" t="str">
        <f>IFERROR(INDEX('Detalles movimientos'!L$5:L$1000, MATCH(48, 'Detalles movimientos'!$R$5:$R$1000, 0)), "")</f>
        <v/>
      </c>
      <c r="L57" s="19" t="str">
        <f>IFERROR(INDEX('Detalles movimientos'!M$5:M$1000, MATCH(48, 'Detalles movimientos'!$R$5:$R$1000, 0)), "")</f>
        <v/>
      </c>
      <c r="M57" s="19" t="str">
        <f>IFERROR(INDEX('Detalles movimientos'!P$5:P$1000, MATCH(48, 'Detalles movimientos'!$R$5:$R$1000, 0)), "")</f>
        <v/>
      </c>
    </row>
    <row r="58" spans="2:13" x14ac:dyDescent="0.2">
      <c r="B58" s="18" t="str">
        <f>IFERROR(INDEX('Detalles movimientos'!C$5:C$1000, MATCH(49, 'Detalles movimientos'!$R$5:$R$1000, 0)), "")</f>
        <v/>
      </c>
      <c r="C58" s="19" t="str">
        <f>IFERROR(INDEX('Detalles movimientos'!D$5:D$1000, MATCH(49, 'Detalles movimientos'!$R$5:$R$1000, 0)), "")</f>
        <v/>
      </c>
      <c r="D58" s="20" t="str">
        <f>IFERROR(INDEX('Detalles movimientos'!E$5:E$1000, MATCH(49, 'Detalles movimientos'!$R$5:$R$1000, 0)), "")</f>
        <v/>
      </c>
      <c r="E58" s="20" t="str">
        <f>IFERROR(INDEX('Detalles movimientos'!F$5:F$1000, MATCH(49, 'Detalles movimientos'!$R$5:$R$1000, 0)), "")</f>
        <v/>
      </c>
      <c r="F58" s="19" t="str">
        <f>IFERROR(INDEX('Detalles movimientos'!G$5:G$1000, MATCH(49, 'Detalles movimientos'!$R$5:$R$1000, 0)), "")</f>
        <v/>
      </c>
      <c r="G58" s="21" t="str">
        <f>IFERROR(INDEX('Detalles movimientos'!H$5:H$1000, MATCH(49, 'Detalles movimientos'!$R$5:$R$1000, 0)), "")</f>
        <v/>
      </c>
      <c r="H58" s="22" t="str">
        <f>IFERROR(INDEX('Detalles movimientos'!I$5:I$1000, MATCH(49, 'Detalles movimientos'!$R$5:$R$1000, 0)), "")</f>
        <v/>
      </c>
      <c r="I58" s="21" t="str">
        <f>IFERROR(INDEX('Detalles movimientos'!J$5:J$1000, MATCH(49, 'Detalles movimientos'!$R$5:$R$1000, 0)), "")</f>
        <v/>
      </c>
      <c r="J58" s="20" t="str">
        <f>IFERROR(INDEX('Detalles movimientos'!K$5:K$1000, MATCH(49, 'Detalles movimientos'!$R$5:$R$1000, 0)), "")</f>
        <v/>
      </c>
      <c r="K58" s="21" t="str">
        <f>IFERROR(INDEX('Detalles movimientos'!L$5:L$1000, MATCH(49, 'Detalles movimientos'!$R$5:$R$1000, 0)), "")</f>
        <v/>
      </c>
      <c r="L58" s="19" t="str">
        <f>IFERROR(INDEX('Detalles movimientos'!M$5:M$1000, MATCH(49, 'Detalles movimientos'!$R$5:$R$1000, 0)), "")</f>
        <v/>
      </c>
      <c r="M58" s="19" t="str">
        <f>IFERROR(INDEX('Detalles movimientos'!P$5:P$1000, MATCH(49, 'Detalles movimientos'!$R$5:$R$1000, 0)), "")</f>
        <v/>
      </c>
    </row>
    <row r="59" spans="2:13" x14ac:dyDescent="0.2">
      <c r="B59" s="18" t="str">
        <f>IFERROR(INDEX('Detalles movimientos'!C$5:C$1000, MATCH(50, 'Detalles movimientos'!$R$5:$R$1000, 0)), "")</f>
        <v/>
      </c>
      <c r="C59" s="19" t="str">
        <f>IFERROR(INDEX('Detalles movimientos'!D$5:D$1000, MATCH(50, 'Detalles movimientos'!$R$5:$R$1000, 0)), "")</f>
        <v/>
      </c>
      <c r="D59" s="20" t="str">
        <f>IFERROR(INDEX('Detalles movimientos'!E$5:E$1000, MATCH(50, 'Detalles movimientos'!$R$5:$R$1000, 0)), "")</f>
        <v/>
      </c>
      <c r="E59" s="20" t="str">
        <f>IFERROR(INDEX('Detalles movimientos'!F$5:F$1000, MATCH(50, 'Detalles movimientos'!$R$5:$R$1000, 0)), "")</f>
        <v/>
      </c>
      <c r="F59" s="19" t="str">
        <f>IFERROR(INDEX('Detalles movimientos'!G$5:G$1000, MATCH(50, 'Detalles movimientos'!$R$5:$R$1000, 0)), "")</f>
        <v/>
      </c>
      <c r="G59" s="21" t="str">
        <f>IFERROR(INDEX('Detalles movimientos'!H$5:H$1000, MATCH(50, 'Detalles movimientos'!$R$5:$R$1000, 0)), "")</f>
        <v/>
      </c>
      <c r="H59" s="22" t="str">
        <f>IFERROR(INDEX('Detalles movimientos'!I$5:I$1000, MATCH(50, 'Detalles movimientos'!$R$5:$R$1000, 0)), "")</f>
        <v/>
      </c>
      <c r="I59" s="21" t="str">
        <f>IFERROR(INDEX('Detalles movimientos'!J$5:J$1000, MATCH(50, 'Detalles movimientos'!$R$5:$R$1000, 0)), "")</f>
        <v/>
      </c>
      <c r="J59" s="20" t="str">
        <f>IFERROR(INDEX('Detalles movimientos'!K$5:K$1000, MATCH(50, 'Detalles movimientos'!$R$5:$R$1000, 0)), "")</f>
        <v/>
      </c>
      <c r="K59" s="21" t="str">
        <f>IFERROR(INDEX('Detalles movimientos'!L$5:L$1000, MATCH(50, 'Detalles movimientos'!$R$5:$R$1000, 0)), "")</f>
        <v/>
      </c>
      <c r="L59" s="19" t="str">
        <f>IFERROR(INDEX('Detalles movimientos'!M$5:M$1000, MATCH(50, 'Detalles movimientos'!$R$5:$R$1000, 0)), "")</f>
        <v/>
      </c>
      <c r="M59" s="19" t="str">
        <f>IFERROR(INDEX('Detalles movimientos'!P$5:P$1000, MATCH(50, 'Detalles movimientos'!$R$5:$R$1000, 0)), "")</f>
        <v/>
      </c>
    </row>
    <row r="60" spans="2:13" x14ac:dyDescent="0.2">
      <c r="B60" s="18" t="str">
        <f>IFERROR(INDEX('Detalles movimientos'!C$5:C$1000, MATCH(51, 'Detalles movimientos'!$R$5:$R$1000, 0)), "")</f>
        <v/>
      </c>
      <c r="C60" s="19" t="str">
        <f>IFERROR(INDEX('Detalles movimientos'!D$5:D$1000, MATCH(51, 'Detalles movimientos'!$R$5:$R$1000, 0)), "")</f>
        <v/>
      </c>
      <c r="D60" s="20" t="str">
        <f>IFERROR(INDEX('Detalles movimientos'!E$5:E$1000, MATCH(51, 'Detalles movimientos'!$R$5:$R$1000, 0)), "")</f>
        <v/>
      </c>
      <c r="E60" s="20" t="str">
        <f>IFERROR(INDEX('Detalles movimientos'!F$5:F$1000, MATCH(51, 'Detalles movimientos'!$R$5:$R$1000, 0)), "")</f>
        <v/>
      </c>
      <c r="F60" s="19" t="str">
        <f>IFERROR(INDEX('Detalles movimientos'!G$5:G$1000, MATCH(51, 'Detalles movimientos'!$R$5:$R$1000, 0)), "")</f>
        <v/>
      </c>
      <c r="G60" s="21" t="str">
        <f>IFERROR(INDEX('Detalles movimientos'!H$5:H$1000, MATCH(51, 'Detalles movimientos'!$R$5:$R$1000, 0)), "")</f>
        <v/>
      </c>
      <c r="H60" s="22" t="str">
        <f>IFERROR(INDEX('Detalles movimientos'!I$5:I$1000, MATCH(51, 'Detalles movimientos'!$R$5:$R$1000, 0)), "")</f>
        <v/>
      </c>
      <c r="I60" s="21" t="str">
        <f>IFERROR(INDEX('Detalles movimientos'!J$5:J$1000, MATCH(51, 'Detalles movimientos'!$R$5:$R$1000, 0)), "")</f>
        <v/>
      </c>
      <c r="J60" s="20" t="str">
        <f>IFERROR(INDEX('Detalles movimientos'!K$5:K$1000, MATCH(51, 'Detalles movimientos'!$R$5:$R$1000, 0)), "")</f>
        <v/>
      </c>
      <c r="K60" s="21" t="str">
        <f>IFERROR(INDEX('Detalles movimientos'!L$5:L$1000, MATCH(51, 'Detalles movimientos'!$R$5:$R$1000, 0)), "")</f>
        <v/>
      </c>
      <c r="L60" s="19" t="str">
        <f>IFERROR(INDEX('Detalles movimientos'!M$5:M$1000, MATCH(51, 'Detalles movimientos'!$R$5:$R$1000, 0)), "")</f>
        <v/>
      </c>
      <c r="M60" s="19" t="str">
        <f>IFERROR(INDEX('Detalles movimientos'!P$5:P$1000, MATCH(51, 'Detalles movimientos'!$R$5:$R$1000, 0)), "")</f>
        <v/>
      </c>
    </row>
    <row r="61" spans="2:13" x14ac:dyDescent="0.2">
      <c r="B61" s="18" t="str">
        <f>IFERROR(INDEX('Detalles movimientos'!C$5:C$1000, MATCH(52, 'Detalles movimientos'!$R$5:$R$1000, 0)), "")</f>
        <v/>
      </c>
      <c r="C61" s="19" t="str">
        <f>IFERROR(INDEX('Detalles movimientos'!D$5:D$1000, MATCH(52, 'Detalles movimientos'!$R$5:$R$1000, 0)), "")</f>
        <v/>
      </c>
      <c r="D61" s="20" t="str">
        <f>IFERROR(INDEX('Detalles movimientos'!E$5:E$1000, MATCH(52, 'Detalles movimientos'!$R$5:$R$1000, 0)), "")</f>
        <v/>
      </c>
      <c r="E61" s="20" t="str">
        <f>IFERROR(INDEX('Detalles movimientos'!F$5:F$1000, MATCH(52, 'Detalles movimientos'!$R$5:$R$1000, 0)), "")</f>
        <v/>
      </c>
      <c r="F61" s="19" t="str">
        <f>IFERROR(INDEX('Detalles movimientos'!G$5:G$1000, MATCH(52, 'Detalles movimientos'!$R$5:$R$1000, 0)), "")</f>
        <v/>
      </c>
      <c r="G61" s="21" t="str">
        <f>IFERROR(INDEX('Detalles movimientos'!H$5:H$1000, MATCH(52, 'Detalles movimientos'!$R$5:$R$1000, 0)), "")</f>
        <v/>
      </c>
      <c r="H61" s="22" t="str">
        <f>IFERROR(INDEX('Detalles movimientos'!I$5:I$1000, MATCH(52, 'Detalles movimientos'!$R$5:$R$1000, 0)), "")</f>
        <v/>
      </c>
      <c r="I61" s="21" t="str">
        <f>IFERROR(INDEX('Detalles movimientos'!J$5:J$1000, MATCH(52, 'Detalles movimientos'!$R$5:$R$1000, 0)), "")</f>
        <v/>
      </c>
      <c r="J61" s="20" t="str">
        <f>IFERROR(INDEX('Detalles movimientos'!K$5:K$1000, MATCH(52, 'Detalles movimientos'!$R$5:$R$1000, 0)), "")</f>
        <v/>
      </c>
      <c r="K61" s="21" t="str">
        <f>IFERROR(INDEX('Detalles movimientos'!L$5:L$1000, MATCH(52, 'Detalles movimientos'!$R$5:$R$1000, 0)), "")</f>
        <v/>
      </c>
      <c r="L61" s="19" t="str">
        <f>IFERROR(INDEX('Detalles movimientos'!M$5:M$1000, MATCH(52, 'Detalles movimientos'!$R$5:$R$1000, 0)), "")</f>
        <v/>
      </c>
      <c r="M61" s="19" t="str">
        <f>IFERROR(INDEX('Detalles movimientos'!P$5:P$1000, MATCH(52, 'Detalles movimientos'!$R$5:$R$1000, 0)), "")</f>
        <v/>
      </c>
    </row>
    <row r="62" spans="2:13" x14ac:dyDescent="0.2">
      <c r="B62" s="18" t="str">
        <f>IFERROR(INDEX('Detalles movimientos'!C$5:C$1000, MATCH(53, 'Detalles movimientos'!$R$5:$R$1000, 0)), "")</f>
        <v/>
      </c>
      <c r="C62" s="19" t="str">
        <f>IFERROR(INDEX('Detalles movimientos'!D$5:D$1000, MATCH(53, 'Detalles movimientos'!$R$5:$R$1000, 0)), "")</f>
        <v/>
      </c>
      <c r="D62" s="20" t="str">
        <f>IFERROR(INDEX('Detalles movimientos'!E$5:E$1000, MATCH(53, 'Detalles movimientos'!$R$5:$R$1000, 0)), "")</f>
        <v/>
      </c>
      <c r="E62" s="20" t="str">
        <f>IFERROR(INDEX('Detalles movimientos'!F$5:F$1000, MATCH(53, 'Detalles movimientos'!$R$5:$R$1000, 0)), "")</f>
        <v/>
      </c>
      <c r="F62" s="19" t="str">
        <f>IFERROR(INDEX('Detalles movimientos'!G$5:G$1000, MATCH(53, 'Detalles movimientos'!$R$5:$R$1000, 0)), "")</f>
        <v/>
      </c>
      <c r="G62" s="21" t="str">
        <f>IFERROR(INDEX('Detalles movimientos'!H$5:H$1000, MATCH(53, 'Detalles movimientos'!$R$5:$R$1000, 0)), "")</f>
        <v/>
      </c>
      <c r="H62" s="22" t="str">
        <f>IFERROR(INDEX('Detalles movimientos'!I$5:I$1000, MATCH(53, 'Detalles movimientos'!$R$5:$R$1000, 0)), "")</f>
        <v/>
      </c>
      <c r="I62" s="21" t="str">
        <f>IFERROR(INDEX('Detalles movimientos'!J$5:J$1000, MATCH(53, 'Detalles movimientos'!$R$5:$R$1000, 0)), "")</f>
        <v/>
      </c>
      <c r="J62" s="20" t="str">
        <f>IFERROR(INDEX('Detalles movimientos'!K$5:K$1000, MATCH(53, 'Detalles movimientos'!$R$5:$R$1000, 0)), "")</f>
        <v/>
      </c>
      <c r="K62" s="21" t="str">
        <f>IFERROR(INDEX('Detalles movimientos'!L$5:L$1000, MATCH(53, 'Detalles movimientos'!$R$5:$R$1000, 0)), "")</f>
        <v/>
      </c>
      <c r="L62" s="19" t="str">
        <f>IFERROR(INDEX('Detalles movimientos'!M$5:M$1000, MATCH(53, 'Detalles movimientos'!$R$5:$R$1000, 0)), "")</f>
        <v/>
      </c>
      <c r="M62" s="19" t="str">
        <f>IFERROR(INDEX('Detalles movimientos'!P$5:P$1000, MATCH(53, 'Detalles movimientos'!$R$5:$R$1000, 0)), "")</f>
        <v/>
      </c>
    </row>
    <row r="63" spans="2:13" x14ac:dyDescent="0.2">
      <c r="B63" s="18" t="str">
        <f>IFERROR(INDEX('Detalles movimientos'!C$5:C$1000, MATCH(54, 'Detalles movimientos'!$R$5:$R$1000, 0)), "")</f>
        <v/>
      </c>
      <c r="C63" s="19" t="str">
        <f>IFERROR(INDEX('Detalles movimientos'!D$5:D$1000, MATCH(54, 'Detalles movimientos'!$R$5:$R$1000, 0)), "")</f>
        <v/>
      </c>
      <c r="D63" s="20" t="str">
        <f>IFERROR(INDEX('Detalles movimientos'!E$5:E$1000, MATCH(54, 'Detalles movimientos'!$R$5:$R$1000, 0)), "")</f>
        <v/>
      </c>
      <c r="E63" s="20" t="str">
        <f>IFERROR(INDEX('Detalles movimientos'!F$5:F$1000, MATCH(54, 'Detalles movimientos'!$R$5:$R$1000, 0)), "")</f>
        <v/>
      </c>
      <c r="F63" s="19" t="str">
        <f>IFERROR(INDEX('Detalles movimientos'!G$5:G$1000, MATCH(54, 'Detalles movimientos'!$R$5:$R$1000, 0)), "")</f>
        <v/>
      </c>
      <c r="G63" s="21" t="str">
        <f>IFERROR(INDEX('Detalles movimientos'!H$5:H$1000, MATCH(54, 'Detalles movimientos'!$R$5:$R$1000, 0)), "")</f>
        <v/>
      </c>
      <c r="H63" s="22" t="str">
        <f>IFERROR(INDEX('Detalles movimientos'!I$5:I$1000, MATCH(54, 'Detalles movimientos'!$R$5:$R$1000, 0)), "")</f>
        <v/>
      </c>
      <c r="I63" s="21" t="str">
        <f>IFERROR(INDEX('Detalles movimientos'!J$5:J$1000, MATCH(54, 'Detalles movimientos'!$R$5:$R$1000, 0)), "")</f>
        <v/>
      </c>
      <c r="J63" s="20" t="str">
        <f>IFERROR(INDEX('Detalles movimientos'!K$5:K$1000, MATCH(54, 'Detalles movimientos'!$R$5:$R$1000, 0)), "")</f>
        <v/>
      </c>
      <c r="K63" s="21" t="str">
        <f>IFERROR(INDEX('Detalles movimientos'!L$5:L$1000, MATCH(54, 'Detalles movimientos'!$R$5:$R$1000, 0)), "")</f>
        <v/>
      </c>
      <c r="L63" s="19" t="str">
        <f>IFERROR(INDEX('Detalles movimientos'!M$5:M$1000, MATCH(54, 'Detalles movimientos'!$R$5:$R$1000, 0)), "")</f>
        <v/>
      </c>
      <c r="M63" s="19" t="str">
        <f>IFERROR(INDEX('Detalles movimientos'!P$5:P$1000, MATCH(54, 'Detalles movimientos'!$R$5:$R$1000, 0)), "")</f>
        <v/>
      </c>
    </row>
    <row r="64" spans="2:13" x14ac:dyDescent="0.2">
      <c r="B64" s="18" t="str">
        <f>IFERROR(INDEX('Detalles movimientos'!C$5:C$1000, MATCH(55, 'Detalles movimientos'!$R$5:$R$1000, 0)), "")</f>
        <v/>
      </c>
      <c r="C64" s="19" t="str">
        <f>IFERROR(INDEX('Detalles movimientos'!D$5:D$1000, MATCH(55, 'Detalles movimientos'!$R$5:$R$1000, 0)), "")</f>
        <v/>
      </c>
      <c r="D64" s="20" t="str">
        <f>IFERROR(INDEX('Detalles movimientos'!E$5:E$1000, MATCH(55, 'Detalles movimientos'!$R$5:$R$1000, 0)), "")</f>
        <v/>
      </c>
      <c r="E64" s="20" t="str">
        <f>IFERROR(INDEX('Detalles movimientos'!F$5:F$1000, MATCH(55, 'Detalles movimientos'!$R$5:$R$1000, 0)), "")</f>
        <v/>
      </c>
      <c r="F64" s="19" t="str">
        <f>IFERROR(INDEX('Detalles movimientos'!G$5:G$1000, MATCH(55, 'Detalles movimientos'!$R$5:$R$1000, 0)), "")</f>
        <v/>
      </c>
      <c r="G64" s="21" t="str">
        <f>IFERROR(INDEX('Detalles movimientos'!H$5:H$1000, MATCH(55, 'Detalles movimientos'!$R$5:$R$1000, 0)), "")</f>
        <v/>
      </c>
      <c r="H64" s="22" t="str">
        <f>IFERROR(INDEX('Detalles movimientos'!I$5:I$1000, MATCH(55, 'Detalles movimientos'!$R$5:$R$1000, 0)), "")</f>
        <v/>
      </c>
      <c r="I64" s="21" t="str">
        <f>IFERROR(INDEX('Detalles movimientos'!J$5:J$1000, MATCH(55, 'Detalles movimientos'!$R$5:$R$1000, 0)), "")</f>
        <v/>
      </c>
      <c r="J64" s="20" t="str">
        <f>IFERROR(INDEX('Detalles movimientos'!K$5:K$1000, MATCH(55, 'Detalles movimientos'!$R$5:$R$1000, 0)), "")</f>
        <v/>
      </c>
      <c r="K64" s="21" t="str">
        <f>IFERROR(INDEX('Detalles movimientos'!L$5:L$1000, MATCH(55, 'Detalles movimientos'!$R$5:$R$1000, 0)), "")</f>
        <v/>
      </c>
      <c r="L64" s="19" t="str">
        <f>IFERROR(INDEX('Detalles movimientos'!M$5:M$1000, MATCH(55, 'Detalles movimientos'!$R$5:$R$1000, 0)), "")</f>
        <v/>
      </c>
      <c r="M64" s="19" t="str">
        <f>IFERROR(INDEX('Detalles movimientos'!P$5:P$1000, MATCH(55, 'Detalles movimientos'!$R$5:$R$1000, 0)), "")</f>
        <v/>
      </c>
    </row>
    <row r="65" spans="2:13" x14ac:dyDescent="0.2">
      <c r="B65" s="18" t="str">
        <f>IFERROR(INDEX('Detalles movimientos'!C$5:C$1000, MATCH(56, 'Detalles movimientos'!$R$5:$R$1000, 0)), "")</f>
        <v/>
      </c>
      <c r="C65" s="19" t="str">
        <f>IFERROR(INDEX('Detalles movimientos'!D$5:D$1000, MATCH(56, 'Detalles movimientos'!$R$5:$R$1000, 0)), "")</f>
        <v/>
      </c>
      <c r="D65" s="20" t="str">
        <f>IFERROR(INDEX('Detalles movimientos'!E$5:E$1000, MATCH(56, 'Detalles movimientos'!$R$5:$R$1000, 0)), "")</f>
        <v/>
      </c>
      <c r="E65" s="20" t="str">
        <f>IFERROR(INDEX('Detalles movimientos'!F$5:F$1000, MATCH(56, 'Detalles movimientos'!$R$5:$R$1000, 0)), "")</f>
        <v/>
      </c>
      <c r="F65" s="19" t="str">
        <f>IFERROR(INDEX('Detalles movimientos'!G$5:G$1000, MATCH(56, 'Detalles movimientos'!$R$5:$R$1000, 0)), "")</f>
        <v/>
      </c>
      <c r="G65" s="21" t="str">
        <f>IFERROR(INDEX('Detalles movimientos'!H$5:H$1000, MATCH(56, 'Detalles movimientos'!$R$5:$R$1000, 0)), "")</f>
        <v/>
      </c>
      <c r="H65" s="22" t="str">
        <f>IFERROR(INDEX('Detalles movimientos'!I$5:I$1000, MATCH(56, 'Detalles movimientos'!$R$5:$R$1000, 0)), "")</f>
        <v/>
      </c>
      <c r="I65" s="21" t="str">
        <f>IFERROR(INDEX('Detalles movimientos'!J$5:J$1000, MATCH(56, 'Detalles movimientos'!$R$5:$R$1000, 0)), "")</f>
        <v/>
      </c>
      <c r="J65" s="20" t="str">
        <f>IFERROR(INDEX('Detalles movimientos'!K$5:K$1000, MATCH(56, 'Detalles movimientos'!$R$5:$R$1000, 0)), "")</f>
        <v/>
      </c>
      <c r="K65" s="21" t="str">
        <f>IFERROR(INDEX('Detalles movimientos'!L$5:L$1000, MATCH(56, 'Detalles movimientos'!$R$5:$R$1000, 0)), "")</f>
        <v/>
      </c>
      <c r="L65" s="19" t="str">
        <f>IFERROR(INDEX('Detalles movimientos'!M$5:M$1000, MATCH(56, 'Detalles movimientos'!$R$5:$R$1000, 0)), "")</f>
        <v/>
      </c>
      <c r="M65" s="19" t="str">
        <f>IFERROR(INDEX('Detalles movimientos'!P$5:P$1000, MATCH(56, 'Detalles movimientos'!$R$5:$R$1000, 0)), "")</f>
        <v/>
      </c>
    </row>
    <row r="66" spans="2:13" x14ac:dyDescent="0.2">
      <c r="B66" s="18" t="str">
        <f>IFERROR(INDEX('Detalles movimientos'!C$5:C$1000, MATCH(57, 'Detalles movimientos'!$R$5:$R$1000, 0)), "")</f>
        <v/>
      </c>
      <c r="C66" s="19" t="str">
        <f>IFERROR(INDEX('Detalles movimientos'!D$5:D$1000, MATCH(57, 'Detalles movimientos'!$R$5:$R$1000, 0)), "")</f>
        <v/>
      </c>
      <c r="D66" s="20" t="str">
        <f>IFERROR(INDEX('Detalles movimientos'!E$5:E$1000, MATCH(57, 'Detalles movimientos'!$R$5:$R$1000, 0)), "")</f>
        <v/>
      </c>
      <c r="E66" s="20" t="str">
        <f>IFERROR(INDEX('Detalles movimientos'!F$5:F$1000, MATCH(57, 'Detalles movimientos'!$R$5:$R$1000, 0)), "")</f>
        <v/>
      </c>
      <c r="F66" s="19" t="str">
        <f>IFERROR(INDEX('Detalles movimientos'!G$5:G$1000, MATCH(57, 'Detalles movimientos'!$R$5:$R$1000, 0)), "")</f>
        <v/>
      </c>
      <c r="G66" s="21" t="str">
        <f>IFERROR(INDEX('Detalles movimientos'!H$5:H$1000, MATCH(57, 'Detalles movimientos'!$R$5:$R$1000, 0)), "")</f>
        <v/>
      </c>
      <c r="H66" s="22" t="str">
        <f>IFERROR(INDEX('Detalles movimientos'!I$5:I$1000, MATCH(57, 'Detalles movimientos'!$R$5:$R$1000, 0)), "")</f>
        <v/>
      </c>
      <c r="I66" s="21" t="str">
        <f>IFERROR(INDEX('Detalles movimientos'!J$5:J$1000, MATCH(57, 'Detalles movimientos'!$R$5:$R$1000, 0)), "")</f>
        <v/>
      </c>
      <c r="J66" s="20" t="str">
        <f>IFERROR(INDEX('Detalles movimientos'!K$5:K$1000, MATCH(57, 'Detalles movimientos'!$R$5:$R$1000, 0)), "")</f>
        <v/>
      </c>
      <c r="K66" s="21" t="str">
        <f>IFERROR(INDEX('Detalles movimientos'!L$5:L$1000, MATCH(57, 'Detalles movimientos'!$R$5:$R$1000, 0)), "")</f>
        <v/>
      </c>
      <c r="L66" s="19" t="str">
        <f>IFERROR(INDEX('Detalles movimientos'!M$5:M$1000, MATCH(57, 'Detalles movimientos'!$R$5:$R$1000, 0)), "")</f>
        <v/>
      </c>
      <c r="M66" s="19" t="str">
        <f>IFERROR(INDEX('Detalles movimientos'!P$5:P$1000, MATCH(57, 'Detalles movimientos'!$R$5:$R$1000, 0)), "")</f>
        <v/>
      </c>
    </row>
    <row r="67" spans="2:13" x14ac:dyDescent="0.2">
      <c r="B67" s="18" t="str">
        <f>IFERROR(INDEX('Detalles movimientos'!C$5:C$1000, MATCH(58, 'Detalles movimientos'!$R$5:$R$1000, 0)), "")</f>
        <v/>
      </c>
      <c r="C67" s="19" t="str">
        <f>IFERROR(INDEX('Detalles movimientos'!D$5:D$1000, MATCH(58, 'Detalles movimientos'!$R$5:$R$1000, 0)), "")</f>
        <v/>
      </c>
      <c r="D67" s="20" t="str">
        <f>IFERROR(INDEX('Detalles movimientos'!E$5:E$1000, MATCH(58, 'Detalles movimientos'!$R$5:$R$1000, 0)), "")</f>
        <v/>
      </c>
      <c r="E67" s="20" t="str">
        <f>IFERROR(INDEX('Detalles movimientos'!F$5:F$1000, MATCH(58, 'Detalles movimientos'!$R$5:$R$1000, 0)), "")</f>
        <v/>
      </c>
      <c r="F67" s="19" t="str">
        <f>IFERROR(INDEX('Detalles movimientos'!G$5:G$1000, MATCH(58, 'Detalles movimientos'!$R$5:$R$1000, 0)), "")</f>
        <v/>
      </c>
      <c r="G67" s="21" t="str">
        <f>IFERROR(INDEX('Detalles movimientos'!H$5:H$1000, MATCH(58, 'Detalles movimientos'!$R$5:$R$1000, 0)), "")</f>
        <v/>
      </c>
      <c r="H67" s="22" t="str">
        <f>IFERROR(INDEX('Detalles movimientos'!I$5:I$1000, MATCH(58, 'Detalles movimientos'!$R$5:$R$1000, 0)), "")</f>
        <v/>
      </c>
      <c r="I67" s="21" t="str">
        <f>IFERROR(INDEX('Detalles movimientos'!J$5:J$1000, MATCH(58, 'Detalles movimientos'!$R$5:$R$1000, 0)), "")</f>
        <v/>
      </c>
      <c r="J67" s="20" t="str">
        <f>IFERROR(INDEX('Detalles movimientos'!K$5:K$1000, MATCH(58, 'Detalles movimientos'!$R$5:$R$1000, 0)), "")</f>
        <v/>
      </c>
      <c r="K67" s="21" t="str">
        <f>IFERROR(INDEX('Detalles movimientos'!L$5:L$1000, MATCH(58, 'Detalles movimientos'!$R$5:$R$1000, 0)), "")</f>
        <v/>
      </c>
      <c r="L67" s="19" t="str">
        <f>IFERROR(INDEX('Detalles movimientos'!M$5:M$1000, MATCH(58, 'Detalles movimientos'!$R$5:$R$1000, 0)), "")</f>
        <v/>
      </c>
      <c r="M67" s="19" t="str">
        <f>IFERROR(INDEX('Detalles movimientos'!P$5:P$1000, MATCH(58, 'Detalles movimientos'!$R$5:$R$1000, 0)), "")</f>
        <v/>
      </c>
    </row>
    <row r="68" spans="2:13" x14ac:dyDescent="0.2">
      <c r="B68" s="18" t="str">
        <f>IFERROR(INDEX('Detalles movimientos'!C$5:C$1000, MATCH(59, 'Detalles movimientos'!$R$5:$R$1000, 0)), "")</f>
        <v/>
      </c>
      <c r="C68" s="19" t="str">
        <f>IFERROR(INDEX('Detalles movimientos'!D$5:D$1000, MATCH(59, 'Detalles movimientos'!$R$5:$R$1000, 0)), "")</f>
        <v/>
      </c>
      <c r="D68" s="20" t="str">
        <f>IFERROR(INDEX('Detalles movimientos'!E$5:E$1000, MATCH(59, 'Detalles movimientos'!$R$5:$R$1000, 0)), "")</f>
        <v/>
      </c>
      <c r="E68" s="20" t="str">
        <f>IFERROR(INDEX('Detalles movimientos'!F$5:F$1000, MATCH(59, 'Detalles movimientos'!$R$5:$R$1000, 0)), "")</f>
        <v/>
      </c>
      <c r="F68" s="19" t="str">
        <f>IFERROR(INDEX('Detalles movimientos'!G$5:G$1000, MATCH(59, 'Detalles movimientos'!$R$5:$R$1000, 0)), "")</f>
        <v/>
      </c>
      <c r="G68" s="21" t="str">
        <f>IFERROR(INDEX('Detalles movimientos'!H$5:H$1000, MATCH(59, 'Detalles movimientos'!$R$5:$R$1000, 0)), "")</f>
        <v/>
      </c>
      <c r="H68" s="22" t="str">
        <f>IFERROR(INDEX('Detalles movimientos'!I$5:I$1000, MATCH(59, 'Detalles movimientos'!$R$5:$R$1000, 0)), "")</f>
        <v/>
      </c>
      <c r="I68" s="21" t="str">
        <f>IFERROR(INDEX('Detalles movimientos'!J$5:J$1000, MATCH(59, 'Detalles movimientos'!$R$5:$R$1000, 0)), "")</f>
        <v/>
      </c>
      <c r="J68" s="20" t="str">
        <f>IFERROR(INDEX('Detalles movimientos'!K$5:K$1000, MATCH(59, 'Detalles movimientos'!$R$5:$R$1000, 0)), "")</f>
        <v/>
      </c>
      <c r="K68" s="21" t="str">
        <f>IFERROR(INDEX('Detalles movimientos'!L$5:L$1000, MATCH(59, 'Detalles movimientos'!$R$5:$R$1000, 0)), "")</f>
        <v/>
      </c>
      <c r="L68" s="19" t="str">
        <f>IFERROR(INDEX('Detalles movimientos'!M$5:M$1000, MATCH(59, 'Detalles movimientos'!$R$5:$R$1000, 0)), "")</f>
        <v/>
      </c>
      <c r="M68" s="19" t="str">
        <f>IFERROR(INDEX('Detalles movimientos'!P$5:P$1000, MATCH(59, 'Detalles movimientos'!$R$5:$R$1000, 0)), "")</f>
        <v/>
      </c>
    </row>
    <row r="69" spans="2:13" x14ac:dyDescent="0.2">
      <c r="B69" s="18" t="str">
        <f>IFERROR(INDEX('Detalles movimientos'!C$5:C$1000, MATCH(60, 'Detalles movimientos'!$R$5:$R$1000, 0)), "")</f>
        <v/>
      </c>
      <c r="C69" s="19" t="str">
        <f>IFERROR(INDEX('Detalles movimientos'!D$5:D$1000, MATCH(60, 'Detalles movimientos'!$R$5:$R$1000, 0)), "")</f>
        <v/>
      </c>
      <c r="D69" s="20" t="str">
        <f>IFERROR(INDEX('Detalles movimientos'!E$5:E$1000, MATCH(60, 'Detalles movimientos'!$R$5:$R$1000, 0)), "")</f>
        <v/>
      </c>
      <c r="E69" s="20" t="str">
        <f>IFERROR(INDEX('Detalles movimientos'!F$5:F$1000, MATCH(60, 'Detalles movimientos'!$R$5:$R$1000, 0)), "")</f>
        <v/>
      </c>
      <c r="F69" s="19" t="str">
        <f>IFERROR(INDEX('Detalles movimientos'!G$5:G$1000, MATCH(60, 'Detalles movimientos'!$R$5:$R$1000, 0)), "")</f>
        <v/>
      </c>
      <c r="G69" s="21" t="str">
        <f>IFERROR(INDEX('Detalles movimientos'!H$5:H$1000, MATCH(60, 'Detalles movimientos'!$R$5:$R$1000, 0)), "")</f>
        <v/>
      </c>
      <c r="H69" s="22" t="str">
        <f>IFERROR(INDEX('Detalles movimientos'!I$5:I$1000, MATCH(60, 'Detalles movimientos'!$R$5:$R$1000, 0)), "")</f>
        <v/>
      </c>
      <c r="I69" s="21" t="str">
        <f>IFERROR(INDEX('Detalles movimientos'!J$5:J$1000, MATCH(60, 'Detalles movimientos'!$R$5:$R$1000, 0)), "")</f>
        <v/>
      </c>
      <c r="J69" s="20" t="str">
        <f>IFERROR(INDEX('Detalles movimientos'!K$5:K$1000, MATCH(60, 'Detalles movimientos'!$R$5:$R$1000, 0)), "")</f>
        <v/>
      </c>
      <c r="K69" s="21" t="str">
        <f>IFERROR(INDEX('Detalles movimientos'!L$5:L$1000, MATCH(60, 'Detalles movimientos'!$R$5:$R$1000, 0)), "")</f>
        <v/>
      </c>
      <c r="L69" s="19" t="str">
        <f>IFERROR(INDEX('Detalles movimientos'!M$5:M$1000, MATCH(60, 'Detalles movimientos'!$R$5:$R$1000, 0)), "")</f>
        <v/>
      </c>
      <c r="M69" s="19" t="str">
        <f>IFERROR(INDEX('Detalles movimientos'!P$5:P$1000, MATCH(60, 'Detalles movimientos'!$R$5:$R$1000, 0)), "")</f>
        <v/>
      </c>
    </row>
    <row r="70" spans="2:13" x14ac:dyDescent="0.2">
      <c r="B70" s="18" t="str">
        <f>IFERROR(INDEX('Detalles movimientos'!C$5:C$1000, MATCH(61, 'Detalles movimientos'!$R$5:$R$1000, 0)), "")</f>
        <v/>
      </c>
      <c r="C70" s="19" t="str">
        <f>IFERROR(INDEX('Detalles movimientos'!D$5:D$1000, MATCH(61, 'Detalles movimientos'!$R$5:$R$1000, 0)), "")</f>
        <v/>
      </c>
      <c r="D70" s="20" t="str">
        <f>IFERROR(INDEX('Detalles movimientos'!E$5:E$1000, MATCH(61, 'Detalles movimientos'!$R$5:$R$1000, 0)), "")</f>
        <v/>
      </c>
      <c r="E70" s="20" t="str">
        <f>IFERROR(INDEX('Detalles movimientos'!F$5:F$1000, MATCH(61, 'Detalles movimientos'!$R$5:$R$1000, 0)), "")</f>
        <v/>
      </c>
      <c r="F70" s="19" t="str">
        <f>IFERROR(INDEX('Detalles movimientos'!G$5:G$1000, MATCH(61, 'Detalles movimientos'!$R$5:$R$1000, 0)), "")</f>
        <v/>
      </c>
      <c r="G70" s="21" t="str">
        <f>IFERROR(INDEX('Detalles movimientos'!H$5:H$1000, MATCH(61, 'Detalles movimientos'!$R$5:$R$1000, 0)), "")</f>
        <v/>
      </c>
      <c r="H70" s="22" t="str">
        <f>IFERROR(INDEX('Detalles movimientos'!I$5:I$1000, MATCH(61, 'Detalles movimientos'!$R$5:$R$1000, 0)), "")</f>
        <v/>
      </c>
      <c r="I70" s="21" t="str">
        <f>IFERROR(INDEX('Detalles movimientos'!J$5:J$1000, MATCH(61, 'Detalles movimientos'!$R$5:$R$1000, 0)), "")</f>
        <v/>
      </c>
      <c r="J70" s="20" t="str">
        <f>IFERROR(INDEX('Detalles movimientos'!K$5:K$1000, MATCH(61, 'Detalles movimientos'!$R$5:$R$1000, 0)), "")</f>
        <v/>
      </c>
      <c r="K70" s="21" t="str">
        <f>IFERROR(INDEX('Detalles movimientos'!L$5:L$1000, MATCH(61, 'Detalles movimientos'!$R$5:$R$1000, 0)), "")</f>
        <v/>
      </c>
      <c r="L70" s="19" t="str">
        <f>IFERROR(INDEX('Detalles movimientos'!M$5:M$1000, MATCH(61, 'Detalles movimientos'!$R$5:$R$1000, 0)), "")</f>
        <v/>
      </c>
      <c r="M70" s="19" t="str">
        <f>IFERROR(INDEX('Detalles movimientos'!P$5:P$1000, MATCH(61, 'Detalles movimientos'!$R$5:$R$1000, 0)), "")</f>
        <v/>
      </c>
    </row>
    <row r="71" spans="2:13" x14ac:dyDescent="0.2">
      <c r="B71" s="18" t="str">
        <f>IFERROR(INDEX('Detalles movimientos'!C$5:C$1000, MATCH(62, 'Detalles movimientos'!$R$5:$R$1000, 0)), "")</f>
        <v/>
      </c>
      <c r="C71" s="19" t="str">
        <f>IFERROR(INDEX('Detalles movimientos'!D$5:D$1000, MATCH(62, 'Detalles movimientos'!$R$5:$R$1000, 0)), "")</f>
        <v/>
      </c>
      <c r="D71" s="20" t="str">
        <f>IFERROR(INDEX('Detalles movimientos'!E$5:E$1000, MATCH(62, 'Detalles movimientos'!$R$5:$R$1000, 0)), "")</f>
        <v/>
      </c>
      <c r="E71" s="20" t="str">
        <f>IFERROR(INDEX('Detalles movimientos'!F$5:F$1000, MATCH(62, 'Detalles movimientos'!$R$5:$R$1000, 0)), "")</f>
        <v/>
      </c>
      <c r="F71" s="19" t="str">
        <f>IFERROR(INDEX('Detalles movimientos'!G$5:G$1000, MATCH(62, 'Detalles movimientos'!$R$5:$R$1000, 0)), "")</f>
        <v/>
      </c>
      <c r="G71" s="21" t="str">
        <f>IFERROR(INDEX('Detalles movimientos'!H$5:H$1000, MATCH(62, 'Detalles movimientos'!$R$5:$R$1000, 0)), "")</f>
        <v/>
      </c>
      <c r="H71" s="22" t="str">
        <f>IFERROR(INDEX('Detalles movimientos'!I$5:I$1000, MATCH(62, 'Detalles movimientos'!$R$5:$R$1000, 0)), "")</f>
        <v/>
      </c>
      <c r="I71" s="21" t="str">
        <f>IFERROR(INDEX('Detalles movimientos'!J$5:J$1000, MATCH(62, 'Detalles movimientos'!$R$5:$R$1000, 0)), "")</f>
        <v/>
      </c>
      <c r="J71" s="20" t="str">
        <f>IFERROR(INDEX('Detalles movimientos'!K$5:K$1000, MATCH(62, 'Detalles movimientos'!$R$5:$R$1000, 0)), "")</f>
        <v/>
      </c>
      <c r="K71" s="21" t="str">
        <f>IFERROR(INDEX('Detalles movimientos'!L$5:L$1000, MATCH(62, 'Detalles movimientos'!$R$5:$R$1000, 0)), "")</f>
        <v/>
      </c>
      <c r="L71" s="19" t="str">
        <f>IFERROR(INDEX('Detalles movimientos'!M$5:M$1000, MATCH(62, 'Detalles movimientos'!$R$5:$R$1000, 0)), "")</f>
        <v/>
      </c>
      <c r="M71" s="19" t="str">
        <f>IFERROR(INDEX('Detalles movimientos'!P$5:P$1000, MATCH(62, 'Detalles movimientos'!$R$5:$R$1000, 0)), "")</f>
        <v/>
      </c>
    </row>
    <row r="72" spans="2:13" x14ac:dyDescent="0.2">
      <c r="B72" s="18" t="str">
        <f>IFERROR(INDEX('Detalles movimientos'!C$5:C$1000, MATCH(63, 'Detalles movimientos'!$R$5:$R$1000, 0)), "")</f>
        <v/>
      </c>
      <c r="C72" s="19" t="str">
        <f>IFERROR(INDEX('Detalles movimientos'!D$5:D$1000, MATCH(63, 'Detalles movimientos'!$R$5:$R$1000, 0)), "")</f>
        <v/>
      </c>
      <c r="D72" s="20" t="str">
        <f>IFERROR(INDEX('Detalles movimientos'!E$5:E$1000, MATCH(63, 'Detalles movimientos'!$R$5:$R$1000, 0)), "")</f>
        <v/>
      </c>
      <c r="E72" s="20" t="str">
        <f>IFERROR(INDEX('Detalles movimientos'!F$5:F$1000, MATCH(63, 'Detalles movimientos'!$R$5:$R$1000, 0)), "")</f>
        <v/>
      </c>
      <c r="F72" s="19" t="str">
        <f>IFERROR(INDEX('Detalles movimientos'!G$5:G$1000, MATCH(63, 'Detalles movimientos'!$R$5:$R$1000, 0)), "")</f>
        <v/>
      </c>
      <c r="G72" s="21" t="str">
        <f>IFERROR(INDEX('Detalles movimientos'!H$5:H$1000, MATCH(63, 'Detalles movimientos'!$R$5:$R$1000, 0)), "")</f>
        <v/>
      </c>
      <c r="H72" s="22" t="str">
        <f>IFERROR(INDEX('Detalles movimientos'!I$5:I$1000, MATCH(63, 'Detalles movimientos'!$R$5:$R$1000, 0)), "")</f>
        <v/>
      </c>
      <c r="I72" s="21" t="str">
        <f>IFERROR(INDEX('Detalles movimientos'!J$5:J$1000, MATCH(63, 'Detalles movimientos'!$R$5:$R$1000, 0)), "")</f>
        <v/>
      </c>
      <c r="J72" s="20" t="str">
        <f>IFERROR(INDEX('Detalles movimientos'!K$5:K$1000, MATCH(63, 'Detalles movimientos'!$R$5:$R$1000, 0)), "")</f>
        <v/>
      </c>
      <c r="K72" s="21" t="str">
        <f>IFERROR(INDEX('Detalles movimientos'!L$5:L$1000, MATCH(63, 'Detalles movimientos'!$R$5:$R$1000, 0)), "")</f>
        <v/>
      </c>
      <c r="L72" s="19" t="str">
        <f>IFERROR(INDEX('Detalles movimientos'!M$5:M$1000, MATCH(63, 'Detalles movimientos'!$R$5:$R$1000, 0)), "")</f>
        <v/>
      </c>
      <c r="M72" s="19" t="str">
        <f>IFERROR(INDEX('Detalles movimientos'!P$5:P$1000, MATCH(63, 'Detalles movimientos'!$R$5:$R$1000, 0)), "")</f>
        <v/>
      </c>
    </row>
    <row r="73" spans="2:13" x14ac:dyDescent="0.2">
      <c r="B73" s="18" t="str">
        <f>IFERROR(INDEX('Detalles movimientos'!C$5:C$1000, MATCH(64, 'Detalles movimientos'!$R$5:$R$1000, 0)), "")</f>
        <v/>
      </c>
      <c r="C73" s="19" t="str">
        <f>IFERROR(INDEX('Detalles movimientos'!D$5:D$1000, MATCH(64, 'Detalles movimientos'!$R$5:$R$1000, 0)), "")</f>
        <v/>
      </c>
      <c r="D73" s="20" t="str">
        <f>IFERROR(INDEX('Detalles movimientos'!E$5:E$1000, MATCH(64, 'Detalles movimientos'!$R$5:$R$1000, 0)), "")</f>
        <v/>
      </c>
      <c r="E73" s="20" t="str">
        <f>IFERROR(INDEX('Detalles movimientos'!F$5:F$1000, MATCH(64, 'Detalles movimientos'!$R$5:$R$1000, 0)), "")</f>
        <v/>
      </c>
      <c r="F73" s="19" t="str">
        <f>IFERROR(INDEX('Detalles movimientos'!G$5:G$1000, MATCH(64, 'Detalles movimientos'!$R$5:$R$1000, 0)), "")</f>
        <v/>
      </c>
      <c r="G73" s="21" t="str">
        <f>IFERROR(INDEX('Detalles movimientos'!H$5:H$1000, MATCH(64, 'Detalles movimientos'!$R$5:$R$1000, 0)), "")</f>
        <v/>
      </c>
      <c r="H73" s="22" t="str">
        <f>IFERROR(INDEX('Detalles movimientos'!I$5:I$1000, MATCH(64, 'Detalles movimientos'!$R$5:$R$1000, 0)), "")</f>
        <v/>
      </c>
      <c r="I73" s="21" t="str">
        <f>IFERROR(INDEX('Detalles movimientos'!J$5:J$1000, MATCH(64, 'Detalles movimientos'!$R$5:$R$1000, 0)), "")</f>
        <v/>
      </c>
      <c r="J73" s="20" t="str">
        <f>IFERROR(INDEX('Detalles movimientos'!K$5:K$1000, MATCH(64, 'Detalles movimientos'!$R$5:$R$1000, 0)), "")</f>
        <v/>
      </c>
      <c r="K73" s="21" t="str">
        <f>IFERROR(INDEX('Detalles movimientos'!L$5:L$1000, MATCH(64, 'Detalles movimientos'!$R$5:$R$1000, 0)), "")</f>
        <v/>
      </c>
      <c r="L73" s="19" t="str">
        <f>IFERROR(INDEX('Detalles movimientos'!M$5:M$1000, MATCH(64, 'Detalles movimientos'!$R$5:$R$1000, 0)), "")</f>
        <v/>
      </c>
      <c r="M73" s="19" t="str">
        <f>IFERROR(INDEX('Detalles movimientos'!P$5:P$1000, MATCH(64, 'Detalles movimientos'!$R$5:$R$1000, 0)), "")</f>
        <v/>
      </c>
    </row>
    <row r="74" spans="2:13" x14ac:dyDescent="0.2">
      <c r="B74" s="18" t="str">
        <f>IFERROR(INDEX('Detalles movimientos'!C$5:C$1000, MATCH(65, 'Detalles movimientos'!$R$5:$R$1000, 0)), "")</f>
        <v/>
      </c>
      <c r="C74" s="19" t="str">
        <f>IFERROR(INDEX('Detalles movimientos'!D$5:D$1000, MATCH(65, 'Detalles movimientos'!$R$5:$R$1000, 0)), "")</f>
        <v/>
      </c>
      <c r="D74" s="20" t="str">
        <f>IFERROR(INDEX('Detalles movimientos'!E$5:E$1000, MATCH(65, 'Detalles movimientos'!$R$5:$R$1000, 0)), "")</f>
        <v/>
      </c>
      <c r="E74" s="20" t="str">
        <f>IFERROR(INDEX('Detalles movimientos'!F$5:F$1000, MATCH(65, 'Detalles movimientos'!$R$5:$R$1000, 0)), "")</f>
        <v/>
      </c>
      <c r="F74" s="19" t="str">
        <f>IFERROR(INDEX('Detalles movimientos'!G$5:G$1000, MATCH(65, 'Detalles movimientos'!$R$5:$R$1000, 0)), "")</f>
        <v/>
      </c>
      <c r="G74" s="21" t="str">
        <f>IFERROR(INDEX('Detalles movimientos'!H$5:H$1000, MATCH(65, 'Detalles movimientos'!$R$5:$R$1000, 0)), "")</f>
        <v/>
      </c>
      <c r="H74" s="22" t="str">
        <f>IFERROR(INDEX('Detalles movimientos'!I$5:I$1000, MATCH(65, 'Detalles movimientos'!$R$5:$R$1000, 0)), "")</f>
        <v/>
      </c>
      <c r="I74" s="21" t="str">
        <f>IFERROR(INDEX('Detalles movimientos'!J$5:J$1000, MATCH(65, 'Detalles movimientos'!$R$5:$R$1000, 0)), "")</f>
        <v/>
      </c>
      <c r="J74" s="20" t="str">
        <f>IFERROR(INDEX('Detalles movimientos'!K$5:K$1000, MATCH(65, 'Detalles movimientos'!$R$5:$R$1000, 0)), "")</f>
        <v/>
      </c>
      <c r="K74" s="21" t="str">
        <f>IFERROR(INDEX('Detalles movimientos'!L$5:L$1000, MATCH(65, 'Detalles movimientos'!$R$5:$R$1000, 0)), "")</f>
        <v/>
      </c>
      <c r="L74" s="19" t="str">
        <f>IFERROR(INDEX('Detalles movimientos'!M$5:M$1000, MATCH(65, 'Detalles movimientos'!$R$5:$R$1000, 0)), "")</f>
        <v/>
      </c>
      <c r="M74" s="19" t="str">
        <f>IFERROR(INDEX('Detalles movimientos'!P$5:P$1000, MATCH(65, 'Detalles movimientos'!$R$5:$R$1000, 0)), "")</f>
        <v/>
      </c>
    </row>
    <row r="75" spans="2:13" x14ac:dyDescent="0.2">
      <c r="B75" s="18" t="str">
        <f>IFERROR(INDEX('Detalles movimientos'!C$5:C$1000, MATCH(66, 'Detalles movimientos'!$R$5:$R$1000, 0)), "")</f>
        <v/>
      </c>
      <c r="C75" s="19" t="str">
        <f>IFERROR(INDEX('Detalles movimientos'!D$5:D$1000, MATCH(66, 'Detalles movimientos'!$R$5:$R$1000, 0)), "")</f>
        <v/>
      </c>
      <c r="D75" s="20" t="str">
        <f>IFERROR(INDEX('Detalles movimientos'!E$5:E$1000, MATCH(66, 'Detalles movimientos'!$R$5:$R$1000, 0)), "")</f>
        <v/>
      </c>
      <c r="E75" s="20" t="str">
        <f>IFERROR(INDEX('Detalles movimientos'!F$5:F$1000, MATCH(66, 'Detalles movimientos'!$R$5:$R$1000, 0)), "")</f>
        <v/>
      </c>
      <c r="F75" s="19" t="str">
        <f>IFERROR(INDEX('Detalles movimientos'!G$5:G$1000, MATCH(66, 'Detalles movimientos'!$R$5:$R$1000, 0)), "")</f>
        <v/>
      </c>
      <c r="G75" s="21" t="str">
        <f>IFERROR(INDEX('Detalles movimientos'!H$5:H$1000, MATCH(66, 'Detalles movimientos'!$R$5:$R$1000, 0)), "")</f>
        <v/>
      </c>
      <c r="H75" s="22" t="str">
        <f>IFERROR(INDEX('Detalles movimientos'!I$5:I$1000, MATCH(66, 'Detalles movimientos'!$R$5:$R$1000, 0)), "")</f>
        <v/>
      </c>
      <c r="I75" s="21" t="str">
        <f>IFERROR(INDEX('Detalles movimientos'!J$5:J$1000, MATCH(66, 'Detalles movimientos'!$R$5:$R$1000, 0)), "")</f>
        <v/>
      </c>
      <c r="J75" s="20" t="str">
        <f>IFERROR(INDEX('Detalles movimientos'!K$5:K$1000, MATCH(66, 'Detalles movimientos'!$R$5:$R$1000, 0)), "")</f>
        <v/>
      </c>
      <c r="K75" s="21" t="str">
        <f>IFERROR(INDEX('Detalles movimientos'!L$5:L$1000, MATCH(66, 'Detalles movimientos'!$R$5:$R$1000, 0)), "")</f>
        <v/>
      </c>
      <c r="L75" s="19" t="str">
        <f>IFERROR(INDEX('Detalles movimientos'!M$5:M$1000, MATCH(66, 'Detalles movimientos'!$R$5:$R$1000, 0)), "")</f>
        <v/>
      </c>
      <c r="M75" s="19" t="str">
        <f>IFERROR(INDEX('Detalles movimientos'!P$5:P$1000, MATCH(66, 'Detalles movimientos'!$R$5:$R$1000, 0)), "")</f>
        <v/>
      </c>
    </row>
    <row r="76" spans="2:13" x14ac:dyDescent="0.2">
      <c r="B76" s="18" t="str">
        <f>IFERROR(INDEX('Detalles movimientos'!C$5:C$1000, MATCH(67, 'Detalles movimientos'!$R$5:$R$1000, 0)), "")</f>
        <v/>
      </c>
      <c r="C76" s="19" t="str">
        <f>IFERROR(INDEX('Detalles movimientos'!D$5:D$1000, MATCH(67, 'Detalles movimientos'!$R$5:$R$1000, 0)), "")</f>
        <v/>
      </c>
      <c r="D76" s="20" t="str">
        <f>IFERROR(INDEX('Detalles movimientos'!E$5:E$1000, MATCH(67, 'Detalles movimientos'!$R$5:$R$1000, 0)), "")</f>
        <v/>
      </c>
      <c r="E76" s="20" t="str">
        <f>IFERROR(INDEX('Detalles movimientos'!F$5:F$1000, MATCH(67, 'Detalles movimientos'!$R$5:$R$1000, 0)), "")</f>
        <v/>
      </c>
      <c r="F76" s="19" t="str">
        <f>IFERROR(INDEX('Detalles movimientos'!G$5:G$1000, MATCH(67, 'Detalles movimientos'!$R$5:$R$1000, 0)), "")</f>
        <v/>
      </c>
      <c r="G76" s="21" t="str">
        <f>IFERROR(INDEX('Detalles movimientos'!H$5:H$1000, MATCH(67, 'Detalles movimientos'!$R$5:$R$1000, 0)), "")</f>
        <v/>
      </c>
      <c r="H76" s="22" t="str">
        <f>IFERROR(INDEX('Detalles movimientos'!I$5:I$1000, MATCH(67, 'Detalles movimientos'!$R$5:$R$1000, 0)), "")</f>
        <v/>
      </c>
      <c r="I76" s="21" t="str">
        <f>IFERROR(INDEX('Detalles movimientos'!J$5:J$1000, MATCH(67, 'Detalles movimientos'!$R$5:$R$1000, 0)), "")</f>
        <v/>
      </c>
      <c r="J76" s="20" t="str">
        <f>IFERROR(INDEX('Detalles movimientos'!K$5:K$1000, MATCH(67, 'Detalles movimientos'!$R$5:$R$1000, 0)), "")</f>
        <v/>
      </c>
      <c r="K76" s="21" t="str">
        <f>IFERROR(INDEX('Detalles movimientos'!L$5:L$1000, MATCH(67, 'Detalles movimientos'!$R$5:$R$1000, 0)), "")</f>
        <v/>
      </c>
      <c r="L76" s="19" t="str">
        <f>IFERROR(INDEX('Detalles movimientos'!M$5:M$1000, MATCH(67, 'Detalles movimientos'!$R$5:$R$1000, 0)), "")</f>
        <v/>
      </c>
      <c r="M76" s="19" t="str">
        <f>IFERROR(INDEX('Detalles movimientos'!P$5:P$1000, MATCH(67, 'Detalles movimientos'!$R$5:$R$1000, 0)), "")</f>
        <v/>
      </c>
    </row>
    <row r="77" spans="2:13" x14ac:dyDescent="0.2">
      <c r="B77" s="18" t="str">
        <f>IFERROR(INDEX('Detalles movimientos'!C$5:C$1000, MATCH(68, 'Detalles movimientos'!$R$5:$R$1000, 0)), "")</f>
        <v/>
      </c>
      <c r="C77" s="19" t="str">
        <f>IFERROR(INDEX('Detalles movimientos'!D$5:D$1000, MATCH(68, 'Detalles movimientos'!$R$5:$R$1000, 0)), "")</f>
        <v/>
      </c>
      <c r="D77" s="20" t="str">
        <f>IFERROR(INDEX('Detalles movimientos'!E$5:E$1000, MATCH(68, 'Detalles movimientos'!$R$5:$R$1000, 0)), "")</f>
        <v/>
      </c>
      <c r="E77" s="20" t="str">
        <f>IFERROR(INDEX('Detalles movimientos'!F$5:F$1000, MATCH(68, 'Detalles movimientos'!$R$5:$R$1000, 0)), "")</f>
        <v/>
      </c>
      <c r="F77" s="19" t="str">
        <f>IFERROR(INDEX('Detalles movimientos'!G$5:G$1000, MATCH(68, 'Detalles movimientos'!$R$5:$R$1000, 0)), "")</f>
        <v/>
      </c>
      <c r="G77" s="21" t="str">
        <f>IFERROR(INDEX('Detalles movimientos'!H$5:H$1000, MATCH(68, 'Detalles movimientos'!$R$5:$R$1000, 0)), "")</f>
        <v/>
      </c>
      <c r="H77" s="22" t="str">
        <f>IFERROR(INDEX('Detalles movimientos'!I$5:I$1000, MATCH(68, 'Detalles movimientos'!$R$5:$R$1000, 0)), "")</f>
        <v/>
      </c>
      <c r="I77" s="21" t="str">
        <f>IFERROR(INDEX('Detalles movimientos'!J$5:J$1000, MATCH(68, 'Detalles movimientos'!$R$5:$R$1000, 0)), "")</f>
        <v/>
      </c>
      <c r="J77" s="20" t="str">
        <f>IFERROR(INDEX('Detalles movimientos'!K$5:K$1000, MATCH(68, 'Detalles movimientos'!$R$5:$R$1000, 0)), "")</f>
        <v/>
      </c>
      <c r="K77" s="21" t="str">
        <f>IFERROR(INDEX('Detalles movimientos'!L$5:L$1000, MATCH(68, 'Detalles movimientos'!$R$5:$R$1000, 0)), "")</f>
        <v/>
      </c>
      <c r="L77" s="19" t="str">
        <f>IFERROR(INDEX('Detalles movimientos'!M$5:M$1000, MATCH(68, 'Detalles movimientos'!$R$5:$R$1000, 0)), "")</f>
        <v/>
      </c>
      <c r="M77" s="19" t="str">
        <f>IFERROR(INDEX('Detalles movimientos'!P$5:P$1000, MATCH(68, 'Detalles movimientos'!$R$5:$R$1000, 0)), "")</f>
        <v/>
      </c>
    </row>
    <row r="78" spans="2:13" x14ac:dyDescent="0.2">
      <c r="B78" s="18" t="str">
        <f>IFERROR(INDEX('Detalles movimientos'!C$5:C$1000, MATCH(69, 'Detalles movimientos'!$R$5:$R$1000, 0)), "")</f>
        <v/>
      </c>
      <c r="C78" s="19" t="str">
        <f>IFERROR(INDEX('Detalles movimientos'!D$5:D$1000, MATCH(69, 'Detalles movimientos'!$R$5:$R$1000, 0)), "")</f>
        <v/>
      </c>
      <c r="D78" s="20" t="str">
        <f>IFERROR(INDEX('Detalles movimientos'!E$5:E$1000, MATCH(69, 'Detalles movimientos'!$R$5:$R$1000, 0)), "")</f>
        <v/>
      </c>
      <c r="E78" s="20" t="str">
        <f>IFERROR(INDEX('Detalles movimientos'!F$5:F$1000, MATCH(69, 'Detalles movimientos'!$R$5:$R$1000, 0)), "")</f>
        <v/>
      </c>
      <c r="F78" s="19" t="str">
        <f>IFERROR(INDEX('Detalles movimientos'!G$5:G$1000, MATCH(69, 'Detalles movimientos'!$R$5:$R$1000, 0)), "")</f>
        <v/>
      </c>
      <c r="G78" s="21" t="str">
        <f>IFERROR(INDEX('Detalles movimientos'!H$5:H$1000, MATCH(69, 'Detalles movimientos'!$R$5:$R$1000, 0)), "")</f>
        <v/>
      </c>
      <c r="H78" s="22" t="str">
        <f>IFERROR(INDEX('Detalles movimientos'!I$5:I$1000, MATCH(69, 'Detalles movimientos'!$R$5:$R$1000, 0)), "")</f>
        <v/>
      </c>
      <c r="I78" s="21" t="str">
        <f>IFERROR(INDEX('Detalles movimientos'!J$5:J$1000, MATCH(69, 'Detalles movimientos'!$R$5:$R$1000, 0)), "")</f>
        <v/>
      </c>
      <c r="J78" s="20" t="str">
        <f>IFERROR(INDEX('Detalles movimientos'!K$5:K$1000, MATCH(69, 'Detalles movimientos'!$R$5:$R$1000, 0)), "")</f>
        <v/>
      </c>
      <c r="K78" s="21" t="str">
        <f>IFERROR(INDEX('Detalles movimientos'!L$5:L$1000, MATCH(69, 'Detalles movimientos'!$R$5:$R$1000, 0)), "")</f>
        <v/>
      </c>
      <c r="L78" s="19" t="str">
        <f>IFERROR(INDEX('Detalles movimientos'!M$5:M$1000, MATCH(69, 'Detalles movimientos'!$R$5:$R$1000, 0)), "")</f>
        <v/>
      </c>
      <c r="M78" s="19" t="str">
        <f>IFERROR(INDEX('Detalles movimientos'!P$5:P$1000, MATCH(69, 'Detalles movimientos'!$R$5:$R$1000, 0)), "")</f>
        <v/>
      </c>
    </row>
    <row r="79" spans="2:13" x14ac:dyDescent="0.2">
      <c r="B79" s="18" t="str">
        <f>IFERROR(INDEX('Detalles movimientos'!C$5:C$1000, MATCH(70, 'Detalles movimientos'!$R$5:$R$1000, 0)), "")</f>
        <v/>
      </c>
      <c r="C79" s="19" t="str">
        <f>IFERROR(INDEX('Detalles movimientos'!D$5:D$1000, MATCH(70, 'Detalles movimientos'!$R$5:$R$1000, 0)), "")</f>
        <v/>
      </c>
      <c r="D79" s="20" t="str">
        <f>IFERROR(INDEX('Detalles movimientos'!E$5:E$1000, MATCH(70, 'Detalles movimientos'!$R$5:$R$1000, 0)), "")</f>
        <v/>
      </c>
      <c r="E79" s="20" t="str">
        <f>IFERROR(INDEX('Detalles movimientos'!F$5:F$1000, MATCH(70, 'Detalles movimientos'!$R$5:$R$1000, 0)), "")</f>
        <v/>
      </c>
      <c r="F79" s="19" t="str">
        <f>IFERROR(INDEX('Detalles movimientos'!G$5:G$1000, MATCH(70, 'Detalles movimientos'!$R$5:$R$1000, 0)), "")</f>
        <v/>
      </c>
      <c r="G79" s="21" t="str">
        <f>IFERROR(INDEX('Detalles movimientos'!H$5:H$1000, MATCH(70, 'Detalles movimientos'!$R$5:$R$1000, 0)), "")</f>
        <v/>
      </c>
      <c r="H79" s="22" t="str">
        <f>IFERROR(INDEX('Detalles movimientos'!I$5:I$1000, MATCH(70, 'Detalles movimientos'!$R$5:$R$1000, 0)), "")</f>
        <v/>
      </c>
      <c r="I79" s="21" t="str">
        <f>IFERROR(INDEX('Detalles movimientos'!J$5:J$1000, MATCH(70, 'Detalles movimientos'!$R$5:$R$1000, 0)), "")</f>
        <v/>
      </c>
      <c r="J79" s="20" t="str">
        <f>IFERROR(INDEX('Detalles movimientos'!K$5:K$1000, MATCH(70, 'Detalles movimientos'!$R$5:$R$1000, 0)), "")</f>
        <v/>
      </c>
      <c r="K79" s="21" t="str">
        <f>IFERROR(INDEX('Detalles movimientos'!L$5:L$1000, MATCH(70, 'Detalles movimientos'!$R$5:$R$1000, 0)), "")</f>
        <v/>
      </c>
      <c r="L79" s="19" t="str">
        <f>IFERROR(INDEX('Detalles movimientos'!M$5:M$1000, MATCH(70, 'Detalles movimientos'!$R$5:$R$1000, 0)), "")</f>
        <v/>
      </c>
      <c r="M79" s="19" t="str">
        <f>IFERROR(INDEX('Detalles movimientos'!P$5:P$1000, MATCH(70, 'Detalles movimientos'!$R$5:$R$1000, 0)), "")</f>
        <v/>
      </c>
    </row>
    <row r="80" spans="2:13" x14ac:dyDescent="0.2">
      <c r="B80" s="18" t="str">
        <f>IFERROR(INDEX('Detalles movimientos'!C$5:C$1000, MATCH(71, 'Detalles movimientos'!$R$5:$R$1000, 0)), "")</f>
        <v/>
      </c>
      <c r="C80" s="19" t="str">
        <f>IFERROR(INDEX('Detalles movimientos'!D$5:D$1000, MATCH(71, 'Detalles movimientos'!$R$5:$R$1000, 0)), "")</f>
        <v/>
      </c>
      <c r="D80" s="20" t="str">
        <f>IFERROR(INDEX('Detalles movimientos'!E$5:E$1000, MATCH(71, 'Detalles movimientos'!$R$5:$R$1000, 0)), "")</f>
        <v/>
      </c>
      <c r="E80" s="20" t="str">
        <f>IFERROR(INDEX('Detalles movimientos'!F$5:F$1000, MATCH(71, 'Detalles movimientos'!$R$5:$R$1000, 0)), "")</f>
        <v/>
      </c>
      <c r="F80" s="19" t="str">
        <f>IFERROR(INDEX('Detalles movimientos'!G$5:G$1000, MATCH(71, 'Detalles movimientos'!$R$5:$R$1000, 0)), "")</f>
        <v/>
      </c>
      <c r="G80" s="21" t="str">
        <f>IFERROR(INDEX('Detalles movimientos'!H$5:H$1000, MATCH(71, 'Detalles movimientos'!$R$5:$R$1000, 0)), "")</f>
        <v/>
      </c>
      <c r="H80" s="22" t="str">
        <f>IFERROR(INDEX('Detalles movimientos'!I$5:I$1000, MATCH(71, 'Detalles movimientos'!$R$5:$R$1000, 0)), "")</f>
        <v/>
      </c>
      <c r="I80" s="21" t="str">
        <f>IFERROR(INDEX('Detalles movimientos'!J$5:J$1000, MATCH(71, 'Detalles movimientos'!$R$5:$R$1000, 0)), "")</f>
        <v/>
      </c>
      <c r="J80" s="20" t="str">
        <f>IFERROR(INDEX('Detalles movimientos'!K$5:K$1000, MATCH(71, 'Detalles movimientos'!$R$5:$R$1000, 0)), "")</f>
        <v/>
      </c>
      <c r="K80" s="21" t="str">
        <f>IFERROR(INDEX('Detalles movimientos'!L$5:L$1000, MATCH(71, 'Detalles movimientos'!$R$5:$R$1000, 0)), "")</f>
        <v/>
      </c>
      <c r="L80" s="19" t="str">
        <f>IFERROR(INDEX('Detalles movimientos'!M$5:M$1000, MATCH(71, 'Detalles movimientos'!$R$5:$R$1000, 0)), "")</f>
        <v/>
      </c>
      <c r="M80" s="19" t="str">
        <f>IFERROR(INDEX('Detalles movimientos'!P$5:P$1000, MATCH(71, 'Detalles movimientos'!$R$5:$R$1000, 0)), "")</f>
        <v/>
      </c>
    </row>
    <row r="81" spans="2:13" x14ac:dyDescent="0.2">
      <c r="B81" s="18" t="str">
        <f>IFERROR(INDEX('Detalles movimientos'!C$5:C$1000, MATCH(72, 'Detalles movimientos'!$R$5:$R$1000, 0)), "")</f>
        <v/>
      </c>
      <c r="C81" s="19" t="str">
        <f>IFERROR(INDEX('Detalles movimientos'!D$5:D$1000, MATCH(72, 'Detalles movimientos'!$R$5:$R$1000, 0)), "")</f>
        <v/>
      </c>
      <c r="D81" s="20" t="str">
        <f>IFERROR(INDEX('Detalles movimientos'!E$5:E$1000, MATCH(72, 'Detalles movimientos'!$R$5:$R$1000, 0)), "")</f>
        <v/>
      </c>
      <c r="E81" s="20" t="str">
        <f>IFERROR(INDEX('Detalles movimientos'!F$5:F$1000, MATCH(72, 'Detalles movimientos'!$R$5:$R$1000, 0)), "")</f>
        <v/>
      </c>
      <c r="F81" s="19" t="str">
        <f>IFERROR(INDEX('Detalles movimientos'!G$5:G$1000, MATCH(72, 'Detalles movimientos'!$R$5:$R$1000, 0)), "")</f>
        <v/>
      </c>
      <c r="G81" s="21" t="str">
        <f>IFERROR(INDEX('Detalles movimientos'!H$5:H$1000, MATCH(72, 'Detalles movimientos'!$R$5:$R$1000, 0)), "")</f>
        <v/>
      </c>
      <c r="H81" s="22" t="str">
        <f>IFERROR(INDEX('Detalles movimientos'!I$5:I$1000, MATCH(72, 'Detalles movimientos'!$R$5:$R$1000, 0)), "")</f>
        <v/>
      </c>
      <c r="I81" s="21" t="str">
        <f>IFERROR(INDEX('Detalles movimientos'!J$5:J$1000, MATCH(72, 'Detalles movimientos'!$R$5:$R$1000, 0)), "")</f>
        <v/>
      </c>
      <c r="J81" s="20" t="str">
        <f>IFERROR(INDEX('Detalles movimientos'!K$5:K$1000, MATCH(72, 'Detalles movimientos'!$R$5:$R$1000, 0)), "")</f>
        <v/>
      </c>
      <c r="K81" s="21" t="str">
        <f>IFERROR(INDEX('Detalles movimientos'!L$5:L$1000, MATCH(72, 'Detalles movimientos'!$R$5:$R$1000, 0)), "")</f>
        <v/>
      </c>
      <c r="L81" s="19" t="str">
        <f>IFERROR(INDEX('Detalles movimientos'!M$5:M$1000, MATCH(72, 'Detalles movimientos'!$R$5:$R$1000, 0)), "")</f>
        <v/>
      </c>
      <c r="M81" s="19" t="str">
        <f>IFERROR(INDEX('Detalles movimientos'!P$5:P$1000, MATCH(72, 'Detalles movimientos'!$R$5:$R$1000, 0)), "")</f>
        <v/>
      </c>
    </row>
    <row r="82" spans="2:13" x14ac:dyDescent="0.2">
      <c r="B82" s="18" t="str">
        <f>IFERROR(INDEX('Detalles movimientos'!C$5:C$1000, MATCH(73, 'Detalles movimientos'!$R$5:$R$1000, 0)), "")</f>
        <v/>
      </c>
      <c r="C82" s="19" t="str">
        <f>IFERROR(INDEX('Detalles movimientos'!D$5:D$1000, MATCH(73, 'Detalles movimientos'!$R$5:$R$1000, 0)), "")</f>
        <v/>
      </c>
      <c r="D82" s="20" t="str">
        <f>IFERROR(INDEX('Detalles movimientos'!E$5:E$1000, MATCH(73, 'Detalles movimientos'!$R$5:$R$1000, 0)), "")</f>
        <v/>
      </c>
      <c r="E82" s="20" t="str">
        <f>IFERROR(INDEX('Detalles movimientos'!F$5:F$1000, MATCH(73, 'Detalles movimientos'!$R$5:$R$1000, 0)), "")</f>
        <v/>
      </c>
      <c r="F82" s="19" t="str">
        <f>IFERROR(INDEX('Detalles movimientos'!G$5:G$1000, MATCH(73, 'Detalles movimientos'!$R$5:$R$1000, 0)), "")</f>
        <v/>
      </c>
      <c r="G82" s="21" t="str">
        <f>IFERROR(INDEX('Detalles movimientos'!H$5:H$1000, MATCH(73, 'Detalles movimientos'!$R$5:$R$1000, 0)), "")</f>
        <v/>
      </c>
      <c r="H82" s="22" t="str">
        <f>IFERROR(INDEX('Detalles movimientos'!I$5:I$1000, MATCH(73, 'Detalles movimientos'!$R$5:$R$1000, 0)), "")</f>
        <v/>
      </c>
      <c r="I82" s="21" t="str">
        <f>IFERROR(INDEX('Detalles movimientos'!J$5:J$1000, MATCH(73, 'Detalles movimientos'!$R$5:$R$1000, 0)), "")</f>
        <v/>
      </c>
      <c r="J82" s="20" t="str">
        <f>IFERROR(INDEX('Detalles movimientos'!K$5:K$1000, MATCH(73, 'Detalles movimientos'!$R$5:$R$1000, 0)), "")</f>
        <v/>
      </c>
      <c r="K82" s="21" t="str">
        <f>IFERROR(INDEX('Detalles movimientos'!L$5:L$1000, MATCH(73, 'Detalles movimientos'!$R$5:$R$1000, 0)), "")</f>
        <v/>
      </c>
      <c r="L82" s="19" t="str">
        <f>IFERROR(INDEX('Detalles movimientos'!M$5:M$1000, MATCH(73, 'Detalles movimientos'!$R$5:$R$1000, 0)), "")</f>
        <v/>
      </c>
      <c r="M82" s="19" t="str">
        <f>IFERROR(INDEX('Detalles movimientos'!P$5:P$1000, MATCH(73, 'Detalles movimientos'!$R$5:$R$1000, 0)), "")</f>
        <v/>
      </c>
    </row>
    <row r="83" spans="2:13" x14ac:dyDescent="0.2">
      <c r="B83" s="18" t="str">
        <f>IFERROR(INDEX('Detalles movimientos'!C$5:C$1000, MATCH(74, 'Detalles movimientos'!$R$5:$R$1000, 0)), "")</f>
        <v/>
      </c>
      <c r="C83" s="19" t="str">
        <f>IFERROR(INDEX('Detalles movimientos'!D$5:D$1000, MATCH(74, 'Detalles movimientos'!$R$5:$R$1000, 0)), "")</f>
        <v/>
      </c>
      <c r="D83" s="20" t="str">
        <f>IFERROR(INDEX('Detalles movimientos'!E$5:E$1000, MATCH(74, 'Detalles movimientos'!$R$5:$R$1000, 0)), "")</f>
        <v/>
      </c>
      <c r="E83" s="20" t="str">
        <f>IFERROR(INDEX('Detalles movimientos'!F$5:F$1000, MATCH(74, 'Detalles movimientos'!$R$5:$R$1000, 0)), "")</f>
        <v/>
      </c>
      <c r="F83" s="19" t="str">
        <f>IFERROR(INDEX('Detalles movimientos'!G$5:G$1000, MATCH(74, 'Detalles movimientos'!$R$5:$R$1000, 0)), "")</f>
        <v/>
      </c>
      <c r="G83" s="21" t="str">
        <f>IFERROR(INDEX('Detalles movimientos'!H$5:H$1000, MATCH(74, 'Detalles movimientos'!$R$5:$R$1000, 0)), "")</f>
        <v/>
      </c>
      <c r="H83" s="22" t="str">
        <f>IFERROR(INDEX('Detalles movimientos'!I$5:I$1000, MATCH(74, 'Detalles movimientos'!$R$5:$R$1000, 0)), "")</f>
        <v/>
      </c>
      <c r="I83" s="21" t="str">
        <f>IFERROR(INDEX('Detalles movimientos'!J$5:J$1000, MATCH(74, 'Detalles movimientos'!$R$5:$R$1000, 0)), "")</f>
        <v/>
      </c>
      <c r="J83" s="20" t="str">
        <f>IFERROR(INDEX('Detalles movimientos'!K$5:K$1000, MATCH(74, 'Detalles movimientos'!$R$5:$R$1000, 0)), "")</f>
        <v/>
      </c>
      <c r="K83" s="21" t="str">
        <f>IFERROR(INDEX('Detalles movimientos'!L$5:L$1000, MATCH(74, 'Detalles movimientos'!$R$5:$R$1000, 0)), "")</f>
        <v/>
      </c>
      <c r="L83" s="19" t="str">
        <f>IFERROR(INDEX('Detalles movimientos'!M$5:M$1000, MATCH(74, 'Detalles movimientos'!$R$5:$R$1000, 0)), "")</f>
        <v/>
      </c>
      <c r="M83" s="19" t="str">
        <f>IFERROR(INDEX('Detalles movimientos'!P$5:P$1000, MATCH(74, 'Detalles movimientos'!$R$5:$R$1000, 0)), "")</f>
        <v/>
      </c>
    </row>
    <row r="84" spans="2:13" x14ac:dyDescent="0.2">
      <c r="B84" s="18" t="str">
        <f>IFERROR(INDEX('Detalles movimientos'!C$5:C$1000, MATCH(75, 'Detalles movimientos'!$R$5:$R$1000, 0)), "")</f>
        <v/>
      </c>
      <c r="C84" s="19" t="str">
        <f>IFERROR(INDEX('Detalles movimientos'!D$5:D$1000, MATCH(75, 'Detalles movimientos'!$R$5:$R$1000, 0)), "")</f>
        <v/>
      </c>
      <c r="D84" s="20" t="str">
        <f>IFERROR(INDEX('Detalles movimientos'!E$5:E$1000, MATCH(75, 'Detalles movimientos'!$R$5:$R$1000, 0)), "")</f>
        <v/>
      </c>
      <c r="E84" s="20" t="str">
        <f>IFERROR(INDEX('Detalles movimientos'!F$5:F$1000, MATCH(75, 'Detalles movimientos'!$R$5:$R$1000, 0)), "")</f>
        <v/>
      </c>
      <c r="F84" s="19" t="str">
        <f>IFERROR(INDEX('Detalles movimientos'!G$5:G$1000, MATCH(75, 'Detalles movimientos'!$R$5:$R$1000, 0)), "")</f>
        <v/>
      </c>
      <c r="G84" s="21" t="str">
        <f>IFERROR(INDEX('Detalles movimientos'!H$5:H$1000, MATCH(75, 'Detalles movimientos'!$R$5:$R$1000, 0)), "")</f>
        <v/>
      </c>
      <c r="H84" s="22" t="str">
        <f>IFERROR(INDEX('Detalles movimientos'!I$5:I$1000, MATCH(75, 'Detalles movimientos'!$R$5:$R$1000, 0)), "")</f>
        <v/>
      </c>
      <c r="I84" s="21" t="str">
        <f>IFERROR(INDEX('Detalles movimientos'!J$5:J$1000, MATCH(75, 'Detalles movimientos'!$R$5:$R$1000, 0)), "")</f>
        <v/>
      </c>
      <c r="J84" s="20" t="str">
        <f>IFERROR(INDEX('Detalles movimientos'!K$5:K$1000, MATCH(75, 'Detalles movimientos'!$R$5:$R$1000, 0)), "")</f>
        <v/>
      </c>
      <c r="K84" s="21" t="str">
        <f>IFERROR(INDEX('Detalles movimientos'!L$5:L$1000, MATCH(75, 'Detalles movimientos'!$R$5:$R$1000, 0)), "")</f>
        <v/>
      </c>
      <c r="L84" s="19" t="str">
        <f>IFERROR(INDEX('Detalles movimientos'!M$5:M$1000, MATCH(75, 'Detalles movimientos'!$R$5:$R$1000, 0)), "")</f>
        <v/>
      </c>
      <c r="M84" s="19" t="str">
        <f>IFERROR(INDEX('Detalles movimientos'!P$5:P$1000, MATCH(75, 'Detalles movimientos'!$R$5:$R$1000, 0)), "")</f>
        <v/>
      </c>
    </row>
    <row r="85" spans="2:13" x14ac:dyDescent="0.2">
      <c r="B85" s="18" t="str">
        <f>IFERROR(INDEX('Detalles movimientos'!C$5:C$1000, MATCH(76, 'Detalles movimientos'!$R$5:$R$1000, 0)), "")</f>
        <v/>
      </c>
      <c r="C85" s="19" t="str">
        <f>IFERROR(INDEX('Detalles movimientos'!D$5:D$1000, MATCH(76, 'Detalles movimientos'!$R$5:$R$1000, 0)), "")</f>
        <v/>
      </c>
      <c r="D85" s="20" t="str">
        <f>IFERROR(INDEX('Detalles movimientos'!E$5:E$1000, MATCH(76, 'Detalles movimientos'!$R$5:$R$1000, 0)), "")</f>
        <v/>
      </c>
      <c r="E85" s="20" t="str">
        <f>IFERROR(INDEX('Detalles movimientos'!F$5:F$1000, MATCH(76, 'Detalles movimientos'!$R$5:$R$1000, 0)), "")</f>
        <v/>
      </c>
      <c r="F85" s="19" t="str">
        <f>IFERROR(INDEX('Detalles movimientos'!G$5:G$1000, MATCH(76, 'Detalles movimientos'!$R$5:$R$1000, 0)), "")</f>
        <v/>
      </c>
      <c r="G85" s="21" t="str">
        <f>IFERROR(INDEX('Detalles movimientos'!H$5:H$1000, MATCH(76, 'Detalles movimientos'!$R$5:$R$1000, 0)), "")</f>
        <v/>
      </c>
      <c r="H85" s="22" t="str">
        <f>IFERROR(INDEX('Detalles movimientos'!I$5:I$1000, MATCH(76, 'Detalles movimientos'!$R$5:$R$1000, 0)), "")</f>
        <v/>
      </c>
      <c r="I85" s="21" t="str">
        <f>IFERROR(INDEX('Detalles movimientos'!J$5:J$1000, MATCH(76, 'Detalles movimientos'!$R$5:$R$1000, 0)), "")</f>
        <v/>
      </c>
      <c r="J85" s="20" t="str">
        <f>IFERROR(INDEX('Detalles movimientos'!K$5:K$1000, MATCH(76, 'Detalles movimientos'!$R$5:$R$1000, 0)), "")</f>
        <v/>
      </c>
      <c r="K85" s="21" t="str">
        <f>IFERROR(INDEX('Detalles movimientos'!L$5:L$1000, MATCH(76, 'Detalles movimientos'!$R$5:$R$1000, 0)), "")</f>
        <v/>
      </c>
      <c r="L85" s="19" t="str">
        <f>IFERROR(INDEX('Detalles movimientos'!M$5:M$1000, MATCH(76, 'Detalles movimientos'!$R$5:$R$1000, 0)), "")</f>
        <v/>
      </c>
      <c r="M85" s="19" t="str">
        <f>IFERROR(INDEX('Detalles movimientos'!P$5:P$1000, MATCH(76, 'Detalles movimientos'!$R$5:$R$1000, 0)), "")</f>
        <v/>
      </c>
    </row>
    <row r="86" spans="2:13" x14ac:dyDescent="0.2">
      <c r="B86" s="18" t="str">
        <f>IFERROR(INDEX('Detalles movimientos'!C$5:C$1000, MATCH(77, 'Detalles movimientos'!$R$5:$R$1000, 0)), "")</f>
        <v/>
      </c>
      <c r="C86" s="19" t="str">
        <f>IFERROR(INDEX('Detalles movimientos'!D$5:D$1000, MATCH(77, 'Detalles movimientos'!$R$5:$R$1000, 0)), "")</f>
        <v/>
      </c>
      <c r="D86" s="20" t="str">
        <f>IFERROR(INDEX('Detalles movimientos'!E$5:E$1000, MATCH(77, 'Detalles movimientos'!$R$5:$R$1000, 0)), "")</f>
        <v/>
      </c>
      <c r="E86" s="20" t="str">
        <f>IFERROR(INDEX('Detalles movimientos'!F$5:F$1000, MATCH(77, 'Detalles movimientos'!$R$5:$R$1000, 0)), "")</f>
        <v/>
      </c>
      <c r="F86" s="19" t="str">
        <f>IFERROR(INDEX('Detalles movimientos'!G$5:G$1000, MATCH(77, 'Detalles movimientos'!$R$5:$R$1000, 0)), "")</f>
        <v/>
      </c>
      <c r="G86" s="21" t="str">
        <f>IFERROR(INDEX('Detalles movimientos'!H$5:H$1000, MATCH(77, 'Detalles movimientos'!$R$5:$R$1000, 0)), "")</f>
        <v/>
      </c>
      <c r="H86" s="22" t="str">
        <f>IFERROR(INDEX('Detalles movimientos'!I$5:I$1000, MATCH(77, 'Detalles movimientos'!$R$5:$R$1000, 0)), "")</f>
        <v/>
      </c>
      <c r="I86" s="21" t="str">
        <f>IFERROR(INDEX('Detalles movimientos'!J$5:J$1000, MATCH(77, 'Detalles movimientos'!$R$5:$R$1000, 0)), "")</f>
        <v/>
      </c>
      <c r="J86" s="20" t="str">
        <f>IFERROR(INDEX('Detalles movimientos'!K$5:K$1000, MATCH(77, 'Detalles movimientos'!$R$5:$R$1000, 0)), "")</f>
        <v/>
      </c>
      <c r="K86" s="21" t="str">
        <f>IFERROR(INDEX('Detalles movimientos'!L$5:L$1000, MATCH(77, 'Detalles movimientos'!$R$5:$R$1000, 0)), "")</f>
        <v/>
      </c>
      <c r="L86" s="19" t="str">
        <f>IFERROR(INDEX('Detalles movimientos'!M$5:M$1000, MATCH(77, 'Detalles movimientos'!$R$5:$R$1000, 0)), "")</f>
        <v/>
      </c>
      <c r="M86" s="19" t="str">
        <f>IFERROR(INDEX('Detalles movimientos'!P$5:P$1000, MATCH(77, 'Detalles movimientos'!$R$5:$R$1000, 0)), "")</f>
        <v/>
      </c>
    </row>
    <row r="87" spans="2:13" x14ac:dyDescent="0.2">
      <c r="B87" s="18" t="str">
        <f>IFERROR(INDEX('Detalles movimientos'!C$5:C$1000, MATCH(78, 'Detalles movimientos'!$R$5:$R$1000, 0)), "")</f>
        <v/>
      </c>
      <c r="C87" s="19" t="str">
        <f>IFERROR(INDEX('Detalles movimientos'!D$5:D$1000, MATCH(78, 'Detalles movimientos'!$R$5:$R$1000, 0)), "")</f>
        <v/>
      </c>
      <c r="D87" s="20" t="str">
        <f>IFERROR(INDEX('Detalles movimientos'!E$5:E$1000, MATCH(78, 'Detalles movimientos'!$R$5:$R$1000, 0)), "")</f>
        <v/>
      </c>
      <c r="E87" s="20" t="str">
        <f>IFERROR(INDEX('Detalles movimientos'!F$5:F$1000, MATCH(78, 'Detalles movimientos'!$R$5:$R$1000, 0)), "")</f>
        <v/>
      </c>
      <c r="F87" s="19" t="str">
        <f>IFERROR(INDEX('Detalles movimientos'!G$5:G$1000, MATCH(78, 'Detalles movimientos'!$R$5:$R$1000, 0)), "")</f>
        <v/>
      </c>
      <c r="G87" s="21" t="str">
        <f>IFERROR(INDEX('Detalles movimientos'!H$5:H$1000, MATCH(78, 'Detalles movimientos'!$R$5:$R$1000, 0)), "")</f>
        <v/>
      </c>
      <c r="H87" s="22" t="str">
        <f>IFERROR(INDEX('Detalles movimientos'!I$5:I$1000, MATCH(78, 'Detalles movimientos'!$R$5:$R$1000, 0)), "")</f>
        <v/>
      </c>
      <c r="I87" s="21" t="str">
        <f>IFERROR(INDEX('Detalles movimientos'!J$5:J$1000, MATCH(78, 'Detalles movimientos'!$R$5:$R$1000, 0)), "")</f>
        <v/>
      </c>
      <c r="J87" s="20" t="str">
        <f>IFERROR(INDEX('Detalles movimientos'!K$5:K$1000, MATCH(78, 'Detalles movimientos'!$R$5:$R$1000, 0)), "")</f>
        <v/>
      </c>
      <c r="K87" s="21" t="str">
        <f>IFERROR(INDEX('Detalles movimientos'!L$5:L$1000, MATCH(78, 'Detalles movimientos'!$R$5:$R$1000, 0)), "")</f>
        <v/>
      </c>
      <c r="L87" s="19" t="str">
        <f>IFERROR(INDEX('Detalles movimientos'!M$5:M$1000, MATCH(78, 'Detalles movimientos'!$R$5:$R$1000, 0)), "")</f>
        <v/>
      </c>
      <c r="M87" s="19" t="str">
        <f>IFERROR(INDEX('Detalles movimientos'!P$5:P$1000, MATCH(78, 'Detalles movimientos'!$R$5:$R$1000, 0)), "")</f>
        <v/>
      </c>
    </row>
    <row r="88" spans="2:13" x14ac:dyDescent="0.2">
      <c r="B88" s="18" t="str">
        <f>IFERROR(INDEX('Detalles movimientos'!C$5:C$1000, MATCH(79, 'Detalles movimientos'!$R$5:$R$1000, 0)), "")</f>
        <v/>
      </c>
      <c r="C88" s="19" t="str">
        <f>IFERROR(INDEX('Detalles movimientos'!D$5:D$1000, MATCH(79, 'Detalles movimientos'!$R$5:$R$1000, 0)), "")</f>
        <v/>
      </c>
      <c r="D88" s="20" t="str">
        <f>IFERROR(INDEX('Detalles movimientos'!E$5:E$1000, MATCH(79, 'Detalles movimientos'!$R$5:$R$1000, 0)), "")</f>
        <v/>
      </c>
      <c r="E88" s="20" t="str">
        <f>IFERROR(INDEX('Detalles movimientos'!F$5:F$1000, MATCH(79, 'Detalles movimientos'!$R$5:$R$1000, 0)), "")</f>
        <v/>
      </c>
      <c r="F88" s="19" t="str">
        <f>IFERROR(INDEX('Detalles movimientos'!G$5:G$1000, MATCH(79, 'Detalles movimientos'!$R$5:$R$1000, 0)), "")</f>
        <v/>
      </c>
      <c r="G88" s="21" t="str">
        <f>IFERROR(INDEX('Detalles movimientos'!H$5:H$1000, MATCH(79, 'Detalles movimientos'!$R$5:$R$1000, 0)), "")</f>
        <v/>
      </c>
      <c r="H88" s="22" t="str">
        <f>IFERROR(INDEX('Detalles movimientos'!I$5:I$1000, MATCH(79, 'Detalles movimientos'!$R$5:$R$1000, 0)), "")</f>
        <v/>
      </c>
      <c r="I88" s="21" t="str">
        <f>IFERROR(INDEX('Detalles movimientos'!J$5:J$1000, MATCH(79, 'Detalles movimientos'!$R$5:$R$1000, 0)), "")</f>
        <v/>
      </c>
      <c r="J88" s="20" t="str">
        <f>IFERROR(INDEX('Detalles movimientos'!K$5:K$1000, MATCH(79, 'Detalles movimientos'!$R$5:$R$1000, 0)), "")</f>
        <v/>
      </c>
      <c r="K88" s="21" t="str">
        <f>IFERROR(INDEX('Detalles movimientos'!L$5:L$1000, MATCH(79, 'Detalles movimientos'!$R$5:$R$1000, 0)), "")</f>
        <v/>
      </c>
      <c r="L88" s="19" t="str">
        <f>IFERROR(INDEX('Detalles movimientos'!M$5:M$1000, MATCH(79, 'Detalles movimientos'!$R$5:$R$1000, 0)), "")</f>
        <v/>
      </c>
      <c r="M88" s="19" t="str">
        <f>IFERROR(INDEX('Detalles movimientos'!P$5:P$1000, MATCH(79, 'Detalles movimientos'!$R$5:$R$1000, 0)), "")</f>
        <v/>
      </c>
    </row>
    <row r="89" spans="2:13" x14ac:dyDescent="0.2">
      <c r="B89" s="18" t="str">
        <f>IFERROR(INDEX('Detalles movimientos'!C$5:C$1000, MATCH(80, 'Detalles movimientos'!$R$5:$R$1000, 0)), "")</f>
        <v/>
      </c>
      <c r="C89" s="19" t="str">
        <f>IFERROR(INDEX('Detalles movimientos'!D$5:D$1000, MATCH(80, 'Detalles movimientos'!$R$5:$R$1000, 0)), "")</f>
        <v/>
      </c>
      <c r="D89" s="20" t="str">
        <f>IFERROR(INDEX('Detalles movimientos'!E$5:E$1000, MATCH(80, 'Detalles movimientos'!$R$5:$R$1000, 0)), "")</f>
        <v/>
      </c>
      <c r="E89" s="20" t="str">
        <f>IFERROR(INDEX('Detalles movimientos'!F$5:F$1000, MATCH(80, 'Detalles movimientos'!$R$5:$R$1000, 0)), "")</f>
        <v/>
      </c>
      <c r="F89" s="19" t="str">
        <f>IFERROR(INDEX('Detalles movimientos'!G$5:G$1000, MATCH(80, 'Detalles movimientos'!$R$5:$R$1000, 0)), "")</f>
        <v/>
      </c>
      <c r="G89" s="21" t="str">
        <f>IFERROR(INDEX('Detalles movimientos'!H$5:H$1000, MATCH(80, 'Detalles movimientos'!$R$5:$R$1000, 0)), "")</f>
        <v/>
      </c>
      <c r="H89" s="22" t="str">
        <f>IFERROR(INDEX('Detalles movimientos'!I$5:I$1000, MATCH(80, 'Detalles movimientos'!$R$5:$R$1000, 0)), "")</f>
        <v/>
      </c>
      <c r="I89" s="21" t="str">
        <f>IFERROR(INDEX('Detalles movimientos'!J$5:J$1000, MATCH(80, 'Detalles movimientos'!$R$5:$R$1000, 0)), "")</f>
        <v/>
      </c>
      <c r="J89" s="20" t="str">
        <f>IFERROR(INDEX('Detalles movimientos'!K$5:K$1000, MATCH(80, 'Detalles movimientos'!$R$5:$R$1000, 0)), "")</f>
        <v/>
      </c>
      <c r="K89" s="21" t="str">
        <f>IFERROR(INDEX('Detalles movimientos'!L$5:L$1000, MATCH(80, 'Detalles movimientos'!$R$5:$R$1000, 0)), "")</f>
        <v/>
      </c>
      <c r="L89" s="19" t="str">
        <f>IFERROR(INDEX('Detalles movimientos'!M$5:M$1000, MATCH(80, 'Detalles movimientos'!$R$5:$R$1000, 0)), "")</f>
        <v/>
      </c>
      <c r="M89" s="19" t="str">
        <f>IFERROR(INDEX('Detalles movimientos'!P$5:P$1000, MATCH(80, 'Detalles movimientos'!$R$5:$R$1000, 0)), "")</f>
        <v/>
      </c>
    </row>
    <row r="90" spans="2:13" x14ac:dyDescent="0.2">
      <c r="B90" s="18" t="str">
        <f>IFERROR(INDEX('Detalles movimientos'!C$5:C$1000, MATCH(81, 'Detalles movimientos'!$R$5:$R$1000, 0)), "")</f>
        <v/>
      </c>
      <c r="C90" s="19" t="str">
        <f>IFERROR(INDEX('Detalles movimientos'!D$5:D$1000, MATCH(81, 'Detalles movimientos'!$R$5:$R$1000, 0)), "")</f>
        <v/>
      </c>
      <c r="D90" s="20" t="str">
        <f>IFERROR(INDEX('Detalles movimientos'!E$5:E$1000, MATCH(81, 'Detalles movimientos'!$R$5:$R$1000, 0)), "")</f>
        <v/>
      </c>
      <c r="E90" s="20" t="str">
        <f>IFERROR(INDEX('Detalles movimientos'!F$5:F$1000, MATCH(81, 'Detalles movimientos'!$R$5:$R$1000, 0)), "")</f>
        <v/>
      </c>
      <c r="F90" s="19" t="str">
        <f>IFERROR(INDEX('Detalles movimientos'!G$5:G$1000, MATCH(81, 'Detalles movimientos'!$R$5:$R$1000, 0)), "")</f>
        <v/>
      </c>
      <c r="G90" s="21" t="str">
        <f>IFERROR(INDEX('Detalles movimientos'!H$5:H$1000, MATCH(81, 'Detalles movimientos'!$R$5:$R$1000, 0)), "")</f>
        <v/>
      </c>
      <c r="H90" s="22" t="str">
        <f>IFERROR(INDEX('Detalles movimientos'!I$5:I$1000, MATCH(81, 'Detalles movimientos'!$R$5:$R$1000, 0)), "")</f>
        <v/>
      </c>
      <c r="I90" s="21" t="str">
        <f>IFERROR(INDEX('Detalles movimientos'!J$5:J$1000, MATCH(81, 'Detalles movimientos'!$R$5:$R$1000, 0)), "")</f>
        <v/>
      </c>
      <c r="J90" s="20" t="str">
        <f>IFERROR(INDEX('Detalles movimientos'!K$5:K$1000, MATCH(81, 'Detalles movimientos'!$R$5:$R$1000, 0)), "")</f>
        <v/>
      </c>
      <c r="K90" s="21" t="str">
        <f>IFERROR(INDEX('Detalles movimientos'!L$5:L$1000, MATCH(81, 'Detalles movimientos'!$R$5:$R$1000, 0)), "")</f>
        <v/>
      </c>
      <c r="L90" s="19" t="str">
        <f>IFERROR(INDEX('Detalles movimientos'!M$5:M$1000, MATCH(81, 'Detalles movimientos'!$R$5:$R$1000, 0)), "")</f>
        <v/>
      </c>
      <c r="M90" s="19" t="str">
        <f>IFERROR(INDEX('Detalles movimientos'!P$5:P$1000, MATCH(81, 'Detalles movimientos'!$R$5:$R$1000, 0)), "")</f>
        <v/>
      </c>
    </row>
    <row r="91" spans="2:13" x14ac:dyDescent="0.2">
      <c r="B91" s="18" t="str">
        <f>IFERROR(INDEX('Detalles movimientos'!C$5:C$1000, MATCH(82, 'Detalles movimientos'!$R$5:$R$1000, 0)), "")</f>
        <v/>
      </c>
      <c r="C91" s="19" t="str">
        <f>IFERROR(INDEX('Detalles movimientos'!D$5:D$1000, MATCH(82, 'Detalles movimientos'!$R$5:$R$1000, 0)), "")</f>
        <v/>
      </c>
      <c r="D91" s="20" t="str">
        <f>IFERROR(INDEX('Detalles movimientos'!E$5:E$1000, MATCH(82, 'Detalles movimientos'!$R$5:$R$1000, 0)), "")</f>
        <v/>
      </c>
      <c r="E91" s="20" t="str">
        <f>IFERROR(INDEX('Detalles movimientos'!F$5:F$1000, MATCH(82, 'Detalles movimientos'!$R$5:$R$1000, 0)), "")</f>
        <v/>
      </c>
      <c r="F91" s="19" t="str">
        <f>IFERROR(INDEX('Detalles movimientos'!G$5:G$1000, MATCH(82, 'Detalles movimientos'!$R$5:$R$1000, 0)), "")</f>
        <v/>
      </c>
      <c r="G91" s="21" t="str">
        <f>IFERROR(INDEX('Detalles movimientos'!H$5:H$1000, MATCH(82, 'Detalles movimientos'!$R$5:$R$1000, 0)), "")</f>
        <v/>
      </c>
      <c r="H91" s="22" t="str">
        <f>IFERROR(INDEX('Detalles movimientos'!I$5:I$1000, MATCH(82, 'Detalles movimientos'!$R$5:$R$1000, 0)), "")</f>
        <v/>
      </c>
      <c r="I91" s="21" t="str">
        <f>IFERROR(INDEX('Detalles movimientos'!J$5:J$1000, MATCH(82, 'Detalles movimientos'!$R$5:$R$1000, 0)), "")</f>
        <v/>
      </c>
      <c r="J91" s="20" t="str">
        <f>IFERROR(INDEX('Detalles movimientos'!K$5:K$1000, MATCH(82, 'Detalles movimientos'!$R$5:$R$1000, 0)), "")</f>
        <v/>
      </c>
      <c r="K91" s="21" t="str">
        <f>IFERROR(INDEX('Detalles movimientos'!L$5:L$1000, MATCH(82, 'Detalles movimientos'!$R$5:$R$1000, 0)), "")</f>
        <v/>
      </c>
      <c r="L91" s="19" t="str">
        <f>IFERROR(INDEX('Detalles movimientos'!M$5:M$1000, MATCH(82, 'Detalles movimientos'!$R$5:$R$1000, 0)), "")</f>
        <v/>
      </c>
      <c r="M91" s="19" t="str">
        <f>IFERROR(INDEX('Detalles movimientos'!P$5:P$1000, MATCH(82, 'Detalles movimientos'!$R$5:$R$1000, 0)), "")</f>
        <v/>
      </c>
    </row>
    <row r="92" spans="2:13" x14ac:dyDescent="0.2">
      <c r="B92" s="18" t="str">
        <f>IFERROR(INDEX('Detalles movimientos'!C$5:C$1000, MATCH(83, 'Detalles movimientos'!$R$5:$R$1000, 0)), "")</f>
        <v/>
      </c>
      <c r="C92" s="19" t="str">
        <f>IFERROR(INDEX('Detalles movimientos'!D$5:D$1000, MATCH(83, 'Detalles movimientos'!$R$5:$R$1000, 0)), "")</f>
        <v/>
      </c>
      <c r="D92" s="20" t="str">
        <f>IFERROR(INDEX('Detalles movimientos'!E$5:E$1000, MATCH(83, 'Detalles movimientos'!$R$5:$R$1000, 0)), "")</f>
        <v/>
      </c>
      <c r="E92" s="20" t="str">
        <f>IFERROR(INDEX('Detalles movimientos'!F$5:F$1000, MATCH(83, 'Detalles movimientos'!$R$5:$R$1000, 0)), "")</f>
        <v/>
      </c>
      <c r="F92" s="19" t="str">
        <f>IFERROR(INDEX('Detalles movimientos'!G$5:G$1000, MATCH(83, 'Detalles movimientos'!$R$5:$R$1000, 0)), "")</f>
        <v/>
      </c>
      <c r="G92" s="21" t="str">
        <f>IFERROR(INDEX('Detalles movimientos'!H$5:H$1000, MATCH(83, 'Detalles movimientos'!$R$5:$R$1000, 0)), "")</f>
        <v/>
      </c>
      <c r="H92" s="22" t="str">
        <f>IFERROR(INDEX('Detalles movimientos'!I$5:I$1000, MATCH(83, 'Detalles movimientos'!$R$5:$R$1000, 0)), "")</f>
        <v/>
      </c>
      <c r="I92" s="21" t="str">
        <f>IFERROR(INDEX('Detalles movimientos'!J$5:J$1000, MATCH(83, 'Detalles movimientos'!$R$5:$R$1000, 0)), "")</f>
        <v/>
      </c>
      <c r="J92" s="20" t="str">
        <f>IFERROR(INDEX('Detalles movimientos'!K$5:K$1000, MATCH(83, 'Detalles movimientos'!$R$5:$R$1000, 0)), "")</f>
        <v/>
      </c>
      <c r="K92" s="21" t="str">
        <f>IFERROR(INDEX('Detalles movimientos'!L$5:L$1000, MATCH(83, 'Detalles movimientos'!$R$5:$R$1000, 0)), "")</f>
        <v/>
      </c>
      <c r="L92" s="19" t="str">
        <f>IFERROR(INDEX('Detalles movimientos'!M$5:M$1000, MATCH(83, 'Detalles movimientos'!$R$5:$R$1000, 0)), "")</f>
        <v/>
      </c>
      <c r="M92" s="19" t="str">
        <f>IFERROR(INDEX('Detalles movimientos'!P$5:P$1000, MATCH(83, 'Detalles movimientos'!$R$5:$R$1000, 0)), "")</f>
        <v/>
      </c>
    </row>
    <row r="93" spans="2:13" x14ac:dyDescent="0.2">
      <c r="B93" s="18" t="str">
        <f>IFERROR(INDEX('Detalles movimientos'!C$5:C$1000, MATCH(84, 'Detalles movimientos'!$R$5:$R$1000, 0)), "")</f>
        <v/>
      </c>
      <c r="C93" s="19" t="str">
        <f>IFERROR(INDEX('Detalles movimientos'!D$5:D$1000, MATCH(84, 'Detalles movimientos'!$R$5:$R$1000, 0)), "")</f>
        <v/>
      </c>
      <c r="D93" s="20" t="str">
        <f>IFERROR(INDEX('Detalles movimientos'!E$5:E$1000, MATCH(84, 'Detalles movimientos'!$R$5:$R$1000, 0)), "")</f>
        <v/>
      </c>
      <c r="E93" s="20" t="str">
        <f>IFERROR(INDEX('Detalles movimientos'!F$5:F$1000, MATCH(84, 'Detalles movimientos'!$R$5:$R$1000, 0)), "")</f>
        <v/>
      </c>
      <c r="F93" s="19" t="str">
        <f>IFERROR(INDEX('Detalles movimientos'!G$5:G$1000, MATCH(84, 'Detalles movimientos'!$R$5:$R$1000, 0)), "")</f>
        <v/>
      </c>
      <c r="G93" s="21" t="str">
        <f>IFERROR(INDEX('Detalles movimientos'!H$5:H$1000, MATCH(84, 'Detalles movimientos'!$R$5:$R$1000, 0)), "")</f>
        <v/>
      </c>
      <c r="H93" s="22" t="str">
        <f>IFERROR(INDEX('Detalles movimientos'!I$5:I$1000, MATCH(84, 'Detalles movimientos'!$R$5:$R$1000, 0)), "")</f>
        <v/>
      </c>
      <c r="I93" s="21" t="str">
        <f>IFERROR(INDEX('Detalles movimientos'!J$5:J$1000, MATCH(84, 'Detalles movimientos'!$R$5:$R$1000, 0)), "")</f>
        <v/>
      </c>
      <c r="J93" s="20" t="str">
        <f>IFERROR(INDEX('Detalles movimientos'!K$5:K$1000, MATCH(84, 'Detalles movimientos'!$R$5:$R$1000, 0)), "")</f>
        <v/>
      </c>
      <c r="K93" s="21" t="str">
        <f>IFERROR(INDEX('Detalles movimientos'!L$5:L$1000, MATCH(84, 'Detalles movimientos'!$R$5:$R$1000, 0)), "")</f>
        <v/>
      </c>
      <c r="L93" s="19" t="str">
        <f>IFERROR(INDEX('Detalles movimientos'!M$5:M$1000, MATCH(84, 'Detalles movimientos'!$R$5:$R$1000, 0)), "")</f>
        <v/>
      </c>
      <c r="M93" s="19" t="str">
        <f>IFERROR(INDEX('Detalles movimientos'!P$5:P$1000, MATCH(84, 'Detalles movimientos'!$R$5:$R$1000, 0)), "")</f>
        <v/>
      </c>
    </row>
    <row r="94" spans="2:13" x14ac:dyDescent="0.2">
      <c r="B94" s="18" t="str">
        <f>IFERROR(INDEX('Detalles movimientos'!C$5:C$1000, MATCH(85, 'Detalles movimientos'!$R$5:$R$1000, 0)), "")</f>
        <v/>
      </c>
      <c r="C94" s="19" t="str">
        <f>IFERROR(INDEX('Detalles movimientos'!D$5:D$1000, MATCH(85, 'Detalles movimientos'!$R$5:$R$1000, 0)), "")</f>
        <v/>
      </c>
      <c r="D94" s="20" t="str">
        <f>IFERROR(INDEX('Detalles movimientos'!E$5:E$1000, MATCH(85, 'Detalles movimientos'!$R$5:$R$1000, 0)), "")</f>
        <v/>
      </c>
      <c r="E94" s="20" t="str">
        <f>IFERROR(INDEX('Detalles movimientos'!F$5:F$1000, MATCH(85, 'Detalles movimientos'!$R$5:$R$1000, 0)), "")</f>
        <v/>
      </c>
      <c r="F94" s="19" t="str">
        <f>IFERROR(INDEX('Detalles movimientos'!G$5:G$1000, MATCH(85, 'Detalles movimientos'!$R$5:$R$1000, 0)), "")</f>
        <v/>
      </c>
      <c r="G94" s="21" t="str">
        <f>IFERROR(INDEX('Detalles movimientos'!H$5:H$1000, MATCH(85, 'Detalles movimientos'!$R$5:$R$1000, 0)), "")</f>
        <v/>
      </c>
      <c r="H94" s="22" t="str">
        <f>IFERROR(INDEX('Detalles movimientos'!I$5:I$1000, MATCH(85, 'Detalles movimientos'!$R$5:$R$1000, 0)), "")</f>
        <v/>
      </c>
      <c r="I94" s="21" t="str">
        <f>IFERROR(INDEX('Detalles movimientos'!J$5:J$1000, MATCH(85, 'Detalles movimientos'!$R$5:$R$1000, 0)), "")</f>
        <v/>
      </c>
      <c r="J94" s="20" t="str">
        <f>IFERROR(INDEX('Detalles movimientos'!K$5:K$1000, MATCH(85, 'Detalles movimientos'!$R$5:$R$1000, 0)), "")</f>
        <v/>
      </c>
      <c r="K94" s="21" t="str">
        <f>IFERROR(INDEX('Detalles movimientos'!L$5:L$1000, MATCH(85, 'Detalles movimientos'!$R$5:$R$1000, 0)), "")</f>
        <v/>
      </c>
      <c r="L94" s="19" t="str">
        <f>IFERROR(INDEX('Detalles movimientos'!M$5:M$1000, MATCH(85, 'Detalles movimientos'!$R$5:$R$1000, 0)), "")</f>
        <v/>
      </c>
      <c r="M94" s="19" t="str">
        <f>IFERROR(INDEX('Detalles movimientos'!P$5:P$1000, MATCH(85, 'Detalles movimientos'!$R$5:$R$1000, 0)), "")</f>
        <v/>
      </c>
    </row>
    <row r="95" spans="2:13" x14ac:dyDescent="0.2">
      <c r="B95" s="18" t="str">
        <f>IFERROR(INDEX('Detalles movimientos'!C$5:C$1000, MATCH(86, 'Detalles movimientos'!$R$5:$R$1000, 0)), "")</f>
        <v/>
      </c>
      <c r="C95" s="19" t="str">
        <f>IFERROR(INDEX('Detalles movimientos'!D$5:D$1000, MATCH(86, 'Detalles movimientos'!$R$5:$R$1000, 0)), "")</f>
        <v/>
      </c>
      <c r="D95" s="20" t="str">
        <f>IFERROR(INDEX('Detalles movimientos'!E$5:E$1000, MATCH(86, 'Detalles movimientos'!$R$5:$R$1000, 0)), "")</f>
        <v/>
      </c>
      <c r="E95" s="20" t="str">
        <f>IFERROR(INDEX('Detalles movimientos'!F$5:F$1000, MATCH(86, 'Detalles movimientos'!$R$5:$R$1000, 0)), "")</f>
        <v/>
      </c>
      <c r="F95" s="19" t="str">
        <f>IFERROR(INDEX('Detalles movimientos'!G$5:G$1000, MATCH(86, 'Detalles movimientos'!$R$5:$R$1000, 0)), "")</f>
        <v/>
      </c>
      <c r="G95" s="21" t="str">
        <f>IFERROR(INDEX('Detalles movimientos'!H$5:H$1000, MATCH(86, 'Detalles movimientos'!$R$5:$R$1000, 0)), "")</f>
        <v/>
      </c>
      <c r="H95" s="22" t="str">
        <f>IFERROR(INDEX('Detalles movimientos'!I$5:I$1000, MATCH(86, 'Detalles movimientos'!$R$5:$R$1000, 0)), "")</f>
        <v/>
      </c>
      <c r="I95" s="21" t="str">
        <f>IFERROR(INDEX('Detalles movimientos'!J$5:J$1000, MATCH(86, 'Detalles movimientos'!$R$5:$R$1000, 0)), "")</f>
        <v/>
      </c>
      <c r="J95" s="20" t="str">
        <f>IFERROR(INDEX('Detalles movimientos'!K$5:K$1000, MATCH(86, 'Detalles movimientos'!$R$5:$R$1000, 0)), "")</f>
        <v/>
      </c>
      <c r="K95" s="21" t="str">
        <f>IFERROR(INDEX('Detalles movimientos'!L$5:L$1000, MATCH(86, 'Detalles movimientos'!$R$5:$R$1000, 0)), "")</f>
        <v/>
      </c>
      <c r="L95" s="19" t="str">
        <f>IFERROR(INDEX('Detalles movimientos'!M$5:M$1000, MATCH(86, 'Detalles movimientos'!$R$5:$R$1000, 0)), "")</f>
        <v/>
      </c>
      <c r="M95" s="19" t="str">
        <f>IFERROR(INDEX('Detalles movimientos'!P$5:P$1000, MATCH(86, 'Detalles movimientos'!$R$5:$R$1000, 0)), "")</f>
        <v/>
      </c>
    </row>
    <row r="96" spans="2:13" x14ac:dyDescent="0.2">
      <c r="B96" s="18" t="str">
        <f>IFERROR(INDEX('Detalles movimientos'!C$5:C$1000, MATCH(87, 'Detalles movimientos'!$R$5:$R$1000, 0)), "")</f>
        <v/>
      </c>
      <c r="C96" s="19" t="str">
        <f>IFERROR(INDEX('Detalles movimientos'!D$5:D$1000, MATCH(87, 'Detalles movimientos'!$R$5:$R$1000, 0)), "")</f>
        <v/>
      </c>
      <c r="D96" s="20" t="str">
        <f>IFERROR(INDEX('Detalles movimientos'!E$5:E$1000, MATCH(87, 'Detalles movimientos'!$R$5:$R$1000, 0)), "")</f>
        <v/>
      </c>
      <c r="E96" s="20" t="str">
        <f>IFERROR(INDEX('Detalles movimientos'!F$5:F$1000, MATCH(87, 'Detalles movimientos'!$R$5:$R$1000, 0)), "")</f>
        <v/>
      </c>
      <c r="F96" s="19" t="str">
        <f>IFERROR(INDEX('Detalles movimientos'!G$5:G$1000, MATCH(87, 'Detalles movimientos'!$R$5:$R$1000, 0)), "")</f>
        <v/>
      </c>
      <c r="G96" s="21" t="str">
        <f>IFERROR(INDEX('Detalles movimientos'!H$5:H$1000, MATCH(87, 'Detalles movimientos'!$R$5:$R$1000, 0)), "")</f>
        <v/>
      </c>
      <c r="H96" s="22" t="str">
        <f>IFERROR(INDEX('Detalles movimientos'!I$5:I$1000, MATCH(87, 'Detalles movimientos'!$R$5:$R$1000, 0)), "")</f>
        <v/>
      </c>
      <c r="I96" s="21" t="str">
        <f>IFERROR(INDEX('Detalles movimientos'!J$5:J$1000, MATCH(87, 'Detalles movimientos'!$R$5:$R$1000, 0)), "")</f>
        <v/>
      </c>
      <c r="J96" s="20" t="str">
        <f>IFERROR(INDEX('Detalles movimientos'!K$5:K$1000, MATCH(87, 'Detalles movimientos'!$R$5:$R$1000, 0)), "")</f>
        <v/>
      </c>
      <c r="K96" s="21" t="str">
        <f>IFERROR(INDEX('Detalles movimientos'!L$5:L$1000, MATCH(87, 'Detalles movimientos'!$R$5:$R$1000, 0)), "")</f>
        <v/>
      </c>
      <c r="L96" s="19" t="str">
        <f>IFERROR(INDEX('Detalles movimientos'!M$5:M$1000, MATCH(87, 'Detalles movimientos'!$R$5:$R$1000, 0)), "")</f>
        <v/>
      </c>
      <c r="M96" s="19" t="str">
        <f>IFERROR(INDEX('Detalles movimientos'!P$5:P$1000, MATCH(87, 'Detalles movimientos'!$R$5:$R$1000, 0)), "")</f>
        <v/>
      </c>
    </row>
    <row r="97" spans="2:13" x14ac:dyDescent="0.2">
      <c r="B97" s="18" t="str">
        <f>IFERROR(INDEX('Detalles movimientos'!C$5:C$1000, MATCH(88, 'Detalles movimientos'!$R$5:$R$1000, 0)), "")</f>
        <v/>
      </c>
      <c r="C97" s="19" t="str">
        <f>IFERROR(INDEX('Detalles movimientos'!D$5:D$1000, MATCH(88, 'Detalles movimientos'!$R$5:$R$1000, 0)), "")</f>
        <v/>
      </c>
      <c r="D97" s="20" t="str">
        <f>IFERROR(INDEX('Detalles movimientos'!E$5:E$1000, MATCH(88, 'Detalles movimientos'!$R$5:$R$1000, 0)), "")</f>
        <v/>
      </c>
      <c r="E97" s="20" t="str">
        <f>IFERROR(INDEX('Detalles movimientos'!F$5:F$1000, MATCH(88, 'Detalles movimientos'!$R$5:$R$1000, 0)), "")</f>
        <v/>
      </c>
      <c r="F97" s="19" t="str">
        <f>IFERROR(INDEX('Detalles movimientos'!G$5:G$1000, MATCH(88, 'Detalles movimientos'!$R$5:$R$1000, 0)), "")</f>
        <v/>
      </c>
      <c r="G97" s="21" t="str">
        <f>IFERROR(INDEX('Detalles movimientos'!H$5:H$1000, MATCH(88, 'Detalles movimientos'!$R$5:$R$1000, 0)), "")</f>
        <v/>
      </c>
      <c r="H97" s="22" t="str">
        <f>IFERROR(INDEX('Detalles movimientos'!I$5:I$1000, MATCH(88, 'Detalles movimientos'!$R$5:$R$1000, 0)), "")</f>
        <v/>
      </c>
      <c r="I97" s="21" t="str">
        <f>IFERROR(INDEX('Detalles movimientos'!J$5:J$1000, MATCH(88, 'Detalles movimientos'!$R$5:$R$1000, 0)), "")</f>
        <v/>
      </c>
      <c r="J97" s="20" t="str">
        <f>IFERROR(INDEX('Detalles movimientos'!K$5:K$1000, MATCH(88, 'Detalles movimientos'!$R$5:$R$1000, 0)), "")</f>
        <v/>
      </c>
      <c r="K97" s="21" t="str">
        <f>IFERROR(INDEX('Detalles movimientos'!L$5:L$1000, MATCH(88, 'Detalles movimientos'!$R$5:$R$1000, 0)), "")</f>
        <v/>
      </c>
      <c r="L97" s="19" t="str">
        <f>IFERROR(INDEX('Detalles movimientos'!M$5:M$1000, MATCH(88, 'Detalles movimientos'!$R$5:$R$1000, 0)), "")</f>
        <v/>
      </c>
      <c r="M97" s="19" t="str">
        <f>IFERROR(INDEX('Detalles movimientos'!P$5:P$1000, MATCH(88, 'Detalles movimientos'!$R$5:$R$1000, 0)), "")</f>
        <v/>
      </c>
    </row>
    <row r="98" spans="2:13" x14ac:dyDescent="0.2">
      <c r="B98" s="18" t="str">
        <f>IFERROR(INDEX('Detalles movimientos'!C$5:C$1000, MATCH(89, 'Detalles movimientos'!$R$5:$R$1000, 0)), "")</f>
        <v/>
      </c>
      <c r="C98" s="19" t="str">
        <f>IFERROR(INDEX('Detalles movimientos'!D$5:D$1000, MATCH(89, 'Detalles movimientos'!$R$5:$R$1000, 0)), "")</f>
        <v/>
      </c>
      <c r="D98" s="20" t="str">
        <f>IFERROR(INDEX('Detalles movimientos'!E$5:E$1000, MATCH(89, 'Detalles movimientos'!$R$5:$R$1000, 0)), "")</f>
        <v/>
      </c>
      <c r="E98" s="20" t="str">
        <f>IFERROR(INDEX('Detalles movimientos'!F$5:F$1000, MATCH(89, 'Detalles movimientos'!$R$5:$R$1000, 0)), "")</f>
        <v/>
      </c>
      <c r="F98" s="19" t="str">
        <f>IFERROR(INDEX('Detalles movimientos'!G$5:G$1000, MATCH(89, 'Detalles movimientos'!$R$5:$R$1000, 0)), "")</f>
        <v/>
      </c>
      <c r="G98" s="21" t="str">
        <f>IFERROR(INDEX('Detalles movimientos'!H$5:H$1000, MATCH(89, 'Detalles movimientos'!$R$5:$R$1000, 0)), "")</f>
        <v/>
      </c>
      <c r="H98" s="22" t="str">
        <f>IFERROR(INDEX('Detalles movimientos'!I$5:I$1000, MATCH(89, 'Detalles movimientos'!$R$5:$R$1000, 0)), "")</f>
        <v/>
      </c>
      <c r="I98" s="21" t="str">
        <f>IFERROR(INDEX('Detalles movimientos'!J$5:J$1000, MATCH(89, 'Detalles movimientos'!$R$5:$R$1000, 0)), "")</f>
        <v/>
      </c>
      <c r="J98" s="20" t="str">
        <f>IFERROR(INDEX('Detalles movimientos'!K$5:K$1000, MATCH(89, 'Detalles movimientos'!$R$5:$R$1000, 0)), "")</f>
        <v/>
      </c>
      <c r="K98" s="21" t="str">
        <f>IFERROR(INDEX('Detalles movimientos'!L$5:L$1000, MATCH(89, 'Detalles movimientos'!$R$5:$R$1000, 0)), "")</f>
        <v/>
      </c>
      <c r="L98" s="19" t="str">
        <f>IFERROR(INDEX('Detalles movimientos'!M$5:M$1000, MATCH(89, 'Detalles movimientos'!$R$5:$R$1000, 0)), "")</f>
        <v/>
      </c>
      <c r="M98" s="19" t="str">
        <f>IFERROR(INDEX('Detalles movimientos'!P$5:P$1000, MATCH(89, 'Detalles movimientos'!$R$5:$R$1000, 0)), "")</f>
        <v/>
      </c>
    </row>
    <row r="99" spans="2:13" x14ac:dyDescent="0.2">
      <c r="B99" s="18" t="str">
        <f>IFERROR(INDEX('Detalles movimientos'!C$5:C$1000, MATCH(90, 'Detalles movimientos'!$R$5:$R$1000, 0)), "")</f>
        <v/>
      </c>
      <c r="C99" s="19" t="str">
        <f>IFERROR(INDEX('Detalles movimientos'!D$5:D$1000, MATCH(90, 'Detalles movimientos'!$R$5:$R$1000, 0)), "")</f>
        <v/>
      </c>
      <c r="D99" s="20" t="str">
        <f>IFERROR(INDEX('Detalles movimientos'!E$5:E$1000, MATCH(90, 'Detalles movimientos'!$R$5:$R$1000, 0)), "")</f>
        <v/>
      </c>
      <c r="E99" s="20" t="str">
        <f>IFERROR(INDEX('Detalles movimientos'!F$5:F$1000, MATCH(90, 'Detalles movimientos'!$R$5:$R$1000, 0)), "")</f>
        <v/>
      </c>
      <c r="F99" s="19" t="str">
        <f>IFERROR(INDEX('Detalles movimientos'!G$5:G$1000, MATCH(90, 'Detalles movimientos'!$R$5:$R$1000, 0)), "")</f>
        <v/>
      </c>
      <c r="G99" s="21" t="str">
        <f>IFERROR(INDEX('Detalles movimientos'!H$5:H$1000, MATCH(90, 'Detalles movimientos'!$R$5:$R$1000, 0)), "")</f>
        <v/>
      </c>
      <c r="H99" s="22" t="str">
        <f>IFERROR(INDEX('Detalles movimientos'!I$5:I$1000, MATCH(90, 'Detalles movimientos'!$R$5:$R$1000, 0)), "")</f>
        <v/>
      </c>
      <c r="I99" s="21" t="str">
        <f>IFERROR(INDEX('Detalles movimientos'!J$5:J$1000, MATCH(90, 'Detalles movimientos'!$R$5:$R$1000, 0)), "")</f>
        <v/>
      </c>
      <c r="J99" s="20" t="str">
        <f>IFERROR(INDEX('Detalles movimientos'!K$5:K$1000, MATCH(90, 'Detalles movimientos'!$R$5:$R$1000, 0)), "")</f>
        <v/>
      </c>
      <c r="K99" s="21" t="str">
        <f>IFERROR(INDEX('Detalles movimientos'!L$5:L$1000, MATCH(90, 'Detalles movimientos'!$R$5:$R$1000, 0)), "")</f>
        <v/>
      </c>
      <c r="L99" s="19" t="str">
        <f>IFERROR(INDEX('Detalles movimientos'!M$5:M$1000, MATCH(90, 'Detalles movimientos'!$R$5:$R$1000, 0)), "")</f>
        <v/>
      </c>
      <c r="M99" s="19" t="str">
        <f>IFERROR(INDEX('Detalles movimientos'!P$5:P$1000, MATCH(90, 'Detalles movimientos'!$R$5:$R$1000, 0)), "")</f>
        <v/>
      </c>
    </row>
    <row r="100" spans="2:13" x14ac:dyDescent="0.2">
      <c r="B100" s="18" t="str">
        <f>IFERROR(INDEX('Detalles movimientos'!C$5:C$1000, MATCH(91, 'Detalles movimientos'!$R$5:$R$1000, 0)), "")</f>
        <v/>
      </c>
      <c r="C100" s="19" t="str">
        <f>IFERROR(INDEX('Detalles movimientos'!D$5:D$1000, MATCH(91, 'Detalles movimientos'!$R$5:$R$1000, 0)), "")</f>
        <v/>
      </c>
      <c r="D100" s="20" t="str">
        <f>IFERROR(INDEX('Detalles movimientos'!E$5:E$1000, MATCH(91, 'Detalles movimientos'!$R$5:$R$1000, 0)), "")</f>
        <v/>
      </c>
      <c r="E100" s="20" t="str">
        <f>IFERROR(INDEX('Detalles movimientos'!F$5:F$1000, MATCH(91, 'Detalles movimientos'!$R$5:$R$1000, 0)), "")</f>
        <v/>
      </c>
      <c r="F100" s="19" t="str">
        <f>IFERROR(INDEX('Detalles movimientos'!G$5:G$1000, MATCH(91, 'Detalles movimientos'!$R$5:$R$1000, 0)), "")</f>
        <v/>
      </c>
      <c r="G100" s="21" t="str">
        <f>IFERROR(INDEX('Detalles movimientos'!H$5:H$1000, MATCH(91, 'Detalles movimientos'!$R$5:$R$1000, 0)), "")</f>
        <v/>
      </c>
      <c r="H100" s="22" t="str">
        <f>IFERROR(INDEX('Detalles movimientos'!I$5:I$1000, MATCH(91, 'Detalles movimientos'!$R$5:$R$1000, 0)), "")</f>
        <v/>
      </c>
      <c r="I100" s="21" t="str">
        <f>IFERROR(INDEX('Detalles movimientos'!J$5:J$1000, MATCH(91, 'Detalles movimientos'!$R$5:$R$1000, 0)), "")</f>
        <v/>
      </c>
      <c r="J100" s="20" t="str">
        <f>IFERROR(INDEX('Detalles movimientos'!K$5:K$1000, MATCH(91, 'Detalles movimientos'!$R$5:$R$1000, 0)), "")</f>
        <v/>
      </c>
      <c r="K100" s="21" t="str">
        <f>IFERROR(INDEX('Detalles movimientos'!L$5:L$1000, MATCH(91, 'Detalles movimientos'!$R$5:$R$1000, 0)), "")</f>
        <v/>
      </c>
      <c r="L100" s="19" t="str">
        <f>IFERROR(INDEX('Detalles movimientos'!M$5:M$1000, MATCH(91, 'Detalles movimientos'!$R$5:$R$1000, 0)), "")</f>
        <v/>
      </c>
      <c r="M100" s="19" t="str">
        <f>IFERROR(INDEX('Detalles movimientos'!P$5:P$1000, MATCH(91, 'Detalles movimientos'!$R$5:$R$1000, 0)), "")</f>
        <v/>
      </c>
    </row>
    <row r="101" spans="2:13" x14ac:dyDescent="0.2">
      <c r="B101" s="18" t="str">
        <f>IFERROR(INDEX('Detalles movimientos'!C$5:C$1000, MATCH(92, 'Detalles movimientos'!$R$5:$R$1000, 0)), "")</f>
        <v/>
      </c>
      <c r="C101" s="19" t="str">
        <f>IFERROR(INDEX('Detalles movimientos'!D$5:D$1000, MATCH(92, 'Detalles movimientos'!$R$5:$R$1000, 0)), "")</f>
        <v/>
      </c>
      <c r="D101" s="20" t="str">
        <f>IFERROR(INDEX('Detalles movimientos'!E$5:E$1000, MATCH(92, 'Detalles movimientos'!$R$5:$R$1000, 0)), "")</f>
        <v/>
      </c>
      <c r="E101" s="20" t="str">
        <f>IFERROR(INDEX('Detalles movimientos'!F$5:F$1000, MATCH(92, 'Detalles movimientos'!$R$5:$R$1000, 0)), "")</f>
        <v/>
      </c>
      <c r="F101" s="19" t="str">
        <f>IFERROR(INDEX('Detalles movimientos'!G$5:G$1000, MATCH(92, 'Detalles movimientos'!$R$5:$R$1000, 0)), "")</f>
        <v/>
      </c>
      <c r="G101" s="21" t="str">
        <f>IFERROR(INDEX('Detalles movimientos'!H$5:H$1000, MATCH(92, 'Detalles movimientos'!$R$5:$R$1000, 0)), "")</f>
        <v/>
      </c>
      <c r="H101" s="22" t="str">
        <f>IFERROR(INDEX('Detalles movimientos'!I$5:I$1000, MATCH(92, 'Detalles movimientos'!$R$5:$R$1000, 0)), "")</f>
        <v/>
      </c>
      <c r="I101" s="21" t="str">
        <f>IFERROR(INDEX('Detalles movimientos'!J$5:J$1000, MATCH(92, 'Detalles movimientos'!$R$5:$R$1000, 0)), "")</f>
        <v/>
      </c>
      <c r="J101" s="20" t="str">
        <f>IFERROR(INDEX('Detalles movimientos'!K$5:K$1000, MATCH(92, 'Detalles movimientos'!$R$5:$R$1000, 0)), "")</f>
        <v/>
      </c>
      <c r="K101" s="21" t="str">
        <f>IFERROR(INDEX('Detalles movimientos'!L$5:L$1000, MATCH(92, 'Detalles movimientos'!$R$5:$R$1000, 0)), "")</f>
        <v/>
      </c>
      <c r="L101" s="19" t="str">
        <f>IFERROR(INDEX('Detalles movimientos'!M$5:M$1000, MATCH(92, 'Detalles movimientos'!$R$5:$R$1000, 0)), "")</f>
        <v/>
      </c>
      <c r="M101" s="19" t="str">
        <f>IFERROR(INDEX('Detalles movimientos'!P$5:P$1000, MATCH(92, 'Detalles movimientos'!$R$5:$R$1000, 0)), "")</f>
        <v/>
      </c>
    </row>
    <row r="102" spans="2:13" x14ac:dyDescent="0.2">
      <c r="B102" s="18" t="str">
        <f>IFERROR(INDEX('Detalles movimientos'!C$5:C$1000, MATCH(93, 'Detalles movimientos'!$R$5:$R$1000, 0)), "")</f>
        <v/>
      </c>
      <c r="C102" s="19" t="str">
        <f>IFERROR(INDEX('Detalles movimientos'!D$5:D$1000, MATCH(93, 'Detalles movimientos'!$R$5:$R$1000, 0)), "")</f>
        <v/>
      </c>
      <c r="D102" s="20" t="str">
        <f>IFERROR(INDEX('Detalles movimientos'!E$5:E$1000, MATCH(93, 'Detalles movimientos'!$R$5:$R$1000, 0)), "")</f>
        <v/>
      </c>
      <c r="E102" s="20" t="str">
        <f>IFERROR(INDEX('Detalles movimientos'!F$5:F$1000, MATCH(93, 'Detalles movimientos'!$R$5:$R$1000, 0)), "")</f>
        <v/>
      </c>
      <c r="F102" s="19" t="str">
        <f>IFERROR(INDEX('Detalles movimientos'!G$5:G$1000, MATCH(93, 'Detalles movimientos'!$R$5:$R$1000, 0)), "")</f>
        <v/>
      </c>
      <c r="G102" s="21" t="str">
        <f>IFERROR(INDEX('Detalles movimientos'!H$5:H$1000, MATCH(93, 'Detalles movimientos'!$R$5:$R$1000, 0)), "")</f>
        <v/>
      </c>
      <c r="H102" s="22" t="str">
        <f>IFERROR(INDEX('Detalles movimientos'!I$5:I$1000, MATCH(93, 'Detalles movimientos'!$R$5:$R$1000, 0)), "")</f>
        <v/>
      </c>
      <c r="I102" s="21" t="str">
        <f>IFERROR(INDEX('Detalles movimientos'!J$5:J$1000, MATCH(93, 'Detalles movimientos'!$R$5:$R$1000, 0)), "")</f>
        <v/>
      </c>
      <c r="J102" s="20" t="str">
        <f>IFERROR(INDEX('Detalles movimientos'!K$5:K$1000, MATCH(93, 'Detalles movimientos'!$R$5:$R$1000, 0)), "")</f>
        <v/>
      </c>
      <c r="K102" s="21" t="str">
        <f>IFERROR(INDEX('Detalles movimientos'!L$5:L$1000, MATCH(93, 'Detalles movimientos'!$R$5:$R$1000, 0)), "")</f>
        <v/>
      </c>
      <c r="L102" s="19" t="str">
        <f>IFERROR(INDEX('Detalles movimientos'!M$5:M$1000, MATCH(93, 'Detalles movimientos'!$R$5:$R$1000, 0)), "")</f>
        <v/>
      </c>
      <c r="M102" s="19" t="str">
        <f>IFERROR(INDEX('Detalles movimientos'!P$5:P$1000, MATCH(93, 'Detalles movimientos'!$R$5:$R$1000, 0)), "")</f>
        <v/>
      </c>
    </row>
    <row r="103" spans="2:13" x14ac:dyDescent="0.2">
      <c r="B103" s="18" t="str">
        <f>IFERROR(INDEX('Detalles movimientos'!C$5:C$1000, MATCH(94, 'Detalles movimientos'!$R$5:$R$1000, 0)), "")</f>
        <v/>
      </c>
      <c r="C103" s="19" t="str">
        <f>IFERROR(INDEX('Detalles movimientos'!D$5:D$1000, MATCH(94, 'Detalles movimientos'!$R$5:$R$1000, 0)), "")</f>
        <v/>
      </c>
      <c r="D103" s="20" t="str">
        <f>IFERROR(INDEX('Detalles movimientos'!E$5:E$1000, MATCH(94, 'Detalles movimientos'!$R$5:$R$1000, 0)), "")</f>
        <v/>
      </c>
      <c r="E103" s="20" t="str">
        <f>IFERROR(INDEX('Detalles movimientos'!F$5:F$1000, MATCH(94, 'Detalles movimientos'!$R$5:$R$1000, 0)), "")</f>
        <v/>
      </c>
      <c r="F103" s="19" t="str">
        <f>IFERROR(INDEX('Detalles movimientos'!G$5:G$1000, MATCH(94, 'Detalles movimientos'!$R$5:$R$1000, 0)), "")</f>
        <v/>
      </c>
      <c r="G103" s="21" t="str">
        <f>IFERROR(INDEX('Detalles movimientos'!H$5:H$1000, MATCH(94, 'Detalles movimientos'!$R$5:$R$1000, 0)), "")</f>
        <v/>
      </c>
      <c r="H103" s="22" t="str">
        <f>IFERROR(INDEX('Detalles movimientos'!I$5:I$1000, MATCH(94, 'Detalles movimientos'!$R$5:$R$1000, 0)), "")</f>
        <v/>
      </c>
      <c r="I103" s="21" t="str">
        <f>IFERROR(INDEX('Detalles movimientos'!J$5:J$1000, MATCH(94, 'Detalles movimientos'!$R$5:$R$1000, 0)), "")</f>
        <v/>
      </c>
      <c r="J103" s="20" t="str">
        <f>IFERROR(INDEX('Detalles movimientos'!K$5:K$1000, MATCH(94, 'Detalles movimientos'!$R$5:$R$1000, 0)), "")</f>
        <v/>
      </c>
      <c r="K103" s="21" t="str">
        <f>IFERROR(INDEX('Detalles movimientos'!L$5:L$1000, MATCH(94, 'Detalles movimientos'!$R$5:$R$1000, 0)), "")</f>
        <v/>
      </c>
      <c r="L103" s="19" t="str">
        <f>IFERROR(INDEX('Detalles movimientos'!M$5:M$1000, MATCH(94, 'Detalles movimientos'!$R$5:$R$1000, 0)), "")</f>
        <v/>
      </c>
      <c r="M103" s="19" t="str">
        <f>IFERROR(INDEX('Detalles movimientos'!P$5:P$1000, MATCH(94, 'Detalles movimientos'!$R$5:$R$1000, 0)), "")</f>
        <v/>
      </c>
    </row>
    <row r="104" spans="2:13" x14ac:dyDescent="0.2">
      <c r="B104" s="18" t="str">
        <f>IFERROR(INDEX('Detalles movimientos'!C$5:C$1000, MATCH(95, 'Detalles movimientos'!$R$5:$R$1000, 0)), "")</f>
        <v/>
      </c>
      <c r="C104" s="19" t="str">
        <f>IFERROR(INDEX('Detalles movimientos'!D$5:D$1000, MATCH(95, 'Detalles movimientos'!$R$5:$R$1000, 0)), "")</f>
        <v/>
      </c>
      <c r="D104" s="20" t="str">
        <f>IFERROR(INDEX('Detalles movimientos'!E$5:E$1000, MATCH(95, 'Detalles movimientos'!$R$5:$R$1000, 0)), "")</f>
        <v/>
      </c>
      <c r="E104" s="20" t="str">
        <f>IFERROR(INDEX('Detalles movimientos'!F$5:F$1000, MATCH(95, 'Detalles movimientos'!$R$5:$R$1000, 0)), "")</f>
        <v/>
      </c>
      <c r="F104" s="19" t="str">
        <f>IFERROR(INDEX('Detalles movimientos'!G$5:G$1000, MATCH(95, 'Detalles movimientos'!$R$5:$R$1000, 0)), "")</f>
        <v/>
      </c>
      <c r="G104" s="21" t="str">
        <f>IFERROR(INDEX('Detalles movimientos'!H$5:H$1000, MATCH(95, 'Detalles movimientos'!$R$5:$R$1000, 0)), "")</f>
        <v/>
      </c>
      <c r="H104" s="22" t="str">
        <f>IFERROR(INDEX('Detalles movimientos'!I$5:I$1000, MATCH(95, 'Detalles movimientos'!$R$5:$R$1000, 0)), "")</f>
        <v/>
      </c>
      <c r="I104" s="21" t="str">
        <f>IFERROR(INDEX('Detalles movimientos'!J$5:J$1000, MATCH(95, 'Detalles movimientos'!$R$5:$R$1000, 0)), "")</f>
        <v/>
      </c>
      <c r="J104" s="20" t="str">
        <f>IFERROR(INDEX('Detalles movimientos'!K$5:K$1000, MATCH(95, 'Detalles movimientos'!$R$5:$R$1000, 0)), "")</f>
        <v/>
      </c>
      <c r="K104" s="21" t="str">
        <f>IFERROR(INDEX('Detalles movimientos'!L$5:L$1000, MATCH(95, 'Detalles movimientos'!$R$5:$R$1000, 0)), "")</f>
        <v/>
      </c>
      <c r="L104" s="19" t="str">
        <f>IFERROR(INDEX('Detalles movimientos'!M$5:M$1000, MATCH(95, 'Detalles movimientos'!$R$5:$R$1000, 0)), "")</f>
        <v/>
      </c>
      <c r="M104" s="19" t="str">
        <f>IFERROR(INDEX('Detalles movimientos'!P$5:P$1000, MATCH(95, 'Detalles movimientos'!$R$5:$R$1000, 0)), "")</f>
        <v/>
      </c>
    </row>
    <row r="105" spans="2:13" x14ac:dyDescent="0.2">
      <c r="B105" s="18" t="str">
        <f>IFERROR(INDEX('Detalles movimientos'!C$5:C$1000, MATCH(96, 'Detalles movimientos'!$R$5:$R$1000, 0)), "")</f>
        <v/>
      </c>
      <c r="C105" s="19" t="str">
        <f>IFERROR(INDEX('Detalles movimientos'!D$5:D$1000, MATCH(96, 'Detalles movimientos'!$R$5:$R$1000, 0)), "")</f>
        <v/>
      </c>
      <c r="D105" s="20" t="str">
        <f>IFERROR(INDEX('Detalles movimientos'!E$5:E$1000, MATCH(96, 'Detalles movimientos'!$R$5:$R$1000, 0)), "")</f>
        <v/>
      </c>
      <c r="E105" s="20" t="str">
        <f>IFERROR(INDEX('Detalles movimientos'!F$5:F$1000, MATCH(96, 'Detalles movimientos'!$R$5:$R$1000, 0)), "")</f>
        <v/>
      </c>
      <c r="F105" s="19" t="str">
        <f>IFERROR(INDEX('Detalles movimientos'!G$5:G$1000, MATCH(96, 'Detalles movimientos'!$R$5:$R$1000, 0)), "")</f>
        <v/>
      </c>
      <c r="G105" s="21" t="str">
        <f>IFERROR(INDEX('Detalles movimientos'!H$5:H$1000, MATCH(96, 'Detalles movimientos'!$R$5:$R$1000, 0)), "")</f>
        <v/>
      </c>
      <c r="H105" s="22" t="str">
        <f>IFERROR(INDEX('Detalles movimientos'!I$5:I$1000, MATCH(96, 'Detalles movimientos'!$R$5:$R$1000, 0)), "")</f>
        <v/>
      </c>
      <c r="I105" s="21" t="str">
        <f>IFERROR(INDEX('Detalles movimientos'!J$5:J$1000, MATCH(96, 'Detalles movimientos'!$R$5:$R$1000, 0)), "")</f>
        <v/>
      </c>
      <c r="J105" s="20" t="str">
        <f>IFERROR(INDEX('Detalles movimientos'!K$5:K$1000, MATCH(96, 'Detalles movimientos'!$R$5:$R$1000, 0)), "")</f>
        <v/>
      </c>
      <c r="K105" s="21" t="str">
        <f>IFERROR(INDEX('Detalles movimientos'!L$5:L$1000, MATCH(96, 'Detalles movimientos'!$R$5:$R$1000, 0)), "")</f>
        <v/>
      </c>
      <c r="L105" s="19" t="str">
        <f>IFERROR(INDEX('Detalles movimientos'!M$5:M$1000, MATCH(96, 'Detalles movimientos'!$R$5:$R$1000, 0)), "")</f>
        <v/>
      </c>
      <c r="M105" s="19" t="str">
        <f>IFERROR(INDEX('Detalles movimientos'!P$5:P$1000, MATCH(96, 'Detalles movimientos'!$R$5:$R$1000, 0)), "")</f>
        <v/>
      </c>
    </row>
    <row r="106" spans="2:13" x14ac:dyDescent="0.2">
      <c r="B106" s="18" t="str">
        <f>IFERROR(INDEX('Detalles movimientos'!C$5:C$1000, MATCH(97, 'Detalles movimientos'!$R$5:$R$1000, 0)), "")</f>
        <v/>
      </c>
      <c r="C106" s="19" t="str">
        <f>IFERROR(INDEX('Detalles movimientos'!D$5:D$1000, MATCH(97, 'Detalles movimientos'!$R$5:$R$1000, 0)), "")</f>
        <v/>
      </c>
      <c r="D106" s="20" t="str">
        <f>IFERROR(INDEX('Detalles movimientos'!E$5:E$1000, MATCH(97, 'Detalles movimientos'!$R$5:$R$1000, 0)), "")</f>
        <v/>
      </c>
      <c r="E106" s="20" t="str">
        <f>IFERROR(INDEX('Detalles movimientos'!F$5:F$1000, MATCH(97, 'Detalles movimientos'!$R$5:$R$1000, 0)), "")</f>
        <v/>
      </c>
      <c r="F106" s="19" t="str">
        <f>IFERROR(INDEX('Detalles movimientos'!G$5:G$1000, MATCH(97, 'Detalles movimientos'!$R$5:$R$1000, 0)), "")</f>
        <v/>
      </c>
      <c r="G106" s="21" t="str">
        <f>IFERROR(INDEX('Detalles movimientos'!H$5:H$1000, MATCH(97, 'Detalles movimientos'!$R$5:$R$1000, 0)), "")</f>
        <v/>
      </c>
      <c r="H106" s="22" t="str">
        <f>IFERROR(INDEX('Detalles movimientos'!I$5:I$1000, MATCH(97, 'Detalles movimientos'!$R$5:$R$1000, 0)), "")</f>
        <v/>
      </c>
      <c r="I106" s="21" t="str">
        <f>IFERROR(INDEX('Detalles movimientos'!J$5:J$1000, MATCH(97, 'Detalles movimientos'!$R$5:$R$1000, 0)), "")</f>
        <v/>
      </c>
      <c r="J106" s="20" t="str">
        <f>IFERROR(INDEX('Detalles movimientos'!K$5:K$1000, MATCH(97, 'Detalles movimientos'!$R$5:$R$1000, 0)), "")</f>
        <v/>
      </c>
      <c r="K106" s="21" t="str">
        <f>IFERROR(INDEX('Detalles movimientos'!L$5:L$1000, MATCH(97, 'Detalles movimientos'!$R$5:$R$1000, 0)), "")</f>
        <v/>
      </c>
      <c r="L106" s="19" t="str">
        <f>IFERROR(INDEX('Detalles movimientos'!M$5:M$1000, MATCH(97, 'Detalles movimientos'!$R$5:$R$1000, 0)), "")</f>
        <v/>
      </c>
      <c r="M106" s="19" t="str">
        <f>IFERROR(INDEX('Detalles movimientos'!P$5:P$1000, MATCH(97, 'Detalles movimientos'!$R$5:$R$1000, 0)), "")</f>
        <v/>
      </c>
    </row>
    <row r="107" spans="2:13" x14ac:dyDescent="0.2">
      <c r="B107" s="18" t="str">
        <f>IFERROR(INDEX('Detalles movimientos'!C$5:C$1000, MATCH(98, 'Detalles movimientos'!$R$5:$R$1000, 0)), "")</f>
        <v/>
      </c>
      <c r="C107" s="19" t="str">
        <f>IFERROR(INDEX('Detalles movimientos'!D$5:D$1000, MATCH(98, 'Detalles movimientos'!$R$5:$R$1000, 0)), "")</f>
        <v/>
      </c>
      <c r="D107" s="20" t="str">
        <f>IFERROR(INDEX('Detalles movimientos'!E$5:E$1000, MATCH(98, 'Detalles movimientos'!$R$5:$R$1000, 0)), "")</f>
        <v/>
      </c>
      <c r="E107" s="20" t="str">
        <f>IFERROR(INDEX('Detalles movimientos'!F$5:F$1000, MATCH(98, 'Detalles movimientos'!$R$5:$R$1000, 0)), "")</f>
        <v/>
      </c>
      <c r="F107" s="19" t="str">
        <f>IFERROR(INDEX('Detalles movimientos'!G$5:G$1000, MATCH(98, 'Detalles movimientos'!$R$5:$R$1000, 0)), "")</f>
        <v/>
      </c>
      <c r="G107" s="21" t="str">
        <f>IFERROR(INDEX('Detalles movimientos'!H$5:H$1000, MATCH(98, 'Detalles movimientos'!$R$5:$R$1000, 0)), "")</f>
        <v/>
      </c>
      <c r="H107" s="22" t="str">
        <f>IFERROR(INDEX('Detalles movimientos'!I$5:I$1000, MATCH(98, 'Detalles movimientos'!$R$5:$R$1000, 0)), "")</f>
        <v/>
      </c>
      <c r="I107" s="21" t="str">
        <f>IFERROR(INDEX('Detalles movimientos'!J$5:J$1000, MATCH(98, 'Detalles movimientos'!$R$5:$R$1000, 0)), "")</f>
        <v/>
      </c>
      <c r="J107" s="20" t="str">
        <f>IFERROR(INDEX('Detalles movimientos'!K$5:K$1000, MATCH(98, 'Detalles movimientos'!$R$5:$R$1000, 0)), "")</f>
        <v/>
      </c>
      <c r="K107" s="21" t="str">
        <f>IFERROR(INDEX('Detalles movimientos'!L$5:L$1000, MATCH(98, 'Detalles movimientos'!$R$5:$R$1000, 0)), "")</f>
        <v/>
      </c>
      <c r="L107" s="19" t="str">
        <f>IFERROR(INDEX('Detalles movimientos'!M$5:M$1000, MATCH(98, 'Detalles movimientos'!$R$5:$R$1000, 0)), "")</f>
        <v/>
      </c>
      <c r="M107" s="19" t="str">
        <f>IFERROR(INDEX('Detalles movimientos'!P$5:P$1000, MATCH(98, 'Detalles movimientos'!$R$5:$R$1000, 0)), "")</f>
        <v/>
      </c>
    </row>
    <row r="108" spans="2:13" x14ac:dyDescent="0.2">
      <c r="B108" s="18" t="str">
        <f>IFERROR(INDEX('Detalles movimientos'!C$5:C$1000, MATCH(99, 'Detalles movimientos'!$R$5:$R$1000, 0)), "")</f>
        <v/>
      </c>
      <c r="C108" s="19" t="str">
        <f>IFERROR(INDEX('Detalles movimientos'!D$5:D$1000, MATCH(99, 'Detalles movimientos'!$R$5:$R$1000, 0)), "")</f>
        <v/>
      </c>
      <c r="D108" s="20" t="str">
        <f>IFERROR(INDEX('Detalles movimientos'!E$5:E$1000, MATCH(99, 'Detalles movimientos'!$R$5:$R$1000, 0)), "")</f>
        <v/>
      </c>
      <c r="E108" s="20" t="str">
        <f>IFERROR(INDEX('Detalles movimientos'!F$5:F$1000, MATCH(99, 'Detalles movimientos'!$R$5:$R$1000, 0)), "")</f>
        <v/>
      </c>
      <c r="F108" s="19" t="str">
        <f>IFERROR(INDEX('Detalles movimientos'!G$5:G$1000, MATCH(99, 'Detalles movimientos'!$R$5:$R$1000, 0)), "")</f>
        <v/>
      </c>
      <c r="G108" s="21" t="str">
        <f>IFERROR(INDEX('Detalles movimientos'!H$5:H$1000, MATCH(99, 'Detalles movimientos'!$R$5:$R$1000, 0)), "")</f>
        <v/>
      </c>
      <c r="H108" s="22" t="str">
        <f>IFERROR(INDEX('Detalles movimientos'!I$5:I$1000, MATCH(99, 'Detalles movimientos'!$R$5:$R$1000, 0)), "")</f>
        <v/>
      </c>
      <c r="I108" s="21" t="str">
        <f>IFERROR(INDEX('Detalles movimientos'!J$5:J$1000, MATCH(99, 'Detalles movimientos'!$R$5:$R$1000, 0)), "")</f>
        <v/>
      </c>
      <c r="J108" s="20" t="str">
        <f>IFERROR(INDEX('Detalles movimientos'!K$5:K$1000, MATCH(99, 'Detalles movimientos'!$R$5:$R$1000, 0)), "")</f>
        <v/>
      </c>
      <c r="K108" s="21" t="str">
        <f>IFERROR(INDEX('Detalles movimientos'!L$5:L$1000, MATCH(99, 'Detalles movimientos'!$R$5:$R$1000, 0)), "")</f>
        <v/>
      </c>
      <c r="L108" s="19" t="str">
        <f>IFERROR(INDEX('Detalles movimientos'!M$5:M$1000, MATCH(99, 'Detalles movimientos'!$R$5:$R$1000, 0)), "")</f>
        <v/>
      </c>
      <c r="M108" s="19" t="str">
        <f>IFERROR(INDEX('Detalles movimientos'!P$5:P$1000, MATCH(99, 'Detalles movimientos'!$R$5:$R$1000, 0)), "")</f>
        <v/>
      </c>
    </row>
    <row r="109" spans="2:13" x14ac:dyDescent="0.2">
      <c r="B109" s="18" t="str">
        <f>IFERROR(INDEX('Detalles movimientos'!C$5:C$1000, MATCH(100, 'Detalles movimientos'!$R$5:$R$1000, 0)), "")</f>
        <v/>
      </c>
      <c r="C109" s="19" t="str">
        <f>IFERROR(INDEX('Detalles movimientos'!D$5:D$1000, MATCH(100, 'Detalles movimientos'!$R$5:$R$1000, 0)), "")</f>
        <v/>
      </c>
      <c r="D109" s="20" t="str">
        <f>IFERROR(INDEX('Detalles movimientos'!E$5:E$1000, MATCH(100, 'Detalles movimientos'!$R$5:$R$1000, 0)), "")</f>
        <v/>
      </c>
      <c r="E109" s="20" t="str">
        <f>IFERROR(INDEX('Detalles movimientos'!F$5:F$1000, MATCH(100, 'Detalles movimientos'!$R$5:$R$1000, 0)), "")</f>
        <v/>
      </c>
      <c r="F109" s="19" t="str">
        <f>IFERROR(INDEX('Detalles movimientos'!G$5:G$1000, MATCH(100, 'Detalles movimientos'!$R$5:$R$1000, 0)), "")</f>
        <v/>
      </c>
      <c r="G109" s="21" t="str">
        <f>IFERROR(INDEX('Detalles movimientos'!H$5:H$1000, MATCH(100, 'Detalles movimientos'!$R$5:$R$1000, 0)), "")</f>
        <v/>
      </c>
      <c r="H109" s="22" t="str">
        <f>IFERROR(INDEX('Detalles movimientos'!I$5:I$1000, MATCH(100, 'Detalles movimientos'!$R$5:$R$1000, 0)), "")</f>
        <v/>
      </c>
      <c r="I109" s="21" t="str">
        <f>IFERROR(INDEX('Detalles movimientos'!J$5:J$1000, MATCH(100, 'Detalles movimientos'!$R$5:$R$1000, 0)), "")</f>
        <v/>
      </c>
      <c r="J109" s="20" t="str">
        <f>IFERROR(INDEX('Detalles movimientos'!K$5:K$1000, MATCH(100, 'Detalles movimientos'!$R$5:$R$1000, 0)), "")</f>
        <v/>
      </c>
      <c r="K109" s="21" t="str">
        <f>IFERROR(INDEX('Detalles movimientos'!L$5:L$1000, MATCH(100, 'Detalles movimientos'!$R$5:$R$1000, 0)), "")</f>
        <v/>
      </c>
      <c r="L109" s="19" t="str">
        <f>IFERROR(INDEX('Detalles movimientos'!M$5:M$1000, MATCH(100, 'Detalles movimientos'!$R$5:$R$1000, 0)), "")</f>
        <v/>
      </c>
      <c r="M109" s="19" t="str">
        <f>IFERROR(INDEX('Detalles movimientos'!P$5:P$1000, MATCH(100, 'Detalles movimientos'!$R$5:$R$1000, 0)), "")</f>
        <v/>
      </c>
    </row>
    <row r="110" spans="2:13" x14ac:dyDescent="0.2">
      <c r="B110" s="18" t="str">
        <f>IFERROR(INDEX('Detalles movimientos'!C$5:C$1000, MATCH(101, 'Detalles movimientos'!$R$5:$R$1000, 0)), "")</f>
        <v/>
      </c>
      <c r="C110" s="19" t="str">
        <f>IFERROR(INDEX('Detalles movimientos'!D$5:D$1000, MATCH(101, 'Detalles movimientos'!$R$5:$R$1000, 0)), "")</f>
        <v/>
      </c>
      <c r="D110" s="20" t="str">
        <f>IFERROR(INDEX('Detalles movimientos'!E$5:E$1000, MATCH(101, 'Detalles movimientos'!$R$5:$R$1000, 0)), "")</f>
        <v/>
      </c>
      <c r="E110" s="20" t="str">
        <f>IFERROR(INDEX('Detalles movimientos'!F$5:F$1000, MATCH(101, 'Detalles movimientos'!$R$5:$R$1000, 0)), "")</f>
        <v/>
      </c>
      <c r="F110" s="19" t="str">
        <f>IFERROR(INDEX('Detalles movimientos'!G$5:G$1000, MATCH(101, 'Detalles movimientos'!$R$5:$R$1000, 0)), "")</f>
        <v/>
      </c>
      <c r="G110" s="21" t="str">
        <f>IFERROR(INDEX('Detalles movimientos'!H$5:H$1000, MATCH(101, 'Detalles movimientos'!$R$5:$R$1000, 0)), "")</f>
        <v/>
      </c>
      <c r="H110" s="22" t="str">
        <f>IFERROR(INDEX('Detalles movimientos'!I$5:I$1000, MATCH(101, 'Detalles movimientos'!$R$5:$R$1000, 0)), "")</f>
        <v/>
      </c>
      <c r="I110" s="21" t="str">
        <f>IFERROR(INDEX('Detalles movimientos'!J$5:J$1000, MATCH(101, 'Detalles movimientos'!$R$5:$R$1000, 0)), "")</f>
        <v/>
      </c>
      <c r="J110" s="20" t="str">
        <f>IFERROR(INDEX('Detalles movimientos'!K$5:K$1000, MATCH(101, 'Detalles movimientos'!$R$5:$R$1000, 0)), "")</f>
        <v/>
      </c>
      <c r="K110" s="21" t="str">
        <f>IFERROR(INDEX('Detalles movimientos'!L$5:L$1000, MATCH(101, 'Detalles movimientos'!$R$5:$R$1000, 0)), "")</f>
        <v/>
      </c>
      <c r="L110" s="19" t="str">
        <f>IFERROR(INDEX('Detalles movimientos'!M$5:M$1000, MATCH(101, 'Detalles movimientos'!$R$5:$R$1000, 0)), "")</f>
        <v/>
      </c>
      <c r="M110" s="19" t="str">
        <f>IFERROR(INDEX('Detalles movimientos'!P$5:P$1000, MATCH(101, 'Detalles movimientos'!$R$5:$R$1000, 0)), "")</f>
        <v/>
      </c>
    </row>
    <row r="111" spans="2:13" x14ac:dyDescent="0.2">
      <c r="B111" s="18" t="str">
        <f>IFERROR(INDEX('Detalles movimientos'!C$5:C$1000, MATCH(102, 'Detalles movimientos'!$R$5:$R$1000, 0)), "")</f>
        <v/>
      </c>
      <c r="C111" s="19" t="str">
        <f>IFERROR(INDEX('Detalles movimientos'!D$5:D$1000, MATCH(102, 'Detalles movimientos'!$R$5:$R$1000, 0)), "")</f>
        <v/>
      </c>
      <c r="D111" s="20" t="str">
        <f>IFERROR(INDEX('Detalles movimientos'!E$5:E$1000, MATCH(102, 'Detalles movimientos'!$R$5:$R$1000, 0)), "")</f>
        <v/>
      </c>
      <c r="E111" s="20" t="str">
        <f>IFERROR(INDEX('Detalles movimientos'!F$5:F$1000, MATCH(102, 'Detalles movimientos'!$R$5:$R$1000, 0)), "")</f>
        <v/>
      </c>
      <c r="F111" s="19" t="str">
        <f>IFERROR(INDEX('Detalles movimientos'!G$5:G$1000, MATCH(102, 'Detalles movimientos'!$R$5:$R$1000, 0)), "")</f>
        <v/>
      </c>
      <c r="G111" s="21" t="str">
        <f>IFERROR(INDEX('Detalles movimientos'!H$5:H$1000, MATCH(102, 'Detalles movimientos'!$R$5:$R$1000, 0)), "")</f>
        <v/>
      </c>
      <c r="H111" s="22" t="str">
        <f>IFERROR(INDEX('Detalles movimientos'!I$5:I$1000, MATCH(102, 'Detalles movimientos'!$R$5:$R$1000, 0)), "")</f>
        <v/>
      </c>
      <c r="I111" s="21" t="str">
        <f>IFERROR(INDEX('Detalles movimientos'!J$5:J$1000, MATCH(102, 'Detalles movimientos'!$R$5:$R$1000, 0)), "")</f>
        <v/>
      </c>
      <c r="J111" s="20" t="str">
        <f>IFERROR(INDEX('Detalles movimientos'!K$5:K$1000, MATCH(102, 'Detalles movimientos'!$R$5:$R$1000, 0)), "")</f>
        <v/>
      </c>
      <c r="K111" s="21" t="str">
        <f>IFERROR(INDEX('Detalles movimientos'!L$5:L$1000, MATCH(102, 'Detalles movimientos'!$R$5:$R$1000, 0)), "")</f>
        <v/>
      </c>
      <c r="L111" s="19" t="str">
        <f>IFERROR(INDEX('Detalles movimientos'!M$5:M$1000, MATCH(102, 'Detalles movimientos'!$R$5:$R$1000, 0)), "")</f>
        <v/>
      </c>
      <c r="M111" s="19" t="str">
        <f>IFERROR(INDEX('Detalles movimientos'!P$5:P$1000, MATCH(102, 'Detalles movimientos'!$R$5:$R$1000, 0)), "")</f>
        <v/>
      </c>
    </row>
    <row r="112" spans="2:13" x14ac:dyDescent="0.2">
      <c r="B112" s="18" t="str">
        <f>IFERROR(INDEX('Detalles movimientos'!C$5:C$1000, MATCH(103, 'Detalles movimientos'!$R$5:$R$1000, 0)), "")</f>
        <v/>
      </c>
      <c r="C112" s="19" t="str">
        <f>IFERROR(INDEX('Detalles movimientos'!D$5:D$1000, MATCH(103, 'Detalles movimientos'!$R$5:$R$1000, 0)), "")</f>
        <v/>
      </c>
      <c r="D112" s="20" t="str">
        <f>IFERROR(INDEX('Detalles movimientos'!E$5:E$1000, MATCH(103, 'Detalles movimientos'!$R$5:$R$1000, 0)), "")</f>
        <v/>
      </c>
      <c r="E112" s="20" t="str">
        <f>IFERROR(INDEX('Detalles movimientos'!F$5:F$1000, MATCH(103, 'Detalles movimientos'!$R$5:$R$1000, 0)), "")</f>
        <v/>
      </c>
      <c r="F112" s="19" t="str">
        <f>IFERROR(INDEX('Detalles movimientos'!G$5:G$1000, MATCH(103, 'Detalles movimientos'!$R$5:$R$1000, 0)), "")</f>
        <v/>
      </c>
      <c r="G112" s="21" t="str">
        <f>IFERROR(INDEX('Detalles movimientos'!H$5:H$1000, MATCH(103, 'Detalles movimientos'!$R$5:$R$1000, 0)), "")</f>
        <v/>
      </c>
      <c r="H112" s="22" t="str">
        <f>IFERROR(INDEX('Detalles movimientos'!I$5:I$1000, MATCH(103, 'Detalles movimientos'!$R$5:$R$1000, 0)), "")</f>
        <v/>
      </c>
      <c r="I112" s="21" t="str">
        <f>IFERROR(INDEX('Detalles movimientos'!J$5:J$1000, MATCH(103, 'Detalles movimientos'!$R$5:$R$1000, 0)), "")</f>
        <v/>
      </c>
      <c r="J112" s="20" t="str">
        <f>IFERROR(INDEX('Detalles movimientos'!K$5:K$1000, MATCH(103, 'Detalles movimientos'!$R$5:$R$1000, 0)), "")</f>
        <v/>
      </c>
      <c r="K112" s="21" t="str">
        <f>IFERROR(INDEX('Detalles movimientos'!L$5:L$1000, MATCH(103, 'Detalles movimientos'!$R$5:$R$1000, 0)), "")</f>
        <v/>
      </c>
      <c r="L112" s="19" t="str">
        <f>IFERROR(INDEX('Detalles movimientos'!M$5:M$1000, MATCH(103, 'Detalles movimientos'!$R$5:$R$1000, 0)), "")</f>
        <v/>
      </c>
      <c r="M112" s="19" t="str">
        <f>IFERROR(INDEX('Detalles movimientos'!P$5:P$1000, MATCH(103, 'Detalles movimientos'!$R$5:$R$1000, 0)), "")</f>
        <v/>
      </c>
    </row>
    <row r="113" spans="2:13" x14ac:dyDescent="0.2">
      <c r="B113" s="18" t="str">
        <f>IFERROR(INDEX('Detalles movimientos'!C$5:C$1000, MATCH(104, 'Detalles movimientos'!$R$5:$R$1000, 0)), "")</f>
        <v/>
      </c>
      <c r="C113" s="19" t="str">
        <f>IFERROR(INDEX('Detalles movimientos'!D$5:D$1000, MATCH(104, 'Detalles movimientos'!$R$5:$R$1000, 0)), "")</f>
        <v/>
      </c>
      <c r="D113" s="20" t="str">
        <f>IFERROR(INDEX('Detalles movimientos'!E$5:E$1000, MATCH(104, 'Detalles movimientos'!$R$5:$R$1000, 0)), "")</f>
        <v/>
      </c>
      <c r="E113" s="20" t="str">
        <f>IFERROR(INDEX('Detalles movimientos'!F$5:F$1000, MATCH(104, 'Detalles movimientos'!$R$5:$R$1000, 0)), "")</f>
        <v/>
      </c>
      <c r="F113" s="19" t="str">
        <f>IFERROR(INDEX('Detalles movimientos'!G$5:G$1000, MATCH(104, 'Detalles movimientos'!$R$5:$R$1000, 0)), "")</f>
        <v/>
      </c>
      <c r="G113" s="21" t="str">
        <f>IFERROR(INDEX('Detalles movimientos'!H$5:H$1000, MATCH(104, 'Detalles movimientos'!$R$5:$R$1000, 0)), "")</f>
        <v/>
      </c>
      <c r="H113" s="22" t="str">
        <f>IFERROR(INDEX('Detalles movimientos'!I$5:I$1000, MATCH(104, 'Detalles movimientos'!$R$5:$R$1000, 0)), "")</f>
        <v/>
      </c>
      <c r="I113" s="21" t="str">
        <f>IFERROR(INDEX('Detalles movimientos'!J$5:J$1000, MATCH(104, 'Detalles movimientos'!$R$5:$R$1000, 0)), "")</f>
        <v/>
      </c>
      <c r="J113" s="20" t="str">
        <f>IFERROR(INDEX('Detalles movimientos'!K$5:K$1000, MATCH(104, 'Detalles movimientos'!$R$5:$R$1000, 0)), "")</f>
        <v/>
      </c>
      <c r="K113" s="21" t="str">
        <f>IFERROR(INDEX('Detalles movimientos'!L$5:L$1000, MATCH(104, 'Detalles movimientos'!$R$5:$R$1000, 0)), "")</f>
        <v/>
      </c>
      <c r="L113" s="19" t="str">
        <f>IFERROR(INDEX('Detalles movimientos'!M$5:M$1000, MATCH(104, 'Detalles movimientos'!$R$5:$R$1000, 0)), "")</f>
        <v/>
      </c>
      <c r="M113" s="19" t="str">
        <f>IFERROR(INDEX('Detalles movimientos'!P$5:P$1000, MATCH(104, 'Detalles movimientos'!$R$5:$R$1000, 0)), "")</f>
        <v/>
      </c>
    </row>
    <row r="114" spans="2:13" x14ac:dyDescent="0.2">
      <c r="B114" s="18" t="str">
        <f>IFERROR(INDEX('Detalles movimientos'!C$5:C$1000, MATCH(105, 'Detalles movimientos'!$R$5:$R$1000, 0)), "")</f>
        <v/>
      </c>
      <c r="C114" s="19" t="str">
        <f>IFERROR(INDEX('Detalles movimientos'!D$5:D$1000, MATCH(105, 'Detalles movimientos'!$R$5:$R$1000, 0)), "")</f>
        <v/>
      </c>
      <c r="D114" s="20" t="str">
        <f>IFERROR(INDEX('Detalles movimientos'!E$5:E$1000, MATCH(105, 'Detalles movimientos'!$R$5:$R$1000, 0)), "")</f>
        <v/>
      </c>
      <c r="E114" s="20" t="str">
        <f>IFERROR(INDEX('Detalles movimientos'!F$5:F$1000, MATCH(105, 'Detalles movimientos'!$R$5:$R$1000, 0)), "")</f>
        <v/>
      </c>
      <c r="F114" s="19" t="str">
        <f>IFERROR(INDEX('Detalles movimientos'!G$5:G$1000, MATCH(105, 'Detalles movimientos'!$R$5:$R$1000, 0)), "")</f>
        <v/>
      </c>
      <c r="G114" s="21" t="str">
        <f>IFERROR(INDEX('Detalles movimientos'!H$5:H$1000, MATCH(105, 'Detalles movimientos'!$R$5:$R$1000, 0)), "")</f>
        <v/>
      </c>
      <c r="H114" s="22" t="str">
        <f>IFERROR(INDEX('Detalles movimientos'!I$5:I$1000, MATCH(105, 'Detalles movimientos'!$R$5:$R$1000, 0)), "")</f>
        <v/>
      </c>
      <c r="I114" s="21" t="str">
        <f>IFERROR(INDEX('Detalles movimientos'!J$5:J$1000, MATCH(105, 'Detalles movimientos'!$R$5:$R$1000, 0)), "")</f>
        <v/>
      </c>
      <c r="J114" s="20" t="str">
        <f>IFERROR(INDEX('Detalles movimientos'!K$5:K$1000, MATCH(105, 'Detalles movimientos'!$R$5:$R$1000, 0)), "")</f>
        <v/>
      </c>
      <c r="K114" s="21" t="str">
        <f>IFERROR(INDEX('Detalles movimientos'!L$5:L$1000, MATCH(105, 'Detalles movimientos'!$R$5:$R$1000, 0)), "")</f>
        <v/>
      </c>
      <c r="L114" s="19" t="str">
        <f>IFERROR(INDEX('Detalles movimientos'!M$5:M$1000, MATCH(105, 'Detalles movimientos'!$R$5:$R$1000, 0)), "")</f>
        <v/>
      </c>
      <c r="M114" s="19" t="str">
        <f>IFERROR(INDEX('Detalles movimientos'!P$5:P$1000, MATCH(105, 'Detalles movimientos'!$R$5:$R$1000, 0)), "")</f>
        <v/>
      </c>
    </row>
    <row r="115" spans="2:13" x14ac:dyDescent="0.2">
      <c r="B115" s="18" t="str">
        <f>IFERROR(INDEX('Detalles movimientos'!C$5:C$1000, MATCH(106, 'Detalles movimientos'!$R$5:$R$1000, 0)), "")</f>
        <v/>
      </c>
      <c r="C115" s="19" t="str">
        <f>IFERROR(INDEX('Detalles movimientos'!D$5:D$1000, MATCH(106, 'Detalles movimientos'!$R$5:$R$1000, 0)), "")</f>
        <v/>
      </c>
      <c r="D115" s="20" t="str">
        <f>IFERROR(INDEX('Detalles movimientos'!E$5:E$1000, MATCH(106, 'Detalles movimientos'!$R$5:$R$1000, 0)), "")</f>
        <v/>
      </c>
      <c r="E115" s="20" t="str">
        <f>IFERROR(INDEX('Detalles movimientos'!F$5:F$1000, MATCH(106, 'Detalles movimientos'!$R$5:$R$1000, 0)), "")</f>
        <v/>
      </c>
      <c r="F115" s="19" t="str">
        <f>IFERROR(INDEX('Detalles movimientos'!G$5:G$1000, MATCH(106, 'Detalles movimientos'!$R$5:$R$1000, 0)), "")</f>
        <v/>
      </c>
      <c r="G115" s="21" t="str">
        <f>IFERROR(INDEX('Detalles movimientos'!H$5:H$1000, MATCH(106, 'Detalles movimientos'!$R$5:$R$1000, 0)), "")</f>
        <v/>
      </c>
      <c r="H115" s="22" t="str">
        <f>IFERROR(INDEX('Detalles movimientos'!I$5:I$1000, MATCH(106, 'Detalles movimientos'!$R$5:$R$1000, 0)), "")</f>
        <v/>
      </c>
      <c r="I115" s="21" t="str">
        <f>IFERROR(INDEX('Detalles movimientos'!J$5:J$1000, MATCH(106, 'Detalles movimientos'!$R$5:$R$1000, 0)), "")</f>
        <v/>
      </c>
      <c r="J115" s="20" t="str">
        <f>IFERROR(INDEX('Detalles movimientos'!K$5:K$1000, MATCH(106, 'Detalles movimientos'!$R$5:$R$1000, 0)), "")</f>
        <v/>
      </c>
      <c r="K115" s="21" t="str">
        <f>IFERROR(INDEX('Detalles movimientos'!L$5:L$1000, MATCH(106, 'Detalles movimientos'!$R$5:$R$1000, 0)), "")</f>
        <v/>
      </c>
      <c r="L115" s="19" t="str">
        <f>IFERROR(INDEX('Detalles movimientos'!M$5:M$1000, MATCH(106, 'Detalles movimientos'!$R$5:$R$1000, 0)), "")</f>
        <v/>
      </c>
      <c r="M115" s="19" t="str">
        <f>IFERROR(INDEX('Detalles movimientos'!P$5:P$1000, MATCH(106, 'Detalles movimientos'!$R$5:$R$1000, 0)), "")</f>
        <v/>
      </c>
    </row>
    <row r="116" spans="2:13" x14ac:dyDescent="0.2">
      <c r="B116" s="18" t="str">
        <f>IFERROR(INDEX('Detalles movimientos'!C$5:C$1000, MATCH(107, 'Detalles movimientos'!$R$5:$R$1000, 0)), "")</f>
        <v/>
      </c>
      <c r="C116" s="19" t="str">
        <f>IFERROR(INDEX('Detalles movimientos'!D$5:D$1000, MATCH(107, 'Detalles movimientos'!$R$5:$R$1000, 0)), "")</f>
        <v/>
      </c>
      <c r="D116" s="20" t="str">
        <f>IFERROR(INDEX('Detalles movimientos'!E$5:E$1000, MATCH(107, 'Detalles movimientos'!$R$5:$R$1000, 0)), "")</f>
        <v/>
      </c>
      <c r="E116" s="20" t="str">
        <f>IFERROR(INDEX('Detalles movimientos'!F$5:F$1000, MATCH(107, 'Detalles movimientos'!$R$5:$R$1000, 0)), "")</f>
        <v/>
      </c>
      <c r="F116" s="19" t="str">
        <f>IFERROR(INDEX('Detalles movimientos'!G$5:G$1000, MATCH(107, 'Detalles movimientos'!$R$5:$R$1000, 0)), "")</f>
        <v/>
      </c>
      <c r="G116" s="21" t="str">
        <f>IFERROR(INDEX('Detalles movimientos'!H$5:H$1000, MATCH(107, 'Detalles movimientos'!$R$5:$R$1000, 0)), "")</f>
        <v/>
      </c>
      <c r="H116" s="22" t="str">
        <f>IFERROR(INDEX('Detalles movimientos'!I$5:I$1000, MATCH(107, 'Detalles movimientos'!$R$5:$R$1000, 0)), "")</f>
        <v/>
      </c>
      <c r="I116" s="21" t="str">
        <f>IFERROR(INDEX('Detalles movimientos'!J$5:J$1000, MATCH(107, 'Detalles movimientos'!$R$5:$R$1000, 0)), "")</f>
        <v/>
      </c>
      <c r="J116" s="20" t="str">
        <f>IFERROR(INDEX('Detalles movimientos'!K$5:K$1000, MATCH(107, 'Detalles movimientos'!$R$5:$R$1000, 0)), "")</f>
        <v/>
      </c>
      <c r="K116" s="21" t="str">
        <f>IFERROR(INDEX('Detalles movimientos'!L$5:L$1000, MATCH(107, 'Detalles movimientos'!$R$5:$R$1000, 0)), "")</f>
        <v/>
      </c>
      <c r="L116" s="19" t="str">
        <f>IFERROR(INDEX('Detalles movimientos'!M$5:M$1000, MATCH(107, 'Detalles movimientos'!$R$5:$R$1000, 0)), "")</f>
        <v/>
      </c>
      <c r="M116" s="19" t="str">
        <f>IFERROR(INDEX('Detalles movimientos'!P$5:P$1000, MATCH(107, 'Detalles movimientos'!$R$5:$R$1000, 0)), "")</f>
        <v/>
      </c>
    </row>
    <row r="117" spans="2:13" x14ac:dyDescent="0.2">
      <c r="B117" s="18" t="str">
        <f>IFERROR(INDEX('Detalles movimientos'!C$5:C$1000, MATCH(108, 'Detalles movimientos'!$R$5:$R$1000, 0)), "")</f>
        <v/>
      </c>
      <c r="C117" s="19" t="str">
        <f>IFERROR(INDEX('Detalles movimientos'!D$5:D$1000, MATCH(108, 'Detalles movimientos'!$R$5:$R$1000, 0)), "")</f>
        <v/>
      </c>
      <c r="D117" s="20" t="str">
        <f>IFERROR(INDEX('Detalles movimientos'!E$5:E$1000, MATCH(108, 'Detalles movimientos'!$R$5:$R$1000, 0)), "")</f>
        <v/>
      </c>
      <c r="E117" s="20" t="str">
        <f>IFERROR(INDEX('Detalles movimientos'!F$5:F$1000, MATCH(108, 'Detalles movimientos'!$R$5:$R$1000, 0)), "")</f>
        <v/>
      </c>
      <c r="F117" s="19" t="str">
        <f>IFERROR(INDEX('Detalles movimientos'!G$5:G$1000, MATCH(108, 'Detalles movimientos'!$R$5:$R$1000, 0)), "")</f>
        <v/>
      </c>
      <c r="G117" s="21" t="str">
        <f>IFERROR(INDEX('Detalles movimientos'!H$5:H$1000, MATCH(108, 'Detalles movimientos'!$R$5:$R$1000, 0)), "")</f>
        <v/>
      </c>
      <c r="H117" s="22" t="str">
        <f>IFERROR(INDEX('Detalles movimientos'!I$5:I$1000, MATCH(108, 'Detalles movimientos'!$R$5:$R$1000, 0)), "")</f>
        <v/>
      </c>
      <c r="I117" s="21" t="str">
        <f>IFERROR(INDEX('Detalles movimientos'!J$5:J$1000, MATCH(108, 'Detalles movimientos'!$R$5:$R$1000, 0)), "")</f>
        <v/>
      </c>
      <c r="J117" s="20" t="str">
        <f>IFERROR(INDEX('Detalles movimientos'!K$5:K$1000, MATCH(108, 'Detalles movimientos'!$R$5:$R$1000, 0)), "")</f>
        <v/>
      </c>
      <c r="K117" s="21" t="str">
        <f>IFERROR(INDEX('Detalles movimientos'!L$5:L$1000, MATCH(108, 'Detalles movimientos'!$R$5:$R$1000, 0)), "")</f>
        <v/>
      </c>
      <c r="L117" s="19" t="str">
        <f>IFERROR(INDEX('Detalles movimientos'!M$5:M$1000, MATCH(108, 'Detalles movimientos'!$R$5:$R$1000, 0)), "")</f>
        <v/>
      </c>
      <c r="M117" s="19" t="str">
        <f>IFERROR(INDEX('Detalles movimientos'!P$5:P$1000, MATCH(108, 'Detalles movimientos'!$R$5:$R$1000, 0)), "")</f>
        <v/>
      </c>
    </row>
    <row r="118" spans="2:13" x14ac:dyDescent="0.2">
      <c r="B118" s="18" t="str">
        <f>IFERROR(INDEX('Detalles movimientos'!C$5:C$1000, MATCH(109, 'Detalles movimientos'!$R$5:$R$1000, 0)), "")</f>
        <v/>
      </c>
      <c r="C118" s="19" t="str">
        <f>IFERROR(INDEX('Detalles movimientos'!D$5:D$1000, MATCH(109, 'Detalles movimientos'!$R$5:$R$1000, 0)), "")</f>
        <v/>
      </c>
      <c r="D118" s="20" t="str">
        <f>IFERROR(INDEX('Detalles movimientos'!E$5:E$1000, MATCH(109, 'Detalles movimientos'!$R$5:$R$1000, 0)), "")</f>
        <v/>
      </c>
      <c r="E118" s="20" t="str">
        <f>IFERROR(INDEX('Detalles movimientos'!F$5:F$1000, MATCH(109, 'Detalles movimientos'!$R$5:$R$1000, 0)), "")</f>
        <v/>
      </c>
      <c r="F118" s="19" t="str">
        <f>IFERROR(INDEX('Detalles movimientos'!G$5:G$1000, MATCH(109, 'Detalles movimientos'!$R$5:$R$1000, 0)), "")</f>
        <v/>
      </c>
      <c r="G118" s="21" t="str">
        <f>IFERROR(INDEX('Detalles movimientos'!H$5:H$1000, MATCH(109, 'Detalles movimientos'!$R$5:$R$1000, 0)), "")</f>
        <v/>
      </c>
      <c r="H118" s="22" t="str">
        <f>IFERROR(INDEX('Detalles movimientos'!I$5:I$1000, MATCH(109, 'Detalles movimientos'!$R$5:$R$1000, 0)), "")</f>
        <v/>
      </c>
      <c r="I118" s="21" t="str">
        <f>IFERROR(INDEX('Detalles movimientos'!J$5:J$1000, MATCH(109, 'Detalles movimientos'!$R$5:$R$1000, 0)), "")</f>
        <v/>
      </c>
      <c r="J118" s="20" t="str">
        <f>IFERROR(INDEX('Detalles movimientos'!K$5:K$1000, MATCH(109, 'Detalles movimientos'!$R$5:$R$1000, 0)), "")</f>
        <v/>
      </c>
      <c r="K118" s="21" t="str">
        <f>IFERROR(INDEX('Detalles movimientos'!L$5:L$1000, MATCH(109, 'Detalles movimientos'!$R$5:$R$1000, 0)), "")</f>
        <v/>
      </c>
      <c r="L118" s="19" t="str">
        <f>IFERROR(INDEX('Detalles movimientos'!M$5:M$1000, MATCH(109, 'Detalles movimientos'!$R$5:$R$1000, 0)), "")</f>
        <v/>
      </c>
      <c r="M118" s="19" t="str">
        <f>IFERROR(INDEX('Detalles movimientos'!P$5:P$1000, MATCH(109, 'Detalles movimientos'!$R$5:$R$1000, 0)), "")</f>
        <v/>
      </c>
    </row>
    <row r="119" spans="2:13" x14ac:dyDescent="0.2">
      <c r="B119" s="18" t="str">
        <f>IFERROR(INDEX('Detalles movimientos'!C$5:C$1000, MATCH(110, 'Detalles movimientos'!$R$5:$R$1000, 0)), "")</f>
        <v/>
      </c>
      <c r="C119" s="19" t="str">
        <f>IFERROR(INDEX('Detalles movimientos'!D$5:D$1000, MATCH(110, 'Detalles movimientos'!$R$5:$R$1000, 0)), "")</f>
        <v/>
      </c>
      <c r="D119" s="20" t="str">
        <f>IFERROR(INDEX('Detalles movimientos'!E$5:E$1000, MATCH(110, 'Detalles movimientos'!$R$5:$R$1000, 0)), "")</f>
        <v/>
      </c>
      <c r="E119" s="20" t="str">
        <f>IFERROR(INDEX('Detalles movimientos'!F$5:F$1000, MATCH(110, 'Detalles movimientos'!$R$5:$R$1000, 0)), "")</f>
        <v/>
      </c>
      <c r="F119" s="19" t="str">
        <f>IFERROR(INDEX('Detalles movimientos'!G$5:G$1000, MATCH(110, 'Detalles movimientos'!$R$5:$R$1000, 0)), "")</f>
        <v/>
      </c>
      <c r="G119" s="21" t="str">
        <f>IFERROR(INDEX('Detalles movimientos'!H$5:H$1000, MATCH(110, 'Detalles movimientos'!$R$5:$R$1000, 0)), "")</f>
        <v/>
      </c>
      <c r="H119" s="22" t="str">
        <f>IFERROR(INDEX('Detalles movimientos'!I$5:I$1000, MATCH(110, 'Detalles movimientos'!$R$5:$R$1000, 0)), "")</f>
        <v/>
      </c>
      <c r="I119" s="21" t="str">
        <f>IFERROR(INDEX('Detalles movimientos'!J$5:J$1000, MATCH(110, 'Detalles movimientos'!$R$5:$R$1000, 0)), "")</f>
        <v/>
      </c>
      <c r="J119" s="20" t="str">
        <f>IFERROR(INDEX('Detalles movimientos'!K$5:K$1000, MATCH(110, 'Detalles movimientos'!$R$5:$R$1000, 0)), "")</f>
        <v/>
      </c>
      <c r="K119" s="21" t="str">
        <f>IFERROR(INDEX('Detalles movimientos'!L$5:L$1000, MATCH(110, 'Detalles movimientos'!$R$5:$R$1000, 0)), "")</f>
        <v/>
      </c>
      <c r="L119" s="19" t="str">
        <f>IFERROR(INDEX('Detalles movimientos'!M$5:M$1000, MATCH(110, 'Detalles movimientos'!$R$5:$R$1000, 0)), "")</f>
        <v/>
      </c>
      <c r="M119" s="19" t="str">
        <f>IFERROR(INDEX('Detalles movimientos'!P$5:P$1000, MATCH(110, 'Detalles movimientos'!$R$5:$R$1000, 0)), "")</f>
        <v/>
      </c>
    </row>
    <row r="120" spans="2:13" x14ac:dyDescent="0.2">
      <c r="B120" s="18" t="str">
        <f>IFERROR(INDEX('Detalles movimientos'!C$5:C$1000, MATCH(111, 'Detalles movimientos'!$R$5:$R$1000, 0)), "")</f>
        <v/>
      </c>
      <c r="C120" s="19" t="str">
        <f>IFERROR(INDEX('Detalles movimientos'!D$5:D$1000, MATCH(111, 'Detalles movimientos'!$R$5:$R$1000, 0)), "")</f>
        <v/>
      </c>
      <c r="D120" s="20" t="str">
        <f>IFERROR(INDEX('Detalles movimientos'!E$5:E$1000, MATCH(111, 'Detalles movimientos'!$R$5:$R$1000, 0)), "")</f>
        <v/>
      </c>
      <c r="E120" s="20" t="str">
        <f>IFERROR(INDEX('Detalles movimientos'!F$5:F$1000, MATCH(111, 'Detalles movimientos'!$R$5:$R$1000, 0)), "")</f>
        <v/>
      </c>
      <c r="F120" s="19" t="str">
        <f>IFERROR(INDEX('Detalles movimientos'!G$5:G$1000, MATCH(111, 'Detalles movimientos'!$R$5:$R$1000, 0)), "")</f>
        <v/>
      </c>
      <c r="G120" s="21" t="str">
        <f>IFERROR(INDEX('Detalles movimientos'!H$5:H$1000, MATCH(111, 'Detalles movimientos'!$R$5:$R$1000, 0)), "")</f>
        <v/>
      </c>
      <c r="H120" s="22" t="str">
        <f>IFERROR(INDEX('Detalles movimientos'!I$5:I$1000, MATCH(111, 'Detalles movimientos'!$R$5:$R$1000, 0)), "")</f>
        <v/>
      </c>
      <c r="I120" s="21" t="str">
        <f>IFERROR(INDEX('Detalles movimientos'!J$5:J$1000, MATCH(111, 'Detalles movimientos'!$R$5:$R$1000, 0)), "")</f>
        <v/>
      </c>
      <c r="J120" s="20" t="str">
        <f>IFERROR(INDEX('Detalles movimientos'!K$5:K$1000, MATCH(111, 'Detalles movimientos'!$R$5:$R$1000, 0)), "")</f>
        <v/>
      </c>
      <c r="K120" s="21" t="str">
        <f>IFERROR(INDEX('Detalles movimientos'!L$5:L$1000, MATCH(111, 'Detalles movimientos'!$R$5:$R$1000, 0)), "")</f>
        <v/>
      </c>
      <c r="L120" s="19" t="str">
        <f>IFERROR(INDEX('Detalles movimientos'!M$5:M$1000, MATCH(111, 'Detalles movimientos'!$R$5:$R$1000, 0)), "")</f>
        <v/>
      </c>
      <c r="M120" s="19" t="str">
        <f>IFERROR(INDEX('Detalles movimientos'!P$5:P$1000, MATCH(111, 'Detalles movimientos'!$R$5:$R$1000, 0)), "")</f>
        <v/>
      </c>
    </row>
    <row r="121" spans="2:13" x14ac:dyDescent="0.2">
      <c r="B121" s="18" t="str">
        <f>IFERROR(INDEX('Detalles movimientos'!C$5:C$1000, MATCH(112, 'Detalles movimientos'!$R$5:$R$1000, 0)), "")</f>
        <v/>
      </c>
      <c r="C121" s="19" t="str">
        <f>IFERROR(INDEX('Detalles movimientos'!D$5:D$1000, MATCH(112, 'Detalles movimientos'!$R$5:$R$1000, 0)), "")</f>
        <v/>
      </c>
      <c r="D121" s="20" t="str">
        <f>IFERROR(INDEX('Detalles movimientos'!E$5:E$1000, MATCH(112, 'Detalles movimientos'!$R$5:$R$1000, 0)), "")</f>
        <v/>
      </c>
      <c r="E121" s="20" t="str">
        <f>IFERROR(INDEX('Detalles movimientos'!F$5:F$1000, MATCH(112, 'Detalles movimientos'!$R$5:$R$1000, 0)), "")</f>
        <v/>
      </c>
      <c r="F121" s="19" t="str">
        <f>IFERROR(INDEX('Detalles movimientos'!G$5:G$1000, MATCH(112, 'Detalles movimientos'!$R$5:$R$1000, 0)), "")</f>
        <v/>
      </c>
      <c r="G121" s="21" t="str">
        <f>IFERROR(INDEX('Detalles movimientos'!H$5:H$1000, MATCH(112, 'Detalles movimientos'!$R$5:$R$1000, 0)), "")</f>
        <v/>
      </c>
      <c r="H121" s="22" t="str">
        <f>IFERROR(INDEX('Detalles movimientos'!I$5:I$1000, MATCH(112, 'Detalles movimientos'!$R$5:$R$1000, 0)), "")</f>
        <v/>
      </c>
      <c r="I121" s="21" t="str">
        <f>IFERROR(INDEX('Detalles movimientos'!J$5:J$1000, MATCH(112, 'Detalles movimientos'!$R$5:$R$1000, 0)), "")</f>
        <v/>
      </c>
      <c r="J121" s="20" t="str">
        <f>IFERROR(INDEX('Detalles movimientos'!K$5:K$1000, MATCH(112, 'Detalles movimientos'!$R$5:$R$1000, 0)), "")</f>
        <v/>
      </c>
      <c r="K121" s="21" t="str">
        <f>IFERROR(INDEX('Detalles movimientos'!L$5:L$1000, MATCH(112, 'Detalles movimientos'!$R$5:$R$1000, 0)), "")</f>
        <v/>
      </c>
      <c r="L121" s="19" t="str">
        <f>IFERROR(INDEX('Detalles movimientos'!M$5:M$1000, MATCH(112, 'Detalles movimientos'!$R$5:$R$1000, 0)), "")</f>
        <v/>
      </c>
      <c r="M121" s="19" t="str">
        <f>IFERROR(INDEX('Detalles movimientos'!P$5:P$1000, MATCH(112, 'Detalles movimientos'!$R$5:$R$1000, 0)), "")</f>
        <v/>
      </c>
    </row>
    <row r="122" spans="2:13" x14ac:dyDescent="0.2">
      <c r="B122" s="18" t="str">
        <f>IFERROR(INDEX('Detalles movimientos'!C$5:C$1000, MATCH(113, 'Detalles movimientos'!$R$5:$R$1000, 0)), "")</f>
        <v/>
      </c>
      <c r="C122" s="19" t="str">
        <f>IFERROR(INDEX('Detalles movimientos'!D$5:D$1000, MATCH(113, 'Detalles movimientos'!$R$5:$R$1000, 0)), "")</f>
        <v/>
      </c>
      <c r="D122" s="20" t="str">
        <f>IFERROR(INDEX('Detalles movimientos'!E$5:E$1000, MATCH(113, 'Detalles movimientos'!$R$5:$R$1000, 0)), "")</f>
        <v/>
      </c>
      <c r="E122" s="20" t="str">
        <f>IFERROR(INDEX('Detalles movimientos'!F$5:F$1000, MATCH(113, 'Detalles movimientos'!$R$5:$R$1000, 0)), "")</f>
        <v/>
      </c>
      <c r="F122" s="19" t="str">
        <f>IFERROR(INDEX('Detalles movimientos'!G$5:G$1000, MATCH(113, 'Detalles movimientos'!$R$5:$R$1000, 0)), "")</f>
        <v/>
      </c>
      <c r="G122" s="21" t="str">
        <f>IFERROR(INDEX('Detalles movimientos'!H$5:H$1000, MATCH(113, 'Detalles movimientos'!$R$5:$R$1000, 0)), "")</f>
        <v/>
      </c>
      <c r="H122" s="22" t="str">
        <f>IFERROR(INDEX('Detalles movimientos'!I$5:I$1000, MATCH(113, 'Detalles movimientos'!$R$5:$R$1000, 0)), "")</f>
        <v/>
      </c>
      <c r="I122" s="21" t="str">
        <f>IFERROR(INDEX('Detalles movimientos'!J$5:J$1000, MATCH(113, 'Detalles movimientos'!$R$5:$R$1000, 0)), "")</f>
        <v/>
      </c>
      <c r="J122" s="20" t="str">
        <f>IFERROR(INDEX('Detalles movimientos'!K$5:K$1000, MATCH(113, 'Detalles movimientos'!$R$5:$R$1000, 0)), "")</f>
        <v/>
      </c>
      <c r="K122" s="21" t="str">
        <f>IFERROR(INDEX('Detalles movimientos'!L$5:L$1000, MATCH(113, 'Detalles movimientos'!$R$5:$R$1000, 0)), "")</f>
        <v/>
      </c>
      <c r="L122" s="19" t="str">
        <f>IFERROR(INDEX('Detalles movimientos'!M$5:M$1000, MATCH(113, 'Detalles movimientos'!$R$5:$R$1000, 0)), "")</f>
        <v/>
      </c>
      <c r="M122" s="19" t="str">
        <f>IFERROR(INDEX('Detalles movimientos'!P$5:P$1000, MATCH(113, 'Detalles movimientos'!$R$5:$R$1000, 0)), "")</f>
        <v/>
      </c>
    </row>
    <row r="123" spans="2:13" x14ac:dyDescent="0.2">
      <c r="B123" s="18" t="str">
        <f>IFERROR(INDEX('Detalles movimientos'!C$5:C$1000, MATCH(114, 'Detalles movimientos'!$R$5:$R$1000, 0)), "")</f>
        <v/>
      </c>
      <c r="C123" s="19" t="str">
        <f>IFERROR(INDEX('Detalles movimientos'!D$5:D$1000, MATCH(114, 'Detalles movimientos'!$R$5:$R$1000, 0)), "")</f>
        <v/>
      </c>
      <c r="D123" s="20" t="str">
        <f>IFERROR(INDEX('Detalles movimientos'!E$5:E$1000, MATCH(114, 'Detalles movimientos'!$R$5:$R$1000, 0)), "")</f>
        <v/>
      </c>
      <c r="E123" s="20" t="str">
        <f>IFERROR(INDEX('Detalles movimientos'!F$5:F$1000, MATCH(114, 'Detalles movimientos'!$R$5:$R$1000, 0)), "")</f>
        <v/>
      </c>
      <c r="F123" s="19" t="str">
        <f>IFERROR(INDEX('Detalles movimientos'!G$5:G$1000, MATCH(114, 'Detalles movimientos'!$R$5:$R$1000, 0)), "")</f>
        <v/>
      </c>
      <c r="G123" s="21" t="str">
        <f>IFERROR(INDEX('Detalles movimientos'!H$5:H$1000, MATCH(114, 'Detalles movimientos'!$R$5:$R$1000, 0)), "")</f>
        <v/>
      </c>
      <c r="H123" s="22" t="str">
        <f>IFERROR(INDEX('Detalles movimientos'!I$5:I$1000, MATCH(114, 'Detalles movimientos'!$R$5:$R$1000, 0)), "")</f>
        <v/>
      </c>
      <c r="I123" s="21" t="str">
        <f>IFERROR(INDEX('Detalles movimientos'!J$5:J$1000, MATCH(114, 'Detalles movimientos'!$R$5:$R$1000, 0)), "")</f>
        <v/>
      </c>
      <c r="J123" s="20" t="str">
        <f>IFERROR(INDEX('Detalles movimientos'!K$5:K$1000, MATCH(114, 'Detalles movimientos'!$R$5:$R$1000, 0)), "")</f>
        <v/>
      </c>
      <c r="K123" s="21" t="str">
        <f>IFERROR(INDEX('Detalles movimientos'!L$5:L$1000, MATCH(114, 'Detalles movimientos'!$R$5:$R$1000, 0)), "")</f>
        <v/>
      </c>
      <c r="L123" s="19" t="str">
        <f>IFERROR(INDEX('Detalles movimientos'!M$5:M$1000, MATCH(114, 'Detalles movimientos'!$R$5:$R$1000, 0)), "")</f>
        <v/>
      </c>
      <c r="M123" s="19" t="str">
        <f>IFERROR(INDEX('Detalles movimientos'!P$5:P$1000, MATCH(114, 'Detalles movimientos'!$R$5:$R$1000, 0)), "")</f>
        <v/>
      </c>
    </row>
    <row r="124" spans="2:13" x14ac:dyDescent="0.2">
      <c r="B124" s="18" t="str">
        <f>IFERROR(INDEX('Detalles movimientos'!C$5:C$1000, MATCH(115, 'Detalles movimientos'!$R$5:$R$1000, 0)), "")</f>
        <v/>
      </c>
      <c r="C124" s="19" t="str">
        <f>IFERROR(INDEX('Detalles movimientos'!D$5:D$1000, MATCH(115, 'Detalles movimientos'!$R$5:$R$1000, 0)), "")</f>
        <v/>
      </c>
      <c r="D124" s="20" t="str">
        <f>IFERROR(INDEX('Detalles movimientos'!E$5:E$1000, MATCH(115, 'Detalles movimientos'!$R$5:$R$1000, 0)), "")</f>
        <v/>
      </c>
      <c r="E124" s="20" t="str">
        <f>IFERROR(INDEX('Detalles movimientos'!F$5:F$1000, MATCH(115, 'Detalles movimientos'!$R$5:$R$1000, 0)), "")</f>
        <v/>
      </c>
      <c r="F124" s="19" t="str">
        <f>IFERROR(INDEX('Detalles movimientos'!G$5:G$1000, MATCH(115, 'Detalles movimientos'!$R$5:$R$1000, 0)), "")</f>
        <v/>
      </c>
      <c r="G124" s="21" t="str">
        <f>IFERROR(INDEX('Detalles movimientos'!H$5:H$1000, MATCH(115, 'Detalles movimientos'!$R$5:$R$1000, 0)), "")</f>
        <v/>
      </c>
      <c r="H124" s="22" t="str">
        <f>IFERROR(INDEX('Detalles movimientos'!I$5:I$1000, MATCH(115, 'Detalles movimientos'!$R$5:$R$1000, 0)), "")</f>
        <v/>
      </c>
      <c r="I124" s="21" t="str">
        <f>IFERROR(INDEX('Detalles movimientos'!J$5:J$1000, MATCH(115, 'Detalles movimientos'!$R$5:$R$1000, 0)), "")</f>
        <v/>
      </c>
      <c r="J124" s="20" t="str">
        <f>IFERROR(INDEX('Detalles movimientos'!K$5:K$1000, MATCH(115, 'Detalles movimientos'!$R$5:$R$1000, 0)), "")</f>
        <v/>
      </c>
      <c r="K124" s="21" t="str">
        <f>IFERROR(INDEX('Detalles movimientos'!L$5:L$1000, MATCH(115, 'Detalles movimientos'!$R$5:$R$1000, 0)), "")</f>
        <v/>
      </c>
      <c r="L124" s="19" t="str">
        <f>IFERROR(INDEX('Detalles movimientos'!M$5:M$1000, MATCH(115, 'Detalles movimientos'!$R$5:$R$1000, 0)), "")</f>
        <v/>
      </c>
      <c r="M124" s="19" t="str">
        <f>IFERROR(INDEX('Detalles movimientos'!P$5:P$1000, MATCH(115, 'Detalles movimientos'!$R$5:$R$1000, 0)), "")</f>
        <v/>
      </c>
    </row>
    <row r="125" spans="2:13" x14ac:dyDescent="0.2">
      <c r="B125" s="18" t="str">
        <f>IFERROR(INDEX('Detalles movimientos'!C$5:C$1000, MATCH(116, 'Detalles movimientos'!$R$5:$R$1000, 0)), "")</f>
        <v/>
      </c>
      <c r="C125" s="19" t="str">
        <f>IFERROR(INDEX('Detalles movimientos'!D$5:D$1000, MATCH(116, 'Detalles movimientos'!$R$5:$R$1000, 0)), "")</f>
        <v/>
      </c>
      <c r="D125" s="20" t="str">
        <f>IFERROR(INDEX('Detalles movimientos'!E$5:E$1000, MATCH(116, 'Detalles movimientos'!$R$5:$R$1000, 0)), "")</f>
        <v/>
      </c>
      <c r="E125" s="20" t="str">
        <f>IFERROR(INDEX('Detalles movimientos'!F$5:F$1000, MATCH(116, 'Detalles movimientos'!$R$5:$R$1000, 0)), "")</f>
        <v/>
      </c>
      <c r="F125" s="19" t="str">
        <f>IFERROR(INDEX('Detalles movimientos'!G$5:G$1000, MATCH(116, 'Detalles movimientos'!$R$5:$R$1000, 0)), "")</f>
        <v/>
      </c>
      <c r="G125" s="21" t="str">
        <f>IFERROR(INDEX('Detalles movimientos'!H$5:H$1000, MATCH(116, 'Detalles movimientos'!$R$5:$R$1000, 0)), "")</f>
        <v/>
      </c>
      <c r="H125" s="22" t="str">
        <f>IFERROR(INDEX('Detalles movimientos'!I$5:I$1000, MATCH(116, 'Detalles movimientos'!$R$5:$R$1000, 0)), "")</f>
        <v/>
      </c>
      <c r="I125" s="21" t="str">
        <f>IFERROR(INDEX('Detalles movimientos'!J$5:J$1000, MATCH(116, 'Detalles movimientos'!$R$5:$R$1000, 0)), "")</f>
        <v/>
      </c>
      <c r="J125" s="20" t="str">
        <f>IFERROR(INDEX('Detalles movimientos'!K$5:K$1000, MATCH(116, 'Detalles movimientos'!$R$5:$R$1000, 0)), "")</f>
        <v/>
      </c>
      <c r="K125" s="21" t="str">
        <f>IFERROR(INDEX('Detalles movimientos'!L$5:L$1000, MATCH(116, 'Detalles movimientos'!$R$5:$R$1000, 0)), "")</f>
        <v/>
      </c>
      <c r="L125" s="19" t="str">
        <f>IFERROR(INDEX('Detalles movimientos'!M$5:M$1000, MATCH(116, 'Detalles movimientos'!$R$5:$R$1000, 0)), "")</f>
        <v/>
      </c>
      <c r="M125" s="19" t="str">
        <f>IFERROR(INDEX('Detalles movimientos'!P$5:P$1000, MATCH(116, 'Detalles movimientos'!$R$5:$R$1000, 0)), "")</f>
        <v/>
      </c>
    </row>
    <row r="126" spans="2:13" x14ac:dyDescent="0.2">
      <c r="B126" s="18" t="str">
        <f>IFERROR(INDEX('Detalles movimientos'!C$5:C$1000, MATCH(117, 'Detalles movimientos'!$R$5:$R$1000, 0)), "")</f>
        <v/>
      </c>
      <c r="C126" s="19" t="str">
        <f>IFERROR(INDEX('Detalles movimientos'!D$5:D$1000, MATCH(117, 'Detalles movimientos'!$R$5:$R$1000, 0)), "")</f>
        <v/>
      </c>
      <c r="D126" s="20" t="str">
        <f>IFERROR(INDEX('Detalles movimientos'!E$5:E$1000, MATCH(117, 'Detalles movimientos'!$R$5:$R$1000, 0)), "")</f>
        <v/>
      </c>
      <c r="E126" s="20" t="str">
        <f>IFERROR(INDEX('Detalles movimientos'!F$5:F$1000, MATCH(117, 'Detalles movimientos'!$R$5:$R$1000, 0)), "")</f>
        <v/>
      </c>
      <c r="F126" s="19" t="str">
        <f>IFERROR(INDEX('Detalles movimientos'!G$5:G$1000, MATCH(117, 'Detalles movimientos'!$R$5:$R$1000, 0)), "")</f>
        <v/>
      </c>
      <c r="G126" s="21" t="str">
        <f>IFERROR(INDEX('Detalles movimientos'!H$5:H$1000, MATCH(117, 'Detalles movimientos'!$R$5:$R$1000, 0)), "")</f>
        <v/>
      </c>
      <c r="H126" s="22" t="str">
        <f>IFERROR(INDEX('Detalles movimientos'!I$5:I$1000, MATCH(117, 'Detalles movimientos'!$R$5:$R$1000, 0)), "")</f>
        <v/>
      </c>
      <c r="I126" s="21" t="str">
        <f>IFERROR(INDEX('Detalles movimientos'!J$5:J$1000, MATCH(117, 'Detalles movimientos'!$R$5:$R$1000, 0)), "")</f>
        <v/>
      </c>
      <c r="J126" s="20" t="str">
        <f>IFERROR(INDEX('Detalles movimientos'!K$5:K$1000, MATCH(117, 'Detalles movimientos'!$R$5:$R$1000, 0)), "")</f>
        <v/>
      </c>
      <c r="K126" s="21" t="str">
        <f>IFERROR(INDEX('Detalles movimientos'!L$5:L$1000, MATCH(117, 'Detalles movimientos'!$R$5:$R$1000, 0)), "")</f>
        <v/>
      </c>
      <c r="L126" s="19" t="str">
        <f>IFERROR(INDEX('Detalles movimientos'!M$5:M$1000, MATCH(117, 'Detalles movimientos'!$R$5:$R$1000, 0)), "")</f>
        <v/>
      </c>
      <c r="M126" s="19" t="str">
        <f>IFERROR(INDEX('Detalles movimientos'!P$5:P$1000, MATCH(117, 'Detalles movimientos'!$R$5:$R$1000, 0)), "")</f>
        <v/>
      </c>
    </row>
    <row r="127" spans="2:13" x14ac:dyDescent="0.2">
      <c r="B127" s="18" t="str">
        <f>IFERROR(INDEX('Detalles movimientos'!C$5:C$1000, MATCH(118, 'Detalles movimientos'!$R$5:$R$1000, 0)), "")</f>
        <v/>
      </c>
      <c r="C127" s="19" t="str">
        <f>IFERROR(INDEX('Detalles movimientos'!D$5:D$1000, MATCH(118, 'Detalles movimientos'!$R$5:$R$1000, 0)), "")</f>
        <v/>
      </c>
      <c r="D127" s="20" t="str">
        <f>IFERROR(INDEX('Detalles movimientos'!E$5:E$1000, MATCH(118, 'Detalles movimientos'!$R$5:$R$1000, 0)), "")</f>
        <v/>
      </c>
      <c r="E127" s="20" t="str">
        <f>IFERROR(INDEX('Detalles movimientos'!F$5:F$1000, MATCH(118, 'Detalles movimientos'!$R$5:$R$1000, 0)), "")</f>
        <v/>
      </c>
      <c r="F127" s="19" t="str">
        <f>IFERROR(INDEX('Detalles movimientos'!G$5:G$1000, MATCH(118, 'Detalles movimientos'!$R$5:$R$1000, 0)), "")</f>
        <v/>
      </c>
      <c r="G127" s="21" t="str">
        <f>IFERROR(INDEX('Detalles movimientos'!H$5:H$1000, MATCH(118, 'Detalles movimientos'!$R$5:$R$1000, 0)), "")</f>
        <v/>
      </c>
      <c r="H127" s="22" t="str">
        <f>IFERROR(INDEX('Detalles movimientos'!I$5:I$1000, MATCH(118, 'Detalles movimientos'!$R$5:$R$1000, 0)), "")</f>
        <v/>
      </c>
      <c r="I127" s="21" t="str">
        <f>IFERROR(INDEX('Detalles movimientos'!J$5:J$1000, MATCH(118, 'Detalles movimientos'!$R$5:$R$1000, 0)), "")</f>
        <v/>
      </c>
      <c r="J127" s="20" t="str">
        <f>IFERROR(INDEX('Detalles movimientos'!K$5:K$1000, MATCH(118, 'Detalles movimientos'!$R$5:$R$1000, 0)), "")</f>
        <v/>
      </c>
      <c r="K127" s="21" t="str">
        <f>IFERROR(INDEX('Detalles movimientos'!L$5:L$1000, MATCH(118, 'Detalles movimientos'!$R$5:$R$1000, 0)), "")</f>
        <v/>
      </c>
      <c r="L127" s="19" t="str">
        <f>IFERROR(INDEX('Detalles movimientos'!M$5:M$1000, MATCH(118, 'Detalles movimientos'!$R$5:$R$1000, 0)), "")</f>
        <v/>
      </c>
      <c r="M127" s="19" t="str">
        <f>IFERROR(INDEX('Detalles movimientos'!P$5:P$1000, MATCH(118, 'Detalles movimientos'!$R$5:$R$1000, 0)), "")</f>
        <v/>
      </c>
    </row>
    <row r="128" spans="2:13" x14ac:dyDescent="0.2">
      <c r="B128" s="18" t="str">
        <f>IFERROR(INDEX('Detalles movimientos'!C$5:C$1000, MATCH(119, 'Detalles movimientos'!$R$5:$R$1000, 0)), "")</f>
        <v/>
      </c>
      <c r="C128" s="19" t="str">
        <f>IFERROR(INDEX('Detalles movimientos'!D$5:D$1000, MATCH(119, 'Detalles movimientos'!$R$5:$R$1000, 0)), "")</f>
        <v/>
      </c>
      <c r="D128" s="20" t="str">
        <f>IFERROR(INDEX('Detalles movimientos'!E$5:E$1000, MATCH(119, 'Detalles movimientos'!$R$5:$R$1000, 0)), "")</f>
        <v/>
      </c>
      <c r="E128" s="20" t="str">
        <f>IFERROR(INDEX('Detalles movimientos'!F$5:F$1000, MATCH(119, 'Detalles movimientos'!$R$5:$R$1000, 0)), "")</f>
        <v/>
      </c>
      <c r="F128" s="19" t="str">
        <f>IFERROR(INDEX('Detalles movimientos'!G$5:G$1000, MATCH(119, 'Detalles movimientos'!$R$5:$R$1000, 0)), "")</f>
        <v/>
      </c>
      <c r="G128" s="21" t="str">
        <f>IFERROR(INDEX('Detalles movimientos'!H$5:H$1000, MATCH(119, 'Detalles movimientos'!$R$5:$R$1000, 0)), "")</f>
        <v/>
      </c>
      <c r="H128" s="22" t="str">
        <f>IFERROR(INDEX('Detalles movimientos'!I$5:I$1000, MATCH(119, 'Detalles movimientos'!$R$5:$R$1000, 0)), "")</f>
        <v/>
      </c>
      <c r="I128" s="21" t="str">
        <f>IFERROR(INDEX('Detalles movimientos'!J$5:J$1000, MATCH(119, 'Detalles movimientos'!$R$5:$R$1000, 0)), "")</f>
        <v/>
      </c>
      <c r="J128" s="20" t="str">
        <f>IFERROR(INDEX('Detalles movimientos'!K$5:K$1000, MATCH(119, 'Detalles movimientos'!$R$5:$R$1000, 0)), "")</f>
        <v/>
      </c>
      <c r="K128" s="21" t="str">
        <f>IFERROR(INDEX('Detalles movimientos'!L$5:L$1000, MATCH(119, 'Detalles movimientos'!$R$5:$R$1000, 0)), "")</f>
        <v/>
      </c>
      <c r="L128" s="19" t="str">
        <f>IFERROR(INDEX('Detalles movimientos'!M$5:M$1000, MATCH(119, 'Detalles movimientos'!$R$5:$R$1000, 0)), "")</f>
        <v/>
      </c>
      <c r="M128" s="19" t="str">
        <f>IFERROR(INDEX('Detalles movimientos'!P$5:P$1000, MATCH(119, 'Detalles movimientos'!$R$5:$R$1000, 0)), "")</f>
        <v/>
      </c>
    </row>
    <row r="129" spans="2:13" x14ac:dyDescent="0.2">
      <c r="B129" s="18" t="str">
        <f>IFERROR(INDEX('Detalles movimientos'!C$5:C$1000, MATCH(120, 'Detalles movimientos'!$R$5:$R$1000, 0)), "")</f>
        <v/>
      </c>
      <c r="C129" s="19" t="str">
        <f>IFERROR(INDEX('Detalles movimientos'!D$5:D$1000, MATCH(120, 'Detalles movimientos'!$R$5:$R$1000, 0)), "")</f>
        <v/>
      </c>
      <c r="D129" s="20" t="str">
        <f>IFERROR(INDEX('Detalles movimientos'!E$5:E$1000, MATCH(120, 'Detalles movimientos'!$R$5:$R$1000, 0)), "")</f>
        <v/>
      </c>
      <c r="E129" s="20" t="str">
        <f>IFERROR(INDEX('Detalles movimientos'!F$5:F$1000, MATCH(120, 'Detalles movimientos'!$R$5:$R$1000, 0)), "")</f>
        <v/>
      </c>
      <c r="F129" s="19" t="str">
        <f>IFERROR(INDEX('Detalles movimientos'!G$5:G$1000, MATCH(120, 'Detalles movimientos'!$R$5:$R$1000, 0)), "")</f>
        <v/>
      </c>
      <c r="G129" s="21" t="str">
        <f>IFERROR(INDEX('Detalles movimientos'!H$5:H$1000, MATCH(120, 'Detalles movimientos'!$R$5:$R$1000, 0)), "")</f>
        <v/>
      </c>
      <c r="H129" s="22" t="str">
        <f>IFERROR(INDEX('Detalles movimientos'!I$5:I$1000, MATCH(120, 'Detalles movimientos'!$R$5:$R$1000, 0)), "")</f>
        <v/>
      </c>
      <c r="I129" s="21" t="str">
        <f>IFERROR(INDEX('Detalles movimientos'!J$5:J$1000, MATCH(120, 'Detalles movimientos'!$R$5:$R$1000, 0)), "")</f>
        <v/>
      </c>
      <c r="J129" s="20" t="str">
        <f>IFERROR(INDEX('Detalles movimientos'!K$5:K$1000, MATCH(120, 'Detalles movimientos'!$R$5:$R$1000, 0)), "")</f>
        <v/>
      </c>
      <c r="K129" s="21" t="str">
        <f>IFERROR(INDEX('Detalles movimientos'!L$5:L$1000, MATCH(120, 'Detalles movimientos'!$R$5:$R$1000, 0)), "")</f>
        <v/>
      </c>
      <c r="L129" s="19" t="str">
        <f>IFERROR(INDEX('Detalles movimientos'!M$5:M$1000, MATCH(120, 'Detalles movimientos'!$R$5:$R$1000, 0)), "")</f>
        <v/>
      </c>
      <c r="M129" s="19" t="str">
        <f>IFERROR(INDEX('Detalles movimientos'!P$5:P$1000, MATCH(120, 'Detalles movimientos'!$R$5:$R$1000, 0)), "")</f>
        <v/>
      </c>
    </row>
    <row r="130" spans="2:13" x14ac:dyDescent="0.2">
      <c r="B130" s="18" t="str">
        <f>IFERROR(INDEX('Detalles movimientos'!C$5:C$1000, MATCH(121, 'Detalles movimientos'!$R$5:$R$1000, 0)), "")</f>
        <v/>
      </c>
      <c r="C130" s="19" t="str">
        <f>IFERROR(INDEX('Detalles movimientos'!D$5:D$1000, MATCH(121, 'Detalles movimientos'!$R$5:$R$1000, 0)), "")</f>
        <v/>
      </c>
      <c r="D130" s="20" t="str">
        <f>IFERROR(INDEX('Detalles movimientos'!E$5:E$1000, MATCH(121, 'Detalles movimientos'!$R$5:$R$1000, 0)), "")</f>
        <v/>
      </c>
      <c r="E130" s="20" t="str">
        <f>IFERROR(INDEX('Detalles movimientos'!F$5:F$1000, MATCH(121, 'Detalles movimientos'!$R$5:$R$1000, 0)), "")</f>
        <v/>
      </c>
      <c r="F130" s="19" t="str">
        <f>IFERROR(INDEX('Detalles movimientos'!G$5:G$1000, MATCH(121, 'Detalles movimientos'!$R$5:$R$1000, 0)), "")</f>
        <v/>
      </c>
      <c r="G130" s="21" t="str">
        <f>IFERROR(INDEX('Detalles movimientos'!H$5:H$1000, MATCH(121, 'Detalles movimientos'!$R$5:$R$1000, 0)), "")</f>
        <v/>
      </c>
      <c r="H130" s="22" t="str">
        <f>IFERROR(INDEX('Detalles movimientos'!I$5:I$1000, MATCH(121, 'Detalles movimientos'!$R$5:$R$1000, 0)), "")</f>
        <v/>
      </c>
      <c r="I130" s="21" t="str">
        <f>IFERROR(INDEX('Detalles movimientos'!J$5:J$1000, MATCH(121, 'Detalles movimientos'!$R$5:$R$1000, 0)), "")</f>
        <v/>
      </c>
      <c r="J130" s="20" t="str">
        <f>IFERROR(INDEX('Detalles movimientos'!K$5:K$1000, MATCH(121, 'Detalles movimientos'!$R$5:$R$1000, 0)), "")</f>
        <v/>
      </c>
      <c r="K130" s="21" t="str">
        <f>IFERROR(INDEX('Detalles movimientos'!L$5:L$1000, MATCH(121, 'Detalles movimientos'!$R$5:$R$1000, 0)), "")</f>
        <v/>
      </c>
      <c r="L130" s="19" t="str">
        <f>IFERROR(INDEX('Detalles movimientos'!M$5:M$1000, MATCH(121, 'Detalles movimientos'!$R$5:$R$1000, 0)), "")</f>
        <v/>
      </c>
      <c r="M130" s="19" t="str">
        <f>IFERROR(INDEX('Detalles movimientos'!P$5:P$1000, MATCH(121, 'Detalles movimientos'!$R$5:$R$1000, 0)), "")</f>
        <v/>
      </c>
    </row>
    <row r="131" spans="2:13" x14ac:dyDescent="0.2">
      <c r="B131" s="18" t="str">
        <f>IFERROR(INDEX('Detalles movimientos'!C$5:C$1000, MATCH(122, 'Detalles movimientos'!$R$5:$R$1000, 0)), "")</f>
        <v/>
      </c>
      <c r="C131" s="19" t="str">
        <f>IFERROR(INDEX('Detalles movimientos'!D$5:D$1000, MATCH(122, 'Detalles movimientos'!$R$5:$R$1000, 0)), "")</f>
        <v/>
      </c>
      <c r="D131" s="20" t="str">
        <f>IFERROR(INDEX('Detalles movimientos'!E$5:E$1000, MATCH(122, 'Detalles movimientos'!$R$5:$R$1000, 0)), "")</f>
        <v/>
      </c>
      <c r="E131" s="20" t="str">
        <f>IFERROR(INDEX('Detalles movimientos'!F$5:F$1000, MATCH(122, 'Detalles movimientos'!$R$5:$R$1000, 0)), "")</f>
        <v/>
      </c>
      <c r="F131" s="19" t="str">
        <f>IFERROR(INDEX('Detalles movimientos'!G$5:G$1000, MATCH(122, 'Detalles movimientos'!$R$5:$R$1000, 0)), "")</f>
        <v/>
      </c>
      <c r="G131" s="21" t="str">
        <f>IFERROR(INDEX('Detalles movimientos'!H$5:H$1000, MATCH(122, 'Detalles movimientos'!$R$5:$R$1000, 0)), "")</f>
        <v/>
      </c>
      <c r="H131" s="22" t="str">
        <f>IFERROR(INDEX('Detalles movimientos'!I$5:I$1000, MATCH(122, 'Detalles movimientos'!$R$5:$R$1000, 0)), "")</f>
        <v/>
      </c>
      <c r="I131" s="21" t="str">
        <f>IFERROR(INDEX('Detalles movimientos'!J$5:J$1000, MATCH(122, 'Detalles movimientos'!$R$5:$R$1000, 0)), "")</f>
        <v/>
      </c>
      <c r="J131" s="20" t="str">
        <f>IFERROR(INDEX('Detalles movimientos'!K$5:K$1000, MATCH(122, 'Detalles movimientos'!$R$5:$R$1000, 0)), "")</f>
        <v/>
      </c>
      <c r="K131" s="21" t="str">
        <f>IFERROR(INDEX('Detalles movimientos'!L$5:L$1000, MATCH(122, 'Detalles movimientos'!$R$5:$R$1000, 0)), "")</f>
        <v/>
      </c>
      <c r="L131" s="19" t="str">
        <f>IFERROR(INDEX('Detalles movimientos'!M$5:M$1000, MATCH(122, 'Detalles movimientos'!$R$5:$R$1000, 0)), "")</f>
        <v/>
      </c>
      <c r="M131" s="19" t="str">
        <f>IFERROR(INDEX('Detalles movimientos'!P$5:P$1000, MATCH(122, 'Detalles movimientos'!$R$5:$R$1000, 0)), "")</f>
        <v/>
      </c>
    </row>
    <row r="132" spans="2:13" x14ac:dyDescent="0.2">
      <c r="B132" s="18" t="str">
        <f>IFERROR(INDEX('Detalles movimientos'!C$5:C$1000, MATCH(123, 'Detalles movimientos'!$R$5:$R$1000, 0)), "")</f>
        <v/>
      </c>
      <c r="C132" s="19" t="str">
        <f>IFERROR(INDEX('Detalles movimientos'!D$5:D$1000, MATCH(123, 'Detalles movimientos'!$R$5:$R$1000, 0)), "")</f>
        <v/>
      </c>
      <c r="D132" s="20" t="str">
        <f>IFERROR(INDEX('Detalles movimientos'!E$5:E$1000, MATCH(123, 'Detalles movimientos'!$R$5:$R$1000, 0)), "")</f>
        <v/>
      </c>
      <c r="E132" s="20" t="str">
        <f>IFERROR(INDEX('Detalles movimientos'!F$5:F$1000, MATCH(123, 'Detalles movimientos'!$R$5:$R$1000, 0)), "")</f>
        <v/>
      </c>
      <c r="F132" s="19" t="str">
        <f>IFERROR(INDEX('Detalles movimientos'!G$5:G$1000, MATCH(123, 'Detalles movimientos'!$R$5:$R$1000, 0)), "")</f>
        <v/>
      </c>
      <c r="G132" s="21" t="str">
        <f>IFERROR(INDEX('Detalles movimientos'!H$5:H$1000, MATCH(123, 'Detalles movimientos'!$R$5:$R$1000, 0)), "")</f>
        <v/>
      </c>
      <c r="H132" s="22" t="str">
        <f>IFERROR(INDEX('Detalles movimientos'!I$5:I$1000, MATCH(123, 'Detalles movimientos'!$R$5:$R$1000, 0)), "")</f>
        <v/>
      </c>
      <c r="I132" s="21" t="str">
        <f>IFERROR(INDEX('Detalles movimientos'!J$5:J$1000, MATCH(123, 'Detalles movimientos'!$R$5:$R$1000, 0)), "")</f>
        <v/>
      </c>
      <c r="J132" s="20" t="str">
        <f>IFERROR(INDEX('Detalles movimientos'!K$5:K$1000, MATCH(123, 'Detalles movimientos'!$R$5:$R$1000, 0)), "")</f>
        <v/>
      </c>
      <c r="K132" s="21" t="str">
        <f>IFERROR(INDEX('Detalles movimientos'!L$5:L$1000, MATCH(123, 'Detalles movimientos'!$R$5:$R$1000, 0)), "")</f>
        <v/>
      </c>
      <c r="L132" s="19" t="str">
        <f>IFERROR(INDEX('Detalles movimientos'!M$5:M$1000, MATCH(123, 'Detalles movimientos'!$R$5:$R$1000, 0)), "")</f>
        <v/>
      </c>
      <c r="M132" s="19" t="str">
        <f>IFERROR(INDEX('Detalles movimientos'!P$5:P$1000, MATCH(123, 'Detalles movimientos'!$R$5:$R$1000, 0)), "")</f>
        <v/>
      </c>
    </row>
    <row r="133" spans="2:13" x14ac:dyDescent="0.2">
      <c r="B133" s="18" t="str">
        <f>IFERROR(INDEX('Detalles movimientos'!C$5:C$1000, MATCH(124, 'Detalles movimientos'!$R$5:$R$1000, 0)), "")</f>
        <v/>
      </c>
      <c r="C133" s="19" t="str">
        <f>IFERROR(INDEX('Detalles movimientos'!D$5:D$1000, MATCH(124, 'Detalles movimientos'!$R$5:$R$1000, 0)), "")</f>
        <v/>
      </c>
      <c r="D133" s="20" t="str">
        <f>IFERROR(INDEX('Detalles movimientos'!E$5:E$1000, MATCH(124, 'Detalles movimientos'!$R$5:$R$1000, 0)), "")</f>
        <v/>
      </c>
      <c r="E133" s="20" t="str">
        <f>IFERROR(INDEX('Detalles movimientos'!F$5:F$1000, MATCH(124, 'Detalles movimientos'!$R$5:$R$1000, 0)), "")</f>
        <v/>
      </c>
      <c r="F133" s="19" t="str">
        <f>IFERROR(INDEX('Detalles movimientos'!G$5:G$1000, MATCH(124, 'Detalles movimientos'!$R$5:$R$1000, 0)), "")</f>
        <v/>
      </c>
      <c r="G133" s="21" t="str">
        <f>IFERROR(INDEX('Detalles movimientos'!H$5:H$1000, MATCH(124, 'Detalles movimientos'!$R$5:$R$1000, 0)), "")</f>
        <v/>
      </c>
      <c r="H133" s="22" t="str">
        <f>IFERROR(INDEX('Detalles movimientos'!I$5:I$1000, MATCH(124, 'Detalles movimientos'!$R$5:$R$1000, 0)), "")</f>
        <v/>
      </c>
      <c r="I133" s="21" t="str">
        <f>IFERROR(INDEX('Detalles movimientos'!J$5:J$1000, MATCH(124, 'Detalles movimientos'!$R$5:$R$1000, 0)), "")</f>
        <v/>
      </c>
      <c r="J133" s="20" t="str">
        <f>IFERROR(INDEX('Detalles movimientos'!K$5:K$1000, MATCH(124, 'Detalles movimientos'!$R$5:$R$1000, 0)), "")</f>
        <v/>
      </c>
      <c r="K133" s="21" t="str">
        <f>IFERROR(INDEX('Detalles movimientos'!L$5:L$1000, MATCH(124, 'Detalles movimientos'!$R$5:$R$1000, 0)), "")</f>
        <v/>
      </c>
      <c r="L133" s="19" t="str">
        <f>IFERROR(INDEX('Detalles movimientos'!M$5:M$1000, MATCH(124, 'Detalles movimientos'!$R$5:$R$1000, 0)), "")</f>
        <v/>
      </c>
      <c r="M133" s="19" t="str">
        <f>IFERROR(INDEX('Detalles movimientos'!P$5:P$1000, MATCH(124, 'Detalles movimientos'!$R$5:$R$1000, 0)), "")</f>
        <v/>
      </c>
    </row>
    <row r="134" spans="2:13" x14ac:dyDescent="0.2">
      <c r="B134" s="18" t="str">
        <f>IFERROR(INDEX('Detalles movimientos'!C$5:C$1000, MATCH(125, 'Detalles movimientos'!$R$5:$R$1000, 0)), "")</f>
        <v/>
      </c>
      <c r="C134" s="19" t="str">
        <f>IFERROR(INDEX('Detalles movimientos'!D$5:D$1000, MATCH(125, 'Detalles movimientos'!$R$5:$R$1000, 0)), "")</f>
        <v/>
      </c>
      <c r="D134" s="20" t="str">
        <f>IFERROR(INDEX('Detalles movimientos'!E$5:E$1000, MATCH(125, 'Detalles movimientos'!$R$5:$R$1000, 0)), "")</f>
        <v/>
      </c>
      <c r="E134" s="20" t="str">
        <f>IFERROR(INDEX('Detalles movimientos'!F$5:F$1000, MATCH(125, 'Detalles movimientos'!$R$5:$R$1000, 0)), "")</f>
        <v/>
      </c>
      <c r="F134" s="19" t="str">
        <f>IFERROR(INDEX('Detalles movimientos'!G$5:G$1000, MATCH(125, 'Detalles movimientos'!$R$5:$R$1000, 0)), "")</f>
        <v/>
      </c>
      <c r="G134" s="21" t="str">
        <f>IFERROR(INDEX('Detalles movimientos'!H$5:H$1000, MATCH(125, 'Detalles movimientos'!$R$5:$R$1000, 0)), "")</f>
        <v/>
      </c>
      <c r="H134" s="22" t="str">
        <f>IFERROR(INDEX('Detalles movimientos'!I$5:I$1000, MATCH(125, 'Detalles movimientos'!$R$5:$R$1000, 0)), "")</f>
        <v/>
      </c>
      <c r="I134" s="21" t="str">
        <f>IFERROR(INDEX('Detalles movimientos'!J$5:J$1000, MATCH(125, 'Detalles movimientos'!$R$5:$R$1000, 0)), "")</f>
        <v/>
      </c>
      <c r="J134" s="20" t="str">
        <f>IFERROR(INDEX('Detalles movimientos'!K$5:K$1000, MATCH(125, 'Detalles movimientos'!$R$5:$R$1000, 0)), "")</f>
        <v/>
      </c>
      <c r="K134" s="21" t="str">
        <f>IFERROR(INDEX('Detalles movimientos'!L$5:L$1000, MATCH(125, 'Detalles movimientos'!$R$5:$R$1000, 0)), "")</f>
        <v/>
      </c>
      <c r="L134" s="19" t="str">
        <f>IFERROR(INDEX('Detalles movimientos'!M$5:M$1000, MATCH(125, 'Detalles movimientos'!$R$5:$R$1000, 0)), "")</f>
        <v/>
      </c>
      <c r="M134" s="19" t="str">
        <f>IFERROR(INDEX('Detalles movimientos'!P$5:P$1000, MATCH(125, 'Detalles movimientos'!$R$5:$R$1000, 0)), "")</f>
        <v/>
      </c>
    </row>
    <row r="135" spans="2:13" x14ac:dyDescent="0.2">
      <c r="B135" s="18" t="str">
        <f>IFERROR(INDEX('Detalles movimientos'!C$5:C$1000, MATCH(126, 'Detalles movimientos'!$R$5:$R$1000, 0)), "")</f>
        <v/>
      </c>
      <c r="C135" s="19" t="str">
        <f>IFERROR(INDEX('Detalles movimientos'!D$5:D$1000, MATCH(126, 'Detalles movimientos'!$R$5:$R$1000, 0)), "")</f>
        <v/>
      </c>
      <c r="D135" s="20" t="str">
        <f>IFERROR(INDEX('Detalles movimientos'!E$5:E$1000, MATCH(126, 'Detalles movimientos'!$R$5:$R$1000, 0)), "")</f>
        <v/>
      </c>
      <c r="E135" s="20" t="str">
        <f>IFERROR(INDEX('Detalles movimientos'!F$5:F$1000, MATCH(126, 'Detalles movimientos'!$R$5:$R$1000, 0)), "")</f>
        <v/>
      </c>
      <c r="F135" s="19" t="str">
        <f>IFERROR(INDEX('Detalles movimientos'!G$5:G$1000, MATCH(126, 'Detalles movimientos'!$R$5:$R$1000, 0)), "")</f>
        <v/>
      </c>
      <c r="G135" s="21" t="str">
        <f>IFERROR(INDEX('Detalles movimientos'!H$5:H$1000, MATCH(126, 'Detalles movimientos'!$R$5:$R$1000, 0)), "")</f>
        <v/>
      </c>
      <c r="H135" s="22" t="str">
        <f>IFERROR(INDEX('Detalles movimientos'!I$5:I$1000, MATCH(126, 'Detalles movimientos'!$R$5:$R$1000, 0)), "")</f>
        <v/>
      </c>
      <c r="I135" s="21" t="str">
        <f>IFERROR(INDEX('Detalles movimientos'!J$5:J$1000, MATCH(126, 'Detalles movimientos'!$R$5:$R$1000, 0)), "")</f>
        <v/>
      </c>
      <c r="J135" s="20" t="str">
        <f>IFERROR(INDEX('Detalles movimientos'!K$5:K$1000, MATCH(126, 'Detalles movimientos'!$R$5:$R$1000, 0)), "")</f>
        <v/>
      </c>
      <c r="K135" s="21" t="str">
        <f>IFERROR(INDEX('Detalles movimientos'!L$5:L$1000, MATCH(126, 'Detalles movimientos'!$R$5:$R$1000, 0)), "")</f>
        <v/>
      </c>
      <c r="L135" s="19" t="str">
        <f>IFERROR(INDEX('Detalles movimientos'!M$5:M$1000, MATCH(126, 'Detalles movimientos'!$R$5:$R$1000, 0)), "")</f>
        <v/>
      </c>
      <c r="M135" s="19" t="str">
        <f>IFERROR(INDEX('Detalles movimientos'!P$5:P$1000, MATCH(126, 'Detalles movimientos'!$R$5:$R$1000, 0)), "")</f>
        <v/>
      </c>
    </row>
    <row r="136" spans="2:13" x14ac:dyDescent="0.2">
      <c r="B136" s="18" t="str">
        <f>IFERROR(INDEX('Detalles movimientos'!C$5:C$1000, MATCH(127, 'Detalles movimientos'!$R$5:$R$1000, 0)), "")</f>
        <v/>
      </c>
      <c r="C136" s="19" t="str">
        <f>IFERROR(INDEX('Detalles movimientos'!D$5:D$1000, MATCH(127, 'Detalles movimientos'!$R$5:$R$1000, 0)), "")</f>
        <v/>
      </c>
      <c r="D136" s="20" t="str">
        <f>IFERROR(INDEX('Detalles movimientos'!E$5:E$1000, MATCH(127, 'Detalles movimientos'!$R$5:$R$1000, 0)), "")</f>
        <v/>
      </c>
      <c r="E136" s="20" t="str">
        <f>IFERROR(INDEX('Detalles movimientos'!F$5:F$1000, MATCH(127, 'Detalles movimientos'!$R$5:$R$1000, 0)), "")</f>
        <v/>
      </c>
      <c r="F136" s="19" t="str">
        <f>IFERROR(INDEX('Detalles movimientos'!G$5:G$1000, MATCH(127, 'Detalles movimientos'!$R$5:$R$1000, 0)), "")</f>
        <v/>
      </c>
      <c r="G136" s="21" t="str">
        <f>IFERROR(INDEX('Detalles movimientos'!H$5:H$1000, MATCH(127, 'Detalles movimientos'!$R$5:$R$1000, 0)), "")</f>
        <v/>
      </c>
      <c r="H136" s="22" t="str">
        <f>IFERROR(INDEX('Detalles movimientos'!I$5:I$1000, MATCH(127, 'Detalles movimientos'!$R$5:$R$1000, 0)), "")</f>
        <v/>
      </c>
      <c r="I136" s="21" t="str">
        <f>IFERROR(INDEX('Detalles movimientos'!J$5:J$1000, MATCH(127, 'Detalles movimientos'!$R$5:$R$1000, 0)), "")</f>
        <v/>
      </c>
      <c r="J136" s="20" t="str">
        <f>IFERROR(INDEX('Detalles movimientos'!K$5:K$1000, MATCH(127, 'Detalles movimientos'!$R$5:$R$1000, 0)), "")</f>
        <v/>
      </c>
      <c r="K136" s="21" t="str">
        <f>IFERROR(INDEX('Detalles movimientos'!L$5:L$1000, MATCH(127, 'Detalles movimientos'!$R$5:$R$1000, 0)), "")</f>
        <v/>
      </c>
      <c r="L136" s="19" t="str">
        <f>IFERROR(INDEX('Detalles movimientos'!M$5:M$1000, MATCH(127, 'Detalles movimientos'!$R$5:$R$1000, 0)), "")</f>
        <v/>
      </c>
      <c r="M136" s="19" t="str">
        <f>IFERROR(INDEX('Detalles movimientos'!P$5:P$1000, MATCH(127, 'Detalles movimientos'!$R$5:$R$1000, 0)), "")</f>
        <v/>
      </c>
    </row>
    <row r="137" spans="2:13" x14ac:dyDescent="0.2">
      <c r="B137" s="18" t="str">
        <f>IFERROR(INDEX('Detalles movimientos'!C$5:C$1000, MATCH(128, 'Detalles movimientos'!$R$5:$R$1000, 0)), "")</f>
        <v/>
      </c>
      <c r="C137" s="19" t="str">
        <f>IFERROR(INDEX('Detalles movimientos'!D$5:D$1000, MATCH(128, 'Detalles movimientos'!$R$5:$R$1000, 0)), "")</f>
        <v/>
      </c>
      <c r="D137" s="20" t="str">
        <f>IFERROR(INDEX('Detalles movimientos'!E$5:E$1000, MATCH(128, 'Detalles movimientos'!$R$5:$R$1000, 0)), "")</f>
        <v/>
      </c>
      <c r="E137" s="20" t="str">
        <f>IFERROR(INDEX('Detalles movimientos'!F$5:F$1000, MATCH(128, 'Detalles movimientos'!$R$5:$R$1000, 0)), "")</f>
        <v/>
      </c>
      <c r="F137" s="19" t="str">
        <f>IFERROR(INDEX('Detalles movimientos'!G$5:G$1000, MATCH(128, 'Detalles movimientos'!$R$5:$R$1000, 0)), "")</f>
        <v/>
      </c>
      <c r="G137" s="21" t="str">
        <f>IFERROR(INDEX('Detalles movimientos'!H$5:H$1000, MATCH(128, 'Detalles movimientos'!$R$5:$R$1000, 0)), "")</f>
        <v/>
      </c>
      <c r="H137" s="22" t="str">
        <f>IFERROR(INDEX('Detalles movimientos'!I$5:I$1000, MATCH(128, 'Detalles movimientos'!$R$5:$R$1000, 0)), "")</f>
        <v/>
      </c>
      <c r="I137" s="21" t="str">
        <f>IFERROR(INDEX('Detalles movimientos'!J$5:J$1000, MATCH(128, 'Detalles movimientos'!$R$5:$R$1000, 0)), "")</f>
        <v/>
      </c>
      <c r="J137" s="20" t="str">
        <f>IFERROR(INDEX('Detalles movimientos'!K$5:K$1000, MATCH(128, 'Detalles movimientos'!$R$5:$R$1000, 0)), "")</f>
        <v/>
      </c>
      <c r="K137" s="21" t="str">
        <f>IFERROR(INDEX('Detalles movimientos'!L$5:L$1000, MATCH(128, 'Detalles movimientos'!$R$5:$R$1000, 0)), "")</f>
        <v/>
      </c>
      <c r="L137" s="19" t="str">
        <f>IFERROR(INDEX('Detalles movimientos'!M$5:M$1000, MATCH(128, 'Detalles movimientos'!$R$5:$R$1000, 0)), "")</f>
        <v/>
      </c>
      <c r="M137" s="19" t="str">
        <f>IFERROR(INDEX('Detalles movimientos'!P$5:P$1000, MATCH(128, 'Detalles movimientos'!$R$5:$R$1000, 0)), "")</f>
        <v/>
      </c>
    </row>
    <row r="138" spans="2:13" x14ac:dyDescent="0.2">
      <c r="B138" s="18" t="str">
        <f>IFERROR(INDEX('Detalles movimientos'!C$5:C$1000, MATCH(129, 'Detalles movimientos'!$R$5:$R$1000, 0)), "")</f>
        <v/>
      </c>
      <c r="C138" s="19" t="str">
        <f>IFERROR(INDEX('Detalles movimientos'!D$5:D$1000, MATCH(129, 'Detalles movimientos'!$R$5:$R$1000, 0)), "")</f>
        <v/>
      </c>
      <c r="D138" s="20" t="str">
        <f>IFERROR(INDEX('Detalles movimientos'!E$5:E$1000, MATCH(129, 'Detalles movimientos'!$R$5:$R$1000, 0)), "")</f>
        <v/>
      </c>
      <c r="E138" s="20" t="str">
        <f>IFERROR(INDEX('Detalles movimientos'!F$5:F$1000, MATCH(129, 'Detalles movimientos'!$R$5:$R$1000, 0)), "")</f>
        <v/>
      </c>
      <c r="F138" s="19" t="str">
        <f>IFERROR(INDEX('Detalles movimientos'!G$5:G$1000, MATCH(129, 'Detalles movimientos'!$R$5:$R$1000, 0)), "")</f>
        <v/>
      </c>
      <c r="G138" s="21" t="str">
        <f>IFERROR(INDEX('Detalles movimientos'!H$5:H$1000, MATCH(129, 'Detalles movimientos'!$R$5:$R$1000, 0)), "")</f>
        <v/>
      </c>
      <c r="H138" s="22" t="str">
        <f>IFERROR(INDEX('Detalles movimientos'!I$5:I$1000, MATCH(129, 'Detalles movimientos'!$R$5:$R$1000, 0)), "")</f>
        <v/>
      </c>
      <c r="I138" s="21" t="str">
        <f>IFERROR(INDEX('Detalles movimientos'!J$5:J$1000, MATCH(129, 'Detalles movimientos'!$R$5:$R$1000, 0)), "")</f>
        <v/>
      </c>
      <c r="J138" s="20" t="str">
        <f>IFERROR(INDEX('Detalles movimientos'!K$5:K$1000, MATCH(129, 'Detalles movimientos'!$R$5:$R$1000, 0)), "")</f>
        <v/>
      </c>
      <c r="K138" s="21" t="str">
        <f>IFERROR(INDEX('Detalles movimientos'!L$5:L$1000, MATCH(129, 'Detalles movimientos'!$R$5:$R$1000, 0)), "")</f>
        <v/>
      </c>
      <c r="L138" s="19" t="str">
        <f>IFERROR(INDEX('Detalles movimientos'!M$5:M$1000, MATCH(129, 'Detalles movimientos'!$R$5:$R$1000, 0)), "")</f>
        <v/>
      </c>
      <c r="M138" s="19" t="str">
        <f>IFERROR(INDEX('Detalles movimientos'!P$5:P$1000, MATCH(129, 'Detalles movimientos'!$R$5:$R$1000, 0)), "")</f>
        <v/>
      </c>
    </row>
    <row r="139" spans="2:13" x14ac:dyDescent="0.2">
      <c r="B139" s="18" t="str">
        <f>IFERROR(INDEX('Detalles movimientos'!C$5:C$1000, MATCH(130, 'Detalles movimientos'!$R$5:$R$1000, 0)), "")</f>
        <v/>
      </c>
      <c r="C139" s="19" t="str">
        <f>IFERROR(INDEX('Detalles movimientos'!D$5:D$1000, MATCH(130, 'Detalles movimientos'!$R$5:$R$1000, 0)), "")</f>
        <v/>
      </c>
      <c r="D139" s="20" t="str">
        <f>IFERROR(INDEX('Detalles movimientos'!E$5:E$1000, MATCH(130, 'Detalles movimientos'!$R$5:$R$1000, 0)), "")</f>
        <v/>
      </c>
      <c r="E139" s="20" t="str">
        <f>IFERROR(INDEX('Detalles movimientos'!F$5:F$1000, MATCH(130, 'Detalles movimientos'!$R$5:$R$1000, 0)), "")</f>
        <v/>
      </c>
      <c r="F139" s="19" t="str">
        <f>IFERROR(INDEX('Detalles movimientos'!G$5:G$1000, MATCH(130, 'Detalles movimientos'!$R$5:$R$1000, 0)), "")</f>
        <v/>
      </c>
      <c r="G139" s="21" t="str">
        <f>IFERROR(INDEX('Detalles movimientos'!H$5:H$1000, MATCH(130, 'Detalles movimientos'!$R$5:$R$1000, 0)), "")</f>
        <v/>
      </c>
      <c r="H139" s="22" t="str">
        <f>IFERROR(INDEX('Detalles movimientos'!I$5:I$1000, MATCH(130, 'Detalles movimientos'!$R$5:$R$1000, 0)), "")</f>
        <v/>
      </c>
      <c r="I139" s="21" t="str">
        <f>IFERROR(INDEX('Detalles movimientos'!J$5:J$1000, MATCH(130, 'Detalles movimientos'!$R$5:$R$1000, 0)), "")</f>
        <v/>
      </c>
      <c r="J139" s="20" t="str">
        <f>IFERROR(INDEX('Detalles movimientos'!K$5:K$1000, MATCH(130, 'Detalles movimientos'!$R$5:$R$1000, 0)), "")</f>
        <v/>
      </c>
      <c r="K139" s="21" t="str">
        <f>IFERROR(INDEX('Detalles movimientos'!L$5:L$1000, MATCH(130, 'Detalles movimientos'!$R$5:$R$1000, 0)), "")</f>
        <v/>
      </c>
      <c r="L139" s="19" t="str">
        <f>IFERROR(INDEX('Detalles movimientos'!M$5:M$1000, MATCH(130, 'Detalles movimientos'!$R$5:$R$1000, 0)), "")</f>
        <v/>
      </c>
      <c r="M139" s="19" t="str">
        <f>IFERROR(INDEX('Detalles movimientos'!P$5:P$1000, MATCH(130, 'Detalles movimientos'!$R$5:$R$1000, 0)), "")</f>
        <v/>
      </c>
    </row>
    <row r="140" spans="2:13" x14ac:dyDescent="0.2">
      <c r="B140" s="18" t="str">
        <f>IFERROR(INDEX('Detalles movimientos'!C$5:C$1000, MATCH(131, 'Detalles movimientos'!$R$5:$R$1000, 0)), "")</f>
        <v/>
      </c>
      <c r="C140" s="19" t="str">
        <f>IFERROR(INDEX('Detalles movimientos'!D$5:D$1000, MATCH(131, 'Detalles movimientos'!$R$5:$R$1000, 0)), "")</f>
        <v/>
      </c>
      <c r="D140" s="20" t="str">
        <f>IFERROR(INDEX('Detalles movimientos'!E$5:E$1000, MATCH(131, 'Detalles movimientos'!$R$5:$R$1000, 0)), "")</f>
        <v/>
      </c>
      <c r="E140" s="20" t="str">
        <f>IFERROR(INDEX('Detalles movimientos'!F$5:F$1000, MATCH(131, 'Detalles movimientos'!$R$5:$R$1000, 0)), "")</f>
        <v/>
      </c>
      <c r="F140" s="19" t="str">
        <f>IFERROR(INDEX('Detalles movimientos'!G$5:G$1000, MATCH(131, 'Detalles movimientos'!$R$5:$R$1000, 0)), "")</f>
        <v/>
      </c>
      <c r="G140" s="21" t="str">
        <f>IFERROR(INDEX('Detalles movimientos'!H$5:H$1000, MATCH(131, 'Detalles movimientos'!$R$5:$R$1000, 0)), "")</f>
        <v/>
      </c>
      <c r="H140" s="22" t="str">
        <f>IFERROR(INDEX('Detalles movimientos'!I$5:I$1000, MATCH(131, 'Detalles movimientos'!$R$5:$R$1000, 0)), "")</f>
        <v/>
      </c>
      <c r="I140" s="21" t="str">
        <f>IFERROR(INDEX('Detalles movimientos'!J$5:J$1000, MATCH(131, 'Detalles movimientos'!$R$5:$R$1000, 0)), "")</f>
        <v/>
      </c>
      <c r="J140" s="20" t="str">
        <f>IFERROR(INDEX('Detalles movimientos'!K$5:K$1000, MATCH(131, 'Detalles movimientos'!$R$5:$R$1000, 0)), "")</f>
        <v/>
      </c>
      <c r="K140" s="21" t="str">
        <f>IFERROR(INDEX('Detalles movimientos'!L$5:L$1000, MATCH(131, 'Detalles movimientos'!$R$5:$R$1000, 0)), "")</f>
        <v/>
      </c>
      <c r="L140" s="19" t="str">
        <f>IFERROR(INDEX('Detalles movimientos'!M$5:M$1000, MATCH(131, 'Detalles movimientos'!$R$5:$R$1000, 0)), "")</f>
        <v/>
      </c>
      <c r="M140" s="19" t="str">
        <f>IFERROR(INDEX('Detalles movimientos'!P$5:P$1000, MATCH(131, 'Detalles movimientos'!$R$5:$R$1000, 0)), "")</f>
        <v/>
      </c>
    </row>
    <row r="141" spans="2:13" x14ac:dyDescent="0.2">
      <c r="B141" s="18" t="str">
        <f>IFERROR(INDEX('Detalles movimientos'!C$5:C$1000, MATCH(132, 'Detalles movimientos'!$R$5:$R$1000, 0)), "")</f>
        <v/>
      </c>
      <c r="C141" s="19" t="str">
        <f>IFERROR(INDEX('Detalles movimientos'!D$5:D$1000, MATCH(132, 'Detalles movimientos'!$R$5:$R$1000, 0)), "")</f>
        <v/>
      </c>
      <c r="D141" s="20" t="str">
        <f>IFERROR(INDEX('Detalles movimientos'!E$5:E$1000, MATCH(132, 'Detalles movimientos'!$R$5:$R$1000, 0)), "")</f>
        <v/>
      </c>
      <c r="E141" s="20" t="str">
        <f>IFERROR(INDEX('Detalles movimientos'!F$5:F$1000, MATCH(132, 'Detalles movimientos'!$R$5:$R$1000, 0)), "")</f>
        <v/>
      </c>
      <c r="F141" s="19" t="str">
        <f>IFERROR(INDEX('Detalles movimientos'!G$5:G$1000, MATCH(132, 'Detalles movimientos'!$R$5:$R$1000, 0)), "")</f>
        <v/>
      </c>
      <c r="G141" s="21" t="str">
        <f>IFERROR(INDEX('Detalles movimientos'!H$5:H$1000, MATCH(132, 'Detalles movimientos'!$R$5:$R$1000, 0)), "")</f>
        <v/>
      </c>
      <c r="H141" s="22" t="str">
        <f>IFERROR(INDEX('Detalles movimientos'!I$5:I$1000, MATCH(132, 'Detalles movimientos'!$R$5:$R$1000, 0)), "")</f>
        <v/>
      </c>
      <c r="I141" s="21" t="str">
        <f>IFERROR(INDEX('Detalles movimientos'!J$5:J$1000, MATCH(132, 'Detalles movimientos'!$R$5:$R$1000, 0)), "")</f>
        <v/>
      </c>
      <c r="J141" s="20" t="str">
        <f>IFERROR(INDEX('Detalles movimientos'!K$5:K$1000, MATCH(132, 'Detalles movimientos'!$R$5:$R$1000, 0)), "")</f>
        <v/>
      </c>
      <c r="K141" s="21" t="str">
        <f>IFERROR(INDEX('Detalles movimientos'!L$5:L$1000, MATCH(132, 'Detalles movimientos'!$R$5:$R$1000, 0)), "")</f>
        <v/>
      </c>
      <c r="L141" s="19" t="str">
        <f>IFERROR(INDEX('Detalles movimientos'!M$5:M$1000, MATCH(132, 'Detalles movimientos'!$R$5:$R$1000, 0)), "")</f>
        <v/>
      </c>
      <c r="M141" s="19" t="str">
        <f>IFERROR(INDEX('Detalles movimientos'!P$5:P$1000, MATCH(132, 'Detalles movimientos'!$R$5:$R$1000, 0)), "")</f>
        <v/>
      </c>
    </row>
    <row r="142" spans="2:13" x14ac:dyDescent="0.2">
      <c r="B142" s="18" t="str">
        <f>IFERROR(INDEX('Detalles movimientos'!C$5:C$1000, MATCH(133, 'Detalles movimientos'!$R$5:$R$1000, 0)), "")</f>
        <v/>
      </c>
      <c r="C142" s="19" t="str">
        <f>IFERROR(INDEX('Detalles movimientos'!D$5:D$1000, MATCH(133, 'Detalles movimientos'!$R$5:$R$1000, 0)), "")</f>
        <v/>
      </c>
      <c r="D142" s="20" t="str">
        <f>IFERROR(INDEX('Detalles movimientos'!E$5:E$1000, MATCH(133, 'Detalles movimientos'!$R$5:$R$1000, 0)), "")</f>
        <v/>
      </c>
      <c r="E142" s="20" t="str">
        <f>IFERROR(INDEX('Detalles movimientos'!F$5:F$1000, MATCH(133, 'Detalles movimientos'!$R$5:$R$1000, 0)), "")</f>
        <v/>
      </c>
      <c r="F142" s="19" t="str">
        <f>IFERROR(INDEX('Detalles movimientos'!G$5:G$1000, MATCH(133, 'Detalles movimientos'!$R$5:$R$1000, 0)), "")</f>
        <v/>
      </c>
      <c r="G142" s="21" t="str">
        <f>IFERROR(INDEX('Detalles movimientos'!H$5:H$1000, MATCH(133, 'Detalles movimientos'!$R$5:$R$1000, 0)), "")</f>
        <v/>
      </c>
      <c r="H142" s="22" t="str">
        <f>IFERROR(INDEX('Detalles movimientos'!I$5:I$1000, MATCH(133, 'Detalles movimientos'!$R$5:$R$1000, 0)), "")</f>
        <v/>
      </c>
      <c r="I142" s="21" t="str">
        <f>IFERROR(INDEX('Detalles movimientos'!J$5:J$1000, MATCH(133, 'Detalles movimientos'!$R$5:$R$1000, 0)), "")</f>
        <v/>
      </c>
      <c r="J142" s="20" t="str">
        <f>IFERROR(INDEX('Detalles movimientos'!K$5:K$1000, MATCH(133, 'Detalles movimientos'!$R$5:$R$1000, 0)), "")</f>
        <v/>
      </c>
      <c r="K142" s="21" t="str">
        <f>IFERROR(INDEX('Detalles movimientos'!L$5:L$1000, MATCH(133, 'Detalles movimientos'!$R$5:$R$1000, 0)), "")</f>
        <v/>
      </c>
      <c r="L142" s="19" t="str">
        <f>IFERROR(INDEX('Detalles movimientos'!M$5:M$1000, MATCH(133, 'Detalles movimientos'!$R$5:$R$1000, 0)), "")</f>
        <v/>
      </c>
      <c r="M142" s="19" t="str">
        <f>IFERROR(INDEX('Detalles movimientos'!P$5:P$1000, MATCH(133, 'Detalles movimientos'!$R$5:$R$1000, 0)), "")</f>
        <v/>
      </c>
    </row>
    <row r="143" spans="2:13" x14ac:dyDescent="0.2">
      <c r="B143" s="18" t="str">
        <f>IFERROR(INDEX('Detalles movimientos'!C$5:C$1000, MATCH(134, 'Detalles movimientos'!$R$5:$R$1000, 0)), "")</f>
        <v/>
      </c>
      <c r="C143" s="19" t="str">
        <f>IFERROR(INDEX('Detalles movimientos'!D$5:D$1000, MATCH(134, 'Detalles movimientos'!$R$5:$R$1000, 0)), "")</f>
        <v/>
      </c>
      <c r="D143" s="20" t="str">
        <f>IFERROR(INDEX('Detalles movimientos'!E$5:E$1000, MATCH(134, 'Detalles movimientos'!$R$5:$R$1000, 0)), "")</f>
        <v/>
      </c>
      <c r="E143" s="20" t="str">
        <f>IFERROR(INDEX('Detalles movimientos'!F$5:F$1000, MATCH(134, 'Detalles movimientos'!$R$5:$R$1000, 0)), "")</f>
        <v/>
      </c>
      <c r="F143" s="19" t="str">
        <f>IFERROR(INDEX('Detalles movimientos'!G$5:G$1000, MATCH(134, 'Detalles movimientos'!$R$5:$R$1000, 0)), "")</f>
        <v/>
      </c>
      <c r="G143" s="21" t="str">
        <f>IFERROR(INDEX('Detalles movimientos'!H$5:H$1000, MATCH(134, 'Detalles movimientos'!$R$5:$R$1000, 0)), "")</f>
        <v/>
      </c>
      <c r="H143" s="22" t="str">
        <f>IFERROR(INDEX('Detalles movimientos'!I$5:I$1000, MATCH(134, 'Detalles movimientos'!$R$5:$R$1000, 0)), "")</f>
        <v/>
      </c>
      <c r="I143" s="21" t="str">
        <f>IFERROR(INDEX('Detalles movimientos'!J$5:J$1000, MATCH(134, 'Detalles movimientos'!$R$5:$R$1000, 0)), "")</f>
        <v/>
      </c>
      <c r="J143" s="20" t="str">
        <f>IFERROR(INDEX('Detalles movimientos'!K$5:K$1000, MATCH(134, 'Detalles movimientos'!$R$5:$R$1000, 0)), "")</f>
        <v/>
      </c>
      <c r="K143" s="21" t="str">
        <f>IFERROR(INDEX('Detalles movimientos'!L$5:L$1000, MATCH(134, 'Detalles movimientos'!$R$5:$R$1000, 0)), "")</f>
        <v/>
      </c>
      <c r="L143" s="19" t="str">
        <f>IFERROR(INDEX('Detalles movimientos'!M$5:M$1000, MATCH(134, 'Detalles movimientos'!$R$5:$R$1000, 0)), "")</f>
        <v/>
      </c>
      <c r="M143" s="19" t="str">
        <f>IFERROR(INDEX('Detalles movimientos'!P$5:P$1000, MATCH(134, 'Detalles movimientos'!$R$5:$R$1000, 0)), "")</f>
        <v/>
      </c>
    </row>
    <row r="144" spans="2:13" x14ac:dyDescent="0.2">
      <c r="B144" s="18" t="str">
        <f>IFERROR(INDEX('Detalles movimientos'!C$5:C$1000, MATCH(135, 'Detalles movimientos'!$R$5:$R$1000, 0)), "")</f>
        <v/>
      </c>
      <c r="C144" s="19" t="str">
        <f>IFERROR(INDEX('Detalles movimientos'!D$5:D$1000, MATCH(135, 'Detalles movimientos'!$R$5:$R$1000, 0)), "")</f>
        <v/>
      </c>
      <c r="D144" s="20" t="str">
        <f>IFERROR(INDEX('Detalles movimientos'!E$5:E$1000, MATCH(135, 'Detalles movimientos'!$R$5:$R$1000, 0)), "")</f>
        <v/>
      </c>
      <c r="E144" s="20" t="str">
        <f>IFERROR(INDEX('Detalles movimientos'!F$5:F$1000, MATCH(135, 'Detalles movimientos'!$R$5:$R$1000, 0)), "")</f>
        <v/>
      </c>
      <c r="F144" s="19" t="str">
        <f>IFERROR(INDEX('Detalles movimientos'!G$5:G$1000, MATCH(135, 'Detalles movimientos'!$R$5:$R$1000, 0)), "")</f>
        <v/>
      </c>
      <c r="G144" s="21" t="str">
        <f>IFERROR(INDEX('Detalles movimientos'!H$5:H$1000, MATCH(135, 'Detalles movimientos'!$R$5:$R$1000, 0)), "")</f>
        <v/>
      </c>
      <c r="H144" s="22" t="str">
        <f>IFERROR(INDEX('Detalles movimientos'!I$5:I$1000, MATCH(135, 'Detalles movimientos'!$R$5:$R$1000, 0)), "")</f>
        <v/>
      </c>
      <c r="I144" s="21" t="str">
        <f>IFERROR(INDEX('Detalles movimientos'!J$5:J$1000, MATCH(135, 'Detalles movimientos'!$R$5:$R$1000, 0)), "")</f>
        <v/>
      </c>
      <c r="J144" s="20" t="str">
        <f>IFERROR(INDEX('Detalles movimientos'!K$5:K$1000, MATCH(135, 'Detalles movimientos'!$R$5:$R$1000, 0)), "")</f>
        <v/>
      </c>
      <c r="K144" s="21" t="str">
        <f>IFERROR(INDEX('Detalles movimientos'!L$5:L$1000, MATCH(135, 'Detalles movimientos'!$R$5:$R$1000, 0)), "")</f>
        <v/>
      </c>
      <c r="L144" s="19" t="str">
        <f>IFERROR(INDEX('Detalles movimientos'!M$5:M$1000, MATCH(135, 'Detalles movimientos'!$R$5:$R$1000, 0)), "")</f>
        <v/>
      </c>
      <c r="M144" s="19" t="str">
        <f>IFERROR(INDEX('Detalles movimientos'!P$5:P$1000, MATCH(135, 'Detalles movimientos'!$R$5:$R$1000, 0)), "")</f>
        <v/>
      </c>
    </row>
    <row r="145" spans="2:13" x14ac:dyDescent="0.2">
      <c r="B145" s="18" t="str">
        <f>IFERROR(INDEX('Detalles movimientos'!C$5:C$1000, MATCH(136, 'Detalles movimientos'!$R$5:$R$1000, 0)), "")</f>
        <v/>
      </c>
      <c r="C145" s="19" t="str">
        <f>IFERROR(INDEX('Detalles movimientos'!D$5:D$1000, MATCH(136, 'Detalles movimientos'!$R$5:$R$1000, 0)), "")</f>
        <v/>
      </c>
      <c r="D145" s="20" t="str">
        <f>IFERROR(INDEX('Detalles movimientos'!E$5:E$1000, MATCH(136, 'Detalles movimientos'!$R$5:$R$1000, 0)), "")</f>
        <v/>
      </c>
      <c r="E145" s="20" t="str">
        <f>IFERROR(INDEX('Detalles movimientos'!F$5:F$1000, MATCH(136, 'Detalles movimientos'!$R$5:$R$1000, 0)), "")</f>
        <v/>
      </c>
      <c r="F145" s="19" t="str">
        <f>IFERROR(INDEX('Detalles movimientos'!G$5:G$1000, MATCH(136, 'Detalles movimientos'!$R$5:$R$1000, 0)), "")</f>
        <v/>
      </c>
      <c r="G145" s="21" t="str">
        <f>IFERROR(INDEX('Detalles movimientos'!H$5:H$1000, MATCH(136, 'Detalles movimientos'!$R$5:$R$1000, 0)), "")</f>
        <v/>
      </c>
      <c r="H145" s="22" t="str">
        <f>IFERROR(INDEX('Detalles movimientos'!I$5:I$1000, MATCH(136, 'Detalles movimientos'!$R$5:$R$1000, 0)), "")</f>
        <v/>
      </c>
      <c r="I145" s="21" t="str">
        <f>IFERROR(INDEX('Detalles movimientos'!J$5:J$1000, MATCH(136, 'Detalles movimientos'!$R$5:$R$1000, 0)), "")</f>
        <v/>
      </c>
      <c r="J145" s="20" t="str">
        <f>IFERROR(INDEX('Detalles movimientos'!K$5:K$1000, MATCH(136, 'Detalles movimientos'!$R$5:$R$1000, 0)), "")</f>
        <v/>
      </c>
      <c r="K145" s="21" t="str">
        <f>IFERROR(INDEX('Detalles movimientos'!L$5:L$1000, MATCH(136, 'Detalles movimientos'!$R$5:$R$1000, 0)), "")</f>
        <v/>
      </c>
      <c r="L145" s="19" t="str">
        <f>IFERROR(INDEX('Detalles movimientos'!M$5:M$1000, MATCH(136, 'Detalles movimientos'!$R$5:$R$1000, 0)), "")</f>
        <v/>
      </c>
      <c r="M145" s="19" t="str">
        <f>IFERROR(INDEX('Detalles movimientos'!P$5:P$1000, MATCH(136, 'Detalles movimientos'!$R$5:$R$1000, 0)), "")</f>
        <v/>
      </c>
    </row>
    <row r="146" spans="2:13" x14ac:dyDescent="0.2">
      <c r="B146" s="18" t="str">
        <f>IFERROR(INDEX('Detalles movimientos'!C$5:C$1000, MATCH(137, 'Detalles movimientos'!$R$5:$R$1000, 0)), "")</f>
        <v/>
      </c>
      <c r="C146" s="19" t="str">
        <f>IFERROR(INDEX('Detalles movimientos'!D$5:D$1000, MATCH(137, 'Detalles movimientos'!$R$5:$R$1000, 0)), "")</f>
        <v/>
      </c>
      <c r="D146" s="20" t="str">
        <f>IFERROR(INDEX('Detalles movimientos'!E$5:E$1000, MATCH(137, 'Detalles movimientos'!$R$5:$R$1000, 0)), "")</f>
        <v/>
      </c>
      <c r="E146" s="20" t="str">
        <f>IFERROR(INDEX('Detalles movimientos'!F$5:F$1000, MATCH(137, 'Detalles movimientos'!$R$5:$R$1000, 0)), "")</f>
        <v/>
      </c>
      <c r="F146" s="19" t="str">
        <f>IFERROR(INDEX('Detalles movimientos'!G$5:G$1000, MATCH(137, 'Detalles movimientos'!$R$5:$R$1000, 0)), "")</f>
        <v/>
      </c>
      <c r="G146" s="21" t="str">
        <f>IFERROR(INDEX('Detalles movimientos'!H$5:H$1000, MATCH(137, 'Detalles movimientos'!$R$5:$R$1000, 0)), "")</f>
        <v/>
      </c>
      <c r="H146" s="22" t="str">
        <f>IFERROR(INDEX('Detalles movimientos'!I$5:I$1000, MATCH(137, 'Detalles movimientos'!$R$5:$R$1000, 0)), "")</f>
        <v/>
      </c>
      <c r="I146" s="21" t="str">
        <f>IFERROR(INDEX('Detalles movimientos'!J$5:J$1000, MATCH(137, 'Detalles movimientos'!$R$5:$R$1000, 0)), "")</f>
        <v/>
      </c>
      <c r="J146" s="20" t="str">
        <f>IFERROR(INDEX('Detalles movimientos'!K$5:K$1000, MATCH(137, 'Detalles movimientos'!$R$5:$R$1000, 0)), "")</f>
        <v/>
      </c>
      <c r="K146" s="21" t="str">
        <f>IFERROR(INDEX('Detalles movimientos'!L$5:L$1000, MATCH(137, 'Detalles movimientos'!$R$5:$R$1000, 0)), "")</f>
        <v/>
      </c>
      <c r="L146" s="19" t="str">
        <f>IFERROR(INDEX('Detalles movimientos'!M$5:M$1000, MATCH(137, 'Detalles movimientos'!$R$5:$R$1000, 0)), "")</f>
        <v/>
      </c>
      <c r="M146" s="19" t="str">
        <f>IFERROR(INDEX('Detalles movimientos'!P$5:P$1000, MATCH(137, 'Detalles movimientos'!$R$5:$R$1000, 0)), "")</f>
        <v/>
      </c>
    </row>
    <row r="147" spans="2:13" x14ac:dyDescent="0.2">
      <c r="B147" s="18" t="str">
        <f>IFERROR(INDEX('Detalles movimientos'!C$5:C$1000, MATCH(138, 'Detalles movimientos'!$R$5:$R$1000, 0)), "")</f>
        <v/>
      </c>
      <c r="C147" s="19" t="str">
        <f>IFERROR(INDEX('Detalles movimientos'!D$5:D$1000, MATCH(138, 'Detalles movimientos'!$R$5:$R$1000, 0)), "")</f>
        <v/>
      </c>
      <c r="D147" s="20" t="str">
        <f>IFERROR(INDEX('Detalles movimientos'!E$5:E$1000, MATCH(138, 'Detalles movimientos'!$R$5:$R$1000, 0)), "")</f>
        <v/>
      </c>
      <c r="E147" s="20" t="str">
        <f>IFERROR(INDEX('Detalles movimientos'!F$5:F$1000, MATCH(138, 'Detalles movimientos'!$R$5:$R$1000, 0)), "")</f>
        <v/>
      </c>
      <c r="F147" s="19" t="str">
        <f>IFERROR(INDEX('Detalles movimientos'!G$5:G$1000, MATCH(138, 'Detalles movimientos'!$R$5:$R$1000, 0)), "")</f>
        <v/>
      </c>
      <c r="G147" s="21" t="str">
        <f>IFERROR(INDEX('Detalles movimientos'!H$5:H$1000, MATCH(138, 'Detalles movimientos'!$R$5:$R$1000, 0)), "")</f>
        <v/>
      </c>
      <c r="H147" s="22" t="str">
        <f>IFERROR(INDEX('Detalles movimientos'!I$5:I$1000, MATCH(138, 'Detalles movimientos'!$R$5:$R$1000, 0)), "")</f>
        <v/>
      </c>
      <c r="I147" s="21" t="str">
        <f>IFERROR(INDEX('Detalles movimientos'!J$5:J$1000, MATCH(138, 'Detalles movimientos'!$R$5:$R$1000, 0)), "")</f>
        <v/>
      </c>
      <c r="J147" s="20" t="str">
        <f>IFERROR(INDEX('Detalles movimientos'!K$5:K$1000, MATCH(138, 'Detalles movimientos'!$R$5:$R$1000, 0)), "")</f>
        <v/>
      </c>
      <c r="K147" s="21" t="str">
        <f>IFERROR(INDEX('Detalles movimientos'!L$5:L$1000, MATCH(138, 'Detalles movimientos'!$R$5:$R$1000, 0)), "")</f>
        <v/>
      </c>
      <c r="L147" s="19" t="str">
        <f>IFERROR(INDEX('Detalles movimientos'!M$5:M$1000, MATCH(138, 'Detalles movimientos'!$R$5:$R$1000, 0)), "")</f>
        <v/>
      </c>
      <c r="M147" s="19" t="str">
        <f>IFERROR(INDEX('Detalles movimientos'!P$5:P$1000, MATCH(138, 'Detalles movimientos'!$R$5:$R$1000, 0)), "")</f>
        <v/>
      </c>
    </row>
    <row r="148" spans="2:13" x14ac:dyDescent="0.2">
      <c r="B148" s="18" t="str">
        <f>IFERROR(INDEX('Detalles movimientos'!C$5:C$1000, MATCH(139, 'Detalles movimientos'!$R$5:$R$1000, 0)), "")</f>
        <v/>
      </c>
      <c r="C148" s="19" t="str">
        <f>IFERROR(INDEX('Detalles movimientos'!D$5:D$1000, MATCH(139, 'Detalles movimientos'!$R$5:$R$1000, 0)), "")</f>
        <v/>
      </c>
      <c r="D148" s="20" t="str">
        <f>IFERROR(INDEX('Detalles movimientos'!E$5:E$1000, MATCH(139, 'Detalles movimientos'!$R$5:$R$1000, 0)), "")</f>
        <v/>
      </c>
      <c r="E148" s="20" t="str">
        <f>IFERROR(INDEX('Detalles movimientos'!F$5:F$1000, MATCH(139, 'Detalles movimientos'!$R$5:$R$1000, 0)), "")</f>
        <v/>
      </c>
      <c r="F148" s="19" t="str">
        <f>IFERROR(INDEX('Detalles movimientos'!G$5:G$1000, MATCH(139, 'Detalles movimientos'!$R$5:$R$1000, 0)), "")</f>
        <v/>
      </c>
      <c r="G148" s="21" t="str">
        <f>IFERROR(INDEX('Detalles movimientos'!H$5:H$1000, MATCH(139, 'Detalles movimientos'!$R$5:$R$1000, 0)), "")</f>
        <v/>
      </c>
      <c r="H148" s="22" t="str">
        <f>IFERROR(INDEX('Detalles movimientos'!I$5:I$1000, MATCH(139, 'Detalles movimientos'!$R$5:$R$1000, 0)), "")</f>
        <v/>
      </c>
      <c r="I148" s="21" t="str">
        <f>IFERROR(INDEX('Detalles movimientos'!J$5:J$1000, MATCH(139, 'Detalles movimientos'!$R$5:$R$1000, 0)), "")</f>
        <v/>
      </c>
      <c r="J148" s="20" t="str">
        <f>IFERROR(INDEX('Detalles movimientos'!K$5:K$1000, MATCH(139, 'Detalles movimientos'!$R$5:$R$1000, 0)), "")</f>
        <v/>
      </c>
      <c r="K148" s="21" t="str">
        <f>IFERROR(INDEX('Detalles movimientos'!L$5:L$1000, MATCH(139, 'Detalles movimientos'!$R$5:$R$1000, 0)), "")</f>
        <v/>
      </c>
      <c r="L148" s="19" t="str">
        <f>IFERROR(INDEX('Detalles movimientos'!M$5:M$1000, MATCH(139, 'Detalles movimientos'!$R$5:$R$1000, 0)), "")</f>
        <v/>
      </c>
      <c r="M148" s="19" t="str">
        <f>IFERROR(INDEX('Detalles movimientos'!P$5:P$1000, MATCH(139, 'Detalles movimientos'!$R$5:$R$1000, 0)), "")</f>
        <v/>
      </c>
    </row>
    <row r="149" spans="2:13" x14ac:dyDescent="0.2">
      <c r="B149" s="18" t="str">
        <f>IFERROR(INDEX('Detalles movimientos'!C$5:C$1000, MATCH(140, 'Detalles movimientos'!$R$5:$R$1000, 0)), "")</f>
        <v/>
      </c>
      <c r="C149" s="19" t="str">
        <f>IFERROR(INDEX('Detalles movimientos'!D$5:D$1000, MATCH(140, 'Detalles movimientos'!$R$5:$R$1000, 0)), "")</f>
        <v/>
      </c>
      <c r="D149" s="20" t="str">
        <f>IFERROR(INDEX('Detalles movimientos'!E$5:E$1000, MATCH(140, 'Detalles movimientos'!$R$5:$R$1000, 0)), "")</f>
        <v/>
      </c>
      <c r="E149" s="20" t="str">
        <f>IFERROR(INDEX('Detalles movimientos'!F$5:F$1000, MATCH(140, 'Detalles movimientos'!$R$5:$R$1000, 0)), "")</f>
        <v/>
      </c>
      <c r="F149" s="19" t="str">
        <f>IFERROR(INDEX('Detalles movimientos'!G$5:G$1000, MATCH(140, 'Detalles movimientos'!$R$5:$R$1000, 0)), "")</f>
        <v/>
      </c>
      <c r="G149" s="21" t="str">
        <f>IFERROR(INDEX('Detalles movimientos'!H$5:H$1000, MATCH(140, 'Detalles movimientos'!$R$5:$R$1000, 0)), "")</f>
        <v/>
      </c>
      <c r="H149" s="22" t="str">
        <f>IFERROR(INDEX('Detalles movimientos'!I$5:I$1000, MATCH(140, 'Detalles movimientos'!$R$5:$R$1000, 0)), "")</f>
        <v/>
      </c>
      <c r="I149" s="21" t="str">
        <f>IFERROR(INDEX('Detalles movimientos'!J$5:J$1000, MATCH(140, 'Detalles movimientos'!$R$5:$R$1000, 0)), "")</f>
        <v/>
      </c>
      <c r="J149" s="20" t="str">
        <f>IFERROR(INDEX('Detalles movimientos'!K$5:K$1000, MATCH(140, 'Detalles movimientos'!$R$5:$R$1000, 0)), "")</f>
        <v/>
      </c>
      <c r="K149" s="21" t="str">
        <f>IFERROR(INDEX('Detalles movimientos'!L$5:L$1000, MATCH(140, 'Detalles movimientos'!$R$5:$R$1000, 0)), "")</f>
        <v/>
      </c>
      <c r="L149" s="19" t="str">
        <f>IFERROR(INDEX('Detalles movimientos'!M$5:M$1000, MATCH(140, 'Detalles movimientos'!$R$5:$R$1000, 0)), "")</f>
        <v/>
      </c>
      <c r="M149" s="19" t="str">
        <f>IFERROR(INDEX('Detalles movimientos'!P$5:P$1000, MATCH(140, 'Detalles movimientos'!$R$5:$R$1000, 0)), "")</f>
        <v/>
      </c>
    </row>
    <row r="150" spans="2:13" x14ac:dyDescent="0.2">
      <c r="B150" s="18" t="str">
        <f>IFERROR(INDEX('Detalles movimientos'!C$5:C$1000, MATCH(141, 'Detalles movimientos'!$R$5:$R$1000, 0)), "")</f>
        <v/>
      </c>
      <c r="C150" s="19" t="str">
        <f>IFERROR(INDEX('Detalles movimientos'!D$5:D$1000, MATCH(141, 'Detalles movimientos'!$R$5:$R$1000, 0)), "")</f>
        <v/>
      </c>
      <c r="D150" s="20" t="str">
        <f>IFERROR(INDEX('Detalles movimientos'!E$5:E$1000, MATCH(141, 'Detalles movimientos'!$R$5:$R$1000, 0)), "")</f>
        <v/>
      </c>
      <c r="E150" s="20" t="str">
        <f>IFERROR(INDEX('Detalles movimientos'!F$5:F$1000, MATCH(141, 'Detalles movimientos'!$R$5:$R$1000, 0)), "")</f>
        <v/>
      </c>
      <c r="F150" s="19" t="str">
        <f>IFERROR(INDEX('Detalles movimientos'!G$5:G$1000, MATCH(141, 'Detalles movimientos'!$R$5:$R$1000, 0)), "")</f>
        <v/>
      </c>
      <c r="G150" s="21" t="str">
        <f>IFERROR(INDEX('Detalles movimientos'!H$5:H$1000, MATCH(141, 'Detalles movimientos'!$R$5:$R$1000, 0)), "")</f>
        <v/>
      </c>
      <c r="H150" s="22" t="str">
        <f>IFERROR(INDEX('Detalles movimientos'!I$5:I$1000, MATCH(141, 'Detalles movimientos'!$R$5:$R$1000, 0)), "")</f>
        <v/>
      </c>
      <c r="I150" s="21" t="str">
        <f>IFERROR(INDEX('Detalles movimientos'!J$5:J$1000, MATCH(141, 'Detalles movimientos'!$R$5:$R$1000, 0)), "")</f>
        <v/>
      </c>
      <c r="J150" s="20" t="str">
        <f>IFERROR(INDEX('Detalles movimientos'!K$5:K$1000, MATCH(141, 'Detalles movimientos'!$R$5:$R$1000, 0)), "")</f>
        <v/>
      </c>
      <c r="K150" s="21" t="str">
        <f>IFERROR(INDEX('Detalles movimientos'!L$5:L$1000, MATCH(141, 'Detalles movimientos'!$R$5:$R$1000, 0)), "")</f>
        <v/>
      </c>
      <c r="L150" s="19" t="str">
        <f>IFERROR(INDEX('Detalles movimientos'!M$5:M$1000, MATCH(141, 'Detalles movimientos'!$R$5:$R$1000, 0)), "")</f>
        <v/>
      </c>
      <c r="M150" s="19" t="str">
        <f>IFERROR(INDEX('Detalles movimientos'!P$5:P$1000, MATCH(141, 'Detalles movimientos'!$R$5:$R$1000, 0)), "")</f>
        <v/>
      </c>
    </row>
    <row r="151" spans="2:13" x14ac:dyDescent="0.2">
      <c r="B151" s="18" t="str">
        <f>IFERROR(INDEX('Detalles movimientos'!C$5:C$1000, MATCH(142, 'Detalles movimientos'!$R$5:$R$1000, 0)), "")</f>
        <v/>
      </c>
      <c r="C151" s="19" t="str">
        <f>IFERROR(INDEX('Detalles movimientos'!D$5:D$1000, MATCH(142, 'Detalles movimientos'!$R$5:$R$1000, 0)), "")</f>
        <v/>
      </c>
      <c r="D151" s="20" t="str">
        <f>IFERROR(INDEX('Detalles movimientos'!E$5:E$1000, MATCH(142, 'Detalles movimientos'!$R$5:$R$1000, 0)), "")</f>
        <v/>
      </c>
      <c r="E151" s="20" t="str">
        <f>IFERROR(INDEX('Detalles movimientos'!F$5:F$1000, MATCH(142, 'Detalles movimientos'!$R$5:$R$1000, 0)), "")</f>
        <v/>
      </c>
      <c r="F151" s="19" t="str">
        <f>IFERROR(INDEX('Detalles movimientos'!G$5:G$1000, MATCH(142, 'Detalles movimientos'!$R$5:$R$1000, 0)), "")</f>
        <v/>
      </c>
      <c r="G151" s="21" t="str">
        <f>IFERROR(INDEX('Detalles movimientos'!H$5:H$1000, MATCH(142, 'Detalles movimientos'!$R$5:$R$1000, 0)), "")</f>
        <v/>
      </c>
      <c r="H151" s="22" t="str">
        <f>IFERROR(INDEX('Detalles movimientos'!I$5:I$1000, MATCH(142, 'Detalles movimientos'!$R$5:$R$1000, 0)), "")</f>
        <v/>
      </c>
      <c r="I151" s="21" t="str">
        <f>IFERROR(INDEX('Detalles movimientos'!J$5:J$1000, MATCH(142, 'Detalles movimientos'!$R$5:$R$1000, 0)), "")</f>
        <v/>
      </c>
      <c r="J151" s="20" t="str">
        <f>IFERROR(INDEX('Detalles movimientos'!K$5:K$1000, MATCH(142, 'Detalles movimientos'!$R$5:$R$1000, 0)), "")</f>
        <v/>
      </c>
      <c r="K151" s="21" t="str">
        <f>IFERROR(INDEX('Detalles movimientos'!L$5:L$1000, MATCH(142, 'Detalles movimientos'!$R$5:$R$1000, 0)), "")</f>
        <v/>
      </c>
      <c r="L151" s="19" t="str">
        <f>IFERROR(INDEX('Detalles movimientos'!M$5:M$1000, MATCH(142, 'Detalles movimientos'!$R$5:$R$1000, 0)), "")</f>
        <v/>
      </c>
      <c r="M151" s="19" t="str">
        <f>IFERROR(INDEX('Detalles movimientos'!P$5:P$1000, MATCH(142, 'Detalles movimientos'!$R$5:$R$1000, 0)), "")</f>
        <v/>
      </c>
    </row>
    <row r="152" spans="2:13" x14ac:dyDescent="0.2">
      <c r="B152" s="18" t="str">
        <f>IFERROR(INDEX('Detalles movimientos'!C$5:C$1000, MATCH(143, 'Detalles movimientos'!$R$5:$R$1000, 0)), "")</f>
        <v/>
      </c>
      <c r="C152" s="19" t="str">
        <f>IFERROR(INDEX('Detalles movimientos'!D$5:D$1000, MATCH(143, 'Detalles movimientos'!$R$5:$R$1000, 0)), "")</f>
        <v/>
      </c>
      <c r="D152" s="20" t="str">
        <f>IFERROR(INDEX('Detalles movimientos'!E$5:E$1000, MATCH(143, 'Detalles movimientos'!$R$5:$R$1000, 0)), "")</f>
        <v/>
      </c>
      <c r="E152" s="20" t="str">
        <f>IFERROR(INDEX('Detalles movimientos'!F$5:F$1000, MATCH(143, 'Detalles movimientos'!$R$5:$R$1000, 0)), "")</f>
        <v/>
      </c>
      <c r="F152" s="19" t="str">
        <f>IFERROR(INDEX('Detalles movimientos'!G$5:G$1000, MATCH(143, 'Detalles movimientos'!$R$5:$R$1000, 0)), "")</f>
        <v/>
      </c>
      <c r="G152" s="21" t="str">
        <f>IFERROR(INDEX('Detalles movimientos'!H$5:H$1000, MATCH(143, 'Detalles movimientos'!$R$5:$R$1000, 0)), "")</f>
        <v/>
      </c>
      <c r="H152" s="22" t="str">
        <f>IFERROR(INDEX('Detalles movimientos'!I$5:I$1000, MATCH(143, 'Detalles movimientos'!$R$5:$R$1000, 0)), "")</f>
        <v/>
      </c>
      <c r="I152" s="21" t="str">
        <f>IFERROR(INDEX('Detalles movimientos'!J$5:J$1000, MATCH(143, 'Detalles movimientos'!$R$5:$R$1000, 0)), "")</f>
        <v/>
      </c>
      <c r="J152" s="20" t="str">
        <f>IFERROR(INDEX('Detalles movimientos'!K$5:K$1000, MATCH(143, 'Detalles movimientos'!$R$5:$R$1000, 0)), "")</f>
        <v/>
      </c>
      <c r="K152" s="21" t="str">
        <f>IFERROR(INDEX('Detalles movimientos'!L$5:L$1000, MATCH(143, 'Detalles movimientos'!$R$5:$R$1000, 0)), "")</f>
        <v/>
      </c>
      <c r="L152" s="19" t="str">
        <f>IFERROR(INDEX('Detalles movimientos'!M$5:M$1000, MATCH(143, 'Detalles movimientos'!$R$5:$R$1000, 0)), "")</f>
        <v/>
      </c>
      <c r="M152" s="19" t="str">
        <f>IFERROR(INDEX('Detalles movimientos'!P$5:P$1000, MATCH(143, 'Detalles movimientos'!$R$5:$R$1000, 0)), "")</f>
        <v/>
      </c>
    </row>
    <row r="153" spans="2:13" x14ac:dyDescent="0.2">
      <c r="B153" s="18" t="str">
        <f>IFERROR(INDEX('Detalles movimientos'!C$5:C$1000, MATCH(144, 'Detalles movimientos'!$R$5:$R$1000, 0)), "")</f>
        <v/>
      </c>
      <c r="C153" s="19" t="str">
        <f>IFERROR(INDEX('Detalles movimientos'!D$5:D$1000, MATCH(144, 'Detalles movimientos'!$R$5:$R$1000, 0)), "")</f>
        <v/>
      </c>
      <c r="D153" s="20" t="str">
        <f>IFERROR(INDEX('Detalles movimientos'!E$5:E$1000, MATCH(144, 'Detalles movimientos'!$R$5:$R$1000, 0)), "")</f>
        <v/>
      </c>
      <c r="E153" s="20" t="str">
        <f>IFERROR(INDEX('Detalles movimientos'!F$5:F$1000, MATCH(144, 'Detalles movimientos'!$R$5:$R$1000, 0)), "")</f>
        <v/>
      </c>
      <c r="F153" s="19" t="str">
        <f>IFERROR(INDEX('Detalles movimientos'!G$5:G$1000, MATCH(144, 'Detalles movimientos'!$R$5:$R$1000, 0)), "")</f>
        <v/>
      </c>
      <c r="G153" s="21" t="str">
        <f>IFERROR(INDEX('Detalles movimientos'!H$5:H$1000, MATCH(144, 'Detalles movimientos'!$R$5:$R$1000, 0)), "")</f>
        <v/>
      </c>
      <c r="H153" s="22" t="str">
        <f>IFERROR(INDEX('Detalles movimientos'!I$5:I$1000, MATCH(144, 'Detalles movimientos'!$R$5:$R$1000, 0)), "")</f>
        <v/>
      </c>
      <c r="I153" s="21" t="str">
        <f>IFERROR(INDEX('Detalles movimientos'!J$5:J$1000, MATCH(144, 'Detalles movimientos'!$R$5:$R$1000, 0)), "")</f>
        <v/>
      </c>
      <c r="J153" s="20" t="str">
        <f>IFERROR(INDEX('Detalles movimientos'!K$5:K$1000, MATCH(144, 'Detalles movimientos'!$R$5:$R$1000, 0)), "")</f>
        <v/>
      </c>
      <c r="K153" s="21" t="str">
        <f>IFERROR(INDEX('Detalles movimientos'!L$5:L$1000, MATCH(144, 'Detalles movimientos'!$R$5:$R$1000, 0)), "")</f>
        <v/>
      </c>
      <c r="L153" s="19" t="str">
        <f>IFERROR(INDEX('Detalles movimientos'!M$5:M$1000, MATCH(144, 'Detalles movimientos'!$R$5:$R$1000, 0)), "")</f>
        <v/>
      </c>
      <c r="M153" s="19" t="str">
        <f>IFERROR(INDEX('Detalles movimientos'!P$5:P$1000, MATCH(144, 'Detalles movimientos'!$R$5:$R$1000, 0)), "")</f>
        <v/>
      </c>
    </row>
    <row r="154" spans="2:13" x14ac:dyDescent="0.2">
      <c r="B154" s="18" t="str">
        <f>IFERROR(INDEX('Detalles movimientos'!C$5:C$1000, MATCH(145, 'Detalles movimientos'!$R$5:$R$1000, 0)), "")</f>
        <v/>
      </c>
      <c r="C154" s="19" t="str">
        <f>IFERROR(INDEX('Detalles movimientos'!D$5:D$1000, MATCH(145, 'Detalles movimientos'!$R$5:$R$1000, 0)), "")</f>
        <v/>
      </c>
      <c r="D154" s="20" t="str">
        <f>IFERROR(INDEX('Detalles movimientos'!E$5:E$1000, MATCH(145, 'Detalles movimientos'!$R$5:$R$1000, 0)), "")</f>
        <v/>
      </c>
      <c r="E154" s="20" t="str">
        <f>IFERROR(INDEX('Detalles movimientos'!F$5:F$1000, MATCH(145, 'Detalles movimientos'!$R$5:$R$1000, 0)), "")</f>
        <v/>
      </c>
      <c r="F154" s="19" t="str">
        <f>IFERROR(INDEX('Detalles movimientos'!G$5:G$1000, MATCH(145, 'Detalles movimientos'!$R$5:$R$1000, 0)), "")</f>
        <v/>
      </c>
      <c r="G154" s="21" t="str">
        <f>IFERROR(INDEX('Detalles movimientos'!H$5:H$1000, MATCH(145, 'Detalles movimientos'!$R$5:$R$1000, 0)), "")</f>
        <v/>
      </c>
      <c r="H154" s="22" t="str">
        <f>IFERROR(INDEX('Detalles movimientos'!I$5:I$1000, MATCH(145, 'Detalles movimientos'!$R$5:$R$1000, 0)), "")</f>
        <v/>
      </c>
      <c r="I154" s="21" t="str">
        <f>IFERROR(INDEX('Detalles movimientos'!J$5:J$1000, MATCH(145, 'Detalles movimientos'!$R$5:$R$1000, 0)), "")</f>
        <v/>
      </c>
      <c r="J154" s="20" t="str">
        <f>IFERROR(INDEX('Detalles movimientos'!K$5:K$1000, MATCH(145, 'Detalles movimientos'!$R$5:$R$1000, 0)), "")</f>
        <v/>
      </c>
      <c r="K154" s="21" t="str">
        <f>IFERROR(INDEX('Detalles movimientos'!L$5:L$1000, MATCH(145, 'Detalles movimientos'!$R$5:$R$1000, 0)), "")</f>
        <v/>
      </c>
      <c r="L154" s="19" t="str">
        <f>IFERROR(INDEX('Detalles movimientos'!M$5:M$1000, MATCH(145, 'Detalles movimientos'!$R$5:$R$1000, 0)), "")</f>
        <v/>
      </c>
      <c r="M154" s="19" t="str">
        <f>IFERROR(INDEX('Detalles movimientos'!P$5:P$1000, MATCH(145, 'Detalles movimientos'!$R$5:$R$1000, 0)), "")</f>
        <v/>
      </c>
    </row>
    <row r="155" spans="2:13" x14ac:dyDescent="0.2">
      <c r="B155" s="18" t="str">
        <f>IFERROR(INDEX('Detalles movimientos'!C$5:C$1000, MATCH(146, 'Detalles movimientos'!$R$5:$R$1000, 0)), "")</f>
        <v/>
      </c>
      <c r="C155" s="19" t="str">
        <f>IFERROR(INDEX('Detalles movimientos'!D$5:D$1000, MATCH(146, 'Detalles movimientos'!$R$5:$R$1000, 0)), "")</f>
        <v/>
      </c>
      <c r="D155" s="20" t="str">
        <f>IFERROR(INDEX('Detalles movimientos'!E$5:E$1000, MATCH(146, 'Detalles movimientos'!$R$5:$R$1000, 0)), "")</f>
        <v/>
      </c>
      <c r="E155" s="20" t="str">
        <f>IFERROR(INDEX('Detalles movimientos'!F$5:F$1000, MATCH(146, 'Detalles movimientos'!$R$5:$R$1000, 0)), "")</f>
        <v/>
      </c>
      <c r="F155" s="19" t="str">
        <f>IFERROR(INDEX('Detalles movimientos'!G$5:G$1000, MATCH(146, 'Detalles movimientos'!$R$5:$R$1000, 0)), "")</f>
        <v/>
      </c>
      <c r="G155" s="21" t="str">
        <f>IFERROR(INDEX('Detalles movimientos'!H$5:H$1000, MATCH(146, 'Detalles movimientos'!$R$5:$R$1000, 0)), "")</f>
        <v/>
      </c>
      <c r="H155" s="22" t="str">
        <f>IFERROR(INDEX('Detalles movimientos'!I$5:I$1000, MATCH(146, 'Detalles movimientos'!$R$5:$R$1000, 0)), "")</f>
        <v/>
      </c>
      <c r="I155" s="21" t="str">
        <f>IFERROR(INDEX('Detalles movimientos'!J$5:J$1000, MATCH(146, 'Detalles movimientos'!$R$5:$R$1000, 0)), "")</f>
        <v/>
      </c>
      <c r="J155" s="20" t="str">
        <f>IFERROR(INDEX('Detalles movimientos'!K$5:K$1000, MATCH(146, 'Detalles movimientos'!$R$5:$R$1000, 0)), "")</f>
        <v/>
      </c>
      <c r="K155" s="21" t="str">
        <f>IFERROR(INDEX('Detalles movimientos'!L$5:L$1000, MATCH(146, 'Detalles movimientos'!$R$5:$R$1000, 0)), "")</f>
        <v/>
      </c>
      <c r="L155" s="19" t="str">
        <f>IFERROR(INDEX('Detalles movimientos'!M$5:M$1000, MATCH(146, 'Detalles movimientos'!$R$5:$R$1000, 0)), "")</f>
        <v/>
      </c>
      <c r="M155" s="19" t="str">
        <f>IFERROR(INDEX('Detalles movimientos'!P$5:P$1000, MATCH(146, 'Detalles movimientos'!$R$5:$R$1000, 0)), "")</f>
        <v/>
      </c>
    </row>
    <row r="156" spans="2:13" x14ac:dyDescent="0.2">
      <c r="B156" s="18" t="str">
        <f>IFERROR(INDEX('Detalles movimientos'!C$5:C$1000, MATCH(147, 'Detalles movimientos'!$R$5:$R$1000, 0)), "")</f>
        <v/>
      </c>
      <c r="C156" s="19" t="str">
        <f>IFERROR(INDEX('Detalles movimientos'!D$5:D$1000, MATCH(147, 'Detalles movimientos'!$R$5:$R$1000, 0)), "")</f>
        <v/>
      </c>
      <c r="D156" s="20" t="str">
        <f>IFERROR(INDEX('Detalles movimientos'!E$5:E$1000, MATCH(147, 'Detalles movimientos'!$R$5:$R$1000, 0)), "")</f>
        <v/>
      </c>
      <c r="E156" s="20" t="str">
        <f>IFERROR(INDEX('Detalles movimientos'!F$5:F$1000, MATCH(147, 'Detalles movimientos'!$R$5:$R$1000, 0)), "")</f>
        <v/>
      </c>
      <c r="F156" s="19" t="str">
        <f>IFERROR(INDEX('Detalles movimientos'!G$5:G$1000, MATCH(147, 'Detalles movimientos'!$R$5:$R$1000, 0)), "")</f>
        <v/>
      </c>
      <c r="G156" s="21" t="str">
        <f>IFERROR(INDEX('Detalles movimientos'!H$5:H$1000, MATCH(147, 'Detalles movimientos'!$R$5:$R$1000, 0)), "")</f>
        <v/>
      </c>
      <c r="H156" s="22" t="str">
        <f>IFERROR(INDEX('Detalles movimientos'!I$5:I$1000, MATCH(147, 'Detalles movimientos'!$R$5:$R$1000, 0)), "")</f>
        <v/>
      </c>
      <c r="I156" s="21" t="str">
        <f>IFERROR(INDEX('Detalles movimientos'!J$5:J$1000, MATCH(147, 'Detalles movimientos'!$R$5:$R$1000, 0)), "")</f>
        <v/>
      </c>
      <c r="J156" s="20" t="str">
        <f>IFERROR(INDEX('Detalles movimientos'!K$5:K$1000, MATCH(147, 'Detalles movimientos'!$R$5:$R$1000, 0)), "")</f>
        <v/>
      </c>
      <c r="K156" s="21" t="str">
        <f>IFERROR(INDEX('Detalles movimientos'!L$5:L$1000, MATCH(147, 'Detalles movimientos'!$R$5:$R$1000, 0)), "")</f>
        <v/>
      </c>
      <c r="L156" s="19" t="str">
        <f>IFERROR(INDEX('Detalles movimientos'!M$5:M$1000, MATCH(147, 'Detalles movimientos'!$R$5:$R$1000, 0)), "")</f>
        <v/>
      </c>
      <c r="M156" s="19" t="str">
        <f>IFERROR(INDEX('Detalles movimientos'!P$5:P$1000, MATCH(147, 'Detalles movimientos'!$R$5:$R$1000, 0)), "")</f>
        <v/>
      </c>
    </row>
    <row r="157" spans="2:13" x14ac:dyDescent="0.2">
      <c r="B157" s="18" t="str">
        <f>IFERROR(INDEX('Detalles movimientos'!C$5:C$1000, MATCH(148, 'Detalles movimientos'!$R$5:$R$1000, 0)), "")</f>
        <v/>
      </c>
      <c r="C157" s="19" t="str">
        <f>IFERROR(INDEX('Detalles movimientos'!D$5:D$1000, MATCH(148, 'Detalles movimientos'!$R$5:$R$1000, 0)), "")</f>
        <v/>
      </c>
      <c r="D157" s="20" t="str">
        <f>IFERROR(INDEX('Detalles movimientos'!E$5:E$1000, MATCH(148, 'Detalles movimientos'!$R$5:$R$1000, 0)), "")</f>
        <v/>
      </c>
      <c r="E157" s="20" t="str">
        <f>IFERROR(INDEX('Detalles movimientos'!F$5:F$1000, MATCH(148, 'Detalles movimientos'!$R$5:$R$1000, 0)), "")</f>
        <v/>
      </c>
      <c r="F157" s="19" t="str">
        <f>IFERROR(INDEX('Detalles movimientos'!G$5:G$1000, MATCH(148, 'Detalles movimientos'!$R$5:$R$1000, 0)), "")</f>
        <v/>
      </c>
      <c r="G157" s="21" t="str">
        <f>IFERROR(INDEX('Detalles movimientos'!H$5:H$1000, MATCH(148, 'Detalles movimientos'!$R$5:$R$1000, 0)), "")</f>
        <v/>
      </c>
      <c r="H157" s="22" t="str">
        <f>IFERROR(INDEX('Detalles movimientos'!I$5:I$1000, MATCH(148, 'Detalles movimientos'!$R$5:$R$1000, 0)), "")</f>
        <v/>
      </c>
      <c r="I157" s="21" t="str">
        <f>IFERROR(INDEX('Detalles movimientos'!J$5:J$1000, MATCH(148, 'Detalles movimientos'!$R$5:$R$1000, 0)), "")</f>
        <v/>
      </c>
      <c r="J157" s="20" t="str">
        <f>IFERROR(INDEX('Detalles movimientos'!K$5:K$1000, MATCH(148, 'Detalles movimientos'!$R$5:$R$1000, 0)), "")</f>
        <v/>
      </c>
      <c r="K157" s="21" t="str">
        <f>IFERROR(INDEX('Detalles movimientos'!L$5:L$1000, MATCH(148, 'Detalles movimientos'!$R$5:$R$1000, 0)), "")</f>
        <v/>
      </c>
      <c r="L157" s="19" t="str">
        <f>IFERROR(INDEX('Detalles movimientos'!M$5:M$1000, MATCH(148, 'Detalles movimientos'!$R$5:$R$1000, 0)), "")</f>
        <v/>
      </c>
      <c r="M157" s="19" t="str">
        <f>IFERROR(INDEX('Detalles movimientos'!P$5:P$1000, MATCH(148, 'Detalles movimientos'!$R$5:$R$1000, 0)), "")</f>
        <v/>
      </c>
    </row>
    <row r="158" spans="2:13" x14ac:dyDescent="0.2">
      <c r="B158" s="18" t="str">
        <f>IFERROR(INDEX('Detalles movimientos'!C$5:C$1000, MATCH(149, 'Detalles movimientos'!$R$5:$R$1000, 0)), "")</f>
        <v/>
      </c>
      <c r="C158" s="19" t="str">
        <f>IFERROR(INDEX('Detalles movimientos'!D$5:D$1000, MATCH(149, 'Detalles movimientos'!$R$5:$R$1000, 0)), "")</f>
        <v/>
      </c>
      <c r="D158" s="20" t="str">
        <f>IFERROR(INDEX('Detalles movimientos'!E$5:E$1000, MATCH(149, 'Detalles movimientos'!$R$5:$R$1000, 0)), "")</f>
        <v/>
      </c>
      <c r="E158" s="20" t="str">
        <f>IFERROR(INDEX('Detalles movimientos'!F$5:F$1000, MATCH(149, 'Detalles movimientos'!$R$5:$R$1000, 0)), "")</f>
        <v/>
      </c>
      <c r="F158" s="19" t="str">
        <f>IFERROR(INDEX('Detalles movimientos'!G$5:G$1000, MATCH(149, 'Detalles movimientos'!$R$5:$R$1000, 0)), "")</f>
        <v/>
      </c>
      <c r="G158" s="21" t="str">
        <f>IFERROR(INDEX('Detalles movimientos'!H$5:H$1000, MATCH(149, 'Detalles movimientos'!$R$5:$R$1000, 0)), "")</f>
        <v/>
      </c>
      <c r="H158" s="22" t="str">
        <f>IFERROR(INDEX('Detalles movimientos'!I$5:I$1000, MATCH(149, 'Detalles movimientos'!$R$5:$R$1000, 0)), "")</f>
        <v/>
      </c>
      <c r="I158" s="21" t="str">
        <f>IFERROR(INDEX('Detalles movimientos'!J$5:J$1000, MATCH(149, 'Detalles movimientos'!$R$5:$R$1000, 0)), "")</f>
        <v/>
      </c>
      <c r="J158" s="20" t="str">
        <f>IFERROR(INDEX('Detalles movimientos'!K$5:K$1000, MATCH(149, 'Detalles movimientos'!$R$5:$R$1000, 0)), "")</f>
        <v/>
      </c>
      <c r="K158" s="21" t="str">
        <f>IFERROR(INDEX('Detalles movimientos'!L$5:L$1000, MATCH(149, 'Detalles movimientos'!$R$5:$R$1000, 0)), "")</f>
        <v/>
      </c>
      <c r="L158" s="19" t="str">
        <f>IFERROR(INDEX('Detalles movimientos'!M$5:M$1000, MATCH(149, 'Detalles movimientos'!$R$5:$R$1000, 0)), "")</f>
        <v/>
      </c>
      <c r="M158" s="19" t="str">
        <f>IFERROR(INDEX('Detalles movimientos'!P$5:P$1000, MATCH(149, 'Detalles movimientos'!$R$5:$R$1000, 0)), "")</f>
        <v/>
      </c>
    </row>
  </sheetData>
  <mergeCells count="8">
    <mergeCell ref="E6:F7"/>
    <mergeCell ref="H6:I7"/>
    <mergeCell ref="B5:C5"/>
    <mergeCell ref="K6:L7"/>
    <mergeCell ref="E5:F5"/>
    <mergeCell ref="K5:L5"/>
    <mergeCell ref="B6:C7"/>
    <mergeCell ref="H5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B2:M158"/>
  <sheetViews>
    <sheetView showGridLines="0" workbookViewId="0">
      <selection activeCell="F31" sqref="F31"/>
    </sheetView>
  </sheetViews>
  <sheetFormatPr baseColWidth="10" defaultColWidth="8.83203125" defaultRowHeight="16" x14ac:dyDescent="0.2"/>
  <cols>
    <col min="1" max="1" width="4" customWidth="1"/>
    <col min="2" max="2" width="14" customWidth="1"/>
    <col min="3" max="3" width="26" customWidth="1"/>
    <col min="4" max="4" width="12" customWidth="1"/>
    <col min="5" max="5" width="14" customWidth="1"/>
    <col min="6" max="6" width="32" customWidth="1"/>
    <col min="7" max="8" width="14" customWidth="1"/>
    <col min="9" max="9" width="16" customWidth="1"/>
    <col min="10" max="10" width="18" customWidth="1"/>
    <col min="11" max="11" width="16" customWidth="1"/>
    <col min="12" max="12" width="24" customWidth="1"/>
    <col min="13" max="13" width="45" customWidth="1"/>
  </cols>
  <sheetData>
    <row r="2" spans="2:13" ht="22" x14ac:dyDescent="0.3">
      <c r="B2" s="15" t="s">
        <v>76</v>
      </c>
    </row>
    <row r="3" spans="2:13" x14ac:dyDescent="0.2">
      <c r="B3" s="16" t="s">
        <v>73</v>
      </c>
    </row>
    <row r="5" spans="2:13" x14ac:dyDescent="0.2">
      <c r="B5" s="24" t="s">
        <v>65</v>
      </c>
      <c r="C5" s="25"/>
      <c r="E5" s="24" t="s">
        <v>66</v>
      </c>
      <c r="F5" s="25"/>
      <c r="H5" s="24" t="s">
        <v>74</v>
      </c>
      <c r="I5" s="25"/>
      <c r="K5" s="24" t="s">
        <v>75</v>
      </c>
      <c r="L5" s="25"/>
    </row>
    <row r="6" spans="2:13" x14ac:dyDescent="0.2">
      <c r="B6" s="27">
        <f>SUMIFS('Detalles movimientos'!I$5:I$1000, 'Detalles movimientos'!F$5:F$1000, "Tripulacion")</f>
        <v>1371</v>
      </c>
      <c r="C6" s="25"/>
      <c r="E6" s="26">
        <f>SUMIFS('Detalles movimientos'!J$5:J$1000, 'Detalles movimientos'!F$5:F$1000, "Tripulacion")</f>
        <v>459000</v>
      </c>
      <c r="F6" s="25"/>
      <c r="H6" s="30">
        <f>COUNTIFS('Detalles movimientos'!F$5:F$1000, "Tripulacion")</f>
        <v>3</v>
      </c>
      <c r="I6" s="25"/>
      <c r="K6" s="26">
        <f>IFERROR(E6/B6, 0)</f>
        <v>334.7921225382932</v>
      </c>
      <c r="L6" s="25"/>
    </row>
    <row r="7" spans="2:13" x14ac:dyDescent="0.2">
      <c r="B7" s="25"/>
      <c r="C7" s="25"/>
      <c r="E7" s="25"/>
      <c r="F7" s="25"/>
      <c r="H7" s="25"/>
      <c r="I7" s="25"/>
      <c r="K7" s="25"/>
      <c r="L7" s="25"/>
    </row>
    <row r="9" spans="2:13" ht="25" customHeight="1" x14ac:dyDescent="0.2">
      <c r="B9" s="17" t="s">
        <v>1</v>
      </c>
      <c r="C9" s="17" t="s">
        <v>2</v>
      </c>
      <c r="D9" s="17" t="s">
        <v>3</v>
      </c>
      <c r="E9" s="17" t="s">
        <v>4</v>
      </c>
      <c r="F9" s="17" t="s">
        <v>5</v>
      </c>
      <c r="G9" s="17" t="s">
        <v>6</v>
      </c>
      <c r="H9" s="17" t="s">
        <v>7</v>
      </c>
      <c r="I9" s="17" t="s">
        <v>8</v>
      </c>
      <c r="J9" s="17" t="s">
        <v>9</v>
      </c>
      <c r="K9" s="17" t="s">
        <v>10</v>
      </c>
      <c r="L9" s="17" t="s">
        <v>11</v>
      </c>
      <c r="M9" s="17" t="s">
        <v>71</v>
      </c>
    </row>
    <row r="10" spans="2:13" x14ac:dyDescent="0.2">
      <c r="B10" s="18">
        <f>IFERROR(INDEX('Detalles movimientos'!C$5:C$1000, MATCH(1, 'Detalles movimientos'!$S$5:$S$1000, 0)), "")</f>
        <v>46231</v>
      </c>
      <c r="C10" s="19" t="str">
        <f>IFERROR(INDEX('Detalles movimientos'!D$5:D$1000, MATCH(1, 'Detalles movimientos'!$S$5:$S$1000, 0)), "")</f>
        <v>Franco Garcia</v>
      </c>
      <c r="D10" s="20" t="str">
        <f>IFERROR(INDEX('Detalles movimientos'!E$5:E$1000, MATCH(1, 'Detalles movimientos'!$S$5:$S$1000, 0)), "")</f>
        <v>VJYL61</v>
      </c>
      <c r="E10" s="20" t="str">
        <f>IFERROR(INDEX('Detalles movimientos'!F$5:F$1000, MATCH(1, 'Detalles movimientos'!$S$5:$S$1000, 0)), "")</f>
        <v>Tripulacion</v>
      </c>
      <c r="F10" s="19" t="str">
        <f>IFERROR(INDEX('Detalles movimientos'!G$5:G$1000, MATCH(1, 'Detalles movimientos'!$S$5:$S$1000, 0)), "")</f>
        <v>Santa Rita 1177 parcela 14 Pirque</v>
      </c>
      <c r="G10" s="21">
        <f>IFERROR(INDEX('Detalles movimientos'!H$5:H$1000, MATCH(1, 'Detalles movimientos'!$S$5:$S$1000, 0)), "")</f>
        <v>0</v>
      </c>
      <c r="H10" s="22">
        <f>IFERROR(INDEX('Detalles movimientos'!I$5:I$1000, MATCH(1, 'Detalles movimientos'!$S$5:$S$1000, 0)), "")</f>
        <v>912</v>
      </c>
      <c r="I10" s="21">
        <f>IFERROR(INDEX('Detalles movimientos'!J$5:J$1000, MATCH(1, 'Detalles movimientos'!$S$5:$S$1000, 0)), "")</f>
        <v>0</v>
      </c>
      <c r="J10" s="20">
        <f>IFERROR(INDEX('Detalles movimientos'!K$5:K$1000, MATCH(1, 'Detalles movimientos'!$S$5:$S$1000, 0)), "")</f>
        <v>0</v>
      </c>
      <c r="K10" s="21" t="str">
        <f>IFERROR(INDEX('Detalles movimientos'!L$5:L$1000, MATCH(1, 'Detalles movimientos'!$S$5:$S$1000, 0)), "")</f>
        <v/>
      </c>
      <c r="L10" s="19">
        <f>IFERROR(INDEX('Detalles movimientos'!M$5:M$1000, MATCH(1, 'Detalles movimientos'!$S$5:$S$1000, 0)), "")</f>
        <v>0</v>
      </c>
      <c r="M10" s="19">
        <f>IFERROR(INDEX('Detalles movimientos'!P$5:P$1000, MATCH(1, 'Detalles movimientos'!$S$5:$S$1000, 0)), "")</f>
        <v>0</v>
      </c>
    </row>
    <row r="11" spans="2:13" x14ac:dyDescent="0.2">
      <c r="B11" s="18">
        <f>IFERROR(INDEX('Detalles movimientos'!C$5:C$1000, MATCH(2, 'Detalles movimientos'!$S$5:$S$1000, 0)), "")</f>
        <v>46241</v>
      </c>
      <c r="C11" s="19" t="str">
        <f>IFERROR(INDEX('Detalles movimientos'!D$5:D$1000, MATCH(2, 'Detalles movimientos'!$S$5:$S$1000, 0)), "")</f>
        <v>Gastronomca Exquisite</v>
      </c>
      <c r="D11" s="20" t="str">
        <f>IFERROR(INDEX('Detalles movimientos'!E$5:E$1000, MATCH(2, 'Detalles movimientos'!$S$5:$S$1000, 0)), "")</f>
        <v>VJYL61</v>
      </c>
      <c r="E11" s="20" t="str">
        <f>IFERROR(INDEX('Detalles movimientos'!F$5:F$1000, MATCH(2, 'Detalles movimientos'!$S$5:$S$1000, 0)), "")</f>
        <v>Tripulacion</v>
      </c>
      <c r="F11" s="19" t="str">
        <f>IFERROR(INDEX('Detalles movimientos'!G$5:G$1000, MATCH(2, 'Detalles movimientos'!$S$5:$S$1000, 0)), "")</f>
        <v>JP Alesaandri 114 Nuñoa</v>
      </c>
      <c r="G11" s="21">
        <f>IFERROR(INDEX('Detalles movimientos'!H$5:H$1000, MATCH(2, 'Detalles movimientos'!$S$5:$S$1000, 0)), "")</f>
        <v>1000</v>
      </c>
      <c r="H11" s="22">
        <f>IFERROR(INDEX('Detalles movimientos'!I$5:I$1000, MATCH(2, 'Detalles movimientos'!$S$5:$S$1000, 0)), "")</f>
        <v>350</v>
      </c>
      <c r="I11" s="21">
        <f>IFERROR(INDEX('Detalles movimientos'!J$5:J$1000, MATCH(2, 'Detalles movimientos'!$S$5:$S$1000, 0)), "")</f>
        <v>350000</v>
      </c>
      <c r="J11" s="20" t="str">
        <f>IFERROR(INDEX('Detalles movimientos'!K$5:K$1000, MATCH(2, 'Detalles movimientos'!$S$5:$S$1000, 0)), "")</f>
        <v>Transferencia</v>
      </c>
      <c r="K11" s="21" t="str">
        <f>IFERROR(INDEX('Detalles movimientos'!L$5:L$1000, MATCH(2, 'Detalles movimientos'!$S$5:$S$1000, 0)), "")</f>
        <v/>
      </c>
      <c r="L11" s="19" t="str">
        <f>IFERROR(INDEX('Detalles movimientos'!M$5:M$1000, MATCH(2, 'Detalles movimientos'!$S$5:$S$1000, 0)), "")</f>
        <v>Factura</v>
      </c>
      <c r="M11" s="19" t="str">
        <f>IFERROR(INDEX('Detalles movimientos'!P$5:P$1000, MATCH(2, 'Detalles movimientos'!$S$5:$S$1000, 0)), "")</f>
        <v>Gastronomica Exquisite SpA - Rut: 77.714.318-2 - JP alessandri 114 Nuñoa</v>
      </c>
    </row>
    <row r="12" spans="2:13" x14ac:dyDescent="0.2">
      <c r="B12" s="18">
        <f>IFERROR(INDEX('Detalles movimientos'!C$5:C$1000, MATCH(3, 'Detalles movimientos'!$S$5:$S$1000, 0)), "")</f>
        <v>46241</v>
      </c>
      <c r="C12" s="19" t="str">
        <f>IFERROR(INDEX('Detalles movimientos'!D$5:D$1000, MATCH(3, 'Detalles movimientos'!$S$5:$S$1000, 0)), "")</f>
        <v>Panaderia Maipu</v>
      </c>
      <c r="D12" s="20" t="str">
        <f>IFERROR(INDEX('Detalles movimientos'!E$5:E$1000, MATCH(3, 'Detalles movimientos'!$S$5:$S$1000, 0)), "")</f>
        <v>VJYL61</v>
      </c>
      <c r="E12" s="20" t="str">
        <f>IFERROR(INDEX('Detalles movimientos'!F$5:F$1000, MATCH(3, 'Detalles movimientos'!$S$5:$S$1000, 0)), "")</f>
        <v>Tripulacion</v>
      </c>
      <c r="F12" s="19" t="str">
        <f>IFERROR(INDEX('Detalles movimientos'!G$5:G$1000, MATCH(3, 'Detalles movimientos'!$S$5:$S$1000, 0)), "")</f>
        <v>Av los carreras 706B, plaza de los porotos</v>
      </c>
      <c r="G12" s="21">
        <f>IFERROR(INDEX('Detalles movimientos'!H$5:H$1000, MATCH(3, 'Detalles movimientos'!$S$5:$S$1000, 0)), "")</f>
        <v>1000</v>
      </c>
      <c r="H12" s="22">
        <f>IFERROR(INDEX('Detalles movimientos'!I$5:I$1000, MATCH(3, 'Detalles movimientos'!$S$5:$S$1000, 0)), "")</f>
        <v>109</v>
      </c>
      <c r="I12" s="21">
        <f>IFERROR(INDEX('Detalles movimientos'!J$5:J$1000, MATCH(3, 'Detalles movimientos'!$S$5:$S$1000, 0)), "")</f>
        <v>109000</v>
      </c>
      <c r="J12" s="20" t="str">
        <f>IFERROR(INDEX('Detalles movimientos'!K$5:K$1000, MATCH(3, 'Detalles movimientos'!$S$5:$S$1000, 0)), "")</f>
        <v>Transferencia</v>
      </c>
      <c r="K12" s="21" t="str">
        <f>IFERROR(INDEX('Detalles movimientos'!L$5:L$1000, MATCH(3, 'Detalles movimientos'!$S$5:$S$1000, 0)), "")</f>
        <v/>
      </c>
      <c r="L12" s="19">
        <f>IFERROR(INDEX('Detalles movimientos'!M$5:M$1000, MATCH(3, 'Detalles movimientos'!$S$5:$S$1000, 0)), "")</f>
        <v>0</v>
      </c>
      <c r="M12" s="19">
        <f>IFERROR(INDEX('Detalles movimientos'!P$5:P$1000, MATCH(3, 'Detalles movimientos'!$S$5:$S$1000, 0)), "")</f>
        <v>0</v>
      </c>
    </row>
    <row r="13" spans="2:13" x14ac:dyDescent="0.2">
      <c r="B13" s="18" t="str">
        <f>IFERROR(INDEX('Detalles movimientos'!C$5:C$1000, MATCH(4, 'Detalles movimientos'!$S$5:$S$1000, 0)), "")</f>
        <v/>
      </c>
      <c r="C13" s="19" t="str">
        <f>IFERROR(INDEX('Detalles movimientos'!D$5:D$1000, MATCH(4, 'Detalles movimientos'!$S$5:$S$1000, 0)), "")</f>
        <v/>
      </c>
      <c r="D13" s="20" t="str">
        <f>IFERROR(INDEX('Detalles movimientos'!E$5:E$1000, MATCH(4, 'Detalles movimientos'!$S$5:$S$1000, 0)), "")</f>
        <v/>
      </c>
      <c r="E13" s="20" t="str">
        <f>IFERROR(INDEX('Detalles movimientos'!F$5:F$1000, MATCH(4, 'Detalles movimientos'!$S$5:$S$1000, 0)), "")</f>
        <v/>
      </c>
      <c r="F13" s="19" t="str">
        <f>IFERROR(INDEX('Detalles movimientos'!G$5:G$1000, MATCH(4, 'Detalles movimientos'!$S$5:$S$1000, 0)), "")</f>
        <v/>
      </c>
      <c r="G13" s="21" t="str">
        <f>IFERROR(INDEX('Detalles movimientos'!H$5:H$1000, MATCH(4, 'Detalles movimientos'!$S$5:$S$1000, 0)), "")</f>
        <v/>
      </c>
      <c r="H13" s="22" t="str">
        <f>IFERROR(INDEX('Detalles movimientos'!I$5:I$1000, MATCH(4, 'Detalles movimientos'!$S$5:$S$1000, 0)), "")</f>
        <v/>
      </c>
      <c r="I13" s="21" t="str">
        <f>IFERROR(INDEX('Detalles movimientos'!J$5:J$1000, MATCH(4, 'Detalles movimientos'!$S$5:$S$1000, 0)), "")</f>
        <v/>
      </c>
      <c r="J13" s="20" t="str">
        <f>IFERROR(INDEX('Detalles movimientos'!K$5:K$1000, MATCH(4, 'Detalles movimientos'!$S$5:$S$1000, 0)), "")</f>
        <v/>
      </c>
      <c r="K13" s="21" t="str">
        <f>IFERROR(INDEX('Detalles movimientos'!L$5:L$1000, MATCH(4, 'Detalles movimientos'!$S$5:$S$1000, 0)), "")</f>
        <v/>
      </c>
      <c r="L13" s="19" t="str">
        <f>IFERROR(INDEX('Detalles movimientos'!M$5:M$1000, MATCH(4, 'Detalles movimientos'!$S$5:$S$1000, 0)), "")</f>
        <v/>
      </c>
      <c r="M13" s="19" t="str">
        <f>IFERROR(INDEX('Detalles movimientos'!P$5:P$1000, MATCH(4, 'Detalles movimientos'!$S$5:$S$1000, 0)), "")</f>
        <v/>
      </c>
    </row>
    <row r="14" spans="2:13" x14ac:dyDescent="0.2">
      <c r="B14" s="18" t="str">
        <f>IFERROR(INDEX('Detalles movimientos'!C$5:C$1000, MATCH(5, 'Detalles movimientos'!$S$5:$S$1000, 0)), "")</f>
        <v/>
      </c>
      <c r="C14" s="19" t="str">
        <f>IFERROR(INDEX('Detalles movimientos'!D$5:D$1000, MATCH(5, 'Detalles movimientos'!$S$5:$S$1000, 0)), "")</f>
        <v/>
      </c>
      <c r="D14" s="20" t="str">
        <f>IFERROR(INDEX('Detalles movimientos'!E$5:E$1000, MATCH(5, 'Detalles movimientos'!$S$5:$S$1000, 0)), "")</f>
        <v/>
      </c>
      <c r="E14" s="20" t="str">
        <f>IFERROR(INDEX('Detalles movimientos'!F$5:F$1000, MATCH(5, 'Detalles movimientos'!$S$5:$S$1000, 0)), "")</f>
        <v/>
      </c>
      <c r="F14" s="19" t="str">
        <f>IFERROR(INDEX('Detalles movimientos'!G$5:G$1000, MATCH(5, 'Detalles movimientos'!$S$5:$S$1000, 0)), "")</f>
        <v/>
      </c>
      <c r="G14" s="21" t="str">
        <f>IFERROR(INDEX('Detalles movimientos'!H$5:H$1000, MATCH(5, 'Detalles movimientos'!$S$5:$S$1000, 0)), "")</f>
        <v/>
      </c>
      <c r="H14" s="22" t="str">
        <f>IFERROR(INDEX('Detalles movimientos'!I$5:I$1000, MATCH(5, 'Detalles movimientos'!$S$5:$S$1000, 0)), "")</f>
        <v/>
      </c>
      <c r="I14" s="21" t="str">
        <f>IFERROR(INDEX('Detalles movimientos'!J$5:J$1000, MATCH(5, 'Detalles movimientos'!$S$5:$S$1000, 0)), "")</f>
        <v/>
      </c>
      <c r="J14" s="20" t="str">
        <f>IFERROR(INDEX('Detalles movimientos'!K$5:K$1000, MATCH(5, 'Detalles movimientos'!$S$5:$S$1000, 0)), "")</f>
        <v/>
      </c>
      <c r="K14" s="21" t="str">
        <f>IFERROR(INDEX('Detalles movimientos'!L$5:L$1000, MATCH(5, 'Detalles movimientos'!$S$5:$S$1000, 0)), "")</f>
        <v/>
      </c>
      <c r="L14" s="19" t="str">
        <f>IFERROR(INDEX('Detalles movimientos'!M$5:M$1000, MATCH(5, 'Detalles movimientos'!$S$5:$S$1000, 0)), "")</f>
        <v/>
      </c>
      <c r="M14" s="19" t="str">
        <f>IFERROR(INDEX('Detalles movimientos'!P$5:P$1000, MATCH(5, 'Detalles movimientos'!$S$5:$S$1000, 0)), "")</f>
        <v/>
      </c>
    </row>
    <row r="15" spans="2:13" x14ac:dyDescent="0.2">
      <c r="B15" s="18" t="str">
        <f>IFERROR(INDEX('Detalles movimientos'!C$5:C$1000, MATCH(6, 'Detalles movimientos'!$S$5:$S$1000, 0)), "")</f>
        <v/>
      </c>
      <c r="C15" s="19" t="str">
        <f>IFERROR(INDEX('Detalles movimientos'!D$5:D$1000, MATCH(6, 'Detalles movimientos'!$S$5:$S$1000, 0)), "")</f>
        <v/>
      </c>
      <c r="D15" s="20" t="str">
        <f>IFERROR(INDEX('Detalles movimientos'!E$5:E$1000, MATCH(6, 'Detalles movimientos'!$S$5:$S$1000, 0)), "")</f>
        <v/>
      </c>
      <c r="E15" s="20" t="str">
        <f>IFERROR(INDEX('Detalles movimientos'!F$5:F$1000, MATCH(6, 'Detalles movimientos'!$S$5:$S$1000, 0)), "")</f>
        <v/>
      </c>
      <c r="F15" s="19" t="str">
        <f>IFERROR(INDEX('Detalles movimientos'!G$5:G$1000, MATCH(6, 'Detalles movimientos'!$S$5:$S$1000, 0)), "")</f>
        <v/>
      </c>
      <c r="G15" s="21" t="str">
        <f>IFERROR(INDEX('Detalles movimientos'!H$5:H$1000, MATCH(6, 'Detalles movimientos'!$S$5:$S$1000, 0)), "")</f>
        <v/>
      </c>
      <c r="H15" s="22" t="str">
        <f>IFERROR(INDEX('Detalles movimientos'!I$5:I$1000, MATCH(6, 'Detalles movimientos'!$S$5:$S$1000, 0)), "")</f>
        <v/>
      </c>
      <c r="I15" s="21" t="str">
        <f>IFERROR(INDEX('Detalles movimientos'!J$5:J$1000, MATCH(6, 'Detalles movimientos'!$S$5:$S$1000, 0)), "")</f>
        <v/>
      </c>
      <c r="J15" s="20" t="str">
        <f>IFERROR(INDEX('Detalles movimientos'!K$5:K$1000, MATCH(6, 'Detalles movimientos'!$S$5:$S$1000, 0)), "")</f>
        <v/>
      </c>
      <c r="K15" s="21" t="str">
        <f>IFERROR(INDEX('Detalles movimientos'!L$5:L$1000, MATCH(6, 'Detalles movimientos'!$S$5:$S$1000, 0)), "")</f>
        <v/>
      </c>
      <c r="L15" s="19" t="str">
        <f>IFERROR(INDEX('Detalles movimientos'!M$5:M$1000, MATCH(6, 'Detalles movimientos'!$S$5:$S$1000, 0)), "")</f>
        <v/>
      </c>
      <c r="M15" s="19" t="str">
        <f>IFERROR(INDEX('Detalles movimientos'!P$5:P$1000, MATCH(6, 'Detalles movimientos'!$S$5:$S$1000, 0)), "")</f>
        <v/>
      </c>
    </row>
    <row r="16" spans="2:13" x14ac:dyDescent="0.2">
      <c r="B16" s="18" t="str">
        <f>IFERROR(INDEX('Detalles movimientos'!C$5:C$1000, MATCH(7, 'Detalles movimientos'!$S$5:$S$1000, 0)), "")</f>
        <v/>
      </c>
      <c r="C16" s="19" t="str">
        <f>IFERROR(INDEX('Detalles movimientos'!D$5:D$1000, MATCH(7, 'Detalles movimientos'!$S$5:$S$1000, 0)), "")</f>
        <v/>
      </c>
      <c r="D16" s="20" t="str">
        <f>IFERROR(INDEX('Detalles movimientos'!E$5:E$1000, MATCH(7, 'Detalles movimientos'!$S$5:$S$1000, 0)), "")</f>
        <v/>
      </c>
      <c r="E16" s="20" t="str">
        <f>IFERROR(INDEX('Detalles movimientos'!F$5:F$1000, MATCH(7, 'Detalles movimientos'!$S$5:$S$1000, 0)), "")</f>
        <v/>
      </c>
      <c r="F16" s="19" t="str">
        <f>IFERROR(INDEX('Detalles movimientos'!G$5:G$1000, MATCH(7, 'Detalles movimientos'!$S$5:$S$1000, 0)), "")</f>
        <v/>
      </c>
      <c r="G16" s="21" t="str">
        <f>IFERROR(INDEX('Detalles movimientos'!H$5:H$1000, MATCH(7, 'Detalles movimientos'!$S$5:$S$1000, 0)), "")</f>
        <v/>
      </c>
      <c r="H16" s="22" t="str">
        <f>IFERROR(INDEX('Detalles movimientos'!I$5:I$1000, MATCH(7, 'Detalles movimientos'!$S$5:$S$1000, 0)), "")</f>
        <v/>
      </c>
      <c r="I16" s="21" t="str">
        <f>IFERROR(INDEX('Detalles movimientos'!J$5:J$1000, MATCH(7, 'Detalles movimientos'!$S$5:$S$1000, 0)), "")</f>
        <v/>
      </c>
      <c r="J16" s="20" t="str">
        <f>IFERROR(INDEX('Detalles movimientos'!K$5:K$1000, MATCH(7, 'Detalles movimientos'!$S$5:$S$1000, 0)), "")</f>
        <v/>
      </c>
      <c r="K16" s="21" t="str">
        <f>IFERROR(INDEX('Detalles movimientos'!L$5:L$1000, MATCH(7, 'Detalles movimientos'!$S$5:$S$1000, 0)), "")</f>
        <v/>
      </c>
      <c r="L16" s="19" t="str">
        <f>IFERROR(INDEX('Detalles movimientos'!M$5:M$1000, MATCH(7, 'Detalles movimientos'!$S$5:$S$1000, 0)), "")</f>
        <v/>
      </c>
      <c r="M16" s="19" t="str">
        <f>IFERROR(INDEX('Detalles movimientos'!P$5:P$1000, MATCH(7, 'Detalles movimientos'!$S$5:$S$1000, 0)), "")</f>
        <v/>
      </c>
    </row>
    <row r="17" spans="2:13" x14ac:dyDescent="0.2">
      <c r="B17" s="18" t="str">
        <f>IFERROR(INDEX('Detalles movimientos'!C$5:C$1000, MATCH(8, 'Detalles movimientos'!$S$5:$S$1000, 0)), "")</f>
        <v/>
      </c>
      <c r="C17" s="19" t="str">
        <f>IFERROR(INDEX('Detalles movimientos'!D$5:D$1000, MATCH(8, 'Detalles movimientos'!$S$5:$S$1000, 0)), "")</f>
        <v/>
      </c>
      <c r="D17" s="20" t="str">
        <f>IFERROR(INDEX('Detalles movimientos'!E$5:E$1000, MATCH(8, 'Detalles movimientos'!$S$5:$S$1000, 0)), "")</f>
        <v/>
      </c>
      <c r="E17" s="20" t="str">
        <f>IFERROR(INDEX('Detalles movimientos'!F$5:F$1000, MATCH(8, 'Detalles movimientos'!$S$5:$S$1000, 0)), "")</f>
        <v/>
      </c>
      <c r="F17" s="19" t="str">
        <f>IFERROR(INDEX('Detalles movimientos'!G$5:G$1000, MATCH(8, 'Detalles movimientos'!$S$5:$S$1000, 0)), "")</f>
        <v/>
      </c>
      <c r="G17" s="21" t="str">
        <f>IFERROR(INDEX('Detalles movimientos'!H$5:H$1000, MATCH(8, 'Detalles movimientos'!$S$5:$S$1000, 0)), "")</f>
        <v/>
      </c>
      <c r="H17" s="22" t="str">
        <f>IFERROR(INDEX('Detalles movimientos'!I$5:I$1000, MATCH(8, 'Detalles movimientos'!$S$5:$S$1000, 0)), "")</f>
        <v/>
      </c>
      <c r="I17" s="21" t="str">
        <f>IFERROR(INDEX('Detalles movimientos'!J$5:J$1000, MATCH(8, 'Detalles movimientos'!$S$5:$S$1000, 0)), "")</f>
        <v/>
      </c>
      <c r="J17" s="20" t="str">
        <f>IFERROR(INDEX('Detalles movimientos'!K$5:K$1000, MATCH(8, 'Detalles movimientos'!$S$5:$S$1000, 0)), "")</f>
        <v/>
      </c>
      <c r="K17" s="21" t="str">
        <f>IFERROR(INDEX('Detalles movimientos'!L$5:L$1000, MATCH(8, 'Detalles movimientos'!$S$5:$S$1000, 0)), "")</f>
        <v/>
      </c>
      <c r="L17" s="19" t="str">
        <f>IFERROR(INDEX('Detalles movimientos'!M$5:M$1000, MATCH(8, 'Detalles movimientos'!$S$5:$S$1000, 0)), "")</f>
        <v/>
      </c>
      <c r="M17" s="19" t="str">
        <f>IFERROR(INDEX('Detalles movimientos'!P$5:P$1000, MATCH(8, 'Detalles movimientos'!$S$5:$S$1000, 0)), "")</f>
        <v/>
      </c>
    </row>
    <row r="18" spans="2:13" x14ac:dyDescent="0.2">
      <c r="B18" s="18" t="str">
        <f>IFERROR(INDEX('Detalles movimientos'!C$5:C$1000, MATCH(9, 'Detalles movimientos'!$S$5:$S$1000, 0)), "")</f>
        <v/>
      </c>
      <c r="C18" s="19" t="str">
        <f>IFERROR(INDEX('Detalles movimientos'!D$5:D$1000, MATCH(9, 'Detalles movimientos'!$S$5:$S$1000, 0)), "")</f>
        <v/>
      </c>
      <c r="D18" s="20" t="str">
        <f>IFERROR(INDEX('Detalles movimientos'!E$5:E$1000, MATCH(9, 'Detalles movimientos'!$S$5:$S$1000, 0)), "")</f>
        <v/>
      </c>
      <c r="E18" s="20" t="str">
        <f>IFERROR(INDEX('Detalles movimientos'!F$5:F$1000, MATCH(9, 'Detalles movimientos'!$S$5:$S$1000, 0)), "")</f>
        <v/>
      </c>
      <c r="F18" s="19" t="str">
        <f>IFERROR(INDEX('Detalles movimientos'!G$5:G$1000, MATCH(9, 'Detalles movimientos'!$S$5:$S$1000, 0)), "")</f>
        <v/>
      </c>
      <c r="G18" s="21" t="str">
        <f>IFERROR(INDEX('Detalles movimientos'!H$5:H$1000, MATCH(9, 'Detalles movimientos'!$S$5:$S$1000, 0)), "")</f>
        <v/>
      </c>
      <c r="H18" s="22" t="str">
        <f>IFERROR(INDEX('Detalles movimientos'!I$5:I$1000, MATCH(9, 'Detalles movimientos'!$S$5:$S$1000, 0)), "")</f>
        <v/>
      </c>
      <c r="I18" s="21" t="str">
        <f>IFERROR(INDEX('Detalles movimientos'!J$5:J$1000, MATCH(9, 'Detalles movimientos'!$S$5:$S$1000, 0)), "")</f>
        <v/>
      </c>
      <c r="J18" s="20" t="str">
        <f>IFERROR(INDEX('Detalles movimientos'!K$5:K$1000, MATCH(9, 'Detalles movimientos'!$S$5:$S$1000, 0)), "")</f>
        <v/>
      </c>
      <c r="K18" s="21" t="str">
        <f>IFERROR(INDEX('Detalles movimientos'!L$5:L$1000, MATCH(9, 'Detalles movimientos'!$S$5:$S$1000, 0)), "")</f>
        <v/>
      </c>
      <c r="L18" s="19" t="str">
        <f>IFERROR(INDEX('Detalles movimientos'!M$5:M$1000, MATCH(9, 'Detalles movimientos'!$S$5:$S$1000, 0)), "")</f>
        <v/>
      </c>
      <c r="M18" s="19" t="str">
        <f>IFERROR(INDEX('Detalles movimientos'!P$5:P$1000, MATCH(9, 'Detalles movimientos'!$S$5:$S$1000, 0)), "")</f>
        <v/>
      </c>
    </row>
    <row r="19" spans="2:13" x14ac:dyDescent="0.2">
      <c r="B19" s="18" t="str">
        <f>IFERROR(INDEX('Detalles movimientos'!C$5:C$1000, MATCH(10, 'Detalles movimientos'!$S$5:$S$1000, 0)), "")</f>
        <v/>
      </c>
      <c r="C19" s="19" t="str">
        <f>IFERROR(INDEX('Detalles movimientos'!D$5:D$1000, MATCH(10, 'Detalles movimientos'!$S$5:$S$1000, 0)), "")</f>
        <v/>
      </c>
      <c r="D19" s="20" t="str">
        <f>IFERROR(INDEX('Detalles movimientos'!E$5:E$1000, MATCH(10, 'Detalles movimientos'!$S$5:$S$1000, 0)), "")</f>
        <v/>
      </c>
      <c r="E19" s="20" t="str">
        <f>IFERROR(INDEX('Detalles movimientos'!F$5:F$1000, MATCH(10, 'Detalles movimientos'!$S$5:$S$1000, 0)), "")</f>
        <v/>
      </c>
      <c r="F19" s="19" t="str">
        <f>IFERROR(INDEX('Detalles movimientos'!G$5:G$1000, MATCH(10, 'Detalles movimientos'!$S$5:$S$1000, 0)), "")</f>
        <v/>
      </c>
      <c r="G19" s="21" t="str">
        <f>IFERROR(INDEX('Detalles movimientos'!H$5:H$1000, MATCH(10, 'Detalles movimientos'!$S$5:$S$1000, 0)), "")</f>
        <v/>
      </c>
      <c r="H19" s="22" t="str">
        <f>IFERROR(INDEX('Detalles movimientos'!I$5:I$1000, MATCH(10, 'Detalles movimientos'!$S$5:$S$1000, 0)), "")</f>
        <v/>
      </c>
      <c r="I19" s="21" t="str">
        <f>IFERROR(INDEX('Detalles movimientos'!J$5:J$1000, MATCH(10, 'Detalles movimientos'!$S$5:$S$1000, 0)), "")</f>
        <v/>
      </c>
      <c r="J19" s="20" t="str">
        <f>IFERROR(INDEX('Detalles movimientos'!K$5:K$1000, MATCH(10, 'Detalles movimientos'!$S$5:$S$1000, 0)), "")</f>
        <v/>
      </c>
      <c r="K19" s="21" t="str">
        <f>IFERROR(INDEX('Detalles movimientos'!L$5:L$1000, MATCH(10, 'Detalles movimientos'!$S$5:$S$1000, 0)), "")</f>
        <v/>
      </c>
      <c r="L19" s="19" t="str">
        <f>IFERROR(INDEX('Detalles movimientos'!M$5:M$1000, MATCH(10, 'Detalles movimientos'!$S$5:$S$1000, 0)), "")</f>
        <v/>
      </c>
      <c r="M19" s="19" t="str">
        <f>IFERROR(INDEX('Detalles movimientos'!P$5:P$1000, MATCH(10, 'Detalles movimientos'!$S$5:$S$1000, 0)), "")</f>
        <v/>
      </c>
    </row>
    <row r="20" spans="2:13" x14ac:dyDescent="0.2">
      <c r="B20" s="18" t="str">
        <f>IFERROR(INDEX('Detalles movimientos'!C$5:C$1000, MATCH(11, 'Detalles movimientos'!$S$5:$S$1000, 0)), "")</f>
        <v/>
      </c>
      <c r="C20" s="19" t="str">
        <f>IFERROR(INDEX('Detalles movimientos'!D$5:D$1000, MATCH(11, 'Detalles movimientos'!$S$5:$S$1000, 0)), "")</f>
        <v/>
      </c>
      <c r="D20" s="20" t="str">
        <f>IFERROR(INDEX('Detalles movimientos'!E$5:E$1000, MATCH(11, 'Detalles movimientos'!$S$5:$S$1000, 0)), "")</f>
        <v/>
      </c>
      <c r="E20" s="20" t="str">
        <f>IFERROR(INDEX('Detalles movimientos'!F$5:F$1000, MATCH(11, 'Detalles movimientos'!$S$5:$S$1000, 0)), "")</f>
        <v/>
      </c>
      <c r="F20" s="19" t="str">
        <f>IFERROR(INDEX('Detalles movimientos'!G$5:G$1000, MATCH(11, 'Detalles movimientos'!$S$5:$S$1000, 0)), "")</f>
        <v/>
      </c>
      <c r="G20" s="21" t="str">
        <f>IFERROR(INDEX('Detalles movimientos'!H$5:H$1000, MATCH(11, 'Detalles movimientos'!$S$5:$S$1000, 0)), "")</f>
        <v/>
      </c>
      <c r="H20" s="22" t="str">
        <f>IFERROR(INDEX('Detalles movimientos'!I$5:I$1000, MATCH(11, 'Detalles movimientos'!$S$5:$S$1000, 0)), "")</f>
        <v/>
      </c>
      <c r="I20" s="21" t="str">
        <f>IFERROR(INDEX('Detalles movimientos'!J$5:J$1000, MATCH(11, 'Detalles movimientos'!$S$5:$S$1000, 0)), "")</f>
        <v/>
      </c>
      <c r="J20" s="20" t="str">
        <f>IFERROR(INDEX('Detalles movimientos'!K$5:K$1000, MATCH(11, 'Detalles movimientos'!$S$5:$S$1000, 0)), "")</f>
        <v/>
      </c>
      <c r="K20" s="21" t="str">
        <f>IFERROR(INDEX('Detalles movimientos'!L$5:L$1000, MATCH(11, 'Detalles movimientos'!$S$5:$S$1000, 0)), "")</f>
        <v/>
      </c>
      <c r="L20" s="19" t="str">
        <f>IFERROR(INDEX('Detalles movimientos'!M$5:M$1000, MATCH(11, 'Detalles movimientos'!$S$5:$S$1000, 0)), "")</f>
        <v/>
      </c>
      <c r="M20" s="19" t="str">
        <f>IFERROR(INDEX('Detalles movimientos'!P$5:P$1000, MATCH(11, 'Detalles movimientos'!$S$5:$S$1000, 0)), "")</f>
        <v/>
      </c>
    </row>
    <row r="21" spans="2:13" x14ac:dyDescent="0.2">
      <c r="B21" s="18" t="str">
        <f>IFERROR(INDEX('Detalles movimientos'!C$5:C$1000, MATCH(12, 'Detalles movimientos'!$S$5:$S$1000, 0)), "")</f>
        <v/>
      </c>
      <c r="C21" s="19" t="str">
        <f>IFERROR(INDEX('Detalles movimientos'!D$5:D$1000, MATCH(12, 'Detalles movimientos'!$S$5:$S$1000, 0)), "")</f>
        <v/>
      </c>
      <c r="D21" s="20" t="str">
        <f>IFERROR(INDEX('Detalles movimientos'!E$5:E$1000, MATCH(12, 'Detalles movimientos'!$S$5:$S$1000, 0)), "")</f>
        <v/>
      </c>
      <c r="E21" s="20" t="str">
        <f>IFERROR(INDEX('Detalles movimientos'!F$5:F$1000, MATCH(12, 'Detalles movimientos'!$S$5:$S$1000, 0)), "")</f>
        <v/>
      </c>
      <c r="F21" s="19" t="str">
        <f>IFERROR(INDEX('Detalles movimientos'!G$5:G$1000, MATCH(12, 'Detalles movimientos'!$S$5:$S$1000, 0)), "")</f>
        <v/>
      </c>
      <c r="G21" s="21" t="str">
        <f>IFERROR(INDEX('Detalles movimientos'!H$5:H$1000, MATCH(12, 'Detalles movimientos'!$S$5:$S$1000, 0)), "")</f>
        <v/>
      </c>
      <c r="H21" s="22" t="str">
        <f>IFERROR(INDEX('Detalles movimientos'!I$5:I$1000, MATCH(12, 'Detalles movimientos'!$S$5:$S$1000, 0)), "")</f>
        <v/>
      </c>
      <c r="I21" s="21" t="str">
        <f>IFERROR(INDEX('Detalles movimientos'!J$5:J$1000, MATCH(12, 'Detalles movimientos'!$S$5:$S$1000, 0)), "")</f>
        <v/>
      </c>
      <c r="J21" s="20" t="str">
        <f>IFERROR(INDEX('Detalles movimientos'!K$5:K$1000, MATCH(12, 'Detalles movimientos'!$S$5:$S$1000, 0)), "")</f>
        <v/>
      </c>
      <c r="K21" s="21" t="str">
        <f>IFERROR(INDEX('Detalles movimientos'!L$5:L$1000, MATCH(12, 'Detalles movimientos'!$S$5:$S$1000, 0)), "")</f>
        <v/>
      </c>
      <c r="L21" s="19" t="str">
        <f>IFERROR(INDEX('Detalles movimientos'!M$5:M$1000, MATCH(12, 'Detalles movimientos'!$S$5:$S$1000, 0)), "")</f>
        <v/>
      </c>
      <c r="M21" s="19" t="str">
        <f>IFERROR(INDEX('Detalles movimientos'!P$5:P$1000, MATCH(12, 'Detalles movimientos'!$S$5:$S$1000, 0)), "")</f>
        <v/>
      </c>
    </row>
    <row r="22" spans="2:13" x14ac:dyDescent="0.2">
      <c r="B22" s="18" t="str">
        <f>IFERROR(INDEX('Detalles movimientos'!C$5:C$1000, MATCH(13, 'Detalles movimientos'!$S$5:$S$1000, 0)), "")</f>
        <v/>
      </c>
      <c r="C22" s="19" t="str">
        <f>IFERROR(INDEX('Detalles movimientos'!D$5:D$1000, MATCH(13, 'Detalles movimientos'!$S$5:$S$1000, 0)), "")</f>
        <v/>
      </c>
      <c r="D22" s="20" t="str">
        <f>IFERROR(INDEX('Detalles movimientos'!E$5:E$1000, MATCH(13, 'Detalles movimientos'!$S$5:$S$1000, 0)), "")</f>
        <v/>
      </c>
      <c r="E22" s="20" t="str">
        <f>IFERROR(INDEX('Detalles movimientos'!F$5:F$1000, MATCH(13, 'Detalles movimientos'!$S$5:$S$1000, 0)), "")</f>
        <v/>
      </c>
      <c r="F22" s="19" t="str">
        <f>IFERROR(INDEX('Detalles movimientos'!G$5:G$1000, MATCH(13, 'Detalles movimientos'!$S$5:$S$1000, 0)), "")</f>
        <v/>
      </c>
      <c r="G22" s="21" t="str">
        <f>IFERROR(INDEX('Detalles movimientos'!H$5:H$1000, MATCH(13, 'Detalles movimientos'!$S$5:$S$1000, 0)), "")</f>
        <v/>
      </c>
      <c r="H22" s="22" t="str">
        <f>IFERROR(INDEX('Detalles movimientos'!I$5:I$1000, MATCH(13, 'Detalles movimientos'!$S$5:$S$1000, 0)), "")</f>
        <v/>
      </c>
      <c r="I22" s="21" t="str">
        <f>IFERROR(INDEX('Detalles movimientos'!J$5:J$1000, MATCH(13, 'Detalles movimientos'!$S$5:$S$1000, 0)), "")</f>
        <v/>
      </c>
      <c r="J22" s="20" t="str">
        <f>IFERROR(INDEX('Detalles movimientos'!K$5:K$1000, MATCH(13, 'Detalles movimientos'!$S$5:$S$1000, 0)), "")</f>
        <v/>
      </c>
      <c r="K22" s="21" t="str">
        <f>IFERROR(INDEX('Detalles movimientos'!L$5:L$1000, MATCH(13, 'Detalles movimientos'!$S$5:$S$1000, 0)), "")</f>
        <v/>
      </c>
      <c r="L22" s="19" t="str">
        <f>IFERROR(INDEX('Detalles movimientos'!M$5:M$1000, MATCH(13, 'Detalles movimientos'!$S$5:$S$1000, 0)), "")</f>
        <v/>
      </c>
      <c r="M22" s="19" t="str">
        <f>IFERROR(INDEX('Detalles movimientos'!P$5:P$1000, MATCH(13, 'Detalles movimientos'!$S$5:$S$1000, 0)), "")</f>
        <v/>
      </c>
    </row>
    <row r="23" spans="2:13" x14ac:dyDescent="0.2">
      <c r="B23" s="18" t="str">
        <f>IFERROR(INDEX('Detalles movimientos'!C$5:C$1000, MATCH(14, 'Detalles movimientos'!$S$5:$S$1000, 0)), "")</f>
        <v/>
      </c>
      <c r="C23" s="19" t="str">
        <f>IFERROR(INDEX('Detalles movimientos'!D$5:D$1000, MATCH(14, 'Detalles movimientos'!$S$5:$S$1000, 0)), "")</f>
        <v/>
      </c>
      <c r="D23" s="20" t="str">
        <f>IFERROR(INDEX('Detalles movimientos'!E$5:E$1000, MATCH(14, 'Detalles movimientos'!$S$5:$S$1000, 0)), "")</f>
        <v/>
      </c>
      <c r="E23" s="20" t="str">
        <f>IFERROR(INDEX('Detalles movimientos'!F$5:F$1000, MATCH(14, 'Detalles movimientos'!$S$5:$S$1000, 0)), "")</f>
        <v/>
      </c>
      <c r="F23" s="19" t="str">
        <f>IFERROR(INDEX('Detalles movimientos'!G$5:G$1000, MATCH(14, 'Detalles movimientos'!$S$5:$S$1000, 0)), "")</f>
        <v/>
      </c>
      <c r="G23" s="21" t="str">
        <f>IFERROR(INDEX('Detalles movimientos'!H$5:H$1000, MATCH(14, 'Detalles movimientos'!$S$5:$S$1000, 0)), "")</f>
        <v/>
      </c>
      <c r="H23" s="22" t="str">
        <f>IFERROR(INDEX('Detalles movimientos'!I$5:I$1000, MATCH(14, 'Detalles movimientos'!$S$5:$S$1000, 0)), "")</f>
        <v/>
      </c>
      <c r="I23" s="21" t="str">
        <f>IFERROR(INDEX('Detalles movimientos'!J$5:J$1000, MATCH(14, 'Detalles movimientos'!$S$5:$S$1000, 0)), "")</f>
        <v/>
      </c>
      <c r="J23" s="20" t="str">
        <f>IFERROR(INDEX('Detalles movimientos'!K$5:K$1000, MATCH(14, 'Detalles movimientos'!$S$5:$S$1000, 0)), "")</f>
        <v/>
      </c>
      <c r="K23" s="21" t="str">
        <f>IFERROR(INDEX('Detalles movimientos'!L$5:L$1000, MATCH(14, 'Detalles movimientos'!$S$5:$S$1000, 0)), "")</f>
        <v/>
      </c>
      <c r="L23" s="19" t="str">
        <f>IFERROR(INDEX('Detalles movimientos'!M$5:M$1000, MATCH(14, 'Detalles movimientos'!$S$5:$S$1000, 0)), "")</f>
        <v/>
      </c>
      <c r="M23" s="19" t="str">
        <f>IFERROR(INDEX('Detalles movimientos'!P$5:P$1000, MATCH(14, 'Detalles movimientos'!$S$5:$S$1000, 0)), "")</f>
        <v/>
      </c>
    </row>
    <row r="24" spans="2:13" x14ac:dyDescent="0.2">
      <c r="B24" s="18" t="str">
        <f>IFERROR(INDEX('Detalles movimientos'!C$5:C$1000, MATCH(15, 'Detalles movimientos'!$S$5:$S$1000, 0)), "")</f>
        <v/>
      </c>
      <c r="C24" s="19" t="str">
        <f>IFERROR(INDEX('Detalles movimientos'!D$5:D$1000, MATCH(15, 'Detalles movimientos'!$S$5:$S$1000, 0)), "")</f>
        <v/>
      </c>
      <c r="D24" s="20" t="str">
        <f>IFERROR(INDEX('Detalles movimientos'!E$5:E$1000, MATCH(15, 'Detalles movimientos'!$S$5:$S$1000, 0)), "")</f>
        <v/>
      </c>
      <c r="E24" s="20" t="str">
        <f>IFERROR(INDEX('Detalles movimientos'!F$5:F$1000, MATCH(15, 'Detalles movimientos'!$S$5:$S$1000, 0)), "")</f>
        <v/>
      </c>
      <c r="F24" s="19" t="str">
        <f>IFERROR(INDEX('Detalles movimientos'!G$5:G$1000, MATCH(15, 'Detalles movimientos'!$S$5:$S$1000, 0)), "")</f>
        <v/>
      </c>
      <c r="G24" s="21" t="str">
        <f>IFERROR(INDEX('Detalles movimientos'!H$5:H$1000, MATCH(15, 'Detalles movimientos'!$S$5:$S$1000, 0)), "")</f>
        <v/>
      </c>
      <c r="H24" s="22" t="str">
        <f>IFERROR(INDEX('Detalles movimientos'!I$5:I$1000, MATCH(15, 'Detalles movimientos'!$S$5:$S$1000, 0)), "")</f>
        <v/>
      </c>
      <c r="I24" s="21" t="str">
        <f>IFERROR(INDEX('Detalles movimientos'!J$5:J$1000, MATCH(15, 'Detalles movimientos'!$S$5:$S$1000, 0)), "")</f>
        <v/>
      </c>
      <c r="J24" s="20" t="str">
        <f>IFERROR(INDEX('Detalles movimientos'!K$5:K$1000, MATCH(15, 'Detalles movimientos'!$S$5:$S$1000, 0)), "")</f>
        <v/>
      </c>
      <c r="K24" s="21" t="str">
        <f>IFERROR(INDEX('Detalles movimientos'!L$5:L$1000, MATCH(15, 'Detalles movimientos'!$S$5:$S$1000, 0)), "")</f>
        <v/>
      </c>
      <c r="L24" s="19" t="str">
        <f>IFERROR(INDEX('Detalles movimientos'!M$5:M$1000, MATCH(15, 'Detalles movimientos'!$S$5:$S$1000, 0)), "")</f>
        <v/>
      </c>
      <c r="M24" s="19" t="str">
        <f>IFERROR(INDEX('Detalles movimientos'!P$5:P$1000, MATCH(15, 'Detalles movimientos'!$S$5:$S$1000, 0)), "")</f>
        <v/>
      </c>
    </row>
    <row r="25" spans="2:13" x14ac:dyDescent="0.2">
      <c r="B25" s="18" t="str">
        <f>IFERROR(INDEX('Detalles movimientos'!C$5:C$1000, MATCH(16, 'Detalles movimientos'!$S$5:$S$1000, 0)), "")</f>
        <v/>
      </c>
      <c r="C25" s="19" t="str">
        <f>IFERROR(INDEX('Detalles movimientos'!D$5:D$1000, MATCH(16, 'Detalles movimientos'!$S$5:$S$1000, 0)), "")</f>
        <v/>
      </c>
      <c r="D25" s="20" t="str">
        <f>IFERROR(INDEX('Detalles movimientos'!E$5:E$1000, MATCH(16, 'Detalles movimientos'!$S$5:$S$1000, 0)), "")</f>
        <v/>
      </c>
      <c r="E25" s="20" t="str">
        <f>IFERROR(INDEX('Detalles movimientos'!F$5:F$1000, MATCH(16, 'Detalles movimientos'!$S$5:$S$1000, 0)), "")</f>
        <v/>
      </c>
      <c r="F25" s="19" t="str">
        <f>IFERROR(INDEX('Detalles movimientos'!G$5:G$1000, MATCH(16, 'Detalles movimientos'!$S$5:$S$1000, 0)), "")</f>
        <v/>
      </c>
      <c r="G25" s="21" t="str">
        <f>IFERROR(INDEX('Detalles movimientos'!H$5:H$1000, MATCH(16, 'Detalles movimientos'!$S$5:$S$1000, 0)), "")</f>
        <v/>
      </c>
      <c r="H25" s="22" t="str">
        <f>IFERROR(INDEX('Detalles movimientos'!I$5:I$1000, MATCH(16, 'Detalles movimientos'!$S$5:$S$1000, 0)), "")</f>
        <v/>
      </c>
      <c r="I25" s="21" t="str">
        <f>IFERROR(INDEX('Detalles movimientos'!J$5:J$1000, MATCH(16, 'Detalles movimientos'!$S$5:$S$1000, 0)), "")</f>
        <v/>
      </c>
      <c r="J25" s="20" t="str">
        <f>IFERROR(INDEX('Detalles movimientos'!K$5:K$1000, MATCH(16, 'Detalles movimientos'!$S$5:$S$1000, 0)), "")</f>
        <v/>
      </c>
      <c r="K25" s="21" t="str">
        <f>IFERROR(INDEX('Detalles movimientos'!L$5:L$1000, MATCH(16, 'Detalles movimientos'!$S$5:$S$1000, 0)), "")</f>
        <v/>
      </c>
      <c r="L25" s="19" t="str">
        <f>IFERROR(INDEX('Detalles movimientos'!M$5:M$1000, MATCH(16, 'Detalles movimientos'!$S$5:$S$1000, 0)), "")</f>
        <v/>
      </c>
      <c r="M25" s="19" t="str">
        <f>IFERROR(INDEX('Detalles movimientos'!P$5:P$1000, MATCH(16, 'Detalles movimientos'!$S$5:$S$1000, 0)), "")</f>
        <v/>
      </c>
    </row>
    <row r="26" spans="2:13" x14ac:dyDescent="0.2">
      <c r="B26" s="18" t="str">
        <f>IFERROR(INDEX('Detalles movimientos'!C$5:C$1000, MATCH(17, 'Detalles movimientos'!$S$5:$S$1000, 0)), "")</f>
        <v/>
      </c>
      <c r="C26" s="19" t="str">
        <f>IFERROR(INDEX('Detalles movimientos'!D$5:D$1000, MATCH(17, 'Detalles movimientos'!$S$5:$S$1000, 0)), "")</f>
        <v/>
      </c>
      <c r="D26" s="20" t="str">
        <f>IFERROR(INDEX('Detalles movimientos'!E$5:E$1000, MATCH(17, 'Detalles movimientos'!$S$5:$S$1000, 0)), "")</f>
        <v/>
      </c>
      <c r="E26" s="20" t="str">
        <f>IFERROR(INDEX('Detalles movimientos'!F$5:F$1000, MATCH(17, 'Detalles movimientos'!$S$5:$S$1000, 0)), "")</f>
        <v/>
      </c>
      <c r="F26" s="19" t="str">
        <f>IFERROR(INDEX('Detalles movimientos'!G$5:G$1000, MATCH(17, 'Detalles movimientos'!$S$5:$S$1000, 0)), "")</f>
        <v/>
      </c>
      <c r="G26" s="21" t="str">
        <f>IFERROR(INDEX('Detalles movimientos'!H$5:H$1000, MATCH(17, 'Detalles movimientos'!$S$5:$S$1000, 0)), "")</f>
        <v/>
      </c>
      <c r="H26" s="22" t="str">
        <f>IFERROR(INDEX('Detalles movimientos'!I$5:I$1000, MATCH(17, 'Detalles movimientos'!$S$5:$S$1000, 0)), "")</f>
        <v/>
      </c>
      <c r="I26" s="21" t="str">
        <f>IFERROR(INDEX('Detalles movimientos'!J$5:J$1000, MATCH(17, 'Detalles movimientos'!$S$5:$S$1000, 0)), "")</f>
        <v/>
      </c>
      <c r="J26" s="20" t="str">
        <f>IFERROR(INDEX('Detalles movimientos'!K$5:K$1000, MATCH(17, 'Detalles movimientos'!$S$5:$S$1000, 0)), "")</f>
        <v/>
      </c>
      <c r="K26" s="21" t="str">
        <f>IFERROR(INDEX('Detalles movimientos'!L$5:L$1000, MATCH(17, 'Detalles movimientos'!$S$5:$S$1000, 0)), "")</f>
        <v/>
      </c>
      <c r="L26" s="19" t="str">
        <f>IFERROR(INDEX('Detalles movimientos'!M$5:M$1000, MATCH(17, 'Detalles movimientos'!$S$5:$S$1000, 0)), "")</f>
        <v/>
      </c>
      <c r="M26" s="19" t="str">
        <f>IFERROR(INDEX('Detalles movimientos'!P$5:P$1000, MATCH(17, 'Detalles movimientos'!$S$5:$S$1000, 0)), "")</f>
        <v/>
      </c>
    </row>
    <row r="27" spans="2:13" x14ac:dyDescent="0.2">
      <c r="B27" s="18" t="str">
        <f>IFERROR(INDEX('Detalles movimientos'!C$5:C$1000, MATCH(18, 'Detalles movimientos'!$S$5:$S$1000, 0)), "")</f>
        <v/>
      </c>
      <c r="C27" s="19" t="str">
        <f>IFERROR(INDEX('Detalles movimientos'!D$5:D$1000, MATCH(18, 'Detalles movimientos'!$S$5:$S$1000, 0)), "")</f>
        <v/>
      </c>
      <c r="D27" s="20" t="str">
        <f>IFERROR(INDEX('Detalles movimientos'!E$5:E$1000, MATCH(18, 'Detalles movimientos'!$S$5:$S$1000, 0)), "")</f>
        <v/>
      </c>
      <c r="E27" s="20" t="str">
        <f>IFERROR(INDEX('Detalles movimientos'!F$5:F$1000, MATCH(18, 'Detalles movimientos'!$S$5:$S$1000, 0)), "")</f>
        <v/>
      </c>
      <c r="F27" s="19" t="str">
        <f>IFERROR(INDEX('Detalles movimientos'!G$5:G$1000, MATCH(18, 'Detalles movimientos'!$S$5:$S$1000, 0)), "")</f>
        <v/>
      </c>
      <c r="G27" s="21" t="str">
        <f>IFERROR(INDEX('Detalles movimientos'!H$5:H$1000, MATCH(18, 'Detalles movimientos'!$S$5:$S$1000, 0)), "")</f>
        <v/>
      </c>
      <c r="H27" s="22" t="str">
        <f>IFERROR(INDEX('Detalles movimientos'!I$5:I$1000, MATCH(18, 'Detalles movimientos'!$S$5:$S$1000, 0)), "")</f>
        <v/>
      </c>
      <c r="I27" s="21" t="str">
        <f>IFERROR(INDEX('Detalles movimientos'!J$5:J$1000, MATCH(18, 'Detalles movimientos'!$S$5:$S$1000, 0)), "")</f>
        <v/>
      </c>
      <c r="J27" s="20" t="str">
        <f>IFERROR(INDEX('Detalles movimientos'!K$5:K$1000, MATCH(18, 'Detalles movimientos'!$S$5:$S$1000, 0)), "")</f>
        <v/>
      </c>
      <c r="K27" s="21" t="str">
        <f>IFERROR(INDEX('Detalles movimientos'!L$5:L$1000, MATCH(18, 'Detalles movimientos'!$S$5:$S$1000, 0)), "")</f>
        <v/>
      </c>
      <c r="L27" s="19" t="str">
        <f>IFERROR(INDEX('Detalles movimientos'!M$5:M$1000, MATCH(18, 'Detalles movimientos'!$S$5:$S$1000, 0)), "")</f>
        <v/>
      </c>
      <c r="M27" s="19" t="str">
        <f>IFERROR(INDEX('Detalles movimientos'!P$5:P$1000, MATCH(18, 'Detalles movimientos'!$S$5:$S$1000, 0)), "")</f>
        <v/>
      </c>
    </row>
    <row r="28" spans="2:13" x14ac:dyDescent="0.2">
      <c r="B28" s="18" t="str">
        <f>IFERROR(INDEX('Detalles movimientos'!C$5:C$1000, MATCH(19, 'Detalles movimientos'!$S$5:$S$1000, 0)), "")</f>
        <v/>
      </c>
      <c r="C28" s="19" t="str">
        <f>IFERROR(INDEX('Detalles movimientos'!D$5:D$1000, MATCH(19, 'Detalles movimientos'!$S$5:$S$1000, 0)), "")</f>
        <v/>
      </c>
      <c r="D28" s="20" t="str">
        <f>IFERROR(INDEX('Detalles movimientos'!E$5:E$1000, MATCH(19, 'Detalles movimientos'!$S$5:$S$1000, 0)), "")</f>
        <v/>
      </c>
      <c r="E28" s="20" t="str">
        <f>IFERROR(INDEX('Detalles movimientos'!F$5:F$1000, MATCH(19, 'Detalles movimientos'!$S$5:$S$1000, 0)), "")</f>
        <v/>
      </c>
      <c r="F28" s="19" t="str">
        <f>IFERROR(INDEX('Detalles movimientos'!G$5:G$1000, MATCH(19, 'Detalles movimientos'!$S$5:$S$1000, 0)), "")</f>
        <v/>
      </c>
      <c r="G28" s="21" t="str">
        <f>IFERROR(INDEX('Detalles movimientos'!H$5:H$1000, MATCH(19, 'Detalles movimientos'!$S$5:$S$1000, 0)), "")</f>
        <v/>
      </c>
      <c r="H28" s="22" t="str">
        <f>IFERROR(INDEX('Detalles movimientos'!I$5:I$1000, MATCH(19, 'Detalles movimientos'!$S$5:$S$1000, 0)), "")</f>
        <v/>
      </c>
      <c r="I28" s="21" t="str">
        <f>IFERROR(INDEX('Detalles movimientos'!J$5:J$1000, MATCH(19, 'Detalles movimientos'!$S$5:$S$1000, 0)), "")</f>
        <v/>
      </c>
      <c r="J28" s="20" t="str">
        <f>IFERROR(INDEX('Detalles movimientos'!K$5:K$1000, MATCH(19, 'Detalles movimientos'!$S$5:$S$1000, 0)), "")</f>
        <v/>
      </c>
      <c r="K28" s="21" t="str">
        <f>IFERROR(INDEX('Detalles movimientos'!L$5:L$1000, MATCH(19, 'Detalles movimientos'!$S$5:$S$1000, 0)), "")</f>
        <v/>
      </c>
      <c r="L28" s="19" t="str">
        <f>IFERROR(INDEX('Detalles movimientos'!M$5:M$1000, MATCH(19, 'Detalles movimientos'!$S$5:$S$1000, 0)), "")</f>
        <v/>
      </c>
      <c r="M28" s="19" t="str">
        <f>IFERROR(INDEX('Detalles movimientos'!P$5:P$1000, MATCH(19, 'Detalles movimientos'!$S$5:$S$1000, 0)), "")</f>
        <v/>
      </c>
    </row>
    <row r="29" spans="2:13" x14ac:dyDescent="0.2">
      <c r="B29" s="18" t="str">
        <f>IFERROR(INDEX('Detalles movimientos'!C$5:C$1000, MATCH(20, 'Detalles movimientos'!$S$5:$S$1000, 0)), "")</f>
        <v/>
      </c>
      <c r="C29" s="19" t="str">
        <f>IFERROR(INDEX('Detalles movimientos'!D$5:D$1000, MATCH(20, 'Detalles movimientos'!$S$5:$S$1000, 0)), "")</f>
        <v/>
      </c>
      <c r="D29" s="20" t="str">
        <f>IFERROR(INDEX('Detalles movimientos'!E$5:E$1000, MATCH(20, 'Detalles movimientos'!$S$5:$S$1000, 0)), "")</f>
        <v/>
      </c>
      <c r="E29" s="20" t="str">
        <f>IFERROR(INDEX('Detalles movimientos'!F$5:F$1000, MATCH(20, 'Detalles movimientos'!$S$5:$S$1000, 0)), "")</f>
        <v/>
      </c>
      <c r="F29" s="19" t="str">
        <f>IFERROR(INDEX('Detalles movimientos'!G$5:G$1000, MATCH(20, 'Detalles movimientos'!$S$5:$S$1000, 0)), "")</f>
        <v/>
      </c>
      <c r="G29" s="21" t="str">
        <f>IFERROR(INDEX('Detalles movimientos'!H$5:H$1000, MATCH(20, 'Detalles movimientos'!$S$5:$S$1000, 0)), "")</f>
        <v/>
      </c>
      <c r="H29" s="22" t="str">
        <f>IFERROR(INDEX('Detalles movimientos'!I$5:I$1000, MATCH(20, 'Detalles movimientos'!$S$5:$S$1000, 0)), "")</f>
        <v/>
      </c>
      <c r="I29" s="21" t="str">
        <f>IFERROR(INDEX('Detalles movimientos'!J$5:J$1000, MATCH(20, 'Detalles movimientos'!$S$5:$S$1000, 0)), "")</f>
        <v/>
      </c>
      <c r="J29" s="20" t="str">
        <f>IFERROR(INDEX('Detalles movimientos'!K$5:K$1000, MATCH(20, 'Detalles movimientos'!$S$5:$S$1000, 0)), "")</f>
        <v/>
      </c>
      <c r="K29" s="21" t="str">
        <f>IFERROR(INDEX('Detalles movimientos'!L$5:L$1000, MATCH(20, 'Detalles movimientos'!$S$5:$S$1000, 0)), "")</f>
        <v/>
      </c>
      <c r="L29" s="19" t="str">
        <f>IFERROR(INDEX('Detalles movimientos'!M$5:M$1000, MATCH(20, 'Detalles movimientos'!$S$5:$S$1000, 0)), "")</f>
        <v/>
      </c>
      <c r="M29" s="19" t="str">
        <f>IFERROR(INDEX('Detalles movimientos'!P$5:P$1000, MATCH(20, 'Detalles movimientos'!$S$5:$S$1000, 0)), "")</f>
        <v/>
      </c>
    </row>
    <row r="30" spans="2:13" x14ac:dyDescent="0.2">
      <c r="B30" s="18" t="str">
        <f>IFERROR(INDEX('Detalles movimientos'!C$5:C$1000, MATCH(21, 'Detalles movimientos'!$S$5:$S$1000, 0)), "")</f>
        <v/>
      </c>
      <c r="C30" s="19" t="str">
        <f>IFERROR(INDEX('Detalles movimientos'!D$5:D$1000, MATCH(21, 'Detalles movimientos'!$S$5:$S$1000, 0)), "")</f>
        <v/>
      </c>
      <c r="D30" s="20" t="str">
        <f>IFERROR(INDEX('Detalles movimientos'!E$5:E$1000, MATCH(21, 'Detalles movimientos'!$S$5:$S$1000, 0)), "")</f>
        <v/>
      </c>
      <c r="E30" s="20" t="str">
        <f>IFERROR(INDEX('Detalles movimientos'!F$5:F$1000, MATCH(21, 'Detalles movimientos'!$S$5:$S$1000, 0)), "")</f>
        <v/>
      </c>
      <c r="F30" s="19" t="str">
        <f>IFERROR(INDEX('Detalles movimientos'!G$5:G$1000, MATCH(21, 'Detalles movimientos'!$S$5:$S$1000, 0)), "")</f>
        <v/>
      </c>
      <c r="G30" s="21" t="str">
        <f>IFERROR(INDEX('Detalles movimientos'!H$5:H$1000, MATCH(21, 'Detalles movimientos'!$S$5:$S$1000, 0)), "")</f>
        <v/>
      </c>
      <c r="H30" s="22" t="str">
        <f>IFERROR(INDEX('Detalles movimientos'!I$5:I$1000, MATCH(21, 'Detalles movimientos'!$S$5:$S$1000, 0)), "")</f>
        <v/>
      </c>
      <c r="I30" s="21" t="str">
        <f>IFERROR(INDEX('Detalles movimientos'!J$5:J$1000, MATCH(21, 'Detalles movimientos'!$S$5:$S$1000, 0)), "")</f>
        <v/>
      </c>
      <c r="J30" s="20" t="str">
        <f>IFERROR(INDEX('Detalles movimientos'!K$5:K$1000, MATCH(21, 'Detalles movimientos'!$S$5:$S$1000, 0)), "")</f>
        <v/>
      </c>
      <c r="K30" s="21" t="str">
        <f>IFERROR(INDEX('Detalles movimientos'!L$5:L$1000, MATCH(21, 'Detalles movimientos'!$S$5:$S$1000, 0)), "")</f>
        <v/>
      </c>
      <c r="L30" s="19" t="str">
        <f>IFERROR(INDEX('Detalles movimientos'!M$5:M$1000, MATCH(21, 'Detalles movimientos'!$S$5:$S$1000, 0)), "")</f>
        <v/>
      </c>
      <c r="M30" s="19" t="str">
        <f>IFERROR(INDEX('Detalles movimientos'!P$5:P$1000, MATCH(21, 'Detalles movimientos'!$S$5:$S$1000, 0)), "")</f>
        <v/>
      </c>
    </row>
    <row r="31" spans="2:13" x14ac:dyDescent="0.2">
      <c r="B31" s="18" t="str">
        <f>IFERROR(INDEX('Detalles movimientos'!C$5:C$1000, MATCH(22, 'Detalles movimientos'!$S$5:$S$1000, 0)), "")</f>
        <v/>
      </c>
      <c r="C31" s="19" t="str">
        <f>IFERROR(INDEX('Detalles movimientos'!D$5:D$1000, MATCH(22, 'Detalles movimientos'!$S$5:$S$1000, 0)), "")</f>
        <v/>
      </c>
      <c r="D31" s="20" t="str">
        <f>IFERROR(INDEX('Detalles movimientos'!E$5:E$1000, MATCH(22, 'Detalles movimientos'!$S$5:$S$1000, 0)), "")</f>
        <v/>
      </c>
      <c r="E31" s="20" t="str">
        <f>IFERROR(INDEX('Detalles movimientos'!F$5:F$1000, MATCH(22, 'Detalles movimientos'!$S$5:$S$1000, 0)), "")</f>
        <v/>
      </c>
      <c r="F31" s="19" t="str">
        <f>IFERROR(INDEX('Detalles movimientos'!G$5:G$1000, MATCH(22, 'Detalles movimientos'!$S$5:$S$1000, 0)), "")</f>
        <v/>
      </c>
      <c r="G31" s="21" t="str">
        <f>IFERROR(INDEX('Detalles movimientos'!H$5:H$1000, MATCH(22, 'Detalles movimientos'!$S$5:$S$1000, 0)), "")</f>
        <v/>
      </c>
      <c r="H31" s="22" t="str">
        <f>IFERROR(INDEX('Detalles movimientos'!I$5:I$1000, MATCH(22, 'Detalles movimientos'!$S$5:$S$1000, 0)), "")</f>
        <v/>
      </c>
      <c r="I31" s="21" t="str">
        <f>IFERROR(INDEX('Detalles movimientos'!J$5:J$1000, MATCH(22, 'Detalles movimientos'!$S$5:$S$1000, 0)), "")</f>
        <v/>
      </c>
      <c r="J31" s="20" t="str">
        <f>IFERROR(INDEX('Detalles movimientos'!K$5:K$1000, MATCH(22, 'Detalles movimientos'!$S$5:$S$1000, 0)), "")</f>
        <v/>
      </c>
      <c r="K31" s="21" t="str">
        <f>IFERROR(INDEX('Detalles movimientos'!L$5:L$1000, MATCH(22, 'Detalles movimientos'!$S$5:$S$1000, 0)), "")</f>
        <v/>
      </c>
      <c r="L31" s="19" t="str">
        <f>IFERROR(INDEX('Detalles movimientos'!M$5:M$1000, MATCH(22, 'Detalles movimientos'!$S$5:$S$1000, 0)), "")</f>
        <v/>
      </c>
      <c r="M31" s="19" t="str">
        <f>IFERROR(INDEX('Detalles movimientos'!P$5:P$1000, MATCH(22, 'Detalles movimientos'!$S$5:$S$1000, 0)), "")</f>
        <v/>
      </c>
    </row>
    <row r="32" spans="2:13" x14ac:dyDescent="0.2">
      <c r="B32" s="18" t="str">
        <f>IFERROR(INDEX('Detalles movimientos'!C$5:C$1000, MATCH(23, 'Detalles movimientos'!$S$5:$S$1000, 0)), "")</f>
        <v/>
      </c>
      <c r="C32" s="19" t="str">
        <f>IFERROR(INDEX('Detalles movimientos'!D$5:D$1000, MATCH(23, 'Detalles movimientos'!$S$5:$S$1000, 0)), "")</f>
        <v/>
      </c>
      <c r="D32" s="20" t="str">
        <f>IFERROR(INDEX('Detalles movimientos'!E$5:E$1000, MATCH(23, 'Detalles movimientos'!$S$5:$S$1000, 0)), "")</f>
        <v/>
      </c>
      <c r="E32" s="20" t="str">
        <f>IFERROR(INDEX('Detalles movimientos'!F$5:F$1000, MATCH(23, 'Detalles movimientos'!$S$5:$S$1000, 0)), "")</f>
        <v/>
      </c>
      <c r="F32" s="19" t="str">
        <f>IFERROR(INDEX('Detalles movimientos'!G$5:G$1000, MATCH(23, 'Detalles movimientos'!$S$5:$S$1000, 0)), "")</f>
        <v/>
      </c>
      <c r="G32" s="21" t="str">
        <f>IFERROR(INDEX('Detalles movimientos'!H$5:H$1000, MATCH(23, 'Detalles movimientos'!$S$5:$S$1000, 0)), "")</f>
        <v/>
      </c>
      <c r="H32" s="22" t="str">
        <f>IFERROR(INDEX('Detalles movimientos'!I$5:I$1000, MATCH(23, 'Detalles movimientos'!$S$5:$S$1000, 0)), "")</f>
        <v/>
      </c>
      <c r="I32" s="21" t="str">
        <f>IFERROR(INDEX('Detalles movimientos'!J$5:J$1000, MATCH(23, 'Detalles movimientos'!$S$5:$S$1000, 0)), "")</f>
        <v/>
      </c>
      <c r="J32" s="20" t="str">
        <f>IFERROR(INDEX('Detalles movimientos'!K$5:K$1000, MATCH(23, 'Detalles movimientos'!$S$5:$S$1000, 0)), "")</f>
        <v/>
      </c>
      <c r="K32" s="21" t="str">
        <f>IFERROR(INDEX('Detalles movimientos'!L$5:L$1000, MATCH(23, 'Detalles movimientos'!$S$5:$S$1000, 0)), "")</f>
        <v/>
      </c>
      <c r="L32" s="19" t="str">
        <f>IFERROR(INDEX('Detalles movimientos'!M$5:M$1000, MATCH(23, 'Detalles movimientos'!$S$5:$S$1000, 0)), "")</f>
        <v/>
      </c>
      <c r="M32" s="19" t="str">
        <f>IFERROR(INDEX('Detalles movimientos'!P$5:P$1000, MATCH(23, 'Detalles movimientos'!$S$5:$S$1000, 0)), "")</f>
        <v/>
      </c>
    </row>
    <row r="33" spans="2:13" x14ac:dyDescent="0.2">
      <c r="B33" s="18" t="str">
        <f>IFERROR(INDEX('Detalles movimientos'!C$5:C$1000, MATCH(24, 'Detalles movimientos'!$S$5:$S$1000, 0)), "")</f>
        <v/>
      </c>
      <c r="C33" s="19" t="str">
        <f>IFERROR(INDEX('Detalles movimientos'!D$5:D$1000, MATCH(24, 'Detalles movimientos'!$S$5:$S$1000, 0)), "")</f>
        <v/>
      </c>
      <c r="D33" s="20" t="str">
        <f>IFERROR(INDEX('Detalles movimientos'!E$5:E$1000, MATCH(24, 'Detalles movimientos'!$S$5:$S$1000, 0)), "")</f>
        <v/>
      </c>
      <c r="E33" s="20" t="str">
        <f>IFERROR(INDEX('Detalles movimientos'!F$5:F$1000, MATCH(24, 'Detalles movimientos'!$S$5:$S$1000, 0)), "")</f>
        <v/>
      </c>
      <c r="F33" s="19" t="str">
        <f>IFERROR(INDEX('Detalles movimientos'!G$5:G$1000, MATCH(24, 'Detalles movimientos'!$S$5:$S$1000, 0)), "")</f>
        <v/>
      </c>
      <c r="G33" s="21" t="str">
        <f>IFERROR(INDEX('Detalles movimientos'!H$5:H$1000, MATCH(24, 'Detalles movimientos'!$S$5:$S$1000, 0)), "")</f>
        <v/>
      </c>
      <c r="H33" s="22" t="str">
        <f>IFERROR(INDEX('Detalles movimientos'!I$5:I$1000, MATCH(24, 'Detalles movimientos'!$S$5:$S$1000, 0)), "")</f>
        <v/>
      </c>
      <c r="I33" s="21" t="str">
        <f>IFERROR(INDEX('Detalles movimientos'!J$5:J$1000, MATCH(24, 'Detalles movimientos'!$S$5:$S$1000, 0)), "")</f>
        <v/>
      </c>
      <c r="J33" s="20" t="str">
        <f>IFERROR(INDEX('Detalles movimientos'!K$5:K$1000, MATCH(24, 'Detalles movimientos'!$S$5:$S$1000, 0)), "")</f>
        <v/>
      </c>
      <c r="K33" s="21" t="str">
        <f>IFERROR(INDEX('Detalles movimientos'!L$5:L$1000, MATCH(24, 'Detalles movimientos'!$S$5:$S$1000, 0)), "")</f>
        <v/>
      </c>
      <c r="L33" s="19" t="str">
        <f>IFERROR(INDEX('Detalles movimientos'!M$5:M$1000, MATCH(24, 'Detalles movimientos'!$S$5:$S$1000, 0)), "")</f>
        <v/>
      </c>
      <c r="M33" s="19" t="str">
        <f>IFERROR(INDEX('Detalles movimientos'!P$5:P$1000, MATCH(24, 'Detalles movimientos'!$S$5:$S$1000, 0)), "")</f>
        <v/>
      </c>
    </row>
    <row r="34" spans="2:13" x14ac:dyDescent="0.2">
      <c r="B34" s="18" t="str">
        <f>IFERROR(INDEX('Detalles movimientos'!C$5:C$1000, MATCH(25, 'Detalles movimientos'!$S$5:$S$1000, 0)), "")</f>
        <v/>
      </c>
      <c r="C34" s="19" t="str">
        <f>IFERROR(INDEX('Detalles movimientos'!D$5:D$1000, MATCH(25, 'Detalles movimientos'!$S$5:$S$1000, 0)), "")</f>
        <v/>
      </c>
      <c r="D34" s="20" t="str">
        <f>IFERROR(INDEX('Detalles movimientos'!E$5:E$1000, MATCH(25, 'Detalles movimientos'!$S$5:$S$1000, 0)), "")</f>
        <v/>
      </c>
      <c r="E34" s="20" t="str">
        <f>IFERROR(INDEX('Detalles movimientos'!F$5:F$1000, MATCH(25, 'Detalles movimientos'!$S$5:$S$1000, 0)), "")</f>
        <v/>
      </c>
      <c r="F34" s="19" t="str">
        <f>IFERROR(INDEX('Detalles movimientos'!G$5:G$1000, MATCH(25, 'Detalles movimientos'!$S$5:$S$1000, 0)), "")</f>
        <v/>
      </c>
      <c r="G34" s="21" t="str">
        <f>IFERROR(INDEX('Detalles movimientos'!H$5:H$1000, MATCH(25, 'Detalles movimientos'!$S$5:$S$1000, 0)), "")</f>
        <v/>
      </c>
      <c r="H34" s="22" t="str">
        <f>IFERROR(INDEX('Detalles movimientos'!I$5:I$1000, MATCH(25, 'Detalles movimientos'!$S$5:$S$1000, 0)), "")</f>
        <v/>
      </c>
      <c r="I34" s="21" t="str">
        <f>IFERROR(INDEX('Detalles movimientos'!J$5:J$1000, MATCH(25, 'Detalles movimientos'!$S$5:$S$1000, 0)), "")</f>
        <v/>
      </c>
      <c r="J34" s="20" t="str">
        <f>IFERROR(INDEX('Detalles movimientos'!K$5:K$1000, MATCH(25, 'Detalles movimientos'!$S$5:$S$1000, 0)), "")</f>
        <v/>
      </c>
      <c r="K34" s="21" t="str">
        <f>IFERROR(INDEX('Detalles movimientos'!L$5:L$1000, MATCH(25, 'Detalles movimientos'!$S$5:$S$1000, 0)), "")</f>
        <v/>
      </c>
      <c r="L34" s="19" t="str">
        <f>IFERROR(INDEX('Detalles movimientos'!M$5:M$1000, MATCH(25, 'Detalles movimientos'!$S$5:$S$1000, 0)), "")</f>
        <v/>
      </c>
      <c r="M34" s="19" t="str">
        <f>IFERROR(INDEX('Detalles movimientos'!P$5:P$1000, MATCH(25, 'Detalles movimientos'!$S$5:$S$1000, 0)), "")</f>
        <v/>
      </c>
    </row>
    <row r="35" spans="2:13" x14ac:dyDescent="0.2">
      <c r="B35" s="18" t="str">
        <f>IFERROR(INDEX('Detalles movimientos'!C$5:C$1000, MATCH(26, 'Detalles movimientos'!$S$5:$S$1000, 0)), "")</f>
        <v/>
      </c>
      <c r="C35" s="19" t="str">
        <f>IFERROR(INDEX('Detalles movimientos'!D$5:D$1000, MATCH(26, 'Detalles movimientos'!$S$5:$S$1000, 0)), "")</f>
        <v/>
      </c>
      <c r="D35" s="20" t="str">
        <f>IFERROR(INDEX('Detalles movimientos'!E$5:E$1000, MATCH(26, 'Detalles movimientos'!$S$5:$S$1000, 0)), "")</f>
        <v/>
      </c>
      <c r="E35" s="20" t="str">
        <f>IFERROR(INDEX('Detalles movimientos'!F$5:F$1000, MATCH(26, 'Detalles movimientos'!$S$5:$S$1000, 0)), "")</f>
        <v/>
      </c>
      <c r="F35" s="19" t="str">
        <f>IFERROR(INDEX('Detalles movimientos'!G$5:G$1000, MATCH(26, 'Detalles movimientos'!$S$5:$S$1000, 0)), "")</f>
        <v/>
      </c>
      <c r="G35" s="21" t="str">
        <f>IFERROR(INDEX('Detalles movimientos'!H$5:H$1000, MATCH(26, 'Detalles movimientos'!$S$5:$S$1000, 0)), "")</f>
        <v/>
      </c>
      <c r="H35" s="22" t="str">
        <f>IFERROR(INDEX('Detalles movimientos'!I$5:I$1000, MATCH(26, 'Detalles movimientos'!$S$5:$S$1000, 0)), "")</f>
        <v/>
      </c>
      <c r="I35" s="21" t="str">
        <f>IFERROR(INDEX('Detalles movimientos'!J$5:J$1000, MATCH(26, 'Detalles movimientos'!$S$5:$S$1000, 0)), "")</f>
        <v/>
      </c>
      <c r="J35" s="20" t="str">
        <f>IFERROR(INDEX('Detalles movimientos'!K$5:K$1000, MATCH(26, 'Detalles movimientos'!$S$5:$S$1000, 0)), "")</f>
        <v/>
      </c>
      <c r="K35" s="21" t="str">
        <f>IFERROR(INDEX('Detalles movimientos'!L$5:L$1000, MATCH(26, 'Detalles movimientos'!$S$5:$S$1000, 0)), "")</f>
        <v/>
      </c>
      <c r="L35" s="19" t="str">
        <f>IFERROR(INDEX('Detalles movimientos'!M$5:M$1000, MATCH(26, 'Detalles movimientos'!$S$5:$S$1000, 0)), "")</f>
        <v/>
      </c>
      <c r="M35" s="19" t="str">
        <f>IFERROR(INDEX('Detalles movimientos'!P$5:P$1000, MATCH(26, 'Detalles movimientos'!$S$5:$S$1000, 0)), "")</f>
        <v/>
      </c>
    </row>
    <row r="36" spans="2:13" x14ac:dyDescent="0.2">
      <c r="B36" s="18" t="str">
        <f>IFERROR(INDEX('Detalles movimientos'!C$5:C$1000, MATCH(27, 'Detalles movimientos'!$S$5:$S$1000, 0)), "")</f>
        <v/>
      </c>
      <c r="C36" s="19" t="str">
        <f>IFERROR(INDEX('Detalles movimientos'!D$5:D$1000, MATCH(27, 'Detalles movimientos'!$S$5:$S$1000, 0)), "")</f>
        <v/>
      </c>
      <c r="D36" s="20" t="str">
        <f>IFERROR(INDEX('Detalles movimientos'!E$5:E$1000, MATCH(27, 'Detalles movimientos'!$S$5:$S$1000, 0)), "")</f>
        <v/>
      </c>
      <c r="E36" s="20" t="str">
        <f>IFERROR(INDEX('Detalles movimientos'!F$5:F$1000, MATCH(27, 'Detalles movimientos'!$S$5:$S$1000, 0)), "")</f>
        <v/>
      </c>
      <c r="F36" s="19" t="str">
        <f>IFERROR(INDEX('Detalles movimientos'!G$5:G$1000, MATCH(27, 'Detalles movimientos'!$S$5:$S$1000, 0)), "")</f>
        <v/>
      </c>
      <c r="G36" s="21" t="str">
        <f>IFERROR(INDEX('Detalles movimientos'!H$5:H$1000, MATCH(27, 'Detalles movimientos'!$S$5:$S$1000, 0)), "")</f>
        <v/>
      </c>
      <c r="H36" s="22" t="str">
        <f>IFERROR(INDEX('Detalles movimientos'!I$5:I$1000, MATCH(27, 'Detalles movimientos'!$S$5:$S$1000, 0)), "")</f>
        <v/>
      </c>
      <c r="I36" s="21" t="str">
        <f>IFERROR(INDEX('Detalles movimientos'!J$5:J$1000, MATCH(27, 'Detalles movimientos'!$S$5:$S$1000, 0)), "")</f>
        <v/>
      </c>
      <c r="J36" s="20" t="str">
        <f>IFERROR(INDEX('Detalles movimientos'!K$5:K$1000, MATCH(27, 'Detalles movimientos'!$S$5:$S$1000, 0)), "")</f>
        <v/>
      </c>
      <c r="K36" s="21" t="str">
        <f>IFERROR(INDEX('Detalles movimientos'!L$5:L$1000, MATCH(27, 'Detalles movimientos'!$S$5:$S$1000, 0)), "")</f>
        <v/>
      </c>
      <c r="L36" s="19" t="str">
        <f>IFERROR(INDEX('Detalles movimientos'!M$5:M$1000, MATCH(27, 'Detalles movimientos'!$S$5:$S$1000, 0)), "")</f>
        <v/>
      </c>
      <c r="M36" s="19" t="str">
        <f>IFERROR(INDEX('Detalles movimientos'!P$5:P$1000, MATCH(27, 'Detalles movimientos'!$S$5:$S$1000, 0)), "")</f>
        <v/>
      </c>
    </row>
    <row r="37" spans="2:13" x14ac:dyDescent="0.2">
      <c r="B37" s="18" t="str">
        <f>IFERROR(INDEX('Detalles movimientos'!C$5:C$1000, MATCH(28, 'Detalles movimientos'!$S$5:$S$1000, 0)), "")</f>
        <v/>
      </c>
      <c r="C37" s="19" t="str">
        <f>IFERROR(INDEX('Detalles movimientos'!D$5:D$1000, MATCH(28, 'Detalles movimientos'!$S$5:$S$1000, 0)), "")</f>
        <v/>
      </c>
      <c r="D37" s="20" t="str">
        <f>IFERROR(INDEX('Detalles movimientos'!E$5:E$1000, MATCH(28, 'Detalles movimientos'!$S$5:$S$1000, 0)), "")</f>
        <v/>
      </c>
      <c r="E37" s="20" t="str">
        <f>IFERROR(INDEX('Detalles movimientos'!F$5:F$1000, MATCH(28, 'Detalles movimientos'!$S$5:$S$1000, 0)), "")</f>
        <v/>
      </c>
      <c r="F37" s="19" t="str">
        <f>IFERROR(INDEX('Detalles movimientos'!G$5:G$1000, MATCH(28, 'Detalles movimientos'!$S$5:$S$1000, 0)), "")</f>
        <v/>
      </c>
      <c r="G37" s="21" t="str">
        <f>IFERROR(INDEX('Detalles movimientos'!H$5:H$1000, MATCH(28, 'Detalles movimientos'!$S$5:$S$1000, 0)), "")</f>
        <v/>
      </c>
      <c r="H37" s="22" t="str">
        <f>IFERROR(INDEX('Detalles movimientos'!I$5:I$1000, MATCH(28, 'Detalles movimientos'!$S$5:$S$1000, 0)), "")</f>
        <v/>
      </c>
      <c r="I37" s="21" t="str">
        <f>IFERROR(INDEX('Detalles movimientos'!J$5:J$1000, MATCH(28, 'Detalles movimientos'!$S$5:$S$1000, 0)), "")</f>
        <v/>
      </c>
      <c r="J37" s="20" t="str">
        <f>IFERROR(INDEX('Detalles movimientos'!K$5:K$1000, MATCH(28, 'Detalles movimientos'!$S$5:$S$1000, 0)), "")</f>
        <v/>
      </c>
      <c r="K37" s="21" t="str">
        <f>IFERROR(INDEX('Detalles movimientos'!L$5:L$1000, MATCH(28, 'Detalles movimientos'!$S$5:$S$1000, 0)), "")</f>
        <v/>
      </c>
      <c r="L37" s="19" t="str">
        <f>IFERROR(INDEX('Detalles movimientos'!M$5:M$1000, MATCH(28, 'Detalles movimientos'!$S$5:$S$1000, 0)), "")</f>
        <v/>
      </c>
      <c r="M37" s="19" t="str">
        <f>IFERROR(INDEX('Detalles movimientos'!P$5:P$1000, MATCH(28, 'Detalles movimientos'!$S$5:$S$1000, 0)), "")</f>
        <v/>
      </c>
    </row>
    <row r="38" spans="2:13" x14ac:dyDescent="0.2">
      <c r="B38" s="18" t="str">
        <f>IFERROR(INDEX('Detalles movimientos'!C$5:C$1000, MATCH(29, 'Detalles movimientos'!$S$5:$S$1000, 0)), "")</f>
        <v/>
      </c>
      <c r="C38" s="19" t="str">
        <f>IFERROR(INDEX('Detalles movimientos'!D$5:D$1000, MATCH(29, 'Detalles movimientos'!$S$5:$S$1000, 0)), "")</f>
        <v/>
      </c>
      <c r="D38" s="20" t="str">
        <f>IFERROR(INDEX('Detalles movimientos'!E$5:E$1000, MATCH(29, 'Detalles movimientos'!$S$5:$S$1000, 0)), "")</f>
        <v/>
      </c>
      <c r="E38" s="20" t="str">
        <f>IFERROR(INDEX('Detalles movimientos'!F$5:F$1000, MATCH(29, 'Detalles movimientos'!$S$5:$S$1000, 0)), "")</f>
        <v/>
      </c>
      <c r="F38" s="19" t="str">
        <f>IFERROR(INDEX('Detalles movimientos'!G$5:G$1000, MATCH(29, 'Detalles movimientos'!$S$5:$S$1000, 0)), "")</f>
        <v/>
      </c>
      <c r="G38" s="21" t="str">
        <f>IFERROR(INDEX('Detalles movimientos'!H$5:H$1000, MATCH(29, 'Detalles movimientos'!$S$5:$S$1000, 0)), "")</f>
        <v/>
      </c>
      <c r="H38" s="22" t="str">
        <f>IFERROR(INDEX('Detalles movimientos'!I$5:I$1000, MATCH(29, 'Detalles movimientos'!$S$5:$S$1000, 0)), "")</f>
        <v/>
      </c>
      <c r="I38" s="21" t="str">
        <f>IFERROR(INDEX('Detalles movimientos'!J$5:J$1000, MATCH(29, 'Detalles movimientos'!$S$5:$S$1000, 0)), "")</f>
        <v/>
      </c>
      <c r="J38" s="20" t="str">
        <f>IFERROR(INDEX('Detalles movimientos'!K$5:K$1000, MATCH(29, 'Detalles movimientos'!$S$5:$S$1000, 0)), "")</f>
        <v/>
      </c>
      <c r="K38" s="21" t="str">
        <f>IFERROR(INDEX('Detalles movimientos'!L$5:L$1000, MATCH(29, 'Detalles movimientos'!$S$5:$S$1000, 0)), "")</f>
        <v/>
      </c>
      <c r="L38" s="19" t="str">
        <f>IFERROR(INDEX('Detalles movimientos'!M$5:M$1000, MATCH(29, 'Detalles movimientos'!$S$5:$S$1000, 0)), "")</f>
        <v/>
      </c>
      <c r="M38" s="19" t="str">
        <f>IFERROR(INDEX('Detalles movimientos'!P$5:P$1000, MATCH(29, 'Detalles movimientos'!$S$5:$S$1000, 0)), "")</f>
        <v/>
      </c>
    </row>
    <row r="39" spans="2:13" x14ac:dyDescent="0.2">
      <c r="B39" s="18" t="str">
        <f>IFERROR(INDEX('Detalles movimientos'!C$5:C$1000, MATCH(30, 'Detalles movimientos'!$S$5:$S$1000, 0)), "")</f>
        <v/>
      </c>
      <c r="C39" s="19" t="str">
        <f>IFERROR(INDEX('Detalles movimientos'!D$5:D$1000, MATCH(30, 'Detalles movimientos'!$S$5:$S$1000, 0)), "")</f>
        <v/>
      </c>
      <c r="D39" s="20" t="str">
        <f>IFERROR(INDEX('Detalles movimientos'!E$5:E$1000, MATCH(30, 'Detalles movimientos'!$S$5:$S$1000, 0)), "")</f>
        <v/>
      </c>
      <c r="E39" s="20" t="str">
        <f>IFERROR(INDEX('Detalles movimientos'!F$5:F$1000, MATCH(30, 'Detalles movimientos'!$S$5:$S$1000, 0)), "")</f>
        <v/>
      </c>
      <c r="F39" s="19" t="str">
        <f>IFERROR(INDEX('Detalles movimientos'!G$5:G$1000, MATCH(30, 'Detalles movimientos'!$S$5:$S$1000, 0)), "")</f>
        <v/>
      </c>
      <c r="G39" s="21" t="str">
        <f>IFERROR(INDEX('Detalles movimientos'!H$5:H$1000, MATCH(30, 'Detalles movimientos'!$S$5:$S$1000, 0)), "")</f>
        <v/>
      </c>
      <c r="H39" s="22" t="str">
        <f>IFERROR(INDEX('Detalles movimientos'!I$5:I$1000, MATCH(30, 'Detalles movimientos'!$S$5:$S$1000, 0)), "")</f>
        <v/>
      </c>
      <c r="I39" s="21" t="str">
        <f>IFERROR(INDEX('Detalles movimientos'!J$5:J$1000, MATCH(30, 'Detalles movimientos'!$S$5:$S$1000, 0)), "")</f>
        <v/>
      </c>
      <c r="J39" s="20" t="str">
        <f>IFERROR(INDEX('Detalles movimientos'!K$5:K$1000, MATCH(30, 'Detalles movimientos'!$S$5:$S$1000, 0)), "")</f>
        <v/>
      </c>
      <c r="K39" s="21" t="str">
        <f>IFERROR(INDEX('Detalles movimientos'!L$5:L$1000, MATCH(30, 'Detalles movimientos'!$S$5:$S$1000, 0)), "")</f>
        <v/>
      </c>
      <c r="L39" s="19" t="str">
        <f>IFERROR(INDEX('Detalles movimientos'!M$5:M$1000, MATCH(30, 'Detalles movimientos'!$S$5:$S$1000, 0)), "")</f>
        <v/>
      </c>
      <c r="M39" s="19" t="str">
        <f>IFERROR(INDEX('Detalles movimientos'!P$5:P$1000, MATCH(30, 'Detalles movimientos'!$S$5:$S$1000, 0)), "")</f>
        <v/>
      </c>
    </row>
    <row r="40" spans="2:13" x14ac:dyDescent="0.2">
      <c r="B40" s="18" t="str">
        <f>IFERROR(INDEX('Detalles movimientos'!C$5:C$1000, MATCH(31, 'Detalles movimientos'!$S$5:$S$1000, 0)), "")</f>
        <v/>
      </c>
      <c r="C40" s="19" t="str">
        <f>IFERROR(INDEX('Detalles movimientos'!D$5:D$1000, MATCH(31, 'Detalles movimientos'!$S$5:$S$1000, 0)), "")</f>
        <v/>
      </c>
      <c r="D40" s="20" t="str">
        <f>IFERROR(INDEX('Detalles movimientos'!E$5:E$1000, MATCH(31, 'Detalles movimientos'!$S$5:$S$1000, 0)), "")</f>
        <v/>
      </c>
      <c r="E40" s="20" t="str">
        <f>IFERROR(INDEX('Detalles movimientos'!F$5:F$1000, MATCH(31, 'Detalles movimientos'!$S$5:$S$1000, 0)), "")</f>
        <v/>
      </c>
      <c r="F40" s="19" t="str">
        <f>IFERROR(INDEX('Detalles movimientos'!G$5:G$1000, MATCH(31, 'Detalles movimientos'!$S$5:$S$1000, 0)), "")</f>
        <v/>
      </c>
      <c r="G40" s="21" t="str">
        <f>IFERROR(INDEX('Detalles movimientos'!H$5:H$1000, MATCH(31, 'Detalles movimientos'!$S$5:$S$1000, 0)), "")</f>
        <v/>
      </c>
      <c r="H40" s="22" t="str">
        <f>IFERROR(INDEX('Detalles movimientos'!I$5:I$1000, MATCH(31, 'Detalles movimientos'!$S$5:$S$1000, 0)), "")</f>
        <v/>
      </c>
      <c r="I40" s="21" t="str">
        <f>IFERROR(INDEX('Detalles movimientos'!J$5:J$1000, MATCH(31, 'Detalles movimientos'!$S$5:$S$1000, 0)), "")</f>
        <v/>
      </c>
      <c r="J40" s="20" t="str">
        <f>IFERROR(INDEX('Detalles movimientos'!K$5:K$1000, MATCH(31, 'Detalles movimientos'!$S$5:$S$1000, 0)), "")</f>
        <v/>
      </c>
      <c r="K40" s="21" t="str">
        <f>IFERROR(INDEX('Detalles movimientos'!L$5:L$1000, MATCH(31, 'Detalles movimientos'!$S$5:$S$1000, 0)), "")</f>
        <v/>
      </c>
      <c r="L40" s="19" t="str">
        <f>IFERROR(INDEX('Detalles movimientos'!M$5:M$1000, MATCH(31, 'Detalles movimientos'!$S$5:$S$1000, 0)), "")</f>
        <v/>
      </c>
      <c r="M40" s="19" t="str">
        <f>IFERROR(INDEX('Detalles movimientos'!P$5:P$1000, MATCH(31, 'Detalles movimientos'!$S$5:$S$1000, 0)), "")</f>
        <v/>
      </c>
    </row>
    <row r="41" spans="2:13" x14ac:dyDescent="0.2">
      <c r="B41" s="18" t="str">
        <f>IFERROR(INDEX('Detalles movimientos'!C$5:C$1000, MATCH(32, 'Detalles movimientos'!$S$5:$S$1000, 0)), "")</f>
        <v/>
      </c>
      <c r="C41" s="19" t="str">
        <f>IFERROR(INDEX('Detalles movimientos'!D$5:D$1000, MATCH(32, 'Detalles movimientos'!$S$5:$S$1000, 0)), "")</f>
        <v/>
      </c>
      <c r="D41" s="20" t="str">
        <f>IFERROR(INDEX('Detalles movimientos'!E$5:E$1000, MATCH(32, 'Detalles movimientos'!$S$5:$S$1000, 0)), "")</f>
        <v/>
      </c>
      <c r="E41" s="20" t="str">
        <f>IFERROR(INDEX('Detalles movimientos'!F$5:F$1000, MATCH(32, 'Detalles movimientos'!$S$5:$S$1000, 0)), "")</f>
        <v/>
      </c>
      <c r="F41" s="19" t="str">
        <f>IFERROR(INDEX('Detalles movimientos'!G$5:G$1000, MATCH(32, 'Detalles movimientos'!$S$5:$S$1000, 0)), "")</f>
        <v/>
      </c>
      <c r="G41" s="21" t="str">
        <f>IFERROR(INDEX('Detalles movimientos'!H$5:H$1000, MATCH(32, 'Detalles movimientos'!$S$5:$S$1000, 0)), "")</f>
        <v/>
      </c>
      <c r="H41" s="22" t="str">
        <f>IFERROR(INDEX('Detalles movimientos'!I$5:I$1000, MATCH(32, 'Detalles movimientos'!$S$5:$S$1000, 0)), "")</f>
        <v/>
      </c>
      <c r="I41" s="21" t="str">
        <f>IFERROR(INDEX('Detalles movimientos'!J$5:J$1000, MATCH(32, 'Detalles movimientos'!$S$5:$S$1000, 0)), "")</f>
        <v/>
      </c>
      <c r="J41" s="20" t="str">
        <f>IFERROR(INDEX('Detalles movimientos'!K$5:K$1000, MATCH(32, 'Detalles movimientos'!$S$5:$S$1000, 0)), "")</f>
        <v/>
      </c>
      <c r="K41" s="21" t="str">
        <f>IFERROR(INDEX('Detalles movimientos'!L$5:L$1000, MATCH(32, 'Detalles movimientos'!$S$5:$S$1000, 0)), "")</f>
        <v/>
      </c>
      <c r="L41" s="19" t="str">
        <f>IFERROR(INDEX('Detalles movimientos'!M$5:M$1000, MATCH(32, 'Detalles movimientos'!$S$5:$S$1000, 0)), "")</f>
        <v/>
      </c>
      <c r="M41" s="19" t="str">
        <f>IFERROR(INDEX('Detalles movimientos'!P$5:P$1000, MATCH(32, 'Detalles movimientos'!$S$5:$S$1000, 0)), "")</f>
        <v/>
      </c>
    </row>
    <row r="42" spans="2:13" x14ac:dyDescent="0.2">
      <c r="B42" s="18" t="str">
        <f>IFERROR(INDEX('Detalles movimientos'!C$5:C$1000, MATCH(33, 'Detalles movimientos'!$S$5:$S$1000, 0)), "")</f>
        <v/>
      </c>
      <c r="C42" s="19" t="str">
        <f>IFERROR(INDEX('Detalles movimientos'!D$5:D$1000, MATCH(33, 'Detalles movimientos'!$S$5:$S$1000, 0)), "")</f>
        <v/>
      </c>
      <c r="D42" s="20" t="str">
        <f>IFERROR(INDEX('Detalles movimientos'!E$5:E$1000, MATCH(33, 'Detalles movimientos'!$S$5:$S$1000, 0)), "")</f>
        <v/>
      </c>
      <c r="E42" s="20" t="str">
        <f>IFERROR(INDEX('Detalles movimientos'!F$5:F$1000, MATCH(33, 'Detalles movimientos'!$S$5:$S$1000, 0)), "")</f>
        <v/>
      </c>
      <c r="F42" s="19" t="str">
        <f>IFERROR(INDEX('Detalles movimientos'!G$5:G$1000, MATCH(33, 'Detalles movimientos'!$S$5:$S$1000, 0)), "")</f>
        <v/>
      </c>
      <c r="G42" s="21" t="str">
        <f>IFERROR(INDEX('Detalles movimientos'!H$5:H$1000, MATCH(33, 'Detalles movimientos'!$S$5:$S$1000, 0)), "")</f>
        <v/>
      </c>
      <c r="H42" s="22" t="str">
        <f>IFERROR(INDEX('Detalles movimientos'!I$5:I$1000, MATCH(33, 'Detalles movimientos'!$S$5:$S$1000, 0)), "")</f>
        <v/>
      </c>
      <c r="I42" s="21" t="str">
        <f>IFERROR(INDEX('Detalles movimientos'!J$5:J$1000, MATCH(33, 'Detalles movimientos'!$S$5:$S$1000, 0)), "")</f>
        <v/>
      </c>
      <c r="J42" s="20" t="str">
        <f>IFERROR(INDEX('Detalles movimientos'!K$5:K$1000, MATCH(33, 'Detalles movimientos'!$S$5:$S$1000, 0)), "")</f>
        <v/>
      </c>
      <c r="K42" s="21" t="str">
        <f>IFERROR(INDEX('Detalles movimientos'!L$5:L$1000, MATCH(33, 'Detalles movimientos'!$S$5:$S$1000, 0)), "")</f>
        <v/>
      </c>
      <c r="L42" s="19" t="str">
        <f>IFERROR(INDEX('Detalles movimientos'!M$5:M$1000, MATCH(33, 'Detalles movimientos'!$S$5:$S$1000, 0)), "")</f>
        <v/>
      </c>
      <c r="M42" s="19" t="str">
        <f>IFERROR(INDEX('Detalles movimientos'!P$5:P$1000, MATCH(33, 'Detalles movimientos'!$S$5:$S$1000, 0)), "")</f>
        <v/>
      </c>
    </row>
    <row r="43" spans="2:13" x14ac:dyDescent="0.2">
      <c r="B43" s="18" t="str">
        <f>IFERROR(INDEX('Detalles movimientos'!C$5:C$1000, MATCH(34, 'Detalles movimientos'!$S$5:$S$1000, 0)), "")</f>
        <v/>
      </c>
      <c r="C43" s="19" t="str">
        <f>IFERROR(INDEX('Detalles movimientos'!D$5:D$1000, MATCH(34, 'Detalles movimientos'!$S$5:$S$1000, 0)), "")</f>
        <v/>
      </c>
      <c r="D43" s="20" t="str">
        <f>IFERROR(INDEX('Detalles movimientos'!E$5:E$1000, MATCH(34, 'Detalles movimientos'!$S$5:$S$1000, 0)), "")</f>
        <v/>
      </c>
      <c r="E43" s="20" t="str">
        <f>IFERROR(INDEX('Detalles movimientos'!F$5:F$1000, MATCH(34, 'Detalles movimientos'!$S$5:$S$1000, 0)), "")</f>
        <v/>
      </c>
      <c r="F43" s="19" t="str">
        <f>IFERROR(INDEX('Detalles movimientos'!G$5:G$1000, MATCH(34, 'Detalles movimientos'!$S$5:$S$1000, 0)), "")</f>
        <v/>
      </c>
      <c r="G43" s="21" t="str">
        <f>IFERROR(INDEX('Detalles movimientos'!H$5:H$1000, MATCH(34, 'Detalles movimientos'!$S$5:$S$1000, 0)), "")</f>
        <v/>
      </c>
      <c r="H43" s="22" t="str">
        <f>IFERROR(INDEX('Detalles movimientos'!I$5:I$1000, MATCH(34, 'Detalles movimientos'!$S$5:$S$1000, 0)), "")</f>
        <v/>
      </c>
      <c r="I43" s="21" t="str">
        <f>IFERROR(INDEX('Detalles movimientos'!J$5:J$1000, MATCH(34, 'Detalles movimientos'!$S$5:$S$1000, 0)), "")</f>
        <v/>
      </c>
      <c r="J43" s="20" t="str">
        <f>IFERROR(INDEX('Detalles movimientos'!K$5:K$1000, MATCH(34, 'Detalles movimientos'!$S$5:$S$1000, 0)), "")</f>
        <v/>
      </c>
      <c r="K43" s="21" t="str">
        <f>IFERROR(INDEX('Detalles movimientos'!L$5:L$1000, MATCH(34, 'Detalles movimientos'!$S$5:$S$1000, 0)), "")</f>
        <v/>
      </c>
      <c r="L43" s="19" t="str">
        <f>IFERROR(INDEX('Detalles movimientos'!M$5:M$1000, MATCH(34, 'Detalles movimientos'!$S$5:$S$1000, 0)), "")</f>
        <v/>
      </c>
      <c r="M43" s="19" t="str">
        <f>IFERROR(INDEX('Detalles movimientos'!P$5:P$1000, MATCH(34, 'Detalles movimientos'!$S$5:$S$1000, 0)), "")</f>
        <v/>
      </c>
    </row>
    <row r="44" spans="2:13" x14ac:dyDescent="0.2">
      <c r="B44" s="18" t="str">
        <f>IFERROR(INDEX('Detalles movimientos'!C$5:C$1000, MATCH(35, 'Detalles movimientos'!$S$5:$S$1000, 0)), "")</f>
        <v/>
      </c>
      <c r="C44" s="19" t="str">
        <f>IFERROR(INDEX('Detalles movimientos'!D$5:D$1000, MATCH(35, 'Detalles movimientos'!$S$5:$S$1000, 0)), "")</f>
        <v/>
      </c>
      <c r="D44" s="20" t="str">
        <f>IFERROR(INDEX('Detalles movimientos'!E$5:E$1000, MATCH(35, 'Detalles movimientos'!$S$5:$S$1000, 0)), "")</f>
        <v/>
      </c>
      <c r="E44" s="20" t="str">
        <f>IFERROR(INDEX('Detalles movimientos'!F$5:F$1000, MATCH(35, 'Detalles movimientos'!$S$5:$S$1000, 0)), "")</f>
        <v/>
      </c>
      <c r="F44" s="19" t="str">
        <f>IFERROR(INDEX('Detalles movimientos'!G$5:G$1000, MATCH(35, 'Detalles movimientos'!$S$5:$S$1000, 0)), "")</f>
        <v/>
      </c>
      <c r="G44" s="21" t="str">
        <f>IFERROR(INDEX('Detalles movimientos'!H$5:H$1000, MATCH(35, 'Detalles movimientos'!$S$5:$S$1000, 0)), "")</f>
        <v/>
      </c>
      <c r="H44" s="22" t="str">
        <f>IFERROR(INDEX('Detalles movimientos'!I$5:I$1000, MATCH(35, 'Detalles movimientos'!$S$5:$S$1000, 0)), "")</f>
        <v/>
      </c>
      <c r="I44" s="21" t="str">
        <f>IFERROR(INDEX('Detalles movimientos'!J$5:J$1000, MATCH(35, 'Detalles movimientos'!$S$5:$S$1000, 0)), "")</f>
        <v/>
      </c>
      <c r="J44" s="20" t="str">
        <f>IFERROR(INDEX('Detalles movimientos'!K$5:K$1000, MATCH(35, 'Detalles movimientos'!$S$5:$S$1000, 0)), "")</f>
        <v/>
      </c>
      <c r="K44" s="21" t="str">
        <f>IFERROR(INDEX('Detalles movimientos'!L$5:L$1000, MATCH(35, 'Detalles movimientos'!$S$5:$S$1000, 0)), "")</f>
        <v/>
      </c>
      <c r="L44" s="19" t="str">
        <f>IFERROR(INDEX('Detalles movimientos'!M$5:M$1000, MATCH(35, 'Detalles movimientos'!$S$5:$S$1000, 0)), "")</f>
        <v/>
      </c>
      <c r="M44" s="19" t="str">
        <f>IFERROR(INDEX('Detalles movimientos'!P$5:P$1000, MATCH(35, 'Detalles movimientos'!$S$5:$S$1000, 0)), "")</f>
        <v/>
      </c>
    </row>
    <row r="45" spans="2:13" x14ac:dyDescent="0.2">
      <c r="B45" s="18" t="str">
        <f>IFERROR(INDEX('Detalles movimientos'!C$5:C$1000, MATCH(36, 'Detalles movimientos'!$S$5:$S$1000, 0)), "")</f>
        <v/>
      </c>
      <c r="C45" s="19" t="str">
        <f>IFERROR(INDEX('Detalles movimientos'!D$5:D$1000, MATCH(36, 'Detalles movimientos'!$S$5:$S$1000, 0)), "")</f>
        <v/>
      </c>
      <c r="D45" s="20" t="str">
        <f>IFERROR(INDEX('Detalles movimientos'!E$5:E$1000, MATCH(36, 'Detalles movimientos'!$S$5:$S$1000, 0)), "")</f>
        <v/>
      </c>
      <c r="E45" s="20" t="str">
        <f>IFERROR(INDEX('Detalles movimientos'!F$5:F$1000, MATCH(36, 'Detalles movimientos'!$S$5:$S$1000, 0)), "")</f>
        <v/>
      </c>
      <c r="F45" s="19" t="str">
        <f>IFERROR(INDEX('Detalles movimientos'!G$5:G$1000, MATCH(36, 'Detalles movimientos'!$S$5:$S$1000, 0)), "")</f>
        <v/>
      </c>
      <c r="G45" s="21" t="str">
        <f>IFERROR(INDEX('Detalles movimientos'!H$5:H$1000, MATCH(36, 'Detalles movimientos'!$S$5:$S$1000, 0)), "")</f>
        <v/>
      </c>
      <c r="H45" s="22" t="str">
        <f>IFERROR(INDEX('Detalles movimientos'!I$5:I$1000, MATCH(36, 'Detalles movimientos'!$S$5:$S$1000, 0)), "")</f>
        <v/>
      </c>
      <c r="I45" s="21" t="str">
        <f>IFERROR(INDEX('Detalles movimientos'!J$5:J$1000, MATCH(36, 'Detalles movimientos'!$S$5:$S$1000, 0)), "")</f>
        <v/>
      </c>
      <c r="J45" s="20" t="str">
        <f>IFERROR(INDEX('Detalles movimientos'!K$5:K$1000, MATCH(36, 'Detalles movimientos'!$S$5:$S$1000, 0)), "")</f>
        <v/>
      </c>
      <c r="K45" s="21" t="str">
        <f>IFERROR(INDEX('Detalles movimientos'!L$5:L$1000, MATCH(36, 'Detalles movimientos'!$S$5:$S$1000, 0)), "")</f>
        <v/>
      </c>
      <c r="L45" s="19" t="str">
        <f>IFERROR(INDEX('Detalles movimientos'!M$5:M$1000, MATCH(36, 'Detalles movimientos'!$S$5:$S$1000, 0)), "")</f>
        <v/>
      </c>
      <c r="M45" s="19" t="str">
        <f>IFERROR(INDEX('Detalles movimientos'!P$5:P$1000, MATCH(36, 'Detalles movimientos'!$S$5:$S$1000, 0)), "")</f>
        <v/>
      </c>
    </row>
    <row r="46" spans="2:13" x14ac:dyDescent="0.2">
      <c r="B46" s="18" t="str">
        <f>IFERROR(INDEX('Detalles movimientos'!C$5:C$1000, MATCH(37, 'Detalles movimientos'!$S$5:$S$1000, 0)), "")</f>
        <v/>
      </c>
      <c r="C46" s="19" t="str">
        <f>IFERROR(INDEX('Detalles movimientos'!D$5:D$1000, MATCH(37, 'Detalles movimientos'!$S$5:$S$1000, 0)), "")</f>
        <v/>
      </c>
      <c r="D46" s="20" t="str">
        <f>IFERROR(INDEX('Detalles movimientos'!E$5:E$1000, MATCH(37, 'Detalles movimientos'!$S$5:$S$1000, 0)), "")</f>
        <v/>
      </c>
      <c r="E46" s="20" t="str">
        <f>IFERROR(INDEX('Detalles movimientos'!F$5:F$1000, MATCH(37, 'Detalles movimientos'!$S$5:$S$1000, 0)), "")</f>
        <v/>
      </c>
      <c r="F46" s="19" t="str">
        <f>IFERROR(INDEX('Detalles movimientos'!G$5:G$1000, MATCH(37, 'Detalles movimientos'!$S$5:$S$1000, 0)), "")</f>
        <v/>
      </c>
      <c r="G46" s="21" t="str">
        <f>IFERROR(INDEX('Detalles movimientos'!H$5:H$1000, MATCH(37, 'Detalles movimientos'!$S$5:$S$1000, 0)), "")</f>
        <v/>
      </c>
      <c r="H46" s="22" t="str">
        <f>IFERROR(INDEX('Detalles movimientos'!I$5:I$1000, MATCH(37, 'Detalles movimientos'!$S$5:$S$1000, 0)), "")</f>
        <v/>
      </c>
      <c r="I46" s="21" t="str">
        <f>IFERROR(INDEX('Detalles movimientos'!J$5:J$1000, MATCH(37, 'Detalles movimientos'!$S$5:$S$1000, 0)), "")</f>
        <v/>
      </c>
      <c r="J46" s="20" t="str">
        <f>IFERROR(INDEX('Detalles movimientos'!K$5:K$1000, MATCH(37, 'Detalles movimientos'!$S$5:$S$1000, 0)), "")</f>
        <v/>
      </c>
      <c r="K46" s="21" t="str">
        <f>IFERROR(INDEX('Detalles movimientos'!L$5:L$1000, MATCH(37, 'Detalles movimientos'!$S$5:$S$1000, 0)), "")</f>
        <v/>
      </c>
      <c r="L46" s="19" t="str">
        <f>IFERROR(INDEX('Detalles movimientos'!M$5:M$1000, MATCH(37, 'Detalles movimientos'!$S$5:$S$1000, 0)), "")</f>
        <v/>
      </c>
      <c r="M46" s="19" t="str">
        <f>IFERROR(INDEX('Detalles movimientos'!P$5:P$1000, MATCH(37, 'Detalles movimientos'!$S$5:$S$1000, 0)), "")</f>
        <v/>
      </c>
    </row>
    <row r="47" spans="2:13" x14ac:dyDescent="0.2">
      <c r="B47" s="18" t="str">
        <f>IFERROR(INDEX('Detalles movimientos'!C$5:C$1000, MATCH(38, 'Detalles movimientos'!$S$5:$S$1000, 0)), "")</f>
        <v/>
      </c>
      <c r="C47" s="19" t="str">
        <f>IFERROR(INDEX('Detalles movimientos'!D$5:D$1000, MATCH(38, 'Detalles movimientos'!$S$5:$S$1000, 0)), "")</f>
        <v/>
      </c>
      <c r="D47" s="20" t="str">
        <f>IFERROR(INDEX('Detalles movimientos'!E$5:E$1000, MATCH(38, 'Detalles movimientos'!$S$5:$S$1000, 0)), "")</f>
        <v/>
      </c>
      <c r="E47" s="20" t="str">
        <f>IFERROR(INDEX('Detalles movimientos'!F$5:F$1000, MATCH(38, 'Detalles movimientos'!$S$5:$S$1000, 0)), "")</f>
        <v/>
      </c>
      <c r="F47" s="19" t="str">
        <f>IFERROR(INDEX('Detalles movimientos'!G$5:G$1000, MATCH(38, 'Detalles movimientos'!$S$5:$S$1000, 0)), "")</f>
        <v/>
      </c>
      <c r="G47" s="21" t="str">
        <f>IFERROR(INDEX('Detalles movimientos'!H$5:H$1000, MATCH(38, 'Detalles movimientos'!$S$5:$S$1000, 0)), "")</f>
        <v/>
      </c>
      <c r="H47" s="22" t="str">
        <f>IFERROR(INDEX('Detalles movimientos'!I$5:I$1000, MATCH(38, 'Detalles movimientos'!$S$5:$S$1000, 0)), "")</f>
        <v/>
      </c>
      <c r="I47" s="21" t="str">
        <f>IFERROR(INDEX('Detalles movimientos'!J$5:J$1000, MATCH(38, 'Detalles movimientos'!$S$5:$S$1000, 0)), "")</f>
        <v/>
      </c>
      <c r="J47" s="20" t="str">
        <f>IFERROR(INDEX('Detalles movimientos'!K$5:K$1000, MATCH(38, 'Detalles movimientos'!$S$5:$S$1000, 0)), "")</f>
        <v/>
      </c>
      <c r="K47" s="21" t="str">
        <f>IFERROR(INDEX('Detalles movimientos'!L$5:L$1000, MATCH(38, 'Detalles movimientos'!$S$5:$S$1000, 0)), "")</f>
        <v/>
      </c>
      <c r="L47" s="19" t="str">
        <f>IFERROR(INDEX('Detalles movimientos'!M$5:M$1000, MATCH(38, 'Detalles movimientos'!$S$5:$S$1000, 0)), "")</f>
        <v/>
      </c>
      <c r="M47" s="19" t="str">
        <f>IFERROR(INDEX('Detalles movimientos'!P$5:P$1000, MATCH(38, 'Detalles movimientos'!$S$5:$S$1000, 0)), "")</f>
        <v/>
      </c>
    </row>
    <row r="48" spans="2:13" x14ac:dyDescent="0.2">
      <c r="B48" s="18" t="str">
        <f>IFERROR(INDEX('Detalles movimientos'!C$5:C$1000, MATCH(39, 'Detalles movimientos'!$S$5:$S$1000, 0)), "")</f>
        <v/>
      </c>
      <c r="C48" s="19" t="str">
        <f>IFERROR(INDEX('Detalles movimientos'!D$5:D$1000, MATCH(39, 'Detalles movimientos'!$S$5:$S$1000, 0)), "")</f>
        <v/>
      </c>
      <c r="D48" s="20" t="str">
        <f>IFERROR(INDEX('Detalles movimientos'!E$5:E$1000, MATCH(39, 'Detalles movimientos'!$S$5:$S$1000, 0)), "")</f>
        <v/>
      </c>
      <c r="E48" s="20" t="str">
        <f>IFERROR(INDEX('Detalles movimientos'!F$5:F$1000, MATCH(39, 'Detalles movimientos'!$S$5:$S$1000, 0)), "")</f>
        <v/>
      </c>
      <c r="F48" s="19" t="str">
        <f>IFERROR(INDEX('Detalles movimientos'!G$5:G$1000, MATCH(39, 'Detalles movimientos'!$S$5:$S$1000, 0)), "")</f>
        <v/>
      </c>
      <c r="G48" s="21" t="str">
        <f>IFERROR(INDEX('Detalles movimientos'!H$5:H$1000, MATCH(39, 'Detalles movimientos'!$S$5:$S$1000, 0)), "")</f>
        <v/>
      </c>
      <c r="H48" s="22" t="str">
        <f>IFERROR(INDEX('Detalles movimientos'!I$5:I$1000, MATCH(39, 'Detalles movimientos'!$S$5:$S$1000, 0)), "")</f>
        <v/>
      </c>
      <c r="I48" s="21" t="str">
        <f>IFERROR(INDEX('Detalles movimientos'!J$5:J$1000, MATCH(39, 'Detalles movimientos'!$S$5:$S$1000, 0)), "")</f>
        <v/>
      </c>
      <c r="J48" s="20" t="str">
        <f>IFERROR(INDEX('Detalles movimientos'!K$5:K$1000, MATCH(39, 'Detalles movimientos'!$S$5:$S$1000, 0)), "")</f>
        <v/>
      </c>
      <c r="K48" s="21" t="str">
        <f>IFERROR(INDEX('Detalles movimientos'!L$5:L$1000, MATCH(39, 'Detalles movimientos'!$S$5:$S$1000, 0)), "")</f>
        <v/>
      </c>
      <c r="L48" s="19" t="str">
        <f>IFERROR(INDEX('Detalles movimientos'!M$5:M$1000, MATCH(39, 'Detalles movimientos'!$S$5:$S$1000, 0)), "")</f>
        <v/>
      </c>
      <c r="M48" s="19" t="str">
        <f>IFERROR(INDEX('Detalles movimientos'!P$5:P$1000, MATCH(39, 'Detalles movimientos'!$S$5:$S$1000, 0)), "")</f>
        <v/>
      </c>
    </row>
    <row r="49" spans="2:13" x14ac:dyDescent="0.2">
      <c r="B49" s="18" t="str">
        <f>IFERROR(INDEX('Detalles movimientos'!C$5:C$1000, MATCH(40, 'Detalles movimientos'!$S$5:$S$1000, 0)), "")</f>
        <v/>
      </c>
      <c r="C49" s="19" t="str">
        <f>IFERROR(INDEX('Detalles movimientos'!D$5:D$1000, MATCH(40, 'Detalles movimientos'!$S$5:$S$1000, 0)), "")</f>
        <v/>
      </c>
      <c r="D49" s="20" t="str">
        <f>IFERROR(INDEX('Detalles movimientos'!E$5:E$1000, MATCH(40, 'Detalles movimientos'!$S$5:$S$1000, 0)), "")</f>
        <v/>
      </c>
      <c r="E49" s="20" t="str">
        <f>IFERROR(INDEX('Detalles movimientos'!F$5:F$1000, MATCH(40, 'Detalles movimientos'!$S$5:$S$1000, 0)), "")</f>
        <v/>
      </c>
      <c r="F49" s="19" t="str">
        <f>IFERROR(INDEX('Detalles movimientos'!G$5:G$1000, MATCH(40, 'Detalles movimientos'!$S$5:$S$1000, 0)), "")</f>
        <v/>
      </c>
      <c r="G49" s="21" t="str">
        <f>IFERROR(INDEX('Detalles movimientos'!H$5:H$1000, MATCH(40, 'Detalles movimientos'!$S$5:$S$1000, 0)), "")</f>
        <v/>
      </c>
      <c r="H49" s="22" t="str">
        <f>IFERROR(INDEX('Detalles movimientos'!I$5:I$1000, MATCH(40, 'Detalles movimientos'!$S$5:$S$1000, 0)), "")</f>
        <v/>
      </c>
      <c r="I49" s="21" t="str">
        <f>IFERROR(INDEX('Detalles movimientos'!J$5:J$1000, MATCH(40, 'Detalles movimientos'!$S$5:$S$1000, 0)), "")</f>
        <v/>
      </c>
      <c r="J49" s="20" t="str">
        <f>IFERROR(INDEX('Detalles movimientos'!K$5:K$1000, MATCH(40, 'Detalles movimientos'!$S$5:$S$1000, 0)), "")</f>
        <v/>
      </c>
      <c r="K49" s="21" t="str">
        <f>IFERROR(INDEX('Detalles movimientos'!L$5:L$1000, MATCH(40, 'Detalles movimientos'!$S$5:$S$1000, 0)), "")</f>
        <v/>
      </c>
      <c r="L49" s="19" t="str">
        <f>IFERROR(INDEX('Detalles movimientos'!M$5:M$1000, MATCH(40, 'Detalles movimientos'!$S$5:$S$1000, 0)), "")</f>
        <v/>
      </c>
      <c r="M49" s="19" t="str">
        <f>IFERROR(INDEX('Detalles movimientos'!P$5:P$1000, MATCH(40, 'Detalles movimientos'!$S$5:$S$1000, 0)), "")</f>
        <v/>
      </c>
    </row>
    <row r="50" spans="2:13" x14ac:dyDescent="0.2">
      <c r="B50" s="18" t="str">
        <f>IFERROR(INDEX('Detalles movimientos'!C$5:C$1000, MATCH(41, 'Detalles movimientos'!$S$5:$S$1000, 0)), "")</f>
        <v/>
      </c>
      <c r="C50" s="19" t="str">
        <f>IFERROR(INDEX('Detalles movimientos'!D$5:D$1000, MATCH(41, 'Detalles movimientos'!$S$5:$S$1000, 0)), "")</f>
        <v/>
      </c>
      <c r="D50" s="20" t="str">
        <f>IFERROR(INDEX('Detalles movimientos'!E$5:E$1000, MATCH(41, 'Detalles movimientos'!$S$5:$S$1000, 0)), "")</f>
        <v/>
      </c>
      <c r="E50" s="20" t="str">
        <f>IFERROR(INDEX('Detalles movimientos'!F$5:F$1000, MATCH(41, 'Detalles movimientos'!$S$5:$S$1000, 0)), "")</f>
        <v/>
      </c>
      <c r="F50" s="19" t="str">
        <f>IFERROR(INDEX('Detalles movimientos'!G$5:G$1000, MATCH(41, 'Detalles movimientos'!$S$5:$S$1000, 0)), "")</f>
        <v/>
      </c>
      <c r="G50" s="21" t="str">
        <f>IFERROR(INDEX('Detalles movimientos'!H$5:H$1000, MATCH(41, 'Detalles movimientos'!$S$5:$S$1000, 0)), "")</f>
        <v/>
      </c>
      <c r="H50" s="22" t="str">
        <f>IFERROR(INDEX('Detalles movimientos'!I$5:I$1000, MATCH(41, 'Detalles movimientos'!$S$5:$S$1000, 0)), "")</f>
        <v/>
      </c>
      <c r="I50" s="21" t="str">
        <f>IFERROR(INDEX('Detalles movimientos'!J$5:J$1000, MATCH(41, 'Detalles movimientos'!$S$5:$S$1000, 0)), "")</f>
        <v/>
      </c>
      <c r="J50" s="20" t="str">
        <f>IFERROR(INDEX('Detalles movimientos'!K$5:K$1000, MATCH(41, 'Detalles movimientos'!$S$5:$S$1000, 0)), "")</f>
        <v/>
      </c>
      <c r="K50" s="21" t="str">
        <f>IFERROR(INDEX('Detalles movimientos'!L$5:L$1000, MATCH(41, 'Detalles movimientos'!$S$5:$S$1000, 0)), "")</f>
        <v/>
      </c>
      <c r="L50" s="19" t="str">
        <f>IFERROR(INDEX('Detalles movimientos'!M$5:M$1000, MATCH(41, 'Detalles movimientos'!$S$5:$S$1000, 0)), "")</f>
        <v/>
      </c>
      <c r="M50" s="19" t="str">
        <f>IFERROR(INDEX('Detalles movimientos'!P$5:P$1000, MATCH(41, 'Detalles movimientos'!$S$5:$S$1000, 0)), "")</f>
        <v/>
      </c>
    </row>
    <row r="51" spans="2:13" x14ac:dyDescent="0.2">
      <c r="B51" s="18" t="str">
        <f>IFERROR(INDEX('Detalles movimientos'!C$5:C$1000, MATCH(42, 'Detalles movimientos'!$S$5:$S$1000, 0)), "")</f>
        <v/>
      </c>
      <c r="C51" s="19" t="str">
        <f>IFERROR(INDEX('Detalles movimientos'!D$5:D$1000, MATCH(42, 'Detalles movimientos'!$S$5:$S$1000, 0)), "")</f>
        <v/>
      </c>
      <c r="D51" s="20" t="str">
        <f>IFERROR(INDEX('Detalles movimientos'!E$5:E$1000, MATCH(42, 'Detalles movimientos'!$S$5:$S$1000, 0)), "")</f>
        <v/>
      </c>
      <c r="E51" s="20" t="str">
        <f>IFERROR(INDEX('Detalles movimientos'!F$5:F$1000, MATCH(42, 'Detalles movimientos'!$S$5:$S$1000, 0)), "")</f>
        <v/>
      </c>
      <c r="F51" s="19" t="str">
        <f>IFERROR(INDEX('Detalles movimientos'!G$5:G$1000, MATCH(42, 'Detalles movimientos'!$S$5:$S$1000, 0)), "")</f>
        <v/>
      </c>
      <c r="G51" s="21" t="str">
        <f>IFERROR(INDEX('Detalles movimientos'!H$5:H$1000, MATCH(42, 'Detalles movimientos'!$S$5:$S$1000, 0)), "")</f>
        <v/>
      </c>
      <c r="H51" s="22" t="str">
        <f>IFERROR(INDEX('Detalles movimientos'!I$5:I$1000, MATCH(42, 'Detalles movimientos'!$S$5:$S$1000, 0)), "")</f>
        <v/>
      </c>
      <c r="I51" s="21" t="str">
        <f>IFERROR(INDEX('Detalles movimientos'!J$5:J$1000, MATCH(42, 'Detalles movimientos'!$S$5:$S$1000, 0)), "")</f>
        <v/>
      </c>
      <c r="J51" s="20" t="str">
        <f>IFERROR(INDEX('Detalles movimientos'!K$5:K$1000, MATCH(42, 'Detalles movimientos'!$S$5:$S$1000, 0)), "")</f>
        <v/>
      </c>
      <c r="K51" s="21" t="str">
        <f>IFERROR(INDEX('Detalles movimientos'!L$5:L$1000, MATCH(42, 'Detalles movimientos'!$S$5:$S$1000, 0)), "")</f>
        <v/>
      </c>
      <c r="L51" s="19" t="str">
        <f>IFERROR(INDEX('Detalles movimientos'!M$5:M$1000, MATCH(42, 'Detalles movimientos'!$S$5:$S$1000, 0)), "")</f>
        <v/>
      </c>
      <c r="M51" s="19" t="str">
        <f>IFERROR(INDEX('Detalles movimientos'!P$5:P$1000, MATCH(42, 'Detalles movimientos'!$S$5:$S$1000, 0)), "")</f>
        <v/>
      </c>
    </row>
    <row r="52" spans="2:13" x14ac:dyDescent="0.2">
      <c r="B52" s="18" t="str">
        <f>IFERROR(INDEX('Detalles movimientos'!C$5:C$1000, MATCH(43, 'Detalles movimientos'!$S$5:$S$1000, 0)), "")</f>
        <v/>
      </c>
      <c r="C52" s="19" t="str">
        <f>IFERROR(INDEX('Detalles movimientos'!D$5:D$1000, MATCH(43, 'Detalles movimientos'!$S$5:$S$1000, 0)), "")</f>
        <v/>
      </c>
      <c r="D52" s="20" t="str">
        <f>IFERROR(INDEX('Detalles movimientos'!E$5:E$1000, MATCH(43, 'Detalles movimientos'!$S$5:$S$1000, 0)), "")</f>
        <v/>
      </c>
      <c r="E52" s="20" t="str">
        <f>IFERROR(INDEX('Detalles movimientos'!F$5:F$1000, MATCH(43, 'Detalles movimientos'!$S$5:$S$1000, 0)), "")</f>
        <v/>
      </c>
      <c r="F52" s="19" t="str">
        <f>IFERROR(INDEX('Detalles movimientos'!G$5:G$1000, MATCH(43, 'Detalles movimientos'!$S$5:$S$1000, 0)), "")</f>
        <v/>
      </c>
      <c r="G52" s="21" t="str">
        <f>IFERROR(INDEX('Detalles movimientos'!H$5:H$1000, MATCH(43, 'Detalles movimientos'!$S$5:$S$1000, 0)), "")</f>
        <v/>
      </c>
      <c r="H52" s="22" t="str">
        <f>IFERROR(INDEX('Detalles movimientos'!I$5:I$1000, MATCH(43, 'Detalles movimientos'!$S$5:$S$1000, 0)), "")</f>
        <v/>
      </c>
      <c r="I52" s="21" t="str">
        <f>IFERROR(INDEX('Detalles movimientos'!J$5:J$1000, MATCH(43, 'Detalles movimientos'!$S$5:$S$1000, 0)), "")</f>
        <v/>
      </c>
      <c r="J52" s="20" t="str">
        <f>IFERROR(INDEX('Detalles movimientos'!K$5:K$1000, MATCH(43, 'Detalles movimientos'!$S$5:$S$1000, 0)), "")</f>
        <v/>
      </c>
      <c r="K52" s="21" t="str">
        <f>IFERROR(INDEX('Detalles movimientos'!L$5:L$1000, MATCH(43, 'Detalles movimientos'!$S$5:$S$1000, 0)), "")</f>
        <v/>
      </c>
      <c r="L52" s="19" t="str">
        <f>IFERROR(INDEX('Detalles movimientos'!M$5:M$1000, MATCH(43, 'Detalles movimientos'!$S$5:$S$1000, 0)), "")</f>
        <v/>
      </c>
      <c r="M52" s="19" t="str">
        <f>IFERROR(INDEX('Detalles movimientos'!P$5:P$1000, MATCH(43, 'Detalles movimientos'!$S$5:$S$1000, 0)), "")</f>
        <v/>
      </c>
    </row>
    <row r="53" spans="2:13" x14ac:dyDescent="0.2">
      <c r="B53" s="18" t="str">
        <f>IFERROR(INDEX('Detalles movimientos'!C$5:C$1000, MATCH(44, 'Detalles movimientos'!$S$5:$S$1000, 0)), "")</f>
        <v/>
      </c>
      <c r="C53" s="19" t="str">
        <f>IFERROR(INDEX('Detalles movimientos'!D$5:D$1000, MATCH(44, 'Detalles movimientos'!$S$5:$S$1000, 0)), "")</f>
        <v/>
      </c>
      <c r="D53" s="20" t="str">
        <f>IFERROR(INDEX('Detalles movimientos'!E$5:E$1000, MATCH(44, 'Detalles movimientos'!$S$5:$S$1000, 0)), "")</f>
        <v/>
      </c>
      <c r="E53" s="20" t="str">
        <f>IFERROR(INDEX('Detalles movimientos'!F$5:F$1000, MATCH(44, 'Detalles movimientos'!$S$5:$S$1000, 0)), "")</f>
        <v/>
      </c>
      <c r="F53" s="19" t="str">
        <f>IFERROR(INDEX('Detalles movimientos'!G$5:G$1000, MATCH(44, 'Detalles movimientos'!$S$5:$S$1000, 0)), "")</f>
        <v/>
      </c>
      <c r="G53" s="21" t="str">
        <f>IFERROR(INDEX('Detalles movimientos'!H$5:H$1000, MATCH(44, 'Detalles movimientos'!$S$5:$S$1000, 0)), "")</f>
        <v/>
      </c>
      <c r="H53" s="22" t="str">
        <f>IFERROR(INDEX('Detalles movimientos'!I$5:I$1000, MATCH(44, 'Detalles movimientos'!$S$5:$S$1000, 0)), "")</f>
        <v/>
      </c>
      <c r="I53" s="21" t="str">
        <f>IFERROR(INDEX('Detalles movimientos'!J$5:J$1000, MATCH(44, 'Detalles movimientos'!$S$5:$S$1000, 0)), "")</f>
        <v/>
      </c>
      <c r="J53" s="20" t="str">
        <f>IFERROR(INDEX('Detalles movimientos'!K$5:K$1000, MATCH(44, 'Detalles movimientos'!$S$5:$S$1000, 0)), "")</f>
        <v/>
      </c>
      <c r="K53" s="21" t="str">
        <f>IFERROR(INDEX('Detalles movimientos'!L$5:L$1000, MATCH(44, 'Detalles movimientos'!$S$5:$S$1000, 0)), "")</f>
        <v/>
      </c>
      <c r="L53" s="19" t="str">
        <f>IFERROR(INDEX('Detalles movimientos'!M$5:M$1000, MATCH(44, 'Detalles movimientos'!$S$5:$S$1000, 0)), "")</f>
        <v/>
      </c>
      <c r="M53" s="19" t="str">
        <f>IFERROR(INDEX('Detalles movimientos'!P$5:P$1000, MATCH(44, 'Detalles movimientos'!$S$5:$S$1000, 0)), "")</f>
        <v/>
      </c>
    </row>
    <row r="54" spans="2:13" x14ac:dyDescent="0.2">
      <c r="B54" s="18" t="str">
        <f>IFERROR(INDEX('Detalles movimientos'!C$5:C$1000, MATCH(45, 'Detalles movimientos'!$S$5:$S$1000, 0)), "")</f>
        <v/>
      </c>
      <c r="C54" s="19" t="str">
        <f>IFERROR(INDEX('Detalles movimientos'!D$5:D$1000, MATCH(45, 'Detalles movimientos'!$S$5:$S$1000, 0)), "")</f>
        <v/>
      </c>
      <c r="D54" s="20" t="str">
        <f>IFERROR(INDEX('Detalles movimientos'!E$5:E$1000, MATCH(45, 'Detalles movimientos'!$S$5:$S$1000, 0)), "")</f>
        <v/>
      </c>
      <c r="E54" s="20" t="str">
        <f>IFERROR(INDEX('Detalles movimientos'!F$5:F$1000, MATCH(45, 'Detalles movimientos'!$S$5:$S$1000, 0)), "")</f>
        <v/>
      </c>
      <c r="F54" s="19" t="str">
        <f>IFERROR(INDEX('Detalles movimientos'!G$5:G$1000, MATCH(45, 'Detalles movimientos'!$S$5:$S$1000, 0)), "")</f>
        <v/>
      </c>
      <c r="G54" s="21" t="str">
        <f>IFERROR(INDEX('Detalles movimientos'!H$5:H$1000, MATCH(45, 'Detalles movimientos'!$S$5:$S$1000, 0)), "")</f>
        <v/>
      </c>
      <c r="H54" s="22" t="str">
        <f>IFERROR(INDEX('Detalles movimientos'!I$5:I$1000, MATCH(45, 'Detalles movimientos'!$S$5:$S$1000, 0)), "")</f>
        <v/>
      </c>
      <c r="I54" s="21" t="str">
        <f>IFERROR(INDEX('Detalles movimientos'!J$5:J$1000, MATCH(45, 'Detalles movimientos'!$S$5:$S$1000, 0)), "")</f>
        <v/>
      </c>
      <c r="J54" s="20" t="str">
        <f>IFERROR(INDEX('Detalles movimientos'!K$5:K$1000, MATCH(45, 'Detalles movimientos'!$S$5:$S$1000, 0)), "")</f>
        <v/>
      </c>
      <c r="K54" s="21" t="str">
        <f>IFERROR(INDEX('Detalles movimientos'!L$5:L$1000, MATCH(45, 'Detalles movimientos'!$S$5:$S$1000, 0)), "")</f>
        <v/>
      </c>
      <c r="L54" s="19" t="str">
        <f>IFERROR(INDEX('Detalles movimientos'!M$5:M$1000, MATCH(45, 'Detalles movimientos'!$S$5:$S$1000, 0)), "")</f>
        <v/>
      </c>
      <c r="M54" s="19" t="str">
        <f>IFERROR(INDEX('Detalles movimientos'!P$5:P$1000, MATCH(45, 'Detalles movimientos'!$S$5:$S$1000, 0)), "")</f>
        <v/>
      </c>
    </row>
    <row r="55" spans="2:13" x14ac:dyDescent="0.2">
      <c r="B55" s="18" t="str">
        <f>IFERROR(INDEX('Detalles movimientos'!C$5:C$1000, MATCH(46, 'Detalles movimientos'!$S$5:$S$1000, 0)), "")</f>
        <v/>
      </c>
      <c r="C55" s="19" t="str">
        <f>IFERROR(INDEX('Detalles movimientos'!D$5:D$1000, MATCH(46, 'Detalles movimientos'!$S$5:$S$1000, 0)), "")</f>
        <v/>
      </c>
      <c r="D55" s="20" t="str">
        <f>IFERROR(INDEX('Detalles movimientos'!E$5:E$1000, MATCH(46, 'Detalles movimientos'!$S$5:$S$1000, 0)), "")</f>
        <v/>
      </c>
      <c r="E55" s="20" t="str">
        <f>IFERROR(INDEX('Detalles movimientos'!F$5:F$1000, MATCH(46, 'Detalles movimientos'!$S$5:$S$1000, 0)), "")</f>
        <v/>
      </c>
      <c r="F55" s="19" t="str">
        <f>IFERROR(INDEX('Detalles movimientos'!G$5:G$1000, MATCH(46, 'Detalles movimientos'!$S$5:$S$1000, 0)), "")</f>
        <v/>
      </c>
      <c r="G55" s="21" t="str">
        <f>IFERROR(INDEX('Detalles movimientos'!H$5:H$1000, MATCH(46, 'Detalles movimientos'!$S$5:$S$1000, 0)), "")</f>
        <v/>
      </c>
      <c r="H55" s="22" t="str">
        <f>IFERROR(INDEX('Detalles movimientos'!I$5:I$1000, MATCH(46, 'Detalles movimientos'!$S$5:$S$1000, 0)), "")</f>
        <v/>
      </c>
      <c r="I55" s="21" t="str">
        <f>IFERROR(INDEX('Detalles movimientos'!J$5:J$1000, MATCH(46, 'Detalles movimientos'!$S$5:$S$1000, 0)), "")</f>
        <v/>
      </c>
      <c r="J55" s="20" t="str">
        <f>IFERROR(INDEX('Detalles movimientos'!K$5:K$1000, MATCH(46, 'Detalles movimientos'!$S$5:$S$1000, 0)), "")</f>
        <v/>
      </c>
      <c r="K55" s="21" t="str">
        <f>IFERROR(INDEX('Detalles movimientos'!L$5:L$1000, MATCH(46, 'Detalles movimientos'!$S$5:$S$1000, 0)), "")</f>
        <v/>
      </c>
      <c r="L55" s="19" t="str">
        <f>IFERROR(INDEX('Detalles movimientos'!M$5:M$1000, MATCH(46, 'Detalles movimientos'!$S$5:$S$1000, 0)), "")</f>
        <v/>
      </c>
      <c r="M55" s="19" t="str">
        <f>IFERROR(INDEX('Detalles movimientos'!P$5:P$1000, MATCH(46, 'Detalles movimientos'!$S$5:$S$1000, 0)), "")</f>
        <v/>
      </c>
    </row>
    <row r="56" spans="2:13" x14ac:dyDescent="0.2">
      <c r="B56" s="18" t="str">
        <f>IFERROR(INDEX('Detalles movimientos'!C$5:C$1000, MATCH(47, 'Detalles movimientos'!$S$5:$S$1000, 0)), "")</f>
        <v/>
      </c>
      <c r="C56" s="19" t="str">
        <f>IFERROR(INDEX('Detalles movimientos'!D$5:D$1000, MATCH(47, 'Detalles movimientos'!$S$5:$S$1000, 0)), "")</f>
        <v/>
      </c>
      <c r="D56" s="20" t="str">
        <f>IFERROR(INDEX('Detalles movimientos'!E$5:E$1000, MATCH(47, 'Detalles movimientos'!$S$5:$S$1000, 0)), "")</f>
        <v/>
      </c>
      <c r="E56" s="20" t="str">
        <f>IFERROR(INDEX('Detalles movimientos'!F$5:F$1000, MATCH(47, 'Detalles movimientos'!$S$5:$S$1000, 0)), "")</f>
        <v/>
      </c>
      <c r="F56" s="19" t="str">
        <f>IFERROR(INDEX('Detalles movimientos'!G$5:G$1000, MATCH(47, 'Detalles movimientos'!$S$5:$S$1000, 0)), "")</f>
        <v/>
      </c>
      <c r="G56" s="21" t="str">
        <f>IFERROR(INDEX('Detalles movimientos'!H$5:H$1000, MATCH(47, 'Detalles movimientos'!$S$5:$S$1000, 0)), "")</f>
        <v/>
      </c>
      <c r="H56" s="22" t="str">
        <f>IFERROR(INDEX('Detalles movimientos'!I$5:I$1000, MATCH(47, 'Detalles movimientos'!$S$5:$S$1000, 0)), "")</f>
        <v/>
      </c>
      <c r="I56" s="21" t="str">
        <f>IFERROR(INDEX('Detalles movimientos'!J$5:J$1000, MATCH(47, 'Detalles movimientos'!$S$5:$S$1000, 0)), "")</f>
        <v/>
      </c>
      <c r="J56" s="20" t="str">
        <f>IFERROR(INDEX('Detalles movimientos'!K$5:K$1000, MATCH(47, 'Detalles movimientos'!$S$5:$S$1000, 0)), "")</f>
        <v/>
      </c>
      <c r="K56" s="21" t="str">
        <f>IFERROR(INDEX('Detalles movimientos'!L$5:L$1000, MATCH(47, 'Detalles movimientos'!$S$5:$S$1000, 0)), "")</f>
        <v/>
      </c>
      <c r="L56" s="19" t="str">
        <f>IFERROR(INDEX('Detalles movimientos'!M$5:M$1000, MATCH(47, 'Detalles movimientos'!$S$5:$S$1000, 0)), "")</f>
        <v/>
      </c>
      <c r="M56" s="19" t="str">
        <f>IFERROR(INDEX('Detalles movimientos'!P$5:P$1000, MATCH(47, 'Detalles movimientos'!$S$5:$S$1000, 0)), "")</f>
        <v/>
      </c>
    </row>
    <row r="57" spans="2:13" x14ac:dyDescent="0.2">
      <c r="B57" s="18" t="str">
        <f>IFERROR(INDEX('Detalles movimientos'!C$5:C$1000, MATCH(48, 'Detalles movimientos'!$S$5:$S$1000, 0)), "")</f>
        <v/>
      </c>
      <c r="C57" s="19" t="str">
        <f>IFERROR(INDEX('Detalles movimientos'!D$5:D$1000, MATCH(48, 'Detalles movimientos'!$S$5:$S$1000, 0)), "")</f>
        <v/>
      </c>
      <c r="D57" s="20" t="str">
        <f>IFERROR(INDEX('Detalles movimientos'!E$5:E$1000, MATCH(48, 'Detalles movimientos'!$S$5:$S$1000, 0)), "")</f>
        <v/>
      </c>
      <c r="E57" s="20" t="str">
        <f>IFERROR(INDEX('Detalles movimientos'!F$5:F$1000, MATCH(48, 'Detalles movimientos'!$S$5:$S$1000, 0)), "")</f>
        <v/>
      </c>
      <c r="F57" s="19" t="str">
        <f>IFERROR(INDEX('Detalles movimientos'!G$5:G$1000, MATCH(48, 'Detalles movimientos'!$S$5:$S$1000, 0)), "")</f>
        <v/>
      </c>
      <c r="G57" s="21" t="str">
        <f>IFERROR(INDEX('Detalles movimientos'!H$5:H$1000, MATCH(48, 'Detalles movimientos'!$S$5:$S$1000, 0)), "")</f>
        <v/>
      </c>
      <c r="H57" s="22" t="str">
        <f>IFERROR(INDEX('Detalles movimientos'!I$5:I$1000, MATCH(48, 'Detalles movimientos'!$S$5:$S$1000, 0)), "")</f>
        <v/>
      </c>
      <c r="I57" s="21" t="str">
        <f>IFERROR(INDEX('Detalles movimientos'!J$5:J$1000, MATCH(48, 'Detalles movimientos'!$S$5:$S$1000, 0)), "")</f>
        <v/>
      </c>
      <c r="J57" s="20" t="str">
        <f>IFERROR(INDEX('Detalles movimientos'!K$5:K$1000, MATCH(48, 'Detalles movimientos'!$S$5:$S$1000, 0)), "")</f>
        <v/>
      </c>
      <c r="K57" s="21" t="str">
        <f>IFERROR(INDEX('Detalles movimientos'!L$5:L$1000, MATCH(48, 'Detalles movimientos'!$S$5:$S$1000, 0)), "")</f>
        <v/>
      </c>
      <c r="L57" s="19" t="str">
        <f>IFERROR(INDEX('Detalles movimientos'!M$5:M$1000, MATCH(48, 'Detalles movimientos'!$S$5:$S$1000, 0)), "")</f>
        <v/>
      </c>
      <c r="M57" s="19" t="str">
        <f>IFERROR(INDEX('Detalles movimientos'!P$5:P$1000, MATCH(48, 'Detalles movimientos'!$S$5:$S$1000, 0)), "")</f>
        <v/>
      </c>
    </row>
    <row r="58" spans="2:13" x14ac:dyDescent="0.2">
      <c r="B58" s="18" t="str">
        <f>IFERROR(INDEX('Detalles movimientos'!C$5:C$1000, MATCH(49, 'Detalles movimientos'!$S$5:$S$1000, 0)), "")</f>
        <v/>
      </c>
      <c r="C58" s="19" t="str">
        <f>IFERROR(INDEX('Detalles movimientos'!D$5:D$1000, MATCH(49, 'Detalles movimientos'!$S$5:$S$1000, 0)), "")</f>
        <v/>
      </c>
      <c r="D58" s="20" t="str">
        <f>IFERROR(INDEX('Detalles movimientos'!E$5:E$1000, MATCH(49, 'Detalles movimientos'!$S$5:$S$1000, 0)), "")</f>
        <v/>
      </c>
      <c r="E58" s="20" t="str">
        <f>IFERROR(INDEX('Detalles movimientos'!F$5:F$1000, MATCH(49, 'Detalles movimientos'!$S$5:$S$1000, 0)), "")</f>
        <v/>
      </c>
      <c r="F58" s="19" t="str">
        <f>IFERROR(INDEX('Detalles movimientos'!G$5:G$1000, MATCH(49, 'Detalles movimientos'!$S$5:$S$1000, 0)), "")</f>
        <v/>
      </c>
      <c r="G58" s="21" t="str">
        <f>IFERROR(INDEX('Detalles movimientos'!H$5:H$1000, MATCH(49, 'Detalles movimientos'!$S$5:$S$1000, 0)), "")</f>
        <v/>
      </c>
      <c r="H58" s="22" t="str">
        <f>IFERROR(INDEX('Detalles movimientos'!I$5:I$1000, MATCH(49, 'Detalles movimientos'!$S$5:$S$1000, 0)), "")</f>
        <v/>
      </c>
      <c r="I58" s="21" t="str">
        <f>IFERROR(INDEX('Detalles movimientos'!J$5:J$1000, MATCH(49, 'Detalles movimientos'!$S$5:$S$1000, 0)), "")</f>
        <v/>
      </c>
      <c r="J58" s="20" t="str">
        <f>IFERROR(INDEX('Detalles movimientos'!K$5:K$1000, MATCH(49, 'Detalles movimientos'!$S$5:$S$1000, 0)), "")</f>
        <v/>
      </c>
      <c r="K58" s="21" t="str">
        <f>IFERROR(INDEX('Detalles movimientos'!L$5:L$1000, MATCH(49, 'Detalles movimientos'!$S$5:$S$1000, 0)), "")</f>
        <v/>
      </c>
      <c r="L58" s="19" t="str">
        <f>IFERROR(INDEX('Detalles movimientos'!M$5:M$1000, MATCH(49, 'Detalles movimientos'!$S$5:$S$1000, 0)), "")</f>
        <v/>
      </c>
      <c r="M58" s="19" t="str">
        <f>IFERROR(INDEX('Detalles movimientos'!P$5:P$1000, MATCH(49, 'Detalles movimientos'!$S$5:$S$1000, 0)), "")</f>
        <v/>
      </c>
    </row>
    <row r="59" spans="2:13" x14ac:dyDescent="0.2">
      <c r="B59" s="18" t="str">
        <f>IFERROR(INDEX('Detalles movimientos'!C$5:C$1000, MATCH(50, 'Detalles movimientos'!$S$5:$S$1000, 0)), "")</f>
        <v/>
      </c>
      <c r="C59" s="19" t="str">
        <f>IFERROR(INDEX('Detalles movimientos'!D$5:D$1000, MATCH(50, 'Detalles movimientos'!$S$5:$S$1000, 0)), "")</f>
        <v/>
      </c>
      <c r="D59" s="20" t="str">
        <f>IFERROR(INDEX('Detalles movimientos'!E$5:E$1000, MATCH(50, 'Detalles movimientos'!$S$5:$S$1000, 0)), "")</f>
        <v/>
      </c>
      <c r="E59" s="20" t="str">
        <f>IFERROR(INDEX('Detalles movimientos'!F$5:F$1000, MATCH(50, 'Detalles movimientos'!$S$5:$S$1000, 0)), "")</f>
        <v/>
      </c>
      <c r="F59" s="19" t="str">
        <f>IFERROR(INDEX('Detalles movimientos'!G$5:G$1000, MATCH(50, 'Detalles movimientos'!$S$5:$S$1000, 0)), "")</f>
        <v/>
      </c>
      <c r="G59" s="21" t="str">
        <f>IFERROR(INDEX('Detalles movimientos'!H$5:H$1000, MATCH(50, 'Detalles movimientos'!$S$5:$S$1000, 0)), "")</f>
        <v/>
      </c>
      <c r="H59" s="22" t="str">
        <f>IFERROR(INDEX('Detalles movimientos'!I$5:I$1000, MATCH(50, 'Detalles movimientos'!$S$5:$S$1000, 0)), "")</f>
        <v/>
      </c>
      <c r="I59" s="21" t="str">
        <f>IFERROR(INDEX('Detalles movimientos'!J$5:J$1000, MATCH(50, 'Detalles movimientos'!$S$5:$S$1000, 0)), "")</f>
        <v/>
      </c>
      <c r="J59" s="20" t="str">
        <f>IFERROR(INDEX('Detalles movimientos'!K$5:K$1000, MATCH(50, 'Detalles movimientos'!$S$5:$S$1000, 0)), "")</f>
        <v/>
      </c>
      <c r="K59" s="21" t="str">
        <f>IFERROR(INDEX('Detalles movimientos'!L$5:L$1000, MATCH(50, 'Detalles movimientos'!$S$5:$S$1000, 0)), "")</f>
        <v/>
      </c>
      <c r="L59" s="19" t="str">
        <f>IFERROR(INDEX('Detalles movimientos'!M$5:M$1000, MATCH(50, 'Detalles movimientos'!$S$5:$S$1000, 0)), "")</f>
        <v/>
      </c>
      <c r="M59" s="19" t="str">
        <f>IFERROR(INDEX('Detalles movimientos'!P$5:P$1000, MATCH(50, 'Detalles movimientos'!$S$5:$S$1000, 0)), "")</f>
        <v/>
      </c>
    </row>
    <row r="60" spans="2:13" x14ac:dyDescent="0.2">
      <c r="B60" s="18" t="str">
        <f>IFERROR(INDEX('Detalles movimientos'!C$5:C$1000, MATCH(51, 'Detalles movimientos'!$S$5:$S$1000, 0)), "")</f>
        <v/>
      </c>
      <c r="C60" s="19" t="str">
        <f>IFERROR(INDEX('Detalles movimientos'!D$5:D$1000, MATCH(51, 'Detalles movimientos'!$S$5:$S$1000, 0)), "")</f>
        <v/>
      </c>
      <c r="D60" s="20" t="str">
        <f>IFERROR(INDEX('Detalles movimientos'!E$5:E$1000, MATCH(51, 'Detalles movimientos'!$S$5:$S$1000, 0)), "")</f>
        <v/>
      </c>
      <c r="E60" s="20" t="str">
        <f>IFERROR(INDEX('Detalles movimientos'!F$5:F$1000, MATCH(51, 'Detalles movimientos'!$S$5:$S$1000, 0)), "")</f>
        <v/>
      </c>
      <c r="F60" s="19" t="str">
        <f>IFERROR(INDEX('Detalles movimientos'!G$5:G$1000, MATCH(51, 'Detalles movimientos'!$S$5:$S$1000, 0)), "")</f>
        <v/>
      </c>
      <c r="G60" s="21" t="str">
        <f>IFERROR(INDEX('Detalles movimientos'!H$5:H$1000, MATCH(51, 'Detalles movimientos'!$S$5:$S$1000, 0)), "")</f>
        <v/>
      </c>
      <c r="H60" s="22" t="str">
        <f>IFERROR(INDEX('Detalles movimientos'!I$5:I$1000, MATCH(51, 'Detalles movimientos'!$S$5:$S$1000, 0)), "")</f>
        <v/>
      </c>
      <c r="I60" s="21" t="str">
        <f>IFERROR(INDEX('Detalles movimientos'!J$5:J$1000, MATCH(51, 'Detalles movimientos'!$S$5:$S$1000, 0)), "")</f>
        <v/>
      </c>
      <c r="J60" s="20" t="str">
        <f>IFERROR(INDEX('Detalles movimientos'!K$5:K$1000, MATCH(51, 'Detalles movimientos'!$S$5:$S$1000, 0)), "")</f>
        <v/>
      </c>
      <c r="K60" s="21" t="str">
        <f>IFERROR(INDEX('Detalles movimientos'!L$5:L$1000, MATCH(51, 'Detalles movimientos'!$S$5:$S$1000, 0)), "")</f>
        <v/>
      </c>
      <c r="L60" s="19" t="str">
        <f>IFERROR(INDEX('Detalles movimientos'!M$5:M$1000, MATCH(51, 'Detalles movimientos'!$S$5:$S$1000, 0)), "")</f>
        <v/>
      </c>
      <c r="M60" s="19" t="str">
        <f>IFERROR(INDEX('Detalles movimientos'!P$5:P$1000, MATCH(51, 'Detalles movimientos'!$S$5:$S$1000, 0)), "")</f>
        <v/>
      </c>
    </row>
    <row r="61" spans="2:13" x14ac:dyDescent="0.2">
      <c r="B61" s="18" t="str">
        <f>IFERROR(INDEX('Detalles movimientos'!C$5:C$1000, MATCH(52, 'Detalles movimientos'!$S$5:$S$1000, 0)), "")</f>
        <v/>
      </c>
      <c r="C61" s="19" t="str">
        <f>IFERROR(INDEX('Detalles movimientos'!D$5:D$1000, MATCH(52, 'Detalles movimientos'!$S$5:$S$1000, 0)), "")</f>
        <v/>
      </c>
      <c r="D61" s="20" t="str">
        <f>IFERROR(INDEX('Detalles movimientos'!E$5:E$1000, MATCH(52, 'Detalles movimientos'!$S$5:$S$1000, 0)), "")</f>
        <v/>
      </c>
      <c r="E61" s="20" t="str">
        <f>IFERROR(INDEX('Detalles movimientos'!F$5:F$1000, MATCH(52, 'Detalles movimientos'!$S$5:$S$1000, 0)), "")</f>
        <v/>
      </c>
      <c r="F61" s="19" t="str">
        <f>IFERROR(INDEX('Detalles movimientos'!G$5:G$1000, MATCH(52, 'Detalles movimientos'!$S$5:$S$1000, 0)), "")</f>
        <v/>
      </c>
      <c r="G61" s="21" t="str">
        <f>IFERROR(INDEX('Detalles movimientos'!H$5:H$1000, MATCH(52, 'Detalles movimientos'!$S$5:$S$1000, 0)), "")</f>
        <v/>
      </c>
      <c r="H61" s="22" t="str">
        <f>IFERROR(INDEX('Detalles movimientos'!I$5:I$1000, MATCH(52, 'Detalles movimientos'!$S$5:$S$1000, 0)), "")</f>
        <v/>
      </c>
      <c r="I61" s="21" t="str">
        <f>IFERROR(INDEX('Detalles movimientos'!J$5:J$1000, MATCH(52, 'Detalles movimientos'!$S$5:$S$1000, 0)), "")</f>
        <v/>
      </c>
      <c r="J61" s="20" t="str">
        <f>IFERROR(INDEX('Detalles movimientos'!K$5:K$1000, MATCH(52, 'Detalles movimientos'!$S$5:$S$1000, 0)), "")</f>
        <v/>
      </c>
      <c r="K61" s="21" t="str">
        <f>IFERROR(INDEX('Detalles movimientos'!L$5:L$1000, MATCH(52, 'Detalles movimientos'!$S$5:$S$1000, 0)), "")</f>
        <v/>
      </c>
      <c r="L61" s="19" t="str">
        <f>IFERROR(INDEX('Detalles movimientos'!M$5:M$1000, MATCH(52, 'Detalles movimientos'!$S$5:$S$1000, 0)), "")</f>
        <v/>
      </c>
      <c r="M61" s="19" t="str">
        <f>IFERROR(INDEX('Detalles movimientos'!P$5:P$1000, MATCH(52, 'Detalles movimientos'!$S$5:$S$1000, 0)), "")</f>
        <v/>
      </c>
    </row>
    <row r="62" spans="2:13" x14ac:dyDescent="0.2">
      <c r="B62" s="18" t="str">
        <f>IFERROR(INDEX('Detalles movimientos'!C$5:C$1000, MATCH(53, 'Detalles movimientos'!$S$5:$S$1000, 0)), "")</f>
        <v/>
      </c>
      <c r="C62" s="19" t="str">
        <f>IFERROR(INDEX('Detalles movimientos'!D$5:D$1000, MATCH(53, 'Detalles movimientos'!$S$5:$S$1000, 0)), "")</f>
        <v/>
      </c>
      <c r="D62" s="20" t="str">
        <f>IFERROR(INDEX('Detalles movimientos'!E$5:E$1000, MATCH(53, 'Detalles movimientos'!$S$5:$S$1000, 0)), "")</f>
        <v/>
      </c>
      <c r="E62" s="20" t="str">
        <f>IFERROR(INDEX('Detalles movimientos'!F$5:F$1000, MATCH(53, 'Detalles movimientos'!$S$5:$S$1000, 0)), "")</f>
        <v/>
      </c>
      <c r="F62" s="19" t="str">
        <f>IFERROR(INDEX('Detalles movimientos'!G$5:G$1000, MATCH(53, 'Detalles movimientos'!$S$5:$S$1000, 0)), "")</f>
        <v/>
      </c>
      <c r="G62" s="21" t="str">
        <f>IFERROR(INDEX('Detalles movimientos'!H$5:H$1000, MATCH(53, 'Detalles movimientos'!$S$5:$S$1000, 0)), "")</f>
        <v/>
      </c>
      <c r="H62" s="22" t="str">
        <f>IFERROR(INDEX('Detalles movimientos'!I$5:I$1000, MATCH(53, 'Detalles movimientos'!$S$5:$S$1000, 0)), "")</f>
        <v/>
      </c>
      <c r="I62" s="21" t="str">
        <f>IFERROR(INDEX('Detalles movimientos'!J$5:J$1000, MATCH(53, 'Detalles movimientos'!$S$5:$S$1000, 0)), "")</f>
        <v/>
      </c>
      <c r="J62" s="20" t="str">
        <f>IFERROR(INDEX('Detalles movimientos'!K$5:K$1000, MATCH(53, 'Detalles movimientos'!$S$5:$S$1000, 0)), "")</f>
        <v/>
      </c>
      <c r="K62" s="21" t="str">
        <f>IFERROR(INDEX('Detalles movimientos'!L$5:L$1000, MATCH(53, 'Detalles movimientos'!$S$5:$S$1000, 0)), "")</f>
        <v/>
      </c>
      <c r="L62" s="19" t="str">
        <f>IFERROR(INDEX('Detalles movimientos'!M$5:M$1000, MATCH(53, 'Detalles movimientos'!$S$5:$S$1000, 0)), "")</f>
        <v/>
      </c>
      <c r="M62" s="19" t="str">
        <f>IFERROR(INDEX('Detalles movimientos'!P$5:P$1000, MATCH(53, 'Detalles movimientos'!$S$5:$S$1000, 0)), "")</f>
        <v/>
      </c>
    </row>
    <row r="63" spans="2:13" x14ac:dyDescent="0.2">
      <c r="B63" s="18" t="str">
        <f>IFERROR(INDEX('Detalles movimientos'!C$5:C$1000, MATCH(54, 'Detalles movimientos'!$S$5:$S$1000, 0)), "")</f>
        <v/>
      </c>
      <c r="C63" s="19" t="str">
        <f>IFERROR(INDEX('Detalles movimientos'!D$5:D$1000, MATCH(54, 'Detalles movimientos'!$S$5:$S$1000, 0)), "")</f>
        <v/>
      </c>
      <c r="D63" s="20" t="str">
        <f>IFERROR(INDEX('Detalles movimientos'!E$5:E$1000, MATCH(54, 'Detalles movimientos'!$S$5:$S$1000, 0)), "")</f>
        <v/>
      </c>
      <c r="E63" s="20" t="str">
        <f>IFERROR(INDEX('Detalles movimientos'!F$5:F$1000, MATCH(54, 'Detalles movimientos'!$S$5:$S$1000, 0)), "")</f>
        <v/>
      </c>
      <c r="F63" s="19" t="str">
        <f>IFERROR(INDEX('Detalles movimientos'!G$5:G$1000, MATCH(54, 'Detalles movimientos'!$S$5:$S$1000, 0)), "")</f>
        <v/>
      </c>
      <c r="G63" s="21" t="str">
        <f>IFERROR(INDEX('Detalles movimientos'!H$5:H$1000, MATCH(54, 'Detalles movimientos'!$S$5:$S$1000, 0)), "")</f>
        <v/>
      </c>
      <c r="H63" s="22" t="str">
        <f>IFERROR(INDEX('Detalles movimientos'!I$5:I$1000, MATCH(54, 'Detalles movimientos'!$S$5:$S$1000, 0)), "")</f>
        <v/>
      </c>
      <c r="I63" s="21" t="str">
        <f>IFERROR(INDEX('Detalles movimientos'!J$5:J$1000, MATCH(54, 'Detalles movimientos'!$S$5:$S$1000, 0)), "")</f>
        <v/>
      </c>
      <c r="J63" s="20" t="str">
        <f>IFERROR(INDEX('Detalles movimientos'!K$5:K$1000, MATCH(54, 'Detalles movimientos'!$S$5:$S$1000, 0)), "")</f>
        <v/>
      </c>
      <c r="K63" s="21" t="str">
        <f>IFERROR(INDEX('Detalles movimientos'!L$5:L$1000, MATCH(54, 'Detalles movimientos'!$S$5:$S$1000, 0)), "")</f>
        <v/>
      </c>
      <c r="L63" s="19" t="str">
        <f>IFERROR(INDEX('Detalles movimientos'!M$5:M$1000, MATCH(54, 'Detalles movimientos'!$S$5:$S$1000, 0)), "")</f>
        <v/>
      </c>
      <c r="M63" s="19" t="str">
        <f>IFERROR(INDEX('Detalles movimientos'!P$5:P$1000, MATCH(54, 'Detalles movimientos'!$S$5:$S$1000, 0)), "")</f>
        <v/>
      </c>
    </row>
    <row r="64" spans="2:13" x14ac:dyDescent="0.2">
      <c r="B64" s="18" t="str">
        <f>IFERROR(INDEX('Detalles movimientos'!C$5:C$1000, MATCH(55, 'Detalles movimientos'!$S$5:$S$1000, 0)), "")</f>
        <v/>
      </c>
      <c r="C64" s="19" t="str">
        <f>IFERROR(INDEX('Detalles movimientos'!D$5:D$1000, MATCH(55, 'Detalles movimientos'!$S$5:$S$1000, 0)), "")</f>
        <v/>
      </c>
      <c r="D64" s="20" t="str">
        <f>IFERROR(INDEX('Detalles movimientos'!E$5:E$1000, MATCH(55, 'Detalles movimientos'!$S$5:$S$1000, 0)), "")</f>
        <v/>
      </c>
      <c r="E64" s="20" t="str">
        <f>IFERROR(INDEX('Detalles movimientos'!F$5:F$1000, MATCH(55, 'Detalles movimientos'!$S$5:$S$1000, 0)), "")</f>
        <v/>
      </c>
      <c r="F64" s="19" t="str">
        <f>IFERROR(INDEX('Detalles movimientos'!G$5:G$1000, MATCH(55, 'Detalles movimientos'!$S$5:$S$1000, 0)), "")</f>
        <v/>
      </c>
      <c r="G64" s="21" t="str">
        <f>IFERROR(INDEX('Detalles movimientos'!H$5:H$1000, MATCH(55, 'Detalles movimientos'!$S$5:$S$1000, 0)), "")</f>
        <v/>
      </c>
      <c r="H64" s="22" t="str">
        <f>IFERROR(INDEX('Detalles movimientos'!I$5:I$1000, MATCH(55, 'Detalles movimientos'!$S$5:$S$1000, 0)), "")</f>
        <v/>
      </c>
      <c r="I64" s="21" t="str">
        <f>IFERROR(INDEX('Detalles movimientos'!J$5:J$1000, MATCH(55, 'Detalles movimientos'!$S$5:$S$1000, 0)), "")</f>
        <v/>
      </c>
      <c r="J64" s="20" t="str">
        <f>IFERROR(INDEX('Detalles movimientos'!K$5:K$1000, MATCH(55, 'Detalles movimientos'!$S$5:$S$1000, 0)), "")</f>
        <v/>
      </c>
      <c r="K64" s="21" t="str">
        <f>IFERROR(INDEX('Detalles movimientos'!L$5:L$1000, MATCH(55, 'Detalles movimientos'!$S$5:$S$1000, 0)), "")</f>
        <v/>
      </c>
      <c r="L64" s="19" t="str">
        <f>IFERROR(INDEX('Detalles movimientos'!M$5:M$1000, MATCH(55, 'Detalles movimientos'!$S$5:$S$1000, 0)), "")</f>
        <v/>
      </c>
      <c r="M64" s="19" t="str">
        <f>IFERROR(INDEX('Detalles movimientos'!P$5:P$1000, MATCH(55, 'Detalles movimientos'!$S$5:$S$1000, 0)), "")</f>
        <v/>
      </c>
    </row>
    <row r="65" spans="2:13" x14ac:dyDescent="0.2">
      <c r="B65" s="18" t="str">
        <f>IFERROR(INDEX('Detalles movimientos'!C$5:C$1000, MATCH(56, 'Detalles movimientos'!$S$5:$S$1000, 0)), "")</f>
        <v/>
      </c>
      <c r="C65" s="19" t="str">
        <f>IFERROR(INDEX('Detalles movimientos'!D$5:D$1000, MATCH(56, 'Detalles movimientos'!$S$5:$S$1000, 0)), "")</f>
        <v/>
      </c>
      <c r="D65" s="20" t="str">
        <f>IFERROR(INDEX('Detalles movimientos'!E$5:E$1000, MATCH(56, 'Detalles movimientos'!$S$5:$S$1000, 0)), "")</f>
        <v/>
      </c>
      <c r="E65" s="20" t="str">
        <f>IFERROR(INDEX('Detalles movimientos'!F$5:F$1000, MATCH(56, 'Detalles movimientos'!$S$5:$S$1000, 0)), "")</f>
        <v/>
      </c>
      <c r="F65" s="19" t="str">
        <f>IFERROR(INDEX('Detalles movimientos'!G$5:G$1000, MATCH(56, 'Detalles movimientos'!$S$5:$S$1000, 0)), "")</f>
        <v/>
      </c>
      <c r="G65" s="21" t="str">
        <f>IFERROR(INDEX('Detalles movimientos'!H$5:H$1000, MATCH(56, 'Detalles movimientos'!$S$5:$S$1000, 0)), "")</f>
        <v/>
      </c>
      <c r="H65" s="22" t="str">
        <f>IFERROR(INDEX('Detalles movimientos'!I$5:I$1000, MATCH(56, 'Detalles movimientos'!$S$5:$S$1000, 0)), "")</f>
        <v/>
      </c>
      <c r="I65" s="21" t="str">
        <f>IFERROR(INDEX('Detalles movimientos'!J$5:J$1000, MATCH(56, 'Detalles movimientos'!$S$5:$S$1000, 0)), "")</f>
        <v/>
      </c>
      <c r="J65" s="20" t="str">
        <f>IFERROR(INDEX('Detalles movimientos'!K$5:K$1000, MATCH(56, 'Detalles movimientos'!$S$5:$S$1000, 0)), "")</f>
        <v/>
      </c>
      <c r="K65" s="21" t="str">
        <f>IFERROR(INDEX('Detalles movimientos'!L$5:L$1000, MATCH(56, 'Detalles movimientos'!$S$5:$S$1000, 0)), "")</f>
        <v/>
      </c>
      <c r="L65" s="19" t="str">
        <f>IFERROR(INDEX('Detalles movimientos'!M$5:M$1000, MATCH(56, 'Detalles movimientos'!$S$5:$S$1000, 0)), "")</f>
        <v/>
      </c>
      <c r="M65" s="19" t="str">
        <f>IFERROR(INDEX('Detalles movimientos'!P$5:P$1000, MATCH(56, 'Detalles movimientos'!$S$5:$S$1000, 0)), "")</f>
        <v/>
      </c>
    </row>
    <row r="66" spans="2:13" x14ac:dyDescent="0.2">
      <c r="B66" s="18" t="str">
        <f>IFERROR(INDEX('Detalles movimientos'!C$5:C$1000, MATCH(57, 'Detalles movimientos'!$S$5:$S$1000, 0)), "")</f>
        <v/>
      </c>
      <c r="C66" s="19" t="str">
        <f>IFERROR(INDEX('Detalles movimientos'!D$5:D$1000, MATCH(57, 'Detalles movimientos'!$S$5:$S$1000, 0)), "")</f>
        <v/>
      </c>
      <c r="D66" s="20" t="str">
        <f>IFERROR(INDEX('Detalles movimientos'!E$5:E$1000, MATCH(57, 'Detalles movimientos'!$S$5:$S$1000, 0)), "")</f>
        <v/>
      </c>
      <c r="E66" s="20" t="str">
        <f>IFERROR(INDEX('Detalles movimientos'!F$5:F$1000, MATCH(57, 'Detalles movimientos'!$S$5:$S$1000, 0)), "")</f>
        <v/>
      </c>
      <c r="F66" s="19" t="str">
        <f>IFERROR(INDEX('Detalles movimientos'!G$5:G$1000, MATCH(57, 'Detalles movimientos'!$S$5:$S$1000, 0)), "")</f>
        <v/>
      </c>
      <c r="G66" s="21" t="str">
        <f>IFERROR(INDEX('Detalles movimientos'!H$5:H$1000, MATCH(57, 'Detalles movimientos'!$S$5:$S$1000, 0)), "")</f>
        <v/>
      </c>
      <c r="H66" s="22" t="str">
        <f>IFERROR(INDEX('Detalles movimientos'!I$5:I$1000, MATCH(57, 'Detalles movimientos'!$S$5:$S$1000, 0)), "")</f>
        <v/>
      </c>
      <c r="I66" s="21" t="str">
        <f>IFERROR(INDEX('Detalles movimientos'!J$5:J$1000, MATCH(57, 'Detalles movimientos'!$S$5:$S$1000, 0)), "")</f>
        <v/>
      </c>
      <c r="J66" s="20" t="str">
        <f>IFERROR(INDEX('Detalles movimientos'!K$5:K$1000, MATCH(57, 'Detalles movimientos'!$S$5:$S$1000, 0)), "")</f>
        <v/>
      </c>
      <c r="K66" s="21" t="str">
        <f>IFERROR(INDEX('Detalles movimientos'!L$5:L$1000, MATCH(57, 'Detalles movimientos'!$S$5:$S$1000, 0)), "")</f>
        <v/>
      </c>
      <c r="L66" s="19" t="str">
        <f>IFERROR(INDEX('Detalles movimientos'!M$5:M$1000, MATCH(57, 'Detalles movimientos'!$S$5:$S$1000, 0)), "")</f>
        <v/>
      </c>
      <c r="M66" s="19" t="str">
        <f>IFERROR(INDEX('Detalles movimientos'!P$5:P$1000, MATCH(57, 'Detalles movimientos'!$S$5:$S$1000, 0)), "")</f>
        <v/>
      </c>
    </row>
    <row r="67" spans="2:13" x14ac:dyDescent="0.2">
      <c r="B67" s="18" t="str">
        <f>IFERROR(INDEX('Detalles movimientos'!C$5:C$1000, MATCH(58, 'Detalles movimientos'!$S$5:$S$1000, 0)), "")</f>
        <v/>
      </c>
      <c r="C67" s="19" t="str">
        <f>IFERROR(INDEX('Detalles movimientos'!D$5:D$1000, MATCH(58, 'Detalles movimientos'!$S$5:$S$1000, 0)), "")</f>
        <v/>
      </c>
      <c r="D67" s="20" t="str">
        <f>IFERROR(INDEX('Detalles movimientos'!E$5:E$1000, MATCH(58, 'Detalles movimientos'!$S$5:$S$1000, 0)), "")</f>
        <v/>
      </c>
      <c r="E67" s="20" t="str">
        <f>IFERROR(INDEX('Detalles movimientos'!F$5:F$1000, MATCH(58, 'Detalles movimientos'!$S$5:$S$1000, 0)), "")</f>
        <v/>
      </c>
      <c r="F67" s="19" t="str">
        <f>IFERROR(INDEX('Detalles movimientos'!G$5:G$1000, MATCH(58, 'Detalles movimientos'!$S$5:$S$1000, 0)), "")</f>
        <v/>
      </c>
      <c r="G67" s="21" t="str">
        <f>IFERROR(INDEX('Detalles movimientos'!H$5:H$1000, MATCH(58, 'Detalles movimientos'!$S$5:$S$1000, 0)), "")</f>
        <v/>
      </c>
      <c r="H67" s="22" t="str">
        <f>IFERROR(INDEX('Detalles movimientos'!I$5:I$1000, MATCH(58, 'Detalles movimientos'!$S$5:$S$1000, 0)), "")</f>
        <v/>
      </c>
      <c r="I67" s="21" t="str">
        <f>IFERROR(INDEX('Detalles movimientos'!J$5:J$1000, MATCH(58, 'Detalles movimientos'!$S$5:$S$1000, 0)), "")</f>
        <v/>
      </c>
      <c r="J67" s="20" t="str">
        <f>IFERROR(INDEX('Detalles movimientos'!K$5:K$1000, MATCH(58, 'Detalles movimientos'!$S$5:$S$1000, 0)), "")</f>
        <v/>
      </c>
      <c r="K67" s="21" t="str">
        <f>IFERROR(INDEX('Detalles movimientos'!L$5:L$1000, MATCH(58, 'Detalles movimientos'!$S$5:$S$1000, 0)), "")</f>
        <v/>
      </c>
      <c r="L67" s="19" t="str">
        <f>IFERROR(INDEX('Detalles movimientos'!M$5:M$1000, MATCH(58, 'Detalles movimientos'!$S$5:$S$1000, 0)), "")</f>
        <v/>
      </c>
      <c r="M67" s="19" t="str">
        <f>IFERROR(INDEX('Detalles movimientos'!P$5:P$1000, MATCH(58, 'Detalles movimientos'!$S$5:$S$1000, 0)), "")</f>
        <v/>
      </c>
    </row>
    <row r="68" spans="2:13" x14ac:dyDescent="0.2">
      <c r="B68" s="18" t="str">
        <f>IFERROR(INDEX('Detalles movimientos'!C$5:C$1000, MATCH(59, 'Detalles movimientos'!$S$5:$S$1000, 0)), "")</f>
        <v/>
      </c>
      <c r="C68" s="19" t="str">
        <f>IFERROR(INDEX('Detalles movimientos'!D$5:D$1000, MATCH(59, 'Detalles movimientos'!$S$5:$S$1000, 0)), "")</f>
        <v/>
      </c>
      <c r="D68" s="20" t="str">
        <f>IFERROR(INDEX('Detalles movimientos'!E$5:E$1000, MATCH(59, 'Detalles movimientos'!$S$5:$S$1000, 0)), "")</f>
        <v/>
      </c>
      <c r="E68" s="20" t="str">
        <f>IFERROR(INDEX('Detalles movimientos'!F$5:F$1000, MATCH(59, 'Detalles movimientos'!$S$5:$S$1000, 0)), "")</f>
        <v/>
      </c>
      <c r="F68" s="19" t="str">
        <f>IFERROR(INDEX('Detalles movimientos'!G$5:G$1000, MATCH(59, 'Detalles movimientos'!$S$5:$S$1000, 0)), "")</f>
        <v/>
      </c>
      <c r="G68" s="21" t="str">
        <f>IFERROR(INDEX('Detalles movimientos'!H$5:H$1000, MATCH(59, 'Detalles movimientos'!$S$5:$S$1000, 0)), "")</f>
        <v/>
      </c>
      <c r="H68" s="22" t="str">
        <f>IFERROR(INDEX('Detalles movimientos'!I$5:I$1000, MATCH(59, 'Detalles movimientos'!$S$5:$S$1000, 0)), "")</f>
        <v/>
      </c>
      <c r="I68" s="21" t="str">
        <f>IFERROR(INDEX('Detalles movimientos'!J$5:J$1000, MATCH(59, 'Detalles movimientos'!$S$5:$S$1000, 0)), "")</f>
        <v/>
      </c>
      <c r="J68" s="20" t="str">
        <f>IFERROR(INDEX('Detalles movimientos'!K$5:K$1000, MATCH(59, 'Detalles movimientos'!$S$5:$S$1000, 0)), "")</f>
        <v/>
      </c>
      <c r="K68" s="21" t="str">
        <f>IFERROR(INDEX('Detalles movimientos'!L$5:L$1000, MATCH(59, 'Detalles movimientos'!$S$5:$S$1000, 0)), "")</f>
        <v/>
      </c>
      <c r="L68" s="19" t="str">
        <f>IFERROR(INDEX('Detalles movimientos'!M$5:M$1000, MATCH(59, 'Detalles movimientos'!$S$5:$S$1000, 0)), "")</f>
        <v/>
      </c>
      <c r="M68" s="19" t="str">
        <f>IFERROR(INDEX('Detalles movimientos'!P$5:P$1000, MATCH(59, 'Detalles movimientos'!$S$5:$S$1000, 0)), "")</f>
        <v/>
      </c>
    </row>
    <row r="69" spans="2:13" x14ac:dyDescent="0.2">
      <c r="B69" s="18" t="str">
        <f>IFERROR(INDEX('Detalles movimientos'!C$5:C$1000, MATCH(60, 'Detalles movimientos'!$S$5:$S$1000, 0)), "")</f>
        <v/>
      </c>
      <c r="C69" s="19" t="str">
        <f>IFERROR(INDEX('Detalles movimientos'!D$5:D$1000, MATCH(60, 'Detalles movimientos'!$S$5:$S$1000, 0)), "")</f>
        <v/>
      </c>
      <c r="D69" s="20" t="str">
        <f>IFERROR(INDEX('Detalles movimientos'!E$5:E$1000, MATCH(60, 'Detalles movimientos'!$S$5:$S$1000, 0)), "")</f>
        <v/>
      </c>
      <c r="E69" s="20" t="str">
        <f>IFERROR(INDEX('Detalles movimientos'!F$5:F$1000, MATCH(60, 'Detalles movimientos'!$S$5:$S$1000, 0)), "")</f>
        <v/>
      </c>
      <c r="F69" s="19" t="str">
        <f>IFERROR(INDEX('Detalles movimientos'!G$5:G$1000, MATCH(60, 'Detalles movimientos'!$S$5:$S$1000, 0)), "")</f>
        <v/>
      </c>
      <c r="G69" s="21" t="str">
        <f>IFERROR(INDEX('Detalles movimientos'!H$5:H$1000, MATCH(60, 'Detalles movimientos'!$S$5:$S$1000, 0)), "")</f>
        <v/>
      </c>
      <c r="H69" s="22" t="str">
        <f>IFERROR(INDEX('Detalles movimientos'!I$5:I$1000, MATCH(60, 'Detalles movimientos'!$S$5:$S$1000, 0)), "")</f>
        <v/>
      </c>
      <c r="I69" s="21" t="str">
        <f>IFERROR(INDEX('Detalles movimientos'!J$5:J$1000, MATCH(60, 'Detalles movimientos'!$S$5:$S$1000, 0)), "")</f>
        <v/>
      </c>
      <c r="J69" s="20" t="str">
        <f>IFERROR(INDEX('Detalles movimientos'!K$5:K$1000, MATCH(60, 'Detalles movimientos'!$S$5:$S$1000, 0)), "")</f>
        <v/>
      </c>
      <c r="K69" s="21" t="str">
        <f>IFERROR(INDEX('Detalles movimientos'!L$5:L$1000, MATCH(60, 'Detalles movimientos'!$S$5:$S$1000, 0)), "")</f>
        <v/>
      </c>
      <c r="L69" s="19" t="str">
        <f>IFERROR(INDEX('Detalles movimientos'!M$5:M$1000, MATCH(60, 'Detalles movimientos'!$S$5:$S$1000, 0)), "")</f>
        <v/>
      </c>
      <c r="M69" s="19" t="str">
        <f>IFERROR(INDEX('Detalles movimientos'!P$5:P$1000, MATCH(60, 'Detalles movimientos'!$S$5:$S$1000, 0)), "")</f>
        <v/>
      </c>
    </row>
    <row r="70" spans="2:13" x14ac:dyDescent="0.2">
      <c r="B70" s="18" t="str">
        <f>IFERROR(INDEX('Detalles movimientos'!C$5:C$1000, MATCH(61, 'Detalles movimientos'!$S$5:$S$1000, 0)), "")</f>
        <v/>
      </c>
      <c r="C70" s="19" t="str">
        <f>IFERROR(INDEX('Detalles movimientos'!D$5:D$1000, MATCH(61, 'Detalles movimientos'!$S$5:$S$1000, 0)), "")</f>
        <v/>
      </c>
      <c r="D70" s="20" t="str">
        <f>IFERROR(INDEX('Detalles movimientos'!E$5:E$1000, MATCH(61, 'Detalles movimientos'!$S$5:$S$1000, 0)), "")</f>
        <v/>
      </c>
      <c r="E70" s="20" t="str">
        <f>IFERROR(INDEX('Detalles movimientos'!F$5:F$1000, MATCH(61, 'Detalles movimientos'!$S$5:$S$1000, 0)), "")</f>
        <v/>
      </c>
      <c r="F70" s="19" t="str">
        <f>IFERROR(INDEX('Detalles movimientos'!G$5:G$1000, MATCH(61, 'Detalles movimientos'!$S$5:$S$1000, 0)), "")</f>
        <v/>
      </c>
      <c r="G70" s="21" t="str">
        <f>IFERROR(INDEX('Detalles movimientos'!H$5:H$1000, MATCH(61, 'Detalles movimientos'!$S$5:$S$1000, 0)), "")</f>
        <v/>
      </c>
      <c r="H70" s="22" t="str">
        <f>IFERROR(INDEX('Detalles movimientos'!I$5:I$1000, MATCH(61, 'Detalles movimientos'!$S$5:$S$1000, 0)), "")</f>
        <v/>
      </c>
      <c r="I70" s="21" t="str">
        <f>IFERROR(INDEX('Detalles movimientos'!J$5:J$1000, MATCH(61, 'Detalles movimientos'!$S$5:$S$1000, 0)), "")</f>
        <v/>
      </c>
      <c r="J70" s="20" t="str">
        <f>IFERROR(INDEX('Detalles movimientos'!K$5:K$1000, MATCH(61, 'Detalles movimientos'!$S$5:$S$1000, 0)), "")</f>
        <v/>
      </c>
      <c r="K70" s="21" t="str">
        <f>IFERROR(INDEX('Detalles movimientos'!L$5:L$1000, MATCH(61, 'Detalles movimientos'!$S$5:$S$1000, 0)), "")</f>
        <v/>
      </c>
      <c r="L70" s="19" t="str">
        <f>IFERROR(INDEX('Detalles movimientos'!M$5:M$1000, MATCH(61, 'Detalles movimientos'!$S$5:$S$1000, 0)), "")</f>
        <v/>
      </c>
      <c r="M70" s="19" t="str">
        <f>IFERROR(INDEX('Detalles movimientos'!P$5:P$1000, MATCH(61, 'Detalles movimientos'!$S$5:$S$1000, 0)), "")</f>
        <v/>
      </c>
    </row>
    <row r="71" spans="2:13" x14ac:dyDescent="0.2">
      <c r="B71" s="18" t="str">
        <f>IFERROR(INDEX('Detalles movimientos'!C$5:C$1000, MATCH(62, 'Detalles movimientos'!$S$5:$S$1000, 0)), "")</f>
        <v/>
      </c>
      <c r="C71" s="19" t="str">
        <f>IFERROR(INDEX('Detalles movimientos'!D$5:D$1000, MATCH(62, 'Detalles movimientos'!$S$5:$S$1000, 0)), "")</f>
        <v/>
      </c>
      <c r="D71" s="20" t="str">
        <f>IFERROR(INDEX('Detalles movimientos'!E$5:E$1000, MATCH(62, 'Detalles movimientos'!$S$5:$S$1000, 0)), "")</f>
        <v/>
      </c>
      <c r="E71" s="20" t="str">
        <f>IFERROR(INDEX('Detalles movimientos'!F$5:F$1000, MATCH(62, 'Detalles movimientos'!$S$5:$S$1000, 0)), "")</f>
        <v/>
      </c>
      <c r="F71" s="19" t="str">
        <f>IFERROR(INDEX('Detalles movimientos'!G$5:G$1000, MATCH(62, 'Detalles movimientos'!$S$5:$S$1000, 0)), "")</f>
        <v/>
      </c>
      <c r="G71" s="21" t="str">
        <f>IFERROR(INDEX('Detalles movimientos'!H$5:H$1000, MATCH(62, 'Detalles movimientos'!$S$5:$S$1000, 0)), "")</f>
        <v/>
      </c>
      <c r="H71" s="22" t="str">
        <f>IFERROR(INDEX('Detalles movimientos'!I$5:I$1000, MATCH(62, 'Detalles movimientos'!$S$5:$S$1000, 0)), "")</f>
        <v/>
      </c>
      <c r="I71" s="21" t="str">
        <f>IFERROR(INDEX('Detalles movimientos'!J$5:J$1000, MATCH(62, 'Detalles movimientos'!$S$5:$S$1000, 0)), "")</f>
        <v/>
      </c>
      <c r="J71" s="20" t="str">
        <f>IFERROR(INDEX('Detalles movimientos'!K$5:K$1000, MATCH(62, 'Detalles movimientos'!$S$5:$S$1000, 0)), "")</f>
        <v/>
      </c>
      <c r="K71" s="21" t="str">
        <f>IFERROR(INDEX('Detalles movimientos'!L$5:L$1000, MATCH(62, 'Detalles movimientos'!$S$5:$S$1000, 0)), "")</f>
        <v/>
      </c>
      <c r="L71" s="19" t="str">
        <f>IFERROR(INDEX('Detalles movimientos'!M$5:M$1000, MATCH(62, 'Detalles movimientos'!$S$5:$S$1000, 0)), "")</f>
        <v/>
      </c>
      <c r="M71" s="19" t="str">
        <f>IFERROR(INDEX('Detalles movimientos'!P$5:P$1000, MATCH(62, 'Detalles movimientos'!$S$5:$S$1000, 0)), "")</f>
        <v/>
      </c>
    </row>
    <row r="72" spans="2:13" x14ac:dyDescent="0.2">
      <c r="B72" s="18" t="str">
        <f>IFERROR(INDEX('Detalles movimientos'!C$5:C$1000, MATCH(63, 'Detalles movimientos'!$S$5:$S$1000, 0)), "")</f>
        <v/>
      </c>
      <c r="C72" s="19" t="str">
        <f>IFERROR(INDEX('Detalles movimientos'!D$5:D$1000, MATCH(63, 'Detalles movimientos'!$S$5:$S$1000, 0)), "")</f>
        <v/>
      </c>
      <c r="D72" s="20" t="str">
        <f>IFERROR(INDEX('Detalles movimientos'!E$5:E$1000, MATCH(63, 'Detalles movimientos'!$S$5:$S$1000, 0)), "")</f>
        <v/>
      </c>
      <c r="E72" s="20" t="str">
        <f>IFERROR(INDEX('Detalles movimientos'!F$5:F$1000, MATCH(63, 'Detalles movimientos'!$S$5:$S$1000, 0)), "")</f>
        <v/>
      </c>
      <c r="F72" s="19" t="str">
        <f>IFERROR(INDEX('Detalles movimientos'!G$5:G$1000, MATCH(63, 'Detalles movimientos'!$S$5:$S$1000, 0)), "")</f>
        <v/>
      </c>
      <c r="G72" s="21" t="str">
        <f>IFERROR(INDEX('Detalles movimientos'!H$5:H$1000, MATCH(63, 'Detalles movimientos'!$S$5:$S$1000, 0)), "")</f>
        <v/>
      </c>
      <c r="H72" s="22" t="str">
        <f>IFERROR(INDEX('Detalles movimientos'!I$5:I$1000, MATCH(63, 'Detalles movimientos'!$S$5:$S$1000, 0)), "")</f>
        <v/>
      </c>
      <c r="I72" s="21" t="str">
        <f>IFERROR(INDEX('Detalles movimientos'!J$5:J$1000, MATCH(63, 'Detalles movimientos'!$S$5:$S$1000, 0)), "")</f>
        <v/>
      </c>
      <c r="J72" s="20" t="str">
        <f>IFERROR(INDEX('Detalles movimientos'!K$5:K$1000, MATCH(63, 'Detalles movimientos'!$S$5:$S$1000, 0)), "")</f>
        <v/>
      </c>
      <c r="K72" s="21" t="str">
        <f>IFERROR(INDEX('Detalles movimientos'!L$5:L$1000, MATCH(63, 'Detalles movimientos'!$S$5:$S$1000, 0)), "")</f>
        <v/>
      </c>
      <c r="L72" s="19" t="str">
        <f>IFERROR(INDEX('Detalles movimientos'!M$5:M$1000, MATCH(63, 'Detalles movimientos'!$S$5:$S$1000, 0)), "")</f>
        <v/>
      </c>
      <c r="M72" s="19" t="str">
        <f>IFERROR(INDEX('Detalles movimientos'!P$5:P$1000, MATCH(63, 'Detalles movimientos'!$S$5:$S$1000, 0)), "")</f>
        <v/>
      </c>
    </row>
    <row r="73" spans="2:13" x14ac:dyDescent="0.2">
      <c r="B73" s="18" t="str">
        <f>IFERROR(INDEX('Detalles movimientos'!C$5:C$1000, MATCH(64, 'Detalles movimientos'!$S$5:$S$1000, 0)), "")</f>
        <v/>
      </c>
      <c r="C73" s="19" t="str">
        <f>IFERROR(INDEX('Detalles movimientos'!D$5:D$1000, MATCH(64, 'Detalles movimientos'!$S$5:$S$1000, 0)), "")</f>
        <v/>
      </c>
      <c r="D73" s="20" t="str">
        <f>IFERROR(INDEX('Detalles movimientos'!E$5:E$1000, MATCH(64, 'Detalles movimientos'!$S$5:$S$1000, 0)), "")</f>
        <v/>
      </c>
      <c r="E73" s="20" t="str">
        <f>IFERROR(INDEX('Detalles movimientos'!F$5:F$1000, MATCH(64, 'Detalles movimientos'!$S$5:$S$1000, 0)), "")</f>
        <v/>
      </c>
      <c r="F73" s="19" t="str">
        <f>IFERROR(INDEX('Detalles movimientos'!G$5:G$1000, MATCH(64, 'Detalles movimientos'!$S$5:$S$1000, 0)), "")</f>
        <v/>
      </c>
      <c r="G73" s="21" t="str">
        <f>IFERROR(INDEX('Detalles movimientos'!H$5:H$1000, MATCH(64, 'Detalles movimientos'!$S$5:$S$1000, 0)), "")</f>
        <v/>
      </c>
      <c r="H73" s="22" t="str">
        <f>IFERROR(INDEX('Detalles movimientos'!I$5:I$1000, MATCH(64, 'Detalles movimientos'!$S$5:$S$1000, 0)), "")</f>
        <v/>
      </c>
      <c r="I73" s="21" t="str">
        <f>IFERROR(INDEX('Detalles movimientos'!J$5:J$1000, MATCH(64, 'Detalles movimientos'!$S$5:$S$1000, 0)), "")</f>
        <v/>
      </c>
      <c r="J73" s="20" t="str">
        <f>IFERROR(INDEX('Detalles movimientos'!K$5:K$1000, MATCH(64, 'Detalles movimientos'!$S$5:$S$1000, 0)), "")</f>
        <v/>
      </c>
      <c r="K73" s="21" t="str">
        <f>IFERROR(INDEX('Detalles movimientos'!L$5:L$1000, MATCH(64, 'Detalles movimientos'!$S$5:$S$1000, 0)), "")</f>
        <v/>
      </c>
      <c r="L73" s="19" t="str">
        <f>IFERROR(INDEX('Detalles movimientos'!M$5:M$1000, MATCH(64, 'Detalles movimientos'!$S$5:$S$1000, 0)), "")</f>
        <v/>
      </c>
      <c r="M73" s="19" t="str">
        <f>IFERROR(INDEX('Detalles movimientos'!P$5:P$1000, MATCH(64, 'Detalles movimientos'!$S$5:$S$1000, 0)), "")</f>
        <v/>
      </c>
    </row>
    <row r="74" spans="2:13" x14ac:dyDescent="0.2">
      <c r="B74" s="18" t="str">
        <f>IFERROR(INDEX('Detalles movimientos'!C$5:C$1000, MATCH(65, 'Detalles movimientos'!$S$5:$S$1000, 0)), "")</f>
        <v/>
      </c>
      <c r="C74" s="19" t="str">
        <f>IFERROR(INDEX('Detalles movimientos'!D$5:D$1000, MATCH(65, 'Detalles movimientos'!$S$5:$S$1000, 0)), "")</f>
        <v/>
      </c>
      <c r="D74" s="20" t="str">
        <f>IFERROR(INDEX('Detalles movimientos'!E$5:E$1000, MATCH(65, 'Detalles movimientos'!$S$5:$S$1000, 0)), "")</f>
        <v/>
      </c>
      <c r="E74" s="20" t="str">
        <f>IFERROR(INDEX('Detalles movimientos'!F$5:F$1000, MATCH(65, 'Detalles movimientos'!$S$5:$S$1000, 0)), "")</f>
        <v/>
      </c>
      <c r="F74" s="19" t="str">
        <f>IFERROR(INDEX('Detalles movimientos'!G$5:G$1000, MATCH(65, 'Detalles movimientos'!$S$5:$S$1000, 0)), "")</f>
        <v/>
      </c>
      <c r="G74" s="21" t="str">
        <f>IFERROR(INDEX('Detalles movimientos'!H$5:H$1000, MATCH(65, 'Detalles movimientos'!$S$5:$S$1000, 0)), "")</f>
        <v/>
      </c>
      <c r="H74" s="22" t="str">
        <f>IFERROR(INDEX('Detalles movimientos'!I$5:I$1000, MATCH(65, 'Detalles movimientos'!$S$5:$S$1000, 0)), "")</f>
        <v/>
      </c>
      <c r="I74" s="21" t="str">
        <f>IFERROR(INDEX('Detalles movimientos'!J$5:J$1000, MATCH(65, 'Detalles movimientos'!$S$5:$S$1000, 0)), "")</f>
        <v/>
      </c>
      <c r="J74" s="20" t="str">
        <f>IFERROR(INDEX('Detalles movimientos'!K$5:K$1000, MATCH(65, 'Detalles movimientos'!$S$5:$S$1000, 0)), "")</f>
        <v/>
      </c>
      <c r="K74" s="21" t="str">
        <f>IFERROR(INDEX('Detalles movimientos'!L$5:L$1000, MATCH(65, 'Detalles movimientos'!$S$5:$S$1000, 0)), "")</f>
        <v/>
      </c>
      <c r="L74" s="19" t="str">
        <f>IFERROR(INDEX('Detalles movimientos'!M$5:M$1000, MATCH(65, 'Detalles movimientos'!$S$5:$S$1000, 0)), "")</f>
        <v/>
      </c>
      <c r="M74" s="19" t="str">
        <f>IFERROR(INDEX('Detalles movimientos'!P$5:P$1000, MATCH(65, 'Detalles movimientos'!$S$5:$S$1000, 0)), "")</f>
        <v/>
      </c>
    </row>
    <row r="75" spans="2:13" x14ac:dyDescent="0.2">
      <c r="B75" s="18" t="str">
        <f>IFERROR(INDEX('Detalles movimientos'!C$5:C$1000, MATCH(66, 'Detalles movimientos'!$S$5:$S$1000, 0)), "")</f>
        <v/>
      </c>
      <c r="C75" s="19" t="str">
        <f>IFERROR(INDEX('Detalles movimientos'!D$5:D$1000, MATCH(66, 'Detalles movimientos'!$S$5:$S$1000, 0)), "")</f>
        <v/>
      </c>
      <c r="D75" s="20" t="str">
        <f>IFERROR(INDEX('Detalles movimientos'!E$5:E$1000, MATCH(66, 'Detalles movimientos'!$S$5:$S$1000, 0)), "")</f>
        <v/>
      </c>
      <c r="E75" s="20" t="str">
        <f>IFERROR(INDEX('Detalles movimientos'!F$5:F$1000, MATCH(66, 'Detalles movimientos'!$S$5:$S$1000, 0)), "")</f>
        <v/>
      </c>
      <c r="F75" s="19" t="str">
        <f>IFERROR(INDEX('Detalles movimientos'!G$5:G$1000, MATCH(66, 'Detalles movimientos'!$S$5:$S$1000, 0)), "")</f>
        <v/>
      </c>
      <c r="G75" s="21" t="str">
        <f>IFERROR(INDEX('Detalles movimientos'!H$5:H$1000, MATCH(66, 'Detalles movimientos'!$S$5:$S$1000, 0)), "")</f>
        <v/>
      </c>
      <c r="H75" s="22" t="str">
        <f>IFERROR(INDEX('Detalles movimientos'!I$5:I$1000, MATCH(66, 'Detalles movimientos'!$S$5:$S$1000, 0)), "")</f>
        <v/>
      </c>
      <c r="I75" s="21" t="str">
        <f>IFERROR(INDEX('Detalles movimientos'!J$5:J$1000, MATCH(66, 'Detalles movimientos'!$S$5:$S$1000, 0)), "")</f>
        <v/>
      </c>
      <c r="J75" s="20" t="str">
        <f>IFERROR(INDEX('Detalles movimientos'!K$5:K$1000, MATCH(66, 'Detalles movimientos'!$S$5:$S$1000, 0)), "")</f>
        <v/>
      </c>
      <c r="K75" s="21" t="str">
        <f>IFERROR(INDEX('Detalles movimientos'!L$5:L$1000, MATCH(66, 'Detalles movimientos'!$S$5:$S$1000, 0)), "")</f>
        <v/>
      </c>
      <c r="L75" s="19" t="str">
        <f>IFERROR(INDEX('Detalles movimientos'!M$5:M$1000, MATCH(66, 'Detalles movimientos'!$S$5:$S$1000, 0)), "")</f>
        <v/>
      </c>
      <c r="M75" s="19" t="str">
        <f>IFERROR(INDEX('Detalles movimientos'!P$5:P$1000, MATCH(66, 'Detalles movimientos'!$S$5:$S$1000, 0)), "")</f>
        <v/>
      </c>
    </row>
    <row r="76" spans="2:13" x14ac:dyDescent="0.2">
      <c r="B76" s="18" t="str">
        <f>IFERROR(INDEX('Detalles movimientos'!C$5:C$1000, MATCH(67, 'Detalles movimientos'!$S$5:$S$1000, 0)), "")</f>
        <v/>
      </c>
      <c r="C76" s="19" t="str">
        <f>IFERROR(INDEX('Detalles movimientos'!D$5:D$1000, MATCH(67, 'Detalles movimientos'!$S$5:$S$1000, 0)), "")</f>
        <v/>
      </c>
      <c r="D76" s="20" t="str">
        <f>IFERROR(INDEX('Detalles movimientos'!E$5:E$1000, MATCH(67, 'Detalles movimientos'!$S$5:$S$1000, 0)), "")</f>
        <v/>
      </c>
      <c r="E76" s="20" t="str">
        <f>IFERROR(INDEX('Detalles movimientos'!F$5:F$1000, MATCH(67, 'Detalles movimientos'!$S$5:$S$1000, 0)), "")</f>
        <v/>
      </c>
      <c r="F76" s="19" t="str">
        <f>IFERROR(INDEX('Detalles movimientos'!G$5:G$1000, MATCH(67, 'Detalles movimientos'!$S$5:$S$1000, 0)), "")</f>
        <v/>
      </c>
      <c r="G76" s="21" t="str">
        <f>IFERROR(INDEX('Detalles movimientos'!H$5:H$1000, MATCH(67, 'Detalles movimientos'!$S$5:$S$1000, 0)), "")</f>
        <v/>
      </c>
      <c r="H76" s="22" t="str">
        <f>IFERROR(INDEX('Detalles movimientos'!I$5:I$1000, MATCH(67, 'Detalles movimientos'!$S$5:$S$1000, 0)), "")</f>
        <v/>
      </c>
      <c r="I76" s="21" t="str">
        <f>IFERROR(INDEX('Detalles movimientos'!J$5:J$1000, MATCH(67, 'Detalles movimientos'!$S$5:$S$1000, 0)), "")</f>
        <v/>
      </c>
      <c r="J76" s="20" t="str">
        <f>IFERROR(INDEX('Detalles movimientos'!K$5:K$1000, MATCH(67, 'Detalles movimientos'!$S$5:$S$1000, 0)), "")</f>
        <v/>
      </c>
      <c r="K76" s="21" t="str">
        <f>IFERROR(INDEX('Detalles movimientos'!L$5:L$1000, MATCH(67, 'Detalles movimientos'!$S$5:$S$1000, 0)), "")</f>
        <v/>
      </c>
      <c r="L76" s="19" t="str">
        <f>IFERROR(INDEX('Detalles movimientos'!M$5:M$1000, MATCH(67, 'Detalles movimientos'!$S$5:$S$1000, 0)), "")</f>
        <v/>
      </c>
      <c r="M76" s="19" t="str">
        <f>IFERROR(INDEX('Detalles movimientos'!P$5:P$1000, MATCH(67, 'Detalles movimientos'!$S$5:$S$1000, 0)), "")</f>
        <v/>
      </c>
    </row>
    <row r="77" spans="2:13" x14ac:dyDescent="0.2">
      <c r="B77" s="18" t="str">
        <f>IFERROR(INDEX('Detalles movimientos'!C$5:C$1000, MATCH(68, 'Detalles movimientos'!$S$5:$S$1000, 0)), "")</f>
        <v/>
      </c>
      <c r="C77" s="19" t="str">
        <f>IFERROR(INDEX('Detalles movimientos'!D$5:D$1000, MATCH(68, 'Detalles movimientos'!$S$5:$S$1000, 0)), "")</f>
        <v/>
      </c>
      <c r="D77" s="20" t="str">
        <f>IFERROR(INDEX('Detalles movimientos'!E$5:E$1000, MATCH(68, 'Detalles movimientos'!$S$5:$S$1000, 0)), "")</f>
        <v/>
      </c>
      <c r="E77" s="20" t="str">
        <f>IFERROR(INDEX('Detalles movimientos'!F$5:F$1000, MATCH(68, 'Detalles movimientos'!$S$5:$S$1000, 0)), "")</f>
        <v/>
      </c>
      <c r="F77" s="19" t="str">
        <f>IFERROR(INDEX('Detalles movimientos'!G$5:G$1000, MATCH(68, 'Detalles movimientos'!$S$5:$S$1000, 0)), "")</f>
        <v/>
      </c>
      <c r="G77" s="21" t="str">
        <f>IFERROR(INDEX('Detalles movimientos'!H$5:H$1000, MATCH(68, 'Detalles movimientos'!$S$5:$S$1000, 0)), "")</f>
        <v/>
      </c>
      <c r="H77" s="22" t="str">
        <f>IFERROR(INDEX('Detalles movimientos'!I$5:I$1000, MATCH(68, 'Detalles movimientos'!$S$5:$S$1000, 0)), "")</f>
        <v/>
      </c>
      <c r="I77" s="21" t="str">
        <f>IFERROR(INDEX('Detalles movimientos'!J$5:J$1000, MATCH(68, 'Detalles movimientos'!$S$5:$S$1000, 0)), "")</f>
        <v/>
      </c>
      <c r="J77" s="20" t="str">
        <f>IFERROR(INDEX('Detalles movimientos'!K$5:K$1000, MATCH(68, 'Detalles movimientos'!$S$5:$S$1000, 0)), "")</f>
        <v/>
      </c>
      <c r="K77" s="21" t="str">
        <f>IFERROR(INDEX('Detalles movimientos'!L$5:L$1000, MATCH(68, 'Detalles movimientos'!$S$5:$S$1000, 0)), "")</f>
        <v/>
      </c>
      <c r="L77" s="19" t="str">
        <f>IFERROR(INDEX('Detalles movimientos'!M$5:M$1000, MATCH(68, 'Detalles movimientos'!$S$5:$S$1000, 0)), "")</f>
        <v/>
      </c>
      <c r="M77" s="19" t="str">
        <f>IFERROR(INDEX('Detalles movimientos'!P$5:P$1000, MATCH(68, 'Detalles movimientos'!$S$5:$S$1000, 0)), "")</f>
        <v/>
      </c>
    </row>
    <row r="78" spans="2:13" x14ac:dyDescent="0.2">
      <c r="B78" s="18" t="str">
        <f>IFERROR(INDEX('Detalles movimientos'!C$5:C$1000, MATCH(69, 'Detalles movimientos'!$S$5:$S$1000, 0)), "")</f>
        <v/>
      </c>
      <c r="C78" s="19" t="str">
        <f>IFERROR(INDEX('Detalles movimientos'!D$5:D$1000, MATCH(69, 'Detalles movimientos'!$S$5:$S$1000, 0)), "")</f>
        <v/>
      </c>
      <c r="D78" s="20" t="str">
        <f>IFERROR(INDEX('Detalles movimientos'!E$5:E$1000, MATCH(69, 'Detalles movimientos'!$S$5:$S$1000, 0)), "")</f>
        <v/>
      </c>
      <c r="E78" s="20" t="str">
        <f>IFERROR(INDEX('Detalles movimientos'!F$5:F$1000, MATCH(69, 'Detalles movimientos'!$S$5:$S$1000, 0)), "")</f>
        <v/>
      </c>
      <c r="F78" s="19" t="str">
        <f>IFERROR(INDEX('Detalles movimientos'!G$5:G$1000, MATCH(69, 'Detalles movimientos'!$S$5:$S$1000, 0)), "")</f>
        <v/>
      </c>
      <c r="G78" s="21" t="str">
        <f>IFERROR(INDEX('Detalles movimientos'!H$5:H$1000, MATCH(69, 'Detalles movimientos'!$S$5:$S$1000, 0)), "")</f>
        <v/>
      </c>
      <c r="H78" s="22" t="str">
        <f>IFERROR(INDEX('Detalles movimientos'!I$5:I$1000, MATCH(69, 'Detalles movimientos'!$S$5:$S$1000, 0)), "")</f>
        <v/>
      </c>
      <c r="I78" s="21" t="str">
        <f>IFERROR(INDEX('Detalles movimientos'!J$5:J$1000, MATCH(69, 'Detalles movimientos'!$S$5:$S$1000, 0)), "")</f>
        <v/>
      </c>
      <c r="J78" s="20" t="str">
        <f>IFERROR(INDEX('Detalles movimientos'!K$5:K$1000, MATCH(69, 'Detalles movimientos'!$S$5:$S$1000, 0)), "")</f>
        <v/>
      </c>
      <c r="K78" s="21" t="str">
        <f>IFERROR(INDEX('Detalles movimientos'!L$5:L$1000, MATCH(69, 'Detalles movimientos'!$S$5:$S$1000, 0)), "")</f>
        <v/>
      </c>
      <c r="L78" s="19" t="str">
        <f>IFERROR(INDEX('Detalles movimientos'!M$5:M$1000, MATCH(69, 'Detalles movimientos'!$S$5:$S$1000, 0)), "")</f>
        <v/>
      </c>
      <c r="M78" s="19" t="str">
        <f>IFERROR(INDEX('Detalles movimientos'!P$5:P$1000, MATCH(69, 'Detalles movimientos'!$S$5:$S$1000, 0)), "")</f>
        <v/>
      </c>
    </row>
    <row r="79" spans="2:13" x14ac:dyDescent="0.2">
      <c r="B79" s="18" t="str">
        <f>IFERROR(INDEX('Detalles movimientos'!C$5:C$1000, MATCH(70, 'Detalles movimientos'!$S$5:$S$1000, 0)), "")</f>
        <v/>
      </c>
      <c r="C79" s="19" t="str">
        <f>IFERROR(INDEX('Detalles movimientos'!D$5:D$1000, MATCH(70, 'Detalles movimientos'!$S$5:$S$1000, 0)), "")</f>
        <v/>
      </c>
      <c r="D79" s="20" t="str">
        <f>IFERROR(INDEX('Detalles movimientos'!E$5:E$1000, MATCH(70, 'Detalles movimientos'!$S$5:$S$1000, 0)), "")</f>
        <v/>
      </c>
      <c r="E79" s="20" t="str">
        <f>IFERROR(INDEX('Detalles movimientos'!F$5:F$1000, MATCH(70, 'Detalles movimientos'!$S$5:$S$1000, 0)), "")</f>
        <v/>
      </c>
      <c r="F79" s="19" t="str">
        <f>IFERROR(INDEX('Detalles movimientos'!G$5:G$1000, MATCH(70, 'Detalles movimientos'!$S$5:$S$1000, 0)), "")</f>
        <v/>
      </c>
      <c r="G79" s="21" t="str">
        <f>IFERROR(INDEX('Detalles movimientos'!H$5:H$1000, MATCH(70, 'Detalles movimientos'!$S$5:$S$1000, 0)), "")</f>
        <v/>
      </c>
      <c r="H79" s="22" t="str">
        <f>IFERROR(INDEX('Detalles movimientos'!I$5:I$1000, MATCH(70, 'Detalles movimientos'!$S$5:$S$1000, 0)), "")</f>
        <v/>
      </c>
      <c r="I79" s="21" t="str">
        <f>IFERROR(INDEX('Detalles movimientos'!J$5:J$1000, MATCH(70, 'Detalles movimientos'!$S$5:$S$1000, 0)), "")</f>
        <v/>
      </c>
      <c r="J79" s="20" t="str">
        <f>IFERROR(INDEX('Detalles movimientos'!K$5:K$1000, MATCH(70, 'Detalles movimientos'!$S$5:$S$1000, 0)), "")</f>
        <v/>
      </c>
      <c r="K79" s="21" t="str">
        <f>IFERROR(INDEX('Detalles movimientos'!L$5:L$1000, MATCH(70, 'Detalles movimientos'!$S$5:$S$1000, 0)), "")</f>
        <v/>
      </c>
      <c r="L79" s="19" t="str">
        <f>IFERROR(INDEX('Detalles movimientos'!M$5:M$1000, MATCH(70, 'Detalles movimientos'!$S$5:$S$1000, 0)), "")</f>
        <v/>
      </c>
      <c r="M79" s="19" t="str">
        <f>IFERROR(INDEX('Detalles movimientos'!P$5:P$1000, MATCH(70, 'Detalles movimientos'!$S$5:$S$1000, 0)), "")</f>
        <v/>
      </c>
    </row>
    <row r="80" spans="2:13" x14ac:dyDescent="0.2">
      <c r="B80" s="18" t="str">
        <f>IFERROR(INDEX('Detalles movimientos'!C$5:C$1000, MATCH(71, 'Detalles movimientos'!$S$5:$S$1000, 0)), "")</f>
        <v/>
      </c>
      <c r="C80" s="19" t="str">
        <f>IFERROR(INDEX('Detalles movimientos'!D$5:D$1000, MATCH(71, 'Detalles movimientos'!$S$5:$S$1000, 0)), "")</f>
        <v/>
      </c>
      <c r="D80" s="20" t="str">
        <f>IFERROR(INDEX('Detalles movimientos'!E$5:E$1000, MATCH(71, 'Detalles movimientos'!$S$5:$S$1000, 0)), "")</f>
        <v/>
      </c>
      <c r="E80" s="20" t="str">
        <f>IFERROR(INDEX('Detalles movimientos'!F$5:F$1000, MATCH(71, 'Detalles movimientos'!$S$5:$S$1000, 0)), "")</f>
        <v/>
      </c>
      <c r="F80" s="19" t="str">
        <f>IFERROR(INDEX('Detalles movimientos'!G$5:G$1000, MATCH(71, 'Detalles movimientos'!$S$5:$S$1000, 0)), "")</f>
        <v/>
      </c>
      <c r="G80" s="21" t="str">
        <f>IFERROR(INDEX('Detalles movimientos'!H$5:H$1000, MATCH(71, 'Detalles movimientos'!$S$5:$S$1000, 0)), "")</f>
        <v/>
      </c>
      <c r="H80" s="22" t="str">
        <f>IFERROR(INDEX('Detalles movimientos'!I$5:I$1000, MATCH(71, 'Detalles movimientos'!$S$5:$S$1000, 0)), "")</f>
        <v/>
      </c>
      <c r="I80" s="21" t="str">
        <f>IFERROR(INDEX('Detalles movimientos'!J$5:J$1000, MATCH(71, 'Detalles movimientos'!$S$5:$S$1000, 0)), "")</f>
        <v/>
      </c>
      <c r="J80" s="20" t="str">
        <f>IFERROR(INDEX('Detalles movimientos'!K$5:K$1000, MATCH(71, 'Detalles movimientos'!$S$5:$S$1000, 0)), "")</f>
        <v/>
      </c>
      <c r="K80" s="21" t="str">
        <f>IFERROR(INDEX('Detalles movimientos'!L$5:L$1000, MATCH(71, 'Detalles movimientos'!$S$5:$S$1000, 0)), "")</f>
        <v/>
      </c>
      <c r="L80" s="19" t="str">
        <f>IFERROR(INDEX('Detalles movimientos'!M$5:M$1000, MATCH(71, 'Detalles movimientos'!$S$5:$S$1000, 0)), "")</f>
        <v/>
      </c>
      <c r="M80" s="19" t="str">
        <f>IFERROR(INDEX('Detalles movimientos'!P$5:P$1000, MATCH(71, 'Detalles movimientos'!$S$5:$S$1000, 0)), "")</f>
        <v/>
      </c>
    </row>
    <row r="81" spans="2:13" x14ac:dyDescent="0.2">
      <c r="B81" s="18" t="str">
        <f>IFERROR(INDEX('Detalles movimientos'!C$5:C$1000, MATCH(72, 'Detalles movimientos'!$S$5:$S$1000, 0)), "")</f>
        <v/>
      </c>
      <c r="C81" s="19" t="str">
        <f>IFERROR(INDEX('Detalles movimientos'!D$5:D$1000, MATCH(72, 'Detalles movimientos'!$S$5:$S$1000, 0)), "")</f>
        <v/>
      </c>
      <c r="D81" s="20" t="str">
        <f>IFERROR(INDEX('Detalles movimientos'!E$5:E$1000, MATCH(72, 'Detalles movimientos'!$S$5:$S$1000, 0)), "")</f>
        <v/>
      </c>
      <c r="E81" s="20" t="str">
        <f>IFERROR(INDEX('Detalles movimientos'!F$5:F$1000, MATCH(72, 'Detalles movimientos'!$S$5:$S$1000, 0)), "")</f>
        <v/>
      </c>
      <c r="F81" s="19" t="str">
        <f>IFERROR(INDEX('Detalles movimientos'!G$5:G$1000, MATCH(72, 'Detalles movimientos'!$S$5:$S$1000, 0)), "")</f>
        <v/>
      </c>
      <c r="G81" s="21" t="str">
        <f>IFERROR(INDEX('Detalles movimientos'!H$5:H$1000, MATCH(72, 'Detalles movimientos'!$S$5:$S$1000, 0)), "")</f>
        <v/>
      </c>
      <c r="H81" s="22" t="str">
        <f>IFERROR(INDEX('Detalles movimientos'!I$5:I$1000, MATCH(72, 'Detalles movimientos'!$S$5:$S$1000, 0)), "")</f>
        <v/>
      </c>
      <c r="I81" s="21" t="str">
        <f>IFERROR(INDEX('Detalles movimientos'!J$5:J$1000, MATCH(72, 'Detalles movimientos'!$S$5:$S$1000, 0)), "")</f>
        <v/>
      </c>
      <c r="J81" s="20" t="str">
        <f>IFERROR(INDEX('Detalles movimientos'!K$5:K$1000, MATCH(72, 'Detalles movimientos'!$S$5:$S$1000, 0)), "")</f>
        <v/>
      </c>
      <c r="K81" s="21" t="str">
        <f>IFERROR(INDEX('Detalles movimientos'!L$5:L$1000, MATCH(72, 'Detalles movimientos'!$S$5:$S$1000, 0)), "")</f>
        <v/>
      </c>
      <c r="L81" s="19" t="str">
        <f>IFERROR(INDEX('Detalles movimientos'!M$5:M$1000, MATCH(72, 'Detalles movimientos'!$S$5:$S$1000, 0)), "")</f>
        <v/>
      </c>
      <c r="M81" s="19" t="str">
        <f>IFERROR(INDEX('Detalles movimientos'!P$5:P$1000, MATCH(72, 'Detalles movimientos'!$S$5:$S$1000, 0)), "")</f>
        <v/>
      </c>
    </row>
    <row r="82" spans="2:13" x14ac:dyDescent="0.2">
      <c r="B82" s="18" t="str">
        <f>IFERROR(INDEX('Detalles movimientos'!C$5:C$1000, MATCH(73, 'Detalles movimientos'!$S$5:$S$1000, 0)), "")</f>
        <v/>
      </c>
      <c r="C82" s="19" t="str">
        <f>IFERROR(INDEX('Detalles movimientos'!D$5:D$1000, MATCH(73, 'Detalles movimientos'!$S$5:$S$1000, 0)), "")</f>
        <v/>
      </c>
      <c r="D82" s="20" t="str">
        <f>IFERROR(INDEX('Detalles movimientos'!E$5:E$1000, MATCH(73, 'Detalles movimientos'!$S$5:$S$1000, 0)), "")</f>
        <v/>
      </c>
      <c r="E82" s="20" t="str">
        <f>IFERROR(INDEX('Detalles movimientos'!F$5:F$1000, MATCH(73, 'Detalles movimientos'!$S$5:$S$1000, 0)), "")</f>
        <v/>
      </c>
      <c r="F82" s="19" t="str">
        <f>IFERROR(INDEX('Detalles movimientos'!G$5:G$1000, MATCH(73, 'Detalles movimientos'!$S$5:$S$1000, 0)), "")</f>
        <v/>
      </c>
      <c r="G82" s="21" t="str">
        <f>IFERROR(INDEX('Detalles movimientos'!H$5:H$1000, MATCH(73, 'Detalles movimientos'!$S$5:$S$1000, 0)), "")</f>
        <v/>
      </c>
      <c r="H82" s="22" t="str">
        <f>IFERROR(INDEX('Detalles movimientos'!I$5:I$1000, MATCH(73, 'Detalles movimientos'!$S$5:$S$1000, 0)), "")</f>
        <v/>
      </c>
      <c r="I82" s="21" t="str">
        <f>IFERROR(INDEX('Detalles movimientos'!J$5:J$1000, MATCH(73, 'Detalles movimientos'!$S$5:$S$1000, 0)), "")</f>
        <v/>
      </c>
      <c r="J82" s="20" t="str">
        <f>IFERROR(INDEX('Detalles movimientos'!K$5:K$1000, MATCH(73, 'Detalles movimientos'!$S$5:$S$1000, 0)), "")</f>
        <v/>
      </c>
      <c r="K82" s="21" t="str">
        <f>IFERROR(INDEX('Detalles movimientos'!L$5:L$1000, MATCH(73, 'Detalles movimientos'!$S$5:$S$1000, 0)), "")</f>
        <v/>
      </c>
      <c r="L82" s="19" t="str">
        <f>IFERROR(INDEX('Detalles movimientos'!M$5:M$1000, MATCH(73, 'Detalles movimientos'!$S$5:$S$1000, 0)), "")</f>
        <v/>
      </c>
      <c r="M82" s="19" t="str">
        <f>IFERROR(INDEX('Detalles movimientos'!P$5:P$1000, MATCH(73, 'Detalles movimientos'!$S$5:$S$1000, 0)), "")</f>
        <v/>
      </c>
    </row>
    <row r="83" spans="2:13" x14ac:dyDescent="0.2">
      <c r="B83" s="18" t="str">
        <f>IFERROR(INDEX('Detalles movimientos'!C$5:C$1000, MATCH(74, 'Detalles movimientos'!$S$5:$S$1000, 0)), "")</f>
        <v/>
      </c>
      <c r="C83" s="19" t="str">
        <f>IFERROR(INDEX('Detalles movimientos'!D$5:D$1000, MATCH(74, 'Detalles movimientos'!$S$5:$S$1000, 0)), "")</f>
        <v/>
      </c>
      <c r="D83" s="20" t="str">
        <f>IFERROR(INDEX('Detalles movimientos'!E$5:E$1000, MATCH(74, 'Detalles movimientos'!$S$5:$S$1000, 0)), "")</f>
        <v/>
      </c>
      <c r="E83" s="20" t="str">
        <f>IFERROR(INDEX('Detalles movimientos'!F$5:F$1000, MATCH(74, 'Detalles movimientos'!$S$5:$S$1000, 0)), "")</f>
        <v/>
      </c>
      <c r="F83" s="19" t="str">
        <f>IFERROR(INDEX('Detalles movimientos'!G$5:G$1000, MATCH(74, 'Detalles movimientos'!$S$5:$S$1000, 0)), "")</f>
        <v/>
      </c>
      <c r="G83" s="21" t="str">
        <f>IFERROR(INDEX('Detalles movimientos'!H$5:H$1000, MATCH(74, 'Detalles movimientos'!$S$5:$S$1000, 0)), "")</f>
        <v/>
      </c>
      <c r="H83" s="22" t="str">
        <f>IFERROR(INDEX('Detalles movimientos'!I$5:I$1000, MATCH(74, 'Detalles movimientos'!$S$5:$S$1000, 0)), "")</f>
        <v/>
      </c>
      <c r="I83" s="21" t="str">
        <f>IFERROR(INDEX('Detalles movimientos'!J$5:J$1000, MATCH(74, 'Detalles movimientos'!$S$5:$S$1000, 0)), "")</f>
        <v/>
      </c>
      <c r="J83" s="20" t="str">
        <f>IFERROR(INDEX('Detalles movimientos'!K$5:K$1000, MATCH(74, 'Detalles movimientos'!$S$5:$S$1000, 0)), "")</f>
        <v/>
      </c>
      <c r="K83" s="21" t="str">
        <f>IFERROR(INDEX('Detalles movimientos'!L$5:L$1000, MATCH(74, 'Detalles movimientos'!$S$5:$S$1000, 0)), "")</f>
        <v/>
      </c>
      <c r="L83" s="19" t="str">
        <f>IFERROR(INDEX('Detalles movimientos'!M$5:M$1000, MATCH(74, 'Detalles movimientos'!$S$5:$S$1000, 0)), "")</f>
        <v/>
      </c>
      <c r="M83" s="19" t="str">
        <f>IFERROR(INDEX('Detalles movimientos'!P$5:P$1000, MATCH(74, 'Detalles movimientos'!$S$5:$S$1000, 0)), "")</f>
        <v/>
      </c>
    </row>
    <row r="84" spans="2:13" x14ac:dyDescent="0.2">
      <c r="B84" s="18" t="str">
        <f>IFERROR(INDEX('Detalles movimientos'!C$5:C$1000, MATCH(75, 'Detalles movimientos'!$S$5:$S$1000, 0)), "")</f>
        <v/>
      </c>
      <c r="C84" s="19" t="str">
        <f>IFERROR(INDEX('Detalles movimientos'!D$5:D$1000, MATCH(75, 'Detalles movimientos'!$S$5:$S$1000, 0)), "")</f>
        <v/>
      </c>
      <c r="D84" s="20" t="str">
        <f>IFERROR(INDEX('Detalles movimientos'!E$5:E$1000, MATCH(75, 'Detalles movimientos'!$S$5:$S$1000, 0)), "")</f>
        <v/>
      </c>
      <c r="E84" s="20" t="str">
        <f>IFERROR(INDEX('Detalles movimientos'!F$5:F$1000, MATCH(75, 'Detalles movimientos'!$S$5:$S$1000, 0)), "")</f>
        <v/>
      </c>
      <c r="F84" s="19" t="str">
        <f>IFERROR(INDEX('Detalles movimientos'!G$5:G$1000, MATCH(75, 'Detalles movimientos'!$S$5:$S$1000, 0)), "")</f>
        <v/>
      </c>
      <c r="G84" s="21" t="str">
        <f>IFERROR(INDEX('Detalles movimientos'!H$5:H$1000, MATCH(75, 'Detalles movimientos'!$S$5:$S$1000, 0)), "")</f>
        <v/>
      </c>
      <c r="H84" s="22" t="str">
        <f>IFERROR(INDEX('Detalles movimientos'!I$5:I$1000, MATCH(75, 'Detalles movimientos'!$S$5:$S$1000, 0)), "")</f>
        <v/>
      </c>
      <c r="I84" s="21" t="str">
        <f>IFERROR(INDEX('Detalles movimientos'!J$5:J$1000, MATCH(75, 'Detalles movimientos'!$S$5:$S$1000, 0)), "")</f>
        <v/>
      </c>
      <c r="J84" s="20" t="str">
        <f>IFERROR(INDEX('Detalles movimientos'!K$5:K$1000, MATCH(75, 'Detalles movimientos'!$S$5:$S$1000, 0)), "")</f>
        <v/>
      </c>
      <c r="K84" s="21" t="str">
        <f>IFERROR(INDEX('Detalles movimientos'!L$5:L$1000, MATCH(75, 'Detalles movimientos'!$S$5:$S$1000, 0)), "")</f>
        <v/>
      </c>
      <c r="L84" s="19" t="str">
        <f>IFERROR(INDEX('Detalles movimientos'!M$5:M$1000, MATCH(75, 'Detalles movimientos'!$S$5:$S$1000, 0)), "")</f>
        <v/>
      </c>
      <c r="M84" s="19" t="str">
        <f>IFERROR(INDEX('Detalles movimientos'!P$5:P$1000, MATCH(75, 'Detalles movimientos'!$S$5:$S$1000, 0)), "")</f>
        <v/>
      </c>
    </row>
    <row r="85" spans="2:13" x14ac:dyDescent="0.2">
      <c r="B85" s="18" t="str">
        <f>IFERROR(INDEX('Detalles movimientos'!C$5:C$1000, MATCH(76, 'Detalles movimientos'!$S$5:$S$1000, 0)), "")</f>
        <v/>
      </c>
      <c r="C85" s="19" t="str">
        <f>IFERROR(INDEX('Detalles movimientos'!D$5:D$1000, MATCH(76, 'Detalles movimientos'!$S$5:$S$1000, 0)), "")</f>
        <v/>
      </c>
      <c r="D85" s="20" t="str">
        <f>IFERROR(INDEX('Detalles movimientos'!E$5:E$1000, MATCH(76, 'Detalles movimientos'!$S$5:$S$1000, 0)), "")</f>
        <v/>
      </c>
      <c r="E85" s="20" t="str">
        <f>IFERROR(INDEX('Detalles movimientos'!F$5:F$1000, MATCH(76, 'Detalles movimientos'!$S$5:$S$1000, 0)), "")</f>
        <v/>
      </c>
      <c r="F85" s="19" t="str">
        <f>IFERROR(INDEX('Detalles movimientos'!G$5:G$1000, MATCH(76, 'Detalles movimientos'!$S$5:$S$1000, 0)), "")</f>
        <v/>
      </c>
      <c r="G85" s="21" t="str">
        <f>IFERROR(INDEX('Detalles movimientos'!H$5:H$1000, MATCH(76, 'Detalles movimientos'!$S$5:$S$1000, 0)), "")</f>
        <v/>
      </c>
      <c r="H85" s="22" t="str">
        <f>IFERROR(INDEX('Detalles movimientos'!I$5:I$1000, MATCH(76, 'Detalles movimientos'!$S$5:$S$1000, 0)), "")</f>
        <v/>
      </c>
      <c r="I85" s="21" t="str">
        <f>IFERROR(INDEX('Detalles movimientos'!J$5:J$1000, MATCH(76, 'Detalles movimientos'!$S$5:$S$1000, 0)), "")</f>
        <v/>
      </c>
      <c r="J85" s="20" t="str">
        <f>IFERROR(INDEX('Detalles movimientos'!K$5:K$1000, MATCH(76, 'Detalles movimientos'!$S$5:$S$1000, 0)), "")</f>
        <v/>
      </c>
      <c r="K85" s="21" t="str">
        <f>IFERROR(INDEX('Detalles movimientos'!L$5:L$1000, MATCH(76, 'Detalles movimientos'!$S$5:$S$1000, 0)), "")</f>
        <v/>
      </c>
      <c r="L85" s="19" t="str">
        <f>IFERROR(INDEX('Detalles movimientos'!M$5:M$1000, MATCH(76, 'Detalles movimientos'!$S$5:$S$1000, 0)), "")</f>
        <v/>
      </c>
      <c r="M85" s="19" t="str">
        <f>IFERROR(INDEX('Detalles movimientos'!P$5:P$1000, MATCH(76, 'Detalles movimientos'!$S$5:$S$1000, 0)), "")</f>
        <v/>
      </c>
    </row>
    <row r="86" spans="2:13" x14ac:dyDescent="0.2">
      <c r="B86" s="18" t="str">
        <f>IFERROR(INDEX('Detalles movimientos'!C$5:C$1000, MATCH(77, 'Detalles movimientos'!$S$5:$S$1000, 0)), "")</f>
        <v/>
      </c>
      <c r="C86" s="19" t="str">
        <f>IFERROR(INDEX('Detalles movimientos'!D$5:D$1000, MATCH(77, 'Detalles movimientos'!$S$5:$S$1000, 0)), "")</f>
        <v/>
      </c>
      <c r="D86" s="20" t="str">
        <f>IFERROR(INDEX('Detalles movimientos'!E$5:E$1000, MATCH(77, 'Detalles movimientos'!$S$5:$S$1000, 0)), "")</f>
        <v/>
      </c>
      <c r="E86" s="20" t="str">
        <f>IFERROR(INDEX('Detalles movimientos'!F$5:F$1000, MATCH(77, 'Detalles movimientos'!$S$5:$S$1000, 0)), "")</f>
        <v/>
      </c>
      <c r="F86" s="19" t="str">
        <f>IFERROR(INDEX('Detalles movimientos'!G$5:G$1000, MATCH(77, 'Detalles movimientos'!$S$5:$S$1000, 0)), "")</f>
        <v/>
      </c>
      <c r="G86" s="21" t="str">
        <f>IFERROR(INDEX('Detalles movimientos'!H$5:H$1000, MATCH(77, 'Detalles movimientos'!$S$5:$S$1000, 0)), "")</f>
        <v/>
      </c>
      <c r="H86" s="22" t="str">
        <f>IFERROR(INDEX('Detalles movimientos'!I$5:I$1000, MATCH(77, 'Detalles movimientos'!$S$5:$S$1000, 0)), "")</f>
        <v/>
      </c>
      <c r="I86" s="21" t="str">
        <f>IFERROR(INDEX('Detalles movimientos'!J$5:J$1000, MATCH(77, 'Detalles movimientos'!$S$5:$S$1000, 0)), "")</f>
        <v/>
      </c>
      <c r="J86" s="20" t="str">
        <f>IFERROR(INDEX('Detalles movimientos'!K$5:K$1000, MATCH(77, 'Detalles movimientos'!$S$5:$S$1000, 0)), "")</f>
        <v/>
      </c>
      <c r="K86" s="21" t="str">
        <f>IFERROR(INDEX('Detalles movimientos'!L$5:L$1000, MATCH(77, 'Detalles movimientos'!$S$5:$S$1000, 0)), "")</f>
        <v/>
      </c>
      <c r="L86" s="19" t="str">
        <f>IFERROR(INDEX('Detalles movimientos'!M$5:M$1000, MATCH(77, 'Detalles movimientos'!$S$5:$S$1000, 0)), "")</f>
        <v/>
      </c>
      <c r="M86" s="19" t="str">
        <f>IFERROR(INDEX('Detalles movimientos'!P$5:P$1000, MATCH(77, 'Detalles movimientos'!$S$5:$S$1000, 0)), "")</f>
        <v/>
      </c>
    </row>
    <row r="87" spans="2:13" x14ac:dyDescent="0.2">
      <c r="B87" s="18" t="str">
        <f>IFERROR(INDEX('Detalles movimientos'!C$5:C$1000, MATCH(78, 'Detalles movimientos'!$S$5:$S$1000, 0)), "")</f>
        <v/>
      </c>
      <c r="C87" s="19" t="str">
        <f>IFERROR(INDEX('Detalles movimientos'!D$5:D$1000, MATCH(78, 'Detalles movimientos'!$S$5:$S$1000, 0)), "")</f>
        <v/>
      </c>
      <c r="D87" s="20" t="str">
        <f>IFERROR(INDEX('Detalles movimientos'!E$5:E$1000, MATCH(78, 'Detalles movimientos'!$S$5:$S$1000, 0)), "")</f>
        <v/>
      </c>
      <c r="E87" s="20" t="str">
        <f>IFERROR(INDEX('Detalles movimientos'!F$5:F$1000, MATCH(78, 'Detalles movimientos'!$S$5:$S$1000, 0)), "")</f>
        <v/>
      </c>
      <c r="F87" s="19" t="str">
        <f>IFERROR(INDEX('Detalles movimientos'!G$5:G$1000, MATCH(78, 'Detalles movimientos'!$S$5:$S$1000, 0)), "")</f>
        <v/>
      </c>
      <c r="G87" s="21" t="str">
        <f>IFERROR(INDEX('Detalles movimientos'!H$5:H$1000, MATCH(78, 'Detalles movimientos'!$S$5:$S$1000, 0)), "")</f>
        <v/>
      </c>
      <c r="H87" s="22" t="str">
        <f>IFERROR(INDEX('Detalles movimientos'!I$5:I$1000, MATCH(78, 'Detalles movimientos'!$S$5:$S$1000, 0)), "")</f>
        <v/>
      </c>
      <c r="I87" s="21" t="str">
        <f>IFERROR(INDEX('Detalles movimientos'!J$5:J$1000, MATCH(78, 'Detalles movimientos'!$S$5:$S$1000, 0)), "")</f>
        <v/>
      </c>
      <c r="J87" s="20" t="str">
        <f>IFERROR(INDEX('Detalles movimientos'!K$5:K$1000, MATCH(78, 'Detalles movimientos'!$S$5:$S$1000, 0)), "")</f>
        <v/>
      </c>
      <c r="K87" s="21" t="str">
        <f>IFERROR(INDEX('Detalles movimientos'!L$5:L$1000, MATCH(78, 'Detalles movimientos'!$S$5:$S$1000, 0)), "")</f>
        <v/>
      </c>
      <c r="L87" s="19" t="str">
        <f>IFERROR(INDEX('Detalles movimientos'!M$5:M$1000, MATCH(78, 'Detalles movimientos'!$S$5:$S$1000, 0)), "")</f>
        <v/>
      </c>
      <c r="M87" s="19" t="str">
        <f>IFERROR(INDEX('Detalles movimientos'!P$5:P$1000, MATCH(78, 'Detalles movimientos'!$S$5:$S$1000, 0)), "")</f>
        <v/>
      </c>
    </row>
    <row r="88" spans="2:13" x14ac:dyDescent="0.2">
      <c r="B88" s="18" t="str">
        <f>IFERROR(INDEX('Detalles movimientos'!C$5:C$1000, MATCH(79, 'Detalles movimientos'!$S$5:$S$1000, 0)), "")</f>
        <v/>
      </c>
      <c r="C88" s="19" t="str">
        <f>IFERROR(INDEX('Detalles movimientos'!D$5:D$1000, MATCH(79, 'Detalles movimientos'!$S$5:$S$1000, 0)), "")</f>
        <v/>
      </c>
      <c r="D88" s="20" t="str">
        <f>IFERROR(INDEX('Detalles movimientos'!E$5:E$1000, MATCH(79, 'Detalles movimientos'!$S$5:$S$1000, 0)), "")</f>
        <v/>
      </c>
      <c r="E88" s="20" t="str">
        <f>IFERROR(INDEX('Detalles movimientos'!F$5:F$1000, MATCH(79, 'Detalles movimientos'!$S$5:$S$1000, 0)), "")</f>
        <v/>
      </c>
      <c r="F88" s="19" t="str">
        <f>IFERROR(INDEX('Detalles movimientos'!G$5:G$1000, MATCH(79, 'Detalles movimientos'!$S$5:$S$1000, 0)), "")</f>
        <v/>
      </c>
      <c r="G88" s="21" t="str">
        <f>IFERROR(INDEX('Detalles movimientos'!H$5:H$1000, MATCH(79, 'Detalles movimientos'!$S$5:$S$1000, 0)), "")</f>
        <v/>
      </c>
      <c r="H88" s="22" t="str">
        <f>IFERROR(INDEX('Detalles movimientos'!I$5:I$1000, MATCH(79, 'Detalles movimientos'!$S$5:$S$1000, 0)), "")</f>
        <v/>
      </c>
      <c r="I88" s="21" t="str">
        <f>IFERROR(INDEX('Detalles movimientos'!J$5:J$1000, MATCH(79, 'Detalles movimientos'!$S$5:$S$1000, 0)), "")</f>
        <v/>
      </c>
      <c r="J88" s="20" t="str">
        <f>IFERROR(INDEX('Detalles movimientos'!K$5:K$1000, MATCH(79, 'Detalles movimientos'!$S$5:$S$1000, 0)), "")</f>
        <v/>
      </c>
      <c r="K88" s="21" t="str">
        <f>IFERROR(INDEX('Detalles movimientos'!L$5:L$1000, MATCH(79, 'Detalles movimientos'!$S$5:$S$1000, 0)), "")</f>
        <v/>
      </c>
      <c r="L88" s="19" t="str">
        <f>IFERROR(INDEX('Detalles movimientos'!M$5:M$1000, MATCH(79, 'Detalles movimientos'!$S$5:$S$1000, 0)), "")</f>
        <v/>
      </c>
      <c r="M88" s="19" t="str">
        <f>IFERROR(INDEX('Detalles movimientos'!P$5:P$1000, MATCH(79, 'Detalles movimientos'!$S$5:$S$1000, 0)), "")</f>
        <v/>
      </c>
    </row>
    <row r="89" spans="2:13" x14ac:dyDescent="0.2">
      <c r="B89" s="18" t="str">
        <f>IFERROR(INDEX('Detalles movimientos'!C$5:C$1000, MATCH(80, 'Detalles movimientos'!$S$5:$S$1000, 0)), "")</f>
        <v/>
      </c>
      <c r="C89" s="19" t="str">
        <f>IFERROR(INDEX('Detalles movimientos'!D$5:D$1000, MATCH(80, 'Detalles movimientos'!$S$5:$S$1000, 0)), "")</f>
        <v/>
      </c>
      <c r="D89" s="20" t="str">
        <f>IFERROR(INDEX('Detalles movimientos'!E$5:E$1000, MATCH(80, 'Detalles movimientos'!$S$5:$S$1000, 0)), "")</f>
        <v/>
      </c>
      <c r="E89" s="20" t="str">
        <f>IFERROR(INDEX('Detalles movimientos'!F$5:F$1000, MATCH(80, 'Detalles movimientos'!$S$5:$S$1000, 0)), "")</f>
        <v/>
      </c>
      <c r="F89" s="19" t="str">
        <f>IFERROR(INDEX('Detalles movimientos'!G$5:G$1000, MATCH(80, 'Detalles movimientos'!$S$5:$S$1000, 0)), "")</f>
        <v/>
      </c>
      <c r="G89" s="21" t="str">
        <f>IFERROR(INDEX('Detalles movimientos'!H$5:H$1000, MATCH(80, 'Detalles movimientos'!$S$5:$S$1000, 0)), "")</f>
        <v/>
      </c>
      <c r="H89" s="22" t="str">
        <f>IFERROR(INDEX('Detalles movimientos'!I$5:I$1000, MATCH(80, 'Detalles movimientos'!$S$5:$S$1000, 0)), "")</f>
        <v/>
      </c>
      <c r="I89" s="21" t="str">
        <f>IFERROR(INDEX('Detalles movimientos'!J$5:J$1000, MATCH(80, 'Detalles movimientos'!$S$5:$S$1000, 0)), "")</f>
        <v/>
      </c>
      <c r="J89" s="20" t="str">
        <f>IFERROR(INDEX('Detalles movimientos'!K$5:K$1000, MATCH(80, 'Detalles movimientos'!$S$5:$S$1000, 0)), "")</f>
        <v/>
      </c>
      <c r="K89" s="21" t="str">
        <f>IFERROR(INDEX('Detalles movimientos'!L$5:L$1000, MATCH(80, 'Detalles movimientos'!$S$5:$S$1000, 0)), "")</f>
        <v/>
      </c>
      <c r="L89" s="19" t="str">
        <f>IFERROR(INDEX('Detalles movimientos'!M$5:M$1000, MATCH(80, 'Detalles movimientos'!$S$5:$S$1000, 0)), "")</f>
        <v/>
      </c>
      <c r="M89" s="19" t="str">
        <f>IFERROR(INDEX('Detalles movimientos'!P$5:P$1000, MATCH(80, 'Detalles movimientos'!$S$5:$S$1000, 0)), "")</f>
        <v/>
      </c>
    </row>
    <row r="90" spans="2:13" x14ac:dyDescent="0.2">
      <c r="B90" s="18" t="str">
        <f>IFERROR(INDEX('Detalles movimientos'!C$5:C$1000, MATCH(81, 'Detalles movimientos'!$S$5:$S$1000, 0)), "")</f>
        <v/>
      </c>
      <c r="C90" s="19" t="str">
        <f>IFERROR(INDEX('Detalles movimientos'!D$5:D$1000, MATCH(81, 'Detalles movimientos'!$S$5:$S$1000, 0)), "")</f>
        <v/>
      </c>
      <c r="D90" s="20" t="str">
        <f>IFERROR(INDEX('Detalles movimientos'!E$5:E$1000, MATCH(81, 'Detalles movimientos'!$S$5:$S$1000, 0)), "")</f>
        <v/>
      </c>
      <c r="E90" s="20" t="str">
        <f>IFERROR(INDEX('Detalles movimientos'!F$5:F$1000, MATCH(81, 'Detalles movimientos'!$S$5:$S$1000, 0)), "")</f>
        <v/>
      </c>
      <c r="F90" s="19" t="str">
        <f>IFERROR(INDEX('Detalles movimientos'!G$5:G$1000, MATCH(81, 'Detalles movimientos'!$S$5:$S$1000, 0)), "")</f>
        <v/>
      </c>
      <c r="G90" s="21" t="str">
        <f>IFERROR(INDEX('Detalles movimientos'!H$5:H$1000, MATCH(81, 'Detalles movimientos'!$S$5:$S$1000, 0)), "")</f>
        <v/>
      </c>
      <c r="H90" s="22" t="str">
        <f>IFERROR(INDEX('Detalles movimientos'!I$5:I$1000, MATCH(81, 'Detalles movimientos'!$S$5:$S$1000, 0)), "")</f>
        <v/>
      </c>
      <c r="I90" s="21" t="str">
        <f>IFERROR(INDEX('Detalles movimientos'!J$5:J$1000, MATCH(81, 'Detalles movimientos'!$S$5:$S$1000, 0)), "")</f>
        <v/>
      </c>
      <c r="J90" s="20" t="str">
        <f>IFERROR(INDEX('Detalles movimientos'!K$5:K$1000, MATCH(81, 'Detalles movimientos'!$S$5:$S$1000, 0)), "")</f>
        <v/>
      </c>
      <c r="K90" s="21" t="str">
        <f>IFERROR(INDEX('Detalles movimientos'!L$5:L$1000, MATCH(81, 'Detalles movimientos'!$S$5:$S$1000, 0)), "")</f>
        <v/>
      </c>
      <c r="L90" s="19" t="str">
        <f>IFERROR(INDEX('Detalles movimientos'!M$5:M$1000, MATCH(81, 'Detalles movimientos'!$S$5:$S$1000, 0)), "")</f>
        <v/>
      </c>
      <c r="M90" s="19" t="str">
        <f>IFERROR(INDEX('Detalles movimientos'!P$5:P$1000, MATCH(81, 'Detalles movimientos'!$S$5:$S$1000, 0)), "")</f>
        <v/>
      </c>
    </row>
    <row r="91" spans="2:13" x14ac:dyDescent="0.2">
      <c r="B91" s="18" t="str">
        <f>IFERROR(INDEX('Detalles movimientos'!C$5:C$1000, MATCH(82, 'Detalles movimientos'!$S$5:$S$1000, 0)), "")</f>
        <v/>
      </c>
      <c r="C91" s="19" t="str">
        <f>IFERROR(INDEX('Detalles movimientos'!D$5:D$1000, MATCH(82, 'Detalles movimientos'!$S$5:$S$1000, 0)), "")</f>
        <v/>
      </c>
      <c r="D91" s="20" t="str">
        <f>IFERROR(INDEX('Detalles movimientos'!E$5:E$1000, MATCH(82, 'Detalles movimientos'!$S$5:$S$1000, 0)), "")</f>
        <v/>
      </c>
      <c r="E91" s="20" t="str">
        <f>IFERROR(INDEX('Detalles movimientos'!F$5:F$1000, MATCH(82, 'Detalles movimientos'!$S$5:$S$1000, 0)), "")</f>
        <v/>
      </c>
      <c r="F91" s="19" t="str">
        <f>IFERROR(INDEX('Detalles movimientos'!G$5:G$1000, MATCH(82, 'Detalles movimientos'!$S$5:$S$1000, 0)), "")</f>
        <v/>
      </c>
      <c r="G91" s="21" t="str">
        <f>IFERROR(INDEX('Detalles movimientos'!H$5:H$1000, MATCH(82, 'Detalles movimientos'!$S$5:$S$1000, 0)), "")</f>
        <v/>
      </c>
      <c r="H91" s="22" t="str">
        <f>IFERROR(INDEX('Detalles movimientos'!I$5:I$1000, MATCH(82, 'Detalles movimientos'!$S$5:$S$1000, 0)), "")</f>
        <v/>
      </c>
      <c r="I91" s="21" t="str">
        <f>IFERROR(INDEX('Detalles movimientos'!J$5:J$1000, MATCH(82, 'Detalles movimientos'!$S$5:$S$1000, 0)), "")</f>
        <v/>
      </c>
      <c r="J91" s="20" t="str">
        <f>IFERROR(INDEX('Detalles movimientos'!K$5:K$1000, MATCH(82, 'Detalles movimientos'!$S$5:$S$1000, 0)), "")</f>
        <v/>
      </c>
      <c r="K91" s="21" t="str">
        <f>IFERROR(INDEX('Detalles movimientos'!L$5:L$1000, MATCH(82, 'Detalles movimientos'!$S$5:$S$1000, 0)), "")</f>
        <v/>
      </c>
      <c r="L91" s="19" t="str">
        <f>IFERROR(INDEX('Detalles movimientos'!M$5:M$1000, MATCH(82, 'Detalles movimientos'!$S$5:$S$1000, 0)), "")</f>
        <v/>
      </c>
      <c r="M91" s="19" t="str">
        <f>IFERROR(INDEX('Detalles movimientos'!P$5:P$1000, MATCH(82, 'Detalles movimientos'!$S$5:$S$1000, 0)), "")</f>
        <v/>
      </c>
    </row>
    <row r="92" spans="2:13" x14ac:dyDescent="0.2">
      <c r="B92" s="18" t="str">
        <f>IFERROR(INDEX('Detalles movimientos'!C$5:C$1000, MATCH(83, 'Detalles movimientos'!$S$5:$S$1000, 0)), "")</f>
        <v/>
      </c>
      <c r="C92" s="19" t="str">
        <f>IFERROR(INDEX('Detalles movimientos'!D$5:D$1000, MATCH(83, 'Detalles movimientos'!$S$5:$S$1000, 0)), "")</f>
        <v/>
      </c>
      <c r="D92" s="20" t="str">
        <f>IFERROR(INDEX('Detalles movimientos'!E$5:E$1000, MATCH(83, 'Detalles movimientos'!$S$5:$S$1000, 0)), "")</f>
        <v/>
      </c>
      <c r="E92" s="20" t="str">
        <f>IFERROR(INDEX('Detalles movimientos'!F$5:F$1000, MATCH(83, 'Detalles movimientos'!$S$5:$S$1000, 0)), "")</f>
        <v/>
      </c>
      <c r="F92" s="19" t="str">
        <f>IFERROR(INDEX('Detalles movimientos'!G$5:G$1000, MATCH(83, 'Detalles movimientos'!$S$5:$S$1000, 0)), "")</f>
        <v/>
      </c>
      <c r="G92" s="21" t="str">
        <f>IFERROR(INDEX('Detalles movimientos'!H$5:H$1000, MATCH(83, 'Detalles movimientos'!$S$5:$S$1000, 0)), "")</f>
        <v/>
      </c>
      <c r="H92" s="22" t="str">
        <f>IFERROR(INDEX('Detalles movimientos'!I$5:I$1000, MATCH(83, 'Detalles movimientos'!$S$5:$S$1000, 0)), "")</f>
        <v/>
      </c>
      <c r="I92" s="21" t="str">
        <f>IFERROR(INDEX('Detalles movimientos'!J$5:J$1000, MATCH(83, 'Detalles movimientos'!$S$5:$S$1000, 0)), "")</f>
        <v/>
      </c>
      <c r="J92" s="20" t="str">
        <f>IFERROR(INDEX('Detalles movimientos'!K$5:K$1000, MATCH(83, 'Detalles movimientos'!$S$5:$S$1000, 0)), "")</f>
        <v/>
      </c>
      <c r="K92" s="21" t="str">
        <f>IFERROR(INDEX('Detalles movimientos'!L$5:L$1000, MATCH(83, 'Detalles movimientos'!$S$5:$S$1000, 0)), "")</f>
        <v/>
      </c>
      <c r="L92" s="19" t="str">
        <f>IFERROR(INDEX('Detalles movimientos'!M$5:M$1000, MATCH(83, 'Detalles movimientos'!$S$5:$S$1000, 0)), "")</f>
        <v/>
      </c>
      <c r="M92" s="19" t="str">
        <f>IFERROR(INDEX('Detalles movimientos'!P$5:P$1000, MATCH(83, 'Detalles movimientos'!$S$5:$S$1000, 0)), "")</f>
        <v/>
      </c>
    </row>
    <row r="93" spans="2:13" x14ac:dyDescent="0.2">
      <c r="B93" s="18" t="str">
        <f>IFERROR(INDEX('Detalles movimientos'!C$5:C$1000, MATCH(84, 'Detalles movimientos'!$S$5:$S$1000, 0)), "")</f>
        <v/>
      </c>
      <c r="C93" s="19" t="str">
        <f>IFERROR(INDEX('Detalles movimientos'!D$5:D$1000, MATCH(84, 'Detalles movimientos'!$S$5:$S$1000, 0)), "")</f>
        <v/>
      </c>
      <c r="D93" s="20" t="str">
        <f>IFERROR(INDEX('Detalles movimientos'!E$5:E$1000, MATCH(84, 'Detalles movimientos'!$S$5:$S$1000, 0)), "")</f>
        <v/>
      </c>
      <c r="E93" s="20" t="str">
        <f>IFERROR(INDEX('Detalles movimientos'!F$5:F$1000, MATCH(84, 'Detalles movimientos'!$S$5:$S$1000, 0)), "")</f>
        <v/>
      </c>
      <c r="F93" s="19" t="str">
        <f>IFERROR(INDEX('Detalles movimientos'!G$5:G$1000, MATCH(84, 'Detalles movimientos'!$S$5:$S$1000, 0)), "")</f>
        <v/>
      </c>
      <c r="G93" s="21" t="str">
        <f>IFERROR(INDEX('Detalles movimientos'!H$5:H$1000, MATCH(84, 'Detalles movimientos'!$S$5:$S$1000, 0)), "")</f>
        <v/>
      </c>
      <c r="H93" s="22" t="str">
        <f>IFERROR(INDEX('Detalles movimientos'!I$5:I$1000, MATCH(84, 'Detalles movimientos'!$S$5:$S$1000, 0)), "")</f>
        <v/>
      </c>
      <c r="I93" s="21" t="str">
        <f>IFERROR(INDEX('Detalles movimientos'!J$5:J$1000, MATCH(84, 'Detalles movimientos'!$S$5:$S$1000, 0)), "")</f>
        <v/>
      </c>
      <c r="J93" s="20" t="str">
        <f>IFERROR(INDEX('Detalles movimientos'!K$5:K$1000, MATCH(84, 'Detalles movimientos'!$S$5:$S$1000, 0)), "")</f>
        <v/>
      </c>
      <c r="K93" s="21" t="str">
        <f>IFERROR(INDEX('Detalles movimientos'!L$5:L$1000, MATCH(84, 'Detalles movimientos'!$S$5:$S$1000, 0)), "")</f>
        <v/>
      </c>
      <c r="L93" s="19" t="str">
        <f>IFERROR(INDEX('Detalles movimientos'!M$5:M$1000, MATCH(84, 'Detalles movimientos'!$S$5:$S$1000, 0)), "")</f>
        <v/>
      </c>
      <c r="M93" s="19" t="str">
        <f>IFERROR(INDEX('Detalles movimientos'!P$5:P$1000, MATCH(84, 'Detalles movimientos'!$S$5:$S$1000, 0)), "")</f>
        <v/>
      </c>
    </row>
    <row r="94" spans="2:13" x14ac:dyDescent="0.2">
      <c r="B94" s="18" t="str">
        <f>IFERROR(INDEX('Detalles movimientos'!C$5:C$1000, MATCH(85, 'Detalles movimientos'!$S$5:$S$1000, 0)), "")</f>
        <v/>
      </c>
      <c r="C94" s="19" t="str">
        <f>IFERROR(INDEX('Detalles movimientos'!D$5:D$1000, MATCH(85, 'Detalles movimientos'!$S$5:$S$1000, 0)), "")</f>
        <v/>
      </c>
      <c r="D94" s="20" t="str">
        <f>IFERROR(INDEX('Detalles movimientos'!E$5:E$1000, MATCH(85, 'Detalles movimientos'!$S$5:$S$1000, 0)), "")</f>
        <v/>
      </c>
      <c r="E94" s="20" t="str">
        <f>IFERROR(INDEX('Detalles movimientos'!F$5:F$1000, MATCH(85, 'Detalles movimientos'!$S$5:$S$1000, 0)), "")</f>
        <v/>
      </c>
      <c r="F94" s="19" t="str">
        <f>IFERROR(INDEX('Detalles movimientos'!G$5:G$1000, MATCH(85, 'Detalles movimientos'!$S$5:$S$1000, 0)), "")</f>
        <v/>
      </c>
      <c r="G94" s="21" t="str">
        <f>IFERROR(INDEX('Detalles movimientos'!H$5:H$1000, MATCH(85, 'Detalles movimientos'!$S$5:$S$1000, 0)), "")</f>
        <v/>
      </c>
      <c r="H94" s="22" t="str">
        <f>IFERROR(INDEX('Detalles movimientos'!I$5:I$1000, MATCH(85, 'Detalles movimientos'!$S$5:$S$1000, 0)), "")</f>
        <v/>
      </c>
      <c r="I94" s="21" t="str">
        <f>IFERROR(INDEX('Detalles movimientos'!J$5:J$1000, MATCH(85, 'Detalles movimientos'!$S$5:$S$1000, 0)), "")</f>
        <v/>
      </c>
      <c r="J94" s="20" t="str">
        <f>IFERROR(INDEX('Detalles movimientos'!K$5:K$1000, MATCH(85, 'Detalles movimientos'!$S$5:$S$1000, 0)), "")</f>
        <v/>
      </c>
      <c r="K94" s="21" t="str">
        <f>IFERROR(INDEX('Detalles movimientos'!L$5:L$1000, MATCH(85, 'Detalles movimientos'!$S$5:$S$1000, 0)), "")</f>
        <v/>
      </c>
      <c r="L94" s="19" t="str">
        <f>IFERROR(INDEX('Detalles movimientos'!M$5:M$1000, MATCH(85, 'Detalles movimientos'!$S$5:$S$1000, 0)), "")</f>
        <v/>
      </c>
      <c r="M94" s="19" t="str">
        <f>IFERROR(INDEX('Detalles movimientos'!P$5:P$1000, MATCH(85, 'Detalles movimientos'!$S$5:$S$1000, 0)), "")</f>
        <v/>
      </c>
    </row>
    <row r="95" spans="2:13" x14ac:dyDescent="0.2">
      <c r="B95" s="18" t="str">
        <f>IFERROR(INDEX('Detalles movimientos'!C$5:C$1000, MATCH(86, 'Detalles movimientos'!$S$5:$S$1000, 0)), "")</f>
        <v/>
      </c>
      <c r="C95" s="19" t="str">
        <f>IFERROR(INDEX('Detalles movimientos'!D$5:D$1000, MATCH(86, 'Detalles movimientos'!$S$5:$S$1000, 0)), "")</f>
        <v/>
      </c>
      <c r="D95" s="20" t="str">
        <f>IFERROR(INDEX('Detalles movimientos'!E$5:E$1000, MATCH(86, 'Detalles movimientos'!$S$5:$S$1000, 0)), "")</f>
        <v/>
      </c>
      <c r="E95" s="20" t="str">
        <f>IFERROR(INDEX('Detalles movimientos'!F$5:F$1000, MATCH(86, 'Detalles movimientos'!$S$5:$S$1000, 0)), "")</f>
        <v/>
      </c>
      <c r="F95" s="19" t="str">
        <f>IFERROR(INDEX('Detalles movimientos'!G$5:G$1000, MATCH(86, 'Detalles movimientos'!$S$5:$S$1000, 0)), "")</f>
        <v/>
      </c>
      <c r="G95" s="21" t="str">
        <f>IFERROR(INDEX('Detalles movimientos'!H$5:H$1000, MATCH(86, 'Detalles movimientos'!$S$5:$S$1000, 0)), "")</f>
        <v/>
      </c>
      <c r="H95" s="22" t="str">
        <f>IFERROR(INDEX('Detalles movimientos'!I$5:I$1000, MATCH(86, 'Detalles movimientos'!$S$5:$S$1000, 0)), "")</f>
        <v/>
      </c>
      <c r="I95" s="21" t="str">
        <f>IFERROR(INDEX('Detalles movimientos'!J$5:J$1000, MATCH(86, 'Detalles movimientos'!$S$5:$S$1000, 0)), "")</f>
        <v/>
      </c>
      <c r="J95" s="20" t="str">
        <f>IFERROR(INDEX('Detalles movimientos'!K$5:K$1000, MATCH(86, 'Detalles movimientos'!$S$5:$S$1000, 0)), "")</f>
        <v/>
      </c>
      <c r="K95" s="21" t="str">
        <f>IFERROR(INDEX('Detalles movimientos'!L$5:L$1000, MATCH(86, 'Detalles movimientos'!$S$5:$S$1000, 0)), "")</f>
        <v/>
      </c>
      <c r="L95" s="19" t="str">
        <f>IFERROR(INDEX('Detalles movimientos'!M$5:M$1000, MATCH(86, 'Detalles movimientos'!$S$5:$S$1000, 0)), "")</f>
        <v/>
      </c>
      <c r="M95" s="19" t="str">
        <f>IFERROR(INDEX('Detalles movimientos'!P$5:P$1000, MATCH(86, 'Detalles movimientos'!$S$5:$S$1000, 0)), "")</f>
        <v/>
      </c>
    </row>
    <row r="96" spans="2:13" x14ac:dyDescent="0.2">
      <c r="B96" s="18" t="str">
        <f>IFERROR(INDEX('Detalles movimientos'!C$5:C$1000, MATCH(87, 'Detalles movimientos'!$S$5:$S$1000, 0)), "")</f>
        <v/>
      </c>
      <c r="C96" s="19" t="str">
        <f>IFERROR(INDEX('Detalles movimientos'!D$5:D$1000, MATCH(87, 'Detalles movimientos'!$S$5:$S$1000, 0)), "")</f>
        <v/>
      </c>
      <c r="D96" s="20" t="str">
        <f>IFERROR(INDEX('Detalles movimientos'!E$5:E$1000, MATCH(87, 'Detalles movimientos'!$S$5:$S$1000, 0)), "")</f>
        <v/>
      </c>
      <c r="E96" s="20" t="str">
        <f>IFERROR(INDEX('Detalles movimientos'!F$5:F$1000, MATCH(87, 'Detalles movimientos'!$S$5:$S$1000, 0)), "")</f>
        <v/>
      </c>
      <c r="F96" s="19" t="str">
        <f>IFERROR(INDEX('Detalles movimientos'!G$5:G$1000, MATCH(87, 'Detalles movimientos'!$S$5:$S$1000, 0)), "")</f>
        <v/>
      </c>
      <c r="G96" s="21" t="str">
        <f>IFERROR(INDEX('Detalles movimientos'!H$5:H$1000, MATCH(87, 'Detalles movimientos'!$S$5:$S$1000, 0)), "")</f>
        <v/>
      </c>
      <c r="H96" s="22" t="str">
        <f>IFERROR(INDEX('Detalles movimientos'!I$5:I$1000, MATCH(87, 'Detalles movimientos'!$S$5:$S$1000, 0)), "")</f>
        <v/>
      </c>
      <c r="I96" s="21" t="str">
        <f>IFERROR(INDEX('Detalles movimientos'!J$5:J$1000, MATCH(87, 'Detalles movimientos'!$S$5:$S$1000, 0)), "")</f>
        <v/>
      </c>
      <c r="J96" s="20" t="str">
        <f>IFERROR(INDEX('Detalles movimientos'!K$5:K$1000, MATCH(87, 'Detalles movimientos'!$S$5:$S$1000, 0)), "")</f>
        <v/>
      </c>
      <c r="K96" s="21" t="str">
        <f>IFERROR(INDEX('Detalles movimientos'!L$5:L$1000, MATCH(87, 'Detalles movimientos'!$S$5:$S$1000, 0)), "")</f>
        <v/>
      </c>
      <c r="L96" s="19" t="str">
        <f>IFERROR(INDEX('Detalles movimientos'!M$5:M$1000, MATCH(87, 'Detalles movimientos'!$S$5:$S$1000, 0)), "")</f>
        <v/>
      </c>
      <c r="M96" s="19" t="str">
        <f>IFERROR(INDEX('Detalles movimientos'!P$5:P$1000, MATCH(87, 'Detalles movimientos'!$S$5:$S$1000, 0)), "")</f>
        <v/>
      </c>
    </row>
    <row r="97" spans="2:13" x14ac:dyDescent="0.2">
      <c r="B97" s="18" t="str">
        <f>IFERROR(INDEX('Detalles movimientos'!C$5:C$1000, MATCH(88, 'Detalles movimientos'!$S$5:$S$1000, 0)), "")</f>
        <v/>
      </c>
      <c r="C97" s="19" t="str">
        <f>IFERROR(INDEX('Detalles movimientos'!D$5:D$1000, MATCH(88, 'Detalles movimientos'!$S$5:$S$1000, 0)), "")</f>
        <v/>
      </c>
      <c r="D97" s="20" t="str">
        <f>IFERROR(INDEX('Detalles movimientos'!E$5:E$1000, MATCH(88, 'Detalles movimientos'!$S$5:$S$1000, 0)), "")</f>
        <v/>
      </c>
      <c r="E97" s="20" t="str">
        <f>IFERROR(INDEX('Detalles movimientos'!F$5:F$1000, MATCH(88, 'Detalles movimientos'!$S$5:$S$1000, 0)), "")</f>
        <v/>
      </c>
      <c r="F97" s="19" t="str">
        <f>IFERROR(INDEX('Detalles movimientos'!G$5:G$1000, MATCH(88, 'Detalles movimientos'!$S$5:$S$1000, 0)), "")</f>
        <v/>
      </c>
      <c r="G97" s="21" t="str">
        <f>IFERROR(INDEX('Detalles movimientos'!H$5:H$1000, MATCH(88, 'Detalles movimientos'!$S$5:$S$1000, 0)), "")</f>
        <v/>
      </c>
      <c r="H97" s="22" t="str">
        <f>IFERROR(INDEX('Detalles movimientos'!I$5:I$1000, MATCH(88, 'Detalles movimientos'!$S$5:$S$1000, 0)), "")</f>
        <v/>
      </c>
      <c r="I97" s="21" t="str">
        <f>IFERROR(INDEX('Detalles movimientos'!J$5:J$1000, MATCH(88, 'Detalles movimientos'!$S$5:$S$1000, 0)), "")</f>
        <v/>
      </c>
      <c r="J97" s="20" t="str">
        <f>IFERROR(INDEX('Detalles movimientos'!K$5:K$1000, MATCH(88, 'Detalles movimientos'!$S$5:$S$1000, 0)), "")</f>
        <v/>
      </c>
      <c r="K97" s="21" t="str">
        <f>IFERROR(INDEX('Detalles movimientos'!L$5:L$1000, MATCH(88, 'Detalles movimientos'!$S$5:$S$1000, 0)), "")</f>
        <v/>
      </c>
      <c r="L97" s="19" t="str">
        <f>IFERROR(INDEX('Detalles movimientos'!M$5:M$1000, MATCH(88, 'Detalles movimientos'!$S$5:$S$1000, 0)), "")</f>
        <v/>
      </c>
      <c r="M97" s="19" t="str">
        <f>IFERROR(INDEX('Detalles movimientos'!P$5:P$1000, MATCH(88, 'Detalles movimientos'!$S$5:$S$1000, 0)), "")</f>
        <v/>
      </c>
    </row>
    <row r="98" spans="2:13" x14ac:dyDescent="0.2">
      <c r="B98" s="18" t="str">
        <f>IFERROR(INDEX('Detalles movimientos'!C$5:C$1000, MATCH(89, 'Detalles movimientos'!$S$5:$S$1000, 0)), "")</f>
        <v/>
      </c>
      <c r="C98" s="19" t="str">
        <f>IFERROR(INDEX('Detalles movimientos'!D$5:D$1000, MATCH(89, 'Detalles movimientos'!$S$5:$S$1000, 0)), "")</f>
        <v/>
      </c>
      <c r="D98" s="20" t="str">
        <f>IFERROR(INDEX('Detalles movimientos'!E$5:E$1000, MATCH(89, 'Detalles movimientos'!$S$5:$S$1000, 0)), "")</f>
        <v/>
      </c>
      <c r="E98" s="20" t="str">
        <f>IFERROR(INDEX('Detalles movimientos'!F$5:F$1000, MATCH(89, 'Detalles movimientos'!$S$5:$S$1000, 0)), "")</f>
        <v/>
      </c>
      <c r="F98" s="19" t="str">
        <f>IFERROR(INDEX('Detalles movimientos'!G$5:G$1000, MATCH(89, 'Detalles movimientos'!$S$5:$S$1000, 0)), "")</f>
        <v/>
      </c>
      <c r="G98" s="21" t="str">
        <f>IFERROR(INDEX('Detalles movimientos'!H$5:H$1000, MATCH(89, 'Detalles movimientos'!$S$5:$S$1000, 0)), "")</f>
        <v/>
      </c>
      <c r="H98" s="22" t="str">
        <f>IFERROR(INDEX('Detalles movimientos'!I$5:I$1000, MATCH(89, 'Detalles movimientos'!$S$5:$S$1000, 0)), "")</f>
        <v/>
      </c>
      <c r="I98" s="21" t="str">
        <f>IFERROR(INDEX('Detalles movimientos'!J$5:J$1000, MATCH(89, 'Detalles movimientos'!$S$5:$S$1000, 0)), "")</f>
        <v/>
      </c>
      <c r="J98" s="20" t="str">
        <f>IFERROR(INDEX('Detalles movimientos'!K$5:K$1000, MATCH(89, 'Detalles movimientos'!$S$5:$S$1000, 0)), "")</f>
        <v/>
      </c>
      <c r="K98" s="21" t="str">
        <f>IFERROR(INDEX('Detalles movimientos'!L$5:L$1000, MATCH(89, 'Detalles movimientos'!$S$5:$S$1000, 0)), "")</f>
        <v/>
      </c>
      <c r="L98" s="19" t="str">
        <f>IFERROR(INDEX('Detalles movimientos'!M$5:M$1000, MATCH(89, 'Detalles movimientos'!$S$5:$S$1000, 0)), "")</f>
        <v/>
      </c>
      <c r="M98" s="19" t="str">
        <f>IFERROR(INDEX('Detalles movimientos'!P$5:P$1000, MATCH(89, 'Detalles movimientos'!$S$5:$S$1000, 0)), "")</f>
        <v/>
      </c>
    </row>
    <row r="99" spans="2:13" x14ac:dyDescent="0.2">
      <c r="B99" s="18" t="str">
        <f>IFERROR(INDEX('Detalles movimientos'!C$5:C$1000, MATCH(90, 'Detalles movimientos'!$S$5:$S$1000, 0)), "")</f>
        <v/>
      </c>
      <c r="C99" s="19" t="str">
        <f>IFERROR(INDEX('Detalles movimientos'!D$5:D$1000, MATCH(90, 'Detalles movimientos'!$S$5:$S$1000, 0)), "")</f>
        <v/>
      </c>
      <c r="D99" s="20" t="str">
        <f>IFERROR(INDEX('Detalles movimientos'!E$5:E$1000, MATCH(90, 'Detalles movimientos'!$S$5:$S$1000, 0)), "")</f>
        <v/>
      </c>
      <c r="E99" s="20" t="str">
        <f>IFERROR(INDEX('Detalles movimientos'!F$5:F$1000, MATCH(90, 'Detalles movimientos'!$S$5:$S$1000, 0)), "")</f>
        <v/>
      </c>
      <c r="F99" s="19" t="str">
        <f>IFERROR(INDEX('Detalles movimientos'!G$5:G$1000, MATCH(90, 'Detalles movimientos'!$S$5:$S$1000, 0)), "")</f>
        <v/>
      </c>
      <c r="G99" s="21" t="str">
        <f>IFERROR(INDEX('Detalles movimientos'!H$5:H$1000, MATCH(90, 'Detalles movimientos'!$S$5:$S$1000, 0)), "")</f>
        <v/>
      </c>
      <c r="H99" s="22" t="str">
        <f>IFERROR(INDEX('Detalles movimientos'!I$5:I$1000, MATCH(90, 'Detalles movimientos'!$S$5:$S$1000, 0)), "")</f>
        <v/>
      </c>
      <c r="I99" s="21" t="str">
        <f>IFERROR(INDEX('Detalles movimientos'!J$5:J$1000, MATCH(90, 'Detalles movimientos'!$S$5:$S$1000, 0)), "")</f>
        <v/>
      </c>
      <c r="J99" s="20" t="str">
        <f>IFERROR(INDEX('Detalles movimientos'!K$5:K$1000, MATCH(90, 'Detalles movimientos'!$S$5:$S$1000, 0)), "")</f>
        <v/>
      </c>
      <c r="K99" s="21" t="str">
        <f>IFERROR(INDEX('Detalles movimientos'!L$5:L$1000, MATCH(90, 'Detalles movimientos'!$S$5:$S$1000, 0)), "")</f>
        <v/>
      </c>
      <c r="L99" s="19" t="str">
        <f>IFERROR(INDEX('Detalles movimientos'!M$5:M$1000, MATCH(90, 'Detalles movimientos'!$S$5:$S$1000, 0)), "")</f>
        <v/>
      </c>
      <c r="M99" s="19" t="str">
        <f>IFERROR(INDEX('Detalles movimientos'!P$5:P$1000, MATCH(90, 'Detalles movimientos'!$S$5:$S$1000, 0)), "")</f>
        <v/>
      </c>
    </row>
    <row r="100" spans="2:13" x14ac:dyDescent="0.2">
      <c r="B100" s="18" t="str">
        <f>IFERROR(INDEX('Detalles movimientos'!C$5:C$1000, MATCH(91, 'Detalles movimientos'!$S$5:$S$1000, 0)), "")</f>
        <v/>
      </c>
      <c r="C100" s="19" t="str">
        <f>IFERROR(INDEX('Detalles movimientos'!D$5:D$1000, MATCH(91, 'Detalles movimientos'!$S$5:$S$1000, 0)), "")</f>
        <v/>
      </c>
      <c r="D100" s="20" t="str">
        <f>IFERROR(INDEX('Detalles movimientos'!E$5:E$1000, MATCH(91, 'Detalles movimientos'!$S$5:$S$1000, 0)), "")</f>
        <v/>
      </c>
      <c r="E100" s="20" t="str">
        <f>IFERROR(INDEX('Detalles movimientos'!F$5:F$1000, MATCH(91, 'Detalles movimientos'!$S$5:$S$1000, 0)), "")</f>
        <v/>
      </c>
      <c r="F100" s="19" t="str">
        <f>IFERROR(INDEX('Detalles movimientos'!G$5:G$1000, MATCH(91, 'Detalles movimientos'!$S$5:$S$1000, 0)), "")</f>
        <v/>
      </c>
      <c r="G100" s="21" t="str">
        <f>IFERROR(INDEX('Detalles movimientos'!H$5:H$1000, MATCH(91, 'Detalles movimientos'!$S$5:$S$1000, 0)), "")</f>
        <v/>
      </c>
      <c r="H100" s="22" t="str">
        <f>IFERROR(INDEX('Detalles movimientos'!I$5:I$1000, MATCH(91, 'Detalles movimientos'!$S$5:$S$1000, 0)), "")</f>
        <v/>
      </c>
      <c r="I100" s="21" t="str">
        <f>IFERROR(INDEX('Detalles movimientos'!J$5:J$1000, MATCH(91, 'Detalles movimientos'!$S$5:$S$1000, 0)), "")</f>
        <v/>
      </c>
      <c r="J100" s="20" t="str">
        <f>IFERROR(INDEX('Detalles movimientos'!K$5:K$1000, MATCH(91, 'Detalles movimientos'!$S$5:$S$1000, 0)), "")</f>
        <v/>
      </c>
      <c r="K100" s="21" t="str">
        <f>IFERROR(INDEX('Detalles movimientos'!L$5:L$1000, MATCH(91, 'Detalles movimientos'!$S$5:$S$1000, 0)), "")</f>
        <v/>
      </c>
      <c r="L100" s="19" t="str">
        <f>IFERROR(INDEX('Detalles movimientos'!M$5:M$1000, MATCH(91, 'Detalles movimientos'!$S$5:$S$1000, 0)), "")</f>
        <v/>
      </c>
      <c r="M100" s="19" t="str">
        <f>IFERROR(INDEX('Detalles movimientos'!P$5:P$1000, MATCH(91, 'Detalles movimientos'!$S$5:$S$1000, 0)), "")</f>
        <v/>
      </c>
    </row>
    <row r="101" spans="2:13" x14ac:dyDescent="0.2">
      <c r="B101" s="18" t="str">
        <f>IFERROR(INDEX('Detalles movimientos'!C$5:C$1000, MATCH(92, 'Detalles movimientos'!$S$5:$S$1000, 0)), "")</f>
        <v/>
      </c>
      <c r="C101" s="19" t="str">
        <f>IFERROR(INDEX('Detalles movimientos'!D$5:D$1000, MATCH(92, 'Detalles movimientos'!$S$5:$S$1000, 0)), "")</f>
        <v/>
      </c>
      <c r="D101" s="20" t="str">
        <f>IFERROR(INDEX('Detalles movimientos'!E$5:E$1000, MATCH(92, 'Detalles movimientos'!$S$5:$S$1000, 0)), "")</f>
        <v/>
      </c>
      <c r="E101" s="20" t="str">
        <f>IFERROR(INDEX('Detalles movimientos'!F$5:F$1000, MATCH(92, 'Detalles movimientos'!$S$5:$S$1000, 0)), "")</f>
        <v/>
      </c>
      <c r="F101" s="19" t="str">
        <f>IFERROR(INDEX('Detalles movimientos'!G$5:G$1000, MATCH(92, 'Detalles movimientos'!$S$5:$S$1000, 0)), "")</f>
        <v/>
      </c>
      <c r="G101" s="21" t="str">
        <f>IFERROR(INDEX('Detalles movimientos'!H$5:H$1000, MATCH(92, 'Detalles movimientos'!$S$5:$S$1000, 0)), "")</f>
        <v/>
      </c>
      <c r="H101" s="22" t="str">
        <f>IFERROR(INDEX('Detalles movimientos'!I$5:I$1000, MATCH(92, 'Detalles movimientos'!$S$5:$S$1000, 0)), "")</f>
        <v/>
      </c>
      <c r="I101" s="21" t="str">
        <f>IFERROR(INDEX('Detalles movimientos'!J$5:J$1000, MATCH(92, 'Detalles movimientos'!$S$5:$S$1000, 0)), "")</f>
        <v/>
      </c>
      <c r="J101" s="20" t="str">
        <f>IFERROR(INDEX('Detalles movimientos'!K$5:K$1000, MATCH(92, 'Detalles movimientos'!$S$5:$S$1000, 0)), "")</f>
        <v/>
      </c>
      <c r="K101" s="21" t="str">
        <f>IFERROR(INDEX('Detalles movimientos'!L$5:L$1000, MATCH(92, 'Detalles movimientos'!$S$5:$S$1000, 0)), "")</f>
        <v/>
      </c>
      <c r="L101" s="19" t="str">
        <f>IFERROR(INDEX('Detalles movimientos'!M$5:M$1000, MATCH(92, 'Detalles movimientos'!$S$5:$S$1000, 0)), "")</f>
        <v/>
      </c>
      <c r="M101" s="19" t="str">
        <f>IFERROR(INDEX('Detalles movimientos'!P$5:P$1000, MATCH(92, 'Detalles movimientos'!$S$5:$S$1000, 0)), "")</f>
        <v/>
      </c>
    </row>
    <row r="102" spans="2:13" x14ac:dyDescent="0.2">
      <c r="B102" s="18" t="str">
        <f>IFERROR(INDEX('Detalles movimientos'!C$5:C$1000, MATCH(93, 'Detalles movimientos'!$S$5:$S$1000, 0)), "")</f>
        <v/>
      </c>
      <c r="C102" s="19" t="str">
        <f>IFERROR(INDEX('Detalles movimientos'!D$5:D$1000, MATCH(93, 'Detalles movimientos'!$S$5:$S$1000, 0)), "")</f>
        <v/>
      </c>
      <c r="D102" s="20" t="str">
        <f>IFERROR(INDEX('Detalles movimientos'!E$5:E$1000, MATCH(93, 'Detalles movimientos'!$S$5:$S$1000, 0)), "")</f>
        <v/>
      </c>
      <c r="E102" s="20" t="str">
        <f>IFERROR(INDEX('Detalles movimientos'!F$5:F$1000, MATCH(93, 'Detalles movimientos'!$S$5:$S$1000, 0)), "")</f>
        <v/>
      </c>
      <c r="F102" s="19" t="str">
        <f>IFERROR(INDEX('Detalles movimientos'!G$5:G$1000, MATCH(93, 'Detalles movimientos'!$S$5:$S$1000, 0)), "")</f>
        <v/>
      </c>
      <c r="G102" s="21" t="str">
        <f>IFERROR(INDEX('Detalles movimientos'!H$5:H$1000, MATCH(93, 'Detalles movimientos'!$S$5:$S$1000, 0)), "")</f>
        <v/>
      </c>
      <c r="H102" s="22" t="str">
        <f>IFERROR(INDEX('Detalles movimientos'!I$5:I$1000, MATCH(93, 'Detalles movimientos'!$S$5:$S$1000, 0)), "")</f>
        <v/>
      </c>
      <c r="I102" s="21" t="str">
        <f>IFERROR(INDEX('Detalles movimientos'!J$5:J$1000, MATCH(93, 'Detalles movimientos'!$S$5:$S$1000, 0)), "")</f>
        <v/>
      </c>
      <c r="J102" s="20" t="str">
        <f>IFERROR(INDEX('Detalles movimientos'!K$5:K$1000, MATCH(93, 'Detalles movimientos'!$S$5:$S$1000, 0)), "")</f>
        <v/>
      </c>
      <c r="K102" s="21" t="str">
        <f>IFERROR(INDEX('Detalles movimientos'!L$5:L$1000, MATCH(93, 'Detalles movimientos'!$S$5:$S$1000, 0)), "")</f>
        <v/>
      </c>
      <c r="L102" s="19" t="str">
        <f>IFERROR(INDEX('Detalles movimientos'!M$5:M$1000, MATCH(93, 'Detalles movimientos'!$S$5:$S$1000, 0)), "")</f>
        <v/>
      </c>
      <c r="M102" s="19" t="str">
        <f>IFERROR(INDEX('Detalles movimientos'!P$5:P$1000, MATCH(93, 'Detalles movimientos'!$S$5:$S$1000, 0)), "")</f>
        <v/>
      </c>
    </row>
    <row r="103" spans="2:13" x14ac:dyDescent="0.2">
      <c r="B103" s="18" t="str">
        <f>IFERROR(INDEX('Detalles movimientos'!C$5:C$1000, MATCH(94, 'Detalles movimientos'!$S$5:$S$1000, 0)), "")</f>
        <v/>
      </c>
      <c r="C103" s="19" t="str">
        <f>IFERROR(INDEX('Detalles movimientos'!D$5:D$1000, MATCH(94, 'Detalles movimientos'!$S$5:$S$1000, 0)), "")</f>
        <v/>
      </c>
      <c r="D103" s="20" t="str">
        <f>IFERROR(INDEX('Detalles movimientos'!E$5:E$1000, MATCH(94, 'Detalles movimientos'!$S$5:$S$1000, 0)), "")</f>
        <v/>
      </c>
      <c r="E103" s="20" t="str">
        <f>IFERROR(INDEX('Detalles movimientos'!F$5:F$1000, MATCH(94, 'Detalles movimientos'!$S$5:$S$1000, 0)), "")</f>
        <v/>
      </c>
      <c r="F103" s="19" t="str">
        <f>IFERROR(INDEX('Detalles movimientos'!G$5:G$1000, MATCH(94, 'Detalles movimientos'!$S$5:$S$1000, 0)), "")</f>
        <v/>
      </c>
      <c r="G103" s="21" t="str">
        <f>IFERROR(INDEX('Detalles movimientos'!H$5:H$1000, MATCH(94, 'Detalles movimientos'!$S$5:$S$1000, 0)), "")</f>
        <v/>
      </c>
      <c r="H103" s="22" t="str">
        <f>IFERROR(INDEX('Detalles movimientos'!I$5:I$1000, MATCH(94, 'Detalles movimientos'!$S$5:$S$1000, 0)), "")</f>
        <v/>
      </c>
      <c r="I103" s="21" t="str">
        <f>IFERROR(INDEX('Detalles movimientos'!J$5:J$1000, MATCH(94, 'Detalles movimientos'!$S$5:$S$1000, 0)), "")</f>
        <v/>
      </c>
      <c r="J103" s="20" t="str">
        <f>IFERROR(INDEX('Detalles movimientos'!K$5:K$1000, MATCH(94, 'Detalles movimientos'!$S$5:$S$1000, 0)), "")</f>
        <v/>
      </c>
      <c r="K103" s="21" t="str">
        <f>IFERROR(INDEX('Detalles movimientos'!L$5:L$1000, MATCH(94, 'Detalles movimientos'!$S$5:$S$1000, 0)), "")</f>
        <v/>
      </c>
      <c r="L103" s="19" t="str">
        <f>IFERROR(INDEX('Detalles movimientos'!M$5:M$1000, MATCH(94, 'Detalles movimientos'!$S$5:$S$1000, 0)), "")</f>
        <v/>
      </c>
      <c r="M103" s="19" t="str">
        <f>IFERROR(INDEX('Detalles movimientos'!P$5:P$1000, MATCH(94, 'Detalles movimientos'!$S$5:$S$1000, 0)), "")</f>
        <v/>
      </c>
    </row>
    <row r="104" spans="2:13" x14ac:dyDescent="0.2">
      <c r="B104" s="18" t="str">
        <f>IFERROR(INDEX('Detalles movimientos'!C$5:C$1000, MATCH(95, 'Detalles movimientos'!$S$5:$S$1000, 0)), "")</f>
        <v/>
      </c>
      <c r="C104" s="19" t="str">
        <f>IFERROR(INDEX('Detalles movimientos'!D$5:D$1000, MATCH(95, 'Detalles movimientos'!$S$5:$S$1000, 0)), "")</f>
        <v/>
      </c>
      <c r="D104" s="20" t="str">
        <f>IFERROR(INDEX('Detalles movimientos'!E$5:E$1000, MATCH(95, 'Detalles movimientos'!$S$5:$S$1000, 0)), "")</f>
        <v/>
      </c>
      <c r="E104" s="20" t="str">
        <f>IFERROR(INDEX('Detalles movimientos'!F$5:F$1000, MATCH(95, 'Detalles movimientos'!$S$5:$S$1000, 0)), "")</f>
        <v/>
      </c>
      <c r="F104" s="19" t="str">
        <f>IFERROR(INDEX('Detalles movimientos'!G$5:G$1000, MATCH(95, 'Detalles movimientos'!$S$5:$S$1000, 0)), "")</f>
        <v/>
      </c>
      <c r="G104" s="21" t="str">
        <f>IFERROR(INDEX('Detalles movimientos'!H$5:H$1000, MATCH(95, 'Detalles movimientos'!$S$5:$S$1000, 0)), "")</f>
        <v/>
      </c>
      <c r="H104" s="22" t="str">
        <f>IFERROR(INDEX('Detalles movimientos'!I$5:I$1000, MATCH(95, 'Detalles movimientos'!$S$5:$S$1000, 0)), "")</f>
        <v/>
      </c>
      <c r="I104" s="21" t="str">
        <f>IFERROR(INDEX('Detalles movimientos'!J$5:J$1000, MATCH(95, 'Detalles movimientos'!$S$5:$S$1000, 0)), "")</f>
        <v/>
      </c>
      <c r="J104" s="20" t="str">
        <f>IFERROR(INDEX('Detalles movimientos'!K$5:K$1000, MATCH(95, 'Detalles movimientos'!$S$5:$S$1000, 0)), "")</f>
        <v/>
      </c>
      <c r="K104" s="21" t="str">
        <f>IFERROR(INDEX('Detalles movimientos'!L$5:L$1000, MATCH(95, 'Detalles movimientos'!$S$5:$S$1000, 0)), "")</f>
        <v/>
      </c>
      <c r="L104" s="19" t="str">
        <f>IFERROR(INDEX('Detalles movimientos'!M$5:M$1000, MATCH(95, 'Detalles movimientos'!$S$5:$S$1000, 0)), "")</f>
        <v/>
      </c>
      <c r="M104" s="19" t="str">
        <f>IFERROR(INDEX('Detalles movimientos'!P$5:P$1000, MATCH(95, 'Detalles movimientos'!$S$5:$S$1000, 0)), "")</f>
        <v/>
      </c>
    </row>
    <row r="105" spans="2:13" x14ac:dyDescent="0.2">
      <c r="B105" s="18" t="str">
        <f>IFERROR(INDEX('Detalles movimientos'!C$5:C$1000, MATCH(96, 'Detalles movimientos'!$S$5:$S$1000, 0)), "")</f>
        <v/>
      </c>
      <c r="C105" s="19" t="str">
        <f>IFERROR(INDEX('Detalles movimientos'!D$5:D$1000, MATCH(96, 'Detalles movimientos'!$S$5:$S$1000, 0)), "")</f>
        <v/>
      </c>
      <c r="D105" s="20" t="str">
        <f>IFERROR(INDEX('Detalles movimientos'!E$5:E$1000, MATCH(96, 'Detalles movimientos'!$S$5:$S$1000, 0)), "")</f>
        <v/>
      </c>
      <c r="E105" s="20" t="str">
        <f>IFERROR(INDEX('Detalles movimientos'!F$5:F$1000, MATCH(96, 'Detalles movimientos'!$S$5:$S$1000, 0)), "")</f>
        <v/>
      </c>
      <c r="F105" s="19" t="str">
        <f>IFERROR(INDEX('Detalles movimientos'!G$5:G$1000, MATCH(96, 'Detalles movimientos'!$S$5:$S$1000, 0)), "")</f>
        <v/>
      </c>
      <c r="G105" s="21" t="str">
        <f>IFERROR(INDEX('Detalles movimientos'!H$5:H$1000, MATCH(96, 'Detalles movimientos'!$S$5:$S$1000, 0)), "")</f>
        <v/>
      </c>
      <c r="H105" s="22" t="str">
        <f>IFERROR(INDEX('Detalles movimientos'!I$5:I$1000, MATCH(96, 'Detalles movimientos'!$S$5:$S$1000, 0)), "")</f>
        <v/>
      </c>
      <c r="I105" s="21" t="str">
        <f>IFERROR(INDEX('Detalles movimientos'!J$5:J$1000, MATCH(96, 'Detalles movimientos'!$S$5:$S$1000, 0)), "")</f>
        <v/>
      </c>
      <c r="J105" s="20" t="str">
        <f>IFERROR(INDEX('Detalles movimientos'!K$5:K$1000, MATCH(96, 'Detalles movimientos'!$S$5:$S$1000, 0)), "")</f>
        <v/>
      </c>
      <c r="K105" s="21" t="str">
        <f>IFERROR(INDEX('Detalles movimientos'!L$5:L$1000, MATCH(96, 'Detalles movimientos'!$S$5:$S$1000, 0)), "")</f>
        <v/>
      </c>
      <c r="L105" s="19" t="str">
        <f>IFERROR(INDEX('Detalles movimientos'!M$5:M$1000, MATCH(96, 'Detalles movimientos'!$S$5:$S$1000, 0)), "")</f>
        <v/>
      </c>
      <c r="M105" s="19" t="str">
        <f>IFERROR(INDEX('Detalles movimientos'!P$5:P$1000, MATCH(96, 'Detalles movimientos'!$S$5:$S$1000, 0)), "")</f>
        <v/>
      </c>
    </row>
    <row r="106" spans="2:13" x14ac:dyDescent="0.2">
      <c r="B106" s="18" t="str">
        <f>IFERROR(INDEX('Detalles movimientos'!C$5:C$1000, MATCH(97, 'Detalles movimientos'!$S$5:$S$1000, 0)), "")</f>
        <v/>
      </c>
      <c r="C106" s="19" t="str">
        <f>IFERROR(INDEX('Detalles movimientos'!D$5:D$1000, MATCH(97, 'Detalles movimientos'!$S$5:$S$1000, 0)), "")</f>
        <v/>
      </c>
      <c r="D106" s="20" t="str">
        <f>IFERROR(INDEX('Detalles movimientos'!E$5:E$1000, MATCH(97, 'Detalles movimientos'!$S$5:$S$1000, 0)), "")</f>
        <v/>
      </c>
      <c r="E106" s="20" t="str">
        <f>IFERROR(INDEX('Detalles movimientos'!F$5:F$1000, MATCH(97, 'Detalles movimientos'!$S$5:$S$1000, 0)), "")</f>
        <v/>
      </c>
      <c r="F106" s="19" t="str">
        <f>IFERROR(INDEX('Detalles movimientos'!G$5:G$1000, MATCH(97, 'Detalles movimientos'!$S$5:$S$1000, 0)), "")</f>
        <v/>
      </c>
      <c r="G106" s="21" t="str">
        <f>IFERROR(INDEX('Detalles movimientos'!H$5:H$1000, MATCH(97, 'Detalles movimientos'!$S$5:$S$1000, 0)), "")</f>
        <v/>
      </c>
      <c r="H106" s="22" t="str">
        <f>IFERROR(INDEX('Detalles movimientos'!I$5:I$1000, MATCH(97, 'Detalles movimientos'!$S$5:$S$1000, 0)), "")</f>
        <v/>
      </c>
      <c r="I106" s="21" t="str">
        <f>IFERROR(INDEX('Detalles movimientos'!J$5:J$1000, MATCH(97, 'Detalles movimientos'!$S$5:$S$1000, 0)), "")</f>
        <v/>
      </c>
      <c r="J106" s="20" t="str">
        <f>IFERROR(INDEX('Detalles movimientos'!K$5:K$1000, MATCH(97, 'Detalles movimientos'!$S$5:$S$1000, 0)), "")</f>
        <v/>
      </c>
      <c r="K106" s="21" t="str">
        <f>IFERROR(INDEX('Detalles movimientos'!L$5:L$1000, MATCH(97, 'Detalles movimientos'!$S$5:$S$1000, 0)), "")</f>
        <v/>
      </c>
      <c r="L106" s="19" t="str">
        <f>IFERROR(INDEX('Detalles movimientos'!M$5:M$1000, MATCH(97, 'Detalles movimientos'!$S$5:$S$1000, 0)), "")</f>
        <v/>
      </c>
      <c r="M106" s="19" t="str">
        <f>IFERROR(INDEX('Detalles movimientos'!P$5:P$1000, MATCH(97, 'Detalles movimientos'!$S$5:$S$1000, 0)), "")</f>
        <v/>
      </c>
    </row>
    <row r="107" spans="2:13" x14ac:dyDescent="0.2">
      <c r="B107" s="18" t="str">
        <f>IFERROR(INDEX('Detalles movimientos'!C$5:C$1000, MATCH(98, 'Detalles movimientos'!$S$5:$S$1000, 0)), "")</f>
        <v/>
      </c>
      <c r="C107" s="19" t="str">
        <f>IFERROR(INDEX('Detalles movimientos'!D$5:D$1000, MATCH(98, 'Detalles movimientos'!$S$5:$S$1000, 0)), "")</f>
        <v/>
      </c>
      <c r="D107" s="20" t="str">
        <f>IFERROR(INDEX('Detalles movimientos'!E$5:E$1000, MATCH(98, 'Detalles movimientos'!$S$5:$S$1000, 0)), "")</f>
        <v/>
      </c>
      <c r="E107" s="20" t="str">
        <f>IFERROR(INDEX('Detalles movimientos'!F$5:F$1000, MATCH(98, 'Detalles movimientos'!$S$5:$S$1000, 0)), "")</f>
        <v/>
      </c>
      <c r="F107" s="19" t="str">
        <f>IFERROR(INDEX('Detalles movimientos'!G$5:G$1000, MATCH(98, 'Detalles movimientos'!$S$5:$S$1000, 0)), "")</f>
        <v/>
      </c>
      <c r="G107" s="21" t="str">
        <f>IFERROR(INDEX('Detalles movimientos'!H$5:H$1000, MATCH(98, 'Detalles movimientos'!$S$5:$S$1000, 0)), "")</f>
        <v/>
      </c>
      <c r="H107" s="22" t="str">
        <f>IFERROR(INDEX('Detalles movimientos'!I$5:I$1000, MATCH(98, 'Detalles movimientos'!$S$5:$S$1000, 0)), "")</f>
        <v/>
      </c>
      <c r="I107" s="21" t="str">
        <f>IFERROR(INDEX('Detalles movimientos'!J$5:J$1000, MATCH(98, 'Detalles movimientos'!$S$5:$S$1000, 0)), "")</f>
        <v/>
      </c>
      <c r="J107" s="20" t="str">
        <f>IFERROR(INDEX('Detalles movimientos'!K$5:K$1000, MATCH(98, 'Detalles movimientos'!$S$5:$S$1000, 0)), "")</f>
        <v/>
      </c>
      <c r="K107" s="21" t="str">
        <f>IFERROR(INDEX('Detalles movimientos'!L$5:L$1000, MATCH(98, 'Detalles movimientos'!$S$5:$S$1000, 0)), "")</f>
        <v/>
      </c>
      <c r="L107" s="19" t="str">
        <f>IFERROR(INDEX('Detalles movimientos'!M$5:M$1000, MATCH(98, 'Detalles movimientos'!$S$5:$S$1000, 0)), "")</f>
        <v/>
      </c>
      <c r="M107" s="19" t="str">
        <f>IFERROR(INDEX('Detalles movimientos'!P$5:P$1000, MATCH(98, 'Detalles movimientos'!$S$5:$S$1000, 0)), "")</f>
        <v/>
      </c>
    </row>
    <row r="108" spans="2:13" x14ac:dyDescent="0.2">
      <c r="B108" s="18" t="str">
        <f>IFERROR(INDEX('Detalles movimientos'!C$5:C$1000, MATCH(99, 'Detalles movimientos'!$S$5:$S$1000, 0)), "")</f>
        <v/>
      </c>
      <c r="C108" s="19" t="str">
        <f>IFERROR(INDEX('Detalles movimientos'!D$5:D$1000, MATCH(99, 'Detalles movimientos'!$S$5:$S$1000, 0)), "")</f>
        <v/>
      </c>
      <c r="D108" s="20" t="str">
        <f>IFERROR(INDEX('Detalles movimientos'!E$5:E$1000, MATCH(99, 'Detalles movimientos'!$S$5:$S$1000, 0)), "")</f>
        <v/>
      </c>
      <c r="E108" s="20" t="str">
        <f>IFERROR(INDEX('Detalles movimientos'!F$5:F$1000, MATCH(99, 'Detalles movimientos'!$S$5:$S$1000, 0)), "")</f>
        <v/>
      </c>
      <c r="F108" s="19" t="str">
        <f>IFERROR(INDEX('Detalles movimientos'!G$5:G$1000, MATCH(99, 'Detalles movimientos'!$S$5:$S$1000, 0)), "")</f>
        <v/>
      </c>
      <c r="G108" s="21" t="str">
        <f>IFERROR(INDEX('Detalles movimientos'!H$5:H$1000, MATCH(99, 'Detalles movimientos'!$S$5:$S$1000, 0)), "")</f>
        <v/>
      </c>
      <c r="H108" s="22" t="str">
        <f>IFERROR(INDEX('Detalles movimientos'!I$5:I$1000, MATCH(99, 'Detalles movimientos'!$S$5:$S$1000, 0)), "")</f>
        <v/>
      </c>
      <c r="I108" s="21" t="str">
        <f>IFERROR(INDEX('Detalles movimientos'!J$5:J$1000, MATCH(99, 'Detalles movimientos'!$S$5:$S$1000, 0)), "")</f>
        <v/>
      </c>
      <c r="J108" s="20" t="str">
        <f>IFERROR(INDEX('Detalles movimientos'!K$5:K$1000, MATCH(99, 'Detalles movimientos'!$S$5:$S$1000, 0)), "")</f>
        <v/>
      </c>
      <c r="K108" s="21" t="str">
        <f>IFERROR(INDEX('Detalles movimientos'!L$5:L$1000, MATCH(99, 'Detalles movimientos'!$S$5:$S$1000, 0)), "")</f>
        <v/>
      </c>
      <c r="L108" s="19" t="str">
        <f>IFERROR(INDEX('Detalles movimientos'!M$5:M$1000, MATCH(99, 'Detalles movimientos'!$S$5:$S$1000, 0)), "")</f>
        <v/>
      </c>
      <c r="M108" s="19" t="str">
        <f>IFERROR(INDEX('Detalles movimientos'!P$5:P$1000, MATCH(99, 'Detalles movimientos'!$S$5:$S$1000, 0)), "")</f>
        <v/>
      </c>
    </row>
    <row r="109" spans="2:13" x14ac:dyDescent="0.2">
      <c r="B109" s="18" t="str">
        <f>IFERROR(INDEX('Detalles movimientos'!C$5:C$1000, MATCH(100, 'Detalles movimientos'!$S$5:$S$1000, 0)), "")</f>
        <v/>
      </c>
      <c r="C109" s="19" t="str">
        <f>IFERROR(INDEX('Detalles movimientos'!D$5:D$1000, MATCH(100, 'Detalles movimientos'!$S$5:$S$1000, 0)), "")</f>
        <v/>
      </c>
      <c r="D109" s="20" t="str">
        <f>IFERROR(INDEX('Detalles movimientos'!E$5:E$1000, MATCH(100, 'Detalles movimientos'!$S$5:$S$1000, 0)), "")</f>
        <v/>
      </c>
      <c r="E109" s="20" t="str">
        <f>IFERROR(INDEX('Detalles movimientos'!F$5:F$1000, MATCH(100, 'Detalles movimientos'!$S$5:$S$1000, 0)), "")</f>
        <v/>
      </c>
      <c r="F109" s="19" t="str">
        <f>IFERROR(INDEX('Detalles movimientos'!G$5:G$1000, MATCH(100, 'Detalles movimientos'!$S$5:$S$1000, 0)), "")</f>
        <v/>
      </c>
      <c r="G109" s="21" t="str">
        <f>IFERROR(INDEX('Detalles movimientos'!H$5:H$1000, MATCH(100, 'Detalles movimientos'!$S$5:$S$1000, 0)), "")</f>
        <v/>
      </c>
      <c r="H109" s="22" t="str">
        <f>IFERROR(INDEX('Detalles movimientos'!I$5:I$1000, MATCH(100, 'Detalles movimientos'!$S$5:$S$1000, 0)), "")</f>
        <v/>
      </c>
      <c r="I109" s="21" t="str">
        <f>IFERROR(INDEX('Detalles movimientos'!J$5:J$1000, MATCH(100, 'Detalles movimientos'!$S$5:$S$1000, 0)), "")</f>
        <v/>
      </c>
      <c r="J109" s="20" t="str">
        <f>IFERROR(INDEX('Detalles movimientos'!K$5:K$1000, MATCH(100, 'Detalles movimientos'!$S$5:$S$1000, 0)), "")</f>
        <v/>
      </c>
      <c r="K109" s="21" t="str">
        <f>IFERROR(INDEX('Detalles movimientos'!L$5:L$1000, MATCH(100, 'Detalles movimientos'!$S$5:$S$1000, 0)), "")</f>
        <v/>
      </c>
      <c r="L109" s="19" t="str">
        <f>IFERROR(INDEX('Detalles movimientos'!M$5:M$1000, MATCH(100, 'Detalles movimientos'!$S$5:$S$1000, 0)), "")</f>
        <v/>
      </c>
      <c r="M109" s="19" t="str">
        <f>IFERROR(INDEX('Detalles movimientos'!P$5:P$1000, MATCH(100, 'Detalles movimientos'!$S$5:$S$1000, 0)), "")</f>
        <v/>
      </c>
    </row>
    <row r="110" spans="2:13" x14ac:dyDescent="0.2">
      <c r="B110" s="18" t="str">
        <f>IFERROR(INDEX('Detalles movimientos'!C$5:C$1000, MATCH(101, 'Detalles movimientos'!$S$5:$S$1000, 0)), "")</f>
        <v/>
      </c>
      <c r="C110" s="19" t="str">
        <f>IFERROR(INDEX('Detalles movimientos'!D$5:D$1000, MATCH(101, 'Detalles movimientos'!$S$5:$S$1000, 0)), "")</f>
        <v/>
      </c>
      <c r="D110" s="20" t="str">
        <f>IFERROR(INDEX('Detalles movimientos'!E$5:E$1000, MATCH(101, 'Detalles movimientos'!$S$5:$S$1000, 0)), "")</f>
        <v/>
      </c>
      <c r="E110" s="20" t="str">
        <f>IFERROR(INDEX('Detalles movimientos'!F$5:F$1000, MATCH(101, 'Detalles movimientos'!$S$5:$S$1000, 0)), "")</f>
        <v/>
      </c>
      <c r="F110" s="19" t="str">
        <f>IFERROR(INDEX('Detalles movimientos'!G$5:G$1000, MATCH(101, 'Detalles movimientos'!$S$5:$S$1000, 0)), "")</f>
        <v/>
      </c>
      <c r="G110" s="21" t="str">
        <f>IFERROR(INDEX('Detalles movimientos'!H$5:H$1000, MATCH(101, 'Detalles movimientos'!$S$5:$S$1000, 0)), "")</f>
        <v/>
      </c>
      <c r="H110" s="22" t="str">
        <f>IFERROR(INDEX('Detalles movimientos'!I$5:I$1000, MATCH(101, 'Detalles movimientos'!$S$5:$S$1000, 0)), "")</f>
        <v/>
      </c>
      <c r="I110" s="21" t="str">
        <f>IFERROR(INDEX('Detalles movimientos'!J$5:J$1000, MATCH(101, 'Detalles movimientos'!$S$5:$S$1000, 0)), "")</f>
        <v/>
      </c>
      <c r="J110" s="20" t="str">
        <f>IFERROR(INDEX('Detalles movimientos'!K$5:K$1000, MATCH(101, 'Detalles movimientos'!$S$5:$S$1000, 0)), "")</f>
        <v/>
      </c>
      <c r="K110" s="21" t="str">
        <f>IFERROR(INDEX('Detalles movimientos'!L$5:L$1000, MATCH(101, 'Detalles movimientos'!$S$5:$S$1000, 0)), "")</f>
        <v/>
      </c>
      <c r="L110" s="19" t="str">
        <f>IFERROR(INDEX('Detalles movimientos'!M$5:M$1000, MATCH(101, 'Detalles movimientos'!$S$5:$S$1000, 0)), "")</f>
        <v/>
      </c>
      <c r="M110" s="19" t="str">
        <f>IFERROR(INDEX('Detalles movimientos'!P$5:P$1000, MATCH(101, 'Detalles movimientos'!$S$5:$S$1000, 0)), "")</f>
        <v/>
      </c>
    </row>
    <row r="111" spans="2:13" x14ac:dyDescent="0.2">
      <c r="B111" s="18" t="str">
        <f>IFERROR(INDEX('Detalles movimientos'!C$5:C$1000, MATCH(102, 'Detalles movimientos'!$S$5:$S$1000, 0)), "")</f>
        <v/>
      </c>
      <c r="C111" s="19" t="str">
        <f>IFERROR(INDEX('Detalles movimientos'!D$5:D$1000, MATCH(102, 'Detalles movimientos'!$S$5:$S$1000, 0)), "")</f>
        <v/>
      </c>
      <c r="D111" s="20" t="str">
        <f>IFERROR(INDEX('Detalles movimientos'!E$5:E$1000, MATCH(102, 'Detalles movimientos'!$S$5:$S$1000, 0)), "")</f>
        <v/>
      </c>
      <c r="E111" s="20" t="str">
        <f>IFERROR(INDEX('Detalles movimientos'!F$5:F$1000, MATCH(102, 'Detalles movimientos'!$S$5:$S$1000, 0)), "")</f>
        <v/>
      </c>
      <c r="F111" s="19" t="str">
        <f>IFERROR(INDEX('Detalles movimientos'!G$5:G$1000, MATCH(102, 'Detalles movimientos'!$S$5:$S$1000, 0)), "")</f>
        <v/>
      </c>
      <c r="G111" s="21" t="str">
        <f>IFERROR(INDEX('Detalles movimientos'!H$5:H$1000, MATCH(102, 'Detalles movimientos'!$S$5:$S$1000, 0)), "")</f>
        <v/>
      </c>
      <c r="H111" s="22" t="str">
        <f>IFERROR(INDEX('Detalles movimientos'!I$5:I$1000, MATCH(102, 'Detalles movimientos'!$S$5:$S$1000, 0)), "")</f>
        <v/>
      </c>
      <c r="I111" s="21" t="str">
        <f>IFERROR(INDEX('Detalles movimientos'!J$5:J$1000, MATCH(102, 'Detalles movimientos'!$S$5:$S$1000, 0)), "")</f>
        <v/>
      </c>
      <c r="J111" s="20" t="str">
        <f>IFERROR(INDEX('Detalles movimientos'!K$5:K$1000, MATCH(102, 'Detalles movimientos'!$S$5:$S$1000, 0)), "")</f>
        <v/>
      </c>
      <c r="K111" s="21" t="str">
        <f>IFERROR(INDEX('Detalles movimientos'!L$5:L$1000, MATCH(102, 'Detalles movimientos'!$S$5:$S$1000, 0)), "")</f>
        <v/>
      </c>
      <c r="L111" s="19" t="str">
        <f>IFERROR(INDEX('Detalles movimientos'!M$5:M$1000, MATCH(102, 'Detalles movimientos'!$S$5:$S$1000, 0)), "")</f>
        <v/>
      </c>
      <c r="M111" s="19" t="str">
        <f>IFERROR(INDEX('Detalles movimientos'!P$5:P$1000, MATCH(102, 'Detalles movimientos'!$S$5:$S$1000, 0)), "")</f>
        <v/>
      </c>
    </row>
    <row r="112" spans="2:13" x14ac:dyDescent="0.2">
      <c r="B112" s="18" t="str">
        <f>IFERROR(INDEX('Detalles movimientos'!C$5:C$1000, MATCH(103, 'Detalles movimientos'!$S$5:$S$1000, 0)), "")</f>
        <v/>
      </c>
      <c r="C112" s="19" t="str">
        <f>IFERROR(INDEX('Detalles movimientos'!D$5:D$1000, MATCH(103, 'Detalles movimientos'!$S$5:$S$1000, 0)), "")</f>
        <v/>
      </c>
      <c r="D112" s="20" t="str">
        <f>IFERROR(INDEX('Detalles movimientos'!E$5:E$1000, MATCH(103, 'Detalles movimientos'!$S$5:$S$1000, 0)), "")</f>
        <v/>
      </c>
      <c r="E112" s="20" t="str">
        <f>IFERROR(INDEX('Detalles movimientos'!F$5:F$1000, MATCH(103, 'Detalles movimientos'!$S$5:$S$1000, 0)), "")</f>
        <v/>
      </c>
      <c r="F112" s="19" t="str">
        <f>IFERROR(INDEX('Detalles movimientos'!G$5:G$1000, MATCH(103, 'Detalles movimientos'!$S$5:$S$1000, 0)), "")</f>
        <v/>
      </c>
      <c r="G112" s="21" t="str">
        <f>IFERROR(INDEX('Detalles movimientos'!H$5:H$1000, MATCH(103, 'Detalles movimientos'!$S$5:$S$1000, 0)), "")</f>
        <v/>
      </c>
      <c r="H112" s="22" t="str">
        <f>IFERROR(INDEX('Detalles movimientos'!I$5:I$1000, MATCH(103, 'Detalles movimientos'!$S$5:$S$1000, 0)), "")</f>
        <v/>
      </c>
      <c r="I112" s="21" t="str">
        <f>IFERROR(INDEX('Detalles movimientos'!J$5:J$1000, MATCH(103, 'Detalles movimientos'!$S$5:$S$1000, 0)), "")</f>
        <v/>
      </c>
      <c r="J112" s="20" t="str">
        <f>IFERROR(INDEX('Detalles movimientos'!K$5:K$1000, MATCH(103, 'Detalles movimientos'!$S$5:$S$1000, 0)), "")</f>
        <v/>
      </c>
      <c r="K112" s="21" t="str">
        <f>IFERROR(INDEX('Detalles movimientos'!L$5:L$1000, MATCH(103, 'Detalles movimientos'!$S$5:$S$1000, 0)), "")</f>
        <v/>
      </c>
      <c r="L112" s="19" t="str">
        <f>IFERROR(INDEX('Detalles movimientos'!M$5:M$1000, MATCH(103, 'Detalles movimientos'!$S$5:$S$1000, 0)), "")</f>
        <v/>
      </c>
      <c r="M112" s="19" t="str">
        <f>IFERROR(INDEX('Detalles movimientos'!P$5:P$1000, MATCH(103, 'Detalles movimientos'!$S$5:$S$1000, 0)), "")</f>
        <v/>
      </c>
    </row>
    <row r="113" spans="2:13" x14ac:dyDescent="0.2">
      <c r="B113" s="18" t="str">
        <f>IFERROR(INDEX('Detalles movimientos'!C$5:C$1000, MATCH(104, 'Detalles movimientos'!$S$5:$S$1000, 0)), "")</f>
        <v/>
      </c>
      <c r="C113" s="19" t="str">
        <f>IFERROR(INDEX('Detalles movimientos'!D$5:D$1000, MATCH(104, 'Detalles movimientos'!$S$5:$S$1000, 0)), "")</f>
        <v/>
      </c>
      <c r="D113" s="20" t="str">
        <f>IFERROR(INDEX('Detalles movimientos'!E$5:E$1000, MATCH(104, 'Detalles movimientos'!$S$5:$S$1000, 0)), "")</f>
        <v/>
      </c>
      <c r="E113" s="20" t="str">
        <f>IFERROR(INDEX('Detalles movimientos'!F$5:F$1000, MATCH(104, 'Detalles movimientos'!$S$5:$S$1000, 0)), "")</f>
        <v/>
      </c>
      <c r="F113" s="19" t="str">
        <f>IFERROR(INDEX('Detalles movimientos'!G$5:G$1000, MATCH(104, 'Detalles movimientos'!$S$5:$S$1000, 0)), "")</f>
        <v/>
      </c>
      <c r="G113" s="21" t="str">
        <f>IFERROR(INDEX('Detalles movimientos'!H$5:H$1000, MATCH(104, 'Detalles movimientos'!$S$5:$S$1000, 0)), "")</f>
        <v/>
      </c>
      <c r="H113" s="22" t="str">
        <f>IFERROR(INDEX('Detalles movimientos'!I$5:I$1000, MATCH(104, 'Detalles movimientos'!$S$5:$S$1000, 0)), "")</f>
        <v/>
      </c>
      <c r="I113" s="21" t="str">
        <f>IFERROR(INDEX('Detalles movimientos'!J$5:J$1000, MATCH(104, 'Detalles movimientos'!$S$5:$S$1000, 0)), "")</f>
        <v/>
      </c>
      <c r="J113" s="20" t="str">
        <f>IFERROR(INDEX('Detalles movimientos'!K$5:K$1000, MATCH(104, 'Detalles movimientos'!$S$5:$S$1000, 0)), "")</f>
        <v/>
      </c>
      <c r="K113" s="21" t="str">
        <f>IFERROR(INDEX('Detalles movimientos'!L$5:L$1000, MATCH(104, 'Detalles movimientos'!$S$5:$S$1000, 0)), "")</f>
        <v/>
      </c>
      <c r="L113" s="19" t="str">
        <f>IFERROR(INDEX('Detalles movimientos'!M$5:M$1000, MATCH(104, 'Detalles movimientos'!$S$5:$S$1000, 0)), "")</f>
        <v/>
      </c>
      <c r="M113" s="19" t="str">
        <f>IFERROR(INDEX('Detalles movimientos'!P$5:P$1000, MATCH(104, 'Detalles movimientos'!$S$5:$S$1000, 0)), "")</f>
        <v/>
      </c>
    </row>
    <row r="114" spans="2:13" x14ac:dyDescent="0.2">
      <c r="B114" s="18" t="str">
        <f>IFERROR(INDEX('Detalles movimientos'!C$5:C$1000, MATCH(105, 'Detalles movimientos'!$S$5:$S$1000, 0)), "")</f>
        <v/>
      </c>
      <c r="C114" s="19" t="str">
        <f>IFERROR(INDEX('Detalles movimientos'!D$5:D$1000, MATCH(105, 'Detalles movimientos'!$S$5:$S$1000, 0)), "")</f>
        <v/>
      </c>
      <c r="D114" s="20" t="str">
        <f>IFERROR(INDEX('Detalles movimientos'!E$5:E$1000, MATCH(105, 'Detalles movimientos'!$S$5:$S$1000, 0)), "")</f>
        <v/>
      </c>
      <c r="E114" s="20" t="str">
        <f>IFERROR(INDEX('Detalles movimientos'!F$5:F$1000, MATCH(105, 'Detalles movimientos'!$S$5:$S$1000, 0)), "")</f>
        <v/>
      </c>
      <c r="F114" s="19" t="str">
        <f>IFERROR(INDEX('Detalles movimientos'!G$5:G$1000, MATCH(105, 'Detalles movimientos'!$S$5:$S$1000, 0)), "")</f>
        <v/>
      </c>
      <c r="G114" s="21" t="str">
        <f>IFERROR(INDEX('Detalles movimientos'!H$5:H$1000, MATCH(105, 'Detalles movimientos'!$S$5:$S$1000, 0)), "")</f>
        <v/>
      </c>
      <c r="H114" s="22" t="str">
        <f>IFERROR(INDEX('Detalles movimientos'!I$5:I$1000, MATCH(105, 'Detalles movimientos'!$S$5:$S$1000, 0)), "")</f>
        <v/>
      </c>
      <c r="I114" s="21" t="str">
        <f>IFERROR(INDEX('Detalles movimientos'!J$5:J$1000, MATCH(105, 'Detalles movimientos'!$S$5:$S$1000, 0)), "")</f>
        <v/>
      </c>
      <c r="J114" s="20" t="str">
        <f>IFERROR(INDEX('Detalles movimientos'!K$5:K$1000, MATCH(105, 'Detalles movimientos'!$S$5:$S$1000, 0)), "")</f>
        <v/>
      </c>
      <c r="K114" s="21" t="str">
        <f>IFERROR(INDEX('Detalles movimientos'!L$5:L$1000, MATCH(105, 'Detalles movimientos'!$S$5:$S$1000, 0)), "")</f>
        <v/>
      </c>
      <c r="L114" s="19" t="str">
        <f>IFERROR(INDEX('Detalles movimientos'!M$5:M$1000, MATCH(105, 'Detalles movimientos'!$S$5:$S$1000, 0)), "")</f>
        <v/>
      </c>
      <c r="M114" s="19" t="str">
        <f>IFERROR(INDEX('Detalles movimientos'!P$5:P$1000, MATCH(105, 'Detalles movimientos'!$S$5:$S$1000, 0)), "")</f>
        <v/>
      </c>
    </row>
    <row r="115" spans="2:13" x14ac:dyDescent="0.2">
      <c r="B115" s="18" t="str">
        <f>IFERROR(INDEX('Detalles movimientos'!C$5:C$1000, MATCH(106, 'Detalles movimientos'!$S$5:$S$1000, 0)), "")</f>
        <v/>
      </c>
      <c r="C115" s="19" t="str">
        <f>IFERROR(INDEX('Detalles movimientos'!D$5:D$1000, MATCH(106, 'Detalles movimientos'!$S$5:$S$1000, 0)), "")</f>
        <v/>
      </c>
      <c r="D115" s="20" t="str">
        <f>IFERROR(INDEX('Detalles movimientos'!E$5:E$1000, MATCH(106, 'Detalles movimientos'!$S$5:$S$1000, 0)), "")</f>
        <v/>
      </c>
      <c r="E115" s="20" t="str">
        <f>IFERROR(INDEX('Detalles movimientos'!F$5:F$1000, MATCH(106, 'Detalles movimientos'!$S$5:$S$1000, 0)), "")</f>
        <v/>
      </c>
      <c r="F115" s="19" t="str">
        <f>IFERROR(INDEX('Detalles movimientos'!G$5:G$1000, MATCH(106, 'Detalles movimientos'!$S$5:$S$1000, 0)), "")</f>
        <v/>
      </c>
      <c r="G115" s="21" t="str">
        <f>IFERROR(INDEX('Detalles movimientos'!H$5:H$1000, MATCH(106, 'Detalles movimientos'!$S$5:$S$1000, 0)), "")</f>
        <v/>
      </c>
      <c r="H115" s="22" t="str">
        <f>IFERROR(INDEX('Detalles movimientos'!I$5:I$1000, MATCH(106, 'Detalles movimientos'!$S$5:$S$1000, 0)), "")</f>
        <v/>
      </c>
      <c r="I115" s="21" t="str">
        <f>IFERROR(INDEX('Detalles movimientos'!J$5:J$1000, MATCH(106, 'Detalles movimientos'!$S$5:$S$1000, 0)), "")</f>
        <v/>
      </c>
      <c r="J115" s="20" t="str">
        <f>IFERROR(INDEX('Detalles movimientos'!K$5:K$1000, MATCH(106, 'Detalles movimientos'!$S$5:$S$1000, 0)), "")</f>
        <v/>
      </c>
      <c r="K115" s="21" t="str">
        <f>IFERROR(INDEX('Detalles movimientos'!L$5:L$1000, MATCH(106, 'Detalles movimientos'!$S$5:$S$1000, 0)), "")</f>
        <v/>
      </c>
      <c r="L115" s="19" t="str">
        <f>IFERROR(INDEX('Detalles movimientos'!M$5:M$1000, MATCH(106, 'Detalles movimientos'!$S$5:$S$1000, 0)), "")</f>
        <v/>
      </c>
      <c r="M115" s="19" t="str">
        <f>IFERROR(INDEX('Detalles movimientos'!P$5:P$1000, MATCH(106, 'Detalles movimientos'!$S$5:$S$1000, 0)), "")</f>
        <v/>
      </c>
    </row>
    <row r="116" spans="2:13" x14ac:dyDescent="0.2">
      <c r="B116" s="18" t="str">
        <f>IFERROR(INDEX('Detalles movimientos'!C$5:C$1000, MATCH(107, 'Detalles movimientos'!$S$5:$S$1000, 0)), "")</f>
        <v/>
      </c>
      <c r="C116" s="19" t="str">
        <f>IFERROR(INDEX('Detalles movimientos'!D$5:D$1000, MATCH(107, 'Detalles movimientos'!$S$5:$S$1000, 0)), "")</f>
        <v/>
      </c>
      <c r="D116" s="20" t="str">
        <f>IFERROR(INDEX('Detalles movimientos'!E$5:E$1000, MATCH(107, 'Detalles movimientos'!$S$5:$S$1000, 0)), "")</f>
        <v/>
      </c>
      <c r="E116" s="20" t="str">
        <f>IFERROR(INDEX('Detalles movimientos'!F$5:F$1000, MATCH(107, 'Detalles movimientos'!$S$5:$S$1000, 0)), "")</f>
        <v/>
      </c>
      <c r="F116" s="19" t="str">
        <f>IFERROR(INDEX('Detalles movimientos'!G$5:G$1000, MATCH(107, 'Detalles movimientos'!$S$5:$S$1000, 0)), "")</f>
        <v/>
      </c>
      <c r="G116" s="21" t="str">
        <f>IFERROR(INDEX('Detalles movimientos'!H$5:H$1000, MATCH(107, 'Detalles movimientos'!$S$5:$S$1000, 0)), "")</f>
        <v/>
      </c>
      <c r="H116" s="22" t="str">
        <f>IFERROR(INDEX('Detalles movimientos'!I$5:I$1000, MATCH(107, 'Detalles movimientos'!$S$5:$S$1000, 0)), "")</f>
        <v/>
      </c>
      <c r="I116" s="21" t="str">
        <f>IFERROR(INDEX('Detalles movimientos'!J$5:J$1000, MATCH(107, 'Detalles movimientos'!$S$5:$S$1000, 0)), "")</f>
        <v/>
      </c>
      <c r="J116" s="20" t="str">
        <f>IFERROR(INDEX('Detalles movimientos'!K$5:K$1000, MATCH(107, 'Detalles movimientos'!$S$5:$S$1000, 0)), "")</f>
        <v/>
      </c>
      <c r="K116" s="21" t="str">
        <f>IFERROR(INDEX('Detalles movimientos'!L$5:L$1000, MATCH(107, 'Detalles movimientos'!$S$5:$S$1000, 0)), "")</f>
        <v/>
      </c>
      <c r="L116" s="19" t="str">
        <f>IFERROR(INDEX('Detalles movimientos'!M$5:M$1000, MATCH(107, 'Detalles movimientos'!$S$5:$S$1000, 0)), "")</f>
        <v/>
      </c>
      <c r="M116" s="19" t="str">
        <f>IFERROR(INDEX('Detalles movimientos'!P$5:P$1000, MATCH(107, 'Detalles movimientos'!$S$5:$S$1000, 0)), "")</f>
        <v/>
      </c>
    </row>
    <row r="117" spans="2:13" x14ac:dyDescent="0.2">
      <c r="B117" s="18" t="str">
        <f>IFERROR(INDEX('Detalles movimientos'!C$5:C$1000, MATCH(108, 'Detalles movimientos'!$S$5:$S$1000, 0)), "")</f>
        <v/>
      </c>
      <c r="C117" s="19" t="str">
        <f>IFERROR(INDEX('Detalles movimientos'!D$5:D$1000, MATCH(108, 'Detalles movimientos'!$S$5:$S$1000, 0)), "")</f>
        <v/>
      </c>
      <c r="D117" s="20" t="str">
        <f>IFERROR(INDEX('Detalles movimientos'!E$5:E$1000, MATCH(108, 'Detalles movimientos'!$S$5:$S$1000, 0)), "")</f>
        <v/>
      </c>
      <c r="E117" s="20" t="str">
        <f>IFERROR(INDEX('Detalles movimientos'!F$5:F$1000, MATCH(108, 'Detalles movimientos'!$S$5:$S$1000, 0)), "")</f>
        <v/>
      </c>
      <c r="F117" s="19" t="str">
        <f>IFERROR(INDEX('Detalles movimientos'!G$5:G$1000, MATCH(108, 'Detalles movimientos'!$S$5:$S$1000, 0)), "")</f>
        <v/>
      </c>
      <c r="G117" s="21" t="str">
        <f>IFERROR(INDEX('Detalles movimientos'!H$5:H$1000, MATCH(108, 'Detalles movimientos'!$S$5:$S$1000, 0)), "")</f>
        <v/>
      </c>
      <c r="H117" s="22" t="str">
        <f>IFERROR(INDEX('Detalles movimientos'!I$5:I$1000, MATCH(108, 'Detalles movimientos'!$S$5:$S$1000, 0)), "")</f>
        <v/>
      </c>
      <c r="I117" s="21" t="str">
        <f>IFERROR(INDEX('Detalles movimientos'!J$5:J$1000, MATCH(108, 'Detalles movimientos'!$S$5:$S$1000, 0)), "")</f>
        <v/>
      </c>
      <c r="J117" s="20" t="str">
        <f>IFERROR(INDEX('Detalles movimientos'!K$5:K$1000, MATCH(108, 'Detalles movimientos'!$S$5:$S$1000, 0)), "")</f>
        <v/>
      </c>
      <c r="K117" s="21" t="str">
        <f>IFERROR(INDEX('Detalles movimientos'!L$5:L$1000, MATCH(108, 'Detalles movimientos'!$S$5:$S$1000, 0)), "")</f>
        <v/>
      </c>
      <c r="L117" s="19" t="str">
        <f>IFERROR(INDEX('Detalles movimientos'!M$5:M$1000, MATCH(108, 'Detalles movimientos'!$S$5:$S$1000, 0)), "")</f>
        <v/>
      </c>
      <c r="M117" s="19" t="str">
        <f>IFERROR(INDEX('Detalles movimientos'!P$5:P$1000, MATCH(108, 'Detalles movimientos'!$S$5:$S$1000, 0)), "")</f>
        <v/>
      </c>
    </row>
    <row r="118" spans="2:13" x14ac:dyDescent="0.2">
      <c r="B118" s="18" t="str">
        <f>IFERROR(INDEX('Detalles movimientos'!C$5:C$1000, MATCH(109, 'Detalles movimientos'!$S$5:$S$1000, 0)), "")</f>
        <v/>
      </c>
      <c r="C118" s="19" t="str">
        <f>IFERROR(INDEX('Detalles movimientos'!D$5:D$1000, MATCH(109, 'Detalles movimientos'!$S$5:$S$1000, 0)), "")</f>
        <v/>
      </c>
      <c r="D118" s="20" t="str">
        <f>IFERROR(INDEX('Detalles movimientos'!E$5:E$1000, MATCH(109, 'Detalles movimientos'!$S$5:$S$1000, 0)), "")</f>
        <v/>
      </c>
      <c r="E118" s="20" t="str">
        <f>IFERROR(INDEX('Detalles movimientos'!F$5:F$1000, MATCH(109, 'Detalles movimientos'!$S$5:$S$1000, 0)), "")</f>
        <v/>
      </c>
      <c r="F118" s="19" t="str">
        <f>IFERROR(INDEX('Detalles movimientos'!G$5:G$1000, MATCH(109, 'Detalles movimientos'!$S$5:$S$1000, 0)), "")</f>
        <v/>
      </c>
      <c r="G118" s="21" t="str">
        <f>IFERROR(INDEX('Detalles movimientos'!H$5:H$1000, MATCH(109, 'Detalles movimientos'!$S$5:$S$1000, 0)), "")</f>
        <v/>
      </c>
      <c r="H118" s="22" t="str">
        <f>IFERROR(INDEX('Detalles movimientos'!I$5:I$1000, MATCH(109, 'Detalles movimientos'!$S$5:$S$1000, 0)), "")</f>
        <v/>
      </c>
      <c r="I118" s="21" t="str">
        <f>IFERROR(INDEX('Detalles movimientos'!J$5:J$1000, MATCH(109, 'Detalles movimientos'!$S$5:$S$1000, 0)), "")</f>
        <v/>
      </c>
      <c r="J118" s="20" t="str">
        <f>IFERROR(INDEX('Detalles movimientos'!K$5:K$1000, MATCH(109, 'Detalles movimientos'!$S$5:$S$1000, 0)), "")</f>
        <v/>
      </c>
      <c r="K118" s="21" t="str">
        <f>IFERROR(INDEX('Detalles movimientos'!L$5:L$1000, MATCH(109, 'Detalles movimientos'!$S$5:$S$1000, 0)), "")</f>
        <v/>
      </c>
      <c r="L118" s="19" t="str">
        <f>IFERROR(INDEX('Detalles movimientos'!M$5:M$1000, MATCH(109, 'Detalles movimientos'!$S$5:$S$1000, 0)), "")</f>
        <v/>
      </c>
      <c r="M118" s="19" t="str">
        <f>IFERROR(INDEX('Detalles movimientos'!P$5:P$1000, MATCH(109, 'Detalles movimientos'!$S$5:$S$1000, 0)), "")</f>
        <v/>
      </c>
    </row>
    <row r="119" spans="2:13" x14ac:dyDescent="0.2">
      <c r="B119" s="18" t="str">
        <f>IFERROR(INDEX('Detalles movimientos'!C$5:C$1000, MATCH(110, 'Detalles movimientos'!$S$5:$S$1000, 0)), "")</f>
        <v/>
      </c>
      <c r="C119" s="19" t="str">
        <f>IFERROR(INDEX('Detalles movimientos'!D$5:D$1000, MATCH(110, 'Detalles movimientos'!$S$5:$S$1000, 0)), "")</f>
        <v/>
      </c>
      <c r="D119" s="20" t="str">
        <f>IFERROR(INDEX('Detalles movimientos'!E$5:E$1000, MATCH(110, 'Detalles movimientos'!$S$5:$S$1000, 0)), "")</f>
        <v/>
      </c>
      <c r="E119" s="20" t="str">
        <f>IFERROR(INDEX('Detalles movimientos'!F$5:F$1000, MATCH(110, 'Detalles movimientos'!$S$5:$S$1000, 0)), "")</f>
        <v/>
      </c>
      <c r="F119" s="19" t="str">
        <f>IFERROR(INDEX('Detalles movimientos'!G$5:G$1000, MATCH(110, 'Detalles movimientos'!$S$5:$S$1000, 0)), "")</f>
        <v/>
      </c>
      <c r="G119" s="21" t="str">
        <f>IFERROR(INDEX('Detalles movimientos'!H$5:H$1000, MATCH(110, 'Detalles movimientos'!$S$5:$S$1000, 0)), "")</f>
        <v/>
      </c>
      <c r="H119" s="22" t="str">
        <f>IFERROR(INDEX('Detalles movimientos'!I$5:I$1000, MATCH(110, 'Detalles movimientos'!$S$5:$S$1000, 0)), "")</f>
        <v/>
      </c>
      <c r="I119" s="21" t="str">
        <f>IFERROR(INDEX('Detalles movimientos'!J$5:J$1000, MATCH(110, 'Detalles movimientos'!$S$5:$S$1000, 0)), "")</f>
        <v/>
      </c>
      <c r="J119" s="20" t="str">
        <f>IFERROR(INDEX('Detalles movimientos'!K$5:K$1000, MATCH(110, 'Detalles movimientos'!$S$5:$S$1000, 0)), "")</f>
        <v/>
      </c>
      <c r="K119" s="21" t="str">
        <f>IFERROR(INDEX('Detalles movimientos'!L$5:L$1000, MATCH(110, 'Detalles movimientos'!$S$5:$S$1000, 0)), "")</f>
        <v/>
      </c>
      <c r="L119" s="19" t="str">
        <f>IFERROR(INDEX('Detalles movimientos'!M$5:M$1000, MATCH(110, 'Detalles movimientos'!$S$5:$S$1000, 0)), "")</f>
        <v/>
      </c>
      <c r="M119" s="19" t="str">
        <f>IFERROR(INDEX('Detalles movimientos'!P$5:P$1000, MATCH(110, 'Detalles movimientos'!$S$5:$S$1000, 0)), "")</f>
        <v/>
      </c>
    </row>
    <row r="120" spans="2:13" x14ac:dyDescent="0.2">
      <c r="B120" s="18" t="str">
        <f>IFERROR(INDEX('Detalles movimientos'!C$5:C$1000, MATCH(111, 'Detalles movimientos'!$S$5:$S$1000, 0)), "")</f>
        <v/>
      </c>
      <c r="C120" s="19" t="str">
        <f>IFERROR(INDEX('Detalles movimientos'!D$5:D$1000, MATCH(111, 'Detalles movimientos'!$S$5:$S$1000, 0)), "")</f>
        <v/>
      </c>
      <c r="D120" s="20" t="str">
        <f>IFERROR(INDEX('Detalles movimientos'!E$5:E$1000, MATCH(111, 'Detalles movimientos'!$S$5:$S$1000, 0)), "")</f>
        <v/>
      </c>
      <c r="E120" s="20" t="str">
        <f>IFERROR(INDEX('Detalles movimientos'!F$5:F$1000, MATCH(111, 'Detalles movimientos'!$S$5:$S$1000, 0)), "")</f>
        <v/>
      </c>
      <c r="F120" s="19" t="str">
        <f>IFERROR(INDEX('Detalles movimientos'!G$5:G$1000, MATCH(111, 'Detalles movimientos'!$S$5:$S$1000, 0)), "")</f>
        <v/>
      </c>
      <c r="G120" s="21" t="str">
        <f>IFERROR(INDEX('Detalles movimientos'!H$5:H$1000, MATCH(111, 'Detalles movimientos'!$S$5:$S$1000, 0)), "")</f>
        <v/>
      </c>
      <c r="H120" s="22" t="str">
        <f>IFERROR(INDEX('Detalles movimientos'!I$5:I$1000, MATCH(111, 'Detalles movimientos'!$S$5:$S$1000, 0)), "")</f>
        <v/>
      </c>
      <c r="I120" s="21" t="str">
        <f>IFERROR(INDEX('Detalles movimientos'!J$5:J$1000, MATCH(111, 'Detalles movimientos'!$S$5:$S$1000, 0)), "")</f>
        <v/>
      </c>
      <c r="J120" s="20" t="str">
        <f>IFERROR(INDEX('Detalles movimientos'!K$5:K$1000, MATCH(111, 'Detalles movimientos'!$S$5:$S$1000, 0)), "")</f>
        <v/>
      </c>
      <c r="K120" s="21" t="str">
        <f>IFERROR(INDEX('Detalles movimientos'!L$5:L$1000, MATCH(111, 'Detalles movimientos'!$S$5:$S$1000, 0)), "")</f>
        <v/>
      </c>
      <c r="L120" s="19" t="str">
        <f>IFERROR(INDEX('Detalles movimientos'!M$5:M$1000, MATCH(111, 'Detalles movimientos'!$S$5:$S$1000, 0)), "")</f>
        <v/>
      </c>
      <c r="M120" s="19" t="str">
        <f>IFERROR(INDEX('Detalles movimientos'!P$5:P$1000, MATCH(111, 'Detalles movimientos'!$S$5:$S$1000, 0)), "")</f>
        <v/>
      </c>
    </row>
    <row r="121" spans="2:13" x14ac:dyDescent="0.2">
      <c r="B121" s="18" t="str">
        <f>IFERROR(INDEX('Detalles movimientos'!C$5:C$1000, MATCH(112, 'Detalles movimientos'!$S$5:$S$1000, 0)), "")</f>
        <v/>
      </c>
      <c r="C121" s="19" t="str">
        <f>IFERROR(INDEX('Detalles movimientos'!D$5:D$1000, MATCH(112, 'Detalles movimientos'!$S$5:$S$1000, 0)), "")</f>
        <v/>
      </c>
      <c r="D121" s="20" t="str">
        <f>IFERROR(INDEX('Detalles movimientos'!E$5:E$1000, MATCH(112, 'Detalles movimientos'!$S$5:$S$1000, 0)), "")</f>
        <v/>
      </c>
      <c r="E121" s="20" t="str">
        <f>IFERROR(INDEX('Detalles movimientos'!F$5:F$1000, MATCH(112, 'Detalles movimientos'!$S$5:$S$1000, 0)), "")</f>
        <v/>
      </c>
      <c r="F121" s="19" t="str">
        <f>IFERROR(INDEX('Detalles movimientos'!G$5:G$1000, MATCH(112, 'Detalles movimientos'!$S$5:$S$1000, 0)), "")</f>
        <v/>
      </c>
      <c r="G121" s="21" t="str">
        <f>IFERROR(INDEX('Detalles movimientos'!H$5:H$1000, MATCH(112, 'Detalles movimientos'!$S$5:$S$1000, 0)), "")</f>
        <v/>
      </c>
      <c r="H121" s="22" t="str">
        <f>IFERROR(INDEX('Detalles movimientos'!I$5:I$1000, MATCH(112, 'Detalles movimientos'!$S$5:$S$1000, 0)), "")</f>
        <v/>
      </c>
      <c r="I121" s="21" t="str">
        <f>IFERROR(INDEX('Detalles movimientos'!J$5:J$1000, MATCH(112, 'Detalles movimientos'!$S$5:$S$1000, 0)), "")</f>
        <v/>
      </c>
      <c r="J121" s="20" t="str">
        <f>IFERROR(INDEX('Detalles movimientos'!K$5:K$1000, MATCH(112, 'Detalles movimientos'!$S$5:$S$1000, 0)), "")</f>
        <v/>
      </c>
      <c r="K121" s="21" t="str">
        <f>IFERROR(INDEX('Detalles movimientos'!L$5:L$1000, MATCH(112, 'Detalles movimientos'!$S$5:$S$1000, 0)), "")</f>
        <v/>
      </c>
      <c r="L121" s="19" t="str">
        <f>IFERROR(INDEX('Detalles movimientos'!M$5:M$1000, MATCH(112, 'Detalles movimientos'!$S$5:$S$1000, 0)), "")</f>
        <v/>
      </c>
      <c r="M121" s="19" t="str">
        <f>IFERROR(INDEX('Detalles movimientos'!P$5:P$1000, MATCH(112, 'Detalles movimientos'!$S$5:$S$1000, 0)), "")</f>
        <v/>
      </c>
    </row>
    <row r="122" spans="2:13" x14ac:dyDescent="0.2">
      <c r="B122" s="18" t="str">
        <f>IFERROR(INDEX('Detalles movimientos'!C$5:C$1000, MATCH(113, 'Detalles movimientos'!$S$5:$S$1000, 0)), "")</f>
        <v/>
      </c>
      <c r="C122" s="19" t="str">
        <f>IFERROR(INDEX('Detalles movimientos'!D$5:D$1000, MATCH(113, 'Detalles movimientos'!$S$5:$S$1000, 0)), "")</f>
        <v/>
      </c>
      <c r="D122" s="20" t="str">
        <f>IFERROR(INDEX('Detalles movimientos'!E$5:E$1000, MATCH(113, 'Detalles movimientos'!$S$5:$S$1000, 0)), "")</f>
        <v/>
      </c>
      <c r="E122" s="20" t="str">
        <f>IFERROR(INDEX('Detalles movimientos'!F$5:F$1000, MATCH(113, 'Detalles movimientos'!$S$5:$S$1000, 0)), "")</f>
        <v/>
      </c>
      <c r="F122" s="19" t="str">
        <f>IFERROR(INDEX('Detalles movimientos'!G$5:G$1000, MATCH(113, 'Detalles movimientos'!$S$5:$S$1000, 0)), "")</f>
        <v/>
      </c>
      <c r="G122" s="21" t="str">
        <f>IFERROR(INDEX('Detalles movimientos'!H$5:H$1000, MATCH(113, 'Detalles movimientos'!$S$5:$S$1000, 0)), "")</f>
        <v/>
      </c>
      <c r="H122" s="22" t="str">
        <f>IFERROR(INDEX('Detalles movimientos'!I$5:I$1000, MATCH(113, 'Detalles movimientos'!$S$5:$S$1000, 0)), "")</f>
        <v/>
      </c>
      <c r="I122" s="21" t="str">
        <f>IFERROR(INDEX('Detalles movimientos'!J$5:J$1000, MATCH(113, 'Detalles movimientos'!$S$5:$S$1000, 0)), "")</f>
        <v/>
      </c>
      <c r="J122" s="20" t="str">
        <f>IFERROR(INDEX('Detalles movimientos'!K$5:K$1000, MATCH(113, 'Detalles movimientos'!$S$5:$S$1000, 0)), "")</f>
        <v/>
      </c>
      <c r="K122" s="21" t="str">
        <f>IFERROR(INDEX('Detalles movimientos'!L$5:L$1000, MATCH(113, 'Detalles movimientos'!$S$5:$S$1000, 0)), "")</f>
        <v/>
      </c>
      <c r="L122" s="19" t="str">
        <f>IFERROR(INDEX('Detalles movimientos'!M$5:M$1000, MATCH(113, 'Detalles movimientos'!$S$5:$S$1000, 0)), "")</f>
        <v/>
      </c>
      <c r="M122" s="19" t="str">
        <f>IFERROR(INDEX('Detalles movimientos'!P$5:P$1000, MATCH(113, 'Detalles movimientos'!$S$5:$S$1000, 0)), "")</f>
        <v/>
      </c>
    </row>
    <row r="123" spans="2:13" x14ac:dyDescent="0.2">
      <c r="B123" s="18" t="str">
        <f>IFERROR(INDEX('Detalles movimientos'!C$5:C$1000, MATCH(114, 'Detalles movimientos'!$S$5:$S$1000, 0)), "")</f>
        <v/>
      </c>
      <c r="C123" s="19" t="str">
        <f>IFERROR(INDEX('Detalles movimientos'!D$5:D$1000, MATCH(114, 'Detalles movimientos'!$S$5:$S$1000, 0)), "")</f>
        <v/>
      </c>
      <c r="D123" s="20" t="str">
        <f>IFERROR(INDEX('Detalles movimientos'!E$5:E$1000, MATCH(114, 'Detalles movimientos'!$S$5:$S$1000, 0)), "")</f>
        <v/>
      </c>
      <c r="E123" s="20" t="str">
        <f>IFERROR(INDEX('Detalles movimientos'!F$5:F$1000, MATCH(114, 'Detalles movimientos'!$S$5:$S$1000, 0)), "")</f>
        <v/>
      </c>
      <c r="F123" s="19" t="str">
        <f>IFERROR(INDEX('Detalles movimientos'!G$5:G$1000, MATCH(114, 'Detalles movimientos'!$S$5:$S$1000, 0)), "")</f>
        <v/>
      </c>
      <c r="G123" s="21" t="str">
        <f>IFERROR(INDEX('Detalles movimientos'!H$5:H$1000, MATCH(114, 'Detalles movimientos'!$S$5:$S$1000, 0)), "")</f>
        <v/>
      </c>
      <c r="H123" s="22" t="str">
        <f>IFERROR(INDEX('Detalles movimientos'!I$5:I$1000, MATCH(114, 'Detalles movimientos'!$S$5:$S$1000, 0)), "")</f>
        <v/>
      </c>
      <c r="I123" s="21" t="str">
        <f>IFERROR(INDEX('Detalles movimientos'!J$5:J$1000, MATCH(114, 'Detalles movimientos'!$S$5:$S$1000, 0)), "")</f>
        <v/>
      </c>
      <c r="J123" s="20" t="str">
        <f>IFERROR(INDEX('Detalles movimientos'!K$5:K$1000, MATCH(114, 'Detalles movimientos'!$S$5:$S$1000, 0)), "")</f>
        <v/>
      </c>
      <c r="K123" s="21" t="str">
        <f>IFERROR(INDEX('Detalles movimientos'!L$5:L$1000, MATCH(114, 'Detalles movimientos'!$S$5:$S$1000, 0)), "")</f>
        <v/>
      </c>
      <c r="L123" s="19" t="str">
        <f>IFERROR(INDEX('Detalles movimientos'!M$5:M$1000, MATCH(114, 'Detalles movimientos'!$S$5:$S$1000, 0)), "")</f>
        <v/>
      </c>
      <c r="M123" s="19" t="str">
        <f>IFERROR(INDEX('Detalles movimientos'!P$5:P$1000, MATCH(114, 'Detalles movimientos'!$S$5:$S$1000, 0)), "")</f>
        <v/>
      </c>
    </row>
    <row r="124" spans="2:13" x14ac:dyDescent="0.2">
      <c r="B124" s="18" t="str">
        <f>IFERROR(INDEX('Detalles movimientos'!C$5:C$1000, MATCH(115, 'Detalles movimientos'!$S$5:$S$1000, 0)), "")</f>
        <v/>
      </c>
      <c r="C124" s="19" t="str">
        <f>IFERROR(INDEX('Detalles movimientos'!D$5:D$1000, MATCH(115, 'Detalles movimientos'!$S$5:$S$1000, 0)), "")</f>
        <v/>
      </c>
      <c r="D124" s="20" t="str">
        <f>IFERROR(INDEX('Detalles movimientos'!E$5:E$1000, MATCH(115, 'Detalles movimientos'!$S$5:$S$1000, 0)), "")</f>
        <v/>
      </c>
      <c r="E124" s="20" t="str">
        <f>IFERROR(INDEX('Detalles movimientos'!F$5:F$1000, MATCH(115, 'Detalles movimientos'!$S$5:$S$1000, 0)), "")</f>
        <v/>
      </c>
      <c r="F124" s="19" t="str">
        <f>IFERROR(INDEX('Detalles movimientos'!G$5:G$1000, MATCH(115, 'Detalles movimientos'!$S$5:$S$1000, 0)), "")</f>
        <v/>
      </c>
      <c r="G124" s="21" t="str">
        <f>IFERROR(INDEX('Detalles movimientos'!H$5:H$1000, MATCH(115, 'Detalles movimientos'!$S$5:$S$1000, 0)), "")</f>
        <v/>
      </c>
      <c r="H124" s="22" t="str">
        <f>IFERROR(INDEX('Detalles movimientos'!I$5:I$1000, MATCH(115, 'Detalles movimientos'!$S$5:$S$1000, 0)), "")</f>
        <v/>
      </c>
      <c r="I124" s="21" t="str">
        <f>IFERROR(INDEX('Detalles movimientos'!J$5:J$1000, MATCH(115, 'Detalles movimientos'!$S$5:$S$1000, 0)), "")</f>
        <v/>
      </c>
      <c r="J124" s="20" t="str">
        <f>IFERROR(INDEX('Detalles movimientos'!K$5:K$1000, MATCH(115, 'Detalles movimientos'!$S$5:$S$1000, 0)), "")</f>
        <v/>
      </c>
      <c r="K124" s="21" t="str">
        <f>IFERROR(INDEX('Detalles movimientos'!L$5:L$1000, MATCH(115, 'Detalles movimientos'!$S$5:$S$1000, 0)), "")</f>
        <v/>
      </c>
      <c r="L124" s="19" t="str">
        <f>IFERROR(INDEX('Detalles movimientos'!M$5:M$1000, MATCH(115, 'Detalles movimientos'!$S$5:$S$1000, 0)), "")</f>
        <v/>
      </c>
      <c r="M124" s="19" t="str">
        <f>IFERROR(INDEX('Detalles movimientos'!P$5:P$1000, MATCH(115, 'Detalles movimientos'!$S$5:$S$1000, 0)), "")</f>
        <v/>
      </c>
    </row>
    <row r="125" spans="2:13" x14ac:dyDescent="0.2">
      <c r="B125" s="18" t="str">
        <f>IFERROR(INDEX('Detalles movimientos'!C$5:C$1000, MATCH(116, 'Detalles movimientos'!$S$5:$S$1000, 0)), "")</f>
        <v/>
      </c>
      <c r="C125" s="19" t="str">
        <f>IFERROR(INDEX('Detalles movimientos'!D$5:D$1000, MATCH(116, 'Detalles movimientos'!$S$5:$S$1000, 0)), "")</f>
        <v/>
      </c>
      <c r="D125" s="20" t="str">
        <f>IFERROR(INDEX('Detalles movimientos'!E$5:E$1000, MATCH(116, 'Detalles movimientos'!$S$5:$S$1000, 0)), "")</f>
        <v/>
      </c>
      <c r="E125" s="20" t="str">
        <f>IFERROR(INDEX('Detalles movimientos'!F$5:F$1000, MATCH(116, 'Detalles movimientos'!$S$5:$S$1000, 0)), "")</f>
        <v/>
      </c>
      <c r="F125" s="19" t="str">
        <f>IFERROR(INDEX('Detalles movimientos'!G$5:G$1000, MATCH(116, 'Detalles movimientos'!$S$5:$S$1000, 0)), "")</f>
        <v/>
      </c>
      <c r="G125" s="21" t="str">
        <f>IFERROR(INDEX('Detalles movimientos'!H$5:H$1000, MATCH(116, 'Detalles movimientos'!$S$5:$S$1000, 0)), "")</f>
        <v/>
      </c>
      <c r="H125" s="22" t="str">
        <f>IFERROR(INDEX('Detalles movimientos'!I$5:I$1000, MATCH(116, 'Detalles movimientos'!$S$5:$S$1000, 0)), "")</f>
        <v/>
      </c>
      <c r="I125" s="21" t="str">
        <f>IFERROR(INDEX('Detalles movimientos'!J$5:J$1000, MATCH(116, 'Detalles movimientos'!$S$5:$S$1000, 0)), "")</f>
        <v/>
      </c>
      <c r="J125" s="20" t="str">
        <f>IFERROR(INDEX('Detalles movimientos'!K$5:K$1000, MATCH(116, 'Detalles movimientos'!$S$5:$S$1000, 0)), "")</f>
        <v/>
      </c>
      <c r="K125" s="21" t="str">
        <f>IFERROR(INDEX('Detalles movimientos'!L$5:L$1000, MATCH(116, 'Detalles movimientos'!$S$5:$S$1000, 0)), "")</f>
        <v/>
      </c>
      <c r="L125" s="19" t="str">
        <f>IFERROR(INDEX('Detalles movimientos'!M$5:M$1000, MATCH(116, 'Detalles movimientos'!$S$5:$S$1000, 0)), "")</f>
        <v/>
      </c>
      <c r="M125" s="19" t="str">
        <f>IFERROR(INDEX('Detalles movimientos'!P$5:P$1000, MATCH(116, 'Detalles movimientos'!$S$5:$S$1000, 0)), "")</f>
        <v/>
      </c>
    </row>
    <row r="126" spans="2:13" x14ac:dyDescent="0.2">
      <c r="B126" s="18" t="str">
        <f>IFERROR(INDEX('Detalles movimientos'!C$5:C$1000, MATCH(117, 'Detalles movimientos'!$S$5:$S$1000, 0)), "")</f>
        <v/>
      </c>
      <c r="C126" s="19" t="str">
        <f>IFERROR(INDEX('Detalles movimientos'!D$5:D$1000, MATCH(117, 'Detalles movimientos'!$S$5:$S$1000, 0)), "")</f>
        <v/>
      </c>
      <c r="D126" s="20" t="str">
        <f>IFERROR(INDEX('Detalles movimientos'!E$5:E$1000, MATCH(117, 'Detalles movimientos'!$S$5:$S$1000, 0)), "")</f>
        <v/>
      </c>
      <c r="E126" s="20" t="str">
        <f>IFERROR(INDEX('Detalles movimientos'!F$5:F$1000, MATCH(117, 'Detalles movimientos'!$S$5:$S$1000, 0)), "")</f>
        <v/>
      </c>
      <c r="F126" s="19" t="str">
        <f>IFERROR(INDEX('Detalles movimientos'!G$5:G$1000, MATCH(117, 'Detalles movimientos'!$S$5:$S$1000, 0)), "")</f>
        <v/>
      </c>
      <c r="G126" s="21" t="str">
        <f>IFERROR(INDEX('Detalles movimientos'!H$5:H$1000, MATCH(117, 'Detalles movimientos'!$S$5:$S$1000, 0)), "")</f>
        <v/>
      </c>
      <c r="H126" s="22" t="str">
        <f>IFERROR(INDEX('Detalles movimientos'!I$5:I$1000, MATCH(117, 'Detalles movimientos'!$S$5:$S$1000, 0)), "")</f>
        <v/>
      </c>
      <c r="I126" s="21" t="str">
        <f>IFERROR(INDEX('Detalles movimientos'!J$5:J$1000, MATCH(117, 'Detalles movimientos'!$S$5:$S$1000, 0)), "")</f>
        <v/>
      </c>
      <c r="J126" s="20" t="str">
        <f>IFERROR(INDEX('Detalles movimientos'!K$5:K$1000, MATCH(117, 'Detalles movimientos'!$S$5:$S$1000, 0)), "")</f>
        <v/>
      </c>
      <c r="K126" s="21" t="str">
        <f>IFERROR(INDEX('Detalles movimientos'!L$5:L$1000, MATCH(117, 'Detalles movimientos'!$S$5:$S$1000, 0)), "")</f>
        <v/>
      </c>
      <c r="L126" s="19" t="str">
        <f>IFERROR(INDEX('Detalles movimientos'!M$5:M$1000, MATCH(117, 'Detalles movimientos'!$S$5:$S$1000, 0)), "")</f>
        <v/>
      </c>
      <c r="M126" s="19" t="str">
        <f>IFERROR(INDEX('Detalles movimientos'!P$5:P$1000, MATCH(117, 'Detalles movimientos'!$S$5:$S$1000, 0)), "")</f>
        <v/>
      </c>
    </row>
    <row r="127" spans="2:13" x14ac:dyDescent="0.2">
      <c r="B127" s="18" t="str">
        <f>IFERROR(INDEX('Detalles movimientos'!C$5:C$1000, MATCH(118, 'Detalles movimientos'!$S$5:$S$1000, 0)), "")</f>
        <v/>
      </c>
      <c r="C127" s="19" t="str">
        <f>IFERROR(INDEX('Detalles movimientos'!D$5:D$1000, MATCH(118, 'Detalles movimientos'!$S$5:$S$1000, 0)), "")</f>
        <v/>
      </c>
      <c r="D127" s="20" t="str">
        <f>IFERROR(INDEX('Detalles movimientos'!E$5:E$1000, MATCH(118, 'Detalles movimientos'!$S$5:$S$1000, 0)), "")</f>
        <v/>
      </c>
      <c r="E127" s="20" t="str">
        <f>IFERROR(INDEX('Detalles movimientos'!F$5:F$1000, MATCH(118, 'Detalles movimientos'!$S$5:$S$1000, 0)), "")</f>
        <v/>
      </c>
      <c r="F127" s="19" t="str">
        <f>IFERROR(INDEX('Detalles movimientos'!G$5:G$1000, MATCH(118, 'Detalles movimientos'!$S$5:$S$1000, 0)), "")</f>
        <v/>
      </c>
      <c r="G127" s="21" t="str">
        <f>IFERROR(INDEX('Detalles movimientos'!H$5:H$1000, MATCH(118, 'Detalles movimientos'!$S$5:$S$1000, 0)), "")</f>
        <v/>
      </c>
      <c r="H127" s="22" t="str">
        <f>IFERROR(INDEX('Detalles movimientos'!I$5:I$1000, MATCH(118, 'Detalles movimientos'!$S$5:$S$1000, 0)), "")</f>
        <v/>
      </c>
      <c r="I127" s="21" t="str">
        <f>IFERROR(INDEX('Detalles movimientos'!J$5:J$1000, MATCH(118, 'Detalles movimientos'!$S$5:$S$1000, 0)), "")</f>
        <v/>
      </c>
      <c r="J127" s="20" t="str">
        <f>IFERROR(INDEX('Detalles movimientos'!K$5:K$1000, MATCH(118, 'Detalles movimientos'!$S$5:$S$1000, 0)), "")</f>
        <v/>
      </c>
      <c r="K127" s="21" t="str">
        <f>IFERROR(INDEX('Detalles movimientos'!L$5:L$1000, MATCH(118, 'Detalles movimientos'!$S$5:$S$1000, 0)), "")</f>
        <v/>
      </c>
      <c r="L127" s="19" t="str">
        <f>IFERROR(INDEX('Detalles movimientos'!M$5:M$1000, MATCH(118, 'Detalles movimientos'!$S$5:$S$1000, 0)), "")</f>
        <v/>
      </c>
      <c r="M127" s="19" t="str">
        <f>IFERROR(INDEX('Detalles movimientos'!P$5:P$1000, MATCH(118, 'Detalles movimientos'!$S$5:$S$1000, 0)), "")</f>
        <v/>
      </c>
    </row>
    <row r="128" spans="2:13" x14ac:dyDescent="0.2">
      <c r="B128" s="18" t="str">
        <f>IFERROR(INDEX('Detalles movimientos'!C$5:C$1000, MATCH(119, 'Detalles movimientos'!$S$5:$S$1000, 0)), "")</f>
        <v/>
      </c>
      <c r="C128" s="19" t="str">
        <f>IFERROR(INDEX('Detalles movimientos'!D$5:D$1000, MATCH(119, 'Detalles movimientos'!$S$5:$S$1000, 0)), "")</f>
        <v/>
      </c>
      <c r="D128" s="20" t="str">
        <f>IFERROR(INDEX('Detalles movimientos'!E$5:E$1000, MATCH(119, 'Detalles movimientos'!$S$5:$S$1000, 0)), "")</f>
        <v/>
      </c>
      <c r="E128" s="20" t="str">
        <f>IFERROR(INDEX('Detalles movimientos'!F$5:F$1000, MATCH(119, 'Detalles movimientos'!$S$5:$S$1000, 0)), "")</f>
        <v/>
      </c>
      <c r="F128" s="19" t="str">
        <f>IFERROR(INDEX('Detalles movimientos'!G$5:G$1000, MATCH(119, 'Detalles movimientos'!$S$5:$S$1000, 0)), "")</f>
        <v/>
      </c>
      <c r="G128" s="21" t="str">
        <f>IFERROR(INDEX('Detalles movimientos'!H$5:H$1000, MATCH(119, 'Detalles movimientos'!$S$5:$S$1000, 0)), "")</f>
        <v/>
      </c>
      <c r="H128" s="22" t="str">
        <f>IFERROR(INDEX('Detalles movimientos'!I$5:I$1000, MATCH(119, 'Detalles movimientos'!$S$5:$S$1000, 0)), "")</f>
        <v/>
      </c>
      <c r="I128" s="21" t="str">
        <f>IFERROR(INDEX('Detalles movimientos'!J$5:J$1000, MATCH(119, 'Detalles movimientos'!$S$5:$S$1000, 0)), "")</f>
        <v/>
      </c>
      <c r="J128" s="20" t="str">
        <f>IFERROR(INDEX('Detalles movimientos'!K$5:K$1000, MATCH(119, 'Detalles movimientos'!$S$5:$S$1000, 0)), "")</f>
        <v/>
      </c>
      <c r="K128" s="21" t="str">
        <f>IFERROR(INDEX('Detalles movimientos'!L$5:L$1000, MATCH(119, 'Detalles movimientos'!$S$5:$S$1000, 0)), "")</f>
        <v/>
      </c>
      <c r="L128" s="19" t="str">
        <f>IFERROR(INDEX('Detalles movimientos'!M$5:M$1000, MATCH(119, 'Detalles movimientos'!$S$5:$S$1000, 0)), "")</f>
        <v/>
      </c>
      <c r="M128" s="19" t="str">
        <f>IFERROR(INDEX('Detalles movimientos'!P$5:P$1000, MATCH(119, 'Detalles movimientos'!$S$5:$S$1000, 0)), "")</f>
        <v/>
      </c>
    </row>
    <row r="129" spans="2:13" x14ac:dyDescent="0.2">
      <c r="B129" s="18" t="str">
        <f>IFERROR(INDEX('Detalles movimientos'!C$5:C$1000, MATCH(120, 'Detalles movimientos'!$S$5:$S$1000, 0)), "")</f>
        <v/>
      </c>
      <c r="C129" s="19" t="str">
        <f>IFERROR(INDEX('Detalles movimientos'!D$5:D$1000, MATCH(120, 'Detalles movimientos'!$S$5:$S$1000, 0)), "")</f>
        <v/>
      </c>
      <c r="D129" s="20" t="str">
        <f>IFERROR(INDEX('Detalles movimientos'!E$5:E$1000, MATCH(120, 'Detalles movimientos'!$S$5:$S$1000, 0)), "")</f>
        <v/>
      </c>
      <c r="E129" s="20" t="str">
        <f>IFERROR(INDEX('Detalles movimientos'!F$5:F$1000, MATCH(120, 'Detalles movimientos'!$S$5:$S$1000, 0)), "")</f>
        <v/>
      </c>
      <c r="F129" s="19" t="str">
        <f>IFERROR(INDEX('Detalles movimientos'!G$5:G$1000, MATCH(120, 'Detalles movimientos'!$S$5:$S$1000, 0)), "")</f>
        <v/>
      </c>
      <c r="G129" s="21" t="str">
        <f>IFERROR(INDEX('Detalles movimientos'!H$5:H$1000, MATCH(120, 'Detalles movimientos'!$S$5:$S$1000, 0)), "")</f>
        <v/>
      </c>
      <c r="H129" s="22" t="str">
        <f>IFERROR(INDEX('Detalles movimientos'!I$5:I$1000, MATCH(120, 'Detalles movimientos'!$S$5:$S$1000, 0)), "")</f>
        <v/>
      </c>
      <c r="I129" s="21" t="str">
        <f>IFERROR(INDEX('Detalles movimientos'!J$5:J$1000, MATCH(120, 'Detalles movimientos'!$S$5:$S$1000, 0)), "")</f>
        <v/>
      </c>
      <c r="J129" s="20" t="str">
        <f>IFERROR(INDEX('Detalles movimientos'!K$5:K$1000, MATCH(120, 'Detalles movimientos'!$S$5:$S$1000, 0)), "")</f>
        <v/>
      </c>
      <c r="K129" s="21" t="str">
        <f>IFERROR(INDEX('Detalles movimientos'!L$5:L$1000, MATCH(120, 'Detalles movimientos'!$S$5:$S$1000, 0)), "")</f>
        <v/>
      </c>
      <c r="L129" s="19" t="str">
        <f>IFERROR(INDEX('Detalles movimientos'!M$5:M$1000, MATCH(120, 'Detalles movimientos'!$S$5:$S$1000, 0)), "")</f>
        <v/>
      </c>
      <c r="M129" s="19" t="str">
        <f>IFERROR(INDEX('Detalles movimientos'!P$5:P$1000, MATCH(120, 'Detalles movimientos'!$S$5:$S$1000, 0)), "")</f>
        <v/>
      </c>
    </row>
    <row r="130" spans="2:13" x14ac:dyDescent="0.2">
      <c r="B130" s="18" t="str">
        <f>IFERROR(INDEX('Detalles movimientos'!C$5:C$1000, MATCH(121, 'Detalles movimientos'!$S$5:$S$1000, 0)), "")</f>
        <v/>
      </c>
      <c r="C130" s="19" t="str">
        <f>IFERROR(INDEX('Detalles movimientos'!D$5:D$1000, MATCH(121, 'Detalles movimientos'!$S$5:$S$1000, 0)), "")</f>
        <v/>
      </c>
      <c r="D130" s="20" t="str">
        <f>IFERROR(INDEX('Detalles movimientos'!E$5:E$1000, MATCH(121, 'Detalles movimientos'!$S$5:$S$1000, 0)), "")</f>
        <v/>
      </c>
      <c r="E130" s="20" t="str">
        <f>IFERROR(INDEX('Detalles movimientos'!F$5:F$1000, MATCH(121, 'Detalles movimientos'!$S$5:$S$1000, 0)), "")</f>
        <v/>
      </c>
      <c r="F130" s="19" t="str">
        <f>IFERROR(INDEX('Detalles movimientos'!G$5:G$1000, MATCH(121, 'Detalles movimientos'!$S$5:$S$1000, 0)), "")</f>
        <v/>
      </c>
      <c r="G130" s="21" t="str">
        <f>IFERROR(INDEX('Detalles movimientos'!H$5:H$1000, MATCH(121, 'Detalles movimientos'!$S$5:$S$1000, 0)), "")</f>
        <v/>
      </c>
      <c r="H130" s="22" t="str">
        <f>IFERROR(INDEX('Detalles movimientos'!I$5:I$1000, MATCH(121, 'Detalles movimientos'!$S$5:$S$1000, 0)), "")</f>
        <v/>
      </c>
      <c r="I130" s="21" t="str">
        <f>IFERROR(INDEX('Detalles movimientos'!J$5:J$1000, MATCH(121, 'Detalles movimientos'!$S$5:$S$1000, 0)), "")</f>
        <v/>
      </c>
      <c r="J130" s="20" t="str">
        <f>IFERROR(INDEX('Detalles movimientos'!K$5:K$1000, MATCH(121, 'Detalles movimientos'!$S$5:$S$1000, 0)), "")</f>
        <v/>
      </c>
      <c r="K130" s="21" t="str">
        <f>IFERROR(INDEX('Detalles movimientos'!L$5:L$1000, MATCH(121, 'Detalles movimientos'!$S$5:$S$1000, 0)), "")</f>
        <v/>
      </c>
      <c r="L130" s="19" t="str">
        <f>IFERROR(INDEX('Detalles movimientos'!M$5:M$1000, MATCH(121, 'Detalles movimientos'!$S$5:$S$1000, 0)), "")</f>
        <v/>
      </c>
      <c r="M130" s="19" t="str">
        <f>IFERROR(INDEX('Detalles movimientos'!P$5:P$1000, MATCH(121, 'Detalles movimientos'!$S$5:$S$1000, 0)), "")</f>
        <v/>
      </c>
    </row>
    <row r="131" spans="2:13" x14ac:dyDescent="0.2">
      <c r="B131" s="18" t="str">
        <f>IFERROR(INDEX('Detalles movimientos'!C$5:C$1000, MATCH(122, 'Detalles movimientos'!$S$5:$S$1000, 0)), "")</f>
        <v/>
      </c>
      <c r="C131" s="19" t="str">
        <f>IFERROR(INDEX('Detalles movimientos'!D$5:D$1000, MATCH(122, 'Detalles movimientos'!$S$5:$S$1000, 0)), "")</f>
        <v/>
      </c>
      <c r="D131" s="20" t="str">
        <f>IFERROR(INDEX('Detalles movimientos'!E$5:E$1000, MATCH(122, 'Detalles movimientos'!$S$5:$S$1000, 0)), "")</f>
        <v/>
      </c>
      <c r="E131" s="20" t="str">
        <f>IFERROR(INDEX('Detalles movimientos'!F$5:F$1000, MATCH(122, 'Detalles movimientos'!$S$5:$S$1000, 0)), "")</f>
        <v/>
      </c>
      <c r="F131" s="19" t="str">
        <f>IFERROR(INDEX('Detalles movimientos'!G$5:G$1000, MATCH(122, 'Detalles movimientos'!$S$5:$S$1000, 0)), "")</f>
        <v/>
      </c>
      <c r="G131" s="21" t="str">
        <f>IFERROR(INDEX('Detalles movimientos'!H$5:H$1000, MATCH(122, 'Detalles movimientos'!$S$5:$S$1000, 0)), "")</f>
        <v/>
      </c>
      <c r="H131" s="22" t="str">
        <f>IFERROR(INDEX('Detalles movimientos'!I$5:I$1000, MATCH(122, 'Detalles movimientos'!$S$5:$S$1000, 0)), "")</f>
        <v/>
      </c>
      <c r="I131" s="21" t="str">
        <f>IFERROR(INDEX('Detalles movimientos'!J$5:J$1000, MATCH(122, 'Detalles movimientos'!$S$5:$S$1000, 0)), "")</f>
        <v/>
      </c>
      <c r="J131" s="20" t="str">
        <f>IFERROR(INDEX('Detalles movimientos'!K$5:K$1000, MATCH(122, 'Detalles movimientos'!$S$5:$S$1000, 0)), "")</f>
        <v/>
      </c>
      <c r="K131" s="21" t="str">
        <f>IFERROR(INDEX('Detalles movimientos'!L$5:L$1000, MATCH(122, 'Detalles movimientos'!$S$5:$S$1000, 0)), "")</f>
        <v/>
      </c>
      <c r="L131" s="19" t="str">
        <f>IFERROR(INDEX('Detalles movimientos'!M$5:M$1000, MATCH(122, 'Detalles movimientos'!$S$5:$S$1000, 0)), "")</f>
        <v/>
      </c>
      <c r="M131" s="19" t="str">
        <f>IFERROR(INDEX('Detalles movimientos'!P$5:P$1000, MATCH(122, 'Detalles movimientos'!$S$5:$S$1000, 0)), "")</f>
        <v/>
      </c>
    </row>
    <row r="132" spans="2:13" x14ac:dyDescent="0.2">
      <c r="B132" s="18" t="str">
        <f>IFERROR(INDEX('Detalles movimientos'!C$5:C$1000, MATCH(123, 'Detalles movimientos'!$S$5:$S$1000, 0)), "")</f>
        <v/>
      </c>
      <c r="C132" s="19" t="str">
        <f>IFERROR(INDEX('Detalles movimientos'!D$5:D$1000, MATCH(123, 'Detalles movimientos'!$S$5:$S$1000, 0)), "")</f>
        <v/>
      </c>
      <c r="D132" s="20" t="str">
        <f>IFERROR(INDEX('Detalles movimientos'!E$5:E$1000, MATCH(123, 'Detalles movimientos'!$S$5:$S$1000, 0)), "")</f>
        <v/>
      </c>
      <c r="E132" s="20" t="str">
        <f>IFERROR(INDEX('Detalles movimientos'!F$5:F$1000, MATCH(123, 'Detalles movimientos'!$S$5:$S$1000, 0)), "")</f>
        <v/>
      </c>
      <c r="F132" s="19" t="str">
        <f>IFERROR(INDEX('Detalles movimientos'!G$5:G$1000, MATCH(123, 'Detalles movimientos'!$S$5:$S$1000, 0)), "")</f>
        <v/>
      </c>
      <c r="G132" s="21" t="str">
        <f>IFERROR(INDEX('Detalles movimientos'!H$5:H$1000, MATCH(123, 'Detalles movimientos'!$S$5:$S$1000, 0)), "")</f>
        <v/>
      </c>
      <c r="H132" s="22" t="str">
        <f>IFERROR(INDEX('Detalles movimientos'!I$5:I$1000, MATCH(123, 'Detalles movimientos'!$S$5:$S$1000, 0)), "")</f>
        <v/>
      </c>
      <c r="I132" s="21" t="str">
        <f>IFERROR(INDEX('Detalles movimientos'!J$5:J$1000, MATCH(123, 'Detalles movimientos'!$S$5:$S$1000, 0)), "")</f>
        <v/>
      </c>
      <c r="J132" s="20" t="str">
        <f>IFERROR(INDEX('Detalles movimientos'!K$5:K$1000, MATCH(123, 'Detalles movimientos'!$S$5:$S$1000, 0)), "")</f>
        <v/>
      </c>
      <c r="K132" s="21" t="str">
        <f>IFERROR(INDEX('Detalles movimientos'!L$5:L$1000, MATCH(123, 'Detalles movimientos'!$S$5:$S$1000, 0)), "")</f>
        <v/>
      </c>
      <c r="L132" s="19" t="str">
        <f>IFERROR(INDEX('Detalles movimientos'!M$5:M$1000, MATCH(123, 'Detalles movimientos'!$S$5:$S$1000, 0)), "")</f>
        <v/>
      </c>
      <c r="M132" s="19" t="str">
        <f>IFERROR(INDEX('Detalles movimientos'!P$5:P$1000, MATCH(123, 'Detalles movimientos'!$S$5:$S$1000, 0)), "")</f>
        <v/>
      </c>
    </row>
    <row r="133" spans="2:13" x14ac:dyDescent="0.2">
      <c r="B133" s="18" t="str">
        <f>IFERROR(INDEX('Detalles movimientos'!C$5:C$1000, MATCH(124, 'Detalles movimientos'!$S$5:$S$1000, 0)), "")</f>
        <v/>
      </c>
      <c r="C133" s="19" t="str">
        <f>IFERROR(INDEX('Detalles movimientos'!D$5:D$1000, MATCH(124, 'Detalles movimientos'!$S$5:$S$1000, 0)), "")</f>
        <v/>
      </c>
      <c r="D133" s="20" t="str">
        <f>IFERROR(INDEX('Detalles movimientos'!E$5:E$1000, MATCH(124, 'Detalles movimientos'!$S$5:$S$1000, 0)), "")</f>
        <v/>
      </c>
      <c r="E133" s="20" t="str">
        <f>IFERROR(INDEX('Detalles movimientos'!F$5:F$1000, MATCH(124, 'Detalles movimientos'!$S$5:$S$1000, 0)), "")</f>
        <v/>
      </c>
      <c r="F133" s="19" t="str">
        <f>IFERROR(INDEX('Detalles movimientos'!G$5:G$1000, MATCH(124, 'Detalles movimientos'!$S$5:$S$1000, 0)), "")</f>
        <v/>
      </c>
      <c r="G133" s="21" t="str">
        <f>IFERROR(INDEX('Detalles movimientos'!H$5:H$1000, MATCH(124, 'Detalles movimientos'!$S$5:$S$1000, 0)), "")</f>
        <v/>
      </c>
      <c r="H133" s="22" t="str">
        <f>IFERROR(INDEX('Detalles movimientos'!I$5:I$1000, MATCH(124, 'Detalles movimientos'!$S$5:$S$1000, 0)), "")</f>
        <v/>
      </c>
      <c r="I133" s="21" t="str">
        <f>IFERROR(INDEX('Detalles movimientos'!J$5:J$1000, MATCH(124, 'Detalles movimientos'!$S$5:$S$1000, 0)), "")</f>
        <v/>
      </c>
      <c r="J133" s="20" t="str">
        <f>IFERROR(INDEX('Detalles movimientos'!K$5:K$1000, MATCH(124, 'Detalles movimientos'!$S$5:$S$1000, 0)), "")</f>
        <v/>
      </c>
      <c r="K133" s="21" t="str">
        <f>IFERROR(INDEX('Detalles movimientos'!L$5:L$1000, MATCH(124, 'Detalles movimientos'!$S$5:$S$1000, 0)), "")</f>
        <v/>
      </c>
      <c r="L133" s="19" t="str">
        <f>IFERROR(INDEX('Detalles movimientos'!M$5:M$1000, MATCH(124, 'Detalles movimientos'!$S$5:$S$1000, 0)), "")</f>
        <v/>
      </c>
      <c r="M133" s="19" t="str">
        <f>IFERROR(INDEX('Detalles movimientos'!P$5:P$1000, MATCH(124, 'Detalles movimientos'!$S$5:$S$1000, 0)), "")</f>
        <v/>
      </c>
    </row>
    <row r="134" spans="2:13" x14ac:dyDescent="0.2">
      <c r="B134" s="18" t="str">
        <f>IFERROR(INDEX('Detalles movimientos'!C$5:C$1000, MATCH(125, 'Detalles movimientos'!$S$5:$S$1000, 0)), "")</f>
        <v/>
      </c>
      <c r="C134" s="19" t="str">
        <f>IFERROR(INDEX('Detalles movimientos'!D$5:D$1000, MATCH(125, 'Detalles movimientos'!$S$5:$S$1000, 0)), "")</f>
        <v/>
      </c>
      <c r="D134" s="20" t="str">
        <f>IFERROR(INDEX('Detalles movimientos'!E$5:E$1000, MATCH(125, 'Detalles movimientos'!$S$5:$S$1000, 0)), "")</f>
        <v/>
      </c>
      <c r="E134" s="20" t="str">
        <f>IFERROR(INDEX('Detalles movimientos'!F$5:F$1000, MATCH(125, 'Detalles movimientos'!$S$5:$S$1000, 0)), "")</f>
        <v/>
      </c>
      <c r="F134" s="19" t="str">
        <f>IFERROR(INDEX('Detalles movimientos'!G$5:G$1000, MATCH(125, 'Detalles movimientos'!$S$5:$S$1000, 0)), "")</f>
        <v/>
      </c>
      <c r="G134" s="21" t="str">
        <f>IFERROR(INDEX('Detalles movimientos'!H$5:H$1000, MATCH(125, 'Detalles movimientos'!$S$5:$S$1000, 0)), "")</f>
        <v/>
      </c>
      <c r="H134" s="22" t="str">
        <f>IFERROR(INDEX('Detalles movimientos'!I$5:I$1000, MATCH(125, 'Detalles movimientos'!$S$5:$S$1000, 0)), "")</f>
        <v/>
      </c>
      <c r="I134" s="21" t="str">
        <f>IFERROR(INDEX('Detalles movimientos'!J$5:J$1000, MATCH(125, 'Detalles movimientos'!$S$5:$S$1000, 0)), "")</f>
        <v/>
      </c>
      <c r="J134" s="20" t="str">
        <f>IFERROR(INDEX('Detalles movimientos'!K$5:K$1000, MATCH(125, 'Detalles movimientos'!$S$5:$S$1000, 0)), "")</f>
        <v/>
      </c>
      <c r="K134" s="21" t="str">
        <f>IFERROR(INDEX('Detalles movimientos'!L$5:L$1000, MATCH(125, 'Detalles movimientos'!$S$5:$S$1000, 0)), "")</f>
        <v/>
      </c>
      <c r="L134" s="19" t="str">
        <f>IFERROR(INDEX('Detalles movimientos'!M$5:M$1000, MATCH(125, 'Detalles movimientos'!$S$5:$S$1000, 0)), "")</f>
        <v/>
      </c>
      <c r="M134" s="19" t="str">
        <f>IFERROR(INDEX('Detalles movimientos'!P$5:P$1000, MATCH(125, 'Detalles movimientos'!$S$5:$S$1000, 0)), "")</f>
        <v/>
      </c>
    </row>
    <row r="135" spans="2:13" x14ac:dyDescent="0.2">
      <c r="B135" s="18" t="str">
        <f>IFERROR(INDEX('Detalles movimientos'!C$5:C$1000, MATCH(126, 'Detalles movimientos'!$S$5:$S$1000, 0)), "")</f>
        <v/>
      </c>
      <c r="C135" s="19" t="str">
        <f>IFERROR(INDEX('Detalles movimientos'!D$5:D$1000, MATCH(126, 'Detalles movimientos'!$S$5:$S$1000, 0)), "")</f>
        <v/>
      </c>
      <c r="D135" s="20" t="str">
        <f>IFERROR(INDEX('Detalles movimientos'!E$5:E$1000, MATCH(126, 'Detalles movimientos'!$S$5:$S$1000, 0)), "")</f>
        <v/>
      </c>
      <c r="E135" s="20" t="str">
        <f>IFERROR(INDEX('Detalles movimientos'!F$5:F$1000, MATCH(126, 'Detalles movimientos'!$S$5:$S$1000, 0)), "")</f>
        <v/>
      </c>
      <c r="F135" s="19" t="str">
        <f>IFERROR(INDEX('Detalles movimientos'!G$5:G$1000, MATCH(126, 'Detalles movimientos'!$S$5:$S$1000, 0)), "")</f>
        <v/>
      </c>
      <c r="G135" s="21" t="str">
        <f>IFERROR(INDEX('Detalles movimientos'!H$5:H$1000, MATCH(126, 'Detalles movimientos'!$S$5:$S$1000, 0)), "")</f>
        <v/>
      </c>
      <c r="H135" s="22" t="str">
        <f>IFERROR(INDEX('Detalles movimientos'!I$5:I$1000, MATCH(126, 'Detalles movimientos'!$S$5:$S$1000, 0)), "")</f>
        <v/>
      </c>
      <c r="I135" s="21" t="str">
        <f>IFERROR(INDEX('Detalles movimientos'!J$5:J$1000, MATCH(126, 'Detalles movimientos'!$S$5:$S$1000, 0)), "")</f>
        <v/>
      </c>
      <c r="J135" s="20" t="str">
        <f>IFERROR(INDEX('Detalles movimientos'!K$5:K$1000, MATCH(126, 'Detalles movimientos'!$S$5:$S$1000, 0)), "")</f>
        <v/>
      </c>
      <c r="K135" s="21" t="str">
        <f>IFERROR(INDEX('Detalles movimientos'!L$5:L$1000, MATCH(126, 'Detalles movimientos'!$S$5:$S$1000, 0)), "")</f>
        <v/>
      </c>
      <c r="L135" s="19" t="str">
        <f>IFERROR(INDEX('Detalles movimientos'!M$5:M$1000, MATCH(126, 'Detalles movimientos'!$S$5:$S$1000, 0)), "")</f>
        <v/>
      </c>
      <c r="M135" s="19" t="str">
        <f>IFERROR(INDEX('Detalles movimientos'!P$5:P$1000, MATCH(126, 'Detalles movimientos'!$S$5:$S$1000, 0)), "")</f>
        <v/>
      </c>
    </row>
    <row r="136" spans="2:13" x14ac:dyDescent="0.2">
      <c r="B136" s="18" t="str">
        <f>IFERROR(INDEX('Detalles movimientos'!C$5:C$1000, MATCH(127, 'Detalles movimientos'!$S$5:$S$1000, 0)), "")</f>
        <v/>
      </c>
      <c r="C136" s="19" t="str">
        <f>IFERROR(INDEX('Detalles movimientos'!D$5:D$1000, MATCH(127, 'Detalles movimientos'!$S$5:$S$1000, 0)), "")</f>
        <v/>
      </c>
      <c r="D136" s="20" t="str">
        <f>IFERROR(INDEX('Detalles movimientos'!E$5:E$1000, MATCH(127, 'Detalles movimientos'!$S$5:$S$1000, 0)), "")</f>
        <v/>
      </c>
      <c r="E136" s="20" t="str">
        <f>IFERROR(INDEX('Detalles movimientos'!F$5:F$1000, MATCH(127, 'Detalles movimientos'!$S$5:$S$1000, 0)), "")</f>
        <v/>
      </c>
      <c r="F136" s="19" t="str">
        <f>IFERROR(INDEX('Detalles movimientos'!G$5:G$1000, MATCH(127, 'Detalles movimientos'!$S$5:$S$1000, 0)), "")</f>
        <v/>
      </c>
      <c r="G136" s="21" t="str">
        <f>IFERROR(INDEX('Detalles movimientos'!H$5:H$1000, MATCH(127, 'Detalles movimientos'!$S$5:$S$1000, 0)), "")</f>
        <v/>
      </c>
      <c r="H136" s="22" t="str">
        <f>IFERROR(INDEX('Detalles movimientos'!I$5:I$1000, MATCH(127, 'Detalles movimientos'!$S$5:$S$1000, 0)), "")</f>
        <v/>
      </c>
      <c r="I136" s="21" t="str">
        <f>IFERROR(INDEX('Detalles movimientos'!J$5:J$1000, MATCH(127, 'Detalles movimientos'!$S$5:$S$1000, 0)), "")</f>
        <v/>
      </c>
      <c r="J136" s="20" t="str">
        <f>IFERROR(INDEX('Detalles movimientos'!K$5:K$1000, MATCH(127, 'Detalles movimientos'!$S$5:$S$1000, 0)), "")</f>
        <v/>
      </c>
      <c r="K136" s="21" t="str">
        <f>IFERROR(INDEX('Detalles movimientos'!L$5:L$1000, MATCH(127, 'Detalles movimientos'!$S$5:$S$1000, 0)), "")</f>
        <v/>
      </c>
      <c r="L136" s="19" t="str">
        <f>IFERROR(INDEX('Detalles movimientos'!M$5:M$1000, MATCH(127, 'Detalles movimientos'!$S$5:$S$1000, 0)), "")</f>
        <v/>
      </c>
      <c r="M136" s="19" t="str">
        <f>IFERROR(INDEX('Detalles movimientos'!P$5:P$1000, MATCH(127, 'Detalles movimientos'!$S$5:$S$1000, 0)), "")</f>
        <v/>
      </c>
    </row>
    <row r="137" spans="2:13" x14ac:dyDescent="0.2">
      <c r="B137" s="18" t="str">
        <f>IFERROR(INDEX('Detalles movimientos'!C$5:C$1000, MATCH(128, 'Detalles movimientos'!$S$5:$S$1000, 0)), "")</f>
        <v/>
      </c>
      <c r="C137" s="19" t="str">
        <f>IFERROR(INDEX('Detalles movimientos'!D$5:D$1000, MATCH(128, 'Detalles movimientos'!$S$5:$S$1000, 0)), "")</f>
        <v/>
      </c>
      <c r="D137" s="20" t="str">
        <f>IFERROR(INDEX('Detalles movimientos'!E$5:E$1000, MATCH(128, 'Detalles movimientos'!$S$5:$S$1000, 0)), "")</f>
        <v/>
      </c>
      <c r="E137" s="20" t="str">
        <f>IFERROR(INDEX('Detalles movimientos'!F$5:F$1000, MATCH(128, 'Detalles movimientos'!$S$5:$S$1000, 0)), "")</f>
        <v/>
      </c>
      <c r="F137" s="19" t="str">
        <f>IFERROR(INDEX('Detalles movimientos'!G$5:G$1000, MATCH(128, 'Detalles movimientos'!$S$5:$S$1000, 0)), "")</f>
        <v/>
      </c>
      <c r="G137" s="21" t="str">
        <f>IFERROR(INDEX('Detalles movimientos'!H$5:H$1000, MATCH(128, 'Detalles movimientos'!$S$5:$S$1000, 0)), "")</f>
        <v/>
      </c>
      <c r="H137" s="22" t="str">
        <f>IFERROR(INDEX('Detalles movimientos'!I$5:I$1000, MATCH(128, 'Detalles movimientos'!$S$5:$S$1000, 0)), "")</f>
        <v/>
      </c>
      <c r="I137" s="21" t="str">
        <f>IFERROR(INDEX('Detalles movimientos'!J$5:J$1000, MATCH(128, 'Detalles movimientos'!$S$5:$S$1000, 0)), "")</f>
        <v/>
      </c>
      <c r="J137" s="20" t="str">
        <f>IFERROR(INDEX('Detalles movimientos'!K$5:K$1000, MATCH(128, 'Detalles movimientos'!$S$5:$S$1000, 0)), "")</f>
        <v/>
      </c>
      <c r="K137" s="21" t="str">
        <f>IFERROR(INDEX('Detalles movimientos'!L$5:L$1000, MATCH(128, 'Detalles movimientos'!$S$5:$S$1000, 0)), "")</f>
        <v/>
      </c>
      <c r="L137" s="19" t="str">
        <f>IFERROR(INDEX('Detalles movimientos'!M$5:M$1000, MATCH(128, 'Detalles movimientos'!$S$5:$S$1000, 0)), "")</f>
        <v/>
      </c>
      <c r="M137" s="19" t="str">
        <f>IFERROR(INDEX('Detalles movimientos'!P$5:P$1000, MATCH(128, 'Detalles movimientos'!$S$5:$S$1000, 0)), "")</f>
        <v/>
      </c>
    </row>
    <row r="138" spans="2:13" x14ac:dyDescent="0.2">
      <c r="B138" s="18" t="str">
        <f>IFERROR(INDEX('Detalles movimientos'!C$5:C$1000, MATCH(129, 'Detalles movimientos'!$S$5:$S$1000, 0)), "")</f>
        <v/>
      </c>
      <c r="C138" s="19" t="str">
        <f>IFERROR(INDEX('Detalles movimientos'!D$5:D$1000, MATCH(129, 'Detalles movimientos'!$S$5:$S$1000, 0)), "")</f>
        <v/>
      </c>
      <c r="D138" s="20" t="str">
        <f>IFERROR(INDEX('Detalles movimientos'!E$5:E$1000, MATCH(129, 'Detalles movimientos'!$S$5:$S$1000, 0)), "")</f>
        <v/>
      </c>
      <c r="E138" s="20" t="str">
        <f>IFERROR(INDEX('Detalles movimientos'!F$5:F$1000, MATCH(129, 'Detalles movimientos'!$S$5:$S$1000, 0)), "")</f>
        <v/>
      </c>
      <c r="F138" s="19" t="str">
        <f>IFERROR(INDEX('Detalles movimientos'!G$5:G$1000, MATCH(129, 'Detalles movimientos'!$S$5:$S$1000, 0)), "")</f>
        <v/>
      </c>
      <c r="G138" s="21" t="str">
        <f>IFERROR(INDEX('Detalles movimientos'!H$5:H$1000, MATCH(129, 'Detalles movimientos'!$S$5:$S$1000, 0)), "")</f>
        <v/>
      </c>
      <c r="H138" s="22" t="str">
        <f>IFERROR(INDEX('Detalles movimientos'!I$5:I$1000, MATCH(129, 'Detalles movimientos'!$S$5:$S$1000, 0)), "")</f>
        <v/>
      </c>
      <c r="I138" s="21" t="str">
        <f>IFERROR(INDEX('Detalles movimientos'!J$5:J$1000, MATCH(129, 'Detalles movimientos'!$S$5:$S$1000, 0)), "")</f>
        <v/>
      </c>
      <c r="J138" s="20" t="str">
        <f>IFERROR(INDEX('Detalles movimientos'!K$5:K$1000, MATCH(129, 'Detalles movimientos'!$S$5:$S$1000, 0)), "")</f>
        <v/>
      </c>
      <c r="K138" s="21" t="str">
        <f>IFERROR(INDEX('Detalles movimientos'!L$5:L$1000, MATCH(129, 'Detalles movimientos'!$S$5:$S$1000, 0)), "")</f>
        <v/>
      </c>
      <c r="L138" s="19" t="str">
        <f>IFERROR(INDEX('Detalles movimientos'!M$5:M$1000, MATCH(129, 'Detalles movimientos'!$S$5:$S$1000, 0)), "")</f>
        <v/>
      </c>
      <c r="M138" s="19" t="str">
        <f>IFERROR(INDEX('Detalles movimientos'!P$5:P$1000, MATCH(129, 'Detalles movimientos'!$S$5:$S$1000, 0)), "")</f>
        <v/>
      </c>
    </row>
    <row r="139" spans="2:13" x14ac:dyDescent="0.2">
      <c r="B139" s="18" t="str">
        <f>IFERROR(INDEX('Detalles movimientos'!C$5:C$1000, MATCH(130, 'Detalles movimientos'!$S$5:$S$1000, 0)), "")</f>
        <v/>
      </c>
      <c r="C139" s="19" t="str">
        <f>IFERROR(INDEX('Detalles movimientos'!D$5:D$1000, MATCH(130, 'Detalles movimientos'!$S$5:$S$1000, 0)), "")</f>
        <v/>
      </c>
      <c r="D139" s="20" t="str">
        <f>IFERROR(INDEX('Detalles movimientos'!E$5:E$1000, MATCH(130, 'Detalles movimientos'!$S$5:$S$1000, 0)), "")</f>
        <v/>
      </c>
      <c r="E139" s="20" t="str">
        <f>IFERROR(INDEX('Detalles movimientos'!F$5:F$1000, MATCH(130, 'Detalles movimientos'!$S$5:$S$1000, 0)), "")</f>
        <v/>
      </c>
      <c r="F139" s="19" t="str">
        <f>IFERROR(INDEX('Detalles movimientos'!G$5:G$1000, MATCH(130, 'Detalles movimientos'!$S$5:$S$1000, 0)), "")</f>
        <v/>
      </c>
      <c r="G139" s="21" t="str">
        <f>IFERROR(INDEX('Detalles movimientos'!H$5:H$1000, MATCH(130, 'Detalles movimientos'!$S$5:$S$1000, 0)), "")</f>
        <v/>
      </c>
      <c r="H139" s="22" t="str">
        <f>IFERROR(INDEX('Detalles movimientos'!I$5:I$1000, MATCH(130, 'Detalles movimientos'!$S$5:$S$1000, 0)), "")</f>
        <v/>
      </c>
      <c r="I139" s="21" t="str">
        <f>IFERROR(INDEX('Detalles movimientos'!J$5:J$1000, MATCH(130, 'Detalles movimientos'!$S$5:$S$1000, 0)), "")</f>
        <v/>
      </c>
      <c r="J139" s="20" t="str">
        <f>IFERROR(INDEX('Detalles movimientos'!K$5:K$1000, MATCH(130, 'Detalles movimientos'!$S$5:$S$1000, 0)), "")</f>
        <v/>
      </c>
      <c r="K139" s="21" t="str">
        <f>IFERROR(INDEX('Detalles movimientos'!L$5:L$1000, MATCH(130, 'Detalles movimientos'!$S$5:$S$1000, 0)), "")</f>
        <v/>
      </c>
      <c r="L139" s="19" t="str">
        <f>IFERROR(INDEX('Detalles movimientos'!M$5:M$1000, MATCH(130, 'Detalles movimientos'!$S$5:$S$1000, 0)), "")</f>
        <v/>
      </c>
      <c r="M139" s="19" t="str">
        <f>IFERROR(INDEX('Detalles movimientos'!P$5:P$1000, MATCH(130, 'Detalles movimientos'!$S$5:$S$1000, 0)), "")</f>
        <v/>
      </c>
    </row>
    <row r="140" spans="2:13" x14ac:dyDescent="0.2">
      <c r="B140" s="18" t="str">
        <f>IFERROR(INDEX('Detalles movimientos'!C$5:C$1000, MATCH(131, 'Detalles movimientos'!$S$5:$S$1000, 0)), "")</f>
        <v/>
      </c>
      <c r="C140" s="19" t="str">
        <f>IFERROR(INDEX('Detalles movimientos'!D$5:D$1000, MATCH(131, 'Detalles movimientos'!$S$5:$S$1000, 0)), "")</f>
        <v/>
      </c>
      <c r="D140" s="20" t="str">
        <f>IFERROR(INDEX('Detalles movimientos'!E$5:E$1000, MATCH(131, 'Detalles movimientos'!$S$5:$S$1000, 0)), "")</f>
        <v/>
      </c>
      <c r="E140" s="20" t="str">
        <f>IFERROR(INDEX('Detalles movimientos'!F$5:F$1000, MATCH(131, 'Detalles movimientos'!$S$5:$S$1000, 0)), "")</f>
        <v/>
      </c>
      <c r="F140" s="19" t="str">
        <f>IFERROR(INDEX('Detalles movimientos'!G$5:G$1000, MATCH(131, 'Detalles movimientos'!$S$5:$S$1000, 0)), "")</f>
        <v/>
      </c>
      <c r="G140" s="21" t="str">
        <f>IFERROR(INDEX('Detalles movimientos'!H$5:H$1000, MATCH(131, 'Detalles movimientos'!$S$5:$S$1000, 0)), "")</f>
        <v/>
      </c>
      <c r="H140" s="22" t="str">
        <f>IFERROR(INDEX('Detalles movimientos'!I$5:I$1000, MATCH(131, 'Detalles movimientos'!$S$5:$S$1000, 0)), "")</f>
        <v/>
      </c>
      <c r="I140" s="21" t="str">
        <f>IFERROR(INDEX('Detalles movimientos'!J$5:J$1000, MATCH(131, 'Detalles movimientos'!$S$5:$S$1000, 0)), "")</f>
        <v/>
      </c>
      <c r="J140" s="20" t="str">
        <f>IFERROR(INDEX('Detalles movimientos'!K$5:K$1000, MATCH(131, 'Detalles movimientos'!$S$5:$S$1000, 0)), "")</f>
        <v/>
      </c>
      <c r="K140" s="21" t="str">
        <f>IFERROR(INDEX('Detalles movimientos'!L$5:L$1000, MATCH(131, 'Detalles movimientos'!$S$5:$S$1000, 0)), "")</f>
        <v/>
      </c>
      <c r="L140" s="19" t="str">
        <f>IFERROR(INDEX('Detalles movimientos'!M$5:M$1000, MATCH(131, 'Detalles movimientos'!$S$5:$S$1000, 0)), "")</f>
        <v/>
      </c>
      <c r="M140" s="19" t="str">
        <f>IFERROR(INDEX('Detalles movimientos'!P$5:P$1000, MATCH(131, 'Detalles movimientos'!$S$5:$S$1000, 0)), "")</f>
        <v/>
      </c>
    </row>
    <row r="141" spans="2:13" x14ac:dyDescent="0.2">
      <c r="B141" s="18" t="str">
        <f>IFERROR(INDEX('Detalles movimientos'!C$5:C$1000, MATCH(132, 'Detalles movimientos'!$S$5:$S$1000, 0)), "")</f>
        <v/>
      </c>
      <c r="C141" s="19" t="str">
        <f>IFERROR(INDEX('Detalles movimientos'!D$5:D$1000, MATCH(132, 'Detalles movimientos'!$S$5:$S$1000, 0)), "")</f>
        <v/>
      </c>
      <c r="D141" s="20" t="str">
        <f>IFERROR(INDEX('Detalles movimientos'!E$5:E$1000, MATCH(132, 'Detalles movimientos'!$S$5:$S$1000, 0)), "")</f>
        <v/>
      </c>
      <c r="E141" s="20" t="str">
        <f>IFERROR(INDEX('Detalles movimientos'!F$5:F$1000, MATCH(132, 'Detalles movimientos'!$S$5:$S$1000, 0)), "")</f>
        <v/>
      </c>
      <c r="F141" s="19" t="str">
        <f>IFERROR(INDEX('Detalles movimientos'!G$5:G$1000, MATCH(132, 'Detalles movimientos'!$S$5:$S$1000, 0)), "")</f>
        <v/>
      </c>
      <c r="G141" s="21" t="str">
        <f>IFERROR(INDEX('Detalles movimientos'!H$5:H$1000, MATCH(132, 'Detalles movimientos'!$S$5:$S$1000, 0)), "")</f>
        <v/>
      </c>
      <c r="H141" s="22" t="str">
        <f>IFERROR(INDEX('Detalles movimientos'!I$5:I$1000, MATCH(132, 'Detalles movimientos'!$S$5:$S$1000, 0)), "")</f>
        <v/>
      </c>
      <c r="I141" s="21" t="str">
        <f>IFERROR(INDEX('Detalles movimientos'!J$5:J$1000, MATCH(132, 'Detalles movimientos'!$S$5:$S$1000, 0)), "")</f>
        <v/>
      </c>
      <c r="J141" s="20" t="str">
        <f>IFERROR(INDEX('Detalles movimientos'!K$5:K$1000, MATCH(132, 'Detalles movimientos'!$S$5:$S$1000, 0)), "")</f>
        <v/>
      </c>
      <c r="K141" s="21" t="str">
        <f>IFERROR(INDEX('Detalles movimientos'!L$5:L$1000, MATCH(132, 'Detalles movimientos'!$S$5:$S$1000, 0)), "")</f>
        <v/>
      </c>
      <c r="L141" s="19" t="str">
        <f>IFERROR(INDEX('Detalles movimientos'!M$5:M$1000, MATCH(132, 'Detalles movimientos'!$S$5:$S$1000, 0)), "")</f>
        <v/>
      </c>
      <c r="M141" s="19" t="str">
        <f>IFERROR(INDEX('Detalles movimientos'!P$5:P$1000, MATCH(132, 'Detalles movimientos'!$S$5:$S$1000, 0)), "")</f>
        <v/>
      </c>
    </row>
    <row r="142" spans="2:13" x14ac:dyDescent="0.2">
      <c r="B142" s="18" t="str">
        <f>IFERROR(INDEX('Detalles movimientos'!C$5:C$1000, MATCH(133, 'Detalles movimientos'!$S$5:$S$1000, 0)), "")</f>
        <v/>
      </c>
      <c r="C142" s="19" t="str">
        <f>IFERROR(INDEX('Detalles movimientos'!D$5:D$1000, MATCH(133, 'Detalles movimientos'!$S$5:$S$1000, 0)), "")</f>
        <v/>
      </c>
      <c r="D142" s="20" t="str">
        <f>IFERROR(INDEX('Detalles movimientos'!E$5:E$1000, MATCH(133, 'Detalles movimientos'!$S$5:$S$1000, 0)), "")</f>
        <v/>
      </c>
      <c r="E142" s="20" t="str">
        <f>IFERROR(INDEX('Detalles movimientos'!F$5:F$1000, MATCH(133, 'Detalles movimientos'!$S$5:$S$1000, 0)), "")</f>
        <v/>
      </c>
      <c r="F142" s="19" t="str">
        <f>IFERROR(INDEX('Detalles movimientos'!G$5:G$1000, MATCH(133, 'Detalles movimientos'!$S$5:$S$1000, 0)), "")</f>
        <v/>
      </c>
      <c r="G142" s="21" t="str">
        <f>IFERROR(INDEX('Detalles movimientos'!H$5:H$1000, MATCH(133, 'Detalles movimientos'!$S$5:$S$1000, 0)), "")</f>
        <v/>
      </c>
      <c r="H142" s="22" t="str">
        <f>IFERROR(INDEX('Detalles movimientos'!I$5:I$1000, MATCH(133, 'Detalles movimientos'!$S$5:$S$1000, 0)), "")</f>
        <v/>
      </c>
      <c r="I142" s="21" t="str">
        <f>IFERROR(INDEX('Detalles movimientos'!J$5:J$1000, MATCH(133, 'Detalles movimientos'!$S$5:$S$1000, 0)), "")</f>
        <v/>
      </c>
      <c r="J142" s="20" t="str">
        <f>IFERROR(INDEX('Detalles movimientos'!K$5:K$1000, MATCH(133, 'Detalles movimientos'!$S$5:$S$1000, 0)), "")</f>
        <v/>
      </c>
      <c r="K142" s="21" t="str">
        <f>IFERROR(INDEX('Detalles movimientos'!L$5:L$1000, MATCH(133, 'Detalles movimientos'!$S$5:$S$1000, 0)), "")</f>
        <v/>
      </c>
      <c r="L142" s="19" t="str">
        <f>IFERROR(INDEX('Detalles movimientos'!M$5:M$1000, MATCH(133, 'Detalles movimientos'!$S$5:$S$1000, 0)), "")</f>
        <v/>
      </c>
      <c r="M142" s="19" t="str">
        <f>IFERROR(INDEX('Detalles movimientos'!P$5:P$1000, MATCH(133, 'Detalles movimientos'!$S$5:$S$1000, 0)), "")</f>
        <v/>
      </c>
    </row>
    <row r="143" spans="2:13" x14ac:dyDescent="0.2">
      <c r="B143" s="18" t="str">
        <f>IFERROR(INDEX('Detalles movimientos'!C$5:C$1000, MATCH(134, 'Detalles movimientos'!$S$5:$S$1000, 0)), "")</f>
        <v/>
      </c>
      <c r="C143" s="19" t="str">
        <f>IFERROR(INDEX('Detalles movimientos'!D$5:D$1000, MATCH(134, 'Detalles movimientos'!$S$5:$S$1000, 0)), "")</f>
        <v/>
      </c>
      <c r="D143" s="20" t="str">
        <f>IFERROR(INDEX('Detalles movimientos'!E$5:E$1000, MATCH(134, 'Detalles movimientos'!$S$5:$S$1000, 0)), "")</f>
        <v/>
      </c>
      <c r="E143" s="20" t="str">
        <f>IFERROR(INDEX('Detalles movimientos'!F$5:F$1000, MATCH(134, 'Detalles movimientos'!$S$5:$S$1000, 0)), "")</f>
        <v/>
      </c>
      <c r="F143" s="19" t="str">
        <f>IFERROR(INDEX('Detalles movimientos'!G$5:G$1000, MATCH(134, 'Detalles movimientos'!$S$5:$S$1000, 0)), "")</f>
        <v/>
      </c>
      <c r="G143" s="21" t="str">
        <f>IFERROR(INDEX('Detalles movimientos'!H$5:H$1000, MATCH(134, 'Detalles movimientos'!$S$5:$S$1000, 0)), "")</f>
        <v/>
      </c>
      <c r="H143" s="22" t="str">
        <f>IFERROR(INDEX('Detalles movimientos'!I$5:I$1000, MATCH(134, 'Detalles movimientos'!$S$5:$S$1000, 0)), "")</f>
        <v/>
      </c>
      <c r="I143" s="21" t="str">
        <f>IFERROR(INDEX('Detalles movimientos'!J$5:J$1000, MATCH(134, 'Detalles movimientos'!$S$5:$S$1000, 0)), "")</f>
        <v/>
      </c>
      <c r="J143" s="20" t="str">
        <f>IFERROR(INDEX('Detalles movimientos'!K$5:K$1000, MATCH(134, 'Detalles movimientos'!$S$5:$S$1000, 0)), "")</f>
        <v/>
      </c>
      <c r="K143" s="21" t="str">
        <f>IFERROR(INDEX('Detalles movimientos'!L$5:L$1000, MATCH(134, 'Detalles movimientos'!$S$5:$S$1000, 0)), "")</f>
        <v/>
      </c>
      <c r="L143" s="19" t="str">
        <f>IFERROR(INDEX('Detalles movimientos'!M$5:M$1000, MATCH(134, 'Detalles movimientos'!$S$5:$S$1000, 0)), "")</f>
        <v/>
      </c>
      <c r="M143" s="19" t="str">
        <f>IFERROR(INDEX('Detalles movimientos'!P$5:P$1000, MATCH(134, 'Detalles movimientos'!$S$5:$S$1000, 0)), "")</f>
        <v/>
      </c>
    </row>
    <row r="144" spans="2:13" x14ac:dyDescent="0.2">
      <c r="B144" s="18" t="str">
        <f>IFERROR(INDEX('Detalles movimientos'!C$5:C$1000, MATCH(135, 'Detalles movimientos'!$S$5:$S$1000, 0)), "")</f>
        <v/>
      </c>
      <c r="C144" s="19" t="str">
        <f>IFERROR(INDEX('Detalles movimientos'!D$5:D$1000, MATCH(135, 'Detalles movimientos'!$S$5:$S$1000, 0)), "")</f>
        <v/>
      </c>
      <c r="D144" s="20" t="str">
        <f>IFERROR(INDEX('Detalles movimientos'!E$5:E$1000, MATCH(135, 'Detalles movimientos'!$S$5:$S$1000, 0)), "")</f>
        <v/>
      </c>
      <c r="E144" s="20" t="str">
        <f>IFERROR(INDEX('Detalles movimientos'!F$5:F$1000, MATCH(135, 'Detalles movimientos'!$S$5:$S$1000, 0)), "")</f>
        <v/>
      </c>
      <c r="F144" s="19" t="str">
        <f>IFERROR(INDEX('Detalles movimientos'!G$5:G$1000, MATCH(135, 'Detalles movimientos'!$S$5:$S$1000, 0)), "")</f>
        <v/>
      </c>
      <c r="G144" s="21" t="str">
        <f>IFERROR(INDEX('Detalles movimientos'!H$5:H$1000, MATCH(135, 'Detalles movimientos'!$S$5:$S$1000, 0)), "")</f>
        <v/>
      </c>
      <c r="H144" s="22" t="str">
        <f>IFERROR(INDEX('Detalles movimientos'!I$5:I$1000, MATCH(135, 'Detalles movimientos'!$S$5:$S$1000, 0)), "")</f>
        <v/>
      </c>
      <c r="I144" s="21" t="str">
        <f>IFERROR(INDEX('Detalles movimientos'!J$5:J$1000, MATCH(135, 'Detalles movimientos'!$S$5:$S$1000, 0)), "")</f>
        <v/>
      </c>
      <c r="J144" s="20" t="str">
        <f>IFERROR(INDEX('Detalles movimientos'!K$5:K$1000, MATCH(135, 'Detalles movimientos'!$S$5:$S$1000, 0)), "")</f>
        <v/>
      </c>
      <c r="K144" s="21" t="str">
        <f>IFERROR(INDEX('Detalles movimientos'!L$5:L$1000, MATCH(135, 'Detalles movimientos'!$S$5:$S$1000, 0)), "")</f>
        <v/>
      </c>
      <c r="L144" s="19" t="str">
        <f>IFERROR(INDEX('Detalles movimientos'!M$5:M$1000, MATCH(135, 'Detalles movimientos'!$S$5:$S$1000, 0)), "")</f>
        <v/>
      </c>
      <c r="M144" s="19" t="str">
        <f>IFERROR(INDEX('Detalles movimientos'!P$5:P$1000, MATCH(135, 'Detalles movimientos'!$S$5:$S$1000, 0)), "")</f>
        <v/>
      </c>
    </row>
    <row r="145" spans="2:13" x14ac:dyDescent="0.2">
      <c r="B145" s="18" t="str">
        <f>IFERROR(INDEX('Detalles movimientos'!C$5:C$1000, MATCH(136, 'Detalles movimientos'!$S$5:$S$1000, 0)), "")</f>
        <v/>
      </c>
      <c r="C145" s="19" t="str">
        <f>IFERROR(INDEX('Detalles movimientos'!D$5:D$1000, MATCH(136, 'Detalles movimientos'!$S$5:$S$1000, 0)), "")</f>
        <v/>
      </c>
      <c r="D145" s="20" t="str">
        <f>IFERROR(INDEX('Detalles movimientos'!E$5:E$1000, MATCH(136, 'Detalles movimientos'!$S$5:$S$1000, 0)), "")</f>
        <v/>
      </c>
      <c r="E145" s="20" t="str">
        <f>IFERROR(INDEX('Detalles movimientos'!F$5:F$1000, MATCH(136, 'Detalles movimientos'!$S$5:$S$1000, 0)), "")</f>
        <v/>
      </c>
      <c r="F145" s="19" t="str">
        <f>IFERROR(INDEX('Detalles movimientos'!G$5:G$1000, MATCH(136, 'Detalles movimientos'!$S$5:$S$1000, 0)), "")</f>
        <v/>
      </c>
      <c r="G145" s="21" t="str">
        <f>IFERROR(INDEX('Detalles movimientos'!H$5:H$1000, MATCH(136, 'Detalles movimientos'!$S$5:$S$1000, 0)), "")</f>
        <v/>
      </c>
      <c r="H145" s="22" t="str">
        <f>IFERROR(INDEX('Detalles movimientos'!I$5:I$1000, MATCH(136, 'Detalles movimientos'!$S$5:$S$1000, 0)), "")</f>
        <v/>
      </c>
      <c r="I145" s="21" t="str">
        <f>IFERROR(INDEX('Detalles movimientos'!J$5:J$1000, MATCH(136, 'Detalles movimientos'!$S$5:$S$1000, 0)), "")</f>
        <v/>
      </c>
      <c r="J145" s="20" t="str">
        <f>IFERROR(INDEX('Detalles movimientos'!K$5:K$1000, MATCH(136, 'Detalles movimientos'!$S$5:$S$1000, 0)), "")</f>
        <v/>
      </c>
      <c r="K145" s="21" t="str">
        <f>IFERROR(INDEX('Detalles movimientos'!L$5:L$1000, MATCH(136, 'Detalles movimientos'!$S$5:$S$1000, 0)), "")</f>
        <v/>
      </c>
      <c r="L145" s="19" t="str">
        <f>IFERROR(INDEX('Detalles movimientos'!M$5:M$1000, MATCH(136, 'Detalles movimientos'!$S$5:$S$1000, 0)), "")</f>
        <v/>
      </c>
      <c r="M145" s="19" t="str">
        <f>IFERROR(INDEX('Detalles movimientos'!P$5:P$1000, MATCH(136, 'Detalles movimientos'!$S$5:$S$1000, 0)), "")</f>
        <v/>
      </c>
    </row>
    <row r="146" spans="2:13" x14ac:dyDescent="0.2">
      <c r="B146" s="18" t="str">
        <f>IFERROR(INDEX('Detalles movimientos'!C$5:C$1000, MATCH(137, 'Detalles movimientos'!$S$5:$S$1000, 0)), "")</f>
        <v/>
      </c>
      <c r="C146" s="19" t="str">
        <f>IFERROR(INDEX('Detalles movimientos'!D$5:D$1000, MATCH(137, 'Detalles movimientos'!$S$5:$S$1000, 0)), "")</f>
        <v/>
      </c>
      <c r="D146" s="20" t="str">
        <f>IFERROR(INDEX('Detalles movimientos'!E$5:E$1000, MATCH(137, 'Detalles movimientos'!$S$5:$S$1000, 0)), "")</f>
        <v/>
      </c>
      <c r="E146" s="20" t="str">
        <f>IFERROR(INDEX('Detalles movimientos'!F$5:F$1000, MATCH(137, 'Detalles movimientos'!$S$5:$S$1000, 0)), "")</f>
        <v/>
      </c>
      <c r="F146" s="19" t="str">
        <f>IFERROR(INDEX('Detalles movimientos'!G$5:G$1000, MATCH(137, 'Detalles movimientos'!$S$5:$S$1000, 0)), "")</f>
        <v/>
      </c>
      <c r="G146" s="21" t="str">
        <f>IFERROR(INDEX('Detalles movimientos'!H$5:H$1000, MATCH(137, 'Detalles movimientos'!$S$5:$S$1000, 0)), "")</f>
        <v/>
      </c>
      <c r="H146" s="22" t="str">
        <f>IFERROR(INDEX('Detalles movimientos'!I$5:I$1000, MATCH(137, 'Detalles movimientos'!$S$5:$S$1000, 0)), "")</f>
        <v/>
      </c>
      <c r="I146" s="21" t="str">
        <f>IFERROR(INDEX('Detalles movimientos'!J$5:J$1000, MATCH(137, 'Detalles movimientos'!$S$5:$S$1000, 0)), "")</f>
        <v/>
      </c>
      <c r="J146" s="20" t="str">
        <f>IFERROR(INDEX('Detalles movimientos'!K$5:K$1000, MATCH(137, 'Detalles movimientos'!$S$5:$S$1000, 0)), "")</f>
        <v/>
      </c>
      <c r="K146" s="21" t="str">
        <f>IFERROR(INDEX('Detalles movimientos'!L$5:L$1000, MATCH(137, 'Detalles movimientos'!$S$5:$S$1000, 0)), "")</f>
        <v/>
      </c>
      <c r="L146" s="19" t="str">
        <f>IFERROR(INDEX('Detalles movimientos'!M$5:M$1000, MATCH(137, 'Detalles movimientos'!$S$5:$S$1000, 0)), "")</f>
        <v/>
      </c>
      <c r="M146" s="19" t="str">
        <f>IFERROR(INDEX('Detalles movimientos'!P$5:P$1000, MATCH(137, 'Detalles movimientos'!$S$5:$S$1000, 0)), "")</f>
        <v/>
      </c>
    </row>
    <row r="147" spans="2:13" x14ac:dyDescent="0.2">
      <c r="B147" s="18" t="str">
        <f>IFERROR(INDEX('Detalles movimientos'!C$5:C$1000, MATCH(138, 'Detalles movimientos'!$S$5:$S$1000, 0)), "")</f>
        <v/>
      </c>
      <c r="C147" s="19" t="str">
        <f>IFERROR(INDEX('Detalles movimientos'!D$5:D$1000, MATCH(138, 'Detalles movimientos'!$S$5:$S$1000, 0)), "")</f>
        <v/>
      </c>
      <c r="D147" s="20" t="str">
        <f>IFERROR(INDEX('Detalles movimientos'!E$5:E$1000, MATCH(138, 'Detalles movimientos'!$S$5:$S$1000, 0)), "")</f>
        <v/>
      </c>
      <c r="E147" s="20" t="str">
        <f>IFERROR(INDEX('Detalles movimientos'!F$5:F$1000, MATCH(138, 'Detalles movimientos'!$S$5:$S$1000, 0)), "")</f>
        <v/>
      </c>
      <c r="F147" s="19" t="str">
        <f>IFERROR(INDEX('Detalles movimientos'!G$5:G$1000, MATCH(138, 'Detalles movimientos'!$S$5:$S$1000, 0)), "")</f>
        <v/>
      </c>
      <c r="G147" s="21" t="str">
        <f>IFERROR(INDEX('Detalles movimientos'!H$5:H$1000, MATCH(138, 'Detalles movimientos'!$S$5:$S$1000, 0)), "")</f>
        <v/>
      </c>
      <c r="H147" s="22" t="str">
        <f>IFERROR(INDEX('Detalles movimientos'!I$5:I$1000, MATCH(138, 'Detalles movimientos'!$S$5:$S$1000, 0)), "")</f>
        <v/>
      </c>
      <c r="I147" s="21" t="str">
        <f>IFERROR(INDEX('Detalles movimientos'!J$5:J$1000, MATCH(138, 'Detalles movimientos'!$S$5:$S$1000, 0)), "")</f>
        <v/>
      </c>
      <c r="J147" s="20" t="str">
        <f>IFERROR(INDEX('Detalles movimientos'!K$5:K$1000, MATCH(138, 'Detalles movimientos'!$S$5:$S$1000, 0)), "")</f>
        <v/>
      </c>
      <c r="K147" s="21" t="str">
        <f>IFERROR(INDEX('Detalles movimientos'!L$5:L$1000, MATCH(138, 'Detalles movimientos'!$S$5:$S$1000, 0)), "")</f>
        <v/>
      </c>
      <c r="L147" s="19" t="str">
        <f>IFERROR(INDEX('Detalles movimientos'!M$5:M$1000, MATCH(138, 'Detalles movimientos'!$S$5:$S$1000, 0)), "")</f>
        <v/>
      </c>
      <c r="M147" s="19" t="str">
        <f>IFERROR(INDEX('Detalles movimientos'!P$5:P$1000, MATCH(138, 'Detalles movimientos'!$S$5:$S$1000, 0)), "")</f>
        <v/>
      </c>
    </row>
    <row r="148" spans="2:13" x14ac:dyDescent="0.2">
      <c r="B148" s="18" t="str">
        <f>IFERROR(INDEX('Detalles movimientos'!C$5:C$1000, MATCH(139, 'Detalles movimientos'!$S$5:$S$1000, 0)), "")</f>
        <v/>
      </c>
      <c r="C148" s="19" t="str">
        <f>IFERROR(INDEX('Detalles movimientos'!D$5:D$1000, MATCH(139, 'Detalles movimientos'!$S$5:$S$1000, 0)), "")</f>
        <v/>
      </c>
      <c r="D148" s="20" t="str">
        <f>IFERROR(INDEX('Detalles movimientos'!E$5:E$1000, MATCH(139, 'Detalles movimientos'!$S$5:$S$1000, 0)), "")</f>
        <v/>
      </c>
      <c r="E148" s="20" t="str">
        <f>IFERROR(INDEX('Detalles movimientos'!F$5:F$1000, MATCH(139, 'Detalles movimientos'!$S$5:$S$1000, 0)), "")</f>
        <v/>
      </c>
      <c r="F148" s="19" t="str">
        <f>IFERROR(INDEX('Detalles movimientos'!G$5:G$1000, MATCH(139, 'Detalles movimientos'!$S$5:$S$1000, 0)), "")</f>
        <v/>
      </c>
      <c r="G148" s="21" t="str">
        <f>IFERROR(INDEX('Detalles movimientos'!H$5:H$1000, MATCH(139, 'Detalles movimientos'!$S$5:$S$1000, 0)), "")</f>
        <v/>
      </c>
      <c r="H148" s="22" t="str">
        <f>IFERROR(INDEX('Detalles movimientos'!I$5:I$1000, MATCH(139, 'Detalles movimientos'!$S$5:$S$1000, 0)), "")</f>
        <v/>
      </c>
      <c r="I148" s="21" t="str">
        <f>IFERROR(INDEX('Detalles movimientos'!J$5:J$1000, MATCH(139, 'Detalles movimientos'!$S$5:$S$1000, 0)), "")</f>
        <v/>
      </c>
      <c r="J148" s="20" t="str">
        <f>IFERROR(INDEX('Detalles movimientos'!K$5:K$1000, MATCH(139, 'Detalles movimientos'!$S$5:$S$1000, 0)), "")</f>
        <v/>
      </c>
      <c r="K148" s="21" t="str">
        <f>IFERROR(INDEX('Detalles movimientos'!L$5:L$1000, MATCH(139, 'Detalles movimientos'!$S$5:$S$1000, 0)), "")</f>
        <v/>
      </c>
      <c r="L148" s="19" t="str">
        <f>IFERROR(INDEX('Detalles movimientos'!M$5:M$1000, MATCH(139, 'Detalles movimientos'!$S$5:$S$1000, 0)), "")</f>
        <v/>
      </c>
      <c r="M148" s="19" t="str">
        <f>IFERROR(INDEX('Detalles movimientos'!P$5:P$1000, MATCH(139, 'Detalles movimientos'!$S$5:$S$1000, 0)), "")</f>
        <v/>
      </c>
    </row>
    <row r="149" spans="2:13" x14ac:dyDescent="0.2">
      <c r="B149" s="18" t="str">
        <f>IFERROR(INDEX('Detalles movimientos'!C$5:C$1000, MATCH(140, 'Detalles movimientos'!$S$5:$S$1000, 0)), "")</f>
        <v/>
      </c>
      <c r="C149" s="19" t="str">
        <f>IFERROR(INDEX('Detalles movimientos'!D$5:D$1000, MATCH(140, 'Detalles movimientos'!$S$5:$S$1000, 0)), "")</f>
        <v/>
      </c>
      <c r="D149" s="20" t="str">
        <f>IFERROR(INDEX('Detalles movimientos'!E$5:E$1000, MATCH(140, 'Detalles movimientos'!$S$5:$S$1000, 0)), "")</f>
        <v/>
      </c>
      <c r="E149" s="20" t="str">
        <f>IFERROR(INDEX('Detalles movimientos'!F$5:F$1000, MATCH(140, 'Detalles movimientos'!$S$5:$S$1000, 0)), "")</f>
        <v/>
      </c>
      <c r="F149" s="19" t="str">
        <f>IFERROR(INDEX('Detalles movimientos'!G$5:G$1000, MATCH(140, 'Detalles movimientos'!$S$5:$S$1000, 0)), "")</f>
        <v/>
      </c>
      <c r="G149" s="21" t="str">
        <f>IFERROR(INDEX('Detalles movimientos'!H$5:H$1000, MATCH(140, 'Detalles movimientos'!$S$5:$S$1000, 0)), "")</f>
        <v/>
      </c>
      <c r="H149" s="22" t="str">
        <f>IFERROR(INDEX('Detalles movimientos'!I$5:I$1000, MATCH(140, 'Detalles movimientos'!$S$5:$S$1000, 0)), "")</f>
        <v/>
      </c>
      <c r="I149" s="21" t="str">
        <f>IFERROR(INDEX('Detalles movimientos'!J$5:J$1000, MATCH(140, 'Detalles movimientos'!$S$5:$S$1000, 0)), "")</f>
        <v/>
      </c>
      <c r="J149" s="20" t="str">
        <f>IFERROR(INDEX('Detalles movimientos'!K$5:K$1000, MATCH(140, 'Detalles movimientos'!$S$5:$S$1000, 0)), "")</f>
        <v/>
      </c>
      <c r="K149" s="21" t="str">
        <f>IFERROR(INDEX('Detalles movimientos'!L$5:L$1000, MATCH(140, 'Detalles movimientos'!$S$5:$S$1000, 0)), "")</f>
        <v/>
      </c>
      <c r="L149" s="19" t="str">
        <f>IFERROR(INDEX('Detalles movimientos'!M$5:M$1000, MATCH(140, 'Detalles movimientos'!$S$5:$S$1000, 0)), "")</f>
        <v/>
      </c>
      <c r="M149" s="19" t="str">
        <f>IFERROR(INDEX('Detalles movimientos'!P$5:P$1000, MATCH(140, 'Detalles movimientos'!$S$5:$S$1000, 0)), "")</f>
        <v/>
      </c>
    </row>
    <row r="150" spans="2:13" x14ac:dyDescent="0.2">
      <c r="B150" s="18" t="str">
        <f>IFERROR(INDEX('Detalles movimientos'!C$5:C$1000, MATCH(141, 'Detalles movimientos'!$S$5:$S$1000, 0)), "")</f>
        <v/>
      </c>
      <c r="C150" s="19" t="str">
        <f>IFERROR(INDEX('Detalles movimientos'!D$5:D$1000, MATCH(141, 'Detalles movimientos'!$S$5:$S$1000, 0)), "")</f>
        <v/>
      </c>
      <c r="D150" s="20" t="str">
        <f>IFERROR(INDEX('Detalles movimientos'!E$5:E$1000, MATCH(141, 'Detalles movimientos'!$S$5:$S$1000, 0)), "")</f>
        <v/>
      </c>
      <c r="E150" s="20" t="str">
        <f>IFERROR(INDEX('Detalles movimientos'!F$5:F$1000, MATCH(141, 'Detalles movimientos'!$S$5:$S$1000, 0)), "")</f>
        <v/>
      </c>
      <c r="F150" s="19" t="str">
        <f>IFERROR(INDEX('Detalles movimientos'!G$5:G$1000, MATCH(141, 'Detalles movimientos'!$S$5:$S$1000, 0)), "")</f>
        <v/>
      </c>
      <c r="G150" s="21" t="str">
        <f>IFERROR(INDEX('Detalles movimientos'!H$5:H$1000, MATCH(141, 'Detalles movimientos'!$S$5:$S$1000, 0)), "")</f>
        <v/>
      </c>
      <c r="H150" s="22" t="str">
        <f>IFERROR(INDEX('Detalles movimientos'!I$5:I$1000, MATCH(141, 'Detalles movimientos'!$S$5:$S$1000, 0)), "")</f>
        <v/>
      </c>
      <c r="I150" s="21" t="str">
        <f>IFERROR(INDEX('Detalles movimientos'!J$5:J$1000, MATCH(141, 'Detalles movimientos'!$S$5:$S$1000, 0)), "")</f>
        <v/>
      </c>
      <c r="J150" s="20" t="str">
        <f>IFERROR(INDEX('Detalles movimientos'!K$5:K$1000, MATCH(141, 'Detalles movimientos'!$S$5:$S$1000, 0)), "")</f>
        <v/>
      </c>
      <c r="K150" s="21" t="str">
        <f>IFERROR(INDEX('Detalles movimientos'!L$5:L$1000, MATCH(141, 'Detalles movimientos'!$S$5:$S$1000, 0)), "")</f>
        <v/>
      </c>
      <c r="L150" s="19" t="str">
        <f>IFERROR(INDEX('Detalles movimientos'!M$5:M$1000, MATCH(141, 'Detalles movimientos'!$S$5:$S$1000, 0)), "")</f>
        <v/>
      </c>
      <c r="M150" s="19" t="str">
        <f>IFERROR(INDEX('Detalles movimientos'!P$5:P$1000, MATCH(141, 'Detalles movimientos'!$S$5:$S$1000, 0)), "")</f>
        <v/>
      </c>
    </row>
    <row r="151" spans="2:13" x14ac:dyDescent="0.2">
      <c r="B151" s="18" t="str">
        <f>IFERROR(INDEX('Detalles movimientos'!C$5:C$1000, MATCH(142, 'Detalles movimientos'!$S$5:$S$1000, 0)), "")</f>
        <v/>
      </c>
      <c r="C151" s="19" t="str">
        <f>IFERROR(INDEX('Detalles movimientos'!D$5:D$1000, MATCH(142, 'Detalles movimientos'!$S$5:$S$1000, 0)), "")</f>
        <v/>
      </c>
      <c r="D151" s="20" t="str">
        <f>IFERROR(INDEX('Detalles movimientos'!E$5:E$1000, MATCH(142, 'Detalles movimientos'!$S$5:$S$1000, 0)), "")</f>
        <v/>
      </c>
      <c r="E151" s="20" t="str">
        <f>IFERROR(INDEX('Detalles movimientos'!F$5:F$1000, MATCH(142, 'Detalles movimientos'!$S$5:$S$1000, 0)), "")</f>
        <v/>
      </c>
      <c r="F151" s="19" t="str">
        <f>IFERROR(INDEX('Detalles movimientos'!G$5:G$1000, MATCH(142, 'Detalles movimientos'!$S$5:$S$1000, 0)), "")</f>
        <v/>
      </c>
      <c r="G151" s="21" t="str">
        <f>IFERROR(INDEX('Detalles movimientos'!H$5:H$1000, MATCH(142, 'Detalles movimientos'!$S$5:$S$1000, 0)), "")</f>
        <v/>
      </c>
      <c r="H151" s="22" t="str">
        <f>IFERROR(INDEX('Detalles movimientos'!I$5:I$1000, MATCH(142, 'Detalles movimientos'!$S$5:$S$1000, 0)), "")</f>
        <v/>
      </c>
      <c r="I151" s="21" t="str">
        <f>IFERROR(INDEX('Detalles movimientos'!J$5:J$1000, MATCH(142, 'Detalles movimientos'!$S$5:$S$1000, 0)), "")</f>
        <v/>
      </c>
      <c r="J151" s="20" t="str">
        <f>IFERROR(INDEX('Detalles movimientos'!K$5:K$1000, MATCH(142, 'Detalles movimientos'!$S$5:$S$1000, 0)), "")</f>
        <v/>
      </c>
      <c r="K151" s="21" t="str">
        <f>IFERROR(INDEX('Detalles movimientos'!L$5:L$1000, MATCH(142, 'Detalles movimientos'!$S$5:$S$1000, 0)), "")</f>
        <v/>
      </c>
      <c r="L151" s="19" t="str">
        <f>IFERROR(INDEX('Detalles movimientos'!M$5:M$1000, MATCH(142, 'Detalles movimientos'!$S$5:$S$1000, 0)), "")</f>
        <v/>
      </c>
      <c r="M151" s="19" t="str">
        <f>IFERROR(INDEX('Detalles movimientos'!P$5:P$1000, MATCH(142, 'Detalles movimientos'!$S$5:$S$1000, 0)), "")</f>
        <v/>
      </c>
    </row>
    <row r="152" spans="2:13" x14ac:dyDescent="0.2">
      <c r="B152" s="18" t="str">
        <f>IFERROR(INDEX('Detalles movimientos'!C$5:C$1000, MATCH(143, 'Detalles movimientos'!$S$5:$S$1000, 0)), "")</f>
        <v/>
      </c>
      <c r="C152" s="19" t="str">
        <f>IFERROR(INDEX('Detalles movimientos'!D$5:D$1000, MATCH(143, 'Detalles movimientos'!$S$5:$S$1000, 0)), "")</f>
        <v/>
      </c>
      <c r="D152" s="20" t="str">
        <f>IFERROR(INDEX('Detalles movimientos'!E$5:E$1000, MATCH(143, 'Detalles movimientos'!$S$5:$S$1000, 0)), "")</f>
        <v/>
      </c>
      <c r="E152" s="20" t="str">
        <f>IFERROR(INDEX('Detalles movimientos'!F$5:F$1000, MATCH(143, 'Detalles movimientos'!$S$5:$S$1000, 0)), "")</f>
        <v/>
      </c>
      <c r="F152" s="19" t="str">
        <f>IFERROR(INDEX('Detalles movimientos'!G$5:G$1000, MATCH(143, 'Detalles movimientos'!$S$5:$S$1000, 0)), "")</f>
        <v/>
      </c>
      <c r="G152" s="21" t="str">
        <f>IFERROR(INDEX('Detalles movimientos'!H$5:H$1000, MATCH(143, 'Detalles movimientos'!$S$5:$S$1000, 0)), "")</f>
        <v/>
      </c>
      <c r="H152" s="22" t="str">
        <f>IFERROR(INDEX('Detalles movimientos'!I$5:I$1000, MATCH(143, 'Detalles movimientos'!$S$5:$S$1000, 0)), "")</f>
        <v/>
      </c>
      <c r="I152" s="21" t="str">
        <f>IFERROR(INDEX('Detalles movimientos'!J$5:J$1000, MATCH(143, 'Detalles movimientos'!$S$5:$S$1000, 0)), "")</f>
        <v/>
      </c>
      <c r="J152" s="20" t="str">
        <f>IFERROR(INDEX('Detalles movimientos'!K$5:K$1000, MATCH(143, 'Detalles movimientos'!$S$5:$S$1000, 0)), "")</f>
        <v/>
      </c>
      <c r="K152" s="21" t="str">
        <f>IFERROR(INDEX('Detalles movimientos'!L$5:L$1000, MATCH(143, 'Detalles movimientos'!$S$5:$S$1000, 0)), "")</f>
        <v/>
      </c>
      <c r="L152" s="19" t="str">
        <f>IFERROR(INDEX('Detalles movimientos'!M$5:M$1000, MATCH(143, 'Detalles movimientos'!$S$5:$S$1000, 0)), "")</f>
        <v/>
      </c>
      <c r="M152" s="19" t="str">
        <f>IFERROR(INDEX('Detalles movimientos'!P$5:P$1000, MATCH(143, 'Detalles movimientos'!$S$5:$S$1000, 0)), "")</f>
        <v/>
      </c>
    </row>
    <row r="153" spans="2:13" x14ac:dyDescent="0.2">
      <c r="B153" s="18" t="str">
        <f>IFERROR(INDEX('Detalles movimientos'!C$5:C$1000, MATCH(144, 'Detalles movimientos'!$S$5:$S$1000, 0)), "")</f>
        <v/>
      </c>
      <c r="C153" s="19" t="str">
        <f>IFERROR(INDEX('Detalles movimientos'!D$5:D$1000, MATCH(144, 'Detalles movimientos'!$S$5:$S$1000, 0)), "")</f>
        <v/>
      </c>
      <c r="D153" s="20" t="str">
        <f>IFERROR(INDEX('Detalles movimientos'!E$5:E$1000, MATCH(144, 'Detalles movimientos'!$S$5:$S$1000, 0)), "")</f>
        <v/>
      </c>
      <c r="E153" s="20" t="str">
        <f>IFERROR(INDEX('Detalles movimientos'!F$5:F$1000, MATCH(144, 'Detalles movimientos'!$S$5:$S$1000, 0)), "")</f>
        <v/>
      </c>
      <c r="F153" s="19" t="str">
        <f>IFERROR(INDEX('Detalles movimientos'!G$5:G$1000, MATCH(144, 'Detalles movimientos'!$S$5:$S$1000, 0)), "")</f>
        <v/>
      </c>
      <c r="G153" s="21" t="str">
        <f>IFERROR(INDEX('Detalles movimientos'!H$5:H$1000, MATCH(144, 'Detalles movimientos'!$S$5:$S$1000, 0)), "")</f>
        <v/>
      </c>
      <c r="H153" s="22" t="str">
        <f>IFERROR(INDEX('Detalles movimientos'!I$5:I$1000, MATCH(144, 'Detalles movimientos'!$S$5:$S$1000, 0)), "")</f>
        <v/>
      </c>
      <c r="I153" s="21" t="str">
        <f>IFERROR(INDEX('Detalles movimientos'!J$5:J$1000, MATCH(144, 'Detalles movimientos'!$S$5:$S$1000, 0)), "")</f>
        <v/>
      </c>
      <c r="J153" s="20" t="str">
        <f>IFERROR(INDEX('Detalles movimientos'!K$5:K$1000, MATCH(144, 'Detalles movimientos'!$S$5:$S$1000, 0)), "")</f>
        <v/>
      </c>
      <c r="K153" s="21" t="str">
        <f>IFERROR(INDEX('Detalles movimientos'!L$5:L$1000, MATCH(144, 'Detalles movimientos'!$S$5:$S$1000, 0)), "")</f>
        <v/>
      </c>
      <c r="L153" s="19" t="str">
        <f>IFERROR(INDEX('Detalles movimientos'!M$5:M$1000, MATCH(144, 'Detalles movimientos'!$S$5:$S$1000, 0)), "")</f>
        <v/>
      </c>
      <c r="M153" s="19" t="str">
        <f>IFERROR(INDEX('Detalles movimientos'!P$5:P$1000, MATCH(144, 'Detalles movimientos'!$S$5:$S$1000, 0)), "")</f>
        <v/>
      </c>
    </row>
    <row r="154" spans="2:13" x14ac:dyDescent="0.2">
      <c r="B154" s="18" t="str">
        <f>IFERROR(INDEX('Detalles movimientos'!C$5:C$1000, MATCH(145, 'Detalles movimientos'!$S$5:$S$1000, 0)), "")</f>
        <v/>
      </c>
      <c r="C154" s="19" t="str">
        <f>IFERROR(INDEX('Detalles movimientos'!D$5:D$1000, MATCH(145, 'Detalles movimientos'!$S$5:$S$1000, 0)), "")</f>
        <v/>
      </c>
      <c r="D154" s="20" t="str">
        <f>IFERROR(INDEX('Detalles movimientos'!E$5:E$1000, MATCH(145, 'Detalles movimientos'!$S$5:$S$1000, 0)), "")</f>
        <v/>
      </c>
      <c r="E154" s="20" t="str">
        <f>IFERROR(INDEX('Detalles movimientos'!F$5:F$1000, MATCH(145, 'Detalles movimientos'!$S$5:$S$1000, 0)), "")</f>
        <v/>
      </c>
      <c r="F154" s="19" t="str">
        <f>IFERROR(INDEX('Detalles movimientos'!G$5:G$1000, MATCH(145, 'Detalles movimientos'!$S$5:$S$1000, 0)), "")</f>
        <v/>
      </c>
      <c r="G154" s="21" t="str">
        <f>IFERROR(INDEX('Detalles movimientos'!H$5:H$1000, MATCH(145, 'Detalles movimientos'!$S$5:$S$1000, 0)), "")</f>
        <v/>
      </c>
      <c r="H154" s="22" t="str">
        <f>IFERROR(INDEX('Detalles movimientos'!I$5:I$1000, MATCH(145, 'Detalles movimientos'!$S$5:$S$1000, 0)), "")</f>
        <v/>
      </c>
      <c r="I154" s="21" t="str">
        <f>IFERROR(INDEX('Detalles movimientos'!J$5:J$1000, MATCH(145, 'Detalles movimientos'!$S$5:$S$1000, 0)), "")</f>
        <v/>
      </c>
      <c r="J154" s="20" t="str">
        <f>IFERROR(INDEX('Detalles movimientos'!K$5:K$1000, MATCH(145, 'Detalles movimientos'!$S$5:$S$1000, 0)), "")</f>
        <v/>
      </c>
      <c r="K154" s="21" t="str">
        <f>IFERROR(INDEX('Detalles movimientos'!L$5:L$1000, MATCH(145, 'Detalles movimientos'!$S$5:$S$1000, 0)), "")</f>
        <v/>
      </c>
      <c r="L154" s="19" t="str">
        <f>IFERROR(INDEX('Detalles movimientos'!M$5:M$1000, MATCH(145, 'Detalles movimientos'!$S$5:$S$1000, 0)), "")</f>
        <v/>
      </c>
      <c r="M154" s="19" t="str">
        <f>IFERROR(INDEX('Detalles movimientos'!P$5:P$1000, MATCH(145, 'Detalles movimientos'!$S$5:$S$1000, 0)), "")</f>
        <v/>
      </c>
    </row>
    <row r="155" spans="2:13" x14ac:dyDescent="0.2">
      <c r="B155" s="18" t="str">
        <f>IFERROR(INDEX('Detalles movimientos'!C$5:C$1000, MATCH(146, 'Detalles movimientos'!$S$5:$S$1000, 0)), "")</f>
        <v/>
      </c>
      <c r="C155" s="19" t="str">
        <f>IFERROR(INDEX('Detalles movimientos'!D$5:D$1000, MATCH(146, 'Detalles movimientos'!$S$5:$S$1000, 0)), "")</f>
        <v/>
      </c>
      <c r="D155" s="20" t="str">
        <f>IFERROR(INDEX('Detalles movimientos'!E$5:E$1000, MATCH(146, 'Detalles movimientos'!$S$5:$S$1000, 0)), "")</f>
        <v/>
      </c>
      <c r="E155" s="20" t="str">
        <f>IFERROR(INDEX('Detalles movimientos'!F$5:F$1000, MATCH(146, 'Detalles movimientos'!$S$5:$S$1000, 0)), "")</f>
        <v/>
      </c>
      <c r="F155" s="19" t="str">
        <f>IFERROR(INDEX('Detalles movimientos'!G$5:G$1000, MATCH(146, 'Detalles movimientos'!$S$5:$S$1000, 0)), "")</f>
        <v/>
      </c>
      <c r="G155" s="21" t="str">
        <f>IFERROR(INDEX('Detalles movimientos'!H$5:H$1000, MATCH(146, 'Detalles movimientos'!$S$5:$S$1000, 0)), "")</f>
        <v/>
      </c>
      <c r="H155" s="22" t="str">
        <f>IFERROR(INDEX('Detalles movimientos'!I$5:I$1000, MATCH(146, 'Detalles movimientos'!$S$5:$S$1000, 0)), "")</f>
        <v/>
      </c>
      <c r="I155" s="21" t="str">
        <f>IFERROR(INDEX('Detalles movimientos'!J$5:J$1000, MATCH(146, 'Detalles movimientos'!$S$5:$S$1000, 0)), "")</f>
        <v/>
      </c>
      <c r="J155" s="20" t="str">
        <f>IFERROR(INDEX('Detalles movimientos'!K$5:K$1000, MATCH(146, 'Detalles movimientos'!$S$5:$S$1000, 0)), "")</f>
        <v/>
      </c>
      <c r="K155" s="21" t="str">
        <f>IFERROR(INDEX('Detalles movimientos'!L$5:L$1000, MATCH(146, 'Detalles movimientos'!$S$5:$S$1000, 0)), "")</f>
        <v/>
      </c>
      <c r="L155" s="19" t="str">
        <f>IFERROR(INDEX('Detalles movimientos'!M$5:M$1000, MATCH(146, 'Detalles movimientos'!$S$5:$S$1000, 0)), "")</f>
        <v/>
      </c>
      <c r="M155" s="19" t="str">
        <f>IFERROR(INDEX('Detalles movimientos'!P$5:P$1000, MATCH(146, 'Detalles movimientos'!$S$5:$S$1000, 0)), "")</f>
        <v/>
      </c>
    </row>
    <row r="156" spans="2:13" x14ac:dyDescent="0.2">
      <c r="B156" s="18" t="str">
        <f>IFERROR(INDEX('Detalles movimientos'!C$5:C$1000, MATCH(147, 'Detalles movimientos'!$S$5:$S$1000, 0)), "")</f>
        <v/>
      </c>
      <c r="C156" s="19" t="str">
        <f>IFERROR(INDEX('Detalles movimientos'!D$5:D$1000, MATCH(147, 'Detalles movimientos'!$S$5:$S$1000, 0)), "")</f>
        <v/>
      </c>
      <c r="D156" s="20" t="str">
        <f>IFERROR(INDEX('Detalles movimientos'!E$5:E$1000, MATCH(147, 'Detalles movimientos'!$S$5:$S$1000, 0)), "")</f>
        <v/>
      </c>
      <c r="E156" s="20" t="str">
        <f>IFERROR(INDEX('Detalles movimientos'!F$5:F$1000, MATCH(147, 'Detalles movimientos'!$S$5:$S$1000, 0)), "")</f>
        <v/>
      </c>
      <c r="F156" s="19" t="str">
        <f>IFERROR(INDEX('Detalles movimientos'!G$5:G$1000, MATCH(147, 'Detalles movimientos'!$S$5:$S$1000, 0)), "")</f>
        <v/>
      </c>
      <c r="G156" s="21" t="str">
        <f>IFERROR(INDEX('Detalles movimientos'!H$5:H$1000, MATCH(147, 'Detalles movimientos'!$S$5:$S$1000, 0)), "")</f>
        <v/>
      </c>
      <c r="H156" s="22" t="str">
        <f>IFERROR(INDEX('Detalles movimientos'!I$5:I$1000, MATCH(147, 'Detalles movimientos'!$S$5:$S$1000, 0)), "")</f>
        <v/>
      </c>
      <c r="I156" s="21" t="str">
        <f>IFERROR(INDEX('Detalles movimientos'!J$5:J$1000, MATCH(147, 'Detalles movimientos'!$S$5:$S$1000, 0)), "")</f>
        <v/>
      </c>
      <c r="J156" s="20" t="str">
        <f>IFERROR(INDEX('Detalles movimientos'!K$5:K$1000, MATCH(147, 'Detalles movimientos'!$S$5:$S$1000, 0)), "")</f>
        <v/>
      </c>
      <c r="K156" s="21" t="str">
        <f>IFERROR(INDEX('Detalles movimientos'!L$5:L$1000, MATCH(147, 'Detalles movimientos'!$S$5:$S$1000, 0)), "")</f>
        <v/>
      </c>
      <c r="L156" s="19" t="str">
        <f>IFERROR(INDEX('Detalles movimientos'!M$5:M$1000, MATCH(147, 'Detalles movimientos'!$S$5:$S$1000, 0)), "")</f>
        <v/>
      </c>
      <c r="M156" s="19" t="str">
        <f>IFERROR(INDEX('Detalles movimientos'!P$5:P$1000, MATCH(147, 'Detalles movimientos'!$S$5:$S$1000, 0)), "")</f>
        <v/>
      </c>
    </row>
    <row r="157" spans="2:13" x14ac:dyDescent="0.2">
      <c r="B157" s="18" t="str">
        <f>IFERROR(INDEX('Detalles movimientos'!C$5:C$1000, MATCH(148, 'Detalles movimientos'!$S$5:$S$1000, 0)), "")</f>
        <v/>
      </c>
      <c r="C157" s="19" t="str">
        <f>IFERROR(INDEX('Detalles movimientos'!D$5:D$1000, MATCH(148, 'Detalles movimientos'!$S$5:$S$1000, 0)), "")</f>
        <v/>
      </c>
      <c r="D157" s="20" t="str">
        <f>IFERROR(INDEX('Detalles movimientos'!E$5:E$1000, MATCH(148, 'Detalles movimientos'!$S$5:$S$1000, 0)), "")</f>
        <v/>
      </c>
      <c r="E157" s="20" t="str">
        <f>IFERROR(INDEX('Detalles movimientos'!F$5:F$1000, MATCH(148, 'Detalles movimientos'!$S$5:$S$1000, 0)), "")</f>
        <v/>
      </c>
      <c r="F157" s="19" t="str">
        <f>IFERROR(INDEX('Detalles movimientos'!G$5:G$1000, MATCH(148, 'Detalles movimientos'!$S$5:$S$1000, 0)), "")</f>
        <v/>
      </c>
      <c r="G157" s="21" t="str">
        <f>IFERROR(INDEX('Detalles movimientos'!H$5:H$1000, MATCH(148, 'Detalles movimientos'!$S$5:$S$1000, 0)), "")</f>
        <v/>
      </c>
      <c r="H157" s="22" t="str">
        <f>IFERROR(INDEX('Detalles movimientos'!I$5:I$1000, MATCH(148, 'Detalles movimientos'!$S$5:$S$1000, 0)), "")</f>
        <v/>
      </c>
      <c r="I157" s="21" t="str">
        <f>IFERROR(INDEX('Detalles movimientos'!J$5:J$1000, MATCH(148, 'Detalles movimientos'!$S$5:$S$1000, 0)), "")</f>
        <v/>
      </c>
      <c r="J157" s="20" t="str">
        <f>IFERROR(INDEX('Detalles movimientos'!K$5:K$1000, MATCH(148, 'Detalles movimientos'!$S$5:$S$1000, 0)), "")</f>
        <v/>
      </c>
      <c r="K157" s="21" t="str">
        <f>IFERROR(INDEX('Detalles movimientos'!L$5:L$1000, MATCH(148, 'Detalles movimientos'!$S$5:$S$1000, 0)), "")</f>
        <v/>
      </c>
      <c r="L157" s="19" t="str">
        <f>IFERROR(INDEX('Detalles movimientos'!M$5:M$1000, MATCH(148, 'Detalles movimientos'!$S$5:$S$1000, 0)), "")</f>
        <v/>
      </c>
      <c r="M157" s="19" t="str">
        <f>IFERROR(INDEX('Detalles movimientos'!P$5:P$1000, MATCH(148, 'Detalles movimientos'!$S$5:$S$1000, 0)), "")</f>
        <v/>
      </c>
    </row>
    <row r="158" spans="2:13" x14ac:dyDescent="0.2">
      <c r="B158" s="18" t="str">
        <f>IFERROR(INDEX('Detalles movimientos'!C$5:C$1000, MATCH(149, 'Detalles movimientos'!$S$5:$S$1000, 0)), "")</f>
        <v/>
      </c>
      <c r="C158" s="19" t="str">
        <f>IFERROR(INDEX('Detalles movimientos'!D$5:D$1000, MATCH(149, 'Detalles movimientos'!$S$5:$S$1000, 0)), "")</f>
        <v/>
      </c>
      <c r="D158" s="20" t="str">
        <f>IFERROR(INDEX('Detalles movimientos'!E$5:E$1000, MATCH(149, 'Detalles movimientos'!$S$5:$S$1000, 0)), "")</f>
        <v/>
      </c>
      <c r="E158" s="20" t="str">
        <f>IFERROR(INDEX('Detalles movimientos'!F$5:F$1000, MATCH(149, 'Detalles movimientos'!$S$5:$S$1000, 0)), "")</f>
        <v/>
      </c>
      <c r="F158" s="19" t="str">
        <f>IFERROR(INDEX('Detalles movimientos'!G$5:G$1000, MATCH(149, 'Detalles movimientos'!$S$5:$S$1000, 0)), "")</f>
        <v/>
      </c>
      <c r="G158" s="21" t="str">
        <f>IFERROR(INDEX('Detalles movimientos'!H$5:H$1000, MATCH(149, 'Detalles movimientos'!$S$5:$S$1000, 0)), "")</f>
        <v/>
      </c>
      <c r="H158" s="22" t="str">
        <f>IFERROR(INDEX('Detalles movimientos'!I$5:I$1000, MATCH(149, 'Detalles movimientos'!$S$5:$S$1000, 0)), "")</f>
        <v/>
      </c>
      <c r="I158" s="21" t="str">
        <f>IFERROR(INDEX('Detalles movimientos'!J$5:J$1000, MATCH(149, 'Detalles movimientos'!$S$5:$S$1000, 0)), "")</f>
        <v/>
      </c>
      <c r="J158" s="20" t="str">
        <f>IFERROR(INDEX('Detalles movimientos'!K$5:K$1000, MATCH(149, 'Detalles movimientos'!$S$5:$S$1000, 0)), "")</f>
        <v/>
      </c>
      <c r="K158" s="21" t="str">
        <f>IFERROR(INDEX('Detalles movimientos'!L$5:L$1000, MATCH(149, 'Detalles movimientos'!$S$5:$S$1000, 0)), "")</f>
        <v/>
      </c>
      <c r="L158" s="19" t="str">
        <f>IFERROR(INDEX('Detalles movimientos'!M$5:M$1000, MATCH(149, 'Detalles movimientos'!$S$5:$S$1000, 0)), "")</f>
        <v/>
      </c>
      <c r="M158" s="19" t="str">
        <f>IFERROR(INDEX('Detalles movimientos'!P$5:P$1000, MATCH(149, 'Detalles movimientos'!$S$5:$S$1000, 0)), "")</f>
        <v/>
      </c>
    </row>
  </sheetData>
  <mergeCells count="8">
    <mergeCell ref="E6:F7"/>
    <mergeCell ref="H6:I7"/>
    <mergeCell ref="B5:C5"/>
    <mergeCell ref="K6:L7"/>
    <mergeCell ref="E5:F5"/>
    <mergeCell ref="K5:L5"/>
    <mergeCell ref="B6:C7"/>
    <mergeCell ref="H5:I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158"/>
  <sheetViews>
    <sheetView showGridLines="0" workbookViewId="0">
      <selection activeCell="B6" sqref="B6:C7"/>
    </sheetView>
  </sheetViews>
  <sheetFormatPr baseColWidth="10" defaultColWidth="8.83203125" defaultRowHeight="16" x14ac:dyDescent="0.2"/>
  <cols>
    <col min="1" max="1" width="4" customWidth="1"/>
    <col min="2" max="2" width="14" customWidth="1"/>
    <col min="3" max="3" width="26" customWidth="1"/>
    <col min="4" max="4" width="12" customWidth="1"/>
    <col min="5" max="5" width="14" customWidth="1"/>
    <col min="6" max="6" width="32" customWidth="1"/>
    <col min="7" max="8" width="14" customWidth="1"/>
    <col min="9" max="9" width="16" customWidth="1"/>
    <col min="10" max="10" width="18" customWidth="1"/>
    <col min="11" max="11" width="16" customWidth="1"/>
    <col min="12" max="12" width="24" customWidth="1"/>
    <col min="13" max="13" width="45" customWidth="1"/>
  </cols>
  <sheetData>
    <row r="2" spans="2:13" ht="22" x14ac:dyDescent="0.3">
      <c r="B2" s="15" t="s">
        <v>77</v>
      </c>
    </row>
    <row r="3" spans="2:13" x14ac:dyDescent="0.2">
      <c r="B3" s="16" t="s">
        <v>73</v>
      </c>
    </row>
    <row r="5" spans="2:13" x14ac:dyDescent="0.2">
      <c r="B5" s="24" t="s">
        <v>65</v>
      </c>
      <c r="C5" s="25"/>
      <c r="E5" s="24" t="s">
        <v>66</v>
      </c>
      <c r="F5" s="25"/>
      <c r="H5" s="24" t="s">
        <v>74</v>
      </c>
      <c r="I5" s="25"/>
      <c r="K5" s="24" t="s">
        <v>75</v>
      </c>
      <c r="L5" s="25"/>
    </row>
    <row r="6" spans="2:13" x14ac:dyDescent="0.2">
      <c r="B6" s="27">
        <f>SUMIFS('Detalles movimientos'!I$5:I$1000, 'Detalles movimientos'!F$5:F$1000, "ENAP carga")</f>
        <v>34579</v>
      </c>
      <c r="C6" s="25"/>
      <c r="E6" s="26">
        <f>SUMIFS('Detalles movimientos'!J$5:J$1000, 'Detalles movimientos'!F$5:F$1000, "ENAP carga")</f>
        <v>0</v>
      </c>
      <c r="F6" s="25"/>
      <c r="H6" s="30">
        <f>COUNTIFS('Detalles movimientos'!F$5:F$1000, "ENAP carga")</f>
        <v>3</v>
      </c>
      <c r="I6" s="25"/>
      <c r="K6" s="26">
        <f>IFERROR(E6/B6, 0)</f>
        <v>0</v>
      </c>
      <c r="L6" s="25"/>
    </row>
    <row r="7" spans="2:13" x14ac:dyDescent="0.2">
      <c r="B7" s="25"/>
      <c r="C7" s="25"/>
      <c r="E7" s="25"/>
      <c r="F7" s="25"/>
      <c r="H7" s="25"/>
      <c r="I7" s="25"/>
      <c r="K7" s="25"/>
      <c r="L7" s="25"/>
    </row>
    <row r="9" spans="2:13" ht="25" customHeight="1" x14ac:dyDescent="0.2">
      <c r="B9" s="17" t="s">
        <v>1</v>
      </c>
      <c r="C9" s="17" t="s">
        <v>2</v>
      </c>
      <c r="D9" s="17" t="s">
        <v>3</v>
      </c>
      <c r="E9" s="17" t="s">
        <v>4</v>
      </c>
      <c r="F9" s="17" t="s">
        <v>5</v>
      </c>
      <c r="G9" s="17" t="s">
        <v>6</v>
      </c>
      <c r="H9" s="17" t="s">
        <v>7</v>
      </c>
      <c r="I9" s="17" t="s">
        <v>8</v>
      </c>
      <c r="J9" s="17" t="s">
        <v>9</v>
      </c>
      <c r="K9" s="17" t="s">
        <v>10</v>
      </c>
      <c r="L9" s="17" t="s">
        <v>11</v>
      </c>
      <c r="M9" s="17" t="s">
        <v>71</v>
      </c>
    </row>
    <row r="10" spans="2:13" x14ac:dyDescent="0.2">
      <c r="B10" s="18">
        <f>IFERROR(INDEX('Detalles movimientos'!C$5:C$1000, MATCH(1, 'Detalles movimientos'!$T$5:$T$1000, 0)), "")</f>
        <v>46226</v>
      </c>
      <c r="C10" s="19" t="str">
        <f>IFERROR(INDEX('Detalles movimientos'!D$5:D$1000, MATCH(1, 'Detalles movimientos'!$T$5:$T$1000, 0)), "")</f>
        <v>ENAP carga</v>
      </c>
      <c r="D10" s="20" t="str">
        <f>IFERROR(INDEX('Detalles movimientos'!E$5:E$1000, MATCH(1, 'Detalles movimientos'!$T$5:$T$1000, 0)), "")</f>
        <v>VJYL61</v>
      </c>
      <c r="E10" s="20" t="str">
        <f>IFERROR(INDEX('Detalles movimientos'!F$5:F$1000, MATCH(1, 'Detalles movimientos'!$T$5:$T$1000, 0)), "")</f>
        <v>ENAP carga</v>
      </c>
      <c r="F10" s="19">
        <f>IFERROR(INDEX('Detalles movimientos'!G$5:G$1000, MATCH(1, 'Detalles movimientos'!$T$5:$T$1000, 0)), "")</f>
        <v>0</v>
      </c>
      <c r="G10" s="21">
        <f>IFERROR(INDEX('Detalles movimientos'!H$5:H$1000, MATCH(1, 'Detalles movimientos'!$T$5:$T$1000, 0)), "")</f>
        <v>0</v>
      </c>
      <c r="H10" s="22">
        <f>IFERROR(INDEX('Detalles movimientos'!I$5:I$1000, MATCH(1, 'Detalles movimientos'!$T$5:$T$1000, 0)), "")</f>
        <v>11481</v>
      </c>
      <c r="I10" s="21">
        <f>IFERROR(INDEX('Detalles movimientos'!J$5:J$1000, MATCH(1, 'Detalles movimientos'!$T$5:$T$1000, 0)), "")</f>
        <v>0</v>
      </c>
      <c r="J10" s="20" t="str">
        <f>IFERROR(INDEX('Detalles movimientos'!K$5:K$1000, MATCH(1, 'Detalles movimientos'!$T$5:$T$1000, 0)), "")</f>
        <v>ENAP carga</v>
      </c>
      <c r="K10" s="21" t="str">
        <f>IFERROR(INDEX('Detalles movimientos'!L$5:L$1000, MATCH(1, 'Detalles movimientos'!$T$5:$T$1000, 0)), "")</f>
        <v/>
      </c>
      <c r="L10" s="19" t="str">
        <f>IFERROR(INDEX('Detalles movimientos'!M$5:M$1000, MATCH(1, 'Detalles movimientos'!$T$5:$T$1000, 0)), "")</f>
        <v>Guía N° xxxxx</v>
      </c>
      <c r="M10" s="19">
        <f>IFERROR(INDEX('Detalles movimientos'!P$5:P$1000, MATCH(1, 'Detalles movimientos'!$T$5:$T$1000, 0)), "")</f>
        <v>0</v>
      </c>
    </row>
    <row r="11" spans="2:13" x14ac:dyDescent="0.2">
      <c r="B11" s="18">
        <f>IFERROR(INDEX('Detalles movimientos'!C$5:C$1000, MATCH(2, 'Detalles movimientos'!$T$5:$T$1000, 0)), "")</f>
        <v>46246</v>
      </c>
      <c r="C11" s="19" t="str">
        <f>IFERROR(INDEX('Detalles movimientos'!D$5:D$1000, MATCH(2, 'Detalles movimientos'!$T$5:$T$1000, 0)), "")</f>
        <v>ENAP carga</v>
      </c>
      <c r="D11" s="20" t="str">
        <f>IFERROR(INDEX('Detalles movimientos'!E$5:E$1000, MATCH(2, 'Detalles movimientos'!$T$5:$T$1000, 0)), "")</f>
        <v>VJYL42</v>
      </c>
      <c r="E11" s="20" t="str">
        <f>IFERROR(INDEX('Detalles movimientos'!F$5:F$1000, MATCH(2, 'Detalles movimientos'!$T$5:$T$1000, 0)), "")</f>
        <v>ENAP carga</v>
      </c>
      <c r="F11" s="19">
        <f>IFERROR(INDEX('Detalles movimientos'!G$5:G$1000, MATCH(2, 'Detalles movimientos'!$T$5:$T$1000, 0)), "")</f>
        <v>0</v>
      </c>
      <c r="G11" s="21">
        <f>IFERROR(INDEX('Detalles movimientos'!H$5:H$1000, MATCH(2, 'Detalles movimientos'!$T$5:$T$1000, 0)), "")</f>
        <v>0</v>
      </c>
      <c r="H11" s="22">
        <f>IFERROR(INDEX('Detalles movimientos'!I$5:I$1000, MATCH(2, 'Detalles movimientos'!$T$5:$T$1000, 0)), "")</f>
        <v>11617</v>
      </c>
      <c r="I11" s="21">
        <f>IFERROR(INDEX('Detalles movimientos'!J$5:J$1000, MATCH(2, 'Detalles movimientos'!$T$5:$T$1000, 0)), "")</f>
        <v>0</v>
      </c>
      <c r="J11" s="20" t="str">
        <f>IFERROR(INDEX('Detalles movimientos'!K$5:K$1000, MATCH(2, 'Detalles movimientos'!$T$5:$T$1000, 0)), "")</f>
        <v>ENAP carga</v>
      </c>
      <c r="K11" s="21" t="str">
        <f>IFERROR(INDEX('Detalles movimientos'!L$5:L$1000, MATCH(2, 'Detalles movimientos'!$T$5:$T$1000, 0)), "")</f>
        <v/>
      </c>
      <c r="L11" s="19" t="str">
        <f>IFERROR(INDEX('Detalles movimientos'!M$5:M$1000, MATCH(2, 'Detalles movimientos'!$T$5:$T$1000, 0)), "")</f>
        <v>Guía N° 2356186</v>
      </c>
      <c r="M11" s="19">
        <f>IFERROR(INDEX('Detalles movimientos'!P$5:P$1000, MATCH(2, 'Detalles movimientos'!$T$5:$T$1000, 0)), "")</f>
        <v>0</v>
      </c>
    </row>
    <row r="12" spans="2:13" x14ac:dyDescent="0.2">
      <c r="B12" s="18">
        <f>IFERROR(INDEX('Detalles movimientos'!C$5:C$1000, MATCH(3, 'Detalles movimientos'!$T$5:$T$1000, 0)), "")</f>
        <v>46247</v>
      </c>
      <c r="C12" s="19" t="str">
        <f>IFERROR(INDEX('Detalles movimientos'!D$5:D$1000, MATCH(3, 'Detalles movimientos'!$T$5:$T$1000, 0)), "")</f>
        <v>ENAP carga</v>
      </c>
      <c r="D12" s="20" t="str">
        <f>IFERROR(INDEX('Detalles movimientos'!E$5:E$1000, MATCH(3, 'Detalles movimientos'!$T$5:$T$1000, 0)), "")</f>
        <v>VJYL61</v>
      </c>
      <c r="E12" s="20" t="str">
        <f>IFERROR(INDEX('Detalles movimientos'!F$5:F$1000, MATCH(3, 'Detalles movimientos'!$T$5:$T$1000, 0)), "")</f>
        <v>ENAP carga</v>
      </c>
      <c r="F12" s="19">
        <f>IFERROR(INDEX('Detalles movimientos'!G$5:G$1000, MATCH(3, 'Detalles movimientos'!$T$5:$T$1000, 0)), "")</f>
        <v>0</v>
      </c>
      <c r="G12" s="21">
        <f>IFERROR(INDEX('Detalles movimientos'!H$5:H$1000, MATCH(3, 'Detalles movimientos'!$T$5:$T$1000, 0)), "")</f>
        <v>0</v>
      </c>
      <c r="H12" s="22">
        <f>IFERROR(INDEX('Detalles movimientos'!I$5:I$1000, MATCH(3, 'Detalles movimientos'!$T$5:$T$1000, 0)), "")</f>
        <v>11481</v>
      </c>
      <c r="I12" s="21">
        <f>IFERROR(INDEX('Detalles movimientos'!J$5:J$1000, MATCH(3, 'Detalles movimientos'!$T$5:$T$1000, 0)), "")</f>
        <v>0</v>
      </c>
      <c r="J12" s="20" t="str">
        <f>IFERROR(INDEX('Detalles movimientos'!K$5:K$1000, MATCH(3, 'Detalles movimientos'!$T$5:$T$1000, 0)), "")</f>
        <v>ENAP carga</v>
      </c>
      <c r="K12" s="21" t="str">
        <f>IFERROR(INDEX('Detalles movimientos'!L$5:L$1000, MATCH(3, 'Detalles movimientos'!$T$5:$T$1000, 0)), "")</f>
        <v/>
      </c>
      <c r="L12" s="19" t="str">
        <f>IFERROR(INDEX('Detalles movimientos'!M$5:M$1000, MATCH(3, 'Detalles movimientos'!$T$5:$T$1000, 0)), "")</f>
        <v>Guía N° 2356453</v>
      </c>
      <c r="M12" s="19">
        <f>IFERROR(INDEX('Detalles movimientos'!P$5:P$1000, MATCH(3, 'Detalles movimientos'!$T$5:$T$1000, 0)), "")</f>
        <v>0</v>
      </c>
    </row>
    <row r="13" spans="2:13" x14ac:dyDescent="0.2">
      <c r="B13" s="18" t="str">
        <f>IFERROR(INDEX('Detalles movimientos'!C$5:C$1000, MATCH(4, 'Detalles movimientos'!$T$5:$T$1000, 0)), "")</f>
        <v/>
      </c>
      <c r="C13" s="19" t="str">
        <f>IFERROR(INDEX('Detalles movimientos'!D$5:D$1000, MATCH(4, 'Detalles movimientos'!$T$5:$T$1000, 0)), "")</f>
        <v/>
      </c>
      <c r="D13" s="20" t="str">
        <f>IFERROR(INDEX('Detalles movimientos'!E$5:E$1000, MATCH(4, 'Detalles movimientos'!$T$5:$T$1000, 0)), "")</f>
        <v/>
      </c>
      <c r="E13" s="20" t="str">
        <f>IFERROR(INDEX('Detalles movimientos'!F$5:F$1000, MATCH(4, 'Detalles movimientos'!$T$5:$T$1000, 0)), "")</f>
        <v/>
      </c>
      <c r="F13" s="19" t="str">
        <f>IFERROR(INDEX('Detalles movimientos'!G$5:G$1000, MATCH(4, 'Detalles movimientos'!$T$5:$T$1000, 0)), "")</f>
        <v/>
      </c>
      <c r="G13" s="21" t="str">
        <f>IFERROR(INDEX('Detalles movimientos'!H$5:H$1000, MATCH(4, 'Detalles movimientos'!$T$5:$T$1000, 0)), "")</f>
        <v/>
      </c>
      <c r="H13" s="22" t="str">
        <f>IFERROR(INDEX('Detalles movimientos'!I$5:I$1000, MATCH(4, 'Detalles movimientos'!$T$5:$T$1000, 0)), "")</f>
        <v/>
      </c>
      <c r="I13" s="21" t="str">
        <f>IFERROR(INDEX('Detalles movimientos'!J$5:J$1000, MATCH(4, 'Detalles movimientos'!$T$5:$T$1000, 0)), "")</f>
        <v/>
      </c>
      <c r="J13" s="20" t="str">
        <f>IFERROR(INDEX('Detalles movimientos'!K$5:K$1000, MATCH(4, 'Detalles movimientos'!$T$5:$T$1000, 0)), "")</f>
        <v/>
      </c>
      <c r="K13" s="21" t="str">
        <f>IFERROR(INDEX('Detalles movimientos'!L$5:L$1000, MATCH(4, 'Detalles movimientos'!$T$5:$T$1000, 0)), "")</f>
        <v/>
      </c>
      <c r="L13" s="19" t="str">
        <f>IFERROR(INDEX('Detalles movimientos'!M$5:M$1000, MATCH(4, 'Detalles movimientos'!$T$5:$T$1000, 0)), "")</f>
        <v/>
      </c>
      <c r="M13" s="19" t="str">
        <f>IFERROR(INDEX('Detalles movimientos'!P$5:P$1000, MATCH(4, 'Detalles movimientos'!$T$5:$T$1000, 0)), "")</f>
        <v/>
      </c>
    </row>
    <row r="14" spans="2:13" x14ac:dyDescent="0.2">
      <c r="B14" s="18" t="str">
        <f>IFERROR(INDEX('Detalles movimientos'!C$5:C$1000, MATCH(5, 'Detalles movimientos'!$T$5:$T$1000, 0)), "")</f>
        <v/>
      </c>
      <c r="C14" s="19" t="str">
        <f>IFERROR(INDEX('Detalles movimientos'!D$5:D$1000, MATCH(5, 'Detalles movimientos'!$T$5:$T$1000, 0)), "")</f>
        <v/>
      </c>
      <c r="D14" s="20" t="str">
        <f>IFERROR(INDEX('Detalles movimientos'!E$5:E$1000, MATCH(5, 'Detalles movimientos'!$T$5:$T$1000, 0)), "")</f>
        <v/>
      </c>
      <c r="E14" s="20" t="str">
        <f>IFERROR(INDEX('Detalles movimientos'!F$5:F$1000, MATCH(5, 'Detalles movimientos'!$T$5:$T$1000, 0)), "")</f>
        <v/>
      </c>
      <c r="F14" s="19" t="str">
        <f>IFERROR(INDEX('Detalles movimientos'!G$5:G$1000, MATCH(5, 'Detalles movimientos'!$T$5:$T$1000, 0)), "")</f>
        <v/>
      </c>
      <c r="G14" s="21" t="str">
        <f>IFERROR(INDEX('Detalles movimientos'!H$5:H$1000, MATCH(5, 'Detalles movimientos'!$T$5:$T$1000, 0)), "")</f>
        <v/>
      </c>
      <c r="H14" s="22" t="str">
        <f>IFERROR(INDEX('Detalles movimientos'!I$5:I$1000, MATCH(5, 'Detalles movimientos'!$T$5:$T$1000, 0)), "")</f>
        <v/>
      </c>
      <c r="I14" s="21" t="str">
        <f>IFERROR(INDEX('Detalles movimientos'!J$5:J$1000, MATCH(5, 'Detalles movimientos'!$T$5:$T$1000, 0)), "")</f>
        <v/>
      </c>
      <c r="J14" s="20" t="str">
        <f>IFERROR(INDEX('Detalles movimientos'!K$5:K$1000, MATCH(5, 'Detalles movimientos'!$T$5:$T$1000, 0)), "")</f>
        <v/>
      </c>
      <c r="K14" s="21" t="str">
        <f>IFERROR(INDEX('Detalles movimientos'!L$5:L$1000, MATCH(5, 'Detalles movimientos'!$T$5:$T$1000, 0)), "")</f>
        <v/>
      </c>
      <c r="L14" s="19" t="str">
        <f>IFERROR(INDEX('Detalles movimientos'!M$5:M$1000, MATCH(5, 'Detalles movimientos'!$T$5:$T$1000, 0)), "")</f>
        <v/>
      </c>
      <c r="M14" s="19" t="str">
        <f>IFERROR(INDEX('Detalles movimientos'!P$5:P$1000, MATCH(5, 'Detalles movimientos'!$T$5:$T$1000, 0)), "")</f>
        <v/>
      </c>
    </row>
    <row r="15" spans="2:13" x14ac:dyDescent="0.2">
      <c r="B15" s="18" t="str">
        <f>IFERROR(INDEX('Detalles movimientos'!C$5:C$1000, MATCH(6, 'Detalles movimientos'!$T$5:$T$1000, 0)), "")</f>
        <v/>
      </c>
      <c r="C15" s="19" t="str">
        <f>IFERROR(INDEX('Detalles movimientos'!D$5:D$1000, MATCH(6, 'Detalles movimientos'!$T$5:$T$1000, 0)), "")</f>
        <v/>
      </c>
      <c r="D15" s="20" t="str">
        <f>IFERROR(INDEX('Detalles movimientos'!E$5:E$1000, MATCH(6, 'Detalles movimientos'!$T$5:$T$1000, 0)), "")</f>
        <v/>
      </c>
      <c r="E15" s="20" t="str">
        <f>IFERROR(INDEX('Detalles movimientos'!F$5:F$1000, MATCH(6, 'Detalles movimientos'!$T$5:$T$1000, 0)), "")</f>
        <v/>
      </c>
      <c r="F15" s="19" t="str">
        <f>IFERROR(INDEX('Detalles movimientos'!G$5:G$1000, MATCH(6, 'Detalles movimientos'!$T$5:$T$1000, 0)), "")</f>
        <v/>
      </c>
      <c r="G15" s="21" t="str">
        <f>IFERROR(INDEX('Detalles movimientos'!H$5:H$1000, MATCH(6, 'Detalles movimientos'!$T$5:$T$1000, 0)), "")</f>
        <v/>
      </c>
      <c r="H15" s="22" t="str">
        <f>IFERROR(INDEX('Detalles movimientos'!I$5:I$1000, MATCH(6, 'Detalles movimientos'!$T$5:$T$1000, 0)), "")</f>
        <v/>
      </c>
      <c r="I15" s="21" t="str">
        <f>IFERROR(INDEX('Detalles movimientos'!J$5:J$1000, MATCH(6, 'Detalles movimientos'!$T$5:$T$1000, 0)), "")</f>
        <v/>
      </c>
      <c r="J15" s="20" t="str">
        <f>IFERROR(INDEX('Detalles movimientos'!K$5:K$1000, MATCH(6, 'Detalles movimientos'!$T$5:$T$1000, 0)), "")</f>
        <v/>
      </c>
      <c r="K15" s="21" t="str">
        <f>IFERROR(INDEX('Detalles movimientos'!L$5:L$1000, MATCH(6, 'Detalles movimientos'!$T$5:$T$1000, 0)), "")</f>
        <v/>
      </c>
      <c r="L15" s="19" t="str">
        <f>IFERROR(INDEX('Detalles movimientos'!M$5:M$1000, MATCH(6, 'Detalles movimientos'!$T$5:$T$1000, 0)), "")</f>
        <v/>
      </c>
      <c r="M15" s="19" t="str">
        <f>IFERROR(INDEX('Detalles movimientos'!P$5:P$1000, MATCH(6, 'Detalles movimientos'!$T$5:$T$1000, 0)), "")</f>
        <v/>
      </c>
    </row>
    <row r="16" spans="2:13" x14ac:dyDescent="0.2">
      <c r="B16" s="18" t="str">
        <f>IFERROR(INDEX('Detalles movimientos'!C$5:C$1000, MATCH(7, 'Detalles movimientos'!$T$5:$T$1000, 0)), "")</f>
        <v/>
      </c>
      <c r="C16" s="19" t="str">
        <f>IFERROR(INDEX('Detalles movimientos'!D$5:D$1000, MATCH(7, 'Detalles movimientos'!$T$5:$T$1000, 0)), "")</f>
        <v/>
      </c>
      <c r="D16" s="20" t="str">
        <f>IFERROR(INDEX('Detalles movimientos'!E$5:E$1000, MATCH(7, 'Detalles movimientos'!$T$5:$T$1000, 0)), "")</f>
        <v/>
      </c>
      <c r="E16" s="20" t="str">
        <f>IFERROR(INDEX('Detalles movimientos'!F$5:F$1000, MATCH(7, 'Detalles movimientos'!$T$5:$T$1000, 0)), "")</f>
        <v/>
      </c>
      <c r="F16" s="19" t="str">
        <f>IFERROR(INDEX('Detalles movimientos'!G$5:G$1000, MATCH(7, 'Detalles movimientos'!$T$5:$T$1000, 0)), "")</f>
        <v/>
      </c>
      <c r="G16" s="21" t="str">
        <f>IFERROR(INDEX('Detalles movimientos'!H$5:H$1000, MATCH(7, 'Detalles movimientos'!$T$5:$T$1000, 0)), "")</f>
        <v/>
      </c>
      <c r="H16" s="22" t="str">
        <f>IFERROR(INDEX('Detalles movimientos'!I$5:I$1000, MATCH(7, 'Detalles movimientos'!$T$5:$T$1000, 0)), "")</f>
        <v/>
      </c>
      <c r="I16" s="21" t="str">
        <f>IFERROR(INDEX('Detalles movimientos'!J$5:J$1000, MATCH(7, 'Detalles movimientos'!$T$5:$T$1000, 0)), "")</f>
        <v/>
      </c>
      <c r="J16" s="20" t="str">
        <f>IFERROR(INDEX('Detalles movimientos'!K$5:K$1000, MATCH(7, 'Detalles movimientos'!$T$5:$T$1000, 0)), "")</f>
        <v/>
      </c>
      <c r="K16" s="21" t="str">
        <f>IFERROR(INDEX('Detalles movimientos'!L$5:L$1000, MATCH(7, 'Detalles movimientos'!$T$5:$T$1000, 0)), "")</f>
        <v/>
      </c>
      <c r="L16" s="19" t="str">
        <f>IFERROR(INDEX('Detalles movimientos'!M$5:M$1000, MATCH(7, 'Detalles movimientos'!$T$5:$T$1000, 0)), "")</f>
        <v/>
      </c>
      <c r="M16" s="19" t="str">
        <f>IFERROR(INDEX('Detalles movimientos'!P$5:P$1000, MATCH(7, 'Detalles movimientos'!$T$5:$T$1000, 0)), "")</f>
        <v/>
      </c>
    </row>
    <row r="17" spans="2:13" x14ac:dyDescent="0.2">
      <c r="B17" s="18" t="str">
        <f>IFERROR(INDEX('Detalles movimientos'!C$5:C$1000, MATCH(8, 'Detalles movimientos'!$T$5:$T$1000, 0)), "")</f>
        <v/>
      </c>
      <c r="C17" s="19" t="str">
        <f>IFERROR(INDEX('Detalles movimientos'!D$5:D$1000, MATCH(8, 'Detalles movimientos'!$T$5:$T$1000, 0)), "")</f>
        <v/>
      </c>
      <c r="D17" s="20" t="str">
        <f>IFERROR(INDEX('Detalles movimientos'!E$5:E$1000, MATCH(8, 'Detalles movimientos'!$T$5:$T$1000, 0)), "")</f>
        <v/>
      </c>
      <c r="E17" s="20" t="str">
        <f>IFERROR(INDEX('Detalles movimientos'!F$5:F$1000, MATCH(8, 'Detalles movimientos'!$T$5:$T$1000, 0)), "")</f>
        <v/>
      </c>
      <c r="F17" s="19" t="str">
        <f>IFERROR(INDEX('Detalles movimientos'!G$5:G$1000, MATCH(8, 'Detalles movimientos'!$T$5:$T$1000, 0)), "")</f>
        <v/>
      </c>
      <c r="G17" s="21" t="str">
        <f>IFERROR(INDEX('Detalles movimientos'!H$5:H$1000, MATCH(8, 'Detalles movimientos'!$T$5:$T$1000, 0)), "")</f>
        <v/>
      </c>
      <c r="H17" s="22" t="str">
        <f>IFERROR(INDEX('Detalles movimientos'!I$5:I$1000, MATCH(8, 'Detalles movimientos'!$T$5:$T$1000, 0)), "")</f>
        <v/>
      </c>
      <c r="I17" s="21" t="str">
        <f>IFERROR(INDEX('Detalles movimientos'!J$5:J$1000, MATCH(8, 'Detalles movimientos'!$T$5:$T$1000, 0)), "")</f>
        <v/>
      </c>
      <c r="J17" s="20" t="str">
        <f>IFERROR(INDEX('Detalles movimientos'!K$5:K$1000, MATCH(8, 'Detalles movimientos'!$T$5:$T$1000, 0)), "")</f>
        <v/>
      </c>
      <c r="K17" s="21" t="str">
        <f>IFERROR(INDEX('Detalles movimientos'!L$5:L$1000, MATCH(8, 'Detalles movimientos'!$T$5:$T$1000, 0)), "")</f>
        <v/>
      </c>
      <c r="L17" s="19" t="str">
        <f>IFERROR(INDEX('Detalles movimientos'!M$5:M$1000, MATCH(8, 'Detalles movimientos'!$T$5:$T$1000, 0)), "")</f>
        <v/>
      </c>
      <c r="M17" s="19" t="str">
        <f>IFERROR(INDEX('Detalles movimientos'!P$5:P$1000, MATCH(8, 'Detalles movimientos'!$T$5:$T$1000, 0)), "")</f>
        <v/>
      </c>
    </row>
    <row r="18" spans="2:13" x14ac:dyDescent="0.2">
      <c r="B18" s="18" t="str">
        <f>IFERROR(INDEX('Detalles movimientos'!C$5:C$1000, MATCH(9, 'Detalles movimientos'!$T$5:$T$1000, 0)), "")</f>
        <v/>
      </c>
      <c r="C18" s="19" t="str">
        <f>IFERROR(INDEX('Detalles movimientos'!D$5:D$1000, MATCH(9, 'Detalles movimientos'!$T$5:$T$1000, 0)), "")</f>
        <v/>
      </c>
      <c r="D18" s="20" t="str">
        <f>IFERROR(INDEX('Detalles movimientos'!E$5:E$1000, MATCH(9, 'Detalles movimientos'!$T$5:$T$1000, 0)), "")</f>
        <v/>
      </c>
      <c r="E18" s="20" t="str">
        <f>IFERROR(INDEX('Detalles movimientos'!F$5:F$1000, MATCH(9, 'Detalles movimientos'!$T$5:$T$1000, 0)), "")</f>
        <v/>
      </c>
      <c r="F18" s="19" t="str">
        <f>IFERROR(INDEX('Detalles movimientos'!G$5:G$1000, MATCH(9, 'Detalles movimientos'!$T$5:$T$1000, 0)), "")</f>
        <v/>
      </c>
      <c r="G18" s="21" t="str">
        <f>IFERROR(INDEX('Detalles movimientos'!H$5:H$1000, MATCH(9, 'Detalles movimientos'!$T$5:$T$1000, 0)), "")</f>
        <v/>
      </c>
      <c r="H18" s="22" t="str">
        <f>IFERROR(INDEX('Detalles movimientos'!I$5:I$1000, MATCH(9, 'Detalles movimientos'!$T$5:$T$1000, 0)), "")</f>
        <v/>
      </c>
      <c r="I18" s="21" t="str">
        <f>IFERROR(INDEX('Detalles movimientos'!J$5:J$1000, MATCH(9, 'Detalles movimientos'!$T$5:$T$1000, 0)), "")</f>
        <v/>
      </c>
      <c r="J18" s="20" t="str">
        <f>IFERROR(INDEX('Detalles movimientos'!K$5:K$1000, MATCH(9, 'Detalles movimientos'!$T$5:$T$1000, 0)), "")</f>
        <v/>
      </c>
      <c r="K18" s="21" t="str">
        <f>IFERROR(INDEX('Detalles movimientos'!L$5:L$1000, MATCH(9, 'Detalles movimientos'!$T$5:$T$1000, 0)), "")</f>
        <v/>
      </c>
      <c r="L18" s="19" t="str">
        <f>IFERROR(INDEX('Detalles movimientos'!M$5:M$1000, MATCH(9, 'Detalles movimientos'!$T$5:$T$1000, 0)), "")</f>
        <v/>
      </c>
      <c r="M18" s="19" t="str">
        <f>IFERROR(INDEX('Detalles movimientos'!P$5:P$1000, MATCH(9, 'Detalles movimientos'!$T$5:$T$1000, 0)), "")</f>
        <v/>
      </c>
    </row>
    <row r="19" spans="2:13" x14ac:dyDescent="0.2">
      <c r="B19" s="18" t="str">
        <f>IFERROR(INDEX('Detalles movimientos'!C$5:C$1000, MATCH(10, 'Detalles movimientos'!$T$5:$T$1000, 0)), "")</f>
        <v/>
      </c>
      <c r="C19" s="19" t="str">
        <f>IFERROR(INDEX('Detalles movimientos'!D$5:D$1000, MATCH(10, 'Detalles movimientos'!$T$5:$T$1000, 0)), "")</f>
        <v/>
      </c>
      <c r="D19" s="20" t="str">
        <f>IFERROR(INDEX('Detalles movimientos'!E$5:E$1000, MATCH(10, 'Detalles movimientos'!$T$5:$T$1000, 0)), "")</f>
        <v/>
      </c>
      <c r="E19" s="20" t="str">
        <f>IFERROR(INDEX('Detalles movimientos'!F$5:F$1000, MATCH(10, 'Detalles movimientos'!$T$5:$T$1000, 0)), "")</f>
        <v/>
      </c>
      <c r="F19" s="19" t="str">
        <f>IFERROR(INDEX('Detalles movimientos'!G$5:G$1000, MATCH(10, 'Detalles movimientos'!$T$5:$T$1000, 0)), "")</f>
        <v/>
      </c>
      <c r="G19" s="21" t="str">
        <f>IFERROR(INDEX('Detalles movimientos'!H$5:H$1000, MATCH(10, 'Detalles movimientos'!$T$5:$T$1000, 0)), "")</f>
        <v/>
      </c>
      <c r="H19" s="22" t="str">
        <f>IFERROR(INDEX('Detalles movimientos'!I$5:I$1000, MATCH(10, 'Detalles movimientos'!$T$5:$T$1000, 0)), "")</f>
        <v/>
      </c>
      <c r="I19" s="21" t="str">
        <f>IFERROR(INDEX('Detalles movimientos'!J$5:J$1000, MATCH(10, 'Detalles movimientos'!$T$5:$T$1000, 0)), "")</f>
        <v/>
      </c>
      <c r="J19" s="20" t="str">
        <f>IFERROR(INDEX('Detalles movimientos'!K$5:K$1000, MATCH(10, 'Detalles movimientos'!$T$5:$T$1000, 0)), "")</f>
        <v/>
      </c>
      <c r="K19" s="21" t="str">
        <f>IFERROR(INDEX('Detalles movimientos'!L$5:L$1000, MATCH(10, 'Detalles movimientos'!$T$5:$T$1000, 0)), "")</f>
        <v/>
      </c>
      <c r="L19" s="19" t="str">
        <f>IFERROR(INDEX('Detalles movimientos'!M$5:M$1000, MATCH(10, 'Detalles movimientos'!$T$5:$T$1000, 0)), "")</f>
        <v/>
      </c>
      <c r="M19" s="19" t="str">
        <f>IFERROR(INDEX('Detalles movimientos'!P$5:P$1000, MATCH(10, 'Detalles movimientos'!$T$5:$T$1000, 0)), "")</f>
        <v/>
      </c>
    </row>
    <row r="20" spans="2:13" x14ac:dyDescent="0.2">
      <c r="B20" s="18" t="str">
        <f>IFERROR(INDEX('Detalles movimientos'!C$5:C$1000, MATCH(11, 'Detalles movimientos'!$T$5:$T$1000, 0)), "")</f>
        <v/>
      </c>
      <c r="C20" s="19" t="str">
        <f>IFERROR(INDEX('Detalles movimientos'!D$5:D$1000, MATCH(11, 'Detalles movimientos'!$T$5:$T$1000, 0)), "")</f>
        <v/>
      </c>
      <c r="D20" s="20" t="str">
        <f>IFERROR(INDEX('Detalles movimientos'!E$5:E$1000, MATCH(11, 'Detalles movimientos'!$T$5:$T$1000, 0)), "")</f>
        <v/>
      </c>
      <c r="E20" s="20" t="str">
        <f>IFERROR(INDEX('Detalles movimientos'!F$5:F$1000, MATCH(11, 'Detalles movimientos'!$T$5:$T$1000, 0)), "")</f>
        <v/>
      </c>
      <c r="F20" s="19" t="str">
        <f>IFERROR(INDEX('Detalles movimientos'!G$5:G$1000, MATCH(11, 'Detalles movimientos'!$T$5:$T$1000, 0)), "")</f>
        <v/>
      </c>
      <c r="G20" s="21" t="str">
        <f>IFERROR(INDEX('Detalles movimientos'!H$5:H$1000, MATCH(11, 'Detalles movimientos'!$T$5:$T$1000, 0)), "")</f>
        <v/>
      </c>
      <c r="H20" s="22" t="str">
        <f>IFERROR(INDEX('Detalles movimientos'!I$5:I$1000, MATCH(11, 'Detalles movimientos'!$T$5:$T$1000, 0)), "")</f>
        <v/>
      </c>
      <c r="I20" s="21" t="str">
        <f>IFERROR(INDEX('Detalles movimientos'!J$5:J$1000, MATCH(11, 'Detalles movimientos'!$T$5:$T$1000, 0)), "")</f>
        <v/>
      </c>
      <c r="J20" s="20" t="str">
        <f>IFERROR(INDEX('Detalles movimientos'!K$5:K$1000, MATCH(11, 'Detalles movimientos'!$T$5:$T$1000, 0)), "")</f>
        <v/>
      </c>
      <c r="K20" s="21" t="str">
        <f>IFERROR(INDEX('Detalles movimientos'!L$5:L$1000, MATCH(11, 'Detalles movimientos'!$T$5:$T$1000, 0)), "")</f>
        <v/>
      </c>
      <c r="L20" s="19" t="str">
        <f>IFERROR(INDEX('Detalles movimientos'!M$5:M$1000, MATCH(11, 'Detalles movimientos'!$T$5:$T$1000, 0)), "")</f>
        <v/>
      </c>
      <c r="M20" s="19" t="str">
        <f>IFERROR(INDEX('Detalles movimientos'!P$5:P$1000, MATCH(11, 'Detalles movimientos'!$T$5:$T$1000, 0)), "")</f>
        <v/>
      </c>
    </row>
    <row r="21" spans="2:13" x14ac:dyDescent="0.2">
      <c r="B21" s="18" t="str">
        <f>IFERROR(INDEX('Detalles movimientos'!C$5:C$1000, MATCH(12, 'Detalles movimientos'!$T$5:$T$1000, 0)), "")</f>
        <v/>
      </c>
      <c r="C21" s="19" t="str">
        <f>IFERROR(INDEX('Detalles movimientos'!D$5:D$1000, MATCH(12, 'Detalles movimientos'!$T$5:$T$1000, 0)), "")</f>
        <v/>
      </c>
      <c r="D21" s="20" t="str">
        <f>IFERROR(INDEX('Detalles movimientos'!E$5:E$1000, MATCH(12, 'Detalles movimientos'!$T$5:$T$1000, 0)), "")</f>
        <v/>
      </c>
      <c r="E21" s="20" t="str">
        <f>IFERROR(INDEX('Detalles movimientos'!F$5:F$1000, MATCH(12, 'Detalles movimientos'!$T$5:$T$1000, 0)), "")</f>
        <v/>
      </c>
      <c r="F21" s="19" t="str">
        <f>IFERROR(INDEX('Detalles movimientos'!G$5:G$1000, MATCH(12, 'Detalles movimientos'!$T$5:$T$1000, 0)), "")</f>
        <v/>
      </c>
      <c r="G21" s="21" t="str">
        <f>IFERROR(INDEX('Detalles movimientos'!H$5:H$1000, MATCH(12, 'Detalles movimientos'!$T$5:$T$1000, 0)), "")</f>
        <v/>
      </c>
      <c r="H21" s="22" t="str">
        <f>IFERROR(INDEX('Detalles movimientos'!I$5:I$1000, MATCH(12, 'Detalles movimientos'!$T$5:$T$1000, 0)), "")</f>
        <v/>
      </c>
      <c r="I21" s="21" t="str">
        <f>IFERROR(INDEX('Detalles movimientos'!J$5:J$1000, MATCH(12, 'Detalles movimientos'!$T$5:$T$1000, 0)), "")</f>
        <v/>
      </c>
      <c r="J21" s="20" t="str">
        <f>IFERROR(INDEX('Detalles movimientos'!K$5:K$1000, MATCH(12, 'Detalles movimientos'!$T$5:$T$1000, 0)), "")</f>
        <v/>
      </c>
      <c r="K21" s="21" t="str">
        <f>IFERROR(INDEX('Detalles movimientos'!L$5:L$1000, MATCH(12, 'Detalles movimientos'!$T$5:$T$1000, 0)), "")</f>
        <v/>
      </c>
      <c r="L21" s="19" t="str">
        <f>IFERROR(INDEX('Detalles movimientos'!M$5:M$1000, MATCH(12, 'Detalles movimientos'!$T$5:$T$1000, 0)), "")</f>
        <v/>
      </c>
      <c r="M21" s="19" t="str">
        <f>IFERROR(INDEX('Detalles movimientos'!P$5:P$1000, MATCH(12, 'Detalles movimientos'!$T$5:$T$1000, 0)), "")</f>
        <v/>
      </c>
    </row>
    <row r="22" spans="2:13" x14ac:dyDescent="0.2">
      <c r="B22" s="18" t="str">
        <f>IFERROR(INDEX('Detalles movimientos'!C$5:C$1000, MATCH(13, 'Detalles movimientos'!$T$5:$T$1000, 0)), "")</f>
        <v/>
      </c>
      <c r="C22" s="19" t="str">
        <f>IFERROR(INDEX('Detalles movimientos'!D$5:D$1000, MATCH(13, 'Detalles movimientos'!$T$5:$T$1000, 0)), "")</f>
        <v/>
      </c>
      <c r="D22" s="20" t="str">
        <f>IFERROR(INDEX('Detalles movimientos'!E$5:E$1000, MATCH(13, 'Detalles movimientos'!$T$5:$T$1000, 0)), "")</f>
        <v/>
      </c>
      <c r="E22" s="20" t="str">
        <f>IFERROR(INDEX('Detalles movimientos'!F$5:F$1000, MATCH(13, 'Detalles movimientos'!$T$5:$T$1000, 0)), "")</f>
        <v/>
      </c>
      <c r="F22" s="19" t="str">
        <f>IFERROR(INDEX('Detalles movimientos'!G$5:G$1000, MATCH(13, 'Detalles movimientos'!$T$5:$T$1000, 0)), "")</f>
        <v/>
      </c>
      <c r="G22" s="21" t="str">
        <f>IFERROR(INDEX('Detalles movimientos'!H$5:H$1000, MATCH(13, 'Detalles movimientos'!$T$5:$T$1000, 0)), "")</f>
        <v/>
      </c>
      <c r="H22" s="22" t="str">
        <f>IFERROR(INDEX('Detalles movimientos'!I$5:I$1000, MATCH(13, 'Detalles movimientos'!$T$5:$T$1000, 0)), "")</f>
        <v/>
      </c>
      <c r="I22" s="21" t="str">
        <f>IFERROR(INDEX('Detalles movimientos'!J$5:J$1000, MATCH(13, 'Detalles movimientos'!$T$5:$T$1000, 0)), "")</f>
        <v/>
      </c>
      <c r="J22" s="20" t="str">
        <f>IFERROR(INDEX('Detalles movimientos'!K$5:K$1000, MATCH(13, 'Detalles movimientos'!$T$5:$T$1000, 0)), "")</f>
        <v/>
      </c>
      <c r="K22" s="21" t="str">
        <f>IFERROR(INDEX('Detalles movimientos'!L$5:L$1000, MATCH(13, 'Detalles movimientos'!$T$5:$T$1000, 0)), "")</f>
        <v/>
      </c>
      <c r="L22" s="19" t="str">
        <f>IFERROR(INDEX('Detalles movimientos'!M$5:M$1000, MATCH(13, 'Detalles movimientos'!$T$5:$T$1000, 0)), "")</f>
        <v/>
      </c>
      <c r="M22" s="19" t="str">
        <f>IFERROR(INDEX('Detalles movimientos'!P$5:P$1000, MATCH(13, 'Detalles movimientos'!$T$5:$T$1000, 0)), "")</f>
        <v/>
      </c>
    </row>
    <row r="23" spans="2:13" x14ac:dyDescent="0.2">
      <c r="B23" s="18" t="str">
        <f>IFERROR(INDEX('Detalles movimientos'!C$5:C$1000, MATCH(14, 'Detalles movimientos'!$T$5:$T$1000, 0)), "")</f>
        <v/>
      </c>
      <c r="C23" s="19" t="str">
        <f>IFERROR(INDEX('Detalles movimientos'!D$5:D$1000, MATCH(14, 'Detalles movimientos'!$T$5:$T$1000, 0)), "")</f>
        <v/>
      </c>
      <c r="D23" s="20" t="str">
        <f>IFERROR(INDEX('Detalles movimientos'!E$5:E$1000, MATCH(14, 'Detalles movimientos'!$T$5:$T$1000, 0)), "")</f>
        <v/>
      </c>
      <c r="E23" s="20" t="str">
        <f>IFERROR(INDEX('Detalles movimientos'!F$5:F$1000, MATCH(14, 'Detalles movimientos'!$T$5:$T$1000, 0)), "")</f>
        <v/>
      </c>
      <c r="F23" s="19" t="str">
        <f>IFERROR(INDEX('Detalles movimientos'!G$5:G$1000, MATCH(14, 'Detalles movimientos'!$T$5:$T$1000, 0)), "")</f>
        <v/>
      </c>
      <c r="G23" s="21" t="str">
        <f>IFERROR(INDEX('Detalles movimientos'!H$5:H$1000, MATCH(14, 'Detalles movimientos'!$T$5:$T$1000, 0)), "")</f>
        <v/>
      </c>
      <c r="H23" s="22" t="str">
        <f>IFERROR(INDEX('Detalles movimientos'!I$5:I$1000, MATCH(14, 'Detalles movimientos'!$T$5:$T$1000, 0)), "")</f>
        <v/>
      </c>
      <c r="I23" s="21" t="str">
        <f>IFERROR(INDEX('Detalles movimientos'!J$5:J$1000, MATCH(14, 'Detalles movimientos'!$T$5:$T$1000, 0)), "")</f>
        <v/>
      </c>
      <c r="J23" s="20" t="str">
        <f>IFERROR(INDEX('Detalles movimientos'!K$5:K$1000, MATCH(14, 'Detalles movimientos'!$T$5:$T$1000, 0)), "")</f>
        <v/>
      </c>
      <c r="K23" s="21" t="str">
        <f>IFERROR(INDEX('Detalles movimientos'!L$5:L$1000, MATCH(14, 'Detalles movimientos'!$T$5:$T$1000, 0)), "")</f>
        <v/>
      </c>
      <c r="L23" s="19" t="str">
        <f>IFERROR(INDEX('Detalles movimientos'!M$5:M$1000, MATCH(14, 'Detalles movimientos'!$T$5:$T$1000, 0)), "")</f>
        <v/>
      </c>
      <c r="M23" s="19" t="str">
        <f>IFERROR(INDEX('Detalles movimientos'!P$5:P$1000, MATCH(14, 'Detalles movimientos'!$T$5:$T$1000, 0)), "")</f>
        <v/>
      </c>
    </row>
    <row r="24" spans="2:13" x14ac:dyDescent="0.2">
      <c r="B24" s="18" t="str">
        <f>IFERROR(INDEX('Detalles movimientos'!C$5:C$1000, MATCH(15, 'Detalles movimientos'!$T$5:$T$1000, 0)), "")</f>
        <v/>
      </c>
      <c r="C24" s="19" t="str">
        <f>IFERROR(INDEX('Detalles movimientos'!D$5:D$1000, MATCH(15, 'Detalles movimientos'!$T$5:$T$1000, 0)), "")</f>
        <v/>
      </c>
      <c r="D24" s="20" t="str">
        <f>IFERROR(INDEX('Detalles movimientos'!E$5:E$1000, MATCH(15, 'Detalles movimientos'!$T$5:$T$1000, 0)), "")</f>
        <v/>
      </c>
      <c r="E24" s="20" t="str">
        <f>IFERROR(INDEX('Detalles movimientos'!F$5:F$1000, MATCH(15, 'Detalles movimientos'!$T$5:$T$1000, 0)), "")</f>
        <v/>
      </c>
      <c r="F24" s="19" t="str">
        <f>IFERROR(INDEX('Detalles movimientos'!G$5:G$1000, MATCH(15, 'Detalles movimientos'!$T$5:$T$1000, 0)), "")</f>
        <v/>
      </c>
      <c r="G24" s="21" t="str">
        <f>IFERROR(INDEX('Detalles movimientos'!H$5:H$1000, MATCH(15, 'Detalles movimientos'!$T$5:$T$1000, 0)), "")</f>
        <v/>
      </c>
      <c r="H24" s="22" t="str">
        <f>IFERROR(INDEX('Detalles movimientos'!I$5:I$1000, MATCH(15, 'Detalles movimientos'!$T$5:$T$1000, 0)), "")</f>
        <v/>
      </c>
      <c r="I24" s="21" t="str">
        <f>IFERROR(INDEX('Detalles movimientos'!J$5:J$1000, MATCH(15, 'Detalles movimientos'!$T$5:$T$1000, 0)), "")</f>
        <v/>
      </c>
      <c r="J24" s="20" t="str">
        <f>IFERROR(INDEX('Detalles movimientos'!K$5:K$1000, MATCH(15, 'Detalles movimientos'!$T$5:$T$1000, 0)), "")</f>
        <v/>
      </c>
      <c r="K24" s="21" t="str">
        <f>IFERROR(INDEX('Detalles movimientos'!L$5:L$1000, MATCH(15, 'Detalles movimientos'!$T$5:$T$1000, 0)), "")</f>
        <v/>
      </c>
      <c r="L24" s="19" t="str">
        <f>IFERROR(INDEX('Detalles movimientos'!M$5:M$1000, MATCH(15, 'Detalles movimientos'!$T$5:$T$1000, 0)), "")</f>
        <v/>
      </c>
      <c r="M24" s="19" t="str">
        <f>IFERROR(INDEX('Detalles movimientos'!P$5:P$1000, MATCH(15, 'Detalles movimientos'!$T$5:$T$1000, 0)), "")</f>
        <v/>
      </c>
    </row>
    <row r="25" spans="2:13" x14ac:dyDescent="0.2">
      <c r="B25" s="18" t="str">
        <f>IFERROR(INDEX('Detalles movimientos'!C$5:C$1000, MATCH(16, 'Detalles movimientos'!$T$5:$T$1000, 0)), "")</f>
        <v/>
      </c>
      <c r="C25" s="19" t="str">
        <f>IFERROR(INDEX('Detalles movimientos'!D$5:D$1000, MATCH(16, 'Detalles movimientos'!$T$5:$T$1000, 0)), "")</f>
        <v/>
      </c>
      <c r="D25" s="20" t="str">
        <f>IFERROR(INDEX('Detalles movimientos'!E$5:E$1000, MATCH(16, 'Detalles movimientos'!$T$5:$T$1000, 0)), "")</f>
        <v/>
      </c>
      <c r="E25" s="20" t="str">
        <f>IFERROR(INDEX('Detalles movimientos'!F$5:F$1000, MATCH(16, 'Detalles movimientos'!$T$5:$T$1000, 0)), "")</f>
        <v/>
      </c>
      <c r="F25" s="19" t="str">
        <f>IFERROR(INDEX('Detalles movimientos'!G$5:G$1000, MATCH(16, 'Detalles movimientos'!$T$5:$T$1000, 0)), "")</f>
        <v/>
      </c>
      <c r="G25" s="21" t="str">
        <f>IFERROR(INDEX('Detalles movimientos'!H$5:H$1000, MATCH(16, 'Detalles movimientos'!$T$5:$T$1000, 0)), "")</f>
        <v/>
      </c>
      <c r="H25" s="22" t="str">
        <f>IFERROR(INDEX('Detalles movimientos'!I$5:I$1000, MATCH(16, 'Detalles movimientos'!$T$5:$T$1000, 0)), "")</f>
        <v/>
      </c>
      <c r="I25" s="21" t="str">
        <f>IFERROR(INDEX('Detalles movimientos'!J$5:J$1000, MATCH(16, 'Detalles movimientos'!$T$5:$T$1000, 0)), "")</f>
        <v/>
      </c>
      <c r="J25" s="20" t="str">
        <f>IFERROR(INDEX('Detalles movimientos'!K$5:K$1000, MATCH(16, 'Detalles movimientos'!$T$5:$T$1000, 0)), "")</f>
        <v/>
      </c>
      <c r="K25" s="21" t="str">
        <f>IFERROR(INDEX('Detalles movimientos'!L$5:L$1000, MATCH(16, 'Detalles movimientos'!$T$5:$T$1000, 0)), "")</f>
        <v/>
      </c>
      <c r="L25" s="19" t="str">
        <f>IFERROR(INDEX('Detalles movimientos'!M$5:M$1000, MATCH(16, 'Detalles movimientos'!$T$5:$T$1000, 0)), "")</f>
        <v/>
      </c>
      <c r="M25" s="19" t="str">
        <f>IFERROR(INDEX('Detalles movimientos'!P$5:P$1000, MATCH(16, 'Detalles movimientos'!$T$5:$T$1000, 0)), "")</f>
        <v/>
      </c>
    </row>
    <row r="26" spans="2:13" x14ac:dyDescent="0.2">
      <c r="B26" s="18" t="str">
        <f>IFERROR(INDEX('Detalles movimientos'!C$5:C$1000, MATCH(17, 'Detalles movimientos'!$T$5:$T$1000, 0)), "")</f>
        <v/>
      </c>
      <c r="C26" s="19" t="str">
        <f>IFERROR(INDEX('Detalles movimientos'!D$5:D$1000, MATCH(17, 'Detalles movimientos'!$T$5:$T$1000, 0)), "")</f>
        <v/>
      </c>
      <c r="D26" s="20" t="str">
        <f>IFERROR(INDEX('Detalles movimientos'!E$5:E$1000, MATCH(17, 'Detalles movimientos'!$T$5:$T$1000, 0)), "")</f>
        <v/>
      </c>
      <c r="E26" s="20" t="str">
        <f>IFERROR(INDEX('Detalles movimientos'!F$5:F$1000, MATCH(17, 'Detalles movimientos'!$T$5:$T$1000, 0)), "")</f>
        <v/>
      </c>
      <c r="F26" s="19" t="str">
        <f>IFERROR(INDEX('Detalles movimientos'!G$5:G$1000, MATCH(17, 'Detalles movimientos'!$T$5:$T$1000, 0)), "")</f>
        <v/>
      </c>
      <c r="G26" s="21" t="str">
        <f>IFERROR(INDEX('Detalles movimientos'!H$5:H$1000, MATCH(17, 'Detalles movimientos'!$T$5:$T$1000, 0)), "")</f>
        <v/>
      </c>
      <c r="H26" s="22" t="str">
        <f>IFERROR(INDEX('Detalles movimientos'!I$5:I$1000, MATCH(17, 'Detalles movimientos'!$T$5:$T$1000, 0)), "")</f>
        <v/>
      </c>
      <c r="I26" s="21" t="str">
        <f>IFERROR(INDEX('Detalles movimientos'!J$5:J$1000, MATCH(17, 'Detalles movimientos'!$T$5:$T$1000, 0)), "")</f>
        <v/>
      </c>
      <c r="J26" s="20" t="str">
        <f>IFERROR(INDEX('Detalles movimientos'!K$5:K$1000, MATCH(17, 'Detalles movimientos'!$T$5:$T$1000, 0)), "")</f>
        <v/>
      </c>
      <c r="K26" s="21" t="str">
        <f>IFERROR(INDEX('Detalles movimientos'!L$5:L$1000, MATCH(17, 'Detalles movimientos'!$T$5:$T$1000, 0)), "")</f>
        <v/>
      </c>
      <c r="L26" s="19" t="str">
        <f>IFERROR(INDEX('Detalles movimientos'!M$5:M$1000, MATCH(17, 'Detalles movimientos'!$T$5:$T$1000, 0)), "")</f>
        <v/>
      </c>
      <c r="M26" s="19" t="str">
        <f>IFERROR(INDEX('Detalles movimientos'!P$5:P$1000, MATCH(17, 'Detalles movimientos'!$T$5:$T$1000, 0)), "")</f>
        <v/>
      </c>
    </row>
    <row r="27" spans="2:13" x14ac:dyDescent="0.2">
      <c r="B27" s="18" t="str">
        <f>IFERROR(INDEX('Detalles movimientos'!C$5:C$1000, MATCH(18, 'Detalles movimientos'!$T$5:$T$1000, 0)), "")</f>
        <v/>
      </c>
      <c r="C27" s="19" t="str">
        <f>IFERROR(INDEX('Detalles movimientos'!D$5:D$1000, MATCH(18, 'Detalles movimientos'!$T$5:$T$1000, 0)), "")</f>
        <v/>
      </c>
      <c r="D27" s="20" t="str">
        <f>IFERROR(INDEX('Detalles movimientos'!E$5:E$1000, MATCH(18, 'Detalles movimientos'!$T$5:$T$1000, 0)), "")</f>
        <v/>
      </c>
      <c r="E27" s="20" t="str">
        <f>IFERROR(INDEX('Detalles movimientos'!F$5:F$1000, MATCH(18, 'Detalles movimientos'!$T$5:$T$1000, 0)), "")</f>
        <v/>
      </c>
      <c r="F27" s="19" t="str">
        <f>IFERROR(INDEX('Detalles movimientos'!G$5:G$1000, MATCH(18, 'Detalles movimientos'!$T$5:$T$1000, 0)), "")</f>
        <v/>
      </c>
      <c r="G27" s="21" t="str">
        <f>IFERROR(INDEX('Detalles movimientos'!H$5:H$1000, MATCH(18, 'Detalles movimientos'!$T$5:$T$1000, 0)), "")</f>
        <v/>
      </c>
      <c r="H27" s="22" t="str">
        <f>IFERROR(INDEX('Detalles movimientos'!I$5:I$1000, MATCH(18, 'Detalles movimientos'!$T$5:$T$1000, 0)), "")</f>
        <v/>
      </c>
      <c r="I27" s="21" t="str">
        <f>IFERROR(INDEX('Detalles movimientos'!J$5:J$1000, MATCH(18, 'Detalles movimientos'!$T$5:$T$1000, 0)), "")</f>
        <v/>
      </c>
      <c r="J27" s="20" t="str">
        <f>IFERROR(INDEX('Detalles movimientos'!K$5:K$1000, MATCH(18, 'Detalles movimientos'!$T$5:$T$1000, 0)), "")</f>
        <v/>
      </c>
      <c r="K27" s="21" t="str">
        <f>IFERROR(INDEX('Detalles movimientos'!L$5:L$1000, MATCH(18, 'Detalles movimientos'!$T$5:$T$1000, 0)), "")</f>
        <v/>
      </c>
      <c r="L27" s="19" t="str">
        <f>IFERROR(INDEX('Detalles movimientos'!M$5:M$1000, MATCH(18, 'Detalles movimientos'!$T$5:$T$1000, 0)), "")</f>
        <v/>
      </c>
      <c r="M27" s="19" t="str">
        <f>IFERROR(INDEX('Detalles movimientos'!P$5:P$1000, MATCH(18, 'Detalles movimientos'!$T$5:$T$1000, 0)), "")</f>
        <v/>
      </c>
    </row>
    <row r="28" spans="2:13" x14ac:dyDescent="0.2">
      <c r="B28" s="18" t="str">
        <f>IFERROR(INDEX('Detalles movimientos'!C$5:C$1000, MATCH(19, 'Detalles movimientos'!$T$5:$T$1000, 0)), "")</f>
        <v/>
      </c>
      <c r="C28" s="19" t="str">
        <f>IFERROR(INDEX('Detalles movimientos'!D$5:D$1000, MATCH(19, 'Detalles movimientos'!$T$5:$T$1000, 0)), "")</f>
        <v/>
      </c>
      <c r="D28" s="20" t="str">
        <f>IFERROR(INDEX('Detalles movimientos'!E$5:E$1000, MATCH(19, 'Detalles movimientos'!$T$5:$T$1000, 0)), "")</f>
        <v/>
      </c>
      <c r="E28" s="20" t="str">
        <f>IFERROR(INDEX('Detalles movimientos'!F$5:F$1000, MATCH(19, 'Detalles movimientos'!$T$5:$T$1000, 0)), "")</f>
        <v/>
      </c>
      <c r="F28" s="19" t="str">
        <f>IFERROR(INDEX('Detalles movimientos'!G$5:G$1000, MATCH(19, 'Detalles movimientos'!$T$5:$T$1000, 0)), "")</f>
        <v/>
      </c>
      <c r="G28" s="21" t="str">
        <f>IFERROR(INDEX('Detalles movimientos'!H$5:H$1000, MATCH(19, 'Detalles movimientos'!$T$5:$T$1000, 0)), "")</f>
        <v/>
      </c>
      <c r="H28" s="22" t="str">
        <f>IFERROR(INDEX('Detalles movimientos'!I$5:I$1000, MATCH(19, 'Detalles movimientos'!$T$5:$T$1000, 0)), "")</f>
        <v/>
      </c>
      <c r="I28" s="21" t="str">
        <f>IFERROR(INDEX('Detalles movimientos'!J$5:J$1000, MATCH(19, 'Detalles movimientos'!$T$5:$T$1000, 0)), "")</f>
        <v/>
      </c>
      <c r="J28" s="20" t="str">
        <f>IFERROR(INDEX('Detalles movimientos'!K$5:K$1000, MATCH(19, 'Detalles movimientos'!$T$5:$T$1000, 0)), "")</f>
        <v/>
      </c>
      <c r="K28" s="21" t="str">
        <f>IFERROR(INDEX('Detalles movimientos'!L$5:L$1000, MATCH(19, 'Detalles movimientos'!$T$5:$T$1000, 0)), "")</f>
        <v/>
      </c>
      <c r="L28" s="19" t="str">
        <f>IFERROR(INDEX('Detalles movimientos'!M$5:M$1000, MATCH(19, 'Detalles movimientos'!$T$5:$T$1000, 0)), "")</f>
        <v/>
      </c>
      <c r="M28" s="19" t="str">
        <f>IFERROR(INDEX('Detalles movimientos'!P$5:P$1000, MATCH(19, 'Detalles movimientos'!$T$5:$T$1000, 0)), "")</f>
        <v/>
      </c>
    </row>
    <row r="29" spans="2:13" x14ac:dyDescent="0.2">
      <c r="B29" s="18" t="str">
        <f>IFERROR(INDEX('Detalles movimientos'!C$5:C$1000, MATCH(20, 'Detalles movimientos'!$T$5:$T$1000, 0)), "")</f>
        <v/>
      </c>
      <c r="C29" s="19" t="str">
        <f>IFERROR(INDEX('Detalles movimientos'!D$5:D$1000, MATCH(20, 'Detalles movimientos'!$T$5:$T$1000, 0)), "")</f>
        <v/>
      </c>
      <c r="D29" s="20" t="str">
        <f>IFERROR(INDEX('Detalles movimientos'!E$5:E$1000, MATCH(20, 'Detalles movimientos'!$T$5:$T$1000, 0)), "")</f>
        <v/>
      </c>
      <c r="E29" s="20" t="str">
        <f>IFERROR(INDEX('Detalles movimientos'!F$5:F$1000, MATCH(20, 'Detalles movimientos'!$T$5:$T$1000, 0)), "")</f>
        <v/>
      </c>
      <c r="F29" s="19" t="str">
        <f>IFERROR(INDEX('Detalles movimientos'!G$5:G$1000, MATCH(20, 'Detalles movimientos'!$T$5:$T$1000, 0)), "")</f>
        <v/>
      </c>
      <c r="G29" s="21" t="str">
        <f>IFERROR(INDEX('Detalles movimientos'!H$5:H$1000, MATCH(20, 'Detalles movimientos'!$T$5:$T$1000, 0)), "")</f>
        <v/>
      </c>
      <c r="H29" s="22" t="str">
        <f>IFERROR(INDEX('Detalles movimientos'!I$5:I$1000, MATCH(20, 'Detalles movimientos'!$T$5:$T$1000, 0)), "")</f>
        <v/>
      </c>
      <c r="I29" s="21" t="str">
        <f>IFERROR(INDEX('Detalles movimientos'!J$5:J$1000, MATCH(20, 'Detalles movimientos'!$T$5:$T$1000, 0)), "")</f>
        <v/>
      </c>
      <c r="J29" s="20" t="str">
        <f>IFERROR(INDEX('Detalles movimientos'!K$5:K$1000, MATCH(20, 'Detalles movimientos'!$T$5:$T$1000, 0)), "")</f>
        <v/>
      </c>
      <c r="K29" s="21" t="str">
        <f>IFERROR(INDEX('Detalles movimientos'!L$5:L$1000, MATCH(20, 'Detalles movimientos'!$T$5:$T$1000, 0)), "")</f>
        <v/>
      </c>
      <c r="L29" s="19" t="str">
        <f>IFERROR(INDEX('Detalles movimientos'!M$5:M$1000, MATCH(20, 'Detalles movimientos'!$T$5:$T$1000, 0)), "")</f>
        <v/>
      </c>
      <c r="M29" s="19" t="str">
        <f>IFERROR(INDEX('Detalles movimientos'!P$5:P$1000, MATCH(20, 'Detalles movimientos'!$T$5:$T$1000, 0)), "")</f>
        <v/>
      </c>
    </row>
    <row r="30" spans="2:13" x14ac:dyDescent="0.2">
      <c r="B30" s="18" t="str">
        <f>IFERROR(INDEX('Detalles movimientos'!C$5:C$1000, MATCH(21, 'Detalles movimientos'!$T$5:$T$1000, 0)), "")</f>
        <v/>
      </c>
      <c r="C30" s="19" t="str">
        <f>IFERROR(INDEX('Detalles movimientos'!D$5:D$1000, MATCH(21, 'Detalles movimientos'!$T$5:$T$1000, 0)), "")</f>
        <v/>
      </c>
      <c r="D30" s="20" t="str">
        <f>IFERROR(INDEX('Detalles movimientos'!E$5:E$1000, MATCH(21, 'Detalles movimientos'!$T$5:$T$1000, 0)), "")</f>
        <v/>
      </c>
      <c r="E30" s="20" t="str">
        <f>IFERROR(INDEX('Detalles movimientos'!F$5:F$1000, MATCH(21, 'Detalles movimientos'!$T$5:$T$1000, 0)), "")</f>
        <v/>
      </c>
      <c r="F30" s="19" t="str">
        <f>IFERROR(INDEX('Detalles movimientos'!G$5:G$1000, MATCH(21, 'Detalles movimientos'!$T$5:$T$1000, 0)), "")</f>
        <v/>
      </c>
      <c r="G30" s="21" t="str">
        <f>IFERROR(INDEX('Detalles movimientos'!H$5:H$1000, MATCH(21, 'Detalles movimientos'!$T$5:$T$1000, 0)), "")</f>
        <v/>
      </c>
      <c r="H30" s="22" t="str">
        <f>IFERROR(INDEX('Detalles movimientos'!I$5:I$1000, MATCH(21, 'Detalles movimientos'!$T$5:$T$1000, 0)), "")</f>
        <v/>
      </c>
      <c r="I30" s="21" t="str">
        <f>IFERROR(INDEX('Detalles movimientos'!J$5:J$1000, MATCH(21, 'Detalles movimientos'!$T$5:$T$1000, 0)), "")</f>
        <v/>
      </c>
      <c r="J30" s="20" t="str">
        <f>IFERROR(INDEX('Detalles movimientos'!K$5:K$1000, MATCH(21, 'Detalles movimientos'!$T$5:$T$1000, 0)), "")</f>
        <v/>
      </c>
      <c r="K30" s="21" t="str">
        <f>IFERROR(INDEX('Detalles movimientos'!L$5:L$1000, MATCH(21, 'Detalles movimientos'!$T$5:$T$1000, 0)), "")</f>
        <v/>
      </c>
      <c r="L30" s="19" t="str">
        <f>IFERROR(INDEX('Detalles movimientos'!M$5:M$1000, MATCH(21, 'Detalles movimientos'!$T$5:$T$1000, 0)), "")</f>
        <v/>
      </c>
      <c r="M30" s="19" t="str">
        <f>IFERROR(INDEX('Detalles movimientos'!P$5:P$1000, MATCH(21, 'Detalles movimientos'!$T$5:$T$1000, 0)), "")</f>
        <v/>
      </c>
    </row>
    <row r="31" spans="2:13" x14ac:dyDescent="0.2">
      <c r="B31" s="18" t="str">
        <f>IFERROR(INDEX('Detalles movimientos'!C$5:C$1000, MATCH(22, 'Detalles movimientos'!$T$5:$T$1000, 0)), "")</f>
        <v/>
      </c>
      <c r="C31" s="19" t="str">
        <f>IFERROR(INDEX('Detalles movimientos'!D$5:D$1000, MATCH(22, 'Detalles movimientos'!$T$5:$T$1000, 0)), "")</f>
        <v/>
      </c>
      <c r="D31" s="20" t="str">
        <f>IFERROR(INDEX('Detalles movimientos'!E$5:E$1000, MATCH(22, 'Detalles movimientos'!$T$5:$T$1000, 0)), "")</f>
        <v/>
      </c>
      <c r="E31" s="20" t="str">
        <f>IFERROR(INDEX('Detalles movimientos'!F$5:F$1000, MATCH(22, 'Detalles movimientos'!$T$5:$T$1000, 0)), "")</f>
        <v/>
      </c>
      <c r="F31" s="19" t="str">
        <f>IFERROR(INDEX('Detalles movimientos'!G$5:G$1000, MATCH(22, 'Detalles movimientos'!$T$5:$T$1000, 0)), "")</f>
        <v/>
      </c>
      <c r="G31" s="21" t="str">
        <f>IFERROR(INDEX('Detalles movimientos'!H$5:H$1000, MATCH(22, 'Detalles movimientos'!$T$5:$T$1000, 0)), "")</f>
        <v/>
      </c>
      <c r="H31" s="22" t="str">
        <f>IFERROR(INDEX('Detalles movimientos'!I$5:I$1000, MATCH(22, 'Detalles movimientos'!$T$5:$T$1000, 0)), "")</f>
        <v/>
      </c>
      <c r="I31" s="21" t="str">
        <f>IFERROR(INDEX('Detalles movimientos'!J$5:J$1000, MATCH(22, 'Detalles movimientos'!$T$5:$T$1000, 0)), "")</f>
        <v/>
      </c>
      <c r="J31" s="20" t="str">
        <f>IFERROR(INDEX('Detalles movimientos'!K$5:K$1000, MATCH(22, 'Detalles movimientos'!$T$5:$T$1000, 0)), "")</f>
        <v/>
      </c>
      <c r="K31" s="21" t="str">
        <f>IFERROR(INDEX('Detalles movimientos'!L$5:L$1000, MATCH(22, 'Detalles movimientos'!$T$5:$T$1000, 0)), "")</f>
        <v/>
      </c>
      <c r="L31" s="19" t="str">
        <f>IFERROR(INDEX('Detalles movimientos'!M$5:M$1000, MATCH(22, 'Detalles movimientos'!$T$5:$T$1000, 0)), "")</f>
        <v/>
      </c>
      <c r="M31" s="19" t="str">
        <f>IFERROR(INDEX('Detalles movimientos'!P$5:P$1000, MATCH(22, 'Detalles movimientos'!$T$5:$T$1000, 0)), "")</f>
        <v/>
      </c>
    </row>
    <row r="32" spans="2:13" x14ac:dyDescent="0.2">
      <c r="B32" s="18" t="str">
        <f>IFERROR(INDEX('Detalles movimientos'!C$5:C$1000, MATCH(23, 'Detalles movimientos'!$T$5:$T$1000, 0)), "")</f>
        <v/>
      </c>
      <c r="C32" s="19" t="str">
        <f>IFERROR(INDEX('Detalles movimientos'!D$5:D$1000, MATCH(23, 'Detalles movimientos'!$T$5:$T$1000, 0)), "")</f>
        <v/>
      </c>
      <c r="D32" s="20" t="str">
        <f>IFERROR(INDEX('Detalles movimientos'!E$5:E$1000, MATCH(23, 'Detalles movimientos'!$T$5:$T$1000, 0)), "")</f>
        <v/>
      </c>
      <c r="E32" s="20" t="str">
        <f>IFERROR(INDEX('Detalles movimientos'!F$5:F$1000, MATCH(23, 'Detalles movimientos'!$T$5:$T$1000, 0)), "")</f>
        <v/>
      </c>
      <c r="F32" s="19" t="str">
        <f>IFERROR(INDEX('Detalles movimientos'!G$5:G$1000, MATCH(23, 'Detalles movimientos'!$T$5:$T$1000, 0)), "")</f>
        <v/>
      </c>
      <c r="G32" s="21" t="str">
        <f>IFERROR(INDEX('Detalles movimientos'!H$5:H$1000, MATCH(23, 'Detalles movimientos'!$T$5:$T$1000, 0)), "")</f>
        <v/>
      </c>
      <c r="H32" s="22" t="str">
        <f>IFERROR(INDEX('Detalles movimientos'!I$5:I$1000, MATCH(23, 'Detalles movimientos'!$T$5:$T$1000, 0)), "")</f>
        <v/>
      </c>
      <c r="I32" s="21" t="str">
        <f>IFERROR(INDEX('Detalles movimientos'!J$5:J$1000, MATCH(23, 'Detalles movimientos'!$T$5:$T$1000, 0)), "")</f>
        <v/>
      </c>
      <c r="J32" s="20" t="str">
        <f>IFERROR(INDEX('Detalles movimientos'!K$5:K$1000, MATCH(23, 'Detalles movimientos'!$T$5:$T$1000, 0)), "")</f>
        <v/>
      </c>
      <c r="K32" s="21" t="str">
        <f>IFERROR(INDEX('Detalles movimientos'!L$5:L$1000, MATCH(23, 'Detalles movimientos'!$T$5:$T$1000, 0)), "")</f>
        <v/>
      </c>
      <c r="L32" s="19" t="str">
        <f>IFERROR(INDEX('Detalles movimientos'!M$5:M$1000, MATCH(23, 'Detalles movimientos'!$T$5:$T$1000, 0)), "")</f>
        <v/>
      </c>
      <c r="M32" s="19" t="str">
        <f>IFERROR(INDEX('Detalles movimientos'!P$5:P$1000, MATCH(23, 'Detalles movimientos'!$T$5:$T$1000, 0)), "")</f>
        <v/>
      </c>
    </row>
    <row r="33" spans="2:13" x14ac:dyDescent="0.2">
      <c r="B33" s="18" t="str">
        <f>IFERROR(INDEX('Detalles movimientos'!C$5:C$1000, MATCH(24, 'Detalles movimientos'!$T$5:$T$1000, 0)), "")</f>
        <v/>
      </c>
      <c r="C33" s="19" t="str">
        <f>IFERROR(INDEX('Detalles movimientos'!D$5:D$1000, MATCH(24, 'Detalles movimientos'!$T$5:$T$1000, 0)), "")</f>
        <v/>
      </c>
      <c r="D33" s="20" t="str">
        <f>IFERROR(INDEX('Detalles movimientos'!E$5:E$1000, MATCH(24, 'Detalles movimientos'!$T$5:$T$1000, 0)), "")</f>
        <v/>
      </c>
      <c r="E33" s="20" t="str">
        <f>IFERROR(INDEX('Detalles movimientos'!F$5:F$1000, MATCH(24, 'Detalles movimientos'!$T$5:$T$1000, 0)), "")</f>
        <v/>
      </c>
      <c r="F33" s="19" t="str">
        <f>IFERROR(INDEX('Detalles movimientos'!G$5:G$1000, MATCH(24, 'Detalles movimientos'!$T$5:$T$1000, 0)), "")</f>
        <v/>
      </c>
      <c r="G33" s="21" t="str">
        <f>IFERROR(INDEX('Detalles movimientos'!H$5:H$1000, MATCH(24, 'Detalles movimientos'!$T$5:$T$1000, 0)), "")</f>
        <v/>
      </c>
      <c r="H33" s="22" t="str">
        <f>IFERROR(INDEX('Detalles movimientos'!I$5:I$1000, MATCH(24, 'Detalles movimientos'!$T$5:$T$1000, 0)), "")</f>
        <v/>
      </c>
      <c r="I33" s="21" t="str">
        <f>IFERROR(INDEX('Detalles movimientos'!J$5:J$1000, MATCH(24, 'Detalles movimientos'!$T$5:$T$1000, 0)), "")</f>
        <v/>
      </c>
      <c r="J33" s="20" t="str">
        <f>IFERROR(INDEX('Detalles movimientos'!K$5:K$1000, MATCH(24, 'Detalles movimientos'!$T$5:$T$1000, 0)), "")</f>
        <v/>
      </c>
      <c r="K33" s="21" t="str">
        <f>IFERROR(INDEX('Detalles movimientos'!L$5:L$1000, MATCH(24, 'Detalles movimientos'!$T$5:$T$1000, 0)), "")</f>
        <v/>
      </c>
      <c r="L33" s="19" t="str">
        <f>IFERROR(INDEX('Detalles movimientos'!M$5:M$1000, MATCH(24, 'Detalles movimientos'!$T$5:$T$1000, 0)), "")</f>
        <v/>
      </c>
      <c r="M33" s="19" t="str">
        <f>IFERROR(INDEX('Detalles movimientos'!P$5:P$1000, MATCH(24, 'Detalles movimientos'!$T$5:$T$1000, 0)), "")</f>
        <v/>
      </c>
    </row>
    <row r="34" spans="2:13" x14ac:dyDescent="0.2">
      <c r="B34" s="18" t="str">
        <f>IFERROR(INDEX('Detalles movimientos'!C$5:C$1000, MATCH(25, 'Detalles movimientos'!$T$5:$T$1000, 0)), "")</f>
        <v/>
      </c>
      <c r="C34" s="19" t="str">
        <f>IFERROR(INDEX('Detalles movimientos'!D$5:D$1000, MATCH(25, 'Detalles movimientos'!$T$5:$T$1000, 0)), "")</f>
        <v/>
      </c>
      <c r="D34" s="20" t="str">
        <f>IFERROR(INDEX('Detalles movimientos'!E$5:E$1000, MATCH(25, 'Detalles movimientos'!$T$5:$T$1000, 0)), "")</f>
        <v/>
      </c>
      <c r="E34" s="20" t="str">
        <f>IFERROR(INDEX('Detalles movimientos'!F$5:F$1000, MATCH(25, 'Detalles movimientos'!$T$5:$T$1000, 0)), "")</f>
        <v/>
      </c>
      <c r="F34" s="19" t="str">
        <f>IFERROR(INDEX('Detalles movimientos'!G$5:G$1000, MATCH(25, 'Detalles movimientos'!$T$5:$T$1000, 0)), "")</f>
        <v/>
      </c>
      <c r="G34" s="21" t="str">
        <f>IFERROR(INDEX('Detalles movimientos'!H$5:H$1000, MATCH(25, 'Detalles movimientos'!$T$5:$T$1000, 0)), "")</f>
        <v/>
      </c>
      <c r="H34" s="22" t="str">
        <f>IFERROR(INDEX('Detalles movimientos'!I$5:I$1000, MATCH(25, 'Detalles movimientos'!$T$5:$T$1000, 0)), "")</f>
        <v/>
      </c>
      <c r="I34" s="21" t="str">
        <f>IFERROR(INDEX('Detalles movimientos'!J$5:J$1000, MATCH(25, 'Detalles movimientos'!$T$5:$T$1000, 0)), "")</f>
        <v/>
      </c>
      <c r="J34" s="20" t="str">
        <f>IFERROR(INDEX('Detalles movimientos'!K$5:K$1000, MATCH(25, 'Detalles movimientos'!$T$5:$T$1000, 0)), "")</f>
        <v/>
      </c>
      <c r="K34" s="21" t="str">
        <f>IFERROR(INDEX('Detalles movimientos'!L$5:L$1000, MATCH(25, 'Detalles movimientos'!$T$5:$T$1000, 0)), "")</f>
        <v/>
      </c>
      <c r="L34" s="19" t="str">
        <f>IFERROR(INDEX('Detalles movimientos'!M$5:M$1000, MATCH(25, 'Detalles movimientos'!$T$5:$T$1000, 0)), "")</f>
        <v/>
      </c>
      <c r="M34" s="19" t="str">
        <f>IFERROR(INDEX('Detalles movimientos'!P$5:P$1000, MATCH(25, 'Detalles movimientos'!$T$5:$T$1000, 0)), "")</f>
        <v/>
      </c>
    </row>
    <row r="35" spans="2:13" x14ac:dyDescent="0.2">
      <c r="B35" s="18" t="str">
        <f>IFERROR(INDEX('Detalles movimientos'!C$5:C$1000, MATCH(26, 'Detalles movimientos'!$T$5:$T$1000, 0)), "")</f>
        <v/>
      </c>
      <c r="C35" s="19" t="str">
        <f>IFERROR(INDEX('Detalles movimientos'!D$5:D$1000, MATCH(26, 'Detalles movimientos'!$T$5:$T$1000, 0)), "")</f>
        <v/>
      </c>
      <c r="D35" s="20" t="str">
        <f>IFERROR(INDEX('Detalles movimientos'!E$5:E$1000, MATCH(26, 'Detalles movimientos'!$T$5:$T$1000, 0)), "")</f>
        <v/>
      </c>
      <c r="E35" s="20" t="str">
        <f>IFERROR(INDEX('Detalles movimientos'!F$5:F$1000, MATCH(26, 'Detalles movimientos'!$T$5:$T$1000, 0)), "")</f>
        <v/>
      </c>
      <c r="F35" s="19" t="str">
        <f>IFERROR(INDEX('Detalles movimientos'!G$5:G$1000, MATCH(26, 'Detalles movimientos'!$T$5:$T$1000, 0)), "")</f>
        <v/>
      </c>
      <c r="G35" s="21" t="str">
        <f>IFERROR(INDEX('Detalles movimientos'!H$5:H$1000, MATCH(26, 'Detalles movimientos'!$T$5:$T$1000, 0)), "")</f>
        <v/>
      </c>
      <c r="H35" s="22" t="str">
        <f>IFERROR(INDEX('Detalles movimientos'!I$5:I$1000, MATCH(26, 'Detalles movimientos'!$T$5:$T$1000, 0)), "")</f>
        <v/>
      </c>
      <c r="I35" s="21" t="str">
        <f>IFERROR(INDEX('Detalles movimientos'!J$5:J$1000, MATCH(26, 'Detalles movimientos'!$T$5:$T$1000, 0)), "")</f>
        <v/>
      </c>
      <c r="J35" s="20" t="str">
        <f>IFERROR(INDEX('Detalles movimientos'!K$5:K$1000, MATCH(26, 'Detalles movimientos'!$T$5:$T$1000, 0)), "")</f>
        <v/>
      </c>
      <c r="K35" s="21" t="str">
        <f>IFERROR(INDEX('Detalles movimientos'!L$5:L$1000, MATCH(26, 'Detalles movimientos'!$T$5:$T$1000, 0)), "")</f>
        <v/>
      </c>
      <c r="L35" s="19" t="str">
        <f>IFERROR(INDEX('Detalles movimientos'!M$5:M$1000, MATCH(26, 'Detalles movimientos'!$T$5:$T$1000, 0)), "")</f>
        <v/>
      </c>
      <c r="M35" s="19" t="str">
        <f>IFERROR(INDEX('Detalles movimientos'!P$5:P$1000, MATCH(26, 'Detalles movimientos'!$T$5:$T$1000, 0)), "")</f>
        <v/>
      </c>
    </row>
    <row r="36" spans="2:13" x14ac:dyDescent="0.2">
      <c r="B36" s="18" t="str">
        <f>IFERROR(INDEX('Detalles movimientos'!C$5:C$1000, MATCH(27, 'Detalles movimientos'!$T$5:$T$1000, 0)), "")</f>
        <v/>
      </c>
      <c r="C36" s="19" t="str">
        <f>IFERROR(INDEX('Detalles movimientos'!D$5:D$1000, MATCH(27, 'Detalles movimientos'!$T$5:$T$1000, 0)), "")</f>
        <v/>
      </c>
      <c r="D36" s="20" t="str">
        <f>IFERROR(INDEX('Detalles movimientos'!E$5:E$1000, MATCH(27, 'Detalles movimientos'!$T$5:$T$1000, 0)), "")</f>
        <v/>
      </c>
      <c r="E36" s="20" t="str">
        <f>IFERROR(INDEX('Detalles movimientos'!F$5:F$1000, MATCH(27, 'Detalles movimientos'!$T$5:$T$1000, 0)), "")</f>
        <v/>
      </c>
      <c r="F36" s="19" t="str">
        <f>IFERROR(INDEX('Detalles movimientos'!G$5:G$1000, MATCH(27, 'Detalles movimientos'!$T$5:$T$1000, 0)), "")</f>
        <v/>
      </c>
      <c r="G36" s="21" t="str">
        <f>IFERROR(INDEX('Detalles movimientos'!H$5:H$1000, MATCH(27, 'Detalles movimientos'!$T$5:$T$1000, 0)), "")</f>
        <v/>
      </c>
      <c r="H36" s="22" t="str">
        <f>IFERROR(INDEX('Detalles movimientos'!I$5:I$1000, MATCH(27, 'Detalles movimientos'!$T$5:$T$1000, 0)), "")</f>
        <v/>
      </c>
      <c r="I36" s="21" t="str">
        <f>IFERROR(INDEX('Detalles movimientos'!J$5:J$1000, MATCH(27, 'Detalles movimientos'!$T$5:$T$1000, 0)), "")</f>
        <v/>
      </c>
      <c r="J36" s="20" t="str">
        <f>IFERROR(INDEX('Detalles movimientos'!K$5:K$1000, MATCH(27, 'Detalles movimientos'!$T$5:$T$1000, 0)), "")</f>
        <v/>
      </c>
      <c r="K36" s="21" t="str">
        <f>IFERROR(INDEX('Detalles movimientos'!L$5:L$1000, MATCH(27, 'Detalles movimientos'!$T$5:$T$1000, 0)), "")</f>
        <v/>
      </c>
      <c r="L36" s="19" t="str">
        <f>IFERROR(INDEX('Detalles movimientos'!M$5:M$1000, MATCH(27, 'Detalles movimientos'!$T$5:$T$1000, 0)), "")</f>
        <v/>
      </c>
      <c r="M36" s="19" t="str">
        <f>IFERROR(INDEX('Detalles movimientos'!P$5:P$1000, MATCH(27, 'Detalles movimientos'!$T$5:$T$1000, 0)), "")</f>
        <v/>
      </c>
    </row>
    <row r="37" spans="2:13" x14ac:dyDescent="0.2">
      <c r="B37" s="18" t="str">
        <f>IFERROR(INDEX('Detalles movimientos'!C$5:C$1000, MATCH(28, 'Detalles movimientos'!$T$5:$T$1000, 0)), "")</f>
        <v/>
      </c>
      <c r="C37" s="19" t="str">
        <f>IFERROR(INDEX('Detalles movimientos'!D$5:D$1000, MATCH(28, 'Detalles movimientos'!$T$5:$T$1000, 0)), "")</f>
        <v/>
      </c>
      <c r="D37" s="20" t="str">
        <f>IFERROR(INDEX('Detalles movimientos'!E$5:E$1000, MATCH(28, 'Detalles movimientos'!$T$5:$T$1000, 0)), "")</f>
        <v/>
      </c>
      <c r="E37" s="20" t="str">
        <f>IFERROR(INDEX('Detalles movimientos'!F$5:F$1000, MATCH(28, 'Detalles movimientos'!$T$5:$T$1000, 0)), "")</f>
        <v/>
      </c>
      <c r="F37" s="19" t="str">
        <f>IFERROR(INDEX('Detalles movimientos'!G$5:G$1000, MATCH(28, 'Detalles movimientos'!$T$5:$T$1000, 0)), "")</f>
        <v/>
      </c>
      <c r="G37" s="21" t="str">
        <f>IFERROR(INDEX('Detalles movimientos'!H$5:H$1000, MATCH(28, 'Detalles movimientos'!$T$5:$T$1000, 0)), "")</f>
        <v/>
      </c>
      <c r="H37" s="22" t="str">
        <f>IFERROR(INDEX('Detalles movimientos'!I$5:I$1000, MATCH(28, 'Detalles movimientos'!$T$5:$T$1000, 0)), "")</f>
        <v/>
      </c>
      <c r="I37" s="21" t="str">
        <f>IFERROR(INDEX('Detalles movimientos'!J$5:J$1000, MATCH(28, 'Detalles movimientos'!$T$5:$T$1000, 0)), "")</f>
        <v/>
      </c>
      <c r="J37" s="20" t="str">
        <f>IFERROR(INDEX('Detalles movimientos'!K$5:K$1000, MATCH(28, 'Detalles movimientos'!$T$5:$T$1000, 0)), "")</f>
        <v/>
      </c>
      <c r="K37" s="21" t="str">
        <f>IFERROR(INDEX('Detalles movimientos'!L$5:L$1000, MATCH(28, 'Detalles movimientos'!$T$5:$T$1000, 0)), "")</f>
        <v/>
      </c>
      <c r="L37" s="19" t="str">
        <f>IFERROR(INDEX('Detalles movimientos'!M$5:M$1000, MATCH(28, 'Detalles movimientos'!$T$5:$T$1000, 0)), "")</f>
        <v/>
      </c>
      <c r="M37" s="19" t="str">
        <f>IFERROR(INDEX('Detalles movimientos'!P$5:P$1000, MATCH(28, 'Detalles movimientos'!$T$5:$T$1000, 0)), "")</f>
        <v/>
      </c>
    </row>
    <row r="38" spans="2:13" x14ac:dyDescent="0.2">
      <c r="B38" s="18" t="str">
        <f>IFERROR(INDEX('Detalles movimientos'!C$5:C$1000, MATCH(29, 'Detalles movimientos'!$T$5:$T$1000, 0)), "")</f>
        <v/>
      </c>
      <c r="C38" s="19" t="str">
        <f>IFERROR(INDEX('Detalles movimientos'!D$5:D$1000, MATCH(29, 'Detalles movimientos'!$T$5:$T$1000, 0)), "")</f>
        <v/>
      </c>
      <c r="D38" s="20" t="str">
        <f>IFERROR(INDEX('Detalles movimientos'!E$5:E$1000, MATCH(29, 'Detalles movimientos'!$T$5:$T$1000, 0)), "")</f>
        <v/>
      </c>
      <c r="E38" s="20" t="str">
        <f>IFERROR(INDEX('Detalles movimientos'!F$5:F$1000, MATCH(29, 'Detalles movimientos'!$T$5:$T$1000, 0)), "")</f>
        <v/>
      </c>
      <c r="F38" s="19" t="str">
        <f>IFERROR(INDEX('Detalles movimientos'!G$5:G$1000, MATCH(29, 'Detalles movimientos'!$T$5:$T$1000, 0)), "")</f>
        <v/>
      </c>
      <c r="G38" s="21" t="str">
        <f>IFERROR(INDEX('Detalles movimientos'!H$5:H$1000, MATCH(29, 'Detalles movimientos'!$T$5:$T$1000, 0)), "")</f>
        <v/>
      </c>
      <c r="H38" s="22" t="str">
        <f>IFERROR(INDEX('Detalles movimientos'!I$5:I$1000, MATCH(29, 'Detalles movimientos'!$T$5:$T$1000, 0)), "")</f>
        <v/>
      </c>
      <c r="I38" s="21" t="str">
        <f>IFERROR(INDEX('Detalles movimientos'!J$5:J$1000, MATCH(29, 'Detalles movimientos'!$T$5:$T$1000, 0)), "")</f>
        <v/>
      </c>
      <c r="J38" s="20" t="str">
        <f>IFERROR(INDEX('Detalles movimientos'!K$5:K$1000, MATCH(29, 'Detalles movimientos'!$T$5:$T$1000, 0)), "")</f>
        <v/>
      </c>
      <c r="K38" s="21" t="str">
        <f>IFERROR(INDEX('Detalles movimientos'!L$5:L$1000, MATCH(29, 'Detalles movimientos'!$T$5:$T$1000, 0)), "")</f>
        <v/>
      </c>
      <c r="L38" s="19" t="str">
        <f>IFERROR(INDEX('Detalles movimientos'!M$5:M$1000, MATCH(29, 'Detalles movimientos'!$T$5:$T$1000, 0)), "")</f>
        <v/>
      </c>
      <c r="M38" s="19" t="str">
        <f>IFERROR(INDEX('Detalles movimientos'!P$5:P$1000, MATCH(29, 'Detalles movimientos'!$T$5:$T$1000, 0)), "")</f>
        <v/>
      </c>
    </row>
    <row r="39" spans="2:13" x14ac:dyDescent="0.2">
      <c r="B39" s="18" t="str">
        <f>IFERROR(INDEX('Detalles movimientos'!C$5:C$1000, MATCH(30, 'Detalles movimientos'!$T$5:$T$1000, 0)), "")</f>
        <v/>
      </c>
      <c r="C39" s="19" t="str">
        <f>IFERROR(INDEX('Detalles movimientos'!D$5:D$1000, MATCH(30, 'Detalles movimientos'!$T$5:$T$1000, 0)), "")</f>
        <v/>
      </c>
      <c r="D39" s="20" t="str">
        <f>IFERROR(INDEX('Detalles movimientos'!E$5:E$1000, MATCH(30, 'Detalles movimientos'!$T$5:$T$1000, 0)), "")</f>
        <v/>
      </c>
      <c r="E39" s="20" t="str">
        <f>IFERROR(INDEX('Detalles movimientos'!F$5:F$1000, MATCH(30, 'Detalles movimientos'!$T$5:$T$1000, 0)), "")</f>
        <v/>
      </c>
      <c r="F39" s="19" t="str">
        <f>IFERROR(INDEX('Detalles movimientos'!G$5:G$1000, MATCH(30, 'Detalles movimientos'!$T$5:$T$1000, 0)), "")</f>
        <v/>
      </c>
      <c r="G39" s="21" t="str">
        <f>IFERROR(INDEX('Detalles movimientos'!H$5:H$1000, MATCH(30, 'Detalles movimientos'!$T$5:$T$1000, 0)), "")</f>
        <v/>
      </c>
      <c r="H39" s="22" t="str">
        <f>IFERROR(INDEX('Detalles movimientos'!I$5:I$1000, MATCH(30, 'Detalles movimientos'!$T$5:$T$1000, 0)), "")</f>
        <v/>
      </c>
      <c r="I39" s="21" t="str">
        <f>IFERROR(INDEX('Detalles movimientos'!J$5:J$1000, MATCH(30, 'Detalles movimientos'!$T$5:$T$1000, 0)), "")</f>
        <v/>
      </c>
      <c r="J39" s="20" t="str">
        <f>IFERROR(INDEX('Detalles movimientos'!K$5:K$1000, MATCH(30, 'Detalles movimientos'!$T$5:$T$1000, 0)), "")</f>
        <v/>
      </c>
      <c r="K39" s="21" t="str">
        <f>IFERROR(INDEX('Detalles movimientos'!L$5:L$1000, MATCH(30, 'Detalles movimientos'!$T$5:$T$1000, 0)), "")</f>
        <v/>
      </c>
      <c r="L39" s="19" t="str">
        <f>IFERROR(INDEX('Detalles movimientos'!M$5:M$1000, MATCH(30, 'Detalles movimientos'!$T$5:$T$1000, 0)), "")</f>
        <v/>
      </c>
      <c r="M39" s="19" t="str">
        <f>IFERROR(INDEX('Detalles movimientos'!P$5:P$1000, MATCH(30, 'Detalles movimientos'!$T$5:$T$1000, 0)), "")</f>
        <v/>
      </c>
    </row>
    <row r="40" spans="2:13" x14ac:dyDescent="0.2">
      <c r="B40" s="18" t="str">
        <f>IFERROR(INDEX('Detalles movimientos'!C$5:C$1000, MATCH(31, 'Detalles movimientos'!$T$5:$T$1000, 0)), "")</f>
        <v/>
      </c>
      <c r="C40" s="19" t="str">
        <f>IFERROR(INDEX('Detalles movimientos'!D$5:D$1000, MATCH(31, 'Detalles movimientos'!$T$5:$T$1000, 0)), "")</f>
        <v/>
      </c>
      <c r="D40" s="20" t="str">
        <f>IFERROR(INDEX('Detalles movimientos'!E$5:E$1000, MATCH(31, 'Detalles movimientos'!$T$5:$T$1000, 0)), "")</f>
        <v/>
      </c>
      <c r="E40" s="20" t="str">
        <f>IFERROR(INDEX('Detalles movimientos'!F$5:F$1000, MATCH(31, 'Detalles movimientos'!$T$5:$T$1000, 0)), "")</f>
        <v/>
      </c>
      <c r="F40" s="19" t="str">
        <f>IFERROR(INDEX('Detalles movimientos'!G$5:G$1000, MATCH(31, 'Detalles movimientos'!$T$5:$T$1000, 0)), "")</f>
        <v/>
      </c>
      <c r="G40" s="21" t="str">
        <f>IFERROR(INDEX('Detalles movimientos'!H$5:H$1000, MATCH(31, 'Detalles movimientos'!$T$5:$T$1000, 0)), "")</f>
        <v/>
      </c>
      <c r="H40" s="22" t="str">
        <f>IFERROR(INDEX('Detalles movimientos'!I$5:I$1000, MATCH(31, 'Detalles movimientos'!$T$5:$T$1000, 0)), "")</f>
        <v/>
      </c>
      <c r="I40" s="21" t="str">
        <f>IFERROR(INDEX('Detalles movimientos'!J$5:J$1000, MATCH(31, 'Detalles movimientos'!$T$5:$T$1000, 0)), "")</f>
        <v/>
      </c>
      <c r="J40" s="20" t="str">
        <f>IFERROR(INDEX('Detalles movimientos'!K$5:K$1000, MATCH(31, 'Detalles movimientos'!$T$5:$T$1000, 0)), "")</f>
        <v/>
      </c>
      <c r="K40" s="21" t="str">
        <f>IFERROR(INDEX('Detalles movimientos'!L$5:L$1000, MATCH(31, 'Detalles movimientos'!$T$5:$T$1000, 0)), "")</f>
        <v/>
      </c>
      <c r="L40" s="19" t="str">
        <f>IFERROR(INDEX('Detalles movimientos'!M$5:M$1000, MATCH(31, 'Detalles movimientos'!$T$5:$T$1000, 0)), "")</f>
        <v/>
      </c>
      <c r="M40" s="19" t="str">
        <f>IFERROR(INDEX('Detalles movimientos'!P$5:P$1000, MATCH(31, 'Detalles movimientos'!$T$5:$T$1000, 0)), "")</f>
        <v/>
      </c>
    </row>
    <row r="41" spans="2:13" x14ac:dyDescent="0.2">
      <c r="B41" s="18" t="str">
        <f>IFERROR(INDEX('Detalles movimientos'!C$5:C$1000, MATCH(32, 'Detalles movimientos'!$T$5:$T$1000, 0)), "")</f>
        <v/>
      </c>
      <c r="C41" s="19" t="str">
        <f>IFERROR(INDEX('Detalles movimientos'!D$5:D$1000, MATCH(32, 'Detalles movimientos'!$T$5:$T$1000, 0)), "")</f>
        <v/>
      </c>
      <c r="D41" s="20" t="str">
        <f>IFERROR(INDEX('Detalles movimientos'!E$5:E$1000, MATCH(32, 'Detalles movimientos'!$T$5:$T$1000, 0)), "")</f>
        <v/>
      </c>
      <c r="E41" s="20" t="str">
        <f>IFERROR(INDEX('Detalles movimientos'!F$5:F$1000, MATCH(32, 'Detalles movimientos'!$T$5:$T$1000, 0)), "")</f>
        <v/>
      </c>
      <c r="F41" s="19" t="str">
        <f>IFERROR(INDEX('Detalles movimientos'!G$5:G$1000, MATCH(32, 'Detalles movimientos'!$T$5:$T$1000, 0)), "")</f>
        <v/>
      </c>
      <c r="G41" s="21" t="str">
        <f>IFERROR(INDEX('Detalles movimientos'!H$5:H$1000, MATCH(32, 'Detalles movimientos'!$T$5:$T$1000, 0)), "")</f>
        <v/>
      </c>
      <c r="H41" s="22" t="str">
        <f>IFERROR(INDEX('Detalles movimientos'!I$5:I$1000, MATCH(32, 'Detalles movimientos'!$T$5:$T$1000, 0)), "")</f>
        <v/>
      </c>
      <c r="I41" s="21" t="str">
        <f>IFERROR(INDEX('Detalles movimientos'!J$5:J$1000, MATCH(32, 'Detalles movimientos'!$T$5:$T$1000, 0)), "")</f>
        <v/>
      </c>
      <c r="J41" s="20" t="str">
        <f>IFERROR(INDEX('Detalles movimientos'!K$5:K$1000, MATCH(32, 'Detalles movimientos'!$T$5:$T$1000, 0)), "")</f>
        <v/>
      </c>
      <c r="K41" s="21" t="str">
        <f>IFERROR(INDEX('Detalles movimientos'!L$5:L$1000, MATCH(32, 'Detalles movimientos'!$T$5:$T$1000, 0)), "")</f>
        <v/>
      </c>
      <c r="L41" s="19" t="str">
        <f>IFERROR(INDEX('Detalles movimientos'!M$5:M$1000, MATCH(32, 'Detalles movimientos'!$T$5:$T$1000, 0)), "")</f>
        <v/>
      </c>
      <c r="M41" s="19" t="str">
        <f>IFERROR(INDEX('Detalles movimientos'!P$5:P$1000, MATCH(32, 'Detalles movimientos'!$T$5:$T$1000, 0)), "")</f>
        <v/>
      </c>
    </row>
    <row r="42" spans="2:13" x14ac:dyDescent="0.2">
      <c r="B42" s="18" t="str">
        <f>IFERROR(INDEX('Detalles movimientos'!C$5:C$1000, MATCH(33, 'Detalles movimientos'!$T$5:$T$1000, 0)), "")</f>
        <v/>
      </c>
      <c r="C42" s="19" t="str">
        <f>IFERROR(INDEX('Detalles movimientos'!D$5:D$1000, MATCH(33, 'Detalles movimientos'!$T$5:$T$1000, 0)), "")</f>
        <v/>
      </c>
      <c r="D42" s="20" t="str">
        <f>IFERROR(INDEX('Detalles movimientos'!E$5:E$1000, MATCH(33, 'Detalles movimientos'!$T$5:$T$1000, 0)), "")</f>
        <v/>
      </c>
      <c r="E42" s="20" t="str">
        <f>IFERROR(INDEX('Detalles movimientos'!F$5:F$1000, MATCH(33, 'Detalles movimientos'!$T$5:$T$1000, 0)), "")</f>
        <v/>
      </c>
      <c r="F42" s="19" t="str">
        <f>IFERROR(INDEX('Detalles movimientos'!G$5:G$1000, MATCH(33, 'Detalles movimientos'!$T$5:$T$1000, 0)), "")</f>
        <v/>
      </c>
      <c r="G42" s="21" t="str">
        <f>IFERROR(INDEX('Detalles movimientos'!H$5:H$1000, MATCH(33, 'Detalles movimientos'!$T$5:$T$1000, 0)), "")</f>
        <v/>
      </c>
      <c r="H42" s="22" t="str">
        <f>IFERROR(INDEX('Detalles movimientos'!I$5:I$1000, MATCH(33, 'Detalles movimientos'!$T$5:$T$1000, 0)), "")</f>
        <v/>
      </c>
      <c r="I42" s="21" t="str">
        <f>IFERROR(INDEX('Detalles movimientos'!J$5:J$1000, MATCH(33, 'Detalles movimientos'!$T$5:$T$1000, 0)), "")</f>
        <v/>
      </c>
      <c r="J42" s="20" t="str">
        <f>IFERROR(INDEX('Detalles movimientos'!K$5:K$1000, MATCH(33, 'Detalles movimientos'!$T$5:$T$1000, 0)), "")</f>
        <v/>
      </c>
      <c r="K42" s="21" t="str">
        <f>IFERROR(INDEX('Detalles movimientos'!L$5:L$1000, MATCH(33, 'Detalles movimientos'!$T$5:$T$1000, 0)), "")</f>
        <v/>
      </c>
      <c r="L42" s="19" t="str">
        <f>IFERROR(INDEX('Detalles movimientos'!M$5:M$1000, MATCH(33, 'Detalles movimientos'!$T$5:$T$1000, 0)), "")</f>
        <v/>
      </c>
      <c r="M42" s="19" t="str">
        <f>IFERROR(INDEX('Detalles movimientos'!P$5:P$1000, MATCH(33, 'Detalles movimientos'!$T$5:$T$1000, 0)), "")</f>
        <v/>
      </c>
    </row>
    <row r="43" spans="2:13" x14ac:dyDescent="0.2">
      <c r="B43" s="18" t="str">
        <f>IFERROR(INDEX('Detalles movimientos'!C$5:C$1000, MATCH(34, 'Detalles movimientos'!$T$5:$T$1000, 0)), "")</f>
        <v/>
      </c>
      <c r="C43" s="19" t="str">
        <f>IFERROR(INDEX('Detalles movimientos'!D$5:D$1000, MATCH(34, 'Detalles movimientos'!$T$5:$T$1000, 0)), "")</f>
        <v/>
      </c>
      <c r="D43" s="20" t="str">
        <f>IFERROR(INDEX('Detalles movimientos'!E$5:E$1000, MATCH(34, 'Detalles movimientos'!$T$5:$T$1000, 0)), "")</f>
        <v/>
      </c>
      <c r="E43" s="20" t="str">
        <f>IFERROR(INDEX('Detalles movimientos'!F$5:F$1000, MATCH(34, 'Detalles movimientos'!$T$5:$T$1000, 0)), "")</f>
        <v/>
      </c>
      <c r="F43" s="19" t="str">
        <f>IFERROR(INDEX('Detalles movimientos'!G$5:G$1000, MATCH(34, 'Detalles movimientos'!$T$5:$T$1000, 0)), "")</f>
        <v/>
      </c>
      <c r="G43" s="21" t="str">
        <f>IFERROR(INDEX('Detalles movimientos'!H$5:H$1000, MATCH(34, 'Detalles movimientos'!$T$5:$T$1000, 0)), "")</f>
        <v/>
      </c>
      <c r="H43" s="22" t="str">
        <f>IFERROR(INDEX('Detalles movimientos'!I$5:I$1000, MATCH(34, 'Detalles movimientos'!$T$5:$T$1000, 0)), "")</f>
        <v/>
      </c>
      <c r="I43" s="21" t="str">
        <f>IFERROR(INDEX('Detalles movimientos'!J$5:J$1000, MATCH(34, 'Detalles movimientos'!$T$5:$T$1000, 0)), "")</f>
        <v/>
      </c>
      <c r="J43" s="20" t="str">
        <f>IFERROR(INDEX('Detalles movimientos'!K$5:K$1000, MATCH(34, 'Detalles movimientos'!$T$5:$T$1000, 0)), "")</f>
        <v/>
      </c>
      <c r="K43" s="21" t="str">
        <f>IFERROR(INDEX('Detalles movimientos'!L$5:L$1000, MATCH(34, 'Detalles movimientos'!$T$5:$T$1000, 0)), "")</f>
        <v/>
      </c>
      <c r="L43" s="19" t="str">
        <f>IFERROR(INDEX('Detalles movimientos'!M$5:M$1000, MATCH(34, 'Detalles movimientos'!$T$5:$T$1000, 0)), "")</f>
        <v/>
      </c>
      <c r="M43" s="19" t="str">
        <f>IFERROR(INDEX('Detalles movimientos'!P$5:P$1000, MATCH(34, 'Detalles movimientos'!$T$5:$T$1000, 0)), "")</f>
        <v/>
      </c>
    </row>
    <row r="44" spans="2:13" x14ac:dyDescent="0.2">
      <c r="B44" s="18" t="str">
        <f>IFERROR(INDEX('Detalles movimientos'!C$5:C$1000, MATCH(35, 'Detalles movimientos'!$T$5:$T$1000, 0)), "")</f>
        <v/>
      </c>
      <c r="C44" s="19" t="str">
        <f>IFERROR(INDEX('Detalles movimientos'!D$5:D$1000, MATCH(35, 'Detalles movimientos'!$T$5:$T$1000, 0)), "")</f>
        <v/>
      </c>
      <c r="D44" s="20" t="str">
        <f>IFERROR(INDEX('Detalles movimientos'!E$5:E$1000, MATCH(35, 'Detalles movimientos'!$T$5:$T$1000, 0)), "")</f>
        <v/>
      </c>
      <c r="E44" s="20" t="str">
        <f>IFERROR(INDEX('Detalles movimientos'!F$5:F$1000, MATCH(35, 'Detalles movimientos'!$T$5:$T$1000, 0)), "")</f>
        <v/>
      </c>
      <c r="F44" s="19" t="str">
        <f>IFERROR(INDEX('Detalles movimientos'!G$5:G$1000, MATCH(35, 'Detalles movimientos'!$T$5:$T$1000, 0)), "")</f>
        <v/>
      </c>
      <c r="G44" s="21" t="str">
        <f>IFERROR(INDEX('Detalles movimientos'!H$5:H$1000, MATCH(35, 'Detalles movimientos'!$T$5:$T$1000, 0)), "")</f>
        <v/>
      </c>
      <c r="H44" s="22" t="str">
        <f>IFERROR(INDEX('Detalles movimientos'!I$5:I$1000, MATCH(35, 'Detalles movimientos'!$T$5:$T$1000, 0)), "")</f>
        <v/>
      </c>
      <c r="I44" s="21" t="str">
        <f>IFERROR(INDEX('Detalles movimientos'!J$5:J$1000, MATCH(35, 'Detalles movimientos'!$T$5:$T$1000, 0)), "")</f>
        <v/>
      </c>
      <c r="J44" s="20" t="str">
        <f>IFERROR(INDEX('Detalles movimientos'!K$5:K$1000, MATCH(35, 'Detalles movimientos'!$T$5:$T$1000, 0)), "")</f>
        <v/>
      </c>
      <c r="K44" s="21" t="str">
        <f>IFERROR(INDEX('Detalles movimientos'!L$5:L$1000, MATCH(35, 'Detalles movimientos'!$T$5:$T$1000, 0)), "")</f>
        <v/>
      </c>
      <c r="L44" s="19" t="str">
        <f>IFERROR(INDEX('Detalles movimientos'!M$5:M$1000, MATCH(35, 'Detalles movimientos'!$T$5:$T$1000, 0)), "")</f>
        <v/>
      </c>
      <c r="M44" s="19" t="str">
        <f>IFERROR(INDEX('Detalles movimientos'!P$5:P$1000, MATCH(35, 'Detalles movimientos'!$T$5:$T$1000, 0)), "")</f>
        <v/>
      </c>
    </row>
    <row r="45" spans="2:13" x14ac:dyDescent="0.2">
      <c r="B45" s="18" t="str">
        <f>IFERROR(INDEX('Detalles movimientos'!C$5:C$1000, MATCH(36, 'Detalles movimientos'!$T$5:$T$1000, 0)), "")</f>
        <v/>
      </c>
      <c r="C45" s="19" t="str">
        <f>IFERROR(INDEX('Detalles movimientos'!D$5:D$1000, MATCH(36, 'Detalles movimientos'!$T$5:$T$1000, 0)), "")</f>
        <v/>
      </c>
      <c r="D45" s="20" t="str">
        <f>IFERROR(INDEX('Detalles movimientos'!E$5:E$1000, MATCH(36, 'Detalles movimientos'!$T$5:$T$1000, 0)), "")</f>
        <v/>
      </c>
      <c r="E45" s="20" t="str">
        <f>IFERROR(INDEX('Detalles movimientos'!F$5:F$1000, MATCH(36, 'Detalles movimientos'!$T$5:$T$1000, 0)), "")</f>
        <v/>
      </c>
      <c r="F45" s="19" t="str">
        <f>IFERROR(INDEX('Detalles movimientos'!G$5:G$1000, MATCH(36, 'Detalles movimientos'!$T$5:$T$1000, 0)), "")</f>
        <v/>
      </c>
      <c r="G45" s="21" t="str">
        <f>IFERROR(INDEX('Detalles movimientos'!H$5:H$1000, MATCH(36, 'Detalles movimientos'!$T$5:$T$1000, 0)), "")</f>
        <v/>
      </c>
      <c r="H45" s="22" t="str">
        <f>IFERROR(INDEX('Detalles movimientos'!I$5:I$1000, MATCH(36, 'Detalles movimientos'!$T$5:$T$1000, 0)), "")</f>
        <v/>
      </c>
      <c r="I45" s="21" t="str">
        <f>IFERROR(INDEX('Detalles movimientos'!J$5:J$1000, MATCH(36, 'Detalles movimientos'!$T$5:$T$1000, 0)), "")</f>
        <v/>
      </c>
      <c r="J45" s="20" t="str">
        <f>IFERROR(INDEX('Detalles movimientos'!K$5:K$1000, MATCH(36, 'Detalles movimientos'!$T$5:$T$1000, 0)), "")</f>
        <v/>
      </c>
      <c r="K45" s="21" t="str">
        <f>IFERROR(INDEX('Detalles movimientos'!L$5:L$1000, MATCH(36, 'Detalles movimientos'!$T$5:$T$1000, 0)), "")</f>
        <v/>
      </c>
      <c r="L45" s="19" t="str">
        <f>IFERROR(INDEX('Detalles movimientos'!M$5:M$1000, MATCH(36, 'Detalles movimientos'!$T$5:$T$1000, 0)), "")</f>
        <v/>
      </c>
      <c r="M45" s="19" t="str">
        <f>IFERROR(INDEX('Detalles movimientos'!P$5:P$1000, MATCH(36, 'Detalles movimientos'!$T$5:$T$1000, 0)), "")</f>
        <v/>
      </c>
    </row>
    <row r="46" spans="2:13" x14ac:dyDescent="0.2">
      <c r="B46" s="18" t="str">
        <f>IFERROR(INDEX('Detalles movimientos'!C$5:C$1000, MATCH(37, 'Detalles movimientos'!$T$5:$T$1000, 0)), "")</f>
        <v/>
      </c>
      <c r="C46" s="19" t="str">
        <f>IFERROR(INDEX('Detalles movimientos'!D$5:D$1000, MATCH(37, 'Detalles movimientos'!$T$5:$T$1000, 0)), "")</f>
        <v/>
      </c>
      <c r="D46" s="20" t="str">
        <f>IFERROR(INDEX('Detalles movimientos'!E$5:E$1000, MATCH(37, 'Detalles movimientos'!$T$5:$T$1000, 0)), "")</f>
        <v/>
      </c>
      <c r="E46" s="20" t="str">
        <f>IFERROR(INDEX('Detalles movimientos'!F$5:F$1000, MATCH(37, 'Detalles movimientos'!$T$5:$T$1000, 0)), "")</f>
        <v/>
      </c>
      <c r="F46" s="19" t="str">
        <f>IFERROR(INDEX('Detalles movimientos'!G$5:G$1000, MATCH(37, 'Detalles movimientos'!$T$5:$T$1000, 0)), "")</f>
        <v/>
      </c>
      <c r="G46" s="21" t="str">
        <f>IFERROR(INDEX('Detalles movimientos'!H$5:H$1000, MATCH(37, 'Detalles movimientos'!$T$5:$T$1000, 0)), "")</f>
        <v/>
      </c>
      <c r="H46" s="22" t="str">
        <f>IFERROR(INDEX('Detalles movimientos'!I$5:I$1000, MATCH(37, 'Detalles movimientos'!$T$5:$T$1000, 0)), "")</f>
        <v/>
      </c>
      <c r="I46" s="21" t="str">
        <f>IFERROR(INDEX('Detalles movimientos'!J$5:J$1000, MATCH(37, 'Detalles movimientos'!$T$5:$T$1000, 0)), "")</f>
        <v/>
      </c>
      <c r="J46" s="20" t="str">
        <f>IFERROR(INDEX('Detalles movimientos'!K$5:K$1000, MATCH(37, 'Detalles movimientos'!$T$5:$T$1000, 0)), "")</f>
        <v/>
      </c>
      <c r="K46" s="21" t="str">
        <f>IFERROR(INDEX('Detalles movimientos'!L$5:L$1000, MATCH(37, 'Detalles movimientos'!$T$5:$T$1000, 0)), "")</f>
        <v/>
      </c>
      <c r="L46" s="19" t="str">
        <f>IFERROR(INDEX('Detalles movimientos'!M$5:M$1000, MATCH(37, 'Detalles movimientos'!$T$5:$T$1000, 0)), "")</f>
        <v/>
      </c>
      <c r="M46" s="19" t="str">
        <f>IFERROR(INDEX('Detalles movimientos'!P$5:P$1000, MATCH(37, 'Detalles movimientos'!$T$5:$T$1000, 0)), "")</f>
        <v/>
      </c>
    </row>
    <row r="47" spans="2:13" x14ac:dyDescent="0.2">
      <c r="B47" s="18" t="str">
        <f>IFERROR(INDEX('Detalles movimientos'!C$5:C$1000, MATCH(38, 'Detalles movimientos'!$T$5:$T$1000, 0)), "")</f>
        <v/>
      </c>
      <c r="C47" s="19" t="str">
        <f>IFERROR(INDEX('Detalles movimientos'!D$5:D$1000, MATCH(38, 'Detalles movimientos'!$T$5:$T$1000, 0)), "")</f>
        <v/>
      </c>
      <c r="D47" s="20" t="str">
        <f>IFERROR(INDEX('Detalles movimientos'!E$5:E$1000, MATCH(38, 'Detalles movimientos'!$T$5:$T$1000, 0)), "")</f>
        <v/>
      </c>
      <c r="E47" s="20" t="str">
        <f>IFERROR(INDEX('Detalles movimientos'!F$5:F$1000, MATCH(38, 'Detalles movimientos'!$T$5:$T$1000, 0)), "")</f>
        <v/>
      </c>
      <c r="F47" s="19" t="str">
        <f>IFERROR(INDEX('Detalles movimientos'!G$5:G$1000, MATCH(38, 'Detalles movimientos'!$T$5:$T$1000, 0)), "")</f>
        <v/>
      </c>
      <c r="G47" s="21" t="str">
        <f>IFERROR(INDEX('Detalles movimientos'!H$5:H$1000, MATCH(38, 'Detalles movimientos'!$T$5:$T$1000, 0)), "")</f>
        <v/>
      </c>
      <c r="H47" s="22" t="str">
        <f>IFERROR(INDEX('Detalles movimientos'!I$5:I$1000, MATCH(38, 'Detalles movimientos'!$T$5:$T$1000, 0)), "")</f>
        <v/>
      </c>
      <c r="I47" s="21" t="str">
        <f>IFERROR(INDEX('Detalles movimientos'!J$5:J$1000, MATCH(38, 'Detalles movimientos'!$T$5:$T$1000, 0)), "")</f>
        <v/>
      </c>
      <c r="J47" s="20" t="str">
        <f>IFERROR(INDEX('Detalles movimientos'!K$5:K$1000, MATCH(38, 'Detalles movimientos'!$T$5:$T$1000, 0)), "")</f>
        <v/>
      </c>
      <c r="K47" s="21" t="str">
        <f>IFERROR(INDEX('Detalles movimientos'!L$5:L$1000, MATCH(38, 'Detalles movimientos'!$T$5:$T$1000, 0)), "")</f>
        <v/>
      </c>
      <c r="L47" s="19" t="str">
        <f>IFERROR(INDEX('Detalles movimientos'!M$5:M$1000, MATCH(38, 'Detalles movimientos'!$T$5:$T$1000, 0)), "")</f>
        <v/>
      </c>
      <c r="M47" s="19" t="str">
        <f>IFERROR(INDEX('Detalles movimientos'!P$5:P$1000, MATCH(38, 'Detalles movimientos'!$T$5:$T$1000, 0)), "")</f>
        <v/>
      </c>
    </row>
    <row r="48" spans="2:13" x14ac:dyDescent="0.2">
      <c r="B48" s="18" t="str">
        <f>IFERROR(INDEX('Detalles movimientos'!C$5:C$1000, MATCH(39, 'Detalles movimientos'!$T$5:$T$1000, 0)), "")</f>
        <v/>
      </c>
      <c r="C48" s="19" t="str">
        <f>IFERROR(INDEX('Detalles movimientos'!D$5:D$1000, MATCH(39, 'Detalles movimientos'!$T$5:$T$1000, 0)), "")</f>
        <v/>
      </c>
      <c r="D48" s="20" t="str">
        <f>IFERROR(INDEX('Detalles movimientos'!E$5:E$1000, MATCH(39, 'Detalles movimientos'!$T$5:$T$1000, 0)), "")</f>
        <v/>
      </c>
      <c r="E48" s="20" t="str">
        <f>IFERROR(INDEX('Detalles movimientos'!F$5:F$1000, MATCH(39, 'Detalles movimientos'!$T$5:$T$1000, 0)), "")</f>
        <v/>
      </c>
      <c r="F48" s="19" t="str">
        <f>IFERROR(INDEX('Detalles movimientos'!G$5:G$1000, MATCH(39, 'Detalles movimientos'!$T$5:$T$1000, 0)), "")</f>
        <v/>
      </c>
      <c r="G48" s="21" t="str">
        <f>IFERROR(INDEX('Detalles movimientos'!H$5:H$1000, MATCH(39, 'Detalles movimientos'!$T$5:$T$1000, 0)), "")</f>
        <v/>
      </c>
      <c r="H48" s="22" t="str">
        <f>IFERROR(INDEX('Detalles movimientos'!I$5:I$1000, MATCH(39, 'Detalles movimientos'!$T$5:$T$1000, 0)), "")</f>
        <v/>
      </c>
      <c r="I48" s="21" t="str">
        <f>IFERROR(INDEX('Detalles movimientos'!J$5:J$1000, MATCH(39, 'Detalles movimientos'!$T$5:$T$1000, 0)), "")</f>
        <v/>
      </c>
      <c r="J48" s="20" t="str">
        <f>IFERROR(INDEX('Detalles movimientos'!K$5:K$1000, MATCH(39, 'Detalles movimientos'!$T$5:$T$1000, 0)), "")</f>
        <v/>
      </c>
      <c r="K48" s="21" t="str">
        <f>IFERROR(INDEX('Detalles movimientos'!L$5:L$1000, MATCH(39, 'Detalles movimientos'!$T$5:$T$1000, 0)), "")</f>
        <v/>
      </c>
      <c r="L48" s="19" t="str">
        <f>IFERROR(INDEX('Detalles movimientos'!M$5:M$1000, MATCH(39, 'Detalles movimientos'!$T$5:$T$1000, 0)), "")</f>
        <v/>
      </c>
      <c r="M48" s="19" t="str">
        <f>IFERROR(INDEX('Detalles movimientos'!P$5:P$1000, MATCH(39, 'Detalles movimientos'!$T$5:$T$1000, 0)), "")</f>
        <v/>
      </c>
    </row>
    <row r="49" spans="2:13" x14ac:dyDescent="0.2">
      <c r="B49" s="18" t="str">
        <f>IFERROR(INDEX('Detalles movimientos'!C$5:C$1000, MATCH(40, 'Detalles movimientos'!$T$5:$T$1000, 0)), "")</f>
        <v/>
      </c>
      <c r="C49" s="19" t="str">
        <f>IFERROR(INDEX('Detalles movimientos'!D$5:D$1000, MATCH(40, 'Detalles movimientos'!$T$5:$T$1000, 0)), "")</f>
        <v/>
      </c>
      <c r="D49" s="20" t="str">
        <f>IFERROR(INDEX('Detalles movimientos'!E$5:E$1000, MATCH(40, 'Detalles movimientos'!$T$5:$T$1000, 0)), "")</f>
        <v/>
      </c>
      <c r="E49" s="20" t="str">
        <f>IFERROR(INDEX('Detalles movimientos'!F$5:F$1000, MATCH(40, 'Detalles movimientos'!$T$5:$T$1000, 0)), "")</f>
        <v/>
      </c>
      <c r="F49" s="19" t="str">
        <f>IFERROR(INDEX('Detalles movimientos'!G$5:G$1000, MATCH(40, 'Detalles movimientos'!$T$5:$T$1000, 0)), "")</f>
        <v/>
      </c>
      <c r="G49" s="21" t="str">
        <f>IFERROR(INDEX('Detalles movimientos'!H$5:H$1000, MATCH(40, 'Detalles movimientos'!$T$5:$T$1000, 0)), "")</f>
        <v/>
      </c>
      <c r="H49" s="22" t="str">
        <f>IFERROR(INDEX('Detalles movimientos'!I$5:I$1000, MATCH(40, 'Detalles movimientos'!$T$5:$T$1000, 0)), "")</f>
        <v/>
      </c>
      <c r="I49" s="21" t="str">
        <f>IFERROR(INDEX('Detalles movimientos'!J$5:J$1000, MATCH(40, 'Detalles movimientos'!$T$5:$T$1000, 0)), "")</f>
        <v/>
      </c>
      <c r="J49" s="20" t="str">
        <f>IFERROR(INDEX('Detalles movimientos'!K$5:K$1000, MATCH(40, 'Detalles movimientos'!$T$5:$T$1000, 0)), "")</f>
        <v/>
      </c>
      <c r="K49" s="21" t="str">
        <f>IFERROR(INDEX('Detalles movimientos'!L$5:L$1000, MATCH(40, 'Detalles movimientos'!$T$5:$T$1000, 0)), "")</f>
        <v/>
      </c>
      <c r="L49" s="19" t="str">
        <f>IFERROR(INDEX('Detalles movimientos'!M$5:M$1000, MATCH(40, 'Detalles movimientos'!$T$5:$T$1000, 0)), "")</f>
        <v/>
      </c>
      <c r="M49" s="19" t="str">
        <f>IFERROR(INDEX('Detalles movimientos'!P$5:P$1000, MATCH(40, 'Detalles movimientos'!$T$5:$T$1000, 0)), "")</f>
        <v/>
      </c>
    </row>
    <row r="50" spans="2:13" x14ac:dyDescent="0.2">
      <c r="B50" s="18" t="str">
        <f>IFERROR(INDEX('Detalles movimientos'!C$5:C$1000, MATCH(41, 'Detalles movimientos'!$T$5:$T$1000, 0)), "")</f>
        <v/>
      </c>
      <c r="C50" s="19" t="str">
        <f>IFERROR(INDEX('Detalles movimientos'!D$5:D$1000, MATCH(41, 'Detalles movimientos'!$T$5:$T$1000, 0)), "")</f>
        <v/>
      </c>
      <c r="D50" s="20" t="str">
        <f>IFERROR(INDEX('Detalles movimientos'!E$5:E$1000, MATCH(41, 'Detalles movimientos'!$T$5:$T$1000, 0)), "")</f>
        <v/>
      </c>
      <c r="E50" s="20" t="str">
        <f>IFERROR(INDEX('Detalles movimientos'!F$5:F$1000, MATCH(41, 'Detalles movimientos'!$T$5:$T$1000, 0)), "")</f>
        <v/>
      </c>
      <c r="F50" s="19" t="str">
        <f>IFERROR(INDEX('Detalles movimientos'!G$5:G$1000, MATCH(41, 'Detalles movimientos'!$T$5:$T$1000, 0)), "")</f>
        <v/>
      </c>
      <c r="G50" s="21" t="str">
        <f>IFERROR(INDEX('Detalles movimientos'!H$5:H$1000, MATCH(41, 'Detalles movimientos'!$T$5:$T$1000, 0)), "")</f>
        <v/>
      </c>
      <c r="H50" s="22" t="str">
        <f>IFERROR(INDEX('Detalles movimientos'!I$5:I$1000, MATCH(41, 'Detalles movimientos'!$T$5:$T$1000, 0)), "")</f>
        <v/>
      </c>
      <c r="I50" s="21" t="str">
        <f>IFERROR(INDEX('Detalles movimientos'!J$5:J$1000, MATCH(41, 'Detalles movimientos'!$T$5:$T$1000, 0)), "")</f>
        <v/>
      </c>
      <c r="J50" s="20" t="str">
        <f>IFERROR(INDEX('Detalles movimientos'!K$5:K$1000, MATCH(41, 'Detalles movimientos'!$T$5:$T$1000, 0)), "")</f>
        <v/>
      </c>
      <c r="K50" s="21" t="str">
        <f>IFERROR(INDEX('Detalles movimientos'!L$5:L$1000, MATCH(41, 'Detalles movimientos'!$T$5:$T$1000, 0)), "")</f>
        <v/>
      </c>
      <c r="L50" s="19" t="str">
        <f>IFERROR(INDEX('Detalles movimientos'!M$5:M$1000, MATCH(41, 'Detalles movimientos'!$T$5:$T$1000, 0)), "")</f>
        <v/>
      </c>
      <c r="M50" s="19" t="str">
        <f>IFERROR(INDEX('Detalles movimientos'!P$5:P$1000, MATCH(41, 'Detalles movimientos'!$T$5:$T$1000, 0)), "")</f>
        <v/>
      </c>
    </row>
    <row r="51" spans="2:13" x14ac:dyDescent="0.2">
      <c r="B51" s="18" t="str">
        <f>IFERROR(INDEX('Detalles movimientos'!C$5:C$1000, MATCH(42, 'Detalles movimientos'!$T$5:$T$1000, 0)), "")</f>
        <v/>
      </c>
      <c r="C51" s="19" t="str">
        <f>IFERROR(INDEX('Detalles movimientos'!D$5:D$1000, MATCH(42, 'Detalles movimientos'!$T$5:$T$1000, 0)), "")</f>
        <v/>
      </c>
      <c r="D51" s="20" t="str">
        <f>IFERROR(INDEX('Detalles movimientos'!E$5:E$1000, MATCH(42, 'Detalles movimientos'!$T$5:$T$1000, 0)), "")</f>
        <v/>
      </c>
      <c r="E51" s="20" t="str">
        <f>IFERROR(INDEX('Detalles movimientos'!F$5:F$1000, MATCH(42, 'Detalles movimientos'!$T$5:$T$1000, 0)), "")</f>
        <v/>
      </c>
      <c r="F51" s="19" t="str">
        <f>IFERROR(INDEX('Detalles movimientos'!G$5:G$1000, MATCH(42, 'Detalles movimientos'!$T$5:$T$1000, 0)), "")</f>
        <v/>
      </c>
      <c r="G51" s="21" t="str">
        <f>IFERROR(INDEX('Detalles movimientos'!H$5:H$1000, MATCH(42, 'Detalles movimientos'!$T$5:$T$1000, 0)), "")</f>
        <v/>
      </c>
      <c r="H51" s="22" t="str">
        <f>IFERROR(INDEX('Detalles movimientos'!I$5:I$1000, MATCH(42, 'Detalles movimientos'!$T$5:$T$1000, 0)), "")</f>
        <v/>
      </c>
      <c r="I51" s="21" t="str">
        <f>IFERROR(INDEX('Detalles movimientos'!J$5:J$1000, MATCH(42, 'Detalles movimientos'!$T$5:$T$1000, 0)), "")</f>
        <v/>
      </c>
      <c r="J51" s="20" t="str">
        <f>IFERROR(INDEX('Detalles movimientos'!K$5:K$1000, MATCH(42, 'Detalles movimientos'!$T$5:$T$1000, 0)), "")</f>
        <v/>
      </c>
      <c r="K51" s="21" t="str">
        <f>IFERROR(INDEX('Detalles movimientos'!L$5:L$1000, MATCH(42, 'Detalles movimientos'!$T$5:$T$1000, 0)), "")</f>
        <v/>
      </c>
      <c r="L51" s="19" t="str">
        <f>IFERROR(INDEX('Detalles movimientos'!M$5:M$1000, MATCH(42, 'Detalles movimientos'!$T$5:$T$1000, 0)), "")</f>
        <v/>
      </c>
      <c r="M51" s="19" t="str">
        <f>IFERROR(INDEX('Detalles movimientos'!P$5:P$1000, MATCH(42, 'Detalles movimientos'!$T$5:$T$1000, 0)), "")</f>
        <v/>
      </c>
    </row>
    <row r="52" spans="2:13" x14ac:dyDescent="0.2">
      <c r="B52" s="18" t="str">
        <f>IFERROR(INDEX('Detalles movimientos'!C$5:C$1000, MATCH(43, 'Detalles movimientos'!$T$5:$T$1000, 0)), "")</f>
        <v/>
      </c>
      <c r="C52" s="19" t="str">
        <f>IFERROR(INDEX('Detalles movimientos'!D$5:D$1000, MATCH(43, 'Detalles movimientos'!$T$5:$T$1000, 0)), "")</f>
        <v/>
      </c>
      <c r="D52" s="20" t="str">
        <f>IFERROR(INDEX('Detalles movimientos'!E$5:E$1000, MATCH(43, 'Detalles movimientos'!$T$5:$T$1000, 0)), "")</f>
        <v/>
      </c>
      <c r="E52" s="20" t="str">
        <f>IFERROR(INDEX('Detalles movimientos'!F$5:F$1000, MATCH(43, 'Detalles movimientos'!$T$5:$T$1000, 0)), "")</f>
        <v/>
      </c>
      <c r="F52" s="19" t="str">
        <f>IFERROR(INDEX('Detalles movimientos'!G$5:G$1000, MATCH(43, 'Detalles movimientos'!$T$5:$T$1000, 0)), "")</f>
        <v/>
      </c>
      <c r="G52" s="21" t="str">
        <f>IFERROR(INDEX('Detalles movimientos'!H$5:H$1000, MATCH(43, 'Detalles movimientos'!$T$5:$T$1000, 0)), "")</f>
        <v/>
      </c>
      <c r="H52" s="22" t="str">
        <f>IFERROR(INDEX('Detalles movimientos'!I$5:I$1000, MATCH(43, 'Detalles movimientos'!$T$5:$T$1000, 0)), "")</f>
        <v/>
      </c>
      <c r="I52" s="21" t="str">
        <f>IFERROR(INDEX('Detalles movimientos'!J$5:J$1000, MATCH(43, 'Detalles movimientos'!$T$5:$T$1000, 0)), "")</f>
        <v/>
      </c>
      <c r="J52" s="20" t="str">
        <f>IFERROR(INDEX('Detalles movimientos'!K$5:K$1000, MATCH(43, 'Detalles movimientos'!$T$5:$T$1000, 0)), "")</f>
        <v/>
      </c>
      <c r="K52" s="21" t="str">
        <f>IFERROR(INDEX('Detalles movimientos'!L$5:L$1000, MATCH(43, 'Detalles movimientos'!$T$5:$T$1000, 0)), "")</f>
        <v/>
      </c>
      <c r="L52" s="19" t="str">
        <f>IFERROR(INDEX('Detalles movimientos'!M$5:M$1000, MATCH(43, 'Detalles movimientos'!$T$5:$T$1000, 0)), "")</f>
        <v/>
      </c>
      <c r="M52" s="19" t="str">
        <f>IFERROR(INDEX('Detalles movimientos'!P$5:P$1000, MATCH(43, 'Detalles movimientos'!$T$5:$T$1000, 0)), "")</f>
        <v/>
      </c>
    </row>
    <row r="53" spans="2:13" x14ac:dyDescent="0.2">
      <c r="B53" s="18" t="str">
        <f>IFERROR(INDEX('Detalles movimientos'!C$5:C$1000, MATCH(44, 'Detalles movimientos'!$T$5:$T$1000, 0)), "")</f>
        <v/>
      </c>
      <c r="C53" s="19" t="str">
        <f>IFERROR(INDEX('Detalles movimientos'!D$5:D$1000, MATCH(44, 'Detalles movimientos'!$T$5:$T$1000, 0)), "")</f>
        <v/>
      </c>
      <c r="D53" s="20" t="str">
        <f>IFERROR(INDEX('Detalles movimientos'!E$5:E$1000, MATCH(44, 'Detalles movimientos'!$T$5:$T$1000, 0)), "")</f>
        <v/>
      </c>
      <c r="E53" s="20" t="str">
        <f>IFERROR(INDEX('Detalles movimientos'!F$5:F$1000, MATCH(44, 'Detalles movimientos'!$T$5:$T$1000, 0)), "")</f>
        <v/>
      </c>
      <c r="F53" s="19" t="str">
        <f>IFERROR(INDEX('Detalles movimientos'!G$5:G$1000, MATCH(44, 'Detalles movimientos'!$T$5:$T$1000, 0)), "")</f>
        <v/>
      </c>
      <c r="G53" s="21" t="str">
        <f>IFERROR(INDEX('Detalles movimientos'!H$5:H$1000, MATCH(44, 'Detalles movimientos'!$T$5:$T$1000, 0)), "")</f>
        <v/>
      </c>
      <c r="H53" s="22" t="str">
        <f>IFERROR(INDEX('Detalles movimientos'!I$5:I$1000, MATCH(44, 'Detalles movimientos'!$T$5:$T$1000, 0)), "")</f>
        <v/>
      </c>
      <c r="I53" s="21" t="str">
        <f>IFERROR(INDEX('Detalles movimientos'!J$5:J$1000, MATCH(44, 'Detalles movimientos'!$T$5:$T$1000, 0)), "")</f>
        <v/>
      </c>
      <c r="J53" s="20" t="str">
        <f>IFERROR(INDEX('Detalles movimientos'!K$5:K$1000, MATCH(44, 'Detalles movimientos'!$T$5:$T$1000, 0)), "")</f>
        <v/>
      </c>
      <c r="K53" s="21" t="str">
        <f>IFERROR(INDEX('Detalles movimientos'!L$5:L$1000, MATCH(44, 'Detalles movimientos'!$T$5:$T$1000, 0)), "")</f>
        <v/>
      </c>
      <c r="L53" s="19" t="str">
        <f>IFERROR(INDEX('Detalles movimientos'!M$5:M$1000, MATCH(44, 'Detalles movimientos'!$T$5:$T$1000, 0)), "")</f>
        <v/>
      </c>
      <c r="M53" s="19" t="str">
        <f>IFERROR(INDEX('Detalles movimientos'!P$5:P$1000, MATCH(44, 'Detalles movimientos'!$T$5:$T$1000, 0)), "")</f>
        <v/>
      </c>
    </row>
    <row r="54" spans="2:13" x14ac:dyDescent="0.2">
      <c r="B54" s="18" t="str">
        <f>IFERROR(INDEX('Detalles movimientos'!C$5:C$1000, MATCH(45, 'Detalles movimientos'!$T$5:$T$1000, 0)), "")</f>
        <v/>
      </c>
      <c r="C54" s="19" t="str">
        <f>IFERROR(INDEX('Detalles movimientos'!D$5:D$1000, MATCH(45, 'Detalles movimientos'!$T$5:$T$1000, 0)), "")</f>
        <v/>
      </c>
      <c r="D54" s="20" t="str">
        <f>IFERROR(INDEX('Detalles movimientos'!E$5:E$1000, MATCH(45, 'Detalles movimientos'!$T$5:$T$1000, 0)), "")</f>
        <v/>
      </c>
      <c r="E54" s="20" t="str">
        <f>IFERROR(INDEX('Detalles movimientos'!F$5:F$1000, MATCH(45, 'Detalles movimientos'!$T$5:$T$1000, 0)), "")</f>
        <v/>
      </c>
      <c r="F54" s="19" t="str">
        <f>IFERROR(INDEX('Detalles movimientos'!G$5:G$1000, MATCH(45, 'Detalles movimientos'!$T$5:$T$1000, 0)), "")</f>
        <v/>
      </c>
      <c r="G54" s="21" t="str">
        <f>IFERROR(INDEX('Detalles movimientos'!H$5:H$1000, MATCH(45, 'Detalles movimientos'!$T$5:$T$1000, 0)), "")</f>
        <v/>
      </c>
      <c r="H54" s="22" t="str">
        <f>IFERROR(INDEX('Detalles movimientos'!I$5:I$1000, MATCH(45, 'Detalles movimientos'!$T$5:$T$1000, 0)), "")</f>
        <v/>
      </c>
      <c r="I54" s="21" t="str">
        <f>IFERROR(INDEX('Detalles movimientos'!J$5:J$1000, MATCH(45, 'Detalles movimientos'!$T$5:$T$1000, 0)), "")</f>
        <v/>
      </c>
      <c r="J54" s="20" t="str">
        <f>IFERROR(INDEX('Detalles movimientos'!K$5:K$1000, MATCH(45, 'Detalles movimientos'!$T$5:$T$1000, 0)), "")</f>
        <v/>
      </c>
      <c r="K54" s="21" t="str">
        <f>IFERROR(INDEX('Detalles movimientos'!L$5:L$1000, MATCH(45, 'Detalles movimientos'!$T$5:$T$1000, 0)), "")</f>
        <v/>
      </c>
      <c r="L54" s="19" t="str">
        <f>IFERROR(INDEX('Detalles movimientos'!M$5:M$1000, MATCH(45, 'Detalles movimientos'!$T$5:$T$1000, 0)), "")</f>
        <v/>
      </c>
      <c r="M54" s="19" t="str">
        <f>IFERROR(INDEX('Detalles movimientos'!P$5:P$1000, MATCH(45, 'Detalles movimientos'!$T$5:$T$1000, 0)), "")</f>
        <v/>
      </c>
    </row>
    <row r="55" spans="2:13" x14ac:dyDescent="0.2">
      <c r="B55" s="18" t="str">
        <f>IFERROR(INDEX('Detalles movimientos'!C$5:C$1000, MATCH(46, 'Detalles movimientos'!$T$5:$T$1000, 0)), "")</f>
        <v/>
      </c>
      <c r="C55" s="19" t="str">
        <f>IFERROR(INDEX('Detalles movimientos'!D$5:D$1000, MATCH(46, 'Detalles movimientos'!$T$5:$T$1000, 0)), "")</f>
        <v/>
      </c>
      <c r="D55" s="20" t="str">
        <f>IFERROR(INDEX('Detalles movimientos'!E$5:E$1000, MATCH(46, 'Detalles movimientos'!$T$5:$T$1000, 0)), "")</f>
        <v/>
      </c>
      <c r="E55" s="20" t="str">
        <f>IFERROR(INDEX('Detalles movimientos'!F$5:F$1000, MATCH(46, 'Detalles movimientos'!$T$5:$T$1000, 0)), "")</f>
        <v/>
      </c>
      <c r="F55" s="19" t="str">
        <f>IFERROR(INDEX('Detalles movimientos'!G$5:G$1000, MATCH(46, 'Detalles movimientos'!$T$5:$T$1000, 0)), "")</f>
        <v/>
      </c>
      <c r="G55" s="21" t="str">
        <f>IFERROR(INDEX('Detalles movimientos'!H$5:H$1000, MATCH(46, 'Detalles movimientos'!$T$5:$T$1000, 0)), "")</f>
        <v/>
      </c>
      <c r="H55" s="22" t="str">
        <f>IFERROR(INDEX('Detalles movimientos'!I$5:I$1000, MATCH(46, 'Detalles movimientos'!$T$5:$T$1000, 0)), "")</f>
        <v/>
      </c>
      <c r="I55" s="21" t="str">
        <f>IFERROR(INDEX('Detalles movimientos'!J$5:J$1000, MATCH(46, 'Detalles movimientos'!$T$5:$T$1000, 0)), "")</f>
        <v/>
      </c>
      <c r="J55" s="20" t="str">
        <f>IFERROR(INDEX('Detalles movimientos'!K$5:K$1000, MATCH(46, 'Detalles movimientos'!$T$5:$T$1000, 0)), "")</f>
        <v/>
      </c>
      <c r="K55" s="21" t="str">
        <f>IFERROR(INDEX('Detalles movimientos'!L$5:L$1000, MATCH(46, 'Detalles movimientos'!$T$5:$T$1000, 0)), "")</f>
        <v/>
      </c>
      <c r="L55" s="19" t="str">
        <f>IFERROR(INDEX('Detalles movimientos'!M$5:M$1000, MATCH(46, 'Detalles movimientos'!$T$5:$T$1000, 0)), "")</f>
        <v/>
      </c>
      <c r="M55" s="19" t="str">
        <f>IFERROR(INDEX('Detalles movimientos'!P$5:P$1000, MATCH(46, 'Detalles movimientos'!$T$5:$T$1000, 0)), "")</f>
        <v/>
      </c>
    </row>
    <row r="56" spans="2:13" x14ac:dyDescent="0.2">
      <c r="B56" s="18" t="str">
        <f>IFERROR(INDEX('Detalles movimientos'!C$5:C$1000, MATCH(47, 'Detalles movimientos'!$T$5:$T$1000, 0)), "")</f>
        <v/>
      </c>
      <c r="C56" s="19" t="str">
        <f>IFERROR(INDEX('Detalles movimientos'!D$5:D$1000, MATCH(47, 'Detalles movimientos'!$T$5:$T$1000, 0)), "")</f>
        <v/>
      </c>
      <c r="D56" s="20" t="str">
        <f>IFERROR(INDEX('Detalles movimientos'!E$5:E$1000, MATCH(47, 'Detalles movimientos'!$T$5:$T$1000, 0)), "")</f>
        <v/>
      </c>
      <c r="E56" s="20" t="str">
        <f>IFERROR(INDEX('Detalles movimientos'!F$5:F$1000, MATCH(47, 'Detalles movimientos'!$T$5:$T$1000, 0)), "")</f>
        <v/>
      </c>
      <c r="F56" s="19" t="str">
        <f>IFERROR(INDEX('Detalles movimientos'!G$5:G$1000, MATCH(47, 'Detalles movimientos'!$T$5:$T$1000, 0)), "")</f>
        <v/>
      </c>
      <c r="G56" s="21" t="str">
        <f>IFERROR(INDEX('Detalles movimientos'!H$5:H$1000, MATCH(47, 'Detalles movimientos'!$T$5:$T$1000, 0)), "")</f>
        <v/>
      </c>
      <c r="H56" s="22" t="str">
        <f>IFERROR(INDEX('Detalles movimientos'!I$5:I$1000, MATCH(47, 'Detalles movimientos'!$T$5:$T$1000, 0)), "")</f>
        <v/>
      </c>
      <c r="I56" s="21" t="str">
        <f>IFERROR(INDEX('Detalles movimientos'!J$5:J$1000, MATCH(47, 'Detalles movimientos'!$T$5:$T$1000, 0)), "")</f>
        <v/>
      </c>
      <c r="J56" s="20" t="str">
        <f>IFERROR(INDEX('Detalles movimientos'!K$5:K$1000, MATCH(47, 'Detalles movimientos'!$T$5:$T$1000, 0)), "")</f>
        <v/>
      </c>
      <c r="K56" s="21" t="str">
        <f>IFERROR(INDEX('Detalles movimientos'!L$5:L$1000, MATCH(47, 'Detalles movimientos'!$T$5:$T$1000, 0)), "")</f>
        <v/>
      </c>
      <c r="L56" s="19" t="str">
        <f>IFERROR(INDEX('Detalles movimientos'!M$5:M$1000, MATCH(47, 'Detalles movimientos'!$T$5:$T$1000, 0)), "")</f>
        <v/>
      </c>
      <c r="M56" s="19" t="str">
        <f>IFERROR(INDEX('Detalles movimientos'!P$5:P$1000, MATCH(47, 'Detalles movimientos'!$T$5:$T$1000, 0)), "")</f>
        <v/>
      </c>
    </row>
    <row r="57" spans="2:13" x14ac:dyDescent="0.2">
      <c r="B57" s="18" t="str">
        <f>IFERROR(INDEX('Detalles movimientos'!C$5:C$1000, MATCH(48, 'Detalles movimientos'!$T$5:$T$1000, 0)), "")</f>
        <v/>
      </c>
      <c r="C57" s="19" t="str">
        <f>IFERROR(INDEX('Detalles movimientos'!D$5:D$1000, MATCH(48, 'Detalles movimientos'!$T$5:$T$1000, 0)), "")</f>
        <v/>
      </c>
      <c r="D57" s="20" t="str">
        <f>IFERROR(INDEX('Detalles movimientos'!E$5:E$1000, MATCH(48, 'Detalles movimientos'!$T$5:$T$1000, 0)), "")</f>
        <v/>
      </c>
      <c r="E57" s="20" t="str">
        <f>IFERROR(INDEX('Detalles movimientos'!F$5:F$1000, MATCH(48, 'Detalles movimientos'!$T$5:$T$1000, 0)), "")</f>
        <v/>
      </c>
      <c r="F57" s="19" t="str">
        <f>IFERROR(INDEX('Detalles movimientos'!G$5:G$1000, MATCH(48, 'Detalles movimientos'!$T$5:$T$1000, 0)), "")</f>
        <v/>
      </c>
      <c r="G57" s="21" t="str">
        <f>IFERROR(INDEX('Detalles movimientos'!H$5:H$1000, MATCH(48, 'Detalles movimientos'!$T$5:$T$1000, 0)), "")</f>
        <v/>
      </c>
      <c r="H57" s="22" t="str">
        <f>IFERROR(INDEX('Detalles movimientos'!I$5:I$1000, MATCH(48, 'Detalles movimientos'!$T$5:$T$1000, 0)), "")</f>
        <v/>
      </c>
      <c r="I57" s="21" t="str">
        <f>IFERROR(INDEX('Detalles movimientos'!J$5:J$1000, MATCH(48, 'Detalles movimientos'!$T$5:$T$1000, 0)), "")</f>
        <v/>
      </c>
      <c r="J57" s="20" t="str">
        <f>IFERROR(INDEX('Detalles movimientos'!K$5:K$1000, MATCH(48, 'Detalles movimientos'!$T$5:$T$1000, 0)), "")</f>
        <v/>
      </c>
      <c r="K57" s="21" t="str">
        <f>IFERROR(INDEX('Detalles movimientos'!L$5:L$1000, MATCH(48, 'Detalles movimientos'!$T$5:$T$1000, 0)), "")</f>
        <v/>
      </c>
      <c r="L57" s="19" t="str">
        <f>IFERROR(INDEX('Detalles movimientos'!M$5:M$1000, MATCH(48, 'Detalles movimientos'!$T$5:$T$1000, 0)), "")</f>
        <v/>
      </c>
      <c r="M57" s="19" t="str">
        <f>IFERROR(INDEX('Detalles movimientos'!P$5:P$1000, MATCH(48, 'Detalles movimientos'!$T$5:$T$1000, 0)), "")</f>
        <v/>
      </c>
    </row>
    <row r="58" spans="2:13" x14ac:dyDescent="0.2">
      <c r="B58" s="18" t="str">
        <f>IFERROR(INDEX('Detalles movimientos'!C$5:C$1000, MATCH(49, 'Detalles movimientos'!$T$5:$T$1000, 0)), "")</f>
        <v/>
      </c>
      <c r="C58" s="19" t="str">
        <f>IFERROR(INDEX('Detalles movimientos'!D$5:D$1000, MATCH(49, 'Detalles movimientos'!$T$5:$T$1000, 0)), "")</f>
        <v/>
      </c>
      <c r="D58" s="20" t="str">
        <f>IFERROR(INDEX('Detalles movimientos'!E$5:E$1000, MATCH(49, 'Detalles movimientos'!$T$5:$T$1000, 0)), "")</f>
        <v/>
      </c>
      <c r="E58" s="20" t="str">
        <f>IFERROR(INDEX('Detalles movimientos'!F$5:F$1000, MATCH(49, 'Detalles movimientos'!$T$5:$T$1000, 0)), "")</f>
        <v/>
      </c>
      <c r="F58" s="19" t="str">
        <f>IFERROR(INDEX('Detalles movimientos'!G$5:G$1000, MATCH(49, 'Detalles movimientos'!$T$5:$T$1000, 0)), "")</f>
        <v/>
      </c>
      <c r="G58" s="21" t="str">
        <f>IFERROR(INDEX('Detalles movimientos'!H$5:H$1000, MATCH(49, 'Detalles movimientos'!$T$5:$T$1000, 0)), "")</f>
        <v/>
      </c>
      <c r="H58" s="22" t="str">
        <f>IFERROR(INDEX('Detalles movimientos'!I$5:I$1000, MATCH(49, 'Detalles movimientos'!$T$5:$T$1000, 0)), "")</f>
        <v/>
      </c>
      <c r="I58" s="21" t="str">
        <f>IFERROR(INDEX('Detalles movimientos'!J$5:J$1000, MATCH(49, 'Detalles movimientos'!$T$5:$T$1000, 0)), "")</f>
        <v/>
      </c>
      <c r="J58" s="20" t="str">
        <f>IFERROR(INDEX('Detalles movimientos'!K$5:K$1000, MATCH(49, 'Detalles movimientos'!$T$5:$T$1000, 0)), "")</f>
        <v/>
      </c>
      <c r="K58" s="21" t="str">
        <f>IFERROR(INDEX('Detalles movimientos'!L$5:L$1000, MATCH(49, 'Detalles movimientos'!$T$5:$T$1000, 0)), "")</f>
        <v/>
      </c>
      <c r="L58" s="19" t="str">
        <f>IFERROR(INDEX('Detalles movimientos'!M$5:M$1000, MATCH(49, 'Detalles movimientos'!$T$5:$T$1000, 0)), "")</f>
        <v/>
      </c>
      <c r="M58" s="19" t="str">
        <f>IFERROR(INDEX('Detalles movimientos'!P$5:P$1000, MATCH(49, 'Detalles movimientos'!$T$5:$T$1000, 0)), "")</f>
        <v/>
      </c>
    </row>
    <row r="59" spans="2:13" x14ac:dyDescent="0.2">
      <c r="B59" s="18" t="str">
        <f>IFERROR(INDEX('Detalles movimientos'!C$5:C$1000, MATCH(50, 'Detalles movimientos'!$T$5:$T$1000, 0)), "")</f>
        <v/>
      </c>
      <c r="C59" s="19" t="str">
        <f>IFERROR(INDEX('Detalles movimientos'!D$5:D$1000, MATCH(50, 'Detalles movimientos'!$T$5:$T$1000, 0)), "")</f>
        <v/>
      </c>
      <c r="D59" s="20" t="str">
        <f>IFERROR(INDEX('Detalles movimientos'!E$5:E$1000, MATCH(50, 'Detalles movimientos'!$T$5:$T$1000, 0)), "")</f>
        <v/>
      </c>
      <c r="E59" s="20" t="str">
        <f>IFERROR(INDEX('Detalles movimientos'!F$5:F$1000, MATCH(50, 'Detalles movimientos'!$T$5:$T$1000, 0)), "")</f>
        <v/>
      </c>
      <c r="F59" s="19" t="str">
        <f>IFERROR(INDEX('Detalles movimientos'!G$5:G$1000, MATCH(50, 'Detalles movimientos'!$T$5:$T$1000, 0)), "")</f>
        <v/>
      </c>
      <c r="G59" s="21" t="str">
        <f>IFERROR(INDEX('Detalles movimientos'!H$5:H$1000, MATCH(50, 'Detalles movimientos'!$T$5:$T$1000, 0)), "")</f>
        <v/>
      </c>
      <c r="H59" s="22" t="str">
        <f>IFERROR(INDEX('Detalles movimientos'!I$5:I$1000, MATCH(50, 'Detalles movimientos'!$T$5:$T$1000, 0)), "")</f>
        <v/>
      </c>
      <c r="I59" s="21" t="str">
        <f>IFERROR(INDEX('Detalles movimientos'!J$5:J$1000, MATCH(50, 'Detalles movimientos'!$T$5:$T$1000, 0)), "")</f>
        <v/>
      </c>
      <c r="J59" s="20" t="str">
        <f>IFERROR(INDEX('Detalles movimientos'!K$5:K$1000, MATCH(50, 'Detalles movimientos'!$T$5:$T$1000, 0)), "")</f>
        <v/>
      </c>
      <c r="K59" s="21" t="str">
        <f>IFERROR(INDEX('Detalles movimientos'!L$5:L$1000, MATCH(50, 'Detalles movimientos'!$T$5:$T$1000, 0)), "")</f>
        <v/>
      </c>
      <c r="L59" s="19" t="str">
        <f>IFERROR(INDEX('Detalles movimientos'!M$5:M$1000, MATCH(50, 'Detalles movimientos'!$T$5:$T$1000, 0)), "")</f>
        <v/>
      </c>
      <c r="M59" s="19" t="str">
        <f>IFERROR(INDEX('Detalles movimientos'!P$5:P$1000, MATCH(50, 'Detalles movimientos'!$T$5:$T$1000, 0)), "")</f>
        <v/>
      </c>
    </row>
    <row r="60" spans="2:13" x14ac:dyDescent="0.2">
      <c r="B60" s="18" t="str">
        <f>IFERROR(INDEX('Detalles movimientos'!C$5:C$1000, MATCH(51, 'Detalles movimientos'!$T$5:$T$1000, 0)), "")</f>
        <v/>
      </c>
      <c r="C60" s="19" t="str">
        <f>IFERROR(INDEX('Detalles movimientos'!D$5:D$1000, MATCH(51, 'Detalles movimientos'!$T$5:$T$1000, 0)), "")</f>
        <v/>
      </c>
      <c r="D60" s="20" t="str">
        <f>IFERROR(INDEX('Detalles movimientos'!E$5:E$1000, MATCH(51, 'Detalles movimientos'!$T$5:$T$1000, 0)), "")</f>
        <v/>
      </c>
      <c r="E60" s="20" t="str">
        <f>IFERROR(INDEX('Detalles movimientos'!F$5:F$1000, MATCH(51, 'Detalles movimientos'!$T$5:$T$1000, 0)), "")</f>
        <v/>
      </c>
      <c r="F60" s="19" t="str">
        <f>IFERROR(INDEX('Detalles movimientos'!G$5:G$1000, MATCH(51, 'Detalles movimientos'!$T$5:$T$1000, 0)), "")</f>
        <v/>
      </c>
      <c r="G60" s="21" t="str">
        <f>IFERROR(INDEX('Detalles movimientos'!H$5:H$1000, MATCH(51, 'Detalles movimientos'!$T$5:$T$1000, 0)), "")</f>
        <v/>
      </c>
      <c r="H60" s="22" t="str">
        <f>IFERROR(INDEX('Detalles movimientos'!I$5:I$1000, MATCH(51, 'Detalles movimientos'!$T$5:$T$1000, 0)), "")</f>
        <v/>
      </c>
      <c r="I60" s="21" t="str">
        <f>IFERROR(INDEX('Detalles movimientos'!J$5:J$1000, MATCH(51, 'Detalles movimientos'!$T$5:$T$1000, 0)), "")</f>
        <v/>
      </c>
      <c r="J60" s="20" t="str">
        <f>IFERROR(INDEX('Detalles movimientos'!K$5:K$1000, MATCH(51, 'Detalles movimientos'!$T$5:$T$1000, 0)), "")</f>
        <v/>
      </c>
      <c r="K60" s="21" t="str">
        <f>IFERROR(INDEX('Detalles movimientos'!L$5:L$1000, MATCH(51, 'Detalles movimientos'!$T$5:$T$1000, 0)), "")</f>
        <v/>
      </c>
      <c r="L60" s="19" t="str">
        <f>IFERROR(INDEX('Detalles movimientos'!M$5:M$1000, MATCH(51, 'Detalles movimientos'!$T$5:$T$1000, 0)), "")</f>
        <v/>
      </c>
      <c r="M60" s="19" t="str">
        <f>IFERROR(INDEX('Detalles movimientos'!P$5:P$1000, MATCH(51, 'Detalles movimientos'!$T$5:$T$1000, 0)), "")</f>
        <v/>
      </c>
    </row>
    <row r="61" spans="2:13" x14ac:dyDescent="0.2">
      <c r="B61" s="18" t="str">
        <f>IFERROR(INDEX('Detalles movimientos'!C$5:C$1000, MATCH(52, 'Detalles movimientos'!$T$5:$T$1000, 0)), "")</f>
        <v/>
      </c>
      <c r="C61" s="19" t="str">
        <f>IFERROR(INDEX('Detalles movimientos'!D$5:D$1000, MATCH(52, 'Detalles movimientos'!$T$5:$T$1000, 0)), "")</f>
        <v/>
      </c>
      <c r="D61" s="20" t="str">
        <f>IFERROR(INDEX('Detalles movimientos'!E$5:E$1000, MATCH(52, 'Detalles movimientos'!$T$5:$T$1000, 0)), "")</f>
        <v/>
      </c>
      <c r="E61" s="20" t="str">
        <f>IFERROR(INDEX('Detalles movimientos'!F$5:F$1000, MATCH(52, 'Detalles movimientos'!$T$5:$T$1000, 0)), "")</f>
        <v/>
      </c>
      <c r="F61" s="19" t="str">
        <f>IFERROR(INDEX('Detalles movimientos'!G$5:G$1000, MATCH(52, 'Detalles movimientos'!$T$5:$T$1000, 0)), "")</f>
        <v/>
      </c>
      <c r="G61" s="21" t="str">
        <f>IFERROR(INDEX('Detalles movimientos'!H$5:H$1000, MATCH(52, 'Detalles movimientos'!$T$5:$T$1000, 0)), "")</f>
        <v/>
      </c>
      <c r="H61" s="22" t="str">
        <f>IFERROR(INDEX('Detalles movimientos'!I$5:I$1000, MATCH(52, 'Detalles movimientos'!$T$5:$T$1000, 0)), "")</f>
        <v/>
      </c>
      <c r="I61" s="21" t="str">
        <f>IFERROR(INDEX('Detalles movimientos'!J$5:J$1000, MATCH(52, 'Detalles movimientos'!$T$5:$T$1000, 0)), "")</f>
        <v/>
      </c>
      <c r="J61" s="20" t="str">
        <f>IFERROR(INDEX('Detalles movimientos'!K$5:K$1000, MATCH(52, 'Detalles movimientos'!$T$5:$T$1000, 0)), "")</f>
        <v/>
      </c>
      <c r="K61" s="21" t="str">
        <f>IFERROR(INDEX('Detalles movimientos'!L$5:L$1000, MATCH(52, 'Detalles movimientos'!$T$5:$T$1000, 0)), "")</f>
        <v/>
      </c>
      <c r="L61" s="19" t="str">
        <f>IFERROR(INDEX('Detalles movimientos'!M$5:M$1000, MATCH(52, 'Detalles movimientos'!$T$5:$T$1000, 0)), "")</f>
        <v/>
      </c>
      <c r="M61" s="19" t="str">
        <f>IFERROR(INDEX('Detalles movimientos'!P$5:P$1000, MATCH(52, 'Detalles movimientos'!$T$5:$T$1000, 0)), "")</f>
        <v/>
      </c>
    </row>
    <row r="62" spans="2:13" x14ac:dyDescent="0.2">
      <c r="B62" s="18" t="str">
        <f>IFERROR(INDEX('Detalles movimientos'!C$5:C$1000, MATCH(53, 'Detalles movimientos'!$T$5:$T$1000, 0)), "")</f>
        <v/>
      </c>
      <c r="C62" s="19" t="str">
        <f>IFERROR(INDEX('Detalles movimientos'!D$5:D$1000, MATCH(53, 'Detalles movimientos'!$T$5:$T$1000, 0)), "")</f>
        <v/>
      </c>
      <c r="D62" s="20" t="str">
        <f>IFERROR(INDEX('Detalles movimientos'!E$5:E$1000, MATCH(53, 'Detalles movimientos'!$T$5:$T$1000, 0)), "")</f>
        <v/>
      </c>
      <c r="E62" s="20" t="str">
        <f>IFERROR(INDEX('Detalles movimientos'!F$5:F$1000, MATCH(53, 'Detalles movimientos'!$T$5:$T$1000, 0)), "")</f>
        <v/>
      </c>
      <c r="F62" s="19" t="str">
        <f>IFERROR(INDEX('Detalles movimientos'!G$5:G$1000, MATCH(53, 'Detalles movimientos'!$T$5:$T$1000, 0)), "")</f>
        <v/>
      </c>
      <c r="G62" s="21" t="str">
        <f>IFERROR(INDEX('Detalles movimientos'!H$5:H$1000, MATCH(53, 'Detalles movimientos'!$T$5:$T$1000, 0)), "")</f>
        <v/>
      </c>
      <c r="H62" s="22" t="str">
        <f>IFERROR(INDEX('Detalles movimientos'!I$5:I$1000, MATCH(53, 'Detalles movimientos'!$T$5:$T$1000, 0)), "")</f>
        <v/>
      </c>
      <c r="I62" s="21" t="str">
        <f>IFERROR(INDEX('Detalles movimientos'!J$5:J$1000, MATCH(53, 'Detalles movimientos'!$T$5:$T$1000, 0)), "")</f>
        <v/>
      </c>
      <c r="J62" s="20" t="str">
        <f>IFERROR(INDEX('Detalles movimientos'!K$5:K$1000, MATCH(53, 'Detalles movimientos'!$T$5:$T$1000, 0)), "")</f>
        <v/>
      </c>
      <c r="K62" s="21" t="str">
        <f>IFERROR(INDEX('Detalles movimientos'!L$5:L$1000, MATCH(53, 'Detalles movimientos'!$T$5:$T$1000, 0)), "")</f>
        <v/>
      </c>
      <c r="L62" s="19" t="str">
        <f>IFERROR(INDEX('Detalles movimientos'!M$5:M$1000, MATCH(53, 'Detalles movimientos'!$T$5:$T$1000, 0)), "")</f>
        <v/>
      </c>
      <c r="M62" s="19" t="str">
        <f>IFERROR(INDEX('Detalles movimientos'!P$5:P$1000, MATCH(53, 'Detalles movimientos'!$T$5:$T$1000, 0)), "")</f>
        <v/>
      </c>
    </row>
    <row r="63" spans="2:13" x14ac:dyDescent="0.2">
      <c r="B63" s="18" t="str">
        <f>IFERROR(INDEX('Detalles movimientos'!C$5:C$1000, MATCH(54, 'Detalles movimientos'!$T$5:$T$1000, 0)), "")</f>
        <v/>
      </c>
      <c r="C63" s="19" t="str">
        <f>IFERROR(INDEX('Detalles movimientos'!D$5:D$1000, MATCH(54, 'Detalles movimientos'!$T$5:$T$1000, 0)), "")</f>
        <v/>
      </c>
      <c r="D63" s="20" t="str">
        <f>IFERROR(INDEX('Detalles movimientos'!E$5:E$1000, MATCH(54, 'Detalles movimientos'!$T$5:$T$1000, 0)), "")</f>
        <v/>
      </c>
      <c r="E63" s="20" t="str">
        <f>IFERROR(INDEX('Detalles movimientos'!F$5:F$1000, MATCH(54, 'Detalles movimientos'!$T$5:$T$1000, 0)), "")</f>
        <v/>
      </c>
      <c r="F63" s="19" t="str">
        <f>IFERROR(INDEX('Detalles movimientos'!G$5:G$1000, MATCH(54, 'Detalles movimientos'!$T$5:$T$1000, 0)), "")</f>
        <v/>
      </c>
      <c r="G63" s="21" t="str">
        <f>IFERROR(INDEX('Detalles movimientos'!H$5:H$1000, MATCH(54, 'Detalles movimientos'!$T$5:$T$1000, 0)), "")</f>
        <v/>
      </c>
      <c r="H63" s="22" t="str">
        <f>IFERROR(INDEX('Detalles movimientos'!I$5:I$1000, MATCH(54, 'Detalles movimientos'!$T$5:$T$1000, 0)), "")</f>
        <v/>
      </c>
      <c r="I63" s="21" t="str">
        <f>IFERROR(INDEX('Detalles movimientos'!J$5:J$1000, MATCH(54, 'Detalles movimientos'!$T$5:$T$1000, 0)), "")</f>
        <v/>
      </c>
      <c r="J63" s="20" t="str">
        <f>IFERROR(INDEX('Detalles movimientos'!K$5:K$1000, MATCH(54, 'Detalles movimientos'!$T$5:$T$1000, 0)), "")</f>
        <v/>
      </c>
      <c r="K63" s="21" t="str">
        <f>IFERROR(INDEX('Detalles movimientos'!L$5:L$1000, MATCH(54, 'Detalles movimientos'!$T$5:$T$1000, 0)), "")</f>
        <v/>
      </c>
      <c r="L63" s="19" t="str">
        <f>IFERROR(INDEX('Detalles movimientos'!M$5:M$1000, MATCH(54, 'Detalles movimientos'!$T$5:$T$1000, 0)), "")</f>
        <v/>
      </c>
      <c r="M63" s="19" t="str">
        <f>IFERROR(INDEX('Detalles movimientos'!P$5:P$1000, MATCH(54, 'Detalles movimientos'!$T$5:$T$1000, 0)), "")</f>
        <v/>
      </c>
    </row>
    <row r="64" spans="2:13" x14ac:dyDescent="0.2">
      <c r="B64" s="18" t="str">
        <f>IFERROR(INDEX('Detalles movimientos'!C$5:C$1000, MATCH(55, 'Detalles movimientos'!$T$5:$T$1000, 0)), "")</f>
        <v/>
      </c>
      <c r="C64" s="19" t="str">
        <f>IFERROR(INDEX('Detalles movimientos'!D$5:D$1000, MATCH(55, 'Detalles movimientos'!$T$5:$T$1000, 0)), "")</f>
        <v/>
      </c>
      <c r="D64" s="20" t="str">
        <f>IFERROR(INDEX('Detalles movimientos'!E$5:E$1000, MATCH(55, 'Detalles movimientos'!$T$5:$T$1000, 0)), "")</f>
        <v/>
      </c>
      <c r="E64" s="20" t="str">
        <f>IFERROR(INDEX('Detalles movimientos'!F$5:F$1000, MATCH(55, 'Detalles movimientos'!$T$5:$T$1000, 0)), "")</f>
        <v/>
      </c>
      <c r="F64" s="19" t="str">
        <f>IFERROR(INDEX('Detalles movimientos'!G$5:G$1000, MATCH(55, 'Detalles movimientos'!$T$5:$T$1000, 0)), "")</f>
        <v/>
      </c>
      <c r="G64" s="21" t="str">
        <f>IFERROR(INDEX('Detalles movimientos'!H$5:H$1000, MATCH(55, 'Detalles movimientos'!$T$5:$T$1000, 0)), "")</f>
        <v/>
      </c>
      <c r="H64" s="22" t="str">
        <f>IFERROR(INDEX('Detalles movimientos'!I$5:I$1000, MATCH(55, 'Detalles movimientos'!$T$5:$T$1000, 0)), "")</f>
        <v/>
      </c>
      <c r="I64" s="21" t="str">
        <f>IFERROR(INDEX('Detalles movimientos'!J$5:J$1000, MATCH(55, 'Detalles movimientos'!$T$5:$T$1000, 0)), "")</f>
        <v/>
      </c>
      <c r="J64" s="20" t="str">
        <f>IFERROR(INDEX('Detalles movimientos'!K$5:K$1000, MATCH(55, 'Detalles movimientos'!$T$5:$T$1000, 0)), "")</f>
        <v/>
      </c>
      <c r="K64" s="21" t="str">
        <f>IFERROR(INDEX('Detalles movimientos'!L$5:L$1000, MATCH(55, 'Detalles movimientos'!$T$5:$T$1000, 0)), "")</f>
        <v/>
      </c>
      <c r="L64" s="19" t="str">
        <f>IFERROR(INDEX('Detalles movimientos'!M$5:M$1000, MATCH(55, 'Detalles movimientos'!$T$5:$T$1000, 0)), "")</f>
        <v/>
      </c>
      <c r="M64" s="19" t="str">
        <f>IFERROR(INDEX('Detalles movimientos'!P$5:P$1000, MATCH(55, 'Detalles movimientos'!$T$5:$T$1000, 0)), "")</f>
        <v/>
      </c>
    </row>
    <row r="65" spans="2:13" x14ac:dyDescent="0.2">
      <c r="B65" s="18" t="str">
        <f>IFERROR(INDEX('Detalles movimientos'!C$5:C$1000, MATCH(56, 'Detalles movimientos'!$T$5:$T$1000, 0)), "")</f>
        <v/>
      </c>
      <c r="C65" s="19" t="str">
        <f>IFERROR(INDEX('Detalles movimientos'!D$5:D$1000, MATCH(56, 'Detalles movimientos'!$T$5:$T$1000, 0)), "")</f>
        <v/>
      </c>
      <c r="D65" s="20" t="str">
        <f>IFERROR(INDEX('Detalles movimientos'!E$5:E$1000, MATCH(56, 'Detalles movimientos'!$T$5:$T$1000, 0)), "")</f>
        <v/>
      </c>
      <c r="E65" s="20" t="str">
        <f>IFERROR(INDEX('Detalles movimientos'!F$5:F$1000, MATCH(56, 'Detalles movimientos'!$T$5:$T$1000, 0)), "")</f>
        <v/>
      </c>
      <c r="F65" s="19" t="str">
        <f>IFERROR(INDEX('Detalles movimientos'!G$5:G$1000, MATCH(56, 'Detalles movimientos'!$T$5:$T$1000, 0)), "")</f>
        <v/>
      </c>
      <c r="G65" s="21" t="str">
        <f>IFERROR(INDEX('Detalles movimientos'!H$5:H$1000, MATCH(56, 'Detalles movimientos'!$T$5:$T$1000, 0)), "")</f>
        <v/>
      </c>
      <c r="H65" s="22" t="str">
        <f>IFERROR(INDEX('Detalles movimientos'!I$5:I$1000, MATCH(56, 'Detalles movimientos'!$T$5:$T$1000, 0)), "")</f>
        <v/>
      </c>
      <c r="I65" s="21" t="str">
        <f>IFERROR(INDEX('Detalles movimientos'!J$5:J$1000, MATCH(56, 'Detalles movimientos'!$T$5:$T$1000, 0)), "")</f>
        <v/>
      </c>
      <c r="J65" s="20" t="str">
        <f>IFERROR(INDEX('Detalles movimientos'!K$5:K$1000, MATCH(56, 'Detalles movimientos'!$T$5:$T$1000, 0)), "")</f>
        <v/>
      </c>
      <c r="K65" s="21" t="str">
        <f>IFERROR(INDEX('Detalles movimientos'!L$5:L$1000, MATCH(56, 'Detalles movimientos'!$T$5:$T$1000, 0)), "")</f>
        <v/>
      </c>
      <c r="L65" s="19" t="str">
        <f>IFERROR(INDEX('Detalles movimientos'!M$5:M$1000, MATCH(56, 'Detalles movimientos'!$T$5:$T$1000, 0)), "")</f>
        <v/>
      </c>
      <c r="M65" s="19" t="str">
        <f>IFERROR(INDEX('Detalles movimientos'!P$5:P$1000, MATCH(56, 'Detalles movimientos'!$T$5:$T$1000, 0)), "")</f>
        <v/>
      </c>
    </row>
    <row r="66" spans="2:13" x14ac:dyDescent="0.2">
      <c r="B66" s="18" t="str">
        <f>IFERROR(INDEX('Detalles movimientos'!C$5:C$1000, MATCH(57, 'Detalles movimientos'!$T$5:$T$1000, 0)), "")</f>
        <v/>
      </c>
      <c r="C66" s="19" t="str">
        <f>IFERROR(INDEX('Detalles movimientos'!D$5:D$1000, MATCH(57, 'Detalles movimientos'!$T$5:$T$1000, 0)), "")</f>
        <v/>
      </c>
      <c r="D66" s="20" t="str">
        <f>IFERROR(INDEX('Detalles movimientos'!E$5:E$1000, MATCH(57, 'Detalles movimientos'!$T$5:$T$1000, 0)), "")</f>
        <v/>
      </c>
      <c r="E66" s="20" t="str">
        <f>IFERROR(INDEX('Detalles movimientos'!F$5:F$1000, MATCH(57, 'Detalles movimientos'!$T$5:$T$1000, 0)), "")</f>
        <v/>
      </c>
      <c r="F66" s="19" t="str">
        <f>IFERROR(INDEX('Detalles movimientos'!G$5:G$1000, MATCH(57, 'Detalles movimientos'!$T$5:$T$1000, 0)), "")</f>
        <v/>
      </c>
      <c r="G66" s="21" t="str">
        <f>IFERROR(INDEX('Detalles movimientos'!H$5:H$1000, MATCH(57, 'Detalles movimientos'!$T$5:$T$1000, 0)), "")</f>
        <v/>
      </c>
      <c r="H66" s="22" t="str">
        <f>IFERROR(INDEX('Detalles movimientos'!I$5:I$1000, MATCH(57, 'Detalles movimientos'!$T$5:$T$1000, 0)), "")</f>
        <v/>
      </c>
      <c r="I66" s="21" t="str">
        <f>IFERROR(INDEX('Detalles movimientos'!J$5:J$1000, MATCH(57, 'Detalles movimientos'!$T$5:$T$1000, 0)), "")</f>
        <v/>
      </c>
      <c r="J66" s="20" t="str">
        <f>IFERROR(INDEX('Detalles movimientos'!K$5:K$1000, MATCH(57, 'Detalles movimientos'!$T$5:$T$1000, 0)), "")</f>
        <v/>
      </c>
      <c r="K66" s="21" t="str">
        <f>IFERROR(INDEX('Detalles movimientos'!L$5:L$1000, MATCH(57, 'Detalles movimientos'!$T$5:$T$1000, 0)), "")</f>
        <v/>
      </c>
      <c r="L66" s="19" t="str">
        <f>IFERROR(INDEX('Detalles movimientos'!M$5:M$1000, MATCH(57, 'Detalles movimientos'!$T$5:$T$1000, 0)), "")</f>
        <v/>
      </c>
      <c r="M66" s="19" t="str">
        <f>IFERROR(INDEX('Detalles movimientos'!P$5:P$1000, MATCH(57, 'Detalles movimientos'!$T$5:$T$1000, 0)), "")</f>
        <v/>
      </c>
    </row>
    <row r="67" spans="2:13" x14ac:dyDescent="0.2">
      <c r="B67" s="18" t="str">
        <f>IFERROR(INDEX('Detalles movimientos'!C$5:C$1000, MATCH(58, 'Detalles movimientos'!$T$5:$T$1000, 0)), "")</f>
        <v/>
      </c>
      <c r="C67" s="19" t="str">
        <f>IFERROR(INDEX('Detalles movimientos'!D$5:D$1000, MATCH(58, 'Detalles movimientos'!$T$5:$T$1000, 0)), "")</f>
        <v/>
      </c>
      <c r="D67" s="20" t="str">
        <f>IFERROR(INDEX('Detalles movimientos'!E$5:E$1000, MATCH(58, 'Detalles movimientos'!$T$5:$T$1000, 0)), "")</f>
        <v/>
      </c>
      <c r="E67" s="20" t="str">
        <f>IFERROR(INDEX('Detalles movimientos'!F$5:F$1000, MATCH(58, 'Detalles movimientos'!$T$5:$T$1000, 0)), "")</f>
        <v/>
      </c>
      <c r="F67" s="19" t="str">
        <f>IFERROR(INDEX('Detalles movimientos'!G$5:G$1000, MATCH(58, 'Detalles movimientos'!$T$5:$T$1000, 0)), "")</f>
        <v/>
      </c>
      <c r="G67" s="21" t="str">
        <f>IFERROR(INDEX('Detalles movimientos'!H$5:H$1000, MATCH(58, 'Detalles movimientos'!$T$5:$T$1000, 0)), "")</f>
        <v/>
      </c>
      <c r="H67" s="22" t="str">
        <f>IFERROR(INDEX('Detalles movimientos'!I$5:I$1000, MATCH(58, 'Detalles movimientos'!$T$5:$T$1000, 0)), "")</f>
        <v/>
      </c>
      <c r="I67" s="21" t="str">
        <f>IFERROR(INDEX('Detalles movimientos'!J$5:J$1000, MATCH(58, 'Detalles movimientos'!$T$5:$T$1000, 0)), "")</f>
        <v/>
      </c>
      <c r="J67" s="20" t="str">
        <f>IFERROR(INDEX('Detalles movimientos'!K$5:K$1000, MATCH(58, 'Detalles movimientos'!$T$5:$T$1000, 0)), "")</f>
        <v/>
      </c>
      <c r="K67" s="21" t="str">
        <f>IFERROR(INDEX('Detalles movimientos'!L$5:L$1000, MATCH(58, 'Detalles movimientos'!$T$5:$T$1000, 0)), "")</f>
        <v/>
      </c>
      <c r="L67" s="19" t="str">
        <f>IFERROR(INDEX('Detalles movimientos'!M$5:M$1000, MATCH(58, 'Detalles movimientos'!$T$5:$T$1000, 0)), "")</f>
        <v/>
      </c>
      <c r="M67" s="19" t="str">
        <f>IFERROR(INDEX('Detalles movimientos'!P$5:P$1000, MATCH(58, 'Detalles movimientos'!$T$5:$T$1000, 0)), "")</f>
        <v/>
      </c>
    </row>
    <row r="68" spans="2:13" x14ac:dyDescent="0.2">
      <c r="B68" s="18" t="str">
        <f>IFERROR(INDEX('Detalles movimientos'!C$5:C$1000, MATCH(59, 'Detalles movimientos'!$T$5:$T$1000, 0)), "")</f>
        <v/>
      </c>
      <c r="C68" s="19" t="str">
        <f>IFERROR(INDEX('Detalles movimientos'!D$5:D$1000, MATCH(59, 'Detalles movimientos'!$T$5:$T$1000, 0)), "")</f>
        <v/>
      </c>
      <c r="D68" s="20" t="str">
        <f>IFERROR(INDEX('Detalles movimientos'!E$5:E$1000, MATCH(59, 'Detalles movimientos'!$T$5:$T$1000, 0)), "")</f>
        <v/>
      </c>
      <c r="E68" s="20" t="str">
        <f>IFERROR(INDEX('Detalles movimientos'!F$5:F$1000, MATCH(59, 'Detalles movimientos'!$T$5:$T$1000, 0)), "")</f>
        <v/>
      </c>
      <c r="F68" s="19" t="str">
        <f>IFERROR(INDEX('Detalles movimientos'!G$5:G$1000, MATCH(59, 'Detalles movimientos'!$T$5:$T$1000, 0)), "")</f>
        <v/>
      </c>
      <c r="G68" s="21" t="str">
        <f>IFERROR(INDEX('Detalles movimientos'!H$5:H$1000, MATCH(59, 'Detalles movimientos'!$T$5:$T$1000, 0)), "")</f>
        <v/>
      </c>
      <c r="H68" s="22" t="str">
        <f>IFERROR(INDEX('Detalles movimientos'!I$5:I$1000, MATCH(59, 'Detalles movimientos'!$T$5:$T$1000, 0)), "")</f>
        <v/>
      </c>
      <c r="I68" s="21" t="str">
        <f>IFERROR(INDEX('Detalles movimientos'!J$5:J$1000, MATCH(59, 'Detalles movimientos'!$T$5:$T$1000, 0)), "")</f>
        <v/>
      </c>
      <c r="J68" s="20" t="str">
        <f>IFERROR(INDEX('Detalles movimientos'!K$5:K$1000, MATCH(59, 'Detalles movimientos'!$T$5:$T$1000, 0)), "")</f>
        <v/>
      </c>
      <c r="K68" s="21" t="str">
        <f>IFERROR(INDEX('Detalles movimientos'!L$5:L$1000, MATCH(59, 'Detalles movimientos'!$T$5:$T$1000, 0)), "")</f>
        <v/>
      </c>
      <c r="L68" s="19" t="str">
        <f>IFERROR(INDEX('Detalles movimientos'!M$5:M$1000, MATCH(59, 'Detalles movimientos'!$T$5:$T$1000, 0)), "")</f>
        <v/>
      </c>
      <c r="M68" s="19" t="str">
        <f>IFERROR(INDEX('Detalles movimientos'!P$5:P$1000, MATCH(59, 'Detalles movimientos'!$T$5:$T$1000, 0)), "")</f>
        <v/>
      </c>
    </row>
    <row r="69" spans="2:13" x14ac:dyDescent="0.2">
      <c r="B69" s="18" t="str">
        <f>IFERROR(INDEX('Detalles movimientos'!C$5:C$1000, MATCH(60, 'Detalles movimientos'!$T$5:$T$1000, 0)), "")</f>
        <v/>
      </c>
      <c r="C69" s="19" t="str">
        <f>IFERROR(INDEX('Detalles movimientos'!D$5:D$1000, MATCH(60, 'Detalles movimientos'!$T$5:$T$1000, 0)), "")</f>
        <v/>
      </c>
      <c r="D69" s="20" t="str">
        <f>IFERROR(INDEX('Detalles movimientos'!E$5:E$1000, MATCH(60, 'Detalles movimientos'!$T$5:$T$1000, 0)), "")</f>
        <v/>
      </c>
      <c r="E69" s="20" t="str">
        <f>IFERROR(INDEX('Detalles movimientos'!F$5:F$1000, MATCH(60, 'Detalles movimientos'!$T$5:$T$1000, 0)), "")</f>
        <v/>
      </c>
      <c r="F69" s="19" t="str">
        <f>IFERROR(INDEX('Detalles movimientos'!G$5:G$1000, MATCH(60, 'Detalles movimientos'!$T$5:$T$1000, 0)), "")</f>
        <v/>
      </c>
      <c r="G69" s="21" t="str">
        <f>IFERROR(INDEX('Detalles movimientos'!H$5:H$1000, MATCH(60, 'Detalles movimientos'!$T$5:$T$1000, 0)), "")</f>
        <v/>
      </c>
      <c r="H69" s="22" t="str">
        <f>IFERROR(INDEX('Detalles movimientos'!I$5:I$1000, MATCH(60, 'Detalles movimientos'!$T$5:$T$1000, 0)), "")</f>
        <v/>
      </c>
      <c r="I69" s="21" t="str">
        <f>IFERROR(INDEX('Detalles movimientos'!J$5:J$1000, MATCH(60, 'Detalles movimientos'!$T$5:$T$1000, 0)), "")</f>
        <v/>
      </c>
      <c r="J69" s="20" t="str">
        <f>IFERROR(INDEX('Detalles movimientos'!K$5:K$1000, MATCH(60, 'Detalles movimientos'!$T$5:$T$1000, 0)), "")</f>
        <v/>
      </c>
      <c r="K69" s="21" t="str">
        <f>IFERROR(INDEX('Detalles movimientos'!L$5:L$1000, MATCH(60, 'Detalles movimientos'!$T$5:$T$1000, 0)), "")</f>
        <v/>
      </c>
      <c r="L69" s="19" t="str">
        <f>IFERROR(INDEX('Detalles movimientos'!M$5:M$1000, MATCH(60, 'Detalles movimientos'!$T$5:$T$1000, 0)), "")</f>
        <v/>
      </c>
      <c r="M69" s="19" t="str">
        <f>IFERROR(INDEX('Detalles movimientos'!P$5:P$1000, MATCH(60, 'Detalles movimientos'!$T$5:$T$1000, 0)), "")</f>
        <v/>
      </c>
    </row>
    <row r="70" spans="2:13" x14ac:dyDescent="0.2">
      <c r="B70" s="18" t="str">
        <f>IFERROR(INDEX('Detalles movimientos'!C$5:C$1000, MATCH(61, 'Detalles movimientos'!$T$5:$T$1000, 0)), "")</f>
        <v/>
      </c>
      <c r="C70" s="19" t="str">
        <f>IFERROR(INDEX('Detalles movimientos'!D$5:D$1000, MATCH(61, 'Detalles movimientos'!$T$5:$T$1000, 0)), "")</f>
        <v/>
      </c>
      <c r="D70" s="20" t="str">
        <f>IFERROR(INDEX('Detalles movimientos'!E$5:E$1000, MATCH(61, 'Detalles movimientos'!$T$5:$T$1000, 0)), "")</f>
        <v/>
      </c>
      <c r="E70" s="20" t="str">
        <f>IFERROR(INDEX('Detalles movimientos'!F$5:F$1000, MATCH(61, 'Detalles movimientos'!$T$5:$T$1000, 0)), "")</f>
        <v/>
      </c>
      <c r="F70" s="19" t="str">
        <f>IFERROR(INDEX('Detalles movimientos'!G$5:G$1000, MATCH(61, 'Detalles movimientos'!$T$5:$T$1000, 0)), "")</f>
        <v/>
      </c>
      <c r="G70" s="21" t="str">
        <f>IFERROR(INDEX('Detalles movimientos'!H$5:H$1000, MATCH(61, 'Detalles movimientos'!$T$5:$T$1000, 0)), "")</f>
        <v/>
      </c>
      <c r="H70" s="22" t="str">
        <f>IFERROR(INDEX('Detalles movimientos'!I$5:I$1000, MATCH(61, 'Detalles movimientos'!$T$5:$T$1000, 0)), "")</f>
        <v/>
      </c>
      <c r="I70" s="21" t="str">
        <f>IFERROR(INDEX('Detalles movimientos'!J$5:J$1000, MATCH(61, 'Detalles movimientos'!$T$5:$T$1000, 0)), "")</f>
        <v/>
      </c>
      <c r="J70" s="20" t="str">
        <f>IFERROR(INDEX('Detalles movimientos'!K$5:K$1000, MATCH(61, 'Detalles movimientos'!$T$5:$T$1000, 0)), "")</f>
        <v/>
      </c>
      <c r="K70" s="21" t="str">
        <f>IFERROR(INDEX('Detalles movimientos'!L$5:L$1000, MATCH(61, 'Detalles movimientos'!$T$5:$T$1000, 0)), "")</f>
        <v/>
      </c>
      <c r="L70" s="19" t="str">
        <f>IFERROR(INDEX('Detalles movimientos'!M$5:M$1000, MATCH(61, 'Detalles movimientos'!$T$5:$T$1000, 0)), "")</f>
        <v/>
      </c>
      <c r="M70" s="19" t="str">
        <f>IFERROR(INDEX('Detalles movimientos'!P$5:P$1000, MATCH(61, 'Detalles movimientos'!$T$5:$T$1000, 0)), "")</f>
        <v/>
      </c>
    </row>
    <row r="71" spans="2:13" x14ac:dyDescent="0.2">
      <c r="B71" s="18" t="str">
        <f>IFERROR(INDEX('Detalles movimientos'!C$5:C$1000, MATCH(62, 'Detalles movimientos'!$T$5:$T$1000, 0)), "")</f>
        <v/>
      </c>
      <c r="C71" s="19" t="str">
        <f>IFERROR(INDEX('Detalles movimientos'!D$5:D$1000, MATCH(62, 'Detalles movimientos'!$T$5:$T$1000, 0)), "")</f>
        <v/>
      </c>
      <c r="D71" s="20" t="str">
        <f>IFERROR(INDEX('Detalles movimientos'!E$5:E$1000, MATCH(62, 'Detalles movimientos'!$T$5:$T$1000, 0)), "")</f>
        <v/>
      </c>
      <c r="E71" s="20" t="str">
        <f>IFERROR(INDEX('Detalles movimientos'!F$5:F$1000, MATCH(62, 'Detalles movimientos'!$T$5:$T$1000, 0)), "")</f>
        <v/>
      </c>
      <c r="F71" s="19" t="str">
        <f>IFERROR(INDEX('Detalles movimientos'!G$5:G$1000, MATCH(62, 'Detalles movimientos'!$T$5:$T$1000, 0)), "")</f>
        <v/>
      </c>
      <c r="G71" s="21" t="str">
        <f>IFERROR(INDEX('Detalles movimientos'!H$5:H$1000, MATCH(62, 'Detalles movimientos'!$T$5:$T$1000, 0)), "")</f>
        <v/>
      </c>
      <c r="H71" s="22" t="str">
        <f>IFERROR(INDEX('Detalles movimientos'!I$5:I$1000, MATCH(62, 'Detalles movimientos'!$T$5:$T$1000, 0)), "")</f>
        <v/>
      </c>
      <c r="I71" s="21" t="str">
        <f>IFERROR(INDEX('Detalles movimientos'!J$5:J$1000, MATCH(62, 'Detalles movimientos'!$T$5:$T$1000, 0)), "")</f>
        <v/>
      </c>
      <c r="J71" s="20" t="str">
        <f>IFERROR(INDEX('Detalles movimientos'!K$5:K$1000, MATCH(62, 'Detalles movimientos'!$T$5:$T$1000, 0)), "")</f>
        <v/>
      </c>
      <c r="K71" s="21" t="str">
        <f>IFERROR(INDEX('Detalles movimientos'!L$5:L$1000, MATCH(62, 'Detalles movimientos'!$T$5:$T$1000, 0)), "")</f>
        <v/>
      </c>
      <c r="L71" s="19" t="str">
        <f>IFERROR(INDEX('Detalles movimientos'!M$5:M$1000, MATCH(62, 'Detalles movimientos'!$T$5:$T$1000, 0)), "")</f>
        <v/>
      </c>
      <c r="M71" s="19" t="str">
        <f>IFERROR(INDEX('Detalles movimientos'!P$5:P$1000, MATCH(62, 'Detalles movimientos'!$T$5:$T$1000, 0)), "")</f>
        <v/>
      </c>
    </row>
    <row r="72" spans="2:13" x14ac:dyDescent="0.2">
      <c r="B72" s="18" t="str">
        <f>IFERROR(INDEX('Detalles movimientos'!C$5:C$1000, MATCH(63, 'Detalles movimientos'!$T$5:$T$1000, 0)), "")</f>
        <v/>
      </c>
      <c r="C72" s="19" t="str">
        <f>IFERROR(INDEX('Detalles movimientos'!D$5:D$1000, MATCH(63, 'Detalles movimientos'!$T$5:$T$1000, 0)), "")</f>
        <v/>
      </c>
      <c r="D72" s="20" t="str">
        <f>IFERROR(INDEX('Detalles movimientos'!E$5:E$1000, MATCH(63, 'Detalles movimientos'!$T$5:$T$1000, 0)), "")</f>
        <v/>
      </c>
      <c r="E72" s="20" t="str">
        <f>IFERROR(INDEX('Detalles movimientos'!F$5:F$1000, MATCH(63, 'Detalles movimientos'!$T$5:$T$1000, 0)), "")</f>
        <v/>
      </c>
      <c r="F72" s="19" t="str">
        <f>IFERROR(INDEX('Detalles movimientos'!G$5:G$1000, MATCH(63, 'Detalles movimientos'!$T$5:$T$1000, 0)), "")</f>
        <v/>
      </c>
      <c r="G72" s="21" t="str">
        <f>IFERROR(INDEX('Detalles movimientos'!H$5:H$1000, MATCH(63, 'Detalles movimientos'!$T$5:$T$1000, 0)), "")</f>
        <v/>
      </c>
      <c r="H72" s="22" t="str">
        <f>IFERROR(INDEX('Detalles movimientos'!I$5:I$1000, MATCH(63, 'Detalles movimientos'!$T$5:$T$1000, 0)), "")</f>
        <v/>
      </c>
      <c r="I72" s="21" t="str">
        <f>IFERROR(INDEX('Detalles movimientos'!J$5:J$1000, MATCH(63, 'Detalles movimientos'!$T$5:$T$1000, 0)), "")</f>
        <v/>
      </c>
      <c r="J72" s="20" t="str">
        <f>IFERROR(INDEX('Detalles movimientos'!K$5:K$1000, MATCH(63, 'Detalles movimientos'!$T$5:$T$1000, 0)), "")</f>
        <v/>
      </c>
      <c r="K72" s="21" t="str">
        <f>IFERROR(INDEX('Detalles movimientos'!L$5:L$1000, MATCH(63, 'Detalles movimientos'!$T$5:$T$1000, 0)), "")</f>
        <v/>
      </c>
      <c r="L72" s="19" t="str">
        <f>IFERROR(INDEX('Detalles movimientos'!M$5:M$1000, MATCH(63, 'Detalles movimientos'!$T$5:$T$1000, 0)), "")</f>
        <v/>
      </c>
      <c r="M72" s="19" t="str">
        <f>IFERROR(INDEX('Detalles movimientos'!P$5:P$1000, MATCH(63, 'Detalles movimientos'!$T$5:$T$1000, 0)), "")</f>
        <v/>
      </c>
    </row>
    <row r="73" spans="2:13" x14ac:dyDescent="0.2">
      <c r="B73" s="18" t="str">
        <f>IFERROR(INDEX('Detalles movimientos'!C$5:C$1000, MATCH(64, 'Detalles movimientos'!$T$5:$T$1000, 0)), "")</f>
        <v/>
      </c>
      <c r="C73" s="19" t="str">
        <f>IFERROR(INDEX('Detalles movimientos'!D$5:D$1000, MATCH(64, 'Detalles movimientos'!$T$5:$T$1000, 0)), "")</f>
        <v/>
      </c>
      <c r="D73" s="20" t="str">
        <f>IFERROR(INDEX('Detalles movimientos'!E$5:E$1000, MATCH(64, 'Detalles movimientos'!$T$5:$T$1000, 0)), "")</f>
        <v/>
      </c>
      <c r="E73" s="20" t="str">
        <f>IFERROR(INDEX('Detalles movimientos'!F$5:F$1000, MATCH(64, 'Detalles movimientos'!$T$5:$T$1000, 0)), "")</f>
        <v/>
      </c>
      <c r="F73" s="19" t="str">
        <f>IFERROR(INDEX('Detalles movimientos'!G$5:G$1000, MATCH(64, 'Detalles movimientos'!$T$5:$T$1000, 0)), "")</f>
        <v/>
      </c>
      <c r="G73" s="21" t="str">
        <f>IFERROR(INDEX('Detalles movimientos'!H$5:H$1000, MATCH(64, 'Detalles movimientos'!$T$5:$T$1000, 0)), "")</f>
        <v/>
      </c>
      <c r="H73" s="22" t="str">
        <f>IFERROR(INDEX('Detalles movimientos'!I$5:I$1000, MATCH(64, 'Detalles movimientos'!$T$5:$T$1000, 0)), "")</f>
        <v/>
      </c>
      <c r="I73" s="21" t="str">
        <f>IFERROR(INDEX('Detalles movimientos'!J$5:J$1000, MATCH(64, 'Detalles movimientos'!$T$5:$T$1000, 0)), "")</f>
        <v/>
      </c>
      <c r="J73" s="20" t="str">
        <f>IFERROR(INDEX('Detalles movimientos'!K$5:K$1000, MATCH(64, 'Detalles movimientos'!$T$5:$T$1000, 0)), "")</f>
        <v/>
      </c>
      <c r="K73" s="21" t="str">
        <f>IFERROR(INDEX('Detalles movimientos'!L$5:L$1000, MATCH(64, 'Detalles movimientos'!$T$5:$T$1000, 0)), "")</f>
        <v/>
      </c>
      <c r="L73" s="19" t="str">
        <f>IFERROR(INDEX('Detalles movimientos'!M$5:M$1000, MATCH(64, 'Detalles movimientos'!$T$5:$T$1000, 0)), "")</f>
        <v/>
      </c>
      <c r="M73" s="19" t="str">
        <f>IFERROR(INDEX('Detalles movimientos'!P$5:P$1000, MATCH(64, 'Detalles movimientos'!$T$5:$T$1000, 0)), "")</f>
        <v/>
      </c>
    </row>
    <row r="74" spans="2:13" x14ac:dyDescent="0.2">
      <c r="B74" s="18" t="str">
        <f>IFERROR(INDEX('Detalles movimientos'!C$5:C$1000, MATCH(65, 'Detalles movimientos'!$T$5:$T$1000, 0)), "")</f>
        <v/>
      </c>
      <c r="C74" s="19" t="str">
        <f>IFERROR(INDEX('Detalles movimientos'!D$5:D$1000, MATCH(65, 'Detalles movimientos'!$T$5:$T$1000, 0)), "")</f>
        <v/>
      </c>
      <c r="D74" s="20" t="str">
        <f>IFERROR(INDEX('Detalles movimientos'!E$5:E$1000, MATCH(65, 'Detalles movimientos'!$T$5:$T$1000, 0)), "")</f>
        <v/>
      </c>
      <c r="E74" s="20" t="str">
        <f>IFERROR(INDEX('Detalles movimientos'!F$5:F$1000, MATCH(65, 'Detalles movimientos'!$T$5:$T$1000, 0)), "")</f>
        <v/>
      </c>
      <c r="F74" s="19" t="str">
        <f>IFERROR(INDEX('Detalles movimientos'!G$5:G$1000, MATCH(65, 'Detalles movimientos'!$T$5:$T$1000, 0)), "")</f>
        <v/>
      </c>
      <c r="G74" s="21" t="str">
        <f>IFERROR(INDEX('Detalles movimientos'!H$5:H$1000, MATCH(65, 'Detalles movimientos'!$T$5:$T$1000, 0)), "")</f>
        <v/>
      </c>
      <c r="H74" s="22" t="str">
        <f>IFERROR(INDEX('Detalles movimientos'!I$5:I$1000, MATCH(65, 'Detalles movimientos'!$T$5:$T$1000, 0)), "")</f>
        <v/>
      </c>
      <c r="I74" s="21" t="str">
        <f>IFERROR(INDEX('Detalles movimientos'!J$5:J$1000, MATCH(65, 'Detalles movimientos'!$T$5:$T$1000, 0)), "")</f>
        <v/>
      </c>
      <c r="J74" s="20" t="str">
        <f>IFERROR(INDEX('Detalles movimientos'!K$5:K$1000, MATCH(65, 'Detalles movimientos'!$T$5:$T$1000, 0)), "")</f>
        <v/>
      </c>
      <c r="K74" s="21" t="str">
        <f>IFERROR(INDEX('Detalles movimientos'!L$5:L$1000, MATCH(65, 'Detalles movimientos'!$T$5:$T$1000, 0)), "")</f>
        <v/>
      </c>
      <c r="L74" s="19" t="str">
        <f>IFERROR(INDEX('Detalles movimientos'!M$5:M$1000, MATCH(65, 'Detalles movimientos'!$T$5:$T$1000, 0)), "")</f>
        <v/>
      </c>
      <c r="M74" s="19" t="str">
        <f>IFERROR(INDEX('Detalles movimientos'!P$5:P$1000, MATCH(65, 'Detalles movimientos'!$T$5:$T$1000, 0)), "")</f>
        <v/>
      </c>
    </row>
    <row r="75" spans="2:13" x14ac:dyDescent="0.2">
      <c r="B75" s="18" t="str">
        <f>IFERROR(INDEX('Detalles movimientos'!C$5:C$1000, MATCH(66, 'Detalles movimientos'!$T$5:$T$1000, 0)), "")</f>
        <v/>
      </c>
      <c r="C75" s="19" t="str">
        <f>IFERROR(INDEX('Detalles movimientos'!D$5:D$1000, MATCH(66, 'Detalles movimientos'!$T$5:$T$1000, 0)), "")</f>
        <v/>
      </c>
      <c r="D75" s="20" t="str">
        <f>IFERROR(INDEX('Detalles movimientos'!E$5:E$1000, MATCH(66, 'Detalles movimientos'!$T$5:$T$1000, 0)), "")</f>
        <v/>
      </c>
      <c r="E75" s="20" t="str">
        <f>IFERROR(INDEX('Detalles movimientos'!F$5:F$1000, MATCH(66, 'Detalles movimientos'!$T$5:$T$1000, 0)), "")</f>
        <v/>
      </c>
      <c r="F75" s="19" t="str">
        <f>IFERROR(INDEX('Detalles movimientos'!G$5:G$1000, MATCH(66, 'Detalles movimientos'!$T$5:$T$1000, 0)), "")</f>
        <v/>
      </c>
      <c r="G75" s="21" t="str">
        <f>IFERROR(INDEX('Detalles movimientos'!H$5:H$1000, MATCH(66, 'Detalles movimientos'!$T$5:$T$1000, 0)), "")</f>
        <v/>
      </c>
      <c r="H75" s="22" t="str">
        <f>IFERROR(INDEX('Detalles movimientos'!I$5:I$1000, MATCH(66, 'Detalles movimientos'!$T$5:$T$1000, 0)), "")</f>
        <v/>
      </c>
      <c r="I75" s="21" t="str">
        <f>IFERROR(INDEX('Detalles movimientos'!J$5:J$1000, MATCH(66, 'Detalles movimientos'!$T$5:$T$1000, 0)), "")</f>
        <v/>
      </c>
      <c r="J75" s="20" t="str">
        <f>IFERROR(INDEX('Detalles movimientos'!K$5:K$1000, MATCH(66, 'Detalles movimientos'!$T$5:$T$1000, 0)), "")</f>
        <v/>
      </c>
      <c r="K75" s="21" t="str">
        <f>IFERROR(INDEX('Detalles movimientos'!L$5:L$1000, MATCH(66, 'Detalles movimientos'!$T$5:$T$1000, 0)), "")</f>
        <v/>
      </c>
      <c r="L75" s="19" t="str">
        <f>IFERROR(INDEX('Detalles movimientos'!M$5:M$1000, MATCH(66, 'Detalles movimientos'!$T$5:$T$1000, 0)), "")</f>
        <v/>
      </c>
      <c r="M75" s="19" t="str">
        <f>IFERROR(INDEX('Detalles movimientos'!P$5:P$1000, MATCH(66, 'Detalles movimientos'!$T$5:$T$1000, 0)), "")</f>
        <v/>
      </c>
    </row>
    <row r="76" spans="2:13" x14ac:dyDescent="0.2">
      <c r="B76" s="18" t="str">
        <f>IFERROR(INDEX('Detalles movimientos'!C$5:C$1000, MATCH(67, 'Detalles movimientos'!$T$5:$T$1000, 0)), "")</f>
        <v/>
      </c>
      <c r="C76" s="19" t="str">
        <f>IFERROR(INDEX('Detalles movimientos'!D$5:D$1000, MATCH(67, 'Detalles movimientos'!$T$5:$T$1000, 0)), "")</f>
        <v/>
      </c>
      <c r="D76" s="20" t="str">
        <f>IFERROR(INDEX('Detalles movimientos'!E$5:E$1000, MATCH(67, 'Detalles movimientos'!$T$5:$T$1000, 0)), "")</f>
        <v/>
      </c>
      <c r="E76" s="20" t="str">
        <f>IFERROR(INDEX('Detalles movimientos'!F$5:F$1000, MATCH(67, 'Detalles movimientos'!$T$5:$T$1000, 0)), "")</f>
        <v/>
      </c>
      <c r="F76" s="19" t="str">
        <f>IFERROR(INDEX('Detalles movimientos'!G$5:G$1000, MATCH(67, 'Detalles movimientos'!$T$5:$T$1000, 0)), "")</f>
        <v/>
      </c>
      <c r="G76" s="21" t="str">
        <f>IFERROR(INDEX('Detalles movimientos'!H$5:H$1000, MATCH(67, 'Detalles movimientos'!$T$5:$T$1000, 0)), "")</f>
        <v/>
      </c>
      <c r="H76" s="22" t="str">
        <f>IFERROR(INDEX('Detalles movimientos'!I$5:I$1000, MATCH(67, 'Detalles movimientos'!$T$5:$T$1000, 0)), "")</f>
        <v/>
      </c>
      <c r="I76" s="21" t="str">
        <f>IFERROR(INDEX('Detalles movimientos'!J$5:J$1000, MATCH(67, 'Detalles movimientos'!$T$5:$T$1000, 0)), "")</f>
        <v/>
      </c>
      <c r="J76" s="20" t="str">
        <f>IFERROR(INDEX('Detalles movimientos'!K$5:K$1000, MATCH(67, 'Detalles movimientos'!$T$5:$T$1000, 0)), "")</f>
        <v/>
      </c>
      <c r="K76" s="21" t="str">
        <f>IFERROR(INDEX('Detalles movimientos'!L$5:L$1000, MATCH(67, 'Detalles movimientos'!$T$5:$T$1000, 0)), "")</f>
        <v/>
      </c>
      <c r="L76" s="19" t="str">
        <f>IFERROR(INDEX('Detalles movimientos'!M$5:M$1000, MATCH(67, 'Detalles movimientos'!$T$5:$T$1000, 0)), "")</f>
        <v/>
      </c>
      <c r="M76" s="19" t="str">
        <f>IFERROR(INDEX('Detalles movimientos'!P$5:P$1000, MATCH(67, 'Detalles movimientos'!$T$5:$T$1000, 0)), "")</f>
        <v/>
      </c>
    </row>
    <row r="77" spans="2:13" x14ac:dyDescent="0.2">
      <c r="B77" s="18" t="str">
        <f>IFERROR(INDEX('Detalles movimientos'!C$5:C$1000, MATCH(68, 'Detalles movimientos'!$T$5:$T$1000, 0)), "")</f>
        <v/>
      </c>
      <c r="C77" s="19" t="str">
        <f>IFERROR(INDEX('Detalles movimientos'!D$5:D$1000, MATCH(68, 'Detalles movimientos'!$T$5:$T$1000, 0)), "")</f>
        <v/>
      </c>
      <c r="D77" s="20" t="str">
        <f>IFERROR(INDEX('Detalles movimientos'!E$5:E$1000, MATCH(68, 'Detalles movimientos'!$T$5:$T$1000, 0)), "")</f>
        <v/>
      </c>
      <c r="E77" s="20" t="str">
        <f>IFERROR(INDEX('Detalles movimientos'!F$5:F$1000, MATCH(68, 'Detalles movimientos'!$T$5:$T$1000, 0)), "")</f>
        <v/>
      </c>
      <c r="F77" s="19" t="str">
        <f>IFERROR(INDEX('Detalles movimientos'!G$5:G$1000, MATCH(68, 'Detalles movimientos'!$T$5:$T$1000, 0)), "")</f>
        <v/>
      </c>
      <c r="G77" s="21" t="str">
        <f>IFERROR(INDEX('Detalles movimientos'!H$5:H$1000, MATCH(68, 'Detalles movimientos'!$T$5:$T$1000, 0)), "")</f>
        <v/>
      </c>
      <c r="H77" s="22" t="str">
        <f>IFERROR(INDEX('Detalles movimientos'!I$5:I$1000, MATCH(68, 'Detalles movimientos'!$T$5:$T$1000, 0)), "")</f>
        <v/>
      </c>
      <c r="I77" s="21" t="str">
        <f>IFERROR(INDEX('Detalles movimientos'!J$5:J$1000, MATCH(68, 'Detalles movimientos'!$T$5:$T$1000, 0)), "")</f>
        <v/>
      </c>
      <c r="J77" s="20" t="str">
        <f>IFERROR(INDEX('Detalles movimientos'!K$5:K$1000, MATCH(68, 'Detalles movimientos'!$T$5:$T$1000, 0)), "")</f>
        <v/>
      </c>
      <c r="K77" s="21" t="str">
        <f>IFERROR(INDEX('Detalles movimientos'!L$5:L$1000, MATCH(68, 'Detalles movimientos'!$T$5:$T$1000, 0)), "")</f>
        <v/>
      </c>
      <c r="L77" s="19" t="str">
        <f>IFERROR(INDEX('Detalles movimientos'!M$5:M$1000, MATCH(68, 'Detalles movimientos'!$T$5:$T$1000, 0)), "")</f>
        <v/>
      </c>
      <c r="M77" s="19" t="str">
        <f>IFERROR(INDEX('Detalles movimientos'!P$5:P$1000, MATCH(68, 'Detalles movimientos'!$T$5:$T$1000, 0)), "")</f>
        <v/>
      </c>
    </row>
    <row r="78" spans="2:13" x14ac:dyDescent="0.2">
      <c r="B78" s="18" t="str">
        <f>IFERROR(INDEX('Detalles movimientos'!C$5:C$1000, MATCH(69, 'Detalles movimientos'!$T$5:$T$1000, 0)), "")</f>
        <v/>
      </c>
      <c r="C78" s="19" t="str">
        <f>IFERROR(INDEX('Detalles movimientos'!D$5:D$1000, MATCH(69, 'Detalles movimientos'!$T$5:$T$1000, 0)), "")</f>
        <v/>
      </c>
      <c r="D78" s="20" t="str">
        <f>IFERROR(INDEX('Detalles movimientos'!E$5:E$1000, MATCH(69, 'Detalles movimientos'!$T$5:$T$1000, 0)), "")</f>
        <v/>
      </c>
      <c r="E78" s="20" t="str">
        <f>IFERROR(INDEX('Detalles movimientos'!F$5:F$1000, MATCH(69, 'Detalles movimientos'!$T$5:$T$1000, 0)), "")</f>
        <v/>
      </c>
      <c r="F78" s="19" t="str">
        <f>IFERROR(INDEX('Detalles movimientos'!G$5:G$1000, MATCH(69, 'Detalles movimientos'!$T$5:$T$1000, 0)), "")</f>
        <v/>
      </c>
      <c r="G78" s="21" t="str">
        <f>IFERROR(INDEX('Detalles movimientos'!H$5:H$1000, MATCH(69, 'Detalles movimientos'!$T$5:$T$1000, 0)), "")</f>
        <v/>
      </c>
      <c r="H78" s="22" t="str">
        <f>IFERROR(INDEX('Detalles movimientos'!I$5:I$1000, MATCH(69, 'Detalles movimientos'!$T$5:$T$1000, 0)), "")</f>
        <v/>
      </c>
      <c r="I78" s="21" t="str">
        <f>IFERROR(INDEX('Detalles movimientos'!J$5:J$1000, MATCH(69, 'Detalles movimientos'!$T$5:$T$1000, 0)), "")</f>
        <v/>
      </c>
      <c r="J78" s="20" t="str">
        <f>IFERROR(INDEX('Detalles movimientos'!K$5:K$1000, MATCH(69, 'Detalles movimientos'!$T$5:$T$1000, 0)), "")</f>
        <v/>
      </c>
      <c r="K78" s="21" t="str">
        <f>IFERROR(INDEX('Detalles movimientos'!L$5:L$1000, MATCH(69, 'Detalles movimientos'!$T$5:$T$1000, 0)), "")</f>
        <v/>
      </c>
      <c r="L78" s="19" t="str">
        <f>IFERROR(INDEX('Detalles movimientos'!M$5:M$1000, MATCH(69, 'Detalles movimientos'!$T$5:$T$1000, 0)), "")</f>
        <v/>
      </c>
      <c r="M78" s="19" t="str">
        <f>IFERROR(INDEX('Detalles movimientos'!P$5:P$1000, MATCH(69, 'Detalles movimientos'!$T$5:$T$1000, 0)), "")</f>
        <v/>
      </c>
    </row>
    <row r="79" spans="2:13" x14ac:dyDescent="0.2">
      <c r="B79" s="18" t="str">
        <f>IFERROR(INDEX('Detalles movimientos'!C$5:C$1000, MATCH(70, 'Detalles movimientos'!$T$5:$T$1000, 0)), "")</f>
        <v/>
      </c>
      <c r="C79" s="19" t="str">
        <f>IFERROR(INDEX('Detalles movimientos'!D$5:D$1000, MATCH(70, 'Detalles movimientos'!$T$5:$T$1000, 0)), "")</f>
        <v/>
      </c>
      <c r="D79" s="20" t="str">
        <f>IFERROR(INDEX('Detalles movimientos'!E$5:E$1000, MATCH(70, 'Detalles movimientos'!$T$5:$T$1000, 0)), "")</f>
        <v/>
      </c>
      <c r="E79" s="20" t="str">
        <f>IFERROR(INDEX('Detalles movimientos'!F$5:F$1000, MATCH(70, 'Detalles movimientos'!$T$5:$T$1000, 0)), "")</f>
        <v/>
      </c>
      <c r="F79" s="19" t="str">
        <f>IFERROR(INDEX('Detalles movimientos'!G$5:G$1000, MATCH(70, 'Detalles movimientos'!$T$5:$T$1000, 0)), "")</f>
        <v/>
      </c>
      <c r="G79" s="21" t="str">
        <f>IFERROR(INDEX('Detalles movimientos'!H$5:H$1000, MATCH(70, 'Detalles movimientos'!$T$5:$T$1000, 0)), "")</f>
        <v/>
      </c>
      <c r="H79" s="22" t="str">
        <f>IFERROR(INDEX('Detalles movimientos'!I$5:I$1000, MATCH(70, 'Detalles movimientos'!$T$5:$T$1000, 0)), "")</f>
        <v/>
      </c>
      <c r="I79" s="21" t="str">
        <f>IFERROR(INDEX('Detalles movimientos'!J$5:J$1000, MATCH(70, 'Detalles movimientos'!$T$5:$T$1000, 0)), "")</f>
        <v/>
      </c>
      <c r="J79" s="20" t="str">
        <f>IFERROR(INDEX('Detalles movimientos'!K$5:K$1000, MATCH(70, 'Detalles movimientos'!$T$5:$T$1000, 0)), "")</f>
        <v/>
      </c>
      <c r="K79" s="21" t="str">
        <f>IFERROR(INDEX('Detalles movimientos'!L$5:L$1000, MATCH(70, 'Detalles movimientos'!$T$5:$T$1000, 0)), "")</f>
        <v/>
      </c>
      <c r="L79" s="19" t="str">
        <f>IFERROR(INDEX('Detalles movimientos'!M$5:M$1000, MATCH(70, 'Detalles movimientos'!$T$5:$T$1000, 0)), "")</f>
        <v/>
      </c>
      <c r="M79" s="19" t="str">
        <f>IFERROR(INDEX('Detalles movimientos'!P$5:P$1000, MATCH(70, 'Detalles movimientos'!$T$5:$T$1000, 0)), "")</f>
        <v/>
      </c>
    </row>
    <row r="80" spans="2:13" x14ac:dyDescent="0.2">
      <c r="B80" s="18" t="str">
        <f>IFERROR(INDEX('Detalles movimientos'!C$5:C$1000, MATCH(71, 'Detalles movimientos'!$T$5:$T$1000, 0)), "")</f>
        <v/>
      </c>
      <c r="C80" s="19" t="str">
        <f>IFERROR(INDEX('Detalles movimientos'!D$5:D$1000, MATCH(71, 'Detalles movimientos'!$T$5:$T$1000, 0)), "")</f>
        <v/>
      </c>
      <c r="D80" s="20" t="str">
        <f>IFERROR(INDEX('Detalles movimientos'!E$5:E$1000, MATCH(71, 'Detalles movimientos'!$T$5:$T$1000, 0)), "")</f>
        <v/>
      </c>
      <c r="E80" s="20" t="str">
        <f>IFERROR(INDEX('Detalles movimientos'!F$5:F$1000, MATCH(71, 'Detalles movimientos'!$T$5:$T$1000, 0)), "")</f>
        <v/>
      </c>
      <c r="F80" s="19" t="str">
        <f>IFERROR(INDEX('Detalles movimientos'!G$5:G$1000, MATCH(71, 'Detalles movimientos'!$T$5:$T$1000, 0)), "")</f>
        <v/>
      </c>
      <c r="G80" s="21" t="str">
        <f>IFERROR(INDEX('Detalles movimientos'!H$5:H$1000, MATCH(71, 'Detalles movimientos'!$T$5:$T$1000, 0)), "")</f>
        <v/>
      </c>
      <c r="H80" s="22" t="str">
        <f>IFERROR(INDEX('Detalles movimientos'!I$5:I$1000, MATCH(71, 'Detalles movimientos'!$T$5:$T$1000, 0)), "")</f>
        <v/>
      </c>
      <c r="I80" s="21" t="str">
        <f>IFERROR(INDEX('Detalles movimientos'!J$5:J$1000, MATCH(71, 'Detalles movimientos'!$T$5:$T$1000, 0)), "")</f>
        <v/>
      </c>
      <c r="J80" s="20" t="str">
        <f>IFERROR(INDEX('Detalles movimientos'!K$5:K$1000, MATCH(71, 'Detalles movimientos'!$T$5:$T$1000, 0)), "")</f>
        <v/>
      </c>
      <c r="K80" s="21" t="str">
        <f>IFERROR(INDEX('Detalles movimientos'!L$5:L$1000, MATCH(71, 'Detalles movimientos'!$T$5:$T$1000, 0)), "")</f>
        <v/>
      </c>
      <c r="L80" s="19" t="str">
        <f>IFERROR(INDEX('Detalles movimientos'!M$5:M$1000, MATCH(71, 'Detalles movimientos'!$T$5:$T$1000, 0)), "")</f>
        <v/>
      </c>
      <c r="M80" s="19" t="str">
        <f>IFERROR(INDEX('Detalles movimientos'!P$5:P$1000, MATCH(71, 'Detalles movimientos'!$T$5:$T$1000, 0)), "")</f>
        <v/>
      </c>
    </row>
    <row r="81" spans="2:13" x14ac:dyDescent="0.2">
      <c r="B81" s="18" t="str">
        <f>IFERROR(INDEX('Detalles movimientos'!C$5:C$1000, MATCH(72, 'Detalles movimientos'!$T$5:$T$1000, 0)), "")</f>
        <v/>
      </c>
      <c r="C81" s="19" t="str">
        <f>IFERROR(INDEX('Detalles movimientos'!D$5:D$1000, MATCH(72, 'Detalles movimientos'!$T$5:$T$1000, 0)), "")</f>
        <v/>
      </c>
      <c r="D81" s="20" t="str">
        <f>IFERROR(INDEX('Detalles movimientos'!E$5:E$1000, MATCH(72, 'Detalles movimientos'!$T$5:$T$1000, 0)), "")</f>
        <v/>
      </c>
      <c r="E81" s="20" t="str">
        <f>IFERROR(INDEX('Detalles movimientos'!F$5:F$1000, MATCH(72, 'Detalles movimientos'!$T$5:$T$1000, 0)), "")</f>
        <v/>
      </c>
      <c r="F81" s="19" t="str">
        <f>IFERROR(INDEX('Detalles movimientos'!G$5:G$1000, MATCH(72, 'Detalles movimientos'!$T$5:$T$1000, 0)), "")</f>
        <v/>
      </c>
      <c r="G81" s="21" t="str">
        <f>IFERROR(INDEX('Detalles movimientos'!H$5:H$1000, MATCH(72, 'Detalles movimientos'!$T$5:$T$1000, 0)), "")</f>
        <v/>
      </c>
      <c r="H81" s="22" t="str">
        <f>IFERROR(INDEX('Detalles movimientos'!I$5:I$1000, MATCH(72, 'Detalles movimientos'!$T$5:$T$1000, 0)), "")</f>
        <v/>
      </c>
      <c r="I81" s="21" t="str">
        <f>IFERROR(INDEX('Detalles movimientos'!J$5:J$1000, MATCH(72, 'Detalles movimientos'!$T$5:$T$1000, 0)), "")</f>
        <v/>
      </c>
      <c r="J81" s="20" t="str">
        <f>IFERROR(INDEX('Detalles movimientos'!K$5:K$1000, MATCH(72, 'Detalles movimientos'!$T$5:$T$1000, 0)), "")</f>
        <v/>
      </c>
      <c r="K81" s="21" t="str">
        <f>IFERROR(INDEX('Detalles movimientos'!L$5:L$1000, MATCH(72, 'Detalles movimientos'!$T$5:$T$1000, 0)), "")</f>
        <v/>
      </c>
      <c r="L81" s="19" t="str">
        <f>IFERROR(INDEX('Detalles movimientos'!M$5:M$1000, MATCH(72, 'Detalles movimientos'!$T$5:$T$1000, 0)), "")</f>
        <v/>
      </c>
      <c r="M81" s="19" t="str">
        <f>IFERROR(INDEX('Detalles movimientos'!P$5:P$1000, MATCH(72, 'Detalles movimientos'!$T$5:$T$1000, 0)), "")</f>
        <v/>
      </c>
    </row>
    <row r="82" spans="2:13" x14ac:dyDescent="0.2">
      <c r="B82" s="18" t="str">
        <f>IFERROR(INDEX('Detalles movimientos'!C$5:C$1000, MATCH(73, 'Detalles movimientos'!$T$5:$T$1000, 0)), "")</f>
        <v/>
      </c>
      <c r="C82" s="19" t="str">
        <f>IFERROR(INDEX('Detalles movimientos'!D$5:D$1000, MATCH(73, 'Detalles movimientos'!$T$5:$T$1000, 0)), "")</f>
        <v/>
      </c>
      <c r="D82" s="20" t="str">
        <f>IFERROR(INDEX('Detalles movimientos'!E$5:E$1000, MATCH(73, 'Detalles movimientos'!$T$5:$T$1000, 0)), "")</f>
        <v/>
      </c>
      <c r="E82" s="20" t="str">
        <f>IFERROR(INDEX('Detalles movimientos'!F$5:F$1000, MATCH(73, 'Detalles movimientos'!$T$5:$T$1000, 0)), "")</f>
        <v/>
      </c>
      <c r="F82" s="19" t="str">
        <f>IFERROR(INDEX('Detalles movimientos'!G$5:G$1000, MATCH(73, 'Detalles movimientos'!$T$5:$T$1000, 0)), "")</f>
        <v/>
      </c>
      <c r="G82" s="21" t="str">
        <f>IFERROR(INDEX('Detalles movimientos'!H$5:H$1000, MATCH(73, 'Detalles movimientos'!$T$5:$T$1000, 0)), "")</f>
        <v/>
      </c>
      <c r="H82" s="22" t="str">
        <f>IFERROR(INDEX('Detalles movimientos'!I$5:I$1000, MATCH(73, 'Detalles movimientos'!$T$5:$T$1000, 0)), "")</f>
        <v/>
      </c>
      <c r="I82" s="21" t="str">
        <f>IFERROR(INDEX('Detalles movimientos'!J$5:J$1000, MATCH(73, 'Detalles movimientos'!$T$5:$T$1000, 0)), "")</f>
        <v/>
      </c>
      <c r="J82" s="20" t="str">
        <f>IFERROR(INDEX('Detalles movimientos'!K$5:K$1000, MATCH(73, 'Detalles movimientos'!$T$5:$T$1000, 0)), "")</f>
        <v/>
      </c>
      <c r="K82" s="21" t="str">
        <f>IFERROR(INDEX('Detalles movimientos'!L$5:L$1000, MATCH(73, 'Detalles movimientos'!$T$5:$T$1000, 0)), "")</f>
        <v/>
      </c>
      <c r="L82" s="19" t="str">
        <f>IFERROR(INDEX('Detalles movimientos'!M$5:M$1000, MATCH(73, 'Detalles movimientos'!$T$5:$T$1000, 0)), "")</f>
        <v/>
      </c>
      <c r="M82" s="19" t="str">
        <f>IFERROR(INDEX('Detalles movimientos'!P$5:P$1000, MATCH(73, 'Detalles movimientos'!$T$5:$T$1000, 0)), "")</f>
        <v/>
      </c>
    </row>
    <row r="83" spans="2:13" x14ac:dyDescent="0.2">
      <c r="B83" s="18" t="str">
        <f>IFERROR(INDEX('Detalles movimientos'!C$5:C$1000, MATCH(74, 'Detalles movimientos'!$T$5:$T$1000, 0)), "")</f>
        <v/>
      </c>
      <c r="C83" s="19" t="str">
        <f>IFERROR(INDEX('Detalles movimientos'!D$5:D$1000, MATCH(74, 'Detalles movimientos'!$T$5:$T$1000, 0)), "")</f>
        <v/>
      </c>
      <c r="D83" s="20" t="str">
        <f>IFERROR(INDEX('Detalles movimientos'!E$5:E$1000, MATCH(74, 'Detalles movimientos'!$T$5:$T$1000, 0)), "")</f>
        <v/>
      </c>
      <c r="E83" s="20" t="str">
        <f>IFERROR(INDEX('Detalles movimientos'!F$5:F$1000, MATCH(74, 'Detalles movimientos'!$T$5:$T$1000, 0)), "")</f>
        <v/>
      </c>
      <c r="F83" s="19" t="str">
        <f>IFERROR(INDEX('Detalles movimientos'!G$5:G$1000, MATCH(74, 'Detalles movimientos'!$T$5:$T$1000, 0)), "")</f>
        <v/>
      </c>
      <c r="G83" s="21" t="str">
        <f>IFERROR(INDEX('Detalles movimientos'!H$5:H$1000, MATCH(74, 'Detalles movimientos'!$T$5:$T$1000, 0)), "")</f>
        <v/>
      </c>
      <c r="H83" s="22" t="str">
        <f>IFERROR(INDEX('Detalles movimientos'!I$5:I$1000, MATCH(74, 'Detalles movimientos'!$T$5:$T$1000, 0)), "")</f>
        <v/>
      </c>
      <c r="I83" s="21" t="str">
        <f>IFERROR(INDEX('Detalles movimientos'!J$5:J$1000, MATCH(74, 'Detalles movimientos'!$T$5:$T$1000, 0)), "")</f>
        <v/>
      </c>
      <c r="J83" s="20" t="str">
        <f>IFERROR(INDEX('Detalles movimientos'!K$5:K$1000, MATCH(74, 'Detalles movimientos'!$T$5:$T$1000, 0)), "")</f>
        <v/>
      </c>
      <c r="K83" s="21" t="str">
        <f>IFERROR(INDEX('Detalles movimientos'!L$5:L$1000, MATCH(74, 'Detalles movimientos'!$T$5:$T$1000, 0)), "")</f>
        <v/>
      </c>
      <c r="L83" s="19" t="str">
        <f>IFERROR(INDEX('Detalles movimientos'!M$5:M$1000, MATCH(74, 'Detalles movimientos'!$T$5:$T$1000, 0)), "")</f>
        <v/>
      </c>
      <c r="M83" s="19" t="str">
        <f>IFERROR(INDEX('Detalles movimientos'!P$5:P$1000, MATCH(74, 'Detalles movimientos'!$T$5:$T$1000, 0)), "")</f>
        <v/>
      </c>
    </row>
    <row r="84" spans="2:13" x14ac:dyDescent="0.2">
      <c r="B84" s="18" t="str">
        <f>IFERROR(INDEX('Detalles movimientos'!C$5:C$1000, MATCH(75, 'Detalles movimientos'!$T$5:$T$1000, 0)), "")</f>
        <v/>
      </c>
      <c r="C84" s="19" t="str">
        <f>IFERROR(INDEX('Detalles movimientos'!D$5:D$1000, MATCH(75, 'Detalles movimientos'!$T$5:$T$1000, 0)), "")</f>
        <v/>
      </c>
      <c r="D84" s="20" t="str">
        <f>IFERROR(INDEX('Detalles movimientos'!E$5:E$1000, MATCH(75, 'Detalles movimientos'!$T$5:$T$1000, 0)), "")</f>
        <v/>
      </c>
      <c r="E84" s="20" t="str">
        <f>IFERROR(INDEX('Detalles movimientos'!F$5:F$1000, MATCH(75, 'Detalles movimientos'!$T$5:$T$1000, 0)), "")</f>
        <v/>
      </c>
      <c r="F84" s="19" t="str">
        <f>IFERROR(INDEX('Detalles movimientos'!G$5:G$1000, MATCH(75, 'Detalles movimientos'!$T$5:$T$1000, 0)), "")</f>
        <v/>
      </c>
      <c r="G84" s="21" t="str">
        <f>IFERROR(INDEX('Detalles movimientos'!H$5:H$1000, MATCH(75, 'Detalles movimientos'!$T$5:$T$1000, 0)), "")</f>
        <v/>
      </c>
      <c r="H84" s="22" t="str">
        <f>IFERROR(INDEX('Detalles movimientos'!I$5:I$1000, MATCH(75, 'Detalles movimientos'!$T$5:$T$1000, 0)), "")</f>
        <v/>
      </c>
      <c r="I84" s="21" t="str">
        <f>IFERROR(INDEX('Detalles movimientos'!J$5:J$1000, MATCH(75, 'Detalles movimientos'!$T$5:$T$1000, 0)), "")</f>
        <v/>
      </c>
      <c r="J84" s="20" t="str">
        <f>IFERROR(INDEX('Detalles movimientos'!K$5:K$1000, MATCH(75, 'Detalles movimientos'!$T$5:$T$1000, 0)), "")</f>
        <v/>
      </c>
      <c r="K84" s="21" t="str">
        <f>IFERROR(INDEX('Detalles movimientos'!L$5:L$1000, MATCH(75, 'Detalles movimientos'!$T$5:$T$1000, 0)), "")</f>
        <v/>
      </c>
      <c r="L84" s="19" t="str">
        <f>IFERROR(INDEX('Detalles movimientos'!M$5:M$1000, MATCH(75, 'Detalles movimientos'!$T$5:$T$1000, 0)), "")</f>
        <v/>
      </c>
      <c r="M84" s="19" t="str">
        <f>IFERROR(INDEX('Detalles movimientos'!P$5:P$1000, MATCH(75, 'Detalles movimientos'!$T$5:$T$1000, 0)), "")</f>
        <v/>
      </c>
    </row>
    <row r="85" spans="2:13" x14ac:dyDescent="0.2">
      <c r="B85" s="18" t="str">
        <f>IFERROR(INDEX('Detalles movimientos'!C$5:C$1000, MATCH(76, 'Detalles movimientos'!$T$5:$T$1000, 0)), "")</f>
        <v/>
      </c>
      <c r="C85" s="19" t="str">
        <f>IFERROR(INDEX('Detalles movimientos'!D$5:D$1000, MATCH(76, 'Detalles movimientos'!$T$5:$T$1000, 0)), "")</f>
        <v/>
      </c>
      <c r="D85" s="20" t="str">
        <f>IFERROR(INDEX('Detalles movimientos'!E$5:E$1000, MATCH(76, 'Detalles movimientos'!$T$5:$T$1000, 0)), "")</f>
        <v/>
      </c>
      <c r="E85" s="20" t="str">
        <f>IFERROR(INDEX('Detalles movimientos'!F$5:F$1000, MATCH(76, 'Detalles movimientos'!$T$5:$T$1000, 0)), "")</f>
        <v/>
      </c>
      <c r="F85" s="19" t="str">
        <f>IFERROR(INDEX('Detalles movimientos'!G$5:G$1000, MATCH(76, 'Detalles movimientos'!$T$5:$T$1000, 0)), "")</f>
        <v/>
      </c>
      <c r="G85" s="21" t="str">
        <f>IFERROR(INDEX('Detalles movimientos'!H$5:H$1000, MATCH(76, 'Detalles movimientos'!$T$5:$T$1000, 0)), "")</f>
        <v/>
      </c>
      <c r="H85" s="22" t="str">
        <f>IFERROR(INDEX('Detalles movimientos'!I$5:I$1000, MATCH(76, 'Detalles movimientos'!$T$5:$T$1000, 0)), "")</f>
        <v/>
      </c>
      <c r="I85" s="21" t="str">
        <f>IFERROR(INDEX('Detalles movimientos'!J$5:J$1000, MATCH(76, 'Detalles movimientos'!$T$5:$T$1000, 0)), "")</f>
        <v/>
      </c>
      <c r="J85" s="20" t="str">
        <f>IFERROR(INDEX('Detalles movimientos'!K$5:K$1000, MATCH(76, 'Detalles movimientos'!$T$5:$T$1000, 0)), "")</f>
        <v/>
      </c>
      <c r="K85" s="21" t="str">
        <f>IFERROR(INDEX('Detalles movimientos'!L$5:L$1000, MATCH(76, 'Detalles movimientos'!$T$5:$T$1000, 0)), "")</f>
        <v/>
      </c>
      <c r="L85" s="19" t="str">
        <f>IFERROR(INDEX('Detalles movimientos'!M$5:M$1000, MATCH(76, 'Detalles movimientos'!$T$5:$T$1000, 0)), "")</f>
        <v/>
      </c>
      <c r="M85" s="19" t="str">
        <f>IFERROR(INDEX('Detalles movimientos'!P$5:P$1000, MATCH(76, 'Detalles movimientos'!$T$5:$T$1000, 0)), "")</f>
        <v/>
      </c>
    </row>
    <row r="86" spans="2:13" x14ac:dyDescent="0.2">
      <c r="B86" s="18" t="str">
        <f>IFERROR(INDEX('Detalles movimientos'!C$5:C$1000, MATCH(77, 'Detalles movimientos'!$T$5:$T$1000, 0)), "")</f>
        <v/>
      </c>
      <c r="C86" s="19" t="str">
        <f>IFERROR(INDEX('Detalles movimientos'!D$5:D$1000, MATCH(77, 'Detalles movimientos'!$T$5:$T$1000, 0)), "")</f>
        <v/>
      </c>
      <c r="D86" s="20" t="str">
        <f>IFERROR(INDEX('Detalles movimientos'!E$5:E$1000, MATCH(77, 'Detalles movimientos'!$T$5:$T$1000, 0)), "")</f>
        <v/>
      </c>
      <c r="E86" s="20" t="str">
        <f>IFERROR(INDEX('Detalles movimientos'!F$5:F$1000, MATCH(77, 'Detalles movimientos'!$T$5:$T$1000, 0)), "")</f>
        <v/>
      </c>
      <c r="F86" s="19" t="str">
        <f>IFERROR(INDEX('Detalles movimientos'!G$5:G$1000, MATCH(77, 'Detalles movimientos'!$T$5:$T$1000, 0)), "")</f>
        <v/>
      </c>
      <c r="G86" s="21" t="str">
        <f>IFERROR(INDEX('Detalles movimientos'!H$5:H$1000, MATCH(77, 'Detalles movimientos'!$T$5:$T$1000, 0)), "")</f>
        <v/>
      </c>
      <c r="H86" s="22" t="str">
        <f>IFERROR(INDEX('Detalles movimientos'!I$5:I$1000, MATCH(77, 'Detalles movimientos'!$T$5:$T$1000, 0)), "")</f>
        <v/>
      </c>
      <c r="I86" s="21" t="str">
        <f>IFERROR(INDEX('Detalles movimientos'!J$5:J$1000, MATCH(77, 'Detalles movimientos'!$T$5:$T$1000, 0)), "")</f>
        <v/>
      </c>
      <c r="J86" s="20" t="str">
        <f>IFERROR(INDEX('Detalles movimientos'!K$5:K$1000, MATCH(77, 'Detalles movimientos'!$T$5:$T$1000, 0)), "")</f>
        <v/>
      </c>
      <c r="K86" s="21" t="str">
        <f>IFERROR(INDEX('Detalles movimientos'!L$5:L$1000, MATCH(77, 'Detalles movimientos'!$T$5:$T$1000, 0)), "")</f>
        <v/>
      </c>
      <c r="L86" s="19" t="str">
        <f>IFERROR(INDEX('Detalles movimientos'!M$5:M$1000, MATCH(77, 'Detalles movimientos'!$T$5:$T$1000, 0)), "")</f>
        <v/>
      </c>
      <c r="M86" s="19" t="str">
        <f>IFERROR(INDEX('Detalles movimientos'!P$5:P$1000, MATCH(77, 'Detalles movimientos'!$T$5:$T$1000, 0)), "")</f>
        <v/>
      </c>
    </row>
    <row r="87" spans="2:13" x14ac:dyDescent="0.2">
      <c r="B87" s="18" t="str">
        <f>IFERROR(INDEX('Detalles movimientos'!C$5:C$1000, MATCH(78, 'Detalles movimientos'!$T$5:$T$1000, 0)), "")</f>
        <v/>
      </c>
      <c r="C87" s="19" t="str">
        <f>IFERROR(INDEX('Detalles movimientos'!D$5:D$1000, MATCH(78, 'Detalles movimientos'!$T$5:$T$1000, 0)), "")</f>
        <v/>
      </c>
      <c r="D87" s="20" t="str">
        <f>IFERROR(INDEX('Detalles movimientos'!E$5:E$1000, MATCH(78, 'Detalles movimientos'!$T$5:$T$1000, 0)), "")</f>
        <v/>
      </c>
      <c r="E87" s="20" t="str">
        <f>IFERROR(INDEX('Detalles movimientos'!F$5:F$1000, MATCH(78, 'Detalles movimientos'!$T$5:$T$1000, 0)), "")</f>
        <v/>
      </c>
      <c r="F87" s="19" t="str">
        <f>IFERROR(INDEX('Detalles movimientos'!G$5:G$1000, MATCH(78, 'Detalles movimientos'!$T$5:$T$1000, 0)), "")</f>
        <v/>
      </c>
      <c r="G87" s="21" t="str">
        <f>IFERROR(INDEX('Detalles movimientos'!H$5:H$1000, MATCH(78, 'Detalles movimientos'!$T$5:$T$1000, 0)), "")</f>
        <v/>
      </c>
      <c r="H87" s="22" t="str">
        <f>IFERROR(INDEX('Detalles movimientos'!I$5:I$1000, MATCH(78, 'Detalles movimientos'!$T$5:$T$1000, 0)), "")</f>
        <v/>
      </c>
      <c r="I87" s="21" t="str">
        <f>IFERROR(INDEX('Detalles movimientos'!J$5:J$1000, MATCH(78, 'Detalles movimientos'!$T$5:$T$1000, 0)), "")</f>
        <v/>
      </c>
      <c r="J87" s="20" t="str">
        <f>IFERROR(INDEX('Detalles movimientos'!K$5:K$1000, MATCH(78, 'Detalles movimientos'!$T$5:$T$1000, 0)), "")</f>
        <v/>
      </c>
      <c r="K87" s="21" t="str">
        <f>IFERROR(INDEX('Detalles movimientos'!L$5:L$1000, MATCH(78, 'Detalles movimientos'!$T$5:$T$1000, 0)), "")</f>
        <v/>
      </c>
      <c r="L87" s="19" t="str">
        <f>IFERROR(INDEX('Detalles movimientos'!M$5:M$1000, MATCH(78, 'Detalles movimientos'!$T$5:$T$1000, 0)), "")</f>
        <v/>
      </c>
      <c r="M87" s="19" t="str">
        <f>IFERROR(INDEX('Detalles movimientos'!P$5:P$1000, MATCH(78, 'Detalles movimientos'!$T$5:$T$1000, 0)), "")</f>
        <v/>
      </c>
    </row>
    <row r="88" spans="2:13" x14ac:dyDescent="0.2">
      <c r="B88" s="18" t="str">
        <f>IFERROR(INDEX('Detalles movimientos'!C$5:C$1000, MATCH(79, 'Detalles movimientos'!$T$5:$T$1000, 0)), "")</f>
        <v/>
      </c>
      <c r="C88" s="19" t="str">
        <f>IFERROR(INDEX('Detalles movimientos'!D$5:D$1000, MATCH(79, 'Detalles movimientos'!$T$5:$T$1000, 0)), "")</f>
        <v/>
      </c>
      <c r="D88" s="20" t="str">
        <f>IFERROR(INDEX('Detalles movimientos'!E$5:E$1000, MATCH(79, 'Detalles movimientos'!$T$5:$T$1000, 0)), "")</f>
        <v/>
      </c>
      <c r="E88" s="20" t="str">
        <f>IFERROR(INDEX('Detalles movimientos'!F$5:F$1000, MATCH(79, 'Detalles movimientos'!$T$5:$T$1000, 0)), "")</f>
        <v/>
      </c>
      <c r="F88" s="19" t="str">
        <f>IFERROR(INDEX('Detalles movimientos'!G$5:G$1000, MATCH(79, 'Detalles movimientos'!$T$5:$T$1000, 0)), "")</f>
        <v/>
      </c>
      <c r="G88" s="21" t="str">
        <f>IFERROR(INDEX('Detalles movimientos'!H$5:H$1000, MATCH(79, 'Detalles movimientos'!$T$5:$T$1000, 0)), "")</f>
        <v/>
      </c>
      <c r="H88" s="22" t="str">
        <f>IFERROR(INDEX('Detalles movimientos'!I$5:I$1000, MATCH(79, 'Detalles movimientos'!$T$5:$T$1000, 0)), "")</f>
        <v/>
      </c>
      <c r="I88" s="21" t="str">
        <f>IFERROR(INDEX('Detalles movimientos'!J$5:J$1000, MATCH(79, 'Detalles movimientos'!$T$5:$T$1000, 0)), "")</f>
        <v/>
      </c>
      <c r="J88" s="20" t="str">
        <f>IFERROR(INDEX('Detalles movimientos'!K$5:K$1000, MATCH(79, 'Detalles movimientos'!$T$5:$T$1000, 0)), "")</f>
        <v/>
      </c>
      <c r="K88" s="21" t="str">
        <f>IFERROR(INDEX('Detalles movimientos'!L$5:L$1000, MATCH(79, 'Detalles movimientos'!$T$5:$T$1000, 0)), "")</f>
        <v/>
      </c>
      <c r="L88" s="19" t="str">
        <f>IFERROR(INDEX('Detalles movimientos'!M$5:M$1000, MATCH(79, 'Detalles movimientos'!$T$5:$T$1000, 0)), "")</f>
        <v/>
      </c>
      <c r="M88" s="19" t="str">
        <f>IFERROR(INDEX('Detalles movimientos'!P$5:P$1000, MATCH(79, 'Detalles movimientos'!$T$5:$T$1000, 0)), "")</f>
        <v/>
      </c>
    </row>
    <row r="89" spans="2:13" x14ac:dyDescent="0.2">
      <c r="B89" s="18" t="str">
        <f>IFERROR(INDEX('Detalles movimientos'!C$5:C$1000, MATCH(80, 'Detalles movimientos'!$T$5:$T$1000, 0)), "")</f>
        <v/>
      </c>
      <c r="C89" s="19" t="str">
        <f>IFERROR(INDEX('Detalles movimientos'!D$5:D$1000, MATCH(80, 'Detalles movimientos'!$T$5:$T$1000, 0)), "")</f>
        <v/>
      </c>
      <c r="D89" s="20" t="str">
        <f>IFERROR(INDEX('Detalles movimientos'!E$5:E$1000, MATCH(80, 'Detalles movimientos'!$T$5:$T$1000, 0)), "")</f>
        <v/>
      </c>
      <c r="E89" s="20" t="str">
        <f>IFERROR(INDEX('Detalles movimientos'!F$5:F$1000, MATCH(80, 'Detalles movimientos'!$T$5:$T$1000, 0)), "")</f>
        <v/>
      </c>
      <c r="F89" s="19" t="str">
        <f>IFERROR(INDEX('Detalles movimientos'!G$5:G$1000, MATCH(80, 'Detalles movimientos'!$T$5:$T$1000, 0)), "")</f>
        <v/>
      </c>
      <c r="G89" s="21" t="str">
        <f>IFERROR(INDEX('Detalles movimientos'!H$5:H$1000, MATCH(80, 'Detalles movimientos'!$T$5:$T$1000, 0)), "")</f>
        <v/>
      </c>
      <c r="H89" s="22" t="str">
        <f>IFERROR(INDEX('Detalles movimientos'!I$5:I$1000, MATCH(80, 'Detalles movimientos'!$T$5:$T$1000, 0)), "")</f>
        <v/>
      </c>
      <c r="I89" s="21" t="str">
        <f>IFERROR(INDEX('Detalles movimientos'!J$5:J$1000, MATCH(80, 'Detalles movimientos'!$T$5:$T$1000, 0)), "")</f>
        <v/>
      </c>
      <c r="J89" s="20" t="str">
        <f>IFERROR(INDEX('Detalles movimientos'!K$5:K$1000, MATCH(80, 'Detalles movimientos'!$T$5:$T$1000, 0)), "")</f>
        <v/>
      </c>
      <c r="K89" s="21" t="str">
        <f>IFERROR(INDEX('Detalles movimientos'!L$5:L$1000, MATCH(80, 'Detalles movimientos'!$T$5:$T$1000, 0)), "")</f>
        <v/>
      </c>
      <c r="L89" s="19" t="str">
        <f>IFERROR(INDEX('Detalles movimientos'!M$5:M$1000, MATCH(80, 'Detalles movimientos'!$T$5:$T$1000, 0)), "")</f>
        <v/>
      </c>
      <c r="M89" s="19" t="str">
        <f>IFERROR(INDEX('Detalles movimientos'!P$5:P$1000, MATCH(80, 'Detalles movimientos'!$T$5:$T$1000, 0)), "")</f>
        <v/>
      </c>
    </row>
    <row r="90" spans="2:13" x14ac:dyDescent="0.2">
      <c r="B90" s="18" t="str">
        <f>IFERROR(INDEX('Detalles movimientos'!C$5:C$1000, MATCH(81, 'Detalles movimientos'!$T$5:$T$1000, 0)), "")</f>
        <v/>
      </c>
      <c r="C90" s="19" t="str">
        <f>IFERROR(INDEX('Detalles movimientos'!D$5:D$1000, MATCH(81, 'Detalles movimientos'!$T$5:$T$1000, 0)), "")</f>
        <v/>
      </c>
      <c r="D90" s="20" t="str">
        <f>IFERROR(INDEX('Detalles movimientos'!E$5:E$1000, MATCH(81, 'Detalles movimientos'!$T$5:$T$1000, 0)), "")</f>
        <v/>
      </c>
      <c r="E90" s="20" t="str">
        <f>IFERROR(INDEX('Detalles movimientos'!F$5:F$1000, MATCH(81, 'Detalles movimientos'!$T$5:$T$1000, 0)), "")</f>
        <v/>
      </c>
      <c r="F90" s="19" t="str">
        <f>IFERROR(INDEX('Detalles movimientos'!G$5:G$1000, MATCH(81, 'Detalles movimientos'!$T$5:$T$1000, 0)), "")</f>
        <v/>
      </c>
      <c r="G90" s="21" t="str">
        <f>IFERROR(INDEX('Detalles movimientos'!H$5:H$1000, MATCH(81, 'Detalles movimientos'!$T$5:$T$1000, 0)), "")</f>
        <v/>
      </c>
      <c r="H90" s="22" t="str">
        <f>IFERROR(INDEX('Detalles movimientos'!I$5:I$1000, MATCH(81, 'Detalles movimientos'!$T$5:$T$1000, 0)), "")</f>
        <v/>
      </c>
      <c r="I90" s="21" t="str">
        <f>IFERROR(INDEX('Detalles movimientos'!J$5:J$1000, MATCH(81, 'Detalles movimientos'!$T$5:$T$1000, 0)), "")</f>
        <v/>
      </c>
      <c r="J90" s="20" t="str">
        <f>IFERROR(INDEX('Detalles movimientos'!K$5:K$1000, MATCH(81, 'Detalles movimientos'!$T$5:$T$1000, 0)), "")</f>
        <v/>
      </c>
      <c r="K90" s="21" t="str">
        <f>IFERROR(INDEX('Detalles movimientos'!L$5:L$1000, MATCH(81, 'Detalles movimientos'!$T$5:$T$1000, 0)), "")</f>
        <v/>
      </c>
      <c r="L90" s="19" t="str">
        <f>IFERROR(INDEX('Detalles movimientos'!M$5:M$1000, MATCH(81, 'Detalles movimientos'!$T$5:$T$1000, 0)), "")</f>
        <v/>
      </c>
      <c r="M90" s="19" t="str">
        <f>IFERROR(INDEX('Detalles movimientos'!P$5:P$1000, MATCH(81, 'Detalles movimientos'!$T$5:$T$1000, 0)), "")</f>
        <v/>
      </c>
    </row>
    <row r="91" spans="2:13" x14ac:dyDescent="0.2">
      <c r="B91" s="18" t="str">
        <f>IFERROR(INDEX('Detalles movimientos'!C$5:C$1000, MATCH(82, 'Detalles movimientos'!$T$5:$T$1000, 0)), "")</f>
        <v/>
      </c>
      <c r="C91" s="19" t="str">
        <f>IFERROR(INDEX('Detalles movimientos'!D$5:D$1000, MATCH(82, 'Detalles movimientos'!$T$5:$T$1000, 0)), "")</f>
        <v/>
      </c>
      <c r="D91" s="20" t="str">
        <f>IFERROR(INDEX('Detalles movimientos'!E$5:E$1000, MATCH(82, 'Detalles movimientos'!$T$5:$T$1000, 0)), "")</f>
        <v/>
      </c>
      <c r="E91" s="20" t="str">
        <f>IFERROR(INDEX('Detalles movimientos'!F$5:F$1000, MATCH(82, 'Detalles movimientos'!$T$5:$T$1000, 0)), "")</f>
        <v/>
      </c>
      <c r="F91" s="19" t="str">
        <f>IFERROR(INDEX('Detalles movimientos'!G$5:G$1000, MATCH(82, 'Detalles movimientos'!$T$5:$T$1000, 0)), "")</f>
        <v/>
      </c>
      <c r="G91" s="21" t="str">
        <f>IFERROR(INDEX('Detalles movimientos'!H$5:H$1000, MATCH(82, 'Detalles movimientos'!$T$5:$T$1000, 0)), "")</f>
        <v/>
      </c>
      <c r="H91" s="22" t="str">
        <f>IFERROR(INDEX('Detalles movimientos'!I$5:I$1000, MATCH(82, 'Detalles movimientos'!$T$5:$T$1000, 0)), "")</f>
        <v/>
      </c>
      <c r="I91" s="21" t="str">
        <f>IFERROR(INDEX('Detalles movimientos'!J$5:J$1000, MATCH(82, 'Detalles movimientos'!$T$5:$T$1000, 0)), "")</f>
        <v/>
      </c>
      <c r="J91" s="20" t="str">
        <f>IFERROR(INDEX('Detalles movimientos'!K$5:K$1000, MATCH(82, 'Detalles movimientos'!$T$5:$T$1000, 0)), "")</f>
        <v/>
      </c>
      <c r="K91" s="21" t="str">
        <f>IFERROR(INDEX('Detalles movimientos'!L$5:L$1000, MATCH(82, 'Detalles movimientos'!$T$5:$T$1000, 0)), "")</f>
        <v/>
      </c>
      <c r="L91" s="19" t="str">
        <f>IFERROR(INDEX('Detalles movimientos'!M$5:M$1000, MATCH(82, 'Detalles movimientos'!$T$5:$T$1000, 0)), "")</f>
        <v/>
      </c>
      <c r="M91" s="19" t="str">
        <f>IFERROR(INDEX('Detalles movimientos'!P$5:P$1000, MATCH(82, 'Detalles movimientos'!$T$5:$T$1000, 0)), "")</f>
        <v/>
      </c>
    </row>
    <row r="92" spans="2:13" x14ac:dyDescent="0.2">
      <c r="B92" s="18" t="str">
        <f>IFERROR(INDEX('Detalles movimientos'!C$5:C$1000, MATCH(83, 'Detalles movimientos'!$T$5:$T$1000, 0)), "")</f>
        <v/>
      </c>
      <c r="C92" s="19" t="str">
        <f>IFERROR(INDEX('Detalles movimientos'!D$5:D$1000, MATCH(83, 'Detalles movimientos'!$T$5:$T$1000, 0)), "")</f>
        <v/>
      </c>
      <c r="D92" s="20" t="str">
        <f>IFERROR(INDEX('Detalles movimientos'!E$5:E$1000, MATCH(83, 'Detalles movimientos'!$T$5:$T$1000, 0)), "")</f>
        <v/>
      </c>
      <c r="E92" s="20" t="str">
        <f>IFERROR(INDEX('Detalles movimientos'!F$5:F$1000, MATCH(83, 'Detalles movimientos'!$T$5:$T$1000, 0)), "")</f>
        <v/>
      </c>
      <c r="F92" s="19" t="str">
        <f>IFERROR(INDEX('Detalles movimientos'!G$5:G$1000, MATCH(83, 'Detalles movimientos'!$T$5:$T$1000, 0)), "")</f>
        <v/>
      </c>
      <c r="G92" s="21" t="str">
        <f>IFERROR(INDEX('Detalles movimientos'!H$5:H$1000, MATCH(83, 'Detalles movimientos'!$T$5:$T$1000, 0)), "")</f>
        <v/>
      </c>
      <c r="H92" s="22" t="str">
        <f>IFERROR(INDEX('Detalles movimientos'!I$5:I$1000, MATCH(83, 'Detalles movimientos'!$T$5:$T$1000, 0)), "")</f>
        <v/>
      </c>
      <c r="I92" s="21" t="str">
        <f>IFERROR(INDEX('Detalles movimientos'!J$5:J$1000, MATCH(83, 'Detalles movimientos'!$T$5:$T$1000, 0)), "")</f>
        <v/>
      </c>
      <c r="J92" s="20" t="str">
        <f>IFERROR(INDEX('Detalles movimientos'!K$5:K$1000, MATCH(83, 'Detalles movimientos'!$T$5:$T$1000, 0)), "")</f>
        <v/>
      </c>
      <c r="K92" s="21" t="str">
        <f>IFERROR(INDEX('Detalles movimientos'!L$5:L$1000, MATCH(83, 'Detalles movimientos'!$T$5:$T$1000, 0)), "")</f>
        <v/>
      </c>
      <c r="L92" s="19" t="str">
        <f>IFERROR(INDEX('Detalles movimientos'!M$5:M$1000, MATCH(83, 'Detalles movimientos'!$T$5:$T$1000, 0)), "")</f>
        <v/>
      </c>
      <c r="M92" s="19" t="str">
        <f>IFERROR(INDEX('Detalles movimientos'!P$5:P$1000, MATCH(83, 'Detalles movimientos'!$T$5:$T$1000, 0)), "")</f>
        <v/>
      </c>
    </row>
    <row r="93" spans="2:13" x14ac:dyDescent="0.2">
      <c r="B93" s="18" t="str">
        <f>IFERROR(INDEX('Detalles movimientos'!C$5:C$1000, MATCH(84, 'Detalles movimientos'!$T$5:$T$1000, 0)), "")</f>
        <v/>
      </c>
      <c r="C93" s="19" t="str">
        <f>IFERROR(INDEX('Detalles movimientos'!D$5:D$1000, MATCH(84, 'Detalles movimientos'!$T$5:$T$1000, 0)), "")</f>
        <v/>
      </c>
      <c r="D93" s="20" t="str">
        <f>IFERROR(INDEX('Detalles movimientos'!E$5:E$1000, MATCH(84, 'Detalles movimientos'!$T$5:$T$1000, 0)), "")</f>
        <v/>
      </c>
      <c r="E93" s="20" t="str">
        <f>IFERROR(INDEX('Detalles movimientos'!F$5:F$1000, MATCH(84, 'Detalles movimientos'!$T$5:$T$1000, 0)), "")</f>
        <v/>
      </c>
      <c r="F93" s="19" t="str">
        <f>IFERROR(INDEX('Detalles movimientos'!G$5:G$1000, MATCH(84, 'Detalles movimientos'!$T$5:$T$1000, 0)), "")</f>
        <v/>
      </c>
      <c r="G93" s="21" t="str">
        <f>IFERROR(INDEX('Detalles movimientos'!H$5:H$1000, MATCH(84, 'Detalles movimientos'!$T$5:$T$1000, 0)), "")</f>
        <v/>
      </c>
      <c r="H93" s="22" t="str">
        <f>IFERROR(INDEX('Detalles movimientos'!I$5:I$1000, MATCH(84, 'Detalles movimientos'!$T$5:$T$1000, 0)), "")</f>
        <v/>
      </c>
      <c r="I93" s="21" t="str">
        <f>IFERROR(INDEX('Detalles movimientos'!J$5:J$1000, MATCH(84, 'Detalles movimientos'!$T$5:$T$1000, 0)), "")</f>
        <v/>
      </c>
      <c r="J93" s="20" t="str">
        <f>IFERROR(INDEX('Detalles movimientos'!K$5:K$1000, MATCH(84, 'Detalles movimientos'!$T$5:$T$1000, 0)), "")</f>
        <v/>
      </c>
      <c r="K93" s="21" t="str">
        <f>IFERROR(INDEX('Detalles movimientos'!L$5:L$1000, MATCH(84, 'Detalles movimientos'!$T$5:$T$1000, 0)), "")</f>
        <v/>
      </c>
      <c r="L93" s="19" t="str">
        <f>IFERROR(INDEX('Detalles movimientos'!M$5:M$1000, MATCH(84, 'Detalles movimientos'!$T$5:$T$1000, 0)), "")</f>
        <v/>
      </c>
      <c r="M93" s="19" t="str">
        <f>IFERROR(INDEX('Detalles movimientos'!P$5:P$1000, MATCH(84, 'Detalles movimientos'!$T$5:$T$1000, 0)), "")</f>
        <v/>
      </c>
    </row>
    <row r="94" spans="2:13" x14ac:dyDescent="0.2">
      <c r="B94" s="18" t="str">
        <f>IFERROR(INDEX('Detalles movimientos'!C$5:C$1000, MATCH(85, 'Detalles movimientos'!$T$5:$T$1000, 0)), "")</f>
        <v/>
      </c>
      <c r="C94" s="19" t="str">
        <f>IFERROR(INDEX('Detalles movimientos'!D$5:D$1000, MATCH(85, 'Detalles movimientos'!$T$5:$T$1000, 0)), "")</f>
        <v/>
      </c>
      <c r="D94" s="20" t="str">
        <f>IFERROR(INDEX('Detalles movimientos'!E$5:E$1000, MATCH(85, 'Detalles movimientos'!$T$5:$T$1000, 0)), "")</f>
        <v/>
      </c>
      <c r="E94" s="20" t="str">
        <f>IFERROR(INDEX('Detalles movimientos'!F$5:F$1000, MATCH(85, 'Detalles movimientos'!$T$5:$T$1000, 0)), "")</f>
        <v/>
      </c>
      <c r="F94" s="19" t="str">
        <f>IFERROR(INDEX('Detalles movimientos'!G$5:G$1000, MATCH(85, 'Detalles movimientos'!$T$5:$T$1000, 0)), "")</f>
        <v/>
      </c>
      <c r="G94" s="21" t="str">
        <f>IFERROR(INDEX('Detalles movimientos'!H$5:H$1000, MATCH(85, 'Detalles movimientos'!$T$5:$T$1000, 0)), "")</f>
        <v/>
      </c>
      <c r="H94" s="22" t="str">
        <f>IFERROR(INDEX('Detalles movimientos'!I$5:I$1000, MATCH(85, 'Detalles movimientos'!$T$5:$T$1000, 0)), "")</f>
        <v/>
      </c>
      <c r="I94" s="21" t="str">
        <f>IFERROR(INDEX('Detalles movimientos'!J$5:J$1000, MATCH(85, 'Detalles movimientos'!$T$5:$T$1000, 0)), "")</f>
        <v/>
      </c>
      <c r="J94" s="20" t="str">
        <f>IFERROR(INDEX('Detalles movimientos'!K$5:K$1000, MATCH(85, 'Detalles movimientos'!$T$5:$T$1000, 0)), "")</f>
        <v/>
      </c>
      <c r="K94" s="21" t="str">
        <f>IFERROR(INDEX('Detalles movimientos'!L$5:L$1000, MATCH(85, 'Detalles movimientos'!$T$5:$T$1000, 0)), "")</f>
        <v/>
      </c>
      <c r="L94" s="19" t="str">
        <f>IFERROR(INDEX('Detalles movimientos'!M$5:M$1000, MATCH(85, 'Detalles movimientos'!$T$5:$T$1000, 0)), "")</f>
        <v/>
      </c>
      <c r="M94" s="19" t="str">
        <f>IFERROR(INDEX('Detalles movimientos'!P$5:P$1000, MATCH(85, 'Detalles movimientos'!$T$5:$T$1000, 0)), "")</f>
        <v/>
      </c>
    </row>
    <row r="95" spans="2:13" x14ac:dyDescent="0.2">
      <c r="B95" s="18" t="str">
        <f>IFERROR(INDEX('Detalles movimientos'!C$5:C$1000, MATCH(86, 'Detalles movimientos'!$T$5:$T$1000, 0)), "")</f>
        <v/>
      </c>
      <c r="C95" s="19" t="str">
        <f>IFERROR(INDEX('Detalles movimientos'!D$5:D$1000, MATCH(86, 'Detalles movimientos'!$T$5:$T$1000, 0)), "")</f>
        <v/>
      </c>
      <c r="D95" s="20" t="str">
        <f>IFERROR(INDEX('Detalles movimientos'!E$5:E$1000, MATCH(86, 'Detalles movimientos'!$T$5:$T$1000, 0)), "")</f>
        <v/>
      </c>
      <c r="E95" s="20" t="str">
        <f>IFERROR(INDEX('Detalles movimientos'!F$5:F$1000, MATCH(86, 'Detalles movimientos'!$T$5:$T$1000, 0)), "")</f>
        <v/>
      </c>
      <c r="F95" s="19" t="str">
        <f>IFERROR(INDEX('Detalles movimientos'!G$5:G$1000, MATCH(86, 'Detalles movimientos'!$T$5:$T$1000, 0)), "")</f>
        <v/>
      </c>
      <c r="G95" s="21" t="str">
        <f>IFERROR(INDEX('Detalles movimientos'!H$5:H$1000, MATCH(86, 'Detalles movimientos'!$T$5:$T$1000, 0)), "")</f>
        <v/>
      </c>
      <c r="H95" s="22" t="str">
        <f>IFERROR(INDEX('Detalles movimientos'!I$5:I$1000, MATCH(86, 'Detalles movimientos'!$T$5:$T$1000, 0)), "")</f>
        <v/>
      </c>
      <c r="I95" s="21" t="str">
        <f>IFERROR(INDEX('Detalles movimientos'!J$5:J$1000, MATCH(86, 'Detalles movimientos'!$T$5:$T$1000, 0)), "")</f>
        <v/>
      </c>
      <c r="J95" s="20" t="str">
        <f>IFERROR(INDEX('Detalles movimientos'!K$5:K$1000, MATCH(86, 'Detalles movimientos'!$T$5:$T$1000, 0)), "")</f>
        <v/>
      </c>
      <c r="K95" s="21" t="str">
        <f>IFERROR(INDEX('Detalles movimientos'!L$5:L$1000, MATCH(86, 'Detalles movimientos'!$T$5:$T$1000, 0)), "")</f>
        <v/>
      </c>
      <c r="L95" s="19" t="str">
        <f>IFERROR(INDEX('Detalles movimientos'!M$5:M$1000, MATCH(86, 'Detalles movimientos'!$T$5:$T$1000, 0)), "")</f>
        <v/>
      </c>
      <c r="M95" s="19" t="str">
        <f>IFERROR(INDEX('Detalles movimientos'!P$5:P$1000, MATCH(86, 'Detalles movimientos'!$T$5:$T$1000, 0)), "")</f>
        <v/>
      </c>
    </row>
    <row r="96" spans="2:13" x14ac:dyDescent="0.2">
      <c r="B96" s="18" t="str">
        <f>IFERROR(INDEX('Detalles movimientos'!C$5:C$1000, MATCH(87, 'Detalles movimientos'!$T$5:$T$1000, 0)), "")</f>
        <v/>
      </c>
      <c r="C96" s="19" t="str">
        <f>IFERROR(INDEX('Detalles movimientos'!D$5:D$1000, MATCH(87, 'Detalles movimientos'!$T$5:$T$1000, 0)), "")</f>
        <v/>
      </c>
      <c r="D96" s="20" t="str">
        <f>IFERROR(INDEX('Detalles movimientos'!E$5:E$1000, MATCH(87, 'Detalles movimientos'!$T$5:$T$1000, 0)), "")</f>
        <v/>
      </c>
      <c r="E96" s="20" t="str">
        <f>IFERROR(INDEX('Detalles movimientos'!F$5:F$1000, MATCH(87, 'Detalles movimientos'!$T$5:$T$1000, 0)), "")</f>
        <v/>
      </c>
      <c r="F96" s="19" t="str">
        <f>IFERROR(INDEX('Detalles movimientos'!G$5:G$1000, MATCH(87, 'Detalles movimientos'!$T$5:$T$1000, 0)), "")</f>
        <v/>
      </c>
      <c r="G96" s="21" t="str">
        <f>IFERROR(INDEX('Detalles movimientos'!H$5:H$1000, MATCH(87, 'Detalles movimientos'!$T$5:$T$1000, 0)), "")</f>
        <v/>
      </c>
      <c r="H96" s="22" t="str">
        <f>IFERROR(INDEX('Detalles movimientos'!I$5:I$1000, MATCH(87, 'Detalles movimientos'!$T$5:$T$1000, 0)), "")</f>
        <v/>
      </c>
      <c r="I96" s="21" t="str">
        <f>IFERROR(INDEX('Detalles movimientos'!J$5:J$1000, MATCH(87, 'Detalles movimientos'!$T$5:$T$1000, 0)), "")</f>
        <v/>
      </c>
      <c r="J96" s="20" t="str">
        <f>IFERROR(INDEX('Detalles movimientos'!K$5:K$1000, MATCH(87, 'Detalles movimientos'!$T$5:$T$1000, 0)), "")</f>
        <v/>
      </c>
      <c r="K96" s="21" t="str">
        <f>IFERROR(INDEX('Detalles movimientos'!L$5:L$1000, MATCH(87, 'Detalles movimientos'!$T$5:$T$1000, 0)), "")</f>
        <v/>
      </c>
      <c r="L96" s="19" t="str">
        <f>IFERROR(INDEX('Detalles movimientos'!M$5:M$1000, MATCH(87, 'Detalles movimientos'!$T$5:$T$1000, 0)), "")</f>
        <v/>
      </c>
      <c r="M96" s="19" t="str">
        <f>IFERROR(INDEX('Detalles movimientos'!P$5:P$1000, MATCH(87, 'Detalles movimientos'!$T$5:$T$1000, 0)), "")</f>
        <v/>
      </c>
    </row>
    <row r="97" spans="2:13" x14ac:dyDescent="0.2">
      <c r="B97" s="18" t="str">
        <f>IFERROR(INDEX('Detalles movimientos'!C$5:C$1000, MATCH(88, 'Detalles movimientos'!$T$5:$T$1000, 0)), "")</f>
        <v/>
      </c>
      <c r="C97" s="19" t="str">
        <f>IFERROR(INDEX('Detalles movimientos'!D$5:D$1000, MATCH(88, 'Detalles movimientos'!$T$5:$T$1000, 0)), "")</f>
        <v/>
      </c>
      <c r="D97" s="20" t="str">
        <f>IFERROR(INDEX('Detalles movimientos'!E$5:E$1000, MATCH(88, 'Detalles movimientos'!$T$5:$T$1000, 0)), "")</f>
        <v/>
      </c>
      <c r="E97" s="20" t="str">
        <f>IFERROR(INDEX('Detalles movimientos'!F$5:F$1000, MATCH(88, 'Detalles movimientos'!$T$5:$T$1000, 0)), "")</f>
        <v/>
      </c>
      <c r="F97" s="19" t="str">
        <f>IFERROR(INDEX('Detalles movimientos'!G$5:G$1000, MATCH(88, 'Detalles movimientos'!$T$5:$T$1000, 0)), "")</f>
        <v/>
      </c>
      <c r="G97" s="21" t="str">
        <f>IFERROR(INDEX('Detalles movimientos'!H$5:H$1000, MATCH(88, 'Detalles movimientos'!$T$5:$T$1000, 0)), "")</f>
        <v/>
      </c>
      <c r="H97" s="22" t="str">
        <f>IFERROR(INDEX('Detalles movimientos'!I$5:I$1000, MATCH(88, 'Detalles movimientos'!$T$5:$T$1000, 0)), "")</f>
        <v/>
      </c>
      <c r="I97" s="21" t="str">
        <f>IFERROR(INDEX('Detalles movimientos'!J$5:J$1000, MATCH(88, 'Detalles movimientos'!$T$5:$T$1000, 0)), "")</f>
        <v/>
      </c>
      <c r="J97" s="20" t="str">
        <f>IFERROR(INDEX('Detalles movimientos'!K$5:K$1000, MATCH(88, 'Detalles movimientos'!$T$5:$T$1000, 0)), "")</f>
        <v/>
      </c>
      <c r="K97" s="21" t="str">
        <f>IFERROR(INDEX('Detalles movimientos'!L$5:L$1000, MATCH(88, 'Detalles movimientos'!$T$5:$T$1000, 0)), "")</f>
        <v/>
      </c>
      <c r="L97" s="19" t="str">
        <f>IFERROR(INDEX('Detalles movimientos'!M$5:M$1000, MATCH(88, 'Detalles movimientos'!$T$5:$T$1000, 0)), "")</f>
        <v/>
      </c>
      <c r="M97" s="19" t="str">
        <f>IFERROR(INDEX('Detalles movimientos'!P$5:P$1000, MATCH(88, 'Detalles movimientos'!$T$5:$T$1000, 0)), "")</f>
        <v/>
      </c>
    </row>
    <row r="98" spans="2:13" x14ac:dyDescent="0.2">
      <c r="B98" s="18" t="str">
        <f>IFERROR(INDEX('Detalles movimientos'!C$5:C$1000, MATCH(89, 'Detalles movimientos'!$T$5:$T$1000, 0)), "")</f>
        <v/>
      </c>
      <c r="C98" s="19" t="str">
        <f>IFERROR(INDEX('Detalles movimientos'!D$5:D$1000, MATCH(89, 'Detalles movimientos'!$T$5:$T$1000, 0)), "")</f>
        <v/>
      </c>
      <c r="D98" s="20" t="str">
        <f>IFERROR(INDEX('Detalles movimientos'!E$5:E$1000, MATCH(89, 'Detalles movimientos'!$T$5:$T$1000, 0)), "")</f>
        <v/>
      </c>
      <c r="E98" s="20" t="str">
        <f>IFERROR(INDEX('Detalles movimientos'!F$5:F$1000, MATCH(89, 'Detalles movimientos'!$T$5:$T$1000, 0)), "")</f>
        <v/>
      </c>
      <c r="F98" s="19" t="str">
        <f>IFERROR(INDEX('Detalles movimientos'!G$5:G$1000, MATCH(89, 'Detalles movimientos'!$T$5:$T$1000, 0)), "")</f>
        <v/>
      </c>
      <c r="G98" s="21" t="str">
        <f>IFERROR(INDEX('Detalles movimientos'!H$5:H$1000, MATCH(89, 'Detalles movimientos'!$T$5:$T$1000, 0)), "")</f>
        <v/>
      </c>
      <c r="H98" s="22" t="str">
        <f>IFERROR(INDEX('Detalles movimientos'!I$5:I$1000, MATCH(89, 'Detalles movimientos'!$T$5:$T$1000, 0)), "")</f>
        <v/>
      </c>
      <c r="I98" s="21" t="str">
        <f>IFERROR(INDEX('Detalles movimientos'!J$5:J$1000, MATCH(89, 'Detalles movimientos'!$T$5:$T$1000, 0)), "")</f>
        <v/>
      </c>
      <c r="J98" s="20" t="str">
        <f>IFERROR(INDEX('Detalles movimientos'!K$5:K$1000, MATCH(89, 'Detalles movimientos'!$T$5:$T$1000, 0)), "")</f>
        <v/>
      </c>
      <c r="K98" s="21" t="str">
        <f>IFERROR(INDEX('Detalles movimientos'!L$5:L$1000, MATCH(89, 'Detalles movimientos'!$T$5:$T$1000, 0)), "")</f>
        <v/>
      </c>
      <c r="L98" s="19" t="str">
        <f>IFERROR(INDEX('Detalles movimientos'!M$5:M$1000, MATCH(89, 'Detalles movimientos'!$T$5:$T$1000, 0)), "")</f>
        <v/>
      </c>
      <c r="M98" s="19" t="str">
        <f>IFERROR(INDEX('Detalles movimientos'!P$5:P$1000, MATCH(89, 'Detalles movimientos'!$T$5:$T$1000, 0)), "")</f>
        <v/>
      </c>
    </row>
    <row r="99" spans="2:13" x14ac:dyDescent="0.2">
      <c r="B99" s="18" t="str">
        <f>IFERROR(INDEX('Detalles movimientos'!C$5:C$1000, MATCH(90, 'Detalles movimientos'!$T$5:$T$1000, 0)), "")</f>
        <v/>
      </c>
      <c r="C99" s="19" t="str">
        <f>IFERROR(INDEX('Detalles movimientos'!D$5:D$1000, MATCH(90, 'Detalles movimientos'!$T$5:$T$1000, 0)), "")</f>
        <v/>
      </c>
      <c r="D99" s="20" t="str">
        <f>IFERROR(INDEX('Detalles movimientos'!E$5:E$1000, MATCH(90, 'Detalles movimientos'!$T$5:$T$1000, 0)), "")</f>
        <v/>
      </c>
      <c r="E99" s="20" t="str">
        <f>IFERROR(INDEX('Detalles movimientos'!F$5:F$1000, MATCH(90, 'Detalles movimientos'!$T$5:$T$1000, 0)), "")</f>
        <v/>
      </c>
      <c r="F99" s="19" t="str">
        <f>IFERROR(INDEX('Detalles movimientos'!G$5:G$1000, MATCH(90, 'Detalles movimientos'!$T$5:$T$1000, 0)), "")</f>
        <v/>
      </c>
      <c r="G99" s="21" t="str">
        <f>IFERROR(INDEX('Detalles movimientos'!H$5:H$1000, MATCH(90, 'Detalles movimientos'!$T$5:$T$1000, 0)), "")</f>
        <v/>
      </c>
      <c r="H99" s="22" t="str">
        <f>IFERROR(INDEX('Detalles movimientos'!I$5:I$1000, MATCH(90, 'Detalles movimientos'!$T$5:$T$1000, 0)), "")</f>
        <v/>
      </c>
      <c r="I99" s="21" t="str">
        <f>IFERROR(INDEX('Detalles movimientos'!J$5:J$1000, MATCH(90, 'Detalles movimientos'!$T$5:$T$1000, 0)), "")</f>
        <v/>
      </c>
      <c r="J99" s="20" t="str">
        <f>IFERROR(INDEX('Detalles movimientos'!K$5:K$1000, MATCH(90, 'Detalles movimientos'!$T$5:$T$1000, 0)), "")</f>
        <v/>
      </c>
      <c r="K99" s="21" t="str">
        <f>IFERROR(INDEX('Detalles movimientos'!L$5:L$1000, MATCH(90, 'Detalles movimientos'!$T$5:$T$1000, 0)), "")</f>
        <v/>
      </c>
      <c r="L99" s="19" t="str">
        <f>IFERROR(INDEX('Detalles movimientos'!M$5:M$1000, MATCH(90, 'Detalles movimientos'!$T$5:$T$1000, 0)), "")</f>
        <v/>
      </c>
      <c r="M99" s="19" t="str">
        <f>IFERROR(INDEX('Detalles movimientos'!P$5:P$1000, MATCH(90, 'Detalles movimientos'!$T$5:$T$1000, 0)), "")</f>
        <v/>
      </c>
    </row>
    <row r="100" spans="2:13" x14ac:dyDescent="0.2">
      <c r="B100" s="18" t="str">
        <f>IFERROR(INDEX('Detalles movimientos'!C$5:C$1000, MATCH(91, 'Detalles movimientos'!$T$5:$T$1000, 0)), "")</f>
        <v/>
      </c>
      <c r="C100" s="19" t="str">
        <f>IFERROR(INDEX('Detalles movimientos'!D$5:D$1000, MATCH(91, 'Detalles movimientos'!$T$5:$T$1000, 0)), "")</f>
        <v/>
      </c>
      <c r="D100" s="20" t="str">
        <f>IFERROR(INDEX('Detalles movimientos'!E$5:E$1000, MATCH(91, 'Detalles movimientos'!$T$5:$T$1000, 0)), "")</f>
        <v/>
      </c>
      <c r="E100" s="20" t="str">
        <f>IFERROR(INDEX('Detalles movimientos'!F$5:F$1000, MATCH(91, 'Detalles movimientos'!$T$5:$T$1000, 0)), "")</f>
        <v/>
      </c>
      <c r="F100" s="19" t="str">
        <f>IFERROR(INDEX('Detalles movimientos'!G$5:G$1000, MATCH(91, 'Detalles movimientos'!$T$5:$T$1000, 0)), "")</f>
        <v/>
      </c>
      <c r="G100" s="21" t="str">
        <f>IFERROR(INDEX('Detalles movimientos'!H$5:H$1000, MATCH(91, 'Detalles movimientos'!$T$5:$T$1000, 0)), "")</f>
        <v/>
      </c>
      <c r="H100" s="22" t="str">
        <f>IFERROR(INDEX('Detalles movimientos'!I$5:I$1000, MATCH(91, 'Detalles movimientos'!$T$5:$T$1000, 0)), "")</f>
        <v/>
      </c>
      <c r="I100" s="21" t="str">
        <f>IFERROR(INDEX('Detalles movimientos'!J$5:J$1000, MATCH(91, 'Detalles movimientos'!$T$5:$T$1000, 0)), "")</f>
        <v/>
      </c>
      <c r="J100" s="20" t="str">
        <f>IFERROR(INDEX('Detalles movimientos'!K$5:K$1000, MATCH(91, 'Detalles movimientos'!$T$5:$T$1000, 0)), "")</f>
        <v/>
      </c>
      <c r="K100" s="21" t="str">
        <f>IFERROR(INDEX('Detalles movimientos'!L$5:L$1000, MATCH(91, 'Detalles movimientos'!$T$5:$T$1000, 0)), "")</f>
        <v/>
      </c>
      <c r="L100" s="19" t="str">
        <f>IFERROR(INDEX('Detalles movimientos'!M$5:M$1000, MATCH(91, 'Detalles movimientos'!$T$5:$T$1000, 0)), "")</f>
        <v/>
      </c>
      <c r="M100" s="19" t="str">
        <f>IFERROR(INDEX('Detalles movimientos'!P$5:P$1000, MATCH(91, 'Detalles movimientos'!$T$5:$T$1000, 0)), "")</f>
        <v/>
      </c>
    </row>
    <row r="101" spans="2:13" x14ac:dyDescent="0.2">
      <c r="B101" s="18" t="str">
        <f>IFERROR(INDEX('Detalles movimientos'!C$5:C$1000, MATCH(92, 'Detalles movimientos'!$T$5:$T$1000, 0)), "")</f>
        <v/>
      </c>
      <c r="C101" s="19" t="str">
        <f>IFERROR(INDEX('Detalles movimientos'!D$5:D$1000, MATCH(92, 'Detalles movimientos'!$T$5:$T$1000, 0)), "")</f>
        <v/>
      </c>
      <c r="D101" s="20" t="str">
        <f>IFERROR(INDEX('Detalles movimientos'!E$5:E$1000, MATCH(92, 'Detalles movimientos'!$T$5:$T$1000, 0)), "")</f>
        <v/>
      </c>
      <c r="E101" s="20" t="str">
        <f>IFERROR(INDEX('Detalles movimientos'!F$5:F$1000, MATCH(92, 'Detalles movimientos'!$T$5:$T$1000, 0)), "")</f>
        <v/>
      </c>
      <c r="F101" s="19" t="str">
        <f>IFERROR(INDEX('Detalles movimientos'!G$5:G$1000, MATCH(92, 'Detalles movimientos'!$T$5:$T$1000, 0)), "")</f>
        <v/>
      </c>
      <c r="G101" s="21" t="str">
        <f>IFERROR(INDEX('Detalles movimientos'!H$5:H$1000, MATCH(92, 'Detalles movimientos'!$T$5:$T$1000, 0)), "")</f>
        <v/>
      </c>
      <c r="H101" s="22" t="str">
        <f>IFERROR(INDEX('Detalles movimientos'!I$5:I$1000, MATCH(92, 'Detalles movimientos'!$T$5:$T$1000, 0)), "")</f>
        <v/>
      </c>
      <c r="I101" s="21" t="str">
        <f>IFERROR(INDEX('Detalles movimientos'!J$5:J$1000, MATCH(92, 'Detalles movimientos'!$T$5:$T$1000, 0)), "")</f>
        <v/>
      </c>
      <c r="J101" s="20" t="str">
        <f>IFERROR(INDEX('Detalles movimientos'!K$5:K$1000, MATCH(92, 'Detalles movimientos'!$T$5:$T$1000, 0)), "")</f>
        <v/>
      </c>
      <c r="K101" s="21" t="str">
        <f>IFERROR(INDEX('Detalles movimientos'!L$5:L$1000, MATCH(92, 'Detalles movimientos'!$T$5:$T$1000, 0)), "")</f>
        <v/>
      </c>
      <c r="L101" s="19" t="str">
        <f>IFERROR(INDEX('Detalles movimientos'!M$5:M$1000, MATCH(92, 'Detalles movimientos'!$T$5:$T$1000, 0)), "")</f>
        <v/>
      </c>
      <c r="M101" s="19" t="str">
        <f>IFERROR(INDEX('Detalles movimientos'!P$5:P$1000, MATCH(92, 'Detalles movimientos'!$T$5:$T$1000, 0)), "")</f>
        <v/>
      </c>
    </row>
    <row r="102" spans="2:13" x14ac:dyDescent="0.2">
      <c r="B102" s="18" t="str">
        <f>IFERROR(INDEX('Detalles movimientos'!C$5:C$1000, MATCH(93, 'Detalles movimientos'!$T$5:$T$1000, 0)), "")</f>
        <v/>
      </c>
      <c r="C102" s="19" t="str">
        <f>IFERROR(INDEX('Detalles movimientos'!D$5:D$1000, MATCH(93, 'Detalles movimientos'!$T$5:$T$1000, 0)), "")</f>
        <v/>
      </c>
      <c r="D102" s="20" t="str">
        <f>IFERROR(INDEX('Detalles movimientos'!E$5:E$1000, MATCH(93, 'Detalles movimientos'!$T$5:$T$1000, 0)), "")</f>
        <v/>
      </c>
      <c r="E102" s="20" t="str">
        <f>IFERROR(INDEX('Detalles movimientos'!F$5:F$1000, MATCH(93, 'Detalles movimientos'!$T$5:$T$1000, 0)), "")</f>
        <v/>
      </c>
      <c r="F102" s="19" t="str">
        <f>IFERROR(INDEX('Detalles movimientos'!G$5:G$1000, MATCH(93, 'Detalles movimientos'!$T$5:$T$1000, 0)), "")</f>
        <v/>
      </c>
      <c r="G102" s="21" t="str">
        <f>IFERROR(INDEX('Detalles movimientos'!H$5:H$1000, MATCH(93, 'Detalles movimientos'!$T$5:$T$1000, 0)), "")</f>
        <v/>
      </c>
      <c r="H102" s="22" t="str">
        <f>IFERROR(INDEX('Detalles movimientos'!I$5:I$1000, MATCH(93, 'Detalles movimientos'!$T$5:$T$1000, 0)), "")</f>
        <v/>
      </c>
      <c r="I102" s="21" t="str">
        <f>IFERROR(INDEX('Detalles movimientos'!J$5:J$1000, MATCH(93, 'Detalles movimientos'!$T$5:$T$1000, 0)), "")</f>
        <v/>
      </c>
      <c r="J102" s="20" t="str">
        <f>IFERROR(INDEX('Detalles movimientos'!K$5:K$1000, MATCH(93, 'Detalles movimientos'!$T$5:$T$1000, 0)), "")</f>
        <v/>
      </c>
      <c r="K102" s="21" t="str">
        <f>IFERROR(INDEX('Detalles movimientos'!L$5:L$1000, MATCH(93, 'Detalles movimientos'!$T$5:$T$1000, 0)), "")</f>
        <v/>
      </c>
      <c r="L102" s="19" t="str">
        <f>IFERROR(INDEX('Detalles movimientos'!M$5:M$1000, MATCH(93, 'Detalles movimientos'!$T$5:$T$1000, 0)), "")</f>
        <v/>
      </c>
      <c r="M102" s="19" t="str">
        <f>IFERROR(INDEX('Detalles movimientos'!P$5:P$1000, MATCH(93, 'Detalles movimientos'!$T$5:$T$1000, 0)), "")</f>
        <v/>
      </c>
    </row>
    <row r="103" spans="2:13" x14ac:dyDescent="0.2">
      <c r="B103" s="18" t="str">
        <f>IFERROR(INDEX('Detalles movimientos'!C$5:C$1000, MATCH(94, 'Detalles movimientos'!$T$5:$T$1000, 0)), "")</f>
        <v/>
      </c>
      <c r="C103" s="19" t="str">
        <f>IFERROR(INDEX('Detalles movimientos'!D$5:D$1000, MATCH(94, 'Detalles movimientos'!$T$5:$T$1000, 0)), "")</f>
        <v/>
      </c>
      <c r="D103" s="20" t="str">
        <f>IFERROR(INDEX('Detalles movimientos'!E$5:E$1000, MATCH(94, 'Detalles movimientos'!$T$5:$T$1000, 0)), "")</f>
        <v/>
      </c>
      <c r="E103" s="20" t="str">
        <f>IFERROR(INDEX('Detalles movimientos'!F$5:F$1000, MATCH(94, 'Detalles movimientos'!$T$5:$T$1000, 0)), "")</f>
        <v/>
      </c>
      <c r="F103" s="19" t="str">
        <f>IFERROR(INDEX('Detalles movimientos'!G$5:G$1000, MATCH(94, 'Detalles movimientos'!$T$5:$T$1000, 0)), "")</f>
        <v/>
      </c>
      <c r="G103" s="21" t="str">
        <f>IFERROR(INDEX('Detalles movimientos'!H$5:H$1000, MATCH(94, 'Detalles movimientos'!$T$5:$T$1000, 0)), "")</f>
        <v/>
      </c>
      <c r="H103" s="22" t="str">
        <f>IFERROR(INDEX('Detalles movimientos'!I$5:I$1000, MATCH(94, 'Detalles movimientos'!$T$5:$T$1000, 0)), "")</f>
        <v/>
      </c>
      <c r="I103" s="21" t="str">
        <f>IFERROR(INDEX('Detalles movimientos'!J$5:J$1000, MATCH(94, 'Detalles movimientos'!$T$5:$T$1000, 0)), "")</f>
        <v/>
      </c>
      <c r="J103" s="20" t="str">
        <f>IFERROR(INDEX('Detalles movimientos'!K$5:K$1000, MATCH(94, 'Detalles movimientos'!$T$5:$T$1000, 0)), "")</f>
        <v/>
      </c>
      <c r="K103" s="21" t="str">
        <f>IFERROR(INDEX('Detalles movimientos'!L$5:L$1000, MATCH(94, 'Detalles movimientos'!$T$5:$T$1000, 0)), "")</f>
        <v/>
      </c>
      <c r="L103" s="19" t="str">
        <f>IFERROR(INDEX('Detalles movimientos'!M$5:M$1000, MATCH(94, 'Detalles movimientos'!$T$5:$T$1000, 0)), "")</f>
        <v/>
      </c>
      <c r="M103" s="19" t="str">
        <f>IFERROR(INDEX('Detalles movimientos'!P$5:P$1000, MATCH(94, 'Detalles movimientos'!$T$5:$T$1000, 0)), "")</f>
        <v/>
      </c>
    </row>
    <row r="104" spans="2:13" x14ac:dyDescent="0.2">
      <c r="B104" s="18" t="str">
        <f>IFERROR(INDEX('Detalles movimientos'!C$5:C$1000, MATCH(95, 'Detalles movimientos'!$T$5:$T$1000, 0)), "")</f>
        <v/>
      </c>
      <c r="C104" s="19" t="str">
        <f>IFERROR(INDEX('Detalles movimientos'!D$5:D$1000, MATCH(95, 'Detalles movimientos'!$T$5:$T$1000, 0)), "")</f>
        <v/>
      </c>
      <c r="D104" s="20" t="str">
        <f>IFERROR(INDEX('Detalles movimientos'!E$5:E$1000, MATCH(95, 'Detalles movimientos'!$T$5:$T$1000, 0)), "")</f>
        <v/>
      </c>
      <c r="E104" s="20" t="str">
        <f>IFERROR(INDEX('Detalles movimientos'!F$5:F$1000, MATCH(95, 'Detalles movimientos'!$T$5:$T$1000, 0)), "")</f>
        <v/>
      </c>
      <c r="F104" s="19" t="str">
        <f>IFERROR(INDEX('Detalles movimientos'!G$5:G$1000, MATCH(95, 'Detalles movimientos'!$T$5:$T$1000, 0)), "")</f>
        <v/>
      </c>
      <c r="G104" s="21" t="str">
        <f>IFERROR(INDEX('Detalles movimientos'!H$5:H$1000, MATCH(95, 'Detalles movimientos'!$T$5:$T$1000, 0)), "")</f>
        <v/>
      </c>
      <c r="H104" s="22" t="str">
        <f>IFERROR(INDEX('Detalles movimientos'!I$5:I$1000, MATCH(95, 'Detalles movimientos'!$T$5:$T$1000, 0)), "")</f>
        <v/>
      </c>
      <c r="I104" s="21" t="str">
        <f>IFERROR(INDEX('Detalles movimientos'!J$5:J$1000, MATCH(95, 'Detalles movimientos'!$T$5:$T$1000, 0)), "")</f>
        <v/>
      </c>
      <c r="J104" s="20" t="str">
        <f>IFERROR(INDEX('Detalles movimientos'!K$5:K$1000, MATCH(95, 'Detalles movimientos'!$T$5:$T$1000, 0)), "")</f>
        <v/>
      </c>
      <c r="K104" s="21" t="str">
        <f>IFERROR(INDEX('Detalles movimientos'!L$5:L$1000, MATCH(95, 'Detalles movimientos'!$T$5:$T$1000, 0)), "")</f>
        <v/>
      </c>
      <c r="L104" s="19" t="str">
        <f>IFERROR(INDEX('Detalles movimientos'!M$5:M$1000, MATCH(95, 'Detalles movimientos'!$T$5:$T$1000, 0)), "")</f>
        <v/>
      </c>
      <c r="M104" s="19" t="str">
        <f>IFERROR(INDEX('Detalles movimientos'!P$5:P$1000, MATCH(95, 'Detalles movimientos'!$T$5:$T$1000, 0)), "")</f>
        <v/>
      </c>
    </row>
    <row r="105" spans="2:13" x14ac:dyDescent="0.2">
      <c r="B105" s="18" t="str">
        <f>IFERROR(INDEX('Detalles movimientos'!C$5:C$1000, MATCH(96, 'Detalles movimientos'!$T$5:$T$1000, 0)), "")</f>
        <v/>
      </c>
      <c r="C105" s="19" t="str">
        <f>IFERROR(INDEX('Detalles movimientos'!D$5:D$1000, MATCH(96, 'Detalles movimientos'!$T$5:$T$1000, 0)), "")</f>
        <v/>
      </c>
      <c r="D105" s="20" t="str">
        <f>IFERROR(INDEX('Detalles movimientos'!E$5:E$1000, MATCH(96, 'Detalles movimientos'!$T$5:$T$1000, 0)), "")</f>
        <v/>
      </c>
      <c r="E105" s="20" t="str">
        <f>IFERROR(INDEX('Detalles movimientos'!F$5:F$1000, MATCH(96, 'Detalles movimientos'!$T$5:$T$1000, 0)), "")</f>
        <v/>
      </c>
      <c r="F105" s="19" t="str">
        <f>IFERROR(INDEX('Detalles movimientos'!G$5:G$1000, MATCH(96, 'Detalles movimientos'!$T$5:$T$1000, 0)), "")</f>
        <v/>
      </c>
      <c r="G105" s="21" t="str">
        <f>IFERROR(INDEX('Detalles movimientos'!H$5:H$1000, MATCH(96, 'Detalles movimientos'!$T$5:$T$1000, 0)), "")</f>
        <v/>
      </c>
      <c r="H105" s="22" t="str">
        <f>IFERROR(INDEX('Detalles movimientos'!I$5:I$1000, MATCH(96, 'Detalles movimientos'!$T$5:$T$1000, 0)), "")</f>
        <v/>
      </c>
      <c r="I105" s="21" t="str">
        <f>IFERROR(INDEX('Detalles movimientos'!J$5:J$1000, MATCH(96, 'Detalles movimientos'!$T$5:$T$1000, 0)), "")</f>
        <v/>
      </c>
      <c r="J105" s="20" t="str">
        <f>IFERROR(INDEX('Detalles movimientos'!K$5:K$1000, MATCH(96, 'Detalles movimientos'!$T$5:$T$1000, 0)), "")</f>
        <v/>
      </c>
      <c r="K105" s="21" t="str">
        <f>IFERROR(INDEX('Detalles movimientos'!L$5:L$1000, MATCH(96, 'Detalles movimientos'!$T$5:$T$1000, 0)), "")</f>
        <v/>
      </c>
      <c r="L105" s="19" t="str">
        <f>IFERROR(INDEX('Detalles movimientos'!M$5:M$1000, MATCH(96, 'Detalles movimientos'!$T$5:$T$1000, 0)), "")</f>
        <v/>
      </c>
      <c r="M105" s="19" t="str">
        <f>IFERROR(INDEX('Detalles movimientos'!P$5:P$1000, MATCH(96, 'Detalles movimientos'!$T$5:$T$1000, 0)), "")</f>
        <v/>
      </c>
    </row>
    <row r="106" spans="2:13" x14ac:dyDescent="0.2">
      <c r="B106" s="18" t="str">
        <f>IFERROR(INDEX('Detalles movimientos'!C$5:C$1000, MATCH(97, 'Detalles movimientos'!$T$5:$T$1000, 0)), "")</f>
        <v/>
      </c>
      <c r="C106" s="19" t="str">
        <f>IFERROR(INDEX('Detalles movimientos'!D$5:D$1000, MATCH(97, 'Detalles movimientos'!$T$5:$T$1000, 0)), "")</f>
        <v/>
      </c>
      <c r="D106" s="20" t="str">
        <f>IFERROR(INDEX('Detalles movimientos'!E$5:E$1000, MATCH(97, 'Detalles movimientos'!$T$5:$T$1000, 0)), "")</f>
        <v/>
      </c>
      <c r="E106" s="20" t="str">
        <f>IFERROR(INDEX('Detalles movimientos'!F$5:F$1000, MATCH(97, 'Detalles movimientos'!$T$5:$T$1000, 0)), "")</f>
        <v/>
      </c>
      <c r="F106" s="19" t="str">
        <f>IFERROR(INDEX('Detalles movimientos'!G$5:G$1000, MATCH(97, 'Detalles movimientos'!$T$5:$T$1000, 0)), "")</f>
        <v/>
      </c>
      <c r="G106" s="21" t="str">
        <f>IFERROR(INDEX('Detalles movimientos'!H$5:H$1000, MATCH(97, 'Detalles movimientos'!$T$5:$T$1000, 0)), "")</f>
        <v/>
      </c>
      <c r="H106" s="22" t="str">
        <f>IFERROR(INDEX('Detalles movimientos'!I$5:I$1000, MATCH(97, 'Detalles movimientos'!$T$5:$T$1000, 0)), "")</f>
        <v/>
      </c>
      <c r="I106" s="21" t="str">
        <f>IFERROR(INDEX('Detalles movimientos'!J$5:J$1000, MATCH(97, 'Detalles movimientos'!$T$5:$T$1000, 0)), "")</f>
        <v/>
      </c>
      <c r="J106" s="20" t="str">
        <f>IFERROR(INDEX('Detalles movimientos'!K$5:K$1000, MATCH(97, 'Detalles movimientos'!$T$5:$T$1000, 0)), "")</f>
        <v/>
      </c>
      <c r="K106" s="21" t="str">
        <f>IFERROR(INDEX('Detalles movimientos'!L$5:L$1000, MATCH(97, 'Detalles movimientos'!$T$5:$T$1000, 0)), "")</f>
        <v/>
      </c>
      <c r="L106" s="19" t="str">
        <f>IFERROR(INDEX('Detalles movimientos'!M$5:M$1000, MATCH(97, 'Detalles movimientos'!$T$5:$T$1000, 0)), "")</f>
        <v/>
      </c>
      <c r="M106" s="19" t="str">
        <f>IFERROR(INDEX('Detalles movimientos'!P$5:P$1000, MATCH(97, 'Detalles movimientos'!$T$5:$T$1000, 0)), "")</f>
        <v/>
      </c>
    </row>
    <row r="107" spans="2:13" x14ac:dyDescent="0.2">
      <c r="B107" s="18" t="str">
        <f>IFERROR(INDEX('Detalles movimientos'!C$5:C$1000, MATCH(98, 'Detalles movimientos'!$T$5:$T$1000, 0)), "")</f>
        <v/>
      </c>
      <c r="C107" s="19" t="str">
        <f>IFERROR(INDEX('Detalles movimientos'!D$5:D$1000, MATCH(98, 'Detalles movimientos'!$T$5:$T$1000, 0)), "")</f>
        <v/>
      </c>
      <c r="D107" s="20" t="str">
        <f>IFERROR(INDEX('Detalles movimientos'!E$5:E$1000, MATCH(98, 'Detalles movimientos'!$T$5:$T$1000, 0)), "")</f>
        <v/>
      </c>
      <c r="E107" s="20" t="str">
        <f>IFERROR(INDEX('Detalles movimientos'!F$5:F$1000, MATCH(98, 'Detalles movimientos'!$T$5:$T$1000, 0)), "")</f>
        <v/>
      </c>
      <c r="F107" s="19" t="str">
        <f>IFERROR(INDEX('Detalles movimientos'!G$5:G$1000, MATCH(98, 'Detalles movimientos'!$T$5:$T$1000, 0)), "")</f>
        <v/>
      </c>
      <c r="G107" s="21" t="str">
        <f>IFERROR(INDEX('Detalles movimientos'!H$5:H$1000, MATCH(98, 'Detalles movimientos'!$T$5:$T$1000, 0)), "")</f>
        <v/>
      </c>
      <c r="H107" s="22" t="str">
        <f>IFERROR(INDEX('Detalles movimientos'!I$5:I$1000, MATCH(98, 'Detalles movimientos'!$T$5:$T$1000, 0)), "")</f>
        <v/>
      </c>
      <c r="I107" s="21" t="str">
        <f>IFERROR(INDEX('Detalles movimientos'!J$5:J$1000, MATCH(98, 'Detalles movimientos'!$T$5:$T$1000, 0)), "")</f>
        <v/>
      </c>
      <c r="J107" s="20" t="str">
        <f>IFERROR(INDEX('Detalles movimientos'!K$5:K$1000, MATCH(98, 'Detalles movimientos'!$T$5:$T$1000, 0)), "")</f>
        <v/>
      </c>
      <c r="K107" s="21" t="str">
        <f>IFERROR(INDEX('Detalles movimientos'!L$5:L$1000, MATCH(98, 'Detalles movimientos'!$T$5:$T$1000, 0)), "")</f>
        <v/>
      </c>
      <c r="L107" s="19" t="str">
        <f>IFERROR(INDEX('Detalles movimientos'!M$5:M$1000, MATCH(98, 'Detalles movimientos'!$T$5:$T$1000, 0)), "")</f>
        <v/>
      </c>
      <c r="M107" s="19" t="str">
        <f>IFERROR(INDEX('Detalles movimientos'!P$5:P$1000, MATCH(98, 'Detalles movimientos'!$T$5:$T$1000, 0)), "")</f>
        <v/>
      </c>
    </row>
    <row r="108" spans="2:13" x14ac:dyDescent="0.2">
      <c r="B108" s="18" t="str">
        <f>IFERROR(INDEX('Detalles movimientos'!C$5:C$1000, MATCH(99, 'Detalles movimientos'!$T$5:$T$1000, 0)), "")</f>
        <v/>
      </c>
      <c r="C108" s="19" t="str">
        <f>IFERROR(INDEX('Detalles movimientos'!D$5:D$1000, MATCH(99, 'Detalles movimientos'!$T$5:$T$1000, 0)), "")</f>
        <v/>
      </c>
      <c r="D108" s="20" t="str">
        <f>IFERROR(INDEX('Detalles movimientos'!E$5:E$1000, MATCH(99, 'Detalles movimientos'!$T$5:$T$1000, 0)), "")</f>
        <v/>
      </c>
      <c r="E108" s="20" t="str">
        <f>IFERROR(INDEX('Detalles movimientos'!F$5:F$1000, MATCH(99, 'Detalles movimientos'!$T$5:$T$1000, 0)), "")</f>
        <v/>
      </c>
      <c r="F108" s="19" t="str">
        <f>IFERROR(INDEX('Detalles movimientos'!G$5:G$1000, MATCH(99, 'Detalles movimientos'!$T$5:$T$1000, 0)), "")</f>
        <v/>
      </c>
      <c r="G108" s="21" t="str">
        <f>IFERROR(INDEX('Detalles movimientos'!H$5:H$1000, MATCH(99, 'Detalles movimientos'!$T$5:$T$1000, 0)), "")</f>
        <v/>
      </c>
      <c r="H108" s="22" t="str">
        <f>IFERROR(INDEX('Detalles movimientos'!I$5:I$1000, MATCH(99, 'Detalles movimientos'!$T$5:$T$1000, 0)), "")</f>
        <v/>
      </c>
      <c r="I108" s="21" t="str">
        <f>IFERROR(INDEX('Detalles movimientos'!J$5:J$1000, MATCH(99, 'Detalles movimientos'!$T$5:$T$1000, 0)), "")</f>
        <v/>
      </c>
      <c r="J108" s="20" t="str">
        <f>IFERROR(INDEX('Detalles movimientos'!K$5:K$1000, MATCH(99, 'Detalles movimientos'!$T$5:$T$1000, 0)), "")</f>
        <v/>
      </c>
      <c r="K108" s="21" t="str">
        <f>IFERROR(INDEX('Detalles movimientos'!L$5:L$1000, MATCH(99, 'Detalles movimientos'!$T$5:$T$1000, 0)), "")</f>
        <v/>
      </c>
      <c r="L108" s="19" t="str">
        <f>IFERROR(INDEX('Detalles movimientos'!M$5:M$1000, MATCH(99, 'Detalles movimientos'!$T$5:$T$1000, 0)), "")</f>
        <v/>
      </c>
      <c r="M108" s="19" t="str">
        <f>IFERROR(INDEX('Detalles movimientos'!P$5:P$1000, MATCH(99, 'Detalles movimientos'!$T$5:$T$1000, 0)), "")</f>
        <v/>
      </c>
    </row>
    <row r="109" spans="2:13" x14ac:dyDescent="0.2">
      <c r="B109" s="18" t="str">
        <f>IFERROR(INDEX('Detalles movimientos'!C$5:C$1000, MATCH(100, 'Detalles movimientos'!$T$5:$T$1000, 0)), "")</f>
        <v/>
      </c>
      <c r="C109" s="19" t="str">
        <f>IFERROR(INDEX('Detalles movimientos'!D$5:D$1000, MATCH(100, 'Detalles movimientos'!$T$5:$T$1000, 0)), "")</f>
        <v/>
      </c>
      <c r="D109" s="20" t="str">
        <f>IFERROR(INDEX('Detalles movimientos'!E$5:E$1000, MATCH(100, 'Detalles movimientos'!$T$5:$T$1000, 0)), "")</f>
        <v/>
      </c>
      <c r="E109" s="20" t="str">
        <f>IFERROR(INDEX('Detalles movimientos'!F$5:F$1000, MATCH(100, 'Detalles movimientos'!$T$5:$T$1000, 0)), "")</f>
        <v/>
      </c>
      <c r="F109" s="19" t="str">
        <f>IFERROR(INDEX('Detalles movimientos'!G$5:G$1000, MATCH(100, 'Detalles movimientos'!$T$5:$T$1000, 0)), "")</f>
        <v/>
      </c>
      <c r="G109" s="21" t="str">
        <f>IFERROR(INDEX('Detalles movimientos'!H$5:H$1000, MATCH(100, 'Detalles movimientos'!$T$5:$T$1000, 0)), "")</f>
        <v/>
      </c>
      <c r="H109" s="22" t="str">
        <f>IFERROR(INDEX('Detalles movimientos'!I$5:I$1000, MATCH(100, 'Detalles movimientos'!$T$5:$T$1000, 0)), "")</f>
        <v/>
      </c>
      <c r="I109" s="21" t="str">
        <f>IFERROR(INDEX('Detalles movimientos'!J$5:J$1000, MATCH(100, 'Detalles movimientos'!$T$5:$T$1000, 0)), "")</f>
        <v/>
      </c>
      <c r="J109" s="20" t="str">
        <f>IFERROR(INDEX('Detalles movimientos'!K$5:K$1000, MATCH(100, 'Detalles movimientos'!$T$5:$T$1000, 0)), "")</f>
        <v/>
      </c>
      <c r="K109" s="21" t="str">
        <f>IFERROR(INDEX('Detalles movimientos'!L$5:L$1000, MATCH(100, 'Detalles movimientos'!$T$5:$T$1000, 0)), "")</f>
        <v/>
      </c>
      <c r="L109" s="19" t="str">
        <f>IFERROR(INDEX('Detalles movimientos'!M$5:M$1000, MATCH(100, 'Detalles movimientos'!$T$5:$T$1000, 0)), "")</f>
        <v/>
      </c>
      <c r="M109" s="19" t="str">
        <f>IFERROR(INDEX('Detalles movimientos'!P$5:P$1000, MATCH(100, 'Detalles movimientos'!$T$5:$T$1000, 0)), "")</f>
        <v/>
      </c>
    </row>
    <row r="110" spans="2:13" x14ac:dyDescent="0.2">
      <c r="B110" s="18" t="str">
        <f>IFERROR(INDEX('Detalles movimientos'!C$5:C$1000, MATCH(101, 'Detalles movimientos'!$T$5:$T$1000, 0)), "")</f>
        <v/>
      </c>
      <c r="C110" s="19" t="str">
        <f>IFERROR(INDEX('Detalles movimientos'!D$5:D$1000, MATCH(101, 'Detalles movimientos'!$T$5:$T$1000, 0)), "")</f>
        <v/>
      </c>
      <c r="D110" s="20" t="str">
        <f>IFERROR(INDEX('Detalles movimientos'!E$5:E$1000, MATCH(101, 'Detalles movimientos'!$T$5:$T$1000, 0)), "")</f>
        <v/>
      </c>
      <c r="E110" s="20" t="str">
        <f>IFERROR(INDEX('Detalles movimientos'!F$5:F$1000, MATCH(101, 'Detalles movimientos'!$T$5:$T$1000, 0)), "")</f>
        <v/>
      </c>
      <c r="F110" s="19" t="str">
        <f>IFERROR(INDEX('Detalles movimientos'!G$5:G$1000, MATCH(101, 'Detalles movimientos'!$T$5:$T$1000, 0)), "")</f>
        <v/>
      </c>
      <c r="G110" s="21" t="str">
        <f>IFERROR(INDEX('Detalles movimientos'!H$5:H$1000, MATCH(101, 'Detalles movimientos'!$T$5:$T$1000, 0)), "")</f>
        <v/>
      </c>
      <c r="H110" s="22" t="str">
        <f>IFERROR(INDEX('Detalles movimientos'!I$5:I$1000, MATCH(101, 'Detalles movimientos'!$T$5:$T$1000, 0)), "")</f>
        <v/>
      </c>
      <c r="I110" s="21" t="str">
        <f>IFERROR(INDEX('Detalles movimientos'!J$5:J$1000, MATCH(101, 'Detalles movimientos'!$T$5:$T$1000, 0)), "")</f>
        <v/>
      </c>
      <c r="J110" s="20" t="str">
        <f>IFERROR(INDEX('Detalles movimientos'!K$5:K$1000, MATCH(101, 'Detalles movimientos'!$T$5:$T$1000, 0)), "")</f>
        <v/>
      </c>
      <c r="K110" s="21" t="str">
        <f>IFERROR(INDEX('Detalles movimientos'!L$5:L$1000, MATCH(101, 'Detalles movimientos'!$T$5:$T$1000, 0)), "")</f>
        <v/>
      </c>
      <c r="L110" s="19" t="str">
        <f>IFERROR(INDEX('Detalles movimientos'!M$5:M$1000, MATCH(101, 'Detalles movimientos'!$T$5:$T$1000, 0)), "")</f>
        <v/>
      </c>
      <c r="M110" s="19" t="str">
        <f>IFERROR(INDEX('Detalles movimientos'!P$5:P$1000, MATCH(101, 'Detalles movimientos'!$T$5:$T$1000, 0)), "")</f>
        <v/>
      </c>
    </row>
    <row r="111" spans="2:13" x14ac:dyDescent="0.2">
      <c r="B111" s="18" t="str">
        <f>IFERROR(INDEX('Detalles movimientos'!C$5:C$1000, MATCH(102, 'Detalles movimientos'!$T$5:$T$1000, 0)), "")</f>
        <v/>
      </c>
      <c r="C111" s="19" t="str">
        <f>IFERROR(INDEX('Detalles movimientos'!D$5:D$1000, MATCH(102, 'Detalles movimientos'!$T$5:$T$1000, 0)), "")</f>
        <v/>
      </c>
      <c r="D111" s="20" t="str">
        <f>IFERROR(INDEX('Detalles movimientos'!E$5:E$1000, MATCH(102, 'Detalles movimientos'!$T$5:$T$1000, 0)), "")</f>
        <v/>
      </c>
      <c r="E111" s="20" t="str">
        <f>IFERROR(INDEX('Detalles movimientos'!F$5:F$1000, MATCH(102, 'Detalles movimientos'!$T$5:$T$1000, 0)), "")</f>
        <v/>
      </c>
      <c r="F111" s="19" t="str">
        <f>IFERROR(INDEX('Detalles movimientos'!G$5:G$1000, MATCH(102, 'Detalles movimientos'!$T$5:$T$1000, 0)), "")</f>
        <v/>
      </c>
      <c r="G111" s="21" t="str">
        <f>IFERROR(INDEX('Detalles movimientos'!H$5:H$1000, MATCH(102, 'Detalles movimientos'!$T$5:$T$1000, 0)), "")</f>
        <v/>
      </c>
      <c r="H111" s="22" t="str">
        <f>IFERROR(INDEX('Detalles movimientos'!I$5:I$1000, MATCH(102, 'Detalles movimientos'!$T$5:$T$1000, 0)), "")</f>
        <v/>
      </c>
      <c r="I111" s="21" t="str">
        <f>IFERROR(INDEX('Detalles movimientos'!J$5:J$1000, MATCH(102, 'Detalles movimientos'!$T$5:$T$1000, 0)), "")</f>
        <v/>
      </c>
      <c r="J111" s="20" t="str">
        <f>IFERROR(INDEX('Detalles movimientos'!K$5:K$1000, MATCH(102, 'Detalles movimientos'!$T$5:$T$1000, 0)), "")</f>
        <v/>
      </c>
      <c r="K111" s="21" t="str">
        <f>IFERROR(INDEX('Detalles movimientos'!L$5:L$1000, MATCH(102, 'Detalles movimientos'!$T$5:$T$1000, 0)), "")</f>
        <v/>
      </c>
      <c r="L111" s="19" t="str">
        <f>IFERROR(INDEX('Detalles movimientos'!M$5:M$1000, MATCH(102, 'Detalles movimientos'!$T$5:$T$1000, 0)), "")</f>
        <v/>
      </c>
      <c r="M111" s="19" t="str">
        <f>IFERROR(INDEX('Detalles movimientos'!P$5:P$1000, MATCH(102, 'Detalles movimientos'!$T$5:$T$1000, 0)), "")</f>
        <v/>
      </c>
    </row>
    <row r="112" spans="2:13" x14ac:dyDescent="0.2">
      <c r="B112" s="18" t="str">
        <f>IFERROR(INDEX('Detalles movimientos'!C$5:C$1000, MATCH(103, 'Detalles movimientos'!$T$5:$T$1000, 0)), "")</f>
        <v/>
      </c>
      <c r="C112" s="19" t="str">
        <f>IFERROR(INDEX('Detalles movimientos'!D$5:D$1000, MATCH(103, 'Detalles movimientos'!$T$5:$T$1000, 0)), "")</f>
        <v/>
      </c>
      <c r="D112" s="20" t="str">
        <f>IFERROR(INDEX('Detalles movimientos'!E$5:E$1000, MATCH(103, 'Detalles movimientos'!$T$5:$T$1000, 0)), "")</f>
        <v/>
      </c>
      <c r="E112" s="20" t="str">
        <f>IFERROR(INDEX('Detalles movimientos'!F$5:F$1000, MATCH(103, 'Detalles movimientos'!$T$5:$T$1000, 0)), "")</f>
        <v/>
      </c>
      <c r="F112" s="19" t="str">
        <f>IFERROR(INDEX('Detalles movimientos'!G$5:G$1000, MATCH(103, 'Detalles movimientos'!$T$5:$T$1000, 0)), "")</f>
        <v/>
      </c>
      <c r="G112" s="21" t="str">
        <f>IFERROR(INDEX('Detalles movimientos'!H$5:H$1000, MATCH(103, 'Detalles movimientos'!$T$5:$T$1000, 0)), "")</f>
        <v/>
      </c>
      <c r="H112" s="22" t="str">
        <f>IFERROR(INDEX('Detalles movimientos'!I$5:I$1000, MATCH(103, 'Detalles movimientos'!$T$5:$T$1000, 0)), "")</f>
        <v/>
      </c>
      <c r="I112" s="21" t="str">
        <f>IFERROR(INDEX('Detalles movimientos'!J$5:J$1000, MATCH(103, 'Detalles movimientos'!$T$5:$T$1000, 0)), "")</f>
        <v/>
      </c>
      <c r="J112" s="20" t="str">
        <f>IFERROR(INDEX('Detalles movimientos'!K$5:K$1000, MATCH(103, 'Detalles movimientos'!$T$5:$T$1000, 0)), "")</f>
        <v/>
      </c>
      <c r="K112" s="21" t="str">
        <f>IFERROR(INDEX('Detalles movimientos'!L$5:L$1000, MATCH(103, 'Detalles movimientos'!$T$5:$T$1000, 0)), "")</f>
        <v/>
      </c>
      <c r="L112" s="19" t="str">
        <f>IFERROR(INDEX('Detalles movimientos'!M$5:M$1000, MATCH(103, 'Detalles movimientos'!$T$5:$T$1000, 0)), "")</f>
        <v/>
      </c>
      <c r="M112" s="19" t="str">
        <f>IFERROR(INDEX('Detalles movimientos'!P$5:P$1000, MATCH(103, 'Detalles movimientos'!$T$5:$T$1000, 0)), "")</f>
        <v/>
      </c>
    </row>
    <row r="113" spans="2:13" x14ac:dyDescent="0.2">
      <c r="B113" s="18" t="str">
        <f>IFERROR(INDEX('Detalles movimientos'!C$5:C$1000, MATCH(104, 'Detalles movimientos'!$T$5:$T$1000, 0)), "")</f>
        <v/>
      </c>
      <c r="C113" s="19" t="str">
        <f>IFERROR(INDEX('Detalles movimientos'!D$5:D$1000, MATCH(104, 'Detalles movimientos'!$T$5:$T$1000, 0)), "")</f>
        <v/>
      </c>
      <c r="D113" s="20" t="str">
        <f>IFERROR(INDEX('Detalles movimientos'!E$5:E$1000, MATCH(104, 'Detalles movimientos'!$T$5:$T$1000, 0)), "")</f>
        <v/>
      </c>
      <c r="E113" s="20" t="str">
        <f>IFERROR(INDEX('Detalles movimientos'!F$5:F$1000, MATCH(104, 'Detalles movimientos'!$T$5:$T$1000, 0)), "")</f>
        <v/>
      </c>
      <c r="F113" s="19" t="str">
        <f>IFERROR(INDEX('Detalles movimientos'!G$5:G$1000, MATCH(104, 'Detalles movimientos'!$T$5:$T$1000, 0)), "")</f>
        <v/>
      </c>
      <c r="G113" s="21" t="str">
        <f>IFERROR(INDEX('Detalles movimientos'!H$5:H$1000, MATCH(104, 'Detalles movimientos'!$T$5:$T$1000, 0)), "")</f>
        <v/>
      </c>
      <c r="H113" s="22" t="str">
        <f>IFERROR(INDEX('Detalles movimientos'!I$5:I$1000, MATCH(104, 'Detalles movimientos'!$T$5:$T$1000, 0)), "")</f>
        <v/>
      </c>
      <c r="I113" s="21" t="str">
        <f>IFERROR(INDEX('Detalles movimientos'!J$5:J$1000, MATCH(104, 'Detalles movimientos'!$T$5:$T$1000, 0)), "")</f>
        <v/>
      </c>
      <c r="J113" s="20" t="str">
        <f>IFERROR(INDEX('Detalles movimientos'!K$5:K$1000, MATCH(104, 'Detalles movimientos'!$T$5:$T$1000, 0)), "")</f>
        <v/>
      </c>
      <c r="K113" s="21" t="str">
        <f>IFERROR(INDEX('Detalles movimientos'!L$5:L$1000, MATCH(104, 'Detalles movimientos'!$T$5:$T$1000, 0)), "")</f>
        <v/>
      </c>
      <c r="L113" s="19" t="str">
        <f>IFERROR(INDEX('Detalles movimientos'!M$5:M$1000, MATCH(104, 'Detalles movimientos'!$T$5:$T$1000, 0)), "")</f>
        <v/>
      </c>
      <c r="M113" s="19" t="str">
        <f>IFERROR(INDEX('Detalles movimientos'!P$5:P$1000, MATCH(104, 'Detalles movimientos'!$T$5:$T$1000, 0)), "")</f>
        <v/>
      </c>
    </row>
    <row r="114" spans="2:13" x14ac:dyDescent="0.2">
      <c r="B114" s="18" t="str">
        <f>IFERROR(INDEX('Detalles movimientos'!C$5:C$1000, MATCH(105, 'Detalles movimientos'!$T$5:$T$1000, 0)), "")</f>
        <v/>
      </c>
      <c r="C114" s="19" t="str">
        <f>IFERROR(INDEX('Detalles movimientos'!D$5:D$1000, MATCH(105, 'Detalles movimientos'!$T$5:$T$1000, 0)), "")</f>
        <v/>
      </c>
      <c r="D114" s="20" t="str">
        <f>IFERROR(INDEX('Detalles movimientos'!E$5:E$1000, MATCH(105, 'Detalles movimientos'!$T$5:$T$1000, 0)), "")</f>
        <v/>
      </c>
      <c r="E114" s="20" t="str">
        <f>IFERROR(INDEX('Detalles movimientos'!F$5:F$1000, MATCH(105, 'Detalles movimientos'!$T$5:$T$1000, 0)), "")</f>
        <v/>
      </c>
      <c r="F114" s="19" t="str">
        <f>IFERROR(INDEX('Detalles movimientos'!G$5:G$1000, MATCH(105, 'Detalles movimientos'!$T$5:$T$1000, 0)), "")</f>
        <v/>
      </c>
      <c r="G114" s="21" t="str">
        <f>IFERROR(INDEX('Detalles movimientos'!H$5:H$1000, MATCH(105, 'Detalles movimientos'!$T$5:$T$1000, 0)), "")</f>
        <v/>
      </c>
      <c r="H114" s="22" t="str">
        <f>IFERROR(INDEX('Detalles movimientos'!I$5:I$1000, MATCH(105, 'Detalles movimientos'!$T$5:$T$1000, 0)), "")</f>
        <v/>
      </c>
      <c r="I114" s="21" t="str">
        <f>IFERROR(INDEX('Detalles movimientos'!J$5:J$1000, MATCH(105, 'Detalles movimientos'!$T$5:$T$1000, 0)), "")</f>
        <v/>
      </c>
      <c r="J114" s="20" t="str">
        <f>IFERROR(INDEX('Detalles movimientos'!K$5:K$1000, MATCH(105, 'Detalles movimientos'!$T$5:$T$1000, 0)), "")</f>
        <v/>
      </c>
      <c r="K114" s="21" t="str">
        <f>IFERROR(INDEX('Detalles movimientos'!L$5:L$1000, MATCH(105, 'Detalles movimientos'!$T$5:$T$1000, 0)), "")</f>
        <v/>
      </c>
      <c r="L114" s="19" t="str">
        <f>IFERROR(INDEX('Detalles movimientos'!M$5:M$1000, MATCH(105, 'Detalles movimientos'!$T$5:$T$1000, 0)), "")</f>
        <v/>
      </c>
      <c r="M114" s="19" t="str">
        <f>IFERROR(INDEX('Detalles movimientos'!P$5:P$1000, MATCH(105, 'Detalles movimientos'!$T$5:$T$1000, 0)), "")</f>
        <v/>
      </c>
    </row>
    <row r="115" spans="2:13" x14ac:dyDescent="0.2">
      <c r="B115" s="18" t="str">
        <f>IFERROR(INDEX('Detalles movimientos'!C$5:C$1000, MATCH(106, 'Detalles movimientos'!$T$5:$T$1000, 0)), "")</f>
        <v/>
      </c>
      <c r="C115" s="19" t="str">
        <f>IFERROR(INDEX('Detalles movimientos'!D$5:D$1000, MATCH(106, 'Detalles movimientos'!$T$5:$T$1000, 0)), "")</f>
        <v/>
      </c>
      <c r="D115" s="20" t="str">
        <f>IFERROR(INDEX('Detalles movimientos'!E$5:E$1000, MATCH(106, 'Detalles movimientos'!$T$5:$T$1000, 0)), "")</f>
        <v/>
      </c>
      <c r="E115" s="20" t="str">
        <f>IFERROR(INDEX('Detalles movimientos'!F$5:F$1000, MATCH(106, 'Detalles movimientos'!$T$5:$T$1000, 0)), "")</f>
        <v/>
      </c>
      <c r="F115" s="19" t="str">
        <f>IFERROR(INDEX('Detalles movimientos'!G$5:G$1000, MATCH(106, 'Detalles movimientos'!$T$5:$T$1000, 0)), "")</f>
        <v/>
      </c>
      <c r="G115" s="21" t="str">
        <f>IFERROR(INDEX('Detalles movimientos'!H$5:H$1000, MATCH(106, 'Detalles movimientos'!$T$5:$T$1000, 0)), "")</f>
        <v/>
      </c>
      <c r="H115" s="22" t="str">
        <f>IFERROR(INDEX('Detalles movimientos'!I$5:I$1000, MATCH(106, 'Detalles movimientos'!$T$5:$T$1000, 0)), "")</f>
        <v/>
      </c>
      <c r="I115" s="21" t="str">
        <f>IFERROR(INDEX('Detalles movimientos'!J$5:J$1000, MATCH(106, 'Detalles movimientos'!$T$5:$T$1000, 0)), "")</f>
        <v/>
      </c>
      <c r="J115" s="20" t="str">
        <f>IFERROR(INDEX('Detalles movimientos'!K$5:K$1000, MATCH(106, 'Detalles movimientos'!$T$5:$T$1000, 0)), "")</f>
        <v/>
      </c>
      <c r="K115" s="21" t="str">
        <f>IFERROR(INDEX('Detalles movimientos'!L$5:L$1000, MATCH(106, 'Detalles movimientos'!$T$5:$T$1000, 0)), "")</f>
        <v/>
      </c>
      <c r="L115" s="19" t="str">
        <f>IFERROR(INDEX('Detalles movimientos'!M$5:M$1000, MATCH(106, 'Detalles movimientos'!$T$5:$T$1000, 0)), "")</f>
        <v/>
      </c>
      <c r="M115" s="19" t="str">
        <f>IFERROR(INDEX('Detalles movimientos'!P$5:P$1000, MATCH(106, 'Detalles movimientos'!$T$5:$T$1000, 0)), "")</f>
        <v/>
      </c>
    </row>
    <row r="116" spans="2:13" x14ac:dyDescent="0.2">
      <c r="B116" s="18" t="str">
        <f>IFERROR(INDEX('Detalles movimientos'!C$5:C$1000, MATCH(107, 'Detalles movimientos'!$T$5:$T$1000, 0)), "")</f>
        <v/>
      </c>
      <c r="C116" s="19" t="str">
        <f>IFERROR(INDEX('Detalles movimientos'!D$5:D$1000, MATCH(107, 'Detalles movimientos'!$T$5:$T$1000, 0)), "")</f>
        <v/>
      </c>
      <c r="D116" s="20" t="str">
        <f>IFERROR(INDEX('Detalles movimientos'!E$5:E$1000, MATCH(107, 'Detalles movimientos'!$T$5:$T$1000, 0)), "")</f>
        <v/>
      </c>
      <c r="E116" s="20" t="str">
        <f>IFERROR(INDEX('Detalles movimientos'!F$5:F$1000, MATCH(107, 'Detalles movimientos'!$T$5:$T$1000, 0)), "")</f>
        <v/>
      </c>
      <c r="F116" s="19" t="str">
        <f>IFERROR(INDEX('Detalles movimientos'!G$5:G$1000, MATCH(107, 'Detalles movimientos'!$T$5:$T$1000, 0)), "")</f>
        <v/>
      </c>
      <c r="G116" s="21" t="str">
        <f>IFERROR(INDEX('Detalles movimientos'!H$5:H$1000, MATCH(107, 'Detalles movimientos'!$T$5:$T$1000, 0)), "")</f>
        <v/>
      </c>
      <c r="H116" s="22" t="str">
        <f>IFERROR(INDEX('Detalles movimientos'!I$5:I$1000, MATCH(107, 'Detalles movimientos'!$T$5:$T$1000, 0)), "")</f>
        <v/>
      </c>
      <c r="I116" s="21" t="str">
        <f>IFERROR(INDEX('Detalles movimientos'!J$5:J$1000, MATCH(107, 'Detalles movimientos'!$T$5:$T$1000, 0)), "")</f>
        <v/>
      </c>
      <c r="J116" s="20" t="str">
        <f>IFERROR(INDEX('Detalles movimientos'!K$5:K$1000, MATCH(107, 'Detalles movimientos'!$T$5:$T$1000, 0)), "")</f>
        <v/>
      </c>
      <c r="K116" s="21" t="str">
        <f>IFERROR(INDEX('Detalles movimientos'!L$5:L$1000, MATCH(107, 'Detalles movimientos'!$T$5:$T$1000, 0)), "")</f>
        <v/>
      </c>
      <c r="L116" s="19" t="str">
        <f>IFERROR(INDEX('Detalles movimientos'!M$5:M$1000, MATCH(107, 'Detalles movimientos'!$T$5:$T$1000, 0)), "")</f>
        <v/>
      </c>
      <c r="M116" s="19" t="str">
        <f>IFERROR(INDEX('Detalles movimientos'!P$5:P$1000, MATCH(107, 'Detalles movimientos'!$T$5:$T$1000, 0)), "")</f>
        <v/>
      </c>
    </row>
    <row r="117" spans="2:13" x14ac:dyDescent="0.2">
      <c r="B117" s="18" t="str">
        <f>IFERROR(INDEX('Detalles movimientos'!C$5:C$1000, MATCH(108, 'Detalles movimientos'!$T$5:$T$1000, 0)), "")</f>
        <v/>
      </c>
      <c r="C117" s="19" t="str">
        <f>IFERROR(INDEX('Detalles movimientos'!D$5:D$1000, MATCH(108, 'Detalles movimientos'!$T$5:$T$1000, 0)), "")</f>
        <v/>
      </c>
      <c r="D117" s="20" t="str">
        <f>IFERROR(INDEX('Detalles movimientos'!E$5:E$1000, MATCH(108, 'Detalles movimientos'!$T$5:$T$1000, 0)), "")</f>
        <v/>
      </c>
      <c r="E117" s="20" t="str">
        <f>IFERROR(INDEX('Detalles movimientos'!F$5:F$1000, MATCH(108, 'Detalles movimientos'!$T$5:$T$1000, 0)), "")</f>
        <v/>
      </c>
      <c r="F117" s="19" t="str">
        <f>IFERROR(INDEX('Detalles movimientos'!G$5:G$1000, MATCH(108, 'Detalles movimientos'!$T$5:$T$1000, 0)), "")</f>
        <v/>
      </c>
      <c r="G117" s="21" t="str">
        <f>IFERROR(INDEX('Detalles movimientos'!H$5:H$1000, MATCH(108, 'Detalles movimientos'!$T$5:$T$1000, 0)), "")</f>
        <v/>
      </c>
      <c r="H117" s="22" t="str">
        <f>IFERROR(INDEX('Detalles movimientos'!I$5:I$1000, MATCH(108, 'Detalles movimientos'!$T$5:$T$1000, 0)), "")</f>
        <v/>
      </c>
      <c r="I117" s="21" t="str">
        <f>IFERROR(INDEX('Detalles movimientos'!J$5:J$1000, MATCH(108, 'Detalles movimientos'!$T$5:$T$1000, 0)), "")</f>
        <v/>
      </c>
      <c r="J117" s="20" t="str">
        <f>IFERROR(INDEX('Detalles movimientos'!K$5:K$1000, MATCH(108, 'Detalles movimientos'!$T$5:$T$1000, 0)), "")</f>
        <v/>
      </c>
      <c r="K117" s="21" t="str">
        <f>IFERROR(INDEX('Detalles movimientos'!L$5:L$1000, MATCH(108, 'Detalles movimientos'!$T$5:$T$1000, 0)), "")</f>
        <v/>
      </c>
      <c r="L117" s="19" t="str">
        <f>IFERROR(INDEX('Detalles movimientos'!M$5:M$1000, MATCH(108, 'Detalles movimientos'!$T$5:$T$1000, 0)), "")</f>
        <v/>
      </c>
      <c r="M117" s="19" t="str">
        <f>IFERROR(INDEX('Detalles movimientos'!P$5:P$1000, MATCH(108, 'Detalles movimientos'!$T$5:$T$1000, 0)), "")</f>
        <v/>
      </c>
    </row>
    <row r="118" spans="2:13" x14ac:dyDescent="0.2">
      <c r="B118" s="18" t="str">
        <f>IFERROR(INDEX('Detalles movimientos'!C$5:C$1000, MATCH(109, 'Detalles movimientos'!$T$5:$T$1000, 0)), "")</f>
        <v/>
      </c>
      <c r="C118" s="19" t="str">
        <f>IFERROR(INDEX('Detalles movimientos'!D$5:D$1000, MATCH(109, 'Detalles movimientos'!$T$5:$T$1000, 0)), "")</f>
        <v/>
      </c>
      <c r="D118" s="20" t="str">
        <f>IFERROR(INDEX('Detalles movimientos'!E$5:E$1000, MATCH(109, 'Detalles movimientos'!$T$5:$T$1000, 0)), "")</f>
        <v/>
      </c>
      <c r="E118" s="20" t="str">
        <f>IFERROR(INDEX('Detalles movimientos'!F$5:F$1000, MATCH(109, 'Detalles movimientos'!$T$5:$T$1000, 0)), "")</f>
        <v/>
      </c>
      <c r="F118" s="19" t="str">
        <f>IFERROR(INDEX('Detalles movimientos'!G$5:G$1000, MATCH(109, 'Detalles movimientos'!$T$5:$T$1000, 0)), "")</f>
        <v/>
      </c>
      <c r="G118" s="21" t="str">
        <f>IFERROR(INDEX('Detalles movimientos'!H$5:H$1000, MATCH(109, 'Detalles movimientos'!$T$5:$T$1000, 0)), "")</f>
        <v/>
      </c>
      <c r="H118" s="22" t="str">
        <f>IFERROR(INDEX('Detalles movimientos'!I$5:I$1000, MATCH(109, 'Detalles movimientos'!$T$5:$T$1000, 0)), "")</f>
        <v/>
      </c>
      <c r="I118" s="21" t="str">
        <f>IFERROR(INDEX('Detalles movimientos'!J$5:J$1000, MATCH(109, 'Detalles movimientos'!$T$5:$T$1000, 0)), "")</f>
        <v/>
      </c>
      <c r="J118" s="20" t="str">
        <f>IFERROR(INDEX('Detalles movimientos'!K$5:K$1000, MATCH(109, 'Detalles movimientos'!$T$5:$T$1000, 0)), "")</f>
        <v/>
      </c>
      <c r="K118" s="21" t="str">
        <f>IFERROR(INDEX('Detalles movimientos'!L$5:L$1000, MATCH(109, 'Detalles movimientos'!$T$5:$T$1000, 0)), "")</f>
        <v/>
      </c>
      <c r="L118" s="19" t="str">
        <f>IFERROR(INDEX('Detalles movimientos'!M$5:M$1000, MATCH(109, 'Detalles movimientos'!$T$5:$T$1000, 0)), "")</f>
        <v/>
      </c>
      <c r="M118" s="19" t="str">
        <f>IFERROR(INDEX('Detalles movimientos'!P$5:P$1000, MATCH(109, 'Detalles movimientos'!$T$5:$T$1000, 0)), "")</f>
        <v/>
      </c>
    </row>
    <row r="119" spans="2:13" x14ac:dyDescent="0.2">
      <c r="B119" s="18" t="str">
        <f>IFERROR(INDEX('Detalles movimientos'!C$5:C$1000, MATCH(110, 'Detalles movimientos'!$T$5:$T$1000, 0)), "")</f>
        <v/>
      </c>
      <c r="C119" s="19" t="str">
        <f>IFERROR(INDEX('Detalles movimientos'!D$5:D$1000, MATCH(110, 'Detalles movimientos'!$T$5:$T$1000, 0)), "")</f>
        <v/>
      </c>
      <c r="D119" s="20" t="str">
        <f>IFERROR(INDEX('Detalles movimientos'!E$5:E$1000, MATCH(110, 'Detalles movimientos'!$T$5:$T$1000, 0)), "")</f>
        <v/>
      </c>
      <c r="E119" s="20" t="str">
        <f>IFERROR(INDEX('Detalles movimientos'!F$5:F$1000, MATCH(110, 'Detalles movimientos'!$T$5:$T$1000, 0)), "")</f>
        <v/>
      </c>
      <c r="F119" s="19" t="str">
        <f>IFERROR(INDEX('Detalles movimientos'!G$5:G$1000, MATCH(110, 'Detalles movimientos'!$T$5:$T$1000, 0)), "")</f>
        <v/>
      </c>
      <c r="G119" s="21" t="str">
        <f>IFERROR(INDEX('Detalles movimientos'!H$5:H$1000, MATCH(110, 'Detalles movimientos'!$T$5:$T$1000, 0)), "")</f>
        <v/>
      </c>
      <c r="H119" s="22" t="str">
        <f>IFERROR(INDEX('Detalles movimientos'!I$5:I$1000, MATCH(110, 'Detalles movimientos'!$T$5:$T$1000, 0)), "")</f>
        <v/>
      </c>
      <c r="I119" s="21" t="str">
        <f>IFERROR(INDEX('Detalles movimientos'!J$5:J$1000, MATCH(110, 'Detalles movimientos'!$T$5:$T$1000, 0)), "")</f>
        <v/>
      </c>
      <c r="J119" s="20" t="str">
        <f>IFERROR(INDEX('Detalles movimientos'!K$5:K$1000, MATCH(110, 'Detalles movimientos'!$T$5:$T$1000, 0)), "")</f>
        <v/>
      </c>
      <c r="K119" s="21" t="str">
        <f>IFERROR(INDEX('Detalles movimientos'!L$5:L$1000, MATCH(110, 'Detalles movimientos'!$T$5:$T$1000, 0)), "")</f>
        <v/>
      </c>
      <c r="L119" s="19" t="str">
        <f>IFERROR(INDEX('Detalles movimientos'!M$5:M$1000, MATCH(110, 'Detalles movimientos'!$T$5:$T$1000, 0)), "")</f>
        <v/>
      </c>
      <c r="M119" s="19" t="str">
        <f>IFERROR(INDEX('Detalles movimientos'!P$5:P$1000, MATCH(110, 'Detalles movimientos'!$T$5:$T$1000, 0)), "")</f>
        <v/>
      </c>
    </row>
    <row r="120" spans="2:13" x14ac:dyDescent="0.2">
      <c r="B120" s="18" t="str">
        <f>IFERROR(INDEX('Detalles movimientos'!C$5:C$1000, MATCH(111, 'Detalles movimientos'!$T$5:$T$1000, 0)), "")</f>
        <v/>
      </c>
      <c r="C120" s="19" t="str">
        <f>IFERROR(INDEX('Detalles movimientos'!D$5:D$1000, MATCH(111, 'Detalles movimientos'!$T$5:$T$1000, 0)), "")</f>
        <v/>
      </c>
      <c r="D120" s="20" t="str">
        <f>IFERROR(INDEX('Detalles movimientos'!E$5:E$1000, MATCH(111, 'Detalles movimientos'!$T$5:$T$1000, 0)), "")</f>
        <v/>
      </c>
      <c r="E120" s="20" t="str">
        <f>IFERROR(INDEX('Detalles movimientos'!F$5:F$1000, MATCH(111, 'Detalles movimientos'!$T$5:$T$1000, 0)), "")</f>
        <v/>
      </c>
      <c r="F120" s="19" t="str">
        <f>IFERROR(INDEX('Detalles movimientos'!G$5:G$1000, MATCH(111, 'Detalles movimientos'!$T$5:$T$1000, 0)), "")</f>
        <v/>
      </c>
      <c r="G120" s="21" t="str">
        <f>IFERROR(INDEX('Detalles movimientos'!H$5:H$1000, MATCH(111, 'Detalles movimientos'!$T$5:$T$1000, 0)), "")</f>
        <v/>
      </c>
      <c r="H120" s="22" t="str">
        <f>IFERROR(INDEX('Detalles movimientos'!I$5:I$1000, MATCH(111, 'Detalles movimientos'!$T$5:$T$1000, 0)), "")</f>
        <v/>
      </c>
      <c r="I120" s="21" t="str">
        <f>IFERROR(INDEX('Detalles movimientos'!J$5:J$1000, MATCH(111, 'Detalles movimientos'!$T$5:$T$1000, 0)), "")</f>
        <v/>
      </c>
      <c r="J120" s="20" t="str">
        <f>IFERROR(INDEX('Detalles movimientos'!K$5:K$1000, MATCH(111, 'Detalles movimientos'!$T$5:$T$1000, 0)), "")</f>
        <v/>
      </c>
      <c r="K120" s="21" t="str">
        <f>IFERROR(INDEX('Detalles movimientos'!L$5:L$1000, MATCH(111, 'Detalles movimientos'!$T$5:$T$1000, 0)), "")</f>
        <v/>
      </c>
      <c r="L120" s="19" t="str">
        <f>IFERROR(INDEX('Detalles movimientos'!M$5:M$1000, MATCH(111, 'Detalles movimientos'!$T$5:$T$1000, 0)), "")</f>
        <v/>
      </c>
      <c r="M120" s="19" t="str">
        <f>IFERROR(INDEX('Detalles movimientos'!P$5:P$1000, MATCH(111, 'Detalles movimientos'!$T$5:$T$1000, 0)), "")</f>
        <v/>
      </c>
    </row>
    <row r="121" spans="2:13" x14ac:dyDescent="0.2">
      <c r="B121" s="18" t="str">
        <f>IFERROR(INDEX('Detalles movimientos'!C$5:C$1000, MATCH(112, 'Detalles movimientos'!$T$5:$T$1000, 0)), "")</f>
        <v/>
      </c>
      <c r="C121" s="19" t="str">
        <f>IFERROR(INDEX('Detalles movimientos'!D$5:D$1000, MATCH(112, 'Detalles movimientos'!$T$5:$T$1000, 0)), "")</f>
        <v/>
      </c>
      <c r="D121" s="20" t="str">
        <f>IFERROR(INDEX('Detalles movimientos'!E$5:E$1000, MATCH(112, 'Detalles movimientos'!$T$5:$T$1000, 0)), "")</f>
        <v/>
      </c>
      <c r="E121" s="20" t="str">
        <f>IFERROR(INDEX('Detalles movimientos'!F$5:F$1000, MATCH(112, 'Detalles movimientos'!$T$5:$T$1000, 0)), "")</f>
        <v/>
      </c>
      <c r="F121" s="19" t="str">
        <f>IFERROR(INDEX('Detalles movimientos'!G$5:G$1000, MATCH(112, 'Detalles movimientos'!$T$5:$T$1000, 0)), "")</f>
        <v/>
      </c>
      <c r="G121" s="21" t="str">
        <f>IFERROR(INDEX('Detalles movimientos'!H$5:H$1000, MATCH(112, 'Detalles movimientos'!$T$5:$T$1000, 0)), "")</f>
        <v/>
      </c>
      <c r="H121" s="22" t="str">
        <f>IFERROR(INDEX('Detalles movimientos'!I$5:I$1000, MATCH(112, 'Detalles movimientos'!$T$5:$T$1000, 0)), "")</f>
        <v/>
      </c>
      <c r="I121" s="21" t="str">
        <f>IFERROR(INDEX('Detalles movimientos'!J$5:J$1000, MATCH(112, 'Detalles movimientos'!$T$5:$T$1000, 0)), "")</f>
        <v/>
      </c>
      <c r="J121" s="20" t="str">
        <f>IFERROR(INDEX('Detalles movimientos'!K$5:K$1000, MATCH(112, 'Detalles movimientos'!$T$5:$T$1000, 0)), "")</f>
        <v/>
      </c>
      <c r="K121" s="21" t="str">
        <f>IFERROR(INDEX('Detalles movimientos'!L$5:L$1000, MATCH(112, 'Detalles movimientos'!$T$5:$T$1000, 0)), "")</f>
        <v/>
      </c>
      <c r="L121" s="19" t="str">
        <f>IFERROR(INDEX('Detalles movimientos'!M$5:M$1000, MATCH(112, 'Detalles movimientos'!$T$5:$T$1000, 0)), "")</f>
        <v/>
      </c>
      <c r="M121" s="19" t="str">
        <f>IFERROR(INDEX('Detalles movimientos'!P$5:P$1000, MATCH(112, 'Detalles movimientos'!$T$5:$T$1000, 0)), "")</f>
        <v/>
      </c>
    </row>
    <row r="122" spans="2:13" x14ac:dyDescent="0.2">
      <c r="B122" s="18" t="str">
        <f>IFERROR(INDEX('Detalles movimientos'!C$5:C$1000, MATCH(113, 'Detalles movimientos'!$T$5:$T$1000, 0)), "")</f>
        <v/>
      </c>
      <c r="C122" s="19" t="str">
        <f>IFERROR(INDEX('Detalles movimientos'!D$5:D$1000, MATCH(113, 'Detalles movimientos'!$T$5:$T$1000, 0)), "")</f>
        <v/>
      </c>
      <c r="D122" s="20" t="str">
        <f>IFERROR(INDEX('Detalles movimientos'!E$5:E$1000, MATCH(113, 'Detalles movimientos'!$T$5:$T$1000, 0)), "")</f>
        <v/>
      </c>
      <c r="E122" s="20" t="str">
        <f>IFERROR(INDEX('Detalles movimientos'!F$5:F$1000, MATCH(113, 'Detalles movimientos'!$T$5:$T$1000, 0)), "")</f>
        <v/>
      </c>
      <c r="F122" s="19" t="str">
        <f>IFERROR(INDEX('Detalles movimientos'!G$5:G$1000, MATCH(113, 'Detalles movimientos'!$T$5:$T$1000, 0)), "")</f>
        <v/>
      </c>
      <c r="G122" s="21" t="str">
        <f>IFERROR(INDEX('Detalles movimientos'!H$5:H$1000, MATCH(113, 'Detalles movimientos'!$T$5:$T$1000, 0)), "")</f>
        <v/>
      </c>
      <c r="H122" s="22" t="str">
        <f>IFERROR(INDEX('Detalles movimientos'!I$5:I$1000, MATCH(113, 'Detalles movimientos'!$T$5:$T$1000, 0)), "")</f>
        <v/>
      </c>
      <c r="I122" s="21" t="str">
        <f>IFERROR(INDEX('Detalles movimientos'!J$5:J$1000, MATCH(113, 'Detalles movimientos'!$T$5:$T$1000, 0)), "")</f>
        <v/>
      </c>
      <c r="J122" s="20" t="str">
        <f>IFERROR(INDEX('Detalles movimientos'!K$5:K$1000, MATCH(113, 'Detalles movimientos'!$T$5:$T$1000, 0)), "")</f>
        <v/>
      </c>
      <c r="K122" s="21" t="str">
        <f>IFERROR(INDEX('Detalles movimientos'!L$5:L$1000, MATCH(113, 'Detalles movimientos'!$T$5:$T$1000, 0)), "")</f>
        <v/>
      </c>
      <c r="L122" s="19" t="str">
        <f>IFERROR(INDEX('Detalles movimientos'!M$5:M$1000, MATCH(113, 'Detalles movimientos'!$T$5:$T$1000, 0)), "")</f>
        <v/>
      </c>
      <c r="M122" s="19" t="str">
        <f>IFERROR(INDEX('Detalles movimientos'!P$5:P$1000, MATCH(113, 'Detalles movimientos'!$T$5:$T$1000, 0)), "")</f>
        <v/>
      </c>
    </row>
    <row r="123" spans="2:13" x14ac:dyDescent="0.2">
      <c r="B123" s="18" t="str">
        <f>IFERROR(INDEX('Detalles movimientos'!C$5:C$1000, MATCH(114, 'Detalles movimientos'!$T$5:$T$1000, 0)), "")</f>
        <v/>
      </c>
      <c r="C123" s="19" t="str">
        <f>IFERROR(INDEX('Detalles movimientos'!D$5:D$1000, MATCH(114, 'Detalles movimientos'!$T$5:$T$1000, 0)), "")</f>
        <v/>
      </c>
      <c r="D123" s="20" t="str">
        <f>IFERROR(INDEX('Detalles movimientos'!E$5:E$1000, MATCH(114, 'Detalles movimientos'!$T$5:$T$1000, 0)), "")</f>
        <v/>
      </c>
      <c r="E123" s="20" t="str">
        <f>IFERROR(INDEX('Detalles movimientos'!F$5:F$1000, MATCH(114, 'Detalles movimientos'!$T$5:$T$1000, 0)), "")</f>
        <v/>
      </c>
      <c r="F123" s="19" t="str">
        <f>IFERROR(INDEX('Detalles movimientos'!G$5:G$1000, MATCH(114, 'Detalles movimientos'!$T$5:$T$1000, 0)), "")</f>
        <v/>
      </c>
      <c r="G123" s="21" t="str">
        <f>IFERROR(INDEX('Detalles movimientos'!H$5:H$1000, MATCH(114, 'Detalles movimientos'!$T$5:$T$1000, 0)), "")</f>
        <v/>
      </c>
      <c r="H123" s="22" t="str">
        <f>IFERROR(INDEX('Detalles movimientos'!I$5:I$1000, MATCH(114, 'Detalles movimientos'!$T$5:$T$1000, 0)), "")</f>
        <v/>
      </c>
      <c r="I123" s="21" t="str">
        <f>IFERROR(INDEX('Detalles movimientos'!J$5:J$1000, MATCH(114, 'Detalles movimientos'!$T$5:$T$1000, 0)), "")</f>
        <v/>
      </c>
      <c r="J123" s="20" t="str">
        <f>IFERROR(INDEX('Detalles movimientos'!K$5:K$1000, MATCH(114, 'Detalles movimientos'!$T$5:$T$1000, 0)), "")</f>
        <v/>
      </c>
      <c r="K123" s="21" t="str">
        <f>IFERROR(INDEX('Detalles movimientos'!L$5:L$1000, MATCH(114, 'Detalles movimientos'!$T$5:$T$1000, 0)), "")</f>
        <v/>
      </c>
      <c r="L123" s="19" t="str">
        <f>IFERROR(INDEX('Detalles movimientos'!M$5:M$1000, MATCH(114, 'Detalles movimientos'!$T$5:$T$1000, 0)), "")</f>
        <v/>
      </c>
      <c r="M123" s="19" t="str">
        <f>IFERROR(INDEX('Detalles movimientos'!P$5:P$1000, MATCH(114, 'Detalles movimientos'!$T$5:$T$1000, 0)), "")</f>
        <v/>
      </c>
    </row>
    <row r="124" spans="2:13" x14ac:dyDescent="0.2">
      <c r="B124" s="18" t="str">
        <f>IFERROR(INDEX('Detalles movimientos'!C$5:C$1000, MATCH(115, 'Detalles movimientos'!$T$5:$T$1000, 0)), "")</f>
        <v/>
      </c>
      <c r="C124" s="19" t="str">
        <f>IFERROR(INDEX('Detalles movimientos'!D$5:D$1000, MATCH(115, 'Detalles movimientos'!$T$5:$T$1000, 0)), "")</f>
        <v/>
      </c>
      <c r="D124" s="20" t="str">
        <f>IFERROR(INDEX('Detalles movimientos'!E$5:E$1000, MATCH(115, 'Detalles movimientos'!$T$5:$T$1000, 0)), "")</f>
        <v/>
      </c>
      <c r="E124" s="20" t="str">
        <f>IFERROR(INDEX('Detalles movimientos'!F$5:F$1000, MATCH(115, 'Detalles movimientos'!$T$5:$T$1000, 0)), "")</f>
        <v/>
      </c>
      <c r="F124" s="19" t="str">
        <f>IFERROR(INDEX('Detalles movimientos'!G$5:G$1000, MATCH(115, 'Detalles movimientos'!$T$5:$T$1000, 0)), "")</f>
        <v/>
      </c>
      <c r="G124" s="21" t="str">
        <f>IFERROR(INDEX('Detalles movimientos'!H$5:H$1000, MATCH(115, 'Detalles movimientos'!$T$5:$T$1000, 0)), "")</f>
        <v/>
      </c>
      <c r="H124" s="22" t="str">
        <f>IFERROR(INDEX('Detalles movimientos'!I$5:I$1000, MATCH(115, 'Detalles movimientos'!$T$5:$T$1000, 0)), "")</f>
        <v/>
      </c>
      <c r="I124" s="21" t="str">
        <f>IFERROR(INDEX('Detalles movimientos'!J$5:J$1000, MATCH(115, 'Detalles movimientos'!$T$5:$T$1000, 0)), "")</f>
        <v/>
      </c>
      <c r="J124" s="20" t="str">
        <f>IFERROR(INDEX('Detalles movimientos'!K$5:K$1000, MATCH(115, 'Detalles movimientos'!$T$5:$T$1000, 0)), "")</f>
        <v/>
      </c>
      <c r="K124" s="21" t="str">
        <f>IFERROR(INDEX('Detalles movimientos'!L$5:L$1000, MATCH(115, 'Detalles movimientos'!$T$5:$T$1000, 0)), "")</f>
        <v/>
      </c>
      <c r="L124" s="19" t="str">
        <f>IFERROR(INDEX('Detalles movimientos'!M$5:M$1000, MATCH(115, 'Detalles movimientos'!$T$5:$T$1000, 0)), "")</f>
        <v/>
      </c>
      <c r="M124" s="19" t="str">
        <f>IFERROR(INDEX('Detalles movimientos'!P$5:P$1000, MATCH(115, 'Detalles movimientos'!$T$5:$T$1000, 0)), "")</f>
        <v/>
      </c>
    </row>
    <row r="125" spans="2:13" x14ac:dyDescent="0.2">
      <c r="B125" s="18" t="str">
        <f>IFERROR(INDEX('Detalles movimientos'!C$5:C$1000, MATCH(116, 'Detalles movimientos'!$T$5:$T$1000, 0)), "")</f>
        <v/>
      </c>
      <c r="C125" s="19" t="str">
        <f>IFERROR(INDEX('Detalles movimientos'!D$5:D$1000, MATCH(116, 'Detalles movimientos'!$T$5:$T$1000, 0)), "")</f>
        <v/>
      </c>
      <c r="D125" s="20" t="str">
        <f>IFERROR(INDEX('Detalles movimientos'!E$5:E$1000, MATCH(116, 'Detalles movimientos'!$T$5:$T$1000, 0)), "")</f>
        <v/>
      </c>
      <c r="E125" s="20" t="str">
        <f>IFERROR(INDEX('Detalles movimientos'!F$5:F$1000, MATCH(116, 'Detalles movimientos'!$T$5:$T$1000, 0)), "")</f>
        <v/>
      </c>
      <c r="F125" s="19" t="str">
        <f>IFERROR(INDEX('Detalles movimientos'!G$5:G$1000, MATCH(116, 'Detalles movimientos'!$T$5:$T$1000, 0)), "")</f>
        <v/>
      </c>
      <c r="G125" s="21" t="str">
        <f>IFERROR(INDEX('Detalles movimientos'!H$5:H$1000, MATCH(116, 'Detalles movimientos'!$T$5:$T$1000, 0)), "")</f>
        <v/>
      </c>
      <c r="H125" s="22" t="str">
        <f>IFERROR(INDEX('Detalles movimientos'!I$5:I$1000, MATCH(116, 'Detalles movimientos'!$T$5:$T$1000, 0)), "")</f>
        <v/>
      </c>
      <c r="I125" s="21" t="str">
        <f>IFERROR(INDEX('Detalles movimientos'!J$5:J$1000, MATCH(116, 'Detalles movimientos'!$T$5:$T$1000, 0)), "")</f>
        <v/>
      </c>
      <c r="J125" s="20" t="str">
        <f>IFERROR(INDEX('Detalles movimientos'!K$5:K$1000, MATCH(116, 'Detalles movimientos'!$T$5:$T$1000, 0)), "")</f>
        <v/>
      </c>
      <c r="K125" s="21" t="str">
        <f>IFERROR(INDEX('Detalles movimientos'!L$5:L$1000, MATCH(116, 'Detalles movimientos'!$T$5:$T$1000, 0)), "")</f>
        <v/>
      </c>
      <c r="L125" s="19" t="str">
        <f>IFERROR(INDEX('Detalles movimientos'!M$5:M$1000, MATCH(116, 'Detalles movimientos'!$T$5:$T$1000, 0)), "")</f>
        <v/>
      </c>
      <c r="M125" s="19" t="str">
        <f>IFERROR(INDEX('Detalles movimientos'!P$5:P$1000, MATCH(116, 'Detalles movimientos'!$T$5:$T$1000, 0)), "")</f>
        <v/>
      </c>
    </row>
    <row r="126" spans="2:13" x14ac:dyDescent="0.2">
      <c r="B126" s="18" t="str">
        <f>IFERROR(INDEX('Detalles movimientos'!C$5:C$1000, MATCH(117, 'Detalles movimientos'!$T$5:$T$1000, 0)), "")</f>
        <v/>
      </c>
      <c r="C126" s="19" t="str">
        <f>IFERROR(INDEX('Detalles movimientos'!D$5:D$1000, MATCH(117, 'Detalles movimientos'!$T$5:$T$1000, 0)), "")</f>
        <v/>
      </c>
      <c r="D126" s="20" t="str">
        <f>IFERROR(INDEX('Detalles movimientos'!E$5:E$1000, MATCH(117, 'Detalles movimientos'!$T$5:$T$1000, 0)), "")</f>
        <v/>
      </c>
      <c r="E126" s="20" t="str">
        <f>IFERROR(INDEX('Detalles movimientos'!F$5:F$1000, MATCH(117, 'Detalles movimientos'!$T$5:$T$1000, 0)), "")</f>
        <v/>
      </c>
      <c r="F126" s="19" t="str">
        <f>IFERROR(INDEX('Detalles movimientos'!G$5:G$1000, MATCH(117, 'Detalles movimientos'!$T$5:$T$1000, 0)), "")</f>
        <v/>
      </c>
      <c r="G126" s="21" t="str">
        <f>IFERROR(INDEX('Detalles movimientos'!H$5:H$1000, MATCH(117, 'Detalles movimientos'!$T$5:$T$1000, 0)), "")</f>
        <v/>
      </c>
      <c r="H126" s="22" t="str">
        <f>IFERROR(INDEX('Detalles movimientos'!I$5:I$1000, MATCH(117, 'Detalles movimientos'!$T$5:$T$1000, 0)), "")</f>
        <v/>
      </c>
      <c r="I126" s="21" t="str">
        <f>IFERROR(INDEX('Detalles movimientos'!J$5:J$1000, MATCH(117, 'Detalles movimientos'!$T$5:$T$1000, 0)), "")</f>
        <v/>
      </c>
      <c r="J126" s="20" t="str">
        <f>IFERROR(INDEX('Detalles movimientos'!K$5:K$1000, MATCH(117, 'Detalles movimientos'!$T$5:$T$1000, 0)), "")</f>
        <v/>
      </c>
      <c r="K126" s="21" t="str">
        <f>IFERROR(INDEX('Detalles movimientos'!L$5:L$1000, MATCH(117, 'Detalles movimientos'!$T$5:$T$1000, 0)), "")</f>
        <v/>
      </c>
      <c r="L126" s="19" t="str">
        <f>IFERROR(INDEX('Detalles movimientos'!M$5:M$1000, MATCH(117, 'Detalles movimientos'!$T$5:$T$1000, 0)), "")</f>
        <v/>
      </c>
      <c r="M126" s="19" t="str">
        <f>IFERROR(INDEX('Detalles movimientos'!P$5:P$1000, MATCH(117, 'Detalles movimientos'!$T$5:$T$1000, 0)), "")</f>
        <v/>
      </c>
    </row>
    <row r="127" spans="2:13" x14ac:dyDescent="0.2">
      <c r="B127" s="18" t="str">
        <f>IFERROR(INDEX('Detalles movimientos'!C$5:C$1000, MATCH(118, 'Detalles movimientos'!$T$5:$T$1000, 0)), "")</f>
        <v/>
      </c>
      <c r="C127" s="19" t="str">
        <f>IFERROR(INDEX('Detalles movimientos'!D$5:D$1000, MATCH(118, 'Detalles movimientos'!$T$5:$T$1000, 0)), "")</f>
        <v/>
      </c>
      <c r="D127" s="20" t="str">
        <f>IFERROR(INDEX('Detalles movimientos'!E$5:E$1000, MATCH(118, 'Detalles movimientos'!$T$5:$T$1000, 0)), "")</f>
        <v/>
      </c>
      <c r="E127" s="20" t="str">
        <f>IFERROR(INDEX('Detalles movimientos'!F$5:F$1000, MATCH(118, 'Detalles movimientos'!$T$5:$T$1000, 0)), "")</f>
        <v/>
      </c>
      <c r="F127" s="19" t="str">
        <f>IFERROR(INDEX('Detalles movimientos'!G$5:G$1000, MATCH(118, 'Detalles movimientos'!$T$5:$T$1000, 0)), "")</f>
        <v/>
      </c>
      <c r="G127" s="21" t="str">
        <f>IFERROR(INDEX('Detalles movimientos'!H$5:H$1000, MATCH(118, 'Detalles movimientos'!$T$5:$T$1000, 0)), "")</f>
        <v/>
      </c>
      <c r="H127" s="22" t="str">
        <f>IFERROR(INDEX('Detalles movimientos'!I$5:I$1000, MATCH(118, 'Detalles movimientos'!$T$5:$T$1000, 0)), "")</f>
        <v/>
      </c>
      <c r="I127" s="21" t="str">
        <f>IFERROR(INDEX('Detalles movimientos'!J$5:J$1000, MATCH(118, 'Detalles movimientos'!$T$5:$T$1000, 0)), "")</f>
        <v/>
      </c>
      <c r="J127" s="20" t="str">
        <f>IFERROR(INDEX('Detalles movimientos'!K$5:K$1000, MATCH(118, 'Detalles movimientos'!$T$5:$T$1000, 0)), "")</f>
        <v/>
      </c>
      <c r="K127" s="21" t="str">
        <f>IFERROR(INDEX('Detalles movimientos'!L$5:L$1000, MATCH(118, 'Detalles movimientos'!$T$5:$T$1000, 0)), "")</f>
        <v/>
      </c>
      <c r="L127" s="19" t="str">
        <f>IFERROR(INDEX('Detalles movimientos'!M$5:M$1000, MATCH(118, 'Detalles movimientos'!$T$5:$T$1000, 0)), "")</f>
        <v/>
      </c>
      <c r="M127" s="19" t="str">
        <f>IFERROR(INDEX('Detalles movimientos'!P$5:P$1000, MATCH(118, 'Detalles movimientos'!$T$5:$T$1000, 0)), "")</f>
        <v/>
      </c>
    </row>
    <row r="128" spans="2:13" x14ac:dyDescent="0.2">
      <c r="B128" s="18" t="str">
        <f>IFERROR(INDEX('Detalles movimientos'!C$5:C$1000, MATCH(119, 'Detalles movimientos'!$T$5:$T$1000, 0)), "")</f>
        <v/>
      </c>
      <c r="C128" s="19" t="str">
        <f>IFERROR(INDEX('Detalles movimientos'!D$5:D$1000, MATCH(119, 'Detalles movimientos'!$T$5:$T$1000, 0)), "")</f>
        <v/>
      </c>
      <c r="D128" s="20" t="str">
        <f>IFERROR(INDEX('Detalles movimientos'!E$5:E$1000, MATCH(119, 'Detalles movimientos'!$T$5:$T$1000, 0)), "")</f>
        <v/>
      </c>
      <c r="E128" s="20" t="str">
        <f>IFERROR(INDEX('Detalles movimientos'!F$5:F$1000, MATCH(119, 'Detalles movimientos'!$T$5:$T$1000, 0)), "")</f>
        <v/>
      </c>
      <c r="F128" s="19" t="str">
        <f>IFERROR(INDEX('Detalles movimientos'!G$5:G$1000, MATCH(119, 'Detalles movimientos'!$T$5:$T$1000, 0)), "")</f>
        <v/>
      </c>
      <c r="G128" s="21" t="str">
        <f>IFERROR(INDEX('Detalles movimientos'!H$5:H$1000, MATCH(119, 'Detalles movimientos'!$T$5:$T$1000, 0)), "")</f>
        <v/>
      </c>
      <c r="H128" s="22" t="str">
        <f>IFERROR(INDEX('Detalles movimientos'!I$5:I$1000, MATCH(119, 'Detalles movimientos'!$T$5:$T$1000, 0)), "")</f>
        <v/>
      </c>
      <c r="I128" s="21" t="str">
        <f>IFERROR(INDEX('Detalles movimientos'!J$5:J$1000, MATCH(119, 'Detalles movimientos'!$T$5:$T$1000, 0)), "")</f>
        <v/>
      </c>
      <c r="J128" s="20" t="str">
        <f>IFERROR(INDEX('Detalles movimientos'!K$5:K$1000, MATCH(119, 'Detalles movimientos'!$T$5:$T$1000, 0)), "")</f>
        <v/>
      </c>
      <c r="K128" s="21" t="str">
        <f>IFERROR(INDEX('Detalles movimientos'!L$5:L$1000, MATCH(119, 'Detalles movimientos'!$T$5:$T$1000, 0)), "")</f>
        <v/>
      </c>
      <c r="L128" s="19" t="str">
        <f>IFERROR(INDEX('Detalles movimientos'!M$5:M$1000, MATCH(119, 'Detalles movimientos'!$T$5:$T$1000, 0)), "")</f>
        <v/>
      </c>
      <c r="M128" s="19" t="str">
        <f>IFERROR(INDEX('Detalles movimientos'!P$5:P$1000, MATCH(119, 'Detalles movimientos'!$T$5:$T$1000, 0)), "")</f>
        <v/>
      </c>
    </row>
    <row r="129" spans="2:13" x14ac:dyDescent="0.2">
      <c r="B129" s="18" t="str">
        <f>IFERROR(INDEX('Detalles movimientos'!C$5:C$1000, MATCH(120, 'Detalles movimientos'!$T$5:$T$1000, 0)), "")</f>
        <v/>
      </c>
      <c r="C129" s="19" t="str">
        <f>IFERROR(INDEX('Detalles movimientos'!D$5:D$1000, MATCH(120, 'Detalles movimientos'!$T$5:$T$1000, 0)), "")</f>
        <v/>
      </c>
      <c r="D129" s="20" t="str">
        <f>IFERROR(INDEX('Detalles movimientos'!E$5:E$1000, MATCH(120, 'Detalles movimientos'!$T$5:$T$1000, 0)), "")</f>
        <v/>
      </c>
      <c r="E129" s="20" t="str">
        <f>IFERROR(INDEX('Detalles movimientos'!F$5:F$1000, MATCH(120, 'Detalles movimientos'!$T$5:$T$1000, 0)), "")</f>
        <v/>
      </c>
      <c r="F129" s="19" t="str">
        <f>IFERROR(INDEX('Detalles movimientos'!G$5:G$1000, MATCH(120, 'Detalles movimientos'!$T$5:$T$1000, 0)), "")</f>
        <v/>
      </c>
      <c r="G129" s="21" t="str">
        <f>IFERROR(INDEX('Detalles movimientos'!H$5:H$1000, MATCH(120, 'Detalles movimientos'!$T$5:$T$1000, 0)), "")</f>
        <v/>
      </c>
      <c r="H129" s="22" t="str">
        <f>IFERROR(INDEX('Detalles movimientos'!I$5:I$1000, MATCH(120, 'Detalles movimientos'!$T$5:$T$1000, 0)), "")</f>
        <v/>
      </c>
      <c r="I129" s="21" t="str">
        <f>IFERROR(INDEX('Detalles movimientos'!J$5:J$1000, MATCH(120, 'Detalles movimientos'!$T$5:$T$1000, 0)), "")</f>
        <v/>
      </c>
      <c r="J129" s="20" t="str">
        <f>IFERROR(INDEX('Detalles movimientos'!K$5:K$1000, MATCH(120, 'Detalles movimientos'!$T$5:$T$1000, 0)), "")</f>
        <v/>
      </c>
      <c r="K129" s="21" t="str">
        <f>IFERROR(INDEX('Detalles movimientos'!L$5:L$1000, MATCH(120, 'Detalles movimientos'!$T$5:$T$1000, 0)), "")</f>
        <v/>
      </c>
      <c r="L129" s="19" t="str">
        <f>IFERROR(INDEX('Detalles movimientos'!M$5:M$1000, MATCH(120, 'Detalles movimientos'!$T$5:$T$1000, 0)), "")</f>
        <v/>
      </c>
      <c r="M129" s="19" t="str">
        <f>IFERROR(INDEX('Detalles movimientos'!P$5:P$1000, MATCH(120, 'Detalles movimientos'!$T$5:$T$1000, 0)), "")</f>
        <v/>
      </c>
    </row>
    <row r="130" spans="2:13" x14ac:dyDescent="0.2">
      <c r="B130" s="18" t="str">
        <f>IFERROR(INDEX('Detalles movimientos'!C$5:C$1000, MATCH(121, 'Detalles movimientos'!$T$5:$T$1000, 0)), "")</f>
        <v/>
      </c>
      <c r="C130" s="19" t="str">
        <f>IFERROR(INDEX('Detalles movimientos'!D$5:D$1000, MATCH(121, 'Detalles movimientos'!$T$5:$T$1000, 0)), "")</f>
        <v/>
      </c>
      <c r="D130" s="20" t="str">
        <f>IFERROR(INDEX('Detalles movimientos'!E$5:E$1000, MATCH(121, 'Detalles movimientos'!$T$5:$T$1000, 0)), "")</f>
        <v/>
      </c>
      <c r="E130" s="20" t="str">
        <f>IFERROR(INDEX('Detalles movimientos'!F$5:F$1000, MATCH(121, 'Detalles movimientos'!$T$5:$T$1000, 0)), "")</f>
        <v/>
      </c>
      <c r="F130" s="19" t="str">
        <f>IFERROR(INDEX('Detalles movimientos'!G$5:G$1000, MATCH(121, 'Detalles movimientos'!$T$5:$T$1000, 0)), "")</f>
        <v/>
      </c>
      <c r="G130" s="21" t="str">
        <f>IFERROR(INDEX('Detalles movimientos'!H$5:H$1000, MATCH(121, 'Detalles movimientos'!$T$5:$T$1000, 0)), "")</f>
        <v/>
      </c>
      <c r="H130" s="22" t="str">
        <f>IFERROR(INDEX('Detalles movimientos'!I$5:I$1000, MATCH(121, 'Detalles movimientos'!$T$5:$T$1000, 0)), "")</f>
        <v/>
      </c>
      <c r="I130" s="21" t="str">
        <f>IFERROR(INDEX('Detalles movimientos'!J$5:J$1000, MATCH(121, 'Detalles movimientos'!$T$5:$T$1000, 0)), "")</f>
        <v/>
      </c>
      <c r="J130" s="20" t="str">
        <f>IFERROR(INDEX('Detalles movimientos'!K$5:K$1000, MATCH(121, 'Detalles movimientos'!$T$5:$T$1000, 0)), "")</f>
        <v/>
      </c>
      <c r="K130" s="21" t="str">
        <f>IFERROR(INDEX('Detalles movimientos'!L$5:L$1000, MATCH(121, 'Detalles movimientos'!$T$5:$T$1000, 0)), "")</f>
        <v/>
      </c>
      <c r="L130" s="19" t="str">
        <f>IFERROR(INDEX('Detalles movimientos'!M$5:M$1000, MATCH(121, 'Detalles movimientos'!$T$5:$T$1000, 0)), "")</f>
        <v/>
      </c>
      <c r="M130" s="19" t="str">
        <f>IFERROR(INDEX('Detalles movimientos'!P$5:P$1000, MATCH(121, 'Detalles movimientos'!$T$5:$T$1000, 0)), "")</f>
        <v/>
      </c>
    </row>
    <row r="131" spans="2:13" x14ac:dyDescent="0.2">
      <c r="B131" s="18" t="str">
        <f>IFERROR(INDEX('Detalles movimientos'!C$5:C$1000, MATCH(122, 'Detalles movimientos'!$T$5:$T$1000, 0)), "")</f>
        <v/>
      </c>
      <c r="C131" s="19" t="str">
        <f>IFERROR(INDEX('Detalles movimientos'!D$5:D$1000, MATCH(122, 'Detalles movimientos'!$T$5:$T$1000, 0)), "")</f>
        <v/>
      </c>
      <c r="D131" s="20" t="str">
        <f>IFERROR(INDEX('Detalles movimientos'!E$5:E$1000, MATCH(122, 'Detalles movimientos'!$T$5:$T$1000, 0)), "")</f>
        <v/>
      </c>
      <c r="E131" s="20" t="str">
        <f>IFERROR(INDEX('Detalles movimientos'!F$5:F$1000, MATCH(122, 'Detalles movimientos'!$T$5:$T$1000, 0)), "")</f>
        <v/>
      </c>
      <c r="F131" s="19" t="str">
        <f>IFERROR(INDEX('Detalles movimientos'!G$5:G$1000, MATCH(122, 'Detalles movimientos'!$T$5:$T$1000, 0)), "")</f>
        <v/>
      </c>
      <c r="G131" s="21" t="str">
        <f>IFERROR(INDEX('Detalles movimientos'!H$5:H$1000, MATCH(122, 'Detalles movimientos'!$T$5:$T$1000, 0)), "")</f>
        <v/>
      </c>
      <c r="H131" s="22" t="str">
        <f>IFERROR(INDEX('Detalles movimientos'!I$5:I$1000, MATCH(122, 'Detalles movimientos'!$T$5:$T$1000, 0)), "")</f>
        <v/>
      </c>
      <c r="I131" s="21" t="str">
        <f>IFERROR(INDEX('Detalles movimientos'!J$5:J$1000, MATCH(122, 'Detalles movimientos'!$T$5:$T$1000, 0)), "")</f>
        <v/>
      </c>
      <c r="J131" s="20" t="str">
        <f>IFERROR(INDEX('Detalles movimientos'!K$5:K$1000, MATCH(122, 'Detalles movimientos'!$T$5:$T$1000, 0)), "")</f>
        <v/>
      </c>
      <c r="K131" s="21" t="str">
        <f>IFERROR(INDEX('Detalles movimientos'!L$5:L$1000, MATCH(122, 'Detalles movimientos'!$T$5:$T$1000, 0)), "")</f>
        <v/>
      </c>
      <c r="L131" s="19" t="str">
        <f>IFERROR(INDEX('Detalles movimientos'!M$5:M$1000, MATCH(122, 'Detalles movimientos'!$T$5:$T$1000, 0)), "")</f>
        <v/>
      </c>
      <c r="M131" s="19" t="str">
        <f>IFERROR(INDEX('Detalles movimientos'!P$5:P$1000, MATCH(122, 'Detalles movimientos'!$T$5:$T$1000, 0)), "")</f>
        <v/>
      </c>
    </row>
    <row r="132" spans="2:13" x14ac:dyDescent="0.2">
      <c r="B132" s="18" t="str">
        <f>IFERROR(INDEX('Detalles movimientos'!C$5:C$1000, MATCH(123, 'Detalles movimientos'!$T$5:$T$1000, 0)), "")</f>
        <v/>
      </c>
      <c r="C132" s="19" t="str">
        <f>IFERROR(INDEX('Detalles movimientos'!D$5:D$1000, MATCH(123, 'Detalles movimientos'!$T$5:$T$1000, 0)), "")</f>
        <v/>
      </c>
      <c r="D132" s="20" t="str">
        <f>IFERROR(INDEX('Detalles movimientos'!E$5:E$1000, MATCH(123, 'Detalles movimientos'!$T$5:$T$1000, 0)), "")</f>
        <v/>
      </c>
      <c r="E132" s="20" t="str">
        <f>IFERROR(INDEX('Detalles movimientos'!F$5:F$1000, MATCH(123, 'Detalles movimientos'!$T$5:$T$1000, 0)), "")</f>
        <v/>
      </c>
      <c r="F132" s="19" t="str">
        <f>IFERROR(INDEX('Detalles movimientos'!G$5:G$1000, MATCH(123, 'Detalles movimientos'!$T$5:$T$1000, 0)), "")</f>
        <v/>
      </c>
      <c r="G132" s="21" t="str">
        <f>IFERROR(INDEX('Detalles movimientos'!H$5:H$1000, MATCH(123, 'Detalles movimientos'!$T$5:$T$1000, 0)), "")</f>
        <v/>
      </c>
      <c r="H132" s="22" t="str">
        <f>IFERROR(INDEX('Detalles movimientos'!I$5:I$1000, MATCH(123, 'Detalles movimientos'!$T$5:$T$1000, 0)), "")</f>
        <v/>
      </c>
      <c r="I132" s="21" t="str">
        <f>IFERROR(INDEX('Detalles movimientos'!J$5:J$1000, MATCH(123, 'Detalles movimientos'!$T$5:$T$1000, 0)), "")</f>
        <v/>
      </c>
      <c r="J132" s="20" t="str">
        <f>IFERROR(INDEX('Detalles movimientos'!K$5:K$1000, MATCH(123, 'Detalles movimientos'!$T$5:$T$1000, 0)), "")</f>
        <v/>
      </c>
      <c r="K132" s="21" t="str">
        <f>IFERROR(INDEX('Detalles movimientos'!L$5:L$1000, MATCH(123, 'Detalles movimientos'!$T$5:$T$1000, 0)), "")</f>
        <v/>
      </c>
      <c r="L132" s="19" t="str">
        <f>IFERROR(INDEX('Detalles movimientos'!M$5:M$1000, MATCH(123, 'Detalles movimientos'!$T$5:$T$1000, 0)), "")</f>
        <v/>
      </c>
      <c r="M132" s="19" t="str">
        <f>IFERROR(INDEX('Detalles movimientos'!P$5:P$1000, MATCH(123, 'Detalles movimientos'!$T$5:$T$1000, 0)), "")</f>
        <v/>
      </c>
    </row>
    <row r="133" spans="2:13" x14ac:dyDescent="0.2">
      <c r="B133" s="18" t="str">
        <f>IFERROR(INDEX('Detalles movimientos'!C$5:C$1000, MATCH(124, 'Detalles movimientos'!$T$5:$T$1000, 0)), "")</f>
        <v/>
      </c>
      <c r="C133" s="19" t="str">
        <f>IFERROR(INDEX('Detalles movimientos'!D$5:D$1000, MATCH(124, 'Detalles movimientos'!$T$5:$T$1000, 0)), "")</f>
        <v/>
      </c>
      <c r="D133" s="20" t="str">
        <f>IFERROR(INDEX('Detalles movimientos'!E$5:E$1000, MATCH(124, 'Detalles movimientos'!$T$5:$T$1000, 0)), "")</f>
        <v/>
      </c>
      <c r="E133" s="20" t="str">
        <f>IFERROR(INDEX('Detalles movimientos'!F$5:F$1000, MATCH(124, 'Detalles movimientos'!$T$5:$T$1000, 0)), "")</f>
        <v/>
      </c>
      <c r="F133" s="19" t="str">
        <f>IFERROR(INDEX('Detalles movimientos'!G$5:G$1000, MATCH(124, 'Detalles movimientos'!$T$5:$T$1000, 0)), "")</f>
        <v/>
      </c>
      <c r="G133" s="21" t="str">
        <f>IFERROR(INDEX('Detalles movimientos'!H$5:H$1000, MATCH(124, 'Detalles movimientos'!$T$5:$T$1000, 0)), "")</f>
        <v/>
      </c>
      <c r="H133" s="22" t="str">
        <f>IFERROR(INDEX('Detalles movimientos'!I$5:I$1000, MATCH(124, 'Detalles movimientos'!$T$5:$T$1000, 0)), "")</f>
        <v/>
      </c>
      <c r="I133" s="21" t="str">
        <f>IFERROR(INDEX('Detalles movimientos'!J$5:J$1000, MATCH(124, 'Detalles movimientos'!$T$5:$T$1000, 0)), "")</f>
        <v/>
      </c>
      <c r="J133" s="20" t="str">
        <f>IFERROR(INDEX('Detalles movimientos'!K$5:K$1000, MATCH(124, 'Detalles movimientos'!$T$5:$T$1000, 0)), "")</f>
        <v/>
      </c>
      <c r="K133" s="21" t="str">
        <f>IFERROR(INDEX('Detalles movimientos'!L$5:L$1000, MATCH(124, 'Detalles movimientos'!$T$5:$T$1000, 0)), "")</f>
        <v/>
      </c>
      <c r="L133" s="19" t="str">
        <f>IFERROR(INDEX('Detalles movimientos'!M$5:M$1000, MATCH(124, 'Detalles movimientos'!$T$5:$T$1000, 0)), "")</f>
        <v/>
      </c>
      <c r="M133" s="19" t="str">
        <f>IFERROR(INDEX('Detalles movimientos'!P$5:P$1000, MATCH(124, 'Detalles movimientos'!$T$5:$T$1000, 0)), "")</f>
        <v/>
      </c>
    </row>
    <row r="134" spans="2:13" x14ac:dyDescent="0.2">
      <c r="B134" s="18" t="str">
        <f>IFERROR(INDEX('Detalles movimientos'!C$5:C$1000, MATCH(125, 'Detalles movimientos'!$T$5:$T$1000, 0)), "")</f>
        <v/>
      </c>
      <c r="C134" s="19" t="str">
        <f>IFERROR(INDEX('Detalles movimientos'!D$5:D$1000, MATCH(125, 'Detalles movimientos'!$T$5:$T$1000, 0)), "")</f>
        <v/>
      </c>
      <c r="D134" s="20" t="str">
        <f>IFERROR(INDEX('Detalles movimientos'!E$5:E$1000, MATCH(125, 'Detalles movimientos'!$T$5:$T$1000, 0)), "")</f>
        <v/>
      </c>
      <c r="E134" s="20" t="str">
        <f>IFERROR(INDEX('Detalles movimientos'!F$5:F$1000, MATCH(125, 'Detalles movimientos'!$T$5:$T$1000, 0)), "")</f>
        <v/>
      </c>
      <c r="F134" s="19" t="str">
        <f>IFERROR(INDEX('Detalles movimientos'!G$5:G$1000, MATCH(125, 'Detalles movimientos'!$T$5:$T$1000, 0)), "")</f>
        <v/>
      </c>
      <c r="G134" s="21" t="str">
        <f>IFERROR(INDEX('Detalles movimientos'!H$5:H$1000, MATCH(125, 'Detalles movimientos'!$T$5:$T$1000, 0)), "")</f>
        <v/>
      </c>
      <c r="H134" s="22" t="str">
        <f>IFERROR(INDEX('Detalles movimientos'!I$5:I$1000, MATCH(125, 'Detalles movimientos'!$T$5:$T$1000, 0)), "")</f>
        <v/>
      </c>
      <c r="I134" s="21" t="str">
        <f>IFERROR(INDEX('Detalles movimientos'!J$5:J$1000, MATCH(125, 'Detalles movimientos'!$T$5:$T$1000, 0)), "")</f>
        <v/>
      </c>
      <c r="J134" s="20" t="str">
        <f>IFERROR(INDEX('Detalles movimientos'!K$5:K$1000, MATCH(125, 'Detalles movimientos'!$T$5:$T$1000, 0)), "")</f>
        <v/>
      </c>
      <c r="K134" s="21" t="str">
        <f>IFERROR(INDEX('Detalles movimientos'!L$5:L$1000, MATCH(125, 'Detalles movimientos'!$T$5:$T$1000, 0)), "")</f>
        <v/>
      </c>
      <c r="L134" s="19" t="str">
        <f>IFERROR(INDEX('Detalles movimientos'!M$5:M$1000, MATCH(125, 'Detalles movimientos'!$T$5:$T$1000, 0)), "")</f>
        <v/>
      </c>
      <c r="M134" s="19" t="str">
        <f>IFERROR(INDEX('Detalles movimientos'!P$5:P$1000, MATCH(125, 'Detalles movimientos'!$T$5:$T$1000, 0)), "")</f>
        <v/>
      </c>
    </row>
    <row r="135" spans="2:13" x14ac:dyDescent="0.2">
      <c r="B135" s="18" t="str">
        <f>IFERROR(INDEX('Detalles movimientos'!C$5:C$1000, MATCH(126, 'Detalles movimientos'!$T$5:$T$1000, 0)), "")</f>
        <v/>
      </c>
      <c r="C135" s="19" t="str">
        <f>IFERROR(INDEX('Detalles movimientos'!D$5:D$1000, MATCH(126, 'Detalles movimientos'!$T$5:$T$1000, 0)), "")</f>
        <v/>
      </c>
      <c r="D135" s="20" t="str">
        <f>IFERROR(INDEX('Detalles movimientos'!E$5:E$1000, MATCH(126, 'Detalles movimientos'!$T$5:$T$1000, 0)), "")</f>
        <v/>
      </c>
      <c r="E135" s="20" t="str">
        <f>IFERROR(INDEX('Detalles movimientos'!F$5:F$1000, MATCH(126, 'Detalles movimientos'!$T$5:$T$1000, 0)), "")</f>
        <v/>
      </c>
      <c r="F135" s="19" t="str">
        <f>IFERROR(INDEX('Detalles movimientos'!G$5:G$1000, MATCH(126, 'Detalles movimientos'!$T$5:$T$1000, 0)), "")</f>
        <v/>
      </c>
      <c r="G135" s="21" t="str">
        <f>IFERROR(INDEX('Detalles movimientos'!H$5:H$1000, MATCH(126, 'Detalles movimientos'!$T$5:$T$1000, 0)), "")</f>
        <v/>
      </c>
      <c r="H135" s="22" t="str">
        <f>IFERROR(INDEX('Detalles movimientos'!I$5:I$1000, MATCH(126, 'Detalles movimientos'!$T$5:$T$1000, 0)), "")</f>
        <v/>
      </c>
      <c r="I135" s="21" t="str">
        <f>IFERROR(INDEX('Detalles movimientos'!J$5:J$1000, MATCH(126, 'Detalles movimientos'!$T$5:$T$1000, 0)), "")</f>
        <v/>
      </c>
      <c r="J135" s="20" t="str">
        <f>IFERROR(INDEX('Detalles movimientos'!K$5:K$1000, MATCH(126, 'Detalles movimientos'!$T$5:$T$1000, 0)), "")</f>
        <v/>
      </c>
      <c r="K135" s="21" t="str">
        <f>IFERROR(INDEX('Detalles movimientos'!L$5:L$1000, MATCH(126, 'Detalles movimientos'!$T$5:$T$1000, 0)), "")</f>
        <v/>
      </c>
      <c r="L135" s="19" t="str">
        <f>IFERROR(INDEX('Detalles movimientos'!M$5:M$1000, MATCH(126, 'Detalles movimientos'!$T$5:$T$1000, 0)), "")</f>
        <v/>
      </c>
      <c r="M135" s="19" t="str">
        <f>IFERROR(INDEX('Detalles movimientos'!P$5:P$1000, MATCH(126, 'Detalles movimientos'!$T$5:$T$1000, 0)), "")</f>
        <v/>
      </c>
    </row>
    <row r="136" spans="2:13" x14ac:dyDescent="0.2">
      <c r="B136" s="18" t="str">
        <f>IFERROR(INDEX('Detalles movimientos'!C$5:C$1000, MATCH(127, 'Detalles movimientos'!$T$5:$T$1000, 0)), "")</f>
        <v/>
      </c>
      <c r="C136" s="19" t="str">
        <f>IFERROR(INDEX('Detalles movimientos'!D$5:D$1000, MATCH(127, 'Detalles movimientos'!$T$5:$T$1000, 0)), "")</f>
        <v/>
      </c>
      <c r="D136" s="20" t="str">
        <f>IFERROR(INDEX('Detalles movimientos'!E$5:E$1000, MATCH(127, 'Detalles movimientos'!$T$5:$T$1000, 0)), "")</f>
        <v/>
      </c>
      <c r="E136" s="20" t="str">
        <f>IFERROR(INDEX('Detalles movimientos'!F$5:F$1000, MATCH(127, 'Detalles movimientos'!$T$5:$T$1000, 0)), "")</f>
        <v/>
      </c>
      <c r="F136" s="19" t="str">
        <f>IFERROR(INDEX('Detalles movimientos'!G$5:G$1000, MATCH(127, 'Detalles movimientos'!$T$5:$T$1000, 0)), "")</f>
        <v/>
      </c>
      <c r="G136" s="21" t="str">
        <f>IFERROR(INDEX('Detalles movimientos'!H$5:H$1000, MATCH(127, 'Detalles movimientos'!$T$5:$T$1000, 0)), "")</f>
        <v/>
      </c>
      <c r="H136" s="22" t="str">
        <f>IFERROR(INDEX('Detalles movimientos'!I$5:I$1000, MATCH(127, 'Detalles movimientos'!$T$5:$T$1000, 0)), "")</f>
        <v/>
      </c>
      <c r="I136" s="21" t="str">
        <f>IFERROR(INDEX('Detalles movimientos'!J$5:J$1000, MATCH(127, 'Detalles movimientos'!$T$5:$T$1000, 0)), "")</f>
        <v/>
      </c>
      <c r="J136" s="20" t="str">
        <f>IFERROR(INDEX('Detalles movimientos'!K$5:K$1000, MATCH(127, 'Detalles movimientos'!$T$5:$T$1000, 0)), "")</f>
        <v/>
      </c>
      <c r="K136" s="21" t="str">
        <f>IFERROR(INDEX('Detalles movimientos'!L$5:L$1000, MATCH(127, 'Detalles movimientos'!$T$5:$T$1000, 0)), "")</f>
        <v/>
      </c>
      <c r="L136" s="19" t="str">
        <f>IFERROR(INDEX('Detalles movimientos'!M$5:M$1000, MATCH(127, 'Detalles movimientos'!$T$5:$T$1000, 0)), "")</f>
        <v/>
      </c>
      <c r="M136" s="19" t="str">
        <f>IFERROR(INDEX('Detalles movimientos'!P$5:P$1000, MATCH(127, 'Detalles movimientos'!$T$5:$T$1000, 0)), "")</f>
        <v/>
      </c>
    </row>
    <row r="137" spans="2:13" x14ac:dyDescent="0.2">
      <c r="B137" s="18" t="str">
        <f>IFERROR(INDEX('Detalles movimientos'!C$5:C$1000, MATCH(128, 'Detalles movimientos'!$T$5:$T$1000, 0)), "")</f>
        <v/>
      </c>
      <c r="C137" s="19" t="str">
        <f>IFERROR(INDEX('Detalles movimientos'!D$5:D$1000, MATCH(128, 'Detalles movimientos'!$T$5:$T$1000, 0)), "")</f>
        <v/>
      </c>
      <c r="D137" s="20" t="str">
        <f>IFERROR(INDEX('Detalles movimientos'!E$5:E$1000, MATCH(128, 'Detalles movimientos'!$T$5:$T$1000, 0)), "")</f>
        <v/>
      </c>
      <c r="E137" s="20" t="str">
        <f>IFERROR(INDEX('Detalles movimientos'!F$5:F$1000, MATCH(128, 'Detalles movimientos'!$T$5:$T$1000, 0)), "")</f>
        <v/>
      </c>
      <c r="F137" s="19" t="str">
        <f>IFERROR(INDEX('Detalles movimientos'!G$5:G$1000, MATCH(128, 'Detalles movimientos'!$T$5:$T$1000, 0)), "")</f>
        <v/>
      </c>
      <c r="G137" s="21" t="str">
        <f>IFERROR(INDEX('Detalles movimientos'!H$5:H$1000, MATCH(128, 'Detalles movimientos'!$T$5:$T$1000, 0)), "")</f>
        <v/>
      </c>
      <c r="H137" s="22" t="str">
        <f>IFERROR(INDEX('Detalles movimientos'!I$5:I$1000, MATCH(128, 'Detalles movimientos'!$T$5:$T$1000, 0)), "")</f>
        <v/>
      </c>
      <c r="I137" s="21" t="str">
        <f>IFERROR(INDEX('Detalles movimientos'!J$5:J$1000, MATCH(128, 'Detalles movimientos'!$T$5:$T$1000, 0)), "")</f>
        <v/>
      </c>
      <c r="J137" s="20" t="str">
        <f>IFERROR(INDEX('Detalles movimientos'!K$5:K$1000, MATCH(128, 'Detalles movimientos'!$T$5:$T$1000, 0)), "")</f>
        <v/>
      </c>
      <c r="K137" s="21" t="str">
        <f>IFERROR(INDEX('Detalles movimientos'!L$5:L$1000, MATCH(128, 'Detalles movimientos'!$T$5:$T$1000, 0)), "")</f>
        <v/>
      </c>
      <c r="L137" s="19" t="str">
        <f>IFERROR(INDEX('Detalles movimientos'!M$5:M$1000, MATCH(128, 'Detalles movimientos'!$T$5:$T$1000, 0)), "")</f>
        <v/>
      </c>
      <c r="M137" s="19" t="str">
        <f>IFERROR(INDEX('Detalles movimientos'!P$5:P$1000, MATCH(128, 'Detalles movimientos'!$T$5:$T$1000, 0)), "")</f>
        <v/>
      </c>
    </row>
    <row r="138" spans="2:13" x14ac:dyDescent="0.2">
      <c r="B138" s="18" t="str">
        <f>IFERROR(INDEX('Detalles movimientos'!C$5:C$1000, MATCH(129, 'Detalles movimientos'!$T$5:$T$1000, 0)), "")</f>
        <v/>
      </c>
      <c r="C138" s="19" t="str">
        <f>IFERROR(INDEX('Detalles movimientos'!D$5:D$1000, MATCH(129, 'Detalles movimientos'!$T$5:$T$1000, 0)), "")</f>
        <v/>
      </c>
      <c r="D138" s="20" t="str">
        <f>IFERROR(INDEX('Detalles movimientos'!E$5:E$1000, MATCH(129, 'Detalles movimientos'!$T$5:$T$1000, 0)), "")</f>
        <v/>
      </c>
      <c r="E138" s="20" t="str">
        <f>IFERROR(INDEX('Detalles movimientos'!F$5:F$1000, MATCH(129, 'Detalles movimientos'!$T$5:$T$1000, 0)), "")</f>
        <v/>
      </c>
      <c r="F138" s="19" t="str">
        <f>IFERROR(INDEX('Detalles movimientos'!G$5:G$1000, MATCH(129, 'Detalles movimientos'!$T$5:$T$1000, 0)), "")</f>
        <v/>
      </c>
      <c r="G138" s="21" t="str">
        <f>IFERROR(INDEX('Detalles movimientos'!H$5:H$1000, MATCH(129, 'Detalles movimientos'!$T$5:$T$1000, 0)), "")</f>
        <v/>
      </c>
      <c r="H138" s="22" t="str">
        <f>IFERROR(INDEX('Detalles movimientos'!I$5:I$1000, MATCH(129, 'Detalles movimientos'!$T$5:$T$1000, 0)), "")</f>
        <v/>
      </c>
      <c r="I138" s="21" t="str">
        <f>IFERROR(INDEX('Detalles movimientos'!J$5:J$1000, MATCH(129, 'Detalles movimientos'!$T$5:$T$1000, 0)), "")</f>
        <v/>
      </c>
      <c r="J138" s="20" t="str">
        <f>IFERROR(INDEX('Detalles movimientos'!K$5:K$1000, MATCH(129, 'Detalles movimientos'!$T$5:$T$1000, 0)), "")</f>
        <v/>
      </c>
      <c r="K138" s="21" t="str">
        <f>IFERROR(INDEX('Detalles movimientos'!L$5:L$1000, MATCH(129, 'Detalles movimientos'!$T$5:$T$1000, 0)), "")</f>
        <v/>
      </c>
      <c r="L138" s="19" t="str">
        <f>IFERROR(INDEX('Detalles movimientos'!M$5:M$1000, MATCH(129, 'Detalles movimientos'!$T$5:$T$1000, 0)), "")</f>
        <v/>
      </c>
      <c r="M138" s="19" t="str">
        <f>IFERROR(INDEX('Detalles movimientos'!P$5:P$1000, MATCH(129, 'Detalles movimientos'!$T$5:$T$1000, 0)), "")</f>
        <v/>
      </c>
    </row>
    <row r="139" spans="2:13" x14ac:dyDescent="0.2">
      <c r="B139" s="18" t="str">
        <f>IFERROR(INDEX('Detalles movimientos'!C$5:C$1000, MATCH(130, 'Detalles movimientos'!$T$5:$T$1000, 0)), "")</f>
        <v/>
      </c>
      <c r="C139" s="19" t="str">
        <f>IFERROR(INDEX('Detalles movimientos'!D$5:D$1000, MATCH(130, 'Detalles movimientos'!$T$5:$T$1000, 0)), "")</f>
        <v/>
      </c>
      <c r="D139" s="20" t="str">
        <f>IFERROR(INDEX('Detalles movimientos'!E$5:E$1000, MATCH(130, 'Detalles movimientos'!$T$5:$T$1000, 0)), "")</f>
        <v/>
      </c>
      <c r="E139" s="20" t="str">
        <f>IFERROR(INDEX('Detalles movimientos'!F$5:F$1000, MATCH(130, 'Detalles movimientos'!$T$5:$T$1000, 0)), "")</f>
        <v/>
      </c>
      <c r="F139" s="19" t="str">
        <f>IFERROR(INDEX('Detalles movimientos'!G$5:G$1000, MATCH(130, 'Detalles movimientos'!$T$5:$T$1000, 0)), "")</f>
        <v/>
      </c>
      <c r="G139" s="21" t="str">
        <f>IFERROR(INDEX('Detalles movimientos'!H$5:H$1000, MATCH(130, 'Detalles movimientos'!$T$5:$T$1000, 0)), "")</f>
        <v/>
      </c>
      <c r="H139" s="22" t="str">
        <f>IFERROR(INDEX('Detalles movimientos'!I$5:I$1000, MATCH(130, 'Detalles movimientos'!$T$5:$T$1000, 0)), "")</f>
        <v/>
      </c>
      <c r="I139" s="21" t="str">
        <f>IFERROR(INDEX('Detalles movimientos'!J$5:J$1000, MATCH(130, 'Detalles movimientos'!$T$5:$T$1000, 0)), "")</f>
        <v/>
      </c>
      <c r="J139" s="20" t="str">
        <f>IFERROR(INDEX('Detalles movimientos'!K$5:K$1000, MATCH(130, 'Detalles movimientos'!$T$5:$T$1000, 0)), "")</f>
        <v/>
      </c>
      <c r="K139" s="21" t="str">
        <f>IFERROR(INDEX('Detalles movimientos'!L$5:L$1000, MATCH(130, 'Detalles movimientos'!$T$5:$T$1000, 0)), "")</f>
        <v/>
      </c>
      <c r="L139" s="19" t="str">
        <f>IFERROR(INDEX('Detalles movimientos'!M$5:M$1000, MATCH(130, 'Detalles movimientos'!$T$5:$T$1000, 0)), "")</f>
        <v/>
      </c>
      <c r="M139" s="19" t="str">
        <f>IFERROR(INDEX('Detalles movimientos'!P$5:P$1000, MATCH(130, 'Detalles movimientos'!$T$5:$T$1000, 0)), "")</f>
        <v/>
      </c>
    </row>
    <row r="140" spans="2:13" x14ac:dyDescent="0.2">
      <c r="B140" s="18" t="str">
        <f>IFERROR(INDEX('Detalles movimientos'!C$5:C$1000, MATCH(131, 'Detalles movimientos'!$T$5:$T$1000, 0)), "")</f>
        <v/>
      </c>
      <c r="C140" s="19" t="str">
        <f>IFERROR(INDEX('Detalles movimientos'!D$5:D$1000, MATCH(131, 'Detalles movimientos'!$T$5:$T$1000, 0)), "")</f>
        <v/>
      </c>
      <c r="D140" s="20" t="str">
        <f>IFERROR(INDEX('Detalles movimientos'!E$5:E$1000, MATCH(131, 'Detalles movimientos'!$T$5:$T$1000, 0)), "")</f>
        <v/>
      </c>
      <c r="E140" s="20" t="str">
        <f>IFERROR(INDEX('Detalles movimientos'!F$5:F$1000, MATCH(131, 'Detalles movimientos'!$T$5:$T$1000, 0)), "")</f>
        <v/>
      </c>
      <c r="F140" s="19" t="str">
        <f>IFERROR(INDEX('Detalles movimientos'!G$5:G$1000, MATCH(131, 'Detalles movimientos'!$T$5:$T$1000, 0)), "")</f>
        <v/>
      </c>
      <c r="G140" s="21" t="str">
        <f>IFERROR(INDEX('Detalles movimientos'!H$5:H$1000, MATCH(131, 'Detalles movimientos'!$T$5:$T$1000, 0)), "")</f>
        <v/>
      </c>
      <c r="H140" s="22" t="str">
        <f>IFERROR(INDEX('Detalles movimientos'!I$5:I$1000, MATCH(131, 'Detalles movimientos'!$T$5:$T$1000, 0)), "")</f>
        <v/>
      </c>
      <c r="I140" s="21" t="str">
        <f>IFERROR(INDEX('Detalles movimientos'!J$5:J$1000, MATCH(131, 'Detalles movimientos'!$T$5:$T$1000, 0)), "")</f>
        <v/>
      </c>
      <c r="J140" s="20" t="str">
        <f>IFERROR(INDEX('Detalles movimientos'!K$5:K$1000, MATCH(131, 'Detalles movimientos'!$T$5:$T$1000, 0)), "")</f>
        <v/>
      </c>
      <c r="K140" s="21" t="str">
        <f>IFERROR(INDEX('Detalles movimientos'!L$5:L$1000, MATCH(131, 'Detalles movimientos'!$T$5:$T$1000, 0)), "")</f>
        <v/>
      </c>
      <c r="L140" s="19" t="str">
        <f>IFERROR(INDEX('Detalles movimientos'!M$5:M$1000, MATCH(131, 'Detalles movimientos'!$T$5:$T$1000, 0)), "")</f>
        <v/>
      </c>
      <c r="M140" s="19" t="str">
        <f>IFERROR(INDEX('Detalles movimientos'!P$5:P$1000, MATCH(131, 'Detalles movimientos'!$T$5:$T$1000, 0)), "")</f>
        <v/>
      </c>
    </row>
    <row r="141" spans="2:13" x14ac:dyDescent="0.2">
      <c r="B141" s="18" t="str">
        <f>IFERROR(INDEX('Detalles movimientos'!C$5:C$1000, MATCH(132, 'Detalles movimientos'!$T$5:$T$1000, 0)), "")</f>
        <v/>
      </c>
      <c r="C141" s="19" t="str">
        <f>IFERROR(INDEX('Detalles movimientos'!D$5:D$1000, MATCH(132, 'Detalles movimientos'!$T$5:$T$1000, 0)), "")</f>
        <v/>
      </c>
      <c r="D141" s="20" t="str">
        <f>IFERROR(INDEX('Detalles movimientos'!E$5:E$1000, MATCH(132, 'Detalles movimientos'!$T$5:$T$1000, 0)), "")</f>
        <v/>
      </c>
      <c r="E141" s="20" t="str">
        <f>IFERROR(INDEX('Detalles movimientos'!F$5:F$1000, MATCH(132, 'Detalles movimientos'!$T$5:$T$1000, 0)), "")</f>
        <v/>
      </c>
      <c r="F141" s="19" t="str">
        <f>IFERROR(INDEX('Detalles movimientos'!G$5:G$1000, MATCH(132, 'Detalles movimientos'!$T$5:$T$1000, 0)), "")</f>
        <v/>
      </c>
      <c r="G141" s="21" t="str">
        <f>IFERROR(INDEX('Detalles movimientos'!H$5:H$1000, MATCH(132, 'Detalles movimientos'!$T$5:$T$1000, 0)), "")</f>
        <v/>
      </c>
      <c r="H141" s="22" t="str">
        <f>IFERROR(INDEX('Detalles movimientos'!I$5:I$1000, MATCH(132, 'Detalles movimientos'!$T$5:$T$1000, 0)), "")</f>
        <v/>
      </c>
      <c r="I141" s="21" t="str">
        <f>IFERROR(INDEX('Detalles movimientos'!J$5:J$1000, MATCH(132, 'Detalles movimientos'!$T$5:$T$1000, 0)), "")</f>
        <v/>
      </c>
      <c r="J141" s="20" t="str">
        <f>IFERROR(INDEX('Detalles movimientos'!K$5:K$1000, MATCH(132, 'Detalles movimientos'!$T$5:$T$1000, 0)), "")</f>
        <v/>
      </c>
      <c r="K141" s="21" t="str">
        <f>IFERROR(INDEX('Detalles movimientos'!L$5:L$1000, MATCH(132, 'Detalles movimientos'!$T$5:$T$1000, 0)), "")</f>
        <v/>
      </c>
      <c r="L141" s="19" t="str">
        <f>IFERROR(INDEX('Detalles movimientos'!M$5:M$1000, MATCH(132, 'Detalles movimientos'!$T$5:$T$1000, 0)), "")</f>
        <v/>
      </c>
      <c r="M141" s="19" t="str">
        <f>IFERROR(INDEX('Detalles movimientos'!P$5:P$1000, MATCH(132, 'Detalles movimientos'!$T$5:$T$1000, 0)), "")</f>
        <v/>
      </c>
    </row>
    <row r="142" spans="2:13" x14ac:dyDescent="0.2">
      <c r="B142" s="18" t="str">
        <f>IFERROR(INDEX('Detalles movimientos'!C$5:C$1000, MATCH(133, 'Detalles movimientos'!$T$5:$T$1000, 0)), "")</f>
        <v/>
      </c>
      <c r="C142" s="19" t="str">
        <f>IFERROR(INDEX('Detalles movimientos'!D$5:D$1000, MATCH(133, 'Detalles movimientos'!$T$5:$T$1000, 0)), "")</f>
        <v/>
      </c>
      <c r="D142" s="20" t="str">
        <f>IFERROR(INDEX('Detalles movimientos'!E$5:E$1000, MATCH(133, 'Detalles movimientos'!$T$5:$T$1000, 0)), "")</f>
        <v/>
      </c>
      <c r="E142" s="20" t="str">
        <f>IFERROR(INDEX('Detalles movimientos'!F$5:F$1000, MATCH(133, 'Detalles movimientos'!$T$5:$T$1000, 0)), "")</f>
        <v/>
      </c>
      <c r="F142" s="19" t="str">
        <f>IFERROR(INDEX('Detalles movimientos'!G$5:G$1000, MATCH(133, 'Detalles movimientos'!$T$5:$T$1000, 0)), "")</f>
        <v/>
      </c>
      <c r="G142" s="21" t="str">
        <f>IFERROR(INDEX('Detalles movimientos'!H$5:H$1000, MATCH(133, 'Detalles movimientos'!$T$5:$T$1000, 0)), "")</f>
        <v/>
      </c>
      <c r="H142" s="22" t="str">
        <f>IFERROR(INDEX('Detalles movimientos'!I$5:I$1000, MATCH(133, 'Detalles movimientos'!$T$5:$T$1000, 0)), "")</f>
        <v/>
      </c>
      <c r="I142" s="21" t="str">
        <f>IFERROR(INDEX('Detalles movimientos'!J$5:J$1000, MATCH(133, 'Detalles movimientos'!$T$5:$T$1000, 0)), "")</f>
        <v/>
      </c>
      <c r="J142" s="20" t="str">
        <f>IFERROR(INDEX('Detalles movimientos'!K$5:K$1000, MATCH(133, 'Detalles movimientos'!$T$5:$T$1000, 0)), "")</f>
        <v/>
      </c>
      <c r="K142" s="21" t="str">
        <f>IFERROR(INDEX('Detalles movimientos'!L$5:L$1000, MATCH(133, 'Detalles movimientos'!$T$5:$T$1000, 0)), "")</f>
        <v/>
      </c>
      <c r="L142" s="19" t="str">
        <f>IFERROR(INDEX('Detalles movimientos'!M$5:M$1000, MATCH(133, 'Detalles movimientos'!$T$5:$T$1000, 0)), "")</f>
        <v/>
      </c>
      <c r="M142" s="19" t="str">
        <f>IFERROR(INDEX('Detalles movimientos'!P$5:P$1000, MATCH(133, 'Detalles movimientos'!$T$5:$T$1000, 0)), "")</f>
        <v/>
      </c>
    </row>
    <row r="143" spans="2:13" x14ac:dyDescent="0.2">
      <c r="B143" s="18" t="str">
        <f>IFERROR(INDEX('Detalles movimientos'!C$5:C$1000, MATCH(134, 'Detalles movimientos'!$T$5:$T$1000, 0)), "")</f>
        <v/>
      </c>
      <c r="C143" s="19" t="str">
        <f>IFERROR(INDEX('Detalles movimientos'!D$5:D$1000, MATCH(134, 'Detalles movimientos'!$T$5:$T$1000, 0)), "")</f>
        <v/>
      </c>
      <c r="D143" s="20" t="str">
        <f>IFERROR(INDEX('Detalles movimientos'!E$5:E$1000, MATCH(134, 'Detalles movimientos'!$T$5:$T$1000, 0)), "")</f>
        <v/>
      </c>
      <c r="E143" s="20" t="str">
        <f>IFERROR(INDEX('Detalles movimientos'!F$5:F$1000, MATCH(134, 'Detalles movimientos'!$T$5:$T$1000, 0)), "")</f>
        <v/>
      </c>
      <c r="F143" s="19" t="str">
        <f>IFERROR(INDEX('Detalles movimientos'!G$5:G$1000, MATCH(134, 'Detalles movimientos'!$T$5:$T$1000, 0)), "")</f>
        <v/>
      </c>
      <c r="G143" s="21" t="str">
        <f>IFERROR(INDEX('Detalles movimientos'!H$5:H$1000, MATCH(134, 'Detalles movimientos'!$T$5:$T$1000, 0)), "")</f>
        <v/>
      </c>
      <c r="H143" s="22" t="str">
        <f>IFERROR(INDEX('Detalles movimientos'!I$5:I$1000, MATCH(134, 'Detalles movimientos'!$T$5:$T$1000, 0)), "")</f>
        <v/>
      </c>
      <c r="I143" s="21" t="str">
        <f>IFERROR(INDEX('Detalles movimientos'!J$5:J$1000, MATCH(134, 'Detalles movimientos'!$T$5:$T$1000, 0)), "")</f>
        <v/>
      </c>
      <c r="J143" s="20" t="str">
        <f>IFERROR(INDEX('Detalles movimientos'!K$5:K$1000, MATCH(134, 'Detalles movimientos'!$T$5:$T$1000, 0)), "")</f>
        <v/>
      </c>
      <c r="K143" s="21" t="str">
        <f>IFERROR(INDEX('Detalles movimientos'!L$5:L$1000, MATCH(134, 'Detalles movimientos'!$T$5:$T$1000, 0)), "")</f>
        <v/>
      </c>
      <c r="L143" s="19" t="str">
        <f>IFERROR(INDEX('Detalles movimientos'!M$5:M$1000, MATCH(134, 'Detalles movimientos'!$T$5:$T$1000, 0)), "")</f>
        <v/>
      </c>
      <c r="M143" s="19" t="str">
        <f>IFERROR(INDEX('Detalles movimientos'!P$5:P$1000, MATCH(134, 'Detalles movimientos'!$T$5:$T$1000, 0)), "")</f>
        <v/>
      </c>
    </row>
    <row r="144" spans="2:13" x14ac:dyDescent="0.2">
      <c r="B144" s="18" t="str">
        <f>IFERROR(INDEX('Detalles movimientos'!C$5:C$1000, MATCH(135, 'Detalles movimientos'!$T$5:$T$1000, 0)), "")</f>
        <v/>
      </c>
      <c r="C144" s="19" t="str">
        <f>IFERROR(INDEX('Detalles movimientos'!D$5:D$1000, MATCH(135, 'Detalles movimientos'!$T$5:$T$1000, 0)), "")</f>
        <v/>
      </c>
      <c r="D144" s="20" t="str">
        <f>IFERROR(INDEX('Detalles movimientos'!E$5:E$1000, MATCH(135, 'Detalles movimientos'!$T$5:$T$1000, 0)), "")</f>
        <v/>
      </c>
      <c r="E144" s="20" t="str">
        <f>IFERROR(INDEX('Detalles movimientos'!F$5:F$1000, MATCH(135, 'Detalles movimientos'!$T$5:$T$1000, 0)), "")</f>
        <v/>
      </c>
      <c r="F144" s="19" t="str">
        <f>IFERROR(INDEX('Detalles movimientos'!G$5:G$1000, MATCH(135, 'Detalles movimientos'!$T$5:$T$1000, 0)), "")</f>
        <v/>
      </c>
      <c r="G144" s="21" t="str">
        <f>IFERROR(INDEX('Detalles movimientos'!H$5:H$1000, MATCH(135, 'Detalles movimientos'!$T$5:$T$1000, 0)), "")</f>
        <v/>
      </c>
      <c r="H144" s="22" t="str">
        <f>IFERROR(INDEX('Detalles movimientos'!I$5:I$1000, MATCH(135, 'Detalles movimientos'!$T$5:$T$1000, 0)), "")</f>
        <v/>
      </c>
      <c r="I144" s="21" t="str">
        <f>IFERROR(INDEX('Detalles movimientos'!J$5:J$1000, MATCH(135, 'Detalles movimientos'!$T$5:$T$1000, 0)), "")</f>
        <v/>
      </c>
      <c r="J144" s="20" t="str">
        <f>IFERROR(INDEX('Detalles movimientos'!K$5:K$1000, MATCH(135, 'Detalles movimientos'!$T$5:$T$1000, 0)), "")</f>
        <v/>
      </c>
      <c r="K144" s="21" t="str">
        <f>IFERROR(INDEX('Detalles movimientos'!L$5:L$1000, MATCH(135, 'Detalles movimientos'!$T$5:$T$1000, 0)), "")</f>
        <v/>
      </c>
      <c r="L144" s="19" t="str">
        <f>IFERROR(INDEX('Detalles movimientos'!M$5:M$1000, MATCH(135, 'Detalles movimientos'!$T$5:$T$1000, 0)), "")</f>
        <v/>
      </c>
      <c r="M144" s="19" t="str">
        <f>IFERROR(INDEX('Detalles movimientos'!P$5:P$1000, MATCH(135, 'Detalles movimientos'!$T$5:$T$1000, 0)), "")</f>
        <v/>
      </c>
    </row>
    <row r="145" spans="2:13" x14ac:dyDescent="0.2">
      <c r="B145" s="18" t="str">
        <f>IFERROR(INDEX('Detalles movimientos'!C$5:C$1000, MATCH(136, 'Detalles movimientos'!$T$5:$T$1000, 0)), "")</f>
        <v/>
      </c>
      <c r="C145" s="19" t="str">
        <f>IFERROR(INDEX('Detalles movimientos'!D$5:D$1000, MATCH(136, 'Detalles movimientos'!$T$5:$T$1000, 0)), "")</f>
        <v/>
      </c>
      <c r="D145" s="20" t="str">
        <f>IFERROR(INDEX('Detalles movimientos'!E$5:E$1000, MATCH(136, 'Detalles movimientos'!$T$5:$T$1000, 0)), "")</f>
        <v/>
      </c>
      <c r="E145" s="20" t="str">
        <f>IFERROR(INDEX('Detalles movimientos'!F$5:F$1000, MATCH(136, 'Detalles movimientos'!$T$5:$T$1000, 0)), "")</f>
        <v/>
      </c>
      <c r="F145" s="19" t="str">
        <f>IFERROR(INDEX('Detalles movimientos'!G$5:G$1000, MATCH(136, 'Detalles movimientos'!$T$5:$T$1000, 0)), "")</f>
        <v/>
      </c>
      <c r="G145" s="21" t="str">
        <f>IFERROR(INDEX('Detalles movimientos'!H$5:H$1000, MATCH(136, 'Detalles movimientos'!$T$5:$T$1000, 0)), "")</f>
        <v/>
      </c>
      <c r="H145" s="22" t="str">
        <f>IFERROR(INDEX('Detalles movimientos'!I$5:I$1000, MATCH(136, 'Detalles movimientos'!$T$5:$T$1000, 0)), "")</f>
        <v/>
      </c>
      <c r="I145" s="21" t="str">
        <f>IFERROR(INDEX('Detalles movimientos'!J$5:J$1000, MATCH(136, 'Detalles movimientos'!$T$5:$T$1000, 0)), "")</f>
        <v/>
      </c>
      <c r="J145" s="20" t="str">
        <f>IFERROR(INDEX('Detalles movimientos'!K$5:K$1000, MATCH(136, 'Detalles movimientos'!$T$5:$T$1000, 0)), "")</f>
        <v/>
      </c>
      <c r="K145" s="21" t="str">
        <f>IFERROR(INDEX('Detalles movimientos'!L$5:L$1000, MATCH(136, 'Detalles movimientos'!$T$5:$T$1000, 0)), "")</f>
        <v/>
      </c>
      <c r="L145" s="19" t="str">
        <f>IFERROR(INDEX('Detalles movimientos'!M$5:M$1000, MATCH(136, 'Detalles movimientos'!$T$5:$T$1000, 0)), "")</f>
        <v/>
      </c>
      <c r="M145" s="19" t="str">
        <f>IFERROR(INDEX('Detalles movimientos'!P$5:P$1000, MATCH(136, 'Detalles movimientos'!$T$5:$T$1000, 0)), "")</f>
        <v/>
      </c>
    </row>
    <row r="146" spans="2:13" x14ac:dyDescent="0.2">
      <c r="B146" s="18" t="str">
        <f>IFERROR(INDEX('Detalles movimientos'!C$5:C$1000, MATCH(137, 'Detalles movimientos'!$T$5:$T$1000, 0)), "")</f>
        <v/>
      </c>
      <c r="C146" s="19" t="str">
        <f>IFERROR(INDEX('Detalles movimientos'!D$5:D$1000, MATCH(137, 'Detalles movimientos'!$T$5:$T$1000, 0)), "")</f>
        <v/>
      </c>
      <c r="D146" s="20" t="str">
        <f>IFERROR(INDEX('Detalles movimientos'!E$5:E$1000, MATCH(137, 'Detalles movimientos'!$T$5:$T$1000, 0)), "")</f>
        <v/>
      </c>
      <c r="E146" s="20" t="str">
        <f>IFERROR(INDEX('Detalles movimientos'!F$5:F$1000, MATCH(137, 'Detalles movimientos'!$T$5:$T$1000, 0)), "")</f>
        <v/>
      </c>
      <c r="F146" s="19" t="str">
        <f>IFERROR(INDEX('Detalles movimientos'!G$5:G$1000, MATCH(137, 'Detalles movimientos'!$T$5:$T$1000, 0)), "")</f>
        <v/>
      </c>
      <c r="G146" s="21" t="str">
        <f>IFERROR(INDEX('Detalles movimientos'!H$5:H$1000, MATCH(137, 'Detalles movimientos'!$T$5:$T$1000, 0)), "")</f>
        <v/>
      </c>
      <c r="H146" s="22" t="str">
        <f>IFERROR(INDEX('Detalles movimientos'!I$5:I$1000, MATCH(137, 'Detalles movimientos'!$T$5:$T$1000, 0)), "")</f>
        <v/>
      </c>
      <c r="I146" s="21" t="str">
        <f>IFERROR(INDEX('Detalles movimientos'!J$5:J$1000, MATCH(137, 'Detalles movimientos'!$T$5:$T$1000, 0)), "")</f>
        <v/>
      </c>
      <c r="J146" s="20" t="str">
        <f>IFERROR(INDEX('Detalles movimientos'!K$5:K$1000, MATCH(137, 'Detalles movimientos'!$T$5:$T$1000, 0)), "")</f>
        <v/>
      </c>
      <c r="K146" s="21" t="str">
        <f>IFERROR(INDEX('Detalles movimientos'!L$5:L$1000, MATCH(137, 'Detalles movimientos'!$T$5:$T$1000, 0)), "")</f>
        <v/>
      </c>
      <c r="L146" s="19" t="str">
        <f>IFERROR(INDEX('Detalles movimientos'!M$5:M$1000, MATCH(137, 'Detalles movimientos'!$T$5:$T$1000, 0)), "")</f>
        <v/>
      </c>
      <c r="M146" s="19" t="str">
        <f>IFERROR(INDEX('Detalles movimientos'!P$5:P$1000, MATCH(137, 'Detalles movimientos'!$T$5:$T$1000, 0)), "")</f>
        <v/>
      </c>
    </row>
    <row r="147" spans="2:13" x14ac:dyDescent="0.2">
      <c r="B147" s="18" t="str">
        <f>IFERROR(INDEX('Detalles movimientos'!C$5:C$1000, MATCH(138, 'Detalles movimientos'!$T$5:$T$1000, 0)), "")</f>
        <v/>
      </c>
      <c r="C147" s="19" t="str">
        <f>IFERROR(INDEX('Detalles movimientos'!D$5:D$1000, MATCH(138, 'Detalles movimientos'!$T$5:$T$1000, 0)), "")</f>
        <v/>
      </c>
      <c r="D147" s="20" t="str">
        <f>IFERROR(INDEX('Detalles movimientos'!E$5:E$1000, MATCH(138, 'Detalles movimientos'!$T$5:$T$1000, 0)), "")</f>
        <v/>
      </c>
      <c r="E147" s="20" t="str">
        <f>IFERROR(INDEX('Detalles movimientos'!F$5:F$1000, MATCH(138, 'Detalles movimientos'!$T$5:$T$1000, 0)), "")</f>
        <v/>
      </c>
      <c r="F147" s="19" t="str">
        <f>IFERROR(INDEX('Detalles movimientos'!G$5:G$1000, MATCH(138, 'Detalles movimientos'!$T$5:$T$1000, 0)), "")</f>
        <v/>
      </c>
      <c r="G147" s="21" t="str">
        <f>IFERROR(INDEX('Detalles movimientos'!H$5:H$1000, MATCH(138, 'Detalles movimientos'!$T$5:$T$1000, 0)), "")</f>
        <v/>
      </c>
      <c r="H147" s="22" t="str">
        <f>IFERROR(INDEX('Detalles movimientos'!I$5:I$1000, MATCH(138, 'Detalles movimientos'!$T$5:$T$1000, 0)), "")</f>
        <v/>
      </c>
      <c r="I147" s="21" t="str">
        <f>IFERROR(INDEX('Detalles movimientos'!J$5:J$1000, MATCH(138, 'Detalles movimientos'!$T$5:$T$1000, 0)), "")</f>
        <v/>
      </c>
      <c r="J147" s="20" t="str">
        <f>IFERROR(INDEX('Detalles movimientos'!K$5:K$1000, MATCH(138, 'Detalles movimientos'!$T$5:$T$1000, 0)), "")</f>
        <v/>
      </c>
      <c r="K147" s="21" t="str">
        <f>IFERROR(INDEX('Detalles movimientos'!L$5:L$1000, MATCH(138, 'Detalles movimientos'!$T$5:$T$1000, 0)), "")</f>
        <v/>
      </c>
      <c r="L147" s="19" t="str">
        <f>IFERROR(INDEX('Detalles movimientos'!M$5:M$1000, MATCH(138, 'Detalles movimientos'!$T$5:$T$1000, 0)), "")</f>
        <v/>
      </c>
      <c r="M147" s="19" t="str">
        <f>IFERROR(INDEX('Detalles movimientos'!P$5:P$1000, MATCH(138, 'Detalles movimientos'!$T$5:$T$1000, 0)), "")</f>
        <v/>
      </c>
    </row>
    <row r="148" spans="2:13" x14ac:dyDescent="0.2">
      <c r="B148" s="18" t="str">
        <f>IFERROR(INDEX('Detalles movimientos'!C$5:C$1000, MATCH(139, 'Detalles movimientos'!$T$5:$T$1000, 0)), "")</f>
        <v/>
      </c>
      <c r="C148" s="19" t="str">
        <f>IFERROR(INDEX('Detalles movimientos'!D$5:D$1000, MATCH(139, 'Detalles movimientos'!$T$5:$T$1000, 0)), "")</f>
        <v/>
      </c>
      <c r="D148" s="20" t="str">
        <f>IFERROR(INDEX('Detalles movimientos'!E$5:E$1000, MATCH(139, 'Detalles movimientos'!$T$5:$T$1000, 0)), "")</f>
        <v/>
      </c>
      <c r="E148" s="20" t="str">
        <f>IFERROR(INDEX('Detalles movimientos'!F$5:F$1000, MATCH(139, 'Detalles movimientos'!$T$5:$T$1000, 0)), "")</f>
        <v/>
      </c>
      <c r="F148" s="19" t="str">
        <f>IFERROR(INDEX('Detalles movimientos'!G$5:G$1000, MATCH(139, 'Detalles movimientos'!$T$5:$T$1000, 0)), "")</f>
        <v/>
      </c>
      <c r="G148" s="21" t="str">
        <f>IFERROR(INDEX('Detalles movimientos'!H$5:H$1000, MATCH(139, 'Detalles movimientos'!$T$5:$T$1000, 0)), "")</f>
        <v/>
      </c>
      <c r="H148" s="22" t="str">
        <f>IFERROR(INDEX('Detalles movimientos'!I$5:I$1000, MATCH(139, 'Detalles movimientos'!$T$5:$T$1000, 0)), "")</f>
        <v/>
      </c>
      <c r="I148" s="21" t="str">
        <f>IFERROR(INDEX('Detalles movimientos'!J$5:J$1000, MATCH(139, 'Detalles movimientos'!$T$5:$T$1000, 0)), "")</f>
        <v/>
      </c>
      <c r="J148" s="20" t="str">
        <f>IFERROR(INDEX('Detalles movimientos'!K$5:K$1000, MATCH(139, 'Detalles movimientos'!$T$5:$T$1000, 0)), "")</f>
        <v/>
      </c>
      <c r="K148" s="21" t="str">
        <f>IFERROR(INDEX('Detalles movimientos'!L$5:L$1000, MATCH(139, 'Detalles movimientos'!$T$5:$T$1000, 0)), "")</f>
        <v/>
      </c>
      <c r="L148" s="19" t="str">
        <f>IFERROR(INDEX('Detalles movimientos'!M$5:M$1000, MATCH(139, 'Detalles movimientos'!$T$5:$T$1000, 0)), "")</f>
        <v/>
      </c>
      <c r="M148" s="19" t="str">
        <f>IFERROR(INDEX('Detalles movimientos'!P$5:P$1000, MATCH(139, 'Detalles movimientos'!$T$5:$T$1000, 0)), "")</f>
        <v/>
      </c>
    </row>
    <row r="149" spans="2:13" x14ac:dyDescent="0.2">
      <c r="B149" s="18" t="str">
        <f>IFERROR(INDEX('Detalles movimientos'!C$5:C$1000, MATCH(140, 'Detalles movimientos'!$T$5:$T$1000, 0)), "")</f>
        <v/>
      </c>
      <c r="C149" s="19" t="str">
        <f>IFERROR(INDEX('Detalles movimientos'!D$5:D$1000, MATCH(140, 'Detalles movimientos'!$T$5:$T$1000, 0)), "")</f>
        <v/>
      </c>
      <c r="D149" s="20" t="str">
        <f>IFERROR(INDEX('Detalles movimientos'!E$5:E$1000, MATCH(140, 'Detalles movimientos'!$T$5:$T$1000, 0)), "")</f>
        <v/>
      </c>
      <c r="E149" s="20" t="str">
        <f>IFERROR(INDEX('Detalles movimientos'!F$5:F$1000, MATCH(140, 'Detalles movimientos'!$T$5:$T$1000, 0)), "")</f>
        <v/>
      </c>
      <c r="F149" s="19" t="str">
        <f>IFERROR(INDEX('Detalles movimientos'!G$5:G$1000, MATCH(140, 'Detalles movimientos'!$T$5:$T$1000, 0)), "")</f>
        <v/>
      </c>
      <c r="G149" s="21" t="str">
        <f>IFERROR(INDEX('Detalles movimientos'!H$5:H$1000, MATCH(140, 'Detalles movimientos'!$T$5:$T$1000, 0)), "")</f>
        <v/>
      </c>
      <c r="H149" s="22" t="str">
        <f>IFERROR(INDEX('Detalles movimientos'!I$5:I$1000, MATCH(140, 'Detalles movimientos'!$T$5:$T$1000, 0)), "")</f>
        <v/>
      </c>
      <c r="I149" s="21" t="str">
        <f>IFERROR(INDEX('Detalles movimientos'!J$5:J$1000, MATCH(140, 'Detalles movimientos'!$T$5:$T$1000, 0)), "")</f>
        <v/>
      </c>
      <c r="J149" s="20" t="str">
        <f>IFERROR(INDEX('Detalles movimientos'!K$5:K$1000, MATCH(140, 'Detalles movimientos'!$T$5:$T$1000, 0)), "")</f>
        <v/>
      </c>
      <c r="K149" s="21" t="str">
        <f>IFERROR(INDEX('Detalles movimientos'!L$5:L$1000, MATCH(140, 'Detalles movimientos'!$T$5:$T$1000, 0)), "")</f>
        <v/>
      </c>
      <c r="L149" s="19" t="str">
        <f>IFERROR(INDEX('Detalles movimientos'!M$5:M$1000, MATCH(140, 'Detalles movimientos'!$T$5:$T$1000, 0)), "")</f>
        <v/>
      </c>
      <c r="M149" s="19" t="str">
        <f>IFERROR(INDEX('Detalles movimientos'!P$5:P$1000, MATCH(140, 'Detalles movimientos'!$T$5:$T$1000, 0)), "")</f>
        <v/>
      </c>
    </row>
    <row r="150" spans="2:13" x14ac:dyDescent="0.2">
      <c r="B150" s="18" t="str">
        <f>IFERROR(INDEX('Detalles movimientos'!C$5:C$1000, MATCH(141, 'Detalles movimientos'!$T$5:$T$1000, 0)), "")</f>
        <v/>
      </c>
      <c r="C150" s="19" t="str">
        <f>IFERROR(INDEX('Detalles movimientos'!D$5:D$1000, MATCH(141, 'Detalles movimientos'!$T$5:$T$1000, 0)), "")</f>
        <v/>
      </c>
      <c r="D150" s="20" t="str">
        <f>IFERROR(INDEX('Detalles movimientos'!E$5:E$1000, MATCH(141, 'Detalles movimientos'!$T$5:$T$1000, 0)), "")</f>
        <v/>
      </c>
      <c r="E150" s="20" t="str">
        <f>IFERROR(INDEX('Detalles movimientos'!F$5:F$1000, MATCH(141, 'Detalles movimientos'!$T$5:$T$1000, 0)), "")</f>
        <v/>
      </c>
      <c r="F150" s="19" t="str">
        <f>IFERROR(INDEX('Detalles movimientos'!G$5:G$1000, MATCH(141, 'Detalles movimientos'!$T$5:$T$1000, 0)), "")</f>
        <v/>
      </c>
      <c r="G150" s="21" t="str">
        <f>IFERROR(INDEX('Detalles movimientos'!H$5:H$1000, MATCH(141, 'Detalles movimientos'!$T$5:$T$1000, 0)), "")</f>
        <v/>
      </c>
      <c r="H150" s="22" t="str">
        <f>IFERROR(INDEX('Detalles movimientos'!I$5:I$1000, MATCH(141, 'Detalles movimientos'!$T$5:$T$1000, 0)), "")</f>
        <v/>
      </c>
      <c r="I150" s="21" t="str">
        <f>IFERROR(INDEX('Detalles movimientos'!J$5:J$1000, MATCH(141, 'Detalles movimientos'!$T$5:$T$1000, 0)), "")</f>
        <v/>
      </c>
      <c r="J150" s="20" t="str">
        <f>IFERROR(INDEX('Detalles movimientos'!K$5:K$1000, MATCH(141, 'Detalles movimientos'!$T$5:$T$1000, 0)), "")</f>
        <v/>
      </c>
      <c r="K150" s="21" t="str">
        <f>IFERROR(INDEX('Detalles movimientos'!L$5:L$1000, MATCH(141, 'Detalles movimientos'!$T$5:$T$1000, 0)), "")</f>
        <v/>
      </c>
      <c r="L150" s="19" t="str">
        <f>IFERROR(INDEX('Detalles movimientos'!M$5:M$1000, MATCH(141, 'Detalles movimientos'!$T$5:$T$1000, 0)), "")</f>
        <v/>
      </c>
      <c r="M150" s="19" t="str">
        <f>IFERROR(INDEX('Detalles movimientos'!P$5:P$1000, MATCH(141, 'Detalles movimientos'!$T$5:$T$1000, 0)), "")</f>
        <v/>
      </c>
    </row>
    <row r="151" spans="2:13" x14ac:dyDescent="0.2">
      <c r="B151" s="18" t="str">
        <f>IFERROR(INDEX('Detalles movimientos'!C$5:C$1000, MATCH(142, 'Detalles movimientos'!$T$5:$T$1000, 0)), "")</f>
        <v/>
      </c>
      <c r="C151" s="19" t="str">
        <f>IFERROR(INDEX('Detalles movimientos'!D$5:D$1000, MATCH(142, 'Detalles movimientos'!$T$5:$T$1000, 0)), "")</f>
        <v/>
      </c>
      <c r="D151" s="20" t="str">
        <f>IFERROR(INDEX('Detalles movimientos'!E$5:E$1000, MATCH(142, 'Detalles movimientos'!$T$5:$T$1000, 0)), "")</f>
        <v/>
      </c>
      <c r="E151" s="20" t="str">
        <f>IFERROR(INDEX('Detalles movimientos'!F$5:F$1000, MATCH(142, 'Detalles movimientos'!$T$5:$T$1000, 0)), "")</f>
        <v/>
      </c>
      <c r="F151" s="19" t="str">
        <f>IFERROR(INDEX('Detalles movimientos'!G$5:G$1000, MATCH(142, 'Detalles movimientos'!$T$5:$T$1000, 0)), "")</f>
        <v/>
      </c>
      <c r="G151" s="21" t="str">
        <f>IFERROR(INDEX('Detalles movimientos'!H$5:H$1000, MATCH(142, 'Detalles movimientos'!$T$5:$T$1000, 0)), "")</f>
        <v/>
      </c>
      <c r="H151" s="22" t="str">
        <f>IFERROR(INDEX('Detalles movimientos'!I$5:I$1000, MATCH(142, 'Detalles movimientos'!$T$5:$T$1000, 0)), "")</f>
        <v/>
      </c>
      <c r="I151" s="21" t="str">
        <f>IFERROR(INDEX('Detalles movimientos'!J$5:J$1000, MATCH(142, 'Detalles movimientos'!$T$5:$T$1000, 0)), "")</f>
        <v/>
      </c>
      <c r="J151" s="20" t="str">
        <f>IFERROR(INDEX('Detalles movimientos'!K$5:K$1000, MATCH(142, 'Detalles movimientos'!$T$5:$T$1000, 0)), "")</f>
        <v/>
      </c>
      <c r="K151" s="21" t="str">
        <f>IFERROR(INDEX('Detalles movimientos'!L$5:L$1000, MATCH(142, 'Detalles movimientos'!$T$5:$T$1000, 0)), "")</f>
        <v/>
      </c>
      <c r="L151" s="19" t="str">
        <f>IFERROR(INDEX('Detalles movimientos'!M$5:M$1000, MATCH(142, 'Detalles movimientos'!$T$5:$T$1000, 0)), "")</f>
        <v/>
      </c>
      <c r="M151" s="19" t="str">
        <f>IFERROR(INDEX('Detalles movimientos'!P$5:P$1000, MATCH(142, 'Detalles movimientos'!$T$5:$T$1000, 0)), "")</f>
        <v/>
      </c>
    </row>
    <row r="152" spans="2:13" x14ac:dyDescent="0.2">
      <c r="B152" s="18" t="str">
        <f>IFERROR(INDEX('Detalles movimientos'!C$5:C$1000, MATCH(143, 'Detalles movimientos'!$T$5:$T$1000, 0)), "")</f>
        <v/>
      </c>
      <c r="C152" s="19" t="str">
        <f>IFERROR(INDEX('Detalles movimientos'!D$5:D$1000, MATCH(143, 'Detalles movimientos'!$T$5:$T$1000, 0)), "")</f>
        <v/>
      </c>
      <c r="D152" s="20" t="str">
        <f>IFERROR(INDEX('Detalles movimientos'!E$5:E$1000, MATCH(143, 'Detalles movimientos'!$T$5:$T$1000, 0)), "")</f>
        <v/>
      </c>
      <c r="E152" s="20" t="str">
        <f>IFERROR(INDEX('Detalles movimientos'!F$5:F$1000, MATCH(143, 'Detalles movimientos'!$T$5:$T$1000, 0)), "")</f>
        <v/>
      </c>
      <c r="F152" s="19" t="str">
        <f>IFERROR(INDEX('Detalles movimientos'!G$5:G$1000, MATCH(143, 'Detalles movimientos'!$T$5:$T$1000, 0)), "")</f>
        <v/>
      </c>
      <c r="G152" s="21" t="str">
        <f>IFERROR(INDEX('Detalles movimientos'!H$5:H$1000, MATCH(143, 'Detalles movimientos'!$T$5:$T$1000, 0)), "")</f>
        <v/>
      </c>
      <c r="H152" s="22" t="str">
        <f>IFERROR(INDEX('Detalles movimientos'!I$5:I$1000, MATCH(143, 'Detalles movimientos'!$T$5:$T$1000, 0)), "")</f>
        <v/>
      </c>
      <c r="I152" s="21" t="str">
        <f>IFERROR(INDEX('Detalles movimientos'!J$5:J$1000, MATCH(143, 'Detalles movimientos'!$T$5:$T$1000, 0)), "")</f>
        <v/>
      </c>
      <c r="J152" s="20" t="str">
        <f>IFERROR(INDEX('Detalles movimientos'!K$5:K$1000, MATCH(143, 'Detalles movimientos'!$T$5:$T$1000, 0)), "")</f>
        <v/>
      </c>
      <c r="K152" s="21" t="str">
        <f>IFERROR(INDEX('Detalles movimientos'!L$5:L$1000, MATCH(143, 'Detalles movimientos'!$T$5:$T$1000, 0)), "")</f>
        <v/>
      </c>
      <c r="L152" s="19" t="str">
        <f>IFERROR(INDEX('Detalles movimientos'!M$5:M$1000, MATCH(143, 'Detalles movimientos'!$T$5:$T$1000, 0)), "")</f>
        <v/>
      </c>
      <c r="M152" s="19" t="str">
        <f>IFERROR(INDEX('Detalles movimientos'!P$5:P$1000, MATCH(143, 'Detalles movimientos'!$T$5:$T$1000, 0)), "")</f>
        <v/>
      </c>
    </row>
    <row r="153" spans="2:13" x14ac:dyDescent="0.2">
      <c r="B153" s="18" t="str">
        <f>IFERROR(INDEX('Detalles movimientos'!C$5:C$1000, MATCH(144, 'Detalles movimientos'!$T$5:$T$1000, 0)), "")</f>
        <v/>
      </c>
      <c r="C153" s="19" t="str">
        <f>IFERROR(INDEX('Detalles movimientos'!D$5:D$1000, MATCH(144, 'Detalles movimientos'!$T$5:$T$1000, 0)), "")</f>
        <v/>
      </c>
      <c r="D153" s="20" t="str">
        <f>IFERROR(INDEX('Detalles movimientos'!E$5:E$1000, MATCH(144, 'Detalles movimientos'!$T$5:$T$1000, 0)), "")</f>
        <v/>
      </c>
      <c r="E153" s="20" t="str">
        <f>IFERROR(INDEX('Detalles movimientos'!F$5:F$1000, MATCH(144, 'Detalles movimientos'!$T$5:$T$1000, 0)), "")</f>
        <v/>
      </c>
      <c r="F153" s="19" t="str">
        <f>IFERROR(INDEX('Detalles movimientos'!G$5:G$1000, MATCH(144, 'Detalles movimientos'!$T$5:$T$1000, 0)), "")</f>
        <v/>
      </c>
      <c r="G153" s="21" t="str">
        <f>IFERROR(INDEX('Detalles movimientos'!H$5:H$1000, MATCH(144, 'Detalles movimientos'!$T$5:$T$1000, 0)), "")</f>
        <v/>
      </c>
      <c r="H153" s="22" t="str">
        <f>IFERROR(INDEX('Detalles movimientos'!I$5:I$1000, MATCH(144, 'Detalles movimientos'!$T$5:$T$1000, 0)), "")</f>
        <v/>
      </c>
      <c r="I153" s="21" t="str">
        <f>IFERROR(INDEX('Detalles movimientos'!J$5:J$1000, MATCH(144, 'Detalles movimientos'!$T$5:$T$1000, 0)), "")</f>
        <v/>
      </c>
      <c r="J153" s="20" t="str">
        <f>IFERROR(INDEX('Detalles movimientos'!K$5:K$1000, MATCH(144, 'Detalles movimientos'!$T$5:$T$1000, 0)), "")</f>
        <v/>
      </c>
      <c r="K153" s="21" t="str">
        <f>IFERROR(INDEX('Detalles movimientos'!L$5:L$1000, MATCH(144, 'Detalles movimientos'!$T$5:$T$1000, 0)), "")</f>
        <v/>
      </c>
      <c r="L153" s="19" t="str">
        <f>IFERROR(INDEX('Detalles movimientos'!M$5:M$1000, MATCH(144, 'Detalles movimientos'!$T$5:$T$1000, 0)), "")</f>
        <v/>
      </c>
      <c r="M153" s="19" t="str">
        <f>IFERROR(INDEX('Detalles movimientos'!P$5:P$1000, MATCH(144, 'Detalles movimientos'!$T$5:$T$1000, 0)), "")</f>
        <v/>
      </c>
    </row>
    <row r="154" spans="2:13" x14ac:dyDescent="0.2">
      <c r="B154" s="18" t="str">
        <f>IFERROR(INDEX('Detalles movimientos'!C$5:C$1000, MATCH(145, 'Detalles movimientos'!$T$5:$T$1000, 0)), "")</f>
        <v/>
      </c>
      <c r="C154" s="19" t="str">
        <f>IFERROR(INDEX('Detalles movimientos'!D$5:D$1000, MATCH(145, 'Detalles movimientos'!$T$5:$T$1000, 0)), "")</f>
        <v/>
      </c>
      <c r="D154" s="20" t="str">
        <f>IFERROR(INDEX('Detalles movimientos'!E$5:E$1000, MATCH(145, 'Detalles movimientos'!$T$5:$T$1000, 0)), "")</f>
        <v/>
      </c>
      <c r="E154" s="20" t="str">
        <f>IFERROR(INDEX('Detalles movimientos'!F$5:F$1000, MATCH(145, 'Detalles movimientos'!$T$5:$T$1000, 0)), "")</f>
        <v/>
      </c>
      <c r="F154" s="19" t="str">
        <f>IFERROR(INDEX('Detalles movimientos'!G$5:G$1000, MATCH(145, 'Detalles movimientos'!$T$5:$T$1000, 0)), "")</f>
        <v/>
      </c>
      <c r="G154" s="21" t="str">
        <f>IFERROR(INDEX('Detalles movimientos'!H$5:H$1000, MATCH(145, 'Detalles movimientos'!$T$5:$T$1000, 0)), "")</f>
        <v/>
      </c>
      <c r="H154" s="22" t="str">
        <f>IFERROR(INDEX('Detalles movimientos'!I$5:I$1000, MATCH(145, 'Detalles movimientos'!$T$5:$T$1000, 0)), "")</f>
        <v/>
      </c>
      <c r="I154" s="21" t="str">
        <f>IFERROR(INDEX('Detalles movimientos'!J$5:J$1000, MATCH(145, 'Detalles movimientos'!$T$5:$T$1000, 0)), "")</f>
        <v/>
      </c>
      <c r="J154" s="20" t="str">
        <f>IFERROR(INDEX('Detalles movimientos'!K$5:K$1000, MATCH(145, 'Detalles movimientos'!$T$5:$T$1000, 0)), "")</f>
        <v/>
      </c>
      <c r="K154" s="21" t="str">
        <f>IFERROR(INDEX('Detalles movimientos'!L$5:L$1000, MATCH(145, 'Detalles movimientos'!$T$5:$T$1000, 0)), "")</f>
        <v/>
      </c>
      <c r="L154" s="19" t="str">
        <f>IFERROR(INDEX('Detalles movimientos'!M$5:M$1000, MATCH(145, 'Detalles movimientos'!$T$5:$T$1000, 0)), "")</f>
        <v/>
      </c>
      <c r="M154" s="19" t="str">
        <f>IFERROR(INDEX('Detalles movimientos'!P$5:P$1000, MATCH(145, 'Detalles movimientos'!$T$5:$T$1000, 0)), "")</f>
        <v/>
      </c>
    </row>
    <row r="155" spans="2:13" x14ac:dyDescent="0.2">
      <c r="B155" s="18" t="str">
        <f>IFERROR(INDEX('Detalles movimientos'!C$5:C$1000, MATCH(146, 'Detalles movimientos'!$T$5:$T$1000, 0)), "")</f>
        <v/>
      </c>
      <c r="C155" s="19" t="str">
        <f>IFERROR(INDEX('Detalles movimientos'!D$5:D$1000, MATCH(146, 'Detalles movimientos'!$T$5:$T$1000, 0)), "")</f>
        <v/>
      </c>
      <c r="D155" s="20" t="str">
        <f>IFERROR(INDEX('Detalles movimientos'!E$5:E$1000, MATCH(146, 'Detalles movimientos'!$T$5:$T$1000, 0)), "")</f>
        <v/>
      </c>
      <c r="E155" s="20" t="str">
        <f>IFERROR(INDEX('Detalles movimientos'!F$5:F$1000, MATCH(146, 'Detalles movimientos'!$T$5:$T$1000, 0)), "")</f>
        <v/>
      </c>
      <c r="F155" s="19" t="str">
        <f>IFERROR(INDEX('Detalles movimientos'!G$5:G$1000, MATCH(146, 'Detalles movimientos'!$T$5:$T$1000, 0)), "")</f>
        <v/>
      </c>
      <c r="G155" s="21" t="str">
        <f>IFERROR(INDEX('Detalles movimientos'!H$5:H$1000, MATCH(146, 'Detalles movimientos'!$T$5:$T$1000, 0)), "")</f>
        <v/>
      </c>
      <c r="H155" s="22" t="str">
        <f>IFERROR(INDEX('Detalles movimientos'!I$5:I$1000, MATCH(146, 'Detalles movimientos'!$T$5:$T$1000, 0)), "")</f>
        <v/>
      </c>
      <c r="I155" s="21" t="str">
        <f>IFERROR(INDEX('Detalles movimientos'!J$5:J$1000, MATCH(146, 'Detalles movimientos'!$T$5:$T$1000, 0)), "")</f>
        <v/>
      </c>
      <c r="J155" s="20" t="str">
        <f>IFERROR(INDEX('Detalles movimientos'!K$5:K$1000, MATCH(146, 'Detalles movimientos'!$T$5:$T$1000, 0)), "")</f>
        <v/>
      </c>
      <c r="K155" s="21" t="str">
        <f>IFERROR(INDEX('Detalles movimientos'!L$5:L$1000, MATCH(146, 'Detalles movimientos'!$T$5:$T$1000, 0)), "")</f>
        <v/>
      </c>
      <c r="L155" s="19" t="str">
        <f>IFERROR(INDEX('Detalles movimientos'!M$5:M$1000, MATCH(146, 'Detalles movimientos'!$T$5:$T$1000, 0)), "")</f>
        <v/>
      </c>
      <c r="M155" s="19" t="str">
        <f>IFERROR(INDEX('Detalles movimientos'!P$5:P$1000, MATCH(146, 'Detalles movimientos'!$T$5:$T$1000, 0)), "")</f>
        <v/>
      </c>
    </row>
    <row r="156" spans="2:13" x14ac:dyDescent="0.2">
      <c r="B156" s="18" t="str">
        <f>IFERROR(INDEX('Detalles movimientos'!C$5:C$1000, MATCH(147, 'Detalles movimientos'!$T$5:$T$1000, 0)), "")</f>
        <v/>
      </c>
      <c r="C156" s="19" t="str">
        <f>IFERROR(INDEX('Detalles movimientos'!D$5:D$1000, MATCH(147, 'Detalles movimientos'!$T$5:$T$1000, 0)), "")</f>
        <v/>
      </c>
      <c r="D156" s="20" t="str">
        <f>IFERROR(INDEX('Detalles movimientos'!E$5:E$1000, MATCH(147, 'Detalles movimientos'!$T$5:$T$1000, 0)), "")</f>
        <v/>
      </c>
      <c r="E156" s="20" t="str">
        <f>IFERROR(INDEX('Detalles movimientos'!F$5:F$1000, MATCH(147, 'Detalles movimientos'!$T$5:$T$1000, 0)), "")</f>
        <v/>
      </c>
      <c r="F156" s="19" t="str">
        <f>IFERROR(INDEX('Detalles movimientos'!G$5:G$1000, MATCH(147, 'Detalles movimientos'!$T$5:$T$1000, 0)), "")</f>
        <v/>
      </c>
      <c r="G156" s="21" t="str">
        <f>IFERROR(INDEX('Detalles movimientos'!H$5:H$1000, MATCH(147, 'Detalles movimientos'!$T$5:$T$1000, 0)), "")</f>
        <v/>
      </c>
      <c r="H156" s="22" t="str">
        <f>IFERROR(INDEX('Detalles movimientos'!I$5:I$1000, MATCH(147, 'Detalles movimientos'!$T$5:$T$1000, 0)), "")</f>
        <v/>
      </c>
      <c r="I156" s="21" t="str">
        <f>IFERROR(INDEX('Detalles movimientos'!J$5:J$1000, MATCH(147, 'Detalles movimientos'!$T$5:$T$1000, 0)), "")</f>
        <v/>
      </c>
      <c r="J156" s="20" t="str">
        <f>IFERROR(INDEX('Detalles movimientos'!K$5:K$1000, MATCH(147, 'Detalles movimientos'!$T$5:$T$1000, 0)), "")</f>
        <v/>
      </c>
      <c r="K156" s="21" t="str">
        <f>IFERROR(INDEX('Detalles movimientos'!L$5:L$1000, MATCH(147, 'Detalles movimientos'!$T$5:$T$1000, 0)), "")</f>
        <v/>
      </c>
      <c r="L156" s="19" t="str">
        <f>IFERROR(INDEX('Detalles movimientos'!M$5:M$1000, MATCH(147, 'Detalles movimientos'!$T$5:$T$1000, 0)), "")</f>
        <v/>
      </c>
      <c r="M156" s="19" t="str">
        <f>IFERROR(INDEX('Detalles movimientos'!P$5:P$1000, MATCH(147, 'Detalles movimientos'!$T$5:$T$1000, 0)), "")</f>
        <v/>
      </c>
    </row>
    <row r="157" spans="2:13" x14ac:dyDescent="0.2">
      <c r="B157" s="18" t="str">
        <f>IFERROR(INDEX('Detalles movimientos'!C$5:C$1000, MATCH(148, 'Detalles movimientos'!$T$5:$T$1000, 0)), "")</f>
        <v/>
      </c>
      <c r="C157" s="19" t="str">
        <f>IFERROR(INDEX('Detalles movimientos'!D$5:D$1000, MATCH(148, 'Detalles movimientos'!$T$5:$T$1000, 0)), "")</f>
        <v/>
      </c>
      <c r="D157" s="20" t="str">
        <f>IFERROR(INDEX('Detalles movimientos'!E$5:E$1000, MATCH(148, 'Detalles movimientos'!$T$5:$T$1000, 0)), "")</f>
        <v/>
      </c>
      <c r="E157" s="20" t="str">
        <f>IFERROR(INDEX('Detalles movimientos'!F$5:F$1000, MATCH(148, 'Detalles movimientos'!$T$5:$T$1000, 0)), "")</f>
        <v/>
      </c>
      <c r="F157" s="19" t="str">
        <f>IFERROR(INDEX('Detalles movimientos'!G$5:G$1000, MATCH(148, 'Detalles movimientos'!$T$5:$T$1000, 0)), "")</f>
        <v/>
      </c>
      <c r="G157" s="21" t="str">
        <f>IFERROR(INDEX('Detalles movimientos'!H$5:H$1000, MATCH(148, 'Detalles movimientos'!$T$5:$T$1000, 0)), "")</f>
        <v/>
      </c>
      <c r="H157" s="22" t="str">
        <f>IFERROR(INDEX('Detalles movimientos'!I$5:I$1000, MATCH(148, 'Detalles movimientos'!$T$5:$T$1000, 0)), "")</f>
        <v/>
      </c>
      <c r="I157" s="21" t="str">
        <f>IFERROR(INDEX('Detalles movimientos'!J$5:J$1000, MATCH(148, 'Detalles movimientos'!$T$5:$T$1000, 0)), "")</f>
        <v/>
      </c>
      <c r="J157" s="20" t="str">
        <f>IFERROR(INDEX('Detalles movimientos'!K$5:K$1000, MATCH(148, 'Detalles movimientos'!$T$5:$T$1000, 0)), "")</f>
        <v/>
      </c>
      <c r="K157" s="21" t="str">
        <f>IFERROR(INDEX('Detalles movimientos'!L$5:L$1000, MATCH(148, 'Detalles movimientos'!$T$5:$T$1000, 0)), "")</f>
        <v/>
      </c>
      <c r="L157" s="19" t="str">
        <f>IFERROR(INDEX('Detalles movimientos'!M$5:M$1000, MATCH(148, 'Detalles movimientos'!$T$5:$T$1000, 0)), "")</f>
        <v/>
      </c>
      <c r="M157" s="19" t="str">
        <f>IFERROR(INDEX('Detalles movimientos'!P$5:P$1000, MATCH(148, 'Detalles movimientos'!$T$5:$T$1000, 0)), "")</f>
        <v/>
      </c>
    </row>
    <row r="158" spans="2:13" x14ac:dyDescent="0.2">
      <c r="B158" s="18" t="str">
        <f>IFERROR(INDEX('Detalles movimientos'!C$5:C$1000, MATCH(149, 'Detalles movimientos'!$T$5:$T$1000, 0)), "")</f>
        <v/>
      </c>
      <c r="C158" s="19" t="str">
        <f>IFERROR(INDEX('Detalles movimientos'!D$5:D$1000, MATCH(149, 'Detalles movimientos'!$T$5:$T$1000, 0)), "")</f>
        <v/>
      </c>
      <c r="D158" s="20" t="str">
        <f>IFERROR(INDEX('Detalles movimientos'!E$5:E$1000, MATCH(149, 'Detalles movimientos'!$T$5:$T$1000, 0)), "")</f>
        <v/>
      </c>
      <c r="E158" s="20" t="str">
        <f>IFERROR(INDEX('Detalles movimientos'!F$5:F$1000, MATCH(149, 'Detalles movimientos'!$T$5:$T$1000, 0)), "")</f>
        <v/>
      </c>
      <c r="F158" s="19" t="str">
        <f>IFERROR(INDEX('Detalles movimientos'!G$5:G$1000, MATCH(149, 'Detalles movimientos'!$T$5:$T$1000, 0)), "")</f>
        <v/>
      </c>
      <c r="G158" s="21" t="str">
        <f>IFERROR(INDEX('Detalles movimientos'!H$5:H$1000, MATCH(149, 'Detalles movimientos'!$T$5:$T$1000, 0)), "")</f>
        <v/>
      </c>
      <c r="H158" s="22" t="str">
        <f>IFERROR(INDEX('Detalles movimientos'!I$5:I$1000, MATCH(149, 'Detalles movimientos'!$T$5:$T$1000, 0)), "")</f>
        <v/>
      </c>
      <c r="I158" s="21" t="str">
        <f>IFERROR(INDEX('Detalles movimientos'!J$5:J$1000, MATCH(149, 'Detalles movimientos'!$T$5:$T$1000, 0)), "")</f>
        <v/>
      </c>
      <c r="J158" s="20" t="str">
        <f>IFERROR(INDEX('Detalles movimientos'!K$5:K$1000, MATCH(149, 'Detalles movimientos'!$T$5:$T$1000, 0)), "")</f>
        <v/>
      </c>
      <c r="K158" s="21" t="str">
        <f>IFERROR(INDEX('Detalles movimientos'!L$5:L$1000, MATCH(149, 'Detalles movimientos'!$T$5:$T$1000, 0)), "")</f>
        <v/>
      </c>
      <c r="L158" s="19" t="str">
        <f>IFERROR(INDEX('Detalles movimientos'!M$5:M$1000, MATCH(149, 'Detalles movimientos'!$T$5:$T$1000, 0)), "")</f>
        <v/>
      </c>
      <c r="M158" s="19" t="str">
        <f>IFERROR(INDEX('Detalles movimientos'!P$5:P$1000, MATCH(149, 'Detalles movimientos'!$T$5:$T$1000, 0)), "")</f>
        <v/>
      </c>
    </row>
  </sheetData>
  <mergeCells count="8">
    <mergeCell ref="E6:F7"/>
    <mergeCell ref="H6:I7"/>
    <mergeCell ref="B5:C5"/>
    <mergeCell ref="K6:L7"/>
    <mergeCell ref="E5:F5"/>
    <mergeCell ref="K5:L5"/>
    <mergeCell ref="B6:C7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Detalles movimientos</vt:lpstr>
      <vt:lpstr>CJ</vt:lpstr>
      <vt:lpstr>Ignacio</vt:lpstr>
      <vt:lpstr>Tripulacion</vt:lpstr>
      <vt:lpstr>ENAP 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Román Miranda</dc:creator>
  <cp:lastModifiedBy>Héctor Román Miranda</cp:lastModifiedBy>
  <dcterms:created xsi:type="dcterms:W3CDTF">2026-08-03T16:54:58Z</dcterms:created>
  <dcterms:modified xsi:type="dcterms:W3CDTF">2026-08-14T13:45:34Z</dcterms:modified>
</cp:coreProperties>
</file>