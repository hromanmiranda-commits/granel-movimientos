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9A4D4778-DAD2-F548-900C-0A723553BE47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B6" i="6"/>
  <c r="E6" i="5"/>
  <c r="C6" i="5"/>
  <c r="B6" i="5"/>
  <c r="J9" i="4"/>
  <c r="D9" i="4"/>
  <c r="B6" i="4"/>
  <c r="B9" i="3"/>
  <c r="B5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O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D6" i="2" l="1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<sst xmlns="http://schemas.openxmlformats.org/spreadsheetml/2006/main" count="302" uniqueCount="118">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</sst>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5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3"/>
  <sheetViews>
    <sheetView showGridLines="0" tabSelected="1" zoomScaleNormal="100" workbookViewId="0">
      <pane ySplit="4" topLeftCell="A5" activePane="bottomLeft" state="frozen"/>
      <selection pane="bottomLeft" activeCell="C4" sqref="C4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5" t="s">
        <v>0</v>
      </c>
      <c r="D2" s="46"/>
      <c r="E2" s="46"/>
      <c r="F2" s="46"/>
      <c r="G2" s="46"/>
      <c r="H2" s="46"/>
      <c r="I2" s="46"/>
      <c r="J2" s="46"/>
      <c r="K2" s="47"/>
      <c r="L2" s="46"/>
      <c r="M2" s="46"/>
      <c r="N2" s="46"/>
      <c r="O2" s="46"/>
      <c r="P2" s="46"/>
      <c r="Q2" s="48"/>
      <c r="R2" s="49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/>
      <c r="D41" s="1"/>
      <c r="E41" s="5"/>
      <c r="F41" s="5"/>
      <c r="G41" s="1"/>
      <c r="H41" s="2"/>
      <c r="I41" s="5"/>
      <c r="J41" s="5"/>
      <c r="K41" s="34"/>
      <c r="L41" s="34"/>
      <c r="M41" s="6"/>
      <c r="N41" s="1"/>
      <c r="O41" s="6" t="str">
        <f t="shared" si="3"/>
        <v/>
      </c>
      <c r="P41" s="26"/>
      <c r="Q41" s="12"/>
      <c r="R41" s="29"/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 t="str">
        <f>IF(F41="ENAP carga", COUNTIF(F$5:F41, "ENAP carga"), "")</f>
        <v/>
      </c>
    </row>
    <row r="42" spans="3:23">
      <c r="C42" s="7"/>
      <c r="D42" s="1"/>
      <c r="E42" s="5"/>
      <c r="F42" s="5"/>
      <c r="G42" s="1"/>
      <c r="H42" s="2"/>
      <c r="I42" s="5"/>
      <c r="J42" s="5"/>
      <c r="K42" s="34"/>
      <c r="L42" s="34"/>
      <c r="M42" s="6"/>
      <c r="N42" s="1"/>
      <c r="O42" s="6" t="str">
        <f t="shared" si="3"/>
        <v/>
      </c>
      <c r="P42" s="26"/>
      <c r="Q42" s="12"/>
      <c r="R42" s="29"/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 t="str">
        <f>IF(F42="ENAP carga", COUNTIF(F$5:F42, "ENAP carga"), "")</f>
        <v/>
      </c>
    </row>
    <row r="43" spans="3:23">
      <c r="C43" s="7"/>
      <c r="D43" s="1"/>
      <c r="E43" s="5"/>
      <c r="F43" s="5"/>
      <c r="G43" s="1"/>
      <c r="H43" s="2"/>
      <c r="I43" s="5"/>
      <c r="J43" s="5"/>
      <c r="K43" s="34"/>
      <c r="L43" s="34"/>
      <c r="M43" s="6"/>
      <c r="N43" s="1"/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34"/>
      <c r="L44" s="34"/>
      <c r="M44" s="6"/>
      <c r="N44" s="1"/>
      <c r="O44" s="6" t="str">
        <f t="shared" si="3"/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34"/>
      <c r="L45" s="34"/>
      <c r="M45" s="6"/>
      <c r="N45" s="1"/>
      <c r="O45" s="6" t="str">
        <f t="shared" si="3"/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34"/>
      <c r="L46" s="34"/>
      <c r="M46" s="6"/>
      <c r="N46" s="1"/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34"/>
      <c r="L47" s="34"/>
      <c r="M47" s="6"/>
      <c r="N47" s="1"/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34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4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4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4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4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4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4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4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4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4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4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4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4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4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4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4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4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4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4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4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4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4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4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4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4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4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4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4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4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4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4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4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4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4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4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4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4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4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4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4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4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4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4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4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4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4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4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4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4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4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4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4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4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4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4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4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4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4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4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4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4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4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4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4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4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5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5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5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5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5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5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5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5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5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5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5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5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5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5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5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5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5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5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5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5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5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5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5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5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5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5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5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5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5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5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5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5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5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5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5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5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5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5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5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5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5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5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5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5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5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5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5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5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5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5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5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5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5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5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5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5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5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5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5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5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5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5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5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5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6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6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6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6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6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6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6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6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6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6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6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6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6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6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6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6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6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6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6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6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6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6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6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6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6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6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6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6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6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6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6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6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6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6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6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6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6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6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6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6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6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6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6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6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6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6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6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6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6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6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6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6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6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6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6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6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6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6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6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6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6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6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6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6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7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7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7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7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7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7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7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7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7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7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7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7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7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7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7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7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7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7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7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7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7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7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7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7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7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7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7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7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7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7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7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7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7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7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7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7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7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7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7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7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7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7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7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7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7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7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7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7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7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7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7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7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7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7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7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7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7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7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7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7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7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7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7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7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8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8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8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8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8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8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8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8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8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8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8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8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8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8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8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8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8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8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8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8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8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8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8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8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8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8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8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8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8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8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8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8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8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8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8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8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8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8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8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8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8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8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8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8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8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8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8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8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8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8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8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8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8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8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8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8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8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8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8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8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8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8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8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8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9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9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9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9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9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9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9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9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9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9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9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9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9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9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9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9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9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9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9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9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9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9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9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9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9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9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9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9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9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9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9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9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9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9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9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9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9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9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9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9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9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9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9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9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9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9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9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9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9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9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9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9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9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9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9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9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9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9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9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9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9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9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9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9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0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0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0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0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0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0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0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0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0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0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0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0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0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0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0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0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0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0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0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0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0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0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0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0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0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0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0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0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0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0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0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0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0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0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0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0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0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0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0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0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0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0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0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0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0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0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0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0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0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0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0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0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0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0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0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0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0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0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0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0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0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0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0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0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1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1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1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1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1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1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1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1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1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1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1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1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1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1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1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1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1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1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1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1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1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1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1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1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1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1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1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1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1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1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1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1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1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1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1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1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1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1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1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1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1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1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1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1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1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1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1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1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1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1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1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1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1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1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1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1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1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1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1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1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1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1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1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1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2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2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2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2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2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2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2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2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2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2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2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2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2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2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2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2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2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2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2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2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2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2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2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2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2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2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2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2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2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2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2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2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2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2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2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2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2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2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2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2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2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2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2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2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2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2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2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2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2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2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2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2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2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2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2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2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2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2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2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2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2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2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2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2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3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3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3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3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3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3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3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3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3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3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3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3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3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3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3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3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3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3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3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3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3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3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3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3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3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3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3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3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3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3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3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3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3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3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3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3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3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3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3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3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3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3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3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3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3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3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3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3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3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3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3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3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3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3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3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3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3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3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3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3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3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3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3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3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4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4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4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4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4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4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4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4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4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4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4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4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4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4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4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4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4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4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4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4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4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4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4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4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4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4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4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4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4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4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4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4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4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4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4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4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4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4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4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4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4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4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4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4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4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4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4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4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4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4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4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4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4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4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4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4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4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4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4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4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4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4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4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4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5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5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5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5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5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5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5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5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5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5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5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5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5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5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5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5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5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5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5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5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5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5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5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5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5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5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5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5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5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5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5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5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5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5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5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5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5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5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5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5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5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5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5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5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5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5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5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5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5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5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5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5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5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5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5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5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5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5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5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5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5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5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5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5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6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6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6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6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6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6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6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6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6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6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6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6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6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6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6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6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6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6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6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6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6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6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6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6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6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6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6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6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6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6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6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6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6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6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6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6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6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6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6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6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6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6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6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6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6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6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6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6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6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6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6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6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6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6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6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6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6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6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6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6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6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6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6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6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7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7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7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7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7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7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7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7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7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7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7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7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7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7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7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7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7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7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7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7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7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7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7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7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7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7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7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7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7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7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7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7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7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7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7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7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7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7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7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7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7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7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7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7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7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7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7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7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7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7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7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7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7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7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7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7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7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7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7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7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7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7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7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7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18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8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8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8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8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8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8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8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8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8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8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8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8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8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8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8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8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4"/>
      <c r="I5" s="55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68985</v>
      </c>
      <c r="D6" s="42">
        <f>C6-B6</f>
        <v>68985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6</v>
      </c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 t="str">
        <f>IFERROR(INDEX('Detalles movimientos'!C$5:C$1003, MATCH(7, 'Detalles movimientos'!$W$5:$W$1003, 0)), "")</f>
        <v/>
      </c>
      <c r="C16" s="18" t="str">
        <f>IFERROR(INDEX('Detalles movimientos'!D$5:D$1003, MATCH(7, 'Detalles movimientos'!$W$5:$W$1003, 0)), "")</f>
        <v/>
      </c>
      <c r="D16" s="19" t="str">
        <f>IFERROR(INDEX('Detalles movimientos'!E$5:E$1003, MATCH(7, 'Detalles movimientos'!$W$5:$W$1003, 0)), "")</f>
        <v/>
      </c>
      <c r="E16" s="19" t="str">
        <f>IFERROR(INDEX('Detalles movimientos'!F$5:F$1003, MATCH(7, 'Detalles movimientos'!$W$5:$W$1003, 0)), "")</f>
        <v/>
      </c>
      <c r="F16" s="18" t="str">
        <f>IFERROR(INDEX('Detalles movimientos'!G$5:G$1003, MATCH(7, 'Detalles movimientos'!$W$5:$W$1003, 0)), "")</f>
        <v/>
      </c>
      <c r="G16" s="20" t="str">
        <f>IFERROR(INDEX('Detalles movimientos'!H$5:H$1003, MATCH(7, 'Detalles movimientos'!$W$5:$W$1003, 0)), "")</f>
        <v/>
      </c>
      <c r="H16" s="21" t="str">
        <f>IFERROR(INDEX('Detalles movimientos'!I$5:I$1003, MATCH(7, 'Detalles movimientos'!$W$5:$W$1003, 0)), "")</f>
        <v/>
      </c>
      <c r="I16" s="20" t="str">
        <f>IFERROR(INDEX('Detalles movimientos'!M$5:M$1003, MATCH(7, 'Detalles movimientos'!$W$5:$W$1003, 0)), "")</f>
        <v/>
      </c>
      <c r="J16" s="19" t="str">
        <f>IFERROR(INDEX('Detalles movimientos'!N$5:N$1003, MATCH(7, 'Detalles movimientos'!$W$5:$W$1003, 0)), "")</f>
        <v/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/>
      </c>
      <c r="M16" s="18" t="str">
        <f>IFERROR(INDEX('Detalles movimientos'!S$5:S$1003, MATCH(7, 'Detalles movimientos'!$W$5:$W$1003, 0)), "")</f>
        <v/>
      </c>
    </row>
    <row r="17" spans="2:13">
      <c r="B17" s="17" t="str">
        <f>IFERROR(INDEX('Detalles movimientos'!C$5:C$1003, MATCH(8, 'Detalles movimientos'!$W$5:$W$1003, 0)), "")</f>
        <v/>
      </c>
      <c r="C17" s="18" t="str">
        <f>IFERROR(INDEX('Detalles movimientos'!D$5:D$1003, MATCH(8, 'Detalles movimientos'!$W$5:$W$1003, 0)), "")</f>
        <v/>
      </c>
      <c r="D17" s="19" t="str">
        <f>IFERROR(INDEX('Detalles movimientos'!E$5:E$1003, MATCH(8, 'Detalles movimientos'!$W$5:$W$1003, 0)), "")</f>
        <v/>
      </c>
      <c r="E17" s="19" t="str">
        <f>IFERROR(INDEX('Detalles movimientos'!F$5:F$1003, MATCH(8, 'Detalles movimientos'!$W$5:$W$1003, 0)), "")</f>
        <v/>
      </c>
      <c r="F17" s="18" t="str">
        <f>IFERROR(INDEX('Detalles movimientos'!G$5:G$1003, MATCH(8, 'Detalles movimientos'!$W$5:$W$1003, 0)), "")</f>
        <v/>
      </c>
      <c r="G17" s="20" t="str">
        <f>IFERROR(INDEX('Detalles movimientos'!H$5:H$1003, MATCH(8, 'Detalles movimientos'!$W$5:$W$1003, 0)), "")</f>
        <v/>
      </c>
      <c r="H17" s="21" t="str">
        <f>IFERROR(INDEX('Detalles movimientos'!I$5:I$1003, MATCH(8, 'Detalles movimientos'!$W$5:$W$1003, 0)), "")</f>
        <v/>
      </c>
      <c r="I17" s="20" t="str">
        <f>IFERROR(INDEX('Detalles movimientos'!M$5:M$1003, MATCH(8, 'Detalles movimientos'!$W$5:$W$1003, 0)), "")</f>
        <v/>
      </c>
      <c r="J17" s="19" t="str">
        <f>IFERROR(INDEX('Detalles movimientos'!N$5:N$1003, MATCH(8, 'Detalles movimientos'!$W$5:$W$1003, 0)), "")</f>
        <v/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/>
      </c>
      <c r="M17" s="18" t="str">
        <f>IFERROR(INDEX('Detalles movimientos'!S$5:S$1003, MATCH(8, 'Detalles movimientos'!$W$5:$W$1003, 0)), "")</f>
        <v/>
      </c>
    </row>
    <row r="18" spans="2:13">
      <c r="B18" s="17" t="str">
        <f>IFERROR(INDEX('Detalles movimientos'!C$5:C$1003, MATCH(9, 'Detalles movimientos'!$W$5:$W$1003, 0)), "")</f>
        <v/>
      </c>
      <c r="C18" s="18" t="str">
        <f>IFERROR(INDEX('Detalles movimientos'!D$5:D$1003, MATCH(9, 'Detalles movimientos'!$W$5:$W$1003, 0)), "")</f>
        <v/>
      </c>
      <c r="D18" s="19" t="str">
        <f>IFERROR(INDEX('Detalles movimientos'!E$5:E$1003, MATCH(9, 'Detalles movimientos'!$W$5:$W$1003, 0)), "")</f>
        <v/>
      </c>
      <c r="E18" s="19" t="str">
        <f>IFERROR(INDEX('Detalles movimientos'!F$5:F$1003, MATCH(9, 'Detalles movimientos'!$W$5:$W$1003, 0)), "")</f>
        <v/>
      </c>
      <c r="F18" s="18" t="str">
        <f>IFERROR(INDEX('Detalles movimientos'!G$5:G$1003, MATCH(9, 'Detalles movimientos'!$W$5:$W$1003, 0)), "")</f>
        <v/>
      </c>
      <c r="G18" s="20" t="str">
        <f>IFERROR(INDEX('Detalles movimientos'!H$5:H$1003, MATCH(9, 'Detalles movimientos'!$W$5:$W$1003, 0)), "")</f>
        <v/>
      </c>
      <c r="H18" s="21" t="str">
        <f>IFERROR(INDEX('Detalles movimientos'!I$5:I$1003, MATCH(9, 'Detalles movimientos'!$W$5:$W$1003, 0)), "")</f>
        <v/>
      </c>
      <c r="I18" s="20" t="str">
        <f>IFERROR(INDEX('Detalles movimientos'!M$5:M$1003, MATCH(9, 'Detalles movimientos'!$W$5:$W$1003, 0)), "")</f>
        <v/>
      </c>
      <c r="J18" s="19" t="str">
        <f>IFERROR(INDEX('Detalles movimientos'!N$5:N$1003, MATCH(9, 'Detalles movimientos'!$W$5:$W$1003, 0)), "")</f>
        <v/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/>
      </c>
      <c r="M18" s="18" t="str">
        <f>IFERROR(INDEX('Detalles movimientos'!S$5:S$1003, MATCH(9, 'Detalles movimientos'!$W$5:$W$1003, 0)), "")</f>
        <v/>
      </c>
    </row>
    <row r="19" spans="2:13">
      <c r="B19" s="17" t="str">
        <f>IFERROR(INDEX('Detalles movimientos'!C$5:C$1003, MATCH(10, 'Detalles movimientos'!$W$5:$W$1003, 0)), "")</f>
        <v/>
      </c>
      <c r="C19" s="18" t="str">
        <f>IFERROR(INDEX('Detalles movimientos'!D$5:D$1003, MATCH(10, 'Detalles movimientos'!$W$5:$W$1003, 0)), "")</f>
        <v/>
      </c>
      <c r="D19" s="19" t="str">
        <f>IFERROR(INDEX('Detalles movimientos'!E$5:E$1003, MATCH(10, 'Detalles movimientos'!$W$5:$W$1003, 0)), "")</f>
        <v/>
      </c>
      <c r="E19" s="19" t="str">
        <f>IFERROR(INDEX('Detalles movimientos'!F$5:F$1003, MATCH(10, 'Detalles movimientos'!$W$5:$W$1003, 0)), "")</f>
        <v/>
      </c>
      <c r="F19" s="18" t="str">
        <f>IFERROR(INDEX('Detalles movimientos'!G$5:G$1003, MATCH(10, 'Detalles movimientos'!$W$5:$W$1003, 0)), "")</f>
        <v/>
      </c>
      <c r="G19" s="20" t="str">
        <f>IFERROR(INDEX('Detalles movimientos'!H$5:H$1003, MATCH(10, 'Detalles movimientos'!$W$5:$W$1003, 0)), "")</f>
        <v/>
      </c>
      <c r="H19" s="21" t="str">
        <f>IFERROR(INDEX('Detalles movimientos'!I$5:I$1003, MATCH(10, 'Detalles movimientos'!$W$5:$W$1003, 0)), "")</f>
        <v/>
      </c>
      <c r="I19" s="20" t="str">
        <f>IFERROR(INDEX('Detalles movimientos'!M$5:M$1003, MATCH(10, 'Detalles movimientos'!$W$5:$W$1003, 0)), "")</f>
        <v/>
      </c>
      <c r="J19" s="19" t="str">
        <f>IFERROR(INDEX('Detalles movimientos'!N$5:N$1003, MATCH(10, 'Detalles movimientos'!$W$5:$W$1003, 0)), "")</f>
        <v/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/>
      </c>
      <c r="M19" s="18" t="str">
        <f>IFERROR(INDEX('Detalles movimientos'!S$5:S$1003, MATCH(10, 'Detalles movimientos'!$W$5:$W$1003, 0)), "")</f>
        <v/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7" t="s">
        <v>92</v>
      </c>
      <c r="B1" s="46"/>
    </row>
    <row r="3" spans="1:2">
      <c r="A3" s="56" t="s">
        <v>93</v>
      </c>
      <c r="B3" s="46"/>
    </row>
    <row r="4" spans="1:2">
      <c r="A4" t="s">
        <v>94</v>
      </c>
      <c r="B4" s="30">
        <f>SUM('Detalles movimientos'!R:R)</f>
        <v>68985</v>
      </c>
    </row>
    <row r="5" spans="1:2">
      <c r="A5" t="s">
        <v>95</v>
      </c>
      <c r="B5" s="30">
        <f>SUM('Detalles movimientos'!I:I)</f>
        <v>9198.7999999999993</v>
      </c>
    </row>
    <row r="6" spans="1:2">
      <c r="A6" t="s">
        <v>96</v>
      </c>
      <c r="B6" s="30">
        <f>B4-B5</f>
        <v>59786.2</v>
      </c>
    </row>
    <row r="7" spans="1:2">
      <c r="A7" s="56"/>
      <c r="B7" s="46"/>
    </row>
    <row r="8" spans="1:2">
      <c r="A8" s="56" t="s">
        <v>97</v>
      </c>
      <c r="B8" s="46"/>
    </row>
    <row r="9" spans="1:2">
      <c r="A9" t="s">
        <v>98</v>
      </c>
      <c r="B9" s="31">
        <f>SUM('Detalles movimientos'!Q:Q)</f>
        <v>23231995</v>
      </c>
    </row>
    <row r="10" spans="1:2">
      <c r="A10" t="s">
        <v>99</v>
      </c>
      <c r="B10" s="31">
        <f>SUM('Detalles movimientos'!M:M)</f>
        <v>7400100</v>
      </c>
    </row>
    <row r="11" spans="1:2">
      <c r="A11" t="s">
        <v>100</v>
      </c>
      <c r="B11" s="31">
        <f>SUM('Detalles movimientos'!O:O)</f>
        <v>1180560</v>
      </c>
    </row>
    <row r="12" spans="1:2">
      <c r="A12" t="s">
        <v>101</v>
      </c>
      <c r="B12" s="31">
        <f>B10-B9</f>
        <v>-15831895</v>
      </c>
    </row>
    <row r="13" spans="1:2">
      <c r="A13" t="s">
        <v>102</v>
      </c>
      <c r="B13" s="31">
        <f>B11-B10</f>
        <v>-6219540</v>
      </c>
    </row>
    <row r="14" spans="1:2">
      <c r="A14" s="56"/>
      <c r="B14" s="46"/>
    </row>
    <row r="15" spans="1:2">
      <c r="A15" s="56" t="s">
        <v>103</v>
      </c>
      <c r="B15" s="46"/>
    </row>
    <row r="16" spans="1:2">
      <c r="A16" t="s">
        <v>104</v>
      </c>
      <c r="B16" s="31">
        <f>IF(B4&gt;0, B9/B4, 0)</f>
        <v>336.76879031673553</v>
      </c>
    </row>
    <row r="17" spans="1:2">
      <c r="A17" t="s">
        <v>105</v>
      </c>
      <c r="B17" s="31">
        <f>IF(B5&gt;0, B10/B5, 0)</f>
        <v>804.46362569030748</v>
      </c>
    </row>
    <row r="18" spans="1:2">
      <c r="A18" t="s">
        <v>106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1" t="s">
        <v>109</v>
      </c>
      <c r="C5" s="55"/>
      <c r="E5" s="61" t="s">
        <v>87</v>
      </c>
      <c r="F5" s="55"/>
      <c r="H5" s="61" t="s">
        <v>110</v>
      </c>
      <c r="I5" s="55"/>
      <c r="K5" s="61" t="s">
        <v>111</v>
      </c>
      <c r="L5" s="55"/>
    </row>
    <row r="6" spans="2:13">
      <c r="B6" s="60">
        <f>SUMIFS('Detalles movimientos'!I$5:I$1003, 'Detalles movimientos'!F$5:F$1003, "CJ")</f>
        <v>5902.8</v>
      </c>
      <c r="C6" s="51"/>
      <c r="E6" s="63">
        <f>SUMIFS('Detalles movimientos'!M$5:M$1003, 'Detalles movimientos'!F$5:F$1003, "CJ")</f>
        <v>6126100</v>
      </c>
      <c r="F6" s="51"/>
      <c r="H6" s="63">
        <f>SUMIFS('Detalles movimientos'!O$5:O$1003, 'Detalles movimientos'!F$5:F$1003, "CJ", 'Detalles movimientos'!P$5:P$1003, "*Comision Pagada*")</f>
        <v>485760</v>
      </c>
      <c r="I6" s="51"/>
      <c r="K6" s="63">
        <f>SUMIFS('Detalles movimientos'!O$5:O$1003, 'Detalles movimientos'!F$5:F$1003, "CJ", 'Detalles movimientos'!P$5:P$1003, "&lt;&gt;*Comision Pagada*")</f>
        <v>694800</v>
      </c>
      <c r="L6" s="51"/>
    </row>
    <row r="7" spans="2:13">
      <c r="B7" s="52"/>
      <c r="C7" s="53"/>
      <c r="E7" s="52"/>
      <c r="F7" s="53"/>
      <c r="H7" s="52"/>
      <c r="I7" s="53"/>
      <c r="K7" s="52"/>
      <c r="L7" s="53"/>
    </row>
    <row r="9" spans="2:13">
      <c r="B9" s="62" t="s">
        <v>112</v>
      </c>
      <c r="C9" s="55"/>
      <c r="D9" s="58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59"/>
      <c r="F9" s="55"/>
      <c r="H9" s="62" t="s">
        <v>113</v>
      </c>
      <c r="I9" s="55"/>
      <c r="J9" s="58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20/08/2026</v>
      </c>
      <c r="K9" s="59"/>
      <c r="L9" s="55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 t="str">
        <f>IFERROR(INDEX('Detalles movimientos'!P$5:P$1003, MATCH(15, 'Detalles movimientos'!$T$5:$T$1003, 0)), "")</f>
        <v>Factura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 t="str">
        <f>IFERROR(INDEX('Detalles movimientos'!C$5:C$1003, MATCH(17, 'Detalles movimientos'!$T$5:$T$1003, 0)), "")</f>
        <v/>
      </c>
      <c r="C29" s="18" t="str">
        <f>IFERROR(INDEX('Detalles movimientos'!D$5:D$1003, MATCH(17, 'Detalles movimientos'!$T$5:$T$1003, 0)), "")</f>
        <v/>
      </c>
      <c r="D29" s="19" t="str">
        <f>IFERROR(INDEX('Detalles movimientos'!E$5:E$1003, MATCH(17, 'Detalles movimientos'!$T$5:$T$1003, 0)), "")</f>
        <v/>
      </c>
      <c r="E29" s="19" t="str">
        <f>IFERROR(INDEX('Detalles movimientos'!F$5:F$1003, MATCH(17, 'Detalles movimientos'!$T$5:$T$1003, 0)), "")</f>
        <v/>
      </c>
      <c r="F29" s="18" t="str">
        <f>IFERROR(INDEX('Detalles movimientos'!G$5:G$1003, MATCH(17, 'Detalles movimientos'!$T$5:$T$1003, 0)), "")</f>
        <v/>
      </c>
      <c r="G29" s="20" t="str">
        <f>IFERROR(INDEX('Detalles movimientos'!H$5:H$1003, MATCH(17, 'Detalles movimientos'!$T$5:$T$1003, 0)), "")</f>
        <v/>
      </c>
      <c r="H29" s="21" t="str">
        <f>IFERROR(INDEX('Detalles movimientos'!I$5:I$1003, MATCH(17, 'Detalles movimientos'!$T$5:$T$1003, 0)), "")</f>
        <v/>
      </c>
      <c r="I29" s="20" t="str">
        <f>IFERROR(INDEX('Detalles movimientos'!M$5:M$1003, MATCH(17, 'Detalles movimientos'!$T$5:$T$1003, 0)), "")</f>
        <v/>
      </c>
      <c r="J29" s="19" t="str">
        <f>IFERROR(INDEX('Detalles movimientos'!N$5:N$1003, MATCH(17, 'Detalles movimientos'!$T$5:$T$1003, 0)), "")</f>
        <v/>
      </c>
      <c r="K29" s="20" t="str">
        <f>IFERROR(INDEX('Detalles movimientos'!O$5:O$1003, MATCH(17, 'Detalles movimientos'!$T$5:$T$1003, 0)), "")</f>
        <v/>
      </c>
      <c r="L29" s="18" t="str">
        <f>IFERROR(INDEX('Detalles movimientos'!P$5:P$1003, MATCH(17, 'Detalles movimientos'!$T$5:$T$1003, 0)), "")</f>
        <v/>
      </c>
      <c r="M29" s="18" t="str">
        <f>IFERROR(INDEX('Detalles movimientos'!S$5:S$1003, MATCH(17, 'Detalles movimientos'!$T$5:$T$1003, 0)), "")</f>
        <v/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4"/>
      <c r="I5" s="55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1" t="s">
        <v>109</v>
      </c>
      <c r="C5" s="55"/>
      <c r="E5" s="61" t="s">
        <v>87</v>
      </c>
      <c r="F5" s="55"/>
      <c r="H5" s="61" t="s">
        <v>88</v>
      </c>
      <c r="I5" s="55"/>
    </row>
    <row r="6" spans="2:13">
      <c r="B6" s="60">
        <f>SUMIFS('Detalles movimientos'!I$5:I$1003, 'Detalles movimientos'!F$5:F$1003, "Tripulacion")</f>
        <v>3296</v>
      </c>
      <c r="C6" s="51"/>
      <c r="E6" s="63">
        <f>SUMIFS('Detalles movimientos'!M$5:M$1003, 'Detalles movimientos'!F$5:F$1003, "Tripulacion")</f>
        <v>1274000</v>
      </c>
      <c r="F6" s="51"/>
      <c r="H6" s="64">
        <f>COUNTIFS('Detalles movimientos'!F$5:F$1003, "Tripulacion")</f>
        <v>7</v>
      </c>
      <c r="I6" s="51"/>
    </row>
    <row r="7" spans="2:13">
      <c r="B7" s="52"/>
      <c r="C7" s="53"/>
      <c r="E7" s="52"/>
      <c r="F7" s="53"/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 t="str">
        <f>IFERROR(INDEX('Detalles movimientos'!P$5:P$1003, MATCH(4, 'Detalles movimientos'!$V$5:$V$1003, 0)), "")</f>
        <v>Factura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 t="str">
        <f>IFERROR(INDEX('Detalles movimientos'!P$5:P$1003, MATCH(5, 'Detalles movimientos'!$V$5:$V$1003, 0)), "")</f>
        <v>Factura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 t="str">
        <f>IFERROR(INDEX('Detalles movimientos'!P$5:P$1003, MATCH(7, 'Detalles movimientos'!$V$5:$V$1003, 0)), "")</f>
        <v>Factura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 t="str">
        <f>IFERROR(INDEX('Detalles movimientos'!C$5:C$1003, MATCH(8, 'Detalles movimientos'!$V$5:$V$1003, 0)), "")</f>
        <v/>
      </c>
      <c r="C17" s="18" t="str">
        <f>IFERROR(INDEX('Detalles movimientos'!D$5:D$1003, MATCH(8, 'Detalles movimientos'!$V$5:$V$1003, 0)), "")</f>
        <v/>
      </c>
      <c r="D17" s="19" t="str">
        <f>IFERROR(INDEX('Detalles movimientos'!E$5:E$1003, MATCH(8, 'Detalles movimientos'!$V$5:$V$1003, 0)), "")</f>
        <v/>
      </c>
      <c r="E17" s="19" t="str">
        <f>IFERROR(INDEX('Detalles movimientos'!F$5:F$1003, MATCH(8, 'Detalles movimientos'!$V$5:$V$1003, 0)), "")</f>
        <v/>
      </c>
      <c r="F17" s="18" t="str">
        <f>IFERROR(INDEX('Detalles movimientos'!G$5:G$1003, MATCH(8, 'Detalles movimientos'!$V$5:$V$1003, 0)), "")</f>
        <v/>
      </c>
      <c r="G17" s="20" t="str">
        <f>IFERROR(INDEX('Detalles movimientos'!H$5:H$1003, MATCH(8, 'Detalles movimientos'!$V$5:$V$1003, 0)), "")</f>
        <v/>
      </c>
      <c r="H17" s="21" t="str">
        <f>IFERROR(INDEX('Detalles movimientos'!I$5:I$1003, MATCH(8, 'Detalles movimientos'!$V$5:$V$1003, 0)), "")</f>
        <v/>
      </c>
      <c r="I17" s="20" t="str">
        <f>IFERROR(INDEX('Detalles movimientos'!M$5:M$1003, MATCH(8, 'Detalles movimientos'!$V$5:$V$1003, 0)), "")</f>
        <v/>
      </c>
      <c r="J17" s="19" t="str">
        <f>IFERROR(INDEX('Detalles movimientos'!N$5:N$1003, MATCH(8, 'Detalles movimientos'!$V$5:$V$1003, 0)), "")</f>
        <v/>
      </c>
      <c r="K17" s="20" t="str">
        <f>IFERROR(INDEX('Detalles movimientos'!O$5:O$1003, MATCH(8, 'Detalles movimientos'!$V$5:$V$1003, 0)), "")</f>
        <v/>
      </c>
      <c r="L17" s="18" t="str">
        <f>IFERROR(INDEX('Detalles movimientos'!P$5:P$1003, MATCH(8, 'Detalles movimientos'!$V$5:$V$1003, 0)), "")</f>
        <v/>
      </c>
      <c r="M17" s="18" t="str">
        <f>IFERROR(INDEX('Detalles movimientos'!S$5:S$1003, MATCH(8, 'Detalles movimientos'!$V$5:$V$1003, 0)), "")</f>
        <v/>
      </c>
    </row>
    <row r="18" spans="2:13">
      <c r="B18" s="17" t="str">
        <f>IFERROR(INDEX('Detalles movimientos'!C$5:C$1003, MATCH(9, 'Detalles movimientos'!$V$5:$V$1003, 0)), "")</f>
        <v/>
      </c>
      <c r="C18" s="18" t="str">
        <f>IFERROR(INDEX('Detalles movimientos'!D$5:D$1003, MATCH(9, 'Detalles movimientos'!$V$5:$V$1003, 0)), "")</f>
        <v/>
      </c>
      <c r="D18" s="19" t="str">
        <f>IFERROR(INDEX('Detalles movimientos'!E$5:E$1003, MATCH(9, 'Detalles movimientos'!$V$5:$V$1003, 0)), "")</f>
        <v/>
      </c>
      <c r="E18" s="19" t="str">
        <f>IFERROR(INDEX('Detalles movimientos'!F$5:F$1003, MATCH(9, 'Detalles movimientos'!$V$5:$V$1003, 0)), "")</f>
        <v/>
      </c>
      <c r="F18" s="18" t="str">
        <f>IFERROR(INDEX('Detalles movimientos'!G$5:G$1003, MATCH(9, 'Detalles movimientos'!$V$5:$V$1003, 0)), "")</f>
        <v/>
      </c>
      <c r="G18" s="20" t="str">
        <f>IFERROR(INDEX('Detalles movimientos'!H$5:H$1003, MATCH(9, 'Detalles movimientos'!$V$5:$V$1003, 0)), "")</f>
        <v/>
      </c>
      <c r="H18" s="21" t="str">
        <f>IFERROR(INDEX('Detalles movimientos'!I$5:I$1003, MATCH(9, 'Detalles movimientos'!$V$5:$V$1003, 0)), "")</f>
        <v/>
      </c>
      <c r="I18" s="20" t="str">
        <f>IFERROR(INDEX('Detalles movimientos'!M$5:M$1003, MATCH(9, 'Detalles movimientos'!$V$5:$V$1003, 0)), "")</f>
        <v/>
      </c>
      <c r="J18" s="19" t="str">
        <f>IFERROR(INDEX('Detalles movimientos'!N$5:N$1003, MATCH(9, 'Detalles movimientos'!$V$5:$V$1003, 0)), "")</f>
        <v/>
      </c>
      <c r="K18" s="20" t="str">
        <f>IFERROR(INDEX('Detalles movimientos'!O$5:O$1003, MATCH(9, 'Detalles movimientos'!$V$5:$V$1003, 0)), "")</f>
        <v/>
      </c>
      <c r="L18" s="18" t="str">
        <f>IFERROR(INDEX('Detalles movimientos'!P$5:P$1003, MATCH(9, 'Detalles movimientos'!$V$5:$V$1003, 0)), "")</f>
        <v/>
      </c>
      <c r="M18" s="18" t="str">
        <f>IFERROR(INDEX('Detalles movimientos'!S$5:S$1003, MATCH(9, 'Detalles movimientos'!$V$5:$V$1003, 0)), "")</f>
        <v/>
      </c>
    </row>
    <row r="19" spans="2:13">
      <c r="B19" s="17" t="str">
        <f>IFERROR(INDEX('Detalles movimientos'!C$5:C$1003, MATCH(10, 'Detalles movimientos'!$V$5:$V$1003, 0)), "")</f>
        <v/>
      </c>
      <c r="C19" s="18" t="str">
        <f>IFERROR(INDEX('Detalles movimientos'!D$5:D$1003, MATCH(10, 'Detalles movimientos'!$V$5:$V$1003, 0)), "")</f>
        <v/>
      </c>
      <c r="D19" s="19" t="str">
        <f>IFERROR(INDEX('Detalles movimientos'!E$5:E$1003, MATCH(10, 'Detalles movimientos'!$V$5:$V$1003, 0)), "")</f>
        <v/>
      </c>
      <c r="E19" s="19" t="str">
        <f>IFERROR(INDEX('Detalles movimientos'!F$5:F$1003, MATCH(10, 'Detalles movimientos'!$V$5:$V$1003, 0)), "")</f>
        <v/>
      </c>
      <c r="F19" s="18" t="str">
        <f>IFERROR(INDEX('Detalles movimientos'!G$5:G$1003, MATCH(10, 'Detalles movimientos'!$V$5:$V$1003, 0)), "")</f>
        <v/>
      </c>
      <c r="G19" s="20" t="str">
        <f>IFERROR(INDEX('Detalles movimientos'!H$5:H$1003, MATCH(10, 'Detalles movimientos'!$V$5:$V$1003, 0)), "")</f>
        <v/>
      </c>
      <c r="H19" s="21" t="str">
        <f>IFERROR(INDEX('Detalles movimientos'!I$5:I$1003, MATCH(10, 'Detalles movimientos'!$V$5:$V$1003, 0)), "")</f>
        <v/>
      </c>
      <c r="I19" s="20" t="str">
        <f>IFERROR(INDEX('Detalles movimientos'!M$5:M$1003, MATCH(10, 'Detalles movimientos'!$V$5:$V$1003, 0)), "")</f>
        <v/>
      </c>
      <c r="J19" s="19" t="str">
        <f>IFERROR(INDEX('Detalles movimientos'!N$5:N$1003, MATCH(10, 'Detalles movimientos'!$V$5:$V$1003, 0)), "")</f>
        <v/>
      </c>
      <c r="K19" s="20" t="str">
        <f>IFERROR(INDEX('Detalles movimientos'!O$5:O$1003, MATCH(10, 'Detalles movimientos'!$V$5:$V$1003, 0)), "")</f>
        <v/>
      </c>
      <c r="L19" s="18" t="str">
        <f>IFERROR(INDEX('Detalles movimientos'!P$5:P$1003, MATCH(10, 'Detalles movimientos'!$V$5:$V$1003, 0)), "")</f>
        <v/>
      </c>
      <c r="M19" s="18" t="str">
        <f>IFERROR(INDEX('Detalles movimientos'!S$5:S$1003, MATCH(10, 'Detalles movimientos'!$V$5:$V$1003, 0)), "")</f>
        <v/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2026-08-25T05:07:00Z</dcterms:modified>
</cp:coreProperties>
</file>