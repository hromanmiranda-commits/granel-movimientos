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A9E67822-D4CF-404C-8753-C02593C5C52C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9" i="1" l="1"/>
  <c r="O60" i="1"/>
  <c r="M53" i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<sst xmlns="http://schemas.openxmlformats.org/spreadsheetml/2006/main" count="400" uniqueCount="140">
  <si>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</si>
  <si>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</si>
  <si>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</si>
  <si>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</si>
  <si>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</si>
  <si>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</si>
  <si>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</si>
  <si>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</si>
  <si>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</si>
  <si>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</si>
  <si>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</si>
  <si>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</si>
  <si>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</si>
  <si>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</si>
  <si>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</si>
  <si>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</si>
  <si>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</si>
  <si>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</si>
  <si>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</si>
  <si>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</si>
  <si>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</si>
  <si>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</si>
  <si>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</si>
  <si>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</si>
  <si>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</si>
  <si>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</si>
  <si>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</si>
  <si>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</si>
  <si>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</si>
  <si>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</si>
  <si>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</si>
  <si>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</si>
  <si>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</si>
  <si>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</si>
  <si>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</si>
  <si>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</si>
  <si>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</si>
  <si>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</si>
  <si>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</si>
  <si>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</si>
  <si>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</si>
  <si>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</si>
  <si>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</si>
  <si>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</si>
  <si>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</si>
  <si>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</si>
  <si>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</si>
  <si>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</si>
  <si>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</si>
  <si>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</si>
  <si>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</si>
  <si>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</si>
  <si>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</si>
  <si>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</si>
  <si>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</si>
  <si>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</si>
  <si>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</si>
  <si>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</si>
  <si>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</si>
  <si>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</si>
  <si>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</si>
  <si>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</si>
  <si>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</si>
  <si>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</si>
  <si>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</si>
  <si>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</si>
  <si>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</si>
  <si>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</si>
  <si>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</si>
  <si>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</si>
  <si>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</si>
  <si>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</si>
  <si>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</si>
  <si>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</si>
  <si>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</si>
  <si>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</si>
  <si>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</si>
  <si>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</si>
  <si>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</si>
  <si>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</si>
  <si>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</si>
  <si>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</si>
  <si>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</si>
  <si>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</si>
  <si>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</si>
  <si>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</si>
  <si>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</si>
  <si>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</si>
  <si>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</si>
  <si>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</si>
  <si>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</si>
  <si>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</si>
  <si>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</si>
  <si>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</si>
  <si>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</si>
  <si>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</si>
  <si>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</si>
  <si>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</si>
  <si>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</si>
  <si>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</si>
  <si>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</si>
  <si>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</si>
  <si>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</si>
  <si>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</si>
  <si>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</si>
  <si>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</si>
  <si>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</si>
  <si>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</si>
  <si>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</si>
  <si>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</si>
  <si>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</si>
  <si>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</si>
  <si>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</si>
  <si>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</si>
  <si>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</si>
  <si>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</si>
  <si>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</si>
  <si>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</si>
  <si>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</si>
  <si>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</si>
  <si>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</si>
  <si>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</si>
  <si>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</si>
  <si>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</si>
  <si>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</si>
  <si>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</si>
  <si>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</si>
  <si>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</si>
  <si>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</si>
  <si>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</si>
  <si>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</si>
  <si>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</si>
  <si>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</si>
  <si>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</si>
  <si>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</si>
  <si>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</si>
  <si>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</si>
  <si>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</si>
  <si>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</si>
  <si>
    <t>Guía N° 2366964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</si>
</sst>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76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7"/>
  <sheetViews>
    <sheetView showGridLines="0" tabSelected="1" zoomScaleNormal="100" workbookViewId="0">
      <pane ySplit="4" topLeftCell="A38" activePane="bottomLeft" state="frozen"/>
      <selection pane="bottomLeft" activeCell="C60" sqref="C60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56" t="s">
        <v>0</v>
      </c>
      <c r="D2" s="57"/>
      <c r="E2" s="57"/>
      <c r="F2" s="57"/>
      <c r="G2" s="57"/>
      <c r="H2" s="57"/>
      <c r="I2" s="57"/>
      <c r="J2" s="57"/>
      <c r="K2" s="58"/>
      <c r="L2" s="57"/>
      <c r="M2" s="57"/>
      <c r="N2" s="57"/>
      <c r="O2" s="57"/>
      <c r="P2" s="57"/>
      <c r="Q2" s="59"/>
      <c r="R2" s="60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47">
        <f t="shared" ref="M7:M18" si="0">H7*I7</f>
        <v>179200</v>
      </c>
      <c r="N7" s="48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0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54">
        <f t="shared" si="0"/>
        <v>488200</v>
      </c>
      <c r="N9" s="55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54">
        <f t="shared" si="0"/>
        <v>237900</v>
      </c>
      <c r="N11" s="55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54">
        <f t="shared" si="0"/>
        <v>205100</v>
      </c>
      <c r="N12" s="55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4">
        <f t="shared" si="0"/>
        <v>300000</v>
      </c>
      <c r="N13" s="55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1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>
        <v>46267</v>
      </c>
      <c r="D49" s="1" t="s">
        <v>129</v>
      </c>
      <c r="E49" s="5" t="s">
        <v>21</v>
      </c>
      <c r="F49" s="5" t="s">
        <v>40</v>
      </c>
      <c r="G49" s="1" t="s">
        <v>78</v>
      </c>
      <c r="H49" s="2">
        <v>850</v>
      </c>
      <c r="I49" s="5">
        <v>1000</v>
      </c>
      <c r="J49" s="34">
        <f>K49-K46</f>
        <v>1000</v>
      </c>
      <c r="K49" s="34">
        <v>26691</v>
      </c>
      <c r="L49" s="34"/>
      <c r="M49" s="6">
        <f t="shared" si="5"/>
        <v>850000</v>
      </c>
      <c r="N49" s="1" t="s">
        <v>130</v>
      </c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>
        <f>IF(F49="Tripulacion", COUNTIF(F$5:F49, "Tripulacion"), "")</f>
        <v>11</v>
      </c>
      <c r="W4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6" t="str">
        <f t="shared" si="3"/>
        <v/>
      </c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>
        <v>46279</v>
      </c>
      <c r="D60" s="1" t="s">
        <v>20</v>
      </c>
      <c r="E60" s="5" t="s">
        <v>64</v>
      </c>
      <c r="F60" s="5" t="s">
        <v>20</v>
      </c>
      <c r="G60" s="1"/>
      <c r="H60" s="2"/>
      <c r="I60" s="5"/>
      <c r="J60" s="34"/>
      <c r="K60" s="34"/>
      <c r="L60" s="34"/>
      <c r="M60" s="6"/>
      <c r="N60" s="1" t="s">
        <v>20</v>
      </c>
      <c r="O60" s="6" t="str">
        <f t="shared" si="3"/>
        <v/>
      </c>
      <c r="P60" s="26" t="s">
        <v>139</v>
      </c>
      <c r="Q60" s="12">
        <v>3675022</v>
      </c>
      <c r="R60" s="29">
        <v>11191</v>
      </c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>
        <f>IF(F60="ENAP carga", COUNTIF(F$5:F60, "ENAP carga"), "")</f>
        <v>18</v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3:23">
      <c r="C65" s="7"/>
      <c r="D65" s="1"/>
      <c r="E65" s="5"/>
      <c r="F65" s="5"/>
      <c r="G65" s="1"/>
      <c r="H65" s="2"/>
      <c r="I65" s="5"/>
      <c r="J65" s="5"/>
      <c r="K65" s="34"/>
      <c r="L65" s="34"/>
      <c r="M65" s="6"/>
      <c r="N65" s="1"/>
      <c r="O65" s="6" t="str">
        <f t="shared" si="3"/>
        <v/>
      </c>
      <c r="P65" s="26"/>
      <c r="Q65" s="12"/>
      <c r="R65" s="29"/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3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3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3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3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3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3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3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3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3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3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3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3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3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3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ref="O92:O155" si="6">IF(F92="CJ", I92*200, "")</f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6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6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6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6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6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6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6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6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ref="O156:O219" si="7">IF(F156="CJ", I156*200, "")</f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7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7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7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7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7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7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7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7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ref="O220:O283" si="8">IF(F220="CJ", I220*200, "")</f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8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8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8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8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8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8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8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8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ref="O284:O347" si="9">IF(F284="CJ", I284*200, "")</f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9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9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9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9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9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9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9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9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ref="O348:O411" si="10">IF(F348="CJ", I348*200, "")</f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10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10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10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10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10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10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10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10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ref="O412:O475" si="11">IF(F412="CJ", I412*200, "")</f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1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1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1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1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1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1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1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1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ref="O476:O539" si="12">IF(F476="CJ", I476*200, "")</f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2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2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2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2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2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2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2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2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ref="O540:O603" si="13">IF(F540="CJ", I540*200, "")</f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3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3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3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3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3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3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3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3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ref="O604:O667" si="14">IF(F604="CJ", I604*200, "")</f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4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4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4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4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4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4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4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4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ref="O668:O731" si="15">IF(F668="CJ", I668*200, "")</f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5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5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5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5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5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5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5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5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ref="O732:O795" si="16">IF(F732="CJ", I732*200, "")</f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6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6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6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6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6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6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6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6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ref="O796:O859" si="17">IF(F796="CJ", I796*200, "")</f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7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7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7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7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7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7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7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7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ref="O860:O923" si="18">IF(F860="CJ", I860*200, "")</f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8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8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8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8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8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8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8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8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ref="O924:O987" si="19">IF(F924="CJ", I924*200, "")</f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9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9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9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9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9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9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9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9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ref="O988:O1004" si="20">IF(F988="CJ", I988*200, "")</f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20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20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20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20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4:23">
      <c r="O993" s="22" t="str">
        <f t="shared" si="20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4:23">
      <c r="O994" s="22" t="str">
        <f t="shared" si="20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4:23">
      <c r="O995" s="22" t="str">
        <f t="shared" si="20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4:23">
      <c r="O996" s="22" t="str">
        <f t="shared" si="20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4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4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4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4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4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4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4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4:23">
      <c r="O1004" s="22" t="str">
        <f t="shared" si="20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6" spans="14:23">
      <c r="N1006" s="35"/>
    </row>
    <row r="1007" spans="14:23">
      <c r="P1007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65"/>
      <c r="I5" s="66"/>
    </row>
    <row r="6" spans="2:13" ht="24" customHeight="1">
      <c r="B6" s="42">
        <f>SUMIFS('Detalles movimientos'!I$5:I$1004, 'Detalles movimientos'!F$5:F$1004, "ENAP carga")</f>
        <v>0</v>
      </c>
      <c r="C6" s="42">
        <f>SUMIFS('Detalles movimientos'!R$5:R$1004, 'Detalles movimientos'!F$5:F$1004, "ENAP carga")</f>
        <v>204362</v>
      </c>
      <c r="D6" s="42">
        <f>C6-B6</f>
        <v>204362</v>
      </c>
      <c r="E6" s="43">
        <f>SUMIFS('Detalles movimientos'!M$5:M$1004, 'Detalles movimientos'!F$5:F$1004, "ENAP carga")</f>
        <v>0</v>
      </c>
      <c r="F6" s="43">
        <f>COUNTIFS('Detalles movimientos'!F$5:F$1004, "ENAP carga")</f>
        <v>18</v>
      </c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movimientos'!C$5:C$1004, MATCH(1, 'Detalles movimientos'!$W$5:$W$1004, 0)), "")</f>
        <v>46226</v>
      </c>
      <c r="C10" s="18" t="str">
        <f>IFERROR(INDEX('Detalles movimientos'!D$5:D$1004, MATCH(1, 'Detalles movimientos'!$W$5:$W$1004, 0)), "")</f>
        <v>ENAP carga</v>
      </c>
      <c r="D10" s="19" t="str">
        <f>IFERROR(INDEX('Detalles movimientos'!E$5:E$1004, MATCH(1, 'Detalles movimientos'!$W$5:$W$1004, 0)), "")</f>
        <v>VJYL61</v>
      </c>
      <c r="E10" s="19" t="str">
        <f>IFERROR(INDEX('Detalles movimientos'!F$5:F$1004, MATCH(1, 'Detalles movimientos'!$W$5:$W$1004, 0)), "")</f>
        <v>ENAP carga</v>
      </c>
      <c r="F10" s="18">
        <f>IFERROR(INDEX('Detalles movimientos'!G$5:G$1004, MATCH(1, 'Detalles movimientos'!$W$5:$W$1004, 0)), "")</f>
        <v>0</v>
      </c>
      <c r="G10" s="20">
        <f>IFERROR(INDEX('Detalles movimientos'!H$5:H$1004, MATCH(1, 'Detalles movimientos'!$W$5:$W$1004, 0)), "")</f>
        <v>0</v>
      </c>
      <c r="H10" s="21">
        <f>IFERROR(INDEX('Detalles movimientos'!I$5:I$1004, MATCH(1, 'Detalles movimientos'!$W$5:$W$1004, 0)), "")</f>
        <v>0</v>
      </c>
      <c r="I10" s="20">
        <f>IFERROR(INDEX('Detalles movimientos'!M$5:M$1004, MATCH(1, 'Detalles movimientos'!$W$5:$W$1004, 0)), "")</f>
        <v>0</v>
      </c>
      <c r="J10" s="19" t="str">
        <f>IFERROR(INDEX('Detalles movimientos'!N$5:N$1004, MATCH(1, 'Detalles movimientos'!$W$5:$W$1004, 0)), "")</f>
        <v>ENAP carga</v>
      </c>
      <c r="K10" s="20" t="str">
        <f>IFERROR(INDEX('Detalles movimientos'!O$5:O$1004, MATCH(1, 'Detalles movimientos'!$W$5:$W$1004, 0)), "")</f>
        <v/>
      </c>
      <c r="L10" s="18" t="str">
        <f>IFERROR(INDEX('Detalles movimientos'!P$5:P$1004, MATCH(1, 'Detalles movimientos'!$W$5:$W$1004, 0)), "")</f>
        <v>Guía N° xxxxx</v>
      </c>
      <c r="M10" s="18">
        <f>IFERROR(INDEX('Detalles movimientos'!S$5:S$1004, MATCH(1, 'Detalles movimientos'!$W$5:$W$1004, 0)), "")</f>
        <v>0</v>
      </c>
    </row>
    <row r="11" spans="2:13">
      <c r="B11" s="17">
        <f>IFERROR(INDEX('Detalles movimientos'!C$5:C$1004, MATCH(2, 'Detalles movimientos'!$W$5:$W$1004, 0)), "")</f>
        <v>46246</v>
      </c>
      <c r="C11" s="18" t="str">
        <f>IFERROR(INDEX('Detalles movimientos'!D$5:D$1004, MATCH(2, 'Detalles movimientos'!$W$5:$W$1004, 0)), "")</f>
        <v>ENAP carga</v>
      </c>
      <c r="D11" s="19" t="str">
        <f>IFERROR(INDEX('Detalles movimientos'!E$5:E$1004, MATCH(2, 'Detalles movimientos'!$W$5:$W$1004, 0)), "")</f>
        <v>VJYL42</v>
      </c>
      <c r="E11" s="19" t="str">
        <f>IFERROR(INDEX('Detalles movimientos'!F$5:F$1004, MATCH(2, 'Detalles movimientos'!$W$5:$W$1004, 0)), "")</f>
        <v>ENAP carga</v>
      </c>
      <c r="F11" s="18">
        <f>IFERROR(INDEX('Detalles movimientos'!G$5:G$1004, MATCH(2, 'Detalles movimientos'!$W$5:$W$1004, 0)), "")</f>
        <v>0</v>
      </c>
      <c r="G11" s="20">
        <f>IFERROR(INDEX('Detalles movimientos'!H$5:H$1004, MATCH(2, 'Detalles movimientos'!$W$5:$W$1004, 0)), "")</f>
        <v>0</v>
      </c>
      <c r="H11" s="21">
        <f>IFERROR(INDEX('Detalles movimientos'!I$5:I$1004, MATCH(2, 'Detalles movimientos'!$W$5:$W$1004, 0)), "")</f>
        <v>0</v>
      </c>
      <c r="I11" s="20">
        <f>IFERROR(INDEX('Detalles movimientos'!M$5:M$1004, MATCH(2, 'Detalles movimientos'!$W$5:$W$1004, 0)), "")</f>
        <v>0</v>
      </c>
      <c r="J11" s="19" t="str">
        <f>IFERROR(INDEX('Detalles movimientos'!N$5:N$1004, MATCH(2, 'Detalles movimientos'!$W$5:$W$1004, 0)), "")</f>
        <v>ENAP carga</v>
      </c>
      <c r="K11" s="20" t="str">
        <f>IFERROR(INDEX('Detalles movimientos'!O$5:O$1004, MATCH(2, 'Detalles movimientos'!$W$5:$W$1004, 0)), "")</f>
        <v/>
      </c>
      <c r="L11" s="18" t="str">
        <f>IFERROR(INDEX('Detalles movimientos'!P$5:P$1004, MATCH(2, 'Detalles movimientos'!$W$5:$W$1004, 0)), "")</f>
        <v>Guía N° 2356186</v>
      </c>
      <c r="M11" s="18">
        <f>IFERROR(INDEX('Detalles movimientos'!S$5:S$1004, MATCH(2, 'Detalles movimientos'!$W$5:$W$1004, 0)), "")</f>
        <v>0</v>
      </c>
    </row>
    <row r="12" spans="2:13">
      <c r="B12" s="17">
        <f>IFERROR(INDEX('Detalles movimientos'!C$5:C$1004, MATCH(3, 'Detalles movimientos'!$W$5:$W$1004, 0)), "")</f>
        <v>46247</v>
      </c>
      <c r="C12" s="18" t="str">
        <f>IFERROR(INDEX('Detalles movimientos'!D$5:D$1004, MATCH(3, 'Detalles movimientos'!$W$5:$W$1004, 0)), "")</f>
        <v>ENAP carga</v>
      </c>
      <c r="D12" s="19" t="str">
        <f>IFERROR(INDEX('Detalles movimientos'!E$5:E$1004, MATCH(3, 'Detalles movimientos'!$W$5:$W$1004, 0)), "")</f>
        <v>VJYL61</v>
      </c>
      <c r="E12" s="19" t="str">
        <f>IFERROR(INDEX('Detalles movimientos'!F$5:F$1004, MATCH(3, 'Detalles movimientos'!$W$5:$W$1004, 0)), "")</f>
        <v>ENAP carga</v>
      </c>
      <c r="F12" s="18">
        <f>IFERROR(INDEX('Detalles movimientos'!G$5:G$1004, MATCH(3, 'Detalles movimientos'!$W$5:$W$1004, 0)), "")</f>
        <v>0</v>
      </c>
      <c r="G12" s="20">
        <f>IFERROR(INDEX('Detalles movimientos'!H$5:H$1004, MATCH(3, 'Detalles movimientos'!$W$5:$W$1004, 0)), "")</f>
        <v>0</v>
      </c>
      <c r="H12" s="21">
        <f>IFERROR(INDEX('Detalles movimientos'!I$5:I$1004, MATCH(3, 'Detalles movimientos'!$W$5:$W$1004, 0)), "")</f>
        <v>0</v>
      </c>
      <c r="I12" s="20">
        <f>IFERROR(INDEX('Detalles movimientos'!M$5:M$1004, MATCH(3, 'Detalles movimientos'!$W$5:$W$1004, 0)), "")</f>
        <v>0</v>
      </c>
      <c r="J12" s="19" t="str">
        <f>IFERROR(INDEX('Detalles movimientos'!N$5:N$1004, MATCH(3, 'Detalles movimientos'!$W$5:$W$1004, 0)), "")</f>
        <v>ENAP carga</v>
      </c>
      <c r="K12" s="20" t="str">
        <f>IFERROR(INDEX('Detalles movimientos'!O$5:O$1004, MATCH(3, 'Detalles movimientos'!$W$5:$W$1004, 0)), "")</f>
        <v/>
      </c>
      <c r="L12" s="18" t="str">
        <f>IFERROR(INDEX('Detalles movimientos'!P$5:P$1004, MATCH(3, 'Detalles movimientos'!$W$5:$W$1004, 0)), "")</f>
        <v>Guía N° 2356453</v>
      </c>
      <c r="M12" s="18">
        <f>IFERROR(INDEX('Detalles movimientos'!S$5:S$1004, MATCH(3, 'Detalles movimientos'!$W$5:$W$1004, 0)), "")</f>
        <v>0</v>
      </c>
    </row>
    <row r="13" spans="2:13">
      <c r="B13" s="17">
        <f>IFERROR(INDEX('Detalles movimientos'!C$5:C$1004, MATCH(4, 'Detalles movimientos'!$W$5:$W$1004, 0)), "")</f>
        <v>46248</v>
      </c>
      <c r="C13" s="18" t="str">
        <f>IFERROR(INDEX('Detalles movimientos'!D$5:D$1004, MATCH(4, 'Detalles movimientos'!$W$5:$W$1004, 0)), "")</f>
        <v>ENAP carga</v>
      </c>
      <c r="D13" s="19" t="str">
        <f>IFERROR(INDEX('Detalles movimientos'!E$5:E$1004, MATCH(4, 'Detalles movimientos'!$W$5:$W$1004, 0)), "")</f>
        <v>VJYL42</v>
      </c>
      <c r="E13" s="19" t="str">
        <f>IFERROR(INDEX('Detalles movimientos'!F$5:F$1004, MATCH(4, 'Detalles movimientos'!$W$5:$W$1004, 0)), "")</f>
        <v>ENAP carga</v>
      </c>
      <c r="F13" s="18">
        <f>IFERROR(INDEX('Detalles movimientos'!G$5:G$1004, MATCH(4, 'Detalles movimientos'!$W$5:$W$1004, 0)), "")</f>
        <v>0</v>
      </c>
      <c r="G13" s="20">
        <f>IFERROR(INDEX('Detalles movimientos'!H$5:H$1004, MATCH(4, 'Detalles movimientos'!$W$5:$W$1004, 0)), "")</f>
        <v>0</v>
      </c>
      <c r="H13" s="21">
        <f>IFERROR(INDEX('Detalles movimientos'!I$5:I$1004, MATCH(4, 'Detalles movimientos'!$W$5:$W$1004, 0)), "")</f>
        <v>0</v>
      </c>
      <c r="I13" s="20">
        <f>IFERROR(INDEX('Detalles movimientos'!M$5:M$1004, MATCH(4, 'Detalles movimientos'!$W$5:$W$1004, 0)), "")</f>
        <v>0</v>
      </c>
      <c r="J13" s="19" t="str">
        <f>IFERROR(INDEX('Detalles movimientos'!N$5:N$1004, MATCH(4, 'Detalles movimientos'!$W$5:$W$1004, 0)), "")</f>
        <v>ENAP carga</v>
      </c>
      <c r="K13" s="20" t="str">
        <f>IFERROR(INDEX('Detalles movimientos'!O$5:O$1004, MATCH(4, 'Detalles movimientos'!$W$5:$W$1004, 0)), "")</f>
        <v/>
      </c>
      <c r="L13" s="18" t="str">
        <f>IFERROR(INDEX('Detalles movimientos'!P$5:P$1004, MATCH(4, 'Detalles movimientos'!$W$5:$W$1004, 0)), "")</f>
        <v>Guía N° 2356889</v>
      </c>
      <c r="M13" s="18">
        <f>IFERROR(INDEX('Detalles movimientos'!S$5:S$1004, MATCH(4, 'Detalles movimientos'!$W$5:$W$1004, 0)), "")</f>
        <v>0</v>
      </c>
    </row>
    <row r="14" spans="2:13">
      <c r="B14" s="17">
        <f>IFERROR(INDEX('Detalles movimientos'!C$5:C$1004, MATCH(5, 'Detalles movimientos'!$W$5:$W$1004, 0)), "")</f>
        <v>46252</v>
      </c>
      <c r="C14" s="18" t="str">
        <f>IFERROR(INDEX('Detalles movimientos'!D$5:D$1004, MATCH(5, 'Detalles movimientos'!$W$5:$W$1004, 0)), "")</f>
        <v>ENAP carga</v>
      </c>
      <c r="D14" s="19" t="str">
        <f>IFERROR(INDEX('Detalles movimientos'!E$5:E$1004, MATCH(5, 'Detalles movimientos'!$W$5:$W$1004, 0)), "")</f>
        <v>VJYL42</v>
      </c>
      <c r="E14" s="19" t="str">
        <f>IFERROR(INDEX('Detalles movimientos'!F$5:F$1004, MATCH(5, 'Detalles movimientos'!$W$5:$W$1004, 0)), "")</f>
        <v>ENAP carga</v>
      </c>
      <c r="F14" s="18">
        <f>IFERROR(INDEX('Detalles movimientos'!G$5:G$1004, MATCH(5, 'Detalles movimientos'!$W$5:$W$1004, 0)), "")</f>
        <v>0</v>
      </c>
      <c r="G14" s="20">
        <f>IFERROR(INDEX('Detalles movimientos'!H$5:H$1004, MATCH(5, 'Detalles movimientos'!$W$5:$W$1004, 0)), "")</f>
        <v>0</v>
      </c>
      <c r="H14" s="21">
        <f>IFERROR(INDEX('Detalles movimientos'!I$5:I$1004, MATCH(5, 'Detalles movimientos'!$W$5:$W$1004, 0)), "")</f>
        <v>0</v>
      </c>
      <c r="I14" s="20">
        <f>IFERROR(INDEX('Detalles movimientos'!M$5:M$1004, MATCH(5, 'Detalles movimientos'!$W$5:$W$1004, 0)), "")</f>
        <v>0</v>
      </c>
      <c r="J14" s="19" t="str">
        <f>IFERROR(INDEX('Detalles movimientos'!N$5:N$1004, MATCH(5, 'Detalles movimientos'!$W$5:$W$1004, 0)), "")</f>
        <v>ENAP carga</v>
      </c>
      <c r="K14" s="20" t="str">
        <f>IFERROR(INDEX('Detalles movimientos'!O$5:O$1004, MATCH(5, 'Detalles movimientos'!$W$5:$W$1004, 0)), "")</f>
        <v/>
      </c>
      <c r="L14" s="18" t="str">
        <f>IFERROR(INDEX('Detalles movimientos'!P$5:P$1004, MATCH(5, 'Detalles movimientos'!$W$5:$W$1004, 0)), "")</f>
        <v>Guía N° 2358078</v>
      </c>
      <c r="M14" s="18">
        <f>IFERROR(INDEX('Detalles movimientos'!S$5:S$1004, MATCH(5, 'Detalles movimientos'!$W$5:$W$1004, 0)), "")</f>
        <v>0</v>
      </c>
    </row>
    <row r="15" spans="2:13">
      <c r="B15" s="17">
        <f>IFERROR(INDEX('Detalles movimientos'!C$5:C$1004, MATCH(6, 'Detalles movimientos'!$W$5:$W$1004, 0)), "")</f>
        <v>46253</v>
      </c>
      <c r="C15" s="18" t="str">
        <f>IFERROR(INDEX('Detalles movimientos'!D$5:D$1004, MATCH(6, 'Detalles movimientos'!$W$5:$W$1004, 0)), "")</f>
        <v>ENAP carga</v>
      </c>
      <c r="D15" s="19" t="str">
        <f>IFERROR(INDEX('Detalles movimientos'!E$5:E$1004, MATCH(6, 'Detalles movimientos'!$W$5:$W$1004, 0)), "")</f>
        <v>VJYL42</v>
      </c>
      <c r="E15" s="19" t="str">
        <f>IFERROR(INDEX('Detalles movimientos'!F$5:F$1004, MATCH(6, 'Detalles movimientos'!$W$5:$W$1004, 0)), "")</f>
        <v>ENAP carga</v>
      </c>
      <c r="F15" s="18">
        <f>IFERROR(INDEX('Detalles movimientos'!G$5:G$1004, MATCH(6, 'Detalles movimientos'!$W$5:$W$1004, 0)), "")</f>
        <v>0</v>
      </c>
      <c r="G15" s="20">
        <f>IFERROR(INDEX('Detalles movimientos'!H$5:H$1004, MATCH(6, 'Detalles movimientos'!$W$5:$W$1004, 0)), "")</f>
        <v>0</v>
      </c>
      <c r="H15" s="21">
        <f>IFERROR(INDEX('Detalles movimientos'!I$5:I$1004, MATCH(6, 'Detalles movimientos'!$W$5:$W$1004, 0)), "")</f>
        <v>0</v>
      </c>
      <c r="I15" s="20">
        <f>IFERROR(INDEX('Detalles movimientos'!M$5:M$1004, MATCH(6, 'Detalles movimientos'!$W$5:$W$1004, 0)), "")</f>
        <v>0</v>
      </c>
      <c r="J15" s="19" t="str">
        <f>IFERROR(INDEX('Detalles movimientos'!N$5:N$1004, MATCH(6, 'Detalles movimientos'!$W$5:$W$1004, 0)), "")</f>
        <v>ENAP carga</v>
      </c>
      <c r="K15" s="20" t="str">
        <f>IFERROR(INDEX('Detalles movimientos'!O$5:O$1004, MATCH(6, 'Detalles movimientos'!$W$5:$W$1004, 0)), "")</f>
        <v/>
      </c>
      <c r="L15" s="18" t="str">
        <f>IFERROR(INDEX('Detalles movimientos'!P$5:P$1004, MATCH(6, 'Detalles movimientos'!$W$5:$W$1004, 0)), "")</f>
        <v>Guía N° 2358522</v>
      </c>
      <c r="M15" s="18">
        <f>IFERROR(INDEX('Detalles movimientos'!S$5:S$1004, MATCH(6, 'Detalles movimientos'!$W$5:$W$1004, 0)), "")</f>
        <v>0</v>
      </c>
    </row>
    <row r="16" spans="2:13">
      <c r="B16" s="17">
        <f>IFERROR(INDEX('Detalles movimientos'!C$5:C$1004, MATCH(7, 'Detalles movimientos'!$W$5:$W$1004, 0)), "")</f>
        <v>46259</v>
      </c>
      <c r="C16" s="18" t="str">
        <f>IFERROR(INDEX('Detalles movimientos'!D$5:D$1004, MATCH(7, 'Detalles movimientos'!$W$5:$W$1004, 0)), "")</f>
        <v>ENAP carga</v>
      </c>
      <c r="D16" s="19" t="str">
        <f>IFERROR(INDEX('Detalles movimientos'!E$5:E$1004, MATCH(7, 'Detalles movimientos'!$W$5:$W$1004, 0)), "")</f>
        <v>VJYL42</v>
      </c>
      <c r="E16" s="19" t="str">
        <f>IFERROR(INDEX('Detalles movimientos'!F$5:F$1004, MATCH(7, 'Detalles movimientos'!$W$5:$W$1004, 0)), "")</f>
        <v>ENAP carga</v>
      </c>
      <c r="F16" s="18">
        <f>IFERROR(INDEX('Detalles movimientos'!G$5:G$1004, MATCH(7, 'Detalles movimientos'!$W$5:$W$1004, 0)), "")</f>
        <v>0</v>
      </c>
      <c r="G16" s="20">
        <f>IFERROR(INDEX('Detalles movimientos'!H$5:H$1004, MATCH(7, 'Detalles movimientos'!$W$5:$W$1004, 0)), "")</f>
        <v>0</v>
      </c>
      <c r="H16" s="21">
        <f>IFERROR(INDEX('Detalles movimientos'!I$5:I$1004, MATCH(7, 'Detalles movimientos'!$W$5:$W$1004, 0)), "")</f>
        <v>0</v>
      </c>
      <c r="I16" s="20">
        <f>IFERROR(INDEX('Detalles movimientos'!M$5:M$1004, MATCH(7, 'Detalles movimientos'!$W$5:$W$1004, 0)), "")</f>
        <v>0</v>
      </c>
      <c r="J16" s="19" t="str">
        <f>IFERROR(INDEX('Detalles movimientos'!N$5:N$1004, MATCH(7, 'Detalles movimientos'!$W$5:$W$1004, 0)), "")</f>
        <v>ENAP carga</v>
      </c>
      <c r="K16" s="20" t="str">
        <f>IFERROR(INDEX('Detalles movimientos'!O$5:O$1004, MATCH(7, 'Detalles movimientos'!$W$5:$W$1004, 0)), "")</f>
        <v/>
      </c>
      <c r="L16" s="18" t="str">
        <f>IFERROR(INDEX('Detalles movimientos'!P$5:P$1004, MATCH(7, 'Detalles movimientos'!$W$5:$W$1004, 0)), "")</f>
        <v>Guía N° 2360214</v>
      </c>
      <c r="M16" s="18">
        <f>IFERROR(INDEX('Detalles movimientos'!S$5:S$1004, MATCH(7, 'Detalles movimientos'!$W$5:$W$1004, 0)), "")</f>
        <v>0</v>
      </c>
    </row>
    <row r="17" spans="2:13">
      <c r="B17" s="17">
        <f>IFERROR(INDEX('Detalles movimientos'!C$5:C$1004, MATCH(8, 'Detalles movimientos'!$W$5:$W$1004, 0)), "")</f>
        <v>46260</v>
      </c>
      <c r="C17" s="18" t="str">
        <f>IFERROR(INDEX('Detalles movimientos'!D$5:D$1004, MATCH(8, 'Detalles movimientos'!$W$5:$W$1004, 0)), "")</f>
        <v>ENAP carga</v>
      </c>
      <c r="D17" s="19" t="str">
        <f>IFERROR(INDEX('Detalles movimientos'!E$5:E$1004, MATCH(8, 'Detalles movimientos'!$W$5:$W$1004, 0)), "")</f>
        <v>VJYL42</v>
      </c>
      <c r="E17" s="19" t="str">
        <f>IFERROR(INDEX('Detalles movimientos'!F$5:F$1004, MATCH(8, 'Detalles movimientos'!$W$5:$W$1004, 0)), "")</f>
        <v>ENAP carga</v>
      </c>
      <c r="F17" s="18">
        <f>IFERROR(INDEX('Detalles movimientos'!G$5:G$1004, MATCH(8, 'Detalles movimientos'!$W$5:$W$1004, 0)), "")</f>
        <v>0</v>
      </c>
      <c r="G17" s="20">
        <f>IFERROR(INDEX('Detalles movimientos'!H$5:H$1004, MATCH(8, 'Detalles movimientos'!$W$5:$W$1004, 0)), "")</f>
        <v>0</v>
      </c>
      <c r="H17" s="21">
        <f>IFERROR(INDEX('Detalles movimientos'!I$5:I$1004, MATCH(8, 'Detalles movimientos'!$W$5:$W$1004, 0)), "")</f>
        <v>0</v>
      </c>
      <c r="I17" s="20">
        <f>IFERROR(INDEX('Detalles movimientos'!M$5:M$1004, MATCH(8, 'Detalles movimientos'!$W$5:$W$1004, 0)), "")</f>
        <v>0</v>
      </c>
      <c r="J17" s="19" t="str">
        <f>IFERROR(INDEX('Detalles movimientos'!N$5:N$1004, MATCH(8, 'Detalles movimientos'!$W$5:$W$1004, 0)), "")</f>
        <v>ENAP carga</v>
      </c>
      <c r="K17" s="20" t="str">
        <f>IFERROR(INDEX('Detalles movimientos'!O$5:O$1004, MATCH(8, 'Detalles movimientos'!$W$5:$W$1004, 0)), "")</f>
        <v/>
      </c>
      <c r="L17" s="18" t="str">
        <f>IFERROR(INDEX('Detalles movimientos'!P$5:P$1004, MATCH(8, 'Detalles movimientos'!$W$5:$W$1004, 0)), "")</f>
        <v>Guía N° 2360596</v>
      </c>
      <c r="M17" s="18">
        <f>IFERROR(INDEX('Detalles movimientos'!S$5:S$1004, MATCH(8, 'Detalles movimientos'!$W$5:$W$1004, 0)), "")</f>
        <v>0</v>
      </c>
    </row>
    <row r="18" spans="2:13">
      <c r="B18" s="17">
        <f>IFERROR(INDEX('Detalles movimientos'!C$5:C$1004, MATCH(9, 'Detalles movimientos'!$W$5:$W$1004, 0)), "")</f>
        <v>46262</v>
      </c>
      <c r="C18" s="18" t="str">
        <f>IFERROR(INDEX('Detalles movimientos'!D$5:D$1004, MATCH(9, 'Detalles movimientos'!$W$5:$W$1004, 0)), "")</f>
        <v>ENAP carga</v>
      </c>
      <c r="D18" s="19" t="str">
        <f>IFERROR(INDEX('Detalles movimientos'!E$5:E$1004, MATCH(9, 'Detalles movimientos'!$W$5:$W$1004, 0)), "")</f>
        <v>VJYL42</v>
      </c>
      <c r="E18" s="19" t="str">
        <f>IFERROR(INDEX('Detalles movimientos'!F$5:F$1004, MATCH(9, 'Detalles movimientos'!$W$5:$W$1004, 0)), "")</f>
        <v>ENAP carga</v>
      </c>
      <c r="F18" s="18">
        <f>IFERROR(INDEX('Detalles movimientos'!G$5:G$1004, MATCH(9, 'Detalles movimientos'!$W$5:$W$1004, 0)), "")</f>
        <v>0</v>
      </c>
      <c r="G18" s="20">
        <f>IFERROR(INDEX('Detalles movimientos'!H$5:H$1004, MATCH(9, 'Detalles movimientos'!$W$5:$W$1004, 0)), "")</f>
        <v>0</v>
      </c>
      <c r="H18" s="21">
        <f>IFERROR(INDEX('Detalles movimientos'!I$5:I$1004, MATCH(9, 'Detalles movimientos'!$W$5:$W$1004, 0)), "")</f>
        <v>0</v>
      </c>
      <c r="I18" s="20">
        <f>IFERROR(INDEX('Detalles movimientos'!M$5:M$1004, MATCH(9, 'Detalles movimientos'!$W$5:$W$1004, 0)), "")</f>
        <v>0</v>
      </c>
      <c r="J18" s="19">
        <f>IFERROR(INDEX('Detalles movimientos'!N$5:N$1004, MATCH(9, 'Detalles movimientos'!$W$5:$W$1004, 0)), "")</f>
        <v>0</v>
      </c>
      <c r="K18" s="20" t="str">
        <f>IFERROR(INDEX('Detalles movimientos'!O$5:O$1004, MATCH(9, 'Detalles movimientos'!$W$5:$W$1004, 0)), "")</f>
        <v/>
      </c>
      <c r="L18" s="18" t="str">
        <f>IFERROR(INDEX('Detalles movimientos'!P$5:P$1004, MATCH(9, 'Detalles movimientos'!$W$5:$W$1004, 0)), "")</f>
        <v>Guía N° 2361274</v>
      </c>
      <c r="M18" s="18">
        <f>IFERROR(INDEX('Detalles movimientos'!S$5:S$1004, MATCH(9, 'Detalles movimientos'!$W$5:$W$1004, 0)), "")</f>
        <v>0</v>
      </c>
    </row>
    <row r="19" spans="2:13">
      <c r="B19" s="17">
        <f>IFERROR(INDEX('Detalles movimientos'!C$5:C$1004, MATCH(10, 'Detalles movimientos'!$W$5:$W$1004, 0)), "")</f>
        <v>46265</v>
      </c>
      <c r="C19" s="18" t="str">
        <f>IFERROR(INDEX('Detalles movimientos'!D$5:D$1004, MATCH(10, 'Detalles movimientos'!$W$5:$W$1004, 0)), "")</f>
        <v>ENAP carga</v>
      </c>
      <c r="D19" s="19" t="str">
        <f>IFERROR(INDEX('Detalles movimientos'!E$5:E$1004, MATCH(10, 'Detalles movimientos'!$W$5:$W$1004, 0)), "")</f>
        <v>VJYL42</v>
      </c>
      <c r="E19" s="19" t="str">
        <f>IFERROR(INDEX('Detalles movimientos'!F$5:F$1004, MATCH(10, 'Detalles movimientos'!$W$5:$W$1004, 0)), "")</f>
        <v>ENAP carga</v>
      </c>
      <c r="F19" s="18">
        <f>IFERROR(INDEX('Detalles movimientos'!G$5:G$1004, MATCH(10, 'Detalles movimientos'!$W$5:$W$1004, 0)), "")</f>
        <v>0</v>
      </c>
      <c r="G19" s="20">
        <f>IFERROR(INDEX('Detalles movimientos'!H$5:H$1004, MATCH(10, 'Detalles movimientos'!$W$5:$W$1004, 0)), "")</f>
        <v>0</v>
      </c>
      <c r="H19" s="21">
        <f>IFERROR(INDEX('Detalles movimientos'!I$5:I$1004, MATCH(10, 'Detalles movimientos'!$W$5:$W$1004, 0)), "")</f>
        <v>0</v>
      </c>
      <c r="I19" s="20">
        <f>IFERROR(INDEX('Detalles movimientos'!M$5:M$1004, MATCH(10, 'Detalles movimientos'!$W$5:$W$1004, 0)), "")</f>
        <v>0</v>
      </c>
      <c r="J19" s="19" t="str">
        <f>IFERROR(INDEX('Detalles movimientos'!N$5:N$1004, MATCH(10, 'Detalles movimientos'!$W$5:$W$1004, 0)), "")</f>
        <v>ENAP carga</v>
      </c>
      <c r="K19" s="20" t="str">
        <f>IFERROR(INDEX('Detalles movimientos'!O$5:O$1004, MATCH(10, 'Detalles movimientos'!$W$5:$W$1004, 0)), "")</f>
        <v/>
      </c>
      <c r="L19" s="18" t="str">
        <f>IFERROR(INDEX('Detalles movimientos'!P$5:P$1004, MATCH(10, 'Detalles movimientos'!$W$5:$W$1004, 0)), "")</f>
        <v>Guía N° 2361941</v>
      </c>
      <c r="M19" s="18">
        <f>IFERROR(INDEX('Detalles movimientos'!S$5:S$1004, MATCH(10, 'Detalles movimientos'!$W$5:$W$1004, 0)), "")</f>
        <v>0</v>
      </c>
    </row>
    <row r="20" spans="2:13">
      <c r="B20" s="17" t="str">
        <f>IFERROR(INDEX('Detalles movimientos'!C$5:C$1004, MATCH(11, 'Detalles movimientos'!$W$5:$W$1004, 0)), "")</f>
        <v/>
      </c>
      <c r="C20" s="18" t="str">
        <f>IFERROR(INDEX('Detalles movimientos'!D$5:D$1004, MATCH(11, 'Detalles movimientos'!$W$5:$W$1004, 0)), "")</f>
        <v/>
      </c>
      <c r="D20" s="19" t="str">
        <f>IFERROR(INDEX('Detalles movimientos'!E$5:E$1004, MATCH(11, 'Detalles movimientos'!$W$5:$W$1004, 0)), "")</f>
        <v/>
      </c>
      <c r="E20" s="19" t="str">
        <f>IFERROR(INDEX('Detalles movimientos'!F$5:F$1004, MATCH(11, 'Detalles movimientos'!$W$5:$W$1004, 0)), "")</f>
        <v/>
      </c>
      <c r="F20" s="18" t="str">
        <f>IFERROR(INDEX('Detalles movimientos'!G$5:G$1004, MATCH(11, 'Detalles movimientos'!$W$5:$W$1004, 0)), "")</f>
        <v/>
      </c>
      <c r="G20" s="20" t="str">
        <f>IFERROR(INDEX('Detalles movimientos'!H$5:H$1004, MATCH(11, 'Detalles movimientos'!$W$5:$W$1004, 0)), "")</f>
        <v/>
      </c>
      <c r="H20" s="21" t="str">
        <f>IFERROR(INDEX('Detalles movimientos'!I$5:I$1004, MATCH(11, 'Detalles movimientos'!$W$5:$W$1004, 0)), "")</f>
        <v/>
      </c>
      <c r="I20" s="20" t="str">
        <f>IFERROR(INDEX('Detalles movimientos'!M$5:M$1004, MATCH(11, 'Detalles movimientos'!$W$5:$W$1004, 0)), "")</f>
        <v/>
      </c>
      <c r="J20" s="19" t="str">
        <f>IFERROR(INDEX('Detalles movimientos'!N$5:N$1004, MATCH(11, 'Detalles movimientos'!$W$5:$W$1004, 0)), "")</f>
        <v/>
      </c>
      <c r="K20" s="20" t="str">
        <f>IFERROR(INDEX('Detalles movimientos'!O$5:O$1004, MATCH(11, 'Detalles movimientos'!$W$5:$W$1004, 0)), "")</f>
        <v/>
      </c>
      <c r="L20" s="18" t="str">
        <f>IFERROR(INDEX('Detalles movimientos'!P$5:P$1004, MATCH(11, 'Detalles movimientos'!$W$5:$W$1004, 0)), "")</f>
        <v/>
      </c>
      <c r="M20" s="18" t="str">
        <f>IFERROR(INDEX('Detalles movimientos'!S$5:S$1004, MATCH(11, 'Detalles movimientos'!$W$5:$W$1004, 0)), "")</f>
        <v/>
      </c>
    </row>
    <row r="21" spans="2:13">
      <c r="B21" s="17">
        <f>IFERROR(INDEX('Detalles movimientos'!C$5:C$1004, MATCH(12, 'Detalles movimientos'!$W$5:$W$1004, 0)), "")</f>
        <v>46272</v>
      </c>
      <c r="C21" s="18" t="str">
        <f>IFERROR(INDEX('Detalles movimientos'!D$5:D$1004, MATCH(12, 'Detalles movimientos'!$W$5:$W$1004, 0)), "")</f>
        <v>ENAP carga</v>
      </c>
      <c r="D21" s="19" t="str">
        <f>IFERROR(INDEX('Detalles movimientos'!E$5:E$1004, MATCH(12, 'Detalles movimientos'!$W$5:$W$1004, 0)), "")</f>
        <v>VJYL42</v>
      </c>
      <c r="E21" s="19" t="str">
        <f>IFERROR(INDEX('Detalles movimientos'!F$5:F$1004, MATCH(12, 'Detalles movimientos'!$W$5:$W$1004, 0)), "")</f>
        <v>ENAP carga</v>
      </c>
      <c r="F21" s="18">
        <f>IFERROR(INDEX('Detalles movimientos'!G$5:G$1004, MATCH(12, 'Detalles movimientos'!$W$5:$W$1004, 0)), "")</f>
        <v>0</v>
      </c>
      <c r="G21" s="20">
        <f>IFERROR(INDEX('Detalles movimientos'!H$5:H$1004, MATCH(12, 'Detalles movimientos'!$W$5:$W$1004, 0)), "")</f>
        <v>0</v>
      </c>
      <c r="H21" s="21">
        <f>IFERROR(INDEX('Detalles movimientos'!I$5:I$1004, MATCH(12, 'Detalles movimientos'!$W$5:$W$1004, 0)), "")</f>
        <v>0</v>
      </c>
      <c r="I21" s="20">
        <f>IFERROR(INDEX('Detalles movimientos'!M$5:M$1004, MATCH(12, 'Detalles movimientos'!$W$5:$W$1004, 0)), "")</f>
        <v>0</v>
      </c>
      <c r="J21" s="19" t="str">
        <f>IFERROR(INDEX('Detalles movimientos'!N$5:N$1004, MATCH(12, 'Detalles movimientos'!$W$5:$W$1004, 0)), "")</f>
        <v>ENAP carga</v>
      </c>
      <c r="K21" s="20" t="str">
        <f>IFERROR(INDEX('Detalles movimientos'!O$5:O$1004, MATCH(12, 'Detalles movimientos'!$W$5:$W$1004, 0)), "")</f>
        <v/>
      </c>
      <c r="L21" s="18" t="str">
        <f>IFERROR(INDEX('Detalles movimientos'!P$5:P$1004, MATCH(12, 'Detalles movimientos'!$W$5:$W$1004, 0)), "")</f>
        <v>Guía N° 2364285</v>
      </c>
      <c r="M21" s="18">
        <f>IFERROR(INDEX('Detalles movimientos'!S$5:S$1004, MATCH(12, 'Detalles movimientos'!$W$5:$W$1004, 0)), "")</f>
        <v>0</v>
      </c>
    </row>
    <row r="22" spans="2:13">
      <c r="B22" s="17">
        <f>IFERROR(INDEX('Detalles movimientos'!C$5:C$1004, MATCH(13, 'Detalles movimientos'!$W$5:$W$1004, 0)), "")</f>
        <v>46273</v>
      </c>
      <c r="C22" s="18" t="str">
        <f>IFERROR(INDEX('Detalles movimientos'!D$5:D$1004, MATCH(13, 'Detalles movimientos'!$W$5:$W$1004, 0)), "")</f>
        <v>ENAP carga</v>
      </c>
      <c r="D22" s="19" t="str">
        <f>IFERROR(INDEX('Detalles movimientos'!E$5:E$1004, MATCH(13, 'Detalles movimientos'!$W$5:$W$1004, 0)), "")</f>
        <v>VJYL42</v>
      </c>
      <c r="E22" s="19" t="str">
        <f>IFERROR(INDEX('Detalles movimientos'!F$5:F$1004, MATCH(13, 'Detalles movimientos'!$W$5:$W$1004, 0)), "")</f>
        <v>ENAP carga</v>
      </c>
      <c r="F22" s="18">
        <f>IFERROR(INDEX('Detalles movimientos'!G$5:G$1004, MATCH(13, 'Detalles movimientos'!$W$5:$W$1004, 0)), "")</f>
        <v>0</v>
      </c>
      <c r="G22" s="20">
        <f>IFERROR(INDEX('Detalles movimientos'!H$5:H$1004, MATCH(13, 'Detalles movimientos'!$W$5:$W$1004, 0)), "")</f>
        <v>0</v>
      </c>
      <c r="H22" s="21">
        <f>IFERROR(INDEX('Detalles movimientos'!I$5:I$1004, MATCH(13, 'Detalles movimientos'!$W$5:$W$1004, 0)), "")</f>
        <v>0</v>
      </c>
      <c r="I22" s="20">
        <f>IFERROR(INDEX('Detalles movimientos'!M$5:M$1004, MATCH(13, 'Detalles movimientos'!$W$5:$W$1004, 0)), "")</f>
        <v>0</v>
      </c>
      <c r="J22" s="19" t="str">
        <f>IFERROR(INDEX('Detalles movimientos'!N$5:N$1004, MATCH(13, 'Detalles movimientos'!$W$5:$W$1004, 0)), "")</f>
        <v>ENAP carga</v>
      </c>
      <c r="K22" s="20" t="str">
        <f>IFERROR(INDEX('Detalles movimientos'!O$5:O$1004, MATCH(13, 'Detalles movimientos'!$W$5:$W$1004, 0)), "")</f>
        <v/>
      </c>
      <c r="L22" s="18" t="str">
        <f>IFERROR(INDEX('Detalles movimientos'!P$5:P$1004, MATCH(13, 'Detalles movimientos'!$W$5:$W$1004, 0)), "")</f>
        <v>Guía N° 2364754</v>
      </c>
      <c r="M22" s="18">
        <f>IFERROR(INDEX('Detalles movimientos'!S$5:S$1004, MATCH(13, 'Detalles movimientos'!$W$5:$W$1004, 0)), "")</f>
        <v>0</v>
      </c>
    </row>
    <row r="23" spans="2:13">
      <c r="B23" s="17">
        <f>IFERROR(INDEX('Detalles movimientos'!C$5:C$1004, MATCH(14, 'Detalles movimientos'!$W$5:$W$1004, 0)), "")</f>
        <v>46274</v>
      </c>
      <c r="C23" s="18" t="str">
        <f>IFERROR(INDEX('Detalles movimientos'!D$5:D$1004, MATCH(14, 'Detalles movimientos'!$W$5:$W$1004, 0)), "")</f>
        <v>ENAP carga</v>
      </c>
      <c r="D23" s="19" t="str">
        <f>IFERROR(INDEX('Detalles movimientos'!E$5:E$1004, MATCH(14, 'Detalles movimientos'!$W$5:$W$1004, 0)), "")</f>
        <v>VJYL42</v>
      </c>
      <c r="E23" s="19" t="str">
        <f>IFERROR(INDEX('Detalles movimientos'!F$5:F$1004, MATCH(14, 'Detalles movimientos'!$W$5:$W$1004, 0)), "")</f>
        <v>ENAP carga</v>
      </c>
      <c r="F23" s="18">
        <f>IFERROR(INDEX('Detalles movimientos'!G$5:G$1004, MATCH(14, 'Detalles movimientos'!$W$5:$W$1004, 0)), "")</f>
        <v>0</v>
      </c>
      <c r="G23" s="20">
        <f>IFERROR(INDEX('Detalles movimientos'!H$5:H$1004, MATCH(14, 'Detalles movimientos'!$W$5:$W$1004, 0)), "")</f>
        <v>0</v>
      </c>
      <c r="H23" s="21">
        <f>IFERROR(INDEX('Detalles movimientos'!I$5:I$1004, MATCH(14, 'Detalles movimientos'!$W$5:$W$1004, 0)), "")</f>
        <v>0</v>
      </c>
      <c r="I23" s="20">
        <f>IFERROR(INDEX('Detalles movimientos'!M$5:M$1004, MATCH(14, 'Detalles movimientos'!$W$5:$W$1004, 0)), "")</f>
        <v>0</v>
      </c>
      <c r="J23" s="19" t="str">
        <f>IFERROR(INDEX('Detalles movimientos'!N$5:N$1004, MATCH(14, 'Detalles movimientos'!$W$5:$W$1004, 0)), "")</f>
        <v>ENAP carga</v>
      </c>
      <c r="K23" s="20" t="str">
        <f>IFERROR(INDEX('Detalles movimientos'!O$5:O$1004, MATCH(14, 'Detalles movimientos'!$W$5:$W$1004, 0)), "")</f>
        <v/>
      </c>
      <c r="L23" s="18" t="str">
        <f>IFERROR(INDEX('Detalles movimientos'!P$5:P$1004, MATCH(14, 'Detalles movimientos'!$W$5:$W$1004, 0)), "")</f>
        <v>Guía N° 2365221</v>
      </c>
      <c r="M23" s="18">
        <f>IFERROR(INDEX('Detalles movimientos'!S$5:S$1004, MATCH(14, 'Detalles movimientos'!$W$5:$W$1004, 0)), "")</f>
        <v>0</v>
      </c>
    </row>
    <row r="24" spans="2:13">
      <c r="B24" s="17">
        <f>IFERROR(INDEX('Detalles movimientos'!C$5:C$1004, MATCH(15, 'Detalles movimientos'!$W$5:$W$1004, 0)), "")</f>
        <v>46275</v>
      </c>
      <c r="C24" s="18" t="str">
        <f>IFERROR(INDEX('Detalles movimientos'!D$5:D$1004, MATCH(15, 'Detalles movimientos'!$W$5:$W$1004, 0)), "")</f>
        <v>ENAP carga</v>
      </c>
      <c r="D24" s="19" t="str">
        <f>IFERROR(INDEX('Detalles movimientos'!E$5:E$1004, MATCH(15, 'Detalles movimientos'!$W$5:$W$1004, 0)), "")</f>
        <v>VJYL42</v>
      </c>
      <c r="E24" s="19" t="str">
        <f>IFERROR(INDEX('Detalles movimientos'!F$5:F$1004, MATCH(15, 'Detalles movimientos'!$W$5:$W$1004, 0)), "")</f>
        <v>ENAP carga</v>
      </c>
      <c r="F24" s="18">
        <f>IFERROR(INDEX('Detalles movimientos'!G$5:G$1004, MATCH(15, 'Detalles movimientos'!$W$5:$W$1004, 0)), "")</f>
        <v>0</v>
      </c>
      <c r="G24" s="20">
        <f>IFERROR(INDEX('Detalles movimientos'!H$5:H$1004, MATCH(15, 'Detalles movimientos'!$W$5:$W$1004, 0)), "")</f>
        <v>0</v>
      </c>
      <c r="H24" s="21">
        <f>IFERROR(INDEX('Detalles movimientos'!I$5:I$1004, MATCH(15, 'Detalles movimientos'!$W$5:$W$1004, 0)), "")</f>
        <v>0</v>
      </c>
      <c r="I24" s="20">
        <f>IFERROR(INDEX('Detalles movimientos'!M$5:M$1004, MATCH(15, 'Detalles movimientos'!$W$5:$W$1004, 0)), "")</f>
        <v>0</v>
      </c>
      <c r="J24" s="19" t="str">
        <f>IFERROR(INDEX('Detalles movimientos'!N$5:N$1004, MATCH(15, 'Detalles movimientos'!$W$5:$W$1004, 0)), "")</f>
        <v>ENAP carga</v>
      </c>
      <c r="K24" s="20" t="str">
        <f>IFERROR(INDEX('Detalles movimientos'!O$5:O$1004, MATCH(15, 'Detalles movimientos'!$W$5:$W$1004, 0)), "")</f>
        <v/>
      </c>
      <c r="L24" s="18" t="str">
        <f>IFERROR(INDEX('Detalles movimientos'!P$5:P$1004, MATCH(15, 'Detalles movimientos'!$W$5:$W$1004, 0)), "")</f>
        <v>Guía N° 2365840</v>
      </c>
      <c r="M24" s="18">
        <f>IFERROR(INDEX('Detalles movimientos'!S$5:S$1004, MATCH(15, 'Detalles movimientos'!$W$5:$W$1004, 0)), "")</f>
        <v>0</v>
      </c>
    </row>
    <row r="25" spans="2:13">
      <c r="B25" s="17">
        <f>IFERROR(INDEX('Detalles movimientos'!C$5:C$1004, MATCH(16, 'Detalles movimientos'!$W$5:$W$1004, 0)), "")</f>
        <v>46276</v>
      </c>
      <c r="C25" s="18" t="str">
        <f>IFERROR(INDEX('Detalles movimientos'!D$5:D$1004, MATCH(16, 'Detalles movimientos'!$W$5:$W$1004, 0)), "")</f>
        <v>ENAP carga</v>
      </c>
      <c r="D25" s="19" t="str">
        <f>IFERROR(INDEX('Detalles movimientos'!E$5:E$1004, MATCH(16, 'Detalles movimientos'!$W$5:$W$1004, 0)), "")</f>
        <v>VJYL42</v>
      </c>
      <c r="E25" s="19" t="str">
        <f>IFERROR(INDEX('Detalles movimientos'!F$5:F$1004, MATCH(16, 'Detalles movimientos'!$W$5:$W$1004, 0)), "")</f>
        <v>ENAP carga</v>
      </c>
      <c r="F25" s="18">
        <f>IFERROR(INDEX('Detalles movimientos'!G$5:G$1004, MATCH(16, 'Detalles movimientos'!$W$5:$W$1004, 0)), "")</f>
        <v>0</v>
      </c>
      <c r="G25" s="20">
        <f>IFERROR(INDEX('Detalles movimientos'!H$5:H$1004, MATCH(16, 'Detalles movimientos'!$W$5:$W$1004, 0)), "")</f>
        <v>0</v>
      </c>
      <c r="H25" s="21">
        <f>IFERROR(INDEX('Detalles movimientos'!I$5:I$1004, MATCH(16, 'Detalles movimientos'!$W$5:$W$1004, 0)), "")</f>
        <v>0</v>
      </c>
      <c r="I25" s="20">
        <f>IFERROR(INDEX('Detalles movimientos'!M$5:M$1004, MATCH(16, 'Detalles movimientos'!$W$5:$W$1004, 0)), "")</f>
        <v>0</v>
      </c>
      <c r="J25" s="19" t="str">
        <f>IFERROR(INDEX('Detalles movimientos'!N$5:N$1004, MATCH(16, 'Detalles movimientos'!$W$5:$W$1004, 0)), "")</f>
        <v>ENAP carga</v>
      </c>
      <c r="K25" s="20" t="str">
        <f>IFERROR(INDEX('Detalles movimientos'!O$5:O$1004, MATCH(16, 'Detalles movimientos'!$W$5:$W$1004, 0)), "")</f>
        <v/>
      </c>
      <c r="L25" s="18" t="str">
        <f>IFERROR(INDEX('Detalles movimientos'!P$5:P$1004, MATCH(16, 'Detalles movimientos'!$W$5:$W$1004, 0)), "")</f>
        <v>Guía N° 2366189</v>
      </c>
      <c r="M25" s="18">
        <f>IFERROR(INDEX('Detalles movimientos'!S$5:S$1004, MATCH(16, 'Detalles movimientos'!$W$5:$W$1004, 0)), "")</f>
        <v>0</v>
      </c>
    </row>
    <row r="26" spans="2:13">
      <c r="B26" s="17">
        <f>IFERROR(INDEX('Detalles movimientos'!C$5:C$1004, MATCH(17, 'Detalles movimientos'!$W$5:$W$1004, 0)), "")</f>
        <v>46277</v>
      </c>
      <c r="C26" s="18" t="str">
        <f>IFERROR(INDEX('Detalles movimientos'!D$5:D$1004, MATCH(17, 'Detalles movimientos'!$W$5:$W$1004, 0)), "")</f>
        <v>ENAP carga</v>
      </c>
      <c r="D26" s="19" t="str">
        <f>IFERROR(INDEX('Detalles movimientos'!E$5:E$1004, MATCH(17, 'Detalles movimientos'!$W$5:$W$1004, 0)), "")</f>
        <v>VJYL42</v>
      </c>
      <c r="E26" s="19" t="str">
        <f>IFERROR(INDEX('Detalles movimientos'!F$5:F$1004, MATCH(17, 'Detalles movimientos'!$W$5:$W$1004, 0)), "")</f>
        <v>ENAP carga</v>
      </c>
      <c r="F26" s="18">
        <f>IFERROR(INDEX('Detalles movimientos'!G$5:G$1004, MATCH(17, 'Detalles movimientos'!$W$5:$W$1004, 0)), "")</f>
        <v>0</v>
      </c>
      <c r="G26" s="20">
        <f>IFERROR(INDEX('Detalles movimientos'!H$5:H$1004, MATCH(17, 'Detalles movimientos'!$W$5:$W$1004, 0)), "")</f>
        <v>0</v>
      </c>
      <c r="H26" s="21">
        <f>IFERROR(INDEX('Detalles movimientos'!I$5:I$1004, MATCH(17, 'Detalles movimientos'!$W$5:$W$1004, 0)), "")</f>
        <v>0</v>
      </c>
      <c r="I26" s="20">
        <f>IFERROR(INDEX('Detalles movimientos'!M$5:M$1004, MATCH(17, 'Detalles movimientos'!$W$5:$W$1004, 0)), "")</f>
        <v>0</v>
      </c>
      <c r="J26" s="19" t="str">
        <f>IFERROR(INDEX('Detalles movimientos'!N$5:N$1004, MATCH(17, 'Detalles movimientos'!$W$5:$W$1004, 0)), "")</f>
        <v>ENAP carga</v>
      </c>
      <c r="K26" s="20" t="str">
        <f>IFERROR(INDEX('Detalles movimientos'!O$5:O$1004, MATCH(17, 'Detalles movimientos'!$W$5:$W$1004, 0)), "")</f>
        <v/>
      </c>
      <c r="L26" s="18" t="str">
        <f>IFERROR(INDEX('Detalles movimientos'!P$5:P$1004, MATCH(17, 'Detalles movimientos'!$W$5:$W$1004, 0)), "")</f>
        <v>Guía N° 2366535</v>
      </c>
      <c r="M26" s="18">
        <f>IFERROR(INDEX('Detalles movimientos'!S$5:S$1004, MATCH(17, 'Detalles movimientos'!$W$5:$W$1004, 0)), "")</f>
        <v>0</v>
      </c>
    </row>
    <row r="27" spans="2:13">
      <c r="B27" s="17">
        <f>IFERROR(INDEX('Detalles movimientos'!C$5:C$1004, MATCH(18, 'Detalles movimientos'!$W$5:$W$1004, 0)), "")</f>
        <v>46279</v>
      </c>
      <c r="C27" s="18" t="str">
        <f>IFERROR(INDEX('Detalles movimientos'!D$5:D$1004, MATCH(18, 'Detalles movimientos'!$W$5:$W$1004, 0)), "")</f>
        <v>ENAP carga</v>
      </c>
      <c r="D27" s="19" t="str">
        <f>IFERROR(INDEX('Detalles movimientos'!E$5:E$1004, MATCH(18, 'Detalles movimientos'!$W$5:$W$1004, 0)), "")</f>
        <v>VJYL42</v>
      </c>
      <c r="E27" s="19" t="str">
        <f>IFERROR(INDEX('Detalles movimientos'!F$5:F$1004, MATCH(18, 'Detalles movimientos'!$W$5:$W$1004, 0)), "")</f>
        <v>ENAP carga</v>
      </c>
      <c r="F27" s="18">
        <f>IFERROR(INDEX('Detalles movimientos'!G$5:G$1004, MATCH(18, 'Detalles movimientos'!$W$5:$W$1004, 0)), "")</f>
        <v>0</v>
      </c>
      <c r="G27" s="20">
        <f>IFERROR(INDEX('Detalles movimientos'!H$5:H$1004, MATCH(18, 'Detalles movimientos'!$W$5:$W$1004, 0)), "")</f>
        <v>0</v>
      </c>
      <c r="H27" s="21">
        <f>IFERROR(INDEX('Detalles movimientos'!I$5:I$1004, MATCH(18, 'Detalles movimientos'!$W$5:$W$1004, 0)), "")</f>
        <v>0</v>
      </c>
      <c r="I27" s="20">
        <f>IFERROR(INDEX('Detalles movimientos'!M$5:M$1004, MATCH(18, 'Detalles movimientos'!$W$5:$W$1004, 0)), "")</f>
        <v>0</v>
      </c>
      <c r="J27" s="19" t="str">
        <f>IFERROR(INDEX('Detalles movimientos'!N$5:N$1004, MATCH(18, 'Detalles movimientos'!$W$5:$W$1004, 0)), "")</f>
        <v>ENAP carga</v>
      </c>
      <c r="K27" s="20" t="str">
        <f>IFERROR(INDEX('Detalles movimientos'!O$5:O$1004, MATCH(18, 'Detalles movimientos'!$W$5:$W$1004, 0)), "")</f>
        <v/>
      </c>
      <c r="L27" s="18" t="str">
        <f>IFERROR(INDEX('Detalles movimientos'!P$5:P$1004, MATCH(18, 'Detalles movimientos'!$W$5:$W$1004, 0)), "")</f>
        <v>Guía N° 2366964</v>
      </c>
      <c r="M27" s="18">
        <f>IFERROR(INDEX('Detalles movimientos'!S$5:S$1004, MATCH(18, 'Detalles movimientos'!$W$5:$W$1004, 0)), "")</f>
        <v>0</v>
      </c>
    </row>
    <row r="28" spans="2:13">
      <c r="B28" s="17" t="str">
        <f>IFERROR(INDEX('Detalles movimientos'!C$5:C$1004, MATCH(19, 'Detalles movimientos'!$W$5:$W$1004, 0)), "")</f>
        <v/>
      </c>
      <c r="C28" s="18" t="str">
        <f>IFERROR(INDEX('Detalles movimientos'!D$5:D$1004, MATCH(19, 'Detalles movimientos'!$W$5:$W$1004, 0)), "")</f>
        <v/>
      </c>
      <c r="D28" s="19" t="str">
        <f>IFERROR(INDEX('Detalles movimientos'!E$5:E$1004, MATCH(19, 'Detalles movimientos'!$W$5:$W$1004, 0)), "")</f>
        <v/>
      </c>
      <c r="E28" s="19" t="str">
        <f>IFERROR(INDEX('Detalles movimientos'!F$5:F$1004, MATCH(19, 'Detalles movimientos'!$W$5:$W$1004, 0)), "")</f>
        <v/>
      </c>
      <c r="F28" s="18" t="str">
        <f>IFERROR(INDEX('Detalles movimientos'!G$5:G$1004, MATCH(19, 'Detalles movimientos'!$W$5:$W$1004, 0)), "")</f>
        <v/>
      </c>
      <c r="G28" s="20" t="str">
        <f>IFERROR(INDEX('Detalles movimientos'!H$5:H$1004, MATCH(19, 'Detalles movimientos'!$W$5:$W$1004, 0)), "")</f>
        <v/>
      </c>
      <c r="H28" s="21" t="str">
        <f>IFERROR(INDEX('Detalles movimientos'!I$5:I$1004, MATCH(19, 'Detalles movimientos'!$W$5:$W$1004, 0)), "")</f>
        <v/>
      </c>
      <c r="I28" s="20" t="str">
        <f>IFERROR(INDEX('Detalles movimientos'!M$5:M$1004, MATCH(19, 'Detalles movimientos'!$W$5:$W$1004, 0)), "")</f>
        <v/>
      </c>
      <c r="J28" s="19" t="str">
        <f>IFERROR(INDEX('Detalles movimientos'!N$5:N$1004, MATCH(19, 'Detalles movimientos'!$W$5:$W$1004, 0)), "")</f>
        <v/>
      </c>
      <c r="K28" s="20" t="str">
        <f>IFERROR(INDEX('Detalles movimientos'!O$5:O$1004, MATCH(19, 'Detalles movimientos'!$W$5:$W$1004, 0)), "")</f>
        <v/>
      </c>
      <c r="L28" s="18" t="str">
        <f>IFERROR(INDEX('Detalles movimientos'!P$5:P$1004, MATCH(19, 'Detalles movimientos'!$W$5:$W$1004, 0)), "")</f>
        <v/>
      </c>
      <c r="M28" s="18" t="str">
        <f>IFERROR(INDEX('Detalles movimientos'!S$5:S$1004, MATCH(19, 'Detalles movimientos'!$W$5:$W$1004, 0)), "")</f>
        <v/>
      </c>
    </row>
    <row r="29" spans="2:13">
      <c r="B29" s="17" t="str">
        <f>IFERROR(INDEX('Detalles movimientos'!C$5:C$1004, MATCH(20, 'Detalles movimientos'!$W$5:$W$1004, 0)), "")</f>
        <v/>
      </c>
      <c r="C29" s="18" t="str">
        <f>IFERROR(INDEX('Detalles movimientos'!D$5:D$1004, MATCH(20, 'Detalles movimientos'!$W$5:$W$1004, 0)), "")</f>
        <v/>
      </c>
      <c r="D29" s="19" t="str">
        <f>IFERROR(INDEX('Detalles movimientos'!E$5:E$1004, MATCH(20, 'Detalles movimientos'!$W$5:$W$1004, 0)), "")</f>
        <v/>
      </c>
      <c r="E29" s="19" t="str">
        <f>IFERROR(INDEX('Detalles movimientos'!F$5:F$1004, MATCH(20, 'Detalles movimientos'!$W$5:$W$1004, 0)), "")</f>
        <v/>
      </c>
      <c r="F29" s="18" t="str">
        <f>IFERROR(INDEX('Detalles movimientos'!G$5:G$1004, MATCH(20, 'Detalles movimientos'!$W$5:$W$1004, 0)), "")</f>
        <v/>
      </c>
      <c r="G29" s="20" t="str">
        <f>IFERROR(INDEX('Detalles movimientos'!H$5:H$1004, MATCH(20, 'Detalles movimientos'!$W$5:$W$1004, 0)), "")</f>
        <v/>
      </c>
      <c r="H29" s="21" t="str">
        <f>IFERROR(INDEX('Detalles movimientos'!I$5:I$1004, MATCH(20, 'Detalles movimientos'!$W$5:$W$1004, 0)), "")</f>
        <v/>
      </c>
      <c r="I29" s="20" t="str">
        <f>IFERROR(INDEX('Detalles movimientos'!M$5:M$1004, MATCH(20, 'Detalles movimientos'!$W$5:$W$1004, 0)), "")</f>
        <v/>
      </c>
      <c r="J29" s="19" t="str">
        <f>IFERROR(INDEX('Detalles movimientos'!N$5:N$1004, MATCH(20, 'Detalles movimientos'!$W$5:$W$1004, 0)), "")</f>
        <v/>
      </c>
      <c r="K29" s="20" t="str">
        <f>IFERROR(INDEX('Detalles movimientos'!O$5:O$1004, MATCH(20, 'Detalles movimientos'!$W$5:$W$1004, 0)), "")</f>
        <v/>
      </c>
      <c r="L29" s="18" t="str">
        <f>IFERROR(INDEX('Detalles movimientos'!P$5:P$1004, MATCH(20, 'Detalles movimientos'!$W$5:$W$1004, 0)), "")</f>
        <v/>
      </c>
      <c r="M29" s="18" t="str">
        <f>IFERROR(INDEX('Detalles movimientos'!S$5:S$1004, MATCH(20, 'Detalles movimientos'!$W$5:$W$1004, 0)), "")</f>
        <v/>
      </c>
    </row>
    <row r="30" spans="2:13">
      <c r="B30" s="17" t="str">
        <f>IFERROR(INDEX('Detalles movimientos'!C$5:C$1004, MATCH(21, 'Detalles movimientos'!$W$5:$W$1004, 0)), "")</f>
        <v/>
      </c>
      <c r="C30" s="18" t="str">
        <f>IFERROR(INDEX('Detalles movimientos'!D$5:D$1004, MATCH(21, 'Detalles movimientos'!$W$5:$W$1004, 0)), "")</f>
        <v/>
      </c>
      <c r="D30" s="19" t="str">
        <f>IFERROR(INDEX('Detalles movimientos'!E$5:E$1004, MATCH(21, 'Detalles movimientos'!$W$5:$W$1004, 0)), "")</f>
        <v/>
      </c>
      <c r="E30" s="19" t="str">
        <f>IFERROR(INDEX('Detalles movimientos'!F$5:F$1004, MATCH(21, 'Detalles movimientos'!$W$5:$W$1004, 0)), "")</f>
        <v/>
      </c>
      <c r="F30" s="18" t="str">
        <f>IFERROR(INDEX('Detalles movimientos'!G$5:G$1004, MATCH(21, 'Detalles movimientos'!$W$5:$W$1004, 0)), "")</f>
        <v/>
      </c>
      <c r="G30" s="20" t="str">
        <f>IFERROR(INDEX('Detalles movimientos'!H$5:H$1004, MATCH(21, 'Detalles movimientos'!$W$5:$W$1004, 0)), "")</f>
        <v/>
      </c>
      <c r="H30" s="21" t="str">
        <f>IFERROR(INDEX('Detalles movimientos'!I$5:I$1004, MATCH(21, 'Detalles movimientos'!$W$5:$W$1004, 0)), "")</f>
        <v/>
      </c>
      <c r="I30" s="20" t="str">
        <f>IFERROR(INDEX('Detalles movimientos'!M$5:M$1004, MATCH(21, 'Detalles movimientos'!$W$5:$W$1004, 0)), "")</f>
        <v/>
      </c>
      <c r="J30" s="19" t="str">
        <f>IFERROR(INDEX('Detalles movimientos'!N$5:N$1004, MATCH(21, 'Detalles movimientos'!$W$5:$W$1004, 0)), "")</f>
        <v/>
      </c>
      <c r="K30" s="20" t="str">
        <f>IFERROR(INDEX('Detalles movimientos'!O$5:O$1004, MATCH(21, 'Detalles movimientos'!$W$5:$W$1004, 0)), "")</f>
        <v/>
      </c>
      <c r="L30" s="18" t="str">
        <f>IFERROR(INDEX('Detalles movimientos'!P$5:P$1004, MATCH(21, 'Detalles movimientos'!$W$5:$W$1004, 0)), "")</f>
        <v/>
      </c>
      <c r="M30" s="18" t="str">
        <f>IFERROR(INDEX('Detalles movimientos'!S$5:S$1004, MATCH(21, 'Detalles movimientos'!$W$5:$W$1004, 0)), "")</f>
        <v/>
      </c>
    </row>
    <row r="31" spans="2:13">
      <c r="B31" s="17" t="str">
        <f>IFERROR(INDEX('Detalles movimientos'!C$5:C$1004, MATCH(22, 'Detalles movimientos'!$W$5:$W$1004, 0)), "")</f>
        <v/>
      </c>
      <c r="C31" s="18" t="str">
        <f>IFERROR(INDEX('Detalles movimientos'!D$5:D$1004, MATCH(22, 'Detalles movimientos'!$W$5:$W$1004, 0)), "")</f>
        <v/>
      </c>
      <c r="D31" s="19" t="str">
        <f>IFERROR(INDEX('Detalles movimientos'!E$5:E$1004, MATCH(22, 'Detalles movimientos'!$W$5:$W$1004, 0)), "")</f>
        <v/>
      </c>
      <c r="E31" s="19" t="str">
        <f>IFERROR(INDEX('Detalles movimientos'!F$5:F$1004, MATCH(22, 'Detalles movimientos'!$W$5:$W$1004, 0)), "")</f>
        <v/>
      </c>
      <c r="F31" s="18" t="str">
        <f>IFERROR(INDEX('Detalles movimientos'!G$5:G$1004, MATCH(22, 'Detalles movimientos'!$W$5:$W$1004, 0)), "")</f>
        <v/>
      </c>
      <c r="G31" s="20" t="str">
        <f>IFERROR(INDEX('Detalles movimientos'!H$5:H$1004, MATCH(22, 'Detalles movimientos'!$W$5:$W$1004, 0)), "")</f>
        <v/>
      </c>
      <c r="H31" s="21" t="str">
        <f>IFERROR(INDEX('Detalles movimientos'!I$5:I$1004, MATCH(22, 'Detalles movimientos'!$W$5:$W$1004, 0)), "")</f>
        <v/>
      </c>
      <c r="I31" s="20" t="str">
        <f>IFERROR(INDEX('Detalles movimientos'!M$5:M$1004, MATCH(22, 'Detalles movimientos'!$W$5:$W$1004, 0)), "")</f>
        <v/>
      </c>
      <c r="J31" s="19" t="str">
        <f>IFERROR(INDEX('Detalles movimientos'!N$5:N$1004, MATCH(22, 'Detalles movimientos'!$W$5:$W$1004, 0)), "")</f>
        <v/>
      </c>
      <c r="K31" s="20" t="str">
        <f>IFERROR(INDEX('Detalles movimientos'!O$5:O$1004, MATCH(22, 'Detalles movimientos'!$W$5:$W$1004, 0)), "")</f>
        <v/>
      </c>
      <c r="L31" s="18" t="str">
        <f>IFERROR(INDEX('Detalles movimientos'!P$5:P$1004, MATCH(22, 'Detalles movimientos'!$W$5:$W$1004, 0)), "")</f>
        <v/>
      </c>
      <c r="M31" s="18" t="str">
        <f>IFERROR(INDEX('Detalles movimientos'!S$5:S$1004, MATCH(22, 'Detalles movimientos'!$W$5:$W$1004, 0)), "")</f>
        <v/>
      </c>
    </row>
    <row r="32" spans="2:13">
      <c r="B32" s="17" t="str">
        <f>IFERROR(INDEX('Detalles movimientos'!C$5:C$1004, MATCH(23, 'Detalles movimientos'!$W$5:$W$1004, 0)), "")</f>
        <v/>
      </c>
      <c r="C32" s="18" t="str">
        <f>IFERROR(INDEX('Detalles movimientos'!D$5:D$1004, MATCH(23, 'Detalles movimientos'!$W$5:$W$1004, 0)), "")</f>
        <v/>
      </c>
      <c r="D32" s="19" t="str">
        <f>IFERROR(INDEX('Detalles movimientos'!E$5:E$1004, MATCH(23, 'Detalles movimientos'!$W$5:$W$1004, 0)), "")</f>
        <v/>
      </c>
      <c r="E32" s="19" t="str">
        <f>IFERROR(INDEX('Detalles movimientos'!F$5:F$1004, MATCH(23, 'Detalles movimientos'!$W$5:$W$1004, 0)), "")</f>
        <v/>
      </c>
      <c r="F32" s="18" t="str">
        <f>IFERROR(INDEX('Detalles movimientos'!G$5:G$1004, MATCH(23, 'Detalles movimientos'!$W$5:$W$1004, 0)), "")</f>
        <v/>
      </c>
      <c r="G32" s="20" t="str">
        <f>IFERROR(INDEX('Detalles movimientos'!H$5:H$1004, MATCH(23, 'Detalles movimientos'!$W$5:$W$1004, 0)), "")</f>
        <v/>
      </c>
      <c r="H32" s="21" t="str">
        <f>IFERROR(INDEX('Detalles movimientos'!I$5:I$1004, MATCH(23, 'Detalles movimientos'!$W$5:$W$1004, 0)), "")</f>
        <v/>
      </c>
      <c r="I32" s="20" t="str">
        <f>IFERROR(INDEX('Detalles movimientos'!M$5:M$1004, MATCH(23, 'Detalles movimientos'!$W$5:$W$1004, 0)), "")</f>
        <v/>
      </c>
      <c r="J32" s="19" t="str">
        <f>IFERROR(INDEX('Detalles movimientos'!N$5:N$1004, MATCH(23, 'Detalles movimientos'!$W$5:$W$1004, 0)), "")</f>
        <v/>
      </c>
      <c r="K32" s="20" t="str">
        <f>IFERROR(INDEX('Detalles movimientos'!O$5:O$1004, MATCH(23, 'Detalles movimientos'!$W$5:$W$1004, 0)), "")</f>
        <v/>
      </c>
      <c r="L32" s="18" t="str">
        <f>IFERROR(INDEX('Detalles movimientos'!P$5:P$1004, MATCH(23, 'Detalles movimientos'!$W$5:$W$1004, 0)), "")</f>
        <v/>
      </c>
      <c r="M32" s="18" t="str">
        <f>IFERROR(INDEX('Detalles movimientos'!S$5:S$1004, MATCH(23, 'Detalles movimientos'!$W$5:$W$1004, 0)), "")</f>
        <v/>
      </c>
    </row>
    <row r="33" spans="2:13">
      <c r="B33" s="17" t="str">
        <f>IFERROR(INDEX('Detalles movimientos'!C$5:C$1004, MATCH(24, 'Detalles movimientos'!$W$5:$W$1004, 0)), "")</f>
        <v/>
      </c>
      <c r="C33" s="18" t="str">
        <f>IFERROR(INDEX('Detalles movimientos'!D$5:D$1004, MATCH(24, 'Detalles movimientos'!$W$5:$W$1004, 0)), "")</f>
        <v/>
      </c>
      <c r="D33" s="19" t="str">
        <f>IFERROR(INDEX('Detalles movimientos'!E$5:E$1004, MATCH(24, 'Detalles movimientos'!$W$5:$W$1004, 0)), "")</f>
        <v/>
      </c>
      <c r="E33" s="19" t="str">
        <f>IFERROR(INDEX('Detalles movimientos'!F$5:F$1004, MATCH(24, 'Detalles movimientos'!$W$5:$W$1004, 0)), "")</f>
        <v/>
      </c>
      <c r="F33" s="18" t="str">
        <f>IFERROR(INDEX('Detalles movimientos'!G$5:G$1004, MATCH(24, 'Detalles movimientos'!$W$5:$W$1004, 0)), "")</f>
        <v/>
      </c>
      <c r="G33" s="20" t="str">
        <f>IFERROR(INDEX('Detalles movimientos'!H$5:H$1004, MATCH(24, 'Detalles movimientos'!$W$5:$W$1004, 0)), "")</f>
        <v/>
      </c>
      <c r="H33" s="21" t="str">
        <f>IFERROR(INDEX('Detalles movimientos'!I$5:I$1004, MATCH(24, 'Detalles movimientos'!$W$5:$W$1004, 0)), "")</f>
        <v/>
      </c>
      <c r="I33" s="20" t="str">
        <f>IFERROR(INDEX('Detalles movimientos'!M$5:M$1004, MATCH(24, 'Detalles movimientos'!$W$5:$W$1004, 0)), "")</f>
        <v/>
      </c>
      <c r="J33" s="19" t="str">
        <f>IFERROR(INDEX('Detalles movimientos'!N$5:N$1004, MATCH(24, 'Detalles movimientos'!$W$5:$W$1004, 0)), "")</f>
        <v/>
      </c>
      <c r="K33" s="20" t="str">
        <f>IFERROR(INDEX('Detalles movimientos'!O$5:O$1004, MATCH(24, 'Detalles movimientos'!$W$5:$W$1004, 0)), "")</f>
        <v/>
      </c>
      <c r="L33" s="18" t="str">
        <f>IFERROR(INDEX('Detalles movimientos'!P$5:P$1004, MATCH(24, 'Detalles movimientos'!$W$5:$W$1004, 0)), "")</f>
        <v/>
      </c>
      <c r="M33" s="18" t="str">
        <f>IFERROR(INDEX('Detalles movimientos'!S$5:S$1004, MATCH(24, 'Detalles movimientos'!$W$5:$W$1004, 0)), "")</f>
        <v/>
      </c>
    </row>
    <row r="34" spans="2:13">
      <c r="B34" s="17" t="str">
        <f>IFERROR(INDEX('Detalles movimientos'!C$5:C$1004, MATCH(25, 'Detalles movimientos'!$W$5:$W$1004, 0)), "")</f>
        <v/>
      </c>
      <c r="C34" s="18" t="str">
        <f>IFERROR(INDEX('Detalles movimientos'!D$5:D$1004, MATCH(25, 'Detalles movimientos'!$W$5:$W$1004, 0)), "")</f>
        <v/>
      </c>
      <c r="D34" s="19" t="str">
        <f>IFERROR(INDEX('Detalles movimientos'!E$5:E$1004, MATCH(25, 'Detalles movimientos'!$W$5:$W$1004, 0)), "")</f>
        <v/>
      </c>
      <c r="E34" s="19" t="str">
        <f>IFERROR(INDEX('Detalles movimientos'!F$5:F$1004, MATCH(25, 'Detalles movimientos'!$W$5:$W$1004, 0)), "")</f>
        <v/>
      </c>
      <c r="F34" s="18" t="str">
        <f>IFERROR(INDEX('Detalles movimientos'!G$5:G$1004, MATCH(25, 'Detalles movimientos'!$W$5:$W$1004, 0)), "")</f>
        <v/>
      </c>
      <c r="G34" s="20" t="str">
        <f>IFERROR(INDEX('Detalles movimientos'!H$5:H$1004, MATCH(25, 'Detalles movimientos'!$W$5:$W$1004, 0)), "")</f>
        <v/>
      </c>
      <c r="H34" s="21" t="str">
        <f>IFERROR(INDEX('Detalles movimientos'!I$5:I$1004, MATCH(25, 'Detalles movimientos'!$W$5:$W$1004, 0)), "")</f>
        <v/>
      </c>
      <c r="I34" s="20" t="str">
        <f>IFERROR(INDEX('Detalles movimientos'!M$5:M$1004, MATCH(25, 'Detalles movimientos'!$W$5:$W$1004, 0)), "")</f>
        <v/>
      </c>
      <c r="J34" s="19" t="str">
        <f>IFERROR(INDEX('Detalles movimientos'!N$5:N$1004, MATCH(25, 'Detalles movimientos'!$W$5:$W$1004, 0)), "")</f>
        <v/>
      </c>
      <c r="K34" s="20" t="str">
        <f>IFERROR(INDEX('Detalles movimientos'!O$5:O$1004, MATCH(25, 'Detalles movimientos'!$W$5:$W$1004, 0)), "")</f>
        <v/>
      </c>
      <c r="L34" s="18" t="str">
        <f>IFERROR(INDEX('Detalles movimientos'!P$5:P$1004, MATCH(25, 'Detalles movimientos'!$W$5:$W$1004, 0)), "")</f>
        <v/>
      </c>
      <c r="M34" s="18" t="str">
        <f>IFERROR(INDEX('Detalles movimientos'!S$5:S$1004, MATCH(25, 'Detalles movimientos'!$W$5:$W$1004, 0)), "")</f>
        <v/>
      </c>
    </row>
    <row r="35" spans="2:13">
      <c r="B35" s="17" t="str">
        <f>IFERROR(INDEX('Detalles movimientos'!C$5:C$1004, MATCH(26, 'Detalles movimientos'!$W$5:$W$1004, 0)), "")</f>
        <v/>
      </c>
      <c r="C35" s="18" t="str">
        <f>IFERROR(INDEX('Detalles movimientos'!D$5:D$1004, MATCH(26, 'Detalles movimientos'!$W$5:$W$1004, 0)), "")</f>
        <v/>
      </c>
      <c r="D35" s="19" t="str">
        <f>IFERROR(INDEX('Detalles movimientos'!E$5:E$1004, MATCH(26, 'Detalles movimientos'!$W$5:$W$1004, 0)), "")</f>
        <v/>
      </c>
      <c r="E35" s="19" t="str">
        <f>IFERROR(INDEX('Detalles movimientos'!F$5:F$1004, MATCH(26, 'Detalles movimientos'!$W$5:$W$1004, 0)), "")</f>
        <v/>
      </c>
      <c r="F35" s="18" t="str">
        <f>IFERROR(INDEX('Detalles movimientos'!G$5:G$1004, MATCH(26, 'Detalles movimientos'!$W$5:$W$1004, 0)), "")</f>
        <v/>
      </c>
      <c r="G35" s="20" t="str">
        <f>IFERROR(INDEX('Detalles movimientos'!H$5:H$1004, MATCH(26, 'Detalles movimientos'!$W$5:$W$1004, 0)), "")</f>
        <v/>
      </c>
      <c r="H35" s="21" t="str">
        <f>IFERROR(INDEX('Detalles movimientos'!I$5:I$1004, MATCH(26, 'Detalles movimientos'!$W$5:$W$1004, 0)), "")</f>
        <v/>
      </c>
      <c r="I35" s="20" t="str">
        <f>IFERROR(INDEX('Detalles movimientos'!M$5:M$1004, MATCH(26, 'Detalles movimientos'!$W$5:$W$1004, 0)), "")</f>
        <v/>
      </c>
      <c r="J35" s="19" t="str">
        <f>IFERROR(INDEX('Detalles movimientos'!N$5:N$1004, MATCH(26, 'Detalles movimientos'!$W$5:$W$1004, 0)), "")</f>
        <v/>
      </c>
      <c r="K35" s="20" t="str">
        <f>IFERROR(INDEX('Detalles movimientos'!O$5:O$1004, MATCH(26, 'Detalles movimientos'!$W$5:$W$1004, 0)), "")</f>
        <v/>
      </c>
      <c r="L35" s="18" t="str">
        <f>IFERROR(INDEX('Detalles movimientos'!P$5:P$1004, MATCH(26, 'Detalles movimientos'!$W$5:$W$1004, 0)), "")</f>
        <v/>
      </c>
      <c r="M35" s="18" t="str">
        <f>IFERROR(INDEX('Detalles movimientos'!S$5:S$1004, MATCH(26, 'Detalles movimientos'!$W$5:$W$1004, 0)), "")</f>
        <v/>
      </c>
    </row>
    <row r="36" spans="2:13">
      <c r="B36" s="17" t="str">
        <f>IFERROR(INDEX('Detalles movimientos'!C$5:C$1004, MATCH(27, 'Detalles movimientos'!$W$5:$W$1004, 0)), "")</f>
        <v/>
      </c>
      <c r="C36" s="18" t="str">
        <f>IFERROR(INDEX('Detalles movimientos'!D$5:D$1004, MATCH(27, 'Detalles movimientos'!$W$5:$W$1004, 0)), "")</f>
        <v/>
      </c>
      <c r="D36" s="19" t="str">
        <f>IFERROR(INDEX('Detalles movimientos'!E$5:E$1004, MATCH(27, 'Detalles movimientos'!$W$5:$W$1004, 0)), "")</f>
        <v/>
      </c>
      <c r="E36" s="19" t="str">
        <f>IFERROR(INDEX('Detalles movimientos'!F$5:F$1004, MATCH(27, 'Detalles movimientos'!$W$5:$W$1004, 0)), "")</f>
        <v/>
      </c>
      <c r="F36" s="18" t="str">
        <f>IFERROR(INDEX('Detalles movimientos'!G$5:G$1004, MATCH(27, 'Detalles movimientos'!$W$5:$W$1004, 0)), "")</f>
        <v/>
      </c>
      <c r="G36" s="20" t="str">
        <f>IFERROR(INDEX('Detalles movimientos'!H$5:H$1004, MATCH(27, 'Detalles movimientos'!$W$5:$W$1004, 0)), "")</f>
        <v/>
      </c>
      <c r="H36" s="21" t="str">
        <f>IFERROR(INDEX('Detalles movimientos'!I$5:I$1004, MATCH(27, 'Detalles movimientos'!$W$5:$W$1004, 0)), "")</f>
        <v/>
      </c>
      <c r="I36" s="20" t="str">
        <f>IFERROR(INDEX('Detalles movimientos'!M$5:M$1004, MATCH(27, 'Detalles movimientos'!$W$5:$W$1004, 0)), "")</f>
        <v/>
      </c>
      <c r="J36" s="19" t="str">
        <f>IFERROR(INDEX('Detalles movimientos'!N$5:N$1004, MATCH(27, 'Detalles movimientos'!$W$5:$W$1004, 0)), "")</f>
        <v/>
      </c>
      <c r="K36" s="20" t="str">
        <f>IFERROR(INDEX('Detalles movimientos'!O$5:O$1004, MATCH(27, 'Detalles movimientos'!$W$5:$W$1004, 0)), "")</f>
        <v/>
      </c>
      <c r="L36" s="18" t="str">
        <f>IFERROR(INDEX('Detalles movimientos'!P$5:P$1004, MATCH(27, 'Detalles movimientos'!$W$5:$W$1004, 0)), "")</f>
        <v/>
      </c>
      <c r="M36" s="18" t="str">
        <f>IFERROR(INDEX('Detalles movimientos'!S$5:S$1004, MATCH(27, 'Detalles movimientos'!$W$5:$W$1004, 0)), "")</f>
        <v/>
      </c>
    </row>
    <row r="37" spans="2:13">
      <c r="B37" s="17" t="str">
        <f>IFERROR(INDEX('Detalles movimientos'!C$5:C$1004, MATCH(28, 'Detalles movimientos'!$W$5:$W$1004, 0)), "")</f>
        <v/>
      </c>
      <c r="C37" s="18" t="str">
        <f>IFERROR(INDEX('Detalles movimientos'!D$5:D$1004, MATCH(28, 'Detalles movimientos'!$W$5:$W$1004, 0)), "")</f>
        <v/>
      </c>
      <c r="D37" s="19" t="str">
        <f>IFERROR(INDEX('Detalles movimientos'!E$5:E$1004, MATCH(28, 'Detalles movimientos'!$W$5:$W$1004, 0)), "")</f>
        <v/>
      </c>
      <c r="E37" s="19" t="str">
        <f>IFERROR(INDEX('Detalles movimientos'!F$5:F$1004, MATCH(28, 'Detalles movimientos'!$W$5:$W$1004, 0)), "")</f>
        <v/>
      </c>
      <c r="F37" s="18" t="str">
        <f>IFERROR(INDEX('Detalles movimientos'!G$5:G$1004, MATCH(28, 'Detalles movimientos'!$W$5:$W$1004, 0)), "")</f>
        <v/>
      </c>
      <c r="G37" s="20" t="str">
        <f>IFERROR(INDEX('Detalles movimientos'!H$5:H$1004, MATCH(28, 'Detalles movimientos'!$W$5:$W$1004, 0)), "")</f>
        <v/>
      </c>
      <c r="H37" s="21" t="str">
        <f>IFERROR(INDEX('Detalles movimientos'!I$5:I$1004, MATCH(28, 'Detalles movimientos'!$W$5:$W$1004, 0)), "")</f>
        <v/>
      </c>
      <c r="I37" s="20" t="str">
        <f>IFERROR(INDEX('Detalles movimientos'!M$5:M$1004, MATCH(28, 'Detalles movimientos'!$W$5:$W$1004, 0)), "")</f>
        <v/>
      </c>
      <c r="J37" s="19" t="str">
        <f>IFERROR(INDEX('Detalles movimientos'!N$5:N$1004, MATCH(28, 'Detalles movimientos'!$W$5:$W$1004, 0)), "")</f>
        <v/>
      </c>
      <c r="K37" s="20" t="str">
        <f>IFERROR(INDEX('Detalles movimientos'!O$5:O$1004, MATCH(28, 'Detalles movimientos'!$W$5:$W$1004, 0)), "")</f>
        <v/>
      </c>
      <c r="L37" s="18" t="str">
        <f>IFERROR(INDEX('Detalles movimientos'!P$5:P$1004, MATCH(28, 'Detalles movimientos'!$W$5:$W$1004, 0)), "")</f>
        <v/>
      </c>
      <c r="M37" s="18" t="str">
        <f>IFERROR(INDEX('Detalles movimientos'!S$5:S$1004, MATCH(28, 'Detalles movimientos'!$W$5:$W$1004, 0)), "")</f>
        <v/>
      </c>
    </row>
    <row r="38" spans="2:13">
      <c r="B38" s="17" t="str">
        <f>IFERROR(INDEX('Detalles movimientos'!C$5:C$1004, MATCH(29, 'Detalles movimientos'!$W$5:$W$1004, 0)), "")</f>
        <v/>
      </c>
      <c r="C38" s="18" t="str">
        <f>IFERROR(INDEX('Detalles movimientos'!D$5:D$1004, MATCH(29, 'Detalles movimientos'!$W$5:$W$1004, 0)), "")</f>
        <v/>
      </c>
      <c r="D38" s="19" t="str">
        <f>IFERROR(INDEX('Detalles movimientos'!E$5:E$1004, MATCH(29, 'Detalles movimientos'!$W$5:$W$1004, 0)), "")</f>
        <v/>
      </c>
      <c r="E38" s="19" t="str">
        <f>IFERROR(INDEX('Detalles movimientos'!F$5:F$1004, MATCH(29, 'Detalles movimientos'!$W$5:$W$1004, 0)), "")</f>
        <v/>
      </c>
      <c r="F38" s="18" t="str">
        <f>IFERROR(INDEX('Detalles movimientos'!G$5:G$1004, MATCH(29, 'Detalles movimientos'!$W$5:$W$1004, 0)), "")</f>
        <v/>
      </c>
      <c r="G38" s="20" t="str">
        <f>IFERROR(INDEX('Detalles movimientos'!H$5:H$1004, MATCH(29, 'Detalles movimientos'!$W$5:$W$1004, 0)), "")</f>
        <v/>
      </c>
      <c r="H38" s="21" t="str">
        <f>IFERROR(INDEX('Detalles movimientos'!I$5:I$1004, MATCH(29, 'Detalles movimientos'!$W$5:$W$1004, 0)), "")</f>
        <v/>
      </c>
      <c r="I38" s="20" t="str">
        <f>IFERROR(INDEX('Detalles movimientos'!M$5:M$1004, MATCH(29, 'Detalles movimientos'!$W$5:$W$1004, 0)), "")</f>
        <v/>
      </c>
      <c r="J38" s="19" t="str">
        <f>IFERROR(INDEX('Detalles movimientos'!N$5:N$1004, MATCH(29, 'Detalles movimientos'!$W$5:$W$1004, 0)), "")</f>
        <v/>
      </c>
      <c r="K38" s="20" t="str">
        <f>IFERROR(INDEX('Detalles movimientos'!O$5:O$1004, MATCH(29, 'Detalles movimientos'!$W$5:$W$1004, 0)), "")</f>
        <v/>
      </c>
      <c r="L38" s="18" t="str">
        <f>IFERROR(INDEX('Detalles movimientos'!P$5:P$1004, MATCH(29, 'Detalles movimientos'!$W$5:$W$1004, 0)), "")</f>
        <v/>
      </c>
      <c r="M38" s="18" t="str">
        <f>IFERROR(INDEX('Detalles movimientos'!S$5:S$1004, MATCH(29, 'Detalles movimientos'!$W$5:$W$1004, 0)), "")</f>
        <v/>
      </c>
    </row>
    <row r="39" spans="2:13">
      <c r="B39" s="17" t="str">
        <f>IFERROR(INDEX('Detalles movimientos'!C$5:C$1004, MATCH(30, 'Detalles movimientos'!$W$5:$W$1004, 0)), "")</f>
        <v/>
      </c>
      <c r="C39" s="18" t="str">
        <f>IFERROR(INDEX('Detalles movimientos'!D$5:D$1004, MATCH(30, 'Detalles movimientos'!$W$5:$W$1004, 0)), "")</f>
        <v/>
      </c>
      <c r="D39" s="19" t="str">
        <f>IFERROR(INDEX('Detalles movimientos'!E$5:E$1004, MATCH(30, 'Detalles movimientos'!$W$5:$W$1004, 0)), "")</f>
        <v/>
      </c>
      <c r="E39" s="19" t="str">
        <f>IFERROR(INDEX('Detalles movimientos'!F$5:F$1004, MATCH(30, 'Detalles movimientos'!$W$5:$W$1004, 0)), "")</f>
        <v/>
      </c>
      <c r="F39" s="18" t="str">
        <f>IFERROR(INDEX('Detalles movimientos'!G$5:G$1004, MATCH(30, 'Detalles movimientos'!$W$5:$W$1004, 0)), "")</f>
        <v/>
      </c>
      <c r="G39" s="20" t="str">
        <f>IFERROR(INDEX('Detalles movimientos'!H$5:H$1004, MATCH(30, 'Detalles movimientos'!$W$5:$W$1004, 0)), "")</f>
        <v/>
      </c>
      <c r="H39" s="21" t="str">
        <f>IFERROR(INDEX('Detalles movimientos'!I$5:I$1004, MATCH(30, 'Detalles movimientos'!$W$5:$W$1004, 0)), "")</f>
        <v/>
      </c>
      <c r="I39" s="20" t="str">
        <f>IFERROR(INDEX('Detalles movimientos'!M$5:M$1004, MATCH(30, 'Detalles movimientos'!$W$5:$W$1004, 0)), "")</f>
        <v/>
      </c>
      <c r="J39" s="19" t="str">
        <f>IFERROR(INDEX('Detalles movimientos'!N$5:N$1004, MATCH(30, 'Detalles movimientos'!$W$5:$W$1004, 0)), "")</f>
        <v/>
      </c>
      <c r="K39" s="20" t="str">
        <f>IFERROR(INDEX('Detalles movimientos'!O$5:O$1004, MATCH(30, 'Detalles movimientos'!$W$5:$W$1004, 0)), "")</f>
        <v/>
      </c>
      <c r="L39" s="18" t="str">
        <f>IFERROR(INDEX('Detalles movimientos'!P$5:P$1004, MATCH(30, 'Detalles movimientos'!$W$5:$W$1004, 0)), "")</f>
        <v/>
      </c>
      <c r="M39" s="18" t="str">
        <f>IFERROR(INDEX('Detalles movimientos'!S$5:S$1004, MATCH(30, 'Detalles movimientos'!$W$5:$W$1004, 0)), "")</f>
        <v/>
      </c>
    </row>
    <row r="40" spans="2:13">
      <c r="B40" s="17" t="str">
        <f>IFERROR(INDEX('Detalles movimientos'!C$5:C$1004, MATCH(31, 'Detalles movimientos'!$W$5:$W$1004, 0)), "")</f>
        <v/>
      </c>
      <c r="C40" s="18" t="str">
        <f>IFERROR(INDEX('Detalles movimientos'!D$5:D$1004, MATCH(31, 'Detalles movimientos'!$W$5:$W$1004, 0)), "")</f>
        <v/>
      </c>
      <c r="D40" s="19" t="str">
        <f>IFERROR(INDEX('Detalles movimientos'!E$5:E$1004, MATCH(31, 'Detalles movimientos'!$W$5:$W$1004, 0)), "")</f>
        <v/>
      </c>
      <c r="E40" s="19" t="str">
        <f>IFERROR(INDEX('Detalles movimientos'!F$5:F$1004, MATCH(31, 'Detalles movimientos'!$W$5:$W$1004, 0)), "")</f>
        <v/>
      </c>
      <c r="F40" s="18" t="str">
        <f>IFERROR(INDEX('Detalles movimientos'!G$5:G$1004, MATCH(31, 'Detalles movimientos'!$W$5:$W$1004, 0)), "")</f>
        <v/>
      </c>
      <c r="G40" s="20" t="str">
        <f>IFERROR(INDEX('Detalles movimientos'!H$5:H$1004, MATCH(31, 'Detalles movimientos'!$W$5:$W$1004, 0)), "")</f>
        <v/>
      </c>
      <c r="H40" s="21" t="str">
        <f>IFERROR(INDEX('Detalles movimientos'!I$5:I$1004, MATCH(31, 'Detalles movimientos'!$W$5:$W$1004, 0)), "")</f>
        <v/>
      </c>
      <c r="I40" s="20" t="str">
        <f>IFERROR(INDEX('Detalles movimientos'!M$5:M$1004, MATCH(31, 'Detalles movimientos'!$W$5:$W$1004, 0)), "")</f>
        <v/>
      </c>
      <c r="J40" s="19" t="str">
        <f>IFERROR(INDEX('Detalles movimientos'!N$5:N$1004, MATCH(31, 'Detalles movimientos'!$W$5:$W$1004, 0)), "")</f>
        <v/>
      </c>
      <c r="K40" s="20" t="str">
        <f>IFERROR(INDEX('Detalles movimientos'!O$5:O$1004, MATCH(31, 'Detalles movimientos'!$W$5:$W$1004, 0)), "")</f>
        <v/>
      </c>
      <c r="L40" s="18" t="str">
        <f>IFERROR(INDEX('Detalles movimientos'!P$5:P$1004, MATCH(31, 'Detalles movimientos'!$W$5:$W$1004, 0)), "")</f>
        <v/>
      </c>
      <c r="M40" s="18" t="str">
        <f>IFERROR(INDEX('Detalles movimientos'!S$5:S$1004, MATCH(31, 'Detalles movimientos'!$W$5:$W$1004, 0)), "")</f>
        <v/>
      </c>
    </row>
    <row r="41" spans="2:13">
      <c r="B41" s="17" t="str">
        <f>IFERROR(INDEX('Detalles movimientos'!C$5:C$1004, MATCH(32, 'Detalles movimientos'!$W$5:$W$1004, 0)), "")</f>
        <v/>
      </c>
      <c r="C41" s="18" t="str">
        <f>IFERROR(INDEX('Detalles movimientos'!D$5:D$1004, MATCH(32, 'Detalles movimientos'!$W$5:$W$1004, 0)), "")</f>
        <v/>
      </c>
      <c r="D41" s="19" t="str">
        <f>IFERROR(INDEX('Detalles movimientos'!E$5:E$1004, MATCH(32, 'Detalles movimientos'!$W$5:$W$1004, 0)), "")</f>
        <v/>
      </c>
      <c r="E41" s="19" t="str">
        <f>IFERROR(INDEX('Detalles movimientos'!F$5:F$1004, MATCH(32, 'Detalles movimientos'!$W$5:$W$1004, 0)), "")</f>
        <v/>
      </c>
      <c r="F41" s="18" t="str">
        <f>IFERROR(INDEX('Detalles movimientos'!G$5:G$1004, MATCH(32, 'Detalles movimientos'!$W$5:$W$1004, 0)), "")</f>
        <v/>
      </c>
      <c r="G41" s="20" t="str">
        <f>IFERROR(INDEX('Detalles movimientos'!H$5:H$1004, MATCH(32, 'Detalles movimientos'!$W$5:$W$1004, 0)), "")</f>
        <v/>
      </c>
      <c r="H41" s="21" t="str">
        <f>IFERROR(INDEX('Detalles movimientos'!I$5:I$1004, MATCH(32, 'Detalles movimientos'!$W$5:$W$1004, 0)), "")</f>
        <v/>
      </c>
      <c r="I41" s="20" t="str">
        <f>IFERROR(INDEX('Detalles movimientos'!M$5:M$1004, MATCH(32, 'Detalles movimientos'!$W$5:$W$1004, 0)), "")</f>
        <v/>
      </c>
      <c r="J41" s="19" t="str">
        <f>IFERROR(INDEX('Detalles movimientos'!N$5:N$1004, MATCH(32, 'Detalles movimientos'!$W$5:$W$1004, 0)), "")</f>
        <v/>
      </c>
      <c r="K41" s="20" t="str">
        <f>IFERROR(INDEX('Detalles movimientos'!O$5:O$1004, MATCH(32, 'Detalles movimientos'!$W$5:$W$1004, 0)), "")</f>
        <v/>
      </c>
      <c r="L41" s="18" t="str">
        <f>IFERROR(INDEX('Detalles movimientos'!P$5:P$1004, MATCH(32, 'Detalles movimientos'!$W$5:$W$1004, 0)), "")</f>
        <v/>
      </c>
      <c r="M41" s="18" t="str">
        <f>IFERROR(INDEX('Detalles movimientos'!S$5:S$1004, MATCH(32, 'Detalles movimientos'!$W$5:$W$1004, 0)), "")</f>
        <v/>
      </c>
    </row>
    <row r="42" spans="2:13">
      <c r="B42" s="17" t="str">
        <f>IFERROR(INDEX('Detalles movimientos'!C$5:C$1004, MATCH(33, 'Detalles movimientos'!$W$5:$W$1004, 0)), "")</f>
        <v/>
      </c>
      <c r="C42" s="18" t="str">
        <f>IFERROR(INDEX('Detalles movimientos'!D$5:D$1004, MATCH(33, 'Detalles movimientos'!$W$5:$W$1004, 0)), "")</f>
        <v/>
      </c>
      <c r="D42" s="19" t="str">
        <f>IFERROR(INDEX('Detalles movimientos'!E$5:E$1004, MATCH(33, 'Detalles movimientos'!$W$5:$W$1004, 0)), "")</f>
        <v/>
      </c>
      <c r="E42" s="19" t="str">
        <f>IFERROR(INDEX('Detalles movimientos'!F$5:F$1004, MATCH(33, 'Detalles movimientos'!$W$5:$W$1004, 0)), "")</f>
        <v/>
      </c>
      <c r="F42" s="18" t="str">
        <f>IFERROR(INDEX('Detalles movimientos'!G$5:G$1004, MATCH(33, 'Detalles movimientos'!$W$5:$W$1004, 0)), "")</f>
        <v/>
      </c>
      <c r="G42" s="20" t="str">
        <f>IFERROR(INDEX('Detalles movimientos'!H$5:H$1004, MATCH(33, 'Detalles movimientos'!$W$5:$W$1004, 0)), "")</f>
        <v/>
      </c>
      <c r="H42" s="21" t="str">
        <f>IFERROR(INDEX('Detalles movimientos'!I$5:I$1004, MATCH(33, 'Detalles movimientos'!$W$5:$W$1004, 0)), "")</f>
        <v/>
      </c>
      <c r="I42" s="20" t="str">
        <f>IFERROR(INDEX('Detalles movimientos'!M$5:M$1004, MATCH(33, 'Detalles movimientos'!$W$5:$W$1004, 0)), "")</f>
        <v/>
      </c>
      <c r="J42" s="19" t="str">
        <f>IFERROR(INDEX('Detalles movimientos'!N$5:N$1004, MATCH(33, 'Detalles movimientos'!$W$5:$W$1004, 0)), "")</f>
        <v/>
      </c>
      <c r="K42" s="20" t="str">
        <f>IFERROR(INDEX('Detalles movimientos'!O$5:O$1004, MATCH(33, 'Detalles movimientos'!$W$5:$W$1004, 0)), "")</f>
        <v/>
      </c>
      <c r="L42" s="18" t="str">
        <f>IFERROR(INDEX('Detalles movimientos'!P$5:P$1004, MATCH(33, 'Detalles movimientos'!$W$5:$W$1004, 0)), "")</f>
        <v/>
      </c>
      <c r="M42" s="18" t="str">
        <f>IFERROR(INDEX('Detalles movimientos'!S$5:S$1004, MATCH(33, 'Detalles movimientos'!$W$5:$W$1004, 0)), "")</f>
        <v/>
      </c>
    </row>
    <row r="43" spans="2:13">
      <c r="B43" s="17" t="str">
        <f>IFERROR(INDEX('Detalles movimientos'!C$5:C$1004, MATCH(34, 'Detalles movimientos'!$W$5:$W$1004, 0)), "")</f>
        <v/>
      </c>
      <c r="C43" s="18" t="str">
        <f>IFERROR(INDEX('Detalles movimientos'!D$5:D$1004, MATCH(34, 'Detalles movimientos'!$W$5:$W$1004, 0)), "")</f>
        <v/>
      </c>
      <c r="D43" s="19" t="str">
        <f>IFERROR(INDEX('Detalles movimientos'!E$5:E$1004, MATCH(34, 'Detalles movimientos'!$W$5:$W$1004, 0)), "")</f>
        <v/>
      </c>
      <c r="E43" s="19" t="str">
        <f>IFERROR(INDEX('Detalles movimientos'!F$5:F$1004, MATCH(34, 'Detalles movimientos'!$W$5:$W$1004, 0)), "")</f>
        <v/>
      </c>
      <c r="F43" s="18" t="str">
        <f>IFERROR(INDEX('Detalles movimientos'!G$5:G$1004, MATCH(34, 'Detalles movimientos'!$W$5:$W$1004, 0)), "")</f>
        <v/>
      </c>
      <c r="G43" s="20" t="str">
        <f>IFERROR(INDEX('Detalles movimientos'!H$5:H$1004, MATCH(34, 'Detalles movimientos'!$W$5:$W$1004, 0)), "")</f>
        <v/>
      </c>
      <c r="H43" s="21" t="str">
        <f>IFERROR(INDEX('Detalles movimientos'!I$5:I$1004, MATCH(34, 'Detalles movimientos'!$W$5:$W$1004, 0)), "")</f>
        <v/>
      </c>
      <c r="I43" s="20" t="str">
        <f>IFERROR(INDEX('Detalles movimientos'!M$5:M$1004, MATCH(34, 'Detalles movimientos'!$W$5:$W$1004, 0)), "")</f>
        <v/>
      </c>
      <c r="J43" s="19" t="str">
        <f>IFERROR(INDEX('Detalles movimientos'!N$5:N$1004, MATCH(34, 'Detalles movimientos'!$W$5:$W$1004, 0)), "")</f>
        <v/>
      </c>
      <c r="K43" s="20" t="str">
        <f>IFERROR(INDEX('Detalles movimientos'!O$5:O$1004, MATCH(34, 'Detalles movimientos'!$W$5:$W$1004, 0)), "")</f>
        <v/>
      </c>
      <c r="L43" s="18" t="str">
        <f>IFERROR(INDEX('Detalles movimientos'!P$5:P$1004, MATCH(34, 'Detalles movimientos'!$W$5:$W$1004, 0)), "")</f>
        <v/>
      </c>
      <c r="M43" s="18" t="str">
        <f>IFERROR(INDEX('Detalles movimientos'!S$5:S$1004, MATCH(34, 'Detalles movimientos'!$W$5:$W$1004, 0)), "")</f>
        <v/>
      </c>
    </row>
    <row r="44" spans="2:13">
      <c r="B44" s="17" t="str">
        <f>IFERROR(INDEX('Detalles movimientos'!C$5:C$1004, MATCH(35, 'Detalles movimientos'!$W$5:$W$1004, 0)), "")</f>
        <v/>
      </c>
      <c r="C44" s="18" t="str">
        <f>IFERROR(INDEX('Detalles movimientos'!D$5:D$1004, MATCH(35, 'Detalles movimientos'!$W$5:$W$1004, 0)), "")</f>
        <v/>
      </c>
      <c r="D44" s="19" t="str">
        <f>IFERROR(INDEX('Detalles movimientos'!E$5:E$1004, MATCH(35, 'Detalles movimientos'!$W$5:$W$1004, 0)), "")</f>
        <v/>
      </c>
      <c r="E44" s="19" t="str">
        <f>IFERROR(INDEX('Detalles movimientos'!F$5:F$1004, MATCH(35, 'Detalles movimientos'!$W$5:$W$1004, 0)), "")</f>
        <v/>
      </c>
      <c r="F44" s="18" t="str">
        <f>IFERROR(INDEX('Detalles movimientos'!G$5:G$1004, MATCH(35, 'Detalles movimientos'!$W$5:$W$1004, 0)), "")</f>
        <v/>
      </c>
      <c r="G44" s="20" t="str">
        <f>IFERROR(INDEX('Detalles movimientos'!H$5:H$1004, MATCH(35, 'Detalles movimientos'!$W$5:$W$1004, 0)), "")</f>
        <v/>
      </c>
      <c r="H44" s="21" t="str">
        <f>IFERROR(INDEX('Detalles movimientos'!I$5:I$1004, MATCH(35, 'Detalles movimientos'!$W$5:$W$1004, 0)), "")</f>
        <v/>
      </c>
      <c r="I44" s="20" t="str">
        <f>IFERROR(INDEX('Detalles movimientos'!M$5:M$1004, MATCH(35, 'Detalles movimientos'!$W$5:$W$1004, 0)), "")</f>
        <v/>
      </c>
      <c r="J44" s="19" t="str">
        <f>IFERROR(INDEX('Detalles movimientos'!N$5:N$1004, MATCH(35, 'Detalles movimientos'!$W$5:$W$1004, 0)), "")</f>
        <v/>
      </c>
      <c r="K44" s="20" t="str">
        <f>IFERROR(INDEX('Detalles movimientos'!O$5:O$1004, MATCH(35, 'Detalles movimientos'!$W$5:$W$1004, 0)), "")</f>
        <v/>
      </c>
      <c r="L44" s="18" t="str">
        <f>IFERROR(INDEX('Detalles movimientos'!P$5:P$1004, MATCH(35, 'Detalles movimientos'!$W$5:$W$1004, 0)), "")</f>
        <v/>
      </c>
      <c r="M44" s="18" t="str">
        <f>IFERROR(INDEX('Detalles movimientos'!S$5:S$1004, MATCH(35, 'Detalles movimientos'!$W$5:$W$1004, 0)), "")</f>
        <v/>
      </c>
    </row>
    <row r="45" spans="2:13">
      <c r="B45" s="17" t="str">
        <f>IFERROR(INDEX('Detalles movimientos'!C$5:C$1004, MATCH(36, 'Detalles movimientos'!$W$5:$W$1004, 0)), "")</f>
        <v/>
      </c>
      <c r="C45" s="18" t="str">
        <f>IFERROR(INDEX('Detalles movimientos'!D$5:D$1004, MATCH(36, 'Detalles movimientos'!$W$5:$W$1004, 0)), "")</f>
        <v/>
      </c>
      <c r="D45" s="19" t="str">
        <f>IFERROR(INDEX('Detalles movimientos'!E$5:E$1004, MATCH(36, 'Detalles movimientos'!$W$5:$W$1004, 0)), "")</f>
        <v/>
      </c>
      <c r="E45" s="19" t="str">
        <f>IFERROR(INDEX('Detalles movimientos'!F$5:F$1004, MATCH(36, 'Detalles movimientos'!$W$5:$W$1004, 0)), "")</f>
        <v/>
      </c>
      <c r="F45" s="18" t="str">
        <f>IFERROR(INDEX('Detalles movimientos'!G$5:G$1004, MATCH(36, 'Detalles movimientos'!$W$5:$W$1004, 0)), "")</f>
        <v/>
      </c>
      <c r="G45" s="20" t="str">
        <f>IFERROR(INDEX('Detalles movimientos'!H$5:H$1004, MATCH(36, 'Detalles movimientos'!$W$5:$W$1004, 0)), "")</f>
        <v/>
      </c>
      <c r="H45" s="21" t="str">
        <f>IFERROR(INDEX('Detalles movimientos'!I$5:I$1004, MATCH(36, 'Detalles movimientos'!$W$5:$W$1004, 0)), "")</f>
        <v/>
      </c>
      <c r="I45" s="20" t="str">
        <f>IFERROR(INDEX('Detalles movimientos'!M$5:M$1004, MATCH(36, 'Detalles movimientos'!$W$5:$W$1004, 0)), "")</f>
        <v/>
      </c>
      <c r="J45" s="19" t="str">
        <f>IFERROR(INDEX('Detalles movimientos'!N$5:N$1004, MATCH(36, 'Detalles movimientos'!$W$5:$W$1004, 0)), "")</f>
        <v/>
      </c>
      <c r="K45" s="20" t="str">
        <f>IFERROR(INDEX('Detalles movimientos'!O$5:O$1004, MATCH(36, 'Detalles movimientos'!$W$5:$W$1004, 0)), "")</f>
        <v/>
      </c>
      <c r="L45" s="18" t="str">
        <f>IFERROR(INDEX('Detalles movimientos'!P$5:P$1004, MATCH(36, 'Detalles movimientos'!$W$5:$W$1004, 0)), "")</f>
        <v/>
      </c>
      <c r="M45" s="18" t="str">
        <f>IFERROR(INDEX('Detalles movimientos'!S$5:S$1004, MATCH(36, 'Detalles movimientos'!$W$5:$W$1004, 0)), "")</f>
        <v/>
      </c>
    </row>
    <row r="46" spans="2:13">
      <c r="B46" s="17" t="str">
        <f>IFERROR(INDEX('Detalles movimientos'!C$5:C$1004, MATCH(37, 'Detalles movimientos'!$W$5:$W$1004, 0)), "")</f>
        <v/>
      </c>
      <c r="C46" s="18" t="str">
        <f>IFERROR(INDEX('Detalles movimientos'!D$5:D$1004, MATCH(37, 'Detalles movimientos'!$W$5:$W$1004, 0)), "")</f>
        <v/>
      </c>
      <c r="D46" s="19" t="str">
        <f>IFERROR(INDEX('Detalles movimientos'!E$5:E$1004, MATCH(37, 'Detalles movimientos'!$W$5:$W$1004, 0)), "")</f>
        <v/>
      </c>
      <c r="E46" s="19" t="str">
        <f>IFERROR(INDEX('Detalles movimientos'!F$5:F$1004, MATCH(37, 'Detalles movimientos'!$W$5:$W$1004, 0)), "")</f>
        <v/>
      </c>
      <c r="F46" s="18" t="str">
        <f>IFERROR(INDEX('Detalles movimientos'!G$5:G$1004, MATCH(37, 'Detalles movimientos'!$W$5:$W$1004, 0)), "")</f>
        <v/>
      </c>
      <c r="G46" s="20" t="str">
        <f>IFERROR(INDEX('Detalles movimientos'!H$5:H$1004, MATCH(37, 'Detalles movimientos'!$W$5:$W$1004, 0)), "")</f>
        <v/>
      </c>
      <c r="H46" s="21" t="str">
        <f>IFERROR(INDEX('Detalles movimientos'!I$5:I$1004, MATCH(37, 'Detalles movimientos'!$W$5:$W$1004, 0)), "")</f>
        <v/>
      </c>
      <c r="I46" s="20" t="str">
        <f>IFERROR(INDEX('Detalles movimientos'!M$5:M$1004, MATCH(37, 'Detalles movimientos'!$W$5:$W$1004, 0)), "")</f>
        <v/>
      </c>
      <c r="J46" s="19" t="str">
        <f>IFERROR(INDEX('Detalles movimientos'!N$5:N$1004, MATCH(37, 'Detalles movimientos'!$W$5:$W$1004, 0)), "")</f>
        <v/>
      </c>
      <c r="K46" s="20" t="str">
        <f>IFERROR(INDEX('Detalles movimientos'!O$5:O$1004, MATCH(37, 'Detalles movimientos'!$W$5:$W$1004, 0)), "")</f>
        <v/>
      </c>
      <c r="L46" s="18" t="str">
        <f>IFERROR(INDEX('Detalles movimientos'!P$5:P$1004, MATCH(37, 'Detalles movimientos'!$W$5:$W$1004, 0)), "")</f>
        <v/>
      </c>
      <c r="M46" s="18" t="str">
        <f>IFERROR(INDEX('Detalles movimientos'!S$5:S$1004, MATCH(37, 'Detalles movimientos'!$W$5:$W$1004, 0)), "")</f>
        <v/>
      </c>
    </row>
    <row r="47" spans="2:13">
      <c r="B47" s="17" t="str">
        <f>IFERROR(INDEX('Detalles movimientos'!C$5:C$1004, MATCH(38, 'Detalles movimientos'!$W$5:$W$1004, 0)), "")</f>
        <v/>
      </c>
      <c r="C47" s="18" t="str">
        <f>IFERROR(INDEX('Detalles movimientos'!D$5:D$1004, MATCH(38, 'Detalles movimientos'!$W$5:$W$1004, 0)), "")</f>
        <v/>
      </c>
      <c r="D47" s="19" t="str">
        <f>IFERROR(INDEX('Detalles movimientos'!E$5:E$1004, MATCH(38, 'Detalles movimientos'!$W$5:$W$1004, 0)), "")</f>
        <v/>
      </c>
      <c r="E47" s="19" t="str">
        <f>IFERROR(INDEX('Detalles movimientos'!F$5:F$1004, MATCH(38, 'Detalles movimientos'!$W$5:$W$1004, 0)), "")</f>
        <v/>
      </c>
      <c r="F47" s="18" t="str">
        <f>IFERROR(INDEX('Detalles movimientos'!G$5:G$1004, MATCH(38, 'Detalles movimientos'!$W$5:$W$1004, 0)), "")</f>
        <v/>
      </c>
      <c r="G47" s="20" t="str">
        <f>IFERROR(INDEX('Detalles movimientos'!H$5:H$1004, MATCH(38, 'Detalles movimientos'!$W$5:$W$1004, 0)), "")</f>
        <v/>
      </c>
      <c r="H47" s="21" t="str">
        <f>IFERROR(INDEX('Detalles movimientos'!I$5:I$1004, MATCH(38, 'Detalles movimientos'!$W$5:$W$1004, 0)), "")</f>
        <v/>
      </c>
      <c r="I47" s="20" t="str">
        <f>IFERROR(INDEX('Detalles movimientos'!M$5:M$1004, MATCH(38, 'Detalles movimientos'!$W$5:$W$1004, 0)), "")</f>
        <v/>
      </c>
      <c r="J47" s="19" t="str">
        <f>IFERROR(INDEX('Detalles movimientos'!N$5:N$1004, MATCH(38, 'Detalles movimientos'!$W$5:$W$1004, 0)), "")</f>
        <v/>
      </c>
      <c r="K47" s="20" t="str">
        <f>IFERROR(INDEX('Detalles movimientos'!O$5:O$1004, MATCH(38, 'Detalles movimientos'!$W$5:$W$1004, 0)), "")</f>
        <v/>
      </c>
      <c r="L47" s="18" t="str">
        <f>IFERROR(INDEX('Detalles movimientos'!P$5:P$1004, MATCH(38, 'Detalles movimientos'!$W$5:$W$1004, 0)), "")</f>
        <v/>
      </c>
      <c r="M47" s="18" t="str">
        <f>IFERROR(INDEX('Detalles movimientos'!S$5:S$1004, MATCH(38, 'Detalles movimientos'!$W$5:$W$1004, 0)), "")</f>
        <v/>
      </c>
    </row>
    <row r="48" spans="2:13">
      <c r="B48" s="17" t="str">
        <f>IFERROR(INDEX('Detalles movimientos'!C$5:C$1004, MATCH(39, 'Detalles movimientos'!$W$5:$W$1004, 0)), "")</f>
        <v/>
      </c>
      <c r="C48" s="18" t="str">
        <f>IFERROR(INDEX('Detalles movimientos'!D$5:D$1004, MATCH(39, 'Detalles movimientos'!$W$5:$W$1004, 0)), "")</f>
        <v/>
      </c>
      <c r="D48" s="19" t="str">
        <f>IFERROR(INDEX('Detalles movimientos'!E$5:E$1004, MATCH(39, 'Detalles movimientos'!$W$5:$W$1004, 0)), "")</f>
        <v/>
      </c>
      <c r="E48" s="19" t="str">
        <f>IFERROR(INDEX('Detalles movimientos'!F$5:F$1004, MATCH(39, 'Detalles movimientos'!$W$5:$W$1004, 0)), "")</f>
        <v/>
      </c>
      <c r="F48" s="18" t="str">
        <f>IFERROR(INDEX('Detalles movimientos'!G$5:G$1004, MATCH(39, 'Detalles movimientos'!$W$5:$W$1004, 0)), "")</f>
        <v/>
      </c>
      <c r="G48" s="20" t="str">
        <f>IFERROR(INDEX('Detalles movimientos'!H$5:H$1004, MATCH(39, 'Detalles movimientos'!$W$5:$W$1004, 0)), "")</f>
        <v/>
      </c>
      <c r="H48" s="21" t="str">
        <f>IFERROR(INDEX('Detalles movimientos'!I$5:I$1004, MATCH(39, 'Detalles movimientos'!$W$5:$W$1004, 0)), "")</f>
        <v/>
      </c>
      <c r="I48" s="20" t="str">
        <f>IFERROR(INDEX('Detalles movimientos'!M$5:M$1004, MATCH(39, 'Detalles movimientos'!$W$5:$W$1004, 0)), "")</f>
        <v/>
      </c>
      <c r="J48" s="19" t="str">
        <f>IFERROR(INDEX('Detalles movimientos'!N$5:N$1004, MATCH(39, 'Detalles movimientos'!$W$5:$W$1004, 0)), "")</f>
        <v/>
      </c>
      <c r="K48" s="20" t="str">
        <f>IFERROR(INDEX('Detalles movimientos'!O$5:O$1004, MATCH(39, 'Detalles movimientos'!$W$5:$W$1004, 0)), "")</f>
        <v/>
      </c>
      <c r="L48" s="18" t="str">
        <f>IFERROR(INDEX('Detalles movimientos'!P$5:P$1004, MATCH(39, 'Detalles movimientos'!$W$5:$W$1004, 0)), "")</f>
        <v/>
      </c>
      <c r="M48" s="18" t="str">
        <f>IFERROR(INDEX('Detalles movimientos'!S$5:S$1004, MATCH(39, 'Detalles movimientos'!$W$5:$W$1004, 0)), "")</f>
        <v/>
      </c>
    </row>
    <row r="49" spans="2:13">
      <c r="B49" s="17" t="str">
        <f>IFERROR(INDEX('Detalles movimientos'!C$5:C$1004, MATCH(40, 'Detalles movimientos'!$W$5:$W$1004, 0)), "")</f>
        <v/>
      </c>
      <c r="C49" s="18" t="str">
        <f>IFERROR(INDEX('Detalles movimientos'!D$5:D$1004, MATCH(40, 'Detalles movimientos'!$W$5:$W$1004, 0)), "")</f>
        <v/>
      </c>
      <c r="D49" s="19" t="str">
        <f>IFERROR(INDEX('Detalles movimientos'!E$5:E$1004, MATCH(40, 'Detalles movimientos'!$W$5:$W$1004, 0)), "")</f>
        <v/>
      </c>
      <c r="E49" s="19" t="str">
        <f>IFERROR(INDEX('Detalles movimientos'!F$5:F$1004, MATCH(40, 'Detalles movimientos'!$W$5:$W$1004, 0)), "")</f>
        <v/>
      </c>
      <c r="F49" s="18" t="str">
        <f>IFERROR(INDEX('Detalles movimientos'!G$5:G$1004, MATCH(40, 'Detalles movimientos'!$W$5:$W$1004, 0)), "")</f>
        <v/>
      </c>
      <c r="G49" s="20" t="str">
        <f>IFERROR(INDEX('Detalles movimientos'!H$5:H$1004, MATCH(40, 'Detalles movimientos'!$W$5:$W$1004, 0)), "")</f>
        <v/>
      </c>
      <c r="H49" s="21" t="str">
        <f>IFERROR(INDEX('Detalles movimientos'!I$5:I$1004, MATCH(40, 'Detalles movimientos'!$W$5:$W$1004, 0)), "")</f>
        <v/>
      </c>
      <c r="I49" s="20" t="str">
        <f>IFERROR(INDEX('Detalles movimientos'!M$5:M$1004, MATCH(40, 'Detalles movimientos'!$W$5:$W$1004, 0)), "")</f>
        <v/>
      </c>
      <c r="J49" s="19" t="str">
        <f>IFERROR(INDEX('Detalles movimientos'!N$5:N$1004, MATCH(40, 'Detalles movimientos'!$W$5:$W$1004, 0)), "")</f>
        <v/>
      </c>
      <c r="K49" s="20" t="str">
        <f>IFERROR(INDEX('Detalles movimientos'!O$5:O$1004, MATCH(40, 'Detalles movimientos'!$W$5:$W$1004, 0)), "")</f>
        <v/>
      </c>
      <c r="L49" s="18" t="str">
        <f>IFERROR(INDEX('Detalles movimientos'!P$5:P$1004, MATCH(40, 'Detalles movimientos'!$W$5:$W$1004, 0)), "")</f>
        <v/>
      </c>
      <c r="M49" s="18" t="str">
        <f>IFERROR(INDEX('Detalles movimientos'!S$5:S$1004, MATCH(40, 'Detalles movimientos'!$W$5:$W$1004, 0)), "")</f>
        <v/>
      </c>
    </row>
    <row r="50" spans="2:13">
      <c r="B50" s="17" t="str">
        <f>IFERROR(INDEX('Detalles movimientos'!C$5:C$1004, MATCH(41, 'Detalles movimientos'!$W$5:$W$1004, 0)), "")</f>
        <v/>
      </c>
      <c r="C50" s="18" t="str">
        <f>IFERROR(INDEX('Detalles movimientos'!D$5:D$1004, MATCH(41, 'Detalles movimientos'!$W$5:$W$1004, 0)), "")</f>
        <v/>
      </c>
      <c r="D50" s="19" t="str">
        <f>IFERROR(INDEX('Detalles movimientos'!E$5:E$1004, MATCH(41, 'Detalles movimientos'!$W$5:$W$1004, 0)), "")</f>
        <v/>
      </c>
      <c r="E50" s="19" t="str">
        <f>IFERROR(INDEX('Detalles movimientos'!F$5:F$1004, MATCH(41, 'Detalles movimientos'!$W$5:$W$1004, 0)), "")</f>
        <v/>
      </c>
      <c r="F50" s="18" t="str">
        <f>IFERROR(INDEX('Detalles movimientos'!G$5:G$1004, MATCH(41, 'Detalles movimientos'!$W$5:$W$1004, 0)), "")</f>
        <v/>
      </c>
      <c r="G50" s="20" t="str">
        <f>IFERROR(INDEX('Detalles movimientos'!H$5:H$1004, MATCH(41, 'Detalles movimientos'!$W$5:$W$1004, 0)), "")</f>
        <v/>
      </c>
      <c r="H50" s="21" t="str">
        <f>IFERROR(INDEX('Detalles movimientos'!I$5:I$1004, MATCH(41, 'Detalles movimientos'!$W$5:$W$1004, 0)), "")</f>
        <v/>
      </c>
      <c r="I50" s="20" t="str">
        <f>IFERROR(INDEX('Detalles movimientos'!M$5:M$1004, MATCH(41, 'Detalles movimientos'!$W$5:$W$1004, 0)), "")</f>
        <v/>
      </c>
      <c r="J50" s="19" t="str">
        <f>IFERROR(INDEX('Detalles movimientos'!N$5:N$1004, MATCH(41, 'Detalles movimientos'!$W$5:$W$1004, 0)), "")</f>
        <v/>
      </c>
      <c r="K50" s="20" t="str">
        <f>IFERROR(INDEX('Detalles movimientos'!O$5:O$1004, MATCH(41, 'Detalles movimientos'!$W$5:$W$1004, 0)), "")</f>
        <v/>
      </c>
      <c r="L50" s="18" t="str">
        <f>IFERROR(INDEX('Detalles movimientos'!P$5:P$1004, MATCH(41, 'Detalles movimientos'!$W$5:$W$1004, 0)), "")</f>
        <v/>
      </c>
      <c r="M50" s="18" t="str">
        <f>IFERROR(INDEX('Detalles movimientos'!S$5:S$1004, MATCH(41, 'Detalles movimientos'!$W$5:$W$1004, 0)), "")</f>
        <v/>
      </c>
    </row>
    <row r="51" spans="2:13">
      <c r="B51" s="17" t="str">
        <f>IFERROR(INDEX('Detalles movimientos'!C$5:C$1004, MATCH(42, 'Detalles movimientos'!$W$5:$W$1004, 0)), "")</f>
        <v/>
      </c>
      <c r="C51" s="18" t="str">
        <f>IFERROR(INDEX('Detalles movimientos'!D$5:D$1004, MATCH(42, 'Detalles movimientos'!$W$5:$W$1004, 0)), "")</f>
        <v/>
      </c>
      <c r="D51" s="19" t="str">
        <f>IFERROR(INDEX('Detalles movimientos'!E$5:E$1004, MATCH(42, 'Detalles movimientos'!$W$5:$W$1004, 0)), "")</f>
        <v/>
      </c>
      <c r="E51" s="19" t="str">
        <f>IFERROR(INDEX('Detalles movimientos'!F$5:F$1004, MATCH(42, 'Detalles movimientos'!$W$5:$W$1004, 0)), "")</f>
        <v/>
      </c>
      <c r="F51" s="18" t="str">
        <f>IFERROR(INDEX('Detalles movimientos'!G$5:G$1004, MATCH(42, 'Detalles movimientos'!$W$5:$W$1004, 0)), "")</f>
        <v/>
      </c>
      <c r="G51" s="20" t="str">
        <f>IFERROR(INDEX('Detalles movimientos'!H$5:H$1004, MATCH(42, 'Detalles movimientos'!$W$5:$W$1004, 0)), "")</f>
        <v/>
      </c>
      <c r="H51" s="21" t="str">
        <f>IFERROR(INDEX('Detalles movimientos'!I$5:I$1004, MATCH(42, 'Detalles movimientos'!$W$5:$W$1004, 0)), "")</f>
        <v/>
      </c>
      <c r="I51" s="20" t="str">
        <f>IFERROR(INDEX('Detalles movimientos'!M$5:M$1004, MATCH(42, 'Detalles movimientos'!$W$5:$W$1004, 0)), "")</f>
        <v/>
      </c>
      <c r="J51" s="19" t="str">
        <f>IFERROR(INDEX('Detalles movimientos'!N$5:N$1004, MATCH(42, 'Detalles movimientos'!$W$5:$W$1004, 0)), "")</f>
        <v/>
      </c>
      <c r="K51" s="20" t="str">
        <f>IFERROR(INDEX('Detalles movimientos'!O$5:O$1004, MATCH(42, 'Detalles movimientos'!$W$5:$W$1004, 0)), "")</f>
        <v/>
      </c>
      <c r="L51" s="18" t="str">
        <f>IFERROR(INDEX('Detalles movimientos'!P$5:P$1004, MATCH(42, 'Detalles movimientos'!$W$5:$W$1004, 0)), "")</f>
        <v/>
      </c>
      <c r="M51" s="18" t="str">
        <f>IFERROR(INDEX('Detalles movimientos'!S$5:S$1004, MATCH(42, 'Detalles movimientos'!$W$5:$W$1004, 0)), "")</f>
        <v/>
      </c>
    </row>
    <row r="52" spans="2:13">
      <c r="B52" s="17" t="str">
        <f>IFERROR(INDEX('Detalles movimientos'!C$5:C$1004, MATCH(43, 'Detalles movimientos'!$W$5:$W$1004, 0)), "")</f>
        <v/>
      </c>
      <c r="C52" s="18" t="str">
        <f>IFERROR(INDEX('Detalles movimientos'!D$5:D$1004, MATCH(43, 'Detalles movimientos'!$W$5:$W$1004, 0)), "")</f>
        <v/>
      </c>
      <c r="D52" s="19" t="str">
        <f>IFERROR(INDEX('Detalles movimientos'!E$5:E$1004, MATCH(43, 'Detalles movimientos'!$W$5:$W$1004, 0)), "")</f>
        <v/>
      </c>
      <c r="E52" s="19" t="str">
        <f>IFERROR(INDEX('Detalles movimientos'!F$5:F$1004, MATCH(43, 'Detalles movimientos'!$W$5:$W$1004, 0)), "")</f>
        <v/>
      </c>
      <c r="F52" s="18" t="str">
        <f>IFERROR(INDEX('Detalles movimientos'!G$5:G$1004, MATCH(43, 'Detalles movimientos'!$W$5:$W$1004, 0)), "")</f>
        <v/>
      </c>
      <c r="G52" s="20" t="str">
        <f>IFERROR(INDEX('Detalles movimientos'!H$5:H$1004, MATCH(43, 'Detalles movimientos'!$W$5:$W$1004, 0)), "")</f>
        <v/>
      </c>
      <c r="H52" s="21" t="str">
        <f>IFERROR(INDEX('Detalles movimientos'!I$5:I$1004, MATCH(43, 'Detalles movimientos'!$W$5:$W$1004, 0)), "")</f>
        <v/>
      </c>
      <c r="I52" s="20" t="str">
        <f>IFERROR(INDEX('Detalles movimientos'!M$5:M$1004, MATCH(43, 'Detalles movimientos'!$W$5:$W$1004, 0)), "")</f>
        <v/>
      </c>
      <c r="J52" s="19" t="str">
        <f>IFERROR(INDEX('Detalles movimientos'!N$5:N$1004, MATCH(43, 'Detalles movimientos'!$W$5:$W$1004, 0)), "")</f>
        <v/>
      </c>
      <c r="K52" s="20" t="str">
        <f>IFERROR(INDEX('Detalles movimientos'!O$5:O$1004, MATCH(43, 'Detalles movimientos'!$W$5:$W$1004, 0)), "")</f>
        <v/>
      </c>
      <c r="L52" s="18" t="str">
        <f>IFERROR(INDEX('Detalles movimientos'!P$5:P$1004, MATCH(43, 'Detalles movimientos'!$W$5:$W$1004, 0)), "")</f>
        <v/>
      </c>
      <c r="M52" s="18" t="str">
        <f>IFERROR(INDEX('Detalles movimientos'!S$5:S$1004, MATCH(43, 'Detalles movimientos'!$W$5:$W$1004, 0)), "")</f>
        <v/>
      </c>
    </row>
    <row r="53" spans="2:13">
      <c r="B53" s="17" t="str">
        <f>IFERROR(INDEX('Detalles movimientos'!C$5:C$1004, MATCH(44, 'Detalles movimientos'!$W$5:$W$1004, 0)), "")</f>
        <v/>
      </c>
      <c r="C53" s="18" t="str">
        <f>IFERROR(INDEX('Detalles movimientos'!D$5:D$1004, MATCH(44, 'Detalles movimientos'!$W$5:$W$1004, 0)), "")</f>
        <v/>
      </c>
      <c r="D53" s="19" t="str">
        <f>IFERROR(INDEX('Detalles movimientos'!E$5:E$1004, MATCH(44, 'Detalles movimientos'!$W$5:$W$1004, 0)), "")</f>
        <v/>
      </c>
      <c r="E53" s="19" t="str">
        <f>IFERROR(INDEX('Detalles movimientos'!F$5:F$1004, MATCH(44, 'Detalles movimientos'!$W$5:$W$1004, 0)), "")</f>
        <v/>
      </c>
      <c r="F53" s="18" t="str">
        <f>IFERROR(INDEX('Detalles movimientos'!G$5:G$1004, MATCH(44, 'Detalles movimientos'!$W$5:$W$1004, 0)), "")</f>
        <v/>
      </c>
      <c r="G53" s="20" t="str">
        <f>IFERROR(INDEX('Detalles movimientos'!H$5:H$1004, MATCH(44, 'Detalles movimientos'!$W$5:$W$1004, 0)), "")</f>
        <v/>
      </c>
      <c r="H53" s="21" t="str">
        <f>IFERROR(INDEX('Detalles movimientos'!I$5:I$1004, MATCH(44, 'Detalles movimientos'!$W$5:$W$1004, 0)), "")</f>
        <v/>
      </c>
      <c r="I53" s="20" t="str">
        <f>IFERROR(INDEX('Detalles movimientos'!M$5:M$1004, MATCH(44, 'Detalles movimientos'!$W$5:$W$1004, 0)), "")</f>
        <v/>
      </c>
      <c r="J53" s="19" t="str">
        <f>IFERROR(INDEX('Detalles movimientos'!N$5:N$1004, MATCH(44, 'Detalles movimientos'!$W$5:$W$1004, 0)), "")</f>
        <v/>
      </c>
      <c r="K53" s="20" t="str">
        <f>IFERROR(INDEX('Detalles movimientos'!O$5:O$1004, MATCH(44, 'Detalles movimientos'!$W$5:$W$1004, 0)), "")</f>
        <v/>
      </c>
      <c r="L53" s="18" t="str">
        <f>IFERROR(INDEX('Detalles movimientos'!P$5:P$1004, MATCH(44, 'Detalles movimientos'!$W$5:$W$1004, 0)), "")</f>
        <v/>
      </c>
      <c r="M53" s="18" t="str">
        <f>IFERROR(INDEX('Detalles movimientos'!S$5:S$1004, MATCH(44, 'Detalles movimientos'!$W$5:$W$1004, 0)), "")</f>
        <v/>
      </c>
    </row>
    <row r="54" spans="2:13">
      <c r="B54" s="17" t="str">
        <f>IFERROR(INDEX('Detalles movimientos'!C$5:C$1004, MATCH(45, 'Detalles movimientos'!$W$5:$W$1004, 0)), "")</f>
        <v/>
      </c>
      <c r="C54" s="18" t="str">
        <f>IFERROR(INDEX('Detalles movimientos'!D$5:D$1004, MATCH(45, 'Detalles movimientos'!$W$5:$W$1004, 0)), "")</f>
        <v/>
      </c>
      <c r="D54" s="19" t="str">
        <f>IFERROR(INDEX('Detalles movimientos'!E$5:E$1004, MATCH(45, 'Detalles movimientos'!$W$5:$W$1004, 0)), "")</f>
        <v/>
      </c>
      <c r="E54" s="19" t="str">
        <f>IFERROR(INDEX('Detalles movimientos'!F$5:F$1004, MATCH(45, 'Detalles movimientos'!$W$5:$W$1004, 0)), "")</f>
        <v/>
      </c>
      <c r="F54" s="18" t="str">
        <f>IFERROR(INDEX('Detalles movimientos'!G$5:G$1004, MATCH(45, 'Detalles movimientos'!$W$5:$W$1004, 0)), "")</f>
        <v/>
      </c>
      <c r="G54" s="20" t="str">
        <f>IFERROR(INDEX('Detalles movimientos'!H$5:H$1004, MATCH(45, 'Detalles movimientos'!$W$5:$W$1004, 0)), "")</f>
        <v/>
      </c>
      <c r="H54" s="21" t="str">
        <f>IFERROR(INDEX('Detalles movimientos'!I$5:I$1004, MATCH(45, 'Detalles movimientos'!$W$5:$W$1004, 0)), "")</f>
        <v/>
      </c>
      <c r="I54" s="20" t="str">
        <f>IFERROR(INDEX('Detalles movimientos'!M$5:M$1004, MATCH(45, 'Detalles movimientos'!$W$5:$W$1004, 0)), "")</f>
        <v/>
      </c>
      <c r="J54" s="19" t="str">
        <f>IFERROR(INDEX('Detalles movimientos'!N$5:N$1004, MATCH(45, 'Detalles movimientos'!$W$5:$W$1004, 0)), "")</f>
        <v/>
      </c>
      <c r="K54" s="20" t="str">
        <f>IFERROR(INDEX('Detalles movimientos'!O$5:O$1004, MATCH(45, 'Detalles movimientos'!$W$5:$W$1004, 0)), "")</f>
        <v/>
      </c>
      <c r="L54" s="18" t="str">
        <f>IFERROR(INDEX('Detalles movimientos'!P$5:P$1004, MATCH(45, 'Detalles movimientos'!$W$5:$W$1004, 0)), "")</f>
        <v/>
      </c>
      <c r="M54" s="18" t="str">
        <f>IFERROR(INDEX('Detalles movimientos'!S$5:S$1004, MATCH(45, 'Detalles movimientos'!$W$5:$W$1004, 0)), "")</f>
        <v/>
      </c>
    </row>
    <row r="55" spans="2:13">
      <c r="B55" s="17" t="str">
        <f>IFERROR(INDEX('Detalles movimientos'!C$5:C$1004, MATCH(46, 'Detalles movimientos'!$W$5:$W$1004, 0)), "")</f>
        <v/>
      </c>
      <c r="C55" s="18" t="str">
        <f>IFERROR(INDEX('Detalles movimientos'!D$5:D$1004, MATCH(46, 'Detalles movimientos'!$W$5:$W$1004, 0)), "")</f>
        <v/>
      </c>
      <c r="D55" s="19" t="str">
        <f>IFERROR(INDEX('Detalles movimientos'!E$5:E$1004, MATCH(46, 'Detalles movimientos'!$W$5:$W$1004, 0)), "")</f>
        <v/>
      </c>
      <c r="E55" s="19" t="str">
        <f>IFERROR(INDEX('Detalles movimientos'!F$5:F$1004, MATCH(46, 'Detalles movimientos'!$W$5:$W$1004, 0)), "")</f>
        <v/>
      </c>
      <c r="F55" s="18" t="str">
        <f>IFERROR(INDEX('Detalles movimientos'!G$5:G$1004, MATCH(46, 'Detalles movimientos'!$W$5:$W$1004, 0)), "")</f>
        <v/>
      </c>
      <c r="G55" s="20" t="str">
        <f>IFERROR(INDEX('Detalles movimientos'!H$5:H$1004, MATCH(46, 'Detalles movimientos'!$W$5:$W$1004, 0)), "")</f>
        <v/>
      </c>
      <c r="H55" s="21" t="str">
        <f>IFERROR(INDEX('Detalles movimientos'!I$5:I$1004, MATCH(46, 'Detalles movimientos'!$W$5:$W$1004, 0)), "")</f>
        <v/>
      </c>
      <c r="I55" s="20" t="str">
        <f>IFERROR(INDEX('Detalles movimientos'!M$5:M$1004, MATCH(46, 'Detalles movimientos'!$W$5:$W$1004, 0)), "")</f>
        <v/>
      </c>
      <c r="J55" s="19" t="str">
        <f>IFERROR(INDEX('Detalles movimientos'!N$5:N$1004, MATCH(46, 'Detalles movimientos'!$W$5:$W$1004, 0)), "")</f>
        <v/>
      </c>
      <c r="K55" s="20" t="str">
        <f>IFERROR(INDEX('Detalles movimientos'!O$5:O$1004, MATCH(46, 'Detalles movimientos'!$W$5:$W$1004, 0)), "")</f>
        <v/>
      </c>
      <c r="L55" s="18" t="str">
        <f>IFERROR(INDEX('Detalles movimientos'!P$5:P$1004, MATCH(46, 'Detalles movimientos'!$W$5:$W$1004, 0)), "")</f>
        <v/>
      </c>
      <c r="M55" s="18" t="str">
        <f>IFERROR(INDEX('Detalles movimientos'!S$5:S$1004, MATCH(46, 'Detalles movimientos'!$W$5:$W$1004, 0)), "")</f>
        <v/>
      </c>
    </row>
    <row r="56" spans="2:13">
      <c r="B56" s="17" t="str">
        <f>IFERROR(INDEX('Detalles movimientos'!C$5:C$1004, MATCH(47, 'Detalles movimientos'!$W$5:$W$1004, 0)), "")</f>
        <v/>
      </c>
      <c r="C56" s="18" t="str">
        <f>IFERROR(INDEX('Detalles movimientos'!D$5:D$1004, MATCH(47, 'Detalles movimientos'!$W$5:$W$1004, 0)), "")</f>
        <v/>
      </c>
      <c r="D56" s="19" t="str">
        <f>IFERROR(INDEX('Detalles movimientos'!E$5:E$1004, MATCH(47, 'Detalles movimientos'!$W$5:$W$1004, 0)), "")</f>
        <v/>
      </c>
      <c r="E56" s="19" t="str">
        <f>IFERROR(INDEX('Detalles movimientos'!F$5:F$1004, MATCH(47, 'Detalles movimientos'!$W$5:$W$1004, 0)), "")</f>
        <v/>
      </c>
      <c r="F56" s="18" t="str">
        <f>IFERROR(INDEX('Detalles movimientos'!G$5:G$1004, MATCH(47, 'Detalles movimientos'!$W$5:$W$1004, 0)), "")</f>
        <v/>
      </c>
      <c r="G56" s="20" t="str">
        <f>IFERROR(INDEX('Detalles movimientos'!H$5:H$1004, MATCH(47, 'Detalles movimientos'!$W$5:$W$1004, 0)), "")</f>
        <v/>
      </c>
      <c r="H56" s="21" t="str">
        <f>IFERROR(INDEX('Detalles movimientos'!I$5:I$1004, MATCH(47, 'Detalles movimientos'!$W$5:$W$1004, 0)), "")</f>
        <v/>
      </c>
      <c r="I56" s="20" t="str">
        <f>IFERROR(INDEX('Detalles movimientos'!M$5:M$1004, MATCH(47, 'Detalles movimientos'!$W$5:$W$1004, 0)), "")</f>
        <v/>
      </c>
      <c r="J56" s="19" t="str">
        <f>IFERROR(INDEX('Detalles movimientos'!N$5:N$1004, MATCH(47, 'Detalles movimientos'!$W$5:$W$1004, 0)), "")</f>
        <v/>
      </c>
      <c r="K56" s="20" t="str">
        <f>IFERROR(INDEX('Detalles movimientos'!O$5:O$1004, MATCH(47, 'Detalles movimientos'!$W$5:$W$1004, 0)), "")</f>
        <v/>
      </c>
      <c r="L56" s="18" t="str">
        <f>IFERROR(INDEX('Detalles movimientos'!P$5:P$1004, MATCH(47, 'Detalles movimientos'!$W$5:$W$1004, 0)), "")</f>
        <v/>
      </c>
      <c r="M56" s="18" t="str">
        <f>IFERROR(INDEX('Detalles movimientos'!S$5:S$1004, MATCH(47, 'Detalles movimientos'!$W$5:$W$1004, 0)), "")</f>
        <v/>
      </c>
    </row>
    <row r="57" spans="2:13">
      <c r="B57" s="17" t="str">
        <f>IFERROR(INDEX('Detalles movimientos'!C$5:C$1004, MATCH(48, 'Detalles movimientos'!$W$5:$W$1004, 0)), "")</f>
        <v/>
      </c>
      <c r="C57" s="18" t="str">
        <f>IFERROR(INDEX('Detalles movimientos'!D$5:D$1004, MATCH(48, 'Detalles movimientos'!$W$5:$W$1004, 0)), "")</f>
        <v/>
      </c>
      <c r="D57" s="19" t="str">
        <f>IFERROR(INDEX('Detalles movimientos'!E$5:E$1004, MATCH(48, 'Detalles movimientos'!$W$5:$W$1004, 0)), "")</f>
        <v/>
      </c>
      <c r="E57" s="19" t="str">
        <f>IFERROR(INDEX('Detalles movimientos'!F$5:F$1004, MATCH(48, 'Detalles movimientos'!$W$5:$W$1004, 0)), "")</f>
        <v/>
      </c>
      <c r="F57" s="18" t="str">
        <f>IFERROR(INDEX('Detalles movimientos'!G$5:G$1004, MATCH(48, 'Detalles movimientos'!$W$5:$W$1004, 0)), "")</f>
        <v/>
      </c>
      <c r="G57" s="20" t="str">
        <f>IFERROR(INDEX('Detalles movimientos'!H$5:H$1004, MATCH(48, 'Detalles movimientos'!$W$5:$W$1004, 0)), "")</f>
        <v/>
      </c>
      <c r="H57" s="21" t="str">
        <f>IFERROR(INDEX('Detalles movimientos'!I$5:I$1004, MATCH(48, 'Detalles movimientos'!$W$5:$W$1004, 0)), "")</f>
        <v/>
      </c>
      <c r="I57" s="20" t="str">
        <f>IFERROR(INDEX('Detalles movimientos'!M$5:M$1004, MATCH(48, 'Detalles movimientos'!$W$5:$W$1004, 0)), "")</f>
        <v/>
      </c>
      <c r="J57" s="19" t="str">
        <f>IFERROR(INDEX('Detalles movimientos'!N$5:N$1004, MATCH(48, 'Detalles movimientos'!$W$5:$W$1004, 0)), "")</f>
        <v/>
      </c>
      <c r="K57" s="20" t="str">
        <f>IFERROR(INDEX('Detalles movimientos'!O$5:O$1004, MATCH(48, 'Detalles movimientos'!$W$5:$W$1004, 0)), "")</f>
        <v/>
      </c>
      <c r="L57" s="18" t="str">
        <f>IFERROR(INDEX('Detalles movimientos'!P$5:P$1004, MATCH(48, 'Detalles movimientos'!$W$5:$W$1004, 0)), "")</f>
        <v/>
      </c>
      <c r="M57" s="18" t="str">
        <f>IFERROR(INDEX('Detalles movimientos'!S$5:S$1004, MATCH(48, 'Detalles movimientos'!$W$5:$W$1004, 0)), "")</f>
        <v/>
      </c>
    </row>
    <row r="58" spans="2:13">
      <c r="B58" s="17" t="str">
        <f>IFERROR(INDEX('Detalles movimientos'!C$5:C$1004, MATCH(49, 'Detalles movimientos'!$W$5:$W$1004, 0)), "")</f>
        <v/>
      </c>
      <c r="C58" s="18" t="str">
        <f>IFERROR(INDEX('Detalles movimientos'!D$5:D$1004, MATCH(49, 'Detalles movimientos'!$W$5:$W$1004, 0)), "")</f>
        <v/>
      </c>
      <c r="D58" s="19" t="str">
        <f>IFERROR(INDEX('Detalles movimientos'!E$5:E$1004, MATCH(49, 'Detalles movimientos'!$W$5:$W$1004, 0)), "")</f>
        <v/>
      </c>
      <c r="E58" s="19" t="str">
        <f>IFERROR(INDEX('Detalles movimientos'!F$5:F$1004, MATCH(49, 'Detalles movimientos'!$W$5:$W$1004, 0)), "")</f>
        <v/>
      </c>
      <c r="F58" s="18" t="str">
        <f>IFERROR(INDEX('Detalles movimientos'!G$5:G$1004, MATCH(49, 'Detalles movimientos'!$W$5:$W$1004, 0)), "")</f>
        <v/>
      </c>
      <c r="G58" s="20" t="str">
        <f>IFERROR(INDEX('Detalles movimientos'!H$5:H$1004, MATCH(49, 'Detalles movimientos'!$W$5:$W$1004, 0)), "")</f>
        <v/>
      </c>
      <c r="H58" s="21" t="str">
        <f>IFERROR(INDEX('Detalles movimientos'!I$5:I$1004, MATCH(49, 'Detalles movimientos'!$W$5:$W$1004, 0)), "")</f>
        <v/>
      </c>
      <c r="I58" s="20" t="str">
        <f>IFERROR(INDEX('Detalles movimientos'!M$5:M$1004, MATCH(49, 'Detalles movimientos'!$W$5:$W$1004, 0)), "")</f>
        <v/>
      </c>
      <c r="J58" s="19" t="str">
        <f>IFERROR(INDEX('Detalles movimientos'!N$5:N$1004, MATCH(49, 'Detalles movimientos'!$W$5:$W$1004, 0)), "")</f>
        <v/>
      </c>
      <c r="K58" s="20" t="str">
        <f>IFERROR(INDEX('Detalles movimientos'!O$5:O$1004, MATCH(49, 'Detalles movimientos'!$W$5:$W$1004, 0)), "")</f>
        <v/>
      </c>
      <c r="L58" s="18" t="str">
        <f>IFERROR(INDEX('Detalles movimientos'!P$5:P$1004, MATCH(49, 'Detalles movimientos'!$W$5:$W$1004, 0)), "")</f>
        <v/>
      </c>
      <c r="M58" s="18" t="str">
        <f>IFERROR(INDEX('Detalles movimientos'!S$5:S$1004, MATCH(49, 'Detalles movimientos'!$W$5:$W$1004, 0)), "")</f>
        <v/>
      </c>
    </row>
    <row r="59" spans="2:13">
      <c r="B59" s="17" t="str">
        <f>IFERROR(INDEX('Detalles movimientos'!C$5:C$1004, MATCH(50, 'Detalles movimientos'!$W$5:$W$1004, 0)), "")</f>
        <v/>
      </c>
      <c r="C59" s="18" t="str">
        <f>IFERROR(INDEX('Detalles movimientos'!D$5:D$1004, MATCH(50, 'Detalles movimientos'!$W$5:$W$1004, 0)), "")</f>
        <v/>
      </c>
      <c r="D59" s="19" t="str">
        <f>IFERROR(INDEX('Detalles movimientos'!E$5:E$1004, MATCH(50, 'Detalles movimientos'!$W$5:$W$1004, 0)), "")</f>
        <v/>
      </c>
      <c r="E59" s="19" t="str">
        <f>IFERROR(INDEX('Detalles movimientos'!F$5:F$1004, MATCH(50, 'Detalles movimientos'!$W$5:$W$1004, 0)), "")</f>
        <v/>
      </c>
      <c r="F59" s="18" t="str">
        <f>IFERROR(INDEX('Detalles movimientos'!G$5:G$1004, MATCH(50, 'Detalles movimientos'!$W$5:$W$1004, 0)), "")</f>
        <v/>
      </c>
      <c r="G59" s="20" t="str">
        <f>IFERROR(INDEX('Detalles movimientos'!H$5:H$1004, MATCH(50, 'Detalles movimientos'!$W$5:$W$1004, 0)), "")</f>
        <v/>
      </c>
      <c r="H59" s="21" t="str">
        <f>IFERROR(INDEX('Detalles movimientos'!I$5:I$1004, MATCH(50, 'Detalles movimientos'!$W$5:$W$1004, 0)), "")</f>
        <v/>
      </c>
      <c r="I59" s="20" t="str">
        <f>IFERROR(INDEX('Detalles movimientos'!M$5:M$1004, MATCH(50, 'Detalles movimientos'!$W$5:$W$1004, 0)), "")</f>
        <v/>
      </c>
      <c r="J59" s="19" t="str">
        <f>IFERROR(INDEX('Detalles movimientos'!N$5:N$1004, MATCH(50, 'Detalles movimientos'!$W$5:$W$1004, 0)), "")</f>
        <v/>
      </c>
      <c r="K59" s="20" t="str">
        <f>IFERROR(INDEX('Detalles movimientos'!O$5:O$1004, MATCH(50, 'Detalles movimientos'!$W$5:$W$1004, 0)), "")</f>
        <v/>
      </c>
      <c r="L59" s="18" t="str">
        <f>IFERROR(INDEX('Detalles movimientos'!P$5:P$1004, MATCH(50, 'Detalles movimientos'!$W$5:$W$1004, 0)), "")</f>
        <v/>
      </c>
      <c r="M59" s="18" t="str">
        <f>IFERROR(INDEX('Detalles movimientos'!S$5:S$1004, MATCH(50, 'Detalles movimientos'!$W$5:$W$1004, 0)), "")</f>
        <v/>
      </c>
    </row>
    <row r="60" spans="2:13">
      <c r="B60" s="17" t="str">
        <f>IFERROR(INDEX('Detalles movimientos'!C$5:C$1004, MATCH(51, 'Detalles movimientos'!$W$5:$W$1004, 0)), "")</f>
        <v/>
      </c>
      <c r="C60" s="18" t="str">
        <f>IFERROR(INDEX('Detalles movimientos'!D$5:D$1004, MATCH(51, 'Detalles movimientos'!$W$5:$W$1004, 0)), "")</f>
        <v/>
      </c>
      <c r="D60" s="19" t="str">
        <f>IFERROR(INDEX('Detalles movimientos'!E$5:E$1004, MATCH(51, 'Detalles movimientos'!$W$5:$W$1004, 0)), "")</f>
        <v/>
      </c>
      <c r="E60" s="19" t="str">
        <f>IFERROR(INDEX('Detalles movimientos'!F$5:F$1004, MATCH(51, 'Detalles movimientos'!$W$5:$W$1004, 0)), "")</f>
        <v/>
      </c>
      <c r="F60" s="18" t="str">
        <f>IFERROR(INDEX('Detalles movimientos'!G$5:G$1004, MATCH(51, 'Detalles movimientos'!$W$5:$W$1004, 0)), "")</f>
        <v/>
      </c>
      <c r="G60" s="20" t="str">
        <f>IFERROR(INDEX('Detalles movimientos'!H$5:H$1004, MATCH(51, 'Detalles movimientos'!$W$5:$W$1004, 0)), "")</f>
        <v/>
      </c>
      <c r="H60" s="21" t="str">
        <f>IFERROR(INDEX('Detalles movimientos'!I$5:I$1004, MATCH(51, 'Detalles movimientos'!$W$5:$W$1004, 0)), "")</f>
        <v/>
      </c>
      <c r="I60" s="20" t="str">
        <f>IFERROR(INDEX('Detalles movimientos'!M$5:M$1004, MATCH(51, 'Detalles movimientos'!$W$5:$W$1004, 0)), "")</f>
        <v/>
      </c>
      <c r="J60" s="19" t="str">
        <f>IFERROR(INDEX('Detalles movimientos'!N$5:N$1004, MATCH(51, 'Detalles movimientos'!$W$5:$W$1004, 0)), "")</f>
        <v/>
      </c>
      <c r="K60" s="20" t="str">
        <f>IFERROR(INDEX('Detalles movimientos'!O$5:O$1004, MATCH(51, 'Detalles movimientos'!$W$5:$W$1004, 0)), "")</f>
        <v/>
      </c>
      <c r="L60" s="18" t="str">
        <f>IFERROR(INDEX('Detalles movimientos'!P$5:P$1004, MATCH(51, 'Detalles movimientos'!$W$5:$W$1004, 0)), "")</f>
        <v/>
      </c>
      <c r="M60" s="18" t="str">
        <f>IFERROR(INDEX('Detalles movimientos'!S$5:S$1004, MATCH(51, 'Detalles movimientos'!$W$5:$W$1004, 0)), "")</f>
        <v/>
      </c>
    </row>
    <row r="61" spans="2:13">
      <c r="B61" s="17" t="str">
        <f>IFERROR(INDEX('Detalles movimientos'!C$5:C$1004, MATCH(52, 'Detalles movimientos'!$W$5:$W$1004, 0)), "")</f>
        <v/>
      </c>
      <c r="C61" s="18" t="str">
        <f>IFERROR(INDEX('Detalles movimientos'!D$5:D$1004, MATCH(52, 'Detalles movimientos'!$W$5:$W$1004, 0)), "")</f>
        <v/>
      </c>
      <c r="D61" s="19" t="str">
        <f>IFERROR(INDEX('Detalles movimientos'!E$5:E$1004, MATCH(52, 'Detalles movimientos'!$W$5:$W$1004, 0)), "")</f>
        <v/>
      </c>
      <c r="E61" s="19" t="str">
        <f>IFERROR(INDEX('Detalles movimientos'!F$5:F$1004, MATCH(52, 'Detalles movimientos'!$W$5:$W$1004, 0)), "")</f>
        <v/>
      </c>
      <c r="F61" s="18" t="str">
        <f>IFERROR(INDEX('Detalles movimientos'!G$5:G$1004, MATCH(52, 'Detalles movimientos'!$W$5:$W$1004, 0)), "")</f>
        <v/>
      </c>
      <c r="G61" s="20" t="str">
        <f>IFERROR(INDEX('Detalles movimientos'!H$5:H$1004, MATCH(52, 'Detalles movimientos'!$W$5:$W$1004, 0)), "")</f>
        <v/>
      </c>
      <c r="H61" s="21" t="str">
        <f>IFERROR(INDEX('Detalles movimientos'!I$5:I$1004, MATCH(52, 'Detalles movimientos'!$W$5:$W$1004, 0)), "")</f>
        <v/>
      </c>
      <c r="I61" s="20" t="str">
        <f>IFERROR(INDEX('Detalles movimientos'!M$5:M$1004, MATCH(52, 'Detalles movimientos'!$W$5:$W$1004, 0)), "")</f>
        <v/>
      </c>
      <c r="J61" s="19" t="str">
        <f>IFERROR(INDEX('Detalles movimientos'!N$5:N$1004, MATCH(52, 'Detalles movimientos'!$W$5:$W$1004, 0)), "")</f>
        <v/>
      </c>
      <c r="K61" s="20" t="str">
        <f>IFERROR(INDEX('Detalles movimientos'!O$5:O$1004, MATCH(52, 'Detalles movimientos'!$W$5:$W$1004, 0)), "")</f>
        <v/>
      </c>
      <c r="L61" s="18" t="str">
        <f>IFERROR(INDEX('Detalles movimientos'!P$5:P$1004, MATCH(52, 'Detalles movimientos'!$W$5:$W$1004, 0)), "")</f>
        <v/>
      </c>
      <c r="M61" s="18" t="str">
        <f>IFERROR(INDEX('Detalles movimientos'!S$5:S$1004, MATCH(52, 'Detalles movimientos'!$W$5:$W$1004, 0)), "")</f>
        <v/>
      </c>
    </row>
    <row r="62" spans="2:13">
      <c r="B62" s="17" t="str">
        <f>IFERROR(INDEX('Detalles movimientos'!C$5:C$1004, MATCH(53, 'Detalles movimientos'!$W$5:$W$1004, 0)), "")</f>
        <v/>
      </c>
      <c r="C62" s="18" t="str">
        <f>IFERROR(INDEX('Detalles movimientos'!D$5:D$1004, MATCH(53, 'Detalles movimientos'!$W$5:$W$1004, 0)), "")</f>
        <v/>
      </c>
      <c r="D62" s="19" t="str">
        <f>IFERROR(INDEX('Detalles movimientos'!E$5:E$1004, MATCH(53, 'Detalles movimientos'!$W$5:$W$1004, 0)), "")</f>
        <v/>
      </c>
      <c r="E62" s="19" t="str">
        <f>IFERROR(INDEX('Detalles movimientos'!F$5:F$1004, MATCH(53, 'Detalles movimientos'!$W$5:$W$1004, 0)), "")</f>
        <v/>
      </c>
      <c r="F62" s="18" t="str">
        <f>IFERROR(INDEX('Detalles movimientos'!G$5:G$1004, MATCH(53, 'Detalles movimientos'!$W$5:$W$1004, 0)), "")</f>
        <v/>
      </c>
      <c r="G62" s="20" t="str">
        <f>IFERROR(INDEX('Detalles movimientos'!H$5:H$1004, MATCH(53, 'Detalles movimientos'!$W$5:$W$1004, 0)), "")</f>
        <v/>
      </c>
      <c r="H62" s="21" t="str">
        <f>IFERROR(INDEX('Detalles movimientos'!I$5:I$1004, MATCH(53, 'Detalles movimientos'!$W$5:$W$1004, 0)), "")</f>
        <v/>
      </c>
      <c r="I62" s="20" t="str">
        <f>IFERROR(INDEX('Detalles movimientos'!M$5:M$1004, MATCH(53, 'Detalles movimientos'!$W$5:$W$1004, 0)), "")</f>
        <v/>
      </c>
      <c r="J62" s="19" t="str">
        <f>IFERROR(INDEX('Detalles movimientos'!N$5:N$1004, MATCH(53, 'Detalles movimientos'!$W$5:$W$1004, 0)), "")</f>
        <v/>
      </c>
      <c r="K62" s="20" t="str">
        <f>IFERROR(INDEX('Detalles movimientos'!O$5:O$1004, MATCH(53, 'Detalles movimientos'!$W$5:$W$1004, 0)), "")</f>
        <v/>
      </c>
      <c r="L62" s="18" t="str">
        <f>IFERROR(INDEX('Detalles movimientos'!P$5:P$1004, MATCH(53, 'Detalles movimientos'!$W$5:$W$1004, 0)), "")</f>
        <v/>
      </c>
      <c r="M62" s="18" t="str">
        <f>IFERROR(INDEX('Detalles movimientos'!S$5:S$1004, MATCH(53, 'Detalles movimientos'!$W$5:$W$1004, 0)), "")</f>
        <v/>
      </c>
    </row>
    <row r="63" spans="2:13">
      <c r="B63" s="17" t="str">
        <f>IFERROR(INDEX('Detalles movimientos'!C$5:C$1004, MATCH(54, 'Detalles movimientos'!$W$5:$W$1004, 0)), "")</f>
        <v/>
      </c>
      <c r="C63" s="18" t="str">
        <f>IFERROR(INDEX('Detalles movimientos'!D$5:D$1004, MATCH(54, 'Detalles movimientos'!$W$5:$W$1004, 0)), "")</f>
        <v/>
      </c>
      <c r="D63" s="19" t="str">
        <f>IFERROR(INDEX('Detalles movimientos'!E$5:E$1004, MATCH(54, 'Detalles movimientos'!$W$5:$W$1004, 0)), "")</f>
        <v/>
      </c>
      <c r="E63" s="19" t="str">
        <f>IFERROR(INDEX('Detalles movimientos'!F$5:F$1004, MATCH(54, 'Detalles movimientos'!$W$5:$W$1004, 0)), "")</f>
        <v/>
      </c>
      <c r="F63" s="18" t="str">
        <f>IFERROR(INDEX('Detalles movimientos'!G$5:G$1004, MATCH(54, 'Detalles movimientos'!$W$5:$W$1004, 0)), "")</f>
        <v/>
      </c>
      <c r="G63" s="20" t="str">
        <f>IFERROR(INDEX('Detalles movimientos'!H$5:H$1004, MATCH(54, 'Detalles movimientos'!$W$5:$W$1004, 0)), "")</f>
        <v/>
      </c>
      <c r="H63" s="21" t="str">
        <f>IFERROR(INDEX('Detalles movimientos'!I$5:I$1004, MATCH(54, 'Detalles movimientos'!$W$5:$W$1004, 0)), "")</f>
        <v/>
      </c>
      <c r="I63" s="20" t="str">
        <f>IFERROR(INDEX('Detalles movimientos'!M$5:M$1004, MATCH(54, 'Detalles movimientos'!$W$5:$W$1004, 0)), "")</f>
        <v/>
      </c>
      <c r="J63" s="19" t="str">
        <f>IFERROR(INDEX('Detalles movimientos'!N$5:N$1004, MATCH(54, 'Detalles movimientos'!$W$5:$W$1004, 0)), "")</f>
        <v/>
      </c>
      <c r="K63" s="20" t="str">
        <f>IFERROR(INDEX('Detalles movimientos'!O$5:O$1004, MATCH(54, 'Detalles movimientos'!$W$5:$W$1004, 0)), "")</f>
        <v/>
      </c>
      <c r="L63" s="18" t="str">
        <f>IFERROR(INDEX('Detalles movimientos'!P$5:P$1004, MATCH(54, 'Detalles movimientos'!$W$5:$W$1004, 0)), "")</f>
        <v/>
      </c>
      <c r="M63" s="18" t="str">
        <f>IFERROR(INDEX('Detalles movimientos'!S$5:S$1004, MATCH(54, 'Detalles movimientos'!$W$5:$W$1004, 0)), "")</f>
        <v/>
      </c>
    </row>
    <row r="64" spans="2:13">
      <c r="B64" s="17" t="str">
        <f>IFERROR(INDEX('Detalles movimientos'!C$5:C$1004, MATCH(55, 'Detalles movimientos'!$W$5:$W$1004, 0)), "")</f>
        <v/>
      </c>
      <c r="C64" s="18" t="str">
        <f>IFERROR(INDEX('Detalles movimientos'!D$5:D$1004, MATCH(55, 'Detalles movimientos'!$W$5:$W$1004, 0)), "")</f>
        <v/>
      </c>
      <c r="D64" s="19" t="str">
        <f>IFERROR(INDEX('Detalles movimientos'!E$5:E$1004, MATCH(55, 'Detalles movimientos'!$W$5:$W$1004, 0)), "")</f>
        <v/>
      </c>
      <c r="E64" s="19" t="str">
        <f>IFERROR(INDEX('Detalles movimientos'!F$5:F$1004, MATCH(55, 'Detalles movimientos'!$W$5:$W$1004, 0)), "")</f>
        <v/>
      </c>
      <c r="F64" s="18" t="str">
        <f>IFERROR(INDEX('Detalles movimientos'!G$5:G$1004, MATCH(55, 'Detalles movimientos'!$W$5:$W$1004, 0)), "")</f>
        <v/>
      </c>
      <c r="G64" s="20" t="str">
        <f>IFERROR(INDEX('Detalles movimientos'!H$5:H$1004, MATCH(55, 'Detalles movimientos'!$W$5:$W$1004, 0)), "")</f>
        <v/>
      </c>
      <c r="H64" s="21" t="str">
        <f>IFERROR(INDEX('Detalles movimientos'!I$5:I$1004, MATCH(55, 'Detalles movimientos'!$W$5:$W$1004, 0)), "")</f>
        <v/>
      </c>
      <c r="I64" s="20" t="str">
        <f>IFERROR(INDEX('Detalles movimientos'!M$5:M$1004, MATCH(55, 'Detalles movimientos'!$W$5:$W$1004, 0)), "")</f>
        <v/>
      </c>
      <c r="J64" s="19" t="str">
        <f>IFERROR(INDEX('Detalles movimientos'!N$5:N$1004, MATCH(55, 'Detalles movimientos'!$W$5:$W$1004, 0)), "")</f>
        <v/>
      </c>
      <c r="K64" s="20" t="str">
        <f>IFERROR(INDEX('Detalles movimientos'!O$5:O$1004, MATCH(55, 'Detalles movimientos'!$W$5:$W$1004, 0)), "")</f>
        <v/>
      </c>
      <c r="L64" s="18" t="str">
        <f>IFERROR(INDEX('Detalles movimientos'!P$5:P$1004, MATCH(55, 'Detalles movimientos'!$W$5:$W$1004, 0)), "")</f>
        <v/>
      </c>
      <c r="M64" s="18" t="str">
        <f>IFERROR(INDEX('Detalles movimientos'!S$5:S$1004, MATCH(55, 'Detalles movimientos'!$W$5:$W$1004, 0)), "")</f>
        <v/>
      </c>
    </row>
    <row r="65" spans="2:13">
      <c r="B65" s="17" t="str">
        <f>IFERROR(INDEX('Detalles movimientos'!C$5:C$1004, MATCH(56, 'Detalles movimientos'!$W$5:$W$1004, 0)), "")</f>
        <v/>
      </c>
      <c r="C65" s="18" t="str">
        <f>IFERROR(INDEX('Detalles movimientos'!D$5:D$1004, MATCH(56, 'Detalles movimientos'!$W$5:$W$1004, 0)), "")</f>
        <v/>
      </c>
      <c r="D65" s="19" t="str">
        <f>IFERROR(INDEX('Detalles movimientos'!E$5:E$1004, MATCH(56, 'Detalles movimientos'!$W$5:$W$1004, 0)), "")</f>
        <v/>
      </c>
      <c r="E65" s="19" t="str">
        <f>IFERROR(INDEX('Detalles movimientos'!F$5:F$1004, MATCH(56, 'Detalles movimientos'!$W$5:$W$1004, 0)), "")</f>
        <v/>
      </c>
      <c r="F65" s="18" t="str">
        <f>IFERROR(INDEX('Detalles movimientos'!G$5:G$1004, MATCH(56, 'Detalles movimientos'!$W$5:$W$1004, 0)), "")</f>
        <v/>
      </c>
      <c r="G65" s="20" t="str">
        <f>IFERROR(INDEX('Detalles movimientos'!H$5:H$1004, MATCH(56, 'Detalles movimientos'!$W$5:$W$1004, 0)), "")</f>
        <v/>
      </c>
      <c r="H65" s="21" t="str">
        <f>IFERROR(INDEX('Detalles movimientos'!I$5:I$1004, MATCH(56, 'Detalles movimientos'!$W$5:$W$1004, 0)), "")</f>
        <v/>
      </c>
      <c r="I65" s="20" t="str">
        <f>IFERROR(INDEX('Detalles movimientos'!M$5:M$1004, MATCH(56, 'Detalles movimientos'!$W$5:$W$1004, 0)), "")</f>
        <v/>
      </c>
      <c r="J65" s="19" t="str">
        <f>IFERROR(INDEX('Detalles movimientos'!N$5:N$1004, MATCH(56, 'Detalles movimientos'!$W$5:$W$1004, 0)), "")</f>
        <v/>
      </c>
      <c r="K65" s="20" t="str">
        <f>IFERROR(INDEX('Detalles movimientos'!O$5:O$1004, MATCH(56, 'Detalles movimientos'!$W$5:$W$1004, 0)), "")</f>
        <v/>
      </c>
      <c r="L65" s="18" t="str">
        <f>IFERROR(INDEX('Detalles movimientos'!P$5:P$1004, MATCH(56, 'Detalles movimientos'!$W$5:$W$1004, 0)), "")</f>
        <v/>
      </c>
      <c r="M65" s="18" t="str">
        <f>IFERROR(INDEX('Detalles movimientos'!S$5:S$1004, MATCH(56, 'Detalles movimientos'!$W$5:$W$1004, 0)), "")</f>
        <v/>
      </c>
    </row>
    <row r="66" spans="2:13">
      <c r="B66" s="17" t="str">
        <f>IFERROR(INDEX('Detalles movimientos'!C$5:C$1004, MATCH(57, 'Detalles movimientos'!$W$5:$W$1004, 0)), "")</f>
        <v/>
      </c>
      <c r="C66" s="18" t="str">
        <f>IFERROR(INDEX('Detalles movimientos'!D$5:D$1004, MATCH(57, 'Detalles movimientos'!$W$5:$W$1004, 0)), "")</f>
        <v/>
      </c>
      <c r="D66" s="19" t="str">
        <f>IFERROR(INDEX('Detalles movimientos'!E$5:E$1004, MATCH(57, 'Detalles movimientos'!$W$5:$W$1004, 0)), "")</f>
        <v/>
      </c>
      <c r="E66" s="19" t="str">
        <f>IFERROR(INDEX('Detalles movimientos'!F$5:F$1004, MATCH(57, 'Detalles movimientos'!$W$5:$W$1004, 0)), "")</f>
        <v/>
      </c>
      <c r="F66" s="18" t="str">
        <f>IFERROR(INDEX('Detalles movimientos'!G$5:G$1004, MATCH(57, 'Detalles movimientos'!$W$5:$W$1004, 0)), "")</f>
        <v/>
      </c>
      <c r="G66" s="20" t="str">
        <f>IFERROR(INDEX('Detalles movimientos'!H$5:H$1004, MATCH(57, 'Detalles movimientos'!$W$5:$W$1004, 0)), "")</f>
        <v/>
      </c>
      <c r="H66" s="21" t="str">
        <f>IFERROR(INDEX('Detalles movimientos'!I$5:I$1004, MATCH(57, 'Detalles movimientos'!$W$5:$W$1004, 0)), "")</f>
        <v/>
      </c>
      <c r="I66" s="20" t="str">
        <f>IFERROR(INDEX('Detalles movimientos'!M$5:M$1004, MATCH(57, 'Detalles movimientos'!$W$5:$W$1004, 0)), "")</f>
        <v/>
      </c>
      <c r="J66" s="19" t="str">
        <f>IFERROR(INDEX('Detalles movimientos'!N$5:N$1004, MATCH(57, 'Detalles movimientos'!$W$5:$W$1004, 0)), "")</f>
        <v/>
      </c>
      <c r="K66" s="20" t="str">
        <f>IFERROR(INDEX('Detalles movimientos'!O$5:O$1004, MATCH(57, 'Detalles movimientos'!$W$5:$W$1004, 0)), "")</f>
        <v/>
      </c>
      <c r="L66" s="18" t="str">
        <f>IFERROR(INDEX('Detalles movimientos'!P$5:P$1004, MATCH(57, 'Detalles movimientos'!$W$5:$W$1004, 0)), "")</f>
        <v/>
      </c>
      <c r="M66" s="18" t="str">
        <f>IFERROR(INDEX('Detalles movimientos'!S$5:S$1004, MATCH(57, 'Detalles movimientos'!$W$5:$W$1004, 0)), "")</f>
        <v/>
      </c>
    </row>
    <row r="67" spans="2:13">
      <c r="B67" s="17" t="str">
        <f>IFERROR(INDEX('Detalles movimientos'!C$5:C$1004, MATCH(58, 'Detalles movimientos'!$W$5:$W$1004, 0)), "")</f>
        <v/>
      </c>
      <c r="C67" s="18" t="str">
        <f>IFERROR(INDEX('Detalles movimientos'!D$5:D$1004, MATCH(58, 'Detalles movimientos'!$W$5:$W$1004, 0)), "")</f>
        <v/>
      </c>
      <c r="D67" s="19" t="str">
        <f>IFERROR(INDEX('Detalles movimientos'!E$5:E$1004, MATCH(58, 'Detalles movimientos'!$W$5:$W$1004, 0)), "")</f>
        <v/>
      </c>
      <c r="E67" s="19" t="str">
        <f>IFERROR(INDEX('Detalles movimientos'!F$5:F$1004, MATCH(58, 'Detalles movimientos'!$W$5:$W$1004, 0)), "")</f>
        <v/>
      </c>
      <c r="F67" s="18" t="str">
        <f>IFERROR(INDEX('Detalles movimientos'!G$5:G$1004, MATCH(58, 'Detalles movimientos'!$W$5:$W$1004, 0)), "")</f>
        <v/>
      </c>
      <c r="G67" s="20" t="str">
        <f>IFERROR(INDEX('Detalles movimientos'!H$5:H$1004, MATCH(58, 'Detalles movimientos'!$W$5:$W$1004, 0)), "")</f>
        <v/>
      </c>
      <c r="H67" s="21" t="str">
        <f>IFERROR(INDEX('Detalles movimientos'!I$5:I$1004, MATCH(58, 'Detalles movimientos'!$W$5:$W$1004, 0)), "")</f>
        <v/>
      </c>
      <c r="I67" s="20" t="str">
        <f>IFERROR(INDEX('Detalles movimientos'!M$5:M$1004, MATCH(58, 'Detalles movimientos'!$W$5:$W$1004, 0)), "")</f>
        <v/>
      </c>
      <c r="J67" s="19" t="str">
        <f>IFERROR(INDEX('Detalles movimientos'!N$5:N$1004, MATCH(58, 'Detalles movimientos'!$W$5:$W$1004, 0)), "")</f>
        <v/>
      </c>
      <c r="K67" s="20" t="str">
        <f>IFERROR(INDEX('Detalles movimientos'!O$5:O$1004, MATCH(58, 'Detalles movimientos'!$W$5:$W$1004, 0)), "")</f>
        <v/>
      </c>
      <c r="L67" s="18" t="str">
        <f>IFERROR(INDEX('Detalles movimientos'!P$5:P$1004, MATCH(58, 'Detalles movimientos'!$W$5:$W$1004, 0)), "")</f>
        <v/>
      </c>
      <c r="M67" s="18" t="str">
        <f>IFERROR(INDEX('Detalles movimientos'!S$5:S$1004, MATCH(58, 'Detalles movimientos'!$W$5:$W$1004, 0)), "")</f>
        <v/>
      </c>
    </row>
    <row r="68" spans="2:13">
      <c r="B68" s="17" t="str">
        <f>IFERROR(INDEX('Detalles movimientos'!C$5:C$1004, MATCH(59, 'Detalles movimientos'!$W$5:$W$1004, 0)), "")</f>
        <v/>
      </c>
      <c r="C68" s="18" t="str">
        <f>IFERROR(INDEX('Detalles movimientos'!D$5:D$1004, MATCH(59, 'Detalles movimientos'!$W$5:$W$1004, 0)), "")</f>
        <v/>
      </c>
      <c r="D68" s="19" t="str">
        <f>IFERROR(INDEX('Detalles movimientos'!E$5:E$1004, MATCH(59, 'Detalles movimientos'!$W$5:$W$1004, 0)), "")</f>
        <v/>
      </c>
      <c r="E68" s="19" t="str">
        <f>IFERROR(INDEX('Detalles movimientos'!F$5:F$1004, MATCH(59, 'Detalles movimientos'!$W$5:$W$1004, 0)), "")</f>
        <v/>
      </c>
      <c r="F68" s="18" t="str">
        <f>IFERROR(INDEX('Detalles movimientos'!G$5:G$1004, MATCH(59, 'Detalles movimientos'!$W$5:$W$1004, 0)), "")</f>
        <v/>
      </c>
      <c r="G68" s="20" t="str">
        <f>IFERROR(INDEX('Detalles movimientos'!H$5:H$1004, MATCH(59, 'Detalles movimientos'!$W$5:$W$1004, 0)), "")</f>
        <v/>
      </c>
      <c r="H68" s="21" t="str">
        <f>IFERROR(INDEX('Detalles movimientos'!I$5:I$1004, MATCH(59, 'Detalles movimientos'!$W$5:$W$1004, 0)), "")</f>
        <v/>
      </c>
      <c r="I68" s="20" t="str">
        <f>IFERROR(INDEX('Detalles movimientos'!M$5:M$1004, MATCH(59, 'Detalles movimientos'!$W$5:$W$1004, 0)), "")</f>
        <v/>
      </c>
      <c r="J68" s="19" t="str">
        <f>IFERROR(INDEX('Detalles movimientos'!N$5:N$1004, MATCH(59, 'Detalles movimientos'!$W$5:$W$1004, 0)), "")</f>
        <v/>
      </c>
      <c r="K68" s="20" t="str">
        <f>IFERROR(INDEX('Detalles movimientos'!O$5:O$1004, MATCH(59, 'Detalles movimientos'!$W$5:$W$1004, 0)), "")</f>
        <v/>
      </c>
      <c r="L68" s="18" t="str">
        <f>IFERROR(INDEX('Detalles movimientos'!P$5:P$1004, MATCH(59, 'Detalles movimientos'!$W$5:$W$1004, 0)), "")</f>
        <v/>
      </c>
      <c r="M68" s="18" t="str">
        <f>IFERROR(INDEX('Detalles movimientos'!S$5:S$1004, MATCH(59, 'Detalles movimientos'!$W$5:$W$1004, 0)), "")</f>
        <v/>
      </c>
    </row>
    <row r="69" spans="2:13">
      <c r="B69" s="17" t="str">
        <f>IFERROR(INDEX('Detalles movimientos'!C$5:C$1004, MATCH(60, 'Detalles movimientos'!$W$5:$W$1004, 0)), "")</f>
        <v/>
      </c>
      <c r="C69" s="18" t="str">
        <f>IFERROR(INDEX('Detalles movimientos'!D$5:D$1004, MATCH(60, 'Detalles movimientos'!$W$5:$W$1004, 0)), "")</f>
        <v/>
      </c>
      <c r="D69" s="19" t="str">
        <f>IFERROR(INDEX('Detalles movimientos'!E$5:E$1004, MATCH(60, 'Detalles movimientos'!$W$5:$W$1004, 0)), "")</f>
        <v/>
      </c>
      <c r="E69" s="19" t="str">
        <f>IFERROR(INDEX('Detalles movimientos'!F$5:F$1004, MATCH(60, 'Detalles movimientos'!$W$5:$W$1004, 0)), "")</f>
        <v/>
      </c>
      <c r="F69" s="18" t="str">
        <f>IFERROR(INDEX('Detalles movimientos'!G$5:G$1004, MATCH(60, 'Detalles movimientos'!$W$5:$W$1004, 0)), "")</f>
        <v/>
      </c>
      <c r="G69" s="20" t="str">
        <f>IFERROR(INDEX('Detalles movimientos'!H$5:H$1004, MATCH(60, 'Detalles movimientos'!$W$5:$W$1004, 0)), "")</f>
        <v/>
      </c>
      <c r="H69" s="21" t="str">
        <f>IFERROR(INDEX('Detalles movimientos'!I$5:I$1004, MATCH(60, 'Detalles movimientos'!$W$5:$W$1004, 0)), "")</f>
        <v/>
      </c>
      <c r="I69" s="20" t="str">
        <f>IFERROR(INDEX('Detalles movimientos'!M$5:M$1004, MATCH(60, 'Detalles movimientos'!$W$5:$W$1004, 0)), "")</f>
        <v/>
      </c>
      <c r="J69" s="19" t="str">
        <f>IFERROR(INDEX('Detalles movimientos'!N$5:N$1004, MATCH(60, 'Detalles movimientos'!$W$5:$W$1004, 0)), "")</f>
        <v/>
      </c>
      <c r="K69" s="20" t="str">
        <f>IFERROR(INDEX('Detalles movimientos'!O$5:O$1004, MATCH(60, 'Detalles movimientos'!$W$5:$W$1004, 0)), "")</f>
        <v/>
      </c>
      <c r="L69" s="18" t="str">
        <f>IFERROR(INDEX('Detalles movimientos'!P$5:P$1004, MATCH(60, 'Detalles movimientos'!$W$5:$W$1004, 0)), "")</f>
        <v/>
      </c>
      <c r="M69" s="18" t="str">
        <f>IFERROR(INDEX('Detalles movimientos'!S$5:S$1004, MATCH(60, 'Detalles movimientos'!$W$5:$W$1004, 0)), "")</f>
        <v/>
      </c>
    </row>
    <row r="70" spans="2:13">
      <c r="B70" s="17" t="str">
        <f>IFERROR(INDEX('Detalles movimientos'!C$5:C$1004, MATCH(61, 'Detalles movimientos'!$W$5:$W$1004, 0)), "")</f>
        <v/>
      </c>
      <c r="C70" s="18" t="str">
        <f>IFERROR(INDEX('Detalles movimientos'!D$5:D$1004, MATCH(61, 'Detalles movimientos'!$W$5:$W$1004, 0)), "")</f>
        <v/>
      </c>
      <c r="D70" s="19" t="str">
        <f>IFERROR(INDEX('Detalles movimientos'!E$5:E$1004, MATCH(61, 'Detalles movimientos'!$W$5:$W$1004, 0)), "")</f>
        <v/>
      </c>
      <c r="E70" s="19" t="str">
        <f>IFERROR(INDEX('Detalles movimientos'!F$5:F$1004, MATCH(61, 'Detalles movimientos'!$W$5:$W$1004, 0)), "")</f>
        <v/>
      </c>
      <c r="F70" s="18" t="str">
        <f>IFERROR(INDEX('Detalles movimientos'!G$5:G$1004, MATCH(61, 'Detalles movimientos'!$W$5:$W$1004, 0)), "")</f>
        <v/>
      </c>
      <c r="G70" s="20" t="str">
        <f>IFERROR(INDEX('Detalles movimientos'!H$5:H$1004, MATCH(61, 'Detalles movimientos'!$W$5:$W$1004, 0)), "")</f>
        <v/>
      </c>
      <c r="H70" s="21" t="str">
        <f>IFERROR(INDEX('Detalles movimientos'!I$5:I$1004, MATCH(61, 'Detalles movimientos'!$W$5:$W$1004, 0)), "")</f>
        <v/>
      </c>
      <c r="I70" s="20" t="str">
        <f>IFERROR(INDEX('Detalles movimientos'!M$5:M$1004, MATCH(61, 'Detalles movimientos'!$W$5:$W$1004, 0)), "")</f>
        <v/>
      </c>
      <c r="J70" s="19" t="str">
        <f>IFERROR(INDEX('Detalles movimientos'!N$5:N$1004, MATCH(61, 'Detalles movimientos'!$W$5:$W$1004, 0)), "")</f>
        <v/>
      </c>
      <c r="K70" s="20" t="str">
        <f>IFERROR(INDEX('Detalles movimientos'!O$5:O$1004, MATCH(61, 'Detalles movimientos'!$W$5:$W$1004, 0)), "")</f>
        <v/>
      </c>
      <c r="L70" s="18" t="str">
        <f>IFERROR(INDEX('Detalles movimientos'!P$5:P$1004, MATCH(61, 'Detalles movimientos'!$W$5:$W$1004, 0)), "")</f>
        <v/>
      </c>
      <c r="M70" s="18" t="str">
        <f>IFERROR(INDEX('Detalles movimientos'!S$5:S$1004, MATCH(61, 'Detalles movimientos'!$W$5:$W$1004, 0)), "")</f>
        <v/>
      </c>
    </row>
    <row r="71" spans="2:13">
      <c r="B71" s="17" t="str">
        <f>IFERROR(INDEX('Detalles movimientos'!C$5:C$1004, MATCH(62, 'Detalles movimientos'!$W$5:$W$1004, 0)), "")</f>
        <v/>
      </c>
      <c r="C71" s="18" t="str">
        <f>IFERROR(INDEX('Detalles movimientos'!D$5:D$1004, MATCH(62, 'Detalles movimientos'!$W$5:$W$1004, 0)), "")</f>
        <v/>
      </c>
      <c r="D71" s="19" t="str">
        <f>IFERROR(INDEX('Detalles movimientos'!E$5:E$1004, MATCH(62, 'Detalles movimientos'!$W$5:$W$1004, 0)), "")</f>
        <v/>
      </c>
      <c r="E71" s="19" t="str">
        <f>IFERROR(INDEX('Detalles movimientos'!F$5:F$1004, MATCH(62, 'Detalles movimientos'!$W$5:$W$1004, 0)), "")</f>
        <v/>
      </c>
      <c r="F71" s="18" t="str">
        <f>IFERROR(INDEX('Detalles movimientos'!G$5:G$1004, MATCH(62, 'Detalles movimientos'!$W$5:$W$1004, 0)), "")</f>
        <v/>
      </c>
      <c r="G71" s="20" t="str">
        <f>IFERROR(INDEX('Detalles movimientos'!H$5:H$1004, MATCH(62, 'Detalles movimientos'!$W$5:$W$1004, 0)), "")</f>
        <v/>
      </c>
      <c r="H71" s="21" t="str">
        <f>IFERROR(INDEX('Detalles movimientos'!I$5:I$1004, MATCH(62, 'Detalles movimientos'!$W$5:$W$1004, 0)), "")</f>
        <v/>
      </c>
      <c r="I71" s="20" t="str">
        <f>IFERROR(INDEX('Detalles movimientos'!M$5:M$1004, MATCH(62, 'Detalles movimientos'!$W$5:$W$1004, 0)), "")</f>
        <v/>
      </c>
      <c r="J71" s="19" t="str">
        <f>IFERROR(INDEX('Detalles movimientos'!N$5:N$1004, MATCH(62, 'Detalles movimientos'!$W$5:$W$1004, 0)), "")</f>
        <v/>
      </c>
      <c r="K71" s="20" t="str">
        <f>IFERROR(INDEX('Detalles movimientos'!O$5:O$1004, MATCH(62, 'Detalles movimientos'!$W$5:$W$1004, 0)), "")</f>
        <v/>
      </c>
      <c r="L71" s="18" t="str">
        <f>IFERROR(INDEX('Detalles movimientos'!P$5:P$1004, MATCH(62, 'Detalles movimientos'!$W$5:$W$1004, 0)), "")</f>
        <v/>
      </c>
      <c r="M71" s="18" t="str">
        <f>IFERROR(INDEX('Detalles movimientos'!S$5:S$1004, MATCH(62, 'Detalles movimientos'!$W$5:$W$1004, 0)), "")</f>
        <v/>
      </c>
    </row>
    <row r="72" spans="2:13">
      <c r="B72" s="17" t="str">
        <f>IFERROR(INDEX('Detalles movimientos'!C$5:C$1004, MATCH(63, 'Detalles movimientos'!$W$5:$W$1004, 0)), "")</f>
        <v/>
      </c>
      <c r="C72" s="18" t="str">
        <f>IFERROR(INDEX('Detalles movimientos'!D$5:D$1004, MATCH(63, 'Detalles movimientos'!$W$5:$W$1004, 0)), "")</f>
        <v/>
      </c>
      <c r="D72" s="19" t="str">
        <f>IFERROR(INDEX('Detalles movimientos'!E$5:E$1004, MATCH(63, 'Detalles movimientos'!$W$5:$W$1004, 0)), "")</f>
        <v/>
      </c>
      <c r="E72" s="19" t="str">
        <f>IFERROR(INDEX('Detalles movimientos'!F$5:F$1004, MATCH(63, 'Detalles movimientos'!$W$5:$W$1004, 0)), "")</f>
        <v/>
      </c>
      <c r="F72" s="18" t="str">
        <f>IFERROR(INDEX('Detalles movimientos'!G$5:G$1004, MATCH(63, 'Detalles movimientos'!$W$5:$W$1004, 0)), "")</f>
        <v/>
      </c>
      <c r="G72" s="20" t="str">
        <f>IFERROR(INDEX('Detalles movimientos'!H$5:H$1004, MATCH(63, 'Detalles movimientos'!$W$5:$W$1004, 0)), "")</f>
        <v/>
      </c>
      <c r="H72" s="21" t="str">
        <f>IFERROR(INDEX('Detalles movimientos'!I$5:I$1004, MATCH(63, 'Detalles movimientos'!$W$5:$W$1004, 0)), "")</f>
        <v/>
      </c>
      <c r="I72" s="20" t="str">
        <f>IFERROR(INDEX('Detalles movimientos'!M$5:M$1004, MATCH(63, 'Detalles movimientos'!$W$5:$W$1004, 0)), "")</f>
        <v/>
      </c>
      <c r="J72" s="19" t="str">
        <f>IFERROR(INDEX('Detalles movimientos'!N$5:N$1004, MATCH(63, 'Detalles movimientos'!$W$5:$W$1004, 0)), "")</f>
        <v/>
      </c>
      <c r="K72" s="20" t="str">
        <f>IFERROR(INDEX('Detalles movimientos'!O$5:O$1004, MATCH(63, 'Detalles movimientos'!$W$5:$W$1004, 0)), "")</f>
        <v/>
      </c>
      <c r="L72" s="18" t="str">
        <f>IFERROR(INDEX('Detalles movimientos'!P$5:P$1004, MATCH(63, 'Detalles movimientos'!$W$5:$W$1004, 0)), "")</f>
        <v/>
      </c>
      <c r="M72" s="18" t="str">
        <f>IFERROR(INDEX('Detalles movimientos'!S$5:S$1004, MATCH(63, 'Detalles movimientos'!$W$5:$W$1004, 0)), "")</f>
        <v/>
      </c>
    </row>
    <row r="73" spans="2:13">
      <c r="B73" s="17" t="str">
        <f>IFERROR(INDEX('Detalles movimientos'!C$5:C$1004, MATCH(64, 'Detalles movimientos'!$W$5:$W$1004, 0)), "")</f>
        <v/>
      </c>
      <c r="C73" s="18" t="str">
        <f>IFERROR(INDEX('Detalles movimientos'!D$5:D$1004, MATCH(64, 'Detalles movimientos'!$W$5:$W$1004, 0)), "")</f>
        <v/>
      </c>
      <c r="D73" s="19" t="str">
        <f>IFERROR(INDEX('Detalles movimientos'!E$5:E$1004, MATCH(64, 'Detalles movimientos'!$W$5:$W$1004, 0)), "")</f>
        <v/>
      </c>
      <c r="E73" s="19" t="str">
        <f>IFERROR(INDEX('Detalles movimientos'!F$5:F$1004, MATCH(64, 'Detalles movimientos'!$W$5:$W$1004, 0)), "")</f>
        <v/>
      </c>
      <c r="F73" s="18" t="str">
        <f>IFERROR(INDEX('Detalles movimientos'!G$5:G$1004, MATCH(64, 'Detalles movimientos'!$W$5:$W$1004, 0)), "")</f>
        <v/>
      </c>
      <c r="G73" s="20" t="str">
        <f>IFERROR(INDEX('Detalles movimientos'!H$5:H$1004, MATCH(64, 'Detalles movimientos'!$W$5:$W$1004, 0)), "")</f>
        <v/>
      </c>
      <c r="H73" s="21" t="str">
        <f>IFERROR(INDEX('Detalles movimientos'!I$5:I$1004, MATCH(64, 'Detalles movimientos'!$W$5:$W$1004, 0)), "")</f>
        <v/>
      </c>
      <c r="I73" s="20" t="str">
        <f>IFERROR(INDEX('Detalles movimientos'!M$5:M$1004, MATCH(64, 'Detalles movimientos'!$W$5:$W$1004, 0)), "")</f>
        <v/>
      </c>
      <c r="J73" s="19" t="str">
        <f>IFERROR(INDEX('Detalles movimientos'!N$5:N$1004, MATCH(64, 'Detalles movimientos'!$W$5:$W$1004, 0)), "")</f>
        <v/>
      </c>
      <c r="K73" s="20" t="str">
        <f>IFERROR(INDEX('Detalles movimientos'!O$5:O$1004, MATCH(64, 'Detalles movimientos'!$W$5:$W$1004, 0)), "")</f>
        <v/>
      </c>
      <c r="L73" s="18" t="str">
        <f>IFERROR(INDEX('Detalles movimientos'!P$5:P$1004, MATCH(64, 'Detalles movimientos'!$W$5:$W$1004, 0)), "")</f>
        <v/>
      </c>
      <c r="M73" s="18" t="str">
        <f>IFERROR(INDEX('Detalles movimientos'!S$5:S$1004, MATCH(64, 'Detalles movimientos'!$W$5:$W$1004, 0)), "")</f>
        <v/>
      </c>
    </row>
    <row r="74" spans="2:13">
      <c r="B74" s="17" t="str">
        <f>IFERROR(INDEX('Detalles movimientos'!C$5:C$1004, MATCH(65, 'Detalles movimientos'!$W$5:$W$1004, 0)), "")</f>
        <v/>
      </c>
      <c r="C74" s="18" t="str">
        <f>IFERROR(INDEX('Detalles movimientos'!D$5:D$1004, MATCH(65, 'Detalles movimientos'!$W$5:$W$1004, 0)), "")</f>
        <v/>
      </c>
      <c r="D74" s="19" t="str">
        <f>IFERROR(INDEX('Detalles movimientos'!E$5:E$1004, MATCH(65, 'Detalles movimientos'!$W$5:$W$1004, 0)), "")</f>
        <v/>
      </c>
      <c r="E74" s="19" t="str">
        <f>IFERROR(INDEX('Detalles movimientos'!F$5:F$1004, MATCH(65, 'Detalles movimientos'!$W$5:$W$1004, 0)), "")</f>
        <v/>
      </c>
      <c r="F74" s="18" t="str">
        <f>IFERROR(INDEX('Detalles movimientos'!G$5:G$1004, MATCH(65, 'Detalles movimientos'!$W$5:$W$1004, 0)), "")</f>
        <v/>
      </c>
      <c r="G74" s="20" t="str">
        <f>IFERROR(INDEX('Detalles movimientos'!H$5:H$1004, MATCH(65, 'Detalles movimientos'!$W$5:$W$1004, 0)), "")</f>
        <v/>
      </c>
      <c r="H74" s="21" t="str">
        <f>IFERROR(INDEX('Detalles movimientos'!I$5:I$1004, MATCH(65, 'Detalles movimientos'!$W$5:$W$1004, 0)), "")</f>
        <v/>
      </c>
      <c r="I74" s="20" t="str">
        <f>IFERROR(INDEX('Detalles movimientos'!M$5:M$1004, MATCH(65, 'Detalles movimientos'!$W$5:$W$1004, 0)), "")</f>
        <v/>
      </c>
      <c r="J74" s="19" t="str">
        <f>IFERROR(INDEX('Detalles movimientos'!N$5:N$1004, MATCH(65, 'Detalles movimientos'!$W$5:$W$1004, 0)), "")</f>
        <v/>
      </c>
      <c r="K74" s="20" t="str">
        <f>IFERROR(INDEX('Detalles movimientos'!O$5:O$1004, MATCH(65, 'Detalles movimientos'!$W$5:$W$1004, 0)), "")</f>
        <v/>
      </c>
      <c r="L74" s="18" t="str">
        <f>IFERROR(INDEX('Detalles movimientos'!P$5:P$1004, MATCH(65, 'Detalles movimientos'!$W$5:$W$1004, 0)), "")</f>
        <v/>
      </c>
      <c r="M74" s="18" t="str">
        <f>IFERROR(INDEX('Detalles movimientos'!S$5:S$1004, MATCH(65, 'Detalles movimientos'!$W$5:$W$1004, 0)), "")</f>
        <v/>
      </c>
    </row>
    <row r="75" spans="2:13">
      <c r="B75" s="17" t="str">
        <f>IFERROR(INDEX('Detalles movimientos'!C$5:C$1004, MATCH(66, 'Detalles movimientos'!$W$5:$W$1004, 0)), "")</f>
        <v/>
      </c>
      <c r="C75" s="18" t="str">
        <f>IFERROR(INDEX('Detalles movimientos'!D$5:D$1004, MATCH(66, 'Detalles movimientos'!$W$5:$W$1004, 0)), "")</f>
        <v/>
      </c>
      <c r="D75" s="19" t="str">
        <f>IFERROR(INDEX('Detalles movimientos'!E$5:E$1004, MATCH(66, 'Detalles movimientos'!$W$5:$W$1004, 0)), "")</f>
        <v/>
      </c>
      <c r="E75" s="19" t="str">
        <f>IFERROR(INDEX('Detalles movimientos'!F$5:F$1004, MATCH(66, 'Detalles movimientos'!$W$5:$W$1004, 0)), "")</f>
        <v/>
      </c>
      <c r="F75" s="18" t="str">
        <f>IFERROR(INDEX('Detalles movimientos'!G$5:G$1004, MATCH(66, 'Detalles movimientos'!$W$5:$W$1004, 0)), "")</f>
        <v/>
      </c>
      <c r="G75" s="20" t="str">
        <f>IFERROR(INDEX('Detalles movimientos'!H$5:H$1004, MATCH(66, 'Detalles movimientos'!$W$5:$W$1004, 0)), "")</f>
        <v/>
      </c>
      <c r="H75" s="21" t="str">
        <f>IFERROR(INDEX('Detalles movimientos'!I$5:I$1004, MATCH(66, 'Detalles movimientos'!$W$5:$W$1004, 0)), "")</f>
        <v/>
      </c>
      <c r="I75" s="20" t="str">
        <f>IFERROR(INDEX('Detalles movimientos'!M$5:M$1004, MATCH(66, 'Detalles movimientos'!$W$5:$W$1004, 0)), "")</f>
        <v/>
      </c>
      <c r="J75" s="19" t="str">
        <f>IFERROR(INDEX('Detalles movimientos'!N$5:N$1004, MATCH(66, 'Detalles movimientos'!$W$5:$W$1004, 0)), "")</f>
        <v/>
      </c>
      <c r="K75" s="20" t="str">
        <f>IFERROR(INDEX('Detalles movimientos'!O$5:O$1004, MATCH(66, 'Detalles movimientos'!$W$5:$W$1004, 0)), "")</f>
        <v/>
      </c>
      <c r="L75" s="18" t="str">
        <f>IFERROR(INDEX('Detalles movimientos'!P$5:P$1004, MATCH(66, 'Detalles movimientos'!$W$5:$W$1004, 0)), "")</f>
        <v/>
      </c>
      <c r="M75" s="18" t="str">
        <f>IFERROR(INDEX('Detalles movimientos'!S$5:S$1004, MATCH(66, 'Detalles movimientos'!$W$5:$W$1004, 0)), "")</f>
        <v/>
      </c>
    </row>
    <row r="76" spans="2:13">
      <c r="B76" s="17" t="str">
        <f>IFERROR(INDEX('Detalles movimientos'!C$5:C$1004, MATCH(67, 'Detalles movimientos'!$W$5:$W$1004, 0)), "")</f>
        <v/>
      </c>
      <c r="C76" s="18" t="str">
        <f>IFERROR(INDEX('Detalles movimientos'!D$5:D$1004, MATCH(67, 'Detalles movimientos'!$W$5:$W$1004, 0)), "")</f>
        <v/>
      </c>
      <c r="D76" s="19" t="str">
        <f>IFERROR(INDEX('Detalles movimientos'!E$5:E$1004, MATCH(67, 'Detalles movimientos'!$W$5:$W$1004, 0)), "")</f>
        <v/>
      </c>
      <c r="E76" s="19" t="str">
        <f>IFERROR(INDEX('Detalles movimientos'!F$5:F$1004, MATCH(67, 'Detalles movimientos'!$W$5:$W$1004, 0)), "")</f>
        <v/>
      </c>
      <c r="F76" s="18" t="str">
        <f>IFERROR(INDEX('Detalles movimientos'!G$5:G$1004, MATCH(67, 'Detalles movimientos'!$W$5:$W$1004, 0)), "")</f>
        <v/>
      </c>
      <c r="G76" s="20" t="str">
        <f>IFERROR(INDEX('Detalles movimientos'!H$5:H$1004, MATCH(67, 'Detalles movimientos'!$W$5:$W$1004, 0)), "")</f>
        <v/>
      </c>
      <c r="H76" s="21" t="str">
        <f>IFERROR(INDEX('Detalles movimientos'!I$5:I$1004, MATCH(67, 'Detalles movimientos'!$W$5:$W$1004, 0)), "")</f>
        <v/>
      </c>
      <c r="I76" s="20" t="str">
        <f>IFERROR(INDEX('Detalles movimientos'!M$5:M$1004, MATCH(67, 'Detalles movimientos'!$W$5:$W$1004, 0)), "")</f>
        <v/>
      </c>
      <c r="J76" s="19" t="str">
        <f>IFERROR(INDEX('Detalles movimientos'!N$5:N$1004, MATCH(67, 'Detalles movimientos'!$W$5:$W$1004, 0)), "")</f>
        <v/>
      </c>
      <c r="K76" s="20" t="str">
        <f>IFERROR(INDEX('Detalles movimientos'!O$5:O$1004, MATCH(67, 'Detalles movimientos'!$W$5:$W$1004, 0)), "")</f>
        <v/>
      </c>
      <c r="L76" s="18" t="str">
        <f>IFERROR(INDEX('Detalles movimientos'!P$5:P$1004, MATCH(67, 'Detalles movimientos'!$W$5:$W$1004, 0)), "")</f>
        <v/>
      </c>
      <c r="M76" s="18" t="str">
        <f>IFERROR(INDEX('Detalles movimientos'!S$5:S$1004, MATCH(67, 'Detalles movimientos'!$W$5:$W$1004, 0)), "")</f>
        <v/>
      </c>
    </row>
    <row r="77" spans="2:13">
      <c r="B77" s="17" t="str">
        <f>IFERROR(INDEX('Detalles movimientos'!C$5:C$1004, MATCH(68, 'Detalles movimientos'!$W$5:$W$1004, 0)), "")</f>
        <v/>
      </c>
      <c r="C77" s="18" t="str">
        <f>IFERROR(INDEX('Detalles movimientos'!D$5:D$1004, MATCH(68, 'Detalles movimientos'!$W$5:$W$1004, 0)), "")</f>
        <v/>
      </c>
      <c r="D77" s="19" t="str">
        <f>IFERROR(INDEX('Detalles movimientos'!E$5:E$1004, MATCH(68, 'Detalles movimientos'!$W$5:$W$1004, 0)), "")</f>
        <v/>
      </c>
      <c r="E77" s="19" t="str">
        <f>IFERROR(INDEX('Detalles movimientos'!F$5:F$1004, MATCH(68, 'Detalles movimientos'!$W$5:$W$1004, 0)), "")</f>
        <v/>
      </c>
      <c r="F77" s="18" t="str">
        <f>IFERROR(INDEX('Detalles movimientos'!G$5:G$1004, MATCH(68, 'Detalles movimientos'!$W$5:$W$1004, 0)), "")</f>
        <v/>
      </c>
      <c r="G77" s="20" t="str">
        <f>IFERROR(INDEX('Detalles movimientos'!H$5:H$1004, MATCH(68, 'Detalles movimientos'!$W$5:$W$1004, 0)), "")</f>
        <v/>
      </c>
      <c r="H77" s="21" t="str">
        <f>IFERROR(INDEX('Detalles movimientos'!I$5:I$1004, MATCH(68, 'Detalles movimientos'!$W$5:$W$1004, 0)), "")</f>
        <v/>
      </c>
      <c r="I77" s="20" t="str">
        <f>IFERROR(INDEX('Detalles movimientos'!M$5:M$1004, MATCH(68, 'Detalles movimientos'!$W$5:$W$1004, 0)), "")</f>
        <v/>
      </c>
      <c r="J77" s="19" t="str">
        <f>IFERROR(INDEX('Detalles movimientos'!N$5:N$1004, MATCH(68, 'Detalles movimientos'!$W$5:$W$1004, 0)), "")</f>
        <v/>
      </c>
      <c r="K77" s="20" t="str">
        <f>IFERROR(INDEX('Detalles movimientos'!O$5:O$1004, MATCH(68, 'Detalles movimientos'!$W$5:$W$1004, 0)), "")</f>
        <v/>
      </c>
      <c r="L77" s="18" t="str">
        <f>IFERROR(INDEX('Detalles movimientos'!P$5:P$1004, MATCH(68, 'Detalles movimientos'!$W$5:$W$1004, 0)), "")</f>
        <v/>
      </c>
      <c r="M77" s="18" t="str">
        <f>IFERROR(INDEX('Detalles movimientos'!S$5:S$1004, MATCH(68, 'Detalles movimientos'!$W$5:$W$1004, 0)), "")</f>
        <v/>
      </c>
    </row>
    <row r="78" spans="2:13">
      <c r="B78" s="17" t="str">
        <f>IFERROR(INDEX('Detalles movimientos'!C$5:C$1004, MATCH(69, 'Detalles movimientos'!$W$5:$W$1004, 0)), "")</f>
        <v/>
      </c>
      <c r="C78" s="18" t="str">
        <f>IFERROR(INDEX('Detalles movimientos'!D$5:D$1004, MATCH(69, 'Detalles movimientos'!$W$5:$W$1004, 0)), "")</f>
        <v/>
      </c>
      <c r="D78" s="19" t="str">
        <f>IFERROR(INDEX('Detalles movimientos'!E$5:E$1004, MATCH(69, 'Detalles movimientos'!$W$5:$W$1004, 0)), "")</f>
        <v/>
      </c>
      <c r="E78" s="19" t="str">
        <f>IFERROR(INDEX('Detalles movimientos'!F$5:F$1004, MATCH(69, 'Detalles movimientos'!$W$5:$W$1004, 0)), "")</f>
        <v/>
      </c>
      <c r="F78" s="18" t="str">
        <f>IFERROR(INDEX('Detalles movimientos'!G$5:G$1004, MATCH(69, 'Detalles movimientos'!$W$5:$W$1004, 0)), "")</f>
        <v/>
      </c>
      <c r="G78" s="20" t="str">
        <f>IFERROR(INDEX('Detalles movimientos'!H$5:H$1004, MATCH(69, 'Detalles movimientos'!$W$5:$W$1004, 0)), "")</f>
        <v/>
      </c>
      <c r="H78" s="21" t="str">
        <f>IFERROR(INDEX('Detalles movimientos'!I$5:I$1004, MATCH(69, 'Detalles movimientos'!$W$5:$W$1004, 0)), "")</f>
        <v/>
      </c>
      <c r="I78" s="20" t="str">
        <f>IFERROR(INDEX('Detalles movimientos'!M$5:M$1004, MATCH(69, 'Detalles movimientos'!$W$5:$W$1004, 0)), "")</f>
        <v/>
      </c>
      <c r="J78" s="19" t="str">
        <f>IFERROR(INDEX('Detalles movimientos'!N$5:N$1004, MATCH(69, 'Detalles movimientos'!$W$5:$W$1004, 0)), "")</f>
        <v/>
      </c>
      <c r="K78" s="20" t="str">
        <f>IFERROR(INDEX('Detalles movimientos'!O$5:O$1004, MATCH(69, 'Detalles movimientos'!$W$5:$W$1004, 0)), "")</f>
        <v/>
      </c>
      <c r="L78" s="18" t="str">
        <f>IFERROR(INDEX('Detalles movimientos'!P$5:P$1004, MATCH(69, 'Detalles movimientos'!$W$5:$W$1004, 0)), "")</f>
        <v/>
      </c>
      <c r="M78" s="18" t="str">
        <f>IFERROR(INDEX('Detalles movimientos'!S$5:S$1004, MATCH(69, 'Detalles movimientos'!$W$5:$W$1004, 0)), "")</f>
        <v/>
      </c>
    </row>
    <row r="79" spans="2:13">
      <c r="B79" s="17" t="str">
        <f>IFERROR(INDEX('Detalles movimientos'!C$5:C$1004, MATCH(70, 'Detalles movimientos'!$W$5:$W$1004, 0)), "")</f>
        <v/>
      </c>
      <c r="C79" s="18" t="str">
        <f>IFERROR(INDEX('Detalles movimientos'!D$5:D$1004, MATCH(70, 'Detalles movimientos'!$W$5:$W$1004, 0)), "")</f>
        <v/>
      </c>
      <c r="D79" s="19" t="str">
        <f>IFERROR(INDEX('Detalles movimientos'!E$5:E$1004, MATCH(70, 'Detalles movimientos'!$W$5:$W$1004, 0)), "")</f>
        <v/>
      </c>
      <c r="E79" s="19" t="str">
        <f>IFERROR(INDEX('Detalles movimientos'!F$5:F$1004, MATCH(70, 'Detalles movimientos'!$W$5:$W$1004, 0)), "")</f>
        <v/>
      </c>
      <c r="F79" s="18" t="str">
        <f>IFERROR(INDEX('Detalles movimientos'!G$5:G$1004, MATCH(70, 'Detalles movimientos'!$W$5:$W$1004, 0)), "")</f>
        <v/>
      </c>
      <c r="G79" s="20" t="str">
        <f>IFERROR(INDEX('Detalles movimientos'!H$5:H$1004, MATCH(70, 'Detalles movimientos'!$W$5:$W$1004, 0)), "")</f>
        <v/>
      </c>
      <c r="H79" s="21" t="str">
        <f>IFERROR(INDEX('Detalles movimientos'!I$5:I$1004, MATCH(70, 'Detalles movimientos'!$W$5:$W$1004, 0)), "")</f>
        <v/>
      </c>
      <c r="I79" s="20" t="str">
        <f>IFERROR(INDEX('Detalles movimientos'!M$5:M$1004, MATCH(70, 'Detalles movimientos'!$W$5:$W$1004, 0)), "")</f>
        <v/>
      </c>
      <c r="J79" s="19" t="str">
        <f>IFERROR(INDEX('Detalles movimientos'!N$5:N$1004, MATCH(70, 'Detalles movimientos'!$W$5:$W$1004, 0)), "")</f>
        <v/>
      </c>
      <c r="K79" s="20" t="str">
        <f>IFERROR(INDEX('Detalles movimientos'!O$5:O$1004, MATCH(70, 'Detalles movimientos'!$W$5:$W$1004, 0)), "")</f>
        <v/>
      </c>
      <c r="L79" s="18" t="str">
        <f>IFERROR(INDEX('Detalles movimientos'!P$5:P$1004, MATCH(70, 'Detalles movimientos'!$W$5:$W$1004, 0)), "")</f>
        <v/>
      </c>
      <c r="M79" s="18" t="str">
        <f>IFERROR(INDEX('Detalles movimientos'!S$5:S$1004, MATCH(70, 'Detalles movimientos'!$W$5:$W$1004, 0)), "")</f>
        <v/>
      </c>
    </row>
    <row r="80" spans="2:13">
      <c r="B80" s="17" t="str">
        <f>IFERROR(INDEX('Detalles movimientos'!C$5:C$1004, MATCH(71, 'Detalles movimientos'!$W$5:$W$1004, 0)), "")</f>
        <v/>
      </c>
      <c r="C80" s="18" t="str">
        <f>IFERROR(INDEX('Detalles movimientos'!D$5:D$1004, MATCH(71, 'Detalles movimientos'!$W$5:$W$1004, 0)), "")</f>
        <v/>
      </c>
      <c r="D80" s="19" t="str">
        <f>IFERROR(INDEX('Detalles movimientos'!E$5:E$1004, MATCH(71, 'Detalles movimientos'!$W$5:$W$1004, 0)), "")</f>
        <v/>
      </c>
      <c r="E80" s="19" t="str">
        <f>IFERROR(INDEX('Detalles movimientos'!F$5:F$1004, MATCH(71, 'Detalles movimientos'!$W$5:$W$1004, 0)), "")</f>
        <v/>
      </c>
      <c r="F80" s="18" t="str">
        <f>IFERROR(INDEX('Detalles movimientos'!G$5:G$1004, MATCH(71, 'Detalles movimientos'!$W$5:$W$1004, 0)), "")</f>
        <v/>
      </c>
      <c r="G80" s="20" t="str">
        <f>IFERROR(INDEX('Detalles movimientos'!H$5:H$1004, MATCH(71, 'Detalles movimientos'!$W$5:$W$1004, 0)), "")</f>
        <v/>
      </c>
      <c r="H80" s="21" t="str">
        <f>IFERROR(INDEX('Detalles movimientos'!I$5:I$1004, MATCH(71, 'Detalles movimientos'!$W$5:$W$1004, 0)), "")</f>
        <v/>
      </c>
      <c r="I80" s="20" t="str">
        <f>IFERROR(INDEX('Detalles movimientos'!M$5:M$1004, MATCH(71, 'Detalles movimientos'!$W$5:$W$1004, 0)), "")</f>
        <v/>
      </c>
      <c r="J80" s="19" t="str">
        <f>IFERROR(INDEX('Detalles movimientos'!N$5:N$1004, MATCH(71, 'Detalles movimientos'!$W$5:$W$1004, 0)), "")</f>
        <v/>
      </c>
      <c r="K80" s="20" t="str">
        <f>IFERROR(INDEX('Detalles movimientos'!O$5:O$1004, MATCH(71, 'Detalles movimientos'!$W$5:$W$1004, 0)), "")</f>
        <v/>
      </c>
      <c r="L80" s="18" t="str">
        <f>IFERROR(INDEX('Detalles movimientos'!P$5:P$1004, MATCH(71, 'Detalles movimientos'!$W$5:$W$1004, 0)), "")</f>
        <v/>
      </c>
      <c r="M80" s="18" t="str">
        <f>IFERROR(INDEX('Detalles movimientos'!S$5:S$1004, MATCH(71, 'Detalles movimientos'!$W$5:$W$1004, 0)), "")</f>
        <v/>
      </c>
    </row>
    <row r="81" spans="2:13">
      <c r="B81" s="17" t="str">
        <f>IFERROR(INDEX('Detalles movimientos'!C$5:C$1004, MATCH(72, 'Detalles movimientos'!$W$5:$W$1004, 0)), "")</f>
        <v/>
      </c>
      <c r="C81" s="18" t="str">
        <f>IFERROR(INDEX('Detalles movimientos'!D$5:D$1004, MATCH(72, 'Detalles movimientos'!$W$5:$W$1004, 0)), "")</f>
        <v/>
      </c>
      <c r="D81" s="19" t="str">
        <f>IFERROR(INDEX('Detalles movimientos'!E$5:E$1004, MATCH(72, 'Detalles movimientos'!$W$5:$W$1004, 0)), "")</f>
        <v/>
      </c>
      <c r="E81" s="19" t="str">
        <f>IFERROR(INDEX('Detalles movimientos'!F$5:F$1004, MATCH(72, 'Detalles movimientos'!$W$5:$W$1004, 0)), "")</f>
        <v/>
      </c>
      <c r="F81" s="18" t="str">
        <f>IFERROR(INDEX('Detalles movimientos'!G$5:G$1004, MATCH(72, 'Detalles movimientos'!$W$5:$W$1004, 0)), "")</f>
        <v/>
      </c>
      <c r="G81" s="20" t="str">
        <f>IFERROR(INDEX('Detalles movimientos'!H$5:H$1004, MATCH(72, 'Detalles movimientos'!$W$5:$W$1004, 0)), "")</f>
        <v/>
      </c>
      <c r="H81" s="21" t="str">
        <f>IFERROR(INDEX('Detalles movimientos'!I$5:I$1004, MATCH(72, 'Detalles movimientos'!$W$5:$W$1004, 0)), "")</f>
        <v/>
      </c>
      <c r="I81" s="20" t="str">
        <f>IFERROR(INDEX('Detalles movimientos'!M$5:M$1004, MATCH(72, 'Detalles movimientos'!$W$5:$W$1004, 0)), "")</f>
        <v/>
      </c>
      <c r="J81" s="19" t="str">
        <f>IFERROR(INDEX('Detalles movimientos'!N$5:N$1004, MATCH(72, 'Detalles movimientos'!$W$5:$W$1004, 0)), "")</f>
        <v/>
      </c>
      <c r="K81" s="20" t="str">
        <f>IFERROR(INDEX('Detalles movimientos'!O$5:O$1004, MATCH(72, 'Detalles movimientos'!$W$5:$W$1004, 0)), "")</f>
        <v/>
      </c>
      <c r="L81" s="18" t="str">
        <f>IFERROR(INDEX('Detalles movimientos'!P$5:P$1004, MATCH(72, 'Detalles movimientos'!$W$5:$W$1004, 0)), "")</f>
        <v/>
      </c>
      <c r="M81" s="18" t="str">
        <f>IFERROR(INDEX('Detalles movimientos'!S$5:S$1004, MATCH(72, 'Detalles movimientos'!$W$5:$W$1004, 0)), "")</f>
        <v/>
      </c>
    </row>
    <row r="82" spans="2:13">
      <c r="B82" s="17" t="str">
        <f>IFERROR(INDEX('Detalles movimientos'!C$5:C$1004, MATCH(73, 'Detalles movimientos'!$W$5:$W$1004, 0)), "")</f>
        <v/>
      </c>
      <c r="C82" s="18" t="str">
        <f>IFERROR(INDEX('Detalles movimientos'!D$5:D$1004, MATCH(73, 'Detalles movimientos'!$W$5:$W$1004, 0)), "")</f>
        <v/>
      </c>
      <c r="D82" s="19" t="str">
        <f>IFERROR(INDEX('Detalles movimientos'!E$5:E$1004, MATCH(73, 'Detalles movimientos'!$W$5:$W$1004, 0)), "")</f>
        <v/>
      </c>
      <c r="E82" s="19" t="str">
        <f>IFERROR(INDEX('Detalles movimientos'!F$5:F$1004, MATCH(73, 'Detalles movimientos'!$W$5:$W$1004, 0)), "")</f>
        <v/>
      </c>
      <c r="F82" s="18" t="str">
        <f>IFERROR(INDEX('Detalles movimientos'!G$5:G$1004, MATCH(73, 'Detalles movimientos'!$W$5:$W$1004, 0)), "")</f>
        <v/>
      </c>
      <c r="G82" s="20" t="str">
        <f>IFERROR(INDEX('Detalles movimientos'!H$5:H$1004, MATCH(73, 'Detalles movimientos'!$W$5:$W$1004, 0)), "")</f>
        <v/>
      </c>
      <c r="H82" s="21" t="str">
        <f>IFERROR(INDEX('Detalles movimientos'!I$5:I$1004, MATCH(73, 'Detalles movimientos'!$W$5:$W$1004, 0)), "")</f>
        <v/>
      </c>
      <c r="I82" s="20" t="str">
        <f>IFERROR(INDEX('Detalles movimientos'!M$5:M$1004, MATCH(73, 'Detalles movimientos'!$W$5:$W$1004, 0)), "")</f>
        <v/>
      </c>
      <c r="J82" s="19" t="str">
        <f>IFERROR(INDEX('Detalles movimientos'!N$5:N$1004, MATCH(73, 'Detalles movimientos'!$W$5:$W$1004, 0)), "")</f>
        <v/>
      </c>
      <c r="K82" s="20" t="str">
        <f>IFERROR(INDEX('Detalles movimientos'!O$5:O$1004, MATCH(73, 'Detalles movimientos'!$W$5:$W$1004, 0)), "")</f>
        <v/>
      </c>
      <c r="L82" s="18" t="str">
        <f>IFERROR(INDEX('Detalles movimientos'!P$5:P$1004, MATCH(73, 'Detalles movimientos'!$W$5:$W$1004, 0)), "")</f>
        <v/>
      </c>
      <c r="M82" s="18" t="str">
        <f>IFERROR(INDEX('Detalles movimientos'!S$5:S$1004, MATCH(73, 'Detalles movimientos'!$W$5:$W$1004, 0)), "")</f>
        <v/>
      </c>
    </row>
    <row r="83" spans="2:13">
      <c r="B83" s="17" t="str">
        <f>IFERROR(INDEX('Detalles movimientos'!C$5:C$1004, MATCH(74, 'Detalles movimientos'!$W$5:$W$1004, 0)), "")</f>
        <v/>
      </c>
      <c r="C83" s="18" t="str">
        <f>IFERROR(INDEX('Detalles movimientos'!D$5:D$1004, MATCH(74, 'Detalles movimientos'!$W$5:$W$1004, 0)), "")</f>
        <v/>
      </c>
      <c r="D83" s="19" t="str">
        <f>IFERROR(INDEX('Detalles movimientos'!E$5:E$1004, MATCH(74, 'Detalles movimientos'!$W$5:$W$1004, 0)), "")</f>
        <v/>
      </c>
      <c r="E83" s="19" t="str">
        <f>IFERROR(INDEX('Detalles movimientos'!F$5:F$1004, MATCH(74, 'Detalles movimientos'!$W$5:$W$1004, 0)), "")</f>
        <v/>
      </c>
      <c r="F83" s="18" t="str">
        <f>IFERROR(INDEX('Detalles movimientos'!G$5:G$1004, MATCH(74, 'Detalles movimientos'!$W$5:$W$1004, 0)), "")</f>
        <v/>
      </c>
      <c r="G83" s="20" t="str">
        <f>IFERROR(INDEX('Detalles movimientos'!H$5:H$1004, MATCH(74, 'Detalles movimientos'!$W$5:$W$1004, 0)), "")</f>
        <v/>
      </c>
      <c r="H83" s="21" t="str">
        <f>IFERROR(INDEX('Detalles movimientos'!I$5:I$1004, MATCH(74, 'Detalles movimientos'!$W$5:$W$1004, 0)), "")</f>
        <v/>
      </c>
      <c r="I83" s="20" t="str">
        <f>IFERROR(INDEX('Detalles movimientos'!M$5:M$1004, MATCH(74, 'Detalles movimientos'!$W$5:$W$1004, 0)), "")</f>
        <v/>
      </c>
      <c r="J83" s="19" t="str">
        <f>IFERROR(INDEX('Detalles movimientos'!N$5:N$1004, MATCH(74, 'Detalles movimientos'!$W$5:$W$1004, 0)), "")</f>
        <v/>
      </c>
      <c r="K83" s="20" t="str">
        <f>IFERROR(INDEX('Detalles movimientos'!O$5:O$1004, MATCH(74, 'Detalles movimientos'!$W$5:$W$1004, 0)), "")</f>
        <v/>
      </c>
      <c r="L83" s="18" t="str">
        <f>IFERROR(INDEX('Detalles movimientos'!P$5:P$1004, MATCH(74, 'Detalles movimientos'!$W$5:$W$1004, 0)), "")</f>
        <v/>
      </c>
      <c r="M83" s="18" t="str">
        <f>IFERROR(INDEX('Detalles movimientos'!S$5:S$1004, MATCH(74, 'Detalles movimientos'!$W$5:$W$1004, 0)), "")</f>
        <v/>
      </c>
    </row>
    <row r="84" spans="2:13">
      <c r="B84" s="17" t="str">
        <f>IFERROR(INDEX('Detalles movimientos'!C$5:C$1004, MATCH(75, 'Detalles movimientos'!$W$5:$W$1004, 0)), "")</f>
        <v/>
      </c>
      <c r="C84" s="18" t="str">
        <f>IFERROR(INDEX('Detalles movimientos'!D$5:D$1004, MATCH(75, 'Detalles movimientos'!$W$5:$W$1004, 0)), "")</f>
        <v/>
      </c>
      <c r="D84" s="19" t="str">
        <f>IFERROR(INDEX('Detalles movimientos'!E$5:E$1004, MATCH(75, 'Detalles movimientos'!$W$5:$W$1004, 0)), "")</f>
        <v/>
      </c>
      <c r="E84" s="19" t="str">
        <f>IFERROR(INDEX('Detalles movimientos'!F$5:F$1004, MATCH(75, 'Detalles movimientos'!$W$5:$W$1004, 0)), "")</f>
        <v/>
      </c>
      <c r="F84" s="18" t="str">
        <f>IFERROR(INDEX('Detalles movimientos'!G$5:G$1004, MATCH(75, 'Detalles movimientos'!$W$5:$W$1004, 0)), "")</f>
        <v/>
      </c>
      <c r="G84" s="20" t="str">
        <f>IFERROR(INDEX('Detalles movimientos'!H$5:H$1004, MATCH(75, 'Detalles movimientos'!$W$5:$W$1004, 0)), "")</f>
        <v/>
      </c>
      <c r="H84" s="21" t="str">
        <f>IFERROR(INDEX('Detalles movimientos'!I$5:I$1004, MATCH(75, 'Detalles movimientos'!$W$5:$W$1004, 0)), "")</f>
        <v/>
      </c>
      <c r="I84" s="20" t="str">
        <f>IFERROR(INDEX('Detalles movimientos'!M$5:M$1004, MATCH(75, 'Detalles movimientos'!$W$5:$W$1004, 0)), "")</f>
        <v/>
      </c>
      <c r="J84" s="19" t="str">
        <f>IFERROR(INDEX('Detalles movimientos'!N$5:N$1004, MATCH(75, 'Detalles movimientos'!$W$5:$W$1004, 0)), "")</f>
        <v/>
      </c>
      <c r="K84" s="20" t="str">
        <f>IFERROR(INDEX('Detalles movimientos'!O$5:O$1004, MATCH(75, 'Detalles movimientos'!$W$5:$W$1004, 0)), "")</f>
        <v/>
      </c>
      <c r="L84" s="18" t="str">
        <f>IFERROR(INDEX('Detalles movimientos'!P$5:P$1004, MATCH(75, 'Detalles movimientos'!$W$5:$W$1004, 0)), "")</f>
        <v/>
      </c>
      <c r="M84" s="18" t="str">
        <f>IFERROR(INDEX('Detalles movimientos'!S$5:S$1004, MATCH(75, 'Detalles movimientos'!$W$5:$W$1004, 0)), "")</f>
        <v/>
      </c>
    </row>
    <row r="85" spans="2:13">
      <c r="B85" s="17" t="str">
        <f>IFERROR(INDEX('Detalles movimientos'!C$5:C$1004, MATCH(76, 'Detalles movimientos'!$W$5:$W$1004, 0)), "")</f>
        <v/>
      </c>
      <c r="C85" s="18" t="str">
        <f>IFERROR(INDEX('Detalles movimientos'!D$5:D$1004, MATCH(76, 'Detalles movimientos'!$W$5:$W$1004, 0)), "")</f>
        <v/>
      </c>
      <c r="D85" s="19" t="str">
        <f>IFERROR(INDEX('Detalles movimientos'!E$5:E$1004, MATCH(76, 'Detalles movimientos'!$W$5:$W$1004, 0)), "")</f>
        <v/>
      </c>
      <c r="E85" s="19" t="str">
        <f>IFERROR(INDEX('Detalles movimientos'!F$5:F$1004, MATCH(76, 'Detalles movimientos'!$W$5:$W$1004, 0)), "")</f>
        <v/>
      </c>
      <c r="F85" s="18" t="str">
        <f>IFERROR(INDEX('Detalles movimientos'!G$5:G$1004, MATCH(76, 'Detalles movimientos'!$W$5:$W$1004, 0)), "")</f>
        <v/>
      </c>
      <c r="G85" s="20" t="str">
        <f>IFERROR(INDEX('Detalles movimientos'!H$5:H$1004, MATCH(76, 'Detalles movimientos'!$W$5:$W$1004, 0)), "")</f>
        <v/>
      </c>
      <c r="H85" s="21" t="str">
        <f>IFERROR(INDEX('Detalles movimientos'!I$5:I$1004, MATCH(76, 'Detalles movimientos'!$W$5:$W$1004, 0)), "")</f>
        <v/>
      </c>
      <c r="I85" s="20" t="str">
        <f>IFERROR(INDEX('Detalles movimientos'!M$5:M$1004, MATCH(76, 'Detalles movimientos'!$W$5:$W$1004, 0)), "")</f>
        <v/>
      </c>
      <c r="J85" s="19" t="str">
        <f>IFERROR(INDEX('Detalles movimientos'!N$5:N$1004, MATCH(76, 'Detalles movimientos'!$W$5:$W$1004, 0)), "")</f>
        <v/>
      </c>
      <c r="K85" s="20" t="str">
        <f>IFERROR(INDEX('Detalles movimientos'!O$5:O$1004, MATCH(76, 'Detalles movimientos'!$W$5:$W$1004, 0)), "")</f>
        <v/>
      </c>
      <c r="L85" s="18" t="str">
        <f>IFERROR(INDEX('Detalles movimientos'!P$5:P$1004, MATCH(76, 'Detalles movimientos'!$W$5:$W$1004, 0)), "")</f>
        <v/>
      </c>
      <c r="M85" s="18" t="str">
        <f>IFERROR(INDEX('Detalles movimientos'!S$5:S$1004, MATCH(76, 'Detalles movimientos'!$W$5:$W$1004, 0)), "")</f>
        <v/>
      </c>
    </row>
    <row r="86" spans="2:13">
      <c r="B86" s="17" t="str">
        <f>IFERROR(INDEX('Detalles movimientos'!C$5:C$1004, MATCH(77, 'Detalles movimientos'!$W$5:$W$1004, 0)), "")</f>
        <v/>
      </c>
      <c r="C86" s="18" t="str">
        <f>IFERROR(INDEX('Detalles movimientos'!D$5:D$1004, MATCH(77, 'Detalles movimientos'!$W$5:$W$1004, 0)), "")</f>
        <v/>
      </c>
      <c r="D86" s="19" t="str">
        <f>IFERROR(INDEX('Detalles movimientos'!E$5:E$1004, MATCH(77, 'Detalles movimientos'!$W$5:$W$1004, 0)), "")</f>
        <v/>
      </c>
      <c r="E86" s="19" t="str">
        <f>IFERROR(INDEX('Detalles movimientos'!F$5:F$1004, MATCH(77, 'Detalles movimientos'!$W$5:$W$1004, 0)), "")</f>
        <v/>
      </c>
      <c r="F86" s="18" t="str">
        <f>IFERROR(INDEX('Detalles movimientos'!G$5:G$1004, MATCH(77, 'Detalles movimientos'!$W$5:$W$1004, 0)), "")</f>
        <v/>
      </c>
      <c r="G86" s="20" t="str">
        <f>IFERROR(INDEX('Detalles movimientos'!H$5:H$1004, MATCH(77, 'Detalles movimientos'!$W$5:$W$1004, 0)), "")</f>
        <v/>
      </c>
      <c r="H86" s="21" t="str">
        <f>IFERROR(INDEX('Detalles movimientos'!I$5:I$1004, MATCH(77, 'Detalles movimientos'!$W$5:$W$1004, 0)), "")</f>
        <v/>
      </c>
      <c r="I86" s="20" t="str">
        <f>IFERROR(INDEX('Detalles movimientos'!M$5:M$1004, MATCH(77, 'Detalles movimientos'!$W$5:$W$1004, 0)), "")</f>
        <v/>
      </c>
      <c r="J86" s="19" t="str">
        <f>IFERROR(INDEX('Detalles movimientos'!N$5:N$1004, MATCH(77, 'Detalles movimientos'!$W$5:$W$1004, 0)), "")</f>
        <v/>
      </c>
      <c r="K86" s="20" t="str">
        <f>IFERROR(INDEX('Detalles movimientos'!O$5:O$1004, MATCH(77, 'Detalles movimientos'!$W$5:$W$1004, 0)), "")</f>
        <v/>
      </c>
      <c r="L86" s="18" t="str">
        <f>IFERROR(INDEX('Detalles movimientos'!P$5:P$1004, MATCH(77, 'Detalles movimientos'!$W$5:$W$1004, 0)), "")</f>
        <v/>
      </c>
      <c r="M86" s="18" t="str">
        <f>IFERROR(INDEX('Detalles movimientos'!S$5:S$1004, MATCH(77, 'Detalles movimientos'!$W$5:$W$1004, 0)), "")</f>
        <v/>
      </c>
    </row>
    <row r="87" spans="2:13">
      <c r="B87" s="17" t="str">
        <f>IFERROR(INDEX('Detalles movimientos'!C$5:C$1004, MATCH(78, 'Detalles movimientos'!$W$5:$W$1004, 0)), "")</f>
        <v/>
      </c>
      <c r="C87" s="18" t="str">
        <f>IFERROR(INDEX('Detalles movimientos'!D$5:D$1004, MATCH(78, 'Detalles movimientos'!$W$5:$W$1004, 0)), "")</f>
        <v/>
      </c>
      <c r="D87" s="19" t="str">
        <f>IFERROR(INDEX('Detalles movimientos'!E$5:E$1004, MATCH(78, 'Detalles movimientos'!$W$5:$W$1004, 0)), "")</f>
        <v/>
      </c>
      <c r="E87" s="19" t="str">
        <f>IFERROR(INDEX('Detalles movimientos'!F$5:F$1004, MATCH(78, 'Detalles movimientos'!$W$5:$W$1004, 0)), "")</f>
        <v/>
      </c>
      <c r="F87" s="18" t="str">
        <f>IFERROR(INDEX('Detalles movimientos'!G$5:G$1004, MATCH(78, 'Detalles movimientos'!$W$5:$W$1004, 0)), "")</f>
        <v/>
      </c>
      <c r="G87" s="20" t="str">
        <f>IFERROR(INDEX('Detalles movimientos'!H$5:H$1004, MATCH(78, 'Detalles movimientos'!$W$5:$W$1004, 0)), "")</f>
        <v/>
      </c>
      <c r="H87" s="21" t="str">
        <f>IFERROR(INDEX('Detalles movimientos'!I$5:I$1004, MATCH(78, 'Detalles movimientos'!$W$5:$W$1004, 0)), "")</f>
        <v/>
      </c>
      <c r="I87" s="20" t="str">
        <f>IFERROR(INDEX('Detalles movimientos'!M$5:M$1004, MATCH(78, 'Detalles movimientos'!$W$5:$W$1004, 0)), "")</f>
        <v/>
      </c>
      <c r="J87" s="19" t="str">
        <f>IFERROR(INDEX('Detalles movimientos'!N$5:N$1004, MATCH(78, 'Detalles movimientos'!$W$5:$W$1004, 0)), "")</f>
        <v/>
      </c>
      <c r="K87" s="20" t="str">
        <f>IFERROR(INDEX('Detalles movimientos'!O$5:O$1004, MATCH(78, 'Detalles movimientos'!$W$5:$W$1004, 0)), "")</f>
        <v/>
      </c>
      <c r="L87" s="18" t="str">
        <f>IFERROR(INDEX('Detalles movimientos'!P$5:P$1004, MATCH(78, 'Detalles movimientos'!$W$5:$W$1004, 0)), "")</f>
        <v/>
      </c>
      <c r="M87" s="18" t="str">
        <f>IFERROR(INDEX('Detalles movimientos'!S$5:S$1004, MATCH(78, 'Detalles movimientos'!$W$5:$W$1004, 0)), "")</f>
        <v/>
      </c>
    </row>
    <row r="88" spans="2:13">
      <c r="B88" s="17" t="str">
        <f>IFERROR(INDEX('Detalles movimientos'!C$5:C$1004, MATCH(79, 'Detalles movimientos'!$W$5:$W$1004, 0)), "")</f>
        <v/>
      </c>
      <c r="C88" s="18" t="str">
        <f>IFERROR(INDEX('Detalles movimientos'!D$5:D$1004, MATCH(79, 'Detalles movimientos'!$W$5:$W$1004, 0)), "")</f>
        <v/>
      </c>
      <c r="D88" s="19" t="str">
        <f>IFERROR(INDEX('Detalles movimientos'!E$5:E$1004, MATCH(79, 'Detalles movimientos'!$W$5:$W$1004, 0)), "")</f>
        <v/>
      </c>
      <c r="E88" s="19" t="str">
        <f>IFERROR(INDEX('Detalles movimientos'!F$5:F$1004, MATCH(79, 'Detalles movimientos'!$W$5:$W$1004, 0)), "")</f>
        <v/>
      </c>
      <c r="F88" s="18" t="str">
        <f>IFERROR(INDEX('Detalles movimientos'!G$5:G$1004, MATCH(79, 'Detalles movimientos'!$W$5:$W$1004, 0)), "")</f>
        <v/>
      </c>
      <c r="G88" s="20" t="str">
        <f>IFERROR(INDEX('Detalles movimientos'!H$5:H$1004, MATCH(79, 'Detalles movimientos'!$W$5:$W$1004, 0)), "")</f>
        <v/>
      </c>
      <c r="H88" s="21" t="str">
        <f>IFERROR(INDEX('Detalles movimientos'!I$5:I$1004, MATCH(79, 'Detalles movimientos'!$W$5:$W$1004, 0)), "")</f>
        <v/>
      </c>
      <c r="I88" s="20" t="str">
        <f>IFERROR(INDEX('Detalles movimientos'!M$5:M$1004, MATCH(79, 'Detalles movimientos'!$W$5:$W$1004, 0)), "")</f>
        <v/>
      </c>
      <c r="J88" s="19" t="str">
        <f>IFERROR(INDEX('Detalles movimientos'!N$5:N$1004, MATCH(79, 'Detalles movimientos'!$W$5:$W$1004, 0)), "")</f>
        <v/>
      </c>
      <c r="K88" s="20" t="str">
        <f>IFERROR(INDEX('Detalles movimientos'!O$5:O$1004, MATCH(79, 'Detalles movimientos'!$W$5:$W$1004, 0)), "")</f>
        <v/>
      </c>
      <c r="L88" s="18" t="str">
        <f>IFERROR(INDEX('Detalles movimientos'!P$5:P$1004, MATCH(79, 'Detalles movimientos'!$W$5:$W$1004, 0)), "")</f>
        <v/>
      </c>
      <c r="M88" s="18" t="str">
        <f>IFERROR(INDEX('Detalles movimientos'!S$5:S$1004, MATCH(79, 'Detalles movimientos'!$W$5:$W$1004, 0)), "")</f>
        <v/>
      </c>
    </row>
    <row r="89" spans="2:13">
      <c r="B89" s="17" t="str">
        <f>IFERROR(INDEX('Detalles movimientos'!C$5:C$1004, MATCH(80, 'Detalles movimientos'!$W$5:$W$1004, 0)), "")</f>
        <v/>
      </c>
      <c r="C89" s="18" t="str">
        <f>IFERROR(INDEX('Detalles movimientos'!D$5:D$1004, MATCH(80, 'Detalles movimientos'!$W$5:$W$1004, 0)), "")</f>
        <v/>
      </c>
      <c r="D89" s="19" t="str">
        <f>IFERROR(INDEX('Detalles movimientos'!E$5:E$1004, MATCH(80, 'Detalles movimientos'!$W$5:$W$1004, 0)), "")</f>
        <v/>
      </c>
      <c r="E89" s="19" t="str">
        <f>IFERROR(INDEX('Detalles movimientos'!F$5:F$1004, MATCH(80, 'Detalles movimientos'!$W$5:$W$1004, 0)), "")</f>
        <v/>
      </c>
      <c r="F89" s="18" t="str">
        <f>IFERROR(INDEX('Detalles movimientos'!G$5:G$1004, MATCH(80, 'Detalles movimientos'!$W$5:$W$1004, 0)), "")</f>
        <v/>
      </c>
      <c r="G89" s="20" t="str">
        <f>IFERROR(INDEX('Detalles movimientos'!H$5:H$1004, MATCH(80, 'Detalles movimientos'!$W$5:$W$1004, 0)), "")</f>
        <v/>
      </c>
      <c r="H89" s="21" t="str">
        <f>IFERROR(INDEX('Detalles movimientos'!I$5:I$1004, MATCH(80, 'Detalles movimientos'!$W$5:$W$1004, 0)), "")</f>
        <v/>
      </c>
      <c r="I89" s="20" t="str">
        <f>IFERROR(INDEX('Detalles movimientos'!M$5:M$1004, MATCH(80, 'Detalles movimientos'!$W$5:$W$1004, 0)), "")</f>
        <v/>
      </c>
      <c r="J89" s="19" t="str">
        <f>IFERROR(INDEX('Detalles movimientos'!N$5:N$1004, MATCH(80, 'Detalles movimientos'!$W$5:$W$1004, 0)), "")</f>
        <v/>
      </c>
      <c r="K89" s="20" t="str">
        <f>IFERROR(INDEX('Detalles movimientos'!O$5:O$1004, MATCH(80, 'Detalles movimientos'!$W$5:$W$1004, 0)), "")</f>
        <v/>
      </c>
      <c r="L89" s="18" t="str">
        <f>IFERROR(INDEX('Detalles movimientos'!P$5:P$1004, MATCH(80, 'Detalles movimientos'!$W$5:$W$1004, 0)), "")</f>
        <v/>
      </c>
      <c r="M89" s="18" t="str">
        <f>IFERROR(INDEX('Detalles movimientos'!S$5:S$1004, MATCH(80, 'Detalles movimientos'!$W$5:$W$1004, 0)), "")</f>
        <v/>
      </c>
    </row>
    <row r="90" spans="2:13">
      <c r="B90" s="17" t="str">
        <f>IFERROR(INDEX('Detalles movimientos'!C$5:C$1004, MATCH(81, 'Detalles movimientos'!$W$5:$W$1004, 0)), "")</f>
        <v/>
      </c>
      <c r="C90" s="18" t="str">
        <f>IFERROR(INDEX('Detalles movimientos'!D$5:D$1004, MATCH(81, 'Detalles movimientos'!$W$5:$W$1004, 0)), "")</f>
        <v/>
      </c>
      <c r="D90" s="19" t="str">
        <f>IFERROR(INDEX('Detalles movimientos'!E$5:E$1004, MATCH(81, 'Detalles movimientos'!$W$5:$W$1004, 0)), "")</f>
        <v/>
      </c>
      <c r="E90" s="19" t="str">
        <f>IFERROR(INDEX('Detalles movimientos'!F$5:F$1004, MATCH(81, 'Detalles movimientos'!$W$5:$W$1004, 0)), "")</f>
        <v/>
      </c>
      <c r="F90" s="18" t="str">
        <f>IFERROR(INDEX('Detalles movimientos'!G$5:G$1004, MATCH(81, 'Detalles movimientos'!$W$5:$W$1004, 0)), "")</f>
        <v/>
      </c>
      <c r="G90" s="20" t="str">
        <f>IFERROR(INDEX('Detalles movimientos'!H$5:H$1004, MATCH(81, 'Detalles movimientos'!$W$5:$W$1004, 0)), "")</f>
        <v/>
      </c>
      <c r="H90" s="21" t="str">
        <f>IFERROR(INDEX('Detalles movimientos'!I$5:I$1004, MATCH(81, 'Detalles movimientos'!$W$5:$W$1004, 0)), "")</f>
        <v/>
      </c>
      <c r="I90" s="20" t="str">
        <f>IFERROR(INDEX('Detalles movimientos'!M$5:M$1004, MATCH(81, 'Detalles movimientos'!$W$5:$W$1004, 0)), "")</f>
        <v/>
      </c>
      <c r="J90" s="19" t="str">
        <f>IFERROR(INDEX('Detalles movimientos'!N$5:N$1004, MATCH(81, 'Detalles movimientos'!$W$5:$W$1004, 0)), "")</f>
        <v/>
      </c>
      <c r="K90" s="20" t="str">
        <f>IFERROR(INDEX('Detalles movimientos'!O$5:O$1004, MATCH(81, 'Detalles movimientos'!$W$5:$W$1004, 0)), "")</f>
        <v/>
      </c>
      <c r="L90" s="18" t="str">
        <f>IFERROR(INDEX('Detalles movimientos'!P$5:P$1004, MATCH(81, 'Detalles movimientos'!$W$5:$W$1004, 0)), "")</f>
        <v/>
      </c>
      <c r="M90" s="18" t="str">
        <f>IFERROR(INDEX('Detalles movimientos'!S$5:S$1004, MATCH(81, 'Detalles movimientos'!$W$5:$W$1004, 0)), "")</f>
        <v/>
      </c>
    </row>
    <row r="91" spans="2:13">
      <c r="B91" s="17" t="str">
        <f>IFERROR(INDEX('Detalles movimientos'!C$5:C$1004, MATCH(82, 'Detalles movimientos'!$W$5:$W$1004, 0)), "")</f>
        <v/>
      </c>
      <c r="C91" s="18" t="str">
        <f>IFERROR(INDEX('Detalles movimientos'!D$5:D$1004, MATCH(82, 'Detalles movimientos'!$W$5:$W$1004, 0)), "")</f>
        <v/>
      </c>
      <c r="D91" s="19" t="str">
        <f>IFERROR(INDEX('Detalles movimientos'!E$5:E$1004, MATCH(82, 'Detalles movimientos'!$W$5:$W$1004, 0)), "")</f>
        <v/>
      </c>
      <c r="E91" s="19" t="str">
        <f>IFERROR(INDEX('Detalles movimientos'!F$5:F$1004, MATCH(82, 'Detalles movimientos'!$W$5:$W$1004, 0)), "")</f>
        <v/>
      </c>
      <c r="F91" s="18" t="str">
        <f>IFERROR(INDEX('Detalles movimientos'!G$5:G$1004, MATCH(82, 'Detalles movimientos'!$W$5:$W$1004, 0)), "")</f>
        <v/>
      </c>
      <c r="G91" s="20" t="str">
        <f>IFERROR(INDEX('Detalles movimientos'!H$5:H$1004, MATCH(82, 'Detalles movimientos'!$W$5:$W$1004, 0)), "")</f>
        <v/>
      </c>
      <c r="H91" s="21" t="str">
        <f>IFERROR(INDEX('Detalles movimientos'!I$5:I$1004, MATCH(82, 'Detalles movimientos'!$W$5:$W$1004, 0)), "")</f>
        <v/>
      </c>
      <c r="I91" s="20" t="str">
        <f>IFERROR(INDEX('Detalles movimientos'!M$5:M$1004, MATCH(82, 'Detalles movimientos'!$W$5:$W$1004, 0)), "")</f>
        <v/>
      </c>
      <c r="J91" s="19" t="str">
        <f>IFERROR(INDEX('Detalles movimientos'!N$5:N$1004, MATCH(82, 'Detalles movimientos'!$W$5:$W$1004, 0)), "")</f>
        <v/>
      </c>
      <c r="K91" s="20" t="str">
        <f>IFERROR(INDEX('Detalles movimientos'!O$5:O$1004, MATCH(82, 'Detalles movimientos'!$W$5:$W$1004, 0)), "")</f>
        <v/>
      </c>
      <c r="L91" s="18" t="str">
        <f>IFERROR(INDEX('Detalles movimientos'!P$5:P$1004, MATCH(82, 'Detalles movimientos'!$W$5:$W$1004, 0)), "")</f>
        <v/>
      </c>
      <c r="M91" s="18" t="str">
        <f>IFERROR(INDEX('Detalles movimientos'!S$5:S$1004, MATCH(82, 'Detalles movimientos'!$W$5:$W$1004, 0)), "")</f>
        <v/>
      </c>
    </row>
    <row r="92" spans="2:13">
      <c r="B92" s="17" t="str">
        <f>IFERROR(INDEX('Detalles movimientos'!C$5:C$1004, MATCH(83, 'Detalles movimientos'!$W$5:$W$1004, 0)), "")</f>
        <v/>
      </c>
      <c r="C92" s="18" t="str">
        <f>IFERROR(INDEX('Detalles movimientos'!D$5:D$1004, MATCH(83, 'Detalles movimientos'!$W$5:$W$1004, 0)), "")</f>
        <v/>
      </c>
      <c r="D92" s="19" t="str">
        <f>IFERROR(INDEX('Detalles movimientos'!E$5:E$1004, MATCH(83, 'Detalles movimientos'!$W$5:$W$1004, 0)), "")</f>
        <v/>
      </c>
      <c r="E92" s="19" t="str">
        <f>IFERROR(INDEX('Detalles movimientos'!F$5:F$1004, MATCH(83, 'Detalles movimientos'!$W$5:$W$1004, 0)), "")</f>
        <v/>
      </c>
      <c r="F92" s="18" t="str">
        <f>IFERROR(INDEX('Detalles movimientos'!G$5:G$1004, MATCH(83, 'Detalles movimientos'!$W$5:$W$1004, 0)), "")</f>
        <v/>
      </c>
      <c r="G92" s="20" t="str">
        <f>IFERROR(INDEX('Detalles movimientos'!H$5:H$1004, MATCH(83, 'Detalles movimientos'!$W$5:$W$1004, 0)), "")</f>
        <v/>
      </c>
      <c r="H92" s="21" t="str">
        <f>IFERROR(INDEX('Detalles movimientos'!I$5:I$1004, MATCH(83, 'Detalles movimientos'!$W$5:$W$1004, 0)), "")</f>
        <v/>
      </c>
      <c r="I92" s="20" t="str">
        <f>IFERROR(INDEX('Detalles movimientos'!M$5:M$1004, MATCH(83, 'Detalles movimientos'!$W$5:$W$1004, 0)), "")</f>
        <v/>
      </c>
      <c r="J92" s="19" t="str">
        <f>IFERROR(INDEX('Detalles movimientos'!N$5:N$1004, MATCH(83, 'Detalles movimientos'!$W$5:$W$1004, 0)), "")</f>
        <v/>
      </c>
      <c r="K92" s="20" t="str">
        <f>IFERROR(INDEX('Detalles movimientos'!O$5:O$1004, MATCH(83, 'Detalles movimientos'!$W$5:$W$1004, 0)), "")</f>
        <v/>
      </c>
      <c r="L92" s="18" t="str">
        <f>IFERROR(INDEX('Detalles movimientos'!P$5:P$1004, MATCH(83, 'Detalles movimientos'!$W$5:$W$1004, 0)), "")</f>
        <v/>
      </c>
      <c r="M92" s="18" t="str">
        <f>IFERROR(INDEX('Detalles movimientos'!S$5:S$1004, MATCH(83, 'Detalles movimientos'!$W$5:$W$1004, 0)), "")</f>
        <v/>
      </c>
    </row>
    <row r="93" spans="2:13">
      <c r="B93" s="17" t="str">
        <f>IFERROR(INDEX('Detalles movimientos'!C$5:C$1004, MATCH(84, 'Detalles movimientos'!$W$5:$W$1004, 0)), "")</f>
        <v/>
      </c>
      <c r="C93" s="18" t="str">
        <f>IFERROR(INDEX('Detalles movimientos'!D$5:D$1004, MATCH(84, 'Detalles movimientos'!$W$5:$W$1004, 0)), "")</f>
        <v/>
      </c>
      <c r="D93" s="19" t="str">
        <f>IFERROR(INDEX('Detalles movimientos'!E$5:E$1004, MATCH(84, 'Detalles movimientos'!$W$5:$W$1004, 0)), "")</f>
        <v/>
      </c>
      <c r="E93" s="19" t="str">
        <f>IFERROR(INDEX('Detalles movimientos'!F$5:F$1004, MATCH(84, 'Detalles movimientos'!$W$5:$W$1004, 0)), "")</f>
        <v/>
      </c>
      <c r="F93" s="18" t="str">
        <f>IFERROR(INDEX('Detalles movimientos'!G$5:G$1004, MATCH(84, 'Detalles movimientos'!$W$5:$W$1004, 0)), "")</f>
        <v/>
      </c>
      <c r="G93" s="20" t="str">
        <f>IFERROR(INDEX('Detalles movimientos'!H$5:H$1004, MATCH(84, 'Detalles movimientos'!$W$5:$W$1004, 0)), "")</f>
        <v/>
      </c>
      <c r="H93" s="21" t="str">
        <f>IFERROR(INDEX('Detalles movimientos'!I$5:I$1004, MATCH(84, 'Detalles movimientos'!$W$5:$W$1004, 0)), "")</f>
        <v/>
      </c>
      <c r="I93" s="20" t="str">
        <f>IFERROR(INDEX('Detalles movimientos'!M$5:M$1004, MATCH(84, 'Detalles movimientos'!$W$5:$W$1004, 0)), "")</f>
        <v/>
      </c>
      <c r="J93" s="19" t="str">
        <f>IFERROR(INDEX('Detalles movimientos'!N$5:N$1004, MATCH(84, 'Detalles movimientos'!$W$5:$W$1004, 0)), "")</f>
        <v/>
      </c>
      <c r="K93" s="20" t="str">
        <f>IFERROR(INDEX('Detalles movimientos'!O$5:O$1004, MATCH(84, 'Detalles movimientos'!$W$5:$W$1004, 0)), "")</f>
        <v/>
      </c>
      <c r="L93" s="18" t="str">
        <f>IFERROR(INDEX('Detalles movimientos'!P$5:P$1004, MATCH(84, 'Detalles movimientos'!$W$5:$W$1004, 0)), "")</f>
        <v/>
      </c>
      <c r="M93" s="18" t="str">
        <f>IFERROR(INDEX('Detalles movimientos'!S$5:S$1004, MATCH(84, 'Detalles movimientos'!$W$5:$W$1004, 0)), "")</f>
        <v/>
      </c>
    </row>
    <row r="94" spans="2:13">
      <c r="B94" s="17" t="str">
        <f>IFERROR(INDEX('Detalles movimientos'!C$5:C$1004, MATCH(85, 'Detalles movimientos'!$W$5:$W$1004, 0)), "")</f>
        <v/>
      </c>
      <c r="C94" s="18" t="str">
        <f>IFERROR(INDEX('Detalles movimientos'!D$5:D$1004, MATCH(85, 'Detalles movimientos'!$W$5:$W$1004, 0)), "")</f>
        <v/>
      </c>
      <c r="D94" s="19" t="str">
        <f>IFERROR(INDEX('Detalles movimientos'!E$5:E$1004, MATCH(85, 'Detalles movimientos'!$W$5:$W$1004, 0)), "")</f>
        <v/>
      </c>
      <c r="E94" s="19" t="str">
        <f>IFERROR(INDEX('Detalles movimientos'!F$5:F$1004, MATCH(85, 'Detalles movimientos'!$W$5:$W$1004, 0)), "")</f>
        <v/>
      </c>
      <c r="F94" s="18" t="str">
        <f>IFERROR(INDEX('Detalles movimientos'!G$5:G$1004, MATCH(85, 'Detalles movimientos'!$W$5:$W$1004, 0)), "")</f>
        <v/>
      </c>
      <c r="G94" s="20" t="str">
        <f>IFERROR(INDEX('Detalles movimientos'!H$5:H$1004, MATCH(85, 'Detalles movimientos'!$W$5:$W$1004, 0)), "")</f>
        <v/>
      </c>
      <c r="H94" s="21" t="str">
        <f>IFERROR(INDEX('Detalles movimientos'!I$5:I$1004, MATCH(85, 'Detalles movimientos'!$W$5:$W$1004, 0)), "")</f>
        <v/>
      </c>
      <c r="I94" s="20" t="str">
        <f>IFERROR(INDEX('Detalles movimientos'!M$5:M$1004, MATCH(85, 'Detalles movimientos'!$W$5:$W$1004, 0)), "")</f>
        <v/>
      </c>
      <c r="J94" s="19" t="str">
        <f>IFERROR(INDEX('Detalles movimientos'!N$5:N$1004, MATCH(85, 'Detalles movimientos'!$W$5:$W$1004, 0)), "")</f>
        <v/>
      </c>
      <c r="K94" s="20" t="str">
        <f>IFERROR(INDEX('Detalles movimientos'!O$5:O$1004, MATCH(85, 'Detalles movimientos'!$W$5:$W$1004, 0)), "")</f>
        <v/>
      </c>
      <c r="L94" s="18" t="str">
        <f>IFERROR(INDEX('Detalles movimientos'!P$5:P$1004, MATCH(85, 'Detalles movimientos'!$W$5:$W$1004, 0)), "")</f>
        <v/>
      </c>
      <c r="M94" s="18" t="str">
        <f>IFERROR(INDEX('Detalles movimientos'!S$5:S$1004, MATCH(85, 'Detalles movimientos'!$W$5:$W$1004, 0)), "")</f>
        <v/>
      </c>
    </row>
    <row r="95" spans="2:13">
      <c r="B95" s="17" t="str">
        <f>IFERROR(INDEX('Detalles movimientos'!C$5:C$1004, MATCH(86, 'Detalles movimientos'!$W$5:$W$1004, 0)), "")</f>
        <v/>
      </c>
      <c r="C95" s="18" t="str">
        <f>IFERROR(INDEX('Detalles movimientos'!D$5:D$1004, MATCH(86, 'Detalles movimientos'!$W$5:$W$1004, 0)), "")</f>
        <v/>
      </c>
      <c r="D95" s="19" t="str">
        <f>IFERROR(INDEX('Detalles movimientos'!E$5:E$1004, MATCH(86, 'Detalles movimientos'!$W$5:$W$1004, 0)), "")</f>
        <v/>
      </c>
      <c r="E95" s="19" t="str">
        <f>IFERROR(INDEX('Detalles movimientos'!F$5:F$1004, MATCH(86, 'Detalles movimientos'!$W$5:$W$1004, 0)), "")</f>
        <v/>
      </c>
      <c r="F95" s="18" t="str">
        <f>IFERROR(INDEX('Detalles movimientos'!G$5:G$1004, MATCH(86, 'Detalles movimientos'!$W$5:$W$1004, 0)), "")</f>
        <v/>
      </c>
      <c r="G95" s="20" t="str">
        <f>IFERROR(INDEX('Detalles movimientos'!H$5:H$1004, MATCH(86, 'Detalles movimientos'!$W$5:$W$1004, 0)), "")</f>
        <v/>
      </c>
      <c r="H95" s="21" t="str">
        <f>IFERROR(INDEX('Detalles movimientos'!I$5:I$1004, MATCH(86, 'Detalles movimientos'!$W$5:$W$1004, 0)), "")</f>
        <v/>
      </c>
      <c r="I95" s="20" t="str">
        <f>IFERROR(INDEX('Detalles movimientos'!M$5:M$1004, MATCH(86, 'Detalles movimientos'!$W$5:$W$1004, 0)), "")</f>
        <v/>
      </c>
      <c r="J95" s="19" t="str">
        <f>IFERROR(INDEX('Detalles movimientos'!N$5:N$1004, MATCH(86, 'Detalles movimientos'!$W$5:$W$1004, 0)), "")</f>
        <v/>
      </c>
      <c r="K95" s="20" t="str">
        <f>IFERROR(INDEX('Detalles movimientos'!O$5:O$1004, MATCH(86, 'Detalles movimientos'!$W$5:$W$1004, 0)), "")</f>
        <v/>
      </c>
      <c r="L95" s="18" t="str">
        <f>IFERROR(INDEX('Detalles movimientos'!P$5:P$1004, MATCH(86, 'Detalles movimientos'!$W$5:$W$1004, 0)), "")</f>
        <v/>
      </c>
      <c r="M95" s="18" t="str">
        <f>IFERROR(INDEX('Detalles movimientos'!S$5:S$1004, MATCH(86, 'Detalles movimientos'!$W$5:$W$1004, 0)), "")</f>
        <v/>
      </c>
    </row>
    <row r="96" spans="2:13">
      <c r="B96" s="17" t="str">
        <f>IFERROR(INDEX('Detalles movimientos'!C$5:C$1004, MATCH(87, 'Detalles movimientos'!$W$5:$W$1004, 0)), "")</f>
        <v/>
      </c>
      <c r="C96" s="18" t="str">
        <f>IFERROR(INDEX('Detalles movimientos'!D$5:D$1004, MATCH(87, 'Detalles movimientos'!$W$5:$W$1004, 0)), "")</f>
        <v/>
      </c>
      <c r="D96" s="19" t="str">
        <f>IFERROR(INDEX('Detalles movimientos'!E$5:E$1004, MATCH(87, 'Detalles movimientos'!$W$5:$W$1004, 0)), "")</f>
        <v/>
      </c>
      <c r="E96" s="19" t="str">
        <f>IFERROR(INDEX('Detalles movimientos'!F$5:F$1004, MATCH(87, 'Detalles movimientos'!$W$5:$W$1004, 0)), "")</f>
        <v/>
      </c>
      <c r="F96" s="18" t="str">
        <f>IFERROR(INDEX('Detalles movimientos'!G$5:G$1004, MATCH(87, 'Detalles movimientos'!$W$5:$W$1004, 0)), "")</f>
        <v/>
      </c>
      <c r="G96" s="20" t="str">
        <f>IFERROR(INDEX('Detalles movimientos'!H$5:H$1004, MATCH(87, 'Detalles movimientos'!$W$5:$W$1004, 0)), "")</f>
        <v/>
      </c>
      <c r="H96" s="21" t="str">
        <f>IFERROR(INDEX('Detalles movimientos'!I$5:I$1004, MATCH(87, 'Detalles movimientos'!$W$5:$W$1004, 0)), "")</f>
        <v/>
      </c>
      <c r="I96" s="20" t="str">
        <f>IFERROR(INDEX('Detalles movimientos'!M$5:M$1004, MATCH(87, 'Detalles movimientos'!$W$5:$W$1004, 0)), "")</f>
        <v/>
      </c>
      <c r="J96" s="19" t="str">
        <f>IFERROR(INDEX('Detalles movimientos'!N$5:N$1004, MATCH(87, 'Detalles movimientos'!$W$5:$W$1004, 0)), "")</f>
        <v/>
      </c>
      <c r="K96" s="20" t="str">
        <f>IFERROR(INDEX('Detalles movimientos'!O$5:O$1004, MATCH(87, 'Detalles movimientos'!$W$5:$W$1004, 0)), "")</f>
        <v/>
      </c>
      <c r="L96" s="18" t="str">
        <f>IFERROR(INDEX('Detalles movimientos'!P$5:P$1004, MATCH(87, 'Detalles movimientos'!$W$5:$W$1004, 0)), "")</f>
        <v/>
      </c>
      <c r="M96" s="18" t="str">
        <f>IFERROR(INDEX('Detalles movimientos'!S$5:S$1004, MATCH(87, 'Detalles movimientos'!$W$5:$W$1004, 0)), "")</f>
        <v/>
      </c>
    </row>
    <row r="97" spans="2:13">
      <c r="B97" s="17" t="str">
        <f>IFERROR(INDEX('Detalles movimientos'!C$5:C$1004, MATCH(88, 'Detalles movimientos'!$W$5:$W$1004, 0)), "")</f>
        <v/>
      </c>
      <c r="C97" s="18" t="str">
        <f>IFERROR(INDEX('Detalles movimientos'!D$5:D$1004, MATCH(88, 'Detalles movimientos'!$W$5:$W$1004, 0)), "")</f>
        <v/>
      </c>
      <c r="D97" s="19" t="str">
        <f>IFERROR(INDEX('Detalles movimientos'!E$5:E$1004, MATCH(88, 'Detalles movimientos'!$W$5:$W$1004, 0)), "")</f>
        <v/>
      </c>
      <c r="E97" s="19" t="str">
        <f>IFERROR(INDEX('Detalles movimientos'!F$5:F$1004, MATCH(88, 'Detalles movimientos'!$W$5:$W$1004, 0)), "")</f>
        <v/>
      </c>
      <c r="F97" s="18" t="str">
        <f>IFERROR(INDEX('Detalles movimientos'!G$5:G$1004, MATCH(88, 'Detalles movimientos'!$W$5:$W$1004, 0)), "")</f>
        <v/>
      </c>
      <c r="G97" s="20" t="str">
        <f>IFERROR(INDEX('Detalles movimientos'!H$5:H$1004, MATCH(88, 'Detalles movimientos'!$W$5:$W$1004, 0)), "")</f>
        <v/>
      </c>
      <c r="H97" s="21" t="str">
        <f>IFERROR(INDEX('Detalles movimientos'!I$5:I$1004, MATCH(88, 'Detalles movimientos'!$W$5:$W$1004, 0)), "")</f>
        <v/>
      </c>
      <c r="I97" s="20" t="str">
        <f>IFERROR(INDEX('Detalles movimientos'!M$5:M$1004, MATCH(88, 'Detalles movimientos'!$W$5:$W$1004, 0)), "")</f>
        <v/>
      </c>
      <c r="J97" s="19" t="str">
        <f>IFERROR(INDEX('Detalles movimientos'!N$5:N$1004, MATCH(88, 'Detalles movimientos'!$W$5:$W$1004, 0)), "")</f>
        <v/>
      </c>
      <c r="K97" s="20" t="str">
        <f>IFERROR(INDEX('Detalles movimientos'!O$5:O$1004, MATCH(88, 'Detalles movimientos'!$W$5:$W$1004, 0)), "")</f>
        <v/>
      </c>
      <c r="L97" s="18" t="str">
        <f>IFERROR(INDEX('Detalles movimientos'!P$5:P$1004, MATCH(88, 'Detalles movimientos'!$W$5:$W$1004, 0)), "")</f>
        <v/>
      </c>
      <c r="M97" s="18" t="str">
        <f>IFERROR(INDEX('Detalles movimientos'!S$5:S$1004, MATCH(88, 'Detalles movimientos'!$W$5:$W$1004, 0)), "")</f>
        <v/>
      </c>
    </row>
    <row r="98" spans="2:13">
      <c r="B98" s="17" t="str">
        <f>IFERROR(INDEX('Detalles movimientos'!C$5:C$1004, MATCH(89, 'Detalles movimientos'!$W$5:$W$1004, 0)), "")</f>
        <v/>
      </c>
      <c r="C98" s="18" t="str">
        <f>IFERROR(INDEX('Detalles movimientos'!D$5:D$1004, MATCH(89, 'Detalles movimientos'!$W$5:$W$1004, 0)), "")</f>
        <v/>
      </c>
      <c r="D98" s="19" t="str">
        <f>IFERROR(INDEX('Detalles movimientos'!E$5:E$1004, MATCH(89, 'Detalles movimientos'!$W$5:$W$1004, 0)), "")</f>
        <v/>
      </c>
      <c r="E98" s="19" t="str">
        <f>IFERROR(INDEX('Detalles movimientos'!F$5:F$1004, MATCH(89, 'Detalles movimientos'!$W$5:$W$1004, 0)), "")</f>
        <v/>
      </c>
      <c r="F98" s="18" t="str">
        <f>IFERROR(INDEX('Detalles movimientos'!G$5:G$1004, MATCH(89, 'Detalles movimientos'!$W$5:$W$1004, 0)), "")</f>
        <v/>
      </c>
      <c r="G98" s="20" t="str">
        <f>IFERROR(INDEX('Detalles movimientos'!H$5:H$1004, MATCH(89, 'Detalles movimientos'!$W$5:$W$1004, 0)), "")</f>
        <v/>
      </c>
      <c r="H98" s="21" t="str">
        <f>IFERROR(INDEX('Detalles movimientos'!I$5:I$1004, MATCH(89, 'Detalles movimientos'!$W$5:$W$1004, 0)), "")</f>
        <v/>
      </c>
      <c r="I98" s="20" t="str">
        <f>IFERROR(INDEX('Detalles movimientos'!M$5:M$1004, MATCH(89, 'Detalles movimientos'!$W$5:$W$1004, 0)), "")</f>
        <v/>
      </c>
      <c r="J98" s="19" t="str">
        <f>IFERROR(INDEX('Detalles movimientos'!N$5:N$1004, MATCH(89, 'Detalles movimientos'!$W$5:$W$1004, 0)), "")</f>
        <v/>
      </c>
      <c r="K98" s="20" t="str">
        <f>IFERROR(INDEX('Detalles movimientos'!O$5:O$1004, MATCH(89, 'Detalles movimientos'!$W$5:$W$1004, 0)), "")</f>
        <v/>
      </c>
      <c r="L98" s="18" t="str">
        <f>IFERROR(INDEX('Detalles movimientos'!P$5:P$1004, MATCH(89, 'Detalles movimientos'!$W$5:$W$1004, 0)), "")</f>
        <v/>
      </c>
      <c r="M98" s="18" t="str">
        <f>IFERROR(INDEX('Detalles movimientos'!S$5:S$1004, MATCH(89, 'Detalles movimientos'!$W$5:$W$1004, 0)), "")</f>
        <v/>
      </c>
    </row>
    <row r="99" spans="2:13">
      <c r="B99" s="17" t="str">
        <f>IFERROR(INDEX('Detalles movimientos'!C$5:C$1004, MATCH(90, 'Detalles movimientos'!$W$5:$W$1004, 0)), "")</f>
        <v/>
      </c>
      <c r="C99" s="18" t="str">
        <f>IFERROR(INDEX('Detalles movimientos'!D$5:D$1004, MATCH(90, 'Detalles movimientos'!$W$5:$W$1004, 0)), "")</f>
        <v/>
      </c>
      <c r="D99" s="19" t="str">
        <f>IFERROR(INDEX('Detalles movimientos'!E$5:E$1004, MATCH(90, 'Detalles movimientos'!$W$5:$W$1004, 0)), "")</f>
        <v/>
      </c>
      <c r="E99" s="19" t="str">
        <f>IFERROR(INDEX('Detalles movimientos'!F$5:F$1004, MATCH(90, 'Detalles movimientos'!$W$5:$W$1004, 0)), "")</f>
        <v/>
      </c>
      <c r="F99" s="18" t="str">
        <f>IFERROR(INDEX('Detalles movimientos'!G$5:G$1004, MATCH(90, 'Detalles movimientos'!$W$5:$W$1004, 0)), "")</f>
        <v/>
      </c>
      <c r="G99" s="20" t="str">
        <f>IFERROR(INDEX('Detalles movimientos'!H$5:H$1004, MATCH(90, 'Detalles movimientos'!$W$5:$W$1004, 0)), "")</f>
        <v/>
      </c>
      <c r="H99" s="21" t="str">
        <f>IFERROR(INDEX('Detalles movimientos'!I$5:I$1004, MATCH(90, 'Detalles movimientos'!$W$5:$W$1004, 0)), "")</f>
        <v/>
      </c>
      <c r="I99" s="20" t="str">
        <f>IFERROR(INDEX('Detalles movimientos'!M$5:M$1004, MATCH(90, 'Detalles movimientos'!$W$5:$W$1004, 0)), "")</f>
        <v/>
      </c>
      <c r="J99" s="19" t="str">
        <f>IFERROR(INDEX('Detalles movimientos'!N$5:N$1004, MATCH(90, 'Detalles movimientos'!$W$5:$W$1004, 0)), "")</f>
        <v/>
      </c>
      <c r="K99" s="20" t="str">
        <f>IFERROR(INDEX('Detalles movimientos'!O$5:O$1004, MATCH(90, 'Detalles movimientos'!$W$5:$W$1004, 0)), "")</f>
        <v/>
      </c>
      <c r="L99" s="18" t="str">
        <f>IFERROR(INDEX('Detalles movimientos'!P$5:P$1004, MATCH(90, 'Detalles movimientos'!$W$5:$W$1004, 0)), "")</f>
        <v/>
      </c>
      <c r="M99" s="18" t="str">
        <f>IFERROR(INDEX('Detalles movimientos'!S$5:S$1004, MATCH(90, 'Detalles movimientos'!$W$5:$W$1004, 0)), "")</f>
        <v/>
      </c>
    </row>
    <row r="100" spans="2:13">
      <c r="B100" s="17" t="str">
        <f>IFERROR(INDEX('Detalles movimientos'!C$5:C$1004, MATCH(91, 'Detalles movimientos'!$W$5:$W$1004, 0)), "")</f>
        <v/>
      </c>
      <c r="C100" s="18" t="str">
        <f>IFERROR(INDEX('Detalles movimientos'!D$5:D$1004, MATCH(91, 'Detalles movimientos'!$W$5:$W$1004, 0)), "")</f>
        <v/>
      </c>
      <c r="D100" s="19" t="str">
        <f>IFERROR(INDEX('Detalles movimientos'!E$5:E$1004, MATCH(91, 'Detalles movimientos'!$W$5:$W$1004, 0)), "")</f>
        <v/>
      </c>
      <c r="E100" s="19" t="str">
        <f>IFERROR(INDEX('Detalles movimientos'!F$5:F$1004, MATCH(91, 'Detalles movimientos'!$W$5:$W$1004, 0)), "")</f>
        <v/>
      </c>
      <c r="F100" s="18" t="str">
        <f>IFERROR(INDEX('Detalles movimientos'!G$5:G$1004, MATCH(91, 'Detalles movimientos'!$W$5:$W$1004, 0)), "")</f>
        <v/>
      </c>
      <c r="G100" s="20" t="str">
        <f>IFERROR(INDEX('Detalles movimientos'!H$5:H$1004, MATCH(91, 'Detalles movimientos'!$W$5:$W$1004, 0)), "")</f>
        <v/>
      </c>
      <c r="H100" s="21" t="str">
        <f>IFERROR(INDEX('Detalles movimientos'!I$5:I$1004, MATCH(91, 'Detalles movimientos'!$W$5:$W$1004, 0)), "")</f>
        <v/>
      </c>
      <c r="I100" s="20" t="str">
        <f>IFERROR(INDEX('Detalles movimientos'!M$5:M$1004, MATCH(91, 'Detalles movimientos'!$W$5:$W$1004, 0)), "")</f>
        <v/>
      </c>
      <c r="J100" s="19" t="str">
        <f>IFERROR(INDEX('Detalles movimientos'!N$5:N$1004, MATCH(91, 'Detalles movimientos'!$W$5:$W$1004, 0)), "")</f>
        <v/>
      </c>
      <c r="K100" s="20" t="str">
        <f>IFERROR(INDEX('Detalles movimientos'!O$5:O$1004, MATCH(91, 'Detalles movimientos'!$W$5:$W$1004, 0)), "")</f>
        <v/>
      </c>
      <c r="L100" s="18" t="str">
        <f>IFERROR(INDEX('Detalles movimientos'!P$5:P$1004, MATCH(91, 'Detalles movimientos'!$W$5:$W$1004, 0)), "")</f>
        <v/>
      </c>
      <c r="M100" s="18" t="str">
        <f>IFERROR(INDEX('Detalles movimientos'!S$5:S$1004, MATCH(91, 'Detalles movimientos'!$W$5:$W$1004, 0)), "")</f>
        <v/>
      </c>
    </row>
    <row r="101" spans="2:13">
      <c r="B101" s="17" t="str">
        <f>IFERROR(INDEX('Detalles movimientos'!C$5:C$1004, MATCH(92, 'Detalles movimientos'!$W$5:$W$1004, 0)), "")</f>
        <v/>
      </c>
      <c r="C101" s="18" t="str">
        <f>IFERROR(INDEX('Detalles movimientos'!D$5:D$1004, MATCH(92, 'Detalles movimientos'!$W$5:$W$1004, 0)), "")</f>
        <v/>
      </c>
      <c r="D101" s="19" t="str">
        <f>IFERROR(INDEX('Detalles movimientos'!E$5:E$1004, MATCH(92, 'Detalles movimientos'!$W$5:$W$1004, 0)), "")</f>
        <v/>
      </c>
      <c r="E101" s="19" t="str">
        <f>IFERROR(INDEX('Detalles movimientos'!F$5:F$1004, MATCH(92, 'Detalles movimientos'!$W$5:$W$1004, 0)), "")</f>
        <v/>
      </c>
      <c r="F101" s="18" t="str">
        <f>IFERROR(INDEX('Detalles movimientos'!G$5:G$1004, MATCH(92, 'Detalles movimientos'!$W$5:$W$1004, 0)), "")</f>
        <v/>
      </c>
      <c r="G101" s="20" t="str">
        <f>IFERROR(INDEX('Detalles movimientos'!H$5:H$1004, MATCH(92, 'Detalles movimientos'!$W$5:$W$1004, 0)), "")</f>
        <v/>
      </c>
      <c r="H101" s="21" t="str">
        <f>IFERROR(INDEX('Detalles movimientos'!I$5:I$1004, MATCH(92, 'Detalles movimientos'!$W$5:$W$1004, 0)), "")</f>
        <v/>
      </c>
      <c r="I101" s="20" t="str">
        <f>IFERROR(INDEX('Detalles movimientos'!M$5:M$1004, MATCH(92, 'Detalles movimientos'!$W$5:$W$1004, 0)), "")</f>
        <v/>
      </c>
      <c r="J101" s="19" t="str">
        <f>IFERROR(INDEX('Detalles movimientos'!N$5:N$1004, MATCH(92, 'Detalles movimientos'!$W$5:$W$1004, 0)), "")</f>
        <v/>
      </c>
      <c r="K101" s="20" t="str">
        <f>IFERROR(INDEX('Detalles movimientos'!O$5:O$1004, MATCH(92, 'Detalles movimientos'!$W$5:$W$1004, 0)), "")</f>
        <v/>
      </c>
      <c r="L101" s="18" t="str">
        <f>IFERROR(INDEX('Detalles movimientos'!P$5:P$1004, MATCH(92, 'Detalles movimientos'!$W$5:$W$1004, 0)), "")</f>
        <v/>
      </c>
      <c r="M101" s="18" t="str">
        <f>IFERROR(INDEX('Detalles movimientos'!S$5:S$1004, MATCH(92, 'Detalles movimientos'!$W$5:$W$1004, 0)), "")</f>
        <v/>
      </c>
    </row>
    <row r="102" spans="2:13">
      <c r="B102" s="17" t="str">
        <f>IFERROR(INDEX('Detalles movimientos'!C$5:C$1004, MATCH(93, 'Detalles movimientos'!$W$5:$W$1004, 0)), "")</f>
        <v/>
      </c>
      <c r="C102" s="18" t="str">
        <f>IFERROR(INDEX('Detalles movimientos'!D$5:D$1004, MATCH(93, 'Detalles movimientos'!$W$5:$W$1004, 0)), "")</f>
        <v/>
      </c>
      <c r="D102" s="19" t="str">
        <f>IFERROR(INDEX('Detalles movimientos'!E$5:E$1004, MATCH(93, 'Detalles movimientos'!$W$5:$W$1004, 0)), "")</f>
        <v/>
      </c>
      <c r="E102" s="19" t="str">
        <f>IFERROR(INDEX('Detalles movimientos'!F$5:F$1004, MATCH(93, 'Detalles movimientos'!$W$5:$W$1004, 0)), "")</f>
        <v/>
      </c>
      <c r="F102" s="18" t="str">
        <f>IFERROR(INDEX('Detalles movimientos'!G$5:G$1004, MATCH(93, 'Detalles movimientos'!$W$5:$W$1004, 0)), "")</f>
        <v/>
      </c>
      <c r="G102" s="20" t="str">
        <f>IFERROR(INDEX('Detalles movimientos'!H$5:H$1004, MATCH(93, 'Detalles movimientos'!$W$5:$W$1004, 0)), "")</f>
        <v/>
      </c>
      <c r="H102" s="21" t="str">
        <f>IFERROR(INDEX('Detalles movimientos'!I$5:I$1004, MATCH(93, 'Detalles movimientos'!$W$5:$W$1004, 0)), "")</f>
        <v/>
      </c>
      <c r="I102" s="20" t="str">
        <f>IFERROR(INDEX('Detalles movimientos'!M$5:M$1004, MATCH(93, 'Detalles movimientos'!$W$5:$W$1004, 0)), "")</f>
        <v/>
      </c>
      <c r="J102" s="19" t="str">
        <f>IFERROR(INDEX('Detalles movimientos'!N$5:N$1004, MATCH(93, 'Detalles movimientos'!$W$5:$W$1004, 0)), "")</f>
        <v/>
      </c>
      <c r="K102" s="20" t="str">
        <f>IFERROR(INDEX('Detalles movimientos'!O$5:O$1004, MATCH(93, 'Detalles movimientos'!$W$5:$W$1004, 0)), "")</f>
        <v/>
      </c>
      <c r="L102" s="18" t="str">
        <f>IFERROR(INDEX('Detalles movimientos'!P$5:P$1004, MATCH(93, 'Detalles movimientos'!$W$5:$W$1004, 0)), "")</f>
        <v/>
      </c>
      <c r="M102" s="18" t="str">
        <f>IFERROR(INDEX('Detalles movimientos'!S$5:S$1004, MATCH(93, 'Detalles movimientos'!$W$5:$W$1004, 0)), "")</f>
        <v/>
      </c>
    </row>
    <row r="103" spans="2:13">
      <c r="B103" s="17" t="str">
        <f>IFERROR(INDEX('Detalles movimientos'!C$5:C$1004, MATCH(94, 'Detalles movimientos'!$W$5:$W$1004, 0)), "")</f>
        <v/>
      </c>
      <c r="C103" s="18" t="str">
        <f>IFERROR(INDEX('Detalles movimientos'!D$5:D$1004, MATCH(94, 'Detalles movimientos'!$W$5:$W$1004, 0)), "")</f>
        <v/>
      </c>
      <c r="D103" s="19" t="str">
        <f>IFERROR(INDEX('Detalles movimientos'!E$5:E$1004, MATCH(94, 'Detalles movimientos'!$W$5:$W$1004, 0)), "")</f>
        <v/>
      </c>
      <c r="E103" s="19" t="str">
        <f>IFERROR(INDEX('Detalles movimientos'!F$5:F$1004, MATCH(94, 'Detalles movimientos'!$W$5:$W$1004, 0)), "")</f>
        <v/>
      </c>
      <c r="F103" s="18" t="str">
        <f>IFERROR(INDEX('Detalles movimientos'!G$5:G$1004, MATCH(94, 'Detalles movimientos'!$W$5:$W$1004, 0)), "")</f>
        <v/>
      </c>
      <c r="G103" s="20" t="str">
        <f>IFERROR(INDEX('Detalles movimientos'!H$5:H$1004, MATCH(94, 'Detalles movimientos'!$W$5:$W$1004, 0)), "")</f>
        <v/>
      </c>
      <c r="H103" s="21" t="str">
        <f>IFERROR(INDEX('Detalles movimientos'!I$5:I$1004, MATCH(94, 'Detalles movimientos'!$W$5:$W$1004, 0)), "")</f>
        <v/>
      </c>
      <c r="I103" s="20" t="str">
        <f>IFERROR(INDEX('Detalles movimientos'!M$5:M$1004, MATCH(94, 'Detalles movimientos'!$W$5:$W$1004, 0)), "")</f>
        <v/>
      </c>
      <c r="J103" s="19" t="str">
        <f>IFERROR(INDEX('Detalles movimientos'!N$5:N$1004, MATCH(94, 'Detalles movimientos'!$W$5:$W$1004, 0)), "")</f>
        <v/>
      </c>
      <c r="K103" s="20" t="str">
        <f>IFERROR(INDEX('Detalles movimientos'!O$5:O$1004, MATCH(94, 'Detalles movimientos'!$W$5:$W$1004, 0)), "")</f>
        <v/>
      </c>
      <c r="L103" s="18" t="str">
        <f>IFERROR(INDEX('Detalles movimientos'!P$5:P$1004, MATCH(94, 'Detalles movimientos'!$W$5:$W$1004, 0)), "")</f>
        <v/>
      </c>
      <c r="M103" s="18" t="str">
        <f>IFERROR(INDEX('Detalles movimientos'!S$5:S$1004, MATCH(94, 'Detalles movimientos'!$W$5:$W$1004, 0)), "")</f>
        <v/>
      </c>
    </row>
    <row r="104" spans="2:13">
      <c r="B104" s="17" t="str">
        <f>IFERROR(INDEX('Detalles movimientos'!C$5:C$1004, MATCH(95, 'Detalles movimientos'!$W$5:$W$1004, 0)), "")</f>
        <v/>
      </c>
      <c r="C104" s="18" t="str">
        <f>IFERROR(INDEX('Detalles movimientos'!D$5:D$1004, MATCH(95, 'Detalles movimientos'!$W$5:$W$1004, 0)), "")</f>
        <v/>
      </c>
      <c r="D104" s="19" t="str">
        <f>IFERROR(INDEX('Detalles movimientos'!E$5:E$1004, MATCH(95, 'Detalles movimientos'!$W$5:$W$1004, 0)), "")</f>
        <v/>
      </c>
      <c r="E104" s="19" t="str">
        <f>IFERROR(INDEX('Detalles movimientos'!F$5:F$1004, MATCH(95, 'Detalles movimientos'!$W$5:$W$1004, 0)), "")</f>
        <v/>
      </c>
      <c r="F104" s="18" t="str">
        <f>IFERROR(INDEX('Detalles movimientos'!G$5:G$1004, MATCH(95, 'Detalles movimientos'!$W$5:$W$1004, 0)), "")</f>
        <v/>
      </c>
      <c r="G104" s="20" t="str">
        <f>IFERROR(INDEX('Detalles movimientos'!H$5:H$1004, MATCH(95, 'Detalles movimientos'!$W$5:$W$1004, 0)), "")</f>
        <v/>
      </c>
      <c r="H104" s="21" t="str">
        <f>IFERROR(INDEX('Detalles movimientos'!I$5:I$1004, MATCH(95, 'Detalles movimientos'!$W$5:$W$1004, 0)), "")</f>
        <v/>
      </c>
      <c r="I104" s="20" t="str">
        <f>IFERROR(INDEX('Detalles movimientos'!M$5:M$1004, MATCH(95, 'Detalles movimientos'!$W$5:$W$1004, 0)), "")</f>
        <v/>
      </c>
      <c r="J104" s="19" t="str">
        <f>IFERROR(INDEX('Detalles movimientos'!N$5:N$1004, MATCH(95, 'Detalles movimientos'!$W$5:$W$1004, 0)), "")</f>
        <v/>
      </c>
      <c r="K104" s="20" t="str">
        <f>IFERROR(INDEX('Detalles movimientos'!O$5:O$1004, MATCH(95, 'Detalles movimientos'!$W$5:$W$1004, 0)), "")</f>
        <v/>
      </c>
      <c r="L104" s="18" t="str">
        <f>IFERROR(INDEX('Detalles movimientos'!P$5:P$1004, MATCH(95, 'Detalles movimientos'!$W$5:$W$1004, 0)), "")</f>
        <v/>
      </c>
      <c r="M104" s="18" t="str">
        <f>IFERROR(INDEX('Detalles movimientos'!S$5:S$1004, MATCH(95, 'Detalles movimientos'!$W$5:$W$1004, 0)), "")</f>
        <v/>
      </c>
    </row>
    <row r="105" spans="2:13">
      <c r="B105" s="17" t="str">
        <f>IFERROR(INDEX('Detalles movimientos'!C$5:C$1004, MATCH(96, 'Detalles movimientos'!$W$5:$W$1004, 0)), "")</f>
        <v/>
      </c>
      <c r="C105" s="18" t="str">
        <f>IFERROR(INDEX('Detalles movimientos'!D$5:D$1004, MATCH(96, 'Detalles movimientos'!$W$5:$W$1004, 0)), "")</f>
        <v/>
      </c>
      <c r="D105" s="19" t="str">
        <f>IFERROR(INDEX('Detalles movimientos'!E$5:E$1004, MATCH(96, 'Detalles movimientos'!$W$5:$W$1004, 0)), "")</f>
        <v/>
      </c>
      <c r="E105" s="19" t="str">
        <f>IFERROR(INDEX('Detalles movimientos'!F$5:F$1004, MATCH(96, 'Detalles movimientos'!$W$5:$W$1004, 0)), "")</f>
        <v/>
      </c>
      <c r="F105" s="18" t="str">
        <f>IFERROR(INDEX('Detalles movimientos'!G$5:G$1004, MATCH(96, 'Detalles movimientos'!$W$5:$W$1004, 0)), "")</f>
        <v/>
      </c>
      <c r="G105" s="20" t="str">
        <f>IFERROR(INDEX('Detalles movimientos'!H$5:H$1004, MATCH(96, 'Detalles movimientos'!$W$5:$W$1004, 0)), "")</f>
        <v/>
      </c>
      <c r="H105" s="21" t="str">
        <f>IFERROR(INDEX('Detalles movimientos'!I$5:I$1004, MATCH(96, 'Detalles movimientos'!$W$5:$W$1004, 0)), "")</f>
        <v/>
      </c>
      <c r="I105" s="20" t="str">
        <f>IFERROR(INDEX('Detalles movimientos'!M$5:M$1004, MATCH(96, 'Detalles movimientos'!$W$5:$W$1004, 0)), "")</f>
        <v/>
      </c>
      <c r="J105" s="19" t="str">
        <f>IFERROR(INDEX('Detalles movimientos'!N$5:N$1004, MATCH(96, 'Detalles movimientos'!$W$5:$W$1004, 0)), "")</f>
        <v/>
      </c>
      <c r="K105" s="20" t="str">
        <f>IFERROR(INDEX('Detalles movimientos'!O$5:O$1004, MATCH(96, 'Detalles movimientos'!$W$5:$W$1004, 0)), "")</f>
        <v/>
      </c>
      <c r="L105" s="18" t="str">
        <f>IFERROR(INDEX('Detalles movimientos'!P$5:P$1004, MATCH(96, 'Detalles movimientos'!$W$5:$W$1004, 0)), "")</f>
        <v/>
      </c>
      <c r="M105" s="18" t="str">
        <f>IFERROR(INDEX('Detalles movimientos'!S$5:S$1004, MATCH(96, 'Detalles movimientos'!$W$5:$W$1004, 0)), "")</f>
        <v/>
      </c>
    </row>
    <row r="106" spans="2:13">
      <c r="B106" s="17" t="str">
        <f>IFERROR(INDEX('Detalles movimientos'!C$5:C$1004, MATCH(97, 'Detalles movimientos'!$W$5:$W$1004, 0)), "")</f>
        <v/>
      </c>
      <c r="C106" s="18" t="str">
        <f>IFERROR(INDEX('Detalles movimientos'!D$5:D$1004, MATCH(97, 'Detalles movimientos'!$W$5:$W$1004, 0)), "")</f>
        <v/>
      </c>
      <c r="D106" s="19" t="str">
        <f>IFERROR(INDEX('Detalles movimientos'!E$5:E$1004, MATCH(97, 'Detalles movimientos'!$W$5:$W$1004, 0)), "")</f>
        <v/>
      </c>
      <c r="E106" s="19" t="str">
        <f>IFERROR(INDEX('Detalles movimientos'!F$5:F$1004, MATCH(97, 'Detalles movimientos'!$W$5:$W$1004, 0)), "")</f>
        <v/>
      </c>
      <c r="F106" s="18" t="str">
        <f>IFERROR(INDEX('Detalles movimientos'!G$5:G$1004, MATCH(97, 'Detalles movimientos'!$W$5:$W$1004, 0)), "")</f>
        <v/>
      </c>
      <c r="G106" s="20" t="str">
        <f>IFERROR(INDEX('Detalles movimientos'!H$5:H$1004, MATCH(97, 'Detalles movimientos'!$W$5:$W$1004, 0)), "")</f>
        <v/>
      </c>
      <c r="H106" s="21" t="str">
        <f>IFERROR(INDEX('Detalles movimientos'!I$5:I$1004, MATCH(97, 'Detalles movimientos'!$W$5:$W$1004, 0)), "")</f>
        <v/>
      </c>
      <c r="I106" s="20" t="str">
        <f>IFERROR(INDEX('Detalles movimientos'!M$5:M$1004, MATCH(97, 'Detalles movimientos'!$W$5:$W$1004, 0)), "")</f>
        <v/>
      </c>
      <c r="J106" s="19" t="str">
        <f>IFERROR(INDEX('Detalles movimientos'!N$5:N$1004, MATCH(97, 'Detalles movimientos'!$W$5:$W$1004, 0)), "")</f>
        <v/>
      </c>
      <c r="K106" s="20" t="str">
        <f>IFERROR(INDEX('Detalles movimientos'!O$5:O$1004, MATCH(97, 'Detalles movimientos'!$W$5:$W$1004, 0)), "")</f>
        <v/>
      </c>
      <c r="L106" s="18" t="str">
        <f>IFERROR(INDEX('Detalles movimientos'!P$5:P$1004, MATCH(97, 'Detalles movimientos'!$W$5:$W$1004, 0)), "")</f>
        <v/>
      </c>
      <c r="M106" s="18" t="str">
        <f>IFERROR(INDEX('Detalles movimientos'!S$5:S$1004, MATCH(97, 'Detalles movimientos'!$W$5:$W$1004, 0)), "")</f>
        <v/>
      </c>
    </row>
    <row r="107" spans="2:13">
      <c r="B107" s="17" t="str">
        <f>IFERROR(INDEX('Detalles movimientos'!C$5:C$1004, MATCH(98, 'Detalles movimientos'!$W$5:$W$1004, 0)), "")</f>
        <v/>
      </c>
      <c r="C107" s="18" t="str">
        <f>IFERROR(INDEX('Detalles movimientos'!D$5:D$1004, MATCH(98, 'Detalles movimientos'!$W$5:$W$1004, 0)), "")</f>
        <v/>
      </c>
      <c r="D107" s="19" t="str">
        <f>IFERROR(INDEX('Detalles movimientos'!E$5:E$1004, MATCH(98, 'Detalles movimientos'!$W$5:$W$1004, 0)), "")</f>
        <v/>
      </c>
      <c r="E107" s="19" t="str">
        <f>IFERROR(INDEX('Detalles movimientos'!F$5:F$1004, MATCH(98, 'Detalles movimientos'!$W$5:$W$1004, 0)), "")</f>
        <v/>
      </c>
      <c r="F107" s="18" t="str">
        <f>IFERROR(INDEX('Detalles movimientos'!G$5:G$1004, MATCH(98, 'Detalles movimientos'!$W$5:$W$1004, 0)), "")</f>
        <v/>
      </c>
      <c r="G107" s="20" t="str">
        <f>IFERROR(INDEX('Detalles movimientos'!H$5:H$1004, MATCH(98, 'Detalles movimientos'!$W$5:$W$1004, 0)), "")</f>
        <v/>
      </c>
      <c r="H107" s="21" t="str">
        <f>IFERROR(INDEX('Detalles movimientos'!I$5:I$1004, MATCH(98, 'Detalles movimientos'!$W$5:$W$1004, 0)), "")</f>
        <v/>
      </c>
      <c r="I107" s="20" t="str">
        <f>IFERROR(INDEX('Detalles movimientos'!M$5:M$1004, MATCH(98, 'Detalles movimientos'!$W$5:$W$1004, 0)), "")</f>
        <v/>
      </c>
      <c r="J107" s="19" t="str">
        <f>IFERROR(INDEX('Detalles movimientos'!N$5:N$1004, MATCH(98, 'Detalles movimientos'!$W$5:$W$1004, 0)), "")</f>
        <v/>
      </c>
      <c r="K107" s="20" t="str">
        <f>IFERROR(INDEX('Detalles movimientos'!O$5:O$1004, MATCH(98, 'Detalles movimientos'!$W$5:$W$1004, 0)), "")</f>
        <v/>
      </c>
      <c r="L107" s="18" t="str">
        <f>IFERROR(INDEX('Detalles movimientos'!P$5:P$1004, MATCH(98, 'Detalles movimientos'!$W$5:$W$1004, 0)), "")</f>
        <v/>
      </c>
      <c r="M107" s="18" t="str">
        <f>IFERROR(INDEX('Detalles movimientos'!S$5:S$1004, MATCH(98, 'Detalles movimientos'!$W$5:$W$1004, 0)), "")</f>
        <v/>
      </c>
    </row>
    <row r="108" spans="2:13">
      <c r="B108" s="17" t="str">
        <f>IFERROR(INDEX('Detalles movimientos'!C$5:C$1004, MATCH(99, 'Detalles movimientos'!$W$5:$W$1004, 0)), "")</f>
        <v/>
      </c>
      <c r="C108" s="18" t="str">
        <f>IFERROR(INDEX('Detalles movimientos'!D$5:D$1004, MATCH(99, 'Detalles movimientos'!$W$5:$W$1004, 0)), "")</f>
        <v/>
      </c>
      <c r="D108" s="19" t="str">
        <f>IFERROR(INDEX('Detalles movimientos'!E$5:E$1004, MATCH(99, 'Detalles movimientos'!$W$5:$W$1004, 0)), "")</f>
        <v/>
      </c>
      <c r="E108" s="19" t="str">
        <f>IFERROR(INDEX('Detalles movimientos'!F$5:F$1004, MATCH(99, 'Detalles movimientos'!$W$5:$W$1004, 0)), "")</f>
        <v/>
      </c>
      <c r="F108" s="18" t="str">
        <f>IFERROR(INDEX('Detalles movimientos'!G$5:G$1004, MATCH(99, 'Detalles movimientos'!$W$5:$W$1004, 0)), "")</f>
        <v/>
      </c>
      <c r="G108" s="20" t="str">
        <f>IFERROR(INDEX('Detalles movimientos'!H$5:H$1004, MATCH(99, 'Detalles movimientos'!$W$5:$W$1004, 0)), "")</f>
        <v/>
      </c>
      <c r="H108" s="21" t="str">
        <f>IFERROR(INDEX('Detalles movimientos'!I$5:I$1004, MATCH(99, 'Detalles movimientos'!$W$5:$W$1004, 0)), "")</f>
        <v/>
      </c>
      <c r="I108" s="20" t="str">
        <f>IFERROR(INDEX('Detalles movimientos'!M$5:M$1004, MATCH(99, 'Detalles movimientos'!$W$5:$W$1004, 0)), "")</f>
        <v/>
      </c>
      <c r="J108" s="19" t="str">
        <f>IFERROR(INDEX('Detalles movimientos'!N$5:N$1004, MATCH(99, 'Detalles movimientos'!$W$5:$W$1004, 0)), "")</f>
        <v/>
      </c>
      <c r="K108" s="20" t="str">
        <f>IFERROR(INDEX('Detalles movimientos'!O$5:O$1004, MATCH(99, 'Detalles movimientos'!$W$5:$W$1004, 0)), "")</f>
        <v/>
      </c>
      <c r="L108" s="18" t="str">
        <f>IFERROR(INDEX('Detalles movimientos'!P$5:P$1004, MATCH(99, 'Detalles movimientos'!$W$5:$W$1004, 0)), "")</f>
        <v/>
      </c>
      <c r="M108" s="18" t="str">
        <f>IFERROR(INDEX('Detalles movimientos'!S$5:S$1004, MATCH(99, 'Detalles movimientos'!$W$5:$W$1004, 0)), "")</f>
        <v/>
      </c>
    </row>
    <row r="109" spans="2:13">
      <c r="B109" s="17" t="str">
        <f>IFERROR(INDEX('Detalles movimientos'!C$5:C$1004, MATCH(100, 'Detalles movimientos'!$W$5:$W$1004, 0)), "")</f>
        <v/>
      </c>
      <c r="C109" s="18" t="str">
        <f>IFERROR(INDEX('Detalles movimientos'!D$5:D$1004, MATCH(100, 'Detalles movimientos'!$W$5:$W$1004, 0)), "")</f>
        <v/>
      </c>
      <c r="D109" s="19" t="str">
        <f>IFERROR(INDEX('Detalles movimientos'!E$5:E$1004, MATCH(100, 'Detalles movimientos'!$W$5:$W$1004, 0)), "")</f>
        <v/>
      </c>
      <c r="E109" s="19" t="str">
        <f>IFERROR(INDEX('Detalles movimientos'!F$5:F$1004, MATCH(100, 'Detalles movimientos'!$W$5:$W$1004, 0)), "")</f>
        <v/>
      </c>
      <c r="F109" s="18" t="str">
        <f>IFERROR(INDEX('Detalles movimientos'!G$5:G$1004, MATCH(100, 'Detalles movimientos'!$W$5:$W$1004, 0)), "")</f>
        <v/>
      </c>
      <c r="G109" s="20" t="str">
        <f>IFERROR(INDEX('Detalles movimientos'!H$5:H$1004, MATCH(100, 'Detalles movimientos'!$W$5:$W$1004, 0)), "")</f>
        <v/>
      </c>
      <c r="H109" s="21" t="str">
        <f>IFERROR(INDEX('Detalles movimientos'!I$5:I$1004, MATCH(100, 'Detalles movimientos'!$W$5:$W$1004, 0)), "")</f>
        <v/>
      </c>
      <c r="I109" s="20" t="str">
        <f>IFERROR(INDEX('Detalles movimientos'!M$5:M$1004, MATCH(100, 'Detalles movimientos'!$W$5:$W$1004, 0)), "")</f>
        <v/>
      </c>
      <c r="J109" s="19" t="str">
        <f>IFERROR(INDEX('Detalles movimientos'!N$5:N$1004, MATCH(100, 'Detalles movimientos'!$W$5:$W$1004, 0)), "")</f>
        <v/>
      </c>
      <c r="K109" s="20" t="str">
        <f>IFERROR(INDEX('Detalles movimientos'!O$5:O$1004, MATCH(100, 'Detalles movimientos'!$W$5:$W$1004, 0)), "")</f>
        <v/>
      </c>
      <c r="L109" s="18" t="str">
        <f>IFERROR(INDEX('Detalles movimientos'!P$5:P$1004, MATCH(100, 'Detalles movimientos'!$W$5:$W$1004, 0)), "")</f>
        <v/>
      </c>
      <c r="M109" s="18" t="str">
        <f>IFERROR(INDEX('Detalles movimientos'!S$5:S$1004, MATCH(100, 'Detalles movimientos'!$W$5:$W$1004, 0)), "")</f>
        <v/>
      </c>
    </row>
    <row r="110" spans="2:13">
      <c r="B110" s="17" t="str">
        <f>IFERROR(INDEX('Detalles movimientos'!C$5:C$1004, MATCH(101, 'Detalles movimientos'!$W$5:$W$1004, 0)), "")</f>
        <v/>
      </c>
      <c r="C110" s="18" t="str">
        <f>IFERROR(INDEX('Detalles movimientos'!D$5:D$1004, MATCH(101, 'Detalles movimientos'!$W$5:$W$1004, 0)), "")</f>
        <v/>
      </c>
      <c r="D110" s="19" t="str">
        <f>IFERROR(INDEX('Detalles movimientos'!E$5:E$1004, MATCH(101, 'Detalles movimientos'!$W$5:$W$1004, 0)), "")</f>
        <v/>
      </c>
      <c r="E110" s="19" t="str">
        <f>IFERROR(INDEX('Detalles movimientos'!F$5:F$1004, MATCH(101, 'Detalles movimientos'!$W$5:$W$1004, 0)), "")</f>
        <v/>
      </c>
      <c r="F110" s="18" t="str">
        <f>IFERROR(INDEX('Detalles movimientos'!G$5:G$1004, MATCH(101, 'Detalles movimientos'!$W$5:$W$1004, 0)), "")</f>
        <v/>
      </c>
      <c r="G110" s="20" t="str">
        <f>IFERROR(INDEX('Detalles movimientos'!H$5:H$1004, MATCH(101, 'Detalles movimientos'!$W$5:$W$1004, 0)), "")</f>
        <v/>
      </c>
      <c r="H110" s="21" t="str">
        <f>IFERROR(INDEX('Detalles movimientos'!I$5:I$1004, MATCH(101, 'Detalles movimientos'!$W$5:$W$1004, 0)), "")</f>
        <v/>
      </c>
      <c r="I110" s="20" t="str">
        <f>IFERROR(INDEX('Detalles movimientos'!M$5:M$1004, MATCH(101, 'Detalles movimientos'!$W$5:$W$1004, 0)), "")</f>
        <v/>
      </c>
      <c r="J110" s="19" t="str">
        <f>IFERROR(INDEX('Detalles movimientos'!N$5:N$1004, MATCH(101, 'Detalles movimientos'!$W$5:$W$1004, 0)), "")</f>
        <v/>
      </c>
      <c r="K110" s="20" t="str">
        <f>IFERROR(INDEX('Detalles movimientos'!O$5:O$1004, MATCH(101, 'Detalles movimientos'!$W$5:$W$1004, 0)), "")</f>
        <v/>
      </c>
      <c r="L110" s="18" t="str">
        <f>IFERROR(INDEX('Detalles movimientos'!P$5:P$1004, MATCH(101, 'Detalles movimientos'!$W$5:$W$1004, 0)), "")</f>
        <v/>
      </c>
      <c r="M110" s="18" t="str">
        <f>IFERROR(INDEX('Detalles movimientos'!S$5:S$1004, MATCH(101, 'Detalles movimientos'!$W$5:$W$1004, 0)), "")</f>
        <v/>
      </c>
    </row>
    <row r="111" spans="2:13">
      <c r="B111" s="17" t="str">
        <f>IFERROR(INDEX('Detalles movimientos'!C$5:C$1004, MATCH(102, 'Detalles movimientos'!$W$5:$W$1004, 0)), "")</f>
        <v/>
      </c>
      <c r="C111" s="18" t="str">
        <f>IFERROR(INDEX('Detalles movimientos'!D$5:D$1004, MATCH(102, 'Detalles movimientos'!$W$5:$W$1004, 0)), "")</f>
        <v/>
      </c>
      <c r="D111" s="19" t="str">
        <f>IFERROR(INDEX('Detalles movimientos'!E$5:E$1004, MATCH(102, 'Detalles movimientos'!$W$5:$W$1004, 0)), "")</f>
        <v/>
      </c>
      <c r="E111" s="19" t="str">
        <f>IFERROR(INDEX('Detalles movimientos'!F$5:F$1004, MATCH(102, 'Detalles movimientos'!$W$5:$W$1004, 0)), "")</f>
        <v/>
      </c>
      <c r="F111" s="18" t="str">
        <f>IFERROR(INDEX('Detalles movimientos'!G$5:G$1004, MATCH(102, 'Detalles movimientos'!$W$5:$W$1004, 0)), "")</f>
        <v/>
      </c>
      <c r="G111" s="20" t="str">
        <f>IFERROR(INDEX('Detalles movimientos'!H$5:H$1004, MATCH(102, 'Detalles movimientos'!$W$5:$W$1004, 0)), "")</f>
        <v/>
      </c>
      <c r="H111" s="21" t="str">
        <f>IFERROR(INDEX('Detalles movimientos'!I$5:I$1004, MATCH(102, 'Detalles movimientos'!$W$5:$W$1004, 0)), "")</f>
        <v/>
      </c>
      <c r="I111" s="20" t="str">
        <f>IFERROR(INDEX('Detalles movimientos'!M$5:M$1004, MATCH(102, 'Detalles movimientos'!$W$5:$W$1004, 0)), "")</f>
        <v/>
      </c>
      <c r="J111" s="19" t="str">
        <f>IFERROR(INDEX('Detalles movimientos'!N$5:N$1004, MATCH(102, 'Detalles movimientos'!$W$5:$W$1004, 0)), "")</f>
        <v/>
      </c>
      <c r="K111" s="20" t="str">
        <f>IFERROR(INDEX('Detalles movimientos'!O$5:O$1004, MATCH(102, 'Detalles movimientos'!$W$5:$W$1004, 0)), "")</f>
        <v/>
      </c>
      <c r="L111" s="18" t="str">
        <f>IFERROR(INDEX('Detalles movimientos'!P$5:P$1004, MATCH(102, 'Detalles movimientos'!$W$5:$W$1004, 0)), "")</f>
        <v/>
      </c>
      <c r="M111" s="18" t="str">
        <f>IFERROR(INDEX('Detalles movimientos'!S$5:S$1004, MATCH(102, 'Detalles movimientos'!$W$5:$W$1004, 0)), "")</f>
        <v/>
      </c>
    </row>
    <row r="112" spans="2:13">
      <c r="B112" s="17" t="str">
        <f>IFERROR(INDEX('Detalles movimientos'!C$5:C$1004, MATCH(103, 'Detalles movimientos'!$W$5:$W$1004, 0)), "")</f>
        <v/>
      </c>
      <c r="C112" s="18" t="str">
        <f>IFERROR(INDEX('Detalles movimientos'!D$5:D$1004, MATCH(103, 'Detalles movimientos'!$W$5:$W$1004, 0)), "")</f>
        <v/>
      </c>
      <c r="D112" s="19" t="str">
        <f>IFERROR(INDEX('Detalles movimientos'!E$5:E$1004, MATCH(103, 'Detalles movimientos'!$W$5:$W$1004, 0)), "")</f>
        <v/>
      </c>
      <c r="E112" s="19" t="str">
        <f>IFERROR(INDEX('Detalles movimientos'!F$5:F$1004, MATCH(103, 'Detalles movimientos'!$W$5:$W$1004, 0)), "")</f>
        <v/>
      </c>
      <c r="F112" s="18" t="str">
        <f>IFERROR(INDEX('Detalles movimientos'!G$5:G$1004, MATCH(103, 'Detalles movimientos'!$W$5:$W$1004, 0)), "")</f>
        <v/>
      </c>
      <c r="G112" s="20" t="str">
        <f>IFERROR(INDEX('Detalles movimientos'!H$5:H$1004, MATCH(103, 'Detalles movimientos'!$W$5:$W$1004, 0)), "")</f>
        <v/>
      </c>
      <c r="H112" s="21" t="str">
        <f>IFERROR(INDEX('Detalles movimientos'!I$5:I$1004, MATCH(103, 'Detalles movimientos'!$W$5:$W$1004, 0)), "")</f>
        <v/>
      </c>
      <c r="I112" s="20" t="str">
        <f>IFERROR(INDEX('Detalles movimientos'!M$5:M$1004, MATCH(103, 'Detalles movimientos'!$W$5:$W$1004, 0)), "")</f>
        <v/>
      </c>
      <c r="J112" s="19" t="str">
        <f>IFERROR(INDEX('Detalles movimientos'!N$5:N$1004, MATCH(103, 'Detalles movimientos'!$W$5:$W$1004, 0)), "")</f>
        <v/>
      </c>
      <c r="K112" s="20" t="str">
        <f>IFERROR(INDEX('Detalles movimientos'!O$5:O$1004, MATCH(103, 'Detalles movimientos'!$W$5:$W$1004, 0)), "")</f>
        <v/>
      </c>
      <c r="L112" s="18" t="str">
        <f>IFERROR(INDEX('Detalles movimientos'!P$5:P$1004, MATCH(103, 'Detalles movimientos'!$W$5:$W$1004, 0)), "")</f>
        <v/>
      </c>
      <c r="M112" s="18" t="str">
        <f>IFERROR(INDEX('Detalles movimientos'!S$5:S$1004, MATCH(103, 'Detalles movimientos'!$W$5:$W$1004, 0)), "")</f>
        <v/>
      </c>
    </row>
    <row r="113" spans="2:13">
      <c r="B113" s="17" t="str">
        <f>IFERROR(INDEX('Detalles movimientos'!C$5:C$1004, MATCH(104, 'Detalles movimientos'!$W$5:$W$1004, 0)), "")</f>
        <v/>
      </c>
      <c r="C113" s="18" t="str">
        <f>IFERROR(INDEX('Detalles movimientos'!D$5:D$1004, MATCH(104, 'Detalles movimientos'!$W$5:$W$1004, 0)), "")</f>
        <v/>
      </c>
      <c r="D113" s="19" t="str">
        <f>IFERROR(INDEX('Detalles movimientos'!E$5:E$1004, MATCH(104, 'Detalles movimientos'!$W$5:$W$1004, 0)), "")</f>
        <v/>
      </c>
      <c r="E113" s="19" t="str">
        <f>IFERROR(INDEX('Detalles movimientos'!F$5:F$1004, MATCH(104, 'Detalles movimientos'!$W$5:$W$1004, 0)), "")</f>
        <v/>
      </c>
      <c r="F113" s="18" t="str">
        <f>IFERROR(INDEX('Detalles movimientos'!G$5:G$1004, MATCH(104, 'Detalles movimientos'!$W$5:$W$1004, 0)), "")</f>
        <v/>
      </c>
      <c r="G113" s="20" t="str">
        <f>IFERROR(INDEX('Detalles movimientos'!H$5:H$1004, MATCH(104, 'Detalles movimientos'!$W$5:$W$1004, 0)), "")</f>
        <v/>
      </c>
      <c r="H113" s="21" t="str">
        <f>IFERROR(INDEX('Detalles movimientos'!I$5:I$1004, MATCH(104, 'Detalles movimientos'!$W$5:$W$1004, 0)), "")</f>
        <v/>
      </c>
      <c r="I113" s="20" t="str">
        <f>IFERROR(INDEX('Detalles movimientos'!M$5:M$1004, MATCH(104, 'Detalles movimientos'!$W$5:$W$1004, 0)), "")</f>
        <v/>
      </c>
      <c r="J113" s="19" t="str">
        <f>IFERROR(INDEX('Detalles movimientos'!N$5:N$1004, MATCH(104, 'Detalles movimientos'!$W$5:$W$1004, 0)), "")</f>
        <v/>
      </c>
      <c r="K113" s="20" t="str">
        <f>IFERROR(INDEX('Detalles movimientos'!O$5:O$1004, MATCH(104, 'Detalles movimientos'!$W$5:$W$1004, 0)), "")</f>
        <v/>
      </c>
      <c r="L113" s="18" t="str">
        <f>IFERROR(INDEX('Detalles movimientos'!P$5:P$1004, MATCH(104, 'Detalles movimientos'!$W$5:$W$1004, 0)), "")</f>
        <v/>
      </c>
      <c r="M113" s="18" t="str">
        <f>IFERROR(INDEX('Detalles movimientos'!S$5:S$1004, MATCH(104, 'Detalles movimientos'!$W$5:$W$1004, 0)), "")</f>
        <v/>
      </c>
    </row>
    <row r="114" spans="2:13">
      <c r="B114" s="17" t="str">
        <f>IFERROR(INDEX('Detalles movimientos'!C$5:C$1004, MATCH(105, 'Detalles movimientos'!$W$5:$W$1004, 0)), "")</f>
        <v/>
      </c>
      <c r="C114" s="18" t="str">
        <f>IFERROR(INDEX('Detalles movimientos'!D$5:D$1004, MATCH(105, 'Detalles movimientos'!$W$5:$W$1004, 0)), "")</f>
        <v/>
      </c>
      <c r="D114" s="19" t="str">
        <f>IFERROR(INDEX('Detalles movimientos'!E$5:E$1004, MATCH(105, 'Detalles movimientos'!$W$5:$W$1004, 0)), "")</f>
        <v/>
      </c>
      <c r="E114" s="19" t="str">
        <f>IFERROR(INDEX('Detalles movimientos'!F$5:F$1004, MATCH(105, 'Detalles movimientos'!$W$5:$W$1004, 0)), "")</f>
        <v/>
      </c>
      <c r="F114" s="18" t="str">
        <f>IFERROR(INDEX('Detalles movimientos'!G$5:G$1004, MATCH(105, 'Detalles movimientos'!$W$5:$W$1004, 0)), "")</f>
        <v/>
      </c>
      <c r="G114" s="20" t="str">
        <f>IFERROR(INDEX('Detalles movimientos'!H$5:H$1004, MATCH(105, 'Detalles movimientos'!$W$5:$W$1004, 0)), "")</f>
        <v/>
      </c>
      <c r="H114" s="21" t="str">
        <f>IFERROR(INDEX('Detalles movimientos'!I$5:I$1004, MATCH(105, 'Detalles movimientos'!$W$5:$W$1004, 0)), "")</f>
        <v/>
      </c>
      <c r="I114" s="20" t="str">
        <f>IFERROR(INDEX('Detalles movimientos'!M$5:M$1004, MATCH(105, 'Detalles movimientos'!$W$5:$W$1004, 0)), "")</f>
        <v/>
      </c>
      <c r="J114" s="19" t="str">
        <f>IFERROR(INDEX('Detalles movimientos'!N$5:N$1004, MATCH(105, 'Detalles movimientos'!$W$5:$W$1004, 0)), "")</f>
        <v/>
      </c>
      <c r="K114" s="20" t="str">
        <f>IFERROR(INDEX('Detalles movimientos'!O$5:O$1004, MATCH(105, 'Detalles movimientos'!$W$5:$W$1004, 0)), "")</f>
        <v/>
      </c>
      <c r="L114" s="18" t="str">
        <f>IFERROR(INDEX('Detalles movimientos'!P$5:P$1004, MATCH(105, 'Detalles movimientos'!$W$5:$W$1004, 0)), "")</f>
        <v/>
      </c>
      <c r="M114" s="18" t="str">
        <f>IFERROR(INDEX('Detalles movimientos'!S$5:S$1004, MATCH(105, 'Detalles movimientos'!$W$5:$W$1004, 0)), "")</f>
        <v/>
      </c>
    </row>
    <row r="115" spans="2:13">
      <c r="B115" s="17" t="str">
        <f>IFERROR(INDEX('Detalles movimientos'!C$5:C$1004, MATCH(106, 'Detalles movimientos'!$W$5:$W$1004, 0)), "")</f>
        <v/>
      </c>
      <c r="C115" s="18" t="str">
        <f>IFERROR(INDEX('Detalles movimientos'!D$5:D$1004, MATCH(106, 'Detalles movimientos'!$W$5:$W$1004, 0)), "")</f>
        <v/>
      </c>
      <c r="D115" s="19" t="str">
        <f>IFERROR(INDEX('Detalles movimientos'!E$5:E$1004, MATCH(106, 'Detalles movimientos'!$W$5:$W$1004, 0)), "")</f>
        <v/>
      </c>
      <c r="E115" s="19" t="str">
        <f>IFERROR(INDEX('Detalles movimientos'!F$5:F$1004, MATCH(106, 'Detalles movimientos'!$W$5:$W$1004, 0)), "")</f>
        <v/>
      </c>
      <c r="F115" s="18" t="str">
        <f>IFERROR(INDEX('Detalles movimientos'!G$5:G$1004, MATCH(106, 'Detalles movimientos'!$W$5:$W$1004, 0)), "")</f>
        <v/>
      </c>
      <c r="G115" s="20" t="str">
        <f>IFERROR(INDEX('Detalles movimientos'!H$5:H$1004, MATCH(106, 'Detalles movimientos'!$W$5:$W$1004, 0)), "")</f>
        <v/>
      </c>
      <c r="H115" s="21" t="str">
        <f>IFERROR(INDEX('Detalles movimientos'!I$5:I$1004, MATCH(106, 'Detalles movimientos'!$W$5:$W$1004, 0)), "")</f>
        <v/>
      </c>
      <c r="I115" s="20" t="str">
        <f>IFERROR(INDEX('Detalles movimientos'!M$5:M$1004, MATCH(106, 'Detalles movimientos'!$W$5:$W$1004, 0)), "")</f>
        <v/>
      </c>
      <c r="J115" s="19" t="str">
        <f>IFERROR(INDEX('Detalles movimientos'!N$5:N$1004, MATCH(106, 'Detalles movimientos'!$W$5:$W$1004, 0)), "")</f>
        <v/>
      </c>
      <c r="K115" s="20" t="str">
        <f>IFERROR(INDEX('Detalles movimientos'!O$5:O$1004, MATCH(106, 'Detalles movimientos'!$W$5:$W$1004, 0)), "")</f>
        <v/>
      </c>
      <c r="L115" s="18" t="str">
        <f>IFERROR(INDEX('Detalles movimientos'!P$5:P$1004, MATCH(106, 'Detalles movimientos'!$W$5:$W$1004, 0)), "")</f>
        <v/>
      </c>
      <c r="M115" s="18" t="str">
        <f>IFERROR(INDEX('Detalles movimientos'!S$5:S$1004, MATCH(106, 'Detalles movimientos'!$W$5:$W$1004, 0)), "")</f>
        <v/>
      </c>
    </row>
    <row r="116" spans="2:13">
      <c r="B116" s="17" t="str">
        <f>IFERROR(INDEX('Detalles movimientos'!C$5:C$1004, MATCH(107, 'Detalles movimientos'!$W$5:$W$1004, 0)), "")</f>
        <v/>
      </c>
      <c r="C116" s="18" t="str">
        <f>IFERROR(INDEX('Detalles movimientos'!D$5:D$1004, MATCH(107, 'Detalles movimientos'!$W$5:$W$1004, 0)), "")</f>
        <v/>
      </c>
      <c r="D116" s="19" t="str">
        <f>IFERROR(INDEX('Detalles movimientos'!E$5:E$1004, MATCH(107, 'Detalles movimientos'!$W$5:$W$1004, 0)), "")</f>
        <v/>
      </c>
      <c r="E116" s="19" t="str">
        <f>IFERROR(INDEX('Detalles movimientos'!F$5:F$1004, MATCH(107, 'Detalles movimientos'!$W$5:$W$1004, 0)), "")</f>
        <v/>
      </c>
      <c r="F116" s="18" t="str">
        <f>IFERROR(INDEX('Detalles movimientos'!G$5:G$1004, MATCH(107, 'Detalles movimientos'!$W$5:$W$1004, 0)), "")</f>
        <v/>
      </c>
      <c r="G116" s="20" t="str">
        <f>IFERROR(INDEX('Detalles movimientos'!H$5:H$1004, MATCH(107, 'Detalles movimientos'!$W$5:$W$1004, 0)), "")</f>
        <v/>
      </c>
      <c r="H116" s="21" t="str">
        <f>IFERROR(INDEX('Detalles movimientos'!I$5:I$1004, MATCH(107, 'Detalles movimientos'!$W$5:$W$1004, 0)), "")</f>
        <v/>
      </c>
      <c r="I116" s="20" t="str">
        <f>IFERROR(INDEX('Detalles movimientos'!M$5:M$1004, MATCH(107, 'Detalles movimientos'!$W$5:$W$1004, 0)), "")</f>
        <v/>
      </c>
      <c r="J116" s="19" t="str">
        <f>IFERROR(INDEX('Detalles movimientos'!N$5:N$1004, MATCH(107, 'Detalles movimientos'!$W$5:$W$1004, 0)), "")</f>
        <v/>
      </c>
      <c r="K116" s="20" t="str">
        <f>IFERROR(INDEX('Detalles movimientos'!O$5:O$1004, MATCH(107, 'Detalles movimientos'!$W$5:$W$1004, 0)), "")</f>
        <v/>
      </c>
      <c r="L116" s="18" t="str">
        <f>IFERROR(INDEX('Detalles movimientos'!P$5:P$1004, MATCH(107, 'Detalles movimientos'!$W$5:$W$1004, 0)), "")</f>
        <v/>
      </c>
      <c r="M116" s="18" t="str">
        <f>IFERROR(INDEX('Detalles movimientos'!S$5:S$1004, MATCH(107, 'Detalles movimientos'!$W$5:$W$1004, 0)), "")</f>
        <v/>
      </c>
    </row>
    <row r="117" spans="2:13">
      <c r="B117" s="17" t="str">
        <f>IFERROR(INDEX('Detalles movimientos'!C$5:C$1004, MATCH(108, 'Detalles movimientos'!$W$5:$W$1004, 0)), "")</f>
        <v/>
      </c>
      <c r="C117" s="18" t="str">
        <f>IFERROR(INDEX('Detalles movimientos'!D$5:D$1004, MATCH(108, 'Detalles movimientos'!$W$5:$W$1004, 0)), "")</f>
        <v/>
      </c>
      <c r="D117" s="19" t="str">
        <f>IFERROR(INDEX('Detalles movimientos'!E$5:E$1004, MATCH(108, 'Detalles movimientos'!$W$5:$W$1004, 0)), "")</f>
        <v/>
      </c>
      <c r="E117" s="19" t="str">
        <f>IFERROR(INDEX('Detalles movimientos'!F$5:F$1004, MATCH(108, 'Detalles movimientos'!$W$5:$W$1004, 0)), "")</f>
        <v/>
      </c>
      <c r="F117" s="18" t="str">
        <f>IFERROR(INDEX('Detalles movimientos'!G$5:G$1004, MATCH(108, 'Detalles movimientos'!$W$5:$W$1004, 0)), "")</f>
        <v/>
      </c>
      <c r="G117" s="20" t="str">
        <f>IFERROR(INDEX('Detalles movimientos'!H$5:H$1004, MATCH(108, 'Detalles movimientos'!$W$5:$W$1004, 0)), "")</f>
        <v/>
      </c>
      <c r="H117" s="21" t="str">
        <f>IFERROR(INDEX('Detalles movimientos'!I$5:I$1004, MATCH(108, 'Detalles movimientos'!$W$5:$W$1004, 0)), "")</f>
        <v/>
      </c>
      <c r="I117" s="20" t="str">
        <f>IFERROR(INDEX('Detalles movimientos'!M$5:M$1004, MATCH(108, 'Detalles movimientos'!$W$5:$W$1004, 0)), "")</f>
        <v/>
      </c>
      <c r="J117" s="19" t="str">
        <f>IFERROR(INDEX('Detalles movimientos'!N$5:N$1004, MATCH(108, 'Detalles movimientos'!$W$5:$W$1004, 0)), "")</f>
        <v/>
      </c>
      <c r="K117" s="20" t="str">
        <f>IFERROR(INDEX('Detalles movimientos'!O$5:O$1004, MATCH(108, 'Detalles movimientos'!$W$5:$W$1004, 0)), "")</f>
        <v/>
      </c>
      <c r="L117" s="18" t="str">
        <f>IFERROR(INDEX('Detalles movimientos'!P$5:P$1004, MATCH(108, 'Detalles movimientos'!$W$5:$W$1004, 0)), "")</f>
        <v/>
      </c>
      <c r="M117" s="18" t="str">
        <f>IFERROR(INDEX('Detalles movimientos'!S$5:S$1004, MATCH(108, 'Detalles movimientos'!$W$5:$W$1004, 0)), "")</f>
        <v/>
      </c>
    </row>
    <row r="118" spans="2:13">
      <c r="B118" s="17" t="str">
        <f>IFERROR(INDEX('Detalles movimientos'!C$5:C$1004, MATCH(109, 'Detalles movimientos'!$W$5:$W$1004, 0)), "")</f>
        <v/>
      </c>
      <c r="C118" s="18" t="str">
        <f>IFERROR(INDEX('Detalles movimientos'!D$5:D$1004, MATCH(109, 'Detalles movimientos'!$W$5:$W$1004, 0)), "")</f>
        <v/>
      </c>
      <c r="D118" s="19" t="str">
        <f>IFERROR(INDEX('Detalles movimientos'!E$5:E$1004, MATCH(109, 'Detalles movimientos'!$W$5:$W$1004, 0)), "")</f>
        <v/>
      </c>
      <c r="E118" s="19" t="str">
        <f>IFERROR(INDEX('Detalles movimientos'!F$5:F$1004, MATCH(109, 'Detalles movimientos'!$W$5:$W$1004, 0)), "")</f>
        <v/>
      </c>
      <c r="F118" s="18" t="str">
        <f>IFERROR(INDEX('Detalles movimientos'!G$5:G$1004, MATCH(109, 'Detalles movimientos'!$W$5:$W$1004, 0)), "")</f>
        <v/>
      </c>
      <c r="G118" s="20" t="str">
        <f>IFERROR(INDEX('Detalles movimientos'!H$5:H$1004, MATCH(109, 'Detalles movimientos'!$W$5:$W$1004, 0)), "")</f>
        <v/>
      </c>
      <c r="H118" s="21" t="str">
        <f>IFERROR(INDEX('Detalles movimientos'!I$5:I$1004, MATCH(109, 'Detalles movimientos'!$W$5:$W$1004, 0)), "")</f>
        <v/>
      </c>
      <c r="I118" s="20" t="str">
        <f>IFERROR(INDEX('Detalles movimientos'!M$5:M$1004, MATCH(109, 'Detalles movimientos'!$W$5:$W$1004, 0)), "")</f>
        <v/>
      </c>
      <c r="J118" s="19" t="str">
        <f>IFERROR(INDEX('Detalles movimientos'!N$5:N$1004, MATCH(109, 'Detalles movimientos'!$W$5:$W$1004, 0)), "")</f>
        <v/>
      </c>
      <c r="K118" s="20" t="str">
        <f>IFERROR(INDEX('Detalles movimientos'!O$5:O$1004, MATCH(109, 'Detalles movimientos'!$W$5:$W$1004, 0)), "")</f>
        <v/>
      </c>
      <c r="L118" s="18" t="str">
        <f>IFERROR(INDEX('Detalles movimientos'!P$5:P$1004, MATCH(109, 'Detalles movimientos'!$W$5:$W$1004, 0)), "")</f>
        <v/>
      </c>
      <c r="M118" s="18" t="str">
        <f>IFERROR(INDEX('Detalles movimientos'!S$5:S$1004, MATCH(109, 'Detalles movimientos'!$W$5:$W$1004, 0)), "")</f>
        <v/>
      </c>
    </row>
    <row r="119" spans="2:13">
      <c r="B119" s="17" t="str">
        <f>IFERROR(INDEX('Detalles movimientos'!C$5:C$1004, MATCH(110, 'Detalles movimientos'!$W$5:$W$1004, 0)), "")</f>
        <v/>
      </c>
      <c r="C119" s="18" t="str">
        <f>IFERROR(INDEX('Detalles movimientos'!D$5:D$1004, MATCH(110, 'Detalles movimientos'!$W$5:$W$1004, 0)), "")</f>
        <v/>
      </c>
      <c r="D119" s="19" t="str">
        <f>IFERROR(INDEX('Detalles movimientos'!E$5:E$1004, MATCH(110, 'Detalles movimientos'!$W$5:$W$1004, 0)), "")</f>
        <v/>
      </c>
      <c r="E119" s="19" t="str">
        <f>IFERROR(INDEX('Detalles movimientos'!F$5:F$1004, MATCH(110, 'Detalles movimientos'!$W$5:$W$1004, 0)), "")</f>
        <v/>
      </c>
      <c r="F119" s="18" t="str">
        <f>IFERROR(INDEX('Detalles movimientos'!G$5:G$1004, MATCH(110, 'Detalles movimientos'!$W$5:$W$1004, 0)), "")</f>
        <v/>
      </c>
      <c r="G119" s="20" t="str">
        <f>IFERROR(INDEX('Detalles movimientos'!H$5:H$1004, MATCH(110, 'Detalles movimientos'!$W$5:$W$1004, 0)), "")</f>
        <v/>
      </c>
      <c r="H119" s="21" t="str">
        <f>IFERROR(INDEX('Detalles movimientos'!I$5:I$1004, MATCH(110, 'Detalles movimientos'!$W$5:$W$1004, 0)), "")</f>
        <v/>
      </c>
      <c r="I119" s="20" t="str">
        <f>IFERROR(INDEX('Detalles movimientos'!M$5:M$1004, MATCH(110, 'Detalles movimientos'!$W$5:$W$1004, 0)), "")</f>
        <v/>
      </c>
      <c r="J119" s="19" t="str">
        <f>IFERROR(INDEX('Detalles movimientos'!N$5:N$1004, MATCH(110, 'Detalles movimientos'!$W$5:$W$1004, 0)), "")</f>
        <v/>
      </c>
      <c r="K119" s="20" t="str">
        <f>IFERROR(INDEX('Detalles movimientos'!O$5:O$1004, MATCH(110, 'Detalles movimientos'!$W$5:$W$1004, 0)), "")</f>
        <v/>
      </c>
      <c r="L119" s="18" t="str">
        <f>IFERROR(INDEX('Detalles movimientos'!P$5:P$1004, MATCH(110, 'Detalles movimientos'!$W$5:$W$1004, 0)), "")</f>
        <v/>
      </c>
      <c r="M119" s="18" t="str">
        <f>IFERROR(INDEX('Detalles movimientos'!S$5:S$1004, MATCH(110, 'Detalles movimientos'!$W$5:$W$1004, 0)), "")</f>
        <v/>
      </c>
    </row>
    <row r="120" spans="2:13">
      <c r="B120" s="17" t="str">
        <f>IFERROR(INDEX('Detalles movimientos'!C$5:C$1004, MATCH(111, 'Detalles movimientos'!$W$5:$W$1004, 0)), "")</f>
        <v/>
      </c>
      <c r="C120" s="18" t="str">
        <f>IFERROR(INDEX('Detalles movimientos'!D$5:D$1004, MATCH(111, 'Detalles movimientos'!$W$5:$W$1004, 0)), "")</f>
        <v/>
      </c>
      <c r="D120" s="19" t="str">
        <f>IFERROR(INDEX('Detalles movimientos'!E$5:E$1004, MATCH(111, 'Detalles movimientos'!$W$5:$W$1004, 0)), "")</f>
        <v/>
      </c>
      <c r="E120" s="19" t="str">
        <f>IFERROR(INDEX('Detalles movimientos'!F$5:F$1004, MATCH(111, 'Detalles movimientos'!$W$5:$W$1004, 0)), "")</f>
        <v/>
      </c>
      <c r="F120" s="18" t="str">
        <f>IFERROR(INDEX('Detalles movimientos'!G$5:G$1004, MATCH(111, 'Detalles movimientos'!$W$5:$W$1004, 0)), "")</f>
        <v/>
      </c>
      <c r="G120" s="20" t="str">
        <f>IFERROR(INDEX('Detalles movimientos'!H$5:H$1004, MATCH(111, 'Detalles movimientos'!$W$5:$W$1004, 0)), "")</f>
        <v/>
      </c>
      <c r="H120" s="21" t="str">
        <f>IFERROR(INDEX('Detalles movimientos'!I$5:I$1004, MATCH(111, 'Detalles movimientos'!$W$5:$W$1004, 0)), "")</f>
        <v/>
      </c>
      <c r="I120" s="20" t="str">
        <f>IFERROR(INDEX('Detalles movimientos'!M$5:M$1004, MATCH(111, 'Detalles movimientos'!$W$5:$W$1004, 0)), "")</f>
        <v/>
      </c>
      <c r="J120" s="19" t="str">
        <f>IFERROR(INDEX('Detalles movimientos'!N$5:N$1004, MATCH(111, 'Detalles movimientos'!$W$5:$W$1004, 0)), "")</f>
        <v/>
      </c>
      <c r="K120" s="20" t="str">
        <f>IFERROR(INDEX('Detalles movimientos'!O$5:O$1004, MATCH(111, 'Detalles movimientos'!$W$5:$W$1004, 0)), "")</f>
        <v/>
      </c>
      <c r="L120" s="18" t="str">
        <f>IFERROR(INDEX('Detalles movimientos'!P$5:P$1004, MATCH(111, 'Detalles movimientos'!$W$5:$W$1004, 0)), "")</f>
        <v/>
      </c>
      <c r="M120" s="18" t="str">
        <f>IFERROR(INDEX('Detalles movimientos'!S$5:S$1004, MATCH(111, 'Detalles movimientos'!$W$5:$W$1004, 0)), "")</f>
        <v/>
      </c>
    </row>
    <row r="121" spans="2:13">
      <c r="B121" s="17" t="str">
        <f>IFERROR(INDEX('Detalles movimientos'!C$5:C$1004, MATCH(112, 'Detalles movimientos'!$W$5:$W$1004, 0)), "")</f>
        <v/>
      </c>
      <c r="C121" s="18" t="str">
        <f>IFERROR(INDEX('Detalles movimientos'!D$5:D$1004, MATCH(112, 'Detalles movimientos'!$W$5:$W$1004, 0)), "")</f>
        <v/>
      </c>
      <c r="D121" s="19" t="str">
        <f>IFERROR(INDEX('Detalles movimientos'!E$5:E$1004, MATCH(112, 'Detalles movimientos'!$W$5:$W$1004, 0)), "")</f>
        <v/>
      </c>
      <c r="E121" s="19" t="str">
        <f>IFERROR(INDEX('Detalles movimientos'!F$5:F$1004, MATCH(112, 'Detalles movimientos'!$W$5:$W$1004, 0)), "")</f>
        <v/>
      </c>
      <c r="F121" s="18" t="str">
        <f>IFERROR(INDEX('Detalles movimientos'!G$5:G$1004, MATCH(112, 'Detalles movimientos'!$W$5:$W$1004, 0)), "")</f>
        <v/>
      </c>
      <c r="G121" s="20" t="str">
        <f>IFERROR(INDEX('Detalles movimientos'!H$5:H$1004, MATCH(112, 'Detalles movimientos'!$W$5:$W$1004, 0)), "")</f>
        <v/>
      </c>
      <c r="H121" s="21" t="str">
        <f>IFERROR(INDEX('Detalles movimientos'!I$5:I$1004, MATCH(112, 'Detalles movimientos'!$W$5:$W$1004, 0)), "")</f>
        <v/>
      </c>
      <c r="I121" s="20" t="str">
        <f>IFERROR(INDEX('Detalles movimientos'!M$5:M$1004, MATCH(112, 'Detalles movimientos'!$W$5:$W$1004, 0)), "")</f>
        <v/>
      </c>
      <c r="J121" s="19" t="str">
        <f>IFERROR(INDEX('Detalles movimientos'!N$5:N$1004, MATCH(112, 'Detalles movimientos'!$W$5:$W$1004, 0)), "")</f>
        <v/>
      </c>
      <c r="K121" s="20" t="str">
        <f>IFERROR(INDEX('Detalles movimientos'!O$5:O$1004, MATCH(112, 'Detalles movimientos'!$W$5:$W$1004, 0)), "")</f>
        <v/>
      </c>
      <c r="L121" s="18" t="str">
        <f>IFERROR(INDEX('Detalles movimientos'!P$5:P$1004, MATCH(112, 'Detalles movimientos'!$W$5:$W$1004, 0)), "")</f>
        <v/>
      </c>
      <c r="M121" s="18" t="str">
        <f>IFERROR(INDEX('Detalles movimientos'!S$5:S$1004, MATCH(112, 'Detalles movimientos'!$W$5:$W$1004, 0)), "")</f>
        <v/>
      </c>
    </row>
    <row r="122" spans="2:13">
      <c r="B122" s="17" t="str">
        <f>IFERROR(INDEX('Detalles movimientos'!C$5:C$1004, MATCH(113, 'Detalles movimientos'!$W$5:$W$1004, 0)), "")</f>
        <v/>
      </c>
      <c r="C122" s="18" t="str">
        <f>IFERROR(INDEX('Detalles movimientos'!D$5:D$1004, MATCH(113, 'Detalles movimientos'!$W$5:$W$1004, 0)), "")</f>
        <v/>
      </c>
      <c r="D122" s="19" t="str">
        <f>IFERROR(INDEX('Detalles movimientos'!E$5:E$1004, MATCH(113, 'Detalles movimientos'!$W$5:$W$1004, 0)), "")</f>
        <v/>
      </c>
      <c r="E122" s="19" t="str">
        <f>IFERROR(INDEX('Detalles movimientos'!F$5:F$1004, MATCH(113, 'Detalles movimientos'!$W$5:$W$1004, 0)), "")</f>
        <v/>
      </c>
      <c r="F122" s="18" t="str">
        <f>IFERROR(INDEX('Detalles movimientos'!G$5:G$1004, MATCH(113, 'Detalles movimientos'!$W$5:$W$1004, 0)), "")</f>
        <v/>
      </c>
      <c r="G122" s="20" t="str">
        <f>IFERROR(INDEX('Detalles movimientos'!H$5:H$1004, MATCH(113, 'Detalles movimientos'!$W$5:$W$1004, 0)), "")</f>
        <v/>
      </c>
      <c r="H122" s="21" t="str">
        <f>IFERROR(INDEX('Detalles movimientos'!I$5:I$1004, MATCH(113, 'Detalles movimientos'!$W$5:$W$1004, 0)), "")</f>
        <v/>
      </c>
      <c r="I122" s="20" t="str">
        <f>IFERROR(INDEX('Detalles movimientos'!M$5:M$1004, MATCH(113, 'Detalles movimientos'!$W$5:$W$1004, 0)), "")</f>
        <v/>
      </c>
      <c r="J122" s="19" t="str">
        <f>IFERROR(INDEX('Detalles movimientos'!N$5:N$1004, MATCH(113, 'Detalles movimientos'!$W$5:$W$1004, 0)), "")</f>
        <v/>
      </c>
      <c r="K122" s="20" t="str">
        <f>IFERROR(INDEX('Detalles movimientos'!O$5:O$1004, MATCH(113, 'Detalles movimientos'!$W$5:$W$1004, 0)), "")</f>
        <v/>
      </c>
      <c r="L122" s="18" t="str">
        <f>IFERROR(INDEX('Detalles movimientos'!P$5:P$1004, MATCH(113, 'Detalles movimientos'!$W$5:$W$1004, 0)), "")</f>
        <v/>
      </c>
      <c r="M122" s="18" t="str">
        <f>IFERROR(INDEX('Detalles movimientos'!S$5:S$1004, MATCH(113, 'Detalles movimientos'!$W$5:$W$1004, 0)), "")</f>
        <v/>
      </c>
    </row>
    <row r="123" spans="2:13">
      <c r="B123" s="17" t="str">
        <f>IFERROR(INDEX('Detalles movimientos'!C$5:C$1004, MATCH(114, 'Detalles movimientos'!$W$5:$W$1004, 0)), "")</f>
        <v/>
      </c>
      <c r="C123" s="18" t="str">
        <f>IFERROR(INDEX('Detalles movimientos'!D$5:D$1004, MATCH(114, 'Detalles movimientos'!$W$5:$W$1004, 0)), "")</f>
        <v/>
      </c>
      <c r="D123" s="19" t="str">
        <f>IFERROR(INDEX('Detalles movimientos'!E$5:E$1004, MATCH(114, 'Detalles movimientos'!$W$5:$W$1004, 0)), "")</f>
        <v/>
      </c>
      <c r="E123" s="19" t="str">
        <f>IFERROR(INDEX('Detalles movimientos'!F$5:F$1004, MATCH(114, 'Detalles movimientos'!$W$5:$W$1004, 0)), "")</f>
        <v/>
      </c>
      <c r="F123" s="18" t="str">
        <f>IFERROR(INDEX('Detalles movimientos'!G$5:G$1004, MATCH(114, 'Detalles movimientos'!$W$5:$W$1004, 0)), "")</f>
        <v/>
      </c>
      <c r="G123" s="20" t="str">
        <f>IFERROR(INDEX('Detalles movimientos'!H$5:H$1004, MATCH(114, 'Detalles movimientos'!$W$5:$W$1004, 0)), "")</f>
        <v/>
      </c>
      <c r="H123" s="21" t="str">
        <f>IFERROR(INDEX('Detalles movimientos'!I$5:I$1004, MATCH(114, 'Detalles movimientos'!$W$5:$W$1004, 0)), "")</f>
        <v/>
      </c>
      <c r="I123" s="20" t="str">
        <f>IFERROR(INDEX('Detalles movimientos'!M$5:M$1004, MATCH(114, 'Detalles movimientos'!$W$5:$W$1004, 0)), "")</f>
        <v/>
      </c>
      <c r="J123" s="19" t="str">
        <f>IFERROR(INDEX('Detalles movimientos'!N$5:N$1004, MATCH(114, 'Detalles movimientos'!$W$5:$W$1004, 0)), "")</f>
        <v/>
      </c>
      <c r="K123" s="20" t="str">
        <f>IFERROR(INDEX('Detalles movimientos'!O$5:O$1004, MATCH(114, 'Detalles movimientos'!$W$5:$W$1004, 0)), "")</f>
        <v/>
      </c>
      <c r="L123" s="18" t="str">
        <f>IFERROR(INDEX('Detalles movimientos'!P$5:P$1004, MATCH(114, 'Detalles movimientos'!$W$5:$W$1004, 0)), "")</f>
        <v/>
      </c>
      <c r="M123" s="18" t="str">
        <f>IFERROR(INDEX('Detalles movimientos'!S$5:S$1004, MATCH(114, 'Detalles movimientos'!$W$5:$W$1004, 0)), "")</f>
        <v/>
      </c>
    </row>
    <row r="124" spans="2:13">
      <c r="B124" s="17" t="str">
        <f>IFERROR(INDEX('Detalles movimientos'!C$5:C$1004, MATCH(115, 'Detalles movimientos'!$W$5:$W$1004, 0)), "")</f>
        <v/>
      </c>
      <c r="C124" s="18" t="str">
        <f>IFERROR(INDEX('Detalles movimientos'!D$5:D$1004, MATCH(115, 'Detalles movimientos'!$W$5:$W$1004, 0)), "")</f>
        <v/>
      </c>
      <c r="D124" s="19" t="str">
        <f>IFERROR(INDEX('Detalles movimientos'!E$5:E$1004, MATCH(115, 'Detalles movimientos'!$W$5:$W$1004, 0)), "")</f>
        <v/>
      </c>
      <c r="E124" s="19" t="str">
        <f>IFERROR(INDEX('Detalles movimientos'!F$5:F$1004, MATCH(115, 'Detalles movimientos'!$W$5:$W$1004, 0)), "")</f>
        <v/>
      </c>
      <c r="F124" s="18" t="str">
        <f>IFERROR(INDEX('Detalles movimientos'!G$5:G$1004, MATCH(115, 'Detalles movimientos'!$W$5:$W$1004, 0)), "")</f>
        <v/>
      </c>
      <c r="G124" s="20" t="str">
        <f>IFERROR(INDEX('Detalles movimientos'!H$5:H$1004, MATCH(115, 'Detalles movimientos'!$W$5:$W$1004, 0)), "")</f>
        <v/>
      </c>
      <c r="H124" s="21" t="str">
        <f>IFERROR(INDEX('Detalles movimientos'!I$5:I$1004, MATCH(115, 'Detalles movimientos'!$W$5:$W$1004, 0)), "")</f>
        <v/>
      </c>
      <c r="I124" s="20" t="str">
        <f>IFERROR(INDEX('Detalles movimientos'!M$5:M$1004, MATCH(115, 'Detalles movimientos'!$W$5:$W$1004, 0)), "")</f>
        <v/>
      </c>
      <c r="J124" s="19" t="str">
        <f>IFERROR(INDEX('Detalles movimientos'!N$5:N$1004, MATCH(115, 'Detalles movimientos'!$W$5:$W$1004, 0)), "")</f>
        <v/>
      </c>
      <c r="K124" s="20" t="str">
        <f>IFERROR(INDEX('Detalles movimientos'!O$5:O$1004, MATCH(115, 'Detalles movimientos'!$W$5:$W$1004, 0)), "")</f>
        <v/>
      </c>
      <c r="L124" s="18" t="str">
        <f>IFERROR(INDEX('Detalles movimientos'!P$5:P$1004, MATCH(115, 'Detalles movimientos'!$W$5:$W$1004, 0)), "")</f>
        <v/>
      </c>
      <c r="M124" s="18" t="str">
        <f>IFERROR(INDEX('Detalles movimientos'!S$5:S$1004, MATCH(115, 'Detalles movimientos'!$W$5:$W$1004, 0)), "")</f>
        <v/>
      </c>
    </row>
    <row r="125" spans="2:13">
      <c r="B125" s="17" t="str">
        <f>IFERROR(INDEX('Detalles movimientos'!C$5:C$1004, MATCH(116, 'Detalles movimientos'!$W$5:$W$1004, 0)), "")</f>
        <v/>
      </c>
      <c r="C125" s="18" t="str">
        <f>IFERROR(INDEX('Detalles movimientos'!D$5:D$1004, MATCH(116, 'Detalles movimientos'!$W$5:$W$1004, 0)), "")</f>
        <v/>
      </c>
      <c r="D125" s="19" t="str">
        <f>IFERROR(INDEX('Detalles movimientos'!E$5:E$1004, MATCH(116, 'Detalles movimientos'!$W$5:$W$1004, 0)), "")</f>
        <v/>
      </c>
      <c r="E125" s="19" t="str">
        <f>IFERROR(INDEX('Detalles movimientos'!F$5:F$1004, MATCH(116, 'Detalles movimientos'!$W$5:$W$1004, 0)), "")</f>
        <v/>
      </c>
      <c r="F125" s="18" t="str">
        <f>IFERROR(INDEX('Detalles movimientos'!G$5:G$1004, MATCH(116, 'Detalles movimientos'!$W$5:$W$1004, 0)), "")</f>
        <v/>
      </c>
      <c r="G125" s="20" t="str">
        <f>IFERROR(INDEX('Detalles movimientos'!H$5:H$1004, MATCH(116, 'Detalles movimientos'!$W$5:$W$1004, 0)), "")</f>
        <v/>
      </c>
      <c r="H125" s="21" t="str">
        <f>IFERROR(INDEX('Detalles movimientos'!I$5:I$1004, MATCH(116, 'Detalles movimientos'!$W$5:$W$1004, 0)), "")</f>
        <v/>
      </c>
      <c r="I125" s="20" t="str">
        <f>IFERROR(INDEX('Detalles movimientos'!M$5:M$1004, MATCH(116, 'Detalles movimientos'!$W$5:$W$1004, 0)), "")</f>
        <v/>
      </c>
      <c r="J125" s="19" t="str">
        <f>IFERROR(INDEX('Detalles movimientos'!N$5:N$1004, MATCH(116, 'Detalles movimientos'!$W$5:$W$1004, 0)), "")</f>
        <v/>
      </c>
      <c r="K125" s="20" t="str">
        <f>IFERROR(INDEX('Detalles movimientos'!O$5:O$1004, MATCH(116, 'Detalles movimientos'!$W$5:$W$1004, 0)), "")</f>
        <v/>
      </c>
      <c r="L125" s="18" t="str">
        <f>IFERROR(INDEX('Detalles movimientos'!P$5:P$1004, MATCH(116, 'Detalles movimientos'!$W$5:$W$1004, 0)), "")</f>
        <v/>
      </c>
      <c r="M125" s="18" t="str">
        <f>IFERROR(INDEX('Detalles movimientos'!S$5:S$1004, MATCH(116, 'Detalles movimientos'!$W$5:$W$1004, 0)), "")</f>
        <v/>
      </c>
    </row>
    <row r="126" spans="2:13">
      <c r="B126" s="17" t="str">
        <f>IFERROR(INDEX('Detalles movimientos'!C$5:C$1004, MATCH(117, 'Detalles movimientos'!$W$5:$W$1004, 0)), "")</f>
        <v/>
      </c>
      <c r="C126" s="18" t="str">
        <f>IFERROR(INDEX('Detalles movimientos'!D$5:D$1004, MATCH(117, 'Detalles movimientos'!$W$5:$W$1004, 0)), "")</f>
        <v/>
      </c>
      <c r="D126" s="19" t="str">
        <f>IFERROR(INDEX('Detalles movimientos'!E$5:E$1004, MATCH(117, 'Detalles movimientos'!$W$5:$W$1004, 0)), "")</f>
        <v/>
      </c>
      <c r="E126" s="19" t="str">
        <f>IFERROR(INDEX('Detalles movimientos'!F$5:F$1004, MATCH(117, 'Detalles movimientos'!$W$5:$W$1004, 0)), "")</f>
        <v/>
      </c>
      <c r="F126" s="18" t="str">
        <f>IFERROR(INDEX('Detalles movimientos'!G$5:G$1004, MATCH(117, 'Detalles movimientos'!$W$5:$W$1004, 0)), "")</f>
        <v/>
      </c>
      <c r="G126" s="20" t="str">
        <f>IFERROR(INDEX('Detalles movimientos'!H$5:H$1004, MATCH(117, 'Detalles movimientos'!$W$5:$W$1004, 0)), "")</f>
        <v/>
      </c>
      <c r="H126" s="21" t="str">
        <f>IFERROR(INDEX('Detalles movimientos'!I$5:I$1004, MATCH(117, 'Detalles movimientos'!$W$5:$W$1004, 0)), "")</f>
        <v/>
      </c>
      <c r="I126" s="20" t="str">
        <f>IFERROR(INDEX('Detalles movimientos'!M$5:M$1004, MATCH(117, 'Detalles movimientos'!$W$5:$W$1004, 0)), "")</f>
        <v/>
      </c>
      <c r="J126" s="19" t="str">
        <f>IFERROR(INDEX('Detalles movimientos'!N$5:N$1004, MATCH(117, 'Detalles movimientos'!$W$5:$W$1004, 0)), "")</f>
        <v/>
      </c>
      <c r="K126" s="20" t="str">
        <f>IFERROR(INDEX('Detalles movimientos'!O$5:O$1004, MATCH(117, 'Detalles movimientos'!$W$5:$W$1004, 0)), "")</f>
        <v/>
      </c>
      <c r="L126" s="18" t="str">
        <f>IFERROR(INDEX('Detalles movimientos'!P$5:P$1004, MATCH(117, 'Detalles movimientos'!$W$5:$W$1004, 0)), "")</f>
        <v/>
      </c>
      <c r="M126" s="18" t="str">
        <f>IFERROR(INDEX('Detalles movimientos'!S$5:S$1004, MATCH(117, 'Detalles movimientos'!$W$5:$W$1004, 0)), "")</f>
        <v/>
      </c>
    </row>
    <row r="127" spans="2:13">
      <c r="B127" s="17" t="str">
        <f>IFERROR(INDEX('Detalles movimientos'!C$5:C$1004, MATCH(118, 'Detalles movimientos'!$W$5:$W$1004, 0)), "")</f>
        <v/>
      </c>
      <c r="C127" s="18" t="str">
        <f>IFERROR(INDEX('Detalles movimientos'!D$5:D$1004, MATCH(118, 'Detalles movimientos'!$W$5:$W$1004, 0)), "")</f>
        <v/>
      </c>
      <c r="D127" s="19" t="str">
        <f>IFERROR(INDEX('Detalles movimientos'!E$5:E$1004, MATCH(118, 'Detalles movimientos'!$W$5:$W$1004, 0)), "")</f>
        <v/>
      </c>
      <c r="E127" s="19" t="str">
        <f>IFERROR(INDEX('Detalles movimientos'!F$5:F$1004, MATCH(118, 'Detalles movimientos'!$W$5:$W$1004, 0)), "")</f>
        <v/>
      </c>
      <c r="F127" s="18" t="str">
        <f>IFERROR(INDEX('Detalles movimientos'!G$5:G$1004, MATCH(118, 'Detalles movimientos'!$W$5:$W$1004, 0)), "")</f>
        <v/>
      </c>
      <c r="G127" s="20" t="str">
        <f>IFERROR(INDEX('Detalles movimientos'!H$5:H$1004, MATCH(118, 'Detalles movimientos'!$W$5:$W$1004, 0)), "")</f>
        <v/>
      </c>
      <c r="H127" s="21" t="str">
        <f>IFERROR(INDEX('Detalles movimientos'!I$5:I$1004, MATCH(118, 'Detalles movimientos'!$W$5:$W$1004, 0)), "")</f>
        <v/>
      </c>
      <c r="I127" s="20" t="str">
        <f>IFERROR(INDEX('Detalles movimientos'!M$5:M$1004, MATCH(118, 'Detalles movimientos'!$W$5:$W$1004, 0)), "")</f>
        <v/>
      </c>
      <c r="J127" s="19" t="str">
        <f>IFERROR(INDEX('Detalles movimientos'!N$5:N$1004, MATCH(118, 'Detalles movimientos'!$W$5:$W$1004, 0)), "")</f>
        <v/>
      </c>
      <c r="K127" s="20" t="str">
        <f>IFERROR(INDEX('Detalles movimientos'!O$5:O$1004, MATCH(118, 'Detalles movimientos'!$W$5:$W$1004, 0)), "")</f>
        <v/>
      </c>
      <c r="L127" s="18" t="str">
        <f>IFERROR(INDEX('Detalles movimientos'!P$5:P$1004, MATCH(118, 'Detalles movimientos'!$W$5:$W$1004, 0)), "")</f>
        <v/>
      </c>
      <c r="M127" s="18" t="str">
        <f>IFERROR(INDEX('Detalles movimientos'!S$5:S$1004, MATCH(118, 'Detalles movimientos'!$W$5:$W$1004, 0)), "")</f>
        <v/>
      </c>
    </row>
    <row r="128" spans="2:13">
      <c r="B128" s="17" t="str">
        <f>IFERROR(INDEX('Detalles movimientos'!C$5:C$1004, MATCH(119, 'Detalles movimientos'!$W$5:$W$1004, 0)), "")</f>
        <v/>
      </c>
      <c r="C128" s="18" t="str">
        <f>IFERROR(INDEX('Detalles movimientos'!D$5:D$1004, MATCH(119, 'Detalles movimientos'!$W$5:$W$1004, 0)), "")</f>
        <v/>
      </c>
      <c r="D128" s="19" t="str">
        <f>IFERROR(INDEX('Detalles movimientos'!E$5:E$1004, MATCH(119, 'Detalles movimientos'!$W$5:$W$1004, 0)), "")</f>
        <v/>
      </c>
      <c r="E128" s="19" t="str">
        <f>IFERROR(INDEX('Detalles movimientos'!F$5:F$1004, MATCH(119, 'Detalles movimientos'!$W$5:$W$1004, 0)), "")</f>
        <v/>
      </c>
      <c r="F128" s="18" t="str">
        <f>IFERROR(INDEX('Detalles movimientos'!G$5:G$1004, MATCH(119, 'Detalles movimientos'!$W$5:$W$1004, 0)), "")</f>
        <v/>
      </c>
      <c r="G128" s="20" t="str">
        <f>IFERROR(INDEX('Detalles movimientos'!H$5:H$1004, MATCH(119, 'Detalles movimientos'!$W$5:$W$1004, 0)), "")</f>
        <v/>
      </c>
      <c r="H128" s="21" t="str">
        <f>IFERROR(INDEX('Detalles movimientos'!I$5:I$1004, MATCH(119, 'Detalles movimientos'!$W$5:$W$1004, 0)), "")</f>
        <v/>
      </c>
      <c r="I128" s="20" t="str">
        <f>IFERROR(INDEX('Detalles movimientos'!M$5:M$1004, MATCH(119, 'Detalles movimientos'!$W$5:$W$1004, 0)), "")</f>
        <v/>
      </c>
      <c r="J128" s="19" t="str">
        <f>IFERROR(INDEX('Detalles movimientos'!N$5:N$1004, MATCH(119, 'Detalles movimientos'!$W$5:$W$1004, 0)), "")</f>
        <v/>
      </c>
      <c r="K128" s="20" t="str">
        <f>IFERROR(INDEX('Detalles movimientos'!O$5:O$1004, MATCH(119, 'Detalles movimientos'!$W$5:$W$1004, 0)), "")</f>
        <v/>
      </c>
      <c r="L128" s="18" t="str">
        <f>IFERROR(INDEX('Detalles movimientos'!P$5:P$1004, MATCH(119, 'Detalles movimientos'!$W$5:$W$1004, 0)), "")</f>
        <v/>
      </c>
      <c r="M128" s="18" t="str">
        <f>IFERROR(INDEX('Detalles movimientos'!S$5:S$1004, MATCH(119, 'Detalles movimientos'!$W$5:$W$1004, 0)), "")</f>
        <v/>
      </c>
    </row>
    <row r="129" spans="2:13">
      <c r="B129" s="17" t="str">
        <f>IFERROR(INDEX('Detalles movimientos'!C$5:C$1004, MATCH(120, 'Detalles movimientos'!$W$5:$W$1004, 0)), "")</f>
        <v/>
      </c>
      <c r="C129" s="18" t="str">
        <f>IFERROR(INDEX('Detalles movimientos'!D$5:D$1004, MATCH(120, 'Detalles movimientos'!$W$5:$W$1004, 0)), "")</f>
        <v/>
      </c>
      <c r="D129" s="19" t="str">
        <f>IFERROR(INDEX('Detalles movimientos'!E$5:E$1004, MATCH(120, 'Detalles movimientos'!$W$5:$W$1004, 0)), "")</f>
        <v/>
      </c>
      <c r="E129" s="19" t="str">
        <f>IFERROR(INDEX('Detalles movimientos'!F$5:F$1004, MATCH(120, 'Detalles movimientos'!$W$5:$W$1004, 0)), "")</f>
        <v/>
      </c>
      <c r="F129" s="18" t="str">
        <f>IFERROR(INDEX('Detalles movimientos'!G$5:G$1004, MATCH(120, 'Detalles movimientos'!$W$5:$W$1004, 0)), "")</f>
        <v/>
      </c>
      <c r="G129" s="20" t="str">
        <f>IFERROR(INDEX('Detalles movimientos'!H$5:H$1004, MATCH(120, 'Detalles movimientos'!$W$5:$W$1004, 0)), "")</f>
        <v/>
      </c>
      <c r="H129" s="21" t="str">
        <f>IFERROR(INDEX('Detalles movimientos'!I$5:I$1004, MATCH(120, 'Detalles movimientos'!$W$5:$W$1004, 0)), "")</f>
        <v/>
      </c>
      <c r="I129" s="20" t="str">
        <f>IFERROR(INDEX('Detalles movimientos'!M$5:M$1004, MATCH(120, 'Detalles movimientos'!$W$5:$W$1004, 0)), "")</f>
        <v/>
      </c>
      <c r="J129" s="19" t="str">
        <f>IFERROR(INDEX('Detalles movimientos'!N$5:N$1004, MATCH(120, 'Detalles movimientos'!$W$5:$W$1004, 0)), "")</f>
        <v/>
      </c>
      <c r="K129" s="20" t="str">
        <f>IFERROR(INDEX('Detalles movimientos'!O$5:O$1004, MATCH(120, 'Detalles movimientos'!$W$5:$W$1004, 0)), "")</f>
        <v/>
      </c>
      <c r="L129" s="18" t="str">
        <f>IFERROR(INDEX('Detalles movimientos'!P$5:P$1004, MATCH(120, 'Detalles movimientos'!$W$5:$W$1004, 0)), "")</f>
        <v/>
      </c>
      <c r="M129" s="18" t="str">
        <f>IFERROR(INDEX('Detalles movimientos'!S$5:S$1004, MATCH(120, 'Detalles movimientos'!$W$5:$W$1004, 0)), "")</f>
        <v/>
      </c>
    </row>
    <row r="130" spans="2:13">
      <c r="B130" s="17" t="str">
        <f>IFERROR(INDEX('Detalles movimientos'!C$5:C$1004, MATCH(121, 'Detalles movimientos'!$W$5:$W$1004, 0)), "")</f>
        <v/>
      </c>
      <c r="C130" s="18" t="str">
        <f>IFERROR(INDEX('Detalles movimientos'!D$5:D$1004, MATCH(121, 'Detalles movimientos'!$W$5:$W$1004, 0)), "")</f>
        <v/>
      </c>
      <c r="D130" s="19" t="str">
        <f>IFERROR(INDEX('Detalles movimientos'!E$5:E$1004, MATCH(121, 'Detalles movimientos'!$W$5:$W$1004, 0)), "")</f>
        <v/>
      </c>
      <c r="E130" s="19" t="str">
        <f>IFERROR(INDEX('Detalles movimientos'!F$5:F$1004, MATCH(121, 'Detalles movimientos'!$W$5:$W$1004, 0)), "")</f>
        <v/>
      </c>
      <c r="F130" s="18" t="str">
        <f>IFERROR(INDEX('Detalles movimientos'!G$5:G$1004, MATCH(121, 'Detalles movimientos'!$W$5:$W$1004, 0)), "")</f>
        <v/>
      </c>
      <c r="G130" s="20" t="str">
        <f>IFERROR(INDEX('Detalles movimientos'!H$5:H$1004, MATCH(121, 'Detalles movimientos'!$W$5:$W$1004, 0)), "")</f>
        <v/>
      </c>
      <c r="H130" s="21" t="str">
        <f>IFERROR(INDEX('Detalles movimientos'!I$5:I$1004, MATCH(121, 'Detalles movimientos'!$W$5:$W$1004, 0)), "")</f>
        <v/>
      </c>
      <c r="I130" s="20" t="str">
        <f>IFERROR(INDEX('Detalles movimientos'!M$5:M$1004, MATCH(121, 'Detalles movimientos'!$W$5:$W$1004, 0)), "")</f>
        <v/>
      </c>
      <c r="J130" s="19" t="str">
        <f>IFERROR(INDEX('Detalles movimientos'!N$5:N$1004, MATCH(121, 'Detalles movimientos'!$W$5:$W$1004, 0)), "")</f>
        <v/>
      </c>
      <c r="K130" s="20" t="str">
        <f>IFERROR(INDEX('Detalles movimientos'!O$5:O$1004, MATCH(121, 'Detalles movimientos'!$W$5:$W$1004, 0)), "")</f>
        <v/>
      </c>
      <c r="L130" s="18" t="str">
        <f>IFERROR(INDEX('Detalles movimientos'!P$5:P$1004, MATCH(121, 'Detalles movimientos'!$W$5:$W$1004, 0)), "")</f>
        <v/>
      </c>
      <c r="M130" s="18" t="str">
        <f>IFERROR(INDEX('Detalles movimientos'!S$5:S$1004, MATCH(121, 'Detalles movimientos'!$W$5:$W$1004, 0)), "")</f>
        <v/>
      </c>
    </row>
    <row r="131" spans="2:13">
      <c r="B131" s="17" t="str">
        <f>IFERROR(INDEX('Detalles movimientos'!C$5:C$1004, MATCH(122, 'Detalles movimientos'!$W$5:$W$1004, 0)), "")</f>
        <v/>
      </c>
      <c r="C131" s="18" t="str">
        <f>IFERROR(INDEX('Detalles movimientos'!D$5:D$1004, MATCH(122, 'Detalles movimientos'!$W$5:$W$1004, 0)), "")</f>
        <v/>
      </c>
      <c r="D131" s="19" t="str">
        <f>IFERROR(INDEX('Detalles movimientos'!E$5:E$1004, MATCH(122, 'Detalles movimientos'!$W$5:$W$1004, 0)), "")</f>
        <v/>
      </c>
      <c r="E131" s="19" t="str">
        <f>IFERROR(INDEX('Detalles movimientos'!F$5:F$1004, MATCH(122, 'Detalles movimientos'!$W$5:$W$1004, 0)), "")</f>
        <v/>
      </c>
      <c r="F131" s="18" t="str">
        <f>IFERROR(INDEX('Detalles movimientos'!G$5:G$1004, MATCH(122, 'Detalles movimientos'!$W$5:$W$1004, 0)), "")</f>
        <v/>
      </c>
      <c r="G131" s="20" t="str">
        <f>IFERROR(INDEX('Detalles movimientos'!H$5:H$1004, MATCH(122, 'Detalles movimientos'!$W$5:$W$1004, 0)), "")</f>
        <v/>
      </c>
      <c r="H131" s="21" t="str">
        <f>IFERROR(INDEX('Detalles movimientos'!I$5:I$1004, MATCH(122, 'Detalles movimientos'!$W$5:$W$1004, 0)), "")</f>
        <v/>
      </c>
      <c r="I131" s="20" t="str">
        <f>IFERROR(INDEX('Detalles movimientos'!M$5:M$1004, MATCH(122, 'Detalles movimientos'!$W$5:$W$1004, 0)), "")</f>
        <v/>
      </c>
      <c r="J131" s="19" t="str">
        <f>IFERROR(INDEX('Detalles movimientos'!N$5:N$1004, MATCH(122, 'Detalles movimientos'!$W$5:$W$1004, 0)), "")</f>
        <v/>
      </c>
      <c r="K131" s="20" t="str">
        <f>IFERROR(INDEX('Detalles movimientos'!O$5:O$1004, MATCH(122, 'Detalles movimientos'!$W$5:$W$1004, 0)), "")</f>
        <v/>
      </c>
      <c r="L131" s="18" t="str">
        <f>IFERROR(INDEX('Detalles movimientos'!P$5:P$1004, MATCH(122, 'Detalles movimientos'!$W$5:$W$1004, 0)), "")</f>
        <v/>
      </c>
      <c r="M131" s="18" t="str">
        <f>IFERROR(INDEX('Detalles movimientos'!S$5:S$1004, MATCH(122, 'Detalles movimientos'!$W$5:$W$1004, 0)), "")</f>
        <v/>
      </c>
    </row>
    <row r="132" spans="2:13">
      <c r="B132" s="17" t="str">
        <f>IFERROR(INDEX('Detalles movimientos'!C$5:C$1004, MATCH(123, 'Detalles movimientos'!$W$5:$W$1004, 0)), "")</f>
        <v/>
      </c>
      <c r="C132" s="18" t="str">
        <f>IFERROR(INDEX('Detalles movimientos'!D$5:D$1004, MATCH(123, 'Detalles movimientos'!$W$5:$W$1004, 0)), "")</f>
        <v/>
      </c>
      <c r="D132" s="19" t="str">
        <f>IFERROR(INDEX('Detalles movimientos'!E$5:E$1004, MATCH(123, 'Detalles movimientos'!$W$5:$W$1004, 0)), "")</f>
        <v/>
      </c>
      <c r="E132" s="19" t="str">
        <f>IFERROR(INDEX('Detalles movimientos'!F$5:F$1004, MATCH(123, 'Detalles movimientos'!$W$5:$W$1004, 0)), "")</f>
        <v/>
      </c>
      <c r="F132" s="18" t="str">
        <f>IFERROR(INDEX('Detalles movimientos'!G$5:G$1004, MATCH(123, 'Detalles movimientos'!$W$5:$W$1004, 0)), "")</f>
        <v/>
      </c>
      <c r="G132" s="20" t="str">
        <f>IFERROR(INDEX('Detalles movimientos'!H$5:H$1004, MATCH(123, 'Detalles movimientos'!$W$5:$W$1004, 0)), "")</f>
        <v/>
      </c>
      <c r="H132" s="21" t="str">
        <f>IFERROR(INDEX('Detalles movimientos'!I$5:I$1004, MATCH(123, 'Detalles movimientos'!$W$5:$W$1004, 0)), "")</f>
        <v/>
      </c>
      <c r="I132" s="20" t="str">
        <f>IFERROR(INDEX('Detalles movimientos'!M$5:M$1004, MATCH(123, 'Detalles movimientos'!$W$5:$W$1004, 0)), "")</f>
        <v/>
      </c>
      <c r="J132" s="19" t="str">
        <f>IFERROR(INDEX('Detalles movimientos'!N$5:N$1004, MATCH(123, 'Detalles movimientos'!$W$5:$W$1004, 0)), "")</f>
        <v/>
      </c>
      <c r="K132" s="20" t="str">
        <f>IFERROR(INDEX('Detalles movimientos'!O$5:O$1004, MATCH(123, 'Detalles movimientos'!$W$5:$W$1004, 0)), "")</f>
        <v/>
      </c>
      <c r="L132" s="18" t="str">
        <f>IFERROR(INDEX('Detalles movimientos'!P$5:P$1004, MATCH(123, 'Detalles movimientos'!$W$5:$W$1004, 0)), "")</f>
        <v/>
      </c>
      <c r="M132" s="18" t="str">
        <f>IFERROR(INDEX('Detalles movimientos'!S$5:S$1004, MATCH(123, 'Detalles movimientos'!$W$5:$W$1004, 0)), "")</f>
        <v/>
      </c>
    </row>
    <row r="133" spans="2:13">
      <c r="B133" s="17" t="str">
        <f>IFERROR(INDEX('Detalles movimientos'!C$5:C$1004, MATCH(124, 'Detalles movimientos'!$W$5:$W$1004, 0)), "")</f>
        <v/>
      </c>
      <c r="C133" s="18" t="str">
        <f>IFERROR(INDEX('Detalles movimientos'!D$5:D$1004, MATCH(124, 'Detalles movimientos'!$W$5:$W$1004, 0)), "")</f>
        <v/>
      </c>
      <c r="D133" s="19" t="str">
        <f>IFERROR(INDEX('Detalles movimientos'!E$5:E$1004, MATCH(124, 'Detalles movimientos'!$W$5:$W$1004, 0)), "")</f>
        <v/>
      </c>
      <c r="E133" s="19" t="str">
        <f>IFERROR(INDEX('Detalles movimientos'!F$5:F$1004, MATCH(124, 'Detalles movimientos'!$W$5:$W$1004, 0)), "")</f>
        <v/>
      </c>
      <c r="F133" s="18" t="str">
        <f>IFERROR(INDEX('Detalles movimientos'!G$5:G$1004, MATCH(124, 'Detalles movimientos'!$W$5:$W$1004, 0)), "")</f>
        <v/>
      </c>
      <c r="G133" s="20" t="str">
        <f>IFERROR(INDEX('Detalles movimientos'!H$5:H$1004, MATCH(124, 'Detalles movimientos'!$W$5:$W$1004, 0)), "")</f>
        <v/>
      </c>
      <c r="H133" s="21" t="str">
        <f>IFERROR(INDEX('Detalles movimientos'!I$5:I$1004, MATCH(124, 'Detalles movimientos'!$W$5:$W$1004, 0)), "")</f>
        <v/>
      </c>
      <c r="I133" s="20" t="str">
        <f>IFERROR(INDEX('Detalles movimientos'!M$5:M$1004, MATCH(124, 'Detalles movimientos'!$W$5:$W$1004, 0)), "")</f>
        <v/>
      </c>
      <c r="J133" s="19" t="str">
        <f>IFERROR(INDEX('Detalles movimientos'!N$5:N$1004, MATCH(124, 'Detalles movimientos'!$W$5:$W$1004, 0)), "")</f>
        <v/>
      </c>
      <c r="K133" s="20" t="str">
        <f>IFERROR(INDEX('Detalles movimientos'!O$5:O$1004, MATCH(124, 'Detalles movimientos'!$W$5:$W$1004, 0)), "")</f>
        <v/>
      </c>
      <c r="L133" s="18" t="str">
        <f>IFERROR(INDEX('Detalles movimientos'!P$5:P$1004, MATCH(124, 'Detalles movimientos'!$W$5:$W$1004, 0)), "")</f>
        <v/>
      </c>
      <c r="M133" s="18" t="str">
        <f>IFERROR(INDEX('Detalles movimientos'!S$5:S$1004, MATCH(124, 'Detalles movimientos'!$W$5:$W$1004, 0)), "")</f>
        <v/>
      </c>
    </row>
    <row r="134" spans="2:13">
      <c r="B134" s="17" t="str">
        <f>IFERROR(INDEX('Detalles movimientos'!C$5:C$1004, MATCH(125, 'Detalles movimientos'!$W$5:$W$1004, 0)), "")</f>
        <v/>
      </c>
      <c r="C134" s="18" t="str">
        <f>IFERROR(INDEX('Detalles movimientos'!D$5:D$1004, MATCH(125, 'Detalles movimientos'!$W$5:$W$1004, 0)), "")</f>
        <v/>
      </c>
      <c r="D134" s="19" t="str">
        <f>IFERROR(INDEX('Detalles movimientos'!E$5:E$1004, MATCH(125, 'Detalles movimientos'!$W$5:$W$1004, 0)), "")</f>
        <v/>
      </c>
      <c r="E134" s="19" t="str">
        <f>IFERROR(INDEX('Detalles movimientos'!F$5:F$1004, MATCH(125, 'Detalles movimientos'!$W$5:$W$1004, 0)), "")</f>
        <v/>
      </c>
      <c r="F134" s="18" t="str">
        <f>IFERROR(INDEX('Detalles movimientos'!G$5:G$1004, MATCH(125, 'Detalles movimientos'!$W$5:$W$1004, 0)), "")</f>
        <v/>
      </c>
      <c r="G134" s="20" t="str">
        <f>IFERROR(INDEX('Detalles movimientos'!H$5:H$1004, MATCH(125, 'Detalles movimientos'!$W$5:$W$1004, 0)), "")</f>
        <v/>
      </c>
      <c r="H134" s="21" t="str">
        <f>IFERROR(INDEX('Detalles movimientos'!I$5:I$1004, MATCH(125, 'Detalles movimientos'!$W$5:$W$1004, 0)), "")</f>
        <v/>
      </c>
      <c r="I134" s="20" t="str">
        <f>IFERROR(INDEX('Detalles movimientos'!M$5:M$1004, MATCH(125, 'Detalles movimientos'!$W$5:$W$1004, 0)), "")</f>
        <v/>
      </c>
      <c r="J134" s="19" t="str">
        <f>IFERROR(INDEX('Detalles movimientos'!N$5:N$1004, MATCH(125, 'Detalles movimientos'!$W$5:$W$1004, 0)), "")</f>
        <v/>
      </c>
      <c r="K134" s="20" t="str">
        <f>IFERROR(INDEX('Detalles movimientos'!O$5:O$1004, MATCH(125, 'Detalles movimientos'!$W$5:$W$1004, 0)), "")</f>
        <v/>
      </c>
      <c r="L134" s="18" t="str">
        <f>IFERROR(INDEX('Detalles movimientos'!P$5:P$1004, MATCH(125, 'Detalles movimientos'!$W$5:$W$1004, 0)), "")</f>
        <v/>
      </c>
      <c r="M134" s="18" t="str">
        <f>IFERROR(INDEX('Detalles movimientos'!S$5:S$1004, MATCH(125, 'Detalles movimientos'!$W$5:$W$1004, 0)), "")</f>
        <v/>
      </c>
    </row>
    <row r="135" spans="2:13">
      <c r="B135" s="17" t="str">
        <f>IFERROR(INDEX('Detalles movimientos'!C$5:C$1004, MATCH(126, 'Detalles movimientos'!$W$5:$W$1004, 0)), "")</f>
        <v/>
      </c>
      <c r="C135" s="18" t="str">
        <f>IFERROR(INDEX('Detalles movimientos'!D$5:D$1004, MATCH(126, 'Detalles movimientos'!$W$5:$W$1004, 0)), "")</f>
        <v/>
      </c>
      <c r="D135" s="19" t="str">
        <f>IFERROR(INDEX('Detalles movimientos'!E$5:E$1004, MATCH(126, 'Detalles movimientos'!$W$5:$W$1004, 0)), "")</f>
        <v/>
      </c>
      <c r="E135" s="19" t="str">
        <f>IFERROR(INDEX('Detalles movimientos'!F$5:F$1004, MATCH(126, 'Detalles movimientos'!$W$5:$W$1004, 0)), "")</f>
        <v/>
      </c>
      <c r="F135" s="18" t="str">
        <f>IFERROR(INDEX('Detalles movimientos'!G$5:G$1004, MATCH(126, 'Detalles movimientos'!$W$5:$W$1004, 0)), "")</f>
        <v/>
      </c>
      <c r="G135" s="20" t="str">
        <f>IFERROR(INDEX('Detalles movimientos'!H$5:H$1004, MATCH(126, 'Detalles movimientos'!$W$5:$W$1004, 0)), "")</f>
        <v/>
      </c>
      <c r="H135" s="21" t="str">
        <f>IFERROR(INDEX('Detalles movimientos'!I$5:I$1004, MATCH(126, 'Detalles movimientos'!$W$5:$W$1004, 0)), "")</f>
        <v/>
      </c>
      <c r="I135" s="20" t="str">
        <f>IFERROR(INDEX('Detalles movimientos'!M$5:M$1004, MATCH(126, 'Detalles movimientos'!$W$5:$W$1004, 0)), "")</f>
        <v/>
      </c>
      <c r="J135" s="19" t="str">
        <f>IFERROR(INDEX('Detalles movimientos'!N$5:N$1004, MATCH(126, 'Detalles movimientos'!$W$5:$W$1004, 0)), "")</f>
        <v/>
      </c>
      <c r="K135" s="20" t="str">
        <f>IFERROR(INDEX('Detalles movimientos'!O$5:O$1004, MATCH(126, 'Detalles movimientos'!$W$5:$W$1004, 0)), "")</f>
        <v/>
      </c>
      <c r="L135" s="18" t="str">
        <f>IFERROR(INDEX('Detalles movimientos'!P$5:P$1004, MATCH(126, 'Detalles movimientos'!$W$5:$W$1004, 0)), "")</f>
        <v/>
      </c>
      <c r="M135" s="18" t="str">
        <f>IFERROR(INDEX('Detalles movimientos'!S$5:S$1004, MATCH(126, 'Detalles movimientos'!$W$5:$W$1004, 0)), "")</f>
        <v/>
      </c>
    </row>
    <row r="136" spans="2:13">
      <c r="B136" s="17" t="str">
        <f>IFERROR(INDEX('Detalles movimientos'!C$5:C$1004, MATCH(127, 'Detalles movimientos'!$W$5:$W$1004, 0)), "")</f>
        <v/>
      </c>
      <c r="C136" s="18" t="str">
        <f>IFERROR(INDEX('Detalles movimientos'!D$5:D$1004, MATCH(127, 'Detalles movimientos'!$W$5:$W$1004, 0)), "")</f>
        <v/>
      </c>
      <c r="D136" s="19" t="str">
        <f>IFERROR(INDEX('Detalles movimientos'!E$5:E$1004, MATCH(127, 'Detalles movimientos'!$W$5:$W$1004, 0)), "")</f>
        <v/>
      </c>
      <c r="E136" s="19" t="str">
        <f>IFERROR(INDEX('Detalles movimientos'!F$5:F$1004, MATCH(127, 'Detalles movimientos'!$W$5:$W$1004, 0)), "")</f>
        <v/>
      </c>
      <c r="F136" s="18" t="str">
        <f>IFERROR(INDEX('Detalles movimientos'!G$5:G$1004, MATCH(127, 'Detalles movimientos'!$W$5:$W$1004, 0)), "")</f>
        <v/>
      </c>
      <c r="G136" s="20" t="str">
        <f>IFERROR(INDEX('Detalles movimientos'!H$5:H$1004, MATCH(127, 'Detalles movimientos'!$W$5:$W$1004, 0)), "")</f>
        <v/>
      </c>
      <c r="H136" s="21" t="str">
        <f>IFERROR(INDEX('Detalles movimientos'!I$5:I$1004, MATCH(127, 'Detalles movimientos'!$W$5:$W$1004, 0)), "")</f>
        <v/>
      </c>
      <c r="I136" s="20" t="str">
        <f>IFERROR(INDEX('Detalles movimientos'!M$5:M$1004, MATCH(127, 'Detalles movimientos'!$W$5:$W$1004, 0)), "")</f>
        <v/>
      </c>
      <c r="J136" s="19" t="str">
        <f>IFERROR(INDEX('Detalles movimientos'!N$5:N$1004, MATCH(127, 'Detalles movimientos'!$W$5:$W$1004, 0)), "")</f>
        <v/>
      </c>
      <c r="K136" s="20" t="str">
        <f>IFERROR(INDEX('Detalles movimientos'!O$5:O$1004, MATCH(127, 'Detalles movimientos'!$W$5:$W$1004, 0)), "")</f>
        <v/>
      </c>
      <c r="L136" s="18" t="str">
        <f>IFERROR(INDEX('Detalles movimientos'!P$5:P$1004, MATCH(127, 'Detalles movimientos'!$W$5:$W$1004, 0)), "")</f>
        <v/>
      </c>
      <c r="M136" s="18" t="str">
        <f>IFERROR(INDEX('Detalles movimientos'!S$5:S$1004, MATCH(127, 'Detalles movimientos'!$W$5:$W$1004, 0)), "")</f>
        <v/>
      </c>
    </row>
    <row r="137" spans="2:13">
      <c r="B137" s="17" t="str">
        <f>IFERROR(INDEX('Detalles movimientos'!C$5:C$1004, MATCH(128, 'Detalles movimientos'!$W$5:$W$1004, 0)), "")</f>
        <v/>
      </c>
      <c r="C137" s="18" t="str">
        <f>IFERROR(INDEX('Detalles movimientos'!D$5:D$1004, MATCH(128, 'Detalles movimientos'!$W$5:$W$1004, 0)), "")</f>
        <v/>
      </c>
      <c r="D137" s="19" t="str">
        <f>IFERROR(INDEX('Detalles movimientos'!E$5:E$1004, MATCH(128, 'Detalles movimientos'!$W$5:$W$1004, 0)), "")</f>
        <v/>
      </c>
      <c r="E137" s="19" t="str">
        <f>IFERROR(INDEX('Detalles movimientos'!F$5:F$1004, MATCH(128, 'Detalles movimientos'!$W$5:$W$1004, 0)), "")</f>
        <v/>
      </c>
      <c r="F137" s="18" t="str">
        <f>IFERROR(INDEX('Detalles movimientos'!G$5:G$1004, MATCH(128, 'Detalles movimientos'!$W$5:$W$1004, 0)), "")</f>
        <v/>
      </c>
      <c r="G137" s="20" t="str">
        <f>IFERROR(INDEX('Detalles movimientos'!H$5:H$1004, MATCH(128, 'Detalles movimientos'!$W$5:$W$1004, 0)), "")</f>
        <v/>
      </c>
      <c r="H137" s="21" t="str">
        <f>IFERROR(INDEX('Detalles movimientos'!I$5:I$1004, MATCH(128, 'Detalles movimientos'!$W$5:$W$1004, 0)), "")</f>
        <v/>
      </c>
      <c r="I137" s="20" t="str">
        <f>IFERROR(INDEX('Detalles movimientos'!M$5:M$1004, MATCH(128, 'Detalles movimientos'!$W$5:$W$1004, 0)), "")</f>
        <v/>
      </c>
      <c r="J137" s="19" t="str">
        <f>IFERROR(INDEX('Detalles movimientos'!N$5:N$1004, MATCH(128, 'Detalles movimientos'!$W$5:$W$1004, 0)), "")</f>
        <v/>
      </c>
      <c r="K137" s="20" t="str">
        <f>IFERROR(INDEX('Detalles movimientos'!O$5:O$1004, MATCH(128, 'Detalles movimientos'!$W$5:$W$1004, 0)), "")</f>
        <v/>
      </c>
      <c r="L137" s="18" t="str">
        <f>IFERROR(INDEX('Detalles movimientos'!P$5:P$1004, MATCH(128, 'Detalles movimientos'!$W$5:$W$1004, 0)), "")</f>
        <v/>
      </c>
      <c r="M137" s="18" t="str">
        <f>IFERROR(INDEX('Detalles movimientos'!S$5:S$1004, MATCH(128, 'Detalles movimientos'!$W$5:$W$1004, 0)), "")</f>
        <v/>
      </c>
    </row>
    <row r="138" spans="2:13">
      <c r="B138" s="17" t="str">
        <f>IFERROR(INDEX('Detalles movimientos'!C$5:C$1004, MATCH(129, 'Detalles movimientos'!$W$5:$W$1004, 0)), "")</f>
        <v/>
      </c>
      <c r="C138" s="18" t="str">
        <f>IFERROR(INDEX('Detalles movimientos'!D$5:D$1004, MATCH(129, 'Detalles movimientos'!$W$5:$W$1004, 0)), "")</f>
        <v/>
      </c>
      <c r="D138" s="19" t="str">
        <f>IFERROR(INDEX('Detalles movimientos'!E$5:E$1004, MATCH(129, 'Detalles movimientos'!$W$5:$W$1004, 0)), "")</f>
        <v/>
      </c>
      <c r="E138" s="19" t="str">
        <f>IFERROR(INDEX('Detalles movimientos'!F$5:F$1004, MATCH(129, 'Detalles movimientos'!$W$5:$W$1004, 0)), "")</f>
        <v/>
      </c>
      <c r="F138" s="18" t="str">
        <f>IFERROR(INDEX('Detalles movimientos'!G$5:G$1004, MATCH(129, 'Detalles movimientos'!$W$5:$W$1004, 0)), "")</f>
        <v/>
      </c>
      <c r="G138" s="20" t="str">
        <f>IFERROR(INDEX('Detalles movimientos'!H$5:H$1004, MATCH(129, 'Detalles movimientos'!$W$5:$W$1004, 0)), "")</f>
        <v/>
      </c>
      <c r="H138" s="21" t="str">
        <f>IFERROR(INDEX('Detalles movimientos'!I$5:I$1004, MATCH(129, 'Detalles movimientos'!$W$5:$W$1004, 0)), "")</f>
        <v/>
      </c>
      <c r="I138" s="20" t="str">
        <f>IFERROR(INDEX('Detalles movimientos'!M$5:M$1004, MATCH(129, 'Detalles movimientos'!$W$5:$W$1004, 0)), "")</f>
        <v/>
      </c>
      <c r="J138" s="19" t="str">
        <f>IFERROR(INDEX('Detalles movimientos'!N$5:N$1004, MATCH(129, 'Detalles movimientos'!$W$5:$W$1004, 0)), "")</f>
        <v/>
      </c>
      <c r="K138" s="20" t="str">
        <f>IFERROR(INDEX('Detalles movimientos'!O$5:O$1004, MATCH(129, 'Detalles movimientos'!$W$5:$W$1004, 0)), "")</f>
        <v/>
      </c>
      <c r="L138" s="18" t="str">
        <f>IFERROR(INDEX('Detalles movimientos'!P$5:P$1004, MATCH(129, 'Detalles movimientos'!$W$5:$W$1004, 0)), "")</f>
        <v/>
      </c>
      <c r="M138" s="18" t="str">
        <f>IFERROR(INDEX('Detalles movimientos'!S$5:S$1004, MATCH(129, 'Detalles movimientos'!$W$5:$W$1004, 0)), "")</f>
        <v/>
      </c>
    </row>
    <row r="139" spans="2:13">
      <c r="B139" s="17" t="str">
        <f>IFERROR(INDEX('Detalles movimientos'!C$5:C$1004, MATCH(130, 'Detalles movimientos'!$W$5:$W$1004, 0)), "")</f>
        <v/>
      </c>
      <c r="C139" s="18" t="str">
        <f>IFERROR(INDEX('Detalles movimientos'!D$5:D$1004, MATCH(130, 'Detalles movimientos'!$W$5:$W$1004, 0)), "")</f>
        <v/>
      </c>
      <c r="D139" s="19" t="str">
        <f>IFERROR(INDEX('Detalles movimientos'!E$5:E$1004, MATCH(130, 'Detalles movimientos'!$W$5:$W$1004, 0)), "")</f>
        <v/>
      </c>
      <c r="E139" s="19" t="str">
        <f>IFERROR(INDEX('Detalles movimientos'!F$5:F$1004, MATCH(130, 'Detalles movimientos'!$W$5:$W$1004, 0)), "")</f>
        <v/>
      </c>
      <c r="F139" s="18" t="str">
        <f>IFERROR(INDEX('Detalles movimientos'!G$5:G$1004, MATCH(130, 'Detalles movimientos'!$W$5:$W$1004, 0)), "")</f>
        <v/>
      </c>
      <c r="G139" s="20" t="str">
        <f>IFERROR(INDEX('Detalles movimientos'!H$5:H$1004, MATCH(130, 'Detalles movimientos'!$W$5:$W$1004, 0)), "")</f>
        <v/>
      </c>
      <c r="H139" s="21" t="str">
        <f>IFERROR(INDEX('Detalles movimientos'!I$5:I$1004, MATCH(130, 'Detalles movimientos'!$W$5:$W$1004, 0)), "")</f>
        <v/>
      </c>
      <c r="I139" s="20" t="str">
        <f>IFERROR(INDEX('Detalles movimientos'!M$5:M$1004, MATCH(130, 'Detalles movimientos'!$W$5:$W$1004, 0)), "")</f>
        <v/>
      </c>
      <c r="J139" s="19" t="str">
        <f>IFERROR(INDEX('Detalles movimientos'!N$5:N$1004, MATCH(130, 'Detalles movimientos'!$W$5:$W$1004, 0)), "")</f>
        <v/>
      </c>
      <c r="K139" s="20" t="str">
        <f>IFERROR(INDEX('Detalles movimientos'!O$5:O$1004, MATCH(130, 'Detalles movimientos'!$W$5:$W$1004, 0)), "")</f>
        <v/>
      </c>
      <c r="L139" s="18" t="str">
        <f>IFERROR(INDEX('Detalles movimientos'!P$5:P$1004, MATCH(130, 'Detalles movimientos'!$W$5:$W$1004, 0)), "")</f>
        <v/>
      </c>
      <c r="M139" s="18" t="str">
        <f>IFERROR(INDEX('Detalles movimientos'!S$5:S$1004, MATCH(130, 'Detalles movimientos'!$W$5:$W$1004, 0)), "")</f>
        <v/>
      </c>
    </row>
    <row r="140" spans="2:13">
      <c r="B140" s="17" t="str">
        <f>IFERROR(INDEX('Detalles movimientos'!C$5:C$1004, MATCH(131, 'Detalles movimientos'!$W$5:$W$1004, 0)), "")</f>
        <v/>
      </c>
      <c r="C140" s="18" t="str">
        <f>IFERROR(INDEX('Detalles movimientos'!D$5:D$1004, MATCH(131, 'Detalles movimientos'!$W$5:$W$1004, 0)), "")</f>
        <v/>
      </c>
      <c r="D140" s="19" t="str">
        <f>IFERROR(INDEX('Detalles movimientos'!E$5:E$1004, MATCH(131, 'Detalles movimientos'!$W$5:$W$1004, 0)), "")</f>
        <v/>
      </c>
      <c r="E140" s="19" t="str">
        <f>IFERROR(INDEX('Detalles movimientos'!F$5:F$1004, MATCH(131, 'Detalles movimientos'!$W$5:$W$1004, 0)), "")</f>
        <v/>
      </c>
      <c r="F140" s="18" t="str">
        <f>IFERROR(INDEX('Detalles movimientos'!G$5:G$1004, MATCH(131, 'Detalles movimientos'!$W$5:$W$1004, 0)), "")</f>
        <v/>
      </c>
      <c r="G140" s="20" t="str">
        <f>IFERROR(INDEX('Detalles movimientos'!H$5:H$1004, MATCH(131, 'Detalles movimientos'!$W$5:$W$1004, 0)), "")</f>
        <v/>
      </c>
      <c r="H140" s="21" t="str">
        <f>IFERROR(INDEX('Detalles movimientos'!I$5:I$1004, MATCH(131, 'Detalles movimientos'!$W$5:$W$1004, 0)), "")</f>
        <v/>
      </c>
      <c r="I140" s="20" t="str">
        <f>IFERROR(INDEX('Detalles movimientos'!M$5:M$1004, MATCH(131, 'Detalles movimientos'!$W$5:$W$1004, 0)), "")</f>
        <v/>
      </c>
      <c r="J140" s="19" t="str">
        <f>IFERROR(INDEX('Detalles movimientos'!N$5:N$1004, MATCH(131, 'Detalles movimientos'!$W$5:$W$1004, 0)), "")</f>
        <v/>
      </c>
      <c r="K140" s="20" t="str">
        <f>IFERROR(INDEX('Detalles movimientos'!O$5:O$1004, MATCH(131, 'Detalles movimientos'!$W$5:$W$1004, 0)), "")</f>
        <v/>
      </c>
      <c r="L140" s="18" t="str">
        <f>IFERROR(INDEX('Detalles movimientos'!P$5:P$1004, MATCH(131, 'Detalles movimientos'!$W$5:$W$1004, 0)), "")</f>
        <v/>
      </c>
      <c r="M140" s="18" t="str">
        <f>IFERROR(INDEX('Detalles movimientos'!S$5:S$1004, MATCH(131, 'Detalles movimientos'!$W$5:$W$1004, 0)), "")</f>
        <v/>
      </c>
    </row>
    <row r="141" spans="2:13">
      <c r="B141" s="17" t="str">
        <f>IFERROR(INDEX('Detalles movimientos'!C$5:C$1004, MATCH(132, 'Detalles movimientos'!$W$5:$W$1004, 0)), "")</f>
        <v/>
      </c>
      <c r="C141" s="18" t="str">
        <f>IFERROR(INDEX('Detalles movimientos'!D$5:D$1004, MATCH(132, 'Detalles movimientos'!$W$5:$W$1004, 0)), "")</f>
        <v/>
      </c>
      <c r="D141" s="19" t="str">
        <f>IFERROR(INDEX('Detalles movimientos'!E$5:E$1004, MATCH(132, 'Detalles movimientos'!$W$5:$W$1004, 0)), "")</f>
        <v/>
      </c>
      <c r="E141" s="19" t="str">
        <f>IFERROR(INDEX('Detalles movimientos'!F$5:F$1004, MATCH(132, 'Detalles movimientos'!$W$5:$W$1004, 0)), "")</f>
        <v/>
      </c>
      <c r="F141" s="18" t="str">
        <f>IFERROR(INDEX('Detalles movimientos'!G$5:G$1004, MATCH(132, 'Detalles movimientos'!$W$5:$W$1004, 0)), "")</f>
        <v/>
      </c>
      <c r="G141" s="20" t="str">
        <f>IFERROR(INDEX('Detalles movimientos'!H$5:H$1004, MATCH(132, 'Detalles movimientos'!$W$5:$W$1004, 0)), "")</f>
        <v/>
      </c>
      <c r="H141" s="21" t="str">
        <f>IFERROR(INDEX('Detalles movimientos'!I$5:I$1004, MATCH(132, 'Detalles movimientos'!$W$5:$W$1004, 0)), "")</f>
        <v/>
      </c>
      <c r="I141" s="20" t="str">
        <f>IFERROR(INDEX('Detalles movimientos'!M$5:M$1004, MATCH(132, 'Detalles movimientos'!$W$5:$W$1004, 0)), "")</f>
        <v/>
      </c>
      <c r="J141" s="19" t="str">
        <f>IFERROR(INDEX('Detalles movimientos'!N$5:N$1004, MATCH(132, 'Detalles movimientos'!$W$5:$W$1004, 0)), "")</f>
        <v/>
      </c>
      <c r="K141" s="20" t="str">
        <f>IFERROR(INDEX('Detalles movimientos'!O$5:O$1004, MATCH(132, 'Detalles movimientos'!$W$5:$W$1004, 0)), "")</f>
        <v/>
      </c>
      <c r="L141" s="18" t="str">
        <f>IFERROR(INDEX('Detalles movimientos'!P$5:P$1004, MATCH(132, 'Detalles movimientos'!$W$5:$W$1004, 0)), "")</f>
        <v/>
      </c>
      <c r="M141" s="18" t="str">
        <f>IFERROR(INDEX('Detalles movimientos'!S$5:S$1004, MATCH(132, 'Detalles movimientos'!$W$5:$W$1004, 0)), "")</f>
        <v/>
      </c>
    </row>
    <row r="142" spans="2:13">
      <c r="B142" s="17" t="str">
        <f>IFERROR(INDEX('Detalles movimientos'!C$5:C$1004, MATCH(133, 'Detalles movimientos'!$W$5:$W$1004, 0)), "")</f>
        <v/>
      </c>
      <c r="C142" s="18" t="str">
        <f>IFERROR(INDEX('Detalles movimientos'!D$5:D$1004, MATCH(133, 'Detalles movimientos'!$W$5:$W$1004, 0)), "")</f>
        <v/>
      </c>
      <c r="D142" s="19" t="str">
        <f>IFERROR(INDEX('Detalles movimientos'!E$5:E$1004, MATCH(133, 'Detalles movimientos'!$W$5:$W$1004, 0)), "")</f>
        <v/>
      </c>
      <c r="E142" s="19" t="str">
        <f>IFERROR(INDEX('Detalles movimientos'!F$5:F$1004, MATCH(133, 'Detalles movimientos'!$W$5:$W$1004, 0)), "")</f>
        <v/>
      </c>
      <c r="F142" s="18" t="str">
        <f>IFERROR(INDEX('Detalles movimientos'!G$5:G$1004, MATCH(133, 'Detalles movimientos'!$W$5:$W$1004, 0)), "")</f>
        <v/>
      </c>
      <c r="G142" s="20" t="str">
        <f>IFERROR(INDEX('Detalles movimientos'!H$5:H$1004, MATCH(133, 'Detalles movimientos'!$W$5:$W$1004, 0)), "")</f>
        <v/>
      </c>
      <c r="H142" s="21" t="str">
        <f>IFERROR(INDEX('Detalles movimientos'!I$5:I$1004, MATCH(133, 'Detalles movimientos'!$W$5:$W$1004, 0)), "")</f>
        <v/>
      </c>
      <c r="I142" s="20" t="str">
        <f>IFERROR(INDEX('Detalles movimientos'!M$5:M$1004, MATCH(133, 'Detalles movimientos'!$W$5:$W$1004, 0)), "")</f>
        <v/>
      </c>
      <c r="J142" s="19" t="str">
        <f>IFERROR(INDEX('Detalles movimientos'!N$5:N$1004, MATCH(133, 'Detalles movimientos'!$W$5:$W$1004, 0)), "")</f>
        <v/>
      </c>
      <c r="K142" s="20" t="str">
        <f>IFERROR(INDEX('Detalles movimientos'!O$5:O$1004, MATCH(133, 'Detalles movimientos'!$W$5:$W$1004, 0)), "")</f>
        <v/>
      </c>
      <c r="L142" s="18" t="str">
        <f>IFERROR(INDEX('Detalles movimientos'!P$5:P$1004, MATCH(133, 'Detalles movimientos'!$W$5:$W$1004, 0)), "")</f>
        <v/>
      </c>
      <c r="M142" s="18" t="str">
        <f>IFERROR(INDEX('Detalles movimientos'!S$5:S$1004, MATCH(133, 'Detalles movimientos'!$W$5:$W$1004, 0)), "")</f>
        <v/>
      </c>
    </row>
    <row r="143" spans="2:13">
      <c r="B143" s="17" t="str">
        <f>IFERROR(INDEX('Detalles movimientos'!C$5:C$1004, MATCH(134, 'Detalles movimientos'!$W$5:$W$1004, 0)), "")</f>
        <v/>
      </c>
      <c r="C143" s="18" t="str">
        <f>IFERROR(INDEX('Detalles movimientos'!D$5:D$1004, MATCH(134, 'Detalles movimientos'!$W$5:$W$1004, 0)), "")</f>
        <v/>
      </c>
      <c r="D143" s="19" t="str">
        <f>IFERROR(INDEX('Detalles movimientos'!E$5:E$1004, MATCH(134, 'Detalles movimientos'!$W$5:$W$1004, 0)), "")</f>
        <v/>
      </c>
      <c r="E143" s="19" t="str">
        <f>IFERROR(INDEX('Detalles movimientos'!F$5:F$1004, MATCH(134, 'Detalles movimientos'!$W$5:$W$1004, 0)), "")</f>
        <v/>
      </c>
      <c r="F143" s="18" t="str">
        <f>IFERROR(INDEX('Detalles movimientos'!G$5:G$1004, MATCH(134, 'Detalles movimientos'!$W$5:$W$1004, 0)), "")</f>
        <v/>
      </c>
      <c r="G143" s="20" t="str">
        <f>IFERROR(INDEX('Detalles movimientos'!H$5:H$1004, MATCH(134, 'Detalles movimientos'!$W$5:$W$1004, 0)), "")</f>
        <v/>
      </c>
      <c r="H143" s="21" t="str">
        <f>IFERROR(INDEX('Detalles movimientos'!I$5:I$1004, MATCH(134, 'Detalles movimientos'!$W$5:$W$1004, 0)), "")</f>
        <v/>
      </c>
      <c r="I143" s="20" t="str">
        <f>IFERROR(INDEX('Detalles movimientos'!M$5:M$1004, MATCH(134, 'Detalles movimientos'!$W$5:$W$1004, 0)), "")</f>
        <v/>
      </c>
      <c r="J143" s="19" t="str">
        <f>IFERROR(INDEX('Detalles movimientos'!N$5:N$1004, MATCH(134, 'Detalles movimientos'!$W$5:$W$1004, 0)), "")</f>
        <v/>
      </c>
      <c r="K143" s="20" t="str">
        <f>IFERROR(INDEX('Detalles movimientos'!O$5:O$1004, MATCH(134, 'Detalles movimientos'!$W$5:$W$1004, 0)), "")</f>
        <v/>
      </c>
      <c r="L143" s="18" t="str">
        <f>IFERROR(INDEX('Detalles movimientos'!P$5:P$1004, MATCH(134, 'Detalles movimientos'!$W$5:$W$1004, 0)), "")</f>
        <v/>
      </c>
      <c r="M143" s="18" t="str">
        <f>IFERROR(INDEX('Detalles movimientos'!S$5:S$1004, MATCH(134, 'Detalles movimientos'!$W$5:$W$1004, 0)), "")</f>
        <v/>
      </c>
    </row>
    <row r="144" spans="2:13">
      <c r="B144" s="17" t="str">
        <f>IFERROR(INDEX('Detalles movimientos'!C$5:C$1004, MATCH(135, 'Detalles movimientos'!$W$5:$W$1004, 0)), "")</f>
        <v/>
      </c>
      <c r="C144" s="18" t="str">
        <f>IFERROR(INDEX('Detalles movimientos'!D$5:D$1004, MATCH(135, 'Detalles movimientos'!$W$5:$W$1004, 0)), "")</f>
        <v/>
      </c>
      <c r="D144" s="19" t="str">
        <f>IFERROR(INDEX('Detalles movimientos'!E$5:E$1004, MATCH(135, 'Detalles movimientos'!$W$5:$W$1004, 0)), "")</f>
        <v/>
      </c>
      <c r="E144" s="19" t="str">
        <f>IFERROR(INDEX('Detalles movimientos'!F$5:F$1004, MATCH(135, 'Detalles movimientos'!$W$5:$W$1004, 0)), "")</f>
        <v/>
      </c>
      <c r="F144" s="18" t="str">
        <f>IFERROR(INDEX('Detalles movimientos'!G$5:G$1004, MATCH(135, 'Detalles movimientos'!$W$5:$W$1004, 0)), "")</f>
        <v/>
      </c>
      <c r="G144" s="20" t="str">
        <f>IFERROR(INDEX('Detalles movimientos'!H$5:H$1004, MATCH(135, 'Detalles movimientos'!$W$5:$W$1004, 0)), "")</f>
        <v/>
      </c>
      <c r="H144" s="21" t="str">
        <f>IFERROR(INDEX('Detalles movimientos'!I$5:I$1004, MATCH(135, 'Detalles movimientos'!$W$5:$W$1004, 0)), "")</f>
        <v/>
      </c>
      <c r="I144" s="20" t="str">
        <f>IFERROR(INDEX('Detalles movimientos'!M$5:M$1004, MATCH(135, 'Detalles movimientos'!$W$5:$W$1004, 0)), "")</f>
        <v/>
      </c>
      <c r="J144" s="19" t="str">
        <f>IFERROR(INDEX('Detalles movimientos'!N$5:N$1004, MATCH(135, 'Detalles movimientos'!$W$5:$W$1004, 0)), "")</f>
        <v/>
      </c>
      <c r="K144" s="20" t="str">
        <f>IFERROR(INDEX('Detalles movimientos'!O$5:O$1004, MATCH(135, 'Detalles movimientos'!$W$5:$W$1004, 0)), "")</f>
        <v/>
      </c>
      <c r="L144" s="18" t="str">
        <f>IFERROR(INDEX('Detalles movimientos'!P$5:P$1004, MATCH(135, 'Detalles movimientos'!$W$5:$W$1004, 0)), "")</f>
        <v/>
      </c>
      <c r="M144" s="18" t="str">
        <f>IFERROR(INDEX('Detalles movimientos'!S$5:S$1004, MATCH(135, 'Detalles movimientos'!$W$5:$W$1004, 0)), "")</f>
        <v/>
      </c>
    </row>
    <row r="145" spans="2:13">
      <c r="B145" s="17" t="str">
        <f>IFERROR(INDEX('Detalles movimientos'!C$5:C$1004, MATCH(136, 'Detalles movimientos'!$W$5:$W$1004, 0)), "")</f>
        <v/>
      </c>
      <c r="C145" s="18" t="str">
        <f>IFERROR(INDEX('Detalles movimientos'!D$5:D$1004, MATCH(136, 'Detalles movimientos'!$W$5:$W$1004, 0)), "")</f>
        <v/>
      </c>
      <c r="D145" s="19" t="str">
        <f>IFERROR(INDEX('Detalles movimientos'!E$5:E$1004, MATCH(136, 'Detalles movimientos'!$W$5:$W$1004, 0)), "")</f>
        <v/>
      </c>
      <c r="E145" s="19" t="str">
        <f>IFERROR(INDEX('Detalles movimientos'!F$5:F$1004, MATCH(136, 'Detalles movimientos'!$W$5:$W$1004, 0)), "")</f>
        <v/>
      </c>
      <c r="F145" s="18" t="str">
        <f>IFERROR(INDEX('Detalles movimientos'!G$5:G$1004, MATCH(136, 'Detalles movimientos'!$W$5:$W$1004, 0)), "")</f>
        <v/>
      </c>
      <c r="G145" s="20" t="str">
        <f>IFERROR(INDEX('Detalles movimientos'!H$5:H$1004, MATCH(136, 'Detalles movimientos'!$W$5:$W$1004, 0)), "")</f>
        <v/>
      </c>
      <c r="H145" s="21" t="str">
        <f>IFERROR(INDEX('Detalles movimientos'!I$5:I$1004, MATCH(136, 'Detalles movimientos'!$W$5:$W$1004, 0)), "")</f>
        <v/>
      </c>
      <c r="I145" s="20" t="str">
        <f>IFERROR(INDEX('Detalles movimientos'!M$5:M$1004, MATCH(136, 'Detalles movimientos'!$W$5:$W$1004, 0)), "")</f>
        <v/>
      </c>
      <c r="J145" s="19" t="str">
        <f>IFERROR(INDEX('Detalles movimientos'!N$5:N$1004, MATCH(136, 'Detalles movimientos'!$W$5:$W$1004, 0)), "")</f>
        <v/>
      </c>
      <c r="K145" s="20" t="str">
        <f>IFERROR(INDEX('Detalles movimientos'!O$5:O$1004, MATCH(136, 'Detalles movimientos'!$W$5:$W$1004, 0)), "")</f>
        <v/>
      </c>
      <c r="L145" s="18" t="str">
        <f>IFERROR(INDEX('Detalles movimientos'!P$5:P$1004, MATCH(136, 'Detalles movimientos'!$W$5:$W$1004, 0)), "")</f>
        <v/>
      </c>
      <c r="M145" s="18" t="str">
        <f>IFERROR(INDEX('Detalles movimientos'!S$5:S$1004, MATCH(136, 'Detalles movimientos'!$W$5:$W$1004, 0)), "")</f>
        <v/>
      </c>
    </row>
    <row r="146" spans="2:13">
      <c r="B146" s="17" t="str">
        <f>IFERROR(INDEX('Detalles movimientos'!C$5:C$1004, MATCH(137, 'Detalles movimientos'!$W$5:$W$1004, 0)), "")</f>
        <v/>
      </c>
      <c r="C146" s="18" t="str">
        <f>IFERROR(INDEX('Detalles movimientos'!D$5:D$1004, MATCH(137, 'Detalles movimientos'!$W$5:$W$1004, 0)), "")</f>
        <v/>
      </c>
      <c r="D146" s="19" t="str">
        <f>IFERROR(INDEX('Detalles movimientos'!E$5:E$1004, MATCH(137, 'Detalles movimientos'!$W$5:$W$1004, 0)), "")</f>
        <v/>
      </c>
      <c r="E146" s="19" t="str">
        <f>IFERROR(INDEX('Detalles movimientos'!F$5:F$1004, MATCH(137, 'Detalles movimientos'!$W$5:$W$1004, 0)), "")</f>
        <v/>
      </c>
      <c r="F146" s="18" t="str">
        <f>IFERROR(INDEX('Detalles movimientos'!G$5:G$1004, MATCH(137, 'Detalles movimientos'!$W$5:$W$1004, 0)), "")</f>
        <v/>
      </c>
      <c r="G146" s="20" t="str">
        <f>IFERROR(INDEX('Detalles movimientos'!H$5:H$1004, MATCH(137, 'Detalles movimientos'!$W$5:$W$1004, 0)), "")</f>
        <v/>
      </c>
      <c r="H146" s="21" t="str">
        <f>IFERROR(INDEX('Detalles movimientos'!I$5:I$1004, MATCH(137, 'Detalles movimientos'!$W$5:$W$1004, 0)), "")</f>
        <v/>
      </c>
      <c r="I146" s="20" t="str">
        <f>IFERROR(INDEX('Detalles movimientos'!M$5:M$1004, MATCH(137, 'Detalles movimientos'!$W$5:$W$1004, 0)), "")</f>
        <v/>
      </c>
      <c r="J146" s="19" t="str">
        <f>IFERROR(INDEX('Detalles movimientos'!N$5:N$1004, MATCH(137, 'Detalles movimientos'!$W$5:$W$1004, 0)), "")</f>
        <v/>
      </c>
      <c r="K146" s="20" t="str">
        <f>IFERROR(INDEX('Detalles movimientos'!O$5:O$1004, MATCH(137, 'Detalles movimientos'!$W$5:$W$1004, 0)), "")</f>
        <v/>
      </c>
      <c r="L146" s="18" t="str">
        <f>IFERROR(INDEX('Detalles movimientos'!P$5:P$1004, MATCH(137, 'Detalles movimientos'!$W$5:$W$1004, 0)), "")</f>
        <v/>
      </c>
      <c r="M146" s="18" t="str">
        <f>IFERROR(INDEX('Detalles movimientos'!S$5:S$1004, MATCH(137, 'Detalles movimientos'!$W$5:$W$1004, 0)), "")</f>
        <v/>
      </c>
    </row>
    <row r="147" spans="2:13">
      <c r="B147" s="17" t="str">
        <f>IFERROR(INDEX('Detalles movimientos'!C$5:C$1004, MATCH(138, 'Detalles movimientos'!$W$5:$W$1004, 0)), "")</f>
        <v/>
      </c>
      <c r="C147" s="18" t="str">
        <f>IFERROR(INDEX('Detalles movimientos'!D$5:D$1004, MATCH(138, 'Detalles movimientos'!$W$5:$W$1004, 0)), "")</f>
        <v/>
      </c>
      <c r="D147" s="19" t="str">
        <f>IFERROR(INDEX('Detalles movimientos'!E$5:E$1004, MATCH(138, 'Detalles movimientos'!$W$5:$W$1004, 0)), "")</f>
        <v/>
      </c>
      <c r="E147" s="19" t="str">
        <f>IFERROR(INDEX('Detalles movimientos'!F$5:F$1004, MATCH(138, 'Detalles movimientos'!$W$5:$W$1004, 0)), "")</f>
        <v/>
      </c>
      <c r="F147" s="18" t="str">
        <f>IFERROR(INDEX('Detalles movimientos'!G$5:G$1004, MATCH(138, 'Detalles movimientos'!$W$5:$W$1004, 0)), "")</f>
        <v/>
      </c>
      <c r="G147" s="20" t="str">
        <f>IFERROR(INDEX('Detalles movimientos'!H$5:H$1004, MATCH(138, 'Detalles movimientos'!$W$5:$W$1004, 0)), "")</f>
        <v/>
      </c>
      <c r="H147" s="21" t="str">
        <f>IFERROR(INDEX('Detalles movimientos'!I$5:I$1004, MATCH(138, 'Detalles movimientos'!$W$5:$W$1004, 0)), "")</f>
        <v/>
      </c>
      <c r="I147" s="20" t="str">
        <f>IFERROR(INDEX('Detalles movimientos'!M$5:M$1004, MATCH(138, 'Detalles movimientos'!$W$5:$W$1004, 0)), "")</f>
        <v/>
      </c>
      <c r="J147" s="19" t="str">
        <f>IFERROR(INDEX('Detalles movimientos'!N$5:N$1004, MATCH(138, 'Detalles movimientos'!$W$5:$W$1004, 0)), "")</f>
        <v/>
      </c>
      <c r="K147" s="20" t="str">
        <f>IFERROR(INDEX('Detalles movimientos'!O$5:O$1004, MATCH(138, 'Detalles movimientos'!$W$5:$W$1004, 0)), "")</f>
        <v/>
      </c>
      <c r="L147" s="18" t="str">
        <f>IFERROR(INDEX('Detalles movimientos'!P$5:P$1004, MATCH(138, 'Detalles movimientos'!$W$5:$W$1004, 0)), "")</f>
        <v/>
      </c>
      <c r="M147" s="18" t="str">
        <f>IFERROR(INDEX('Detalles movimientos'!S$5:S$1004, MATCH(138, 'Detalles movimientos'!$W$5:$W$1004, 0)), "")</f>
        <v/>
      </c>
    </row>
    <row r="148" spans="2:13">
      <c r="B148" s="17" t="str">
        <f>IFERROR(INDEX('Detalles movimientos'!C$5:C$1004, MATCH(139, 'Detalles movimientos'!$W$5:$W$1004, 0)), "")</f>
        <v/>
      </c>
      <c r="C148" s="18" t="str">
        <f>IFERROR(INDEX('Detalles movimientos'!D$5:D$1004, MATCH(139, 'Detalles movimientos'!$W$5:$W$1004, 0)), "")</f>
        <v/>
      </c>
      <c r="D148" s="19" t="str">
        <f>IFERROR(INDEX('Detalles movimientos'!E$5:E$1004, MATCH(139, 'Detalles movimientos'!$W$5:$W$1004, 0)), "")</f>
        <v/>
      </c>
      <c r="E148" s="19" t="str">
        <f>IFERROR(INDEX('Detalles movimientos'!F$5:F$1004, MATCH(139, 'Detalles movimientos'!$W$5:$W$1004, 0)), "")</f>
        <v/>
      </c>
      <c r="F148" s="18" t="str">
        <f>IFERROR(INDEX('Detalles movimientos'!G$5:G$1004, MATCH(139, 'Detalles movimientos'!$W$5:$W$1004, 0)), "")</f>
        <v/>
      </c>
      <c r="G148" s="20" t="str">
        <f>IFERROR(INDEX('Detalles movimientos'!H$5:H$1004, MATCH(139, 'Detalles movimientos'!$W$5:$W$1004, 0)), "")</f>
        <v/>
      </c>
      <c r="H148" s="21" t="str">
        <f>IFERROR(INDEX('Detalles movimientos'!I$5:I$1004, MATCH(139, 'Detalles movimientos'!$W$5:$W$1004, 0)), "")</f>
        <v/>
      </c>
      <c r="I148" s="20" t="str">
        <f>IFERROR(INDEX('Detalles movimientos'!M$5:M$1004, MATCH(139, 'Detalles movimientos'!$W$5:$W$1004, 0)), "")</f>
        <v/>
      </c>
      <c r="J148" s="19" t="str">
        <f>IFERROR(INDEX('Detalles movimientos'!N$5:N$1004, MATCH(139, 'Detalles movimientos'!$W$5:$W$1004, 0)), "")</f>
        <v/>
      </c>
      <c r="K148" s="20" t="str">
        <f>IFERROR(INDEX('Detalles movimientos'!O$5:O$1004, MATCH(139, 'Detalles movimientos'!$W$5:$W$1004, 0)), "")</f>
        <v/>
      </c>
      <c r="L148" s="18" t="str">
        <f>IFERROR(INDEX('Detalles movimientos'!P$5:P$1004, MATCH(139, 'Detalles movimientos'!$W$5:$W$1004, 0)), "")</f>
        <v/>
      </c>
      <c r="M148" s="18" t="str">
        <f>IFERROR(INDEX('Detalles movimientos'!S$5:S$1004, MATCH(139, 'Detalles movimientos'!$W$5:$W$1004, 0)), "")</f>
        <v/>
      </c>
    </row>
    <row r="149" spans="2:13">
      <c r="B149" s="17" t="str">
        <f>IFERROR(INDEX('Detalles movimientos'!C$5:C$1004, MATCH(140, 'Detalles movimientos'!$W$5:$W$1004, 0)), "")</f>
        <v/>
      </c>
      <c r="C149" s="18" t="str">
        <f>IFERROR(INDEX('Detalles movimientos'!D$5:D$1004, MATCH(140, 'Detalles movimientos'!$W$5:$W$1004, 0)), "")</f>
        <v/>
      </c>
      <c r="D149" s="19" t="str">
        <f>IFERROR(INDEX('Detalles movimientos'!E$5:E$1004, MATCH(140, 'Detalles movimientos'!$W$5:$W$1004, 0)), "")</f>
        <v/>
      </c>
      <c r="E149" s="19" t="str">
        <f>IFERROR(INDEX('Detalles movimientos'!F$5:F$1004, MATCH(140, 'Detalles movimientos'!$W$5:$W$1004, 0)), "")</f>
        <v/>
      </c>
      <c r="F149" s="18" t="str">
        <f>IFERROR(INDEX('Detalles movimientos'!G$5:G$1004, MATCH(140, 'Detalles movimientos'!$W$5:$W$1004, 0)), "")</f>
        <v/>
      </c>
      <c r="G149" s="20" t="str">
        <f>IFERROR(INDEX('Detalles movimientos'!H$5:H$1004, MATCH(140, 'Detalles movimientos'!$W$5:$W$1004, 0)), "")</f>
        <v/>
      </c>
      <c r="H149" s="21" t="str">
        <f>IFERROR(INDEX('Detalles movimientos'!I$5:I$1004, MATCH(140, 'Detalles movimientos'!$W$5:$W$1004, 0)), "")</f>
        <v/>
      </c>
      <c r="I149" s="20" t="str">
        <f>IFERROR(INDEX('Detalles movimientos'!M$5:M$1004, MATCH(140, 'Detalles movimientos'!$W$5:$W$1004, 0)), "")</f>
        <v/>
      </c>
      <c r="J149" s="19" t="str">
        <f>IFERROR(INDEX('Detalles movimientos'!N$5:N$1004, MATCH(140, 'Detalles movimientos'!$W$5:$W$1004, 0)), "")</f>
        <v/>
      </c>
      <c r="K149" s="20" t="str">
        <f>IFERROR(INDEX('Detalles movimientos'!O$5:O$1004, MATCH(140, 'Detalles movimientos'!$W$5:$W$1004, 0)), "")</f>
        <v/>
      </c>
      <c r="L149" s="18" t="str">
        <f>IFERROR(INDEX('Detalles movimientos'!P$5:P$1004, MATCH(140, 'Detalles movimientos'!$W$5:$W$1004, 0)), "")</f>
        <v/>
      </c>
      <c r="M149" s="18" t="str">
        <f>IFERROR(INDEX('Detalles movimientos'!S$5:S$1004, MATCH(140, 'Detalles movimientos'!$W$5:$W$1004, 0)), "")</f>
        <v/>
      </c>
    </row>
    <row r="150" spans="2:13">
      <c r="B150" s="17" t="str">
        <f>IFERROR(INDEX('Detalles movimientos'!C$5:C$1004, MATCH(141, 'Detalles movimientos'!$W$5:$W$1004, 0)), "")</f>
        <v/>
      </c>
      <c r="C150" s="18" t="str">
        <f>IFERROR(INDEX('Detalles movimientos'!D$5:D$1004, MATCH(141, 'Detalles movimientos'!$W$5:$W$1004, 0)), "")</f>
        <v/>
      </c>
      <c r="D150" s="19" t="str">
        <f>IFERROR(INDEX('Detalles movimientos'!E$5:E$1004, MATCH(141, 'Detalles movimientos'!$W$5:$W$1004, 0)), "")</f>
        <v/>
      </c>
      <c r="E150" s="19" t="str">
        <f>IFERROR(INDEX('Detalles movimientos'!F$5:F$1004, MATCH(141, 'Detalles movimientos'!$W$5:$W$1004, 0)), "")</f>
        <v/>
      </c>
      <c r="F150" s="18" t="str">
        <f>IFERROR(INDEX('Detalles movimientos'!G$5:G$1004, MATCH(141, 'Detalles movimientos'!$W$5:$W$1004, 0)), "")</f>
        <v/>
      </c>
      <c r="G150" s="20" t="str">
        <f>IFERROR(INDEX('Detalles movimientos'!H$5:H$1004, MATCH(141, 'Detalles movimientos'!$W$5:$W$1004, 0)), "")</f>
        <v/>
      </c>
      <c r="H150" s="21" t="str">
        <f>IFERROR(INDEX('Detalles movimientos'!I$5:I$1004, MATCH(141, 'Detalles movimientos'!$W$5:$W$1004, 0)), "")</f>
        <v/>
      </c>
      <c r="I150" s="20" t="str">
        <f>IFERROR(INDEX('Detalles movimientos'!M$5:M$1004, MATCH(141, 'Detalles movimientos'!$W$5:$W$1004, 0)), "")</f>
        <v/>
      </c>
      <c r="J150" s="19" t="str">
        <f>IFERROR(INDEX('Detalles movimientos'!N$5:N$1004, MATCH(141, 'Detalles movimientos'!$W$5:$W$1004, 0)), "")</f>
        <v/>
      </c>
      <c r="K150" s="20" t="str">
        <f>IFERROR(INDEX('Detalles movimientos'!O$5:O$1004, MATCH(141, 'Detalles movimientos'!$W$5:$W$1004, 0)), "")</f>
        <v/>
      </c>
      <c r="L150" s="18" t="str">
        <f>IFERROR(INDEX('Detalles movimientos'!P$5:P$1004, MATCH(141, 'Detalles movimientos'!$W$5:$W$1004, 0)), "")</f>
        <v/>
      </c>
      <c r="M150" s="18" t="str">
        <f>IFERROR(INDEX('Detalles movimientos'!S$5:S$1004, MATCH(141, 'Detalles movimientos'!$W$5:$W$1004, 0)), "")</f>
        <v/>
      </c>
    </row>
    <row r="151" spans="2:13">
      <c r="B151" s="17" t="str">
        <f>IFERROR(INDEX('Detalles movimientos'!C$5:C$1004, MATCH(142, 'Detalles movimientos'!$W$5:$W$1004, 0)), "")</f>
        <v/>
      </c>
      <c r="C151" s="18" t="str">
        <f>IFERROR(INDEX('Detalles movimientos'!D$5:D$1004, MATCH(142, 'Detalles movimientos'!$W$5:$W$1004, 0)), "")</f>
        <v/>
      </c>
      <c r="D151" s="19" t="str">
        <f>IFERROR(INDEX('Detalles movimientos'!E$5:E$1004, MATCH(142, 'Detalles movimientos'!$W$5:$W$1004, 0)), "")</f>
        <v/>
      </c>
      <c r="E151" s="19" t="str">
        <f>IFERROR(INDEX('Detalles movimientos'!F$5:F$1004, MATCH(142, 'Detalles movimientos'!$W$5:$W$1004, 0)), "")</f>
        <v/>
      </c>
      <c r="F151" s="18" t="str">
        <f>IFERROR(INDEX('Detalles movimientos'!G$5:G$1004, MATCH(142, 'Detalles movimientos'!$W$5:$W$1004, 0)), "")</f>
        <v/>
      </c>
      <c r="G151" s="20" t="str">
        <f>IFERROR(INDEX('Detalles movimientos'!H$5:H$1004, MATCH(142, 'Detalles movimientos'!$W$5:$W$1004, 0)), "")</f>
        <v/>
      </c>
      <c r="H151" s="21" t="str">
        <f>IFERROR(INDEX('Detalles movimientos'!I$5:I$1004, MATCH(142, 'Detalles movimientos'!$W$5:$W$1004, 0)), "")</f>
        <v/>
      </c>
      <c r="I151" s="20" t="str">
        <f>IFERROR(INDEX('Detalles movimientos'!M$5:M$1004, MATCH(142, 'Detalles movimientos'!$W$5:$W$1004, 0)), "")</f>
        <v/>
      </c>
      <c r="J151" s="19" t="str">
        <f>IFERROR(INDEX('Detalles movimientos'!N$5:N$1004, MATCH(142, 'Detalles movimientos'!$W$5:$W$1004, 0)), "")</f>
        <v/>
      </c>
      <c r="K151" s="20" t="str">
        <f>IFERROR(INDEX('Detalles movimientos'!O$5:O$1004, MATCH(142, 'Detalles movimientos'!$W$5:$W$1004, 0)), "")</f>
        <v/>
      </c>
      <c r="L151" s="18" t="str">
        <f>IFERROR(INDEX('Detalles movimientos'!P$5:P$1004, MATCH(142, 'Detalles movimientos'!$W$5:$W$1004, 0)), "")</f>
        <v/>
      </c>
      <c r="M151" s="18" t="str">
        <f>IFERROR(INDEX('Detalles movimientos'!S$5:S$1004, MATCH(142, 'Detalles movimientos'!$W$5:$W$1004, 0)), "")</f>
        <v/>
      </c>
    </row>
    <row r="152" spans="2:13">
      <c r="B152" s="17" t="str">
        <f>IFERROR(INDEX('Detalles movimientos'!C$5:C$1004, MATCH(143, 'Detalles movimientos'!$W$5:$W$1004, 0)), "")</f>
        <v/>
      </c>
      <c r="C152" s="18" t="str">
        <f>IFERROR(INDEX('Detalles movimientos'!D$5:D$1004, MATCH(143, 'Detalles movimientos'!$W$5:$W$1004, 0)), "")</f>
        <v/>
      </c>
      <c r="D152" s="19" t="str">
        <f>IFERROR(INDEX('Detalles movimientos'!E$5:E$1004, MATCH(143, 'Detalles movimientos'!$W$5:$W$1004, 0)), "")</f>
        <v/>
      </c>
      <c r="E152" s="19" t="str">
        <f>IFERROR(INDEX('Detalles movimientos'!F$5:F$1004, MATCH(143, 'Detalles movimientos'!$W$5:$W$1004, 0)), "")</f>
        <v/>
      </c>
      <c r="F152" s="18" t="str">
        <f>IFERROR(INDEX('Detalles movimientos'!G$5:G$1004, MATCH(143, 'Detalles movimientos'!$W$5:$W$1004, 0)), "")</f>
        <v/>
      </c>
      <c r="G152" s="20" t="str">
        <f>IFERROR(INDEX('Detalles movimientos'!H$5:H$1004, MATCH(143, 'Detalles movimientos'!$W$5:$W$1004, 0)), "")</f>
        <v/>
      </c>
      <c r="H152" s="21" t="str">
        <f>IFERROR(INDEX('Detalles movimientos'!I$5:I$1004, MATCH(143, 'Detalles movimientos'!$W$5:$W$1004, 0)), "")</f>
        <v/>
      </c>
      <c r="I152" s="20" t="str">
        <f>IFERROR(INDEX('Detalles movimientos'!M$5:M$1004, MATCH(143, 'Detalles movimientos'!$W$5:$W$1004, 0)), "")</f>
        <v/>
      </c>
      <c r="J152" s="19" t="str">
        <f>IFERROR(INDEX('Detalles movimientos'!N$5:N$1004, MATCH(143, 'Detalles movimientos'!$W$5:$W$1004, 0)), "")</f>
        <v/>
      </c>
      <c r="K152" s="20" t="str">
        <f>IFERROR(INDEX('Detalles movimientos'!O$5:O$1004, MATCH(143, 'Detalles movimientos'!$W$5:$W$1004, 0)), "")</f>
        <v/>
      </c>
      <c r="L152" s="18" t="str">
        <f>IFERROR(INDEX('Detalles movimientos'!P$5:P$1004, MATCH(143, 'Detalles movimientos'!$W$5:$W$1004, 0)), "")</f>
        <v/>
      </c>
      <c r="M152" s="18" t="str">
        <f>IFERROR(INDEX('Detalles movimientos'!S$5:S$1004, MATCH(143, 'Detalles movimientos'!$W$5:$W$1004, 0)), "")</f>
        <v/>
      </c>
    </row>
    <row r="153" spans="2:13">
      <c r="B153" s="17" t="str">
        <f>IFERROR(INDEX('Detalles movimientos'!C$5:C$1004, MATCH(144, 'Detalles movimientos'!$W$5:$W$1004, 0)), "")</f>
        <v/>
      </c>
      <c r="C153" s="18" t="str">
        <f>IFERROR(INDEX('Detalles movimientos'!D$5:D$1004, MATCH(144, 'Detalles movimientos'!$W$5:$W$1004, 0)), "")</f>
        <v/>
      </c>
      <c r="D153" s="19" t="str">
        <f>IFERROR(INDEX('Detalles movimientos'!E$5:E$1004, MATCH(144, 'Detalles movimientos'!$W$5:$W$1004, 0)), "")</f>
        <v/>
      </c>
      <c r="E153" s="19" t="str">
        <f>IFERROR(INDEX('Detalles movimientos'!F$5:F$1004, MATCH(144, 'Detalles movimientos'!$W$5:$W$1004, 0)), "")</f>
        <v/>
      </c>
      <c r="F153" s="18" t="str">
        <f>IFERROR(INDEX('Detalles movimientos'!G$5:G$1004, MATCH(144, 'Detalles movimientos'!$W$5:$W$1004, 0)), "")</f>
        <v/>
      </c>
      <c r="G153" s="20" t="str">
        <f>IFERROR(INDEX('Detalles movimientos'!H$5:H$1004, MATCH(144, 'Detalles movimientos'!$W$5:$W$1004, 0)), "")</f>
        <v/>
      </c>
      <c r="H153" s="21" t="str">
        <f>IFERROR(INDEX('Detalles movimientos'!I$5:I$1004, MATCH(144, 'Detalles movimientos'!$W$5:$W$1004, 0)), "")</f>
        <v/>
      </c>
      <c r="I153" s="20" t="str">
        <f>IFERROR(INDEX('Detalles movimientos'!M$5:M$1004, MATCH(144, 'Detalles movimientos'!$W$5:$W$1004, 0)), "")</f>
        <v/>
      </c>
      <c r="J153" s="19" t="str">
        <f>IFERROR(INDEX('Detalles movimientos'!N$5:N$1004, MATCH(144, 'Detalles movimientos'!$W$5:$W$1004, 0)), "")</f>
        <v/>
      </c>
      <c r="K153" s="20" t="str">
        <f>IFERROR(INDEX('Detalles movimientos'!O$5:O$1004, MATCH(144, 'Detalles movimientos'!$W$5:$W$1004, 0)), "")</f>
        <v/>
      </c>
      <c r="L153" s="18" t="str">
        <f>IFERROR(INDEX('Detalles movimientos'!P$5:P$1004, MATCH(144, 'Detalles movimientos'!$W$5:$W$1004, 0)), "")</f>
        <v/>
      </c>
      <c r="M153" s="18" t="str">
        <f>IFERROR(INDEX('Detalles movimientos'!S$5:S$1004, MATCH(144, 'Detalles movimientos'!$W$5:$W$1004, 0)), "")</f>
        <v/>
      </c>
    </row>
    <row r="154" spans="2:13">
      <c r="B154" s="17" t="str">
        <f>IFERROR(INDEX('Detalles movimientos'!C$5:C$1004, MATCH(145, 'Detalles movimientos'!$W$5:$W$1004, 0)), "")</f>
        <v/>
      </c>
      <c r="C154" s="18" t="str">
        <f>IFERROR(INDEX('Detalles movimientos'!D$5:D$1004, MATCH(145, 'Detalles movimientos'!$W$5:$W$1004, 0)), "")</f>
        <v/>
      </c>
      <c r="D154" s="19" t="str">
        <f>IFERROR(INDEX('Detalles movimientos'!E$5:E$1004, MATCH(145, 'Detalles movimientos'!$W$5:$W$1004, 0)), "")</f>
        <v/>
      </c>
      <c r="E154" s="19" t="str">
        <f>IFERROR(INDEX('Detalles movimientos'!F$5:F$1004, MATCH(145, 'Detalles movimientos'!$W$5:$W$1004, 0)), "")</f>
        <v/>
      </c>
      <c r="F154" s="18" t="str">
        <f>IFERROR(INDEX('Detalles movimientos'!G$5:G$1004, MATCH(145, 'Detalles movimientos'!$W$5:$W$1004, 0)), "")</f>
        <v/>
      </c>
      <c r="G154" s="20" t="str">
        <f>IFERROR(INDEX('Detalles movimientos'!H$5:H$1004, MATCH(145, 'Detalles movimientos'!$W$5:$W$1004, 0)), "")</f>
        <v/>
      </c>
      <c r="H154" s="21" t="str">
        <f>IFERROR(INDEX('Detalles movimientos'!I$5:I$1004, MATCH(145, 'Detalles movimientos'!$W$5:$W$1004, 0)), "")</f>
        <v/>
      </c>
      <c r="I154" s="20" t="str">
        <f>IFERROR(INDEX('Detalles movimientos'!M$5:M$1004, MATCH(145, 'Detalles movimientos'!$W$5:$W$1004, 0)), "")</f>
        <v/>
      </c>
      <c r="J154" s="19" t="str">
        <f>IFERROR(INDEX('Detalles movimientos'!N$5:N$1004, MATCH(145, 'Detalles movimientos'!$W$5:$W$1004, 0)), "")</f>
        <v/>
      </c>
      <c r="K154" s="20" t="str">
        <f>IFERROR(INDEX('Detalles movimientos'!O$5:O$1004, MATCH(145, 'Detalles movimientos'!$W$5:$W$1004, 0)), "")</f>
        <v/>
      </c>
      <c r="L154" s="18" t="str">
        <f>IFERROR(INDEX('Detalles movimientos'!P$5:P$1004, MATCH(145, 'Detalles movimientos'!$W$5:$W$1004, 0)), "")</f>
        <v/>
      </c>
      <c r="M154" s="18" t="str">
        <f>IFERROR(INDEX('Detalles movimientos'!S$5:S$1004, MATCH(145, 'Detalles movimientos'!$W$5:$W$1004, 0)), "")</f>
        <v/>
      </c>
    </row>
    <row r="155" spans="2:13">
      <c r="B155" s="17" t="str">
        <f>IFERROR(INDEX('Detalles movimientos'!C$5:C$1004, MATCH(146, 'Detalles movimientos'!$W$5:$W$1004, 0)), "")</f>
        <v/>
      </c>
      <c r="C155" s="18" t="str">
        <f>IFERROR(INDEX('Detalles movimientos'!D$5:D$1004, MATCH(146, 'Detalles movimientos'!$W$5:$W$1004, 0)), "")</f>
        <v/>
      </c>
      <c r="D155" s="19" t="str">
        <f>IFERROR(INDEX('Detalles movimientos'!E$5:E$1004, MATCH(146, 'Detalles movimientos'!$W$5:$W$1004, 0)), "")</f>
        <v/>
      </c>
      <c r="E155" s="19" t="str">
        <f>IFERROR(INDEX('Detalles movimientos'!F$5:F$1004, MATCH(146, 'Detalles movimientos'!$W$5:$W$1004, 0)), "")</f>
        <v/>
      </c>
      <c r="F155" s="18" t="str">
        <f>IFERROR(INDEX('Detalles movimientos'!G$5:G$1004, MATCH(146, 'Detalles movimientos'!$W$5:$W$1004, 0)), "")</f>
        <v/>
      </c>
      <c r="G155" s="20" t="str">
        <f>IFERROR(INDEX('Detalles movimientos'!H$5:H$1004, MATCH(146, 'Detalles movimientos'!$W$5:$W$1004, 0)), "")</f>
        <v/>
      </c>
      <c r="H155" s="21" t="str">
        <f>IFERROR(INDEX('Detalles movimientos'!I$5:I$1004, MATCH(146, 'Detalles movimientos'!$W$5:$W$1004, 0)), "")</f>
        <v/>
      </c>
      <c r="I155" s="20" t="str">
        <f>IFERROR(INDEX('Detalles movimientos'!M$5:M$1004, MATCH(146, 'Detalles movimientos'!$W$5:$W$1004, 0)), "")</f>
        <v/>
      </c>
      <c r="J155" s="19" t="str">
        <f>IFERROR(INDEX('Detalles movimientos'!N$5:N$1004, MATCH(146, 'Detalles movimientos'!$W$5:$W$1004, 0)), "")</f>
        <v/>
      </c>
      <c r="K155" s="20" t="str">
        <f>IFERROR(INDEX('Detalles movimientos'!O$5:O$1004, MATCH(146, 'Detalles movimientos'!$W$5:$W$1004, 0)), "")</f>
        <v/>
      </c>
      <c r="L155" s="18" t="str">
        <f>IFERROR(INDEX('Detalles movimientos'!P$5:P$1004, MATCH(146, 'Detalles movimientos'!$W$5:$W$1004, 0)), "")</f>
        <v/>
      </c>
      <c r="M155" s="18" t="str">
        <f>IFERROR(INDEX('Detalles movimientos'!S$5:S$1004, MATCH(146, 'Detalles movimientos'!$W$5:$W$1004, 0)), "")</f>
        <v/>
      </c>
    </row>
    <row r="156" spans="2:13">
      <c r="B156" s="17" t="str">
        <f>IFERROR(INDEX('Detalles movimientos'!C$5:C$1004, MATCH(147, 'Detalles movimientos'!$W$5:$W$1004, 0)), "")</f>
        <v/>
      </c>
      <c r="C156" s="18" t="str">
        <f>IFERROR(INDEX('Detalles movimientos'!D$5:D$1004, MATCH(147, 'Detalles movimientos'!$W$5:$W$1004, 0)), "")</f>
        <v/>
      </c>
      <c r="D156" s="19" t="str">
        <f>IFERROR(INDEX('Detalles movimientos'!E$5:E$1004, MATCH(147, 'Detalles movimientos'!$W$5:$W$1004, 0)), "")</f>
        <v/>
      </c>
      <c r="E156" s="19" t="str">
        <f>IFERROR(INDEX('Detalles movimientos'!F$5:F$1004, MATCH(147, 'Detalles movimientos'!$W$5:$W$1004, 0)), "")</f>
        <v/>
      </c>
      <c r="F156" s="18" t="str">
        <f>IFERROR(INDEX('Detalles movimientos'!G$5:G$1004, MATCH(147, 'Detalles movimientos'!$W$5:$W$1004, 0)), "")</f>
        <v/>
      </c>
      <c r="G156" s="20" t="str">
        <f>IFERROR(INDEX('Detalles movimientos'!H$5:H$1004, MATCH(147, 'Detalles movimientos'!$W$5:$W$1004, 0)), "")</f>
        <v/>
      </c>
      <c r="H156" s="21" t="str">
        <f>IFERROR(INDEX('Detalles movimientos'!I$5:I$1004, MATCH(147, 'Detalles movimientos'!$W$5:$W$1004, 0)), "")</f>
        <v/>
      </c>
      <c r="I156" s="20" t="str">
        <f>IFERROR(INDEX('Detalles movimientos'!M$5:M$1004, MATCH(147, 'Detalles movimientos'!$W$5:$W$1004, 0)), "")</f>
        <v/>
      </c>
      <c r="J156" s="19" t="str">
        <f>IFERROR(INDEX('Detalles movimientos'!N$5:N$1004, MATCH(147, 'Detalles movimientos'!$W$5:$W$1004, 0)), "")</f>
        <v/>
      </c>
      <c r="K156" s="20" t="str">
        <f>IFERROR(INDEX('Detalles movimientos'!O$5:O$1004, MATCH(147, 'Detalles movimientos'!$W$5:$W$1004, 0)), "")</f>
        <v/>
      </c>
      <c r="L156" s="18" t="str">
        <f>IFERROR(INDEX('Detalles movimientos'!P$5:P$1004, MATCH(147, 'Detalles movimientos'!$W$5:$W$1004, 0)), "")</f>
        <v/>
      </c>
      <c r="M156" s="18" t="str">
        <f>IFERROR(INDEX('Detalles movimientos'!S$5:S$1004, MATCH(147, 'Detalles movimientos'!$W$5:$W$1004, 0)), "")</f>
        <v/>
      </c>
    </row>
    <row r="157" spans="2:13">
      <c r="B157" s="17" t="str">
        <f>IFERROR(INDEX('Detalles movimientos'!C$5:C$1004, MATCH(148, 'Detalles movimientos'!$W$5:$W$1004, 0)), "")</f>
        <v/>
      </c>
      <c r="C157" s="18" t="str">
        <f>IFERROR(INDEX('Detalles movimientos'!D$5:D$1004, MATCH(148, 'Detalles movimientos'!$W$5:$W$1004, 0)), "")</f>
        <v/>
      </c>
      <c r="D157" s="19" t="str">
        <f>IFERROR(INDEX('Detalles movimientos'!E$5:E$1004, MATCH(148, 'Detalles movimientos'!$W$5:$W$1004, 0)), "")</f>
        <v/>
      </c>
      <c r="E157" s="19" t="str">
        <f>IFERROR(INDEX('Detalles movimientos'!F$5:F$1004, MATCH(148, 'Detalles movimientos'!$W$5:$W$1004, 0)), "")</f>
        <v/>
      </c>
      <c r="F157" s="18" t="str">
        <f>IFERROR(INDEX('Detalles movimientos'!G$5:G$1004, MATCH(148, 'Detalles movimientos'!$W$5:$W$1004, 0)), "")</f>
        <v/>
      </c>
      <c r="G157" s="20" t="str">
        <f>IFERROR(INDEX('Detalles movimientos'!H$5:H$1004, MATCH(148, 'Detalles movimientos'!$W$5:$W$1004, 0)), "")</f>
        <v/>
      </c>
      <c r="H157" s="21" t="str">
        <f>IFERROR(INDEX('Detalles movimientos'!I$5:I$1004, MATCH(148, 'Detalles movimientos'!$W$5:$W$1004, 0)), "")</f>
        <v/>
      </c>
      <c r="I157" s="20" t="str">
        <f>IFERROR(INDEX('Detalles movimientos'!M$5:M$1004, MATCH(148, 'Detalles movimientos'!$W$5:$W$1004, 0)), "")</f>
        <v/>
      </c>
      <c r="J157" s="19" t="str">
        <f>IFERROR(INDEX('Detalles movimientos'!N$5:N$1004, MATCH(148, 'Detalles movimientos'!$W$5:$W$1004, 0)), "")</f>
        <v/>
      </c>
      <c r="K157" s="20" t="str">
        <f>IFERROR(INDEX('Detalles movimientos'!O$5:O$1004, MATCH(148, 'Detalles movimientos'!$W$5:$W$1004, 0)), "")</f>
        <v/>
      </c>
      <c r="L157" s="18" t="str">
        <f>IFERROR(INDEX('Detalles movimientos'!P$5:P$1004, MATCH(148, 'Detalles movimientos'!$W$5:$W$1004, 0)), "")</f>
        <v/>
      </c>
      <c r="M157" s="18" t="str">
        <f>IFERROR(INDEX('Detalles movimientos'!S$5:S$1004, MATCH(148, 'Detalles movimientos'!$W$5:$W$1004, 0)), "")</f>
        <v/>
      </c>
    </row>
    <row r="158" spans="2:13">
      <c r="B158" s="17" t="str">
        <f>IFERROR(INDEX('Detalles movimientos'!C$5:C$1004, MATCH(149, 'Detalles movimientos'!$W$5:$W$1004, 0)), "")</f>
        <v/>
      </c>
      <c r="C158" s="18" t="str">
        <f>IFERROR(INDEX('Detalles movimientos'!D$5:D$1004, MATCH(149, 'Detalles movimientos'!$W$5:$W$1004, 0)), "")</f>
        <v/>
      </c>
      <c r="D158" s="19" t="str">
        <f>IFERROR(INDEX('Detalles movimientos'!E$5:E$1004, MATCH(149, 'Detalles movimientos'!$W$5:$W$1004, 0)), "")</f>
        <v/>
      </c>
      <c r="E158" s="19" t="str">
        <f>IFERROR(INDEX('Detalles movimientos'!F$5:F$1004, MATCH(149, 'Detalles movimientos'!$W$5:$W$1004, 0)), "")</f>
        <v/>
      </c>
      <c r="F158" s="18" t="str">
        <f>IFERROR(INDEX('Detalles movimientos'!G$5:G$1004, MATCH(149, 'Detalles movimientos'!$W$5:$W$1004, 0)), "")</f>
        <v/>
      </c>
      <c r="G158" s="20" t="str">
        <f>IFERROR(INDEX('Detalles movimientos'!H$5:H$1004, MATCH(149, 'Detalles movimientos'!$W$5:$W$1004, 0)), "")</f>
        <v/>
      </c>
      <c r="H158" s="21" t="str">
        <f>IFERROR(INDEX('Detalles movimientos'!I$5:I$1004, MATCH(149, 'Detalles movimientos'!$W$5:$W$1004, 0)), "")</f>
        <v/>
      </c>
      <c r="I158" s="20" t="str">
        <f>IFERROR(INDEX('Detalles movimientos'!M$5:M$1004, MATCH(149, 'Detalles movimientos'!$W$5:$W$1004, 0)), "")</f>
        <v/>
      </c>
      <c r="J158" s="19" t="str">
        <f>IFERROR(INDEX('Detalles movimientos'!N$5:N$1004, MATCH(149, 'Detalles movimientos'!$W$5:$W$1004, 0)), "")</f>
        <v/>
      </c>
      <c r="K158" s="20" t="str">
        <f>IFERROR(INDEX('Detalles movimientos'!O$5:O$1004, MATCH(149, 'Detalles movimientos'!$W$5:$W$1004, 0)), "")</f>
        <v/>
      </c>
      <c r="L158" s="18" t="str">
        <f>IFERROR(INDEX('Detalles movimientos'!P$5:P$1004, MATCH(149, 'Detalles movimientos'!$W$5:$W$1004, 0)), "")</f>
        <v/>
      </c>
      <c r="M158" s="18" t="str">
        <f>IFERROR(INDEX('Detalles movimientos'!S$5:S$1004, MATCH(149, 'Detalles movimientos'!$W$5:$W$1004,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68" t="s">
        <v>92</v>
      </c>
      <c r="B1" s="57"/>
    </row>
    <row r="3" spans="1:2">
      <c r="A3" s="67" t="s">
        <v>93</v>
      </c>
      <c r="B3" s="57"/>
    </row>
    <row r="4" spans="1:2">
      <c r="A4" t="s">
        <v>94</v>
      </c>
      <c r="B4" s="30">
        <f>SUM('Detalles movimientos'!R:R)</f>
        <v>204362</v>
      </c>
    </row>
    <row r="5" spans="1:2">
      <c r="A5" t="s">
        <v>95</v>
      </c>
      <c r="B5" s="30">
        <f>SUM('Detalles movimientos'!I:I)</f>
        <v>12261.5</v>
      </c>
    </row>
    <row r="6" spans="1:2">
      <c r="A6" t="s">
        <v>96</v>
      </c>
      <c r="B6" s="30">
        <f>B4-B5</f>
        <v>192100.5</v>
      </c>
    </row>
    <row r="7" spans="1:2">
      <c r="A7" s="67"/>
      <c r="B7" s="57"/>
    </row>
    <row r="8" spans="1:2">
      <c r="A8" s="67" t="s">
        <v>97</v>
      </c>
      <c r="B8" s="57"/>
    </row>
    <row r="9" spans="1:2">
      <c r="A9" t="s">
        <v>98</v>
      </c>
      <c r="B9" s="31">
        <f>SUM('Detalles movimientos'!Q:Q)</f>
        <v>68090411</v>
      </c>
    </row>
    <row r="10" spans="1:2">
      <c r="A10" t="s">
        <v>99</v>
      </c>
      <c r="B10" s="31">
        <f>SUM('Detalles movimientos'!M:M)</f>
        <v>10368200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-57722211</v>
      </c>
    </row>
    <row r="13" spans="1:2">
      <c r="A13" t="s">
        <v>102</v>
      </c>
      <c r="B13" s="31">
        <f>B11-B10</f>
        <v>-9127640</v>
      </c>
    </row>
    <row r="14" spans="1:2">
      <c r="A14" s="67"/>
      <c r="B14" s="57"/>
    </row>
    <row r="15" spans="1:2">
      <c r="A15" s="67" t="s">
        <v>103</v>
      </c>
      <c r="B15" s="57"/>
    </row>
    <row r="16" spans="1:2">
      <c r="A16" t="s">
        <v>104</v>
      </c>
      <c r="B16" s="31">
        <f>IF(B4&gt;0, B9/B4, 0)</f>
        <v>333.18528395690004</v>
      </c>
    </row>
    <row r="17" spans="1:2">
      <c r="A17" t="s">
        <v>105</v>
      </c>
      <c r="B17" s="31">
        <f>IF(B5&gt;0, B10/B5, 0)</f>
        <v>845.58985442237895</v>
      </c>
    </row>
    <row r="18" spans="1:2">
      <c r="A18" t="s">
        <v>106</v>
      </c>
      <c r="B18" s="32">
        <f>IF(B10&gt;0, B13/B10, 0)</f>
        <v>-0.88034953029455454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72" t="s">
        <v>109</v>
      </c>
      <c r="C5" s="66"/>
      <c r="E5" s="72" t="s">
        <v>87</v>
      </c>
      <c r="F5" s="66"/>
      <c r="H5" s="72" t="s">
        <v>110</v>
      </c>
      <c r="I5" s="66"/>
      <c r="K5" s="72" t="s">
        <v>111</v>
      </c>
      <c r="L5" s="66"/>
    </row>
    <row r="6" spans="2:13">
      <c r="B6" s="71">
        <f>SUMIFS('Detalles movimientos'!I$5:I$1004, 'Detalles movimientos'!F$5:F$1004, "CJ")</f>
        <v>6202.8</v>
      </c>
      <c r="C6" s="62"/>
      <c r="E6" s="74">
        <f>SUMIFS('Detalles movimientos'!M$5:M$1004, 'Detalles movimientos'!F$5:F$1004, "CJ")</f>
        <v>6426100</v>
      </c>
      <c r="F6" s="62"/>
      <c r="H6" s="74">
        <f>SUMIFS('Detalles movimientos'!O$5:O$1004, 'Detalles movimientos'!F$5:F$1004, "CJ", 'Detalles movimientos'!P$5:P$1004, "*Comision Pagada*")</f>
        <v>485760</v>
      </c>
      <c r="I6" s="62"/>
      <c r="K6" s="74">
        <f>SUMIFS('Detalles movimientos'!O$5:O$1004, 'Detalles movimientos'!F$5:F$1004, "CJ", 'Detalles movimientos'!P$5:P$1004, "&lt;&gt;*Comision Pagada*")</f>
        <v>754800</v>
      </c>
      <c r="L6" s="62"/>
    </row>
    <row r="7" spans="2:13">
      <c r="B7" s="63"/>
      <c r="C7" s="64"/>
      <c r="E7" s="63"/>
      <c r="F7" s="64"/>
      <c r="H7" s="63"/>
      <c r="I7" s="64"/>
      <c r="K7" s="63"/>
      <c r="L7" s="64"/>
    </row>
    <row r="9" spans="2:13">
      <c r="B9" s="73" t="s">
        <v>112</v>
      </c>
      <c r="C9" s="66"/>
      <c r="D9" s="69" t="str">
        <f>"Del " &amp; TEXT(_xlfn.MINIFS('Detalles movimientos'!C$5:C$1004, 'Detalles movimientos'!F$5:F$1004, "CJ", 'Detalles movimientos'!P$5:P$1004, "*Comision Pagada*"), "dd/mm/yyyy") &amp; " al " &amp; TEXT(_xlfn.MAXIFS('Detalles movimientos'!C$5:C$1004, 'Detalles movimientos'!F$5:F$1004, "CJ", 'Detalles movimientos'!P$5:P$1004, "*Comision Pagada*"), "dd/mm/yyyy")</f>
        <v>Del 27/07/2026 al 27/07/2026</v>
      </c>
      <c r="E9" s="70"/>
      <c r="F9" s="66"/>
      <c r="H9" s="73" t="s">
        <v>113</v>
      </c>
      <c r="I9" s="66"/>
      <c r="J9" s="69" t="str">
        <f>"Del " &amp; TEXT(_xlfn.MINIFS('Detalles movimientos'!C$5:C$1004, 'Detalles movimientos'!F$5:F$1004, "CJ", 'Detalles movimientos'!P$5:P$1004, "&lt;&gt;*Comision Pagada*", 'Detalles movimientos'!C$5:C$1004, "&gt;0"), "dd/mm/yyyy") &amp; " al " &amp; TEXT(_xlfn.MAXIFS('Detalles movimientos'!C$5:C$1004, 'Detalles movimientos'!F$5:F$1004, "CJ", 'Detalles movimientos'!P$5:P$1004, "&lt;&gt;*Comision Pagada*"), "dd/mm/yyyy")</f>
        <v>Del 28/07/2026 al 27/08/2026</v>
      </c>
      <c r="K9" s="70"/>
      <c r="L9" s="66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movimientos'!C$5:C$1004, MATCH(1, 'Detalles movimientos'!$T$5:$T$1004, 0)), "")</f>
        <v>46230</v>
      </c>
      <c r="C13" s="18" t="str">
        <f>IFERROR(INDEX('Detalles movimientos'!D$5:D$1004, MATCH(1, 'Detalles movimientos'!$T$5:$T$1004, 0)), "")</f>
        <v>Ricardo Brisas del Raco</v>
      </c>
      <c r="D13" s="19" t="str">
        <f>IFERROR(INDEX('Detalles movimientos'!E$5:E$1004, MATCH(1, 'Detalles movimientos'!$T$5:$T$1004, 0)), "")</f>
        <v>VJYL61</v>
      </c>
      <c r="E13" s="19" t="str">
        <f>IFERROR(INDEX('Detalles movimientos'!F$5:F$1004, MATCH(1, 'Detalles movimientos'!$T$5:$T$1004, 0)), "")</f>
        <v>CJ</v>
      </c>
      <c r="F13" s="18" t="str">
        <f>IFERROR(INDEX('Detalles movimientos'!G$5:G$1004, MATCH(1, 'Detalles movimientos'!$T$5:$T$1004, 0)), "")</f>
        <v>Brisas del Raco</v>
      </c>
      <c r="G13" s="20">
        <f>IFERROR(INDEX('Detalles movimientos'!H$5:H$1004, MATCH(1, 'Detalles movimientos'!$T$5:$T$1004, 0)), "")</f>
        <v>1000</v>
      </c>
      <c r="H13" s="21">
        <f>IFERROR(INDEX('Detalles movimientos'!I$5:I$1004, MATCH(1, 'Detalles movimientos'!$T$5:$T$1004, 0)), "")</f>
        <v>179.2</v>
      </c>
      <c r="I13" s="20">
        <f>IFERROR(INDEX('Detalles movimientos'!M$5:M$1004, MATCH(1, 'Detalles movimientos'!$T$5:$T$1004, 0)), "")</f>
        <v>179200</v>
      </c>
      <c r="J13" s="19" t="str">
        <f>IFERROR(INDEX('Detalles movimientos'!N$5:N$1004, MATCH(1, 'Detalles movimientos'!$T$5:$T$1004, 0)), "")</f>
        <v>Tarjeta</v>
      </c>
      <c r="K13" s="20">
        <f>IFERROR(INDEX('Detalles movimientos'!O$5:O$1004, MATCH(1, 'Detalles movimientos'!$T$5:$T$1004, 0)), "")</f>
        <v>35840</v>
      </c>
      <c r="L13" s="18" t="str">
        <f>IFERROR(INDEX('Detalles movimientos'!P$5:P$1004, MATCH(1, 'Detalles movimientos'!$T$5:$T$1004, 0)), "")</f>
        <v>Comision Pagada</v>
      </c>
      <c r="M13" s="18">
        <f>IFERROR(INDEX('Detalles movimientos'!S$5:S$1004, MATCH(1, 'Detalles movimientos'!$T$5:$T$1004, 0)), "")</f>
        <v>0</v>
      </c>
    </row>
    <row r="14" spans="2:13">
      <c r="B14" s="17">
        <f>IFERROR(INDEX('Detalles movimientos'!C$5:C$1004, MATCH(2, 'Detalles movimientos'!$T$5:$T$1004, 0)), "")</f>
        <v>46230</v>
      </c>
      <c r="C14" s="18" t="str">
        <f>IFERROR(INDEX('Detalles movimientos'!D$5:D$1004, MATCH(2, 'Detalles movimientos'!$T$5:$T$1004, 0)), "")</f>
        <v>Ale Turko</v>
      </c>
      <c r="D14" s="19" t="str">
        <f>IFERROR(INDEX('Detalles movimientos'!E$5:E$1004, MATCH(2, 'Detalles movimientos'!$T$5:$T$1004, 0)), "")</f>
        <v>VJYL61</v>
      </c>
      <c r="E14" s="19" t="str">
        <f>IFERROR(INDEX('Detalles movimientos'!F$5:F$1004, MATCH(2, 'Detalles movimientos'!$T$5:$T$1004, 0)), "")</f>
        <v>CJ</v>
      </c>
      <c r="F14" s="18">
        <f>IFERROR(INDEX('Detalles movimientos'!G$5:G$1004, MATCH(2, 'Detalles movimientos'!$T$5:$T$1004, 0)), "")</f>
        <v>0</v>
      </c>
      <c r="G14" s="20">
        <f>IFERROR(INDEX('Detalles movimientos'!H$5:H$1004, MATCH(2, 'Detalles movimientos'!$T$5:$T$1004, 0)), "")</f>
        <v>1000</v>
      </c>
      <c r="H14" s="21">
        <f>IFERROR(INDEX('Detalles movimientos'!I$5:I$1004, MATCH(2, 'Detalles movimientos'!$T$5:$T$1004, 0)), "")</f>
        <v>518.1</v>
      </c>
      <c r="I14" s="20">
        <f>IFERROR(INDEX('Detalles movimientos'!M$5:M$1004, MATCH(2, 'Detalles movimientos'!$T$5:$T$1004, 0)), "")</f>
        <v>518100</v>
      </c>
      <c r="J14" s="19" t="str">
        <f>IFERROR(INDEX('Detalles movimientos'!N$5:N$1004, MATCH(2, 'Detalles movimientos'!$T$5:$T$1004, 0)), "")</f>
        <v>Pendiente de pago</v>
      </c>
      <c r="K14" s="20">
        <f>IFERROR(INDEX('Detalles movimientos'!O$5:O$1004, MATCH(2, 'Detalles movimientos'!$T$5:$T$1004, 0)), "")</f>
        <v>103620</v>
      </c>
      <c r="L14" s="18" t="str">
        <f>IFERROR(INDEX('Detalles movimientos'!P$5:P$1004, MATCH(2, 'Detalles movimientos'!$T$5:$T$1004, 0)), "")</f>
        <v>Comision Pagada</v>
      </c>
      <c r="M14" s="18">
        <f>IFERROR(INDEX('Detalles movimientos'!S$5:S$1004, MATCH(2, 'Detalles movimientos'!$T$5:$T$1004, 0)), "")</f>
        <v>0</v>
      </c>
    </row>
    <row r="15" spans="2:13">
      <c r="B15" s="17">
        <f>IFERROR(INDEX('Detalles movimientos'!C$5:C$1004, MATCH(3, 'Detalles movimientos'!$T$5:$T$1004, 0)), "")</f>
        <v>46230</v>
      </c>
      <c r="C15" s="18" t="str">
        <f>IFERROR(INDEX('Detalles movimientos'!D$5:D$1004, MATCH(3, 'Detalles movimientos'!$T$5:$T$1004, 0)), "")</f>
        <v xml:space="preserve">Tirua </v>
      </c>
      <c r="D15" s="19" t="str">
        <f>IFERROR(INDEX('Detalles movimientos'!E$5:E$1004, MATCH(3, 'Detalles movimientos'!$T$5:$T$1004, 0)), "")</f>
        <v>VJYL61</v>
      </c>
      <c r="E15" s="19" t="str">
        <f>IFERROR(INDEX('Detalles movimientos'!F$5:F$1004, MATCH(3, 'Detalles movimientos'!$T$5:$T$1004, 0)), "")</f>
        <v>CJ</v>
      </c>
      <c r="F15" s="18">
        <f>IFERROR(INDEX('Detalles movimientos'!G$5:G$1004, MATCH(3, 'Detalles movimientos'!$T$5:$T$1004, 0)), "")</f>
        <v>0</v>
      </c>
      <c r="G15" s="20">
        <f>IFERROR(INDEX('Detalles movimientos'!H$5:H$1004, MATCH(3, 'Detalles movimientos'!$T$5:$T$1004, 0)), "")</f>
        <v>1000</v>
      </c>
      <c r="H15" s="21">
        <f>IFERROR(INDEX('Detalles movimientos'!I$5:I$1004, MATCH(3, 'Detalles movimientos'!$T$5:$T$1004, 0)), "")</f>
        <v>488.2</v>
      </c>
      <c r="I15" s="20">
        <f>IFERROR(INDEX('Detalles movimientos'!M$5:M$1004, MATCH(3, 'Detalles movimientos'!$T$5:$T$1004, 0)), "")</f>
        <v>488200</v>
      </c>
      <c r="J15" s="19" t="str">
        <f>IFERROR(INDEX('Detalles movimientos'!N$5:N$1004, MATCH(3, 'Detalles movimientos'!$T$5:$T$1004, 0)), "")</f>
        <v>Pendiente de pago</v>
      </c>
      <c r="K15" s="20">
        <f>IFERROR(INDEX('Detalles movimientos'!O$5:O$1004, MATCH(3, 'Detalles movimientos'!$T$5:$T$1004, 0)), "")</f>
        <v>97640</v>
      </c>
      <c r="L15" s="18" t="str">
        <f>IFERROR(INDEX('Detalles movimientos'!P$5:P$1004, MATCH(3, 'Detalles movimientos'!$T$5:$T$1004, 0)), "")</f>
        <v>Comision Pagada</v>
      </c>
      <c r="M15" s="18">
        <f>IFERROR(INDEX('Detalles movimientos'!S$5:S$1004, MATCH(3, 'Detalles movimientos'!$T$5:$T$1004, 0)), "")</f>
        <v>0</v>
      </c>
    </row>
    <row r="16" spans="2:13">
      <c r="B16" s="17">
        <f>IFERROR(INDEX('Detalles movimientos'!C$5:C$1004, MATCH(4, 'Detalles movimientos'!$T$5:$T$1004, 0)), "")</f>
        <v>46230</v>
      </c>
      <c r="C16" s="18" t="str">
        <f>IFERROR(INDEX('Detalles movimientos'!D$5:D$1004, MATCH(4, 'Detalles movimientos'!$T$5:$T$1004, 0)), "")</f>
        <v xml:space="preserve">Ciao Italia </v>
      </c>
      <c r="D16" s="19" t="str">
        <f>IFERROR(INDEX('Detalles movimientos'!E$5:E$1004, MATCH(4, 'Detalles movimientos'!$T$5:$T$1004, 0)), "")</f>
        <v>VJYL61</v>
      </c>
      <c r="E16" s="19" t="str">
        <f>IFERROR(INDEX('Detalles movimientos'!F$5:F$1004, MATCH(4, 'Detalles movimientos'!$T$5:$T$1004, 0)), "")</f>
        <v>CJ</v>
      </c>
      <c r="F16" s="18">
        <f>IFERROR(INDEX('Detalles movimientos'!G$5:G$1004, MATCH(4, 'Detalles movimientos'!$T$5:$T$1004, 0)), "")</f>
        <v>0</v>
      </c>
      <c r="G16" s="20">
        <f>IFERROR(INDEX('Detalles movimientos'!H$5:H$1004, MATCH(4, 'Detalles movimientos'!$T$5:$T$1004, 0)), "")</f>
        <v>1000</v>
      </c>
      <c r="H16" s="21">
        <f>IFERROR(INDEX('Detalles movimientos'!I$5:I$1004, MATCH(4, 'Detalles movimientos'!$T$5:$T$1004, 0)), "")</f>
        <v>500.3</v>
      </c>
      <c r="I16" s="20">
        <f>IFERROR(INDEX('Detalles movimientos'!M$5:M$1004, MATCH(4, 'Detalles movimientos'!$T$5:$T$1004, 0)), "")</f>
        <v>500300</v>
      </c>
      <c r="J16" s="19" t="str">
        <f>IFERROR(INDEX('Detalles movimientos'!N$5:N$1004, MATCH(4, 'Detalles movimientos'!$T$5:$T$1004, 0)), "")</f>
        <v>Pagado</v>
      </c>
      <c r="K16" s="20">
        <f>IFERROR(INDEX('Detalles movimientos'!O$5:O$1004, MATCH(4, 'Detalles movimientos'!$T$5:$T$1004, 0)), "")</f>
        <v>100060</v>
      </c>
      <c r="L16" s="18" t="str">
        <f>IFERROR(INDEX('Detalles movimientos'!P$5:P$1004, MATCH(4, 'Detalles movimientos'!$T$5:$T$1004, 0)), "")</f>
        <v>Comision Pagada</v>
      </c>
      <c r="M16" s="18">
        <f>IFERROR(INDEX('Detalles movimientos'!S$5:S$1004, MATCH(4, 'Detalles movimientos'!$T$5:$T$1004, 0)), "")</f>
        <v>0</v>
      </c>
    </row>
    <row r="17" spans="2:13">
      <c r="B17" s="17">
        <f>IFERROR(INDEX('Detalles movimientos'!C$5:C$1004, MATCH(5, 'Detalles movimientos'!$T$5:$T$1004, 0)), "")</f>
        <v>46230</v>
      </c>
      <c r="C17" s="18" t="str">
        <f>IFERROR(INDEX('Detalles movimientos'!D$5:D$1004, MATCH(5, 'Detalles movimientos'!$T$5:$T$1004, 0)), "")</f>
        <v xml:space="preserve">Claudio Ulloa </v>
      </c>
      <c r="D17" s="19" t="str">
        <f>IFERROR(INDEX('Detalles movimientos'!E$5:E$1004, MATCH(5, 'Detalles movimientos'!$T$5:$T$1004, 0)), "")</f>
        <v>VJYL61</v>
      </c>
      <c r="E17" s="19" t="str">
        <f>IFERROR(INDEX('Detalles movimientos'!F$5:F$1004, MATCH(5, 'Detalles movimientos'!$T$5:$T$1004, 0)), "")</f>
        <v>CJ</v>
      </c>
      <c r="F17" s="18">
        <f>IFERROR(INDEX('Detalles movimientos'!G$5:G$1004, MATCH(5, 'Detalles movimientos'!$T$5:$T$1004, 0)), "")</f>
        <v>0</v>
      </c>
      <c r="G17" s="20">
        <f>IFERROR(INDEX('Detalles movimientos'!H$5:H$1004, MATCH(5, 'Detalles movimientos'!$T$5:$T$1004, 0)), "")</f>
        <v>1000</v>
      </c>
      <c r="H17" s="21">
        <f>IFERROR(INDEX('Detalles movimientos'!I$5:I$1004, MATCH(5, 'Detalles movimientos'!$T$5:$T$1004, 0)), "")</f>
        <v>237.9</v>
      </c>
      <c r="I17" s="20">
        <f>IFERROR(INDEX('Detalles movimientos'!M$5:M$1004, MATCH(5, 'Detalles movimientos'!$T$5:$T$1004, 0)), "")</f>
        <v>237900</v>
      </c>
      <c r="J17" s="19" t="str">
        <f>IFERROR(INDEX('Detalles movimientos'!N$5:N$1004, MATCH(5, 'Detalles movimientos'!$T$5:$T$1004, 0)), "")</f>
        <v>Pendiente de pago</v>
      </c>
      <c r="K17" s="20">
        <f>IFERROR(INDEX('Detalles movimientos'!O$5:O$1004, MATCH(5, 'Detalles movimientos'!$T$5:$T$1004, 0)), "")</f>
        <v>47580</v>
      </c>
      <c r="L17" s="18" t="str">
        <f>IFERROR(INDEX('Detalles movimientos'!P$5:P$1004, MATCH(5, 'Detalles movimientos'!$T$5:$T$1004, 0)), "")</f>
        <v>Comision Pagada</v>
      </c>
      <c r="M17" s="18">
        <f>IFERROR(INDEX('Detalles movimientos'!S$5:S$1004, MATCH(5, 'Detalles movimientos'!$T$5:$T$1004, 0)), "")</f>
        <v>0</v>
      </c>
    </row>
    <row r="18" spans="2:13">
      <c r="B18" s="17">
        <f>IFERROR(INDEX('Detalles movimientos'!C$5:C$1004, MATCH(6, 'Detalles movimientos'!$T$5:$T$1004, 0)), "")</f>
        <v>46230</v>
      </c>
      <c r="C18" s="18" t="str">
        <f>IFERROR(INDEX('Detalles movimientos'!D$5:D$1004, MATCH(6, 'Detalles movimientos'!$T$5:$T$1004, 0)), "")</f>
        <v>Francisco Ulloa</v>
      </c>
      <c r="D18" s="19" t="str">
        <f>IFERROR(INDEX('Detalles movimientos'!E$5:E$1004, MATCH(6, 'Detalles movimientos'!$T$5:$T$1004, 0)), "")</f>
        <v>VJYL61</v>
      </c>
      <c r="E18" s="19" t="str">
        <f>IFERROR(INDEX('Detalles movimientos'!F$5:F$1004, MATCH(6, 'Detalles movimientos'!$T$5:$T$1004, 0)), "")</f>
        <v>CJ</v>
      </c>
      <c r="F18" s="18">
        <f>IFERROR(INDEX('Detalles movimientos'!G$5:G$1004, MATCH(6, 'Detalles movimientos'!$T$5:$T$1004, 0)), "")</f>
        <v>0</v>
      </c>
      <c r="G18" s="20">
        <f>IFERROR(INDEX('Detalles movimientos'!H$5:H$1004, MATCH(6, 'Detalles movimientos'!$T$5:$T$1004, 0)), "")</f>
        <v>1000</v>
      </c>
      <c r="H18" s="21">
        <f>IFERROR(INDEX('Detalles movimientos'!I$5:I$1004, MATCH(6, 'Detalles movimientos'!$T$5:$T$1004, 0)), "")</f>
        <v>205.1</v>
      </c>
      <c r="I18" s="20">
        <f>IFERROR(INDEX('Detalles movimientos'!M$5:M$1004, MATCH(6, 'Detalles movimientos'!$T$5:$T$1004, 0)), "")</f>
        <v>205100</v>
      </c>
      <c r="J18" s="19" t="str">
        <f>IFERROR(INDEX('Detalles movimientos'!N$5:N$1004, MATCH(6, 'Detalles movimientos'!$T$5:$T$1004, 0)), "")</f>
        <v>Pendiente de pago</v>
      </c>
      <c r="K18" s="20">
        <f>IFERROR(INDEX('Detalles movimientos'!O$5:O$1004, MATCH(6, 'Detalles movimientos'!$T$5:$T$1004, 0)), "")</f>
        <v>41020</v>
      </c>
      <c r="L18" s="18" t="str">
        <f>IFERROR(INDEX('Detalles movimientos'!P$5:P$1004, MATCH(6, 'Detalles movimientos'!$T$5:$T$1004, 0)), "")</f>
        <v>Comision Pagada</v>
      </c>
      <c r="M18" s="18">
        <f>IFERROR(INDEX('Detalles movimientos'!S$5:S$1004, MATCH(6, 'Detalles movimientos'!$T$5:$T$1004, 0)), "")</f>
        <v>0</v>
      </c>
    </row>
    <row r="19" spans="2:13">
      <c r="B19" s="17">
        <f>IFERROR(INDEX('Detalles movimientos'!C$5:C$1004, MATCH(7, 'Detalles movimientos'!$T$5:$T$1004, 0)), "")</f>
        <v>46230</v>
      </c>
      <c r="C19" s="18" t="str">
        <f>IFERROR(INDEX('Detalles movimientos'!D$5:D$1004, MATCH(7, 'Detalles movimientos'!$T$5:$T$1004, 0)), "")</f>
        <v>Alicia Pavez</v>
      </c>
      <c r="D19" s="19" t="str">
        <f>IFERROR(INDEX('Detalles movimientos'!E$5:E$1004, MATCH(7, 'Detalles movimientos'!$T$5:$T$1004, 0)), "")</f>
        <v>VJYL61</v>
      </c>
      <c r="E19" s="19" t="str">
        <f>IFERROR(INDEX('Detalles movimientos'!F$5:F$1004, MATCH(7, 'Detalles movimientos'!$T$5:$T$1004, 0)), "")</f>
        <v>CJ</v>
      </c>
      <c r="F19" s="18">
        <f>IFERROR(INDEX('Detalles movimientos'!G$5:G$1004, MATCH(7, 'Detalles movimientos'!$T$5:$T$1004, 0)), "")</f>
        <v>0</v>
      </c>
      <c r="G19" s="20">
        <f>IFERROR(INDEX('Detalles movimientos'!H$5:H$1004, MATCH(7, 'Detalles movimientos'!$T$5:$T$1004, 0)), "")</f>
        <v>1000</v>
      </c>
      <c r="H19" s="21">
        <f>IFERROR(INDEX('Detalles movimientos'!I$5:I$1004, MATCH(7, 'Detalles movimientos'!$T$5:$T$1004, 0)), "")</f>
        <v>300</v>
      </c>
      <c r="I19" s="20">
        <f>IFERROR(INDEX('Detalles movimientos'!M$5:M$1004, MATCH(7, 'Detalles movimientos'!$T$5:$T$1004, 0)), "")</f>
        <v>300000</v>
      </c>
      <c r="J19" s="19" t="str">
        <f>IFERROR(INDEX('Detalles movimientos'!N$5:N$1004, MATCH(7, 'Detalles movimientos'!$T$5:$T$1004, 0)), "")</f>
        <v>Pendiente de pago</v>
      </c>
      <c r="K19" s="20">
        <f>IFERROR(INDEX('Detalles movimientos'!O$5:O$1004, MATCH(7, 'Detalles movimientos'!$T$5:$T$1004, 0)), "")</f>
        <v>60000</v>
      </c>
      <c r="L19" s="18" t="str">
        <f>IFERROR(INDEX('Detalles movimientos'!P$5:P$1004, MATCH(7, 'Detalles movimientos'!$T$5:$T$1004, 0)), "")</f>
        <v>Comision Pagada</v>
      </c>
      <c r="M19" s="18">
        <f>IFERROR(INDEX('Detalles movimientos'!S$5:S$1004, MATCH(7, 'Detalles movimientos'!$T$5:$T$1004, 0)), "")</f>
        <v>2428.8000000000002</v>
      </c>
    </row>
    <row r="20" spans="2:13">
      <c r="B20" s="17">
        <f>IFERROR(INDEX('Detalles movimientos'!C$5:C$1004, MATCH(8, 'Detalles movimientos'!$T$5:$T$1004, 0)), "")</f>
        <v>46231</v>
      </c>
      <c r="C20" s="18" t="str">
        <f>IFERROR(INDEX('Detalles movimientos'!D$5:D$1004, MATCH(8, 'Detalles movimientos'!$T$5:$T$1004, 0)), "")</f>
        <v xml:space="preserve">Vanessa </v>
      </c>
      <c r="D20" s="19" t="str">
        <f>IFERROR(INDEX('Detalles movimientos'!E$5:E$1004, MATCH(8, 'Detalles movimientos'!$T$5:$T$1004, 0)), "")</f>
        <v>VJYL61</v>
      </c>
      <c r="E20" s="19" t="str">
        <f>IFERROR(INDEX('Detalles movimientos'!F$5:F$1004, MATCH(8, 'Detalles movimientos'!$T$5:$T$1004, 0)), "")</f>
        <v>CJ</v>
      </c>
      <c r="F20" s="18">
        <f>IFERROR(INDEX('Detalles movimientos'!G$5:G$1004, MATCH(8, 'Detalles movimientos'!$T$5:$T$1004, 0)), "")</f>
        <v>0</v>
      </c>
      <c r="G20" s="20">
        <f>IFERROR(INDEX('Detalles movimientos'!H$5:H$1004, MATCH(8, 'Detalles movimientos'!$T$5:$T$1004, 0)), "")</f>
        <v>1000</v>
      </c>
      <c r="H20" s="21">
        <f>IFERROR(INDEX('Detalles movimientos'!I$5:I$1004, MATCH(8, 'Detalles movimientos'!$T$5:$T$1004, 0)), "")</f>
        <v>200</v>
      </c>
      <c r="I20" s="20">
        <f>IFERROR(INDEX('Detalles movimientos'!M$5:M$1004, MATCH(8, 'Detalles movimientos'!$T$5:$T$1004, 0)), "")</f>
        <v>200000</v>
      </c>
      <c r="J20" s="19" t="str">
        <f>IFERROR(INDEX('Detalles movimientos'!N$5:N$1004, MATCH(8, 'Detalles movimientos'!$T$5:$T$1004, 0)), "")</f>
        <v>Transferencia</v>
      </c>
      <c r="K20" s="20">
        <f>IFERROR(INDEX('Detalles movimientos'!O$5:O$1004, MATCH(8, 'Detalles movimientos'!$T$5:$T$1004, 0)), "")</f>
        <v>40000</v>
      </c>
      <c r="L20" s="18">
        <f>IFERROR(INDEX('Detalles movimientos'!P$5:P$1004, MATCH(8, 'Detalles movimientos'!$T$5:$T$1004, 0)), "")</f>
        <v>0</v>
      </c>
      <c r="M20" s="18">
        <f>IFERROR(INDEX('Detalles movimientos'!S$5:S$1004, MATCH(8, 'Detalles movimientos'!$T$5:$T$1004, 0)), "")</f>
        <v>0</v>
      </c>
    </row>
    <row r="21" spans="2:13">
      <c r="B21" s="17">
        <f>IFERROR(INDEX('Detalles movimientos'!C$5:C$1004, MATCH(9, 'Detalles movimientos'!$T$5:$T$1004, 0)), "")</f>
        <v>46233</v>
      </c>
      <c r="C21" s="18" t="str">
        <f>IFERROR(INDEX('Detalles movimientos'!D$5:D$1004, MATCH(9, 'Detalles movimientos'!$T$5:$T$1004, 0)), "")</f>
        <v>Simon</v>
      </c>
      <c r="D21" s="19" t="str">
        <f>IFERROR(INDEX('Detalles movimientos'!E$5:E$1004, MATCH(9, 'Detalles movimientos'!$T$5:$T$1004, 0)), "")</f>
        <v>VJYL61</v>
      </c>
      <c r="E21" s="19" t="str">
        <f>IFERROR(INDEX('Detalles movimientos'!F$5:F$1004, MATCH(9, 'Detalles movimientos'!$T$5:$T$1004, 0)), "")</f>
        <v>CJ</v>
      </c>
      <c r="F21" s="18" t="str">
        <f>IFERROR(INDEX('Detalles movimientos'!G$5:G$1004, MATCH(9, 'Detalles movimientos'!$T$5:$T$1004, 0)), "")</f>
        <v>Camino el Chalaco 66B</v>
      </c>
      <c r="G21" s="20">
        <f>IFERROR(INDEX('Detalles movimientos'!H$5:H$1004, MATCH(9, 'Detalles movimientos'!$T$5:$T$1004, 0)), "")</f>
        <v>1000</v>
      </c>
      <c r="H21" s="21">
        <f>IFERROR(INDEX('Detalles movimientos'!I$5:I$1004, MATCH(9, 'Detalles movimientos'!$T$5:$T$1004, 0)), "")</f>
        <v>747</v>
      </c>
      <c r="I21" s="20">
        <f>IFERROR(INDEX('Detalles movimientos'!M$5:M$1004, MATCH(9, 'Detalles movimientos'!$T$5:$T$1004, 0)), "")</f>
        <v>747000</v>
      </c>
      <c r="J21" s="19" t="str">
        <f>IFERROR(INDEX('Detalles movimientos'!N$5:N$1004, MATCH(9, 'Detalles movimientos'!$T$5:$T$1004, 0)), "")</f>
        <v>Transferencia</v>
      </c>
      <c r="K21" s="20">
        <f>IFERROR(INDEX('Detalles movimientos'!O$5:O$1004, MATCH(9, 'Detalles movimientos'!$T$5:$T$1004, 0)), "")</f>
        <v>149400</v>
      </c>
      <c r="L21" s="18" t="str">
        <f>IFERROR(INDEX('Detalles movimientos'!P$5:P$1004, MATCH(9, 'Detalles movimientos'!$T$5:$T$1004, 0)), "")</f>
        <v>Factura</v>
      </c>
      <c r="M21" s="18" t="str">
        <f>IFERROR(INDEX('Detalles movimientos'!S$5:S$1004, MATCH(9, 'Detalles movimientos'!$T$5:$T$1004, 0)), "")</f>
        <v>Ebal spa - RUT: 77.625.623-4 - Av Gabriela 3264 La Pintana - Giro Construccion</v>
      </c>
    </row>
    <row r="22" spans="2:13">
      <c r="B22" s="17">
        <f>IFERROR(INDEX('Detalles movimientos'!C$5:C$1004, MATCH(10, 'Detalles movimientos'!$T$5:$T$1004, 0)), "")</f>
        <v>46237</v>
      </c>
      <c r="C22" s="18" t="str">
        <f>IFERROR(INDEX('Detalles movimientos'!D$5:D$1004, MATCH(10, 'Detalles movimientos'!$T$5:$T$1004, 0)), "")</f>
        <v>Manuel Vergara Ricci</v>
      </c>
      <c r="D22" s="19" t="str">
        <f>IFERROR(INDEX('Detalles movimientos'!E$5:E$1004, MATCH(10, 'Detalles movimientos'!$T$5:$T$1004, 0)), "")</f>
        <v>VJYL61</v>
      </c>
      <c r="E22" s="19" t="str">
        <f>IFERROR(INDEX('Detalles movimientos'!F$5:F$1004, MATCH(10, 'Detalles movimientos'!$T$5:$T$1004, 0)), "")</f>
        <v>CJ</v>
      </c>
      <c r="F22" s="18" t="str">
        <f>IFERROR(INDEX('Detalles movimientos'!G$5:G$1004, MATCH(10, 'Detalles movimientos'!$T$5:$T$1004, 0)), "")</f>
        <v>Avenida Virginia subercaseaux 4175 (parcela 15)</v>
      </c>
      <c r="G22" s="20">
        <f>IFERROR(INDEX('Detalles movimientos'!H$5:H$1004, MATCH(10, 'Detalles movimientos'!$T$5:$T$1004, 0)), "")</f>
        <v>1100</v>
      </c>
      <c r="H22" s="21">
        <f>IFERROR(INDEX('Detalles movimientos'!I$5:I$1004, MATCH(10, 'Detalles movimientos'!$T$5:$T$1004, 0)), "")</f>
        <v>200</v>
      </c>
      <c r="I22" s="20">
        <f>IFERROR(INDEX('Detalles movimientos'!M$5:M$1004, MATCH(10, 'Detalles movimientos'!$T$5:$T$1004, 0)), "")</f>
        <v>220000</v>
      </c>
      <c r="J22" s="19" t="str">
        <f>IFERROR(INDEX('Detalles movimientos'!N$5:N$1004, MATCH(10, 'Detalles movimientos'!$T$5:$T$1004, 0)), "")</f>
        <v>Transferencia</v>
      </c>
      <c r="K22" s="20">
        <f>IFERROR(INDEX('Detalles movimientos'!O$5:O$1004, MATCH(10, 'Detalles movimientos'!$T$5:$T$1004, 0)), "")</f>
        <v>40000</v>
      </c>
      <c r="L22" s="18">
        <f>IFERROR(INDEX('Detalles movimientos'!P$5:P$1004, MATCH(10, 'Detalles movimientos'!$T$5:$T$1004, 0)), "")</f>
        <v>0</v>
      </c>
      <c r="M22" s="18">
        <f>IFERROR(INDEX('Detalles movimientos'!S$5:S$1004, MATCH(10, 'Detalles movimientos'!$T$5:$T$1004, 0)), "")</f>
        <v>0</v>
      </c>
    </row>
    <row r="23" spans="2:13">
      <c r="B23" s="17">
        <f>IFERROR(INDEX('Detalles movimientos'!C$5:C$1004, MATCH(11, 'Detalles movimientos'!$T$5:$T$1004, 0)), "")</f>
        <v>46237</v>
      </c>
      <c r="C23" s="18" t="str">
        <f>IFERROR(INDEX('Detalles movimientos'!D$5:D$1004, MATCH(11, 'Detalles movimientos'!$T$5:$T$1004, 0)), "")</f>
        <v>Gabriela Rojas</v>
      </c>
      <c r="D23" s="19" t="str">
        <f>IFERROR(INDEX('Detalles movimientos'!E$5:E$1004, MATCH(11, 'Detalles movimientos'!$T$5:$T$1004, 0)), "")</f>
        <v>VJYL61</v>
      </c>
      <c r="E23" s="19" t="str">
        <f>IFERROR(INDEX('Detalles movimientos'!F$5:F$1004, MATCH(11, 'Detalles movimientos'!$T$5:$T$1004, 0)), "")</f>
        <v>CJ</v>
      </c>
      <c r="F23" s="18" t="str">
        <f>IFERROR(INDEX('Detalles movimientos'!G$5:G$1004, MATCH(11, 'Detalles movimientos'!$T$5:$T$1004, 0)), "")</f>
        <v>Camino de las flores 1262 Pirque</v>
      </c>
      <c r="G23" s="20">
        <f>IFERROR(INDEX('Detalles movimientos'!H$5:H$1004, MATCH(11, 'Detalles movimientos'!$T$5:$T$1004, 0)), "")</f>
        <v>1100</v>
      </c>
      <c r="H23" s="21">
        <f>IFERROR(INDEX('Detalles movimientos'!I$5:I$1004, MATCH(11, 'Detalles movimientos'!$T$5:$T$1004, 0)), "")</f>
        <v>350</v>
      </c>
      <c r="I23" s="20">
        <f>IFERROR(INDEX('Detalles movimientos'!M$5:M$1004, MATCH(11, 'Detalles movimientos'!$T$5:$T$1004, 0)), "")</f>
        <v>385000</v>
      </c>
      <c r="J23" s="19" t="str">
        <f>IFERROR(INDEX('Detalles movimientos'!N$5:N$1004, MATCH(11, 'Detalles movimientos'!$T$5:$T$1004, 0)), "")</f>
        <v>Transferencia en dos</v>
      </c>
      <c r="K23" s="20">
        <f>IFERROR(INDEX('Detalles movimientos'!O$5:O$1004, MATCH(11, 'Detalles movimientos'!$T$5:$T$1004, 0)), "")</f>
        <v>70000</v>
      </c>
      <c r="L23" s="18" t="str">
        <f>IFERROR(INDEX('Detalles movimientos'!P$5:P$1004, MATCH(11, 'Detalles movimientos'!$T$5:$T$1004, 0)), "")</f>
        <v>Quedó saldo de $35 mil para mañana</v>
      </c>
      <c r="M23" s="18">
        <f>IFERROR(INDEX('Detalles movimientos'!S$5:S$1004, MATCH(11, 'Detalles movimientos'!$T$5:$T$1004, 0)), "")</f>
        <v>0</v>
      </c>
    </row>
    <row r="24" spans="2:13">
      <c r="B24" s="17">
        <f>IFERROR(INDEX('Detalles movimientos'!C$5:C$1004, MATCH(12, 'Detalles movimientos'!$T$5:$T$1004, 0)), "")</f>
        <v>46239</v>
      </c>
      <c r="C24" s="18" t="str">
        <f>IFERROR(INDEX('Detalles movimientos'!D$5:D$1004, MATCH(12, 'Detalles movimientos'!$T$5:$T$1004, 0)), "")</f>
        <v>Casa de Reposo Brisas</v>
      </c>
      <c r="D24" s="19" t="str">
        <f>IFERROR(INDEX('Detalles movimientos'!E$5:E$1004, MATCH(12, 'Detalles movimientos'!$T$5:$T$1004, 0)), "")</f>
        <v>VJYL61</v>
      </c>
      <c r="E24" s="19" t="str">
        <f>IFERROR(INDEX('Detalles movimientos'!F$5:F$1004, MATCH(12, 'Detalles movimientos'!$T$5:$T$1004, 0)), "")</f>
        <v>CJ</v>
      </c>
      <c r="F24" s="18" t="str">
        <f>IFERROR(INDEX('Detalles movimientos'!G$5:G$1004, MATCH(12, 'Detalles movimientos'!$T$5:$T$1004, 0)), "")</f>
        <v>Brisas del raco parcela 36 Pirque</v>
      </c>
      <c r="G24" s="20">
        <f>IFERROR(INDEX('Detalles movimientos'!H$5:H$1004, MATCH(12, 'Detalles movimientos'!$T$5:$T$1004, 0)), "")</f>
        <v>1100</v>
      </c>
      <c r="H24" s="21">
        <f>IFERROR(INDEX('Detalles movimientos'!I$5:I$1004, MATCH(12, 'Detalles movimientos'!$T$5:$T$1004, 0)), "")</f>
        <v>270</v>
      </c>
      <c r="I24" s="20">
        <f>IFERROR(INDEX('Detalles movimientos'!M$5:M$1004, MATCH(12, 'Detalles movimientos'!$T$5:$T$1004, 0)), "")</f>
        <v>297000</v>
      </c>
      <c r="J24" s="19" t="str">
        <f>IFERROR(INDEX('Detalles movimientos'!N$5:N$1004, MATCH(12, 'Detalles movimientos'!$T$5:$T$1004, 0)), "")</f>
        <v>Transferencia</v>
      </c>
      <c r="K24" s="20">
        <f>IFERROR(INDEX('Detalles movimientos'!O$5:O$1004, MATCH(12, 'Detalles movimientos'!$T$5:$T$1004, 0)), "")</f>
        <v>54000</v>
      </c>
      <c r="L24" s="18" t="str">
        <f>IFERROR(INDEX('Detalles movimientos'!P$5:P$1004, MATCH(12, 'Detalles movimientos'!$T$5:$T$1004, 0)), "")</f>
        <v>Factura</v>
      </c>
      <c r="M24" s="18" t="str">
        <f>IFERROR(INDEX('Detalles movimientos'!S$5:S$1004, MATCH(12, 'Detalles movimientos'!$T$5:$T$1004, 0)), "")</f>
        <v>Residencia Adulto Mayor Amor Eterno SpA - Rut 76.699.397-4 - Los Almendros Parcela2B Pirque</v>
      </c>
    </row>
    <row r="25" spans="2:13">
      <c r="B25" s="17">
        <f>IFERROR(INDEX('Detalles movimientos'!C$5:C$1004, MATCH(13, 'Detalles movimientos'!$T$5:$T$1004, 0)), "")</f>
        <v>46245</v>
      </c>
      <c r="C25" s="18" t="str">
        <f>IFERROR(INDEX('Detalles movimientos'!D$5:D$1004, MATCH(13, 'Detalles movimientos'!$T$5:$T$1004, 0)), "")</f>
        <v>Eli Ciao Italia</v>
      </c>
      <c r="D25" s="19" t="str">
        <f>IFERROR(INDEX('Detalles movimientos'!E$5:E$1004, MATCH(13, 'Detalles movimientos'!$T$5:$T$1004, 0)), "")</f>
        <v>VJYL61</v>
      </c>
      <c r="E25" s="19" t="str">
        <f>IFERROR(INDEX('Detalles movimientos'!F$5:F$1004, MATCH(13, 'Detalles movimientos'!$T$5:$T$1004, 0)), "")</f>
        <v>CJ</v>
      </c>
      <c r="F25" s="18" t="str">
        <f>IFERROR(INDEX('Detalles movimientos'!G$5:G$1004, MATCH(13, 'Detalles movimientos'!$T$5:$T$1004, 0)), "")</f>
        <v>Camino rinconada san Vicente parcela 38</v>
      </c>
      <c r="G25" s="20">
        <f>IFERROR(INDEX('Detalles movimientos'!H$5:H$1004, MATCH(13, 'Detalles movimientos'!$T$5:$T$1004, 0)), "")</f>
        <v>1100</v>
      </c>
      <c r="H25" s="21">
        <f>IFERROR(INDEX('Detalles movimientos'!I$5:I$1004, MATCH(13, 'Detalles movimientos'!$T$5:$T$1004, 0)), "")</f>
        <v>404</v>
      </c>
      <c r="I25" s="20">
        <f>IFERROR(INDEX('Detalles movimientos'!M$5:M$1004, MATCH(13, 'Detalles movimientos'!$T$5:$T$1004, 0)), "")</f>
        <v>444400</v>
      </c>
      <c r="J25" s="19" t="str">
        <f>IFERROR(INDEX('Detalles movimientos'!N$5:N$1004, MATCH(13, 'Detalles movimientos'!$T$5:$T$1004, 0)), "")</f>
        <v>Transferencia</v>
      </c>
      <c r="K25" s="20">
        <f>IFERROR(INDEX('Detalles movimientos'!O$5:O$1004, MATCH(13, 'Detalles movimientos'!$T$5:$T$1004, 0)), "")</f>
        <v>80800</v>
      </c>
      <c r="L25" s="18">
        <f>IFERROR(INDEX('Detalles movimientos'!P$5:P$1004, MATCH(13, 'Detalles movimientos'!$T$5:$T$1004, 0)), "")</f>
        <v>0</v>
      </c>
      <c r="M25" s="18">
        <f>IFERROR(INDEX('Detalles movimientos'!S$5:S$1004, MATCH(13, 'Detalles movimientos'!$T$5:$T$1004, 0)), "")</f>
        <v>0</v>
      </c>
    </row>
    <row r="26" spans="2:13">
      <c r="B26" s="17">
        <f>IFERROR(INDEX('Detalles movimientos'!C$5:C$1004, MATCH(14, 'Detalles movimientos'!$T$5:$T$1004, 0)), "")</f>
        <v>46245</v>
      </c>
      <c r="C26" s="18" t="str">
        <f>IFERROR(INDEX('Detalles movimientos'!D$5:D$1004, MATCH(14, 'Detalles movimientos'!$T$5:$T$1004, 0)), "")</f>
        <v>Javier Quiroz</v>
      </c>
      <c r="D26" s="19" t="str">
        <f>IFERROR(INDEX('Detalles movimientos'!E$5:E$1004, MATCH(14, 'Detalles movimientos'!$T$5:$T$1004, 0)), "")</f>
        <v>VJYL61</v>
      </c>
      <c r="E26" s="19" t="str">
        <f>IFERROR(INDEX('Detalles movimientos'!F$5:F$1004, MATCH(14, 'Detalles movimientos'!$T$5:$T$1004, 0)), "")</f>
        <v>CJ</v>
      </c>
      <c r="F26" s="18" t="str">
        <f>IFERROR(INDEX('Detalles movimientos'!G$5:G$1004, MATCH(14, 'Detalles movimientos'!$T$5:$T$1004, 0)), "")</f>
        <v>Condominio majadas C parcela 5</v>
      </c>
      <c r="G26" s="20">
        <f>IFERROR(INDEX('Detalles movimientos'!H$5:H$1004, MATCH(14, 'Detalles movimientos'!$T$5:$T$1004, 0)), "")</f>
        <v>1100</v>
      </c>
      <c r="H26" s="21">
        <f>IFERROR(INDEX('Detalles movimientos'!I$5:I$1004, MATCH(14, 'Detalles movimientos'!$T$5:$T$1004, 0)), "")</f>
        <v>509</v>
      </c>
      <c r="I26" s="20">
        <f>IFERROR(INDEX('Detalles movimientos'!M$5:M$1004, MATCH(14, 'Detalles movimientos'!$T$5:$T$1004, 0)), "")</f>
        <v>559900</v>
      </c>
      <c r="J26" s="19" t="str">
        <f>IFERROR(INDEX('Detalles movimientos'!N$5:N$1004, MATCH(14, 'Detalles movimientos'!$T$5:$T$1004, 0)), "")</f>
        <v>Transferencia</v>
      </c>
      <c r="K26" s="20">
        <f>IFERROR(INDEX('Detalles movimientos'!O$5:O$1004, MATCH(14, 'Detalles movimientos'!$T$5:$T$1004, 0)), "")</f>
        <v>101800</v>
      </c>
      <c r="L26" s="18">
        <f>IFERROR(INDEX('Detalles movimientos'!P$5:P$1004, MATCH(14, 'Detalles movimientos'!$T$5:$T$1004, 0)), "")</f>
        <v>0</v>
      </c>
      <c r="M26" s="18">
        <f>IFERROR(INDEX('Detalles movimientos'!S$5:S$1004, MATCH(14, 'Detalles movimientos'!$T$5:$T$1004, 0)), "")</f>
        <v>0</v>
      </c>
    </row>
    <row r="27" spans="2:13">
      <c r="B27" s="17">
        <f>IFERROR(INDEX('Detalles movimientos'!C$5:C$1004, MATCH(15, 'Detalles movimientos'!$T$5:$T$1004, 0)), "")</f>
        <v>46254</v>
      </c>
      <c r="C27" s="18" t="str">
        <f>IFERROR(INDEX('Detalles movimientos'!D$5:D$1004, MATCH(15, 'Detalles movimientos'!$T$5:$T$1004, 0)), "")</f>
        <v>Bar Barrio Alto</v>
      </c>
      <c r="D27" s="19" t="str">
        <f>IFERROR(INDEX('Detalles movimientos'!E$5:E$1004, MATCH(15, 'Detalles movimientos'!$T$5:$T$1004, 0)), "")</f>
        <v>VJYL61</v>
      </c>
      <c r="E27" s="19" t="str">
        <f>IFERROR(INDEX('Detalles movimientos'!F$5:F$1004, MATCH(15, 'Detalles movimientos'!$T$5:$T$1004, 0)), "")</f>
        <v>CJ</v>
      </c>
      <c r="F27" s="18" t="str">
        <f>IFERROR(INDEX('Detalles movimientos'!G$5:G$1004, MATCH(15, 'Detalles movimientos'!$T$5:$T$1004, 0)), "")</f>
        <v>El Peñón 335 Puente Alto</v>
      </c>
      <c r="G27" s="20">
        <f>IFERROR(INDEX('Detalles movimientos'!H$5:H$1004, MATCH(15, 'Detalles movimientos'!$T$5:$T$1004, 0)), "")</f>
        <v>1000</v>
      </c>
      <c r="H27" s="21">
        <f>IFERROR(INDEX('Detalles movimientos'!I$5:I$1004, MATCH(15, 'Detalles movimientos'!$T$5:$T$1004, 0)), "")</f>
        <v>294</v>
      </c>
      <c r="I27" s="20">
        <f>IFERROR(INDEX('Detalles movimientos'!M$5:M$1004, MATCH(15, 'Detalles movimientos'!$T$5:$T$1004, 0)), "")</f>
        <v>294000</v>
      </c>
      <c r="J27" s="19" t="str">
        <f>IFERROR(INDEX('Detalles movimientos'!N$5:N$1004, MATCH(15, 'Detalles movimientos'!$T$5:$T$1004, 0)), "")</f>
        <v>Transferencia dos</v>
      </c>
      <c r="K27" s="20">
        <f>IFERROR(INDEX('Detalles movimientos'!O$5:O$1004, MATCH(15, 'Detalles movimientos'!$T$5:$T$1004, 0)), "")</f>
        <v>58800</v>
      </c>
      <c r="L27" s="18" t="str">
        <f>IFERROR(INDEX('Detalles movimientos'!P$5:P$1004, MATCH(15, 'Detalles movimientos'!$T$5:$T$1004, 0)), "")</f>
        <v>Factura</v>
      </c>
      <c r="M27" s="18" t="str">
        <f>IFERROR(INDEX('Detalles movimientos'!S$5:S$1004, MATCH(15, 'Detalles movimientos'!$T$5:$T$1004, 0)), "")</f>
        <v>Centro de eventos Barrio Alto SpA - RUT 78.467.844-K - EL PENON CHICO 0335 PUENTE ALTO</v>
      </c>
    </row>
    <row r="28" spans="2:13">
      <c r="B28" s="17">
        <f>IFERROR(INDEX('Detalles movimientos'!C$5:C$1004, MATCH(16, 'Detalles movimientos'!$T$5:$T$1004, 0)), "")</f>
        <v>46254</v>
      </c>
      <c r="C28" s="18" t="str">
        <f>IFERROR(INDEX('Detalles movimientos'!D$5:D$1004, MATCH(16, 'Detalles movimientos'!$T$5:$T$1004, 0)), "")</f>
        <v>BAR Tirua</v>
      </c>
      <c r="D28" s="19" t="str">
        <f>IFERROR(INDEX('Detalles movimientos'!E$5:E$1004, MATCH(16, 'Detalles movimientos'!$T$5:$T$1004, 0)), "")</f>
        <v>VJYL61</v>
      </c>
      <c r="E28" s="19" t="str">
        <f>IFERROR(INDEX('Detalles movimientos'!F$5:F$1004, MATCH(16, 'Detalles movimientos'!$T$5:$T$1004, 0)), "")</f>
        <v>CJ</v>
      </c>
      <c r="F28" s="18" t="str">
        <f>IFERROR(INDEX('Detalles movimientos'!G$5:G$1004, MATCH(16, 'Detalles movimientos'!$T$5:$T$1004, 0)), "")</f>
        <v>Pirque</v>
      </c>
      <c r="G28" s="20">
        <f>IFERROR(INDEX('Detalles movimientos'!H$5:H$1004, MATCH(16, 'Detalles movimientos'!$T$5:$T$1004, 0)), "")</f>
        <v>1100</v>
      </c>
      <c r="H28" s="21">
        <f>IFERROR(INDEX('Detalles movimientos'!I$5:I$1004, MATCH(16, 'Detalles movimientos'!$T$5:$T$1004, 0)), "")</f>
        <v>500</v>
      </c>
      <c r="I28" s="20">
        <f>IFERROR(INDEX('Detalles movimientos'!M$5:M$1004, MATCH(16, 'Detalles movimientos'!$T$5:$T$1004, 0)), "")</f>
        <v>550000</v>
      </c>
      <c r="J28" s="19" t="str">
        <f>IFERROR(INDEX('Detalles movimientos'!N$5:N$1004, MATCH(16, 'Detalles movimientos'!$T$5:$T$1004, 0)), "")</f>
        <v>Pendiente de pago</v>
      </c>
      <c r="K28" s="20">
        <f>IFERROR(INDEX('Detalles movimientos'!O$5:O$1004, MATCH(16, 'Detalles movimientos'!$T$5:$T$1004, 0)), "")</f>
        <v>100000</v>
      </c>
      <c r="L28" s="18">
        <f>IFERROR(INDEX('Detalles movimientos'!P$5:P$1004, MATCH(16, 'Detalles movimientos'!$T$5:$T$1004, 0)), "")</f>
        <v>0</v>
      </c>
      <c r="M28" s="18">
        <f>IFERROR(INDEX('Detalles movimientos'!S$5:S$1004, MATCH(16, 'Detalles movimientos'!$T$5:$T$1004, 0)), "")</f>
        <v>0</v>
      </c>
    </row>
    <row r="29" spans="2:13">
      <c r="B29" s="17">
        <f>IFERROR(INDEX('Detalles movimientos'!C$5:C$1004, MATCH(17, 'Detalles movimientos'!$T$5:$T$1004, 0)), "")</f>
        <v>46261</v>
      </c>
      <c r="C29" s="18" t="str">
        <f>IFERROR(INDEX('Detalles movimientos'!D$5:D$1004, MATCH(17, 'Detalles movimientos'!$T$5:$T$1004, 0)), "")</f>
        <v>El Toro Manso</v>
      </c>
      <c r="D29" s="19" t="str">
        <f>IFERROR(INDEX('Detalles movimientos'!E$5:E$1004, MATCH(17, 'Detalles movimientos'!$T$5:$T$1004, 0)), "")</f>
        <v>VJYL61</v>
      </c>
      <c r="E29" s="19" t="str">
        <f>IFERROR(INDEX('Detalles movimientos'!F$5:F$1004, MATCH(17, 'Detalles movimientos'!$T$5:$T$1004, 0)), "")</f>
        <v>CJ</v>
      </c>
      <c r="F29" s="18" t="str">
        <f>IFERROR(INDEX('Detalles movimientos'!G$5:G$1004, MATCH(17, 'Detalles movimientos'!$T$5:$T$1004, 0)), "")</f>
        <v>Virginia Subercaso Pirque</v>
      </c>
      <c r="G29" s="20">
        <f>IFERROR(INDEX('Detalles movimientos'!H$5:H$1004, MATCH(17, 'Detalles movimientos'!$T$5:$T$1004, 0)), "")</f>
        <v>1000</v>
      </c>
      <c r="H29" s="21">
        <f>IFERROR(INDEX('Detalles movimientos'!I$5:I$1004, MATCH(17, 'Detalles movimientos'!$T$5:$T$1004, 0)), "")</f>
        <v>300</v>
      </c>
      <c r="I29" s="20">
        <f>IFERROR(INDEX('Detalles movimientos'!M$5:M$1004, MATCH(17, 'Detalles movimientos'!$T$5:$T$1004, 0)), "")</f>
        <v>300000</v>
      </c>
      <c r="J29" s="19" t="str">
        <f>IFERROR(INDEX('Detalles movimientos'!N$5:N$1004, MATCH(17, 'Detalles movimientos'!$T$5:$T$1004, 0)), "")</f>
        <v>Transferencia</v>
      </c>
      <c r="K29" s="20">
        <f>IFERROR(INDEX('Detalles movimientos'!O$5:O$1004, MATCH(17, 'Detalles movimientos'!$T$5:$T$1004, 0)), "")</f>
        <v>60000</v>
      </c>
      <c r="L29" s="18">
        <f>IFERROR(INDEX('Detalles movimientos'!P$5:P$1004, MATCH(17, 'Detalles movimientos'!$T$5:$T$1004, 0)), "")</f>
        <v>0</v>
      </c>
      <c r="M29" s="18">
        <f>IFERROR(INDEX('Detalles movimientos'!S$5:S$1004, MATCH(17, 'Detalles movimientos'!$T$5:$T$1004, 0)), "")</f>
        <v>0</v>
      </c>
    </row>
    <row r="30" spans="2:13">
      <c r="B30" s="17" t="str">
        <f>IFERROR(INDEX('Detalles movimientos'!C$5:C$1004, MATCH(18, 'Detalles movimientos'!$T$5:$T$1004, 0)), "")</f>
        <v/>
      </c>
      <c r="C30" s="18" t="str">
        <f>IFERROR(INDEX('Detalles movimientos'!D$5:D$1004, MATCH(18, 'Detalles movimientos'!$T$5:$T$1004, 0)), "")</f>
        <v/>
      </c>
      <c r="D30" s="19" t="str">
        <f>IFERROR(INDEX('Detalles movimientos'!E$5:E$1004, MATCH(18, 'Detalles movimientos'!$T$5:$T$1004, 0)), "")</f>
        <v/>
      </c>
      <c r="E30" s="19" t="str">
        <f>IFERROR(INDEX('Detalles movimientos'!F$5:F$1004, MATCH(18, 'Detalles movimientos'!$T$5:$T$1004, 0)), "")</f>
        <v/>
      </c>
      <c r="F30" s="18" t="str">
        <f>IFERROR(INDEX('Detalles movimientos'!G$5:G$1004, MATCH(18, 'Detalles movimientos'!$T$5:$T$1004, 0)), "")</f>
        <v/>
      </c>
      <c r="G30" s="20" t="str">
        <f>IFERROR(INDEX('Detalles movimientos'!H$5:H$1004, MATCH(18, 'Detalles movimientos'!$T$5:$T$1004, 0)), "")</f>
        <v/>
      </c>
      <c r="H30" s="21" t="str">
        <f>IFERROR(INDEX('Detalles movimientos'!I$5:I$1004, MATCH(18, 'Detalles movimientos'!$T$5:$T$1004, 0)), "")</f>
        <v/>
      </c>
      <c r="I30" s="20" t="str">
        <f>IFERROR(INDEX('Detalles movimientos'!M$5:M$1004, MATCH(18, 'Detalles movimientos'!$T$5:$T$1004, 0)), "")</f>
        <v/>
      </c>
      <c r="J30" s="19" t="str">
        <f>IFERROR(INDEX('Detalles movimientos'!N$5:N$1004, MATCH(18, 'Detalles movimientos'!$T$5:$T$1004, 0)), "")</f>
        <v/>
      </c>
      <c r="K30" s="20" t="str">
        <f>IFERROR(INDEX('Detalles movimientos'!O$5:O$1004, MATCH(18, 'Detalles movimientos'!$T$5:$T$1004, 0)), "")</f>
        <v/>
      </c>
      <c r="L30" s="18" t="str">
        <f>IFERROR(INDEX('Detalles movimientos'!P$5:P$1004, MATCH(18, 'Detalles movimientos'!$T$5:$T$1004, 0)), "")</f>
        <v/>
      </c>
      <c r="M30" s="18" t="str">
        <f>IFERROR(INDEX('Detalles movimientos'!S$5:S$1004, MATCH(18, 'Detalles movimientos'!$T$5:$T$1004, 0)), "")</f>
        <v/>
      </c>
    </row>
    <row r="31" spans="2:13">
      <c r="B31" s="17" t="str">
        <f>IFERROR(INDEX('Detalles movimientos'!C$5:C$1004, MATCH(19, 'Detalles movimientos'!$T$5:$T$1004, 0)), "")</f>
        <v/>
      </c>
      <c r="C31" s="18" t="str">
        <f>IFERROR(INDEX('Detalles movimientos'!D$5:D$1004, MATCH(19, 'Detalles movimientos'!$T$5:$T$1004, 0)), "")</f>
        <v/>
      </c>
      <c r="D31" s="19" t="str">
        <f>IFERROR(INDEX('Detalles movimientos'!E$5:E$1004, MATCH(19, 'Detalles movimientos'!$T$5:$T$1004, 0)), "")</f>
        <v/>
      </c>
      <c r="E31" s="19" t="str">
        <f>IFERROR(INDEX('Detalles movimientos'!F$5:F$1004, MATCH(19, 'Detalles movimientos'!$T$5:$T$1004, 0)), "")</f>
        <v/>
      </c>
      <c r="F31" s="18" t="str">
        <f>IFERROR(INDEX('Detalles movimientos'!G$5:G$1004, MATCH(19, 'Detalles movimientos'!$T$5:$T$1004, 0)), "")</f>
        <v/>
      </c>
      <c r="G31" s="20" t="str">
        <f>IFERROR(INDEX('Detalles movimientos'!H$5:H$1004, MATCH(19, 'Detalles movimientos'!$T$5:$T$1004, 0)), "")</f>
        <v/>
      </c>
      <c r="H31" s="21" t="str">
        <f>IFERROR(INDEX('Detalles movimientos'!I$5:I$1004, MATCH(19, 'Detalles movimientos'!$T$5:$T$1004, 0)), "")</f>
        <v/>
      </c>
      <c r="I31" s="20" t="str">
        <f>IFERROR(INDEX('Detalles movimientos'!M$5:M$1004, MATCH(19, 'Detalles movimientos'!$T$5:$T$1004, 0)), "")</f>
        <v/>
      </c>
      <c r="J31" s="19" t="str">
        <f>IFERROR(INDEX('Detalles movimientos'!N$5:N$1004, MATCH(19, 'Detalles movimientos'!$T$5:$T$1004, 0)), "")</f>
        <v/>
      </c>
      <c r="K31" s="20" t="str">
        <f>IFERROR(INDEX('Detalles movimientos'!O$5:O$1004, MATCH(19, 'Detalles movimientos'!$T$5:$T$1004, 0)), "")</f>
        <v/>
      </c>
      <c r="L31" s="18" t="str">
        <f>IFERROR(INDEX('Detalles movimientos'!P$5:P$1004, MATCH(19, 'Detalles movimientos'!$T$5:$T$1004, 0)), "")</f>
        <v/>
      </c>
      <c r="M31" s="18" t="str">
        <f>IFERROR(INDEX('Detalles movimientos'!S$5:S$1004, MATCH(19, 'Detalles movimientos'!$T$5:$T$1004, 0)), "")</f>
        <v/>
      </c>
    </row>
    <row r="32" spans="2:13">
      <c r="B32" s="17" t="str">
        <f>IFERROR(INDEX('Detalles movimientos'!C$5:C$1004, MATCH(20, 'Detalles movimientos'!$T$5:$T$1004, 0)), "")</f>
        <v/>
      </c>
      <c r="C32" s="18" t="str">
        <f>IFERROR(INDEX('Detalles movimientos'!D$5:D$1004, MATCH(20, 'Detalles movimientos'!$T$5:$T$1004, 0)), "")</f>
        <v/>
      </c>
      <c r="D32" s="19" t="str">
        <f>IFERROR(INDEX('Detalles movimientos'!E$5:E$1004, MATCH(20, 'Detalles movimientos'!$T$5:$T$1004, 0)), "")</f>
        <v/>
      </c>
      <c r="E32" s="19" t="str">
        <f>IFERROR(INDEX('Detalles movimientos'!F$5:F$1004, MATCH(20, 'Detalles movimientos'!$T$5:$T$1004, 0)), "")</f>
        <v/>
      </c>
      <c r="F32" s="18" t="str">
        <f>IFERROR(INDEX('Detalles movimientos'!G$5:G$1004, MATCH(20, 'Detalles movimientos'!$T$5:$T$1004, 0)), "")</f>
        <v/>
      </c>
      <c r="G32" s="20" t="str">
        <f>IFERROR(INDEX('Detalles movimientos'!H$5:H$1004, MATCH(20, 'Detalles movimientos'!$T$5:$T$1004, 0)), "")</f>
        <v/>
      </c>
      <c r="H32" s="21" t="str">
        <f>IFERROR(INDEX('Detalles movimientos'!I$5:I$1004, MATCH(20, 'Detalles movimientos'!$T$5:$T$1004, 0)), "")</f>
        <v/>
      </c>
      <c r="I32" s="20" t="str">
        <f>IFERROR(INDEX('Detalles movimientos'!M$5:M$1004, MATCH(20, 'Detalles movimientos'!$T$5:$T$1004, 0)), "")</f>
        <v/>
      </c>
      <c r="J32" s="19" t="str">
        <f>IFERROR(INDEX('Detalles movimientos'!N$5:N$1004, MATCH(20, 'Detalles movimientos'!$T$5:$T$1004, 0)), "")</f>
        <v/>
      </c>
      <c r="K32" s="20" t="str">
        <f>IFERROR(INDEX('Detalles movimientos'!O$5:O$1004, MATCH(20, 'Detalles movimientos'!$T$5:$T$1004, 0)), "")</f>
        <v/>
      </c>
      <c r="L32" s="18" t="str">
        <f>IFERROR(INDEX('Detalles movimientos'!P$5:P$1004, MATCH(20, 'Detalles movimientos'!$T$5:$T$1004, 0)), "")</f>
        <v/>
      </c>
      <c r="M32" s="18" t="str">
        <f>IFERROR(INDEX('Detalles movimientos'!S$5:S$1004, MATCH(20, 'Detalles movimientos'!$T$5:$T$1004, 0)), "")</f>
        <v/>
      </c>
    </row>
    <row r="33" spans="2:13">
      <c r="B33" s="17" t="str">
        <f>IFERROR(INDEX('Detalles movimientos'!C$5:C$1004, MATCH(21, 'Detalles movimientos'!$T$5:$T$1004, 0)), "")</f>
        <v/>
      </c>
      <c r="C33" s="18" t="str">
        <f>IFERROR(INDEX('Detalles movimientos'!D$5:D$1004, MATCH(21, 'Detalles movimientos'!$T$5:$T$1004, 0)), "")</f>
        <v/>
      </c>
      <c r="D33" s="19" t="str">
        <f>IFERROR(INDEX('Detalles movimientos'!E$5:E$1004, MATCH(21, 'Detalles movimientos'!$T$5:$T$1004, 0)), "")</f>
        <v/>
      </c>
      <c r="E33" s="19" t="str">
        <f>IFERROR(INDEX('Detalles movimientos'!F$5:F$1004, MATCH(21, 'Detalles movimientos'!$T$5:$T$1004, 0)), "")</f>
        <v/>
      </c>
      <c r="F33" s="18" t="str">
        <f>IFERROR(INDEX('Detalles movimientos'!G$5:G$1004, MATCH(21, 'Detalles movimientos'!$T$5:$T$1004, 0)), "")</f>
        <v/>
      </c>
      <c r="G33" s="20" t="str">
        <f>IFERROR(INDEX('Detalles movimientos'!H$5:H$1004, MATCH(21, 'Detalles movimientos'!$T$5:$T$1004, 0)), "")</f>
        <v/>
      </c>
      <c r="H33" s="21" t="str">
        <f>IFERROR(INDEX('Detalles movimientos'!I$5:I$1004, MATCH(21, 'Detalles movimientos'!$T$5:$T$1004, 0)), "")</f>
        <v/>
      </c>
      <c r="I33" s="20" t="str">
        <f>IFERROR(INDEX('Detalles movimientos'!M$5:M$1004, MATCH(21, 'Detalles movimientos'!$T$5:$T$1004, 0)), "")</f>
        <v/>
      </c>
      <c r="J33" s="19" t="str">
        <f>IFERROR(INDEX('Detalles movimientos'!N$5:N$1004, MATCH(21, 'Detalles movimientos'!$T$5:$T$1004, 0)), "")</f>
        <v/>
      </c>
      <c r="K33" s="20" t="str">
        <f>IFERROR(INDEX('Detalles movimientos'!O$5:O$1004, MATCH(21, 'Detalles movimientos'!$T$5:$T$1004, 0)), "")</f>
        <v/>
      </c>
      <c r="L33" s="18" t="str">
        <f>IFERROR(INDEX('Detalles movimientos'!P$5:P$1004, MATCH(21, 'Detalles movimientos'!$T$5:$T$1004, 0)), "")</f>
        <v/>
      </c>
      <c r="M33" s="18" t="str">
        <f>IFERROR(INDEX('Detalles movimientos'!S$5:S$1004, MATCH(21, 'Detalles movimientos'!$T$5:$T$1004, 0)), "")</f>
        <v/>
      </c>
    </row>
    <row r="34" spans="2:13">
      <c r="B34" s="17" t="str">
        <f>IFERROR(INDEX('Detalles movimientos'!C$5:C$1004, MATCH(22, 'Detalles movimientos'!$T$5:$T$1004, 0)), "")</f>
        <v/>
      </c>
      <c r="C34" s="18" t="str">
        <f>IFERROR(INDEX('Detalles movimientos'!D$5:D$1004, MATCH(22, 'Detalles movimientos'!$T$5:$T$1004, 0)), "")</f>
        <v/>
      </c>
      <c r="D34" s="19" t="str">
        <f>IFERROR(INDEX('Detalles movimientos'!E$5:E$1004, MATCH(22, 'Detalles movimientos'!$T$5:$T$1004, 0)), "")</f>
        <v/>
      </c>
      <c r="E34" s="19" t="str">
        <f>IFERROR(INDEX('Detalles movimientos'!F$5:F$1004, MATCH(22, 'Detalles movimientos'!$T$5:$T$1004, 0)), "")</f>
        <v/>
      </c>
      <c r="F34" s="18" t="str">
        <f>IFERROR(INDEX('Detalles movimientos'!G$5:G$1004, MATCH(22, 'Detalles movimientos'!$T$5:$T$1004, 0)), "")</f>
        <v/>
      </c>
      <c r="G34" s="20" t="str">
        <f>IFERROR(INDEX('Detalles movimientos'!H$5:H$1004, MATCH(22, 'Detalles movimientos'!$T$5:$T$1004, 0)), "")</f>
        <v/>
      </c>
      <c r="H34" s="21" t="str">
        <f>IFERROR(INDEX('Detalles movimientos'!I$5:I$1004, MATCH(22, 'Detalles movimientos'!$T$5:$T$1004, 0)), "")</f>
        <v/>
      </c>
      <c r="I34" s="20" t="str">
        <f>IFERROR(INDEX('Detalles movimientos'!M$5:M$1004, MATCH(22, 'Detalles movimientos'!$T$5:$T$1004, 0)), "")</f>
        <v/>
      </c>
      <c r="J34" s="19" t="str">
        <f>IFERROR(INDEX('Detalles movimientos'!N$5:N$1004, MATCH(22, 'Detalles movimientos'!$T$5:$T$1004, 0)), "")</f>
        <v/>
      </c>
      <c r="K34" s="20" t="str">
        <f>IFERROR(INDEX('Detalles movimientos'!O$5:O$1004, MATCH(22, 'Detalles movimientos'!$T$5:$T$1004, 0)), "")</f>
        <v/>
      </c>
      <c r="L34" s="18" t="str">
        <f>IFERROR(INDEX('Detalles movimientos'!P$5:P$1004, MATCH(22, 'Detalles movimientos'!$T$5:$T$1004, 0)), "")</f>
        <v/>
      </c>
      <c r="M34" s="18" t="str">
        <f>IFERROR(INDEX('Detalles movimientos'!S$5:S$1004, MATCH(22, 'Detalles movimientos'!$T$5:$T$1004, 0)), "")</f>
        <v/>
      </c>
    </row>
    <row r="35" spans="2:13">
      <c r="B35" s="17" t="str">
        <f>IFERROR(INDEX('Detalles movimientos'!C$5:C$1004, MATCH(23, 'Detalles movimientos'!$T$5:$T$1004, 0)), "")</f>
        <v/>
      </c>
      <c r="C35" s="18" t="str">
        <f>IFERROR(INDEX('Detalles movimientos'!D$5:D$1004, MATCH(23, 'Detalles movimientos'!$T$5:$T$1004, 0)), "")</f>
        <v/>
      </c>
      <c r="D35" s="19" t="str">
        <f>IFERROR(INDEX('Detalles movimientos'!E$5:E$1004, MATCH(23, 'Detalles movimientos'!$T$5:$T$1004, 0)), "")</f>
        <v/>
      </c>
      <c r="E35" s="19" t="str">
        <f>IFERROR(INDEX('Detalles movimientos'!F$5:F$1004, MATCH(23, 'Detalles movimientos'!$T$5:$T$1004, 0)), "")</f>
        <v/>
      </c>
      <c r="F35" s="18" t="str">
        <f>IFERROR(INDEX('Detalles movimientos'!G$5:G$1004, MATCH(23, 'Detalles movimientos'!$T$5:$T$1004, 0)), "")</f>
        <v/>
      </c>
      <c r="G35" s="20" t="str">
        <f>IFERROR(INDEX('Detalles movimientos'!H$5:H$1004, MATCH(23, 'Detalles movimientos'!$T$5:$T$1004, 0)), "")</f>
        <v/>
      </c>
      <c r="H35" s="21" t="str">
        <f>IFERROR(INDEX('Detalles movimientos'!I$5:I$1004, MATCH(23, 'Detalles movimientos'!$T$5:$T$1004, 0)), "")</f>
        <v/>
      </c>
      <c r="I35" s="20" t="str">
        <f>IFERROR(INDEX('Detalles movimientos'!M$5:M$1004, MATCH(23, 'Detalles movimientos'!$T$5:$T$1004, 0)), "")</f>
        <v/>
      </c>
      <c r="J35" s="19" t="str">
        <f>IFERROR(INDEX('Detalles movimientos'!N$5:N$1004, MATCH(23, 'Detalles movimientos'!$T$5:$T$1004, 0)), "")</f>
        <v/>
      </c>
      <c r="K35" s="20" t="str">
        <f>IFERROR(INDEX('Detalles movimientos'!O$5:O$1004, MATCH(23, 'Detalles movimientos'!$T$5:$T$1004, 0)), "")</f>
        <v/>
      </c>
      <c r="L35" s="18" t="str">
        <f>IFERROR(INDEX('Detalles movimientos'!P$5:P$1004, MATCH(23, 'Detalles movimientos'!$T$5:$T$1004, 0)), "")</f>
        <v/>
      </c>
      <c r="M35" s="18" t="str">
        <f>IFERROR(INDEX('Detalles movimientos'!S$5:S$1004, MATCH(23, 'Detalles movimientos'!$T$5:$T$1004, 0)), "")</f>
        <v/>
      </c>
    </row>
    <row r="36" spans="2:13">
      <c r="B36" s="17" t="str">
        <f>IFERROR(INDEX('Detalles movimientos'!C$5:C$1004, MATCH(24, 'Detalles movimientos'!$T$5:$T$1004, 0)), "")</f>
        <v/>
      </c>
      <c r="C36" s="18" t="str">
        <f>IFERROR(INDEX('Detalles movimientos'!D$5:D$1004, MATCH(24, 'Detalles movimientos'!$T$5:$T$1004, 0)), "")</f>
        <v/>
      </c>
      <c r="D36" s="19" t="str">
        <f>IFERROR(INDEX('Detalles movimientos'!E$5:E$1004, MATCH(24, 'Detalles movimientos'!$T$5:$T$1004, 0)), "")</f>
        <v/>
      </c>
      <c r="E36" s="19" t="str">
        <f>IFERROR(INDEX('Detalles movimientos'!F$5:F$1004, MATCH(24, 'Detalles movimientos'!$T$5:$T$1004, 0)), "")</f>
        <v/>
      </c>
      <c r="F36" s="18" t="str">
        <f>IFERROR(INDEX('Detalles movimientos'!G$5:G$1004, MATCH(24, 'Detalles movimientos'!$T$5:$T$1004, 0)), "")</f>
        <v/>
      </c>
      <c r="G36" s="20" t="str">
        <f>IFERROR(INDEX('Detalles movimientos'!H$5:H$1004, MATCH(24, 'Detalles movimientos'!$T$5:$T$1004, 0)), "")</f>
        <v/>
      </c>
      <c r="H36" s="21" t="str">
        <f>IFERROR(INDEX('Detalles movimientos'!I$5:I$1004, MATCH(24, 'Detalles movimientos'!$T$5:$T$1004, 0)), "")</f>
        <v/>
      </c>
      <c r="I36" s="20" t="str">
        <f>IFERROR(INDEX('Detalles movimientos'!M$5:M$1004, MATCH(24, 'Detalles movimientos'!$T$5:$T$1004, 0)), "")</f>
        <v/>
      </c>
      <c r="J36" s="19" t="str">
        <f>IFERROR(INDEX('Detalles movimientos'!N$5:N$1004, MATCH(24, 'Detalles movimientos'!$T$5:$T$1004, 0)), "")</f>
        <v/>
      </c>
      <c r="K36" s="20" t="str">
        <f>IFERROR(INDEX('Detalles movimientos'!O$5:O$1004, MATCH(24, 'Detalles movimientos'!$T$5:$T$1004, 0)), "")</f>
        <v/>
      </c>
      <c r="L36" s="18" t="str">
        <f>IFERROR(INDEX('Detalles movimientos'!P$5:P$1004, MATCH(24, 'Detalles movimientos'!$T$5:$T$1004, 0)), "")</f>
        <v/>
      </c>
      <c r="M36" s="18" t="str">
        <f>IFERROR(INDEX('Detalles movimientos'!S$5:S$1004, MATCH(24, 'Detalles movimientos'!$T$5:$T$1004, 0)), "")</f>
        <v/>
      </c>
    </row>
    <row r="37" spans="2:13">
      <c r="B37" s="17" t="str">
        <f>IFERROR(INDEX('Detalles movimientos'!C$5:C$1004, MATCH(25, 'Detalles movimientos'!$T$5:$T$1004, 0)), "")</f>
        <v/>
      </c>
      <c r="C37" s="18" t="str">
        <f>IFERROR(INDEX('Detalles movimientos'!D$5:D$1004, MATCH(25, 'Detalles movimientos'!$T$5:$T$1004, 0)), "")</f>
        <v/>
      </c>
      <c r="D37" s="19" t="str">
        <f>IFERROR(INDEX('Detalles movimientos'!E$5:E$1004, MATCH(25, 'Detalles movimientos'!$T$5:$T$1004, 0)), "")</f>
        <v/>
      </c>
      <c r="E37" s="19" t="str">
        <f>IFERROR(INDEX('Detalles movimientos'!F$5:F$1004, MATCH(25, 'Detalles movimientos'!$T$5:$T$1004, 0)), "")</f>
        <v/>
      </c>
      <c r="F37" s="18" t="str">
        <f>IFERROR(INDEX('Detalles movimientos'!G$5:G$1004, MATCH(25, 'Detalles movimientos'!$T$5:$T$1004, 0)), "")</f>
        <v/>
      </c>
      <c r="G37" s="20" t="str">
        <f>IFERROR(INDEX('Detalles movimientos'!H$5:H$1004, MATCH(25, 'Detalles movimientos'!$T$5:$T$1004, 0)), "")</f>
        <v/>
      </c>
      <c r="H37" s="21" t="str">
        <f>IFERROR(INDEX('Detalles movimientos'!I$5:I$1004, MATCH(25, 'Detalles movimientos'!$T$5:$T$1004, 0)), "")</f>
        <v/>
      </c>
      <c r="I37" s="20" t="str">
        <f>IFERROR(INDEX('Detalles movimientos'!M$5:M$1004, MATCH(25, 'Detalles movimientos'!$T$5:$T$1004, 0)), "")</f>
        <v/>
      </c>
      <c r="J37" s="19" t="str">
        <f>IFERROR(INDEX('Detalles movimientos'!N$5:N$1004, MATCH(25, 'Detalles movimientos'!$T$5:$T$1004, 0)), "")</f>
        <v/>
      </c>
      <c r="K37" s="20" t="str">
        <f>IFERROR(INDEX('Detalles movimientos'!O$5:O$1004, MATCH(25, 'Detalles movimientos'!$T$5:$T$1004, 0)), "")</f>
        <v/>
      </c>
      <c r="L37" s="18" t="str">
        <f>IFERROR(INDEX('Detalles movimientos'!P$5:P$1004, MATCH(25, 'Detalles movimientos'!$T$5:$T$1004, 0)), "")</f>
        <v/>
      </c>
      <c r="M37" s="18" t="str">
        <f>IFERROR(INDEX('Detalles movimientos'!S$5:S$1004, MATCH(25, 'Detalles movimientos'!$T$5:$T$1004, 0)), "")</f>
        <v/>
      </c>
    </row>
    <row r="38" spans="2:13">
      <c r="B38" s="17" t="str">
        <f>IFERROR(INDEX('Detalles movimientos'!C$5:C$1004, MATCH(26, 'Detalles movimientos'!$T$5:$T$1004, 0)), "")</f>
        <v/>
      </c>
      <c r="C38" s="18" t="str">
        <f>IFERROR(INDEX('Detalles movimientos'!D$5:D$1004, MATCH(26, 'Detalles movimientos'!$T$5:$T$1004, 0)), "")</f>
        <v/>
      </c>
      <c r="D38" s="19" t="str">
        <f>IFERROR(INDEX('Detalles movimientos'!E$5:E$1004, MATCH(26, 'Detalles movimientos'!$T$5:$T$1004, 0)), "")</f>
        <v/>
      </c>
      <c r="E38" s="19" t="str">
        <f>IFERROR(INDEX('Detalles movimientos'!F$5:F$1004, MATCH(26, 'Detalles movimientos'!$T$5:$T$1004, 0)), "")</f>
        <v/>
      </c>
      <c r="F38" s="18" t="str">
        <f>IFERROR(INDEX('Detalles movimientos'!G$5:G$1004, MATCH(26, 'Detalles movimientos'!$T$5:$T$1004, 0)), "")</f>
        <v/>
      </c>
      <c r="G38" s="20" t="str">
        <f>IFERROR(INDEX('Detalles movimientos'!H$5:H$1004, MATCH(26, 'Detalles movimientos'!$T$5:$T$1004, 0)), "")</f>
        <v/>
      </c>
      <c r="H38" s="21" t="str">
        <f>IFERROR(INDEX('Detalles movimientos'!I$5:I$1004, MATCH(26, 'Detalles movimientos'!$T$5:$T$1004, 0)), "")</f>
        <v/>
      </c>
      <c r="I38" s="20" t="str">
        <f>IFERROR(INDEX('Detalles movimientos'!M$5:M$1004, MATCH(26, 'Detalles movimientos'!$T$5:$T$1004, 0)), "")</f>
        <v/>
      </c>
      <c r="J38" s="19" t="str">
        <f>IFERROR(INDEX('Detalles movimientos'!N$5:N$1004, MATCH(26, 'Detalles movimientos'!$T$5:$T$1004, 0)), "")</f>
        <v/>
      </c>
      <c r="K38" s="20" t="str">
        <f>IFERROR(INDEX('Detalles movimientos'!O$5:O$1004, MATCH(26, 'Detalles movimientos'!$T$5:$T$1004, 0)), "")</f>
        <v/>
      </c>
      <c r="L38" s="18" t="str">
        <f>IFERROR(INDEX('Detalles movimientos'!P$5:P$1004, MATCH(26, 'Detalles movimientos'!$T$5:$T$1004, 0)), "")</f>
        <v/>
      </c>
      <c r="M38" s="18" t="str">
        <f>IFERROR(INDEX('Detalles movimientos'!S$5:S$1004, MATCH(26, 'Detalles movimientos'!$T$5:$T$1004, 0)), "")</f>
        <v/>
      </c>
    </row>
    <row r="39" spans="2:13">
      <c r="B39" s="17" t="str">
        <f>IFERROR(INDEX('Detalles movimientos'!C$5:C$1004, MATCH(27, 'Detalles movimientos'!$T$5:$T$1004, 0)), "")</f>
        <v/>
      </c>
      <c r="C39" s="18" t="str">
        <f>IFERROR(INDEX('Detalles movimientos'!D$5:D$1004, MATCH(27, 'Detalles movimientos'!$T$5:$T$1004, 0)), "")</f>
        <v/>
      </c>
      <c r="D39" s="19" t="str">
        <f>IFERROR(INDEX('Detalles movimientos'!E$5:E$1004, MATCH(27, 'Detalles movimientos'!$T$5:$T$1004, 0)), "")</f>
        <v/>
      </c>
      <c r="E39" s="19" t="str">
        <f>IFERROR(INDEX('Detalles movimientos'!F$5:F$1004, MATCH(27, 'Detalles movimientos'!$T$5:$T$1004, 0)), "")</f>
        <v/>
      </c>
      <c r="F39" s="18" t="str">
        <f>IFERROR(INDEX('Detalles movimientos'!G$5:G$1004, MATCH(27, 'Detalles movimientos'!$T$5:$T$1004, 0)), "")</f>
        <v/>
      </c>
      <c r="G39" s="20" t="str">
        <f>IFERROR(INDEX('Detalles movimientos'!H$5:H$1004, MATCH(27, 'Detalles movimientos'!$T$5:$T$1004, 0)), "")</f>
        <v/>
      </c>
      <c r="H39" s="21" t="str">
        <f>IFERROR(INDEX('Detalles movimientos'!I$5:I$1004, MATCH(27, 'Detalles movimientos'!$T$5:$T$1004, 0)), "")</f>
        <v/>
      </c>
      <c r="I39" s="20" t="str">
        <f>IFERROR(INDEX('Detalles movimientos'!M$5:M$1004, MATCH(27, 'Detalles movimientos'!$T$5:$T$1004, 0)), "")</f>
        <v/>
      </c>
      <c r="J39" s="19" t="str">
        <f>IFERROR(INDEX('Detalles movimientos'!N$5:N$1004, MATCH(27, 'Detalles movimientos'!$T$5:$T$1004, 0)), "")</f>
        <v/>
      </c>
      <c r="K39" s="20" t="str">
        <f>IFERROR(INDEX('Detalles movimientos'!O$5:O$1004, MATCH(27, 'Detalles movimientos'!$T$5:$T$1004, 0)), "")</f>
        <v/>
      </c>
      <c r="L39" s="18" t="str">
        <f>IFERROR(INDEX('Detalles movimientos'!P$5:P$1004, MATCH(27, 'Detalles movimientos'!$T$5:$T$1004, 0)), "")</f>
        <v/>
      </c>
      <c r="M39" s="18" t="str">
        <f>IFERROR(INDEX('Detalles movimientos'!S$5:S$1004, MATCH(27, 'Detalles movimientos'!$T$5:$T$1004, 0)), "")</f>
        <v/>
      </c>
    </row>
    <row r="40" spans="2:13">
      <c r="B40" s="17" t="str">
        <f>IFERROR(INDEX('Detalles movimientos'!C$5:C$1004, MATCH(28, 'Detalles movimientos'!$T$5:$T$1004, 0)), "")</f>
        <v/>
      </c>
      <c r="C40" s="18" t="str">
        <f>IFERROR(INDEX('Detalles movimientos'!D$5:D$1004, MATCH(28, 'Detalles movimientos'!$T$5:$T$1004, 0)), "")</f>
        <v/>
      </c>
      <c r="D40" s="19" t="str">
        <f>IFERROR(INDEX('Detalles movimientos'!E$5:E$1004, MATCH(28, 'Detalles movimientos'!$T$5:$T$1004, 0)), "")</f>
        <v/>
      </c>
      <c r="E40" s="19" t="str">
        <f>IFERROR(INDEX('Detalles movimientos'!F$5:F$1004, MATCH(28, 'Detalles movimientos'!$T$5:$T$1004, 0)), "")</f>
        <v/>
      </c>
      <c r="F40" s="18" t="str">
        <f>IFERROR(INDEX('Detalles movimientos'!G$5:G$1004, MATCH(28, 'Detalles movimientos'!$T$5:$T$1004, 0)), "")</f>
        <v/>
      </c>
      <c r="G40" s="20" t="str">
        <f>IFERROR(INDEX('Detalles movimientos'!H$5:H$1004, MATCH(28, 'Detalles movimientos'!$T$5:$T$1004, 0)), "")</f>
        <v/>
      </c>
      <c r="H40" s="21" t="str">
        <f>IFERROR(INDEX('Detalles movimientos'!I$5:I$1004, MATCH(28, 'Detalles movimientos'!$T$5:$T$1004, 0)), "")</f>
        <v/>
      </c>
      <c r="I40" s="20" t="str">
        <f>IFERROR(INDEX('Detalles movimientos'!M$5:M$1004, MATCH(28, 'Detalles movimientos'!$T$5:$T$1004, 0)), "")</f>
        <v/>
      </c>
      <c r="J40" s="19" t="str">
        <f>IFERROR(INDEX('Detalles movimientos'!N$5:N$1004, MATCH(28, 'Detalles movimientos'!$T$5:$T$1004, 0)), "")</f>
        <v/>
      </c>
      <c r="K40" s="20" t="str">
        <f>IFERROR(INDEX('Detalles movimientos'!O$5:O$1004, MATCH(28, 'Detalles movimientos'!$T$5:$T$1004, 0)), "")</f>
        <v/>
      </c>
      <c r="L40" s="18" t="str">
        <f>IFERROR(INDEX('Detalles movimientos'!P$5:P$1004, MATCH(28, 'Detalles movimientos'!$T$5:$T$1004, 0)), "")</f>
        <v/>
      </c>
      <c r="M40" s="18" t="str">
        <f>IFERROR(INDEX('Detalles movimientos'!S$5:S$1004, MATCH(28, 'Detalles movimientos'!$T$5:$T$1004, 0)), "")</f>
        <v/>
      </c>
    </row>
    <row r="41" spans="2:13">
      <c r="B41" s="17" t="str">
        <f>IFERROR(INDEX('Detalles movimientos'!C$5:C$1004, MATCH(29, 'Detalles movimientos'!$T$5:$T$1004, 0)), "")</f>
        <v/>
      </c>
      <c r="C41" s="18" t="str">
        <f>IFERROR(INDEX('Detalles movimientos'!D$5:D$1004, MATCH(29, 'Detalles movimientos'!$T$5:$T$1004, 0)), "")</f>
        <v/>
      </c>
      <c r="D41" s="19" t="str">
        <f>IFERROR(INDEX('Detalles movimientos'!E$5:E$1004, MATCH(29, 'Detalles movimientos'!$T$5:$T$1004, 0)), "")</f>
        <v/>
      </c>
      <c r="E41" s="19" t="str">
        <f>IFERROR(INDEX('Detalles movimientos'!F$5:F$1004, MATCH(29, 'Detalles movimientos'!$T$5:$T$1004, 0)), "")</f>
        <v/>
      </c>
      <c r="F41" s="18" t="str">
        <f>IFERROR(INDEX('Detalles movimientos'!G$5:G$1004, MATCH(29, 'Detalles movimientos'!$T$5:$T$1004, 0)), "")</f>
        <v/>
      </c>
      <c r="G41" s="20" t="str">
        <f>IFERROR(INDEX('Detalles movimientos'!H$5:H$1004, MATCH(29, 'Detalles movimientos'!$T$5:$T$1004, 0)), "")</f>
        <v/>
      </c>
      <c r="H41" s="21" t="str">
        <f>IFERROR(INDEX('Detalles movimientos'!I$5:I$1004, MATCH(29, 'Detalles movimientos'!$T$5:$T$1004, 0)), "")</f>
        <v/>
      </c>
      <c r="I41" s="20" t="str">
        <f>IFERROR(INDEX('Detalles movimientos'!M$5:M$1004, MATCH(29, 'Detalles movimientos'!$T$5:$T$1004, 0)), "")</f>
        <v/>
      </c>
      <c r="J41" s="19" t="str">
        <f>IFERROR(INDEX('Detalles movimientos'!N$5:N$1004, MATCH(29, 'Detalles movimientos'!$T$5:$T$1004, 0)), "")</f>
        <v/>
      </c>
      <c r="K41" s="20" t="str">
        <f>IFERROR(INDEX('Detalles movimientos'!O$5:O$1004, MATCH(29, 'Detalles movimientos'!$T$5:$T$1004, 0)), "")</f>
        <v/>
      </c>
      <c r="L41" s="18" t="str">
        <f>IFERROR(INDEX('Detalles movimientos'!P$5:P$1004, MATCH(29, 'Detalles movimientos'!$T$5:$T$1004, 0)), "")</f>
        <v/>
      </c>
      <c r="M41" s="18" t="str">
        <f>IFERROR(INDEX('Detalles movimientos'!S$5:S$1004, MATCH(29, 'Detalles movimientos'!$T$5:$T$1004, 0)), "")</f>
        <v/>
      </c>
    </row>
    <row r="42" spans="2:13">
      <c r="B42" s="17" t="str">
        <f>IFERROR(INDEX('Detalles movimientos'!C$5:C$1004, MATCH(30, 'Detalles movimientos'!$T$5:$T$1004, 0)), "")</f>
        <v/>
      </c>
      <c r="C42" s="18" t="str">
        <f>IFERROR(INDEX('Detalles movimientos'!D$5:D$1004, MATCH(30, 'Detalles movimientos'!$T$5:$T$1004, 0)), "")</f>
        <v/>
      </c>
      <c r="D42" s="19" t="str">
        <f>IFERROR(INDEX('Detalles movimientos'!E$5:E$1004, MATCH(30, 'Detalles movimientos'!$T$5:$T$1004, 0)), "")</f>
        <v/>
      </c>
      <c r="E42" s="19" t="str">
        <f>IFERROR(INDEX('Detalles movimientos'!F$5:F$1004, MATCH(30, 'Detalles movimientos'!$T$5:$T$1004, 0)), "")</f>
        <v/>
      </c>
      <c r="F42" s="18" t="str">
        <f>IFERROR(INDEX('Detalles movimientos'!G$5:G$1004, MATCH(30, 'Detalles movimientos'!$T$5:$T$1004, 0)), "")</f>
        <v/>
      </c>
      <c r="G42" s="20" t="str">
        <f>IFERROR(INDEX('Detalles movimientos'!H$5:H$1004, MATCH(30, 'Detalles movimientos'!$T$5:$T$1004, 0)), "")</f>
        <v/>
      </c>
      <c r="H42" s="21" t="str">
        <f>IFERROR(INDEX('Detalles movimientos'!I$5:I$1004, MATCH(30, 'Detalles movimientos'!$T$5:$T$1004, 0)), "")</f>
        <v/>
      </c>
      <c r="I42" s="20" t="str">
        <f>IFERROR(INDEX('Detalles movimientos'!M$5:M$1004, MATCH(30, 'Detalles movimientos'!$T$5:$T$1004, 0)), "")</f>
        <v/>
      </c>
      <c r="J42" s="19" t="str">
        <f>IFERROR(INDEX('Detalles movimientos'!N$5:N$1004, MATCH(30, 'Detalles movimientos'!$T$5:$T$1004, 0)), "")</f>
        <v/>
      </c>
      <c r="K42" s="20" t="str">
        <f>IFERROR(INDEX('Detalles movimientos'!O$5:O$1004, MATCH(30, 'Detalles movimientos'!$T$5:$T$1004, 0)), "")</f>
        <v/>
      </c>
      <c r="L42" s="18" t="str">
        <f>IFERROR(INDEX('Detalles movimientos'!P$5:P$1004, MATCH(30, 'Detalles movimientos'!$T$5:$T$1004, 0)), "")</f>
        <v/>
      </c>
      <c r="M42" s="18" t="str">
        <f>IFERROR(INDEX('Detalles movimientos'!S$5:S$1004, MATCH(30, 'Detalles movimientos'!$T$5:$T$1004, 0)), "")</f>
        <v/>
      </c>
    </row>
    <row r="43" spans="2:13">
      <c r="B43" s="17" t="str">
        <f>IFERROR(INDEX('Detalles movimientos'!C$5:C$1004, MATCH(31, 'Detalles movimientos'!$T$5:$T$1004, 0)), "")</f>
        <v/>
      </c>
      <c r="C43" s="18" t="str">
        <f>IFERROR(INDEX('Detalles movimientos'!D$5:D$1004, MATCH(31, 'Detalles movimientos'!$T$5:$T$1004, 0)), "")</f>
        <v/>
      </c>
      <c r="D43" s="19" t="str">
        <f>IFERROR(INDEX('Detalles movimientos'!E$5:E$1004, MATCH(31, 'Detalles movimientos'!$T$5:$T$1004, 0)), "")</f>
        <v/>
      </c>
      <c r="E43" s="19" t="str">
        <f>IFERROR(INDEX('Detalles movimientos'!F$5:F$1004, MATCH(31, 'Detalles movimientos'!$T$5:$T$1004, 0)), "")</f>
        <v/>
      </c>
      <c r="F43" s="18" t="str">
        <f>IFERROR(INDEX('Detalles movimientos'!G$5:G$1004, MATCH(31, 'Detalles movimientos'!$T$5:$T$1004, 0)), "")</f>
        <v/>
      </c>
      <c r="G43" s="20" t="str">
        <f>IFERROR(INDEX('Detalles movimientos'!H$5:H$1004, MATCH(31, 'Detalles movimientos'!$T$5:$T$1004, 0)), "")</f>
        <v/>
      </c>
      <c r="H43" s="21" t="str">
        <f>IFERROR(INDEX('Detalles movimientos'!I$5:I$1004, MATCH(31, 'Detalles movimientos'!$T$5:$T$1004, 0)), "")</f>
        <v/>
      </c>
      <c r="I43" s="20" t="str">
        <f>IFERROR(INDEX('Detalles movimientos'!M$5:M$1004, MATCH(31, 'Detalles movimientos'!$T$5:$T$1004, 0)), "")</f>
        <v/>
      </c>
      <c r="J43" s="19" t="str">
        <f>IFERROR(INDEX('Detalles movimientos'!N$5:N$1004, MATCH(31, 'Detalles movimientos'!$T$5:$T$1004, 0)), "")</f>
        <v/>
      </c>
      <c r="K43" s="20" t="str">
        <f>IFERROR(INDEX('Detalles movimientos'!O$5:O$1004, MATCH(31, 'Detalles movimientos'!$T$5:$T$1004, 0)), "")</f>
        <v/>
      </c>
      <c r="L43" s="18" t="str">
        <f>IFERROR(INDEX('Detalles movimientos'!P$5:P$1004, MATCH(31, 'Detalles movimientos'!$T$5:$T$1004, 0)), "")</f>
        <v/>
      </c>
      <c r="M43" s="18" t="str">
        <f>IFERROR(INDEX('Detalles movimientos'!S$5:S$1004, MATCH(31, 'Detalles movimientos'!$T$5:$T$1004, 0)), "")</f>
        <v/>
      </c>
    </row>
    <row r="44" spans="2:13">
      <c r="B44" s="17" t="str">
        <f>IFERROR(INDEX('Detalles movimientos'!C$5:C$1004, MATCH(32, 'Detalles movimientos'!$T$5:$T$1004, 0)), "")</f>
        <v/>
      </c>
      <c r="C44" s="18" t="str">
        <f>IFERROR(INDEX('Detalles movimientos'!D$5:D$1004, MATCH(32, 'Detalles movimientos'!$T$5:$T$1004, 0)), "")</f>
        <v/>
      </c>
      <c r="D44" s="19" t="str">
        <f>IFERROR(INDEX('Detalles movimientos'!E$5:E$1004, MATCH(32, 'Detalles movimientos'!$T$5:$T$1004, 0)), "")</f>
        <v/>
      </c>
      <c r="E44" s="19" t="str">
        <f>IFERROR(INDEX('Detalles movimientos'!F$5:F$1004, MATCH(32, 'Detalles movimientos'!$T$5:$T$1004, 0)), "")</f>
        <v/>
      </c>
      <c r="F44" s="18" t="str">
        <f>IFERROR(INDEX('Detalles movimientos'!G$5:G$1004, MATCH(32, 'Detalles movimientos'!$T$5:$T$1004, 0)), "")</f>
        <v/>
      </c>
      <c r="G44" s="20" t="str">
        <f>IFERROR(INDEX('Detalles movimientos'!H$5:H$1004, MATCH(32, 'Detalles movimientos'!$T$5:$T$1004, 0)), "")</f>
        <v/>
      </c>
      <c r="H44" s="21" t="str">
        <f>IFERROR(INDEX('Detalles movimientos'!I$5:I$1004, MATCH(32, 'Detalles movimientos'!$T$5:$T$1004, 0)), "")</f>
        <v/>
      </c>
      <c r="I44" s="20" t="str">
        <f>IFERROR(INDEX('Detalles movimientos'!M$5:M$1004, MATCH(32, 'Detalles movimientos'!$T$5:$T$1004, 0)), "")</f>
        <v/>
      </c>
      <c r="J44" s="19" t="str">
        <f>IFERROR(INDEX('Detalles movimientos'!N$5:N$1004, MATCH(32, 'Detalles movimientos'!$T$5:$T$1004, 0)), "")</f>
        <v/>
      </c>
      <c r="K44" s="20" t="str">
        <f>IFERROR(INDEX('Detalles movimientos'!O$5:O$1004, MATCH(32, 'Detalles movimientos'!$T$5:$T$1004, 0)), "")</f>
        <v/>
      </c>
      <c r="L44" s="18" t="str">
        <f>IFERROR(INDEX('Detalles movimientos'!P$5:P$1004, MATCH(32, 'Detalles movimientos'!$T$5:$T$1004, 0)), "")</f>
        <v/>
      </c>
      <c r="M44" s="18" t="str">
        <f>IFERROR(INDEX('Detalles movimientos'!S$5:S$1004, MATCH(32, 'Detalles movimientos'!$T$5:$T$1004, 0)), "")</f>
        <v/>
      </c>
    </row>
    <row r="45" spans="2:13">
      <c r="B45" s="17" t="str">
        <f>IFERROR(INDEX('Detalles movimientos'!C$5:C$1004, MATCH(33, 'Detalles movimientos'!$T$5:$T$1004, 0)), "")</f>
        <v/>
      </c>
      <c r="C45" s="18" t="str">
        <f>IFERROR(INDEX('Detalles movimientos'!D$5:D$1004, MATCH(33, 'Detalles movimientos'!$T$5:$T$1004, 0)), "")</f>
        <v/>
      </c>
      <c r="D45" s="19" t="str">
        <f>IFERROR(INDEX('Detalles movimientos'!E$5:E$1004, MATCH(33, 'Detalles movimientos'!$T$5:$T$1004, 0)), "")</f>
        <v/>
      </c>
      <c r="E45" s="19" t="str">
        <f>IFERROR(INDEX('Detalles movimientos'!F$5:F$1004, MATCH(33, 'Detalles movimientos'!$T$5:$T$1004, 0)), "")</f>
        <v/>
      </c>
      <c r="F45" s="18" t="str">
        <f>IFERROR(INDEX('Detalles movimientos'!G$5:G$1004, MATCH(33, 'Detalles movimientos'!$T$5:$T$1004, 0)), "")</f>
        <v/>
      </c>
      <c r="G45" s="20" t="str">
        <f>IFERROR(INDEX('Detalles movimientos'!H$5:H$1004, MATCH(33, 'Detalles movimientos'!$T$5:$T$1004, 0)), "")</f>
        <v/>
      </c>
      <c r="H45" s="21" t="str">
        <f>IFERROR(INDEX('Detalles movimientos'!I$5:I$1004, MATCH(33, 'Detalles movimientos'!$T$5:$T$1004, 0)), "")</f>
        <v/>
      </c>
      <c r="I45" s="20" t="str">
        <f>IFERROR(INDEX('Detalles movimientos'!M$5:M$1004, MATCH(33, 'Detalles movimientos'!$T$5:$T$1004, 0)), "")</f>
        <v/>
      </c>
      <c r="J45" s="19" t="str">
        <f>IFERROR(INDEX('Detalles movimientos'!N$5:N$1004, MATCH(33, 'Detalles movimientos'!$T$5:$T$1004, 0)), "")</f>
        <v/>
      </c>
      <c r="K45" s="20" t="str">
        <f>IFERROR(INDEX('Detalles movimientos'!O$5:O$1004, MATCH(33, 'Detalles movimientos'!$T$5:$T$1004, 0)), "")</f>
        <v/>
      </c>
      <c r="L45" s="18" t="str">
        <f>IFERROR(INDEX('Detalles movimientos'!P$5:P$1004, MATCH(33, 'Detalles movimientos'!$T$5:$T$1004, 0)), "")</f>
        <v/>
      </c>
      <c r="M45" s="18" t="str">
        <f>IFERROR(INDEX('Detalles movimientos'!S$5:S$1004, MATCH(33, 'Detalles movimientos'!$T$5:$T$1004, 0)), "")</f>
        <v/>
      </c>
    </row>
    <row r="46" spans="2:13">
      <c r="B46" s="17" t="str">
        <f>IFERROR(INDEX('Detalles movimientos'!C$5:C$1004, MATCH(34, 'Detalles movimientos'!$T$5:$T$1004, 0)), "")</f>
        <v/>
      </c>
      <c r="C46" s="18" t="str">
        <f>IFERROR(INDEX('Detalles movimientos'!D$5:D$1004, MATCH(34, 'Detalles movimientos'!$T$5:$T$1004, 0)), "")</f>
        <v/>
      </c>
      <c r="D46" s="19" t="str">
        <f>IFERROR(INDEX('Detalles movimientos'!E$5:E$1004, MATCH(34, 'Detalles movimientos'!$T$5:$T$1004, 0)), "")</f>
        <v/>
      </c>
      <c r="E46" s="19" t="str">
        <f>IFERROR(INDEX('Detalles movimientos'!F$5:F$1004, MATCH(34, 'Detalles movimientos'!$T$5:$T$1004, 0)), "")</f>
        <v/>
      </c>
      <c r="F46" s="18" t="str">
        <f>IFERROR(INDEX('Detalles movimientos'!G$5:G$1004, MATCH(34, 'Detalles movimientos'!$T$5:$T$1004, 0)), "")</f>
        <v/>
      </c>
      <c r="G46" s="20" t="str">
        <f>IFERROR(INDEX('Detalles movimientos'!H$5:H$1004, MATCH(34, 'Detalles movimientos'!$T$5:$T$1004, 0)), "")</f>
        <v/>
      </c>
      <c r="H46" s="21" t="str">
        <f>IFERROR(INDEX('Detalles movimientos'!I$5:I$1004, MATCH(34, 'Detalles movimientos'!$T$5:$T$1004, 0)), "")</f>
        <v/>
      </c>
      <c r="I46" s="20" t="str">
        <f>IFERROR(INDEX('Detalles movimientos'!M$5:M$1004, MATCH(34, 'Detalles movimientos'!$T$5:$T$1004, 0)), "")</f>
        <v/>
      </c>
      <c r="J46" s="19" t="str">
        <f>IFERROR(INDEX('Detalles movimientos'!N$5:N$1004, MATCH(34, 'Detalles movimientos'!$T$5:$T$1004, 0)), "")</f>
        <v/>
      </c>
      <c r="K46" s="20" t="str">
        <f>IFERROR(INDEX('Detalles movimientos'!O$5:O$1004, MATCH(34, 'Detalles movimientos'!$T$5:$T$1004, 0)), "")</f>
        <v/>
      </c>
      <c r="L46" s="18" t="str">
        <f>IFERROR(INDEX('Detalles movimientos'!P$5:P$1004, MATCH(34, 'Detalles movimientos'!$T$5:$T$1004, 0)), "")</f>
        <v/>
      </c>
      <c r="M46" s="18" t="str">
        <f>IFERROR(INDEX('Detalles movimientos'!S$5:S$1004, MATCH(34, 'Detalles movimientos'!$T$5:$T$1004, 0)), "")</f>
        <v/>
      </c>
    </row>
    <row r="47" spans="2:13">
      <c r="B47" s="17" t="str">
        <f>IFERROR(INDEX('Detalles movimientos'!C$5:C$1004, MATCH(35, 'Detalles movimientos'!$T$5:$T$1004, 0)), "")</f>
        <v/>
      </c>
      <c r="C47" s="18" t="str">
        <f>IFERROR(INDEX('Detalles movimientos'!D$5:D$1004, MATCH(35, 'Detalles movimientos'!$T$5:$T$1004, 0)), "")</f>
        <v/>
      </c>
      <c r="D47" s="19" t="str">
        <f>IFERROR(INDEX('Detalles movimientos'!E$5:E$1004, MATCH(35, 'Detalles movimientos'!$T$5:$T$1004, 0)), "")</f>
        <v/>
      </c>
      <c r="E47" s="19" t="str">
        <f>IFERROR(INDEX('Detalles movimientos'!F$5:F$1004, MATCH(35, 'Detalles movimientos'!$T$5:$T$1004, 0)), "")</f>
        <v/>
      </c>
      <c r="F47" s="18" t="str">
        <f>IFERROR(INDEX('Detalles movimientos'!G$5:G$1004, MATCH(35, 'Detalles movimientos'!$T$5:$T$1004, 0)), "")</f>
        <v/>
      </c>
      <c r="G47" s="20" t="str">
        <f>IFERROR(INDEX('Detalles movimientos'!H$5:H$1004, MATCH(35, 'Detalles movimientos'!$T$5:$T$1004, 0)), "")</f>
        <v/>
      </c>
      <c r="H47" s="21" t="str">
        <f>IFERROR(INDEX('Detalles movimientos'!I$5:I$1004, MATCH(35, 'Detalles movimientos'!$T$5:$T$1004, 0)), "")</f>
        <v/>
      </c>
      <c r="I47" s="20" t="str">
        <f>IFERROR(INDEX('Detalles movimientos'!M$5:M$1004, MATCH(35, 'Detalles movimientos'!$T$5:$T$1004, 0)), "")</f>
        <v/>
      </c>
      <c r="J47" s="19" t="str">
        <f>IFERROR(INDEX('Detalles movimientos'!N$5:N$1004, MATCH(35, 'Detalles movimientos'!$T$5:$T$1004, 0)), "")</f>
        <v/>
      </c>
      <c r="K47" s="20" t="str">
        <f>IFERROR(INDEX('Detalles movimientos'!O$5:O$1004, MATCH(35, 'Detalles movimientos'!$T$5:$T$1004, 0)), "")</f>
        <v/>
      </c>
      <c r="L47" s="18" t="str">
        <f>IFERROR(INDEX('Detalles movimientos'!P$5:P$1004, MATCH(35, 'Detalles movimientos'!$T$5:$T$1004, 0)), "")</f>
        <v/>
      </c>
      <c r="M47" s="18" t="str">
        <f>IFERROR(INDEX('Detalles movimientos'!S$5:S$1004, MATCH(35, 'Detalles movimientos'!$T$5:$T$1004, 0)), "")</f>
        <v/>
      </c>
    </row>
    <row r="48" spans="2:13">
      <c r="B48" s="17" t="str">
        <f>IFERROR(INDEX('Detalles movimientos'!C$5:C$1004, MATCH(36, 'Detalles movimientos'!$T$5:$T$1004, 0)), "")</f>
        <v/>
      </c>
      <c r="C48" s="18" t="str">
        <f>IFERROR(INDEX('Detalles movimientos'!D$5:D$1004, MATCH(36, 'Detalles movimientos'!$T$5:$T$1004, 0)), "")</f>
        <v/>
      </c>
      <c r="D48" s="19" t="str">
        <f>IFERROR(INDEX('Detalles movimientos'!E$5:E$1004, MATCH(36, 'Detalles movimientos'!$T$5:$T$1004, 0)), "")</f>
        <v/>
      </c>
      <c r="E48" s="19" t="str">
        <f>IFERROR(INDEX('Detalles movimientos'!F$5:F$1004, MATCH(36, 'Detalles movimientos'!$T$5:$T$1004, 0)), "")</f>
        <v/>
      </c>
      <c r="F48" s="18" t="str">
        <f>IFERROR(INDEX('Detalles movimientos'!G$5:G$1004, MATCH(36, 'Detalles movimientos'!$T$5:$T$1004, 0)), "")</f>
        <v/>
      </c>
      <c r="G48" s="20" t="str">
        <f>IFERROR(INDEX('Detalles movimientos'!H$5:H$1004, MATCH(36, 'Detalles movimientos'!$T$5:$T$1004, 0)), "")</f>
        <v/>
      </c>
      <c r="H48" s="21" t="str">
        <f>IFERROR(INDEX('Detalles movimientos'!I$5:I$1004, MATCH(36, 'Detalles movimientos'!$T$5:$T$1004, 0)), "")</f>
        <v/>
      </c>
      <c r="I48" s="20" t="str">
        <f>IFERROR(INDEX('Detalles movimientos'!M$5:M$1004, MATCH(36, 'Detalles movimientos'!$T$5:$T$1004, 0)), "")</f>
        <v/>
      </c>
      <c r="J48" s="19" t="str">
        <f>IFERROR(INDEX('Detalles movimientos'!N$5:N$1004, MATCH(36, 'Detalles movimientos'!$T$5:$T$1004, 0)), "")</f>
        <v/>
      </c>
      <c r="K48" s="20" t="str">
        <f>IFERROR(INDEX('Detalles movimientos'!O$5:O$1004, MATCH(36, 'Detalles movimientos'!$T$5:$T$1004, 0)), "")</f>
        <v/>
      </c>
      <c r="L48" s="18" t="str">
        <f>IFERROR(INDEX('Detalles movimientos'!P$5:P$1004, MATCH(36, 'Detalles movimientos'!$T$5:$T$1004, 0)), "")</f>
        <v/>
      </c>
      <c r="M48" s="18" t="str">
        <f>IFERROR(INDEX('Detalles movimientos'!S$5:S$1004, MATCH(36, 'Detalles movimientos'!$T$5:$T$1004, 0)), "")</f>
        <v/>
      </c>
    </row>
    <row r="49" spans="2:13">
      <c r="B49" s="17" t="str">
        <f>IFERROR(INDEX('Detalles movimientos'!C$5:C$1004, MATCH(37, 'Detalles movimientos'!$T$5:$T$1004, 0)), "")</f>
        <v/>
      </c>
      <c r="C49" s="18" t="str">
        <f>IFERROR(INDEX('Detalles movimientos'!D$5:D$1004, MATCH(37, 'Detalles movimientos'!$T$5:$T$1004, 0)), "")</f>
        <v/>
      </c>
      <c r="D49" s="19" t="str">
        <f>IFERROR(INDEX('Detalles movimientos'!E$5:E$1004, MATCH(37, 'Detalles movimientos'!$T$5:$T$1004, 0)), "")</f>
        <v/>
      </c>
      <c r="E49" s="19" t="str">
        <f>IFERROR(INDEX('Detalles movimientos'!F$5:F$1004, MATCH(37, 'Detalles movimientos'!$T$5:$T$1004, 0)), "")</f>
        <v/>
      </c>
      <c r="F49" s="18" t="str">
        <f>IFERROR(INDEX('Detalles movimientos'!G$5:G$1004, MATCH(37, 'Detalles movimientos'!$T$5:$T$1004, 0)), "")</f>
        <v/>
      </c>
      <c r="G49" s="20" t="str">
        <f>IFERROR(INDEX('Detalles movimientos'!H$5:H$1004, MATCH(37, 'Detalles movimientos'!$T$5:$T$1004, 0)), "")</f>
        <v/>
      </c>
      <c r="H49" s="21" t="str">
        <f>IFERROR(INDEX('Detalles movimientos'!I$5:I$1004, MATCH(37, 'Detalles movimientos'!$T$5:$T$1004, 0)), "")</f>
        <v/>
      </c>
      <c r="I49" s="20" t="str">
        <f>IFERROR(INDEX('Detalles movimientos'!M$5:M$1004, MATCH(37, 'Detalles movimientos'!$T$5:$T$1004, 0)), "")</f>
        <v/>
      </c>
      <c r="J49" s="19" t="str">
        <f>IFERROR(INDEX('Detalles movimientos'!N$5:N$1004, MATCH(37, 'Detalles movimientos'!$T$5:$T$1004, 0)), "")</f>
        <v/>
      </c>
      <c r="K49" s="20" t="str">
        <f>IFERROR(INDEX('Detalles movimientos'!O$5:O$1004, MATCH(37, 'Detalles movimientos'!$T$5:$T$1004, 0)), "")</f>
        <v/>
      </c>
      <c r="L49" s="18" t="str">
        <f>IFERROR(INDEX('Detalles movimientos'!P$5:P$1004, MATCH(37, 'Detalles movimientos'!$T$5:$T$1004, 0)), "")</f>
        <v/>
      </c>
      <c r="M49" s="18" t="str">
        <f>IFERROR(INDEX('Detalles movimientos'!S$5:S$1004, MATCH(37, 'Detalles movimientos'!$T$5:$T$1004, 0)), "")</f>
        <v/>
      </c>
    </row>
    <row r="50" spans="2:13">
      <c r="B50" s="17" t="str">
        <f>IFERROR(INDEX('Detalles movimientos'!C$5:C$1004, MATCH(38, 'Detalles movimientos'!$T$5:$T$1004, 0)), "")</f>
        <v/>
      </c>
      <c r="C50" s="18" t="str">
        <f>IFERROR(INDEX('Detalles movimientos'!D$5:D$1004, MATCH(38, 'Detalles movimientos'!$T$5:$T$1004, 0)), "")</f>
        <v/>
      </c>
      <c r="D50" s="19" t="str">
        <f>IFERROR(INDEX('Detalles movimientos'!E$5:E$1004, MATCH(38, 'Detalles movimientos'!$T$5:$T$1004, 0)), "")</f>
        <v/>
      </c>
      <c r="E50" s="19" t="str">
        <f>IFERROR(INDEX('Detalles movimientos'!F$5:F$1004, MATCH(38, 'Detalles movimientos'!$T$5:$T$1004, 0)), "")</f>
        <v/>
      </c>
      <c r="F50" s="18" t="str">
        <f>IFERROR(INDEX('Detalles movimientos'!G$5:G$1004, MATCH(38, 'Detalles movimientos'!$T$5:$T$1004, 0)), "")</f>
        <v/>
      </c>
      <c r="G50" s="20" t="str">
        <f>IFERROR(INDEX('Detalles movimientos'!H$5:H$1004, MATCH(38, 'Detalles movimientos'!$T$5:$T$1004, 0)), "")</f>
        <v/>
      </c>
      <c r="H50" s="21" t="str">
        <f>IFERROR(INDEX('Detalles movimientos'!I$5:I$1004, MATCH(38, 'Detalles movimientos'!$T$5:$T$1004, 0)), "")</f>
        <v/>
      </c>
      <c r="I50" s="20" t="str">
        <f>IFERROR(INDEX('Detalles movimientos'!M$5:M$1004, MATCH(38, 'Detalles movimientos'!$T$5:$T$1004, 0)), "")</f>
        <v/>
      </c>
      <c r="J50" s="19" t="str">
        <f>IFERROR(INDEX('Detalles movimientos'!N$5:N$1004, MATCH(38, 'Detalles movimientos'!$T$5:$T$1004, 0)), "")</f>
        <v/>
      </c>
      <c r="K50" s="20" t="str">
        <f>IFERROR(INDEX('Detalles movimientos'!O$5:O$1004, MATCH(38, 'Detalles movimientos'!$T$5:$T$1004, 0)), "")</f>
        <v/>
      </c>
      <c r="L50" s="18" t="str">
        <f>IFERROR(INDEX('Detalles movimientos'!P$5:P$1004, MATCH(38, 'Detalles movimientos'!$T$5:$T$1004, 0)), "")</f>
        <v/>
      </c>
      <c r="M50" s="18" t="str">
        <f>IFERROR(INDEX('Detalles movimientos'!S$5:S$1004, MATCH(38, 'Detalles movimientos'!$T$5:$T$1004, 0)), "")</f>
        <v/>
      </c>
    </row>
    <row r="51" spans="2:13">
      <c r="B51" s="17" t="str">
        <f>IFERROR(INDEX('Detalles movimientos'!C$5:C$1004, MATCH(39, 'Detalles movimientos'!$T$5:$T$1004, 0)), "")</f>
        <v/>
      </c>
      <c r="C51" s="18" t="str">
        <f>IFERROR(INDEX('Detalles movimientos'!D$5:D$1004, MATCH(39, 'Detalles movimientos'!$T$5:$T$1004, 0)), "")</f>
        <v/>
      </c>
      <c r="D51" s="19" t="str">
        <f>IFERROR(INDEX('Detalles movimientos'!E$5:E$1004, MATCH(39, 'Detalles movimientos'!$T$5:$T$1004, 0)), "")</f>
        <v/>
      </c>
      <c r="E51" s="19" t="str">
        <f>IFERROR(INDEX('Detalles movimientos'!F$5:F$1004, MATCH(39, 'Detalles movimientos'!$T$5:$T$1004, 0)), "")</f>
        <v/>
      </c>
      <c r="F51" s="18" t="str">
        <f>IFERROR(INDEX('Detalles movimientos'!G$5:G$1004, MATCH(39, 'Detalles movimientos'!$T$5:$T$1004, 0)), "")</f>
        <v/>
      </c>
      <c r="G51" s="20" t="str">
        <f>IFERROR(INDEX('Detalles movimientos'!H$5:H$1004, MATCH(39, 'Detalles movimientos'!$T$5:$T$1004, 0)), "")</f>
        <v/>
      </c>
      <c r="H51" s="21" t="str">
        <f>IFERROR(INDEX('Detalles movimientos'!I$5:I$1004, MATCH(39, 'Detalles movimientos'!$T$5:$T$1004, 0)), "")</f>
        <v/>
      </c>
      <c r="I51" s="20" t="str">
        <f>IFERROR(INDEX('Detalles movimientos'!M$5:M$1004, MATCH(39, 'Detalles movimientos'!$T$5:$T$1004, 0)), "")</f>
        <v/>
      </c>
      <c r="J51" s="19" t="str">
        <f>IFERROR(INDEX('Detalles movimientos'!N$5:N$1004, MATCH(39, 'Detalles movimientos'!$T$5:$T$1004, 0)), "")</f>
        <v/>
      </c>
      <c r="K51" s="20" t="str">
        <f>IFERROR(INDEX('Detalles movimientos'!O$5:O$1004, MATCH(39, 'Detalles movimientos'!$T$5:$T$1004, 0)), "")</f>
        <v/>
      </c>
      <c r="L51" s="18" t="str">
        <f>IFERROR(INDEX('Detalles movimientos'!P$5:P$1004, MATCH(39, 'Detalles movimientos'!$T$5:$T$1004, 0)), "")</f>
        <v/>
      </c>
      <c r="M51" s="18" t="str">
        <f>IFERROR(INDEX('Detalles movimientos'!S$5:S$1004, MATCH(39, 'Detalles movimientos'!$T$5:$T$1004, 0)), "")</f>
        <v/>
      </c>
    </row>
    <row r="52" spans="2:13">
      <c r="B52" s="17" t="str">
        <f>IFERROR(INDEX('Detalles movimientos'!C$5:C$1004, MATCH(40, 'Detalles movimientos'!$T$5:$T$1004, 0)), "")</f>
        <v/>
      </c>
      <c r="C52" s="18" t="str">
        <f>IFERROR(INDEX('Detalles movimientos'!D$5:D$1004, MATCH(40, 'Detalles movimientos'!$T$5:$T$1004, 0)), "")</f>
        <v/>
      </c>
      <c r="D52" s="19" t="str">
        <f>IFERROR(INDEX('Detalles movimientos'!E$5:E$1004, MATCH(40, 'Detalles movimientos'!$T$5:$T$1004, 0)), "")</f>
        <v/>
      </c>
      <c r="E52" s="19" t="str">
        <f>IFERROR(INDEX('Detalles movimientos'!F$5:F$1004, MATCH(40, 'Detalles movimientos'!$T$5:$T$1004, 0)), "")</f>
        <v/>
      </c>
      <c r="F52" s="18" t="str">
        <f>IFERROR(INDEX('Detalles movimientos'!G$5:G$1004, MATCH(40, 'Detalles movimientos'!$T$5:$T$1004, 0)), "")</f>
        <v/>
      </c>
      <c r="G52" s="20" t="str">
        <f>IFERROR(INDEX('Detalles movimientos'!H$5:H$1004, MATCH(40, 'Detalles movimientos'!$T$5:$T$1004, 0)), "")</f>
        <v/>
      </c>
      <c r="H52" s="21" t="str">
        <f>IFERROR(INDEX('Detalles movimientos'!I$5:I$1004, MATCH(40, 'Detalles movimientos'!$T$5:$T$1004, 0)), "")</f>
        <v/>
      </c>
      <c r="I52" s="20" t="str">
        <f>IFERROR(INDEX('Detalles movimientos'!M$5:M$1004, MATCH(40, 'Detalles movimientos'!$T$5:$T$1004, 0)), "")</f>
        <v/>
      </c>
      <c r="J52" s="19" t="str">
        <f>IFERROR(INDEX('Detalles movimientos'!N$5:N$1004, MATCH(40, 'Detalles movimientos'!$T$5:$T$1004, 0)), "")</f>
        <v/>
      </c>
      <c r="K52" s="20" t="str">
        <f>IFERROR(INDEX('Detalles movimientos'!O$5:O$1004, MATCH(40, 'Detalles movimientos'!$T$5:$T$1004, 0)), "")</f>
        <v/>
      </c>
      <c r="L52" s="18" t="str">
        <f>IFERROR(INDEX('Detalles movimientos'!P$5:P$1004, MATCH(40, 'Detalles movimientos'!$T$5:$T$1004, 0)), "")</f>
        <v/>
      </c>
      <c r="M52" s="18" t="str">
        <f>IFERROR(INDEX('Detalles movimientos'!S$5:S$1004, MATCH(40, 'Detalles movimientos'!$T$5:$T$1004, 0)), "")</f>
        <v/>
      </c>
    </row>
    <row r="53" spans="2:13">
      <c r="B53" s="17" t="str">
        <f>IFERROR(INDEX('Detalles movimientos'!C$5:C$1004, MATCH(41, 'Detalles movimientos'!$T$5:$T$1004, 0)), "")</f>
        <v/>
      </c>
      <c r="C53" s="18" t="str">
        <f>IFERROR(INDEX('Detalles movimientos'!D$5:D$1004, MATCH(41, 'Detalles movimientos'!$T$5:$T$1004, 0)), "")</f>
        <v/>
      </c>
      <c r="D53" s="19" t="str">
        <f>IFERROR(INDEX('Detalles movimientos'!E$5:E$1004, MATCH(41, 'Detalles movimientos'!$T$5:$T$1004, 0)), "")</f>
        <v/>
      </c>
      <c r="E53" s="19" t="str">
        <f>IFERROR(INDEX('Detalles movimientos'!F$5:F$1004, MATCH(41, 'Detalles movimientos'!$T$5:$T$1004, 0)), "")</f>
        <v/>
      </c>
      <c r="F53" s="18" t="str">
        <f>IFERROR(INDEX('Detalles movimientos'!G$5:G$1004, MATCH(41, 'Detalles movimientos'!$T$5:$T$1004, 0)), "")</f>
        <v/>
      </c>
      <c r="G53" s="20" t="str">
        <f>IFERROR(INDEX('Detalles movimientos'!H$5:H$1004, MATCH(41, 'Detalles movimientos'!$T$5:$T$1004, 0)), "")</f>
        <v/>
      </c>
      <c r="H53" s="21" t="str">
        <f>IFERROR(INDEX('Detalles movimientos'!I$5:I$1004, MATCH(41, 'Detalles movimientos'!$T$5:$T$1004, 0)), "")</f>
        <v/>
      </c>
      <c r="I53" s="20" t="str">
        <f>IFERROR(INDEX('Detalles movimientos'!M$5:M$1004, MATCH(41, 'Detalles movimientos'!$T$5:$T$1004, 0)), "")</f>
        <v/>
      </c>
      <c r="J53" s="19" t="str">
        <f>IFERROR(INDEX('Detalles movimientos'!N$5:N$1004, MATCH(41, 'Detalles movimientos'!$T$5:$T$1004, 0)), "")</f>
        <v/>
      </c>
      <c r="K53" s="20" t="str">
        <f>IFERROR(INDEX('Detalles movimientos'!O$5:O$1004, MATCH(41, 'Detalles movimientos'!$T$5:$T$1004, 0)), "")</f>
        <v/>
      </c>
      <c r="L53" s="18" t="str">
        <f>IFERROR(INDEX('Detalles movimientos'!P$5:P$1004, MATCH(41, 'Detalles movimientos'!$T$5:$T$1004, 0)), "")</f>
        <v/>
      </c>
      <c r="M53" s="18" t="str">
        <f>IFERROR(INDEX('Detalles movimientos'!S$5:S$1004, MATCH(41, 'Detalles movimientos'!$T$5:$T$1004, 0)), "")</f>
        <v/>
      </c>
    </row>
    <row r="54" spans="2:13">
      <c r="B54" s="17" t="str">
        <f>IFERROR(INDEX('Detalles movimientos'!C$5:C$1004, MATCH(42, 'Detalles movimientos'!$T$5:$T$1004, 0)), "")</f>
        <v/>
      </c>
      <c r="C54" s="18" t="str">
        <f>IFERROR(INDEX('Detalles movimientos'!D$5:D$1004, MATCH(42, 'Detalles movimientos'!$T$5:$T$1004, 0)), "")</f>
        <v/>
      </c>
      <c r="D54" s="19" t="str">
        <f>IFERROR(INDEX('Detalles movimientos'!E$5:E$1004, MATCH(42, 'Detalles movimientos'!$T$5:$T$1004, 0)), "")</f>
        <v/>
      </c>
      <c r="E54" s="19" t="str">
        <f>IFERROR(INDEX('Detalles movimientos'!F$5:F$1004, MATCH(42, 'Detalles movimientos'!$T$5:$T$1004, 0)), "")</f>
        <v/>
      </c>
      <c r="F54" s="18" t="str">
        <f>IFERROR(INDEX('Detalles movimientos'!G$5:G$1004, MATCH(42, 'Detalles movimientos'!$T$5:$T$1004, 0)), "")</f>
        <v/>
      </c>
      <c r="G54" s="20" t="str">
        <f>IFERROR(INDEX('Detalles movimientos'!H$5:H$1004, MATCH(42, 'Detalles movimientos'!$T$5:$T$1004, 0)), "")</f>
        <v/>
      </c>
      <c r="H54" s="21" t="str">
        <f>IFERROR(INDEX('Detalles movimientos'!I$5:I$1004, MATCH(42, 'Detalles movimientos'!$T$5:$T$1004, 0)), "")</f>
        <v/>
      </c>
      <c r="I54" s="20" t="str">
        <f>IFERROR(INDEX('Detalles movimientos'!M$5:M$1004, MATCH(42, 'Detalles movimientos'!$T$5:$T$1004, 0)), "")</f>
        <v/>
      </c>
      <c r="J54" s="19" t="str">
        <f>IFERROR(INDEX('Detalles movimientos'!N$5:N$1004, MATCH(42, 'Detalles movimientos'!$T$5:$T$1004, 0)), "")</f>
        <v/>
      </c>
      <c r="K54" s="20" t="str">
        <f>IFERROR(INDEX('Detalles movimientos'!O$5:O$1004, MATCH(42, 'Detalles movimientos'!$T$5:$T$1004, 0)), "")</f>
        <v/>
      </c>
      <c r="L54" s="18" t="str">
        <f>IFERROR(INDEX('Detalles movimientos'!P$5:P$1004, MATCH(42, 'Detalles movimientos'!$T$5:$T$1004, 0)), "")</f>
        <v/>
      </c>
      <c r="M54" s="18" t="str">
        <f>IFERROR(INDEX('Detalles movimientos'!S$5:S$1004, MATCH(42, 'Detalles movimientos'!$T$5:$T$1004, 0)), "")</f>
        <v/>
      </c>
    </row>
    <row r="55" spans="2:13">
      <c r="B55" s="17" t="str">
        <f>IFERROR(INDEX('Detalles movimientos'!C$5:C$1004, MATCH(43, 'Detalles movimientos'!$T$5:$T$1004, 0)), "")</f>
        <v/>
      </c>
      <c r="C55" s="18" t="str">
        <f>IFERROR(INDEX('Detalles movimientos'!D$5:D$1004, MATCH(43, 'Detalles movimientos'!$T$5:$T$1004, 0)), "")</f>
        <v/>
      </c>
      <c r="D55" s="19" t="str">
        <f>IFERROR(INDEX('Detalles movimientos'!E$5:E$1004, MATCH(43, 'Detalles movimientos'!$T$5:$T$1004, 0)), "")</f>
        <v/>
      </c>
      <c r="E55" s="19" t="str">
        <f>IFERROR(INDEX('Detalles movimientos'!F$5:F$1004, MATCH(43, 'Detalles movimientos'!$T$5:$T$1004, 0)), "")</f>
        <v/>
      </c>
      <c r="F55" s="18" t="str">
        <f>IFERROR(INDEX('Detalles movimientos'!G$5:G$1004, MATCH(43, 'Detalles movimientos'!$T$5:$T$1004, 0)), "")</f>
        <v/>
      </c>
      <c r="G55" s="20" t="str">
        <f>IFERROR(INDEX('Detalles movimientos'!H$5:H$1004, MATCH(43, 'Detalles movimientos'!$T$5:$T$1004, 0)), "")</f>
        <v/>
      </c>
      <c r="H55" s="21" t="str">
        <f>IFERROR(INDEX('Detalles movimientos'!I$5:I$1004, MATCH(43, 'Detalles movimientos'!$T$5:$T$1004, 0)), "")</f>
        <v/>
      </c>
      <c r="I55" s="20" t="str">
        <f>IFERROR(INDEX('Detalles movimientos'!M$5:M$1004, MATCH(43, 'Detalles movimientos'!$T$5:$T$1004, 0)), "")</f>
        <v/>
      </c>
      <c r="J55" s="19" t="str">
        <f>IFERROR(INDEX('Detalles movimientos'!N$5:N$1004, MATCH(43, 'Detalles movimientos'!$T$5:$T$1004, 0)), "")</f>
        <v/>
      </c>
      <c r="K55" s="20" t="str">
        <f>IFERROR(INDEX('Detalles movimientos'!O$5:O$1004, MATCH(43, 'Detalles movimientos'!$T$5:$T$1004, 0)), "")</f>
        <v/>
      </c>
      <c r="L55" s="18" t="str">
        <f>IFERROR(INDEX('Detalles movimientos'!P$5:P$1004, MATCH(43, 'Detalles movimientos'!$T$5:$T$1004, 0)), "")</f>
        <v/>
      </c>
      <c r="M55" s="18" t="str">
        <f>IFERROR(INDEX('Detalles movimientos'!S$5:S$1004, MATCH(43, 'Detalles movimientos'!$T$5:$T$1004, 0)), "")</f>
        <v/>
      </c>
    </row>
    <row r="56" spans="2:13">
      <c r="B56" s="17" t="str">
        <f>IFERROR(INDEX('Detalles movimientos'!C$5:C$1004, MATCH(44, 'Detalles movimientos'!$T$5:$T$1004, 0)), "")</f>
        <v/>
      </c>
      <c r="C56" s="18" t="str">
        <f>IFERROR(INDEX('Detalles movimientos'!D$5:D$1004, MATCH(44, 'Detalles movimientos'!$T$5:$T$1004, 0)), "")</f>
        <v/>
      </c>
      <c r="D56" s="19" t="str">
        <f>IFERROR(INDEX('Detalles movimientos'!E$5:E$1004, MATCH(44, 'Detalles movimientos'!$T$5:$T$1004, 0)), "")</f>
        <v/>
      </c>
      <c r="E56" s="19" t="str">
        <f>IFERROR(INDEX('Detalles movimientos'!F$5:F$1004, MATCH(44, 'Detalles movimientos'!$T$5:$T$1004, 0)), "")</f>
        <v/>
      </c>
      <c r="F56" s="18" t="str">
        <f>IFERROR(INDEX('Detalles movimientos'!G$5:G$1004, MATCH(44, 'Detalles movimientos'!$T$5:$T$1004, 0)), "")</f>
        <v/>
      </c>
      <c r="G56" s="20" t="str">
        <f>IFERROR(INDEX('Detalles movimientos'!H$5:H$1004, MATCH(44, 'Detalles movimientos'!$T$5:$T$1004, 0)), "")</f>
        <v/>
      </c>
      <c r="H56" s="21" t="str">
        <f>IFERROR(INDEX('Detalles movimientos'!I$5:I$1004, MATCH(44, 'Detalles movimientos'!$T$5:$T$1004, 0)), "")</f>
        <v/>
      </c>
      <c r="I56" s="20" t="str">
        <f>IFERROR(INDEX('Detalles movimientos'!M$5:M$1004, MATCH(44, 'Detalles movimientos'!$T$5:$T$1004, 0)), "")</f>
        <v/>
      </c>
      <c r="J56" s="19" t="str">
        <f>IFERROR(INDEX('Detalles movimientos'!N$5:N$1004, MATCH(44, 'Detalles movimientos'!$T$5:$T$1004, 0)), "")</f>
        <v/>
      </c>
      <c r="K56" s="20" t="str">
        <f>IFERROR(INDEX('Detalles movimientos'!O$5:O$1004, MATCH(44, 'Detalles movimientos'!$T$5:$T$1004, 0)), "")</f>
        <v/>
      </c>
      <c r="L56" s="18" t="str">
        <f>IFERROR(INDEX('Detalles movimientos'!P$5:P$1004, MATCH(44, 'Detalles movimientos'!$T$5:$T$1004, 0)), "")</f>
        <v/>
      </c>
      <c r="M56" s="18" t="str">
        <f>IFERROR(INDEX('Detalles movimientos'!S$5:S$1004, MATCH(44, 'Detalles movimientos'!$T$5:$T$1004, 0)), "")</f>
        <v/>
      </c>
    </row>
    <row r="57" spans="2:13">
      <c r="B57" s="17" t="str">
        <f>IFERROR(INDEX('Detalles movimientos'!C$5:C$1004, MATCH(45, 'Detalles movimientos'!$T$5:$T$1004, 0)), "")</f>
        <v/>
      </c>
      <c r="C57" s="18" t="str">
        <f>IFERROR(INDEX('Detalles movimientos'!D$5:D$1004, MATCH(45, 'Detalles movimientos'!$T$5:$T$1004, 0)), "")</f>
        <v/>
      </c>
      <c r="D57" s="19" t="str">
        <f>IFERROR(INDEX('Detalles movimientos'!E$5:E$1004, MATCH(45, 'Detalles movimientos'!$T$5:$T$1004, 0)), "")</f>
        <v/>
      </c>
      <c r="E57" s="19" t="str">
        <f>IFERROR(INDEX('Detalles movimientos'!F$5:F$1004, MATCH(45, 'Detalles movimientos'!$T$5:$T$1004, 0)), "")</f>
        <v/>
      </c>
      <c r="F57" s="18" t="str">
        <f>IFERROR(INDEX('Detalles movimientos'!G$5:G$1004, MATCH(45, 'Detalles movimientos'!$T$5:$T$1004, 0)), "")</f>
        <v/>
      </c>
      <c r="G57" s="20" t="str">
        <f>IFERROR(INDEX('Detalles movimientos'!H$5:H$1004, MATCH(45, 'Detalles movimientos'!$T$5:$T$1004, 0)), "")</f>
        <v/>
      </c>
      <c r="H57" s="21" t="str">
        <f>IFERROR(INDEX('Detalles movimientos'!I$5:I$1004, MATCH(45, 'Detalles movimientos'!$T$5:$T$1004, 0)), "")</f>
        <v/>
      </c>
      <c r="I57" s="20" t="str">
        <f>IFERROR(INDEX('Detalles movimientos'!M$5:M$1004, MATCH(45, 'Detalles movimientos'!$T$5:$T$1004, 0)), "")</f>
        <v/>
      </c>
      <c r="J57" s="19" t="str">
        <f>IFERROR(INDEX('Detalles movimientos'!N$5:N$1004, MATCH(45, 'Detalles movimientos'!$T$5:$T$1004, 0)), "")</f>
        <v/>
      </c>
      <c r="K57" s="20" t="str">
        <f>IFERROR(INDEX('Detalles movimientos'!O$5:O$1004, MATCH(45, 'Detalles movimientos'!$T$5:$T$1004, 0)), "")</f>
        <v/>
      </c>
      <c r="L57" s="18" t="str">
        <f>IFERROR(INDEX('Detalles movimientos'!P$5:P$1004, MATCH(45, 'Detalles movimientos'!$T$5:$T$1004, 0)), "")</f>
        <v/>
      </c>
      <c r="M57" s="18" t="str">
        <f>IFERROR(INDEX('Detalles movimientos'!S$5:S$1004, MATCH(45, 'Detalles movimientos'!$T$5:$T$1004, 0)), "")</f>
        <v/>
      </c>
    </row>
    <row r="58" spans="2:13">
      <c r="B58" s="17" t="str">
        <f>IFERROR(INDEX('Detalles movimientos'!C$5:C$1004, MATCH(46, 'Detalles movimientos'!$T$5:$T$1004, 0)), "")</f>
        <v/>
      </c>
      <c r="C58" s="18" t="str">
        <f>IFERROR(INDEX('Detalles movimientos'!D$5:D$1004, MATCH(46, 'Detalles movimientos'!$T$5:$T$1004, 0)), "")</f>
        <v/>
      </c>
      <c r="D58" s="19" t="str">
        <f>IFERROR(INDEX('Detalles movimientos'!E$5:E$1004, MATCH(46, 'Detalles movimientos'!$T$5:$T$1004, 0)), "")</f>
        <v/>
      </c>
      <c r="E58" s="19" t="str">
        <f>IFERROR(INDEX('Detalles movimientos'!F$5:F$1004, MATCH(46, 'Detalles movimientos'!$T$5:$T$1004, 0)), "")</f>
        <v/>
      </c>
      <c r="F58" s="18" t="str">
        <f>IFERROR(INDEX('Detalles movimientos'!G$5:G$1004, MATCH(46, 'Detalles movimientos'!$T$5:$T$1004, 0)), "")</f>
        <v/>
      </c>
      <c r="G58" s="20" t="str">
        <f>IFERROR(INDEX('Detalles movimientos'!H$5:H$1004, MATCH(46, 'Detalles movimientos'!$T$5:$T$1004, 0)), "")</f>
        <v/>
      </c>
      <c r="H58" s="21" t="str">
        <f>IFERROR(INDEX('Detalles movimientos'!I$5:I$1004, MATCH(46, 'Detalles movimientos'!$T$5:$T$1004, 0)), "")</f>
        <v/>
      </c>
      <c r="I58" s="20" t="str">
        <f>IFERROR(INDEX('Detalles movimientos'!M$5:M$1004, MATCH(46, 'Detalles movimientos'!$T$5:$T$1004, 0)), "")</f>
        <v/>
      </c>
      <c r="J58" s="19" t="str">
        <f>IFERROR(INDEX('Detalles movimientos'!N$5:N$1004, MATCH(46, 'Detalles movimientos'!$T$5:$T$1004, 0)), "")</f>
        <v/>
      </c>
      <c r="K58" s="20" t="str">
        <f>IFERROR(INDEX('Detalles movimientos'!O$5:O$1004, MATCH(46, 'Detalles movimientos'!$T$5:$T$1004, 0)), "")</f>
        <v/>
      </c>
      <c r="L58" s="18" t="str">
        <f>IFERROR(INDEX('Detalles movimientos'!P$5:P$1004, MATCH(46, 'Detalles movimientos'!$T$5:$T$1004, 0)), "")</f>
        <v/>
      </c>
      <c r="M58" s="18" t="str">
        <f>IFERROR(INDEX('Detalles movimientos'!S$5:S$1004, MATCH(46, 'Detalles movimientos'!$T$5:$T$1004, 0)), "")</f>
        <v/>
      </c>
    </row>
    <row r="59" spans="2:13">
      <c r="B59" s="17" t="str">
        <f>IFERROR(INDEX('Detalles movimientos'!C$5:C$1004, MATCH(47, 'Detalles movimientos'!$T$5:$T$1004, 0)), "")</f>
        <v/>
      </c>
      <c r="C59" s="18" t="str">
        <f>IFERROR(INDEX('Detalles movimientos'!D$5:D$1004, MATCH(47, 'Detalles movimientos'!$T$5:$T$1004, 0)), "")</f>
        <v/>
      </c>
      <c r="D59" s="19" t="str">
        <f>IFERROR(INDEX('Detalles movimientos'!E$5:E$1004, MATCH(47, 'Detalles movimientos'!$T$5:$T$1004, 0)), "")</f>
        <v/>
      </c>
      <c r="E59" s="19" t="str">
        <f>IFERROR(INDEX('Detalles movimientos'!F$5:F$1004, MATCH(47, 'Detalles movimientos'!$T$5:$T$1004, 0)), "")</f>
        <v/>
      </c>
      <c r="F59" s="18" t="str">
        <f>IFERROR(INDEX('Detalles movimientos'!G$5:G$1004, MATCH(47, 'Detalles movimientos'!$T$5:$T$1004, 0)), "")</f>
        <v/>
      </c>
      <c r="G59" s="20" t="str">
        <f>IFERROR(INDEX('Detalles movimientos'!H$5:H$1004, MATCH(47, 'Detalles movimientos'!$T$5:$T$1004, 0)), "")</f>
        <v/>
      </c>
      <c r="H59" s="21" t="str">
        <f>IFERROR(INDEX('Detalles movimientos'!I$5:I$1004, MATCH(47, 'Detalles movimientos'!$T$5:$T$1004, 0)), "")</f>
        <v/>
      </c>
      <c r="I59" s="20" t="str">
        <f>IFERROR(INDEX('Detalles movimientos'!M$5:M$1004, MATCH(47, 'Detalles movimientos'!$T$5:$T$1004, 0)), "")</f>
        <v/>
      </c>
      <c r="J59" s="19" t="str">
        <f>IFERROR(INDEX('Detalles movimientos'!N$5:N$1004, MATCH(47, 'Detalles movimientos'!$T$5:$T$1004, 0)), "")</f>
        <v/>
      </c>
      <c r="K59" s="20" t="str">
        <f>IFERROR(INDEX('Detalles movimientos'!O$5:O$1004, MATCH(47, 'Detalles movimientos'!$T$5:$T$1004, 0)), "")</f>
        <v/>
      </c>
      <c r="L59" s="18" t="str">
        <f>IFERROR(INDEX('Detalles movimientos'!P$5:P$1004, MATCH(47, 'Detalles movimientos'!$T$5:$T$1004, 0)), "")</f>
        <v/>
      </c>
      <c r="M59" s="18" t="str">
        <f>IFERROR(INDEX('Detalles movimientos'!S$5:S$1004, MATCH(47, 'Detalles movimientos'!$T$5:$T$1004, 0)), "")</f>
        <v/>
      </c>
    </row>
    <row r="60" spans="2:13">
      <c r="B60" s="17" t="str">
        <f>IFERROR(INDEX('Detalles movimientos'!C$5:C$1004, MATCH(48, 'Detalles movimientos'!$T$5:$T$1004, 0)), "")</f>
        <v/>
      </c>
      <c r="C60" s="18" t="str">
        <f>IFERROR(INDEX('Detalles movimientos'!D$5:D$1004, MATCH(48, 'Detalles movimientos'!$T$5:$T$1004, 0)), "")</f>
        <v/>
      </c>
      <c r="D60" s="19" t="str">
        <f>IFERROR(INDEX('Detalles movimientos'!E$5:E$1004, MATCH(48, 'Detalles movimientos'!$T$5:$T$1004, 0)), "")</f>
        <v/>
      </c>
      <c r="E60" s="19" t="str">
        <f>IFERROR(INDEX('Detalles movimientos'!F$5:F$1004, MATCH(48, 'Detalles movimientos'!$T$5:$T$1004, 0)), "")</f>
        <v/>
      </c>
      <c r="F60" s="18" t="str">
        <f>IFERROR(INDEX('Detalles movimientos'!G$5:G$1004, MATCH(48, 'Detalles movimientos'!$T$5:$T$1004, 0)), "")</f>
        <v/>
      </c>
      <c r="G60" s="20" t="str">
        <f>IFERROR(INDEX('Detalles movimientos'!H$5:H$1004, MATCH(48, 'Detalles movimientos'!$T$5:$T$1004, 0)), "")</f>
        <v/>
      </c>
      <c r="H60" s="21" t="str">
        <f>IFERROR(INDEX('Detalles movimientos'!I$5:I$1004, MATCH(48, 'Detalles movimientos'!$T$5:$T$1004, 0)), "")</f>
        <v/>
      </c>
      <c r="I60" s="20" t="str">
        <f>IFERROR(INDEX('Detalles movimientos'!M$5:M$1004, MATCH(48, 'Detalles movimientos'!$T$5:$T$1004, 0)), "")</f>
        <v/>
      </c>
      <c r="J60" s="19" t="str">
        <f>IFERROR(INDEX('Detalles movimientos'!N$5:N$1004, MATCH(48, 'Detalles movimientos'!$T$5:$T$1004, 0)), "")</f>
        <v/>
      </c>
      <c r="K60" s="20" t="str">
        <f>IFERROR(INDEX('Detalles movimientos'!O$5:O$1004, MATCH(48, 'Detalles movimientos'!$T$5:$T$1004, 0)), "")</f>
        <v/>
      </c>
      <c r="L60" s="18" t="str">
        <f>IFERROR(INDEX('Detalles movimientos'!P$5:P$1004, MATCH(48, 'Detalles movimientos'!$T$5:$T$1004, 0)), "")</f>
        <v/>
      </c>
      <c r="M60" s="18" t="str">
        <f>IFERROR(INDEX('Detalles movimientos'!S$5:S$1004, MATCH(48, 'Detalles movimientos'!$T$5:$T$1004, 0)), "")</f>
        <v/>
      </c>
    </row>
    <row r="61" spans="2:13">
      <c r="B61" s="17" t="str">
        <f>IFERROR(INDEX('Detalles movimientos'!C$5:C$1004, MATCH(49, 'Detalles movimientos'!$T$5:$T$1004, 0)), "")</f>
        <v/>
      </c>
      <c r="C61" s="18" t="str">
        <f>IFERROR(INDEX('Detalles movimientos'!D$5:D$1004, MATCH(49, 'Detalles movimientos'!$T$5:$T$1004, 0)), "")</f>
        <v/>
      </c>
      <c r="D61" s="19" t="str">
        <f>IFERROR(INDEX('Detalles movimientos'!E$5:E$1004, MATCH(49, 'Detalles movimientos'!$T$5:$T$1004, 0)), "")</f>
        <v/>
      </c>
      <c r="E61" s="19" t="str">
        <f>IFERROR(INDEX('Detalles movimientos'!F$5:F$1004, MATCH(49, 'Detalles movimientos'!$T$5:$T$1004, 0)), "")</f>
        <v/>
      </c>
      <c r="F61" s="18" t="str">
        <f>IFERROR(INDEX('Detalles movimientos'!G$5:G$1004, MATCH(49, 'Detalles movimientos'!$T$5:$T$1004, 0)), "")</f>
        <v/>
      </c>
      <c r="G61" s="20" t="str">
        <f>IFERROR(INDEX('Detalles movimientos'!H$5:H$1004, MATCH(49, 'Detalles movimientos'!$T$5:$T$1004, 0)), "")</f>
        <v/>
      </c>
      <c r="H61" s="21" t="str">
        <f>IFERROR(INDEX('Detalles movimientos'!I$5:I$1004, MATCH(49, 'Detalles movimientos'!$T$5:$T$1004, 0)), "")</f>
        <v/>
      </c>
      <c r="I61" s="20" t="str">
        <f>IFERROR(INDEX('Detalles movimientos'!M$5:M$1004, MATCH(49, 'Detalles movimientos'!$T$5:$T$1004, 0)), "")</f>
        <v/>
      </c>
      <c r="J61" s="19" t="str">
        <f>IFERROR(INDEX('Detalles movimientos'!N$5:N$1004, MATCH(49, 'Detalles movimientos'!$T$5:$T$1004, 0)), "")</f>
        <v/>
      </c>
      <c r="K61" s="20" t="str">
        <f>IFERROR(INDEX('Detalles movimientos'!O$5:O$1004, MATCH(49, 'Detalles movimientos'!$T$5:$T$1004, 0)), "")</f>
        <v/>
      </c>
      <c r="L61" s="18" t="str">
        <f>IFERROR(INDEX('Detalles movimientos'!P$5:P$1004, MATCH(49, 'Detalles movimientos'!$T$5:$T$1004, 0)), "")</f>
        <v/>
      </c>
      <c r="M61" s="18" t="str">
        <f>IFERROR(INDEX('Detalles movimientos'!S$5:S$1004, MATCH(49, 'Detalles movimientos'!$T$5:$T$1004, 0)), "")</f>
        <v/>
      </c>
    </row>
    <row r="62" spans="2:13">
      <c r="B62" s="17" t="str">
        <f>IFERROR(INDEX('Detalles movimientos'!C$5:C$1004, MATCH(50, 'Detalles movimientos'!$T$5:$T$1004, 0)), "")</f>
        <v/>
      </c>
      <c r="C62" s="18" t="str">
        <f>IFERROR(INDEX('Detalles movimientos'!D$5:D$1004, MATCH(50, 'Detalles movimientos'!$T$5:$T$1004, 0)), "")</f>
        <v/>
      </c>
      <c r="D62" s="19" t="str">
        <f>IFERROR(INDEX('Detalles movimientos'!E$5:E$1004, MATCH(50, 'Detalles movimientos'!$T$5:$T$1004, 0)), "")</f>
        <v/>
      </c>
      <c r="E62" s="19" t="str">
        <f>IFERROR(INDEX('Detalles movimientos'!F$5:F$1004, MATCH(50, 'Detalles movimientos'!$T$5:$T$1004, 0)), "")</f>
        <v/>
      </c>
      <c r="F62" s="18" t="str">
        <f>IFERROR(INDEX('Detalles movimientos'!G$5:G$1004, MATCH(50, 'Detalles movimientos'!$T$5:$T$1004, 0)), "")</f>
        <v/>
      </c>
      <c r="G62" s="20" t="str">
        <f>IFERROR(INDEX('Detalles movimientos'!H$5:H$1004, MATCH(50, 'Detalles movimientos'!$T$5:$T$1004, 0)), "")</f>
        <v/>
      </c>
      <c r="H62" s="21" t="str">
        <f>IFERROR(INDEX('Detalles movimientos'!I$5:I$1004, MATCH(50, 'Detalles movimientos'!$T$5:$T$1004, 0)), "")</f>
        <v/>
      </c>
      <c r="I62" s="20" t="str">
        <f>IFERROR(INDEX('Detalles movimientos'!M$5:M$1004, MATCH(50, 'Detalles movimientos'!$T$5:$T$1004, 0)), "")</f>
        <v/>
      </c>
      <c r="J62" s="19" t="str">
        <f>IFERROR(INDEX('Detalles movimientos'!N$5:N$1004, MATCH(50, 'Detalles movimientos'!$T$5:$T$1004, 0)), "")</f>
        <v/>
      </c>
      <c r="K62" s="20" t="str">
        <f>IFERROR(INDEX('Detalles movimientos'!O$5:O$1004, MATCH(50, 'Detalles movimientos'!$T$5:$T$1004, 0)), "")</f>
        <v/>
      </c>
      <c r="L62" s="18" t="str">
        <f>IFERROR(INDEX('Detalles movimientos'!P$5:P$1004, MATCH(50, 'Detalles movimientos'!$T$5:$T$1004, 0)), "")</f>
        <v/>
      </c>
      <c r="M62" s="18" t="str">
        <f>IFERROR(INDEX('Detalles movimientos'!S$5:S$1004, MATCH(50, 'Detalles movimientos'!$T$5:$T$1004, 0)), "")</f>
        <v/>
      </c>
    </row>
    <row r="63" spans="2:13">
      <c r="B63" s="17" t="str">
        <f>IFERROR(INDEX('Detalles movimientos'!C$5:C$1004, MATCH(51, 'Detalles movimientos'!$T$5:$T$1004, 0)), "")</f>
        <v/>
      </c>
      <c r="C63" s="18" t="str">
        <f>IFERROR(INDEX('Detalles movimientos'!D$5:D$1004, MATCH(51, 'Detalles movimientos'!$T$5:$T$1004, 0)), "")</f>
        <v/>
      </c>
      <c r="D63" s="19" t="str">
        <f>IFERROR(INDEX('Detalles movimientos'!E$5:E$1004, MATCH(51, 'Detalles movimientos'!$T$5:$T$1004, 0)), "")</f>
        <v/>
      </c>
      <c r="E63" s="19" t="str">
        <f>IFERROR(INDEX('Detalles movimientos'!F$5:F$1004, MATCH(51, 'Detalles movimientos'!$T$5:$T$1004, 0)), "")</f>
        <v/>
      </c>
      <c r="F63" s="18" t="str">
        <f>IFERROR(INDEX('Detalles movimientos'!G$5:G$1004, MATCH(51, 'Detalles movimientos'!$T$5:$T$1004, 0)), "")</f>
        <v/>
      </c>
      <c r="G63" s="20" t="str">
        <f>IFERROR(INDEX('Detalles movimientos'!H$5:H$1004, MATCH(51, 'Detalles movimientos'!$T$5:$T$1004, 0)), "")</f>
        <v/>
      </c>
      <c r="H63" s="21" t="str">
        <f>IFERROR(INDEX('Detalles movimientos'!I$5:I$1004, MATCH(51, 'Detalles movimientos'!$T$5:$T$1004, 0)), "")</f>
        <v/>
      </c>
      <c r="I63" s="20" t="str">
        <f>IFERROR(INDEX('Detalles movimientos'!M$5:M$1004, MATCH(51, 'Detalles movimientos'!$T$5:$T$1004, 0)), "")</f>
        <v/>
      </c>
      <c r="J63" s="19" t="str">
        <f>IFERROR(INDEX('Detalles movimientos'!N$5:N$1004, MATCH(51, 'Detalles movimientos'!$T$5:$T$1004, 0)), "")</f>
        <v/>
      </c>
      <c r="K63" s="20" t="str">
        <f>IFERROR(INDEX('Detalles movimientos'!O$5:O$1004, MATCH(51, 'Detalles movimientos'!$T$5:$T$1004, 0)), "")</f>
        <v/>
      </c>
      <c r="L63" s="18" t="str">
        <f>IFERROR(INDEX('Detalles movimientos'!P$5:P$1004, MATCH(51, 'Detalles movimientos'!$T$5:$T$1004, 0)), "")</f>
        <v/>
      </c>
      <c r="M63" s="18" t="str">
        <f>IFERROR(INDEX('Detalles movimientos'!S$5:S$1004, MATCH(51, 'Detalles movimientos'!$T$5:$T$1004, 0)), "")</f>
        <v/>
      </c>
    </row>
    <row r="64" spans="2:13">
      <c r="B64" s="17" t="str">
        <f>IFERROR(INDEX('Detalles movimientos'!C$5:C$1004, MATCH(52, 'Detalles movimientos'!$T$5:$T$1004, 0)), "")</f>
        <v/>
      </c>
      <c r="C64" s="18" t="str">
        <f>IFERROR(INDEX('Detalles movimientos'!D$5:D$1004, MATCH(52, 'Detalles movimientos'!$T$5:$T$1004, 0)), "")</f>
        <v/>
      </c>
      <c r="D64" s="19" t="str">
        <f>IFERROR(INDEX('Detalles movimientos'!E$5:E$1004, MATCH(52, 'Detalles movimientos'!$T$5:$T$1004, 0)), "")</f>
        <v/>
      </c>
      <c r="E64" s="19" t="str">
        <f>IFERROR(INDEX('Detalles movimientos'!F$5:F$1004, MATCH(52, 'Detalles movimientos'!$T$5:$T$1004, 0)), "")</f>
        <v/>
      </c>
      <c r="F64" s="18" t="str">
        <f>IFERROR(INDEX('Detalles movimientos'!G$5:G$1004, MATCH(52, 'Detalles movimientos'!$T$5:$T$1004, 0)), "")</f>
        <v/>
      </c>
      <c r="G64" s="20" t="str">
        <f>IFERROR(INDEX('Detalles movimientos'!H$5:H$1004, MATCH(52, 'Detalles movimientos'!$T$5:$T$1004, 0)), "")</f>
        <v/>
      </c>
      <c r="H64" s="21" t="str">
        <f>IFERROR(INDEX('Detalles movimientos'!I$5:I$1004, MATCH(52, 'Detalles movimientos'!$T$5:$T$1004, 0)), "")</f>
        <v/>
      </c>
      <c r="I64" s="20" t="str">
        <f>IFERROR(INDEX('Detalles movimientos'!M$5:M$1004, MATCH(52, 'Detalles movimientos'!$T$5:$T$1004, 0)), "")</f>
        <v/>
      </c>
      <c r="J64" s="19" t="str">
        <f>IFERROR(INDEX('Detalles movimientos'!N$5:N$1004, MATCH(52, 'Detalles movimientos'!$T$5:$T$1004, 0)), "")</f>
        <v/>
      </c>
      <c r="K64" s="20" t="str">
        <f>IFERROR(INDEX('Detalles movimientos'!O$5:O$1004, MATCH(52, 'Detalles movimientos'!$T$5:$T$1004, 0)), "")</f>
        <v/>
      </c>
      <c r="L64" s="18" t="str">
        <f>IFERROR(INDEX('Detalles movimientos'!P$5:P$1004, MATCH(52, 'Detalles movimientos'!$T$5:$T$1004, 0)), "")</f>
        <v/>
      </c>
      <c r="M64" s="18" t="str">
        <f>IFERROR(INDEX('Detalles movimientos'!S$5:S$1004, MATCH(52, 'Detalles movimientos'!$T$5:$T$1004, 0)), "")</f>
        <v/>
      </c>
    </row>
    <row r="65" spans="2:13">
      <c r="B65" s="17" t="str">
        <f>IFERROR(INDEX('Detalles movimientos'!C$5:C$1004, MATCH(53, 'Detalles movimientos'!$T$5:$T$1004, 0)), "")</f>
        <v/>
      </c>
      <c r="C65" s="18" t="str">
        <f>IFERROR(INDEX('Detalles movimientos'!D$5:D$1004, MATCH(53, 'Detalles movimientos'!$T$5:$T$1004, 0)), "")</f>
        <v/>
      </c>
      <c r="D65" s="19" t="str">
        <f>IFERROR(INDEX('Detalles movimientos'!E$5:E$1004, MATCH(53, 'Detalles movimientos'!$T$5:$T$1004, 0)), "")</f>
        <v/>
      </c>
      <c r="E65" s="19" t="str">
        <f>IFERROR(INDEX('Detalles movimientos'!F$5:F$1004, MATCH(53, 'Detalles movimientos'!$T$5:$T$1004, 0)), "")</f>
        <v/>
      </c>
      <c r="F65" s="18" t="str">
        <f>IFERROR(INDEX('Detalles movimientos'!G$5:G$1004, MATCH(53, 'Detalles movimientos'!$T$5:$T$1004, 0)), "")</f>
        <v/>
      </c>
      <c r="G65" s="20" t="str">
        <f>IFERROR(INDEX('Detalles movimientos'!H$5:H$1004, MATCH(53, 'Detalles movimientos'!$T$5:$T$1004, 0)), "")</f>
        <v/>
      </c>
      <c r="H65" s="21" t="str">
        <f>IFERROR(INDEX('Detalles movimientos'!I$5:I$1004, MATCH(53, 'Detalles movimientos'!$T$5:$T$1004, 0)), "")</f>
        <v/>
      </c>
      <c r="I65" s="20" t="str">
        <f>IFERROR(INDEX('Detalles movimientos'!M$5:M$1004, MATCH(53, 'Detalles movimientos'!$T$5:$T$1004, 0)), "")</f>
        <v/>
      </c>
      <c r="J65" s="19" t="str">
        <f>IFERROR(INDEX('Detalles movimientos'!N$5:N$1004, MATCH(53, 'Detalles movimientos'!$T$5:$T$1004, 0)), "")</f>
        <v/>
      </c>
      <c r="K65" s="20" t="str">
        <f>IFERROR(INDEX('Detalles movimientos'!O$5:O$1004, MATCH(53, 'Detalles movimientos'!$T$5:$T$1004, 0)), "")</f>
        <v/>
      </c>
      <c r="L65" s="18" t="str">
        <f>IFERROR(INDEX('Detalles movimientos'!P$5:P$1004, MATCH(53, 'Detalles movimientos'!$T$5:$T$1004, 0)), "")</f>
        <v/>
      </c>
      <c r="M65" s="18" t="str">
        <f>IFERROR(INDEX('Detalles movimientos'!S$5:S$1004, MATCH(53, 'Detalles movimientos'!$T$5:$T$1004, 0)), "")</f>
        <v/>
      </c>
    </row>
    <row r="66" spans="2:13">
      <c r="B66" s="17" t="str">
        <f>IFERROR(INDEX('Detalles movimientos'!C$5:C$1004, MATCH(54, 'Detalles movimientos'!$T$5:$T$1004, 0)), "")</f>
        <v/>
      </c>
      <c r="C66" s="18" t="str">
        <f>IFERROR(INDEX('Detalles movimientos'!D$5:D$1004, MATCH(54, 'Detalles movimientos'!$T$5:$T$1004, 0)), "")</f>
        <v/>
      </c>
      <c r="D66" s="19" t="str">
        <f>IFERROR(INDEX('Detalles movimientos'!E$5:E$1004, MATCH(54, 'Detalles movimientos'!$T$5:$T$1004, 0)), "")</f>
        <v/>
      </c>
      <c r="E66" s="19" t="str">
        <f>IFERROR(INDEX('Detalles movimientos'!F$5:F$1004, MATCH(54, 'Detalles movimientos'!$T$5:$T$1004, 0)), "")</f>
        <v/>
      </c>
      <c r="F66" s="18" t="str">
        <f>IFERROR(INDEX('Detalles movimientos'!G$5:G$1004, MATCH(54, 'Detalles movimientos'!$T$5:$T$1004, 0)), "")</f>
        <v/>
      </c>
      <c r="G66" s="20" t="str">
        <f>IFERROR(INDEX('Detalles movimientos'!H$5:H$1004, MATCH(54, 'Detalles movimientos'!$T$5:$T$1004, 0)), "")</f>
        <v/>
      </c>
      <c r="H66" s="21" t="str">
        <f>IFERROR(INDEX('Detalles movimientos'!I$5:I$1004, MATCH(54, 'Detalles movimientos'!$T$5:$T$1004, 0)), "")</f>
        <v/>
      </c>
      <c r="I66" s="20" t="str">
        <f>IFERROR(INDEX('Detalles movimientos'!M$5:M$1004, MATCH(54, 'Detalles movimientos'!$T$5:$T$1004, 0)), "")</f>
        <v/>
      </c>
      <c r="J66" s="19" t="str">
        <f>IFERROR(INDEX('Detalles movimientos'!N$5:N$1004, MATCH(54, 'Detalles movimientos'!$T$5:$T$1004, 0)), "")</f>
        <v/>
      </c>
      <c r="K66" s="20" t="str">
        <f>IFERROR(INDEX('Detalles movimientos'!O$5:O$1004, MATCH(54, 'Detalles movimientos'!$T$5:$T$1004, 0)), "")</f>
        <v/>
      </c>
      <c r="L66" s="18" t="str">
        <f>IFERROR(INDEX('Detalles movimientos'!P$5:P$1004, MATCH(54, 'Detalles movimientos'!$T$5:$T$1004, 0)), "")</f>
        <v/>
      </c>
      <c r="M66" s="18" t="str">
        <f>IFERROR(INDEX('Detalles movimientos'!S$5:S$1004, MATCH(54, 'Detalles movimientos'!$T$5:$T$1004, 0)), "")</f>
        <v/>
      </c>
    </row>
    <row r="67" spans="2:13">
      <c r="B67" s="17" t="str">
        <f>IFERROR(INDEX('Detalles movimientos'!C$5:C$1004, MATCH(55, 'Detalles movimientos'!$T$5:$T$1004, 0)), "")</f>
        <v/>
      </c>
      <c r="C67" s="18" t="str">
        <f>IFERROR(INDEX('Detalles movimientos'!D$5:D$1004, MATCH(55, 'Detalles movimientos'!$T$5:$T$1004, 0)), "")</f>
        <v/>
      </c>
      <c r="D67" s="19" t="str">
        <f>IFERROR(INDEX('Detalles movimientos'!E$5:E$1004, MATCH(55, 'Detalles movimientos'!$T$5:$T$1004, 0)), "")</f>
        <v/>
      </c>
      <c r="E67" s="19" t="str">
        <f>IFERROR(INDEX('Detalles movimientos'!F$5:F$1004, MATCH(55, 'Detalles movimientos'!$T$5:$T$1004, 0)), "")</f>
        <v/>
      </c>
      <c r="F67" s="18" t="str">
        <f>IFERROR(INDEX('Detalles movimientos'!G$5:G$1004, MATCH(55, 'Detalles movimientos'!$T$5:$T$1004, 0)), "")</f>
        <v/>
      </c>
      <c r="G67" s="20" t="str">
        <f>IFERROR(INDEX('Detalles movimientos'!H$5:H$1004, MATCH(55, 'Detalles movimientos'!$T$5:$T$1004, 0)), "")</f>
        <v/>
      </c>
      <c r="H67" s="21" t="str">
        <f>IFERROR(INDEX('Detalles movimientos'!I$5:I$1004, MATCH(55, 'Detalles movimientos'!$T$5:$T$1004, 0)), "")</f>
        <v/>
      </c>
      <c r="I67" s="20" t="str">
        <f>IFERROR(INDEX('Detalles movimientos'!M$5:M$1004, MATCH(55, 'Detalles movimientos'!$T$5:$T$1004, 0)), "")</f>
        <v/>
      </c>
      <c r="J67" s="19" t="str">
        <f>IFERROR(INDEX('Detalles movimientos'!N$5:N$1004, MATCH(55, 'Detalles movimientos'!$T$5:$T$1004, 0)), "")</f>
        <v/>
      </c>
      <c r="K67" s="20" t="str">
        <f>IFERROR(INDEX('Detalles movimientos'!O$5:O$1004, MATCH(55, 'Detalles movimientos'!$T$5:$T$1004, 0)), "")</f>
        <v/>
      </c>
      <c r="L67" s="18" t="str">
        <f>IFERROR(INDEX('Detalles movimientos'!P$5:P$1004, MATCH(55, 'Detalles movimientos'!$T$5:$T$1004, 0)), "")</f>
        <v/>
      </c>
      <c r="M67" s="18" t="str">
        <f>IFERROR(INDEX('Detalles movimientos'!S$5:S$1004, MATCH(55, 'Detalles movimientos'!$T$5:$T$1004, 0)), "")</f>
        <v/>
      </c>
    </row>
    <row r="68" spans="2:13">
      <c r="B68" s="17" t="str">
        <f>IFERROR(INDEX('Detalles movimientos'!C$5:C$1004, MATCH(56, 'Detalles movimientos'!$T$5:$T$1004, 0)), "")</f>
        <v/>
      </c>
      <c r="C68" s="18" t="str">
        <f>IFERROR(INDEX('Detalles movimientos'!D$5:D$1004, MATCH(56, 'Detalles movimientos'!$T$5:$T$1004, 0)), "")</f>
        <v/>
      </c>
      <c r="D68" s="19" t="str">
        <f>IFERROR(INDEX('Detalles movimientos'!E$5:E$1004, MATCH(56, 'Detalles movimientos'!$T$5:$T$1004, 0)), "")</f>
        <v/>
      </c>
      <c r="E68" s="19" t="str">
        <f>IFERROR(INDEX('Detalles movimientos'!F$5:F$1004, MATCH(56, 'Detalles movimientos'!$T$5:$T$1004, 0)), "")</f>
        <v/>
      </c>
      <c r="F68" s="18" t="str">
        <f>IFERROR(INDEX('Detalles movimientos'!G$5:G$1004, MATCH(56, 'Detalles movimientos'!$T$5:$T$1004, 0)), "")</f>
        <v/>
      </c>
      <c r="G68" s="20" t="str">
        <f>IFERROR(INDEX('Detalles movimientos'!H$5:H$1004, MATCH(56, 'Detalles movimientos'!$T$5:$T$1004, 0)), "")</f>
        <v/>
      </c>
      <c r="H68" s="21" t="str">
        <f>IFERROR(INDEX('Detalles movimientos'!I$5:I$1004, MATCH(56, 'Detalles movimientos'!$T$5:$T$1004, 0)), "")</f>
        <v/>
      </c>
      <c r="I68" s="20" t="str">
        <f>IFERROR(INDEX('Detalles movimientos'!M$5:M$1004, MATCH(56, 'Detalles movimientos'!$T$5:$T$1004, 0)), "")</f>
        <v/>
      </c>
      <c r="J68" s="19" t="str">
        <f>IFERROR(INDEX('Detalles movimientos'!N$5:N$1004, MATCH(56, 'Detalles movimientos'!$T$5:$T$1004, 0)), "")</f>
        <v/>
      </c>
      <c r="K68" s="20" t="str">
        <f>IFERROR(INDEX('Detalles movimientos'!O$5:O$1004, MATCH(56, 'Detalles movimientos'!$T$5:$T$1004, 0)), "")</f>
        <v/>
      </c>
      <c r="L68" s="18" t="str">
        <f>IFERROR(INDEX('Detalles movimientos'!P$5:P$1004, MATCH(56, 'Detalles movimientos'!$T$5:$T$1004, 0)), "")</f>
        <v/>
      </c>
      <c r="M68" s="18" t="str">
        <f>IFERROR(INDEX('Detalles movimientos'!S$5:S$1004, MATCH(56, 'Detalles movimientos'!$T$5:$T$1004, 0)), "")</f>
        <v/>
      </c>
    </row>
    <row r="69" spans="2:13">
      <c r="B69" s="17" t="str">
        <f>IFERROR(INDEX('Detalles movimientos'!C$5:C$1004, MATCH(57, 'Detalles movimientos'!$T$5:$T$1004, 0)), "")</f>
        <v/>
      </c>
      <c r="C69" s="18" t="str">
        <f>IFERROR(INDEX('Detalles movimientos'!D$5:D$1004, MATCH(57, 'Detalles movimientos'!$T$5:$T$1004, 0)), "")</f>
        <v/>
      </c>
      <c r="D69" s="19" t="str">
        <f>IFERROR(INDEX('Detalles movimientos'!E$5:E$1004, MATCH(57, 'Detalles movimientos'!$T$5:$T$1004, 0)), "")</f>
        <v/>
      </c>
      <c r="E69" s="19" t="str">
        <f>IFERROR(INDEX('Detalles movimientos'!F$5:F$1004, MATCH(57, 'Detalles movimientos'!$T$5:$T$1004, 0)), "")</f>
        <v/>
      </c>
      <c r="F69" s="18" t="str">
        <f>IFERROR(INDEX('Detalles movimientos'!G$5:G$1004, MATCH(57, 'Detalles movimientos'!$T$5:$T$1004, 0)), "")</f>
        <v/>
      </c>
      <c r="G69" s="20" t="str">
        <f>IFERROR(INDEX('Detalles movimientos'!H$5:H$1004, MATCH(57, 'Detalles movimientos'!$T$5:$T$1004, 0)), "")</f>
        <v/>
      </c>
      <c r="H69" s="21" t="str">
        <f>IFERROR(INDEX('Detalles movimientos'!I$5:I$1004, MATCH(57, 'Detalles movimientos'!$T$5:$T$1004, 0)), "")</f>
        <v/>
      </c>
      <c r="I69" s="20" t="str">
        <f>IFERROR(INDEX('Detalles movimientos'!M$5:M$1004, MATCH(57, 'Detalles movimientos'!$T$5:$T$1004, 0)), "")</f>
        <v/>
      </c>
      <c r="J69" s="19" t="str">
        <f>IFERROR(INDEX('Detalles movimientos'!N$5:N$1004, MATCH(57, 'Detalles movimientos'!$T$5:$T$1004, 0)), "")</f>
        <v/>
      </c>
      <c r="K69" s="20" t="str">
        <f>IFERROR(INDEX('Detalles movimientos'!O$5:O$1004, MATCH(57, 'Detalles movimientos'!$T$5:$T$1004, 0)), "")</f>
        <v/>
      </c>
      <c r="L69" s="18" t="str">
        <f>IFERROR(INDEX('Detalles movimientos'!P$5:P$1004, MATCH(57, 'Detalles movimientos'!$T$5:$T$1004, 0)), "")</f>
        <v/>
      </c>
      <c r="M69" s="18" t="str">
        <f>IFERROR(INDEX('Detalles movimientos'!S$5:S$1004, MATCH(57, 'Detalles movimientos'!$T$5:$T$1004, 0)), "")</f>
        <v/>
      </c>
    </row>
    <row r="70" spans="2:13">
      <c r="B70" s="17" t="str">
        <f>IFERROR(INDEX('Detalles movimientos'!C$5:C$1004, MATCH(58, 'Detalles movimientos'!$T$5:$T$1004, 0)), "")</f>
        <v/>
      </c>
      <c r="C70" s="18" t="str">
        <f>IFERROR(INDEX('Detalles movimientos'!D$5:D$1004, MATCH(58, 'Detalles movimientos'!$T$5:$T$1004, 0)), "")</f>
        <v/>
      </c>
      <c r="D70" s="19" t="str">
        <f>IFERROR(INDEX('Detalles movimientos'!E$5:E$1004, MATCH(58, 'Detalles movimientos'!$T$5:$T$1004, 0)), "")</f>
        <v/>
      </c>
      <c r="E70" s="19" t="str">
        <f>IFERROR(INDEX('Detalles movimientos'!F$5:F$1004, MATCH(58, 'Detalles movimientos'!$T$5:$T$1004, 0)), "")</f>
        <v/>
      </c>
      <c r="F70" s="18" t="str">
        <f>IFERROR(INDEX('Detalles movimientos'!G$5:G$1004, MATCH(58, 'Detalles movimientos'!$T$5:$T$1004, 0)), "")</f>
        <v/>
      </c>
      <c r="G70" s="20" t="str">
        <f>IFERROR(INDEX('Detalles movimientos'!H$5:H$1004, MATCH(58, 'Detalles movimientos'!$T$5:$T$1004, 0)), "")</f>
        <v/>
      </c>
      <c r="H70" s="21" t="str">
        <f>IFERROR(INDEX('Detalles movimientos'!I$5:I$1004, MATCH(58, 'Detalles movimientos'!$T$5:$T$1004, 0)), "")</f>
        <v/>
      </c>
      <c r="I70" s="20" t="str">
        <f>IFERROR(INDEX('Detalles movimientos'!M$5:M$1004, MATCH(58, 'Detalles movimientos'!$T$5:$T$1004, 0)), "")</f>
        <v/>
      </c>
      <c r="J70" s="19" t="str">
        <f>IFERROR(INDEX('Detalles movimientos'!N$5:N$1004, MATCH(58, 'Detalles movimientos'!$T$5:$T$1004, 0)), "")</f>
        <v/>
      </c>
      <c r="K70" s="20" t="str">
        <f>IFERROR(INDEX('Detalles movimientos'!O$5:O$1004, MATCH(58, 'Detalles movimientos'!$T$5:$T$1004, 0)), "")</f>
        <v/>
      </c>
      <c r="L70" s="18" t="str">
        <f>IFERROR(INDEX('Detalles movimientos'!P$5:P$1004, MATCH(58, 'Detalles movimientos'!$T$5:$T$1004, 0)), "")</f>
        <v/>
      </c>
      <c r="M70" s="18" t="str">
        <f>IFERROR(INDEX('Detalles movimientos'!S$5:S$1004, MATCH(58, 'Detalles movimientos'!$T$5:$T$1004, 0)), "")</f>
        <v/>
      </c>
    </row>
    <row r="71" spans="2:13">
      <c r="B71" s="17" t="str">
        <f>IFERROR(INDEX('Detalles movimientos'!C$5:C$1004, MATCH(59, 'Detalles movimientos'!$T$5:$T$1004, 0)), "")</f>
        <v/>
      </c>
      <c r="C71" s="18" t="str">
        <f>IFERROR(INDEX('Detalles movimientos'!D$5:D$1004, MATCH(59, 'Detalles movimientos'!$T$5:$T$1004, 0)), "")</f>
        <v/>
      </c>
      <c r="D71" s="19" t="str">
        <f>IFERROR(INDEX('Detalles movimientos'!E$5:E$1004, MATCH(59, 'Detalles movimientos'!$T$5:$T$1004, 0)), "")</f>
        <v/>
      </c>
      <c r="E71" s="19" t="str">
        <f>IFERROR(INDEX('Detalles movimientos'!F$5:F$1004, MATCH(59, 'Detalles movimientos'!$T$5:$T$1004, 0)), "")</f>
        <v/>
      </c>
      <c r="F71" s="18" t="str">
        <f>IFERROR(INDEX('Detalles movimientos'!G$5:G$1004, MATCH(59, 'Detalles movimientos'!$T$5:$T$1004, 0)), "")</f>
        <v/>
      </c>
      <c r="G71" s="20" t="str">
        <f>IFERROR(INDEX('Detalles movimientos'!H$5:H$1004, MATCH(59, 'Detalles movimientos'!$T$5:$T$1004, 0)), "")</f>
        <v/>
      </c>
      <c r="H71" s="21" t="str">
        <f>IFERROR(INDEX('Detalles movimientos'!I$5:I$1004, MATCH(59, 'Detalles movimientos'!$T$5:$T$1004, 0)), "")</f>
        <v/>
      </c>
      <c r="I71" s="20" t="str">
        <f>IFERROR(INDEX('Detalles movimientos'!M$5:M$1004, MATCH(59, 'Detalles movimientos'!$T$5:$T$1004, 0)), "")</f>
        <v/>
      </c>
      <c r="J71" s="19" t="str">
        <f>IFERROR(INDEX('Detalles movimientos'!N$5:N$1004, MATCH(59, 'Detalles movimientos'!$T$5:$T$1004, 0)), "")</f>
        <v/>
      </c>
      <c r="K71" s="20" t="str">
        <f>IFERROR(INDEX('Detalles movimientos'!O$5:O$1004, MATCH(59, 'Detalles movimientos'!$T$5:$T$1004, 0)), "")</f>
        <v/>
      </c>
      <c r="L71" s="18" t="str">
        <f>IFERROR(INDEX('Detalles movimientos'!P$5:P$1004, MATCH(59, 'Detalles movimientos'!$T$5:$T$1004, 0)), "")</f>
        <v/>
      </c>
      <c r="M71" s="18" t="str">
        <f>IFERROR(INDEX('Detalles movimientos'!S$5:S$1004, MATCH(59, 'Detalles movimientos'!$T$5:$T$1004, 0)), "")</f>
        <v/>
      </c>
    </row>
    <row r="72" spans="2:13">
      <c r="B72" s="17" t="str">
        <f>IFERROR(INDEX('Detalles movimientos'!C$5:C$1004, MATCH(60, 'Detalles movimientos'!$T$5:$T$1004, 0)), "")</f>
        <v/>
      </c>
      <c r="C72" s="18" t="str">
        <f>IFERROR(INDEX('Detalles movimientos'!D$5:D$1004, MATCH(60, 'Detalles movimientos'!$T$5:$T$1004, 0)), "")</f>
        <v/>
      </c>
      <c r="D72" s="19" t="str">
        <f>IFERROR(INDEX('Detalles movimientos'!E$5:E$1004, MATCH(60, 'Detalles movimientos'!$T$5:$T$1004, 0)), "")</f>
        <v/>
      </c>
      <c r="E72" s="19" t="str">
        <f>IFERROR(INDEX('Detalles movimientos'!F$5:F$1004, MATCH(60, 'Detalles movimientos'!$T$5:$T$1004, 0)), "")</f>
        <v/>
      </c>
      <c r="F72" s="18" t="str">
        <f>IFERROR(INDEX('Detalles movimientos'!G$5:G$1004, MATCH(60, 'Detalles movimientos'!$T$5:$T$1004, 0)), "")</f>
        <v/>
      </c>
      <c r="G72" s="20" t="str">
        <f>IFERROR(INDEX('Detalles movimientos'!H$5:H$1004, MATCH(60, 'Detalles movimientos'!$T$5:$T$1004, 0)), "")</f>
        <v/>
      </c>
      <c r="H72" s="21" t="str">
        <f>IFERROR(INDEX('Detalles movimientos'!I$5:I$1004, MATCH(60, 'Detalles movimientos'!$T$5:$T$1004, 0)), "")</f>
        <v/>
      </c>
      <c r="I72" s="20" t="str">
        <f>IFERROR(INDEX('Detalles movimientos'!M$5:M$1004, MATCH(60, 'Detalles movimientos'!$T$5:$T$1004, 0)), "")</f>
        <v/>
      </c>
      <c r="J72" s="19" t="str">
        <f>IFERROR(INDEX('Detalles movimientos'!N$5:N$1004, MATCH(60, 'Detalles movimientos'!$T$5:$T$1004, 0)), "")</f>
        <v/>
      </c>
      <c r="K72" s="20" t="str">
        <f>IFERROR(INDEX('Detalles movimientos'!O$5:O$1004, MATCH(60, 'Detalles movimientos'!$T$5:$T$1004, 0)), "")</f>
        <v/>
      </c>
      <c r="L72" s="18" t="str">
        <f>IFERROR(INDEX('Detalles movimientos'!P$5:P$1004, MATCH(60, 'Detalles movimientos'!$T$5:$T$1004, 0)), "")</f>
        <v/>
      </c>
      <c r="M72" s="18" t="str">
        <f>IFERROR(INDEX('Detalles movimientos'!S$5:S$1004, MATCH(60, 'Detalles movimientos'!$T$5:$T$1004, 0)), "")</f>
        <v/>
      </c>
    </row>
    <row r="73" spans="2:13">
      <c r="B73" s="17" t="str">
        <f>IFERROR(INDEX('Detalles movimientos'!C$5:C$1004, MATCH(61, 'Detalles movimientos'!$T$5:$T$1004, 0)), "")</f>
        <v/>
      </c>
      <c r="C73" s="18" t="str">
        <f>IFERROR(INDEX('Detalles movimientos'!D$5:D$1004, MATCH(61, 'Detalles movimientos'!$T$5:$T$1004, 0)), "")</f>
        <v/>
      </c>
      <c r="D73" s="19" t="str">
        <f>IFERROR(INDEX('Detalles movimientos'!E$5:E$1004, MATCH(61, 'Detalles movimientos'!$T$5:$T$1004, 0)), "")</f>
        <v/>
      </c>
      <c r="E73" s="19" t="str">
        <f>IFERROR(INDEX('Detalles movimientos'!F$5:F$1004, MATCH(61, 'Detalles movimientos'!$T$5:$T$1004, 0)), "")</f>
        <v/>
      </c>
      <c r="F73" s="18" t="str">
        <f>IFERROR(INDEX('Detalles movimientos'!G$5:G$1004, MATCH(61, 'Detalles movimientos'!$T$5:$T$1004, 0)), "")</f>
        <v/>
      </c>
      <c r="G73" s="20" t="str">
        <f>IFERROR(INDEX('Detalles movimientos'!H$5:H$1004, MATCH(61, 'Detalles movimientos'!$T$5:$T$1004, 0)), "")</f>
        <v/>
      </c>
      <c r="H73" s="21" t="str">
        <f>IFERROR(INDEX('Detalles movimientos'!I$5:I$1004, MATCH(61, 'Detalles movimientos'!$T$5:$T$1004, 0)), "")</f>
        <v/>
      </c>
      <c r="I73" s="20" t="str">
        <f>IFERROR(INDEX('Detalles movimientos'!M$5:M$1004, MATCH(61, 'Detalles movimientos'!$T$5:$T$1004, 0)), "")</f>
        <v/>
      </c>
      <c r="J73" s="19" t="str">
        <f>IFERROR(INDEX('Detalles movimientos'!N$5:N$1004, MATCH(61, 'Detalles movimientos'!$T$5:$T$1004, 0)), "")</f>
        <v/>
      </c>
      <c r="K73" s="20" t="str">
        <f>IFERROR(INDEX('Detalles movimientos'!O$5:O$1004, MATCH(61, 'Detalles movimientos'!$T$5:$T$1004, 0)), "")</f>
        <v/>
      </c>
      <c r="L73" s="18" t="str">
        <f>IFERROR(INDEX('Detalles movimientos'!P$5:P$1004, MATCH(61, 'Detalles movimientos'!$T$5:$T$1004, 0)), "")</f>
        <v/>
      </c>
      <c r="M73" s="18" t="str">
        <f>IFERROR(INDEX('Detalles movimientos'!S$5:S$1004, MATCH(61, 'Detalles movimientos'!$T$5:$T$1004, 0)), "")</f>
        <v/>
      </c>
    </row>
    <row r="74" spans="2:13">
      <c r="B74" s="17" t="str">
        <f>IFERROR(INDEX('Detalles movimientos'!C$5:C$1004, MATCH(62, 'Detalles movimientos'!$T$5:$T$1004, 0)), "")</f>
        <v/>
      </c>
      <c r="C74" s="18" t="str">
        <f>IFERROR(INDEX('Detalles movimientos'!D$5:D$1004, MATCH(62, 'Detalles movimientos'!$T$5:$T$1004, 0)), "")</f>
        <v/>
      </c>
      <c r="D74" s="19" t="str">
        <f>IFERROR(INDEX('Detalles movimientos'!E$5:E$1004, MATCH(62, 'Detalles movimientos'!$T$5:$T$1004, 0)), "")</f>
        <v/>
      </c>
      <c r="E74" s="19" t="str">
        <f>IFERROR(INDEX('Detalles movimientos'!F$5:F$1004, MATCH(62, 'Detalles movimientos'!$T$5:$T$1004, 0)), "")</f>
        <v/>
      </c>
      <c r="F74" s="18" t="str">
        <f>IFERROR(INDEX('Detalles movimientos'!G$5:G$1004, MATCH(62, 'Detalles movimientos'!$T$5:$T$1004, 0)), "")</f>
        <v/>
      </c>
      <c r="G74" s="20" t="str">
        <f>IFERROR(INDEX('Detalles movimientos'!H$5:H$1004, MATCH(62, 'Detalles movimientos'!$T$5:$T$1004, 0)), "")</f>
        <v/>
      </c>
      <c r="H74" s="21" t="str">
        <f>IFERROR(INDEX('Detalles movimientos'!I$5:I$1004, MATCH(62, 'Detalles movimientos'!$T$5:$T$1004, 0)), "")</f>
        <v/>
      </c>
      <c r="I74" s="20" t="str">
        <f>IFERROR(INDEX('Detalles movimientos'!M$5:M$1004, MATCH(62, 'Detalles movimientos'!$T$5:$T$1004, 0)), "")</f>
        <v/>
      </c>
      <c r="J74" s="19" t="str">
        <f>IFERROR(INDEX('Detalles movimientos'!N$5:N$1004, MATCH(62, 'Detalles movimientos'!$T$5:$T$1004, 0)), "")</f>
        <v/>
      </c>
      <c r="K74" s="20" t="str">
        <f>IFERROR(INDEX('Detalles movimientos'!O$5:O$1004, MATCH(62, 'Detalles movimientos'!$T$5:$T$1004, 0)), "")</f>
        <v/>
      </c>
      <c r="L74" s="18" t="str">
        <f>IFERROR(INDEX('Detalles movimientos'!P$5:P$1004, MATCH(62, 'Detalles movimientos'!$T$5:$T$1004, 0)), "")</f>
        <v/>
      </c>
      <c r="M74" s="18" t="str">
        <f>IFERROR(INDEX('Detalles movimientos'!S$5:S$1004, MATCH(62, 'Detalles movimientos'!$T$5:$T$1004, 0)), "")</f>
        <v/>
      </c>
    </row>
    <row r="75" spans="2:13">
      <c r="B75" s="17" t="str">
        <f>IFERROR(INDEX('Detalles movimientos'!C$5:C$1004, MATCH(63, 'Detalles movimientos'!$T$5:$T$1004, 0)), "")</f>
        <v/>
      </c>
      <c r="C75" s="18" t="str">
        <f>IFERROR(INDEX('Detalles movimientos'!D$5:D$1004, MATCH(63, 'Detalles movimientos'!$T$5:$T$1004, 0)), "")</f>
        <v/>
      </c>
      <c r="D75" s="19" t="str">
        <f>IFERROR(INDEX('Detalles movimientos'!E$5:E$1004, MATCH(63, 'Detalles movimientos'!$T$5:$T$1004, 0)), "")</f>
        <v/>
      </c>
      <c r="E75" s="19" t="str">
        <f>IFERROR(INDEX('Detalles movimientos'!F$5:F$1004, MATCH(63, 'Detalles movimientos'!$T$5:$T$1004, 0)), "")</f>
        <v/>
      </c>
      <c r="F75" s="18" t="str">
        <f>IFERROR(INDEX('Detalles movimientos'!G$5:G$1004, MATCH(63, 'Detalles movimientos'!$T$5:$T$1004, 0)), "")</f>
        <v/>
      </c>
      <c r="G75" s="20" t="str">
        <f>IFERROR(INDEX('Detalles movimientos'!H$5:H$1004, MATCH(63, 'Detalles movimientos'!$T$5:$T$1004, 0)), "")</f>
        <v/>
      </c>
      <c r="H75" s="21" t="str">
        <f>IFERROR(INDEX('Detalles movimientos'!I$5:I$1004, MATCH(63, 'Detalles movimientos'!$T$5:$T$1004, 0)), "")</f>
        <v/>
      </c>
      <c r="I75" s="20" t="str">
        <f>IFERROR(INDEX('Detalles movimientos'!M$5:M$1004, MATCH(63, 'Detalles movimientos'!$T$5:$T$1004, 0)), "")</f>
        <v/>
      </c>
      <c r="J75" s="19" t="str">
        <f>IFERROR(INDEX('Detalles movimientos'!N$5:N$1004, MATCH(63, 'Detalles movimientos'!$T$5:$T$1004, 0)), "")</f>
        <v/>
      </c>
      <c r="K75" s="20" t="str">
        <f>IFERROR(INDEX('Detalles movimientos'!O$5:O$1004, MATCH(63, 'Detalles movimientos'!$T$5:$T$1004, 0)), "")</f>
        <v/>
      </c>
      <c r="L75" s="18" t="str">
        <f>IFERROR(INDEX('Detalles movimientos'!P$5:P$1004, MATCH(63, 'Detalles movimientos'!$T$5:$T$1004, 0)), "")</f>
        <v/>
      </c>
      <c r="M75" s="18" t="str">
        <f>IFERROR(INDEX('Detalles movimientos'!S$5:S$1004, MATCH(63, 'Detalles movimientos'!$T$5:$T$1004, 0)), "")</f>
        <v/>
      </c>
    </row>
    <row r="76" spans="2:13">
      <c r="B76" s="17" t="str">
        <f>IFERROR(INDEX('Detalles movimientos'!C$5:C$1004, MATCH(64, 'Detalles movimientos'!$T$5:$T$1004, 0)), "")</f>
        <v/>
      </c>
      <c r="C76" s="18" t="str">
        <f>IFERROR(INDEX('Detalles movimientos'!D$5:D$1004, MATCH(64, 'Detalles movimientos'!$T$5:$T$1004, 0)), "")</f>
        <v/>
      </c>
      <c r="D76" s="19" t="str">
        <f>IFERROR(INDEX('Detalles movimientos'!E$5:E$1004, MATCH(64, 'Detalles movimientos'!$T$5:$T$1004, 0)), "")</f>
        <v/>
      </c>
      <c r="E76" s="19" t="str">
        <f>IFERROR(INDEX('Detalles movimientos'!F$5:F$1004, MATCH(64, 'Detalles movimientos'!$T$5:$T$1004, 0)), "")</f>
        <v/>
      </c>
      <c r="F76" s="18" t="str">
        <f>IFERROR(INDEX('Detalles movimientos'!G$5:G$1004, MATCH(64, 'Detalles movimientos'!$T$5:$T$1004, 0)), "")</f>
        <v/>
      </c>
      <c r="G76" s="20" t="str">
        <f>IFERROR(INDEX('Detalles movimientos'!H$5:H$1004, MATCH(64, 'Detalles movimientos'!$T$5:$T$1004, 0)), "")</f>
        <v/>
      </c>
      <c r="H76" s="21" t="str">
        <f>IFERROR(INDEX('Detalles movimientos'!I$5:I$1004, MATCH(64, 'Detalles movimientos'!$T$5:$T$1004, 0)), "")</f>
        <v/>
      </c>
      <c r="I76" s="20" t="str">
        <f>IFERROR(INDEX('Detalles movimientos'!M$5:M$1004, MATCH(64, 'Detalles movimientos'!$T$5:$T$1004, 0)), "")</f>
        <v/>
      </c>
      <c r="J76" s="19" t="str">
        <f>IFERROR(INDEX('Detalles movimientos'!N$5:N$1004, MATCH(64, 'Detalles movimientos'!$T$5:$T$1004, 0)), "")</f>
        <v/>
      </c>
      <c r="K76" s="20" t="str">
        <f>IFERROR(INDEX('Detalles movimientos'!O$5:O$1004, MATCH(64, 'Detalles movimientos'!$T$5:$T$1004, 0)), "")</f>
        <v/>
      </c>
      <c r="L76" s="18" t="str">
        <f>IFERROR(INDEX('Detalles movimientos'!P$5:P$1004, MATCH(64, 'Detalles movimientos'!$T$5:$T$1004, 0)), "")</f>
        <v/>
      </c>
      <c r="M76" s="18" t="str">
        <f>IFERROR(INDEX('Detalles movimientos'!S$5:S$1004, MATCH(64, 'Detalles movimientos'!$T$5:$T$1004, 0)), "")</f>
        <v/>
      </c>
    </row>
    <row r="77" spans="2:13">
      <c r="B77" s="17" t="str">
        <f>IFERROR(INDEX('Detalles movimientos'!C$5:C$1004, MATCH(65, 'Detalles movimientos'!$T$5:$T$1004, 0)), "")</f>
        <v/>
      </c>
      <c r="C77" s="18" t="str">
        <f>IFERROR(INDEX('Detalles movimientos'!D$5:D$1004, MATCH(65, 'Detalles movimientos'!$T$5:$T$1004, 0)), "")</f>
        <v/>
      </c>
      <c r="D77" s="19" t="str">
        <f>IFERROR(INDEX('Detalles movimientos'!E$5:E$1004, MATCH(65, 'Detalles movimientos'!$T$5:$T$1004, 0)), "")</f>
        <v/>
      </c>
      <c r="E77" s="19" t="str">
        <f>IFERROR(INDEX('Detalles movimientos'!F$5:F$1004, MATCH(65, 'Detalles movimientos'!$T$5:$T$1004, 0)), "")</f>
        <v/>
      </c>
      <c r="F77" s="18" t="str">
        <f>IFERROR(INDEX('Detalles movimientos'!G$5:G$1004, MATCH(65, 'Detalles movimientos'!$T$5:$T$1004, 0)), "")</f>
        <v/>
      </c>
      <c r="G77" s="20" t="str">
        <f>IFERROR(INDEX('Detalles movimientos'!H$5:H$1004, MATCH(65, 'Detalles movimientos'!$T$5:$T$1004, 0)), "")</f>
        <v/>
      </c>
      <c r="H77" s="21" t="str">
        <f>IFERROR(INDEX('Detalles movimientos'!I$5:I$1004, MATCH(65, 'Detalles movimientos'!$T$5:$T$1004, 0)), "")</f>
        <v/>
      </c>
      <c r="I77" s="20" t="str">
        <f>IFERROR(INDEX('Detalles movimientos'!M$5:M$1004, MATCH(65, 'Detalles movimientos'!$T$5:$T$1004, 0)), "")</f>
        <v/>
      </c>
      <c r="J77" s="19" t="str">
        <f>IFERROR(INDEX('Detalles movimientos'!N$5:N$1004, MATCH(65, 'Detalles movimientos'!$T$5:$T$1004, 0)), "")</f>
        <v/>
      </c>
      <c r="K77" s="20" t="str">
        <f>IFERROR(INDEX('Detalles movimientos'!O$5:O$1004, MATCH(65, 'Detalles movimientos'!$T$5:$T$1004, 0)), "")</f>
        <v/>
      </c>
      <c r="L77" s="18" t="str">
        <f>IFERROR(INDEX('Detalles movimientos'!P$5:P$1004, MATCH(65, 'Detalles movimientos'!$T$5:$T$1004, 0)), "")</f>
        <v/>
      </c>
      <c r="M77" s="18" t="str">
        <f>IFERROR(INDEX('Detalles movimientos'!S$5:S$1004, MATCH(65, 'Detalles movimientos'!$T$5:$T$1004, 0)), "")</f>
        <v/>
      </c>
    </row>
    <row r="78" spans="2:13">
      <c r="B78" s="17" t="str">
        <f>IFERROR(INDEX('Detalles movimientos'!C$5:C$1004, MATCH(66, 'Detalles movimientos'!$T$5:$T$1004, 0)), "")</f>
        <v/>
      </c>
      <c r="C78" s="18" t="str">
        <f>IFERROR(INDEX('Detalles movimientos'!D$5:D$1004, MATCH(66, 'Detalles movimientos'!$T$5:$T$1004, 0)), "")</f>
        <v/>
      </c>
      <c r="D78" s="19" t="str">
        <f>IFERROR(INDEX('Detalles movimientos'!E$5:E$1004, MATCH(66, 'Detalles movimientos'!$T$5:$T$1004, 0)), "")</f>
        <v/>
      </c>
      <c r="E78" s="19" t="str">
        <f>IFERROR(INDEX('Detalles movimientos'!F$5:F$1004, MATCH(66, 'Detalles movimientos'!$T$5:$T$1004, 0)), "")</f>
        <v/>
      </c>
      <c r="F78" s="18" t="str">
        <f>IFERROR(INDEX('Detalles movimientos'!G$5:G$1004, MATCH(66, 'Detalles movimientos'!$T$5:$T$1004, 0)), "")</f>
        <v/>
      </c>
      <c r="G78" s="20" t="str">
        <f>IFERROR(INDEX('Detalles movimientos'!H$5:H$1004, MATCH(66, 'Detalles movimientos'!$T$5:$T$1004, 0)), "")</f>
        <v/>
      </c>
      <c r="H78" s="21" t="str">
        <f>IFERROR(INDEX('Detalles movimientos'!I$5:I$1004, MATCH(66, 'Detalles movimientos'!$T$5:$T$1004, 0)), "")</f>
        <v/>
      </c>
      <c r="I78" s="20" t="str">
        <f>IFERROR(INDEX('Detalles movimientos'!M$5:M$1004, MATCH(66, 'Detalles movimientos'!$T$5:$T$1004, 0)), "")</f>
        <v/>
      </c>
      <c r="J78" s="19" t="str">
        <f>IFERROR(INDEX('Detalles movimientos'!N$5:N$1004, MATCH(66, 'Detalles movimientos'!$T$5:$T$1004, 0)), "")</f>
        <v/>
      </c>
      <c r="K78" s="20" t="str">
        <f>IFERROR(INDEX('Detalles movimientos'!O$5:O$1004, MATCH(66, 'Detalles movimientos'!$T$5:$T$1004, 0)), "")</f>
        <v/>
      </c>
      <c r="L78" s="18" t="str">
        <f>IFERROR(INDEX('Detalles movimientos'!P$5:P$1004, MATCH(66, 'Detalles movimientos'!$T$5:$T$1004, 0)), "")</f>
        <v/>
      </c>
      <c r="M78" s="18" t="str">
        <f>IFERROR(INDEX('Detalles movimientos'!S$5:S$1004, MATCH(66, 'Detalles movimientos'!$T$5:$T$1004, 0)), "")</f>
        <v/>
      </c>
    </row>
    <row r="79" spans="2:13">
      <c r="B79" s="17" t="str">
        <f>IFERROR(INDEX('Detalles movimientos'!C$5:C$1004, MATCH(67, 'Detalles movimientos'!$T$5:$T$1004, 0)), "")</f>
        <v/>
      </c>
      <c r="C79" s="18" t="str">
        <f>IFERROR(INDEX('Detalles movimientos'!D$5:D$1004, MATCH(67, 'Detalles movimientos'!$T$5:$T$1004, 0)), "")</f>
        <v/>
      </c>
      <c r="D79" s="19" t="str">
        <f>IFERROR(INDEX('Detalles movimientos'!E$5:E$1004, MATCH(67, 'Detalles movimientos'!$T$5:$T$1004, 0)), "")</f>
        <v/>
      </c>
      <c r="E79" s="19" t="str">
        <f>IFERROR(INDEX('Detalles movimientos'!F$5:F$1004, MATCH(67, 'Detalles movimientos'!$T$5:$T$1004, 0)), "")</f>
        <v/>
      </c>
      <c r="F79" s="18" t="str">
        <f>IFERROR(INDEX('Detalles movimientos'!G$5:G$1004, MATCH(67, 'Detalles movimientos'!$T$5:$T$1004, 0)), "")</f>
        <v/>
      </c>
      <c r="G79" s="20" t="str">
        <f>IFERROR(INDEX('Detalles movimientos'!H$5:H$1004, MATCH(67, 'Detalles movimientos'!$T$5:$T$1004, 0)), "")</f>
        <v/>
      </c>
      <c r="H79" s="21" t="str">
        <f>IFERROR(INDEX('Detalles movimientos'!I$5:I$1004, MATCH(67, 'Detalles movimientos'!$T$5:$T$1004, 0)), "")</f>
        <v/>
      </c>
      <c r="I79" s="20" t="str">
        <f>IFERROR(INDEX('Detalles movimientos'!M$5:M$1004, MATCH(67, 'Detalles movimientos'!$T$5:$T$1004, 0)), "")</f>
        <v/>
      </c>
      <c r="J79" s="19" t="str">
        <f>IFERROR(INDEX('Detalles movimientos'!N$5:N$1004, MATCH(67, 'Detalles movimientos'!$T$5:$T$1004, 0)), "")</f>
        <v/>
      </c>
      <c r="K79" s="20" t="str">
        <f>IFERROR(INDEX('Detalles movimientos'!O$5:O$1004, MATCH(67, 'Detalles movimientos'!$T$5:$T$1004, 0)), "")</f>
        <v/>
      </c>
      <c r="L79" s="18" t="str">
        <f>IFERROR(INDEX('Detalles movimientos'!P$5:P$1004, MATCH(67, 'Detalles movimientos'!$T$5:$T$1004, 0)), "")</f>
        <v/>
      </c>
      <c r="M79" s="18" t="str">
        <f>IFERROR(INDEX('Detalles movimientos'!S$5:S$1004, MATCH(67, 'Detalles movimientos'!$T$5:$T$1004, 0)), "")</f>
        <v/>
      </c>
    </row>
    <row r="80" spans="2:13">
      <c r="B80" s="17" t="str">
        <f>IFERROR(INDEX('Detalles movimientos'!C$5:C$1004, MATCH(68, 'Detalles movimientos'!$T$5:$T$1004, 0)), "")</f>
        <v/>
      </c>
      <c r="C80" s="18" t="str">
        <f>IFERROR(INDEX('Detalles movimientos'!D$5:D$1004, MATCH(68, 'Detalles movimientos'!$T$5:$T$1004, 0)), "")</f>
        <v/>
      </c>
      <c r="D80" s="19" t="str">
        <f>IFERROR(INDEX('Detalles movimientos'!E$5:E$1004, MATCH(68, 'Detalles movimientos'!$T$5:$T$1004, 0)), "")</f>
        <v/>
      </c>
      <c r="E80" s="19" t="str">
        <f>IFERROR(INDEX('Detalles movimientos'!F$5:F$1004, MATCH(68, 'Detalles movimientos'!$T$5:$T$1004, 0)), "")</f>
        <v/>
      </c>
      <c r="F80" s="18" t="str">
        <f>IFERROR(INDEX('Detalles movimientos'!G$5:G$1004, MATCH(68, 'Detalles movimientos'!$T$5:$T$1004, 0)), "")</f>
        <v/>
      </c>
      <c r="G80" s="20" t="str">
        <f>IFERROR(INDEX('Detalles movimientos'!H$5:H$1004, MATCH(68, 'Detalles movimientos'!$T$5:$T$1004, 0)), "")</f>
        <v/>
      </c>
      <c r="H80" s="21" t="str">
        <f>IFERROR(INDEX('Detalles movimientos'!I$5:I$1004, MATCH(68, 'Detalles movimientos'!$T$5:$T$1004, 0)), "")</f>
        <v/>
      </c>
      <c r="I80" s="20" t="str">
        <f>IFERROR(INDEX('Detalles movimientos'!M$5:M$1004, MATCH(68, 'Detalles movimientos'!$T$5:$T$1004, 0)), "")</f>
        <v/>
      </c>
      <c r="J80" s="19" t="str">
        <f>IFERROR(INDEX('Detalles movimientos'!N$5:N$1004, MATCH(68, 'Detalles movimientos'!$T$5:$T$1004, 0)), "")</f>
        <v/>
      </c>
      <c r="K80" s="20" t="str">
        <f>IFERROR(INDEX('Detalles movimientos'!O$5:O$1004, MATCH(68, 'Detalles movimientos'!$T$5:$T$1004, 0)), "")</f>
        <v/>
      </c>
      <c r="L80" s="18" t="str">
        <f>IFERROR(INDEX('Detalles movimientos'!P$5:P$1004, MATCH(68, 'Detalles movimientos'!$T$5:$T$1004, 0)), "")</f>
        <v/>
      </c>
      <c r="M80" s="18" t="str">
        <f>IFERROR(INDEX('Detalles movimientos'!S$5:S$1004, MATCH(68, 'Detalles movimientos'!$T$5:$T$1004, 0)), "")</f>
        <v/>
      </c>
    </row>
    <row r="81" spans="2:13">
      <c r="B81" s="17" t="str">
        <f>IFERROR(INDEX('Detalles movimientos'!C$5:C$1004, MATCH(69, 'Detalles movimientos'!$T$5:$T$1004, 0)), "")</f>
        <v/>
      </c>
      <c r="C81" s="18" t="str">
        <f>IFERROR(INDEX('Detalles movimientos'!D$5:D$1004, MATCH(69, 'Detalles movimientos'!$T$5:$T$1004, 0)), "")</f>
        <v/>
      </c>
      <c r="D81" s="19" t="str">
        <f>IFERROR(INDEX('Detalles movimientos'!E$5:E$1004, MATCH(69, 'Detalles movimientos'!$T$5:$T$1004, 0)), "")</f>
        <v/>
      </c>
      <c r="E81" s="19" t="str">
        <f>IFERROR(INDEX('Detalles movimientos'!F$5:F$1004, MATCH(69, 'Detalles movimientos'!$T$5:$T$1004, 0)), "")</f>
        <v/>
      </c>
      <c r="F81" s="18" t="str">
        <f>IFERROR(INDEX('Detalles movimientos'!G$5:G$1004, MATCH(69, 'Detalles movimientos'!$T$5:$T$1004, 0)), "")</f>
        <v/>
      </c>
      <c r="G81" s="20" t="str">
        <f>IFERROR(INDEX('Detalles movimientos'!H$5:H$1004, MATCH(69, 'Detalles movimientos'!$T$5:$T$1004, 0)), "")</f>
        <v/>
      </c>
      <c r="H81" s="21" t="str">
        <f>IFERROR(INDEX('Detalles movimientos'!I$5:I$1004, MATCH(69, 'Detalles movimientos'!$T$5:$T$1004, 0)), "")</f>
        <v/>
      </c>
      <c r="I81" s="20" t="str">
        <f>IFERROR(INDEX('Detalles movimientos'!M$5:M$1004, MATCH(69, 'Detalles movimientos'!$T$5:$T$1004, 0)), "")</f>
        <v/>
      </c>
      <c r="J81" s="19" t="str">
        <f>IFERROR(INDEX('Detalles movimientos'!N$5:N$1004, MATCH(69, 'Detalles movimientos'!$T$5:$T$1004, 0)), "")</f>
        <v/>
      </c>
      <c r="K81" s="20" t="str">
        <f>IFERROR(INDEX('Detalles movimientos'!O$5:O$1004, MATCH(69, 'Detalles movimientos'!$T$5:$T$1004, 0)), "")</f>
        <v/>
      </c>
      <c r="L81" s="18" t="str">
        <f>IFERROR(INDEX('Detalles movimientos'!P$5:P$1004, MATCH(69, 'Detalles movimientos'!$T$5:$T$1004, 0)), "")</f>
        <v/>
      </c>
      <c r="M81" s="18" t="str">
        <f>IFERROR(INDEX('Detalles movimientos'!S$5:S$1004, MATCH(69, 'Detalles movimientos'!$T$5:$T$1004, 0)), "")</f>
        <v/>
      </c>
    </row>
    <row r="82" spans="2:13">
      <c r="B82" s="17" t="str">
        <f>IFERROR(INDEX('Detalles movimientos'!C$5:C$1004, MATCH(70, 'Detalles movimientos'!$T$5:$T$1004, 0)), "")</f>
        <v/>
      </c>
      <c r="C82" s="18" t="str">
        <f>IFERROR(INDEX('Detalles movimientos'!D$5:D$1004, MATCH(70, 'Detalles movimientos'!$T$5:$T$1004, 0)), "")</f>
        <v/>
      </c>
      <c r="D82" s="19" t="str">
        <f>IFERROR(INDEX('Detalles movimientos'!E$5:E$1004, MATCH(70, 'Detalles movimientos'!$T$5:$T$1004, 0)), "")</f>
        <v/>
      </c>
      <c r="E82" s="19" t="str">
        <f>IFERROR(INDEX('Detalles movimientos'!F$5:F$1004, MATCH(70, 'Detalles movimientos'!$T$5:$T$1004, 0)), "")</f>
        <v/>
      </c>
      <c r="F82" s="18" t="str">
        <f>IFERROR(INDEX('Detalles movimientos'!G$5:G$1004, MATCH(70, 'Detalles movimientos'!$T$5:$T$1004, 0)), "")</f>
        <v/>
      </c>
      <c r="G82" s="20" t="str">
        <f>IFERROR(INDEX('Detalles movimientos'!H$5:H$1004, MATCH(70, 'Detalles movimientos'!$T$5:$T$1004, 0)), "")</f>
        <v/>
      </c>
      <c r="H82" s="21" t="str">
        <f>IFERROR(INDEX('Detalles movimientos'!I$5:I$1004, MATCH(70, 'Detalles movimientos'!$T$5:$T$1004, 0)), "")</f>
        <v/>
      </c>
      <c r="I82" s="20" t="str">
        <f>IFERROR(INDEX('Detalles movimientos'!M$5:M$1004, MATCH(70, 'Detalles movimientos'!$T$5:$T$1004, 0)), "")</f>
        <v/>
      </c>
      <c r="J82" s="19" t="str">
        <f>IFERROR(INDEX('Detalles movimientos'!N$5:N$1004, MATCH(70, 'Detalles movimientos'!$T$5:$T$1004, 0)), "")</f>
        <v/>
      </c>
      <c r="K82" s="20" t="str">
        <f>IFERROR(INDEX('Detalles movimientos'!O$5:O$1004, MATCH(70, 'Detalles movimientos'!$T$5:$T$1004, 0)), "")</f>
        <v/>
      </c>
      <c r="L82" s="18" t="str">
        <f>IFERROR(INDEX('Detalles movimientos'!P$5:P$1004, MATCH(70, 'Detalles movimientos'!$T$5:$T$1004, 0)), "")</f>
        <v/>
      </c>
      <c r="M82" s="18" t="str">
        <f>IFERROR(INDEX('Detalles movimientos'!S$5:S$1004, MATCH(70, 'Detalles movimientos'!$T$5:$T$1004, 0)), "")</f>
        <v/>
      </c>
    </row>
    <row r="83" spans="2:13">
      <c r="B83" s="17" t="str">
        <f>IFERROR(INDEX('Detalles movimientos'!C$5:C$1004, MATCH(71, 'Detalles movimientos'!$T$5:$T$1004, 0)), "")</f>
        <v/>
      </c>
      <c r="C83" s="18" t="str">
        <f>IFERROR(INDEX('Detalles movimientos'!D$5:D$1004, MATCH(71, 'Detalles movimientos'!$T$5:$T$1004, 0)), "")</f>
        <v/>
      </c>
      <c r="D83" s="19" t="str">
        <f>IFERROR(INDEX('Detalles movimientos'!E$5:E$1004, MATCH(71, 'Detalles movimientos'!$T$5:$T$1004, 0)), "")</f>
        <v/>
      </c>
      <c r="E83" s="19" t="str">
        <f>IFERROR(INDEX('Detalles movimientos'!F$5:F$1004, MATCH(71, 'Detalles movimientos'!$T$5:$T$1004, 0)), "")</f>
        <v/>
      </c>
      <c r="F83" s="18" t="str">
        <f>IFERROR(INDEX('Detalles movimientos'!G$5:G$1004, MATCH(71, 'Detalles movimientos'!$T$5:$T$1004, 0)), "")</f>
        <v/>
      </c>
      <c r="G83" s="20" t="str">
        <f>IFERROR(INDEX('Detalles movimientos'!H$5:H$1004, MATCH(71, 'Detalles movimientos'!$T$5:$T$1004, 0)), "")</f>
        <v/>
      </c>
      <c r="H83" s="21" t="str">
        <f>IFERROR(INDEX('Detalles movimientos'!I$5:I$1004, MATCH(71, 'Detalles movimientos'!$T$5:$T$1004, 0)), "")</f>
        <v/>
      </c>
      <c r="I83" s="20" t="str">
        <f>IFERROR(INDEX('Detalles movimientos'!M$5:M$1004, MATCH(71, 'Detalles movimientos'!$T$5:$T$1004, 0)), "")</f>
        <v/>
      </c>
      <c r="J83" s="19" t="str">
        <f>IFERROR(INDEX('Detalles movimientos'!N$5:N$1004, MATCH(71, 'Detalles movimientos'!$T$5:$T$1004, 0)), "")</f>
        <v/>
      </c>
      <c r="K83" s="20" t="str">
        <f>IFERROR(INDEX('Detalles movimientos'!O$5:O$1004, MATCH(71, 'Detalles movimientos'!$T$5:$T$1004, 0)), "")</f>
        <v/>
      </c>
      <c r="L83" s="18" t="str">
        <f>IFERROR(INDEX('Detalles movimientos'!P$5:P$1004, MATCH(71, 'Detalles movimientos'!$T$5:$T$1004, 0)), "")</f>
        <v/>
      </c>
      <c r="M83" s="18" t="str">
        <f>IFERROR(INDEX('Detalles movimientos'!S$5:S$1004, MATCH(71, 'Detalles movimientos'!$T$5:$T$1004, 0)), "")</f>
        <v/>
      </c>
    </row>
    <row r="84" spans="2:13">
      <c r="B84" s="17" t="str">
        <f>IFERROR(INDEX('Detalles movimientos'!C$5:C$1004, MATCH(72, 'Detalles movimientos'!$T$5:$T$1004, 0)), "")</f>
        <v/>
      </c>
      <c r="C84" s="18" t="str">
        <f>IFERROR(INDEX('Detalles movimientos'!D$5:D$1004, MATCH(72, 'Detalles movimientos'!$T$5:$T$1004, 0)), "")</f>
        <v/>
      </c>
      <c r="D84" s="19" t="str">
        <f>IFERROR(INDEX('Detalles movimientos'!E$5:E$1004, MATCH(72, 'Detalles movimientos'!$T$5:$T$1004, 0)), "")</f>
        <v/>
      </c>
      <c r="E84" s="19" t="str">
        <f>IFERROR(INDEX('Detalles movimientos'!F$5:F$1004, MATCH(72, 'Detalles movimientos'!$T$5:$T$1004, 0)), "")</f>
        <v/>
      </c>
      <c r="F84" s="18" t="str">
        <f>IFERROR(INDEX('Detalles movimientos'!G$5:G$1004, MATCH(72, 'Detalles movimientos'!$T$5:$T$1004, 0)), "")</f>
        <v/>
      </c>
      <c r="G84" s="20" t="str">
        <f>IFERROR(INDEX('Detalles movimientos'!H$5:H$1004, MATCH(72, 'Detalles movimientos'!$T$5:$T$1004, 0)), "")</f>
        <v/>
      </c>
      <c r="H84" s="21" t="str">
        <f>IFERROR(INDEX('Detalles movimientos'!I$5:I$1004, MATCH(72, 'Detalles movimientos'!$T$5:$T$1004, 0)), "")</f>
        <v/>
      </c>
      <c r="I84" s="20" t="str">
        <f>IFERROR(INDEX('Detalles movimientos'!M$5:M$1004, MATCH(72, 'Detalles movimientos'!$T$5:$T$1004, 0)), "")</f>
        <v/>
      </c>
      <c r="J84" s="19" t="str">
        <f>IFERROR(INDEX('Detalles movimientos'!N$5:N$1004, MATCH(72, 'Detalles movimientos'!$T$5:$T$1004, 0)), "")</f>
        <v/>
      </c>
      <c r="K84" s="20" t="str">
        <f>IFERROR(INDEX('Detalles movimientos'!O$5:O$1004, MATCH(72, 'Detalles movimientos'!$T$5:$T$1004, 0)), "")</f>
        <v/>
      </c>
      <c r="L84" s="18" t="str">
        <f>IFERROR(INDEX('Detalles movimientos'!P$5:P$1004, MATCH(72, 'Detalles movimientos'!$T$5:$T$1004, 0)), "")</f>
        <v/>
      </c>
      <c r="M84" s="18" t="str">
        <f>IFERROR(INDEX('Detalles movimientos'!S$5:S$1004, MATCH(72, 'Detalles movimientos'!$T$5:$T$1004, 0)), "")</f>
        <v/>
      </c>
    </row>
    <row r="85" spans="2:13">
      <c r="B85" s="17" t="str">
        <f>IFERROR(INDEX('Detalles movimientos'!C$5:C$1004, MATCH(73, 'Detalles movimientos'!$T$5:$T$1004, 0)), "")</f>
        <v/>
      </c>
      <c r="C85" s="18" t="str">
        <f>IFERROR(INDEX('Detalles movimientos'!D$5:D$1004, MATCH(73, 'Detalles movimientos'!$T$5:$T$1004, 0)), "")</f>
        <v/>
      </c>
      <c r="D85" s="19" t="str">
        <f>IFERROR(INDEX('Detalles movimientos'!E$5:E$1004, MATCH(73, 'Detalles movimientos'!$T$5:$T$1004, 0)), "")</f>
        <v/>
      </c>
      <c r="E85" s="19" t="str">
        <f>IFERROR(INDEX('Detalles movimientos'!F$5:F$1004, MATCH(73, 'Detalles movimientos'!$T$5:$T$1004, 0)), "")</f>
        <v/>
      </c>
      <c r="F85" s="18" t="str">
        <f>IFERROR(INDEX('Detalles movimientos'!G$5:G$1004, MATCH(73, 'Detalles movimientos'!$T$5:$T$1004, 0)), "")</f>
        <v/>
      </c>
      <c r="G85" s="20" t="str">
        <f>IFERROR(INDEX('Detalles movimientos'!H$5:H$1004, MATCH(73, 'Detalles movimientos'!$T$5:$T$1004, 0)), "")</f>
        <v/>
      </c>
      <c r="H85" s="21" t="str">
        <f>IFERROR(INDEX('Detalles movimientos'!I$5:I$1004, MATCH(73, 'Detalles movimientos'!$T$5:$T$1004, 0)), "")</f>
        <v/>
      </c>
      <c r="I85" s="20" t="str">
        <f>IFERROR(INDEX('Detalles movimientos'!M$5:M$1004, MATCH(73, 'Detalles movimientos'!$T$5:$T$1004, 0)), "")</f>
        <v/>
      </c>
      <c r="J85" s="19" t="str">
        <f>IFERROR(INDEX('Detalles movimientos'!N$5:N$1004, MATCH(73, 'Detalles movimientos'!$T$5:$T$1004, 0)), "")</f>
        <v/>
      </c>
      <c r="K85" s="20" t="str">
        <f>IFERROR(INDEX('Detalles movimientos'!O$5:O$1004, MATCH(73, 'Detalles movimientos'!$T$5:$T$1004, 0)), "")</f>
        <v/>
      </c>
      <c r="L85" s="18" t="str">
        <f>IFERROR(INDEX('Detalles movimientos'!P$5:P$1004, MATCH(73, 'Detalles movimientos'!$T$5:$T$1004, 0)), "")</f>
        <v/>
      </c>
      <c r="M85" s="18" t="str">
        <f>IFERROR(INDEX('Detalles movimientos'!S$5:S$1004, MATCH(73, 'Detalles movimientos'!$T$5:$T$1004, 0)), "")</f>
        <v/>
      </c>
    </row>
    <row r="86" spans="2:13">
      <c r="B86" s="17" t="str">
        <f>IFERROR(INDEX('Detalles movimientos'!C$5:C$1004, MATCH(74, 'Detalles movimientos'!$T$5:$T$1004, 0)), "")</f>
        <v/>
      </c>
      <c r="C86" s="18" t="str">
        <f>IFERROR(INDEX('Detalles movimientos'!D$5:D$1004, MATCH(74, 'Detalles movimientos'!$T$5:$T$1004, 0)), "")</f>
        <v/>
      </c>
      <c r="D86" s="19" t="str">
        <f>IFERROR(INDEX('Detalles movimientos'!E$5:E$1004, MATCH(74, 'Detalles movimientos'!$T$5:$T$1004, 0)), "")</f>
        <v/>
      </c>
      <c r="E86" s="19" t="str">
        <f>IFERROR(INDEX('Detalles movimientos'!F$5:F$1004, MATCH(74, 'Detalles movimientos'!$T$5:$T$1004, 0)), "")</f>
        <v/>
      </c>
      <c r="F86" s="18" t="str">
        <f>IFERROR(INDEX('Detalles movimientos'!G$5:G$1004, MATCH(74, 'Detalles movimientos'!$T$5:$T$1004, 0)), "")</f>
        <v/>
      </c>
      <c r="G86" s="20" t="str">
        <f>IFERROR(INDEX('Detalles movimientos'!H$5:H$1004, MATCH(74, 'Detalles movimientos'!$T$5:$T$1004, 0)), "")</f>
        <v/>
      </c>
      <c r="H86" s="21" t="str">
        <f>IFERROR(INDEX('Detalles movimientos'!I$5:I$1004, MATCH(74, 'Detalles movimientos'!$T$5:$T$1004, 0)), "")</f>
        <v/>
      </c>
      <c r="I86" s="20" t="str">
        <f>IFERROR(INDEX('Detalles movimientos'!M$5:M$1004, MATCH(74, 'Detalles movimientos'!$T$5:$T$1004, 0)), "")</f>
        <v/>
      </c>
      <c r="J86" s="19" t="str">
        <f>IFERROR(INDEX('Detalles movimientos'!N$5:N$1004, MATCH(74, 'Detalles movimientos'!$T$5:$T$1004, 0)), "")</f>
        <v/>
      </c>
      <c r="K86" s="20" t="str">
        <f>IFERROR(INDEX('Detalles movimientos'!O$5:O$1004, MATCH(74, 'Detalles movimientos'!$T$5:$T$1004, 0)), "")</f>
        <v/>
      </c>
      <c r="L86" s="18" t="str">
        <f>IFERROR(INDEX('Detalles movimientos'!P$5:P$1004, MATCH(74, 'Detalles movimientos'!$T$5:$T$1004, 0)), "")</f>
        <v/>
      </c>
      <c r="M86" s="18" t="str">
        <f>IFERROR(INDEX('Detalles movimientos'!S$5:S$1004, MATCH(74, 'Detalles movimientos'!$T$5:$T$1004, 0)), "")</f>
        <v/>
      </c>
    </row>
    <row r="87" spans="2:13">
      <c r="B87" s="17" t="str">
        <f>IFERROR(INDEX('Detalles movimientos'!C$5:C$1004, MATCH(75, 'Detalles movimientos'!$T$5:$T$1004, 0)), "")</f>
        <v/>
      </c>
      <c r="C87" s="18" t="str">
        <f>IFERROR(INDEX('Detalles movimientos'!D$5:D$1004, MATCH(75, 'Detalles movimientos'!$T$5:$T$1004, 0)), "")</f>
        <v/>
      </c>
      <c r="D87" s="19" t="str">
        <f>IFERROR(INDEX('Detalles movimientos'!E$5:E$1004, MATCH(75, 'Detalles movimientos'!$T$5:$T$1004, 0)), "")</f>
        <v/>
      </c>
      <c r="E87" s="19" t="str">
        <f>IFERROR(INDEX('Detalles movimientos'!F$5:F$1004, MATCH(75, 'Detalles movimientos'!$T$5:$T$1004, 0)), "")</f>
        <v/>
      </c>
      <c r="F87" s="18" t="str">
        <f>IFERROR(INDEX('Detalles movimientos'!G$5:G$1004, MATCH(75, 'Detalles movimientos'!$T$5:$T$1004, 0)), "")</f>
        <v/>
      </c>
      <c r="G87" s="20" t="str">
        <f>IFERROR(INDEX('Detalles movimientos'!H$5:H$1004, MATCH(75, 'Detalles movimientos'!$T$5:$T$1004, 0)), "")</f>
        <v/>
      </c>
      <c r="H87" s="21" t="str">
        <f>IFERROR(INDEX('Detalles movimientos'!I$5:I$1004, MATCH(75, 'Detalles movimientos'!$T$5:$T$1004, 0)), "")</f>
        <v/>
      </c>
      <c r="I87" s="20" t="str">
        <f>IFERROR(INDEX('Detalles movimientos'!M$5:M$1004, MATCH(75, 'Detalles movimientos'!$T$5:$T$1004, 0)), "")</f>
        <v/>
      </c>
      <c r="J87" s="19" t="str">
        <f>IFERROR(INDEX('Detalles movimientos'!N$5:N$1004, MATCH(75, 'Detalles movimientos'!$T$5:$T$1004, 0)), "")</f>
        <v/>
      </c>
      <c r="K87" s="20" t="str">
        <f>IFERROR(INDEX('Detalles movimientos'!O$5:O$1004, MATCH(75, 'Detalles movimientos'!$T$5:$T$1004, 0)), "")</f>
        <v/>
      </c>
      <c r="L87" s="18" t="str">
        <f>IFERROR(INDEX('Detalles movimientos'!P$5:P$1004, MATCH(75, 'Detalles movimientos'!$T$5:$T$1004, 0)), "")</f>
        <v/>
      </c>
      <c r="M87" s="18" t="str">
        <f>IFERROR(INDEX('Detalles movimientos'!S$5:S$1004, MATCH(75, 'Detalles movimientos'!$T$5:$T$1004, 0)), "")</f>
        <v/>
      </c>
    </row>
    <row r="88" spans="2:13">
      <c r="B88" s="17" t="str">
        <f>IFERROR(INDEX('Detalles movimientos'!C$5:C$1004, MATCH(76, 'Detalles movimientos'!$T$5:$T$1004, 0)), "")</f>
        <v/>
      </c>
      <c r="C88" s="18" t="str">
        <f>IFERROR(INDEX('Detalles movimientos'!D$5:D$1004, MATCH(76, 'Detalles movimientos'!$T$5:$T$1004, 0)), "")</f>
        <v/>
      </c>
      <c r="D88" s="19" t="str">
        <f>IFERROR(INDEX('Detalles movimientos'!E$5:E$1004, MATCH(76, 'Detalles movimientos'!$T$5:$T$1004, 0)), "")</f>
        <v/>
      </c>
      <c r="E88" s="19" t="str">
        <f>IFERROR(INDEX('Detalles movimientos'!F$5:F$1004, MATCH(76, 'Detalles movimientos'!$T$5:$T$1004, 0)), "")</f>
        <v/>
      </c>
      <c r="F88" s="18" t="str">
        <f>IFERROR(INDEX('Detalles movimientos'!G$5:G$1004, MATCH(76, 'Detalles movimientos'!$T$5:$T$1004, 0)), "")</f>
        <v/>
      </c>
      <c r="G88" s="20" t="str">
        <f>IFERROR(INDEX('Detalles movimientos'!H$5:H$1004, MATCH(76, 'Detalles movimientos'!$T$5:$T$1004, 0)), "")</f>
        <v/>
      </c>
      <c r="H88" s="21" t="str">
        <f>IFERROR(INDEX('Detalles movimientos'!I$5:I$1004, MATCH(76, 'Detalles movimientos'!$T$5:$T$1004, 0)), "")</f>
        <v/>
      </c>
      <c r="I88" s="20" t="str">
        <f>IFERROR(INDEX('Detalles movimientos'!M$5:M$1004, MATCH(76, 'Detalles movimientos'!$T$5:$T$1004, 0)), "")</f>
        <v/>
      </c>
      <c r="J88" s="19" t="str">
        <f>IFERROR(INDEX('Detalles movimientos'!N$5:N$1004, MATCH(76, 'Detalles movimientos'!$T$5:$T$1004, 0)), "")</f>
        <v/>
      </c>
      <c r="K88" s="20" t="str">
        <f>IFERROR(INDEX('Detalles movimientos'!O$5:O$1004, MATCH(76, 'Detalles movimientos'!$T$5:$T$1004, 0)), "")</f>
        <v/>
      </c>
      <c r="L88" s="18" t="str">
        <f>IFERROR(INDEX('Detalles movimientos'!P$5:P$1004, MATCH(76, 'Detalles movimientos'!$T$5:$T$1004, 0)), "")</f>
        <v/>
      </c>
      <c r="M88" s="18" t="str">
        <f>IFERROR(INDEX('Detalles movimientos'!S$5:S$1004, MATCH(76, 'Detalles movimientos'!$T$5:$T$1004, 0)), "")</f>
        <v/>
      </c>
    </row>
    <row r="89" spans="2:13">
      <c r="B89" s="17" t="str">
        <f>IFERROR(INDEX('Detalles movimientos'!C$5:C$1004, MATCH(77, 'Detalles movimientos'!$T$5:$T$1004, 0)), "")</f>
        <v/>
      </c>
      <c r="C89" s="18" t="str">
        <f>IFERROR(INDEX('Detalles movimientos'!D$5:D$1004, MATCH(77, 'Detalles movimientos'!$T$5:$T$1004, 0)), "")</f>
        <v/>
      </c>
      <c r="D89" s="19" t="str">
        <f>IFERROR(INDEX('Detalles movimientos'!E$5:E$1004, MATCH(77, 'Detalles movimientos'!$T$5:$T$1004, 0)), "")</f>
        <v/>
      </c>
      <c r="E89" s="19" t="str">
        <f>IFERROR(INDEX('Detalles movimientos'!F$5:F$1004, MATCH(77, 'Detalles movimientos'!$T$5:$T$1004, 0)), "")</f>
        <v/>
      </c>
      <c r="F89" s="18" t="str">
        <f>IFERROR(INDEX('Detalles movimientos'!G$5:G$1004, MATCH(77, 'Detalles movimientos'!$T$5:$T$1004, 0)), "")</f>
        <v/>
      </c>
      <c r="G89" s="20" t="str">
        <f>IFERROR(INDEX('Detalles movimientos'!H$5:H$1004, MATCH(77, 'Detalles movimientos'!$T$5:$T$1004, 0)), "")</f>
        <v/>
      </c>
      <c r="H89" s="21" t="str">
        <f>IFERROR(INDEX('Detalles movimientos'!I$5:I$1004, MATCH(77, 'Detalles movimientos'!$T$5:$T$1004, 0)), "")</f>
        <v/>
      </c>
      <c r="I89" s="20" t="str">
        <f>IFERROR(INDEX('Detalles movimientos'!M$5:M$1004, MATCH(77, 'Detalles movimientos'!$T$5:$T$1004, 0)), "")</f>
        <v/>
      </c>
      <c r="J89" s="19" t="str">
        <f>IFERROR(INDEX('Detalles movimientos'!N$5:N$1004, MATCH(77, 'Detalles movimientos'!$T$5:$T$1004, 0)), "")</f>
        <v/>
      </c>
      <c r="K89" s="20" t="str">
        <f>IFERROR(INDEX('Detalles movimientos'!O$5:O$1004, MATCH(77, 'Detalles movimientos'!$T$5:$T$1004, 0)), "")</f>
        <v/>
      </c>
      <c r="L89" s="18" t="str">
        <f>IFERROR(INDEX('Detalles movimientos'!P$5:P$1004, MATCH(77, 'Detalles movimientos'!$T$5:$T$1004, 0)), "")</f>
        <v/>
      </c>
      <c r="M89" s="18" t="str">
        <f>IFERROR(INDEX('Detalles movimientos'!S$5:S$1004, MATCH(77, 'Detalles movimientos'!$T$5:$T$1004, 0)), "")</f>
        <v/>
      </c>
    </row>
    <row r="90" spans="2:13">
      <c r="B90" s="17" t="str">
        <f>IFERROR(INDEX('Detalles movimientos'!C$5:C$1004, MATCH(78, 'Detalles movimientos'!$T$5:$T$1004, 0)), "")</f>
        <v/>
      </c>
      <c r="C90" s="18" t="str">
        <f>IFERROR(INDEX('Detalles movimientos'!D$5:D$1004, MATCH(78, 'Detalles movimientos'!$T$5:$T$1004, 0)), "")</f>
        <v/>
      </c>
      <c r="D90" s="19" t="str">
        <f>IFERROR(INDEX('Detalles movimientos'!E$5:E$1004, MATCH(78, 'Detalles movimientos'!$T$5:$T$1004, 0)), "")</f>
        <v/>
      </c>
      <c r="E90" s="19" t="str">
        <f>IFERROR(INDEX('Detalles movimientos'!F$5:F$1004, MATCH(78, 'Detalles movimientos'!$T$5:$T$1004, 0)), "")</f>
        <v/>
      </c>
      <c r="F90" s="18" t="str">
        <f>IFERROR(INDEX('Detalles movimientos'!G$5:G$1004, MATCH(78, 'Detalles movimientos'!$T$5:$T$1004, 0)), "")</f>
        <v/>
      </c>
      <c r="G90" s="20" t="str">
        <f>IFERROR(INDEX('Detalles movimientos'!H$5:H$1004, MATCH(78, 'Detalles movimientos'!$T$5:$T$1004, 0)), "")</f>
        <v/>
      </c>
      <c r="H90" s="21" t="str">
        <f>IFERROR(INDEX('Detalles movimientos'!I$5:I$1004, MATCH(78, 'Detalles movimientos'!$T$5:$T$1004, 0)), "")</f>
        <v/>
      </c>
      <c r="I90" s="20" t="str">
        <f>IFERROR(INDEX('Detalles movimientos'!M$5:M$1004, MATCH(78, 'Detalles movimientos'!$T$5:$T$1004, 0)), "")</f>
        <v/>
      </c>
      <c r="J90" s="19" t="str">
        <f>IFERROR(INDEX('Detalles movimientos'!N$5:N$1004, MATCH(78, 'Detalles movimientos'!$T$5:$T$1004, 0)), "")</f>
        <v/>
      </c>
      <c r="K90" s="20" t="str">
        <f>IFERROR(INDEX('Detalles movimientos'!O$5:O$1004, MATCH(78, 'Detalles movimientos'!$T$5:$T$1004, 0)), "")</f>
        <v/>
      </c>
      <c r="L90" s="18" t="str">
        <f>IFERROR(INDEX('Detalles movimientos'!P$5:P$1004, MATCH(78, 'Detalles movimientos'!$T$5:$T$1004, 0)), "")</f>
        <v/>
      </c>
      <c r="M90" s="18" t="str">
        <f>IFERROR(INDEX('Detalles movimientos'!S$5:S$1004, MATCH(78, 'Detalles movimientos'!$T$5:$T$1004, 0)), "")</f>
        <v/>
      </c>
    </row>
    <row r="91" spans="2:13">
      <c r="B91" s="17" t="str">
        <f>IFERROR(INDEX('Detalles movimientos'!C$5:C$1004, MATCH(79, 'Detalles movimientos'!$T$5:$T$1004, 0)), "")</f>
        <v/>
      </c>
      <c r="C91" s="18" t="str">
        <f>IFERROR(INDEX('Detalles movimientos'!D$5:D$1004, MATCH(79, 'Detalles movimientos'!$T$5:$T$1004, 0)), "")</f>
        <v/>
      </c>
      <c r="D91" s="19" t="str">
        <f>IFERROR(INDEX('Detalles movimientos'!E$5:E$1004, MATCH(79, 'Detalles movimientos'!$T$5:$T$1004, 0)), "")</f>
        <v/>
      </c>
      <c r="E91" s="19" t="str">
        <f>IFERROR(INDEX('Detalles movimientos'!F$5:F$1004, MATCH(79, 'Detalles movimientos'!$T$5:$T$1004, 0)), "")</f>
        <v/>
      </c>
      <c r="F91" s="18" t="str">
        <f>IFERROR(INDEX('Detalles movimientos'!G$5:G$1004, MATCH(79, 'Detalles movimientos'!$T$5:$T$1004, 0)), "")</f>
        <v/>
      </c>
      <c r="G91" s="20" t="str">
        <f>IFERROR(INDEX('Detalles movimientos'!H$5:H$1004, MATCH(79, 'Detalles movimientos'!$T$5:$T$1004, 0)), "")</f>
        <v/>
      </c>
      <c r="H91" s="21" t="str">
        <f>IFERROR(INDEX('Detalles movimientos'!I$5:I$1004, MATCH(79, 'Detalles movimientos'!$T$5:$T$1004, 0)), "")</f>
        <v/>
      </c>
      <c r="I91" s="20" t="str">
        <f>IFERROR(INDEX('Detalles movimientos'!M$5:M$1004, MATCH(79, 'Detalles movimientos'!$T$5:$T$1004, 0)), "")</f>
        <v/>
      </c>
      <c r="J91" s="19" t="str">
        <f>IFERROR(INDEX('Detalles movimientos'!N$5:N$1004, MATCH(79, 'Detalles movimientos'!$T$5:$T$1004, 0)), "")</f>
        <v/>
      </c>
      <c r="K91" s="20" t="str">
        <f>IFERROR(INDEX('Detalles movimientos'!O$5:O$1004, MATCH(79, 'Detalles movimientos'!$T$5:$T$1004, 0)), "")</f>
        <v/>
      </c>
      <c r="L91" s="18" t="str">
        <f>IFERROR(INDEX('Detalles movimientos'!P$5:P$1004, MATCH(79, 'Detalles movimientos'!$T$5:$T$1004, 0)), "")</f>
        <v/>
      </c>
      <c r="M91" s="18" t="str">
        <f>IFERROR(INDEX('Detalles movimientos'!S$5:S$1004, MATCH(79, 'Detalles movimientos'!$T$5:$T$1004, 0)), "")</f>
        <v/>
      </c>
    </row>
    <row r="92" spans="2:13">
      <c r="B92" s="17" t="str">
        <f>IFERROR(INDEX('Detalles movimientos'!C$5:C$1004, MATCH(80, 'Detalles movimientos'!$T$5:$T$1004, 0)), "")</f>
        <v/>
      </c>
      <c r="C92" s="18" t="str">
        <f>IFERROR(INDEX('Detalles movimientos'!D$5:D$1004, MATCH(80, 'Detalles movimientos'!$T$5:$T$1004, 0)), "")</f>
        <v/>
      </c>
      <c r="D92" s="19" t="str">
        <f>IFERROR(INDEX('Detalles movimientos'!E$5:E$1004, MATCH(80, 'Detalles movimientos'!$T$5:$T$1004, 0)), "")</f>
        <v/>
      </c>
      <c r="E92" s="19" t="str">
        <f>IFERROR(INDEX('Detalles movimientos'!F$5:F$1004, MATCH(80, 'Detalles movimientos'!$T$5:$T$1004, 0)), "")</f>
        <v/>
      </c>
      <c r="F92" s="18" t="str">
        <f>IFERROR(INDEX('Detalles movimientos'!G$5:G$1004, MATCH(80, 'Detalles movimientos'!$T$5:$T$1004, 0)), "")</f>
        <v/>
      </c>
      <c r="G92" s="20" t="str">
        <f>IFERROR(INDEX('Detalles movimientos'!H$5:H$1004, MATCH(80, 'Detalles movimientos'!$T$5:$T$1004, 0)), "")</f>
        <v/>
      </c>
      <c r="H92" s="21" t="str">
        <f>IFERROR(INDEX('Detalles movimientos'!I$5:I$1004, MATCH(80, 'Detalles movimientos'!$T$5:$T$1004, 0)), "")</f>
        <v/>
      </c>
      <c r="I92" s="20" t="str">
        <f>IFERROR(INDEX('Detalles movimientos'!M$5:M$1004, MATCH(80, 'Detalles movimientos'!$T$5:$T$1004, 0)), "")</f>
        <v/>
      </c>
      <c r="J92" s="19" t="str">
        <f>IFERROR(INDEX('Detalles movimientos'!N$5:N$1004, MATCH(80, 'Detalles movimientos'!$T$5:$T$1004, 0)), "")</f>
        <v/>
      </c>
      <c r="K92" s="20" t="str">
        <f>IFERROR(INDEX('Detalles movimientos'!O$5:O$1004, MATCH(80, 'Detalles movimientos'!$T$5:$T$1004, 0)), "")</f>
        <v/>
      </c>
      <c r="L92" s="18" t="str">
        <f>IFERROR(INDEX('Detalles movimientos'!P$5:P$1004, MATCH(80, 'Detalles movimientos'!$T$5:$T$1004, 0)), "")</f>
        <v/>
      </c>
      <c r="M92" s="18" t="str">
        <f>IFERROR(INDEX('Detalles movimientos'!S$5:S$1004, MATCH(80, 'Detalles movimientos'!$T$5:$T$1004, 0)), "")</f>
        <v/>
      </c>
    </row>
    <row r="93" spans="2:13">
      <c r="B93" s="17" t="str">
        <f>IFERROR(INDEX('Detalles movimientos'!C$5:C$1004, MATCH(81, 'Detalles movimientos'!$T$5:$T$1004, 0)), "")</f>
        <v/>
      </c>
      <c r="C93" s="18" t="str">
        <f>IFERROR(INDEX('Detalles movimientos'!D$5:D$1004, MATCH(81, 'Detalles movimientos'!$T$5:$T$1004, 0)), "")</f>
        <v/>
      </c>
      <c r="D93" s="19" t="str">
        <f>IFERROR(INDEX('Detalles movimientos'!E$5:E$1004, MATCH(81, 'Detalles movimientos'!$T$5:$T$1004, 0)), "")</f>
        <v/>
      </c>
      <c r="E93" s="19" t="str">
        <f>IFERROR(INDEX('Detalles movimientos'!F$5:F$1004, MATCH(81, 'Detalles movimientos'!$T$5:$T$1004, 0)), "")</f>
        <v/>
      </c>
      <c r="F93" s="18" t="str">
        <f>IFERROR(INDEX('Detalles movimientos'!G$5:G$1004, MATCH(81, 'Detalles movimientos'!$T$5:$T$1004, 0)), "")</f>
        <v/>
      </c>
      <c r="G93" s="20" t="str">
        <f>IFERROR(INDEX('Detalles movimientos'!H$5:H$1004, MATCH(81, 'Detalles movimientos'!$T$5:$T$1004, 0)), "")</f>
        <v/>
      </c>
      <c r="H93" s="21" t="str">
        <f>IFERROR(INDEX('Detalles movimientos'!I$5:I$1004, MATCH(81, 'Detalles movimientos'!$T$5:$T$1004, 0)), "")</f>
        <v/>
      </c>
      <c r="I93" s="20" t="str">
        <f>IFERROR(INDEX('Detalles movimientos'!M$5:M$1004, MATCH(81, 'Detalles movimientos'!$T$5:$T$1004, 0)), "")</f>
        <v/>
      </c>
      <c r="J93" s="19" t="str">
        <f>IFERROR(INDEX('Detalles movimientos'!N$5:N$1004, MATCH(81, 'Detalles movimientos'!$T$5:$T$1004, 0)), "")</f>
        <v/>
      </c>
      <c r="K93" s="20" t="str">
        <f>IFERROR(INDEX('Detalles movimientos'!O$5:O$1004, MATCH(81, 'Detalles movimientos'!$T$5:$T$1004, 0)), "")</f>
        <v/>
      </c>
      <c r="L93" s="18" t="str">
        <f>IFERROR(INDEX('Detalles movimientos'!P$5:P$1004, MATCH(81, 'Detalles movimientos'!$T$5:$T$1004, 0)), "")</f>
        <v/>
      </c>
      <c r="M93" s="18" t="str">
        <f>IFERROR(INDEX('Detalles movimientos'!S$5:S$1004, MATCH(81, 'Detalles movimientos'!$T$5:$T$1004, 0)), "")</f>
        <v/>
      </c>
    </row>
    <row r="94" spans="2:13">
      <c r="B94" s="17" t="str">
        <f>IFERROR(INDEX('Detalles movimientos'!C$5:C$1004, MATCH(82, 'Detalles movimientos'!$T$5:$T$1004, 0)), "")</f>
        <v/>
      </c>
      <c r="C94" s="18" t="str">
        <f>IFERROR(INDEX('Detalles movimientos'!D$5:D$1004, MATCH(82, 'Detalles movimientos'!$T$5:$T$1004, 0)), "")</f>
        <v/>
      </c>
      <c r="D94" s="19" t="str">
        <f>IFERROR(INDEX('Detalles movimientos'!E$5:E$1004, MATCH(82, 'Detalles movimientos'!$T$5:$T$1004, 0)), "")</f>
        <v/>
      </c>
      <c r="E94" s="19" t="str">
        <f>IFERROR(INDEX('Detalles movimientos'!F$5:F$1004, MATCH(82, 'Detalles movimientos'!$T$5:$T$1004, 0)), "")</f>
        <v/>
      </c>
      <c r="F94" s="18" t="str">
        <f>IFERROR(INDEX('Detalles movimientos'!G$5:G$1004, MATCH(82, 'Detalles movimientos'!$T$5:$T$1004, 0)), "")</f>
        <v/>
      </c>
      <c r="G94" s="20" t="str">
        <f>IFERROR(INDEX('Detalles movimientos'!H$5:H$1004, MATCH(82, 'Detalles movimientos'!$T$5:$T$1004, 0)), "")</f>
        <v/>
      </c>
      <c r="H94" s="21" t="str">
        <f>IFERROR(INDEX('Detalles movimientos'!I$5:I$1004, MATCH(82, 'Detalles movimientos'!$T$5:$T$1004, 0)), "")</f>
        <v/>
      </c>
      <c r="I94" s="20" t="str">
        <f>IFERROR(INDEX('Detalles movimientos'!M$5:M$1004, MATCH(82, 'Detalles movimientos'!$T$5:$T$1004, 0)), "")</f>
        <v/>
      </c>
      <c r="J94" s="19" t="str">
        <f>IFERROR(INDEX('Detalles movimientos'!N$5:N$1004, MATCH(82, 'Detalles movimientos'!$T$5:$T$1004, 0)), "")</f>
        <v/>
      </c>
      <c r="K94" s="20" t="str">
        <f>IFERROR(INDEX('Detalles movimientos'!O$5:O$1004, MATCH(82, 'Detalles movimientos'!$T$5:$T$1004, 0)), "")</f>
        <v/>
      </c>
      <c r="L94" s="18" t="str">
        <f>IFERROR(INDEX('Detalles movimientos'!P$5:P$1004, MATCH(82, 'Detalles movimientos'!$T$5:$T$1004, 0)), "")</f>
        <v/>
      </c>
      <c r="M94" s="18" t="str">
        <f>IFERROR(INDEX('Detalles movimientos'!S$5:S$1004, MATCH(82, 'Detalles movimientos'!$T$5:$T$1004, 0)), "")</f>
        <v/>
      </c>
    </row>
    <row r="95" spans="2:13">
      <c r="B95" s="17" t="str">
        <f>IFERROR(INDEX('Detalles movimientos'!C$5:C$1004, MATCH(83, 'Detalles movimientos'!$T$5:$T$1004, 0)), "")</f>
        <v/>
      </c>
      <c r="C95" s="18" t="str">
        <f>IFERROR(INDEX('Detalles movimientos'!D$5:D$1004, MATCH(83, 'Detalles movimientos'!$T$5:$T$1004, 0)), "")</f>
        <v/>
      </c>
      <c r="D95" s="19" t="str">
        <f>IFERROR(INDEX('Detalles movimientos'!E$5:E$1004, MATCH(83, 'Detalles movimientos'!$T$5:$T$1004, 0)), "")</f>
        <v/>
      </c>
      <c r="E95" s="19" t="str">
        <f>IFERROR(INDEX('Detalles movimientos'!F$5:F$1004, MATCH(83, 'Detalles movimientos'!$T$5:$T$1004, 0)), "")</f>
        <v/>
      </c>
      <c r="F95" s="18" t="str">
        <f>IFERROR(INDEX('Detalles movimientos'!G$5:G$1004, MATCH(83, 'Detalles movimientos'!$T$5:$T$1004, 0)), "")</f>
        <v/>
      </c>
      <c r="G95" s="20" t="str">
        <f>IFERROR(INDEX('Detalles movimientos'!H$5:H$1004, MATCH(83, 'Detalles movimientos'!$T$5:$T$1004, 0)), "")</f>
        <v/>
      </c>
      <c r="H95" s="21" t="str">
        <f>IFERROR(INDEX('Detalles movimientos'!I$5:I$1004, MATCH(83, 'Detalles movimientos'!$T$5:$T$1004, 0)), "")</f>
        <v/>
      </c>
      <c r="I95" s="20" t="str">
        <f>IFERROR(INDEX('Detalles movimientos'!M$5:M$1004, MATCH(83, 'Detalles movimientos'!$T$5:$T$1004, 0)), "")</f>
        <v/>
      </c>
      <c r="J95" s="19" t="str">
        <f>IFERROR(INDEX('Detalles movimientos'!N$5:N$1004, MATCH(83, 'Detalles movimientos'!$T$5:$T$1004, 0)), "")</f>
        <v/>
      </c>
      <c r="K95" s="20" t="str">
        <f>IFERROR(INDEX('Detalles movimientos'!O$5:O$1004, MATCH(83, 'Detalles movimientos'!$T$5:$T$1004, 0)), "")</f>
        <v/>
      </c>
      <c r="L95" s="18" t="str">
        <f>IFERROR(INDEX('Detalles movimientos'!P$5:P$1004, MATCH(83, 'Detalles movimientos'!$T$5:$T$1004, 0)), "")</f>
        <v/>
      </c>
      <c r="M95" s="18" t="str">
        <f>IFERROR(INDEX('Detalles movimientos'!S$5:S$1004, MATCH(83, 'Detalles movimientos'!$T$5:$T$1004, 0)), "")</f>
        <v/>
      </c>
    </row>
    <row r="96" spans="2:13">
      <c r="B96" s="17" t="str">
        <f>IFERROR(INDEX('Detalles movimientos'!C$5:C$1004, MATCH(84, 'Detalles movimientos'!$T$5:$T$1004, 0)), "")</f>
        <v/>
      </c>
      <c r="C96" s="18" t="str">
        <f>IFERROR(INDEX('Detalles movimientos'!D$5:D$1004, MATCH(84, 'Detalles movimientos'!$T$5:$T$1004, 0)), "")</f>
        <v/>
      </c>
      <c r="D96" s="19" t="str">
        <f>IFERROR(INDEX('Detalles movimientos'!E$5:E$1004, MATCH(84, 'Detalles movimientos'!$T$5:$T$1004, 0)), "")</f>
        <v/>
      </c>
      <c r="E96" s="19" t="str">
        <f>IFERROR(INDEX('Detalles movimientos'!F$5:F$1004, MATCH(84, 'Detalles movimientos'!$T$5:$T$1004, 0)), "")</f>
        <v/>
      </c>
      <c r="F96" s="18" t="str">
        <f>IFERROR(INDEX('Detalles movimientos'!G$5:G$1004, MATCH(84, 'Detalles movimientos'!$T$5:$T$1004, 0)), "")</f>
        <v/>
      </c>
      <c r="G96" s="20" t="str">
        <f>IFERROR(INDEX('Detalles movimientos'!H$5:H$1004, MATCH(84, 'Detalles movimientos'!$T$5:$T$1004, 0)), "")</f>
        <v/>
      </c>
      <c r="H96" s="21" t="str">
        <f>IFERROR(INDEX('Detalles movimientos'!I$5:I$1004, MATCH(84, 'Detalles movimientos'!$T$5:$T$1004, 0)), "")</f>
        <v/>
      </c>
      <c r="I96" s="20" t="str">
        <f>IFERROR(INDEX('Detalles movimientos'!M$5:M$1004, MATCH(84, 'Detalles movimientos'!$T$5:$T$1004, 0)), "")</f>
        <v/>
      </c>
      <c r="J96" s="19" t="str">
        <f>IFERROR(INDEX('Detalles movimientos'!N$5:N$1004, MATCH(84, 'Detalles movimientos'!$T$5:$T$1004, 0)), "")</f>
        <v/>
      </c>
      <c r="K96" s="20" t="str">
        <f>IFERROR(INDEX('Detalles movimientos'!O$5:O$1004, MATCH(84, 'Detalles movimientos'!$T$5:$T$1004, 0)), "")</f>
        <v/>
      </c>
      <c r="L96" s="18" t="str">
        <f>IFERROR(INDEX('Detalles movimientos'!P$5:P$1004, MATCH(84, 'Detalles movimientos'!$T$5:$T$1004, 0)), "")</f>
        <v/>
      </c>
      <c r="M96" s="18" t="str">
        <f>IFERROR(INDEX('Detalles movimientos'!S$5:S$1004, MATCH(84, 'Detalles movimientos'!$T$5:$T$1004, 0)), "")</f>
        <v/>
      </c>
    </row>
    <row r="97" spans="2:13">
      <c r="B97" s="17" t="str">
        <f>IFERROR(INDEX('Detalles movimientos'!C$5:C$1004, MATCH(85, 'Detalles movimientos'!$T$5:$T$1004, 0)), "")</f>
        <v/>
      </c>
      <c r="C97" s="18" t="str">
        <f>IFERROR(INDEX('Detalles movimientos'!D$5:D$1004, MATCH(85, 'Detalles movimientos'!$T$5:$T$1004, 0)), "")</f>
        <v/>
      </c>
      <c r="D97" s="19" t="str">
        <f>IFERROR(INDEX('Detalles movimientos'!E$5:E$1004, MATCH(85, 'Detalles movimientos'!$T$5:$T$1004, 0)), "")</f>
        <v/>
      </c>
      <c r="E97" s="19" t="str">
        <f>IFERROR(INDEX('Detalles movimientos'!F$5:F$1004, MATCH(85, 'Detalles movimientos'!$T$5:$T$1004, 0)), "")</f>
        <v/>
      </c>
      <c r="F97" s="18" t="str">
        <f>IFERROR(INDEX('Detalles movimientos'!G$5:G$1004, MATCH(85, 'Detalles movimientos'!$T$5:$T$1004, 0)), "")</f>
        <v/>
      </c>
      <c r="G97" s="20" t="str">
        <f>IFERROR(INDEX('Detalles movimientos'!H$5:H$1004, MATCH(85, 'Detalles movimientos'!$T$5:$T$1004, 0)), "")</f>
        <v/>
      </c>
      <c r="H97" s="21" t="str">
        <f>IFERROR(INDEX('Detalles movimientos'!I$5:I$1004, MATCH(85, 'Detalles movimientos'!$T$5:$T$1004, 0)), "")</f>
        <v/>
      </c>
      <c r="I97" s="20" t="str">
        <f>IFERROR(INDEX('Detalles movimientos'!M$5:M$1004, MATCH(85, 'Detalles movimientos'!$T$5:$T$1004, 0)), "")</f>
        <v/>
      </c>
      <c r="J97" s="19" t="str">
        <f>IFERROR(INDEX('Detalles movimientos'!N$5:N$1004, MATCH(85, 'Detalles movimientos'!$T$5:$T$1004, 0)), "")</f>
        <v/>
      </c>
      <c r="K97" s="20" t="str">
        <f>IFERROR(INDEX('Detalles movimientos'!O$5:O$1004, MATCH(85, 'Detalles movimientos'!$T$5:$T$1004, 0)), "")</f>
        <v/>
      </c>
      <c r="L97" s="18" t="str">
        <f>IFERROR(INDEX('Detalles movimientos'!P$5:P$1004, MATCH(85, 'Detalles movimientos'!$T$5:$T$1004, 0)), "")</f>
        <v/>
      </c>
      <c r="M97" s="18" t="str">
        <f>IFERROR(INDEX('Detalles movimientos'!S$5:S$1004, MATCH(85, 'Detalles movimientos'!$T$5:$T$1004, 0)), "")</f>
        <v/>
      </c>
    </row>
    <row r="98" spans="2:13">
      <c r="B98" s="17" t="str">
        <f>IFERROR(INDEX('Detalles movimientos'!C$5:C$1004, MATCH(86, 'Detalles movimientos'!$T$5:$T$1004, 0)), "")</f>
        <v/>
      </c>
      <c r="C98" s="18" t="str">
        <f>IFERROR(INDEX('Detalles movimientos'!D$5:D$1004, MATCH(86, 'Detalles movimientos'!$T$5:$T$1004, 0)), "")</f>
        <v/>
      </c>
      <c r="D98" s="19" t="str">
        <f>IFERROR(INDEX('Detalles movimientos'!E$5:E$1004, MATCH(86, 'Detalles movimientos'!$T$5:$T$1004, 0)), "")</f>
        <v/>
      </c>
      <c r="E98" s="19" t="str">
        <f>IFERROR(INDEX('Detalles movimientos'!F$5:F$1004, MATCH(86, 'Detalles movimientos'!$T$5:$T$1004, 0)), "")</f>
        <v/>
      </c>
      <c r="F98" s="18" t="str">
        <f>IFERROR(INDEX('Detalles movimientos'!G$5:G$1004, MATCH(86, 'Detalles movimientos'!$T$5:$T$1004, 0)), "")</f>
        <v/>
      </c>
      <c r="G98" s="20" t="str">
        <f>IFERROR(INDEX('Detalles movimientos'!H$5:H$1004, MATCH(86, 'Detalles movimientos'!$T$5:$T$1004, 0)), "")</f>
        <v/>
      </c>
      <c r="H98" s="21" t="str">
        <f>IFERROR(INDEX('Detalles movimientos'!I$5:I$1004, MATCH(86, 'Detalles movimientos'!$T$5:$T$1004, 0)), "")</f>
        <v/>
      </c>
      <c r="I98" s="20" t="str">
        <f>IFERROR(INDEX('Detalles movimientos'!M$5:M$1004, MATCH(86, 'Detalles movimientos'!$T$5:$T$1004, 0)), "")</f>
        <v/>
      </c>
      <c r="J98" s="19" t="str">
        <f>IFERROR(INDEX('Detalles movimientos'!N$5:N$1004, MATCH(86, 'Detalles movimientos'!$T$5:$T$1004, 0)), "")</f>
        <v/>
      </c>
      <c r="K98" s="20" t="str">
        <f>IFERROR(INDEX('Detalles movimientos'!O$5:O$1004, MATCH(86, 'Detalles movimientos'!$T$5:$T$1004, 0)), "")</f>
        <v/>
      </c>
      <c r="L98" s="18" t="str">
        <f>IFERROR(INDEX('Detalles movimientos'!P$5:P$1004, MATCH(86, 'Detalles movimientos'!$T$5:$T$1004, 0)), "")</f>
        <v/>
      </c>
      <c r="M98" s="18" t="str">
        <f>IFERROR(INDEX('Detalles movimientos'!S$5:S$1004, MATCH(86, 'Detalles movimientos'!$T$5:$T$1004, 0)), "")</f>
        <v/>
      </c>
    </row>
    <row r="99" spans="2:13">
      <c r="B99" s="17" t="str">
        <f>IFERROR(INDEX('Detalles movimientos'!C$5:C$1004, MATCH(87, 'Detalles movimientos'!$T$5:$T$1004, 0)), "")</f>
        <v/>
      </c>
      <c r="C99" s="18" t="str">
        <f>IFERROR(INDEX('Detalles movimientos'!D$5:D$1004, MATCH(87, 'Detalles movimientos'!$T$5:$T$1004, 0)), "")</f>
        <v/>
      </c>
      <c r="D99" s="19" t="str">
        <f>IFERROR(INDEX('Detalles movimientos'!E$5:E$1004, MATCH(87, 'Detalles movimientos'!$T$5:$T$1004, 0)), "")</f>
        <v/>
      </c>
      <c r="E99" s="19" t="str">
        <f>IFERROR(INDEX('Detalles movimientos'!F$5:F$1004, MATCH(87, 'Detalles movimientos'!$T$5:$T$1004, 0)), "")</f>
        <v/>
      </c>
      <c r="F99" s="18" t="str">
        <f>IFERROR(INDEX('Detalles movimientos'!G$5:G$1004, MATCH(87, 'Detalles movimientos'!$T$5:$T$1004, 0)), "")</f>
        <v/>
      </c>
      <c r="G99" s="20" t="str">
        <f>IFERROR(INDEX('Detalles movimientos'!H$5:H$1004, MATCH(87, 'Detalles movimientos'!$T$5:$T$1004, 0)), "")</f>
        <v/>
      </c>
      <c r="H99" s="21" t="str">
        <f>IFERROR(INDEX('Detalles movimientos'!I$5:I$1004, MATCH(87, 'Detalles movimientos'!$T$5:$T$1004, 0)), "")</f>
        <v/>
      </c>
      <c r="I99" s="20" t="str">
        <f>IFERROR(INDEX('Detalles movimientos'!M$5:M$1004, MATCH(87, 'Detalles movimientos'!$T$5:$T$1004, 0)), "")</f>
        <v/>
      </c>
      <c r="J99" s="19" t="str">
        <f>IFERROR(INDEX('Detalles movimientos'!N$5:N$1004, MATCH(87, 'Detalles movimientos'!$T$5:$T$1004, 0)), "")</f>
        <v/>
      </c>
      <c r="K99" s="20" t="str">
        <f>IFERROR(INDEX('Detalles movimientos'!O$5:O$1004, MATCH(87, 'Detalles movimientos'!$T$5:$T$1004, 0)), "")</f>
        <v/>
      </c>
      <c r="L99" s="18" t="str">
        <f>IFERROR(INDEX('Detalles movimientos'!P$5:P$1004, MATCH(87, 'Detalles movimientos'!$T$5:$T$1004, 0)), "")</f>
        <v/>
      </c>
      <c r="M99" s="18" t="str">
        <f>IFERROR(INDEX('Detalles movimientos'!S$5:S$1004, MATCH(87, 'Detalles movimientos'!$T$5:$T$1004, 0)), "")</f>
        <v/>
      </c>
    </row>
    <row r="100" spans="2:13">
      <c r="B100" s="17" t="str">
        <f>IFERROR(INDEX('Detalles movimientos'!C$5:C$1004, MATCH(88, 'Detalles movimientos'!$T$5:$T$1004, 0)), "")</f>
        <v/>
      </c>
      <c r="C100" s="18" t="str">
        <f>IFERROR(INDEX('Detalles movimientos'!D$5:D$1004, MATCH(88, 'Detalles movimientos'!$T$5:$T$1004, 0)), "")</f>
        <v/>
      </c>
      <c r="D100" s="19" t="str">
        <f>IFERROR(INDEX('Detalles movimientos'!E$5:E$1004, MATCH(88, 'Detalles movimientos'!$T$5:$T$1004, 0)), "")</f>
        <v/>
      </c>
      <c r="E100" s="19" t="str">
        <f>IFERROR(INDEX('Detalles movimientos'!F$5:F$1004, MATCH(88, 'Detalles movimientos'!$T$5:$T$1004, 0)), "")</f>
        <v/>
      </c>
      <c r="F100" s="18" t="str">
        <f>IFERROR(INDEX('Detalles movimientos'!G$5:G$1004, MATCH(88, 'Detalles movimientos'!$T$5:$T$1004, 0)), "")</f>
        <v/>
      </c>
      <c r="G100" s="20" t="str">
        <f>IFERROR(INDEX('Detalles movimientos'!H$5:H$1004, MATCH(88, 'Detalles movimientos'!$T$5:$T$1004, 0)), "")</f>
        <v/>
      </c>
      <c r="H100" s="21" t="str">
        <f>IFERROR(INDEX('Detalles movimientos'!I$5:I$1004, MATCH(88, 'Detalles movimientos'!$T$5:$T$1004, 0)), "")</f>
        <v/>
      </c>
      <c r="I100" s="20" t="str">
        <f>IFERROR(INDEX('Detalles movimientos'!M$5:M$1004, MATCH(88, 'Detalles movimientos'!$T$5:$T$1004, 0)), "")</f>
        <v/>
      </c>
      <c r="J100" s="19" t="str">
        <f>IFERROR(INDEX('Detalles movimientos'!N$5:N$1004, MATCH(88, 'Detalles movimientos'!$T$5:$T$1004, 0)), "")</f>
        <v/>
      </c>
      <c r="K100" s="20" t="str">
        <f>IFERROR(INDEX('Detalles movimientos'!O$5:O$1004, MATCH(88, 'Detalles movimientos'!$T$5:$T$1004, 0)), "")</f>
        <v/>
      </c>
      <c r="L100" s="18" t="str">
        <f>IFERROR(INDEX('Detalles movimientos'!P$5:P$1004, MATCH(88, 'Detalles movimientos'!$T$5:$T$1004, 0)), "")</f>
        <v/>
      </c>
      <c r="M100" s="18" t="str">
        <f>IFERROR(INDEX('Detalles movimientos'!S$5:S$1004, MATCH(88, 'Detalles movimientos'!$T$5:$T$1004, 0)), "")</f>
        <v/>
      </c>
    </row>
    <row r="101" spans="2:13">
      <c r="B101" s="17" t="str">
        <f>IFERROR(INDEX('Detalles movimientos'!C$5:C$1004, MATCH(89, 'Detalles movimientos'!$T$5:$T$1004, 0)), "")</f>
        <v/>
      </c>
      <c r="C101" s="18" t="str">
        <f>IFERROR(INDEX('Detalles movimientos'!D$5:D$1004, MATCH(89, 'Detalles movimientos'!$T$5:$T$1004, 0)), "")</f>
        <v/>
      </c>
      <c r="D101" s="19" t="str">
        <f>IFERROR(INDEX('Detalles movimientos'!E$5:E$1004, MATCH(89, 'Detalles movimientos'!$T$5:$T$1004, 0)), "")</f>
        <v/>
      </c>
      <c r="E101" s="19" t="str">
        <f>IFERROR(INDEX('Detalles movimientos'!F$5:F$1004, MATCH(89, 'Detalles movimientos'!$T$5:$T$1004, 0)), "")</f>
        <v/>
      </c>
      <c r="F101" s="18" t="str">
        <f>IFERROR(INDEX('Detalles movimientos'!G$5:G$1004, MATCH(89, 'Detalles movimientos'!$T$5:$T$1004, 0)), "")</f>
        <v/>
      </c>
      <c r="G101" s="20" t="str">
        <f>IFERROR(INDEX('Detalles movimientos'!H$5:H$1004, MATCH(89, 'Detalles movimientos'!$T$5:$T$1004, 0)), "")</f>
        <v/>
      </c>
      <c r="H101" s="21" t="str">
        <f>IFERROR(INDEX('Detalles movimientos'!I$5:I$1004, MATCH(89, 'Detalles movimientos'!$T$5:$T$1004, 0)), "")</f>
        <v/>
      </c>
      <c r="I101" s="20" t="str">
        <f>IFERROR(INDEX('Detalles movimientos'!M$5:M$1004, MATCH(89, 'Detalles movimientos'!$T$5:$T$1004, 0)), "")</f>
        <v/>
      </c>
      <c r="J101" s="19" t="str">
        <f>IFERROR(INDEX('Detalles movimientos'!N$5:N$1004, MATCH(89, 'Detalles movimientos'!$T$5:$T$1004, 0)), "")</f>
        <v/>
      </c>
      <c r="K101" s="20" t="str">
        <f>IFERROR(INDEX('Detalles movimientos'!O$5:O$1004, MATCH(89, 'Detalles movimientos'!$T$5:$T$1004, 0)), "")</f>
        <v/>
      </c>
      <c r="L101" s="18" t="str">
        <f>IFERROR(INDEX('Detalles movimientos'!P$5:P$1004, MATCH(89, 'Detalles movimientos'!$T$5:$T$1004, 0)), "")</f>
        <v/>
      </c>
      <c r="M101" s="18" t="str">
        <f>IFERROR(INDEX('Detalles movimientos'!S$5:S$1004, MATCH(89, 'Detalles movimientos'!$T$5:$T$1004, 0)), "")</f>
        <v/>
      </c>
    </row>
    <row r="102" spans="2:13">
      <c r="B102" s="17" t="str">
        <f>IFERROR(INDEX('Detalles movimientos'!C$5:C$1004, MATCH(90, 'Detalles movimientos'!$T$5:$T$1004, 0)), "")</f>
        <v/>
      </c>
      <c r="C102" s="18" t="str">
        <f>IFERROR(INDEX('Detalles movimientos'!D$5:D$1004, MATCH(90, 'Detalles movimientos'!$T$5:$T$1004, 0)), "")</f>
        <v/>
      </c>
      <c r="D102" s="19" t="str">
        <f>IFERROR(INDEX('Detalles movimientos'!E$5:E$1004, MATCH(90, 'Detalles movimientos'!$T$5:$T$1004, 0)), "")</f>
        <v/>
      </c>
      <c r="E102" s="19" t="str">
        <f>IFERROR(INDEX('Detalles movimientos'!F$5:F$1004, MATCH(90, 'Detalles movimientos'!$T$5:$T$1004, 0)), "")</f>
        <v/>
      </c>
      <c r="F102" s="18" t="str">
        <f>IFERROR(INDEX('Detalles movimientos'!G$5:G$1004, MATCH(90, 'Detalles movimientos'!$T$5:$T$1004, 0)), "")</f>
        <v/>
      </c>
      <c r="G102" s="20" t="str">
        <f>IFERROR(INDEX('Detalles movimientos'!H$5:H$1004, MATCH(90, 'Detalles movimientos'!$T$5:$T$1004, 0)), "")</f>
        <v/>
      </c>
      <c r="H102" s="21" t="str">
        <f>IFERROR(INDEX('Detalles movimientos'!I$5:I$1004, MATCH(90, 'Detalles movimientos'!$T$5:$T$1004, 0)), "")</f>
        <v/>
      </c>
      <c r="I102" s="20" t="str">
        <f>IFERROR(INDEX('Detalles movimientos'!M$5:M$1004, MATCH(90, 'Detalles movimientos'!$T$5:$T$1004, 0)), "")</f>
        <v/>
      </c>
      <c r="J102" s="19" t="str">
        <f>IFERROR(INDEX('Detalles movimientos'!N$5:N$1004, MATCH(90, 'Detalles movimientos'!$T$5:$T$1004, 0)), "")</f>
        <v/>
      </c>
      <c r="K102" s="20" t="str">
        <f>IFERROR(INDEX('Detalles movimientos'!O$5:O$1004, MATCH(90, 'Detalles movimientos'!$T$5:$T$1004, 0)), "")</f>
        <v/>
      </c>
      <c r="L102" s="18" t="str">
        <f>IFERROR(INDEX('Detalles movimientos'!P$5:P$1004, MATCH(90, 'Detalles movimientos'!$T$5:$T$1004, 0)), "")</f>
        <v/>
      </c>
      <c r="M102" s="18" t="str">
        <f>IFERROR(INDEX('Detalles movimientos'!S$5:S$1004, MATCH(90, 'Detalles movimientos'!$T$5:$T$1004, 0)), "")</f>
        <v/>
      </c>
    </row>
    <row r="103" spans="2:13">
      <c r="B103" s="17" t="str">
        <f>IFERROR(INDEX('Detalles movimientos'!C$5:C$1004, MATCH(91, 'Detalles movimientos'!$T$5:$T$1004, 0)), "")</f>
        <v/>
      </c>
      <c r="C103" s="18" t="str">
        <f>IFERROR(INDEX('Detalles movimientos'!D$5:D$1004, MATCH(91, 'Detalles movimientos'!$T$5:$T$1004, 0)), "")</f>
        <v/>
      </c>
      <c r="D103" s="19" t="str">
        <f>IFERROR(INDEX('Detalles movimientos'!E$5:E$1004, MATCH(91, 'Detalles movimientos'!$T$5:$T$1004, 0)), "")</f>
        <v/>
      </c>
      <c r="E103" s="19" t="str">
        <f>IFERROR(INDEX('Detalles movimientos'!F$5:F$1004, MATCH(91, 'Detalles movimientos'!$T$5:$T$1004, 0)), "")</f>
        <v/>
      </c>
      <c r="F103" s="18" t="str">
        <f>IFERROR(INDEX('Detalles movimientos'!G$5:G$1004, MATCH(91, 'Detalles movimientos'!$T$5:$T$1004, 0)), "")</f>
        <v/>
      </c>
      <c r="G103" s="20" t="str">
        <f>IFERROR(INDEX('Detalles movimientos'!H$5:H$1004, MATCH(91, 'Detalles movimientos'!$T$5:$T$1004, 0)), "")</f>
        <v/>
      </c>
      <c r="H103" s="21" t="str">
        <f>IFERROR(INDEX('Detalles movimientos'!I$5:I$1004, MATCH(91, 'Detalles movimientos'!$T$5:$T$1004, 0)), "")</f>
        <v/>
      </c>
      <c r="I103" s="20" t="str">
        <f>IFERROR(INDEX('Detalles movimientos'!M$5:M$1004, MATCH(91, 'Detalles movimientos'!$T$5:$T$1004, 0)), "")</f>
        <v/>
      </c>
      <c r="J103" s="19" t="str">
        <f>IFERROR(INDEX('Detalles movimientos'!N$5:N$1004, MATCH(91, 'Detalles movimientos'!$T$5:$T$1004, 0)), "")</f>
        <v/>
      </c>
      <c r="K103" s="20" t="str">
        <f>IFERROR(INDEX('Detalles movimientos'!O$5:O$1004, MATCH(91, 'Detalles movimientos'!$T$5:$T$1004, 0)), "")</f>
        <v/>
      </c>
      <c r="L103" s="18" t="str">
        <f>IFERROR(INDEX('Detalles movimientos'!P$5:P$1004, MATCH(91, 'Detalles movimientos'!$T$5:$T$1004, 0)), "")</f>
        <v/>
      </c>
      <c r="M103" s="18" t="str">
        <f>IFERROR(INDEX('Detalles movimientos'!S$5:S$1004, MATCH(91, 'Detalles movimientos'!$T$5:$T$1004, 0)), "")</f>
        <v/>
      </c>
    </row>
    <row r="104" spans="2:13">
      <c r="B104" s="17" t="str">
        <f>IFERROR(INDEX('Detalles movimientos'!C$5:C$1004, MATCH(92, 'Detalles movimientos'!$T$5:$T$1004, 0)), "")</f>
        <v/>
      </c>
      <c r="C104" s="18" t="str">
        <f>IFERROR(INDEX('Detalles movimientos'!D$5:D$1004, MATCH(92, 'Detalles movimientos'!$T$5:$T$1004, 0)), "")</f>
        <v/>
      </c>
      <c r="D104" s="19" t="str">
        <f>IFERROR(INDEX('Detalles movimientos'!E$5:E$1004, MATCH(92, 'Detalles movimientos'!$T$5:$T$1004, 0)), "")</f>
        <v/>
      </c>
      <c r="E104" s="19" t="str">
        <f>IFERROR(INDEX('Detalles movimientos'!F$5:F$1004, MATCH(92, 'Detalles movimientos'!$T$5:$T$1004, 0)), "")</f>
        <v/>
      </c>
      <c r="F104" s="18" t="str">
        <f>IFERROR(INDEX('Detalles movimientos'!G$5:G$1004, MATCH(92, 'Detalles movimientos'!$T$5:$T$1004, 0)), "")</f>
        <v/>
      </c>
      <c r="G104" s="20" t="str">
        <f>IFERROR(INDEX('Detalles movimientos'!H$5:H$1004, MATCH(92, 'Detalles movimientos'!$T$5:$T$1004, 0)), "")</f>
        <v/>
      </c>
      <c r="H104" s="21" t="str">
        <f>IFERROR(INDEX('Detalles movimientos'!I$5:I$1004, MATCH(92, 'Detalles movimientos'!$T$5:$T$1004, 0)), "")</f>
        <v/>
      </c>
      <c r="I104" s="20" t="str">
        <f>IFERROR(INDEX('Detalles movimientos'!M$5:M$1004, MATCH(92, 'Detalles movimientos'!$T$5:$T$1004, 0)), "")</f>
        <v/>
      </c>
      <c r="J104" s="19" t="str">
        <f>IFERROR(INDEX('Detalles movimientos'!N$5:N$1004, MATCH(92, 'Detalles movimientos'!$T$5:$T$1004, 0)), "")</f>
        <v/>
      </c>
      <c r="K104" s="20" t="str">
        <f>IFERROR(INDEX('Detalles movimientos'!O$5:O$1004, MATCH(92, 'Detalles movimientos'!$T$5:$T$1004, 0)), "")</f>
        <v/>
      </c>
      <c r="L104" s="18" t="str">
        <f>IFERROR(INDEX('Detalles movimientos'!P$5:P$1004, MATCH(92, 'Detalles movimientos'!$T$5:$T$1004, 0)), "")</f>
        <v/>
      </c>
      <c r="M104" s="18" t="str">
        <f>IFERROR(INDEX('Detalles movimientos'!S$5:S$1004, MATCH(92, 'Detalles movimientos'!$T$5:$T$1004, 0)), "")</f>
        <v/>
      </c>
    </row>
    <row r="105" spans="2:13">
      <c r="B105" s="17" t="str">
        <f>IFERROR(INDEX('Detalles movimientos'!C$5:C$1004, MATCH(93, 'Detalles movimientos'!$T$5:$T$1004, 0)), "")</f>
        <v/>
      </c>
      <c r="C105" s="18" t="str">
        <f>IFERROR(INDEX('Detalles movimientos'!D$5:D$1004, MATCH(93, 'Detalles movimientos'!$T$5:$T$1004, 0)), "")</f>
        <v/>
      </c>
      <c r="D105" s="19" t="str">
        <f>IFERROR(INDEX('Detalles movimientos'!E$5:E$1004, MATCH(93, 'Detalles movimientos'!$T$5:$T$1004, 0)), "")</f>
        <v/>
      </c>
      <c r="E105" s="19" t="str">
        <f>IFERROR(INDEX('Detalles movimientos'!F$5:F$1004, MATCH(93, 'Detalles movimientos'!$T$5:$T$1004, 0)), "")</f>
        <v/>
      </c>
      <c r="F105" s="18" t="str">
        <f>IFERROR(INDEX('Detalles movimientos'!G$5:G$1004, MATCH(93, 'Detalles movimientos'!$T$5:$T$1004, 0)), "")</f>
        <v/>
      </c>
      <c r="G105" s="20" t="str">
        <f>IFERROR(INDEX('Detalles movimientos'!H$5:H$1004, MATCH(93, 'Detalles movimientos'!$T$5:$T$1004, 0)), "")</f>
        <v/>
      </c>
      <c r="H105" s="21" t="str">
        <f>IFERROR(INDEX('Detalles movimientos'!I$5:I$1004, MATCH(93, 'Detalles movimientos'!$T$5:$T$1004, 0)), "")</f>
        <v/>
      </c>
      <c r="I105" s="20" t="str">
        <f>IFERROR(INDEX('Detalles movimientos'!M$5:M$1004, MATCH(93, 'Detalles movimientos'!$T$5:$T$1004, 0)), "")</f>
        <v/>
      </c>
      <c r="J105" s="19" t="str">
        <f>IFERROR(INDEX('Detalles movimientos'!N$5:N$1004, MATCH(93, 'Detalles movimientos'!$T$5:$T$1004, 0)), "")</f>
        <v/>
      </c>
      <c r="K105" s="20" t="str">
        <f>IFERROR(INDEX('Detalles movimientos'!O$5:O$1004, MATCH(93, 'Detalles movimientos'!$T$5:$T$1004, 0)), "")</f>
        <v/>
      </c>
      <c r="L105" s="18" t="str">
        <f>IFERROR(INDEX('Detalles movimientos'!P$5:P$1004, MATCH(93, 'Detalles movimientos'!$T$5:$T$1004, 0)), "")</f>
        <v/>
      </c>
      <c r="M105" s="18" t="str">
        <f>IFERROR(INDEX('Detalles movimientos'!S$5:S$1004, MATCH(93, 'Detalles movimientos'!$T$5:$T$1004, 0)), "")</f>
        <v/>
      </c>
    </row>
    <row r="106" spans="2:13">
      <c r="B106" s="17" t="str">
        <f>IFERROR(INDEX('Detalles movimientos'!C$5:C$1004, MATCH(94, 'Detalles movimientos'!$T$5:$T$1004, 0)), "")</f>
        <v/>
      </c>
      <c r="C106" s="18" t="str">
        <f>IFERROR(INDEX('Detalles movimientos'!D$5:D$1004, MATCH(94, 'Detalles movimientos'!$T$5:$T$1004, 0)), "")</f>
        <v/>
      </c>
      <c r="D106" s="19" t="str">
        <f>IFERROR(INDEX('Detalles movimientos'!E$5:E$1004, MATCH(94, 'Detalles movimientos'!$T$5:$T$1004, 0)), "")</f>
        <v/>
      </c>
      <c r="E106" s="19" t="str">
        <f>IFERROR(INDEX('Detalles movimientos'!F$5:F$1004, MATCH(94, 'Detalles movimientos'!$T$5:$T$1004, 0)), "")</f>
        <v/>
      </c>
      <c r="F106" s="18" t="str">
        <f>IFERROR(INDEX('Detalles movimientos'!G$5:G$1004, MATCH(94, 'Detalles movimientos'!$T$5:$T$1004, 0)), "")</f>
        <v/>
      </c>
      <c r="G106" s="20" t="str">
        <f>IFERROR(INDEX('Detalles movimientos'!H$5:H$1004, MATCH(94, 'Detalles movimientos'!$T$5:$T$1004, 0)), "")</f>
        <v/>
      </c>
      <c r="H106" s="21" t="str">
        <f>IFERROR(INDEX('Detalles movimientos'!I$5:I$1004, MATCH(94, 'Detalles movimientos'!$T$5:$T$1004, 0)), "")</f>
        <v/>
      </c>
      <c r="I106" s="20" t="str">
        <f>IFERROR(INDEX('Detalles movimientos'!M$5:M$1004, MATCH(94, 'Detalles movimientos'!$T$5:$T$1004, 0)), "")</f>
        <v/>
      </c>
      <c r="J106" s="19" t="str">
        <f>IFERROR(INDEX('Detalles movimientos'!N$5:N$1004, MATCH(94, 'Detalles movimientos'!$T$5:$T$1004, 0)), "")</f>
        <v/>
      </c>
      <c r="K106" s="20" t="str">
        <f>IFERROR(INDEX('Detalles movimientos'!O$5:O$1004, MATCH(94, 'Detalles movimientos'!$T$5:$T$1004, 0)), "")</f>
        <v/>
      </c>
      <c r="L106" s="18" t="str">
        <f>IFERROR(INDEX('Detalles movimientos'!P$5:P$1004, MATCH(94, 'Detalles movimientos'!$T$5:$T$1004, 0)), "")</f>
        <v/>
      </c>
      <c r="M106" s="18" t="str">
        <f>IFERROR(INDEX('Detalles movimientos'!S$5:S$1004, MATCH(94, 'Detalles movimientos'!$T$5:$T$1004, 0)), "")</f>
        <v/>
      </c>
    </row>
    <row r="107" spans="2:13">
      <c r="B107" s="17" t="str">
        <f>IFERROR(INDEX('Detalles movimientos'!C$5:C$1004, MATCH(95, 'Detalles movimientos'!$T$5:$T$1004, 0)), "")</f>
        <v/>
      </c>
      <c r="C107" s="18" t="str">
        <f>IFERROR(INDEX('Detalles movimientos'!D$5:D$1004, MATCH(95, 'Detalles movimientos'!$T$5:$T$1004, 0)), "")</f>
        <v/>
      </c>
      <c r="D107" s="19" t="str">
        <f>IFERROR(INDEX('Detalles movimientos'!E$5:E$1004, MATCH(95, 'Detalles movimientos'!$T$5:$T$1004, 0)), "")</f>
        <v/>
      </c>
      <c r="E107" s="19" t="str">
        <f>IFERROR(INDEX('Detalles movimientos'!F$5:F$1004, MATCH(95, 'Detalles movimientos'!$T$5:$T$1004, 0)), "")</f>
        <v/>
      </c>
      <c r="F107" s="18" t="str">
        <f>IFERROR(INDEX('Detalles movimientos'!G$5:G$1004, MATCH(95, 'Detalles movimientos'!$T$5:$T$1004, 0)), "")</f>
        <v/>
      </c>
      <c r="G107" s="20" t="str">
        <f>IFERROR(INDEX('Detalles movimientos'!H$5:H$1004, MATCH(95, 'Detalles movimientos'!$T$5:$T$1004, 0)), "")</f>
        <v/>
      </c>
      <c r="H107" s="21" t="str">
        <f>IFERROR(INDEX('Detalles movimientos'!I$5:I$1004, MATCH(95, 'Detalles movimientos'!$T$5:$T$1004, 0)), "")</f>
        <v/>
      </c>
      <c r="I107" s="20" t="str">
        <f>IFERROR(INDEX('Detalles movimientos'!M$5:M$1004, MATCH(95, 'Detalles movimientos'!$T$5:$T$1004, 0)), "")</f>
        <v/>
      </c>
      <c r="J107" s="19" t="str">
        <f>IFERROR(INDEX('Detalles movimientos'!N$5:N$1004, MATCH(95, 'Detalles movimientos'!$T$5:$T$1004, 0)), "")</f>
        <v/>
      </c>
      <c r="K107" s="20" t="str">
        <f>IFERROR(INDEX('Detalles movimientos'!O$5:O$1004, MATCH(95, 'Detalles movimientos'!$T$5:$T$1004, 0)), "")</f>
        <v/>
      </c>
      <c r="L107" s="18" t="str">
        <f>IFERROR(INDEX('Detalles movimientos'!P$5:P$1004, MATCH(95, 'Detalles movimientos'!$T$5:$T$1004, 0)), "")</f>
        <v/>
      </c>
      <c r="M107" s="18" t="str">
        <f>IFERROR(INDEX('Detalles movimientos'!S$5:S$1004, MATCH(95, 'Detalles movimientos'!$T$5:$T$1004, 0)), "")</f>
        <v/>
      </c>
    </row>
    <row r="108" spans="2:13">
      <c r="B108" s="17" t="str">
        <f>IFERROR(INDEX('Detalles movimientos'!C$5:C$1004, MATCH(96, 'Detalles movimientos'!$T$5:$T$1004, 0)), "")</f>
        <v/>
      </c>
      <c r="C108" s="18" t="str">
        <f>IFERROR(INDEX('Detalles movimientos'!D$5:D$1004, MATCH(96, 'Detalles movimientos'!$T$5:$T$1004, 0)), "")</f>
        <v/>
      </c>
      <c r="D108" s="19" t="str">
        <f>IFERROR(INDEX('Detalles movimientos'!E$5:E$1004, MATCH(96, 'Detalles movimientos'!$T$5:$T$1004, 0)), "")</f>
        <v/>
      </c>
      <c r="E108" s="19" t="str">
        <f>IFERROR(INDEX('Detalles movimientos'!F$5:F$1004, MATCH(96, 'Detalles movimientos'!$T$5:$T$1004, 0)), "")</f>
        <v/>
      </c>
      <c r="F108" s="18" t="str">
        <f>IFERROR(INDEX('Detalles movimientos'!G$5:G$1004, MATCH(96, 'Detalles movimientos'!$T$5:$T$1004, 0)), "")</f>
        <v/>
      </c>
      <c r="G108" s="20" t="str">
        <f>IFERROR(INDEX('Detalles movimientos'!H$5:H$1004, MATCH(96, 'Detalles movimientos'!$T$5:$T$1004, 0)), "")</f>
        <v/>
      </c>
      <c r="H108" s="21" t="str">
        <f>IFERROR(INDEX('Detalles movimientos'!I$5:I$1004, MATCH(96, 'Detalles movimientos'!$T$5:$T$1004, 0)), "")</f>
        <v/>
      </c>
      <c r="I108" s="20" t="str">
        <f>IFERROR(INDEX('Detalles movimientos'!M$5:M$1004, MATCH(96, 'Detalles movimientos'!$T$5:$T$1004, 0)), "")</f>
        <v/>
      </c>
      <c r="J108" s="19" t="str">
        <f>IFERROR(INDEX('Detalles movimientos'!N$5:N$1004, MATCH(96, 'Detalles movimientos'!$T$5:$T$1004, 0)), "")</f>
        <v/>
      </c>
      <c r="K108" s="20" t="str">
        <f>IFERROR(INDEX('Detalles movimientos'!O$5:O$1004, MATCH(96, 'Detalles movimientos'!$T$5:$T$1004, 0)), "")</f>
        <v/>
      </c>
      <c r="L108" s="18" t="str">
        <f>IFERROR(INDEX('Detalles movimientos'!P$5:P$1004, MATCH(96, 'Detalles movimientos'!$T$5:$T$1004, 0)), "")</f>
        <v/>
      </c>
      <c r="M108" s="18" t="str">
        <f>IFERROR(INDEX('Detalles movimientos'!S$5:S$1004, MATCH(96, 'Detalles movimientos'!$T$5:$T$1004, 0)), "")</f>
        <v/>
      </c>
    </row>
    <row r="109" spans="2:13">
      <c r="B109" s="17" t="str">
        <f>IFERROR(INDEX('Detalles movimientos'!C$5:C$1004, MATCH(97, 'Detalles movimientos'!$T$5:$T$1004, 0)), "")</f>
        <v/>
      </c>
      <c r="C109" s="18" t="str">
        <f>IFERROR(INDEX('Detalles movimientos'!D$5:D$1004, MATCH(97, 'Detalles movimientos'!$T$5:$T$1004, 0)), "")</f>
        <v/>
      </c>
      <c r="D109" s="19" t="str">
        <f>IFERROR(INDEX('Detalles movimientos'!E$5:E$1004, MATCH(97, 'Detalles movimientos'!$T$5:$T$1004, 0)), "")</f>
        <v/>
      </c>
      <c r="E109" s="19" t="str">
        <f>IFERROR(INDEX('Detalles movimientos'!F$5:F$1004, MATCH(97, 'Detalles movimientos'!$T$5:$T$1004, 0)), "")</f>
        <v/>
      </c>
      <c r="F109" s="18" t="str">
        <f>IFERROR(INDEX('Detalles movimientos'!G$5:G$1004, MATCH(97, 'Detalles movimientos'!$T$5:$T$1004, 0)), "")</f>
        <v/>
      </c>
      <c r="G109" s="20" t="str">
        <f>IFERROR(INDEX('Detalles movimientos'!H$5:H$1004, MATCH(97, 'Detalles movimientos'!$T$5:$T$1004, 0)), "")</f>
        <v/>
      </c>
      <c r="H109" s="21" t="str">
        <f>IFERROR(INDEX('Detalles movimientos'!I$5:I$1004, MATCH(97, 'Detalles movimientos'!$T$5:$T$1004, 0)), "")</f>
        <v/>
      </c>
      <c r="I109" s="20" t="str">
        <f>IFERROR(INDEX('Detalles movimientos'!M$5:M$1004, MATCH(97, 'Detalles movimientos'!$T$5:$T$1004, 0)), "")</f>
        <v/>
      </c>
      <c r="J109" s="19" t="str">
        <f>IFERROR(INDEX('Detalles movimientos'!N$5:N$1004, MATCH(97, 'Detalles movimientos'!$T$5:$T$1004, 0)), "")</f>
        <v/>
      </c>
      <c r="K109" s="20" t="str">
        <f>IFERROR(INDEX('Detalles movimientos'!O$5:O$1004, MATCH(97, 'Detalles movimientos'!$T$5:$T$1004, 0)), "")</f>
        <v/>
      </c>
      <c r="L109" s="18" t="str">
        <f>IFERROR(INDEX('Detalles movimientos'!P$5:P$1004, MATCH(97, 'Detalles movimientos'!$T$5:$T$1004, 0)), "")</f>
        <v/>
      </c>
      <c r="M109" s="18" t="str">
        <f>IFERROR(INDEX('Detalles movimientos'!S$5:S$1004, MATCH(97, 'Detalles movimientos'!$T$5:$T$1004, 0)), "")</f>
        <v/>
      </c>
    </row>
    <row r="110" spans="2:13">
      <c r="B110" s="17" t="str">
        <f>IFERROR(INDEX('Detalles movimientos'!C$5:C$1004, MATCH(98, 'Detalles movimientos'!$T$5:$T$1004, 0)), "")</f>
        <v/>
      </c>
      <c r="C110" s="18" t="str">
        <f>IFERROR(INDEX('Detalles movimientos'!D$5:D$1004, MATCH(98, 'Detalles movimientos'!$T$5:$T$1004, 0)), "")</f>
        <v/>
      </c>
      <c r="D110" s="19" t="str">
        <f>IFERROR(INDEX('Detalles movimientos'!E$5:E$1004, MATCH(98, 'Detalles movimientos'!$T$5:$T$1004, 0)), "")</f>
        <v/>
      </c>
      <c r="E110" s="19" t="str">
        <f>IFERROR(INDEX('Detalles movimientos'!F$5:F$1004, MATCH(98, 'Detalles movimientos'!$T$5:$T$1004, 0)), "")</f>
        <v/>
      </c>
      <c r="F110" s="18" t="str">
        <f>IFERROR(INDEX('Detalles movimientos'!G$5:G$1004, MATCH(98, 'Detalles movimientos'!$T$5:$T$1004, 0)), "")</f>
        <v/>
      </c>
      <c r="G110" s="20" t="str">
        <f>IFERROR(INDEX('Detalles movimientos'!H$5:H$1004, MATCH(98, 'Detalles movimientos'!$T$5:$T$1004, 0)), "")</f>
        <v/>
      </c>
      <c r="H110" s="21" t="str">
        <f>IFERROR(INDEX('Detalles movimientos'!I$5:I$1004, MATCH(98, 'Detalles movimientos'!$T$5:$T$1004, 0)), "")</f>
        <v/>
      </c>
      <c r="I110" s="20" t="str">
        <f>IFERROR(INDEX('Detalles movimientos'!M$5:M$1004, MATCH(98, 'Detalles movimientos'!$T$5:$T$1004, 0)), "")</f>
        <v/>
      </c>
      <c r="J110" s="19" t="str">
        <f>IFERROR(INDEX('Detalles movimientos'!N$5:N$1004, MATCH(98, 'Detalles movimientos'!$T$5:$T$1004, 0)), "")</f>
        <v/>
      </c>
      <c r="K110" s="20" t="str">
        <f>IFERROR(INDEX('Detalles movimientos'!O$5:O$1004, MATCH(98, 'Detalles movimientos'!$T$5:$T$1004, 0)), "")</f>
        <v/>
      </c>
      <c r="L110" s="18" t="str">
        <f>IFERROR(INDEX('Detalles movimientos'!P$5:P$1004, MATCH(98, 'Detalles movimientos'!$T$5:$T$1004, 0)), "")</f>
        <v/>
      </c>
      <c r="M110" s="18" t="str">
        <f>IFERROR(INDEX('Detalles movimientos'!S$5:S$1004, MATCH(98, 'Detalles movimientos'!$T$5:$T$1004, 0)), "")</f>
        <v/>
      </c>
    </row>
    <row r="111" spans="2:13">
      <c r="B111" s="17" t="str">
        <f>IFERROR(INDEX('Detalles movimientos'!C$5:C$1004, MATCH(99, 'Detalles movimientos'!$T$5:$T$1004, 0)), "")</f>
        <v/>
      </c>
      <c r="C111" s="18" t="str">
        <f>IFERROR(INDEX('Detalles movimientos'!D$5:D$1004, MATCH(99, 'Detalles movimientos'!$T$5:$T$1004, 0)), "")</f>
        <v/>
      </c>
      <c r="D111" s="19" t="str">
        <f>IFERROR(INDEX('Detalles movimientos'!E$5:E$1004, MATCH(99, 'Detalles movimientos'!$T$5:$T$1004, 0)), "")</f>
        <v/>
      </c>
      <c r="E111" s="19" t="str">
        <f>IFERROR(INDEX('Detalles movimientos'!F$5:F$1004, MATCH(99, 'Detalles movimientos'!$T$5:$T$1004, 0)), "")</f>
        <v/>
      </c>
      <c r="F111" s="18" t="str">
        <f>IFERROR(INDEX('Detalles movimientos'!G$5:G$1004, MATCH(99, 'Detalles movimientos'!$T$5:$T$1004, 0)), "")</f>
        <v/>
      </c>
      <c r="G111" s="20" t="str">
        <f>IFERROR(INDEX('Detalles movimientos'!H$5:H$1004, MATCH(99, 'Detalles movimientos'!$T$5:$T$1004, 0)), "")</f>
        <v/>
      </c>
      <c r="H111" s="21" t="str">
        <f>IFERROR(INDEX('Detalles movimientos'!I$5:I$1004, MATCH(99, 'Detalles movimientos'!$T$5:$T$1004, 0)), "")</f>
        <v/>
      </c>
      <c r="I111" s="20" t="str">
        <f>IFERROR(INDEX('Detalles movimientos'!M$5:M$1004, MATCH(99, 'Detalles movimientos'!$T$5:$T$1004, 0)), "")</f>
        <v/>
      </c>
      <c r="J111" s="19" t="str">
        <f>IFERROR(INDEX('Detalles movimientos'!N$5:N$1004, MATCH(99, 'Detalles movimientos'!$T$5:$T$1004, 0)), "")</f>
        <v/>
      </c>
      <c r="K111" s="20" t="str">
        <f>IFERROR(INDEX('Detalles movimientos'!O$5:O$1004, MATCH(99, 'Detalles movimientos'!$T$5:$T$1004, 0)), "")</f>
        <v/>
      </c>
      <c r="L111" s="18" t="str">
        <f>IFERROR(INDEX('Detalles movimientos'!P$5:P$1004, MATCH(99, 'Detalles movimientos'!$T$5:$T$1004, 0)), "")</f>
        <v/>
      </c>
      <c r="M111" s="18" t="str">
        <f>IFERROR(INDEX('Detalles movimientos'!S$5:S$1004, MATCH(99, 'Detalles movimientos'!$T$5:$T$1004, 0)), "")</f>
        <v/>
      </c>
    </row>
    <row r="112" spans="2:13">
      <c r="B112" s="17" t="str">
        <f>IFERROR(INDEX('Detalles movimientos'!C$5:C$1004, MATCH(100, 'Detalles movimientos'!$T$5:$T$1004, 0)), "")</f>
        <v/>
      </c>
      <c r="C112" s="18" t="str">
        <f>IFERROR(INDEX('Detalles movimientos'!D$5:D$1004, MATCH(100, 'Detalles movimientos'!$T$5:$T$1004, 0)), "")</f>
        <v/>
      </c>
      <c r="D112" s="19" t="str">
        <f>IFERROR(INDEX('Detalles movimientos'!E$5:E$1004, MATCH(100, 'Detalles movimientos'!$T$5:$T$1004, 0)), "")</f>
        <v/>
      </c>
      <c r="E112" s="19" t="str">
        <f>IFERROR(INDEX('Detalles movimientos'!F$5:F$1004, MATCH(100, 'Detalles movimientos'!$T$5:$T$1004, 0)), "")</f>
        <v/>
      </c>
      <c r="F112" s="18" t="str">
        <f>IFERROR(INDEX('Detalles movimientos'!G$5:G$1004, MATCH(100, 'Detalles movimientos'!$T$5:$T$1004, 0)), "")</f>
        <v/>
      </c>
      <c r="G112" s="20" t="str">
        <f>IFERROR(INDEX('Detalles movimientos'!H$5:H$1004, MATCH(100, 'Detalles movimientos'!$T$5:$T$1004, 0)), "")</f>
        <v/>
      </c>
      <c r="H112" s="21" t="str">
        <f>IFERROR(INDEX('Detalles movimientos'!I$5:I$1004, MATCH(100, 'Detalles movimientos'!$T$5:$T$1004, 0)), "")</f>
        <v/>
      </c>
      <c r="I112" s="20" t="str">
        <f>IFERROR(INDEX('Detalles movimientos'!M$5:M$1004, MATCH(100, 'Detalles movimientos'!$T$5:$T$1004, 0)), "")</f>
        <v/>
      </c>
      <c r="J112" s="19" t="str">
        <f>IFERROR(INDEX('Detalles movimientos'!N$5:N$1004, MATCH(100, 'Detalles movimientos'!$T$5:$T$1004, 0)), "")</f>
        <v/>
      </c>
      <c r="K112" s="20" t="str">
        <f>IFERROR(INDEX('Detalles movimientos'!O$5:O$1004, MATCH(100, 'Detalles movimientos'!$T$5:$T$1004, 0)), "")</f>
        <v/>
      </c>
      <c r="L112" s="18" t="str">
        <f>IFERROR(INDEX('Detalles movimientos'!P$5:P$1004, MATCH(100, 'Detalles movimientos'!$T$5:$T$1004, 0)), "")</f>
        <v/>
      </c>
      <c r="M112" s="18" t="str">
        <f>IFERROR(INDEX('Detalles movimientos'!S$5:S$1004, MATCH(100, 'Detalles movimientos'!$T$5:$T$1004, 0)), "")</f>
        <v/>
      </c>
    </row>
    <row r="113" spans="2:13">
      <c r="B113" s="17" t="str">
        <f>IFERROR(INDEX('Detalles movimientos'!C$5:C$1004, MATCH(101, 'Detalles movimientos'!$T$5:$T$1004, 0)), "")</f>
        <v/>
      </c>
      <c r="C113" s="18" t="str">
        <f>IFERROR(INDEX('Detalles movimientos'!D$5:D$1004, MATCH(101, 'Detalles movimientos'!$T$5:$T$1004, 0)), "")</f>
        <v/>
      </c>
      <c r="D113" s="19" t="str">
        <f>IFERROR(INDEX('Detalles movimientos'!E$5:E$1004, MATCH(101, 'Detalles movimientos'!$T$5:$T$1004, 0)), "")</f>
        <v/>
      </c>
      <c r="E113" s="19" t="str">
        <f>IFERROR(INDEX('Detalles movimientos'!F$5:F$1004, MATCH(101, 'Detalles movimientos'!$T$5:$T$1004, 0)), "")</f>
        <v/>
      </c>
      <c r="F113" s="18" t="str">
        <f>IFERROR(INDEX('Detalles movimientos'!G$5:G$1004, MATCH(101, 'Detalles movimientos'!$T$5:$T$1004, 0)), "")</f>
        <v/>
      </c>
      <c r="G113" s="20" t="str">
        <f>IFERROR(INDEX('Detalles movimientos'!H$5:H$1004, MATCH(101, 'Detalles movimientos'!$T$5:$T$1004, 0)), "")</f>
        <v/>
      </c>
      <c r="H113" s="21" t="str">
        <f>IFERROR(INDEX('Detalles movimientos'!I$5:I$1004, MATCH(101, 'Detalles movimientos'!$T$5:$T$1004, 0)), "")</f>
        <v/>
      </c>
      <c r="I113" s="20" t="str">
        <f>IFERROR(INDEX('Detalles movimientos'!M$5:M$1004, MATCH(101, 'Detalles movimientos'!$T$5:$T$1004, 0)), "")</f>
        <v/>
      </c>
      <c r="J113" s="19" t="str">
        <f>IFERROR(INDEX('Detalles movimientos'!N$5:N$1004, MATCH(101, 'Detalles movimientos'!$T$5:$T$1004, 0)), "")</f>
        <v/>
      </c>
      <c r="K113" s="20" t="str">
        <f>IFERROR(INDEX('Detalles movimientos'!O$5:O$1004, MATCH(101, 'Detalles movimientos'!$T$5:$T$1004, 0)), "")</f>
        <v/>
      </c>
      <c r="L113" s="18" t="str">
        <f>IFERROR(INDEX('Detalles movimientos'!P$5:P$1004, MATCH(101, 'Detalles movimientos'!$T$5:$T$1004, 0)), "")</f>
        <v/>
      </c>
      <c r="M113" s="18" t="str">
        <f>IFERROR(INDEX('Detalles movimientos'!S$5:S$1004, MATCH(101, 'Detalles movimientos'!$T$5:$T$1004, 0)), "")</f>
        <v/>
      </c>
    </row>
    <row r="114" spans="2:13">
      <c r="B114" s="17" t="str">
        <f>IFERROR(INDEX('Detalles movimientos'!C$5:C$1004, MATCH(102, 'Detalles movimientos'!$T$5:$T$1004, 0)), "")</f>
        <v/>
      </c>
      <c r="C114" s="18" t="str">
        <f>IFERROR(INDEX('Detalles movimientos'!D$5:D$1004, MATCH(102, 'Detalles movimientos'!$T$5:$T$1004, 0)), "")</f>
        <v/>
      </c>
      <c r="D114" s="19" t="str">
        <f>IFERROR(INDEX('Detalles movimientos'!E$5:E$1004, MATCH(102, 'Detalles movimientos'!$T$5:$T$1004, 0)), "")</f>
        <v/>
      </c>
      <c r="E114" s="19" t="str">
        <f>IFERROR(INDEX('Detalles movimientos'!F$5:F$1004, MATCH(102, 'Detalles movimientos'!$T$5:$T$1004, 0)), "")</f>
        <v/>
      </c>
      <c r="F114" s="18" t="str">
        <f>IFERROR(INDEX('Detalles movimientos'!G$5:G$1004, MATCH(102, 'Detalles movimientos'!$T$5:$T$1004, 0)), "")</f>
        <v/>
      </c>
      <c r="G114" s="20" t="str">
        <f>IFERROR(INDEX('Detalles movimientos'!H$5:H$1004, MATCH(102, 'Detalles movimientos'!$T$5:$T$1004, 0)), "")</f>
        <v/>
      </c>
      <c r="H114" s="21" t="str">
        <f>IFERROR(INDEX('Detalles movimientos'!I$5:I$1004, MATCH(102, 'Detalles movimientos'!$T$5:$T$1004, 0)), "")</f>
        <v/>
      </c>
      <c r="I114" s="20" t="str">
        <f>IFERROR(INDEX('Detalles movimientos'!M$5:M$1004, MATCH(102, 'Detalles movimientos'!$T$5:$T$1004, 0)), "")</f>
        <v/>
      </c>
      <c r="J114" s="19" t="str">
        <f>IFERROR(INDEX('Detalles movimientos'!N$5:N$1004, MATCH(102, 'Detalles movimientos'!$T$5:$T$1004, 0)), "")</f>
        <v/>
      </c>
      <c r="K114" s="20" t="str">
        <f>IFERROR(INDEX('Detalles movimientos'!O$5:O$1004, MATCH(102, 'Detalles movimientos'!$T$5:$T$1004, 0)), "")</f>
        <v/>
      </c>
      <c r="L114" s="18" t="str">
        <f>IFERROR(INDEX('Detalles movimientos'!P$5:P$1004, MATCH(102, 'Detalles movimientos'!$T$5:$T$1004, 0)), "")</f>
        <v/>
      </c>
      <c r="M114" s="18" t="str">
        <f>IFERROR(INDEX('Detalles movimientos'!S$5:S$1004, MATCH(102, 'Detalles movimientos'!$T$5:$T$1004, 0)), "")</f>
        <v/>
      </c>
    </row>
    <row r="115" spans="2:13">
      <c r="B115" s="17" t="str">
        <f>IFERROR(INDEX('Detalles movimientos'!C$5:C$1004, MATCH(103, 'Detalles movimientos'!$T$5:$T$1004, 0)), "")</f>
        <v/>
      </c>
      <c r="C115" s="18" t="str">
        <f>IFERROR(INDEX('Detalles movimientos'!D$5:D$1004, MATCH(103, 'Detalles movimientos'!$T$5:$T$1004, 0)), "")</f>
        <v/>
      </c>
      <c r="D115" s="19" t="str">
        <f>IFERROR(INDEX('Detalles movimientos'!E$5:E$1004, MATCH(103, 'Detalles movimientos'!$T$5:$T$1004, 0)), "")</f>
        <v/>
      </c>
      <c r="E115" s="19" t="str">
        <f>IFERROR(INDEX('Detalles movimientos'!F$5:F$1004, MATCH(103, 'Detalles movimientos'!$T$5:$T$1004, 0)), "")</f>
        <v/>
      </c>
      <c r="F115" s="18" t="str">
        <f>IFERROR(INDEX('Detalles movimientos'!G$5:G$1004, MATCH(103, 'Detalles movimientos'!$T$5:$T$1004, 0)), "")</f>
        <v/>
      </c>
      <c r="G115" s="20" t="str">
        <f>IFERROR(INDEX('Detalles movimientos'!H$5:H$1004, MATCH(103, 'Detalles movimientos'!$T$5:$T$1004, 0)), "")</f>
        <v/>
      </c>
      <c r="H115" s="21" t="str">
        <f>IFERROR(INDEX('Detalles movimientos'!I$5:I$1004, MATCH(103, 'Detalles movimientos'!$T$5:$T$1004, 0)), "")</f>
        <v/>
      </c>
      <c r="I115" s="20" t="str">
        <f>IFERROR(INDEX('Detalles movimientos'!M$5:M$1004, MATCH(103, 'Detalles movimientos'!$T$5:$T$1004, 0)), "")</f>
        <v/>
      </c>
      <c r="J115" s="19" t="str">
        <f>IFERROR(INDEX('Detalles movimientos'!N$5:N$1004, MATCH(103, 'Detalles movimientos'!$T$5:$T$1004, 0)), "")</f>
        <v/>
      </c>
      <c r="K115" s="20" t="str">
        <f>IFERROR(INDEX('Detalles movimientos'!O$5:O$1004, MATCH(103, 'Detalles movimientos'!$T$5:$T$1004, 0)), "")</f>
        <v/>
      </c>
      <c r="L115" s="18" t="str">
        <f>IFERROR(INDEX('Detalles movimientos'!P$5:P$1004, MATCH(103, 'Detalles movimientos'!$T$5:$T$1004, 0)), "")</f>
        <v/>
      </c>
      <c r="M115" s="18" t="str">
        <f>IFERROR(INDEX('Detalles movimientos'!S$5:S$1004, MATCH(103, 'Detalles movimientos'!$T$5:$T$1004, 0)), "")</f>
        <v/>
      </c>
    </row>
    <row r="116" spans="2:13">
      <c r="B116" s="17" t="str">
        <f>IFERROR(INDEX('Detalles movimientos'!C$5:C$1004, MATCH(104, 'Detalles movimientos'!$T$5:$T$1004, 0)), "")</f>
        <v/>
      </c>
      <c r="C116" s="18" t="str">
        <f>IFERROR(INDEX('Detalles movimientos'!D$5:D$1004, MATCH(104, 'Detalles movimientos'!$T$5:$T$1004, 0)), "")</f>
        <v/>
      </c>
      <c r="D116" s="19" t="str">
        <f>IFERROR(INDEX('Detalles movimientos'!E$5:E$1004, MATCH(104, 'Detalles movimientos'!$T$5:$T$1004, 0)), "")</f>
        <v/>
      </c>
      <c r="E116" s="19" t="str">
        <f>IFERROR(INDEX('Detalles movimientos'!F$5:F$1004, MATCH(104, 'Detalles movimientos'!$T$5:$T$1004, 0)), "")</f>
        <v/>
      </c>
      <c r="F116" s="18" t="str">
        <f>IFERROR(INDEX('Detalles movimientos'!G$5:G$1004, MATCH(104, 'Detalles movimientos'!$T$5:$T$1004, 0)), "")</f>
        <v/>
      </c>
      <c r="G116" s="20" t="str">
        <f>IFERROR(INDEX('Detalles movimientos'!H$5:H$1004, MATCH(104, 'Detalles movimientos'!$T$5:$T$1004, 0)), "")</f>
        <v/>
      </c>
      <c r="H116" s="21" t="str">
        <f>IFERROR(INDEX('Detalles movimientos'!I$5:I$1004, MATCH(104, 'Detalles movimientos'!$T$5:$T$1004, 0)), "")</f>
        <v/>
      </c>
      <c r="I116" s="20" t="str">
        <f>IFERROR(INDEX('Detalles movimientos'!M$5:M$1004, MATCH(104, 'Detalles movimientos'!$T$5:$T$1004, 0)), "")</f>
        <v/>
      </c>
      <c r="J116" s="19" t="str">
        <f>IFERROR(INDEX('Detalles movimientos'!N$5:N$1004, MATCH(104, 'Detalles movimientos'!$T$5:$T$1004, 0)), "")</f>
        <v/>
      </c>
      <c r="K116" s="20" t="str">
        <f>IFERROR(INDEX('Detalles movimientos'!O$5:O$1004, MATCH(104, 'Detalles movimientos'!$T$5:$T$1004, 0)), "")</f>
        <v/>
      </c>
      <c r="L116" s="18" t="str">
        <f>IFERROR(INDEX('Detalles movimientos'!P$5:P$1004, MATCH(104, 'Detalles movimientos'!$T$5:$T$1004, 0)), "")</f>
        <v/>
      </c>
      <c r="M116" s="18" t="str">
        <f>IFERROR(INDEX('Detalles movimientos'!S$5:S$1004, MATCH(104, 'Detalles movimientos'!$T$5:$T$1004, 0)), "")</f>
        <v/>
      </c>
    </row>
    <row r="117" spans="2:13">
      <c r="B117" s="17" t="str">
        <f>IFERROR(INDEX('Detalles movimientos'!C$5:C$1004, MATCH(105, 'Detalles movimientos'!$T$5:$T$1004, 0)), "")</f>
        <v/>
      </c>
      <c r="C117" s="18" t="str">
        <f>IFERROR(INDEX('Detalles movimientos'!D$5:D$1004, MATCH(105, 'Detalles movimientos'!$T$5:$T$1004, 0)), "")</f>
        <v/>
      </c>
      <c r="D117" s="19" t="str">
        <f>IFERROR(INDEX('Detalles movimientos'!E$5:E$1004, MATCH(105, 'Detalles movimientos'!$T$5:$T$1004, 0)), "")</f>
        <v/>
      </c>
      <c r="E117" s="19" t="str">
        <f>IFERROR(INDEX('Detalles movimientos'!F$5:F$1004, MATCH(105, 'Detalles movimientos'!$T$5:$T$1004, 0)), "")</f>
        <v/>
      </c>
      <c r="F117" s="18" t="str">
        <f>IFERROR(INDEX('Detalles movimientos'!G$5:G$1004, MATCH(105, 'Detalles movimientos'!$T$5:$T$1004, 0)), "")</f>
        <v/>
      </c>
      <c r="G117" s="20" t="str">
        <f>IFERROR(INDEX('Detalles movimientos'!H$5:H$1004, MATCH(105, 'Detalles movimientos'!$T$5:$T$1004, 0)), "")</f>
        <v/>
      </c>
      <c r="H117" s="21" t="str">
        <f>IFERROR(INDEX('Detalles movimientos'!I$5:I$1004, MATCH(105, 'Detalles movimientos'!$T$5:$T$1004, 0)), "")</f>
        <v/>
      </c>
      <c r="I117" s="20" t="str">
        <f>IFERROR(INDEX('Detalles movimientos'!M$5:M$1004, MATCH(105, 'Detalles movimientos'!$T$5:$T$1004, 0)), "")</f>
        <v/>
      </c>
      <c r="J117" s="19" t="str">
        <f>IFERROR(INDEX('Detalles movimientos'!N$5:N$1004, MATCH(105, 'Detalles movimientos'!$T$5:$T$1004, 0)), "")</f>
        <v/>
      </c>
      <c r="K117" s="20" t="str">
        <f>IFERROR(INDEX('Detalles movimientos'!O$5:O$1004, MATCH(105, 'Detalles movimientos'!$T$5:$T$1004, 0)), "")</f>
        <v/>
      </c>
      <c r="L117" s="18" t="str">
        <f>IFERROR(INDEX('Detalles movimientos'!P$5:P$1004, MATCH(105, 'Detalles movimientos'!$T$5:$T$1004, 0)), "")</f>
        <v/>
      </c>
      <c r="M117" s="18" t="str">
        <f>IFERROR(INDEX('Detalles movimientos'!S$5:S$1004, MATCH(105, 'Detalles movimientos'!$T$5:$T$1004, 0)), "")</f>
        <v/>
      </c>
    </row>
    <row r="118" spans="2:13">
      <c r="B118" s="17" t="str">
        <f>IFERROR(INDEX('Detalles movimientos'!C$5:C$1004, MATCH(106, 'Detalles movimientos'!$T$5:$T$1004, 0)), "")</f>
        <v/>
      </c>
      <c r="C118" s="18" t="str">
        <f>IFERROR(INDEX('Detalles movimientos'!D$5:D$1004, MATCH(106, 'Detalles movimientos'!$T$5:$T$1004, 0)), "")</f>
        <v/>
      </c>
      <c r="D118" s="19" t="str">
        <f>IFERROR(INDEX('Detalles movimientos'!E$5:E$1004, MATCH(106, 'Detalles movimientos'!$T$5:$T$1004, 0)), "")</f>
        <v/>
      </c>
      <c r="E118" s="19" t="str">
        <f>IFERROR(INDEX('Detalles movimientos'!F$5:F$1004, MATCH(106, 'Detalles movimientos'!$T$5:$T$1004, 0)), "")</f>
        <v/>
      </c>
      <c r="F118" s="18" t="str">
        <f>IFERROR(INDEX('Detalles movimientos'!G$5:G$1004, MATCH(106, 'Detalles movimientos'!$T$5:$T$1004, 0)), "")</f>
        <v/>
      </c>
      <c r="G118" s="20" t="str">
        <f>IFERROR(INDEX('Detalles movimientos'!H$5:H$1004, MATCH(106, 'Detalles movimientos'!$T$5:$T$1004, 0)), "")</f>
        <v/>
      </c>
      <c r="H118" s="21" t="str">
        <f>IFERROR(INDEX('Detalles movimientos'!I$5:I$1004, MATCH(106, 'Detalles movimientos'!$T$5:$T$1004, 0)), "")</f>
        <v/>
      </c>
      <c r="I118" s="20" t="str">
        <f>IFERROR(INDEX('Detalles movimientos'!M$5:M$1004, MATCH(106, 'Detalles movimientos'!$T$5:$T$1004, 0)), "")</f>
        <v/>
      </c>
      <c r="J118" s="19" t="str">
        <f>IFERROR(INDEX('Detalles movimientos'!N$5:N$1004, MATCH(106, 'Detalles movimientos'!$T$5:$T$1004, 0)), "")</f>
        <v/>
      </c>
      <c r="K118" s="20" t="str">
        <f>IFERROR(INDEX('Detalles movimientos'!O$5:O$1004, MATCH(106, 'Detalles movimientos'!$T$5:$T$1004, 0)), "")</f>
        <v/>
      </c>
      <c r="L118" s="18" t="str">
        <f>IFERROR(INDEX('Detalles movimientos'!P$5:P$1004, MATCH(106, 'Detalles movimientos'!$T$5:$T$1004, 0)), "")</f>
        <v/>
      </c>
      <c r="M118" s="18" t="str">
        <f>IFERROR(INDEX('Detalles movimientos'!S$5:S$1004, MATCH(106, 'Detalles movimientos'!$T$5:$T$1004, 0)), "")</f>
        <v/>
      </c>
    </row>
    <row r="119" spans="2:13">
      <c r="B119" s="17" t="str">
        <f>IFERROR(INDEX('Detalles movimientos'!C$5:C$1004, MATCH(107, 'Detalles movimientos'!$T$5:$T$1004, 0)), "")</f>
        <v/>
      </c>
      <c r="C119" s="18" t="str">
        <f>IFERROR(INDEX('Detalles movimientos'!D$5:D$1004, MATCH(107, 'Detalles movimientos'!$T$5:$T$1004, 0)), "")</f>
        <v/>
      </c>
      <c r="D119" s="19" t="str">
        <f>IFERROR(INDEX('Detalles movimientos'!E$5:E$1004, MATCH(107, 'Detalles movimientos'!$T$5:$T$1004, 0)), "")</f>
        <v/>
      </c>
      <c r="E119" s="19" t="str">
        <f>IFERROR(INDEX('Detalles movimientos'!F$5:F$1004, MATCH(107, 'Detalles movimientos'!$T$5:$T$1004, 0)), "")</f>
        <v/>
      </c>
      <c r="F119" s="18" t="str">
        <f>IFERROR(INDEX('Detalles movimientos'!G$5:G$1004, MATCH(107, 'Detalles movimientos'!$T$5:$T$1004, 0)), "")</f>
        <v/>
      </c>
      <c r="G119" s="20" t="str">
        <f>IFERROR(INDEX('Detalles movimientos'!H$5:H$1004, MATCH(107, 'Detalles movimientos'!$T$5:$T$1004, 0)), "")</f>
        <v/>
      </c>
      <c r="H119" s="21" t="str">
        <f>IFERROR(INDEX('Detalles movimientos'!I$5:I$1004, MATCH(107, 'Detalles movimientos'!$T$5:$T$1004, 0)), "")</f>
        <v/>
      </c>
      <c r="I119" s="20" t="str">
        <f>IFERROR(INDEX('Detalles movimientos'!M$5:M$1004, MATCH(107, 'Detalles movimientos'!$T$5:$T$1004, 0)), "")</f>
        <v/>
      </c>
      <c r="J119" s="19" t="str">
        <f>IFERROR(INDEX('Detalles movimientos'!N$5:N$1004, MATCH(107, 'Detalles movimientos'!$T$5:$T$1004, 0)), "")</f>
        <v/>
      </c>
      <c r="K119" s="20" t="str">
        <f>IFERROR(INDEX('Detalles movimientos'!O$5:O$1004, MATCH(107, 'Detalles movimientos'!$T$5:$T$1004, 0)), "")</f>
        <v/>
      </c>
      <c r="L119" s="18" t="str">
        <f>IFERROR(INDEX('Detalles movimientos'!P$5:P$1004, MATCH(107, 'Detalles movimientos'!$T$5:$T$1004, 0)), "")</f>
        <v/>
      </c>
      <c r="M119" s="18" t="str">
        <f>IFERROR(INDEX('Detalles movimientos'!S$5:S$1004, MATCH(107, 'Detalles movimientos'!$T$5:$T$1004, 0)), "")</f>
        <v/>
      </c>
    </row>
    <row r="120" spans="2:13">
      <c r="B120" s="17" t="str">
        <f>IFERROR(INDEX('Detalles movimientos'!C$5:C$1004, MATCH(108, 'Detalles movimientos'!$T$5:$T$1004, 0)), "")</f>
        <v/>
      </c>
      <c r="C120" s="18" t="str">
        <f>IFERROR(INDEX('Detalles movimientos'!D$5:D$1004, MATCH(108, 'Detalles movimientos'!$T$5:$T$1004, 0)), "")</f>
        <v/>
      </c>
      <c r="D120" s="19" t="str">
        <f>IFERROR(INDEX('Detalles movimientos'!E$5:E$1004, MATCH(108, 'Detalles movimientos'!$T$5:$T$1004, 0)), "")</f>
        <v/>
      </c>
      <c r="E120" s="19" t="str">
        <f>IFERROR(INDEX('Detalles movimientos'!F$5:F$1004, MATCH(108, 'Detalles movimientos'!$T$5:$T$1004, 0)), "")</f>
        <v/>
      </c>
      <c r="F120" s="18" t="str">
        <f>IFERROR(INDEX('Detalles movimientos'!G$5:G$1004, MATCH(108, 'Detalles movimientos'!$T$5:$T$1004, 0)), "")</f>
        <v/>
      </c>
      <c r="G120" s="20" t="str">
        <f>IFERROR(INDEX('Detalles movimientos'!H$5:H$1004, MATCH(108, 'Detalles movimientos'!$T$5:$T$1004, 0)), "")</f>
        <v/>
      </c>
      <c r="H120" s="21" t="str">
        <f>IFERROR(INDEX('Detalles movimientos'!I$5:I$1004, MATCH(108, 'Detalles movimientos'!$T$5:$T$1004, 0)), "")</f>
        <v/>
      </c>
      <c r="I120" s="20" t="str">
        <f>IFERROR(INDEX('Detalles movimientos'!M$5:M$1004, MATCH(108, 'Detalles movimientos'!$T$5:$T$1004, 0)), "")</f>
        <v/>
      </c>
      <c r="J120" s="19" t="str">
        <f>IFERROR(INDEX('Detalles movimientos'!N$5:N$1004, MATCH(108, 'Detalles movimientos'!$T$5:$T$1004, 0)), "")</f>
        <v/>
      </c>
      <c r="K120" s="20" t="str">
        <f>IFERROR(INDEX('Detalles movimientos'!O$5:O$1004, MATCH(108, 'Detalles movimientos'!$T$5:$T$1004, 0)), "")</f>
        <v/>
      </c>
      <c r="L120" s="18" t="str">
        <f>IFERROR(INDEX('Detalles movimientos'!P$5:P$1004, MATCH(108, 'Detalles movimientos'!$T$5:$T$1004, 0)), "")</f>
        <v/>
      </c>
      <c r="M120" s="18" t="str">
        <f>IFERROR(INDEX('Detalles movimientos'!S$5:S$1004, MATCH(108, 'Detalles movimientos'!$T$5:$T$1004, 0)), "")</f>
        <v/>
      </c>
    </row>
    <row r="121" spans="2:13">
      <c r="B121" s="17" t="str">
        <f>IFERROR(INDEX('Detalles movimientos'!C$5:C$1004, MATCH(109, 'Detalles movimientos'!$T$5:$T$1004, 0)), "")</f>
        <v/>
      </c>
      <c r="C121" s="18" t="str">
        <f>IFERROR(INDEX('Detalles movimientos'!D$5:D$1004, MATCH(109, 'Detalles movimientos'!$T$5:$T$1004, 0)), "")</f>
        <v/>
      </c>
      <c r="D121" s="19" t="str">
        <f>IFERROR(INDEX('Detalles movimientos'!E$5:E$1004, MATCH(109, 'Detalles movimientos'!$T$5:$T$1004, 0)), "")</f>
        <v/>
      </c>
      <c r="E121" s="19" t="str">
        <f>IFERROR(INDEX('Detalles movimientos'!F$5:F$1004, MATCH(109, 'Detalles movimientos'!$T$5:$T$1004, 0)), "")</f>
        <v/>
      </c>
      <c r="F121" s="18" t="str">
        <f>IFERROR(INDEX('Detalles movimientos'!G$5:G$1004, MATCH(109, 'Detalles movimientos'!$T$5:$T$1004, 0)), "")</f>
        <v/>
      </c>
      <c r="G121" s="20" t="str">
        <f>IFERROR(INDEX('Detalles movimientos'!H$5:H$1004, MATCH(109, 'Detalles movimientos'!$T$5:$T$1004, 0)), "")</f>
        <v/>
      </c>
      <c r="H121" s="21" t="str">
        <f>IFERROR(INDEX('Detalles movimientos'!I$5:I$1004, MATCH(109, 'Detalles movimientos'!$T$5:$T$1004, 0)), "")</f>
        <v/>
      </c>
      <c r="I121" s="20" t="str">
        <f>IFERROR(INDEX('Detalles movimientos'!M$5:M$1004, MATCH(109, 'Detalles movimientos'!$T$5:$T$1004, 0)), "")</f>
        <v/>
      </c>
      <c r="J121" s="19" t="str">
        <f>IFERROR(INDEX('Detalles movimientos'!N$5:N$1004, MATCH(109, 'Detalles movimientos'!$T$5:$T$1004, 0)), "")</f>
        <v/>
      </c>
      <c r="K121" s="20" t="str">
        <f>IFERROR(INDEX('Detalles movimientos'!O$5:O$1004, MATCH(109, 'Detalles movimientos'!$T$5:$T$1004, 0)), "")</f>
        <v/>
      </c>
      <c r="L121" s="18" t="str">
        <f>IFERROR(INDEX('Detalles movimientos'!P$5:P$1004, MATCH(109, 'Detalles movimientos'!$T$5:$T$1004, 0)), "")</f>
        <v/>
      </c>
      <c r="M121" s="18" t="str">
        <f>IFERROR(INDEX('Detalles movimientos'!S$5:S$1004, MATCH(109, 'Detalles movimientos'!$T$5:$T$1004, 0)), "")</f>
        <v/>
      </c>
    </row>
    <row r="122" spans="2:13">
      <c r="B122" s="17" t="str">
        <f>IFERROR(INDEX('Detalles movimientos'!C$5:C$1004, MATCH(110, 'Detalles movimientos'!$T$5:$T$1004, 0)), "")</f>
        <v/>
      </c>
      <c r="C122" s="18" t="str">
        <f>IFERROR(INDEX('Detalles movimientos'!D$5:D$1004, MATCH(110, 'Detalles movimientos'!$T$5:$T$1004, 0)), "")</f>
        <v/>
      </c>
      <c r="D122" s="19" t="str">
        <f>IFERROR(INDEX('Detalles movimientos'!E$5:E$1004, MATCH(110, 'Detalles movimientos'!$T$5:$T$1004, 0)), "")</f>
        <v/>
      </c>
      <c r="E122" s="19" t="str">
        <f>IFERROR(INDEX('Detalles movimientos'!F$5:F$1004, MATCH(110, 'Detalles movimientos'!$T$5:$T$1004, 0)), "")</f>
        <v/>
      </c>
      <c r="F122" s="18" t="str">
        <f>IFERROR(INDEX('Detalles movimientos'!G$5:G$1004, MATCH(110, 'Detalles movimientos'!$T$5:$T$1004, 0)), "")</f>
        <v/>
      </c>
      <c r="G122" s="20" t="str">
        <f>IFERROR(INDEX('Detalles movimientos'!H$5:H$1004, MATCH(110, 'Detalles movimientos'!$T$5:$T$1004, 0)), "")</f>
        <v/>
      </c>
      <c r="H122" s="21" t="str">
        <f>IFERROR(INDEX('Detalles movimientos'!I$5:I$1004, MATCH(110, 'Detalles movimientos'!$T$5:$T$1004, 0)), "")</f>
        <v/>
      </c>
      <c r="I122" s="20" t="str">
        <f>IFERROR(INDEX('Detalles movimientos'!M$5:M$1004, MATCH(110, 'Detalles movimientos'!$T$5:$T$1004, 0)), "")</f>
        <v/>
      </c>
      <c r="J122" s="19" t="str">
        <f>IFERROR(INDEX('Detalles movimientos'!N$5:N$1004, MATCH(110, 'Detalles movimientos'!$T$5:$T$1004, 0)), "")</f>
        <v/>
      </c>
      <c r="K122" s="20" t="str">
        <f>IFERROR(INDEX('Detalles movimientos'!O$5:O$1004, MATCH(110, 'Detalles movimientos'!$T$5:$T$1004, 0)), "")</f>
        <v/>
      </c>
      <c r="L122" s="18" t="str">
        <f>IFERROR(INDEX('Detalles movimientos'!P$5:P$1004, MATCH(110, 'Detalles movimientos'!$T$5:$T$1004, 0)), "")</f>
        <v/>
      </c>
      <c r="M122" s="18" t="str">
        <f>IFERROR(INDEX('Detalles movimientos'!S$5:S$1004, MATCH(110, 'Detalles movimientos'!$T$5:$T$1004, 0)), "")</f>
        <v/>
      </c>
    </row>
    <row r="123" spans="2:13">
      <c r="B123" s="17" t="str">
        <f>IFERROR(INDEX('Detalles movimientos'!C$5:C$1004, MATCH(111, 'Detalles movimientos'!$T$5:$T$1004, 0)), "")</f>
        <v/>
      </c>
      <c r="C123" s="18" t="str">
        <f>IFERROR(INDEX('Detalles movimientos'!D$5:D$1004, MATCH(111, 'Detalles movimientos'!$T$5:$T$1004, 0)), "")</f>
        <v/>
      </c>
      <c r="D123" s="19" t="str">
        <f>IFERROR(INDEX('Detalles movimientos'!E$5:E$1004, MATCH(111, 'Detalles movimientos'!$T$5:$T$1004, 0)), "")</f>
        <v/>
      </c>
      <c r="E123" s="19" t="str">
        <f>IFERROR(INDEX('Detalles movimientos'!F$5:F$1004, MATCH(111, 'Detalles movimientos'!$T$5:$T$1004, 0)), "")</f>
        <v/>
      </c>
      <c r="F123" s="18" t="str">
        <f>IFERROR(INDEX('Detalles movimientos'!G$5:G$1004, MATCH(111, 'Detalles movimientos'!$T$5:$T$1004, 0)), "")</f>
        <v/>
      </c>
      <c r="G123" s="20" t="str">
        <f>IFERROR(INDEX('Detalles movimientos'!H$5:H$1004, MATCH(111, 'Detalles movimientos'!$T$5:$T$1004, 0)), "")</f>
        <v/>
      </c>
      <c r="H123" s="21" t="str">
        <f>IFERROR(INDEX('Detalles movimientos'!I$5:I$1004, MATCH(111, 'Detalles movimientos'!$T$5:$T$1004, 0)), "")</f>
        <v/>
      </c>
      <c r="I123" s="20" t="str">
        <f>IFERROR(INDEX('Detalles movimientos'!M$5:M$1004, MATCH(111, 'Detalles movimientos'!$T$5:$T$1004, 0)), "")</f>
        <v/>
      </c>
      <c r="J123" s="19" t="str">
        <f>IFERROR(INDEX('Detalles movimientos'!N$5:N$1004, MATCH(111, 'Detalles movimientos'!$T$5:$T$1004, 0)), "")</f>
        <v/>
      </c>
      <c r="K123" s="20" t="str">
        <f>IFERROR(INDEX('Detalles movimientos'!O$5:O$1004, MATCH(111, 'Detalles movimientos'!$T$5:$T$1004, 0)), "")</f>
        <v/>
      </c>
      <c r="L123" s="18" t="str">
        <f>IFERROR(INDEX('Detalles movimientos'!P$5:P$1004, MATCH(111, 'Detalles movimientos'!$T$5:$T$1004, 0)), "")</f>
        <v/>
      </c>
      <c r="M123" s="18" t="str">
        <f>IFERROR(INDEX('Detalles movimientos'!S$5:S$1004, MATCH(111, 'Detalles movimientos'!$T$5:$T$1004, 0)), "")</f>
        <v/>
      </c>
    </row>
    <row r="124" spans="2:13">
      <c r="B124" s="17" t="str">
        <f>IFERROR(INDEX('Detalles movimientos'!C$5:C$1004, MATCH(112, 'Detalles movimientos'!$T$5:$T$1004, 0)), "")</f>
        <v/>
      </c>
      <c r="C124" s="18" t="str">
        <f>IFERROR(INDEX('Detalles movimientos'!D$5:D$1004, MATCH(112, 'Detalles movimientos'!$T$5:$T$1004, 0)), "")</f>
        <v/>
      </c>
      <c r="D124" s="19" t="str">
        <f>IFERROR(INDEX('Detalles movimientos'!E$5:E$1004, MATCH(112, 'Detalles movimientos'!$T$5:$T$1004, 0)), "")</f>
        <v/>
      </c>
      <c r="E124" s="19" t="str">
        <f>IFERROR(INDEX('Detalles movimientos'!F$5:F$1004, MATCH(112, 'Detalles movimientos'!$T$5:$T$1004, 0)), "")</f>
        <v/>
      </c>
      <c r="F124" s="18" t="str">
        <f>IFERROR(INDEX('Detalles movimientos'!G$5:G$1004, MATCH(112, 'Detalles movimientos'!$T$5:$T$1004, 0)), "")</f>
        <v/>
      </c>
      <c r="G124" s="20" t="str">
        <f>IFERROR(INDEX('Detalles movimientos'!H$5:H$1004, MATCH(112, 'Detalles movimientos'!$T$5:$T$1004, 0)), "")</f>
        <v/>
      </c>
      <c r="H124" s="21" t="str">
        <f>IFERROR(INDEX('Detalles movimientos'!I$5:I$1004, MATCH(112, 'Detalles movimientos'!$T$5:$T$1004, 0)), "")</f>
        <v/>
      </c>
      <c r="I124" s="20" t="str">
        <f>IFERROR(INDEX('Detalles movimientos'!M$5:M$1004, MATCH(112, 'Detalles movimientos'!$T$5:$T$1004, 0)), "")</f>
        <v/>
      </c>
      <c r="J124" s="19" t="str">
        <f>IFERROR(INDEX('Detalles movimientos'!N$5:N$1004, MATCH(112, 'Detalles movimientos'!$T$5:$T$1004, 0)), "")</f>
        <v/>
      </c>
      <c r="K124" s="20" t="str">
        <f>IFERROR(INDEX('Detalles movimientos'!O$5:O$1004, MATCH(112, 'Detalles movimientos'!$T$5:$T$1004, 0)), "")</f>
        <v/>
      </c>
      <c r="L124" s="18" t="str">
        <f>IFERROR(INDEX('Detalles movimientos'!P$5:P$1004, MATCH(112, 'Detalles movimientos'!$T$5:$T$1004, 0)), "")</f>
        <v/>
      </c>
      <c r="M124" s="18" t="str">
        <f>IFERROR(INDEX('Detalles movimientos'!S$5:S$1004, MATCH(112, 'Detalles movimientos'!$T$5:$T$1004, 0)), "")</f>
        <v/>
      </c>
    </row>
    <row r="125" spans="2:13">
      <c r="B125" s="17" t="str">
        <f>IFERROR(INDEX('Detalles movimientos'!C$5:C$1004, MATCH(113, 'Detalles movimientos'!$T$5:$T$1004, 0)), "")</f>
        <v/>
      </c>
      <c r="C125" s="18" t="str">
        <f>IFERROR(INDEX('Detalles movimientos'!D$5:D$1004, MATCH(113, 'Detalles movimientos'!$T$5:$T$1004, 0)), "")</f>
        <v/>
      </c>
      <c r="D125" s="19" t="str">
        <f>IFERROR(INDEX('Detalles movimientos'!E$5:E$1004, MATCH(113, 'Detalles movimientos'!$T$5:$T$1004, 0)), "")</f>
        <v/>
      </c>
      <c r="E125" s="19" t="str">
        <f>IFERROR(INDEX('Detalles movimientos'!F$5:F$1004, MATCH(113, 'Detalles movimientos'!$T$5:$T$1004, 0)), "")</f>
        <v/>
      </c>
      <c r="F125" s="18" t="str">
        <f>IFERROR(INDEX('Detalles movimientos'!G$5:G$1004, MATCH(113, 'Detalles movimientos'!$T$5:$T$1004, 0)), "")</f>
        <v/>
      </c>
      <c r="G125" s="20" t="str">
        <f>IFERROR(INDEX('Detalles movimientos'!H$5:H$1004, MATCH(113, 'Detalles movimientos'!$T$5:$T$1004, 0)), "")</f>
        <v/>
      </c>
      <c r="H125" s="21" t="str">
        <f>IFERROR(INDEX('Detalles movimientos'!I$5:I$1004, MATCH(113, 'Detalles movimientos'!$T$5:$T$1004, 0)), "")</f>
        <v/>
      </c>
      <c r="I125" s="20" t="str">
        <f>IFERROR(INDEX('Detalles movimientos'!M$5:M$1004, MATCH(113, 'Detalles movimientos'!$T$5:$T$1004, 0)), "")</f>
        <v/>
      </c>
      <c r="J125" s="19" t="str">
        <f>IFERROR(INDEX('Detalles movimientos'!N$5:N$1004, MATCH(113, 'Detalles movimientos'!$T$5:$T$1004, 0)), "")</f>
        <v/>
      </c>
      <c r="K125" s="20" t="str">
        <f>IFERROR(INDEX('Detalles movimientos'!O$5:O$1004, MATCH(113, 'Detalles movimientos'!$T$5:$T$1004, 0)), "")</f>
        <v/>
      </c>
      <c r="L125" s="18" t="str">
        <f>IFERROR(INDEX('Detalles movimientos'!P$5:P$1004, MATCH(113, 'Detalles movimientos'!$T$5:$T$1004, 0)), "")</f>
        <v/>
      </c>
      <c r="M125" s="18" t="str">
        <f>IFERROR(INDEX('Detalles movimientos'!S$5:S$1004, MATCH(113, 'Detalles movimientos'!$T$5:$T$1004, 0)), "")</f>
        <v/>
      </c>
    </row>
    <row r="126" spans="2:13">
      <c r="B126" s="17" t="str">
        <f>IFERROR(INDEX('Detalles movimientos'!C$5:C$1004, MATCH(114, 'Detalles movimientos'!$T$5:$T$1004, 0)), "")</f>
        <v/>
      </c>
      <c r="C126" s="18" t="str">
        <f>IFERROR(INDEX('Detalles movimientos'!D$5:D$1004, MATCH(114, 'Detalles movimientos'!$T$5:$T$1004, 0)), "")</f>
        <v/>
      </c>
      <c r="D126" s="19" t="str">
        <f>IFERROR(INDEX('Detalles movimientos'!E$5:E$1004, MATCH(114, 'Detalles movimientos'!$T$5:$T$1004, 0)), "")</f>
        <v/>
      </c>
      <c r="E126" s="19" t="str">
        <f>IFERROR(INDEX('Detalles movimientos'!F$5:F$1004, MATCH(114, 'Detalles movimientos'!$T$5:$T$1004, 0)), "")</f>
        <v/>
      </c>
      <c r="F126" s="18" t="str">
        <f>IFERROR(INDEX('Detalles movimientos'!G$5:G$1004, MATCH(114, 'Detalles movimientos'!$T$5:$T$1004, 0)), "")</f>
        <v/>
      </c>
      <c r="G126" s="20" t="str">
        <f>IFERROR(INDEX('Detalles movimientos'!H$5:H$1004, MATCH(114, 'Detalles movimientos'!$T$5:$T$1004, 0)), "")</f>
        <v/>
      </c>
      <c r="H126" s="21" t="str">
        <f>IFERROR(INDEX('Detalles movimientos'!I$5:I$1004, MATCH(114, 'Detalles movimientos'!$T$5:$T$1004, 0)), "")</f>
        <v/>
      </c>
      <c r="I126" s="20" t="str">
        <f>IFERROR(INDEX('Detalles movimientos'!M$5:M$1004, MATCH(114, 'Detalles movimientos'!$T$5:$T$1004, 0)), "")</f>
        <v/>
      </c>
      <c r="J126" s="19" t="str">
        <f>IFERROR(INDEX('Detalles movimientos'!N$5:N$1004, MATCH(114, 'Detalles movimientos'!$T$5:$T$1004, 0)), "")</f>
        <v/>
      </c>
      <c r="K126" s="20" t="str">
        <f>IFERROR(INDEX('Detalles movimientos'!O$5:O$1004, MATCH(114, 'Detalles movimientos'!$T$5:$T$1004, 0)), "")</f>
        <v/>
      </c>
      <c r="L126" s="18" t="str">
        <f>IFERROR(INDEX('Detalles movimientos'!P$5:P$1004, MATCH(114, 'Detalles movimientos'!$T$5:$T$1004, 0)), "")</f>
        <v/>
      </c>
      <c r="M126" s="18" t="str">
        <f>IFERROR(INDEX('Detalles movimientos'!S$5:S$1004, MATCH(114, 'Detalles movimientos'!$T$5:$T$1004, 0)), "")</f>
        <v/>
      </c>
    </row>
    <row r="127" spans="2:13">
      <c r="B127" s="17" t="str">
        <f>IFERROR(INDEX('Detalles movimientos'!C$5:C$1004, MATCH(115, 'Detalles movimientos'!$T$5:$T$1004, 0)), "")</f>
        <v/>
      </c>
      <c r="C127" s="18" t="str">
        <f>IFERROR(INDEX('Detalles movimientos'!D$5:D$1004, MATCH(115, 'Detalles movimientos'!$T$5:$T$1004, 0)), "")</f>
        <v/>
      </c>
      <c r="D127" s="19" t="str">
        <f>IFERROR(INDEX('Detalles movimientos'!E$5:E$1004, MATCH(115, 'Detalles movimientos'!$T$5:$T$1004, 0)), "")</f>
        <v/>
      </c>
      <c r="E127" s="19" t="str">
        <f>IFERROR(INDEX('Detalles movimientos'!F$5:F$1004, MATCH(115, 'Detalles movimientos'!$T$5:$T$1004, 0)), "")</f>
        <v/>
      </c>
      <c r="F127" s="18" t="str">
        <f>IFERROR(INDEX('Detalles movimientos'!G$5:G$1004, MATCH(115, 'Detalles movimientos'!$T$5:$T$1004, 0)), "")</f>
        <v/>
      </c>
      <c r="G127" s="20" t="str">
        <f>IFERROR(INDEX('Detalles movimientos'!H$5:H$1004, MATCH(115, 'Detalles movimientos'!$T$5:$T$1004, 0)), "")</f>
        <v/>
      </c>
      <c r="H127" s="21" t="str">
        <f>IFERROR(INDEX('Detalles movimientos'!I$5:I$1004, MATCH(115, 'Detalles movimientos'!$T$5:$T$1004, 0)), "")</f>
        <v/>
      </c>
      <c r="I127" s="20" t="str">
        <f>IFERROR(INDEX('Detalles movimientos'!M$5:M$1004, MATCH(115, 'Detalles movimientos'!$T$5:$T$1004, 0)), "")</f>
        <v/>
      </c>
      <c r="J127" s="19" t="str">
        <f>IFERROR(INDEX('Detalles movimientos'!N$5:N$1004, MATCH(115, 'Detalles movimientos'!$T$5:$T$1004, 0)), "")</f>
        <v/>
      </c>
      <c r="K127" s="20" t="str">
        <f>IFERROR(INDEX('Detalles movimientos'!O$5:O$1004, MATCH(115, 'Detalles movimientos'!$T$5:$T$1004, 0)), "")</f>
        <v/>
      </c>
      <c r="L127" s="18" t="str">
        <f>IFERROR(INDEX('Detalles movimientos'!P$5:P$1004, MATCH(115, 'Detalles movimientos'!$T$5:$T$1004, 0)), "")</f>
        <v/>
      </c>
      <c r="M127" s="18" t="str">
        <f>IFERROR(INDEX('Detalles movimientos'!S$5:S$1004, MATCH(115, 'Detalles movimientos'!$T$5:$T$1004, 0)), "")</f>
        <v/>
      </c>
    </row>
    <row r="128" spans="2:13">
      <c r="B128" s="17" t="str">
        <f>IFERROR(INDEX('Detalles movimientos'!C$5:C$1004, MATCH(116, 'Detalles movimientos'!$T$5:$T$1004, 0)), "")</f>
        <v/>
      </c>
      <c r="C128" s="18" t="str">
        <f>IFERROR(INDEX('Detalles movimientos'!D$5:D$1004, MATCH(116, 'Detalles movimientos'!$T$5:$T$1004, 0)), "")</f>
        <v/>
      </c>
      <c r="D128" s="19" t="str">
        <f>IFERROR(INDEX('Detalles movimientos'!E$5:E$1004, MATCH(116, 'Detalles movimientos'!$T$5:$T$1004, 0)), "")</f>
        <v/>
      </c>
      <c r="E128" s="19" t="str">
        <f>IFERROR(INDEX('Detalles movimientos'!F$5:F$1004, MATCH(116, 'Detalles movimientos'!$T$5:$T$1004, 0)), "")</f>
        <v/>
      </c>
      <c r="F128" s="18" t="str">
        <f>IFERROR(INDEX('Detalles movimientos'!G$5:G$1004, MATCH(116, 'Detalles movimientos'!$T$5:$T$1004, 0)), "")</f>
        <v/>
      </c>
      <c r="G128" s="20" t="str">
        <f>IFERROR(INDEX('Detalles movimientos'!H$5:H$1004, MATCH(116, 'Detalles movimientos'!$T$5:$T$1004, 0)), "")</f>
        <v/>
      </c>
      <c r="H128" s="21" t="str">
        <f>IFERROR(INDEX('Detalles movimientos'!I$5:I$1004, MATCH(116, 'Detalles movimientos'!$T$5:$T$1004, 0)), "")</f>
        <v/>
      </c>
      <c r="I128" s="20" t="str">
        <f>IFERROR(INDEX('Detalles movimientos'!M$5:M$1004, MATCH(116, 'Detalles movimientos'!$T$5:$T$1004, 0)), "")</f>
        <v/>
      </c>
      <c r="J128" s="19" t="str">
        <f>IFERROR(INDEX('Detalles movimientos'!N$5:N$1004, MATCH(116, 'Detalles movimientos'!$T$5:$T$1004, 0)), "")</f>
        <v/>
      </c>
      <c r="K128" s="20" t="str">
        <f>IFERROR(INDEX('Detalles movimientos'!O$5:O$1004, MATCH(116, 'Detalles movimientos'!$T$5:$T$1004, 0)), "")</f>
        <v/>
      </c>
      <c r="L128" s="18" t="str">
        <f>IFERROR(INDEX('Detalles movimientos'!P$5:P$1004, MATCH(116, 'Detalles movimientos'!$T$5:$T$1004, 0)), "")</f>
        <v/>
      </c>
      <c r="M128" s="18" t="str">
        <f>IFERROR(INDEX('Detalles movimientos'!S$5:S$1004, MATCH(116, 'Detalles movimientos'!$T$5:$T$1004, 0)), "")</f>
        <v/>
      </c>
    </row>
    <row r="129" spans="2:13">
      <c r="B129" s="17" t="str">
        <f>IFERROR(INDEX('Detalles movimientos'!C$5:C$1004, MATCH(117, 'Detalles movimientos'!$T$5:$T$1004, 0)), "")</f>
        <v/>
      </c>
      <c r="C129" s="18" t="str">
        <f>IFERROR(INDEX('Detalles movimientos'!D$5:D$1004, MATCH(117, 'Detalles movimientos'!$T$5:$T$1004, 0)), "")</f>
        <v/>
      </c>
      <c r="D129" s="19" t="str">
        <f>IFERROR(INDEX('Detalles movimientos'!E$5:E$1004, MATCH(117, 'Detalles movimientos'!$T$5:$T$1004, 0)), "")</f>
        <v/>
      </c>
      <c r="E129" s="19" t="str">
        <f>IFERROR(INDEX('Detalles movimientos'!F$5:F$1004, MATCH(117, 'Detalles movimientos'!$T$5:$T$1004, 0)), "")</f>
        <v/>
      </c>
      <c r="F129" s="18" t="str">
        <f>IFERROR(INDEX('Detalles movimientos'!G$5:G$1004, MATCH(117, 'Detalles movimientos'!$T$5:$T$1004, 0)), "")</f>
        <v/>
      </c>
      <c r="G129" s="20" t="str">
        <f>IFERROR(INDEX('Detalles movimientos'!H$5:H$1004, MATCH(117, 'Detalles movimientos'!$T$5:$T$1004, 0)), "")</f>
        <v/>
      </c>
      <c r="H129" s="21" t="str">
        <f>IFERROR(INDEX('Detalles movimientos'!I$5:I$1004, MATCH(117, 'Detalles movimientos'!$T$5:$T$1004, 0)), "")</f>
        <v/>
      </c>
      <c r="I129" s="20" t="str">
        <f>IFERROR(INDEX('Detalles movimientos'!M$5:M$1004, MATCH(117, 'Detalles movimientos'!$T$5:$T$1004, 0)), "")</f>
        <v/>
      </c>
      <c r="J129" s="19" t="str">
        <f>IFERROR(INDEX('Detalles movimientos'!N$5:N$1004, MATCH(117, 'Detalles movimientos'!$T$5:$T$1004, 0)), "")</f>
        <v/>
      </c>
      <c r="K129" s="20" t="str">
        <f>IFERROR(INDEX('Detalles movimientos'!O$5:O$1004, MATCH(117, 'Detalles movimientos'!$T$5:$T$1004, 0)), "")</f>
        <v/>
      </c>
      <c r="L129" s="18" t="str">
        <f>IFERROR(INDEX('Detalles movimientos'!P$5:P$1004, MATCH(117, 'Detalles movimientos'!$T$5:$T$1004, 0)), "")</f>
        <v/>
      </c>
      <c r="M129" s="18" t="str">
        <f>IFERROR(INDEX('Detalles movimientos'!S$5:S$1004, MATCH(117, 'Detalles movimientos'!$T$5:$T$1004, 0)), "")</f>
        <v/>
      </c>
    </row>
    <row r="130" spans="2:13">
      <c r="B130" s="17" t="str">
        <f>IFERROR(INDEX('Detalles movimientos'!C$5:C$1004, MATCH(118, 'Detalles movimientos'!$T$5:$T$1004, 0)), "")</f>
        <v/>
      </c>
      <c r="C130" s="18" t="str">
        <f>IFERROR(INDEX('Detalles movimientos'!D$5:D$1004, MATCH(118, 'Detalles movimientos'!$T$5:$T$1004, 0)), "")</f>
        <v/>
      </c>
      <c r="D130" s="19" t="str">
        <f>IFERROR(INDEX('Detalles movimientos'!E$5:E$1004, MATCH(118, 'Detalles movimientos'!$T$5:$T$1004, 0)), "")</f>
        <v/>
      </c>
      <c r="E130" s="19" t="str">
        <f>IFERROR(INDEX('Detalles movimientos'!F$5:F$1004, MATCH(118, 'Detalles movimientos'!$T$5:$T$1004, 0)), "")</f>
        <v/>
      </c>
      <c r="F130" s="18" t="str">
        <f>IFERROR(INDEX('Detalles movimientos'!G$5:G$1004, MATCH(118, 'Detalles movimientos'!$T$5:$T$1004, 0)), "")</f>
        <v/>
      </c>
      <c r="G130" s="20" t="str">
        <f>IFERROR(INDEX('Detalles movimientos'!H$5:H$1004, MATCH(118, 'Detalles movimientos'!$T$5:$T$1004, 0)), "")</f>
        <v/>
      </c>
      <c r="H130" s="21" t="str">
        <f>IFERROR(INDEX('Detalles movimientos'!I$5:I$1004, MATCH(118, 'Detalles movimientos'!$T$5:$T$1004, 0)), "")</f>
        <v/>
      </c>
      <c r="I130" s="20" t="str">
        <f>IFERROR(INDEX('Detalles movimientos'!M$5:M$1004, MATCH(118, 'Detalles movimientos'!$T$5:$T$1004, 0)), "")</f>
        <v/>
      </c>
      <c r="J130" s="19" t="str">
        <f>IFERROR(INDEX('Detalles movimientos'!N$5:N$1004, MATCH(118, 'Detalles movimientos'!$T$5:$T$1004, 0)), "")</f>
        <v/>
      </c>
      <c r="K130" s="20" t="str">
        <f>IFERROR(INDEX('Detalles movimientos'!O$5:O$1004, MATCH(118, 'Detalles movimientos'!$T$5:$T$1004, 0)), "")</f>
        <v/>
      </c>
      <c r="L130" s="18" t="str">
        <f>IFERROR(INDEX('Detalles movimientos'!P$5:P$1004, MATCH(118, 'Detalles movimientos'!$T$5:$T$1004, 0)), "")</f>
        <v/>
      </c>
      <c r="M130" s="18" t="str">
        <f>IFERROR(INDEX('Detalles movimientos'!S$5:S$1004, MATCH(118, 'Detalles movimientos'!$T$5:$T$1004, 0)), "")</f>
        <v/>
      </c>
    </row>
    <row r="131" spans="2:13">
      <c r="B131" s="17" t="str">
        <f>IFERROR(INDEX('Detalles movimientos'!C$5:C$1004, MATCH(119, 'Detalles movimientos'!$T$5:$T$1004, 0)), "")</f>
        <v/>
      </c>
      <c r="C131" s="18" t="str">
        <f>IFERROR(INDEX('Detalles movimientos'!D$5:D$1004, MATCH(119, 'Detalles movimientos'!$T$5:$T$1004, 0)), "")</f>
        <v/>
      </c>
      <c r="D131" s="19" t="str">
        <f>IFERROR(INDEX('Detalles movimientos'!E$5:E$1004, MATCH(119, 'Detalles movimientos'!$T$5:$T$1004, 0)), "")</f>
        <v/>
      </c>
      <c r="E131" s="19" t="str">
        <f>IFERROR(INDEX('Detalles movimientos'!F$5:F$1004, MATCH(119, 'Detalles movimientos'!$T$5:$T$1004, 0)), "")</f>
        <v/>
      </c>
      <c r="F131" s="18" t="str">
        <f>IFERROR(INDEX('Detalles movimientos'!G$5:G$1004, MATCH(119, 'Detalles movimientos'!$T$5:$T$1004, 0)), "")</f>
        <v/>
      </c>
      <c r="G131" s="20" t="str">
        <f>IFERROR(INDEX('Detalles movimientos'!H$5:H$1004, MATCH(119, 'Detalles movimientos'!$T$5:$T$1004, 0)), "")</f>
        <v/>
      </c>
      <c r="H131" s="21" t="str">
        <f>IFERROR(INDEX('Detalles movimientos'!I$5:I$1004, MATCH(119, 'Detalles movimientos'!$T$5:$T$1004, 0)), "")</f>
        <v/>
      </c>
      <c r="I131" s="20" t="str">
        <f>IFERROR(INDEX('Detalles movimientos'!M$5:M$1004, MATCH(119, 'Detalles movimientos'!$T$5:$T$1004, 0)), "")</f>
        <v/>
      </c>
      <c r="J131" s="19" t="str">
        <f>IFERROR(INDEX('Detalles movimientos'!N$5:N$1004, MATCH(119, 'Detalles movimientos'!$T$5:$T$1004, 0)), "")</f>
        <v/>
      </c>
      <c r="K131" s="20" t="str">
        <f>IFERROR(INDEX('Detalles movimientos'!O$5:O$1004, MATCH(119, 'Detalles movimientos'!$T$5:$T$1004, 0)), "")</f>
        <v/>
      </c>
      <c r="L131" s="18" t="str">
        <f>IFERROR(INDEX('Detalles movimientos'!P$5:P$1004, MATCH(119, 'Detalles movimientos'!$T$5:$T$1004, 0)), "")</f>
        <v/>
      </c>
      <c r="M131" s="18" t="str">
        <f>IFERROR(INDEX('Detalles movimientos'!S$5:S$1004, MATCH(119, 'Detalles movimientos'!$T$5:$T$1004, 0)), "")</f>
        <v/>
      </c>
    </row>
    <row r="132" spans="2:13">
      <c r="B132" s="17" t="str">
        <f>IFERROR(INDEX('Detalles movimientos'!C$5:C$1004, MATCH(120, 'Detalles movimientos'!$T$5:$T$1004, 0)), "")</f>
        <v/>
      </c>
      <c r="C132" s="18" t="str">
        <f>IFERROR(INDEX('Detalles movimientos'!D$5:D$1004, MATCH(120, 'Detalles movimientos'!$T$5:$T$1004, 0)), "")</f>
        <v/>
      </c>
      <c r="D132" s="19" t="str">
        <f>IFERROR(INDEX('Detalles movimientos'!E$5:E$1004, MATCH(120, 'Detalles movimientos'!$T$5:$T$1004, 0)), "")</f>
        <v/>
      </c>
      <c r="E132" s="19" t="str">
        <f>IFERROR(INDEX('Detalles movimientos'!F$5:F$1004, MATCH(120, 'Detalles movimientos'!$T$5:$T$1004, 0)), "")</f>
        <v/>
      </c>
      <c r="F132" s="18" t="str">
        <f>IFERROR(INDEX('Detalles movimientos'!G$5:G$1004, MATCH(120, 'Detalles movimientos'!$T$5:$T$1004, 0)), "")</f>
        <v/>
      </c>
      <c r="G132" s="20" t="str">
        <f>IFERROR(INDEX('Detalles movimientos'!H$5:H$1004, MATCH(120, 'Detalles movimientos'!$T$5:$T$1004, 0)), "")</f>
        <v/>
      </c>
      <c r="H132" s="21" t="str">
        <f>IFERROR(INDEX('Detalles movimientos'!I$5:I$1004, MATCH(120, 'Detalles movimientos'!$T$5:$T$1004, 0)), "")</f>
        <v/>
      </c>
      <c r="I132" s="20" t="str">
        <f>IFERROR(INDEX('Detalles movimientos'!M$5:M$1004, MATCH(120, 'Detalles movimientos'!$T$5:$T$1004, 0)), "")</f>
        <v/>
      </c>
      <c r="J132" s="19" t="str">
        <f>IFERROR(INDEX('Detalles movimientos'!N$5:N$1004, MATCH(120, 'Detalles movimientos'!$T$5:$T$1004, 0)), "")</f>
        <v/>
      </c>
      <c r="K132" s="20" t="str">
        <f>IFERROR(INDEX('Detalles movimientos'!O$5:O$1004, MATCH(120, 'Detalles movimientos'!$T$5:$T$1004, 0)), "")</f>
        <v/>
      </c>
      <c r="L132" s="18" t="str">
        <f>IFERROR(INDEX('Detalles movimientos'!P$5:P$1004, MATCH(120, 'Detalles movimientos'!$T$5:$T$1004, 0)), "")</f>
        <v/>
      </c>
      <c r="M132" s="18" t="str">
        <f>IFERROR(INDEX('Detalles movimientos'!S$5:S$1004, MATCH(120, 'Detalles movimientos'!$T$5:$T$1004, 0)), "")</f>
        <v/>
      </c>
    </row>
    <row r="133" spans="2:13">
      <c r="B133" s="17" t="str">
        <f>IFERROR(INDEX('Detalles movimientos'!C$5:C$1004, MATCH(121, 'Detalles movimientos'!$T$5:$T$1004, 0)), "")</f>
        <v/>
      </c>
      <c r="C133" s="18" t="str">
        <f>IFERROR(INDEX('Detalles movimientos'!D$5:D$1004, MATCH(121, 'Detalles movimientos'!$T$5:$T$1004, 0)), "")</f>
        <v/>
      </c>
      <c r="D133" s="19" t="str">
        <f>IFERROR(INDEX('Detalles movimientos'!E$5:E$1004, MATCH(121, 'Detalles movimientos'!$T$5:$T$1004, 0)), "")</f>
        <v/>
      </c>
      <c r="E133" s="19" t="str">
        <f>IFERROR(INDEX('Detalles movimientos'!F$5:F$1004, MATCH(121, 'Detalles movimientos'!$T$5:$T$1004, 0)), "")</f>
        <v/>
      </c>
      <c r="F133" s="18" t="str">
        <f>IFERROR(INDEX('Detalles movimientos'!G$5:G$1004, MATCH(121, 'Detalles movimientos'!$T$5:$T$1004, 0)), "")</f>
        <v/>
      </c>
      <c r="G133" s="20" t="str">
        <f>IFERROR(INDEX('Detalles movimientos'!H$5:H$1004, MATCH(121, 'Detalles movimientos'!$T$5:$T$1004, 0)), "")</f>
        <v/>
      </c>
      <c r="H133" s="21" t="str">
        <f>IFERROR(INDEX('Detalles movimientos'!I$5:I$1004, MATCH(121, 'Detalles movimientos'!$T$5:$T$1004, 0)), "")</f>
        <v/>
      </c>
      <c r="I133" s="20" t="str">
        <f>IFERROR(INDEX('Detalles movimientos'!M$5:M$1004, MATCH(121, 'Detalles movimientos'!$T$5:$T$1004, 0)), "")</f>
        <v/>
      </c>
      <c r="J133" s="19" t="str">
        <f>IFERROR(INDEX('Detalles movimientos'!N$5:N$1004, MATCH(121, 'Detalles movimientos'!$T$5:$T$1004, 0)), "")</f>
        <v/>
      </c>
      <c r="K133" s="20" t="str">
        <f>IFERROR(INDEX('Detalles movimientos'!O$5:O$1004, MATCH(121, 'Detalles movimientos'!$T$5:$T$1004, 0)), "")</f>
        <v/>
      </c>
      <c r="L133" s="18" t="str">
        <f>IFERROR(INDEX('Detalles movimientos'!P$5:P$1004, MATCH(121, 'Detalles movimientos'!$T$5:$T$1004, 0)), "")</f>
        <v/>
      </c>
      <c r="M133" s="18" t="str">
        <f>IFERROR(INDEX('Detalles movimientos'!S$5:S$1004, MATCH(121, 'Detalles movimientos'!$T$5:$T$1004, 0)), "")</f>
        <v/>
      </c>
    </row>
    <row r="134" spans="2:13">
      <c r="B134" s="17" t="str">
        <f>IFERROR(INDEX('Detalles movimientos'!C$5:C$1004, MATCH(122, 'Detalles movimientos'!$T$5:$T$1004, 0)), "")</f>
        <v/>
      </c>
      <c r="C134" s="18" t="str">
        <f>IFERROR(INDEX('Detalles movimientos'!D$5:D$1004, MATCH(122, 'Detalles movimientos'!$T$5:$T$1004, 0)), "")</f>
        <v/>
      </c>
      <c r="D134" s="19" t="str">
        <f>IFERROR(INDEX('Detalles movimientos'!E$5:E$1004, MATCH(122, 'Detalles movimientos'!$T$5:$T$1004, 0)), "")</f>
        <v/>
      </c>
      <c r="E134" s="19" t="str">
        <f>IFERROR(INDEX('Detalles movimientos'!F$5:F$1004, MATCH(122, 'Detalles movimientos'!$T$5:$T$1004, 0)), "")</f>
        <v/>
      </c>
      <c r="F134" s="18" t="str">
        <f>IFERROR(INDEX('Detalles movimientos'!G$5:G$1004, MATCH(122, 'Detalles movimientos'!$T$5:$T$1004, 0)), "")</f>
        <v/>
      </c>
      <c r="G134" s="20" t="str">
        <f>IFERROR(INDEX('Detalles movimientos'!H$5:H$1004, MATCH(122, 'Detalles movimientos'!$T$5:$T$1004, 0)), "")</f>
        <v/>
      </c>
      <c r="H134" s="21" t="str">
        <f>IFERROR(INDEX('Detalles movimientos'!I$5:I$1004, MATCH(122, 'Detalles movimientos'!$T$5:$T$1004, 0)), "")</f>
        <v/>
      </c>
      <c r="I134" s="20" t="str">
        <f>IFERROR(INDEX('Detalles movimientos'!M$5:M$1004, MATCH(122, 'Detalles movimientos'!$T$5:$T$1004, 0)), "")</f>
        <v/>
      </c>
      <c r="J134" s="19" t="str">
        <f>IFERROR(INDEX('Detalles movimientos'!N$5:N$1004, MATCH(122, 'Detalles movimientos'!$T$5:$T$1004, 0)), "")</f>
        <v/>
      </c>
      <c r="K134" s="20" t="str">
        <f>IFERROR(INDEX('Detalles movimientos'!O$5:O$1004, MATCH(122, 'Detalles movimientos'!$T$5:$T$1004, 0)), "")</f>
        <v/>
      </c>
      <c r="L134" s="18" t="str">
        <f>IFERROR(INDEX('Detalles movimientos'!P$5:P$1004, MATCH(122, 'Detalles movimientos'!$T$5:$T$1004, 0)), "")</f>
        <v/>
      </c>
      <c r="M134" s="18" t="str">
        <f>IFERROR(INDEX('Detalles movimientos'!S$5:S$1004, MATCH(122, 'Detalles movimientos'!$T$5:$T$1004, 0)), "")</f>
        <v/>
      </c>
    </row>
    <row r="135" spans="2:13">
      <c r="B135" s="17" t="str">
        <f>IFERROR(INDEX('Detalles movimientos'!C$5:C$1004, MATCH(123, 'Detalles movimientos'!$T$5:$T$1004, 0)), "")</f>
        <v/>
      </c>
      <c r="C135" s="18" t="str">
        <f>IFERROR(INDEX('Detalles movimientos'!D$5:D$1004, MATCH(123, 'Detalles movimientos'!$T$5:$T$1004, 0)), "")</f>
        <v/>
      </c>
      <c r="D135" s="19" t="str">
        <f>IFERROR(INDEX('Detalles movimientos'!E$5:E$1004, MATCH(123, 'Detalles movimientos'!$T$5:$T$1004, 0)), "")</f>
        <v/>
      </c>
      <c r="E135" s="19" t="str">
        <f>IFERROR(INDEX('Detalles movimientos'!F$5:F$1004, MATCH(123, 'Detalles movimientos'!$T$5:$T$1004, 0)), "")</f>
        <v/>
      </c>
      <c r="F135" s="18" t="str">
        <f>IFERROR(INDEX('Detalles movimientos'!G$5:G$1004, MATCH(123, 'Detalles movimientos'!$T$5:$T$1004, 0)), "")</f>
        <v/>
      </c>
      <c r="G135" s="20" t="str">
        <f>IFERROR(INDEX('Detalles movimientos'!H$5:H$1004, MATCH(123, 'Detalles movimientos'!$T$5:$T$1004, 0)), "")</f>
        <v/>
      </c>
      <c r="H135" s="21" t="str">
        <f>IFERROR(INDEX('Detalles movimientos'!I$5:I$1004, MATCH(123, 'Detalles movimientos'!$T$5:$T$1004, 0)), "")</f>
        <v/>
      </c>
      <c r="I135" s="20" t="str">
        <f>IFERROR(INDEX('Detalles movimientos'!M$5:M$1004, MATCH(123, 'Detalles movimientos'!$T$5:$T$1004, 0)), "")</f>
        <v/>
      </c>
      <c r="J135" s="19" t="str">
        <f>IFERROR(INDEX('Detalles movimientos'!N$5:N$1004, MATCH(123, 'Detalles movimientos'!$T$5:$T$1004, 0)), "")</f>
        <v/>
      </c>
      <c r="K135" s="20" t="str">
        <f>IFERROR(INDEX('Detalles movimientos'!O$5:O$1004, MATCH(123, 'Detalles movimientos'!$T$5:$T$1004, 0)), "")</f>
        <v/>
      </c>
      <c r="L135" s="18" t="str">
        <f>IFERROR(INDEX('Detalles movimientos'!P$5:P$1004, MATCH(123, 'Detalles movimientos'!$T$5:$T$1004, 0)), "")</f>
        <v/>
      </c>
      <c r="M135" s="18" t="str">
        <f>IFERROR(INDEX('Detalles movimientos'!S$5:S$1004, MATCH(123, 'Detalles movimientos'!$T$5:$T$1004, 0)), "")</f>
        <v/>
      </c>
    </row>
    <row r="136" spans="2:13">
      <c r="B136" s="17" t="str">
        <f>IFERROR(INDEX('Detalles movimientos'!C$5:C$1004, MATCH(124, 'Detalles movimientos'!$T$5:$T$1004, 0)), "")</f>
        <v/>
      </c>
      <c r="C136" s="18" t="str">
        <f>IFERROR(INDEX('Detalles movimientos'!D$5:D$1004, MATCH(124, 'Detalles movimientos'!$T$5:$T$1004, 0)), "")</f>
        <v/>
      </c>
      <c r="D136" s="19" t="str">
        <f>IFERROR(INDEX('Detalles movimientos'!E$5:E$1004, MATCH(124, 'Detalles movimientos'!$T$5:$T$1004, 0)), "")</f>
        <v/>
      </c>
      <c r="E136" s="19" t="str">
        <f>IFERROR(INDEX('Detalles movimientos'!F$5:F$1004, MATCH(124, 'Detalles movimientos'!$T$5:$T$1004, 0)), "")</f>
        <v/>
      </c>
      <c r="F136" s="18" t="str">
        <f>IFERROR(INDEX('Detalles movimientos'!G$5:G$1004, MATCH(124, 'Detalles movimientos'!$T$5:$T$1004, 0)), "")</f>
        <v/>
      </c>
      <c r="G136" s="20" t="str">
        <f>IFERROR(INDEX('Detalles movimientos'!H$5:H$1004, MATCH(124, 'Detalles movimientos'!$T$5:$T$1004, 0)), "")</f>
        <v/>
      </c>
      <c r="H136" s="21" t="str">
        <f>IFERROR(INDEX('Detalles movimientos'!I$5:I$1004, MATCH(124, 'Detalles movimientos'!$T$5:$T$1004, 0)), "")</f>
        <v/>
      </c>
      <c r="I136" s="20" t="str">
        <f>IFERROR(INDEX('Detalles movimientos'!M$5:M$1004, MATCH(124, 'Detalles movimientos'!$T$5:$T$1004, 0)), "")</f>
        <v/>
      </c>
      <c r="J136" s="19" t="str">
        <f>IFERROR(INDEX('Detalles movimientos'!N$5:N$1004, MATCH(124, 'Detalles movimientos'!$T$5:$T$1004, 0)), "")</f>
        <v/>
      </c>
      <c r="K136" s="20" t="str">
        <f>IFERROR(INDEX('Detalles movimientos'!O$5:O$1004, MATCH(124, 'Detalles movimientos'!$T$5:$T$1004, 0)), "")</f>
        <v/>
      </c>
      <c r="L136" s="18" t="str">
        <f>IFERROR(INDEX('Detalles movimientos'!P$5:P$1004, MATCH(124, 'Detalles movimientos'!$T$5:$T$1004, 0)), "")</f>
        <v/>
      </c>
      <c r="M136" s="18" t="str">
        <f>IFERROR(INDEX('Detalles movimientos'!S$5:S$1004, MATCH(124, 'Detalles movimientos'!$T$5:$T$1004, 0)), "")</f>
        <v/>
      </c>
    </row>
    <row r="137" spans="2:13">
      <c r="B137" s="17" t="str">
        <f>IFERROR(INDEX('Detalles movimientos'!C$5:C$1004, MATCH(125, 'Detalles movimientos'!$T$5:$T$1004, 0)), "")</f>
        <v/>
      </c>
      <c r="C137" s="18" t="str">
        <f>IFERROR(INDEX('Detalles movimientos'!D$5:D$1004, MATCH(125, 'Detalles movimientos'!$T$5:$T$1004, 0)), "")</f>
        <v/>
      </c>
      <c r="D137" s="19" t="str">
        <f>IFERROR(INDEX('Detalles movimientos'!E$5:E$1004, MATCH(125, 'Detalles movimientos'!$T$5:$T$1004, 0)), "")</f>
        <v/>
      </c>
      <c r="E137" s="19" t="str">
        <f>IFERROR(INDEX('Detalles movimientos'!F$5:F$1004, MATCH(125, 'Detalles movimientos'!$T$5:$T$1004, 0)), "")</f>
        <v/>
      </c>
      <c r="F137" s="18" t="str">
        <f>IFERROR(INDEX('Detalles movimientos'!G$5:G$1004, MATCH(125, 'Detalles movimientos'!$T$5:$T$1004, 0)), "")</f>
        <v/>
      </c>
      <c r="G137" s="20" t="str">
        <f>IFERROR(INDEX('Detalles movimientos'!H$5:H$1004, MATCH(125, 'Detalles movimientos'!$T$5:$T$1004, 0)), "")</f>
        <v/>
      </c>
      <c r="H137" s="21" t="str">
        <f>IFERROR(INDEX('Detalles movimientos'!I$5:I$1004, MATCH(125, 'Detalles movimientos'!$T$5:$T$1004, 0)), "")</f>
        <v/>
      </c>
      <c r="I137" s="20" t="str">
        <f>IFERROR(INDEX('Detalles movimientos'!M$5:M$1004, MATCH(125, 'Detalles movimientos'!$T$5:$T$1004, 0)), "")</f>
        <v/>
      </c>
      <c r="J137" s="19" t="str">
        <f>IFERROR(INDEX('Detalles movimientos'!N$5:N$1004, MATCH(125, 'Detalles movimientos'!$T$5:$T$1004, 0)), "")</f>
        <v/>
      </c>
      <c r="K137" s="20" t="str">
        <f>IFERROR(INDEX('Detalles movimientos'!O$5:O$1004, MATCH(125, 'Detalles movimientos'!$T$5:$T$1004, 0)), "")</f>
        <v/>
      </c>
      <c r="L137" s="18" t="str">
        <f>IFERROR(INDEX('Detalles movimientos'!P$5:P$1004, MATCH(125, 'Detalles movimientos'!$T$5:$T$1004, 0)), "")</f>
        <v/>
      </c>
      <c r="M137" s="18" t="str">
        <f>IFERROR(INDEX('Detalles movimientos'!S$5:S$1004, MATCH(125, 'Detalles movimientos'!$T$5:$T$1004, 0)), "")</f>
        <v/>
      </c>
    </row>
    <row r="138" spans="2:13">
      <c r="B138" s="17" t="str">
        <f>IFERROR(INDEX('Detalles movimientos'!C$5:C$1004, MATCH(126, 'Detalles movimientos'!$T$5:$T$1004, 0)), "")</f>
        <v/>
      </c>
      <c r="C138" s="18" t="str">
        <f>IFERROR(INDEX('Detalles movimientos'!D$5:D$1004, MATCH(126, 'Detalles movimientos'!$T$5:$T$1004, 0)), "")</f>
        <v/>
      </c>
      <c r="D138" s="19" t="str">
        <f>IFERROR(INDEX('Detalles movimientos'!E$5:E$1004, MATCH(126, 'Detalles movimientos'!$T$5:$T$1004, 0)), "")</f>
        <v/>
      </c>
      <c r="E138" s="19" t="str">
        <f>IFERROR(INDEX('Detalles movimientos'!F$5:F$1004, MATCH(126, 'Detalles movimientos'!$T$5:$T$1004, 0)), "")</f>
        <v/>
      </c>
      <c r="F138" s="18" t="str">
        <f>IFERROR(INDEX('Detalles movimientos'!G$5:G$1004, MATCH(126, 'Detalles movimientos'!$T$5:$T$1004, 0)), "")</f>
        <v/>
      </c>
      <c r="G138" s="20" t="str">
        <f>IFERROR(INDEX('Detalles movimientos'!H$5:H$1004, MATCH(126, 'Detalles movimientos'!$T$5:$T$1004, 0)), "")</f>
        <v/>
      </c>
      <c r="H138" s="21" t="str">
        <f>IFERROR(INDEX('Detalles movimientos'!I$5:I$1004, MATCH(126, 'Detalles movimientos'!$T$5:$T$1004, 0)), "")</f>
        <v/>
      </c>
      <c r="I138" s="20" t="str">
        <f>IFERROR(INDEX('Detalles movimientos'!M$5:M$1004, MATCH(126, 'Detalles movimientos'!$T$5:$T$1004, 0)), "")</f>
        <v/>
      </c>
      <c r="J138" s="19" t="str">
        <f>IFERROR(INDEX('Detalles movimientos'!N$5:N$1004, MATCH(126, 'Detalles movimientos'!$T$5:$T$1004, 0)), "")</f>
        <v/>
      </c>
      <c r="K138" s="20" t="str">
        <f>IFERROR(INDEX('Detalles movimientos'!O$5:O$1004, MATCH(126, 'Detalles movimientos'!$T$5:$T$1004, 0)), "")</f>
        <v/>
      </c>
      <c r="L138" s="18" t="str">
        <f>IFERROR(INDEX('Detalles movimientos'!P$5:P$1004, MATCH(126, 'Detalles movimientos'!$T$5:$T$1004, 0)), "")</f>
        <v/>
      </c>
      <c r="M138" s="18" t="str">
        <f>IFERROR(INDEX('Detalles movimientos'!S$5:S$1004, MATCH(126, 'Detalles movimientos'!$T$5:$T$1004, 0)), "")</f>
        <v/>
      </c>
    </row>
    <row r="139" spans="2:13">
      <c r="B139" s="17" t="str">
        <f>IFERROR(INDEX('Detalles movimientos'!C$5:C$1004, MATCH(127, 'Detalles movimientos'!$T$5:$T$1004, 0)), "")</f>
        <v/>
      </c>
      <c r="C139" s="18" t="str">
        <f>IFERROR(INDEX('Detalles movimientos'!D$5:D$1004, MATCH(127, 'Detalles movimientos'!$T$5:$T$1004, 0)), "")</f>
        <v/>
      </c>
      <c r="D139" s="19" t="str">
        <f>IFERROR(INDEX('Detalles movimientos'!E$5:E$1004, MATCH(127, 'Detalles movimientos'!$T$5:$T$1004, 0)), "")</f>
        <v/>
      </c>
      <c r="E139" s="19" t="str">
        <f>IFERROR(INDEX('Detalles movimientos'!F$5:F$1004, MATCH(127, 'Detalles movimientos'!$T$5:$T$1004, 0)), "")</f>
        <v/>
      </c>
      <c r="F139" s="18" t="str">
        <f>IFERROR(INDEX('Detalles movimientos'!G$5:G$1004, MATCH(127, 'Detalles movimientos'!$T$5:$T$1004, 0)), "")</f>
        <v/>
      </c>
      <c r="G139" s="20" t="str">
        <f>IFERROR(INDEX('Detalles movimientos'!H$5:H$1004, MATCH(127, 'Detalles movimientos'!$T$5:$T$1004, 0)), "")</f>
        <v/>
      </c>
      <c r="H139" s="21" t="str">
        <f>IFERROR(INDEX('Detalles movimientos'!I$5:I$1004, MATCH(127, 'Detalles movimientos'!$T$5:$T$1004, 0)), "")</f>
        <v/>
      </c>
      <c r="I139" s="20" t="str">
        <f>IFERROR(INDEX('Detalles movimientos'!M$5:M$1004, MATCH(127, 'Detalles movimientos'!$T$5:$T$1004, 0)), "")</f>
        <v/>
      </c>
      <c r="J139" s="19" t="str">
        <f>IFERROR(INDEX('Detalles movimientos'!N$5:N$1004, MATCH(127, 'Detalles movimientos'!$T$5:$T$1004, 0)), "")</f>
        <v/>
      </c>
      <c r="K139" s="20" t="str">
        <f>IFERROR(INDEX('Detalles movimientos'!O$5:O$1004, MATCH(127, 'Detalles movimientos'!$T$5:$T$1004, 0)), "")</f>
        <v/>
      </c>
      <c r="L139" s="18" t="str">
        <f>IFERROR(INDEX('Detalles movimientos'!P$5:P$1004, MATCH(127, 'Detalles movimientos'!$T$5:$T$1004, 0)), "")</f>
        <v/>
      </c>
      <c r="M139" s="18" t="str">
        <f>IFERROR(INDEX('Detalles movimientos'!S$5:S$1004, MATCH(127, 'Detalles movimientos'!$T$5:$T$1004, 0)), "")</f>
        <v/>
      </c>
    </row>
    <row r="140" spans="2:13">
      <c r="B140" s="17" t="str">
        <f>IFERROR(INDEX('Detalles movimientos'!C$5:C$1004, MATCH(128, 'Detalles movimientos'!$T$5:$T$1004, 0)), "")</f>
        <v/>
      </c>
      <c r="C140" s="18" t="str">
        <f>IFERROR(INDEX('Detalles movimientos'!D$5:D$1004, MATCH(128, 'Detalles movimientos'!$T$5:$T$1004, 0)), "")</f>
        <v/>
      </c>
      <c r="D140" s="19" t="str">
        <f>IFERROR(INDEX('Detalles movimientos'!E$5:E$1004, MATCH(128, 'Detalles movimientos'!$T$5:$T$1004, 0)), "")</f>
        <v/>
      </c>
      <c r="E140" s="19" t="str">
        <f>IFERROR(INDEX('Detalles movimientos'!F$5:F$1004, MATCH(128, 'Detalles movimientos'!$T$5:$T$1004, 0)), "")</f>
        <v/>
      </c>
      <c r="F140" s="18" t="str">
        <f>IFERROR(INDEX('Detalles movimientos'!G$5:G$1004, MATCH(128, 'Detalles movimientos'!$T$5:$T$1004, 0)), "")</f>
        <v/>
      </c>
      <c r="G140" s="20" t="str">
        <f>IFERROR(INDEX('Detalles movimientos'!H$5:H$1004, MATCH(128, 'Detalles movimientos'!$T$5:$T$1004, 0)), "")</f>
        <v/>
      </c>
      <c r="H140" s="21" t="str">
        <f>IFERROR(INDEX('Detalles movimientos'!I$5:I$1004, MATCH(128, 'Detalles movimientos'!$T$5:$T$1004, 0)), "")</f>
        <v/>
      </c>
      <c r="I140" s="20" t="str">
        <f>IFERROR(INDEX('Detalles movimientos'!M$5:M$1004, MATCH(128, 'Detalles movimientos'!$T$5:$T$1004, 0)), "")</f>
        <v/>
      </c>
      <c r="J140" s="19" t="str">
        <f>IFERROR(INDEX('Detalles movimientos'!N$5:N$1004, MATCH(128, 'Detalles movimientos'!$T$5:$T$1004, 0)), "")</f>
        <v/>
      </c>
      <c r="K140" s="20" t="str">
        <f>IFERROR(INDEX('Detalles movimientos'!O$5:O$1004, MATCH(128, 'Detalles movimientos'!$T$5:$T$1004, 0)), "")</f>
        <v/>
      </c>
      <c r="L140" s="18" t="str">
        <f>IFERROR(INDEX('Detalles movimientos'!P$5:P$1004, MATCH(128, 'Detalles movimientos'!$T$5:$T$1004, 0)), "")</f>
        <v/>
      </c>
      <c r="M140" s="18" t="str">
        <f>IFERROR(INDEX('Detalles movimientos'!S$5:S$1004, MATCH(128, 'Detalles movimientos'!$T$5:$T$1004, 0)), "")</f>
        <v/>
      </c>
    </row>
    <row r="141" spans="2:13">
      <c r="B141" s="17" t="str">
        <f>IFERROR(INDEX('Detalles movimientos'!C$5:C$1004, MATCH(129, 'Detalles movimientos'!$T$5:$T$1004, 0)), "")</f>
        <v/>
      </c>
      <c r="C141" s="18" t="str">
        <f>IFERROR(INDEX('Detalles movimientos'!D$5:D$1004, MATCH(129, 'Detalles movimientos'!$T$5:$T$1004, 0)), "")</f>
        <v/>
      </c>
      <c r="D141" s="19" t="str">
        <f>IFERROR(INDEX('Detalles movimientos'!E$5:E$1004, MATCH(129, 'Detalles movimientos'!$T$5:$T$1004, 0)), "")</f>
        <v/>
      </c>
      <c r="E141" s="19" t="str">
        <f>IFERROR(INDEX('Detalles movimientos'!F$5:F$1004, MATCH(129, 'Detalles movimientos'!$T$5:$T$1004, 0)), "")</f>
        <v/>
      </c>
      <c r="F141" s="18" t="str">
        <f>IFERROR(INDEX('Detalles movimientos'!G$5:G$1004, MATCH(129, 'Detalles movimientos'!$T$5:$T$1004, 0)), "")</f>
        <v/>
      </c>
      <c r="G141" s="20" t="str">
        <f>IFERROR(INDEX('Detalles movimientos'!H$5:H$1004, MATCH(129, 'Detalles movimientos'!$T$5:$T$1004, 0)), "")</f>
        <v/>
      </c>
      <c r="H141" s="21" t="str">
        <f>IFERROR(INDEX('Detalles movimientos'!I$5:I$1004, MATCH(129, 'Detalles movimientos'!$T$5:$T$1004, 0)), "")</f>
        <v/>
      </c>
      <c r="I141" s="20" t="str">
        <f>IFERROR(INDEX('Detalles movimientos'!M$5:M$1004, MATCH(129, 'Detalles movimientos'!$T$5:$T$1004, 0)), "")</f>
        <v/>
      </c>
      <c r="J141" s="19" t="str">
        <f>IFERROR(INDEX('Detalles movimientos'!N$5:N$1004, MATCH(129, 'Detalles movimientos'!$T$5:$T$1004, 0)), "")</f>
        <v/>
      </c>
      <c r="K141" s="20" t="str">
        <f>IFERROR(INDEX('Detalles movimientos'!O$5:O$1004, MATCH(129, 'Detalles movimientos'!$T$5:$T$1004, 0)), "")</f>
        <v/>
      </c>
      <c r="L141" s="18" t="str">
        <f>IFERROR(INDEX('Detalles movimientos'!P$5:P$1004, MATCH(129, 'Detalles movimientos'!$T$5:$T$1004, 0)), "")</f>
        <v/>
      </c>
      <c r="M141" s="18" t="str">
        <f>IFERROR(INDEX('Detalles movimientos'!S$5:S$1004, MATCH(129, 'Detalles movimientos'!$T$5:$T$1004, 0)), "")</f>
        <v/>
      </c>
    </row>
    <row r="142" spans="2:13">
      <c r="B142" s="17" t="str">
        <f>IFERROR(INDEX('Detalles movimientos'!C$5:C$1004, MATCH(130, 'Detalles movimientos'!$T$5:$T$1004, 0)), "")</f>
        <v/>
      </c>
      <c r="C142" s="18" t="str">
        <f>IFERROR(INDEX('Detalles movimientos'!D$5:D$1004, MATCH(130, 'Detalles movimientos'!$T$5:$T$1004, 0)), "")</f>
        <v/>
      </c>
      <c r="D142" s="19" t="str">
        <f>IFERROR(INDEX('Detalles movimientos'!E$5:E$1004, MATCH(130, 'Detalles movimientos'!$T$5:$T$1004, 0)), "")</f>
        <v/>
      </c>
      <c r="E142" s="19" t="str">
        <f>IFERROR(INDEX('Detalles movimientos'!F$5:F$1004, MATCH(130, 'Detalles movimientos'!$T$5:$T$1004, 0)), "")</f>
        <v/>
      </c>
      <c r="F142" s="18" t="str">
        <f>IFERROR(INDEX('Detalles movimientos'!G$5:G$1004, MATCH(130, 'Detalles movimientos'!$T$5:$T$1004, 0)), "")</f>
        <v/>
      </c>
      <c r="G142" s="20" t="str">
        <f>IFERROR(INDEX('Detalles movimientos'!H$5:H$1004, MATCH(130, 'Detalles movimientos'!$T$5:$T$1004, 0)), "")</f>
        <v/>
      </c>
      <c r="H142" s="21" t="str">
        <f>IFERROR(INDEX('Detalles movimientos'!I$5:I$1004, MATCH(130, 'Detalles movimientos'!$T$5:$T$1004, 0)), "")</f>
        <v/>
      </c>
      <c r="I142" s="20" t="str">
        <f>IFERROR(INDEX('Detalles movimientos'!M$5:M$1004, MATCH(130, 'Detalles movimientos'!$T$5:$T$1004, 0)), "")</f>
        <v/>
      </c>
      <c r="J142" s="19" t="str">
        <f>IFERROR(INDEX('Detalles movimientos'!N$5:N$1004, MATCH(130, 'Detalles movimientos'!$T$5:$T$1004, 0)), "")</f>
        <v/>
      </c>
      <c r="K142" s="20" t="str">
        <f>IFERROR(INDEX('Detalles movimientos'!O$5:O$1004, MATCH(130, 'Detalles movimientos'!$T$5:$T$1004, 0)), "")</f>
        <v/>
      </c>
      <c r="L142" s="18" t="str">
        <f>IFERROR(INDEX('Detalles movimientos'!P$5:P$1004, MATCH(130, 'Detalles movimientos'!$T$5:$T$1004, 0)), "")</f>
        <v/>
      </c>
      <c r="M142" s="18" t="str">
        <f>IFERROR(INDEX('Detalles movimientos'!S$5:S$1004, MATCH(130, 'Detalles movimientos'!$T$5:$T$1004, 0)), "")</f>
        <v/>
      </c>
    </row>
    <row r="143" spans="2:13">
      <c r="B143" s="17" t="str">
        <f>IFERROR(INDEX('Detalles movimientos'!C$5:C$1004, MATCH(131, 'Detalles movimientos'!$T$5:$T$1004, 0)), "")</f>
        <v/>
      </c>
      <c r="C143" s="18" t="str">
        <f>IFERROR(INDEX('Detalles movimientos'!D$5:D$1004, MATCH(131, 'Detalles movimientos'!$T$5:$T$1004, 0)), "")</f>
        <v/>
      </c>
      <c r="D143" s="19" t="str">
        <f>IFERROR(INDEX('Detalles movimientos'!E$5:E$1004, MATCH(131, 'Detalles movimientos'!$T$5:$T$1004, 0)), "")</f>
        <v/>
      </c>
      <c r="E143" s="19" t="str">
        <f>IFERROR(INDEX('Detalles movimientos'!F$5:F$1004, MATCH(131, 'Detalles movimientos'!$T$5:$T$1004, 0)), "")</f>
        <v/>
      </c>
      <c r="F143" s="18" t="str">
        <f>IFERROR(INDEX('Detalles movimientos'!G$5:G$1004, MATCH(131, 'Detalles movimientos'!$T$5:$T$1004, 0)), "")</f>
        <v/>
      </c>
      <c r="G143" s="20" t="str">
        <f>IFERROR(INDEX('Detalles movimientos'!H$5:H$1004, MATCH(131, 'Detalles movimientos'!$T$5:$T$1004, 0)), "")</f>
        <v/>
      </c>
      <c r="H143" s="21" t="str">
        <f>IFERROR(INDEX('Detalles movimientos'!I$5:I$1004, MATCH(131, 'Detalles movimientos'!$T$5:$T$1004, 0)), "")</f>
        <v/>
      </c>
      <c r="I143" s="20" t="str">
        <f>IFERROR(INDEX('Detalles movimientos'!M$5:M$1004, MATCH(131, 'Detalles movimientos'!$T$5:$T$1004, 0)), "")</f>
        <v/>
      </c>
      <c r="J143" s="19" t="str">
        <f>IFERROR(INDEX('Detalles movimientos'!N$5:N$1004, MATCH(131, 'Detalles movimientos'!$T$5:$T$1004, 0)), "")</f>
        <v/>
      </c>
      <c r="K143" s="20" t="str">
        <f>IFERROR(INDEX('Detalles movimientos'!O$5:O$1004, MATCH(131, 'Detalles movimientos'!$T$5:$T$1004, 0)), "")</f>
        <v/>
      </c>
      <c r="L143" s="18" t="str">
        <f>IFERROR(INDEX('Detalles movimientos'!P$5:P$1004, MATCH(131, 'Detalles movimientos'!$T$5:$T$1004, 0)), "")</f>
        <v/>
      </c>
      <c r="M143" s="18" t="str">
        <f>IFERROR(INDEX('Detalles movimientos'!S$5:S$1004, MATCH(131, 'Detalles movimientos'!$T$5:$T$1004, 0)), "")</f>
        <v/>
      </c>
    </row>
    <row r="144" spans="2:13">
      <c r="B144" s="17" t="str">
        <f>IFERROR(INDEX('Detalles movimientos'!C$5:C$1004, MATCH(132, 'Detalles movimientos'!$T$5:$T$1004, 0)), "")</f>
        <v/>
      </c>
      <c r="C144" s="18" t="str">
        <f>IFERROR(INDEX('Detalles movimientos'!D$5:D$1004, MATCH(132, 'Detalles movimientos'!$T$5:$T$1004, 0)), "")</f>
        <v/>
      </c>
      <c r="D144" s="19" t="str">
        <f>IFERROR(INDEX('Detalles movimientos'!E$5:E$1004, MATCH(132, 'Detalles movimientos'!$T$5:$T$1004, 0)), "")</f>
        <v/>
      </c>
      <c r="E144" s="19" t="str">
        <f>IFERROR(INDEX('Detalles movimientos'!F$5:F$1004, MATCH(132, 'Detalles movimientos'!$T$5:$T$1004, 0)), "")</f>
        <v/>
      </c>
      <c r="F144" s="18" t="str">
        <f>IFERROR(INDEX('Detalles movimientos'!G$5:G$1004, MATCH(132, 'Detalles movimientos'!$T$5:$T$1004, 0)), "")</f>
        <v/>
      </c>
      <c r="G144" s="20" t="str">
        <f>IFERROR(INDEX('Detalles movimientos'!H$5:H$1004, MATCH(132, 'Detalles movimientos'!$T$5:$T$1004, 0)), "")</f>
        <v/>
      </c>
      <c r="H144" s="21" t="str">
        <f>IFERROR(INDEX('Detalles movimientos'!I$5:I$1004, MATCH(132, 'Detalles movimientos'!$T$5:$T$1004, 0)), "")</f>
        <v/>
      </c>
      <c r="I144" s="20" t="str">
        <f>IFERROR(INDEX('Detalles movimientos'!M$5:M$1004, MATCH(132, 'Detalles movimientos'!$T$5:$T$1004, 0)), "")</f>
        <v/>
      </c>
      <c r="J144" s="19" t="str">
        <f>IFERROR(INDEX('Detalles movimientos'!N$5:N$1004, MATCH(132, 'Detalles movimientos'!$T$5:$T$1004, 0)), "")</f>
        <v/>
      </c>
      <c r="K144" s="20" t="str">
        <f>IFERROR(INDEX('Detalles movimientos'!O$5:O$1004, MATCH(132, 'Detalles movimientos'!$T$5:$T$1004, 0)), "")</f>
        <v/>
      </c>
      <c r="L144" s="18" t="str">
        <f>IFERROR(INDEX('Detalles movimientos'!P$5:P$1004, MATCH(132, 'Detalles movimientos'!$T$5:$T$1004, 0)), "")</f>
        <v/>
      </c>
      <c r="M144" s="18" t="str">
        <f>IFERROR(INDEX('Detalles movimientos'!S$5:S$1004, MATCH(132, 'Detalles movimientos'!$T$5:$T$1004, 0)), "")</f>
        <v/>
      </c>
    </row>
    <row r="145" spans="2:13">
      <c r="B145" s="17" t="str">
        <f>IFERROR(INDEX('Detalles movimientos'!C$5:C$1004, MATCH(133, 'Detalles movimientos'!$T$5:$T$1004, 0)), "")</f>
        <v/>
      </c>
      <c r="C145" s="18" t="str">
        <f>IFERROR(INDEX('Detalles movimientos'!D$5:D$1004, MATCH(133, 'Detalles movimientos'!$T$5:$T$1004, 0)), "")</f>
        <v/>
      </c>
      <c r="D145" s="19" t="str">
        <f>IFERROR(INDEX('Detalles movimientos'!E$5:E$1004, MATCH(133, 'Detalles movimientos'!$T$5:$T$1004, 0)), "")</f>
        <v/>
      </c>
      <c r="E145" s="19" t="str">
        <f>IFERROR(INDEX('Detalles movimientos'!F$5:F$1004, MATCH(133, 'Detalles movimientos'!$T$5:$T$1004, 0)), "")</f>
        <v/>
      </c>
      <c r="F145" s="18" t="str">
        <f>IFERROR(INDEX('Detalles movimientos'!G$5:G$1004, MATCH(133, 'Detalles movimientos'!$T$5:$T$1004, 0)), "")</f>
        <v/>
      </c>
      <c r="G145" s="20" t="str">
        <f>IFERROR(INDEX('Detalles movimientos'!H$5:H$1004, MATCH(133, 'Detalles movimientos'!$T$5:$T$1004, 0)), "")</f>
        <v/>
      </c>
      <c r="H145" s="21" t="str">
        <f>IFERROR(INDEX('Detalles movimientos'!I$5:I$1004, MATCH(133, 'Detalles movimientos'!$T$5:$T$1004, 0)), "")</f>
        <v/>
      </c>
      <c r="I145" s="20" t="str">
        <f>IFERROR(INDEX('Detalles movimientos'!M$5:M$1004, MATCH(133, 'Detalles movimientos'!$T$5:$T$1004, 0)), "")</f>
        <v/>
      </c>
      <c r="J145" s="19" t="str">
        <f>IFERROR(INDEX('Detalles movimientos'!N$5:N$1004, MATCH(133, 'Detalles movimientos'!$T$5:$T$1004, 0)), "")</f>
        <v/>
      </c>
      <c r="K145" s="20" t="str">
        <f>IFERROR(INDEX('Detalles movimientos'!O$5:O$1004, MATCH(133, 'Detalles movimientos'!$T$5:$T$1004, 0)), "")</f>
        <v/>
      </c>
      <c r="L145" s="18" t="str">
        <f>IFERROR(INDEX('Detalles movimientos'!P$5:P$1004, MATCH(133, 'Detalles movimientos'!$T$5:$T$1004, 0)), "")</f>
        <v/>
      </c>
      <c r="M145" s="18" t="str">
        <f>IFERROR(INDEX('Detalles movimientos'!S$5:S$1004, MATCH(133, 'Detalles movimientos'!$T$5:$T$1004, 0)), "")</f>
        <v/>
      </c>
    </row>
    <row r="146" spans="2:13">
      <c r="B146" s="17" t="str">
        <f>IFERROR(INDEX('Detalles movimientos'!C$5:C$1004, MATCH(134, 'Detalles movimientos'!$T$5:$T$1004, 0)), "")</f>
        <v/>
      </c>
      <c r="C146" s="18" t="str">
        <f>IFERROR(INDEX('Detalles movimientos'!D$5:D$1004, MATCH(134, 'Detalles movimientos'!$T$5:$T$1004, 0)), "")</f>
        <v/>
      </c>
      <c r="D146" s="19" t="str">
        <f>IFERROR(INDEX('Detalles movimientos'!E$5:E$1004, MATCH(134, 'Detalles movimientos'!$T$5:$T$1004, 0)), "")</f>
        <v/>
      </c>
      <c r="E146" s="19" t="str">
        <f>IFERROR(INDEX('Detalles movimientos'!F$5:F$1004, MATCH(134, 'Detalles movimientos'!$T$5:$T$1004, 0)), "")</f>
        <v/>
      </c>
      <c r="F146" s="18" t="str">
        <f>IFERROR(INDEX('Detalles movimientos'!G$5:G$1004, MATCH(134, 'Detalles movimientos'!$T$5:$T$1004, 0)), "")</f>
        <v/>
      </c>
      <c r="G146" s="20" t="str">
        <f>IFERROR(INDEX('Detalles movimientos'!H$5:H$1004, MATCH(134, 'Detalles movimientos'!$T$5:$T$1004, 0)), "")</f>
        <v/>
      </c>
      <c r="H146" s="21" t="str">
        <f>IFERROR(INDEX('Detalles movimientos'!I$5:I$1004, MATCH(134, 'Detalles movimientos'!$T$5:$T$1004, 0)), "")</f>
        <v/>
      </c>
      <c r="I146" s="20" t="str">
        <f>IFERROR(INDEX('Detalles movimientos'!M$5:M$1004, MATCH(134, 'Detalles movimientos'!$T$5:$T$1004, 0)), "")</f>
        <v/>
      </c>
      <c r="J146" s="19" t="str">
        <f>IFERROR(INDEX('Detalles movimientos'!N$5:N$1004, MATCH(134, 'Detalles movimientos'!$T$5:$T$1004, 0)), "")</f>
        <v/>
      </c>
      <c r="K146" s="20" t="str">
        <f>IFERROR(INDEX('Detalles movimientos'!O$5:O$1004, MATCH(134, 'Detalles movimientos'!$T$5:$T$1004, 0)), "")</f>
        <v/>
      </c>
      <c r="L146" s="18" t="str">
        <f>IFERROR(INDEX('Detalles movimientos'!P$5:P$1004, MATCH(134, 'Detalles movimientos'!$T$5:$T$1004, 0)), "")</f>
        <v/>
      </c>
      <c r="M146" s="18" t="str">
        <f>IFERROR(INDEX('Detalles movimientos'!S$5:S$1004, MATCH(134, 'Detalles movimientos'!$T$5:$T$1004, 0)), "")</f>
        <v/>
      </c>
    </row>
    <row r="147" spans="2:13">
      <c r="B147" s="17" t="str">
        <f>IFERROR(INDEX('Detalles movimientos'!C$5:C$1004, MATCH(135, 'Detalles movimientos'!$T$5:$T$1004, 0)), "")</f>
        <v/>
      </c>
      <c r="C147" s="18" t="str">
        <f>IFERROR(INDEX('Detalles movimientos'!D$5:D$1004, MATCH(135, 'Detalles movimientos'!$T$5:$T$1004, 0)), "")</f>
        <v/>
      </c>
      <c r="D147" s="19" t="str">
        <f>IFERROR(INDEX('Detalles movimientos'!E$5:E$1004, MATCH(135, 'Detalles movimientos'!$T$5:$T$1004, 0)), "")</f>
        <v/>
      </c>
      <c r="E147" s="19" t="str">
        <f>IFERROR(INDEX('Detalles movimientos'!F$5:F$1004, MATCH(135, 'Detalles movimientos'!$T$5:$T$1004, 0)), "")</f>
        <v/>
      </c>
      <c r="F147" s="18" t="str">
        <f>IFERROR(INDEX('Detalles movimientos'!G$5:G$1004, MATCH(135, 'Detalles movimientos'!$T$5:$T$1004, 0)), "")</f>
        <v/>
      </c>
      <c r="G147" s="20" t="str">
        <f>IFERROR(INDEX('Detalles movimientos'!H$5:H$1004, MATCH(135, 'Detalles movimientos'!$T$5:$T$1004, 0)), "")</f>
        <v/>
      </c>
      <c r="H147" s="21" t="str">
        <f>IFERROR(INDEX('Detalles movimientos'!I$5:I$1004, MATCH(135, 'Detalles movimientos'!$T$5:$T$1004, 0)), "")</f>
        <v/>
      </c>
      <c r="I147" s="20" t="str">
        <f>IFERROR(INDEX('Detalles movimientos'!M$5:M$1004, MATCH(135, 'Detalles movimientos'!$T$5:$T$1004, 0)), "")</f>
        <v/>
      </c>
      <c r="J147" s="19" t="str">
        <f>IFERROR(INDEX('Detalles movimientos'!N$5:N$1004, MATCH(135, 'Detalles movimientos'!$T$5:$T$1004, 0)), "")</f>
        <v/>
      </c>
      <c r="K147" s="20" t="str">
        <f>IFERROR(INDEX('Detalles movimientos'!O$5:O$1004, MATCH(135, 'Detalles movimientos'!$T$5:$T$1004, 0)), "")</f>
        <v/>
      </c>
      <c r="L147" s="18" t="str">
        <f>IFERROR(INDEX('Detalles movimientos'!P$5:P$1004, MATCH(135, 'Detalles movimientos'!$T$5:$T$1004, 0)), "")</f>
        <v/>
      </c>
      <c r="M147" s="18" t="str">
        <f>IFERROR(INDEX('Detalles movimientos'!S$5:S$1004, MATCH(135, 'Detalles movimientos'!$T$5:$T$1004, 0)), "")</f>
        <v/>
      </c>
    </row>
    <row r="148" spans="2:13">
      <c r="B148" s="17" t="str">
        <f>IFERROR(INDEX('Detalles movimientos'!C$5:C$1004, MATCH(136, 'Detalles movimientos'!$T$5:$T$1004, 0)), "")</f>
        <v/>
      </c>
      <c r="C148" s="18" t="str">
        <f>IFERROR(INDEX('Detalles movimientos'!D$5:D$1004, MATCH(136, 'Detalles movimientos'!$T$5:$T$1004, 0)), "")</f>
        <v/>
      </c>
      <c r="D148" s="19" t="str">
        <f>IFERROR(INDEX('Detalles movimientos'!E$5:E$1004, MATCH(136, 'Detalles movimientos'!$T$5:$T$1004, 0)), "")</f>
        <v/>
      </c>
      <c r="E148" s="19" t="str">
        <f>IFERROR(INDEX('Detalles movimientos'!F$5:F$1004, MATCH(136, 'Detalles movimientos'!$T$5:$T$1004, 0)), "")</f>
        <v/>
      </c>
      <c r="F148" s="18" t="str">
        <f>IFERROR(INDEX('Detalles movimientos'!G$5:G$1004, MATCH(136, 'Detalles movimientos'!$T$5:$T$1004, 0)), "")</f>
        <v/>
      </c>
      <c r="G148" s="20" t="str">
        <f>IFERROR(INDEX('Detalles movimientos'!H$5:H$1004, MATCH(136, 'Detalles movimientos'!$T$5:$T$1004, 0)), "")</f>
        <v/>
      </c>
      <c r="H148" s="21" t="str">
        <f>IFERROR(INDEX('Detalles movimientos'!I$5:I$1004, MATCH(136, 'Detalles movimientos'!$T$5:$T$1004, 0)), "")</f>
        <v/>
      </c>
      <c r="I148" s="20" t="str">
        <f>IFERROR(INDEX('Detalles movimientos'!M$5:M$1004, MATCH(136, 'Detalles movimientos'!$T$5:$T$1004, 0)), "")</f>
        <v/>
      </c>
      <c r="J148" s="19" t="str">
        <f>IFERROR(INDEX('Detalles movimientos'!N$5:N$1004, MATCH(136, 'Detalles movimientos'!$T$5:$T$1004, 0)), "")</f>
        <v/>
      </c>
      <c r="K148" s="20" t="str">
        <f>IFERROR(INDEX('Detalles movimientos'!O$5:O$1004, MATCH(136, 'Detalles movimientos'!$T$5:$T$1004, 0)), "")</f>
        <v/>
      </c>
      <c r="L148" s="18" t="str">
        <f>IFERROR(INDEX('Detalles movimientos'!P$5:P$1004, MATCH(136, 'Detalles movimientos'!$T$5:$T$1004, 0)), "")</f>
        <v/>
      </c>
      <c r="M148" s="18" t="str">
        <f>IFERROR(INDEX('Detalles movimientos'!S$5:S$1004, MATCH(136, 'Detalles movimientos'!$T$5:$T$1004, 0)), "")</f>
        <v/>
      </c>
    </row>
    <row r="149" spans="2:13">
      <c r="B149" s="17" t="str">
        <f>IFERROR(INDEX('Detalles movimientos'!C$5:C$1004, MATCH(137, 'Detalles movimientos'!$T$5:$T$1004, 0)), "")</f>
        <v/>
      </c>
      <c r="C149" s="18" t="str">
        <f>IFERROR(INDEX('Detalles movimientos'!D$5:D$1004, MATCH(137, 'Detalles movimientos'!$T$5:$T$1004, 0)), "")</f>
        <v/>
      </c>
      <c r="D149" s="19" t="str">
        <f>IFERROR(INDEX('Detalles movimientos'!E$5:E$1004, MATCH(137, 'Detalles movimientos'!$T$5:$T$1004, 0)), "")</f>
        <v/>
      </c>
      <c r="E149" s="19" t="str">
        <f>IFERROR(INDEX('Detalles movimientos'!F$5:F$1004, MATCH(137, 'Detalles movimientos'!$T$5:$T$1004, 0)), "")</f>
        <v/>
      </c>
      <c r="F149" s="18" t="str">
        <f>IFERROR(INDEX('Detalles movimientos'!G$5:G$1004, MATCH(137, 'Detalles movimientos'!$T$5:$T$1004, 0)), "")</f>
        <v/>
      </c>
      <c r="G149" s="20" t="str">
        <f>IFERROR(INDEX('Detalles movimientos'!H$5:H$1004, MATCH(137, 'Detalles movimientos'!$T$5:$T$1004, 0)), "")</f>
        <v/>
      </c>
      <c r="H149" s="21" t="str">
        <f>IFERROR(INDEX('Detalles movimientos'!I$5:I$1004, MATCH(137, 'Detalles movimientos'!$T$5:$T$1004, 0)), "")</f>
        <v/>
      </c>
      <c r="I149" s="20" t="str">
        <f>IFERROR(INDEX('Detalles movimientos'!M$5:M$1004, MATCH(137, 'Detalles movimientos'!$T$5:$T$1004, 0)), "")</f>
        <v/>
      </c>
      <c r="J149" s="19" t="str">
        <f>IFERROR(INDEX('Detalles movimientos'!N$5:N$1004, MATCH(137, 'Detalles movimientos'!$T$5:$T$1004, 0)), "")</f>
        <v/>
      </c>
      <c r="K149" s="20" t="str">
        <f>IFERROR(INDEX('Detalles movimientos'!O$5:O$1004, MATCH(137, 'Detalles movimientos'!$T$5:$T$1004, 0)), "")</f>
        <v/>
      </c>
      <c r="L149" s="18" t="str">
        <f>IFERROR(INDEX('Detalles movimientos'!P$5:P$1004, MATCH(137, 'Detalles movimientos'!$T$5:$T$1004, 0)), "")</f>
        <v/>
      </c>
      <c r="M149" s="18" t="str">
        <f>IFERROR(INDEX('Detalles movimientos'!S$5:S$1004, MATCH(137, 'Detalles movimientos'!$T$5:$T$1004, 0)), "")</f>
        <v/>
      </c>
    </row>
    <row r="150" spans="2:13">
      <c r="B150" s="17" t="str">
        <f>IFERROR(INDEX('Detalles movimientos'!C$5:C$1004, MATCH(138, 'Detalles movimientos'!$T$5:$T$1004, 0)), "")</f>
        <v/>
      </c>
      <c r="C150" s="18" t="str">
        <f>IFERROR(INDEX('Detalles movimientos'!D$5:D$1004, MATCH(138, 'Detalles movimientos'!$T$5:$T$1004, 0)), "")</f>
        <v/>
      </c>
      <c r="D150" s="19" t="str">
        <f>IFERROR(INDEX('Detalles movimientos'!E$5:E$1004, MATCH(138, 'Detalles movimientos'!$T$5:$T$1004, 0)), "")</f>
        <v/>
      </c>
      <c r="E150" s="19" t="str">
        <f>IFERROR(INDEX('Detalles movimientos'!F$5:F$1004, MATCH(138, 'Detalles movimientos'!$T$5:$T$1004, 0)), "")</f>
        <v/>
      </c>
      <c r="F150" s="18" t="str">
        <f>IFERROR(INDEX('Detalles movimientos'!G$5:G$1004, MATCH(138, 'Detalles movimientos'!$T$5:$T$1004, 0)), "")</f>
        <v/>
      </c>
      <c r="G150" s="20" t="str">
        <f>IFERROR(INDEX('Detalles movimientos'!H$5:H$1004, MATCH(138, 'Detalles movimientos'!$T$5:$T$1004, 0)), "")</f>
        <v/>
      </c>
      <c r="H150" s="21" t="str">
        <f>IFERROR(INDEX('Detalles movimientos'!I$5:I$1004, MATCH(138, 'Detalles movimientos'!$T$5:$T$1004, 0)), "")</f>
        <v/>
      </c>
      <c r="I150" s="20" t="str">
        <f>IFERROR(INDEX('Detalles movimientos'!M$5:M$1004, MATCH(138, 'Detalles movimientos'!$T$5:$T$1004, 0)), "")</f>
        <v/>
      </c>
      <c r="J150" s="19" t="str">
        <f>IFERROR(INDEX('Detalles movimientos'!N$5:N$1004, MATCH(138, 'Detalles movimientos'!$T$5:$T$1004, 0)), "")</f>
        <v/>
      </c>
      <c r="K150" s="20" t="str">
        <f>IFERROR(INDEX('Detalles movimientos'!O$5:O$1004, MATCH(138, 'Detalles movimientos'!$T$5:$T$1004, 0)), "")</f>
        <v/>
      </c>
      <c r="L150" s="18" t="str">
        <f>IFERROR(INDEX('Detalles movimientos'!P$5:P$1004, MATCH(138, 'Detalles movimientos'!$T$5:$T$1004, 0)), "")</f>
        <v/>
      </c>
      <c r="M150" s="18" t="str">
        <f>IFERROR(INDEX('Detalles movimientos'!S$5:S$1004, MATCH(138, 'Detalles movimientos'!$T$5:$T$1004, 0)), "")</f>
        <v/>
      </c>
    </row>
    <row r="151" spans="2:13">
      <c r="B151" s="17" t="str">
        <f>IFERROR(INDEX('Detalles movimientos'!C$5:C$1004, MATCH(139, 'Detalles movimientos'!$T$5:$T$1004, 0)), "")</f>
        <v/>
      </c>
      <c r="C151" s="18" t="str">
        <f>IFERROR(INDEX('Detalles movimientos'!D$5:D$1004, MATCH(139, 'Detalles movimientos'!$T$5:$T$1004, 0)), "")</f>
        <v/>
      </c>
      <c r="D151" s="19" t="str">
        <f>IFERROR(INDEX('Detalles movimientos'!E$5:E$1004, MATCH(139, 'Detalles movimientos'!$T$5:$T$1004, 0)), "")</f>
        <v/>
      </c>
      <c r="E151" s="19" t="str">
        <f>IFERROR(INDEX('Detalles movimientos'!F$5:F$1004, MATCH(139, 'Detalles movimientos'!$T$5:$T$1004, 0)), "")</f>
        <v/>
      </c>
      <c r="F151" s="18" t="str">
        <f>IFERROR(INDEX('Detalles movimientos'!G$5:G$1004, MATCH(139, 'Detalles movimientos'!$T$5:$T$1004, 0)), "")</f>
        <v/>
      </c>
      <c r="G151" s="20" t="str">
        <f>IFERROR(INDEX('Detalles movimientos'!H$5:H$1004, MATCH(139, 'Detalles movimientos'!$T$5:$T$1004, 0)), "")</f>
        <v/>
      </c>
      <c r="H151" s="21" t="str">
        <f>IFERROR(INDEX('Detalles movimientos'!I$5:I$1004, MATCH(139, 'Detalles movimientos'!$T$5:$T$1004, 0)), "")</f>
        <v/>
      </c>
      <c r="I151" s="20" t="str">
        <f>IFERROR(INDEX('Detalles movimientos'!M$5:M$1004, MATCH(139, 'Detalles movimientos'!$T$5:$T$1004, 0)), "")</f>
        <v/>
      </c>
      <c r="J151" s="19" t="str">
        <f>IFERROR(INDEX('Detalles movimientos'!N$5:N$1004, MATCH(139, 'Detalles movimientos'!$T$5:$T$1004, 0)), "")</f>
        <v/>
      </c>
      <c r="K151" s="20" t="str">
        <f>IFERROR(INDEX('Detalles movimientos'!O$5:O$1004, MATCH(139, 'Detalles movimientos'!$T$5:$T$1004, 0)), "")</f>
        <v/>
      </c>
      <c r="L151" s="18" t="str">
        <f>IFERROR(INDEX('Detalles movimientos'!P$5:P$1004, MATCH(139, 'Detalles movimientos'!$T$5:$T$1004, 0)), "")</f>
        <v/>
      </c>
      <c r="M151" s="18" t="str">
        <f>IFERROR(INDEX('Detalles movimientos'!S$5:S$1004, MATCH(139, 'Detalles movimientos'!$T$5:$T$1004, 0)), "")</f>
        <v/>
      </c>
    </row>
    <row r="152" spans="2:13">
      <c r="B152" s="17" t="str">
        <f>IFERROR(INDEX('Detalles movimientos'!C$5:C$1004, MATCH(140, 'Detalles movimientos'!$T$5:$T$1004, 0)), "")</f>
        <v/>
      </c>
      <c r="C152" s="18" t="str">
        <f>IFERROR(INDEX('Detalles movimientos'!D$5:D$1004, MATCH(140, 'Detalles movimientos'!$T$5:$T$1004, 0)), "")</f>
        <v/>
      </c>
      <c r="D152" s="19" t="str">
        <f>IFERROR(INDEX('Detalles movimientos'!E$5:E$1004, MATCH(140, 'Detalles movimientos'!$T$5:$T$1004, 0)), "")</f>
        <v/>
      </c>
      <c r="E152" s="19" t="str">
        <f>IFERROR(INDEX('Detalles movimientos'!F$5:F$1004, MATCH(140, 'Detalles movimientos'!$T$5:$T$1004, 0)), "")</f>
        <v/>
      </c>
      <c r="F152" s="18" t="str">
        <f>IFERROR(INDEX('Detalles movimientos'!G$5:G$1004, MATCH(140, 'Detalles movimientos'!$T$5:$T$1004, 0)), "")</f>
        <v/>
      </c>
      <c r="G152" s="20" t="str">
        <f>IFERROR(INDEX('Detalles movimientos'!H$5:H$1004, MATCH(140, 'Detalles movimientos'!$T$5:$T$1004, 0)), "")</f>
        <v/>
      </c>
      <c r="H152" s="21" t="str">
        <f>IFERROR(INDEX('Detalles movimientos'!I$5:I$1004, MATCH(140, 'Detalles movimientos'!$T$5:$T$1004, 0)), "")</f>
        <v/>
      </c>
      <c r="I152" s="20" t="str">
        <f>IFERROR(INDEX('Detalles movimientos'!M$5:M$1004, MATCH(140, 'Detalles movimientos'!$T$5:$T$1004, 0)), "")</f>
        <v/>
      </c>
      <c r="J152" s="19" t="str">
        <f>IFERROR(INDEX('Detalles movimientos'!N$5:N$1004, MATCH(140, 'Detalles movimientos'!$T$5:$T$1004, 0)), "")</f>
        <v/>
      </c>
      <c r="K152" s="20" t="str">
        <f>IFERROR(INDEX('Detalles movimientos'!O$5:O$1004, MATCH(140, 'Detalles movimientos'!$T$5:$T$1004, 0)), "")</f>
        <v/>
      </c>
      <c r="L152" s="18" t="str">
        <f>IFERROR(INDEX('Detalles movimientos'!P$5:P$1004, MATCH(140, 'Detalles movimientos'!$T$5:$T$1004, 0)), "")</f>
        <v/>
      </c>
      <c r="M152" s="18" t="str">
        <f>IFERROR(INDEX('Detalles movimientos'!S$5:S$1004, MATCH(140, 'Detalles movimientos'!$T$5:$T$1004, 0)), "")</f>
        <v/>
      </c>
    </row>
    <row r="153" spans="2:13">
      <c r="B153" s="17" t="str">
        <f>IFERROR(INDEX('Detalles movimientos'!C$5:C$1004, MATCH(141, 'Detalles movimientos'!$T$5:$T$1004, 0)), "")</f>
        <v/>
      </c>
      <c r="C153" s="18" t="str">
        <f>IFERROR(INDEX('Detalles movimientos'!D$5:D$1004, MATCH(141, 'Detalles movimientos'!$T$5:$T$1004, 0)), "")</f>
        <v/>
      </c>
      <c r="D153" s="19" t="str">
        <f>IFERROR(INDEX('Detalles movimientos'!E$5:E$1004, MATCH(141, 'Detalles movimientos'!$T$5:$T$1004, 0)), "")</f>
        <v/>
      </c>
      <c r="E153" s="19" t="str">
        <f>IFERROR(INDEX('Detalles movimientos'!F$5:F$1004, MATCH(141, 'Detalles movimientos'!$T$5:$T$1004, 0)), "")</f>
        <v/>
      </c>
      <c r="F153" s="18" t="str">
        <f>IFERROR(INDEX('Detalles movimientos'!G$5:G$1004, MATCH(141, 'Detalles movimientos'!$T$5:$T$1004, 0)), "")</f>
        <v/>
      </c>
      <c r="G153" s="20" t="str">
        <f>IFERROR(INDEX('Detalles movimientos'!H$5:H$1004, MATCH(141, 'Detalles movimientos'!$T$5:$T$1004, 0)), "")</f>
        <v/>
      </c>
      <c r="H153" s="21" t="str">
        <f>IFERROR(INDEX('Detalles movimientos'!I$5:I$1004, MATCH(141, 'Detalles movimientos'!$T$5:$T$1004, 0)), "")</f>
        <v/>
      </c>
      <c r="I153" s="20" t="str">
        <f>IFERROR(INDEX('Detalles movimientos'!M$5:M$1004, MATCH(141, 'Detalles movimientos'!$T$5:$T$1004, 0)), "")</f>
        <v/>
      </c>
      <c r="J153" s="19" t="str">
        <f>IFERROR(INDEX('Detalles movimientos'!N$5:N$1004, MATCH(141, 'Detalles movimientos'!$T$5:$T$1004, 0)), "")</f>
        <v/>
      </c>
      <c r="K153" s="20" t="str">
        <f>IFERROR(INDEX('Detalles movimientos'!O$5:O$1004, MATCH(141, 'Detalles movimientos'!$T$5:$T$1004, 0)), "")</f>
        <v/>
      </c>
      <c r="L153" s="18" t="str">
        <f>IFERROR(INDEX('Detalles movimientos'!P$5:P$1004, MATCH(141, 'Detalles movimientos'!$T$5:$T$1004, 0)), "")</f>
        <v/>
      </c>
      <c r="M153" s="18" t="str">
        <f>IFERROR(INDEX('Detalles movimientos'!S$5:S$1004, MATCH(141, 'Detalles movimientos'!$T$5:$T$1004, 0)), "")</f>
        <v/>
      </c>
    </row>
    <row r="154" spans="2:13">
      <c r="B154" s="17" t="str">
        <f>IFERROR(INDEX('Detalles movimientos'!C$5:C$1004, MATCH(142, 'Detalles movimientos'!$T$5:$T$1004, 0)), "")</f>
        <v/>
      </c>
      <c r="C154" s="18" t="str">
        <f>IFERROR(INDEX('Detalles movimientos'!D$5:D$1004, MATCH(142, 'Detalles movimientos'!$T$5:$T$1004, 0)), "")</f>
        <v/>
      </c>
      <c r="D154" s="19" t="str">
        <f>IFERROR(INDEX('Detalles movimientos'!E$5:E$1004, MATCH(142, 'Detalles movimientos'!$T$5:$T$1004, 0)), "")</f>
        <v/>
      </c>
      <c r="E154" s="19" t="str">
        <f>IFERROR(INDEX('Detalles movimientos'!F$5:F$1004, MATCH(142, 'Detalles movimientos'!$T$5:$T$1004, 0)), "")</f>
        <v/>
      </c>
      <c r="F154" s="18" t="str">
        <f>IFERROR(INDEX('Detalles movimientos'!G$5:G$1004, MATCH(142, 'Detalles movimientos'!$T$5:$T$1004, 0)), "")</f>
        <v/>
      </c>
      <c r="G154" s="20" t="str">
        <f>IFERROR(INDEX('Detalles movimientos'!H$5:H$1004, MATCH(142, 'Detalles movimientos'!$T$5:$T$1004, 0)), "")</f>
        <v/>
      </c>
      <c r="H154" s="21" t="str">
        <f>IFERROR(INDEX('Detalles movimientos'!I$5:I$1004, MATCH(142, 'Detalles movimientos'!$T$5:$T$1004, 0)), "")</f>
        <v/>
      </c>
      <c r="I154" s="20" t="str">
        <f>IFERROR(INDEX('Detalles movimientos'!M$5:M$1004, MATCH(142, 'Detalles movimientos'!$T$5:$T$1004, 0)), "")</f>
        <v/>
      </c>
      <c r="J154" s="19" t="str">
        <f>IFERROR(INDEX('Detalles movimientos'!N$5:N$1004, MATCH(142, 'Detalles movimientos'!$T$5:$T$1004, 0)), "")</f>
        <v/>
      </c>
      <c r="K154" s="20" t="str">
        <f>IFERROR(INDEX('Detalles movimientos'!O$5:O$1004, MATCH(142, 'Detalles movimientos'!$T$5:$T$1004, 0)), "")</f>
        <v/>
      </c>
      <c r="L154" s="18" t="str">
        <f>IFERROR(INDEX('Detalles movimientos'!P$5:P$1004, MATCH(142, 'Detalles movimientos'!$T$5:$T$1004, 0)), "")</f>
        <v/>
      </c>
      <c r="M154" s="18" t="str">
        <f>IFERROR(INDEX('Detalles movimientos'!S$5:S$1004, MATCH(142, 'Detalles movimientos'!$T$5:$T$1004, 0)), "")</f>
        <v/>
      </c>
    </row>
    <row r="155" spans="2:13">
      <c r="B155" s="17" t="str">
        <f>IFERROR(INDEX('Detalles movimientos'!C$5:C$1004, MATCH(143, 'Detalles movimientos'!$T$5:$T$1004, 0)), "")</f>
        <v/>
      </c>
      <c r="C155" s="18" t="str">
        <f>IFERROR(INDEX('Detalles movimientos'!D$5:D$1004, MATCH(143, 'Detalles movimientos'!$T$5:$T$1004, 0)), "")</f>
        <v/>
      </c>
      <c r="D155" s="19" t="str">
        <f>IFERROR(INDEX('Detalles movimientos'!E$5:E$1004, MATCH(143, 'Detalles movimientos'!$T$5:$T$1004, 0)), "")</f>
        <v/>
      </c>
      <c r="E155" s="19" t="str">
        <f>IFERROR(INDEX('Detalles movimientos'!F$5:F$1004, MATCH(143, 'Detalles movimientos'!$T$5:$T$1004, 0)), "")</f>
        <v/>
      </c>
      <c r="F155" s="18" t="str">
        <f>IFERROR(INDEX('Detalles movimientos'!G$5:G$1004, MATCH(143, 'Detalles movimientos'!$T$5:$T$1004, 0)), "")</f>
        <v/>
      </c>
      <c r="G155" s="20" t="str">
        <f>IFERROR(INDEX('Detalles movimientos'!H$5:H$1004, MATCH(143, 'Detalles movimientos'!$T$5:$T$1004, 0)), "")</f>
        <v/>
      </c>
      <c r="H155" s="21" t="str">
        <f>IFERROR(INDEX('Detalles movimientos'!I$5:I$1004, MATCH(143, 'Detalles movimientos'!$T$5:$T$1004, 0)), "")</f>
        <v/>
      </c>
      <c r="I155" s="20" t="str">
        <f>IFERROR(INDEX('Detalles movimientos'!M$5:M$1004, MATCH(143, 'Detalles movimientos'!$T$5:$T$1004, 0)), "")</f>
        <v/>
      </c>
      <c r="J155" s="19" t="str">
        <f>IFERROR(INDEX('Detalles movimientos'!N$5:N$1004, MATCH(143, 'Detalles movimientos'!$T$5:$T$1004, 0)), "")</f>
        <v/>
      </c>
      <c r="K155" s="20" t="str">
        <f>IFERROR(INDEX('Detalles movimientos'!O$5:O$1004, MATCH(143, 'Detalles movimientos'!$T$5:$T$1004, 0)), "")</f>
        <v/>
      </c>
      <c r="L155" s="18" t="str">
        <f>IFERROR(INDEX('Detalles movimientos'!P$5:P$1004, MATCH(143, 'Detalles movimientos'!$T$5:$T$1004, 0)), "")</f>
        <v/>
      </c>
      <c r="M155" s="18" t="str">
        <f>IFERROR(INDEX('Detalles movimientos'!S$5:S$1004, MATCH(143, 'Detalles movimientos'!$T$5:$T$1004, 0)), "")</f>
        <v/>
      </c>
    </row>
    <row r="156" spans="2:13">
      <c r="B156" s="17" t="str">
        <f>IFERROR(INDEX('Detalles movimientos'!C$5:C$1004, MATCH(144, 'Detalles movimientos'!$T$5:$T$1004, 0)), "")</f>
        <v/>
      </c>
      <c r="C156" s="18" t="str">
        <f>IFERROR(INDEX('Detalles movimientos'!D$5:D$1004, MATCH(144, 'Detalles movimientos'!$T$5:$T$1004, 0)), "")</f>
        <v/>
      </c>
      <c r="D156" s="19" t="str">
        <f>IFERROR(INDEX('Detalles movimientos'!E$5:E$1004, MATCH(144, 'Detalles movimientos'!$T$5:$T$1004, 0)), "")</f>
        <v/>
      </c>
      <c r="E156" s="19" t="str">
        <f>IFERROR(INDEX('Detalles movimientos'!F$5:F$1004, MATCH(144, 'Detalles movimientos'!$T$5:$T$1004, 0)), "")</f>
        <v/>
      </c>
      <c r="F156" s="18" t="str">
        <f>IFERROR(INDEX('Detalles movimientos'!G$5:G$1004, MATCH(144, 'Detalles movimientos'!$T$5:$T$1004, 0)), "")</f>
        <v/>
      </c>
      <c r="G156" s="20" t="str">
        <f>IFERROR(INDEX('Detalles movimientos'!H$5:H$1004, MATCH(144, 'Detalles movimientos'!$T$5:$T$1004, 0)), "")</f>
        <v/>
      </c>
      <c r="H156" s="21" t="str">
        <f>IFERROR(INDEX('Detalles movimientos'!I$5:I$1004, MATCH(144, 'Detalles movimientos'!$T$5:$T$1004, 0)), "")</f>
        <v/>
      </c>
      <c r="I156" s="20" t="str">
        <f>IFERROR(INDEX('Detalles movimientos'!M$5:M$1004, MATCH(144, 'Detalles movimientos'!$T$5:$T$1004, 0)), "")</f>
        <v/>
      </c>
      <c r="J156" s="19" t="str">
        <f>IFERROR(INDEX('Detalles movimientos'!N$5:N$1004, MATCH(144, 'Detalles movimientos'!$T$5:$T$1004, 0)), "")</f>
        <v/>
      </c>
      <c r="K156" s="20" t="str">
        <f>IFERROR(INDEX('Detalles movimientos'!O$5:O$1004, MATCH(144, 'Detalles movimientos'!$T$5:$T$1004, 0)), "")</f>
        <v/>
      </c>
      <c r="L156" s="18" t="str">
        <f>IFERROR(INDEX('Detalles movimientos'!P$5:P$1004, MATCH(144, 'Detalles movimientos'!$T$5:$T$1004, 0)), "")</f>
        <v/>
      </c>
      <c r="M156" s="18" t="str">
        <f>IFERROR(INDEX('Detalles movimientos'!S$5:S$1004, MATCH(144, 'Detalles movimientos'!$T$5:$T$1004, 0)), "")</f>
        <v/>
      </c>
    </row>
    <row r="157" spans="2:13">
      <c r="B157" s="17" t="str">
        <f>IFERROR(INDEX('Detalles movimientos'!C$5:C$1004, MATCH(145, 'Detalles movimientos'!$T$5:$T$1004, 0)), "")</f>
        <v/>
      </c>
      <c r="C157" s="18" t="str">
        <f>IFERROR(INDEX('Detalles movimientos'!D$5:D$1004, MATCH(145, 'Detalles movimientos'!$T$5:$T$1004, 0)), "")</f>
        <v/>
      </c>
      <c r="D157" s="19" t="str">
        <f>IFERROR(INDEX('Detalles movimientos'!E$5:E$1004, MATCH(145, 'Detalles movimientos'!$T$5:$T$1004, 0)), "")</f>
        <v/>
      </c>
      <c r="E157" s="19" t="str">
        <f>IFERROR(INDEX('Detalles movimientos'!F$5:F$1004, MATCH(145, 'Detalles movimientos'!$T$5:$T$1004, 0)), "")</f>
        <v/>
      </c>
      <c r="F157" s="18" t="str">
        <f>IFERROR(INDEX('Detalles movimientos'!G$5:G$1004, MATCH(145, 'Detalles movimientos'!$T$5:$T$1004, 0)), "")</f>
        <v/>
      </c>
      <c r="G157" s="20" t="str">
        <f>IFERROR(INDEX('Detalles movimientos'!H$5:H$1004, MATCH(145, 'Detalles movimientos'!$T$5:$T$1004, 0)), "")</f>
        <v/>
      </c>
      <c r="H157" s="21" t="str">
        <f>IFERROR(INDEX('Detalles movimientos'!I$5:I$1004, MATCH(145, 'Detalles movimientos'!$T$5:$T$1004, 0)), "")</f>
        <v/>
      </c>
      <c r="I157" s="20" t="str">
        <f>IFERROR(INDEX('Detalles movimientos'!M$5:M$1004, MATCH(145, 'Detalles movimientos'!$T$5:$T$1004, 0)), "")</f>
        <v/>
      </c>
      <c r="J157" s="19" t="str">
        <f>IFERROR(INDEX('Detalles movimientos'!N$5:N$1004, MATCH(145, 'Detalles movimientos'!$T$5:$T$1004, 0)), "")</f>
        <v/>
      </c>
      <c r="K157" s="20" t="str">
        <f>IFERROR(INDEX('Detalles movimientos'!O$5:O$1004, MATCH(145, 'Detalles movimientos'!$T$5:$T$1004, 0)), "")</f>
        <v/>
      </c>
      <c r="L157" s="18" t="str">
        <f>IFERROR(INDEX('Detalles movimientos'!P$5:P$1004, MATCH(145, 'Detalles movimientos'!$T$5:$T$1004, 0)), "")</f>
        <v/>
      </c>
      <c r="M157" s="18" t="str">
        <f>IFERROR(INDEX('Detalles movimientos'!S$5:S$1004, MATCH(145, 'Detalles movimientos'!$T$5:$T$1004, 0)), "")</f>
        <v/>
      </c>
    </row>
    <row r="158" spans="2:13">
      <c r="B158" s="17" t="str">
        <f>IFERROR(INDEX('Detalles movimientos'!C$5:C$1004, MATCH(146, 'Detalles movimientos'!$T$5:$T$1004, 0)), "")</f>
        <v/>
      </c>
      <c r="C158" s="18" t="str">
        <f>IFERROR(INDEX('Detalles movimientos'!D$5:D$1004, MATCH(146, 'Detalles movimientos'!$T$5:$T$1004, 0)), "")</f>
        <v/>
      </c>
      <c r="D158" s="19" t="str">
        <f>IFERROR(INDEX('Detalles movimientos'!E$5:E$1004, MATCH(146, 'Detalles movimientos'!$T$5:$T$1004, 0)), "")</f>
        <v/>
      </c>
      <c r="E158" s="19" t="str">
        <f>IFERROR(INDEX('Detalles movimientos'!F$5:F$1004, MATCH(146, 'Detalles movimientos'!$T$5:$T$1004, 0)), "")</f>
        <v/>
      </c>
      <c r="F158" s="18" t="str">
        <f>IFERROR(INDEX('Detalles movimientos'!G$5:G$1004, MATCH(146, 'Detalles movimientos'!$T$5:$T$1004, 0)), "")</f>
        <v/>
      </c>
      <c r="G158" s="20" t="str">
        <f>IFERROR(INDEX('Detalles movimientos'!H$5:H$1004, MATCH(146, 'Detalles movimientos'!$T$5:$T$1004, 0)), "")</f>
        <v/>
      </c>
      <c r="H158" s="21" t="str">
        <f>IFERROR(INDEX('Detalles movimientos'!I$5:I$1004, MATCH(146, 'Detalles movimientos'!$T$5:$T$1004, 0)), "")</f>
        <v/>
      </c>
      <c r="I158" s="20" t="str">
        <f>IFERROR(INDEX('Detalles movimientos'!M$5:M$1004, MATCH(146, 'Detalles movimientos'!$T$5:$T$1004, 0)), "")</f>
        <v/>
      </c>
      <c r="J158" s="19" t="str">
        <f>IFERROR(INDEX('Detalles movimientos'!N$5:N$1004, MATCH(146, 'Detalles movimientos'!$T$5:$T$1004, 0)), "")</f>
        <v/>
      </c>
      <c r="K158" s="20" t="str">
        <f>IFERROR(INDEX('Detalles movimientos'!O$5:O$1004, MATCH(146, 'Detalles movimientos'!$T$5:$T$1004, 0)), "")</f>
        <v/>
      </c>
      <c r="L158" s="18" t="str">
        <f>IFERROR(INDEX('Detalles movimientos'!P$5:P$1004, MATCH(146, 'Detalles movimientos'!$T$5:$T$1004, 0)), "")</f>
        <v/>
      </c>
      <c r="M158" s="18" t="str">
        <f>IFERROR(INDEX('Detalles movimientos'!S$5:S$1004, MATCH(146, 'Detalles movimientos'!$T$5:$T$1004, 0)), "")</f>
        <v/>
      </c>
    </row>
    <row r="159" spans="2:13">
      <c r="B159" s="17" t="str">
        <f>IFERROR(INDEX('Detalles movimientos'!C$5:C$1004, MATCH(147, 'Detalles movimientos'!$T$5:$T$1004, 0)), "")</f>
        <v/>
      </c>
      <c r="C159" s="18" t="str">
        <f>IFERROR(INDEX('Detalles movimientos'!D$5:D$1004, MATCH(147, 'Detalles movimientos'!$T$5:$T$1004, 0)), "")</f>
        <v/>
      </c>
      <c r="D159" s="19" t="str">
        <f>IFERROR(INDEX('Detalles movimientos'!E$5:E$1004, MATCH(147, 'Detalles movimientos'!$T$5:$T$1004, 0)), "")</f>
        <v/>
      </c>
      <c r="E159" s="19" t="str">
        <f>IFERROR(INDEX('Detalles movimientos'!F$5:F$1004, MATCH(147, 'Detalles movimientos'!$T$5:$T$1004, 0)), "")</f>
        <v/>
      </c>
      <c r="F159" s="18" t="str">
        <f>IFERROR(INDEX('Detalles movimientos'!G$5:G$1004, MATCH(147, 'Detalles movimientos'!$T$5:$T$1004, 0)), "")</f>
        <v/>
      </c>
      <c r="G159" s="20" t="str">
        <f>IFERROR(INDEX('Detalles movimientos'!H$5:H$1004, MATCH(147, 'Detalles movimientos'!$T$5:$T$1004, 0)), "")</f>
        <v/>
      </c>
      <c r="H159" s="21" t="str">
        <f>IFERROR(INDEX('Detalles movimientos'!I$5:I$1004, MATCH(147, 'Detalles movimientos'!$T$5:$T$1004, 0)), "")</f>
        <v/>
      </c>
      <c r="I159" s="20" t="str">
        <f>IFERROR(INDEX('Detalles movimientos'!M$5:M$1004, MATCH(147, 'Detalles movimientos'!$T$5:$T$1004, 0)), "")</f>
        <v/>
      </c>
      <c r="J159" s="19" t="str">
        <f>IFERROR(INDEX('Detalles movimientos'!N$5:N$1004, MATCH(147, 'Detalles movimientos'!$T$5:$T$1004, 0)), "")</f>
        <v/>
      </c>
      <c r="K159" s="20" t="str">
        <f>IFERROR(INDEX('Detalles movimientos'!O$5:O$1004, MATCH(147, 'Detalles movimientos'!$T$5:$T$1004, 0)), "")</f>
        <v/>
      </c>
      <c r="L159" s="18" t="str">
        <f>IFERROR(INDEX('Detalles movimientos'!P$5:P$1004, MATCH(147, 'Detalles movimientos'!$T$5:$T$1004, 0)), "")</f>
        <v/>
      </c>
      <c r="M159" s="18" t="str">
        <f>IFERROR(INDEX('Detalles movimientos'!S$5:S$1004, MATCH(147, 'Detalles movimientos'!$T$5:$T$1004, 0)), "")</f>
        <v/>
      </c>
    </row>
    <row r="160" spans="2:13">
      <c r="B160" s="17" t="str">
        <f>IFERROR(INDEX('Detalles movimientos'!C$5:C$1004, MATCH(148, 'Detalles movimientos'!$T$5:$T$1004, 0)), "")</f>
        <v/>
      </c>
      <c r="C160" s="18" t="str">
        <f>IFERROR(INDEX('Detalles movimientos'!D$5:D$1004, MATCH(148, 'Detalles movimientos'!$T$5:$T$1004, 0)), "")</f>
        <v/>
      </c>
      <c r="D160" s="19" t="str">
        <f>IFERROR(INDEX('Detalles movimientos'!E$5:E$1004, MATCH(148, 'Detalles movimientos'!$T$5:$T$1004, 0)), "")</f>
        <v/>
      </c>
      <c r="E160" s="19" t="str">
        <f>IFERROR(INDEX('Detalles movimientos'!F$5:F$1004, MATCH(148, 'Detalles movimientos'!$T$5:$T$1004, 0)), "")</f>
        <v/>
      </c>
      <c r="F160" s="18" t="str">
        <f>IFERROR(INDEX('Detalles movimientos'!G$5:G$1004, MATCH(148, 'Detalles movimientos'!$T$5:$T$1004, 0)), "")</f>
        <v/>
      </c>
      <c r="G160" s="20" t="str">
        <f>IFERROR(INDEX('Detalles movimientos'!H$5:H$1004, MATCH(148, 'Detalles movimientos'!$T$5:$T$1004, 0)), "")</f>
        <v/>
      </c>
      <c r="H160" s="21" t="str">
        <f>IFERROR(INDEX('Detalles movimientos'!I$5:I$1004, MATCH(148, 'Detalles movimientos'!$T$5:$T$1004, 0)), "")</f>
        <v/>
      </c>
      <c r="I160" s="20" t="str">
        <f>IFERROR(INDEX('Detalles movimientos'!M$5:M$1004, MATCH(148, 'Detalles movimientos'!$T$5:$T$1004, 0)), "")</f>
        <v/>
      </c>
      <c r="J160" s="19" t="str">
        <f>IFERROR(INDEX('Detalles movimientos'!N$5:N$1004, MATCH(148, 'Detalles movimientos'!$T$5:$T$1004, 0)), "")</f>
        <v/>
      </c>
      <c r="K160" s="20" t="str">
        <f>IFERROR(INDEX('Detalles movimientos'!O$5:O$1004, MATCH(148, 'Detalles movimientos'!$T$5:$T$1004, 0)), "")</f>
        <v/>
      </c>
      <c r="L160" s="18" t="str">
        <f>IFERROR(INDEX('Detalles movimientos'!P$5:P$1004, MATCH(148, 'Detalles movimientos'!$T$5:$T$1004, 0)), "")</f>
        <v/>
      </c>
      <c r="M160" s="18" t="str">
        <f>IFERROR(INDEX('Detalles movimientos'!S$5:S$1004, MATCH(148, 'Detalles movimientos'!$T$5:$T$1004, 0)), "")</f>
        <v/>
      </c>
    </row>
    <row r="161" spans="2:13">
      <c r="B161" s="17" t="str">
        <f>IFERROR(INDEX('Detalles movimientos'!C$5:C$1004, MATCH(149, 'Detalles movimientos'!$T$5:$T$1004, 0)), "")</f>
        <v/>
      </c>
      <c r="C161" s="18" t="str">
        <f>IFERROR(INDEX('Detalles movimientos'!D$5:D$1004, MATCH(149, 'Detalles movimientos'!$T$5:$T$1004, 0)), "")</f>
        <v/>
      </c>
      <c r="D161" s="19" t="str">
        <f>IFERROR(INDEX('Detalles movimientos'!E$5:E$1004, MATCH(149, 'Detalles movimientos'!$T$5:$T$1004, 0)), "")</f>
        <v/>
      </c>
      <c r="E161" s="19" t="str">
        <f>IFERROR(INDEX('Detalles movimientos'!F$5:F$1004, MATCH(149, 'Detalles movimientos'!$T$5:$T$1004, 0)), "")</f>
        <v/>
      </c>
      <c r="F161" s="18" t="str">
        <f>IFERROR(INDEX('Detalles movimientos'!G$5:G$1004, MATCH(149, 'Detalles movimientos'!$T$5:$T$1004, 0)), "")</f>
        <v/>
      </c>
      <c r="G161" s="20" t="str">
        <f>IFERROR(INDEX('Detalles movimientos'!H$5:H$1004, MATCH(149, 'Detalles movimientos'!$T$5:$T$1004, 0)), "")</f>
        <v/>
      </c>
      <c r="H161" s="21" t="str">
        <f>IFERROR(INDEX('Detalles movimientos'!I$5:I$1004, MATCH(149, 'Detalles movimientos'!$T$5:$T$1004, 0)), "")</f>
        <v/>
      </c>
      <c r="I161" s="20" t="str">
        <f>IFERROR(INDEX('Detalles movimientos'!M$5:M$1004, MATCH(149, 'Detalles movimientos'!$T$5:$T$1004, 0)), "")</f>
        <v/>
      </c>
      <c r="J161" s="19" t="str">
        <f>IFERROR(INDEX('Detalles movimientos'!N$5:N$1004, MATCH(149, 'Detalles movimientos'!$T$5:$T$1004, 0)), "")</f>
        <v/>
      </c>
      <c r="K161" s="20" t="str">
        <f>IFERROR(INDEX('Detalles movimientos'!O$5:O$1004, MATCH(149, 'Detalles movimientos'!$T$5:$T$1004, 0)), "")</f>
        <v/>
      </c>
      <c r="L161" s="18" t="str">
        <f>IFERROR(INDEX('Detalles movimientos'!P$5:P$1004, MATCH(149, 'Detalles movimientos'!$T$5:$T$1004, 0)), "")</f>
        <v/>
      </c>
      <c r="M161" s="18" t="str">
        <f>IFERROR(INDEX('Detalles movimientos'!S$5:S$1004, MATCH(149, 'Detalles movimientos'!$T$5:$T$1004,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65"/>
      <c r="I5" s="66"/>
    </row>
    <row r="6" spans="2:13" ht="24" customHeight="1">
      <c r="B6" s="43">
        <f>SUMIFS('Detalles movimientos'!I$5:I$1004, 'Detalles movimientos'!F$5:F$1004, "Ignacio")</f>
        <v>0</v>
      </c>
      <c r="C6" s="42">
        <f>SUMIFS('Detalles movimientos'!L$5:L$1004, 'Detalles movimientos'!F$5:F$1004, "Ignacio")</f>
        <v>50221</v>
      </c>
      <c r="D6" s="43">
        <f>SUMIFS('Detalles movimientos'!M$5:M$1004, 'Detalles movimientos'!F$5:F$1004, "Ignacio")</f>
        <v>0</v>
      </c>
      <c r="E6" s="43">
        <f>COUNTIFS('Detalles movimientos'!F$5:F$1004, "Ignacio")</f>
        <v>7</v>
      </c>
      <c r="F6" s="41"/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movimientos'!C$5:C$1004, MATCH(1, 'Detalles movimientos'!$U$5:$U$1004, 0)), "")</f>
        <v>46230</v>
      </c>
      <c r="C10" s="18" t="str">
        <f>IFERROR(INDEX('Detalles movimientos'!D$5:D$1004, MATCH(1, 'Detalles movimientos'!$U$5:$U$1004, 0)), "")</f>
        <v>Ignacio Guerrero</v>
      </c>
      <c r="D10" s="19" t="str">
        <f>IFERROR(INDEX('Detalles movimientos'!E$5:E$1004, MATCH(1, 'Detalles movimientos'!$U$5:$U$1004, 0)), "")</f>
        <v>VJYL61</v>
      </c>
      <c r="E10" s="19" t="str">
        <f>IFERROR(INDEX('Detalles movimientos'!F$5:F$1004, MATCH(1, 'Detalles movimientos'!$U$5:$U$1004, 0)), "")</f>
        <v>Ignacio</v>
      </c>
      <c r="F10" s="18">
        <f>IFERROR(INDEX('Detalles movimientos'!G$5:G$1004, MATCH(1, 'Detalles movimientos'!$U$5:$U$1004, 0)), "")</f>
        <v>0</v>
      </c>
      <c r="G10" s="20">
        <f>IFERROR(INDEX('Detalles movimientos'!H$5:H$1004, MATCH(1, 'Detalles movimientos'!$U$5:$U$1004, 0)), "")</f>
        <v>0</v>
      </c>
      <c r="H10" s="21">
        <f>IFERROR(INDEX('Detalles movimientos'!I$5:I$1004, MATCH(1, 'Detalles movimientos'!$U$5:$U$1004, 0)), "")</f>
        <v>0</v>
      </c>
      <c r="I10" s="20">
        <f>IFERROR(INDEX('Detalles movimientos'!M$5:M$1004, MATCH(1, 'Detalles movimientos'!$U$5:$U$1004, 0)), "")</f>
        <v>0</v>
      </c>
      <c r="J10" s="19" t="str">
        <f>IFERROR(INDEX('Detalles movimientos'!N$5:N$1004, MATCH(1, 'Detalles movimientos'!$U$5:$U$1004, 0)), "")</f>
        <v>Extraccion</v>
      </c>
      <c r="K10" s="20" t="str">
        <f>IFERROR(INDEX('Detalles movimientos'!O$5:O$1004, MATCH(1, 'Detalles movimientos'!$U$5:$U$1004, 0)), "")</f>
        <v/>
      </c>
      <c r="L10" s="18" t="str">
        <f>IFERROR(INDEX('Detalles movimientos'!P$5:P$1004, MATCH(1, 'Detalles movimientos'!$U$5:$U$1004, 0)), "")</f>
        <v>Extraccion</v>
      </c>
      <c r="M10" s="18">
        <f>IFERROR(INDEX('Detalles movimientos'!S$5:S$1004, MATCH(1, 'Detalles movimientos'!$U$5:$U$1004, 0)), "")</f>
        <v>0</v>
      </c>
    </row>
    <row r="11" spans="2:13">
      <c r="B11" s="17">
        <f>IFERROR(INDEX('Detalles movimientos'!C$5:C$1004, MATCH(2, 'Detalles movimientos'!$U$5:$U$1004, 0)), "")</f>
        <v>46238</v>
      </c>
      <c r="C11" s="18" t="str">
        <f>IFERROR(INDEX('Detalles movimientos'!D$5:D$1004, MATCH(2, 'Detalles movimientos'!$U$5:$U$1004, 0)), "")</f>
        <v>Ignacio Guerrero</v>
      </c>
      <c r="D11" s="19" t="str">
        <f>IFERROR(INDEX('Detalles movimientos'!E$5:E$1004, MATCH(2, 'Detalles movimientos'!$U$5:$U$1004, 0)), "")</f>
        <v>VJYL61</v>
      </c>
      <c r="E11" s="19" t="str">
        <f>IFERROR(INDEX('Detalles movimientos'!F$5:F$1004, MATCH(2, 'Detalles movimientos'!$U$5:$U$1004, 0)), "")</f>
        <v>Ignacio</v>
      </c>
      <c r="F11" s="18">
        <f>IFERROR(INDEX('Detalles movimientos'!G$5:G$1004, MATCH(2, 'Detalles movimientos'!$U$5:$U$1004, 0)), "")</f>
        <v>0</v>
      </c>
      <c r="G11" s="20">
        <f>IFERROR(INDEX('Detalles movimientos'!H$5:H$1004, MATCH(2, 'Detalles movimientos'!$U$5:$U$1004, 0)), "")</f>
        <v>0</v>
      </c>
      <c r="H11" s="21">
        <f>IFERROR(INDEX('Detalles movimientos'!I$5:I$1004, MATCH(2, 'Detalles movimientos'!$U$5:$U$1004, 0)), "")</f>
        <v>0</v>
      </c>
      <c r="I11" s="20">
        <f>IFERROR(INDEX('Detalles movimientos'!M$5:M$1004, MATCH(2, 'Detalles movimientos'!$U$5:$U$1004, 0)), "")</f>
        <v>0</v>
      </c>
      <c r="J11" s="19" t="str">
        <f>IFERROR(INDEX('Detalles movimientos'!N$5:N$1004, MATCH(2, 'Detalles movimientos'!$U$5:$U$1004, 0)), "")</f>
        <v>Extraccion</v>
      </c>
      <c r="K11" s="20" t="str">
        <f>IFERROR(INDEX('Detalles movimientos'!O$5:O$1004, MATCH(2, 'Detalles movimientos'!$U$5:$U$1004, 0)), "")</f>
        <v/>
      </c>
      <c r="L11" s="18" t="str">
        <f>IFERROR(INDEX('Detalles movimientos'!P$5:P$1004, MATCH(2, 'Detalles movimientos'!$U$5:$U$1004, 0)), "")</f>
        <v>Extraccion</v>
      </c>
      <c r="M11" s="18">
        <f>IFERROR(INDEX('Detalles movimientos'!S$5:S$1004, MATCH(2, 'Detalles movimientos'!$U$5:$U$1004, 0)), "")</f>
        <v>0</v>
      </c>
    </row>
    <row r="12" spans="2:13">
      <c r="B12" s="17">
        <f>IFERROR(INDEX('Detalles movimientos'!C$5:C$1004, MATCH(3, 'Detalles movimientos'!$U$5:$U$1004, 0)), "")</f>
        <v>46242</v>
      </c>
      <c r="C12" s="18" t="str">
        <f>IFERROR(INDEX('Detalles movimientos'!D$5:D$1004, MATCH(3, 'Detalles movimientos'!$U$5:$U$1004, 0)), "")</f>
        <v>Ignacio Guerrero</v>
      </c>
      <c r="D12" s="19" t="str">
        <f>IFERROR(INDEX('Detalles movimientos'!E$5:E$1004, MATCH(3, 'Detalles movimientos'!$U$5:$U$1004, 0)), "")</f>
        <v>VJYL61</v>
      </c>
      <c r="E12" s="19" t="str">
        <f>IFERROR(INDEX('Detalles movimientos'!F$5:F$1004, MATCH(3, 'Detalles movimientos'!$U$5:$U$1004, 0)), "")</f>
        <v>Ignacio</v>
      </c>
      <c r="F12" s="18">
        <f>IFERROR(INDEX('Detalles movimientos'!G$5:G$1004, MATCH(3, 'Detalles movimientos'!$U$5:$U$1004, 0)), "")</f>
        <v>0</v>
      </c>
      <c r="G12" s="20">
        <f>IFERROR(INDEX('Detalles movimientos'!H$5:H$1004, MATCH(3, 'Detalles movimientos'!$U$5:$U$1004, 0)), "")</f>
        <v>0</v>
      </c>
      <c r="H12" s="21">
        <f>IFERROR(INDEX('Detalles movimientos'!I$5:I$1004, MATCH(3, 'Detalles movimientos'!$U$5:$U$1004, 0)), "")</f>
        <v>0</v>
      </c>
      <c r="I12" s="20">
        <f>IFERROR(INDEX('Detalles movimientos'!M$5:M$1004, MATCH(3, 'Detalles movimientos'!$U$5:$U$1004, 0)), "")</f>
        <v>0</v>
      </c>
      <c r="J12" s="19" t="str">
        <f>IFERROR(INDEX('Detalles movimientos'!N$5:N$1004, MATCH(3, 'Detalles movimientos'!$U$5:$U$1004, 0)), "")</f>
        <v>Extraccion</v>
      </c>
      <c r="K12" s="20" t="str">
        <f>IFERROR(INDEX('Detalles movimientos'!O$5:O$1004, MATCH(3, 'Detalles movimientos'!$U$5:$U$1004, 0)), "")</f>
        <v/>
      </c>
      <c r="L12" s="18" t="str">
        <f>IFERROR(INDEX('Detalles movimientos'!P$5:P$1004, MATCH(3, 'Detalles movimientos'!$U$5:$U$1004, 0)), "")</f>
        <v>Extraccion</v>
      </c>
      <c r="M12" s="18">
        <f>IFERROR(INDEX('Detalles movimientos'!S$5:S$1004, MATCH(3, 'Detalles movimientos'!$U$5:$U$1004, 0)), "")</f>
        <v>0</v>
      </c>
    </row>
    <row r="13" spans="2:13">
      <c r="B13" s="17">
        <f>IFERROR(INDEX('Detalles movimientos'!C$5:C$1004, MATCH(4, 'Detalles movimientos'!$U$5:$U$1004, 0)), "")</f>
        <v>46247</v>
      </c>
      <c r="C13" s="18" t="str">
        <f>IFERROR(INDEX('Detalles movimientos'!D$5:D$1004, MATCH(4, 'Detalles movimientos'!$U$5:$U$1004, 0)), "")</f>
        <v>Ignacio Guerrero</v>
      </c>
      <c r="D13" s="19" t="str">
        <f>IFERROR(INDEX('Detalles movimientos'!E$5:E$1004, MATCH(4, 'Detalles movimientos'!$U$5:$U$1004, 0)), "")</f>
        <v>VJYL42</v>
      </c>
      <c r="E13" s="19" t="str">
        <f>IFERROR(INDEX('Detalles movimientos'!F$5:F$1004, MATCH(4, 'Detalles movimientos'!$U$5:$U$1004, 0)), "")</f>
        <v>Ignacio</v>
      </c>
      <c r="F13" s="18">
        <f>IFERROR(INDEX('Detalles movimientos'!G$5:G$1004, MATCH(4, 'Detalles movimientos'!$U$5:$U$1004, 0)), "")</f>
        <v>0</v>
      </c>
      <c r="G13" s="20">
        <f>IFERROR(INDEX('Detalles movimientos'!H$5:H$1004, MATCH(4, 'Detalles movimientos'!$U$5:$U$1004, 0)), "")</f>
        <v>0</v>
      </c>
      <c r="H13" s="21">
        <f>IFERROR(INDEX('Detalles movimientos'!I$5:I$1004, MATCH(4, 'Detalles movimientos'!$U$5:$U$1004, 0)), "")</f>
        <v>0</v>
      </c>
      <c r="I13" s="20">
        <f>IFERROR(INDEX('Detalles movimientos'!M$5:M$1004, MATCH(4, 'Detalles movimientos'!$U$5:$U$1004, 0)), "")</f>
        <v>0</v>
      </c>
      <c r="J13" s="19" t="str">
        <f>IFERROR(INDEX('Detalles movimientos'!N$5:N$1004, MATCH(4, 'Detalles movimientos'!$U$5:$U$1004, 0)), "")</f>
        <v>Extraccion</v>
      </c>
      <c r="K13" s="20" t="str">
        <f>IFERROR(INDEX('Detalles movimientos'!O$5:O$1004, MATCH(4, 'Detalles movimientos'!$U$5:$U$1004, 0)), "")</f>
        <v/>
      </c>
      <c r="L13" s="18" t="str">
        <f>IFERROR(INDEX('Detalles movimientos'!P$5:P$1004, MATCH(4, 'Detalles movimientos'!$U$5:$U$1004, 0)), "")</f>
        <v>Extraccion</v>
      </c>
      <c r="M13" s="18">
        <f>IFERROR(INDEX('Detalles movimientos'!S$5:S$1004, MATCH(4, 'Detalles movimientos'!$U$5:$U$1004, 0)), "")</f>
        <v>0</v>
      </c>
    </row>
    <row r="14" spans="2:13">
      <c r="B14" s="17" t="str">
        <f>IFERROR(INDEX('Detalles movimientos'!C$5:C$1004, MATCH(5, 'Detalles movimientos'!$U$5:$U$1004, 0)), "")</f>
        <v/>
      </c>
      <c r="C14" s="18" t="str">
        <f>IFERROR(INDEX('Detalles movimientos'!D$5:D$1004, MATCH(5, 'Detalles movimientos'!$U$5:$U$1004, 0)), "")</f>
        <v/>
      </c>
      <c r="D14" s="19" t="str">
        <f>IFERROR(INDEX('Detalles movimientos'!E$5:E$1004, MATCH(5, 'Detalles movimientos'!$U$5:$U$1004, 0)), "")</f>
        <v/>
      </c>
      <c r="E14" s="19" t="str">
        <f>IFERROR(INDEX('Detalles movimientos'!F$5:F$1004, MATCH(5, 'Detalles movimientos'!$U$5:$U$1004, 0)), "")</f>
        <v/>
      </c>
      <c r="F14" s="18" t="str">
        <f>IFERROR(INDEX('Detalles movimientos'!G$5:G$1004, MATCH(5, 'Detalles movimientos'!$U$5:$U$1004, 0)), "")</f>
        <v/>
      </c>
      <c r="G14" s="20" t="str">
        <f>IFERROR(INDEX('Detalles movimientos'!H$5:H$1004, MATCH(5, 'Detalles movimientos'!$U$5:$U$1004, 0)), "")</f>
        <v/>
      </c>
      <c r="H14" s="21" t="str">
        <f>IFERROR(INDEX('Detalles movimientos'!I$5:I$1004, MATCH(5, 'Detalles movimientos'!$U$5:$U$1004, 0)), "")</f>
        <v/>
      </c>
      <c r="I14" s="20" t="str">
        <f>IFERROR(INDEX('Detalles movimientos'!M$5:M$1004, MATCH(5, 'Detalles movimientos'!$U$5:$U$1004, 0)), "")</f>
        <v/>
      </c>
      <c r="J14" s="19" t="str">
        <f>IFERROR(INDEX('Detalles movimientos'!N$5:N$1004, MATCH(5, 'Detalles movimientos'!$U$5:$U$1004, 0)), "")</f>
        <v/>
      </c>
      <c r="K14" s="20" t="str">
        <f>IFERROR(INDEX('Detalles movimientos'!O$5:O$1004, MATCH(5, 'Detalles movimientos'!$U$5:$U$1004, 0)), "")</f>
        <v/>
      </c>
      <c r="L14" s="18" t="str">
        <f>IFERROR(INDEX('Detalles movimientos'!P$5:P$1004, MATCH(5, 'Detalles movimientos'!$U$5:$U$1004, 0)), "")</f>
        <v/>
      </c>
      <c r="M14" s="18" t="str">
        <f>IFERROR(INDEX('Detalles movimientos'!S$5:S$1004, MATCH(5, 'Detalles movimientos'!$U$5:$U$1004, 0)), "")</f>
        <v/>
      </c>
    </row>
    <row r="15" spans="2:13">
      <c r="B15" s="17" t="str">
        <f>IFERROR(INDEX('Detalles movimientos'!C$5:C$1004, MATCH(6, 'Detalles movimientos'!$U$5:$U$1004, 0)), "")</f>
        <v/>
      </c>
      <c r="C15" s="18" t="str">
        <f>IFERROR(INDEX('Detalles movimientos'!D$5:D$1004, MATCH(6, 'Detalles movimientos'!$U$5:$U$1004, 0)), "")</f>
        <v/>
      </c>
      <c r="D15" s="19" t="str">
        <f>IFERROR(INDEX('Detalles movimientos'!E$5:E$1004, MATCH(6, 'Detalles movimientos'!$U$5:$U$1004, 0)), "")</f>
        <v/>
      </c>
      <c r="E15" s="19" t="str">
        <f>IFERROR(INDEX('Detalles movimientos'!F$5:F$1004, MATCH(6, 'Detalles movimientos'!$U$5:$U$1004, 0)), "")</f>
        <v/>
      </c>
      <c r="F15" s="18" t="str">
        <f>IFERROR(INDEX('Detalles movimientos'!G$5:G$1004, MATCH(6, 'Detalles movimientos'!$U$5:$U$1004, 0)), "")</f>
        <v/>
      </c>
      <c r="G15" s="20" t="str">
        <f>IFERROR(INDEX('Detalles movimientos'!H$5:H$1004, MATCH(6, 'Detalles movimientos'!$U$5:$U$1004, 0)), "")</f>
        <v/>
      </c>
      <c r="H15" s="21" t="str">
        <f>IFERROR(INDEX('Detalles movimientos'!I$5:I$1004, MATCH(6, 'Detalles movimientos'!$U$5:$U$1004, 0)), "")</f>
        <v/>
      </c>
      <c r="I15" s="20" t="str">
        <f>IFERROR(INDEX('Detalles movimientos'!M$5:M$1004, MATCH(6, 'Detalles movimientos'!$U$5:$U$1004, 0)), "")</f>
        <v/>
      </c>
      <c r="J15" s="19" t="str">
        <f>IFERROR(INDEX('Detalles movimientos'!N$5:N$1004, MATCH(6, 'Detalles movimientos'!$U$5:$U$1004, 0)), "")</f>
        <v/>
      </c>
      <c r="K15" s="20" t="str">
        <f>IFERROR(INDEX('Detalles movimientos'!O$5:O$1004, MATCH(6, 'Detalles movimientos'!$U$5:$U$1004, 0)), "")</f>
        <v/>
      </c>
      <c r="L15" s="18" t="str">
        <f>IFERROR(INDEX('Detalles movimientos'!P$5:P$1004, MATCH(6, 'Detalles movimientos'!$U$5:$U$1004, 0)), "")</f>
        <v/>
      </c>
      <c r="M15" s="18" t="str">
        <f>IFERROR(INDEX('Detalles movimientos'!S$5:S$1004, MATCH(6, 'Detalles movimientos'!$U$5:$U$1004, 0)), "")</f>
        <v/>
      </c>
    </row>
    <row r="16" spans="2:13">
      <c r="B16" s="17" t="str">
        <f>IFERROR(INDEX('Detalles movimientos'!C$5:C$1004, MATCH(7, 'Detalles movimientos'!$U$5:$U$1004, 0)), "")</f>
        <v/>
      </c>
      <c r="C16" s="18" t="str">
        <f>IFERROR(INDEX('Detalles movimientos'!D$5:D$1004, MATCH(7, 'Detalles movimientos'!$U$5:$U$1004, 0)), "")</f>
        <v/>
      </c>
      <c r="D16" s="19" t="str">
        <f>IFERROR(INDEX('Detalles movimientos'!E$5:E$1004, MATCH(7, 'Detalles movimientos'!$U$5:$U$1004, 0)), "")</f>
        <v/>
      </c>
      <c r="E16" s="19" t="str">
        <f>IFERROR(INDEX('Detalles movimientos'!F$5:F$1004, MATCH(7, 'Detalles movimientos'!$U$5:$U$1004, 0)), "")</f>
        <v/>
      </c>
      <c r="F16" s="18" t="str">
        <f>IFERROR(INDEX('Detalles movimientos'!G$5:G$1004, MATCH(7, 'Detalles movimientos'!$U$5:$U$1004, 0)), "")</f>
        <v/>
      </c>
      <c r="G16" s="20" t="str">
        <f>IFERROR(INDEX('Detalles movimientos'!H$5:H$1004, MATCH(7, 'Detalles movimientos'!$U$5:$U$1004, 0)), "")</f>
        <v/>
      </c>
      <c r="H16" s="21" t="str">
        <f>IFERROR(INDEX('Detalles movimientos'!I$5:I$1004, MATCH(7, 'Detalles movimientos'!$U$5:$U$1004, 0)), "")</f>
        <v/>
      </c>
      <c r="I16" s="20" t="str">
        <f>IFERROR(INDEX('Detalles movimientos'!M$5:M$1004, MATCH(7, 'Detalles movimientos'!$U$5:$U$1004, 0)), "")</f>
        <v/>
      </c>
      <c r="J16" s="19" t="str">
        <f>IFERROR(INDEX('Detalles movimientos'!N$5:N$1004, MATCH(7, 'Detalles movimientos'!$U$5:$U$1004, 0)), "")</f>
        <v/>
      </c>
      <c r="K16" s="20" t="str">
        <f>IFERROR(INDEX('Detalles movimientos'!O$5:O$1004, MATCH(7, 'Detalles movimientos'!$U$5:$U$1004, 0)), "")</f>
        <v/>
      </c>
      <c r="L16" s="18" t="str">
        <f>IFERROR(INDEX('Detalles movimientos'!P$5:P$1004, MATCH(7, 'Detalles movimientos'!$U$5:$U$1004, 0)), "")</f>
        <v/>
      </c>
      <c r="M16" s="18" t="str">
        <f>IFERROR(INDEX('Detalles movimientos'!S$5:S$1004, MATCH(7, 'Detalles movimientos'!$U$5:$U$1004, 0)), "")</f>
        <v/>
      </c>
    </row>
    <row r="17" spans="2:13">
      <c r="B17" s="17" t="str">
        <f>IFERROR(INDEX('Detalles movimientos'!C$5:C$1004, MATCH(8, 'Detalles movimientos'!$U$5:$U$1004, 0)), "")</f>
        <v/>
      </c>
      <c r="C17" s="18" t="str">
        <f>IFERROR(INDEX('Detalles movimientos'!D$5:D$1004, MATCH(8, 'Detalles movimientos'!$U$5:$U$1004, 0)), "")</f>
        <v/>
      </c>
      <c r="D17" s="19" t="str">
        <f>IFERROR(INDEX('Detalles movimientos'!E$5:E$1004, MATCH(8, 'Detalles movimientos'!$U$5:$U$1004, 0)), "")</f>
        <v/>
      </c>
      <c r="E17" s="19" t="str">
        <f>IFERROR(INDEX('Detalles movimientos'!F$5:F$1004, MATCH(8, 'Detalles movimientos'!$U$5:$U$1004, 0)), "")</f>
        <v/>
      </c>
      <c r="F17" s="18" t="str">
        <f>IFERROR(INDEX('Detalles movimientos'!G$5:G$1004, MATCH(8, 'Detalles movimientos'!$U$5:$U$1004, 0)), "")</f>
        <v/>
      </c>
      <c r="G17" s="20" t="str">
        <f>IFERROR(INDEX('Detalles movimientos'!H$5:H$1004, MATCH(8, 'Detalles movimientos'!$U$5:$U$1004, 0)), "")</f>
        <v/>
      </c>
      <c r="H17" s="21" t="str">
        <f>IFERROR(INDEX('Detalles movimientos'!I$5:I$1004, MATCH(8, 'Detalles movimientos'!$U$5:$U$1004, 0)), "")</f>
        <v/>
      </c>
      <c r="I17" s="20" t="str">
        <f>IFERROR(INDEX('Detalles movimientos'!M$5:M$1004, MATCH(8, 'Detalles movimientos'!$U$5:$U$1004, 0)), "")</f>
        <v/>
      </c>
      <c r="J17" s="19" t="str">
        <f>IFERROR(INDEX('Detalles movimientos'!N$5:N$1004, MATCH(8, 'Detalles movimientos'!$U$5:$U$1004, 0)), "")</f>
        <v/>
      </c>
      <c r="K17" s="20" t="str">
        <f>IFERROR(INDEX('Detalles movimientos'!O$5:O$1004, MATCH(8, 'Detalles movimientos'!$U$5:$U$1004, 0)), "")</f>
        <v/>
      </c>
      <c r="L17" s="18" t="str">
        <f>IFERROR(INDEX('Detalles movimientos'!P$5:P$1004, MATCH(8, 'Detalles movimientos'!$U$5:$U$1004, 0)), "")</f>
        <v/>
      </c>
      <c r="M17" s="18" t="str">
        <f>IFERROR(INDEX('Detalles movimientos'!S$5:S$1004, MATCH(8, 'Detalles movimientos'!$U$5:$U$1004, 0)), "")</f>
        <v/>
      </c>
    </row>
    <row r="18" spans="2:13">
      <c r="B18" s="17" t="str">
        <f>IFERROR(INDEX('Detalles movimientos'!C$5:C$1004, MATCH(9, 'Detalles movimientos'!$U$5:$U$1004, 0)), "")</f>
        <v/>
      </c>
      <c r="C18" s="18" t="str">
        <f>IFERROR(INDEX('Detalles movimientos'!D$5:D$1004, MATCH(9, 'Detalles movimientos'!$U$5:$U$1004, 0)), "")</f>
        <v/>
      </c>
      <c r="D18" s="19" t="str">
        <f>IFERROR(INDEX('Detalles movimientos'!E$5:E$1004, MATCH(9, 'Detalles movimientos'!$U$5:$U$1004, 0)), "")</f>
        <v/>
      </c>
      <c r="E18" s="19" t="str">
        <f>IFERROR(INDEX('Detalles movimientos'!F$5:F$1004, MATCH(9, 'Detalles movimientos'!$U$5:$U$1004, 0)), "")</f>
        <v/>
      </c>
      <c r="F18" s="18" t="str">
        <f>IFERROR(INDEX('Detalles movimientos'!G$5:G$1004, MATCH(9, 'Detalles movimientos'!$U$5:$U$1004, 0)), "")</f>
        <v/>
      </c>
      <c r="G18" s="20" t="str">
        <f>IFERROR(INDEX('Detalles movimientos'!H$5:H$1004, MATCH(9, 'Detalles movimientos'!$U$5:$U$1004, 0)), "")</f>
        <v/>
      </c>
      <c r="H18" s="21" t="str">
        <f>IFERROR(INDEX('Detalles movimientos'!I$5:I$1004, MATCH(9, 'Detalles movimientos'!$U$5:$U$1004, 0)), "")</f>
        <v/>
      </c>
      <c r="I18" s="20" t="str">
        <f>IFERROR(INDEX('Detalles movimientos'!M$5:M$1004, MATCH(9, 'Detalles movimientos'!$U$5:$U$1004, 0)), "")</f>
        <v/>
      </c>
      <c r="J18" s="19" t="str">
        <f>IFERROR(INDEX('Detalles movimientos'!N$5:N$1004, MATCH(9, 'Detalles movimientos'!$U$5:$U$1004, 0)), "")</f>
        <v/>
      </c>
      <c r="K18" s="20" t="str">
        <f>IFERROR(INDEX('Detalles movimientos'!O$5:O$1004, MATCH(9, 'Detalles movimientos'!$U$5:$U$1004, 0)), "")</f>
        <v/>
      </c>
      <c r="L18" s="18" t="str">
        <f>IFERROR(INDEX('Detalles movimientos'!P$5:P$1004, MATCH(9, 'Detalles movimientos'!$U$5:$U$1004, 0)), "")</f>
        <v/>
      </c>
      <c r="M18" s="18" t="str">
        <f>IFERROR(INDEX('Detalles movimientos'!S$5:S$1004, MATCH(9, 'Detalles movimientos'!$U$5:$U$1004, 0)), "")</f>
        <v/>
      </c>
    </row>
    <row r="19" spans="2:13">
      <c r="B19" s="17" t="str">
        <f>IFERROR(INDEX('Detalles movimientos'!C$5:C$1004, MATCH(10, 'Detalles movimientos'!$U$5:$U$1004, 0)), "")</f>
        <v/>
      </c>
      <c r="C19" s="18" t="str">
        <f>IFERROR(INDEX('Detalles movimientos'!D$5:D$1004, MATCH(10, 'Detalles movimientos'!$U$5:$U$1004, 0)), "")</f>
        <v/>
      </c>
      <c r="D19" s="19" t="str">
        <f>IFERROR(INDEX('Detalles movimientos'!E$5:E$1004, MATCH(10, 'Detalles movimientos'!$U$5:$U$1004, 0)), "")</f>
        <v/>
      </c>
      <c r="E19" s="19" t="str">
        <f>IFERROR(INDEX('Detalles movimientos'!F$5:F$1004, MATCH(10, 'Detalles movimientos'!$U$5:$U$1004, 0)), "")</f>
        <v/>
      </c>
      <c r="F19" s="18" t="str">
        <f>IFERROR(INDEX('Detalles movimientos'!G$5:G$1004, MATCH(10, 'Detalles movimientos'!$U$5:$U$1004, 0)), "")</f>
        <v/>
      </c>
      <c r="G19" s="20" t="str">
        <f>IFERROR(INDEX('Detalles movimientos'!H$5:H$1004, MATCH(10, 'Detalles movimientos'!$U$5:$U$1004, 0)), "")</f>
        <v/>
      </c>
      <c r="H19" s="21" t="str">
        <f>IFERROR(INDEX('Detalles movimientos'!I$5:I$1004, MATCH(10, 'Detalles movimientos'!$U$5:$U$1004, 0)), "")</f>
        <v/>
      </c>
      <c r="I19" s="20" t="str">
        <f>IFERROR(INDEX('Detalles movimientos'!M$5:M$1004, MATCH(10, 'Detalles movimientos'!$U$5:$U$1004, 0)), "")</f>
        <v/>
      </c>
      <c r="J19" s="19" t="str">
        <f>IFERROR(INDEX('Detalles movimientos'!N$5:N$1004, MATCH(10, 'Detalles movimientos'!$U$5:$U$1004, 0)), "")</f>
        <v/>
      </c>
      <c r="K19" s="20" t="str">
        <f>IFERROR(INDEX('Detalles movimientos'!O$5:O$1004, MATCH(10, 'Detalles movimientos'!$U$5:$U$1004, 0)), "")</f>
        <v/>
      </c>
      <c r="L19" s="18" t="str">
        <f>IFERROR(INDEX('Detalles movimientos'!P$5:P$1004, MATCH(10, 'Detalles movimientos'!$U$5:$U$1004, 0)), "")</f>
        <v/>
      </c>
      <c r="M19" s="18" t="str">
        <f>IFERROR(INDEX('Detalles movimientos'!S$5:S$1004, MATCH(10, 'Detalles movimientos'!$U$5:$U$1004, 0)), "")</f>
        <v/>
      </c>
    </row>
    <row r="20" spans="2:13">
      <c r="B20" s="17" t="str">
        <f>IFERROR(INDEX('Detalles movimientos'!C$5:C$1004, MATCH(11, 'Detalles movimientos'!$U$5:$U$1004, 0)), "")</f>
        <v/>
      </c>
      <c r="C20" s="18" t="str">
        <f>IFERROR(INDEX('Detalles movimientos'!D$5:D$1004, MATCH(11, 'Detalles movimientos'!$U$5:$U$1004, 0)), "")</f>
        <v/>
      </c>
      <c r="D20" s="19" t="str">
        <f>IFERROR(INDEX('Detalles movimientos'!E$5:E$1004, MATCH(11, 'Detalles movimientos'!$U$5:$U$1004, 0)), "")</f>
        <v/>
      </c>
      <c r="E20" s="19" t="str">
        <f>IFERROR(INDEX('Detalles movimientos'!F$5:F$1004, MATCH(11, 'Detalles movimientos'!$U$5:$U$1004, 0)), "")</f>
        <v/>
      </c>
      <c r="F20" s="18" t="str">
        <f>IFERROR(INDEX('Detalles movimientos'!G$5:G$1004, MATCH(11, 'Detalles movimientos'!$U$5:$U$1004, 0)), "")</f>
        <v/>
      </c>
      <c r="G20" s="20" t="str">
        <f>IFERROR(INDEX('Detalles movimientos'!H$5:H$1004, MATCH(11, 'Detalles movimientos'!$U$5:$U$1004, 0)), "")</f>
        <v/>
      </c>
      <c r="H20" s="21" t="str">
        <f>IFERROR(INDEX('Detalles movimientos'!I$5:I$1004, MATCH(11, 'Detalles movimientos'!$U$5:$U$1004, 0)), "")</f>
        <v/>
      </c>
      <c r="I20" s="20" t="str">
        <f>IFERROR(INDEX('Detalles movimientos'!M$5:M$1004, MATCH(11, 'Detalles movimientos'!$U$5:$U$1004, 0)), "")</f>
        <v/>
      </c>
      <c r="J20" s="19" t="str">
        <f>IFERROR(INDEX('Detalles movimientos'!N$5:N$1004, MATCH(11, 'Detalles movimientos'!$U$5:$U$1004, 0)), "")</f>
        <v/>
      </c>
      <c r="K20" s="20" t="str">
        <f>IFERROR(INDEX('Detalles movimientos'!O$5:O$1004, MATCH(11, 'Detalles movimientos'!$U$5:$U$1004, 0)), "")</f>
        <v/>
      </c>
      <c r="L20" s="18" t="str">
        <f>IFERROR(INDEX('Detalles movimientos'!P$5:P$1004, MATCH(11, 'Detalles movimientos'!$U$5:$U$1004, 0)), "")</f>
        <v/>
      </c>
      <c r="M20" s="18" t="str">
        <f>IFERROR(INDEX('Detalles movimientos'!S$5:S$1004, MATCH(11, 'Detalles movimientos'!$U$5:$U$1004, 0)), "")</f>
        <v/>
      </c>
    </row>
    <row r="21" spans="2:13">
      <c r="B21" s="17" t="str">
        <f>IFERROR(INDEX('Detalles movimientos'!C$5:C$1004, MATCH(12, 'Detalles movimientos'!$U$5:$U$1004, 0)), "")</f>
        <v/>
      </c>
      <c r="C21" s="18" t="str">
        <f>IFERROR(INDEX('Detalles movimientos'!D$5:D$1004, MATCH(12, 'Detalles movimientos'!$U$5:$U$1004, 0)), "")</f>
        <v/>
      </c>
      <c r="D21" s="19" t="str">
        <f>IFERROR(INDEX('Detalles movimientos'!E$5:E$1004, MATCH(12, 'Detalles movimientos'!$U$5:$U$1004, 0)), "")</f>
        <v/>
      </c>
      <c r="E21" s="19" t="str">
        <f>IFERROR(INDEX('Detalles movimientos'!F$5:F$1004, MATCH(12, 'Detalles movimientos'!$U$5:$U$1004, 0)), "")</f>
        <v/>
      </c>
      <c r="F21" s="18" t="str">
        <f>IFERROR(INDEX('Detalles movimientos'!G$5:G$1004, MATCH(12, 'Detalles movimientos'!$U$5:$U$1004, 0)), "")</f>
        <v/>
      </c>
      <c r="G21" s="20" t="str">
        <f>IFERROR(INDEX('Detalles movimientos'!H$5:H$1004, MATCH(12, 'Detalles movimientos'!$U$5:$U$1004, 0)), "")</f>
        <v/>
      </c>
      <c r="H21" s="21" t="str">
        <f>IFERROR(INDEX('Detalles movimientos'!I$5:I$1004, MATCH(12, 'Detalles movimientos'!$U$5:$U$1004, 0)), "")</f>
        <v/>
      </c>
      <c r="I21" s="20" t="str">
        <f>IFERROR(INDEX('Detalles movimientos'!M$5:M$1004, MATCH(12, 'Detalles movimientos'!$U$5:$U$1004, 0)), "")</f>
        <v/>
      </c>
      <c r="J21" s="19" t="str">
        <f>IFERROR(INDEX('Detalles movimientos'!N$5:N$1004, MATCH(12, 'Detalles movimientos'!$U$5:$U$1004, 0)), "")</f>
        <v/>
      </c>
      <c r="K21" s="20" t="str">
        <f>IFERROR(INDEX('Detalles movimientos'!O$5:O$1004, MATCH(12, 'Detalles movimientos'!$U$5:$U$1004, 0)), "")</f>
        <v/>
      </c>
      <c r="L21" s="18" t="str">
        <f>IFERROR(INDEX('Detalles movimientos'!P$5:P$1004, MATCH(12, 'Detalles movimientos'!$U$5:$U$1004, 0)), "")</f>
        <v/>
      </c>
      <c r="M21" s="18" t="str">
        <f>IFERROR(INDEX('Detalles movimientos'!S$5:S$1004, MATCH(12, 'Detalles movimientos'!$U$5:$U$1004, 0)), "")</f>
        <v/>
      </c>
    </row>
    <row r="22" spans="2:13">
      <c r="B22" s="17" t="str">
        <f>IFERROR(INDEX('Detalles movimientos'!C$5:C$1004, MATCH(13, 'Detalles movimientos'!$U$5:$U$1004, 0)), "")</f>
        <v/>
      </c>
      <c r="C22" s="18" t="str">
        <f>IFERROR(INDEX('Detalles movimientos'!D$5:D$1004, MATCH(13, 'Detalles movimientos'!$U$5:$U$1004, 0)), "")</f>
        <v/>
      </c>
      <c r="D22" s="19" t="str">
        <f>IFERROR(INDEX('Detalles movimientos'!E$5:E$1004, MATCH(13, 'Detalles movimientos'!$U$5:$U$1004, 0)), "")</f>
        <v/>
      </c>
      <c r="E22" s="19" t="str">
        <f>IFERROR(INDEX('Detalles movimientos'!F$5:F$1004, MATCH(13, 'Detalles movimientos'!$U$5:$U$1004, 0)), "")</f>
        <v/>
      </c>
      <c r="F22" s="18" t="str">
        <f>IFERROR(INDEX('Detalles movimientos'!G$5:G$1004, MATCH(13, 'Detalles movimientos'!$U$5:$U$1004, 0)), "")</f>
        <v/>
      </c>
      <c r="G22" s="20" t="str">
        <f>IFERROR(INDEX('Detalles movimientos'!H$5:H$1004, MATCH(13, 'Detalles movimientos'!$U$5:$U$1004, 0)), "")</f>
        <v/>
      </c>
      <c r="H22" s="21" t="str">
        <f>IFERROR(INDEX('Detalles movimientos'!I$5:I$1004, MATCH(13, 'Detalles movimientos'!$U$5:$U$1004, 0)), "")</f>
        <v/>
      </c>
      <c r="I22" s="20" t="str">
        <f>IFERROR(INDEX('Detalles movimientos'!M$5:M$1004, MATCH(13, 'Detalles movimientos'!$U$5:$U$1004, 0)), "")</f>
        <v/>
      </c>
      <c r="J22" s="19" t="str">
        <f>IFERROR(INDEX('Detalles movimientos'!N$5:N$1004, MATCH(13, 'Detalles movimientos'!$U$5:$U$1004, 0)), "")</f>
        <v/>
      </c>
      <c r="K22" s="20" t="str">
        <f>IFERROR(INDEX('Detalles movimientos'!O$5:O$1004, MATCH(13, 'Detalles movimientos'!$U$5:$U$1004, 0)), "")</f>
        <v/>
      </c>
      <c r="L22" s="18" t="str">
        <f>IFERROR(INDEX('Detalles movimientos'!P$5:P$1004, MATCH(13, 'Detalles movimientos'!$U$5:$U$1004, 0)), "")</f>
        <v/>
      </c>
      <c r="M22" s="18" t="str">
        <f>IFERROR(INDEX('Detalles movimientos'!S$5:S$1004, MATCH(13, 'Detalles movimientos'!$U$5:$U$1004, 0)), "")</f>
        <v/>
      </c>
    </row>
    <row r="23" spans="2:13">
      <c r="B23" s="17" t="str">
        <f>IFERROR(INDEX('Detalles movimientos'!C$5:C$1004, MATCH(14, 'Detalles movimientos'!$U$5:$U$1004, 0)), "")</f>
        <v/>
      </c>
      <c r="C23" s="18" t="str">
        <f>IFERROR(INDEX('Detalles movimientos'!D$5:D$1004, MATCH(14, 'Detalles movimientos'!$U$5:$U$1004, 0)), "")</f>
        <v/>
      </c>
      <c r="D23" s="19" t="str">
        <f>IFERROR(INDEX('Detalles movimientos'!E$5:E$1004, MATCH(14, 'Detalles movimientos'!$U$5:$U$1004, 0)), "")</f>
        <v/>
      </c>
      <c r="E23" s="19" t="str">
        <f>IFERROR(INDEX('Detalles movimientos'!F$5:F$1004, MATCH(14, 'Detalles movimientos'!$U$5:$U$1004, 0)), "")</f>
        <v/>
      </c>
      <c r="F23" s="18" t="str">
        <f>IFERROR(INDEX('Detalles movimientos'!G$5:G$1004, MATCH(14, 'Detalles movimientos'!$U$5:$U$1004, 0)), "")</f>
        <v/>
      </c>
      <c r="G23" s="20" t="str">
        <f>IFERROR(INDEX('Detalles movimientos'!H$5:H$1004, MATCH(14, 'Detalles movimientos'!$U$5:$U$1004, 0)), "")</f>
        <v/>
      </c>
      <c r="H23" s="21" t="str">
        <f>IFERROR(INDEX('Detalles movimientos'!I$5:I$1004, MATCH(14, 'Detalles movimientos'!$U$5:$U$1004, 0)), "")</f>
        <v/>
      </c>
      <c r="I23" s="20" t="str">
        <f>IFERROR(INDEX('Detalles movimientos'!M$5:M$1004, MATCH(14, 'Detalles movimientos'!$U$5:$U$1004, 0)), "")</f>
        <v/>
      </c>
      <c r="J23" s="19" t="str">
        <f>IFERROR(INDEX('Detalles movimientos'!N$5:N$1004, MATCH(14, 'Detalles movimientos'!$U$5:$U$1004, 0)), "")</f>
        <v/>
      </c>
      <c r="K23" s="20" t="str">
        <f>IFERROR(INDEX('Detalles movimientos'!O$5:O$1004, MATCH(14, 'Detalles movimientos'!$U$5:$U$1004, 0)), "")</f>
        <v/>
      </c>
      <c r="L23" s="18" t="str">
        <f>IFERROR(INDEX('Detalles movimientos'!P$5:P$1004, MATCH(14, 'Detalles movimientos'!$U$5:$U$1004, 0)), "")</f>
        <v/>
      </c>
      <c r="M23" s="18" t="str">
        <f>IFERROR(INDEX('Detalles movimientos'!S$5:S$1004, MATCH(14, 'Detalles movimientos'!$U$5:$U$1004, 0)), "")</f>
        <v/>
      </c>
    </row>
    <row r="24" spans="2:13">
      <c r="B24" s="17" t="str">
        <f>IFERROR(INDEX('Detalles movimientos'!C$5:C$1004, MATCH(15, 'Detalles movimientos'!$U$5:$U$1004, 0)), "")</f>
        <v/>
      </c>
      <c r="C24" s="18" t="str">
        <f>IFERROR(INDEX('Detalles movimientos'!D$5:D$1004, MATCH(15, 'Detalles movimientos'!$U$5:$U$1004, 0)), "")</f>
        <v/>
      </c>
      <c r="D24" s="19" t="str">
        <f>IFERROR(INDEX('Detalles movimientos'!E$5:E$1004, MATCH(15, 'Detalles movimientos'!$U$5:$U$1004, 0)), "")</f>
        <v/>
      </c>
      <c r="E24" s="19" t="str">
        <f>IFERROR(INDEX('Detalles movimientos'!F$5:F$1004, MATCH(15, 'Detalles movimientos'!$U$5:$U$1004, 0)), "")</f>
        <v/>
      </c>
      <c r="F24" s="18" t="str">
        <f>IFERROR(INDEX('Detalles movimientos'!G$5:G$1004, MATCH(15, 'Detalles movimientos'!$U$5:$U$1004, 0)), "")</f>
        <v/>
      </c>
      <c r="G24" s="20" t="str">
        <f>IFERROR(INDEX('Detalles movimientos'!H$5:H$1004, MATCH(15, 'Detalles movimientos'!$U$5:$U$1004, 0)), "")</f>
        <v/>
      </c>
      <c r="H24" s="21" t="str">
        <f>IFERROR(INDEX('Detalles movimientos'!I$5:I$1004, MATCH(15, 'Detalles movimientos'!$U$5:$U$1004, 0)), "")</f>
        <v/>
      </c>
      <c r="I24" s="20" t="str">
        <f>IFERROR(INDEX('Detalles movimientos'!M$5:M$1004, MATCH(15, 'Detalles movimientos'!$U$5:$U$1004, 0)), "")</f>
        <v/>
      </c>
      <c r="J24" s="19" t="str">
        <f>IFERROR(INDEX('Detalles movimientos'!N$5:N$1004, MATCH(15, 'Detalles movimientos'!$U$5:$U$1004, 0)), "")</f>
        <v/>
      </c>
      <c r="K24" s="20" t="str">
        <f>IFERROR(INDEX('Detalles movimientos'!O$5:O$1004, MATCH(15, 'Detalles movimientos'!$U$5:$U$1004, 0)), "")</f>
        <v/>
      </c>
      <c r="L24" s="18" t="str">
        <f>IFERROR(INDEX('Detalles movimientos'!P$5:P$1004, MATCH(15, 'Detalles movimientos'!$U$5:$U$1004, 0)), "")</f>
        <v/>
      </c>
      <c r="M24" s="18" t="str">
        <f>IFERROR(INDEX('Detalles movimientos'!S$5:S$1004, MATCH(15, 'Detalles movimientos'!$U$5:$U$1004, 0)), "")</f>
        <v/>
      </c>
    </row>
    <row r="25" spans="2:13">
      <c r="B25" s="17" t="str">
        <f>IFERROR(INDEX('Detalles movimientos'!C$5:C$1004, MATCH(16, 'Detalles movimientos'!$U$5:$U$1004, 0)), "")</f>
        <v/>
      </c>
      <c r="C25" s="18" t="str">
        <f>IFERROR(INDEX('Detalles movimientos'!D$5:D$1004, MATCH(16, 'Detalles movimientos'!$U$5:$U$1004, 0)), "")</f>
        <v/>
      </c>
      <c r="D25" s="19" t="str">
        <f>IFERROR(INDEX('Detalles movimientos'!E$5:E$1004, MATCH(16, 'Detalles movimientos'!$U$5:$U$1004, 0)), "")</f>
        <v/>
      </c>
      <c r="E25" s="19" t="str">
        <f>IFERROR(INDEX('Detalles movimientos'!F$5:F$1004, MATCH(16, 'Detalles movimientos'!$U$5:$U$1004, 0)), "")</f>
        <v/>
      </c>
      <c r="F25" s="18" t="str">
        <f>IFERROR(INDEX('Detalles movimientos'!G$5:G$1004, MATCH(16, 'Detalles movimientos'!$U$5:$U$1004, 0)), "")</f>
        <v/>
      </c>
      <c r="G25" s="20" t="str">
        <f>IFERROR(INDEX('Detalles movimientos'!H$5:H$1004, MATCH(16, 'Detalles movimientos'!$U$5:$U$1004, 0)), "")</f>
        <v/>
      </c>
      <c r="H25" s="21" t="str">
        <f>IFERROR(INDEX('Detalles movimientos'!I$5:I$1004, MATCH(16, 'Detalles movimientos'!$U$5:$U$1004, 0)), "")</f>
        <v/>
      </c>
      <c r="I25" s="20" t="str">
        <f>IFERROR(INDEX('Detalles movimientos'!M$5:M$1004, MATCH(16, 'Detalles movimientos'!$U$5:$U$1004, 0)), "")</f>
        <v/>
      </c>
      <c r="J25" s="19" t="str">
        <f>IFERROR(INDEX('Detalles movimientos'!N$5:N$1004, MATCH(16, 'Detalles movimientos'!$U$5:$U$1004, 0)), "")</f>
        <v/>
      </c>
      <c r="K25" s="20" t="str">
        <f>IFERROR(INDEX('Detalles movimientos'!O$5:O$1004, MATCH(16, 'Detalles movimientos'!$U$5:$U$1004, 0)), "")</f>
        <v/>
      </c>
      <c r="L25" s="18" t="str">
        <f>IFERROR(INDEX('Detalles movimientos'!P$5:P$1004, MATCH(16, 'Detalles movimientos'!$U$5:$U$1004, 0)), "")</f>
        <v/>
      </c>
      <c r="M25" s="18" t="str">
        <f>IFERROR(INDEX('Detalles movimientos'!S$5:S$1004, MATCH(16, 'Detalles movimientos'!$U$5:$U$1004, 0)), "")</f>
        <v/>
      </c>
    </row>
    <row r="26" spans="2:13">
      <c r="B26" s="17" t="str">
        <f>IFERROR(INDEX('Detalles movimientos'!C$5:C$1004, MATCH(17, 'Detalles movimientos'!$U$5:$U$1004, 0)), "")</f>
        <v/>
      </c>
      <c r="C26" s="18" t="str">
        <f>IFERROR(INDEX('Detalles movimientos'!D$5:D$1004, MATCH(17, 'Detalles movimientos'!$U$5:$U$1004, 0)), "")</f>
        <v/>
      </c>
      <c r="D26" s="19" t="str">
        <f>IFERROR(INDEX('Detalles movimientos'!E$5:E$1004, MATCH(17, 'Detalles movimientos'!$U$5:$U$1004, 0)), "")</f>
        <v/>
      </c>
      <c r="E26" s="19" t="str">
        <f>IFERROR(INDEX('Detalles movimientos'!F$5:F$1004, MATCH(17, 'Detalles movimientos'!$U$5:$U$1004, 0)), "")</f>
        <v/>
      </c>
      <c r="F26" s="18" t="str">
        <f>IFERROR(INDEX('Detalles movimientos'!G$5:G$1004, MATCH(17, 'Detalles movimientos'!$U$5:$U$1004, 0)), "")</f>
        <v/>
      </c>
      <c r="G26" s="20" t="str">
        <f>IFERROR(INDEX('Detalles movimientos'!H$5:H$1004, MATCH(17, 'Detalles movimientos'!$U$5:$U$1004, 0)), "")</f>
        <v/>
      </c>
      <c r="H26" s="21" t="str">
        <f>IFERROR(INDEX('Detalles movimientos'!I$5:I$1004, MATCH(17, 'Detalles movimientos'!$U$5:$U$1004, 0)), "")</f>
        <v/>
      </c>
      <c r="I26" s="20" t="str">
        <f>IFERROR(INDEX('Detalles movimientos'!M$5:M$1004, MATCH(17, 'Detalles movimientos'!$U$5:$U$1004, 0)), "")</f>
        <v/>
      </c>
      <c r="J26" s="19" t="str">
        <f>IFERROR(INDEX('Detalles movimientos'!N$5:N$1004, MATCH(17, 'Detalles movimientos'!$U$5:$U$1004, 0)), "")</f>
        <v/>
      </c>
      <c r="K26" s="20" t="str">
        <f>IFERROR(INDEX('Detalles movimientos'!O$5:O$1004, MATCH(17, 'Detalles movimientos'!$U$5:$U$1004, 0)), "")</f>
        <v/>
      </c>
      <c r="L26" s="18" t="str">
        <f>IFERROR(INDEX('Detalles movimientos'!P$5:P$1004, MATCH(17, 'Detalles movimientos'!$U$5:$U$1004, 0)), "")</f>
        <v/>
      </c>
      <c r="M26" s="18" t="str">
        <f>IFERROR(INDEX('Detalles movimientos'!S$5:S$1004, MATCH(17, 'Detalles movimientos'!$U$5:$U$1004, 0)), "")</f>
        <v/>
      </c>
    </row>
    <row r="27" spans="2:13">
      <c r="B27" s="17" t="str">
        <f>IFERROR(INDEX('Detalles movimientos'!C$5:C$1004, MATCH(18, 'Detalles movimientos'!$U$5:$U$1004, 0)), "")</f>
        <v/>
      </c>
      <c r="C27" s="18" t="str">
        <f>IFERROR(INDEX('Detalles movimientos'!D$5:D$1004, MATCH(18, 'Detalles movimientos'!$U$5:$U$1004, 0)), "")</f>
        <v/>
      </c>
      <c r="D27" s="19" t="str">
        <f>IFERROR(INDEX('Detalles movimientos'!E$5:E$1004, MATCH(18, 'Detalles movimientos'!$U$5:$U$1004, 0)), "")</f>
        <v/>
      </c>
      <c r="E27" s="19" t="str">
        <f>IFERROR(INDEX('Detalles movimientos'!F$5:F$1004, MATCH(18, 'Detalles movimientos'!$U$5:$U$1004, 0)), "")</f>
        <v/>
      </c>
      <c r="F27" s="18" t="str">
        <f>IFERROR(INDEX('Detalles movimientos'!G$5:G$1004, MATCH(18, 'Detalles movimientos'!$U$5:$U$1004, 0)), "")</f>
        <v/>
      </c>
      <c r="G27" s="20" t="str">
        <f>IFERROR(INDEX('Detalles movimientos'!H$5:H$1004, MATCH(18, 'Detalles movimientos'!$U$5:$U$1004, 0)), "")</f>
        <v/>
      </c>
      <c r="H27" s="21" t="str">
        <f>IFERROR(INDEX('Detalles movimientos'!I$5:I$1004, MATCH(18, 'Detalles movimientos'!$U$5:$U$1004, 0)), "")</f>
        <v/>
      </c>
      <c r="I27" s="20" t="str">
        <f>IFERROR(INDEX('Detalles movimientos'!M$5:M$1004, MATCH(18, 'Detalles movimientos'!$U$5:$U$1004, 0)), "")</f>
        <v/>
      </c>
      <c r="J27" s="19" t="str">
        <f>IFERROR(INDEX('Detalles movimientos'!N$5:N$1004, MATCH(18, 'Detalles movimientos'!$U$5:$U$1004, 0)), "")</f>
        <v/>
      </c>
      <c r="K27" s="20" t="str">
        <f>IFERROR(INDEX('Detalles movimientos'!O$5:O$1004, MATCH(18, 'Detalles movimientos'!$U$5:$U$1004, 0)), "")</f>
        <v/>
      </c>
      <c r="L27" s="18" t="str">
        <f>IFERROR(INDEX('Detalles movimientos'!P$5:P$1004, MATCH(18, 'Detalles movimientos'!$U$5:$U$1004, 0)), "")</f>
        <v/>
      </c>
      <c r="M27" s="18" t="str">
        <f>IFERROR(INDEX('Detalles movimientos'!S$5:S$1004, MATCH(18, 'Detalles movimientos'!$U$5:$U$1004, 0)), "")</f>
        <v/>
      </c>
    </row>
    <row r="28" spans="2:13">
      <c r="B28" s="17" t="str">
        <f>IFERROR(INDEX('Detalles movimientos'!C$5:C$1004, MATCH(19, 'Detalles movimientos'!$U$5:$U$1004, 0)), "")</f>
        <v/>
      </c>
      <c r="C28" s="18" t="str">
        <f>IFERROR(INDEX('Detalles movimientos'!D$5:D$1004, MATCH(19, 'Detalles movimientos'!$U$5:$U$1004, 0)), "")</f>
        <v/>
      </c>
      <c r="D28" s="19" t="str">
        <f>IFERROR(INDEX('Detalles movimientos'!E$5:E$1004, MATCH(19, 'Detalles movimientos'!$U$5:$U$1004, 0)), "")</f>
        <v/>
      </c>
      <c r="E28" s="19" t="str">
        <f>IFERROR(INDEX('Detalles movimientos'!F$5:F$1004, MATCH(19, 'Detalles movimientos'!$U$5:$U$1004, 0)), "")</f>
        <v/>
      </c>
      <c r="F28" s="18" t="str">
        <f>IFERROR(INDEX('Detalles movimientos'!G$5:G$1004, MATCH(19, 'Detalles movimientos'!$U$5:$U$1004, 0)), "")</f>
        <v/>
      </c>
      <c r="G28" s="20" t="str">
        <f>IFERROR(INDEX('Detalles movimientos'!H$5:H$1004, MATCH(19, 'Detalles movimientos'!$U$5:$U$1004, 0)), "")</f>
        <v/>
      </c>
      <c r="H28" s="21" t="str">
        <f>IFERROR(INDEX('Detalles movimientos'!I$5:I$1004, MATCH(19, 'Detalles movimientos'!$U$5:$U$1004, 0)), "")</f>
        <v/>
      </c>
      <c r="I28" s="20" t="str">
        <f>IFERROR(INDEX('Detalles movimientos'!M$5:M$1004, MATCH(19, 'Detalles movimientos'!$U$5:$U$1004, 0)), "")</f>
        <v/>
      </c>
      <c r="J28" s="19" t="str">
        <f>IFERROR(INDEX('Detalles movimientos'!N$5:N$1004, MATCH(19, 'Detalles movimientos'!$U$5:$U$1004, 0)), "")</f>
        <v/>
      </c>
      <c r="K28" s="20" t="str">
        <f>IFERROR(INDEX('Detalles movimientos'!O$5:O$1004, MATCH(19, 'Detalles movimientos'!$U$5:$U$1004, 0)), "")</f>
        <v/>
      </c>
      <c r="L28" s="18" t="str">
        <f>IFERROR(INDEX('Detalles movimientos'!P$5:P$1004, MATCH(19, 'Detalles movimientos'!$U$5:$U$1004, 0)), "")</f>
        <v/>
      </c>
      <c r="M28" s="18" t="str">
        <f>IFERROR(INDEX('Detalles movimientos'!S$5:S$1004, MATCH(19, 'Detalles movimientos'!$U$5:$U$1004, 0)), "")</f>
        <v/>
      </c>
    </row>
    <row r="29" spans="2:13">
      <c r="B29" s="17" t="str">
        <f>IFERROR(INDEX('Detalles movimientos'!C$5:C$1004, MATCH(20, 'Detalles movimientos'!$U$5:$U$1004, 0)), "")</f>
        <v/>
      </c>
      <c r="C29" s="18" t="str">
        <f>IFERROR(INDEX('Detalles movimientos'!D$5:D$1004, MATCH(20, 'Detalles movimientos'!$U$5:$U$1004, 0)), "")</f>
        <v/>
      </c>
      <c r="D29" s="19" t="str">
        <f>IFERROR(INDEX('Detalles movimientos'!E$5:E$1004, MATCH(20, 'Detalles movimientos'!$U$5:$U$1004, 0)), "")</f>
        <v/>
      </c>
      <c r="E29" s="19" t="str">
        <f>IFERROR(INDEX('Detalles movimientos'!F$5:F$1004, MATCH(20, 'Detalles movimientos'!$U$5:$U$1004, 0)), "")</f>
        <v/>
      </c>
      <c r="F29" s="18" t="str">
        <f>IFERROR(INDEX('Detalles movimientos'!G$5:G$1004, MATCH(20, 'Detalles movimientos'!$U$5:$U$1004, 0)), "")</f>
        <v/>
      </c>
      <c r="G29" s="20" t="str">
        <f>IFERROR(INDEX('Detalles movimientos'!H$5:H$1004, MATCH(20, 'Detalles movimientos'!$U$5:$U$1004, 0)), "")</f>
        <v/>
      </c>
      <c r="H29" s="21" t="str">
        <f>IFERROR(INDEX('Detalles movimientos'!I$5:I$1004, MATCH(20, 'Detalles movimientos'!$U$5:$U$1004, 0)), "")</f>
        <v/>
      </c>
      <c r="I29" s="20" t="str">
        <f>IFERROR(INDEX('Detalles movimientos'!M$5:M$1004, MATCH(20, 'Detalles movimientos'!$U$5:$U$1004, 0)), "")</f>
        <v/>
      </c>
      <c r="J29" s="19" t="str">
        <f>IFERROR(INDEX('Detalles movimientos'!N$5:N$1004, MATCH(20, 'Detalles movimientos'!$U$5:$U$1004, 0)), "")</f>
        <v/>
      </c>
      <c r="K29" s="20" t="str">
        <f>IFERROR(INDEX('Detalles movimientos'!O$5:O$1004, MATCH(20, 'Detalles movimientos'!$U$5:$U$1004, 0)), "")</f>
        <v/>
      </c>
      <c r="L29" s="18" t="str">
        <f>IFERROR(INDEX('Detalles movimientos'!P$5:P$1004, MATCH(20, 'Detalles movimientos'!$U$5:$U$1004, 0)), "")</f>
        <v/>
      </c>
      <c r="M29" s="18" t="str">
        <f>IFERROR(INDEX('Detalles movimientos'!S$5:S$1004, MATCH(20, 'Detalles movimientos'!$U$5:$U$1004, 0)), "")</f>
        <v/>
      </c>
    </row>
    <row r="30" spans="2:13">
      <c r="B30" s="17" t="str">
        <f>IFERROR(INDEX('Detalles movimientos'!C$5:C$1004, MATCH(21, 'Detalles movimientos'!$U$5:$U$1004, 0)), "")</f>
        <v/>
      </c>
      <c r="C30" s="18" t="str">
        <f>IFERROR(INDEX('Detalles movimientos'!D$5:D$1004, MATCH(21, 'Detalles movimientos'!$U$5:$U$1004, 0)), "")</f>
        <v/>
      </c>
      <c r="D30" s="19" t="str">
        <f>IFERROR(INDEX('Detalles movimientos'!E$5:E$1004, MATCH(21, 'Detalles movimientos'!$U$5:$U$1004, 0)), "")</f>
        <v/>
      </c>
      <c r="E30" s="19" t="str">
        <f>IFERROR(INDEX('Detalles movimientos'!F$5:F$1004, MATCH(21, 'Detalles movimientos'!$U$5:$U$1004, 0)), "")</f>
        <v/>
      </c>
      <c r="F30" s="18" t="str">
        <f>IFERROR(INDEX('Detalles movimientos'!G$5:G$1004, MATCH(21, 'Detalles movimientos'!$U$5:$U$1004, 0)), "")</f>
        <v/>
      </c>
      <c r="G30" s="20" t="str">
        <f>IFERROR(INDEX('Detalles movimientos'!H$5:H$1004, MATCH(21, 'Detalles movimientos'!$U$5:$U$1004, 0)), "")</f>
        <v/>
      </c>
      <c r="H30" s="21" t="str">
        <f>IFERROR(INDEX('Detalles movimientos'!I$5:I$1004, MATCH(21, 'Detalles movimientos'!$U$5:$U$1004, 0)), "")</f>
        <v/>
      </c>
      <c r="I30" s="20" t="str">
        <f>IFERROR(INDEX('Detalles movimientos'!M$5:M$1004, MATCH(21, 'Detalles movimientos'!$U$5:$U$1004, 0)), "")</f>
        <v/>
      </c>
      <c r="J30" s="19" t="str">
        <f>IFERROR(INDEX('Detalles movimientos'!N$5:N$1004, MATCH(21, 'Detalles movimientos'!$U$5:$U$1004, 0)), "")</f>
        <v/>
      </c>
      <c r="K30" s="20" t="str">
        <f>IFERROR(INDEX('Detalles movimientos'!O$5:O$1004, MATCH(21, 'Detalles movimientos'!$U$5:$U$1004, 0)), "")</f>
        <v/>
      </c>
      <c r="L30" s="18" t="str">
        <f>IFERROR(INDEX('Detalles movimientos'!P$5:P$1004, MATCH(21, 'Detalles movimientos'!$U$5:$U$1004, 0)), "")</f>
        <v/>
      </c>
      <c r="M30" s="18" t="str">
        <f>IFERROR(INDEX('Detalles movimientos'!S$5:S$1004, MATCH(21, 'Detalles movimientos'!$U$5:$U$1004, 0)), "")</f>
        <v/>
      </c>
    </row>
    <row r="31" spans="2:13">
      <c r="B31" s="17" t="str">
        <f>IFERROR(INDEX('Detalles movimientos'!C$5:C$1004, MATCH(22, 'Detalles movimientos'!$U$5:$U$1004, 0)), "")</f>
        <v/>
      </c>
      <c r="C31" s="18" t="str">
        <f>IFERROR(INDEX('Detalles movimientos'!D$5:D$1004, MATCH(22, 'Detalles movimientos'!$U$5:$U$1004, 0)), "")</f>
        <v/>
      </c>
      <c r="D31" s="19" t="str">
        <f>IFERROR(INDEX('Detalles movimientos'!E$5:E$1004, MATCH(22, 'Detalles movimientos'!$U$5:$U$1004, 0)), "")</f>
        <v/>
      </c>
      <c r="E31" s="19" t="str">
        <f>IFERROR(INDEX('Detalles movimientos'!F$5:F$1004, MATCH(22, 'Detalles movimientos'!$U$5:$U$1004, 0)), "")</f>
        <v/>
      </c>
      <c r="F31" s="18" t="str">
        <f>IFERROR(INDEX('Detalles movimientos'!G$5:G$1004, MATCH(22, 'Detalles movimientos'!$U$5:$U$1004, 0)), "")</f>
        <v/>
      </c>
      <c r="G31" s="20" t="str">
        <f>IFERROR(INDEX('Detalles movimientos'!H$5:H$1004, MATCH(22, 'Detalles movimientos'!$U$5:$U$1004, 0)), "")</f>
        <v/>
      </c>
      <c r="H31" s="21" t="str">
        <f>IFERROR(INDEX('Detalles movimientos'!I$5:I$1004, MATCH(22, 'Detalles movimientos'!$U$5:$U$1004, 0)), "")</f>
        <v/>
      </c>
      <c r="I31" s="20" t="str">
        <f>IFERROR(INDEX('Detalles movimientos'!M$5:M$1004, MATCH(22, 'Detalles movimientos'!$U$5:$U$1004, 0)), "")</f>
        <v/>
      </c>
      <c r="J31" s="19" t="str">
        <f>IFERROR(INDEX('Detalles movimientos'!N$5:N$1004, MATCH(22, 'Detalles movimientos'!$U$5:$U$1004, 0)), "")</f>
        <v/>
      </c>
      <c r="K31" s="20" t="str">
        <f>IFERROR(INDEX('Detalles movimientos'!O$5:O$1004, MATCH(22, 'Detalles movimientos'!$U$5:$U$1004, 0)), "")</f>
        <v/>
      </c>
      <c r="L31" s="18" t="str">
        <f>IFERROR(INDEX('Detalles movimientos'!P$5:P$1004, MATCH(22, 'Detalles movimientos'!$U$5:$U$1004, 0)), "")</f>
        <v/>
      </c>
      <c r="M31" s="18" t="str">
        <f>IFERROR(INDEX('Detalles movimientos'!S$5:S$1004, MATCH(22, 'Detalles movimientos'!$U$5:$U$1004, 0)), "")</f>
        <v/>
      </c>
    </row>
    <row r="32" spans="2:13">
      <c r="B32" s="17" t="str">
        <f>IFERROR(INDEX('Detalles movimientos'!C$5:C$1004, MATCH(23, 'Detalles movimientos'!$U$5:$U$1004, 0)), "")</f>
        <v/>
      </c>
      <c r="C32" s="18" t="str">
        <f>IFERROR(INDEX('Detalles movimientos'!D$5:D$1004, MATCH(23, 'Detalles movimientos'!$U$5:$U$1004, 0)), "")</f>
        <v/>
      </c>
      <c r="D32" s="19" t="str">
        <f>IFERROR(INDEX('Detalles movimientos'!E$5:E$1004, MATCH(23, 'Detalles movimientos'!$U$5:$U$1004, 0)), "")</f>
        <v/>
      </c>
      <c r="E32" s="19" t="str">
        <f>IFERROR(INDEX('Detalles movimientos'!F$5:F$1004, MATCH(23, 'Detalles movimientos'!$U$5:$U$1004, 0)), "")</f>
        <v/>
      </c>
      <c r="F32" s="18" t="str">
        <f>IFERROR(INDEX('Detalles movimientos'!G$5:G$1004, MATCH(23, 'Detalles movimientos'!$U$5:$U$1004, 0)), "")</f>
        <v/>
      </c>
      <c r="G32" s="20" t="str">
        <f>IFERROR(INDEX('Detalles movimientos'!H$5:H$1004, MATCH(23, 'Detalles movimientos'!$U$5:$U$1004, 0)), "")</f>
        <v/>
      </c>
      <c r="H32" s="21" t="str">
        <f>IFERROR(INDEX('Detalles movimientos'!I$5:I$1004, MATCH(23, 'Detalles movimientos'!$U$5:$U$1004, 0)), "")</f>
        <v/>
      </c>
      <c r="I32" s="20" t="str">
        <f>IFERROR(INDEX('Detalles movimientos'!M$5:M$1004, MATCH(23, 'Detalles movimientos'!$U$5:$U$1004, 0)), "")</f>
        <v/>
      </c>
      <c r="J32" s="19" t="str">
        <f>IFERROR(INDEX('Detalles movimientos'!N$5:N$1004, MATCH(23, 'Detalles movimientos'!$U$5:$U$1004, 0)), "")</f>
        <v/>
      </c>
      <c r="K32" s="20" t="str">
        <f>IFERROR(INDEX('Detalles movimientos'!O$5:O$1004, MATCH(23, 'Detalles movimientos'!$U$5:$U$1004, 0)), "")</f>
        <v/>
      </c>
      <c r="L32" s="18" t="str">
        <f>IFERROR(INDEX('Detalles movimientos'!P$5:P$1004, MATCH(23, 'Detalles movimientos'!$U$5:$U$1004, 0)), "")</f>
        <v/>
      </c>
      <c r="M32" s="18" t="str">
        <f>IFERROR(INDEX('Detalles movimientos'!S$5:S$1004, MATCH(23, 'Detalles movimientos'!$U$5:$U$1004, 0)), "")</f>
        <v/>
      </c>
    </row>
    <row r="33" spans="2:13">
      <c r="B33" s="17" t="str">
        <f>IFERROR(INDEX('Detalles movimientos'!C$5:C$1004, MATCH(24, 'Detalles movimientos'!$U$5:$U$1004, 0)), "")</f>
        <v/>
      </c>
      <c r="C33" s="18" t="str">
        <f>IFERROR(INDEX('Detalles movimientos'!D$5:D$1004, MATCH(24, 'Detalles movimientos'!$U$5:$U$1004, 0)), "")</f>
        <v/>
      </c>
      <c r="D33" s="19" t="str">
        <f>IFERROR(INDEX('Detalles movimientos'!E$5:E$1004, MATCH(24, 'Detalles movimientos'!$U$5:$U$1004, 0)), "")</f>
        <v/>
      </c>
      <c r="E33" s="19" t="str">
        <f>IFERROR(INDEX('Detalles movimientos'!F$5:F$1004, MATCH(24, 'Detalles movimientos'!$U$5:$U$1004, 0)), "")</f>
        <v/>
      </c>
      <c r="F33" s="18" t="str">
        <f>IFERROR(INDEX('Detalles movimientos'!G$5:G$1004, MATCH(24, 'Detalles movimientos'!$U$5:$U$1004, 0)), "")</f>
        <v/>
      </c>
      <c r="G33" s="20" t="str">
        <f>IFERROR(INDEX('Detalles movimientos'!H$5:H$1004, MATCH(24, 'Detalles movimientos'!$U$5:$U$1004, 0)), "")</f>
        <v/>
      </c>
      <c r="H33" s="21" t="str">
        <f>IFERROR(INDEX('Detalles movimientos'!I$5:I$1004, MATCH(24, 'Detalles movimientos'!$U$5:$U$1004, 0)), "")</f>
        <v/>
      </c>
      <c r="I33" s="20" t="str">
        <f>IFERROR(INDEX('Detalles movimientos'!M$5:M$1004, MATCH(24, 'Detalles movimientos'!$U$5:$U$1004, 0)), "")</f>
        <v/>
      </c>
      <c r="J33" s="19" t="str">
        <f>IFERROR(INDEX('Detalles movimientos'!N$5:N$1004, MATCH(24, 'Detalles movimientos'!$U$5:$U$1004, 0)), "")</f>
        <v/>
      </c>
      <c r="K33" s="20" t="str">
        <f>IFERROR(INDEX('Detalles movimientos'!O$5:O$1004, MATCH(24, 'Detalles movimientos'!$U$5:$U$1004, 0)), "")</f>
        <v/>
      </c>
      <c r="L33" s="18" t="str">
        <f>IFERROR(INDEX('Detalles movimientos'!P$5:P$1004, MATCH(24, 'Detalles movimientos'!$U$5:$U$1004, 0)), "")</f>
        <v/>
      </c>
      <c r="M33" s="18" t="str">
        <f>IFERROR(INDEX('Detalles movimientos'!S$5:S$1004, MATCH(24, 'Detalles movimientos'!$U$5:$U$1004, 0)), "")</f>
        <v/>
      </c>
    </row>
    <row r="34" spans="2:13">
      <c r="B34" s="17" t="str">
        <f>IFERROR(INDEX('Detalles movimientos'!C$5:C$1004, MATCH(25, 'Detalles movimientos'!$U$5:$U$1004, 0)), "")</f>
        <v/>
      </c>
      <c r="C34" s="18" t="str">
        <f>IFERROR(INDEX('Detalles movimientos'!D$5:D$1004, MATCH(25, 'Detalles movimientos'!$U$5:$U$1004, 0)), "")</f>
        <v/>
      </c>
      <c r="D34" s="19" t="str">
        <f>IFERROR(INDEX('Detalles movimientos'!E$5:E$1004, MATCH(25, 'Detalles movimientos'!$U$5:$U$1004, 0)), "")</f>
        <v/>
      </c>
      <c r="E34" s="19" t="str">
        <f>IFERROR(INDEX('Detalles movimientos'!F$5:F$1004, MATCH(25, 'Detalles movimientos'!$U$5:$U$1004, 0)), "")</f>
        <v/>
      </c>
      <c r="F34" s="18" t="str">
        <f>IFERROR(INDEX('Detalles movimientos'!G$5:G$1004, MATCH(25, 'Detalles movimientos'!$U$5:$U$1004, 0)), "")</f>
        <v/>
      </c>
      <c r="G34" s="20" t="str">
        <f>IFERROR(INDEX('Detalles movimientos'!H$5:H$1004, MATCH(25, 'Detalles movimientos'!$U$5:$U$1004, 0)), "")</f>
        <v/>
      </c>
      <c r="H34" s="21" t="str">
        <f>IFERROR(INDEX('Detalles movimientos'!I$5:I$1004, MATCH(25, 'Detalles movimientos'!$U$5:$U$1004, 0)), "")</f>
        <v/>
      </c>
      <c r="I34" s="20" t="str">
        <f>IFERROR(INDEX('Detalles movimientos'!M$5:M$1004, MATCH(25, 'Detalles movimientos'!$U$5:$U$1004, 0)), "")</f>
        <v/>
      </c>
      <c r="J34" s="19" t="str">
        <f>IFERROR(INDEX('Detalles movimientos'!N$5:N$1004, MATCH(25, 'Detalles movimientos'!$U$5:$U$1004, 0)), "")</f>
        <v/>
      </c>
      <c r="K34" s="20" t="str">
        <f>IFERROR(INDEX('Detalles movimientos'!O$5:O$1004, MATCH(25, 'Detalles movimientos'!$U$5:$U$1004, 0)), "")</f>
        <v/>
      </c>
      <c r="L34" s="18" t="str">
        <f>IFERROR(INDEX('Detalles movimientos'!P$5:P$1004, MATCH(25, 'Detalles movimientos'!$U$5:$U$1004, 0)), "")</f>
        <v/>
      </c>
      <c r="M34" s="18" t="str">
        <f>IFERROR(INDEX('Detalles movimientos'!S$5:S$1004, MATCH(25, 'Detalles movimientos'!$U$5:$U$1004, 0)), "")</f>
        <v/>
      </c>
    </row>
    <row r="35" spans="2:13">
      <c r="B35" s="17" t="str">
        <f>IFERROR(INDEX('Detalles movimientos'!C$5:C$1004, MATCH(26, 'Detalles movimientos'!$U$5:$U$1004, 0)), "")</f>
        <v/>
      </c>
      <c r="C35" s="18" t="str">
        <f>IFERROR(INDEX('Detalles movimientos'!D$5:D$1004, MATCH(26, 'Detalles movimientos'!$U$5:$U$1004, 0)), "")</f>
        <v/>
      </c>
      <c r="D35" s="19" t="str">
        <f>IFERROR(INDEX('Detalles movimientos'!E$5:E$1004, MATCH(26, 'Detalles movimientos'!$U$5:$U$1004, 0)), "")</f>
        <v/>
      </c>
      <c r="E35" s="19" t="str">
        <f>IFERROR(INDEX('Detalles movimientos'!F$5:F$1004, MATCH(26, 'Detalles movimientos'!$U$5:$U$1004, 0)), "")</f>
        <v/>
      </c>
      <c r="F35" s="18" t="str">
        <f>IFERROR(INDEX('Detalles movimientos'!G$5:G$1004, MATCH(26, 'Detalles movimientos'!$U$5:$U$1004, 0)), "")</f>
        <v/>
      </c>
      <c r="G35" s="20" t="str">
        <f>IFERROR(INDEX('Detalles movimientos'!H$5:H$1004, MATCH(26, 'Detalles movimientos'!$U$5:$U$1004, 0)), "")</f>
        <v/>
      </c>
      <c r="H35" s="21" t="str">
        <f>IFERROR(INDEX('Detalles movimientos'!I$5:I$1004, MATCH(26, 'Detalles movimientos'!$U$5:$U$1004, 0)), "")</f>
        <v/>
      </c>
      <c r="I35" s="20" t="str">
        <f>IFERROR(INDEX('Detalles movimientos'!M$5:M$1004, MATCH(26, 'Detalles movimientos'!$U$5:$U$1004, 0)), "")</f>
        <v/>
      </c>
      <c r="J35" s="19" t="str">
        <f>IFERROR(INDEX('Detalles movimientos'!N$5:N$1004, MATCH(26, 'Detalles movimientos'!$U$5:$U$1004, 0)), "")</f>
        <v/>
      </c>
      <c r="K35" s="20" t="str">
        <f>IFERROR(INDEX('Detalles movimientos'!O$5:O$1004, MATCH(26, 'Detalles movimientos'!$U$5:$U$1004, 0)), "")</f>
        <v/>
      </c>
      <c r="L35" s="18" t="str">
        <f>IFERROR(INDEX('Detalles movimientos'!P$5:P$1004, MATCH(26, 'Detalles movimientos'!$U$5:$U$1004, 0)), "")</f>
        <v/>
      </c>
      <c r="M35" s="18" t="str">
        <f>IFERROR(INDEX('Detalles movimientos'!S$5:S$1004, MATCH(26, 'Detalles movimientos'!$U$5:$U$1004, 0)), "")</f>
        <v/>
      </c>
    </row>
    <row r="36" spans="2:13">
      <c r="B36" s="17" t="str">
        <f>IFERROR(INDEX('Detalles movimientos'!C$5:C$1004, MATCH(27, 'Detalles movimientos'!$U$5:$U$1004, 0)), "")</f>
        <v/>
      </c>
      <c r="C36" s="18" t="str">
        <f>IFERROR(INDEX('Detalles movimientos'!D$5:D$1004, MATCH(27, 'Detalles movimientos'!$U$5:$U$1004, 0)), "")</f>
        <v/>
      </c>
      <c r="D36" s="19" t="str">
        <f>IFERROR(INDEX('Detalles movimientos'!E$5:E$1004, MATCH(27, 'Detalles movimientos'!$U$5:$U$1004, 0)), "")</f>
        <v/>
      </c>
      <c r="E36" s="19" t="str">
        <f>IFERROR(INDEX('Detalles movimientos'!F$5:F$1004, MATCH(27, 'Detalles movimientos'!$U$5:$U$1004, 0)), "")</f>
        <v/>
      </c>
      <c r="F36" s="18" t="str">
        <f>IFERROR(INDEX('Detalles movimientos'!G$5:G$1004, MATCH(27, 'Detalles movimientos'!$U$5:$U$1004, 0)), "")</f>
        <v/>
      </c>
      <c r="G36" s="20" t="str">
        <f>IFERROR(INDEX('Detalles movimientos'!H$5:H$1004, MATCH(27, 'Detalles movimientos'!$U$5:$U$1004, 0)), "")</f>
        <v/>
      </c>
      <c r="H36" s="21" t="str">
        <f>IFERROR(INDEX('Detalles movimientos'!I$5:I$1004, MATCH(27, 'Detalles movimientos'!$U$5:$U$1004, 0)), "")</f>
        <v/>
      </c>
      <c r="I36" s="20" t="str">
        <f>IFERROR(INDEX('Detalles movimientos'!M$5:M$1004, MATCH(27, 'Detalles movimientos'!$U$5:$U$1004, 0)), "")</f>
        <v/>
      </c>
      <c r="J36" s="19" t="str">
        <f>IFERROR(INDEX('Detalles movimientos'!N$5:N$1004, MATCH(27, 'Detalles movimientos'!$U$5:$U$1004, 0)), "")</f>
        <v/>
      </c>
      <c r="K36" s="20" t="str">
        <f>IFERROR(INDEX('Detalles movimientos'!O$5:O$1004, MATCH(27, 'Detalles movimientos'!$U$5:$U$1004, 0)), "")</f>
        <v/>
      </c>
      <c r="L36" s="18" t="str">
        <f>IFERROR(INDEX('Detalles movimientos'!P$5:P$1004, MATCH(27, 'Detalles movimientos'!$U$5:$U$1004, 0)), "")</f>
        <v/>
      </c>
      <c r="M36" s="18" t="str">
        <f>IFERROR(INDEX('Detalles movimientos'!S$5:S$1004, MATCH(27, 'Detalles movimientos'!$U$5:$U$1004, 0)), "")</f>
        <v/>
      </c>
    </row>
    <row r="37" spans="2:13">
      <c r="B37" s="17" t="str">
        <f>IFERROR(INDEX('Detalles movimientos'!C$5:C$1004, MATCH(28, 'Detalles movimientos'!$U$5:$U$1004, 0)), "")</f>
        <v/>
      </c>
      <c r="C37" s="18" t="str">
        <f>IFERROR(INDEX('Detalles movimientos'!D$5:D$1004, MATCH(28, 'Detalles movimientos'!$U$5:$U$1004, 0)), "")</f>
        <v/>
      </c>
      <c r="D37" s="19" t="str">
        <f>IFERROR(INDEX('Detalles movimientos'!E$5:E$1004, MATCH(28, 'Detalles movimientos'!$U$5:$U$1004, 0)), "")</f>
        <v/>
      </c>
      <c r="E37" s="19" t="str">
        <f>IFERROR(INDEX('Detalles movimientos'!F$5:F$1004, MATCH(28, 'Detalles movimientos'!$U$5:$U$1004, 0)), "")</f>
        <v/>
      </c>
      <c r="F37" s="18" t="str">
        <f>IFERROR(INDEX('Detalles movimientos'!G$5:G$1004, MATCH(28, 'Detalles movimientos'!$U$5:$U$1004, 0)), "")</f>
        <v/>
      </c>
      <c r="G37" s="20" t="str">
        <f>IFERROR(INDEX('Detalles movimientos'!H$5:H$1004, MATCH(28, 'Detalles movimientos'!$U$5:$U$1004, 0)), "")</f>
        <v/>
      </c>
      <c r="H37" s="21" t="str">
        <f>IFERROR(INDEX('Detalles movimientos'!I$5:I$1004, MATCH(28, 'Detalles movimientos'!$U$5:$U$1004, 0)), "")</f>
        <v/>
      </c>
      <c r="I37" s="20" t="str">
        <f>IFERROR(INDEX('Detalles movimientos'!M$5:M$1004, MATCH(28, 'Detalles movimientos'!$U$5:$U$1004, 0)), "")</f>
        <v/>
      </c>
      <c r="J37" s="19" t="str">
        <f>IFERROR(INDEX('Detalles movimientos'!N$5:N$1004, MATCH(28, 'Detalles movimientos'!$U$5:$U$1004, 0)), "")</f>
        <v/>
      </c>
      <c r="K37" s="20" t="str">
        <f>IFERROR(INDEX('Detalles movimientos'!O$5:O$1004, MATCH(28, 'Detalles movimientos'!$U$5:$U$1004, 0)), "")</f>
        <v/>
      </c>
      <c r="L37" s="18" t="str">
        <f>IFERROR(INDEX('Detalles movimientos'!P$5:P$1004, MATCH(28, 'Detalles movimientos'!$U$5:$U$1004, 0)), "")</f>
        <v/>
      </c>
      <c r="M37" s="18" t="str">
        <f>IFERROR(INDEX('Detalles movimientos'!S$5:S$1004, MATCH(28, 'Detalles movimientos'!$U$5:$U$1004, 0)), "")</f>
        <v/>
      </c>
    </row>
    <row r="38" spans="2:13">
      <c r="B38" s="17" t="str">
        <f>IFERROR(INDEX('Detalles movimientos'!C$5:C$1004, MATCH(29, 'Detalles movimientos'!$U$5:$U$1004, 0)), "")</f>
        <v/>
      </c>
      <c r="C38" s="18" t="str">
        <f>IFERROR(INDEX('Detalles movimientos'!D$5:D$1004, MATCH(29, 'Detalles movimientos'!$U$5:$U$1004, 0)), "")</f>
        <v/>
      </c>
      <c r="D38" s="19" t="str">
        <f>IFERROR(INDEX('Detalles movimientos'!E$5:E$1004, MATCH(29, 'Detalles movimientos'!$U$5:$U$1004, 0)), "")</f>
        <v/>
      </c>
      <c r="E38" s="19" t="str">
        <f>IFERROR(INDEX('Detalles movimientos'!F$5:F$1004, MATCH(29, 'Detalles movimientos'!$U$5:$U$1004, 0)), "")</f>
        <v/>
      </c>
      <c r="F38" s="18" t="str">
        <f>IFERROR(INDEX('Detalles movimientos'!G$5:G$1004, MATCH(29, 'Detalles movimientos'!$U$5:$U$1004, 0)), "")</f>
        <v/>
      </c>
      <c r="G38" s="20" t="str">
        <f>IFERROR(INDEX('Detalles movimientos'!H$5:H$1004, MATCH(29, 'Detalles movimientos'!$U$5:$U$1004, 0)), "")</f>
        <v/>
      </c>
      <c r="H38" s="21" t="str">
        <f>IFERROR(INDEX('Detalles movimientos'!I$5:I$1004, MATCH(29, 'Detalles movimientos'!$U$5:$U$1004, 0)), "")</f>
        <v/>
      </c>
      <c r="I38" s="20" t="str">
        <f>IFERROR(INDEX('Detalles movimientos'!M$5:M$1004, MATCH(29, 'Detalles movimientos'!$U$5:$U$1004, 0)), "")</f>
        <v/>
      </c>
      <c r="J38" s="19" t="str">
        <f>IFERROR(INDEX('Detalles movimientos'!N$5:N$1004, MATCH(29, 'Detalles movimientos'!$U$5:$U$1004, 0)), "")</f>
        <v/>
      </c>
      <c r="K38" s="20" t="str">
        <f>IFERROR(INDEX('Detalles movimientos'!O$5:O$1004, MATCH(29, 'Detalles movimientos'!$U$5:$U$1004, 0)), "")</f>
        <v/>
      </c>
      <c r="L38" s="18" t="str">
        <f>IFERROR(INDEX('Detalles movimientos'!P$5:P$1004, MATCH(29, 'Detalles movimientos'!$U$5:$U$1004, 0)), "")</f>
        <v/>
      </c>
      <c r="M38" s="18" t="str">
        <f>IFERROR(INDEX('Detalles movimientos'!S$5:S$1004, MATCH(29, 'Detalles movimientos'!$U$5:$U$1004, 0)), "")</f>
        <v/>
      </c>
    </row>
    <row r="39" spans="2:13">
      <c r="B39" s="17" t="str">
        <f>IFERROR(INDEX('Detalles movimientos'!C$5:C$1004, MATCH(30, 'Detalles movimientos'!$U$5:$U$1004, 0)), "")</f>
        <v/>
      </c>
      <c r="C39" s="18" t="str">
        <f>IFERROR(INDEX('Detalles movimientos'!D$5:D$1004, MATCH(30, 'Detalles movimientos'!$U$5:$U$1004, 0)), "")</f>
        <v/>
      </c>
      <c r="D39" s="19" t="str">
        <f>IFERROR(INDEX('Detalles movimientos'!E$5:E$1004, MATCH(30, 'Detalles movimientos'!$U$5:$U$1004, 0)), "")</f>
        <v/>
      </c>
      <c r="E39" s="19" t="str">
        <f>IFERROR(INDEX('Detalles movimientos'!F$5:F$1004, MATCH(30, 'Detalles movimientos'!$U$5:$U$1004, 0)), "")</f>
        <v/>
      </c>
      <c r="F39" s="18" t="str">
        <f>IFERROR(INDEX('Detalles movimientos'!G$5:G$1004, MATCH(30, 'Detalles movimientos'!$U$5:$U$1004, 0)), "")</f>
        <v/>
      </c>
      <c r="G39" s="20" t="str">
        <f>IFERROR(INDEX('Detalles movimientos'!H$5:H$1004, MATCH(30, 'Detalles movimientos'!$U$5:$U$1004, 0)), "")</f>
        <v/>
      </c>
      <c r="H39" s="21" t="str">
        <f>IFERROR(INDEX('Detalles movimientos'!I$5:I$1004, MATCH(30, 'Detalles movimientos'!$U$5:$U$1004, 0)), "")</f>
        <v/>
      </c>
      <c r="I39" s="20" t="str">
        <f>IFERROR(INDEX('Detalles movimientos'!M$5:M$1004, MATCH(30, 'Detalles movimientos'!$U$5:$U$1004, 0)), "")</f>
        <v/>
      </c>
      <c r="J39" s="19" t="str">
        <f>IFERROR(INDEX('Detalles movimientos'!N$5:N$1004, MATCH(30, 'Detalles movimientos'!$U$5:$U$1004, 0)), "")</f>
        <v/>
      </c>
      <c r="K39" s="20" t="str">
        <f>IFERROR(INDEX('Detalles movimientos'!O$5:O$1004, MATCH(30, 'Detalles movimientos'!$U$5:$U$1004, 0)), "")</f>
        <v/>
      </c>
      <c r="L39" s="18" t="str">
        <f>IFERROR(INDEX('Detalles movimientos'!P$5:P$1004, MATCH(30, 'Detalles movimientos'!$U$5:$U$1004, 0)), "")</f>
        <v/>
      </c>
      <c r="M39" s="18" t="str">
        <f>IFERROR(INDEX('Detalles movimientos'!S$5:S$1004, MATCH(30, 'Detalles movimientos'!$U$5:$U$1004, 0)), "")</f>
        <v/>
      </c>
    </row>
    <row r="40" spans="2:13">
      <c r="B40" s="17" t="str">
        <f>IFERROR(INDEX('Detalles movimientos'!C$5:C$1004, MATCH(31, 'Detalles movimientos'!$U$5:$U$1004, 0)), "")</f>
        <v/>
      </c>
      <c r="C40" s="18" t="str">
        <f>IFERROR(INDEX('Detalles movimientos'!D$5:D$1004, MATCH(31, 'Detalles movimientos'!$U$5:$U$1004, 0)), "")</f>
        <v/>
      </c>
      <c r="D40" s="19" t="str">
        <f>IFERROR(INDEX('Detalles movimientos'!E$5:E$1004, MATCH(31, 'Detalles movimientos'!$U$5:$U$1004, 0)), "")</f>
        <v/>
      </c>
      <c r="E40" s="19" t="str">
        <f>IFERROR(INDEX('Detalles movimientos'!F$5:F$1004, MATCH(31, 'Detalles movimientos'!$U$5:$U$1004, 0)), "")</f>
        <v/>
      </c>
      <c r="F40" s="18" t="str">
        <f>IFERROR(INDEX('Detalles movimientos'!G$5:G$1004, MATCH(31, 'Detalles movimientos'!$U$5:$U$1004, 0)), "")</f>
        <v/>
      </c>
      <c r="G40" s="20" t="str">
        <f>IFERROR(INDEX('Detalles movimientos'!H$5:H$1004, MATCH(31, 'Detalles movimientos'!$U$5:$U$1004, 0)), "")</f>
        <v/>
      </c>
      <c r="H40" s="21" t="str">
        <f>IFERROR(INDEX('Detalles movimientos'!I$5:I$1004, MATCH(31, 'Detalles movimientos'!$U$5:$U$1004, 0)), "")</f>
        <v/>
      </c>
      <c r="I40" s="20" t="str">
        <f>IFERROR(INDEX('Detalles movimientos'!M$5:M$1004, MATCH(31, 'Detalles movimientos'!$U$5:$U$1004, 0)), "")</f>
        <v/>
      </c>
      <c r="J40" s="19" t="str">
        <f>IFERROR(INDEX('Detalles movimientos'!N$5:N$1004, MATCH(31, 'Detalles movimientos'!$U$5:$U$1004, 0)), "")</f>
        <v/>
      </c>
      <c r="K40" s="20" t="str">
        <f>IFERROR(INDEX('Detalles movimientos'!O$5:O$1004, MATCH(31, 'Detalles movimientos'!$U$5:$U$1004, 0)), "")</f>
        <v/>
      </c>
      <c r="L40" s="18" t="str">
        <f>IFERROR(INDEX('Detalles movimientos'!P$5:P$1004, MATCH(31, 'Detalles movimientos'!$U$5:$U$1004, 0)), "")</f>
        <v/>
      </c>
      <c r="M40" s="18" t="str">
        <f>IFERROR(INDEX('Detalles movimientos'!S$5:S$1004, MATCH(31, 'Detalles movimientos'!$U$5:$U$1004, 0)), "")</f>
        <v/>
      </c>
    </row>
    <row r="41" spans="2:13">
      <c r="B41" s="17" t="str">
        <f>IFERROR(INDEX('Detalles movimientos'!C$5:C$1004, MATCH(32, 'Detalles movimientos'!$U$5:$U$1004, 0)), "")</f>
        <v/>
      </c>
      <c r="C41" s="18" t="str">
        <f>IFERROR(INDEX('Detalles movimientos'!D$5:D$1004, MATCH(32, 'Detalles movimientos'!$U$5:$U$1004, 0)), "")</f>
        <v/>
      </c>
      <c r="D41" s="19" t="str">
        <f>IFERROR(INDEX('Detalles movimientos'!E$5:E$1004, MATCH(32, 'Detalles movimientos'!$U$5:$U$1004, 0)), "")</f>
        <v/>
      </c>
      <c r="E41" s="19" t="str">
        <f>IFERROR(INDEX('Detalles movimientos'!F$5:F$1004, MATCH(32, 'Detalles movimientos'!$U$5:$U$1004, 0)), "")</f>
        <v/>
      </c>
      <c r="F41" s="18" t="str">
        <f>IFERROR(INDEX('Detalles movimientos'!G$5:G$1004, MATCH(32, 'Detalles movimientos'!$U$5:$U$1004, 0)), "")</f>
        <v/>
      </c>
      <c r="G41" s="20" t="str">
        <f>IFERROR(INDEX('Detalles movimientos'!H$5:H$1004, MATCH(32, 'Detalles movimientos'!$U$5:$U$1004, 0)), "")</f>
        <v/>
      </c>
      <c r="H41" s="21" t="str">
        <f>IFERROR(INDEX('Detalles movimientos'!I$5:I$1004, MATCH(32, 'Detalles movimientos'!$U$5:$U$1004, 0)), "")</f>
        <v/>
      </c>
      <c r="I41" s="20" t="str">
        <f>IFERROR(INDEX('Detalles movimientos'!M$5:M$1004, MATCH(32, 'Detalles movimientos'!$U$5:$U$1004, 0)), "")</f>
        <v/>
      </c>
      <c r="J41" s="19" t="str">
        <f>IFERROR(INDEX('Detalles movimientos'!N$5:N$1004, MATCH(32, 'Detalles movimientos'!$U$5:$U$1004, 0)), "")</f>
        <v/>
      </c>
      <c r="K41" s="20" t="str">
        <f>IFERROR(INDEX('Detalles movimientos'!O$5:O$1004, MATCH(32, 'Detalles movimientos'!$U$5:$U$1004, 0)), "")</f>
        <v/>
      </c>
      <c r="L41" s="18" t="str">
        <f>IFERROR(INDEX('Detalles movimientos'!P$5:P$1004, MATCH(32, 'Detalles movimientos'!$U$5:$U$1004, 0)), "")</f>
        <v/>
      </c>
      <c r="M41" s="18" t="str">
        <f>IFERROR(INDEX('Detalles movimientos'!S$5:S$1004, MATCH(32, 'Detalles movimientos'!$U$5:$U$1004, 0)), "")</f>
        <v/>
      </c>
    </row>
    <row r="42" spans="2:13">
      <c r="B42" s="17" t="str">
        <f>IFERROR(INDEX('Detalles movimientos'!C$5:C$1004, MATCH(33, 'Detalles movimientos'!$U$5:$U$1004, 0)), "")</f>
        <v/>
      </c>
      <c r="C42" s="18" t="str">
        <f>IFERROR(INDEX('Detalles movimientos'!D$5:D$1004, MATCH(33, 'Detalles movimientos'!$U$5:$U$1004, 0)), "")</f>
        <v/>
      </c>
      <c r="D42" s="19" t="str">
        <f>IFERROR(INDEX('Detalles movimientos'!E$5:E$1004, MATCH(33, 'Detalles movimientos'!$U$5:$U$1004, 0)), "")</f>
        <v/>
      </c>
      <c r="E42" s="19" t="str">
        <f>IFERROR(INDEX('Detalles movimientos'!F$5:F$1004, MATCH(33, 'Detalles movimientos'!$U$5:$U$1004, 0)), "")</f>
        <v/>
      </c>
      <c r="F42" s="18" t="str">
        <f>IFERROR(INDEX('Detalles movimientos'!G$5:G$1004, MATCH(33, 'Detalles movimientos'!$U$5:$U$1004, 0)), "")</f>
        <v/>
      </c>
      <c r="G42" s="20" t="str">
        <f>IFERROR(INDEX('Detalles movimientos'!H$5:H$1004, MATCH(33, 'Detalles movimientos'!$U$5:$U$1004, 0)), "")</f>
        <v/>
      </c>
      <c r="H42" s="21" t="str">
        <f>IFERROR(INDEX('Detalles movimientos'!I$5:I$1004, MATCH(33, 'Detalles movimientos'!$U$5:$U$1004, 0)), "")</f>
        <v/>
      </c>
      <c r="I42" s="20" t="str">
        <f>IFERROR(INDEX('Detalles movimientos'!M$5:M$1004, MATCH(33, 'Detalles movimientos'!$U$5:$U$1004, 0)), "")</f>
        <v/>
      </c>
      <c r="J42" s="19" t="str">
        <f>IFERROR(INDEX('Detalles movimientos'!N$5:N$1004, MATCH(33, 'Detalles movimientos'!$U$5:$U$1004, 0)), "")</f>
        <v/>
      </c>
      <c r="K42" s="20" t="str">
        <f>IFERROR(INDEX('Detalles movimientos'!O$5:O$1004, MATCH(33, 'Detalles movimientos'!$U$5:$U$1004, 0)), "")</f>
        <v/>
      </c>
      <c r="L42" s="18" t="str">
        <f>IFERROR(INDEX('Detalles movimientos'!P$5:P$1004, MATCH(33, 'Detalles movimientos'!$U$5:$U$1004, 0)), "")</f>
        <v/>
      </c>
      <c r="M42" s="18" t="str">
        <f>IFERROR(INDEX('Detalles movimientos'!S$5:S$1004, MATCH(33, 'Detalles movimientos'!$U$5:$U$1004, 0)), "")</f>
        <v/>
      </c>
    </row>
    <row r="43" spans="2:13">
      <c r="B43" s="17" t="str">
        <f>IFERROR(INDEX('Detalles movimientos'!C$5:C$1004, MATCH(34, 'Detalles movimientos'!$U$5:$U$1004, 0)), "")</f>
        <v/>
      </c>
      <c r="C43" s="18" t="str">
        <f>IFERROR(INDEX('Detalles movimientos'!D$5:D$1004, MATCH(34, 'Detalles movimientos'!$U$5:$U$1004, 0)), "")</f>
        <v/>
      </c>
      <c r="D43" s="19" t="str">
        <f>IFERROR(INDEX('Detalles movimientos'!E$5:E$1004, MATCH(34, 'Detalles movimientos'!$U$5:$U$1004, 0)), "")</f>
        <v/>
      </c>
      <c r="E43" s="19" t="str">
        <f>IFERROR(INDEX('Detalles movimientos'!F$5:F$1004, MATCH(34, 'Detalles movimientos'!$U$5:$U$1004, 0)), "")</f>
        <v/>
      </c>
      <c r="F43" s="18" t="str">
        <f>IFERROR(INDEX('Detalles movimientos'!G$5:G$1004, MATCH(34, 'Detalles movimientos'!$U$5:$U$1004, 0)), "")</f>
        <v/>
      </c>
      <c r="G43" s="20" t="str">
        <f>IFERROR(INDEX('Detalles movimientos'!H$5:H$1004, MATCH(34, 'Detalles movimientos'!$U$5:$U$1004, 0)), "")</f>
        <v/>
      </c>
      <c r="H43" s="21" t="str">
        <f>IFERROR(INDEX('Detalles movimientos'!I$5:I$1004, MATCH(34, 'Detalles movimientos'!$U$5:$U$1004, 0)), "")</f>
        <v/>
      </c>
      <c r="I43" s="20" t="str">
        <f>IFERROR(INDEX('Detalles movimientos'!M$5:M$1004, MATCH(34, 'Detalles movimientos'!$U$5:$U$1004, 0)), "")</f>
        <v/>
      </c>
      <c r="J43" s="19" t="str">
        <f>IFERROR(INDEX('Detalles movimientos'!N$5:N$1004, MATCH(34, 'Detalles movimientos'!$U$5:$U$1004, 0)), "")</f>
        <v/>
      </c>
      <c r="K43" s="20" t="str">
        <f>IFERROR(INDEX('Detalles movimientos'!O$5:O$1004, MATCH(34, 'Detalles movimientos'!$U$5:$U$1004, 0)), "")</f>
        <v/>
      </c>
      <c r="L43" s="18" t="str">
        <f>IFERROR(INDEX('Detalles movimientos'!P$5:P$1004, MATCH(34, 'Detalles movimientos'!$U$5:$U$1004, 0)), "")</f>
        <v/>
      </c>
      <c r="M43" s="18" t="str">
        <f>IFERROR(INDEX('Detalles movimientos'!S$5:S$1004, MATCH(34, 'Detalles movimientos'!$U$5:$U$1004, 0)), "")</f>
        <v/>
      </c>
    </row>
    <row r="44" spans="2:13">
      <c r="B44" s="17" t="str">
        <f>IFERROR(INDEX('Detalles movimientos'!C$5:C$1004, MATCH(35, 'Detalles movimientos'!$U$5:$U$1004, 0)), "")</f>
        <v/>
      </c>
      <c r="C44" s="18" t="str">
        <f>IFERROR(INDEX('Detalles movimientos'!D$5:D$1004, MATCH(35, 'Detalles movimientos'!$U$5:$U$1004, 0)), "")</f>
        <v/>
      </c>
      <c r="D44" s="19" t="str">
        <f>IFERROR(INDEX('Detalles movimientos'!E$5:E$1004, MATCH(35, 'Detalles movimientos'!$U$5:$U$1004, 0)), "")</f>
        <v/>
      </c>
      <c r="E44" s="19" t="str">
        <f>IFERROR(INDEX('Detalles movimientos'!F$5:F$1004, MATCH(35, 'Detalles movimientos'!$U$5:$U$1004, 0)), "")</f>
        <v/>
      </c>
      <c r="F44" s="18" t="str">
        <f>IFERROR(INDEX('Detalles movimientos'!G$5:G$1004, MATCH(35, 'Detalles movimientos'!$U$5:$U$1004, 0)), "")</f>
        <v/>
      </c>
      <c r="G44" s="20" t="str">
        <f>IFERROR(INDEX('Detalles movimientos'!H$5:H$1004, MATCH(35, 'Detalles movimientos'!$U$5:$U$1004, 0)), "")</f>
        <v/>
      </c>
      <c r="H44" s="21" t="str">
        <f>IFERROR(INDEX('Detalles movimientos'!I$5:I$1004, MATCH(35, 'Detalles movimientos'!$U$5:$U$1004, 0)), "")</f>
        <v/>
      </c>
      <c r="I44" s="20" t="str">
        <f>IFERROR(INDEX('Detalles movimientos'!M$5:M$1004, MATCH(35, 'Detalles movimientos'!$U$5:$U$1004, 0)), "")</f>
        <v/>
      </c>
      <c r="J44" s="19" t="str">
        <f>IFERROR(INDEX('Detalles movimientos'!N$5:N$1004, MATCH(35, 'Detalles movimientos'!$U$5:$U$1004, 0)), "")</f>
        <v/>
      </c>
      <c r="K44" s="20" t="str">
        <f>IFERROR(INDEX('Detalles movimientos'!O$5:O$1004, MATCH(35, 'Detalles movimientos'!$U$5:$U$1004, 0)), "")</f>
        <v/>
      </c>
      <c r="L44" s="18" t="str">
        <f>IFERROR(INDEX('Detalles movimientos'!P$5:P$1004, MATCH(35, 'Detalles movimientos'!$U$5:$U$1004, 0)), "")</f>
        <v/>
      </c>
      <c r="M44" s="18" t="str">
        <f>IFERROR(INDEX('Detalles movimientos'!S$5:S$1004, MATCH(35, 'Detalles movimientos'!$U$5:$U$1004, 0)), "")</f>
        <v/>
      </c>
    </row>
    <row r="45" spans="2:13">
      <c r="B45" s="17" t="str">
        <f>IFERROR(INDEX('Detalles movimientos'!C$5:C$1004, MATCH(36, 'Detalles movimientos'!$U$5:$U$1004, 0)), "")</f>
        <v/>
      </c>
      <c r="C45" s="18" t="str">
        <f>IFERROR(INDEX('Detalles movimientos'!D$5:D$1004, MATCH(36, 'Detalles movimientos'!$U$5:$U$1004, 0)), "")</f>
        <v/>
      </c>
      <c r="D45" s="19" t="str">
        <f>IFERROR(INDEX('Detalles movimientos'!E$5:E$1004, MATCH(36, 'Detalles movimientos'!$U$5:$U$1004, 0)), "")</f>
        <v/>
      </c>
      <c r="E45" s="19" t="str">
        <f>IFERROR(INDEX('Detalles movimientos'!F$5:F$1004, MATCH(36, 'Detalles movimientos'!$U$5:$U$1004, 0)), "")</f>
        <v/>
      </c>
      <c r="F45" s="18" t="str">
        <f>IFERROR(INDEX('Detalles movimientos'!G$5:G$1004, MATCH(36, 'Detalles movimientos'!$U$5:$U$1004, 0)), "")</f>
        <v/>
      </c>
      <c r="G45" s="20" t="str">
        <f>IFERROR(INDEX('Detalles movimientos'!H$5:H$1004, MATCH(36, 'Detalles movimientos'!$U$5:$U$1004, 0)), "")</f>
        <v/>
      </c>
      <c r="H45" s="21" t="str">
        <f>IFERROR(INDEX('Detalles movimientos'!I$5:I$1004, MATCH(36, 'Detalles movimientos'!$U$5:$U$1004, 0)), "")</f>
        <v/>
      </c>
      <c r="I45" s="20" t="str">
        <f>IFERROR(INDEX('Detalles movimientos'!M$5:M$1004, MATCH(36, 'Detalles movimientos'!$U$5:$U$1004, 0)), "")</f>
        <v/>
      </c>
      <c r="J45" s="19" t="str">
        <f>IFERROR(INDEX('Detalles movimientos'!N$5:N$1004, MATCH(36, 'Detalles movimientos'!$U$5:$U$1004, 0)), "")</f>
        <v/>
      </c>
      <c r="K45" s="20" t="str">
        <f>IFERROR(INDEX('Detalles movimientos'!O$5:O$1004, MATCH(36, 'Detalles movimientos'!$U$5:$U$1004, 0)), "")</f>
        <v/>
      </c>
      <c r="L45" s="18" t="str">
        <f>IFERROR(INDEX('Detalles movimientos'!P$5:P$1004, MATCH(36, 'Detalles movimientos'!$U$5:$U$1004, 0)), "")</f>
        <v/>
      </c>
      <c r="M45" s="18" t="str">
        <f>IFERROR(INDEX('Detalles movimientos'!S$5:S$1004, MATCH(36, 'Detalles movimientos'!$U$5:$U$1004, 0)), "")</f>
        <v/>
      </c>
    </row>
    <row r="46" spans="2:13">
      <c r="B46" s="17" t="str">
        <f>IFERROR(INDEX('Detalles movimientos'!C$5:C$1004, MATCH(37, 'Detalles movimientos'!$U$5:$U$1004, 0)), "")</f>
        <v/>
      </c>
      <c r="C46" s="18" t="str">
        <f>IFERROR(INDEX('Detalles movimientos'!D$5:D$1004, MATCH(37, 'Detalles movimientos'!$U$5:$U$1004, 0)), "")</f>
        <v/>
      </c>
      <c r="D46" s="19" t="str">
        <f>IFERROR(INDEX('Detalles movimientos'!E$5:E$1004, MATCH(37, 'Detalles movimientos'!$U$5:$U$1004, 0)), "")</f>
        <v/>
      </c>
      <c r="E46" s="19" t="str">
        <f>IFERROR(INDEX('Detalles movimientos'!F$5:F$1004, MATCH(37, 'Detalles movimientos'!$U$5:$U$1004, 0)), "")</f>
        <v/>
      </c>
      <c r="F46" s="18" t="str">
        <f>IFERROR(INDEX('Detalles movimientos'!G$5:G$1004, MATCH(37, 'Detalles movimientos'!$U$5:$U$1004, 0)), "")</f>
        <v/>
      </c>
      <c r="G46" s="20" t="str">
        <f>IFERROR(INDEX('Detalles movimientos'!H$5:H$1004, MATCH(37, 'Detalles movimientos'!$U$5:$U$1004, 0)), "")</f>
        <v/>
      </c>
      <c r="H46" s="21" t="str">
        <f>IFERROR(INDEX('Detalles movimientos'!I$5:I$1004, MATCH(37, 'Detalles movimientos'!$U$5:$U$1004, 0)), "")</f>
        <v/>
      </c>
      <c r="I46" s="20" t="str">
        <f>IFERROR(INDEX('Detalles movimientos'!M$5:M$1004, MATCH(37, 'Detalles movimientos'!$U$5:$U$1004, 0)), "")</f>
        <v/>
      </c>
      <c r="J46" s="19" t="str">
        <f>IFERROR(INDEX('Detalles movimientos'!N$5:N$1004, MATCH(37, 'Detalles movimientos'!$U$5:$U$1004, 0)), "")</f>
        <v/>
      </c>
      <c r="K46" s="20" t="str">
        <f>IFERROR(INDEX('Detalles movimientos'!O$5:O$1004, MATCH(37, 'Detalles movimientos'!$U$5:$U$1004, 0)), "")</f>
        <v/>
      </c>
      <c r="L46" s="18" t="str">
        <f>IFERROR(INDEX('Detalles movimientos'!P$5:P$1004, MATCH(37, 'Detalles movimientos'!$U$5:$U$1004, 0)), "")</f>
        <v/>
      </c>
      <c r="M46" s="18" t="str">
        <f>IFERROR(INDEX('Detalles movimientos'!S$5:S$1004, MATCH(37, 'Detalles movimientos'!$U$5:$U$1004, 0)), "")</f>
        <v/>
      </c>
    </row>
    <row r="47" spans="2:13">
      <c r="B47" s="17" t="str">
        <f>IFERROR(INDEX('Detalles movimientos'!C$5:C$1004, MATCH(38, 'Detalles movimientos'!$U$5:$U$1004, 0)), "")</f>
        <v/>
      </c>
      <c r="C47" s="18" t="str">
        <f>IFERROR(INDEX('Detalles movimientos'!D$5:D$1004, MATCH(38, 'Detalles movimientos'!$U$5:$U$1004, 0)), "")</f>
        <v/>
      </c>
      <c r="D47" s="19" t="str">
        <f>IFERROR(INDEX('Detalles movimientos'!E$5:E$1004, MATCH(38, 'Detalles movimientos'!$U$5:$U$1004, 0)), "")</f>
        <v/>
      </c>
      <c r="E47" s="19" t="str">
        <f>IFERROR(INDEX('Detalles movimientos'!F$5:F$1004, MATCH(38, 'Detalles movimientos'!$U$5:$U$1004, 0)), "")</f>
        <v/>
      </c>
      <c r="F47" s="18" t="str">
        <f>IFERROR(INDEX('Detalles movimientos'!G$5:G$1004, MATCH(38, 'Detalles movimientos'!$U$5:$U$1004, 0)), "")</f>
        <v/>
      </c>
      <c r="G47" s="20" t="str">
        <f>IFERROR(INDEX('Detalles movimientos'!H$5:H$1004, MATCH(38, 'Detalles movimientos'!$U$5:$U$1004, 0)), "")</f>
        <v/>
      </c>
      <c r="H47" s="21" t="str">
        <f>IFERROR(INDEX('Detalles movimientos'!I$5:I$1004, MATCH(38, 'Detalles movimientos'!$U$5:$U$1004, 0)), "")</f>
        <v/>
      </c>
      <c r="I47" s="20" t="str">
        <f>IFERROR(INDEX('Detalles movimientos'!M$5:M$1004, MATCH(38, 'Detalles movimientos'!$U$5:$U$1004, 0)), "")</f>
        <v/>
      </c>
      <c r="J47" s="19" t="str">
        <f>IFERROR(INDEX('Detalles movimientos'!N$5:N$1004, MATCH(38, 'Detalles movimientos'!$U$5:$U$1004, 0)), "")</f>
        <v/>
      </c>
      <c r="K47" s="20" t="str">
        <f>IFERROR(INDEX('Detalles movimientos'!O$5:O$1004, MATCH(38, 'Detalles movimientos'!$U$5:$U$1004, 0)), "")</f>
        <v/>
      </c>
      <c r="L47" s="18" t="str">
        <f>IFERROR(INDEX('Detalles movimientos'!P$5:P$1004, MATCH(38, 'Detalles movimientos'!$U$5:$U$1004, 0)), "")</f>
        <v/>
      </c>
      <c r="M47" s="18" t="str">
        <f>IFERROR(INDEX('Detalles movimientos'!S$5:S$1004, MATCH(38, 'Detalles movimientos'!$U$5:$U$1004, 0)), "")</f>
        <v/>
      </c>
    </row>
    <row r="48" spans="2:13">
      <c r="B48" s="17" t="str">
        <f>IFERROR(INDEX('Detalles movimientos'!C$5:C$1004, MATCH(39, 'Detalles movimientos'!$U$5:$U$1004, 0)), "")</f>
        <v/>
      </c>
      <c r="C48" s="18" t="str">
        <f>IFERROR(INDEX('Detalles movimientos'!D$5:D$1004, MATCH(39, 'Detalles movimientos'!$U$5:$U$1004, 0)), "")</f>
        <v/>
      </c>
      <c r="D48" s="19" t="str">
        <f>IFERROR(INDEX('Detalles movimientos'!E$5:E$1004, MATCH(39, 'Detalles movimientos'!$U$5:$U$1004, 0)), "")</f>
        <v/>
      </c>
      <c r="E48" s="19" t="str">
        <f>IFERROR(INDEX('Detalles movimientos'!F$5:F$1004, MATCH(39, 'Detalles movimientos'!$U$5:$U$1004, 0)), "")</f>
        <v/>
      </c>
      <c r="F48" s="18" t="str">
        <f>IFERROR(INDEX('Detalles movimientos'!G$5:G$1004, MATCH(39, 'Detalles movimientos'!$U$5:$U$1004, 0)), "")</f>
        <v/>
      </c>
      <c r="G48" s="20" t="str">
        <f>IFERROR(INDEX('Detalles movimientos'!H$5:H$1004, MATCH(39, 'Detalles movimientos'!$U$5:$U$1004, 0)), "")</f>
        <v/>
      </c>
      <c r="H48" s="21" t="str">
        <f>IFERROR(INDEX('Detalles movimientos'!I$5:I$1004, MATCH(39, 'Detalles movimientos'!$U$5:$U$1004, 0)), "")</f>
        <v/>
      </c>
      <c r="I48" s="20" t="str">
        <f>IFERROR(INDEX('Detalles movimientos'!M$5:M$1004, MATCH(39, 'Detalles movimientos'!$U$5:$U$1004, 0)), "")</f>
        <v/>
      </c>
      <c r="J48" s="19" t="str">
        <f>IFERROR(INDEX('Detalles movimientos'!N$5:N$1004, MATCH(39, 'Detalles movimientos'!$U$5:$U$1004, 0)), "")</f>
        <v/>
      </c>
      <c r="K48" s="20" t="str">
        <f>IFERROR(INDEX('Detalles movimientos'!O$5:O$1004, MATCH(39, 'Detalles movimientos'!$U$5:$U$1004, 0)), "")</f>
        <v/>
      </c>
      <c r="L48" s="18" t="str">
        <f>IFERROR(INDEX('Detalles movimientos'!P$5:P$1004, MATCH(39, 'Detalles movimientos'!$U$5:$U$1004, 0)), "")</f>
        <v/>
      </c>
      <c r="M48" s="18" t="str">
        <f>IFERROR(INDEX('Detalles movimientos'!S$5:S$1004, MATCH(39, 'Detalles movimientos'!$U$5:$U$1004, 0)), "")</f>
        <v/>
      </c>
    </row>
    <row r="49" spans="2:13">
      <c r="B49" s="17" t="str">
        <f>IFERROR(INDEX('Detalles movimientos'!C$5:C$1004, MATCH(40, 'Detalles movimientos'!$U$5:$U$1004, 0)), "")</f>
        <v/>
      </c>
      <c r="C49" s="18" t="str">
        <f>IFERROR(INDEX('Detalles movimientos'!D$5:D$1004, MATCH(40, 'Detalles movimientos'!$U$5:$U$1004, 0)), "")</f>
        <v/>
      </c>
      <c r="D49" s="19" t="str">
        <f>IFERROR(INDEX('Detalles movimientos'!E$5:E$1004, MATCH(40, 'Detalles movimientos'!$U$5:$U$1004, 0)), "")</f>
        <v/>
      </c>
      <c r="E49" s="19" t="str">
        <f>IFERROR(INDEX('Detalles movimientos'!F$5:F$1004, MATCH(40, 'Detalles movimientos'!$U$5:$U$1004, 0)), "")</f>
        <v/>
      </c>
      <c r="F49" s="18" t="str">
        <f>IFERROR(INDEX('Detalles movimientos'!G$5:G$1004, MATCH(40, 'Detalles movimientos'!$U$5:$U$1004, 0)), "")</f>
        <v/>
      </c>
      <c r="G49" s="20" t="str">
        <f>IFERROR(INDEX('Detalles movimientos'!H$5:H$1004, MATCH(40, 'Detalles movimientos'!$U$5:$U$1004, 0)), "")</f>
        <v/>
      </c>
      <c r="H49" s="21" t="str">
        <f>IFERROR(INDEX('Detalles movimientos'!I$5:I$1004, MATCH(40, 'Detalles movimientos'!$U$5:$U$1004, 0)), "")</f>
        <v/>
      </c>
      <c r="I49" s="20" t="str">
        <f>IFERROR(INDEX('Detalles movimientos'!M$5:M$1004, MATCH(40, 'Detalles movimientos'!$U$5:$U$1004, 0)), "")</f>
        <v/>
      </c>
      <c r="J49" s="19" t="str">
        <f>IFERROR(INDEX('Detalles movimientos'!N$5:N$1004, MATCH(40, 'Detalles movimientos'!$U$5:$U$1004, 0)), "")</f>
        <v/>
      </c>
      <c r="K49" s="20" t="str">
        <f>IFERROR(INDEX('Detalles movimientos'!O$5:O$1004, MATCH(40, 'Detalles movimientos'!$U$5:$U$1004, 0)), "")</f>
        <v/>
      </c>
      <c r="L49" s="18" t="str">
        <f>IFERROR(INDEX('Detalles movimientos'!P$5:P$1004, MATCH(40, 'Detalles movimientos'!$U$5:$U$1004, 0)), "")</f>
        <v/>
      </c>
      <c r="M49" s="18" t="str">
        <f>IFERROR(INDEX('Detalles movimientos'!S$5:S$1004, MATCH(40, 'Detalles movimientos'!$U$5:$U$1004, 0)), "")</f>
        <v/>
      </c>
    </row>
    <row r="50" spans="2:13">
      <c r="B50" s="17" t="str">
        <f>IFERROR(INDEX('Detalles movimientos'!C$5:C$1004, MATCH(41, 'Detalles movimientos'!$U$5:$U$1004, 0)), "")</f>
        <v/>
      </c>
      <c r="C50" s="18" t="str">
        <f>IFERROR(INDEX('Detalles movimientos'!D$5:D$1004, MATCH(41, 'Detalles movimientos'!$U$5:$U$1004, 0)), "")</f>
        <v/>
      </c>
      <c r="D50" s="19" t="str">
        <f>IFERROR(INDEX('Detalles movimientos'!E$5:E$1004, MATCH(41, 'Detalles movimientos'!$U$5:$U$1004, 0)), "")</f>
        <v/>
      </c>
      <c r="E50" s="19" t="str">
        <f>IFERROR(INDEX('Detalles movimientos'!F$5:F$1004, MATCH(41, 'Detalles movimientos'!$U$5:$U$1004, 0)), "")</f>
        <v/>
      </c>
      <c r="F50" s="18" t="str">
        <f>IFERROR(INDEX('Detalles movimientos'!G$5:G$1004, MATCH(41, 'Detalles movimientos'!$U$5:$U$1004, 0)), "")</f>
        <v/>
      </c>
      <c r="G50" s="20" t="str">
        <f>IFERROR(INDEX('Detalles movimientos'!H$5:H$1004, MATCH(41, 'Detalles movimientos'!$U$5:$U$1004, 0)), "")</f>
        <v/>
      </c>
      <c r="H50" s="21" t="str">
        <f>IFERROR(INDEX('Detalles movimientos'!I$5:I$1004, MATCH(41, 'Detalles movimientos'!$U$5:$U$1004, 0)), "")</f>
        <v/>
      </c>
      <c r="I50" s="20" t="str">
        <f>IFERROR(INDEX('Detalles movimientos'!M$5:M$1004, MATCH(41, 'Detalles movimientos'!$U$5:$U$1004, 0)), "")</f>
        <v/>
      </c>
      <c r="J50" s="19" t="str">
        <f>IFERROR(INDEX('Detalles movimientos'!N$5:N$1004, MATCH(41, 'Detalles movimientos'!$U$5:$U$1004, 0)), "")</f>
        <v/>
      </c>
      <c r="K50" s="20" t="str">
        <f>IFERROR(INDEX('Detalles movimientos'!O$5:O$1004, MATCH(41, 'Detalles movimientos'!$U$5:$U$1004, 0)), "")</f>
        <v/>
      </c>
      <c r="L50" s="18" t="str">
        <f>IFERROR(INDEX('Detalles movimientos'!P$5:P$1004, MATCH(41, 'Detalles movimientos'!$U$5:$U$1004, 0)), "")</f>
        <v/>
      </c>
      <c r="M50" s="18" t="str">
        <f>IFERROR(INDEX('Detalles movimientos'!S$5:S$1004, MATCH(41, 'Detalles movimientos'!$U$5:$U$1004, 0)), "")</f>
        <v/>
      </c>
    </row>
    <row r="51" spans="2:13">
      <c r="B51" s="17" t="str">
        <f>IFERROR(INDEX('Detalles movimientos'!C$5:C$1004, MATCH(42, 'Detalles movimientos'!$U$5:$U$1004, 0)), "")</f>
        <v/>
      </c>
      <c r="C51" s="18" t="str">
        <f>IFERROR(INDEX('Detalles movimientos'!D$5:D$1004, MATCH(42, 'Detalles movimientos'!$U$5:$U$1004, 0)), "")</f>
        <v/>
      </c>
      <c r="D51" s="19" t="str">
        <f>IFERROR(INDEX('Detalles movimientos'!E$5:E$1004, MATCH(42, 'Detalles movimientos'!$U$5:$U$1004, 0)), "")</f>
        <v/>
      </c>
      <c r="E51" s="19" t="str">
        <f>IFERROR(INDEX('Detalles movimientos'!F$5:F$1004, MATCH(42, 'Detalles movimientos'!$U$5:$U$1004, 0)), "")</f>
        <v/>
      </c>
      <c r="F51" s="18" t="str">
        <f>IFERROR(INDEX('Detalles movimientos'!G$5:G$1004, MATCH(42, 'Detalles movimientos'!$U$5:$U$1004, 0)), "")</f>
        <v/>
      </c>
      <c r="G51" s="20" t="str">
        <f>IFERROR(INDEX('Detalles movimientos'!H$5:H$1004, MATCH(42, 'Detalles movimientos'!$U$5:$U$1004, 0)), "")</f>
        <v/>
      </c>
      <c r="H51" s="21" t="str">
        <f>IFERROR(INDEX('Detalles movimientos'!I$5:I$1004, MATCH(42, 'Detalles movimientos'!$U$5:$U$1004, 0)), "")</f>
        <v/>
      </c>
      <c r="I51" s="20" t="str">
        <f>IFERROR(INDEX('Detalles movimientos'!M$5:M$1004, MATCH(42, 'Detalles movimientos'!$U$5:$U$1004, 0)), "")</f>
        <v/>
      </c>
      <c r="J51" s="19" t="str">
        <f>IFERROR(INDEX('Detalles movimientos'!N$5:N$1004, MATCH(42, 'Detalles movimientos'!$U$5:$U$1004, 0)), "")</f>
        <v/>
      </c>
      <c r="K51" s="20" t="str">
        <f>IFERROR(INDEX('Detalles movimientos'!O$5:O$1004, MATCH(42, 'Detalles movimientos'!$U$5:$U$1004, 0)), "")</f>
        <v/>
      </c>
      <c r="L51" s="18" t="str">
        <f>IFERROR(INDEX('Detalles movimientos'!P$5:P$1004, MATCH(42, 'Detalles movimientos'!$U$5:$U$1004, 0)), "")</f>
        <v/>
      </c>
      <c r="M51" s="18" t="str">
        <f>IFERROR(INDEX('Detalles movimientos'!S$5:S$1004, MATCH(42, 'Detalles movimientos'!$U$5:$U$1004, 0)), "")</f>
        <v/>
      </c>
    </row>
    <row r="52" spans="2:13">
      <c r="B52" s="17" t="str">
        <f>IFERROR(INDEX('Detalles movimientos'!C$5:C$1004, MATCH(43, 'Detalles movimientos'!$U$5:$U$1004, 0)), "")</f>
        <v/>
      </c>
      <c r="C52" s="18" t="str">
        <f>IFERROR(INDEX('Detalles movimientos'!D$5:D$1004, MATCH(43, 'Detalles movimientos'!$U$5:$U$1004, 0)), "")</f>
        <v/>
      </c>
      <c r="D52" s="19" t="str">
        <f>IFERROR(INDEX('Detalles movimientos'!E$5:E$1004, MATCH(43, 'Detalles movimientos'!$U$5:$U$1004, 0)), "")</f>
        <v/>
      </c>
      <c r="E52" s="19" t="str">
        <f>IFERROR(INDEX('Detalles movimientos'!F$5:F$1004, MATCH(43, 'Detalles movimientos'!$U$5:$U$1004, 0)), "")</f>
        <v/>
      </c>
      <c r="F52" s="18" t="str">
        <f>IFERROR(INDEX('Detalles movimientos'!G$5:G$1004, MATCH(43, 'Detalles movimientos'!$U$5:$U$1004, 0)), "")</f>
        <v/>
      </c>
      <c r="G52" s="20" t="str">
        <f>IFERROR(INDEX('Detalles movimientos'!H$5:H$1004, MATCH(43, 'Detalles movimientos'!$U$5:$U$1004, 0)), "")</f>
        <v/>
      </c>
      <c r="H52" s="21" t="str">
        <f>IFERROR(INDEX('Detalles movimientos'!I$5:I$1004, MATCH(43, 'Detalles movimientos'!$U$5:$U$1004, 0)), "")</f>
        <v/>
      </c>
      <c r="I52" s="20" t="str">
        <f>IFERROR(INDEX('Detalles movimientos'!M$5:M$1004, MATCH(43, 'Detalles movimientos'!$U$5:$U$1004, 0)), "")</f>
        <v/>
      </c>
      <c r="J52" s="19" t="str">
        <f>IFERROR(INDEX('Detalles movimientos'!N$5:N$1004, MATCH(43, 'Detalles movimientos'!$U$5:$U$1004, 0)), "")</f>
        <v/>
      </c>
      <c r="K52" s="20" t="str">
        <f>IFERROR(INDEX('Detalles movimientos'!O$5:O$1004, MATCH(43, 'Detalles movimientos'!$U$5:$U$1004, 0)), "")</f>
        <v/>
      </c>
      <c r="L52" s="18" t="str">
        <f>IFERROR(INDEX('Detalles movimientos'!P$5:P$1004, MATCH(43, 'Detalles movimientos'!$U$5:$U$1004, 0)), "")</f>
        <v/>
      </c>
      <c r="M52" s="18" t="str">
        <f>IFERROR(INDEX('Detalles movimientos'!S$5:S$1004, MATCH(43, 'Detalles movimientos'!$U$5:$U$1004, 0)), "")</f>
        <v/>
      </c>
    </row>
    <row r="53" spans="2:13">
      <c r="B53" s="17" t="str">
        <f>IFERROR(INDEX('Detalles movimientos'!C$5:C$1004, MATCH(44, 'Detalles movimientos'!$U$5:$U$1004, 0)), "")</f>
        <v/>
      </c>
      <c r="C53" s="18" t="str">
        <f>IFERROR(INDEX('Detalles movimientos'!D$5:D$1004, MATCH(44, 'Detalles movimientos'!$U$5:$U$1004, 0)), "")</f>
        <v/>
      </c>
      <c r="D53" s="19" t="str">
        <f>IFERROR(INDEX('Detalles movimientos'!E$5:E$1004, MATCH(44, 'Detalles movimientos'!$U$5:$U$1004, 0)), "")</f>
        <v/>
      </c>
      <c r="E53" s="19" t="str">
        <f>IFERROR(INDEX('Detalles movimientos'!F$5:F$1004, MATCH(44, 'Detalles movimientos'!$U$5:$U$1004, 0)), "")</f>
        <v/>
      </c>
      <c r="F53" s="18" t="str">
        <f>IFERROR(INDEX('Detalles movimientos'!G$5:G$1004, MATCH(44, 'Detalles movimientos'!$U$5:$U$1004, 0)), "")</f>
        <v/>
      </c>
      <c r="G53" s="20" t="str">
        <f>IFERROR(INDEX('Detalles movimientos'!H$5:H$1004, MATCH(44, 'Detalles movimientos'!$U$5:$U$1004, 0)), "")</f>
        <v/>
      </c>
      <c r="H53" s="21" t="str">
        <f>IFERROR(INDEX('Detalles movimientos'!I$5:I$1004, MATCH(44, 'Detalles movimientos'!$U$5:$U$1004, 0)), "")</f>
        <v/>
      </c>
      <c r="I53" s="20" t="str">
        <f>IFERROR(INDEX('Detalles movimientos'!M$5:M$1004, MATCH(44, 'Detalles movimientos'!$U$5:$U$1004, 0)), "")</f>
        <v/>
      </c>
      <c r="J53" s="19" t="str">
        <f>IFERROR(INDEX('Detalles movimientos'!N$5:N$1004, MATCH(44, 'Detalles movimientos'!$U$5:$U$1004, 0)), "")</f>
        <v/>
      </c>
      <c r="K53" s="20" t="str">
        <f>IFERROR(INDEX('Detalles movimientos'!O$5:O$1004, MATCH(44, 'Detalles movimientos'!$U$5:$U$1004, 0)), "")</f>
        <v/>
      </c>
      <c r="L53" s="18" t="str">
        <f>IFERROR(INDEX('Detalles movimientos'!P$5:P$1004, MATCH(44, 'Detalles movimientos'!$U$5:$U$1004, 0)), "")</f>
        <v/>
      </c>
      <c r="M53" s="18" t="str">
        <f>IFERROR(INDEX('Detalles movimientos'!S$5:S$1004, MATCH(44, 'Detalles movimientos'!$U$5:$U$1004, 0)), "")</f>
        <v/>
      </c>
    </row>
    <row r="54" spans="2:13">
      <c r="B54" s="17" t="str">
        <f>IFERROR(INDEX('Detalles movimientos'!C$5:C$1004, MATCH(45, 'Detalles movimientos'!$U$5:$U$1004, 0)), "")</f>
        <v/>
      </c>
      <c r="C54" s="18" t="str">
        <f>IFERROR(INDEX('Detalles movimientos'!D$5:D$1004, MATCH(45, 'Detalles movimientos'!$U$5:$U$1004, 0)), "")</f>
        <v/>
      </c>
      <c r="D54" s="19" t="str">
        <f>IFERROR(INDEX('Detalles movimientos'!E$5:E$1004, MATCH(45, 'Detalles movimientos'!$U$5:$U$1004, 0)), "")</f>
        <v/>
      </c>
      <c r="E54" s="19" t="str">
        <f>IFERROR(INDEX('Detalles movimientos'!F$5:F$1004, MATCH(45, 'Detalles movimientos'!$U$5:$U$1004, 0)), "")</f>
        <v/>
      </c>
      <c r="F54" s="18" t="str">
        <f>IFERROR(INDEX('Detalles movimientos'!G$5:G$1004, MATCH(45, 'Detalles movimientos'!$U$5:$U$1004, 0)), "")</f>
        <v/>
      </c>
      <c r="G54" s="20" t="str">
        <f>IFERROR(INDEX('Detalles movimientos'!H$5:H$1004, MATCH(45, 'Detalles movimientos'!$U$5:$U$1004, 0)), "")</f>
        <v/>
      </c>
      <c r="H54" s="21" t="str">
        <f>IFERROR(INDEX('Detalles movimientos'!I$5:I$1004, MATCH(45, 'Detalles movimientos'!$U$5:$U$1004, 0)), "")</f>
        <v/>
      </c>
      <c r="I54" s="20" t="str">
        <f>IFERROR(INDEX('Detalles movimientos'!M$5:M$1004, MATCH(45, 'Detalles movimientos'!$U$5:$U$1004, 0)), "")</f>
        <v/>
      </c>
      <c r="J54" s="19" t="str">
        <f>IFERROR(INDEX('Detalles movimientos'!N$5:N$1004, MATCH(45, 'Detalles movimientos'!$U$5:$U$1004, 0)), "")</f>
        <v/>
      </c>
      <c r="K54" s="20" t="str">
        <f>IFERROR(INDEX('Detalles movimientos'!O$5:O$1004, MATCH(45, 'Detalles movimientos'!$U$5:$U$1004, 0)), "")</f>
        <v/>
      </c>
      <c r="L54" s="18" t="str">
        <f>IFERROR(INDEX('Detalles movimientos'!P$5:P$1004, MATCH(45, 'Detalles movimientos'!$U$5:$U$1004, 0)), "")</f>
        <v/>
      </c>
      <c r="M54" s="18" t="str">
        <f>IFERROR(INDEX('Detalles movimientos'!S$5:S$1004, MATCH(45, 'Detalles movimientos'!$U$5:$U$1004, 0)), "")</f>
        <v/>
      </c>
    </row>
    <row r="55" spans="2:13">
      <c r="B55" s="17" t="str">
        <f>IFERROR(INDEX('Detalles movimientos'!C$5:C$1004, MATCH(46, 'Detalles movimientos'!$U$5:$U$1004, 0)), "")</f>
        <v/>
      </c>
      <c r="C55" s="18" t="str">
        <f>IFERROR(INDEX('Detalles movimientos'!D$5:D$1004, MATCH(46, 'Detalles movimientos'!$U$5:$U$1004, 0)), "")</f>
        <v/>
      </c>
      <c r="D55" s="19" t="str">
        <f>IFERROR(INDEX('Detalles movimientos'!E$5:E$1004, MATCH(46, 'Detalles movimientos'!$U$5:$U$1004, 0)), "")</f>
        <v/>
      </c>
      <c r="E55" s="19" t="str">
        <f>IFERROR(INDEX('Detalles movimientos'!F$5:F$1004, MATCH(46, 'Detalles movimientos'!$U$5:$U$1004, 0)), "")</f>
        <v/>
      </c>
      <c r="F55" s="18" t="str">
        <f>IFERROR(INDEX('Detalles movimientos'!G$5:G$1004, MATCH(46, 'Detalles movimientos'!$U$5:$U$1004, 0)), "")</f>
        <v/>
      </c>
      <c r="G55" s="20" t="str">
        <f>IFERROR(INDEX('Detalles movimientos'!H$5:H$1004, MATCH(46, 'Detalles movimientos'!$U$5:$U$1004, 0)), "")</f>
        <v/>
      </c>
      <c r="H55" s="21" t="str">
        <f>IFERROR(INDEX('Detalles movimientos'!I$5:I$1004, MATCH(46, 'Detalles movimientos'!$U$5:$U$1004, 0)), "")</f>
        <v/>
      </c>
      <c r="I55" s="20" t="str">
        <f>IFERROR(INDEX('Detalles movimientos'!M$5:M$1004, MATCH(46, 'Detalles movimientos'!$U$5:$U$1004, 0)), "")</f>
        <v/>
      </c>
      <c r="J55" s="19" t="str">
        <f>IFERROR(INDEX('Detalles movimientos'!N$5:N$1004, MATCH(46, 'Detalles movimientos'!$U$5:$U$1004, 0)), "")</f>
        <v/>
      </c>
      <c r="K55" s="20" t="str">
        <f>IFERROR(INDEX('Detalles movimientos'!O$5:O$1004, MATCH(46, 'Detalles movimientos'!$U$5:$U$1004, 0)), "")</f>
        <v/>
      </c>
      <c r="L55" s="18" t="str">
        <f>IFERROR(INDEX('Detalles movimientos'!P$5:P$1004, MATCH(46, 'Detalles movimientos'!$U$5:$U$1004, 0)), "")</f>
        <v/>
      </c>
      <c r="M55" s="18" t="str">
        <f>IFERROR(INDEX('Detalles movimientos'!S$5:S$1004, MATCH(46, 'Detalles movimientos'!$U$5:$U$1004, 0)), "")</f>
        <v/>
      </c>
    </row>
    <row r="56" spans="2:13">
      <c r="B56" s="17" t="str">
        <f>IFERROR(INDEX('Detalles movimientos'!C$5:C$1004, MATCH(47, 'Detalles movimientos'!$U$5:$U$1004, 0)), "")</f>
        <v/>
      </c>
      <c r="C56" s="18" t="str">
        <f>IFERROR(INDEX('Detalles movimientos'!D$5:D$1004, MATCH(47, 'Detalles movimientos'!$U$5:$U$1004, 0)), "")</f>
        <v/>
      </c>
      <c r="D56" s="19" t="str">
        <f>IFERROR(INDEX('Detalles movimientos'!E$5:E$1004, MATCH(47, 'Detalles movimientos'!$U$5:$U$1004, 0)), "")</f>
        <v/>
      </c>
      <c r="E56" s="19" t="str">
        <f>IFERROR(INDEX('Detalles movimientos'!F$5:F$1004, MATCH(47, 'Detalles movimientos'!$U$5:$U$1004, 0)), "")</f>
        <v/>
      </c>
      <c r="F56" s="18" t="str">
        <f>IFERROR(INDEX('Detalles movimientos'!G$5:G$1004, MATCH(47, 'Detalles movimientos'!$U$5:$U$1004, 0)), "")</f>
        <v/>
      </c>
      <c r="G56" s="20" t="str">
        <f>IFERROR(INDEX('Detalles movimientos'!H$5:H$1004, MATCH(47, 'Detalles movimientos'!$U$5:$U$1004, 0)), "")</f>
        <v/>
      </c>
      <c r="H56" s="21" t="str">
        <f>IFERROR(INDEX('Detalles movimientos'!I$5:I$1004, MATCH(47, 'Detalles movimientos'!$U$5:$U$1004, 0)), "")</f>
        <v/>
      </c>
      <c r="I56" s="20" t="str">
        <f>IFERROR(INDEX('Detalles movimientos'!M$5:M$1004, MATCH(47, 'Detalles movimientos'!$U$5:$U$1004, 0)), "")</f>
        <v/>
      </c>
      <c r="J56" s="19" t="str">
        <f>IFERROR(INDEX('Detalles movimientos'!N$5:N$1004, MATCH(47, 'Detalles movimientos'!$U$5:$U$1004, 0)), "")</f>
        <v/>
      </c>
      <c r="K56" s="20" t="str">
        <f>IFERROR(INDEX('Detalles movimientos'!O$5:O$1004, MATCH(47, 'Detalles movimientos'!$U$5:$U$1004, 0)), "")</f>
        <v/>
      </c>
      <c r="L56" s="18" t="str">
        <f>IFERROR(INDEX('Detalles movimientos'!P$5:P$1004, MATCH(47, 'Detalles movimientos'!$U$5:$U$1004, 0)), "")</f>
        <v/>
      </c>
      <c r="M56" s="18" t="str">
        <f>IFERROR(INDEX('Detalles movimientos'!S$5:S$1004, MATCH(47, 'Detalles movimientos'!$U$5:$U$1004, 0)), "")</f>
        <v/>
      </c>
    </row>
    <row r="57" spans="2:13">
      <c r="B57" s="17" t="str">
        <f>IFERROR(INDEX('Detalles movimientos'!C$5:C$1004, MATCH(48, 'Detalles movimientos'!$U$5:$U$1004, 0)), "")</f>
        <v/>
      </c>
      <c r="C57" s="18" t="str">
        <f>IFERROR(INDEX('Detalles movimientos'!D$5:D$1004, MATCH(48, 'Detalles movimientos'!$U$5:$U$1004, 0)), "")</f>
        <v/>
      </c>
      <c r="D57" s="19" t="str">
        <f>IFERROR(INDEX('Detalles movimientos'!E$5:E$1004, MATCH(48, 'Detalles movimientos'!$U$5:$U$1004, 0)), "")</f>
        <v/>
      </c>
      <c r="E57" s="19" t="str">
        <f>IFERROR(INDEX('Detalles movimientos'!F$5:F$1004, MATCH(48, 'Detalles movimientos'!$U$5:$U$1004, 0)), "")</f>
        <v/>
      </c>
      <c r="F57" s="18" t="str">
        <f>IFERROR(INDEX('Detalles movimientos'!G$5:G$1004, MATCH(48, 'Detalles movimientos'!$U$5:$U$1004, 0)), "")</f>
        <v/>
      </c>
      <c r="G57" s="20" t="str">
        <f>IFERROR(INDEX('Detalles movimientos'!H$5:H$1004, MATCH(48, 'Detalles movimientos'!$U$5:$U$1004, 0)), "")</f>
        <v/>
      </c>
      <c r="H57" s="21" t="str">
        <f>IFERROR(INDEX('Detalles movimientos'!I$5:I$1004, MATCH(48, 'Detalles movimientos'!$U$5:$U$1004, 0)), "")</f>
        <v/>
      </c>
      <c r="I57" s="20" t="str">
        <f>IFERROR(INDEX('Detalles movimientos'!M$5:M$1004, MATCH(48, 'Detalles movimientos'!$U$5:$U$1004, 0)), "")</f>
        <v/>
      </c>
      <c r="J57" s="19" t="str">
        <f>IFERROR(INDEX('Detalles movimientos'!N$5:N$1004, MATCH(48, 'Detalles movimientos'!$U$5:$U$1004, 0)), "")</f>
        <v/>
      </c>
      <c r="K57" s="20" t="str">
        <f>IFERROR(INDEX('Detalles movimientos'!O$5:O$1004, MATCH(48, 'Detalles movimientos'!$U$5:$U$1004, 0)), "")</f>
        <v/>
      </c>
      <c r="L57" s="18" t="str">
        <f>IFERROR(INDEX('Detalles movimientos'!P$5:P$1004, MATCH(48, 'Detalles movimientos'!$U$5:$U$1004, 0)), "")</f>
        <v/>
      </c>
      <c r="M57" s="18" t="str">
        <f>IFERROR(INDEX('Detalles movimientos'!S$5:S$1004, MATCH(48, 'Detalles movimientos'!$U$5:$U$1004, 0)), "")</f>
        <v/>
      </c>
    </row>
    <row r="58" spans="2:13">
      <c r="B58" s="17" t="str">
        <f>IFERROR(INDEX('Detalles movimientos'!C$5:C$1004, MATCH(49, 'Detalles movimientos'!$U$5:$U$1004, 0)), "")</f>
        <v/>
      </c>
      <c r="C58" s="18" t="str">
        <f>IFERROR(INDEX('Detalles movimientos'!D$5:D$1004, MATCH(49, 'Detalles movimientos'!$U$5:$U$1004, 0)), "")</f>
        <v/>
      </c>
      <c r="D58" s="19" t="str">
        <f>IFERROR(INDEX('Detalles movimientos'!E$5:E$1004, MATCH(49, 'Detalles movimientos'!$U$5:$U$1004, 0)), "")</f>
        <v/>
      </c>
      <c r="E58" s="19" t="str">
        <f>IFERROR(INDEX('Detalles movimientos'!F$5:F$1004, MATCH(49, 'Detalles movimientos'!$U$5:$U$1004, 0)), "")</f>
        <v/>
      </c>
      <c r="F58" s="18" t="str">
        <f>IFERROR(INDEX('Detalles movimientos'!G$5:G$1004, MATCH(49, 'Detalles movimientos'!$U$5:$U$1004, 0)), "")</f>
        <v/>
      </c>
      <c r="G58" s="20" t="str">
        <f>IFERROR(INDEX('Detalles movimientos'!H$5:H$1004, MATCH(49, 'Detalles movimientos'!$U$5:$U$1004, 0)), "")</f>
        <v/>
      </c>
      <c r="H58" s="21" t="str">
        <f>IFERROR(INDEX('Detalles movimientos'!I$5:I$1004, MATCH(49, 'Detalles movimientos'!$U$5:$U$1004, 0)), "")</f>
        <v/>
      </c>
      <c r="I58" s="20" t="str">
        <f>IFERROR(INDEX('Detalles movimientos'!M$5:M$1004, MATCH(49, 'Detalles movimientos'!$U$5:$U$1004, 0)), "")</f>
        <v/>
      </c>
      <c r="J58" s="19" t="str">
        <f>IFERROR(INDEX('Detalles movimientos'!N$5:N$1004, MATCH(49, 'Detalles movimientos'!$U$5:$U$1004, 0)), "")</f>
        <v/>
      </c>
      <c r="K58" s="20" t="str">
        <f>IFERROR(INDEX('Detalles movimientos'!O$5:O$1004, MATCH(49, 'Detalles movimientos'!$U$5:$U$1004, 0)), "")</f>
        <v/>
      </c>
      <c r="L58" s="18" t="str">
        <f>IFERROR(INDEX('Detalles movimientos'!P$5:P$1004, MATCH(49, 'Detalles movimientos'!$U$5:$U$1004, 0)), "")</f>
        <v/>
      </c>
      <c r="M58" s="18" t="str">
        <f>IFERROR(INDEX('Detalles movimientos'!S$5:S$1004, MATCH(49, 'Detalles movimientos'!$U$5:$U$1004, 0)), "")</f>
        <v/>
      </c>
    </row>
    <row r="59" spans="2:13">
      <c r="B59" s="17" t="str">
        <f>IFERROR(INDEX('Detalles movimientos'!C$5:C$1004, MATCH(50, 'Detalles movimientos'!$U$5:$U$1004, 0)), "")</f>
        <v/>
      </c>
      <c r="C59" s="18" t="str">
        <f>IFERROR(INDEX('Detalles movimientos'!D$5:D$1004, MATCH(50, 'Detalles movimientos'!$U$5:$U$1004, 0)), "")</f>
        <v/>
      </c>
      <c r="D59" s="19" t="str">
        <f>IFERROR(INDEX('Detalles movimientos'!E$5:E$1004, MATCH(50, 'Detalles movimientos'!$U$5:$U$1004, 0)), "")</f>
        <v/>
      </c>
      <c r="E59" s="19" t="str">
        <f>IFERROR(INDEX('Detalles movimientos'!F$5:F$1004, MATCH(50, 'Detalles movimientos'!$U$5:$U$1004, 0)), "")</f>
        <v/>
      </c>
      <c r="F59" s="18" t="str">
        <f>IFERROR(INDEX('Detalles movimientos'!G$5:G$1004, MATCH(50, 'Detalles movimientos'!$U$5:$U$1004, 0)), "")</f>
        <v/>
      </c>
      <c r="G59" s="20" t="str">
        <f>IFERROR(INDEX('Detalles movimientos'!H$5:H$1004, MATCH(50, 'Detalles movimientos'!$U$5:$U$1004, 0)), "")</f>
        <v/>
      </c>
      <c r="H59" s="21" t="str">
        <f>IFERROR(INDEX('Detalles movimientos'!I$5:I$1004, MATCH(50, 'Detalles movimientos'!$U$5:$U$1004, 0)), "")</f>
        <v/>
      </c>
      <c r="I59" s="20" t="str">
        <f>IFERROR(INDEX('Detalles movimientos'!M$5:M$1004, MATCH(50, 'Detalles movimientos'!$U$5:$U$1004, 0)), "")</f>
        <v/>
      </c>
      <c r="J59" s="19" t="str">
        <f>IFERROR(INDEX('Detalles movimientos'!N$5:N$1004, MATCH(50, 'Detalles movimientos'!$U$5:$U$1004, 0)), "")</f>
        <v/>
      </c>
      <c r="K59" s="20" t="str">
        <f>IFERROR(INDEX('Detalles movimientos'!O$5:O$1004, MATCH(50, 'Detalles movimientos'!$U$5:$U$1004, 0)), "")</f>
        <v/>
      </c>
      <c r="L59" s="18" t="str">
        <f>IFERROR(INDEX('Detalles movimientos'!P$5:P$1004, MATCH(50, 'Detalles movimientos'!$U$5:$U$1004, 0)), "")</f>
        <v/>
      </c>
      <c r="M59" s="18" t="str">
        <f>IFERROR(INDEX('Detalles movimientos'!S$5:S$1004, MATCH(50, 'Detalles movimientos'!$U$5:$U$1004, 0)), "")</f>
        <v/>
      </c>
    </row>
    <row r="60" spans="2:13">
      <c r="B60" s="17" t="str">
        <f>IFERROR(INDEX('Detalles movimientos'!C$5:C$1004, MATCH(51, 'Detalles movimientos'!$U$5:$U$1004, 0)), "")</f>
        <v/>
      </c>
      <c r="C60" s="18" t="str">
        <f>IFERROR(INDEX('Detalles movimientos'!D$5:D$1004, MATCH(51, 'Detalles movimientos'!$U$5:$U$1004, 0)), "")</f>
        <v/>
      </c>
      <c r="D60" s="19" t="str">
        <f>IFERROR(INDEX('Detalles movimientos'!E$5:E$1004, MATCH(51, 'Detalles movimientos'!$U$5:$U$1004, 0)), "")</f>
        <v/>
      </c>
      <c r="E60" s="19" t="str">
        <f>IFERROR(INDEX('Detalles movimientos'!F$5:F$1004, MATCH(51, 'Detalles movimientos'!$U$5:$U$1004, 0)), "")</f>
        <v/>
      </c>
      <c r="F60" s="18" t="str">
        <f>IFERROR(INDEX('Detalles movimientos'!G$5:G$1004, MATCH(51, 'Detalles movimientos'!$U$5:$U$1004, 0)), "")</f>
        <v/>
      </c>
      <c r="G60" s="20" t="str">
        <f>IFERROR(INDEX('Detalles movimientos'!H$5:H$1004, MATCH(51, 'Detalles movimientos'!$U$5:$U$1004, 0)), "")</f>
        <v/>
      </c>
      <c r="H60" s="21" t="str">
        <f>IFERROR(INDEX('Detalles movimientos'!I$5:I$1004, MATCH(51, 'Detalles movimientos'!$U$5:$U$1004, 0)), "")</f>
        <v/>
      </c>
      <c r="I60" s="20" t="str">
        <f>IFERROR(INDEX('Detalles movimientos'!M$5:M$1004, MATCH(51, 'Detalles movimientos'!$U$5:$U$1004, 0)), "")</f>
        <v/>
      </c>
      <c r="J60" s="19" t="str">
        <f>IFERROR(INDEX('Detalles movimientos'!N$5:N$1004, MATCH(51, 'Detalles movimientos'!$U$5:$U$1004, 0)), "")</f>
        <v/>
      </c>
      <c r="K60" s="20" t="str">
        <f>IFERROR(INDEX('Detalles movimientos'!O$5:O$1004, MATCH(51, 'Detalles movimientos'!$U$5:$U$1004, 0)), "")</f>
        <v/>
      </c>
      <c r="L60" s="18" t="str">
        <f>IFERROR(INDEX('Detalles movimientos'!P$5:P$1004, MATCH(51, 'Detalles movimientos'!$U$5:$U$1004, 0)), "")</f>
        <v/>
      </c>
      <c r="M60" s="18" t="str">
        <f>IFERROR(INDEX('Detalles movimientos'!S$5:S$1004, MATCH(51, 'Detalles movimientos'!$U$5:$U$1004, 0)), "")</f>
        <v/>
      </c>
    </row>
    <row r="61" spans="2:13">
      <c r="B61" s="17" t="str">
        <f>IFERROR(INDEX('Detalles movimientos'!C$5:C$1004, MATCH(52, 'Detalles movimientos'!$U$5:$U$1004, 0)), "")</f>
        <v/>
      </c>
      <c r="C61" s="18" t="str">
        <f>IFERROR(INDEX('Detalles movimientos'!D$5:D$1004, MATCH(52, 'Detalles movimientos'!$U$5:$U$1004, 0)), "")</f>
        <v/>
      </c>
      <c r="D61" s="19" t="str">
        <f>IFERROR(INDEX('Detalles movimientos'!E$5:E$1004, MATCH(52, 'Detalles movimientos'!$U$5:$U$1004, 0)), "")</f>
        <v/>
      </c>
      <c r="E61" s="19" t="str">
        <f>IFERROR(INDEX('Detalles movimientos'!F$5:F$1004, MATCH(52, 'Detalles movimientos'!$U$5:$U$1004, 0)), "")</f>
        <v/>
      </c>
      <c r="F61" s="18" t="str">
        <f>IFERROR(INDEX('Detalles movimientos'!G$5:G$1004, MATCH(52, 'Detalles movimientos'!$U$5:$U$1004, 0)), "")</f>
        <v/>
      </c>
      <c r="G61" s="20" t="str">
        <f>IFERROR(INDEX('Detalles movimientos'!H$5:H$1004, MATCH(52, 'Detalles movimientos'!$U$5:$U$1004, 0)), "")</f>
        <v/>
      </c>
      <c r="H61" s="21" t="str">
        <f>IFERROR(INDEX('Detalles movimientos'!I$5:I$1004, MATCH(52, 'Detalles movimientos'!$U$5:$U$1004, 0)), "")</f>
        <v/>
      </c>
      <c r="I61" s="20" t="str">
        <f>IFERROR(INDEX('Detalles movimientos'!M$5:M$1004, MATCH(52, 'Detalles movimientos'!$U$5:$U$1004, 0)), "")</f>
        <v/>
      </c>
      <c r="J61" s="19" t="str">
        <f>IFERROR(INDEX('Detalles movimientos'!N$5:N$1004, MATCH(52, 'Detalles movimientos'!$U$5:$U$1004, 0)), "")</f>
        <v/>
      </c>
      <c r="K61" s="20" t="str">
        <f>IFERROR(INDEX('Detalles movimientos'!O$5:O$1004, MATCH(52, 'Detalles movimientos'!$U$5:$U$1004, 0)), "")</f>
        <v/>
      </c>
      <c r="L61" s="18" t="str">
        <f>IFERROR(INDEX('Detalles movimientos'!P$5:P$1004, MATCH(52, 'Detalles movimientos'!$U$5:$U$1004, 0)), "")</f>
        <v/>
      </c>
      <c r="M61" s="18" t="str">
        <f>IFERROR(INDEX('Detalles movimientos'!S$5:S$1004, MATCH(52, 'Detalles movimientos'!$U$5:$U$1004, 0)), "")</f>
        <v/>
      </c>
    </row>
    <row r="62" spans="2:13">
      <c r="B62" s="17" t="str">
        <f>IFERROR(INDEX('Detalles movimientos'!C$5:C$1004, MATCH(53, 'Detalles movimientos'!$U$5:$U$1004, 0)), "")</f>
        <v/>
      </c>
      <c r="C62" s="18" t="str">
        <f>IFERROR(INDEX('Detalles movimientos'!D$5:D$1004, MATCH(53, 'Detalles movimientos'!$U$5:$U$1004, 0)), "")</f>
        <v/>
      </c>
      <c r="D62" s="19" t="str">
        <f>IFERROR(INDEX('Detalles movimientos'!E$5:E$1004, MATCH(53, 'Detalles movimientos'!$U$5:$U$1004, 0)), "")</f>
        <v/>
      </c>
      <c r="E62" s="19" t="str">
        <f>IFERROR(INDEX('Detalles movimientos'!F$5:F$1004, MATCH(53, 'Detalles movimientos'!$U$5:$U$1004, 0)), "")</f>
        <v/>
      </c>
      <c r="F62" s="18" t="str">
        <f>IFERROR(INDEX('Detalles movimientos'!G$5:G$1004, MATCH(53, 'Detalles movimientos'!$U$5:$U$1004, 0)), "")</f>
        <v/>
      </c>
      <c r="G62" s="20" t="str">
        <f>IFERROR(INDEX('Detalles movimientos'!H$5:H$1004, MATCH(53, 'Detalles movimientos'!$U$5:$U$1004, 0)), "")</f>
        <v/>
      </c>
      <c r="H62" s="21" t="str">
        <f>IFERROR(INDEX('Detalles movimientos'!I$5:I$1004, MATCH(53, 'Detalles movimientos'!$U$5:$U$1004, 0)), "")</f>
        <v/>
      </c>
      <c r="I62" s="20" t="str">
        <f>IFERROR(INDEX('Detalles movimientos'!M$5:M$1004, MATCH(53, 'Detalles movimientos'!$U$5:$U$1004, 0)), "")</f>
        <v/>
      </c>
      <c r="J62" s="19" t="str">
        <f>IFERROR(INDEX('Detalles movimientos'!N$5:N$1004, MATCH(53, 'Detalles movimientos'!$U$5:$U$1004, 0)), "")</f>
        <v/>
      </c>
      <c r="K62" s="20" t="str">
        <f>IFERROR(INDEX('Detalles movimientos'!O$5:O$1004, MATCH(53, 'Detalles movimientos'!$U$5:$U$1004, 0)), "")</f>
        <v/>
      </c>
      <c r="L62" s="18" t="str">
        <f>IFERROR(INDEX('Detalles movimientos'!P$5:P$1004, MATCH(53, 'Detalles movimientos'!$U$5:$U$1004, 0)), "")</f>
        <v/>
      </c>
      <c r="M62" s="18" t="str">
        <f>IFERROR(INDEX('Detalles movimientos'!S$5:S$1004, MATCH(53, 'Detalles movimientos'!$U$5:$U$1004, 0)), "")</f>
        <v/>
      </c>
    </row>
    <row r="63" spans="2:13">
      <c r="B63" s="17" t="str">
        <f>IFERROR(INDEX('Detalles movimientos'!C$5:C$1004, MATCH(54, 'Detalles movimientos'!$U$5:$U$1004, 0)), "")</f>
        <v/>
      </c>
      <c r="C63" s="18" t="str">
        <f>IFERROR(INDEX('Detalles movimientos'!D$5:D$1004, MATCH(54, 'Detalles movimientos'!$U$5:$U$1004, 0)), "")</f>
        <v/>
      </c>
      <c r="D63" s="19" t="str">
        <f>IFERROR(INDEX('Detalles movimientos'!E$5:E$1004, MATCH(54, 'Detalles movimientos'!$U$5:$U$1004, 0)), "")</f>
        <v/>
      </c>
      <c r="E63" s="19" t="str">
        <f>IFERROR(INDEX('Detalles movimientos'!F$5:F$1004, MATCH(54, 'Detalles movimientos'!$U$5:$U$1004, 0)), "")</f>
        <v/>
      </c>
      <c r="F63" s="18" t="str">
        <f>IFERROR(INDEX('Detalles movimientos'!G$5:G$1004, MATCH(54, 'Detalles movimientos'!$U$5:$U$1004, 0)), "")</f>
        <v/>
      </c>
      <c r="G63" s="20" t="str">
        <f>IFERROR(INDEX('Detalles movimientos'!H$5:H$1004, MATCH(54, 'Detalles movimientos'!$U$5:$U$1004, 0)), "")</f>
        <v/>
      </c>
      <c r="H63" s="21" t="str">
        <f>IFERROR(INDEX('Detalles movimientos'!I$5:I$1004, MATCH(54, 'Detalles movimientos'!$U$5:$U$1004, 0)), "")</f>
        <v/>
      </c>
      <c r="I63" s="20" t="str">
        <f>IFERROR(INDEX('Detalles movimientos'!M$5:M$1004, MATCH(54, 'Detalles movimientos'!$U$5:$U$1004, 0)), "")</f>
        <v/>
      </c>
      <c r="J63" s="19" t="str">
        <f>IFERROR(INDEX('Detalles movimientos'!N$5:N$1004, MATCH(54, 'Detalles movimientos'!$U$5:$U$1004, 0)), "")</f>
        <v/>
      </c>
      <c r="K63" s="20" t="str">
        <f>IFERROR(INDEX('Detalles movimientos'!O$5:O$1004, MATCH(54, 'Detalles movimientos'!$U$5:$U$1004, 0)), "")</f>
        <v/>
      </c>
      <c r="L63" s="18" t="str">
        <f>IFERROR(INDEX('Detalles movimientos'!P$5:P$1004, MATCH(54, 'Detalles movimientos'!$U$5:$U$1004, 0)), "")</f>
        <v/>
      </c>
      <c r="M63" s="18" t="str">
        <f>IFERROR(INDEX('Detalles movimientos'!S$5:S$1004, MATCH(54, 'Detalles movimientos'!$U$5:$U$1004, 0)), "")</f>
        <v/>
      </c>
    </row>
    <row r="64" spans="2:13">
      <c r="B64" s="17" t="str">
        <f>IFERROR(INDEX('Detalles movimientos'!C$5:C$1004, MATCH(55, 'Detalles movimientos'!$U$5:$U$1004, 0)), "")</f>
        <v/>
      </c>
      <c r="C64" s="18" t="str">
        <f>IFERROR(INDEX('Detalles movimientos'!D$5:D$1004, MATCH(55, 'Detalles movimientos'!$U$5:$U$1004, 0)), "")</f>
        <v/>
      </c>
      <c r="D64" s="19" t="str">
        <f>IFERROR(INDEX('Detalles movimientos'!E$5:E$1004, MATCH(55, 'Detalles movimientos'!$U$5:$U$1004, 0)), "")</f>
        <v/>
      </c>
      <c r="E64" s="19" t="str">
        <f>IFERROR(INDEX('Detalles movimientos'!F$5:F$1004, MATCH(55, 'Detalles movimientos'!$U$5:$U$1004, 0)), "")</f>
        <v/>
      </c>
      <c r="F64" s="18" t="str">
        <f>IFERROR(INDEX('Detalles movimientos'!G$5:G$1004, MATCH(55, 'Detalles movimientos'!$U$5:$U$1004, 0)), "")</f>
        <v/>
      </c>
      <c r="G64" s="20" t="str">
        <f>IFERROR(INDEX('Detalles movimientos'!H$5:H$1004, MATCH(55, 'Detalles movimientos'!$U$5:$U$1004, 0)), "")</f>
        <v/>
      </c>
      <c r="H64" s="21" t="str">
        <f>IFERROR(INDEX('Detalles movimientos'!I$5:I$1004, MATCH(55, 'Detalles movimientos'!$U$5:$U$1004, 0)), "")</f>
        <v/>
      </c>
      <c r="I64" s="20" t="str">
        <f>IFERROR(INDEX('Detalles movimientos'!M$5:M$1004, MATCH(55, 'Detalles movimientos'!$U$5:$U$1004, 0)), "")</f>
        <v/>
      </c>
      <c r="J64" s="19" t="str">
        <f>IFERROR(INDEX('Detalles movimientos'!N$5:N$1004, MATCH(55, 'Detalles movimientos'!$U$5:$U$1004, 0)), "")</f>
        <v/>
      </c>
      <c r="K64" s="20" t="str">
        <f>IFERROR(INDEX('Detalles movimientos'!O$5:O$1004, MATCH(55, 'Detalles movimientos'!$U$5:$U$1004, 0)), "")</f>
        <v/>
      </c>
      <c r="L64" s="18" t="str">
        <f>IFERROR(INDEX('Detalles movimientos'!P$5:P$1004, MATCH(55, 'Detalles movimientos'!$U$5:$U$1004, 0)), "")</f>
        <v/>
      </c>
      <c r="M64" s="18" t="str">
        <f>IFERROR(INDEX('Detalles movimientos'!S$5:S$1004, MATCH(55, 'Detalles movimientos'!$U$5:$U$1004, 0)), "")</f>
        <v/>
      </c>
    </row>
    <row r="65" spans="2:13">
      <c r="B65" s="17" t="str">
        <f>IFERROR(INDEX('Detalles movimientos'!C$5:C$1004, MATCH(56, 'Detalles movimientos'!$U$5:$U$1004, 0)), "")</f>
        <v/>
      </c>
      <c r="C65" s="18" t="str">
        <f>IFERROR(INDEX('Detalles movimientos'!D$5:D$1004, MATCH(56, 'Detalles movimientos'!$U$5:$U$1004, 0)), "")</f>
        <v/>
      </c>
      <c r="D65" s="19" t="str">
        <f>IFERROR(INDEX('Detalles movimientos'!E$5:E$1004, MATCH(56, 'Detalles movimientos'!$U$5:$U$1004, 0)), "")</f>
        <v/>
      </c>
      <c r="E65" s="19" t="str">
        <f>IFERROR(INDEX('Detalles movimientos'!F$5:F$1004, MATCH(56, 'Detalles movimientos'!$U$5:$U$1004, 0)), "")</f>
        <v/>
      </c>
      <c r="F65" s="18" t="str">
        <f>IFERROR(INDEX('Detalles movimientos'!G$5:G$1004, MATCH(56, 'Detalles movimientos'!$U$5:$U$1004, 0)), "")</f>
        <v/>
      </c>
      <c r="G65" s="20" t="str">
        <f>IFERROR(INDEX('Detalles movimientos'!H$5:H$1004, MATCH(56, 'Detalles movimientos'!$U$5:$U$1004, 0)), "")</f>
        <v/>
      </c>
      <c r="H65" s="21" t="str">
        <f>IFERROR(INDEX('Detalles movimientos'!I$5:I$1004, MATCH(56, 'Detalles movimientos'!$U$5:$U$1004, 0)), "")</f>
        <v/>
      </c>
      <c r="I65" s="20" t="str">
        <f>IFERROR(INDEX('Detalles movimientos'!M$5:M$1004, MATCH(56, 'Detalles movimientos'!$U$5:$U$1004, 0)), "")</f>
        <v/>
      </c>
      <c r="J65" s="19" t="str">
        <f>IFERROR(INDEX('Detalles movimientos'!N$5:N$1004, MATCH(56, 'Detalles movimientos'!$U$5:$U$1004, 0)), "")</f>
        <v/>
      </c>
      <c r="K65" s="20" t="str">
        <f>IFERROR(INDEX('Detalles movimientos'!O$5:O$1004, MATCH(56, 'Detalles movimientos'!$U$5:$U$1004, 0)), "")</f>
        <v/>
      </c>
      <c r="L65" s="18" t="str">
        <f>IFERROR(INDEX('Detalles movimientos'!P$5:P$1004, MATCH(56, 'Detalles movimientos'!$U$5:$U$1004, 0)), "")</f>
        <v/>
      </c>
      <c r="M65" s="18" t="str">
        <f>IFERROR(INDEX('Detalles movimientos'!S$5:S$1004, MATCH(56, 'Detalles movimientos'!$U$5:$U$1004, 0)), "")</f>
        <v/>
      </c>
    </row>
    <row r="66" spans="2:13">
      <c r="B66" s="17" t="str">
        <f>IFERROR(INDEX('Detalles movimientos'!C$5:C$1004, MATCH(57, 'Detalles movimientos'!$U$5:$U$1004, 0)), "")</f>
        <v/>
      </c>
      <c r="C66" s="18" t="str">
        <f>IFERROR(INDEX('Detalles movimientos'!D$5:D$1004, MATCH(57, 'Detalles movimientos'!$U$5:$U$1004, 0)), "")</f>
        <v/>
      </c>
      <c r="D66" s="19" t="str">
        <f>IFERROR(INDEX('Detalles movimientos'!E$5:E$1004, MATCH(57, 'Detalles movimientos'!$U$5:$U$1004, 0)), "")</f>
        <v/>
      </c>
      <c r="E66" s="19" t="str">
        <f>IFERROR(INDEX('Detalles movimientos'!F$5:F$1004, MATCH(57, 'Detalles movimientos'!$U$5:$U$1004, 0)), "")</f>
        <v/>
      </c>
      <c r="F66" s="18" t="str">
        <f>IFERROR(INDEX('Detalles movimientos'!G$5:G$1004, MATCH(57, 'Detalles movimientos'!$U$5:$U$1004, 0)), "")</f>
        <v/>
      </c>
      <c r="G66" s="20" t="str">
        <f>IFERROR(INDEX('Detalles movimientos'!H$5:H$1004, MATCH(57, 'Detalles movimientos'!$U$5:$U$1004, 0)), "")</f>
        <v/>
      </c>
      <c r="H66" s="21" t="str">
        <f>IFERROR(INDEX('Detalles movimientos'!I$5:I$1004, MATCH(57, 'Detalles movimientos'!$U$5:$U$1004, 0)), "")</f>
        <v/>
      </c>
      <c r="I66" s="20" t="str">
        <f>IFERROR(INDEX('Detalles movimientos'!M$5:M$1004, MATCH(57, 'Detalles movimientos'!$U$5:$U$1004, 0)), "")</f>
        <v/>
      </c>
      <c r="J66" s="19" t="str">
        <f>IFERROR(INDEX('Detalles movimientos'!N$5:N$1004, MATCH(57, 'Detalles movimientos'!$U$5:$U$1004, 0)), "")</f>
        <v/>
      </c>
      <c r="K66" s="20" t="str">
        <f>IFERROR(INDEX('Detalles movimientos'!O$5:O$1004, MATCH(57, 'Detalles movimientos'!$U$5:$U$1004, 0)), "")</f>
        <v/>
      </c>
      <c r="L66" s="18" t="str">
        <f>IFERROR(INDEX('Detalles movimientos'!P$5:P$1004, MATCH(57, 'Detalles movimientos'!$U$5:$U$1004, 0)), "")</f>
        <v/>
      </c>
      <c r="M66" s="18" t="str">
        <f>IFERROR(INDEX('Detalles movimientos'!S$5:S$1004, MATCH(57, 'Detalles movimientos'!$U$5:$U$1004, 0)), "")</f>
        <v/>
      </c>
    </row>
    <row r="67" spans="2:13">
      <c r="B67" s="17" t="str">
        <f>IFERROR(INDEX('Detalles movimientos'!C$5:C$1004, MATCH(58, 'Detalles movimientos'!$U$5:$U$1004, 0)), "")</f>
        <v/>
      </c>
      <c r="C67" s="18" t="str">
        <f>IFERROR(INDEX('Detalles movimientos'!D$5:D$1004, MATCH(58, 'Detalles movimientos'!$U$5:$U$1004, 0)), "")</f>
        <v/>
      </c>
      <c r="D67" s="19" t="str">
        <f>IFERROR(INDEX('Detalles movimientos'!E$5:E$1004, MATCH(58, 'Detalles movimientos'!$U$5:$U$1004, 0)), "")</f>
        <v/>
      </c>
      <c r="E67" s="19" t="str">
        <f>IFERROR(INDEX('Detalles movimientos'!F$5:F$1004, MATCH(58, 'Detalles movimientos'!$U$5:$U$1004, 0)), "")</f>
        <v/>
      </c>
      <c r="F67" s="18" t="str">
        <f>IFERROR(INDEX('Detalles movimientos'!G$5:G$1004, MATCH(58, 'Detalles movimientos'!$U$5:$U$1004, 0)), "")</f>
        <v/>
      </c>
      <c r="G67" s="20" t="str">
        <f>IFERROR(INDEX('Detalles movimientos'!H$5:H$1004, MATCH(58, 'Detalles movimientos'!$U$5:$U$1004, 0)), "")</f>
        <v/>
      </c>
      <c r="H67" s="21" t="str">
        <f>IFERROR(INDEX('Detalles movimientos'!I$5:I$1004, MATCH(58, 'Detalles movimientos'!$U$5:$U$1004, 0)), "")</f>
        <v/>
      </c>
      <c r="I67" s="20" t="str">
        <f>IFERROR(INDEX('Detalles movimientos'!M$5:M$1004, MATCH(58, 'Detalles movimientos'!$U$5:$U$1004, 0)), "")</f>
        <v/>
      </c>
      <c r="J67" s="19" t="str">
        <f>IFERROR(INDEX('Detalles movimientos'!N$5:N$1004, MATCH(58, 'Detalles movimientos'!$U$5:$U$1004, 0)), "")</f>
        <v/>
      </c>
      <c r="K67" s="20" t="str">
        <f>IFERROR(INDEX('Detalles movimientos'!O$5:O$1004, MATCH(58, 'Detalles movimientos'!$U$5:$U$1004, 0)), "")</f>
        <v/>
      </c>
      <c r="L67" s="18" t="str">
        <f>IFERROR(INDEX('Detalles movimientos'!P$5:P$1004, MATCH(58, 'Detalles movimientos'!$U$5:$U$1004, 0)), "")</f>
        <v/>
      </c>
      <c r="M67" s="18" t="str">
        <f>IFERROR(INDEX('Detalles movimientos'!S$5:S$1004, MATCH(58, 'Detalles movimientos'!$U$5:$U$1004, 0)), "")</f>
        <v/>
      </c>
    </row>
    <row r="68" spans="2:13">
      <c r="B68" s="17" t="str">
        <f>IFERROR(INDEX('Detalles movimientos'!C$5:C$1004, MATCH(59, 'Detalles movimientos'!$U$5:$U$1004, 0)), "")</f>
        <v/>
      </c>
      <c r="C68" s="18" t="str">
        <f>IFERROR(INDEX('Detalles movimientos'!D$5:D$1004, MATCH(59, 'Detalles movimientos'!$U$5:$U$1004, 0)), "")</f>
        <v/>
      </c>
      <c r="D68" s="19" t="str">
        <f>IFERROR(INDEX('Detalles movimientos'!E$5:E$1004, MATCH(59, 'Detalles movimientos'!$U$5:$U$1004, 0)), "")</f>
        <v/>
      </c>
      <c r="E68" s="19" t="str">
        <f>IFERROR(INDEX('Detalles movimientos'!F$5:F$1004, MATCH(59, 'Detalles movimientos'!$U$5:$U$1004, 0)), "")</f>
        <v/>
      </c>
      <c r="F68" s="18" t="str">
        <f>IFERROR(INDEX('Detalles movimientos'!G$5:G$1004, MATCH(59, 'Detalles movimientos'!$U$5:$U$1004, 0)), "")</f>
        <v/>
      </c>
      <c r="G68" s="20" t="str">
        <f>IFERROR(INDEX('Detalles movimientos'!H$5:H$1004, MATCH(59, 'Detalles movimientos'!$U$5:$U$1004, 0)), "")</f>
        <v/>
      </c>
      <c r="H68" s="21" t="str">
        <f>IFERROR(INDEX('Detalles movimientos'!I$5:I$1004, MATCH(59, 'Detalles movimientos'!$U$5:$U$1004, 0)), "")</f>
        <v/>
      </c>
      <c r="I68" s="20" t="str">
        <f>IFERROR(INDEX('Detalles movimientos'!M$5:M$1004, MATCH(59, 'Detalles movimientos'!$U$5:$U$1004, 0)), "")</f>
        <v/>
      </c>
      <c r="J68" s="19" t="str">
        <f>IFERROR(INDEX('Detalles movimientos'!N$5:N$1004, MATCH(59, 'Detalles movimientos'!$U$5:$U$1004, 0)), "")</f>
        <v/>
      </c>
      <c r="K68" s="20" t="str">
        <f>IFERROR(INDEX('Detalles movimientos'!O$5:O$1004, MATCH(59, 'Detalles movimientos'!$U$5:$U$1004, 0)), "")</f>
        <v/>
      </c>
      <c r="L68" s="18" t="str">
        <f>IFERROR(INDEX('Detalles movimientos'!P$5:P$1004, MATCH(59, 'Detalles movimientos'!$U$5:$U$1004, 0)), "")</f>
        <v/>
      </c>
      <c r="M68" s="18" t="str">
        <f>IFERROR(INDEX('Detalles movimientos'!S$5:S$1004, MATCH(59, 'Detalles movimientos'!$U$5:$U$1004, 0)), "")</f>
        <v/>
      </c>
    </row>
    <row r="69" spans="2:13">
      <c r="B69" s="17" t="str">
        <f>IFERROR(INDEX('Detalles movimientos'!C$5:C$1004, MATCH(60, 'Detalles movimientos'!$U$5:$U$1004, 0)), "")</f>
        <v/>
      </c>
      <c r="C69" s="18" t="str">
        <f>IFERROR(INDEX('Detalles movimientos'!D$5:D$1004, MATCH(60, 'Detalles movimientos'!$U$5:$U$1004, 0)), "")</f>
        <v/>
      </c>
      <c r="D69" s="19" t="str">
        <f>IFERROR(INDEX('Detalles movimientos'!E$5:E$1004, MATCH(60, 'Detalles movimientos'!$U$5:$U$1004, 0)), "")</f>
        <v/>
      </c>
      <c r="E69" s="19" t="str">
        <f>IFERROR(INDEX('Detalles movimientos'!F$5:F$1004, MATCH(60, 'Detalles movimientos'!$U$5:$U$1004, 0)), "")</f>
        <v/>
      </c>
      <c r="F69" s="18" t="str">
        <f>IFERROR(INDEX('Detalles movimientos'!G$5:G$1004, MATCH(60, 'Detalles movimientos'!$U$5:$U$1004, 0)), "")</f>
        <v/>
      </c>
      <c r="G69" s="20" t="str">
        <f>IFERROR(INDEX('Detalles movimientos'!H$5:H$1004, MATCH(60, 'Detalles movimientos'!$U$5:$U$1004, 0)), "")</f>
        <v/>
      </c>
      <c r="H69" s="21" t="str">
        <f>IFERROR(INDEX('Detalles movimientos'!I$5:I$1004, MATCH(60, 'Detalles movimientos'!$U$5:$U$1004, 0)), "")</f>
        <v/>
      </c>
      <c r="I69" s="20" t="str">
        <f>IFERROR(INDEX('Detalles movimientos'!M$5:M$1004, MATCH(60, 'Detalles movimientos'!$U$5:$U$1004, 0)), "")</f>
        <v/>
      </c>
      <c r="J69" s="19" t="str">
        <f>IFERROR(INDEX('Detalles movimientos'!N$5:N$1004, MATCH(60, 'Detalles movimientos'!$U$5:$U$1004, 0)), "")</f>
        <v/>
      </c>
      <c r="K69" s="20" t="str">
        <f>IFERROR(INDEX('Detalles movimientos'!O$5:O$1004, MATCH(60, 'Detalles movimientos'!$U$5:$U$1004, 0)), "")</f>
        <v/>
      </c>
      <c r="L69" s="18" t="str">
        <f>IFERROR(INDEX('Detalles movimientos'!P$5:P$1004, MATCH(60, 'Detalles movimientos'!$U$5:$U$1004, 0)), "")</f>
        <v/>
      </c>
      <c r="M69" s="18" t="str">
        <f>IFERROR(INDEX('Detalles movimientos'!S$5:S$1004, MATCH(60, 'Detalles movimientos'!$U$5:$U$1004, 0)), "")</f>
        <v/>
      </c>
    </row>
    <row r="70" spans="2:13">
      <c r="B70" s="17" t="str">
        <f>IFERROR(INDEX('Detalles movimientos'!C$5:C$1004, MATCH(61, 'Detalles movimientos'!$U$5:$U$1004, 0)), "")</f>
        <v/>
      </c>
      <c r="C70" s="18" t="str">
        <f>IFERROR(INDEX('Detalles movimientos'!D$5:D$1004, MATCH(61, 'Detalles movimientos'!$U$5:$U$1004, 0)), "")</f>
        <v/>
      </c>
      <c r="D70" s="19" t="str">
        <f>IFERROR(INDEX('Detalles movimientos'!E$5:E$1004, MATCH(61, 'Detalles movimientos'!$U$5:$U$1004, 0)), "")</f>
        <v/>
      </c>
      <c r="E70" s="19" t="str">
        <f>IFERROR(INDEX('Detalles movimientos'!F$5:F$1004, MATCH(61, 'Detalles movimientos'!$U$5:$U$1004, 0)), "")</f>
        <v/>
      </c>
      <c r="F70" s="18" t="str">
        <f>IFERROR(INDEX('Detalles movimientos'!G$5:G$1004, MATCH(61, 'Detalles movimientos'!$U$5:$U$1004, 0)), "")</f>
        <v/>
      </c>
      <c r="G70" s="20" t="str">
        <f>IFERROR(INDEX('Detalles movimientos'!H$5:H$1004, MATCH(61, 'Detalles movimientos'!$U$5:$U$1004, 0)), "")</f>
        <v/>
      </c>
      <c r="H70" s="21" t="str">
        <f>IFERROR(INDEX('Detalles movimientos'!I$5:I$1004, MATCH(61, 'Detalles movimientos'!$U$5:$U$1004, 0)), "")</f>
        <v/>
      </c>
      <c r="I70" s="20" t="str">
        <f>IFERROR(INDEX('Detalles movimientos'!M$5:M$1004, MATCH(61, 'Detalles movimientos'!$U$5:$U$1004, 0)), "")</f>
        <v/>
      </c>
      <c r="J70" s="19" t="str">
        <f>IFERROR(INDEX('Detalles movimientos'!N$5:N$1004, MATCH(61, 'Detalles movimientos'!$U$5:$U$1004, 0)), "")</f>
        <v/>
      </c>
      <c r="K70" s="20" t="str">
        <f>IFERROR(INDEX('Detalles movimientos'!O$5:O$1004, MATCH(61, 'Detalles movimientos'!$U$5:$U$1004, 0)), "")</f>
        <v/>
      </c>
      <c r="L70" s="18" t="str">
        <f>IFERROR(INDEX('Detalles movimientos'!P$5:P$1004, MATCH(61, 'Detalles movimientos'!$U$5:$U$1004, 0)), "")</f>
        <v/>
      </c>
      <c r="M70" s="18" t="str">
        <f>IFERROR(INDEX('Detalles movimientos'!S$5:S$1004, MATCH(61, 'Detalles movimientos'!$U$5:$U$1004, 0)), "")</f>
        <v/>
      </c>
    </row>
    <row r="71" spans="2:13">
      <c r="B71" s="17" t="str">
        <f>IFERROR(INDEX('Detalles movimientos'!C$5:C$1004, MATCH(62, 'Detalles movimientos'!$U$5:$U$1004, 0)), "")</f>
        <v/>
      </c>
      <c r="C71" s="18" t="str">
        <f>IFERROR(INDEX('Detalles movimientos'!D$5:D$1004, MATCH(62, 'Detalles movimientos'!$U$5:$U$1004, 0)), "")</f>
        <v/>
      </c>
      <c r="D71" s="19" t="str">
        <f>IFERROR(INDEX('Detalles movimientos'!E$5:E$1004, MATCH(62, 'Detalles movimientos'!$U$5:$U$1004, 0)), "")</f>
        <v/>
      </c>
      <c r="E71" s="19" t="str">
        <f>IFERROR(INDEX('Detalles movimientos'!F$5:F$1004, MATCH(62, 'Detalles movimientos'!$U$5:$U$1004, 0)), "")</f>
        <v/>
      </c>
      <c r="F71" s="18" t="str">
        <f>IFERROR(INDEX('Detalles movimientos'!G$5:G$1004, MATCH(62, 'Detalles movimientos'!$U$5:$U$1004, 0)), "")</f>
        <v/>
      </c>
      <c r="G71" s="20" t="str">
        <f>IFERROR(INDEX('Detalles movimientos'!H$5:H$1004, MATCH(62, 'Detalles movimientos'!$U$5:$U$1004, 0)), "")</f>
        <v/>
      </c>
      <c r="H71" s="21" t="str">
        <f>IFERROR(INDEX('Detalles movimientos'!I$5:I$1004, MATCH(62, 'Detalles movimientos'!$U$5:$U$1004, 0)), "")</f>
        <v/>
      </c>
      <c r="I71" s="20" t="str">
        <f>IFERROR(INDEX('Detalles movimientos'!M$5:M$1004, MATCH(62, 'Detalles movimientos'!$U$5:$U$1004, 0)), "")</f>
        <v/>
      </c>
      <c r="J71" s="19" t="str">
        <f>IFERROR(INDEX('Detalles movimientos'!N$5:N$1004, MATCH(62, 'Detalles movimientos'!$U$5:$U$1004, 0)), "")</f>
        <v/>
      </c>
      <c r="K71" s="20" t="str">
        <f>IFERROR(INDEX('Detalles movimientos'!O$5:O$1004, MATCH(62, 'Detalles movimientos'!$U$5:$U$1004, 0)), "")</f>
        <v/>
      </c>
      <c r="L71" s="18" t="str">
        <f>IFERROR(INDEX('Detalles movimientos'!P$5:P$1004, MATCH(62, 'Detalles movimientos'!$U$5:$U$1004, 0)), "")</f>
        <v/>
      </c>
      <c r="M71" s="18" t="str">
        <f>IFERROR(INDEX('Detalles movimientos'!S$5:S$1004, MATCH(62, 'Detalles movimientos'!$U$5:$U$1004, 0)), "")</f>
        <v/>
      </c>
    </row>
    <row r="72" spans="2:13">
      <c r="B72" s="17" t="str">
        <f>IFERROR(INDEX('Detalles movimientos'!C$5:C$1004, MATCH(63, 'Detalles movimientos'!$U$5:$U$1004, 0)), "")</f>
        <v/>
      </c>
      <c r="C72" s="18" t="str">
        <f>IFERROR(INDEX('Detalles movimientos'!D$5:D$1004, MATCH(63, 'Detalles movimientos'!$U$5:$U$1004, 0)), "")</f>
        <v/>
      </c>
      <c r="D72" s="19" t="str">
        <f>IFERROR(INDEX('Detalles movimientos'!E$5:E$1004, MATCH(63, 'Detalles movimientos'!$U$5:$U$1004, 0)), "")</f>
        <v/>
      </c>
      <c r="E72" s="19" t="str">
        <f>IFERROR(INDEX('Detalles movimientos'!F$5:F$1004, MATCH(63, 'Detalles movimientos'!$U$5:$U$1004, 0)), "")</f>
        <v/>
      </c>
      <c r="F72" s="18" t="str">
        <f>IFERROR(INDEX('Detalles movimientos'!G$5:G$1004, MATCH(63, 'Detalles movimientos'!$U$5:$U$1004, 0)), "")</f>
        <v/>
      </c>
      <c r="G72" s="20" t="str">
        <f>IFERROR(INDEX('Detalles movimientos'!H$5:H$1004, MATCH(63, 'Detalles movimientos'!$U$5:$U$1004, 0)), "")</f>
        <v/>
      </c>
      <c r="H72" s="21" t="str">
        <f>IFERROR(INDEX('Detalles movimientos'!I$5:I$1004, MATCH(63, 'Detalles movimientos'!$U$5:$U$1004, 0)), "")</f>
        <v/>
      </c>
      <c r="I72" s="20" t="str">
        <f>IFERROR(INDEX('Detalles movimientos'!M$5:M$1004, MATCH(63, 'Detalles movimientos'!$U$5:$U$1004, 0)), "")</f>
        <v/>
      </c>
      <c r="J72" s="19" t="str">
        <f>IFERROR(INDEX('Detalles movimientos'!N$5:N$1004, MATCH(63, 'Detalles movimientos'!$U$5:$U$1004, 0)), "")</f>
        <v/>
      </c>
      <c r="K72" s="20" t="str">
        <f>IFERROR(INDEX('Detalles movimientos'!O$5:O$1004, MATCH(63, 'Detalles movimientos'!$U$5:$U$1004, 0)), "")</f>
        <v/>
      </c>
      <c r="L72" s="18" t="str">
        <f>IFERROR(INDEX('Detalles movimientos'!P$5:P$1004, MATCH(63, 'Detalles movimientos'!$U$5:$U$1004, 0)), "")</f>
        <v/>
      </c>
      <c r="M72" s="18" t="str">
        <f>IFERROR(INDEX('Detalles movimientos'!S$5:S$1004, MATCH(63, 'Detalles movimientos'!$U$5:$U$1004, 0)), "")</f>
        <v/>
      </c>
    </row>
    <row r="73" spans="2:13">
      <c r="B73" s="17" t="str">
        <f>IFERROR(INDEX('Detalles movimientos'!C$5:C$1004, MATCH(64, 'Detalles movimientos'!$U$5:$U$1004, 0)), "")</f>
        <v/>
      </c>
      <c r="C73" s="18" t="str">
        <f>IFERROR(INDEX('Detalles movimientos'!D$5:D$1004, MATCH(64, 'Detalles movimientos'!$U$5:$U$1004, 0)), "")</f>
        <v/>
      </c>
      <c r="D73" s="19" t="str">
        <f>IFERROR(INDEX('Detalles movimientos'!E$5:E$1004, MATCH(64, 'Detalles movimientos'!$U$5:$U$1004, 0)), "")</f>
        <v/>
      </c>
      <c r="E73" s="19" t="str">
        <f>IFERROR(INDEX('Detalles movimientos'!F$5:F$1004, MATCH(64, 'Detalles movimientos'!$U$5:$U$1004, 0)), "")</f>
        <v/>
      </c>
      <c r="F73" s="18" t="str">
        <f>IFERROR(INDEX('Detalles movimientos'!G$5:G$1004, MATCH(64, 'Detalles movimientos'!$U$5:$U$1004, 0)), "")</f>
        <v/>
      </c>
      <c r="G73" s="20" t="str">
        <f>IFERROR(INDEX('Detalles movimientos'!H$5:H$1004, MATCH(64, 'Detalles movimientos'!$U$5:$U$1004, 0)), "")</f>
        <v/>
      </c>
      <c r="H73" s="21" t="str">
        <f>IFERROR(INDEX('Detalles movimientos'!I$5:I$1004, MATCH(64, 'Detalles movimientos'!$U$5:$U$1004, 0)), "")</f>
        <v/>
      </c>
      <c r="I73" s="20" t="str">
        <f>IFERROR(INDEX('Detalles movimientos'!M$5:M$1004, MATCH(64, 'Detalles movimientos'!$U$5:$U$1004, 0)), "")</f>
        <v/>
      </c>
      <c r="J73" s="19" t="str">
        <f>IFERROR(INDEX('Detalles movimientos'!N$5:N$1004, MATCH(64, 'Detalles movimientos'!$U$5:$U$1004, 0)), "")</f>
        <v/>
      </c>
      <c r="K73" s="20" t="str">
        <f>IFERROR(INDEX('Detalles movimientos'!O$5:O$1004, MATCH(64, 'Detalles movimientos'!$U$5:$U$1004, 0)), "")</f>
        <v/>
      </c>
      <c r="L73" s="18" t="str">
        <f>IFERROR(INDEX('Detalles movimientos'!P$5:P$1004, MATCH(64, 'Detalles movimientos'!$U$5:$U$1004, 0)), "")</f>
        <v/>
      </c>
      <c r="M73" s="18" t="str">
        <f>IFERROR(INDEX('Detalles movimientos'!S$5:S$1004, MATCH(64, 'Detalles movimientos'!$U$5:$U$1004, 0)), "")</f>
        <v/>
      </c>
    </row>
    <row r="74" spans="2:13">
      <c r="B74" s="17" t="str">
        <f>IFERROR(INDEX('Detalles movimientos'!C$5:C$1004, MATCH(65, 'Detalles movimientos'!$U$5:$U$1004, 0)), "")</f>
        <v/>
      </c>
      <c r="C74" s="18" t="str">
        <f>IFERROR(INDEX('Detalles movimientos'!D$5:D$1004, MATCH(65, 'Detalles movimientos'!$U$5:$U$1004, 0)), "")</f>
        <v/>
      </c>
      <c r="D74" s="19" t="str">
        <f>IFERROR(INDEX('Detalles movimientos'!E$5:E$1004, MATCH(65, 'Detalles movimientos'!$U$5:$U$1004, 0)), "")</f>
        <v/>
      </c>
      <c r="E74" s="19" t="str">
        <f>IFERROR(INDEX('Detalles movimientos'!F$5:F$1004, MATCH(65, 'Detalles movimientos'!$U$5:$U$1004, 0)), "")</f>
        <v/>
      </c>
      <c r="F74" s="18" t="str">
        <f>IFERROR(INDEX('Detalles movimientos'!G$5:G$1004, MATCH(65, 'Detalles movimientos'!$U$5:$U$1004, 0)), "")</f>
        <v/>
      </c>
      <c r="G74" s="20" t="str">
        <f>IFERROR(INDEX('Detalles movimientos'!H$5:H$1004, MATCH(65, 'Detalles movimientos'!$U$5:$U$1004, 0)), "")</f>
        <v/>
      </c>
      <c r="H74" s="21" t="str">
        <f>IFERROR(INDEX('Detalles movimientos'!I$5:I$1004, MATCH(65, 'Detalles movimientos'!$U$5:$U$1004, 0)), "")</f>
        <v/>
      </c>
      <c r="I74" s="20" t="str">
        <f>IFERROR(INDEX('Detalles movimientos'!M$5:M$1004, MATCH(65, 'Detalles movimientos'!$U$5:$U$1004, 0)), "")</f>
        <v/>
      </c>
      <c r="J74" s="19" t="str">
        <f>IFERROR(INDEX('Detalles movimientos'!N$5:N$1004, MATCH(65, 'Detalles movimientos'!$U$5:$U$1004, 0)), "")</f>
        <v/>
      </c>
      <c r="K74" s="20" t="str">
        <f>IFERROR(INDEX('Detalles movimientos'!O$5:O$1004, MATCH(65, 'Detalles movimientos'!$U$5:$U$1004, 0)), "")</f>
        <v/>
      </c>
      <c r="L74" s="18" t="str">
        <f>IFERROR(INDEX('Detalles movimientos'!P$5:P$1004, MATCH(65, 'Detalles movimientos'!$U$5:$U$1004, 0)), "")</f>
        <v/>
      </c>
      <c r="M74" s="18" t="str">
        <f>IFERROR(INDEX('Detalles movimientos'!S$5:S$1004, MATCH(65, 'Detalles movimientos'!$U$5:$U$1004, 0)), "")</f>
        <v/>
      </c>
    </row>
    <row r="75" spans="2:13">
      <c r="B75" s="17" t="str">
        <f>IFERROR(INDEX('Detalles movimientos'!C$5:C$1004, MATCH(66, 'Detalles movimientos'!$U$5:$U$1004, 0)), "")</f>
        <v/>
      </c>
      <c r="C75" s="18" t="str">
        <f>IFERROR(INDEX('Detalles movimientos'!D$5:D$1004, MATCH(66, 'Detalles movimientos'!$U$5:$U$1004, 0)), "")</f>
        <v/>
      </c>
      <c r="D75" s="19" t="str">
        <f>IFERROR(INDEX('Detalles movimientos'!E$5:E$1004, MATCH(66, 'Detalles movimientos'!$U$5:$U$1004, 0)), "")</f>
        <v/>
      </c>
      <c r="E75" s="19" t="str">
        <f>IFERROR(INDEX('Detalles movimientos'!F$5:F$1004, MATCH(66, 'Detalles movimientos'!$U$5:$U$1004, 0)), "")</f>
        <v/>
      </c>
      <c r="F75" s="18" t="str">
        <f>IFERROR(INDEX('Detalles movimientos'!G$5:G$1004, MATCH(66, 'Detalles movimientos'!$U$5:$U$1004, 0)), "")</f>
        <v/>
      </c>
      <c r="G75" s="20" t="str">
        <f>IFERROR(INDEX('Detalles movimientos'!H$5:H$1004, MATCH(66, 'Detalles movimientos'!$U$5:$U$1004, 0)), "")</f>
        <v/>
      </c>
      <c r="H75" s="21" t="str">
        <f>IFERROR(INDEX('Detalles movimientos'!I$5:I$1004, MATCH(66, 'Detalles movimientos'!$U$5:$U$1004, 0)), "")</f>
        <v/>
      </c>
      <c r="I75" s="20" t="str">
        <f>IFERROR(INDEX('Detalles movimientos'!M$5:M$1004, MATCH(66, 'Detalles movimientos'!$U$5:$U$1004, 0)), "")</f>
        <v/>
      </c>
      <c r="J75" s="19" t="str">
        <f>IFERROR(INDEX('Detalles movimientos'!N$5:N$1004, MATCH(66, 'Detalles movimientos'!$U$5:$U$1004, 0)), "")</f>
        <v/>
      </c>
      <c r="K75" s="20" t="str">
        <f>IFERROR(INDEX('Detalles movimientos'!O$5:O$1004, MATCH(66, 'Detalles movimientos'!$U$5:$U$1004, 0)), "")</f>
        <v/>
      </c>
      <c r="L75" s="18" t="str">
        <f>IFERROR(INDEX('Detalles movimientos'!P$5:P$1004, MATCH(66, 'Detalles movimientos'!$U$5:$U$1004, 0)), "")</f>
        <v/>
      </c>
      <c r="M75" s="18" t="str">
        <f>IFERROR(INDEX('Detalles movimientos'!S$5:S$1004, MATCH(66, 'Detalles movimientos'!$U$5:$U$1004, 0)), "")</f>
        <v/>
      </c>
    </row>
    <row r="76" spans="2:13">
      <c r="B76" s="17" t="str">
        <f>IFERROR(INDEX('Detalles movimientos'!C$5:C$1004, MATCH(67, 'Detalles movimientos'!$U$5:$U$1004, 0)), "")</f>
        <v/>
      </c>
      <c r="C76" s="18" t="str">
        <f>IFERROR(INDEX('Detalles movimientos'!D$5:D$1004, MATCH(67, 'Detalles movimientos'!$U$5:$U$1004, 0)), "")</f>
        <v/>
      </c>
      <c r="D76" s="19" t="str">
        <f>IFERROR(INDEX('Detalles movimientos'!E$5:E$1004, MATCH(67, 'Detalles movimientos'!$U$5:$U$1004, 0)), "")</f>
        <v/>
      </c>
      <c r="E76" s="19" t="str">
        <f>IFERROR(INDEX('Detalles movimientos'!F$5:F$1004, MATCH(67, 'Detalles movimientos'!$U$5:$U$1004, 0)), "")</f>
        <v/>
      </c>
      <c r="F76" s="18" t="str">
        <f>IFERROR(INDEX('Detalles movimientos'!G$5:G$1004, MATCH(67, 'Detalles movimientos'!$U$5:$U$1004, 0)), "")</f>
        <v/>
      </c>
      <c r="G76" s="20" t="str">
        <f>IFERROR(INDEX('Detalles movimientos'!H$5:H$1004, MATCH(67, 'Detalles movimientos'!$U$5:$U$1004, 0)), "")</f>
        <v/>
      </c>
      <c r="H76" s="21" t="str">
        <f>IFERROR(INDEX('Detalles movimientos'!I$5:I$1004, MATCH(67, 'Detalles movimientos'!$U$5:$U$1004, 0)), "")</f>
        <v/>
      </c>
      <c r="I76" s="20" t="str">
        <f>IFERROR(INDEX('Detalles movimientos'!M$5:M$1004, MATCH(67, 'Detalles movimientos'!$U$5:$U$1004, 0)), "")</f>
        <v/>
      </c>
      <c r="J76" s="19" t="str">
        <f>IFERROR(INDEX('Detalles movimientos'!N$5:N$1004, MATCH(67, 'Detalles movimientos'!$U$5:$U$1004, 0)), "")</f>
        <v/>
      </c>
      <c r="K76" s="20" t="str">
        <f>IFERROR(INDEX('Detalles movimientos'!O$5:O$1004, MATCH(67, 'Detalles movimientos'!$U$5:$U$1004, 0)), "")</f>
        <v/>
      </c>
      <c r="L76" s="18" t="str">
        <f>IFERROR(INDEX('Detalles movimientos'!P$5:P$1004, MATCH(67, 'Detalles movimientos'!$U$5:$U$1004, 0)), "")</f>
        <v/>
      </c>
      <c r="M76" s="18" t="str">
        <f>IFERROR(INDEX('Detalles movimientos'!S$5:S$1004, MATCH(67, 'Detalles movimientos'!$U$5:$U$1004, 0)), "")</f>
        <v/>
      </c>
    </row>
    <row r="77" spans="2:13">
      <c r="B77" s="17" t="str">
        <f>IFERROR(INDEX('Detalles movimientos'!C$5:C$1004, MATCH(68, 'Detalles movimientos'!$U$5:$U$1004, 0)), "")</f>
        <v/>
      </c>
      <c r="C77" s="18" t="str">
        <f>IFERROR(INDEX('Detalles movimientos'!D$5:D$1004, MATCH(68, 'Detalles movimientos'!$U$5:$U$1004, 0)), "")</f>
        <v/>
      </c>
      <c r="D77" s="19" t="str">
        <f>IFERROR(INDEX('Detalles movimientos'!E$5:E$1004, MATCH(68, 'Detalles movimientos'!$U$5:$U$1004, 0)), "")</f>
        <v/>
      </c>
      <c r="E77" s="19" t="str">
        <f>IFERROR(INDEX('Detalles movimientos'!F$5:F$1004, MATCH(68, 'Detalles movimientos'!$U$5:$U$1004, 0)), "")</f>
        <v/>
      </c>
      <c r="F77" s="18" t="str">
        <f>IFERROR(INDEX('Detalles movimientos'!G$5:G$1004, MATCH(68, 'Detalles movimientos'!$U$5:$U$1004, 0)), "")</f>
        <v/>
      </c>
      <c r="G77" s="20" t="str">
        <f>IFERROR(INDEX('Detalles movimientos'!H$5:H$1004, MATCH(68, 'Detalles movimientos'!$U$5:$U$1004, 0)), "")</f>
        <v/>
      </c>
      <c r="H77" s="21" t="str">
        <f>IFERROR(INDEX('Detalles movimientos'!I$5:I$1004, MATCH(68, 'Detalles movimientos'!$U$5:$U$1004, 0)), "")</f>
        <v/>
      </c>
      <c r="I77" s="20" t="str">
        <f>IFERROR(INDEX('Detalles movimientos'!M$5:M$1004, MATCH(68, 'Detalles movimientos'!$U$5:$U$1004, 0)), "")</f>
        <v/>
      </c>
      <c r="J77" s="19" t="str">
        <f>IFERROR(INDEX('Detalles movimientos'!N$5:N$1004, MATCH(68, 'Detalles movimientos'!$U$5:$U$1004, 0)), "")</f>
        <v/>
      </c>
      <c r="K77" s="20" t="str">
        <f>IFERROR(INDEX('Detalles movimientos'!O$5:O$1004, MATCH(68, 'Detalles movimientos'!$U$5:$U$1004, 0)), "")</f>
        <v/>
      </c>
      <c r="L77" s="18" t="str">
        <f>IFERROR(INDEX('Detalles movimientos'!P$5:P$1004, MATCH(68, 'Detalles movimientos'!$U$5:$U$1004, 0)), "")</f>
        <v/>
      </c>
      <c r="M77" s="18" t="str">
        <f>IFERROR(INDEX('Detalles movimientos'!S$5:S$1004, MATCH(68, 'Detalles movimientos'!$U$5:$U$1004, 0)), "")</f>
        <v/>
      </c>
    </row>
    <row r="78" spans="2:13">
      <c r="B78" s="17" t="str">
        <f>IFERROR(INDEX('Detalles movimientos'!C$5:C$1004, MATCH(69, 'Detalles movimientos'!$U$5:$U$1004, 0)), "")</f>
        <v/>
      </c>
      <c r="C78" s="18" t="str">
        <f>IFERROR(INDEX('Detalles movimientos'!D$5:D$1004, MATCH(69, 'Detalles movimientos'!$U$5:$U$1004, 0)), "")</f>
        <v/>
      </c>
      <c r="D78" s="19" t="str">
        <f>IFERROR(INDEX('Detalles movimientos'!E$5:E$1004, MATCH(69, 'Detalles movimientos'!$U$5:$U$1004, 0)), "")</f>
        <v/>
      </c>
      <c r="E78" s="19" t="str">
        <f>IFERROR(INDEX('Detalles movimientos'!F$5:F$1004, MATCH(69, 'Detalles movimientos'!$U$5:$U$1004, 0)), "")</f>
        <v/>
      </c>
      <c r="F78" s="18" t="str">
        <f>IFERROR(INDEX('Detalles movimientos'!G$5:G$1004, MATCH(69, 'Detalles movimientos'!$U$5:$U$1004, 0)), "")</f>
        <v/>
      </c>
      <c r="G78" s="20" t="str">
        <f>IFERROR(INDEX('Detalles movimientos'!H$5:H$1004, MATCH(69, 'Detalles movimientos'!$U$5:$U$1004, 0)), "")</f>
        <v/>
      </c>
      <c r="H78" s="21" t="str">
        <f>IFERROR(INDEX('Detalles movimientos'!I$5:I$1004, MATCH(69, 'Detalles movimientos'!$U$5:$U$1004, 0)), "")</f>
        <v/>
      </c>
      <c r="I78" s="20" t="str">
        <f>IFERROR(INDEX('Detalles movimientos'!M$5:M$1004, MATCH(69, 'Detalles movimientos'!$U$5:$U$1004, 0)), "")</f>
        <v/>
      </c>
      <c r="J78" s="19" t="str">
        <f>IFERROR(INDEX('Detalles movimientos'!N$5:N$1004, MATCH(69, 'Detalles movimientos'!$U$5:$U$1004, 0)), "")</f>
        <v/>
      </c>
      <c r="K78" s="20" t="str">
        <f>IFERROR(INDEX('Detalles movimientos'!O$5:O$1004, MATCH(69, 'Detalles movimientos'!$U$5:$U$1004, 0)), "")</f>
        <v/>
      </c>
      <c r="L78" s="18" t="str">
        <f>IFERROR(INDEX('Detalles movimientos'!P$5:P$1004, MATCH(69, 'Detalles movimientos'!$U$5:$U$1004, 0)), "")</f>
        <v/>
      </c>
      <c r="M78" s="18" t="str">
        <f>IFERROR(INDEX('Detalles movimientos'!S$5:S$1004, MATCH(69, 'Detalles movimientos'!$U$5:$U$1004, 0)), "")</f>
        <v/>
      </c>
    </row>
    <row r="79" spans="2:13">
      <c r="B79" s="17" t="str">
        <f>IFERROR(INDEX('Detalles movimientos'!C$5:C$1004, MATCH(70, 'Detalles movimientos'!$U$5:$U$1004, 0)), "")</f>
        <v/>
      </c>
      <c r="C79" s="18" t="str">
        <f>IFERROR(INDEX('Detalles movimientos'!D$5:D$1004, MATCH(70, 'Detalles movimientos'!$U$5:$U$1004, 0)), "")</f>
        <v/>
      </c>
      <c r="D79" s="19" t="str">
        <f>IFERROR(INDEX('Detalles movimientos'!E$5:E$1004, MATCH(70, 'Detalles movimientos'!$U$5:$U$1004, 0)), "")</f>
        <v/>
      </c>
      <c r="E79" s="19" t="str">
        <f>IFERROR(INDEX('Detalles movimientos'!F$5:F$1004, MATCH(70, 'Detalles movimientos'!$U$5:$U$1004, 0)), "")</f>
        <v/>
      </c>
      <c r="F79" s="18" t="str">
        <f>IFERROR(INDEX('Detalles movimientos'!G$5:G$1004, MATCH(70, 'Detalles movimientos'!$U$5:$U$1004, 0)), "")</f>
        <v/>
      </c>
      <c r="G79" s="20" t="str">
        <f>IFERROR(INDEX('Detalles movimientos'!H$5:H$1004, MATCH(70, 'Detalles movimientos'!$U$5:$U$1004, 0)), "")</f>
        <v/>
      </c>
      <c r="H79" s="21" t="str">
        <f>IFERROR(INDEX('Detalles movimientos'!I$5:I$1004, MATCH(70, 'Detalles movimientos'!$U$5:$U$1004, 0)), "")</f>
        <v/>
      </c>
      <c r="I79" s="20" t="str">
        <f>IFERROR(INDEX('Detalles movimientos'!M$5:M$1004, MATCH(70, 'Detalles movimientos'!$U$5:$U$1004, 0)), "")</f>
        <v/>
      </c>
      <c r="J79" s="19" t="str">
        <f>IFERROR(INDEX('Detalles movimientos'!N$5:N$1004, MATCH(70, 'Detalles movimientos'!$U$5:$U$1004, 0)), "")</f>
        <v/>
      </c>
      <c r="K79" s="20" t="str">
        <f>IFERROR(INDEX('Detalles movimientos'!O$5:O$1004, MATCH(70, 'Detalles movimientos'!$U$5:$U$1004, 0)), "")</f>
        <v/>
      </c>
      <c r="L79" s="18" t="str">
        <f>IFERROR(INDEX('Detalles movimientos'!P$5:P$1004, MATCH(70, 'Detalles movimientos'!$U$5:$U$1004, 0)), "")</f>
        <v/>
      </c>
      <c r="M79" s="18" t="str">
        <f>IFERROR(INDEX('Detalles movimientos'!S$5:S$1004, MATCH(70, 'Detalles movimientos'!$U$5:$U$1004, 0)), "")</f>
        <v/>
      </c>
    </row>
    <row r="80" spans="2:13">
      <c r="B80" s="17" t="str">
        <f>IFERROR(INDEX('Detalles movimientos'!C$5:C$1004, MATCH(71, 'Detalles movimientos'!$U$5:$U$1004, 0)), "")</f>
        <v/>
      </c>
      <c r="C80" s="18" t="str">
        <f>IFERROR(INDEX('Detalles movimientos'!D$5:D$1004, MATCH(71, 'Detalles movimientos'!$U$5:$U$1004, 0)), "")</f>
        <v/>
      </c>
      <c r="D80" s="19" t="str">
        <f>IFERROR(INDEX('Detalles movimientos'!E$5:E$1004, MATCH(71, 'Detalles movimientos'!$U$5:$U$1004, 0)), "")</f>
        <v/>
      </c>
      <c r="E80" s="19" t="str">
        <f>IFERROR(INDEX('Detalles movimientos'!F$5:F$1004, MATCH(71, 'Detalles movimientos'!$U$5:$U$1004, 0)), "")</f>
        <v/>
      </c>
      <c r="F80" s="18" t="str">
        <f>IFERROR(INDEX('Detalles movimientos'!G$5:G$1004, MATCH(71, 'Detalles movimientos'!$U$5:$U$1004, 0)), "")</f>
        <v/>
      </c>
      <c r="G80" s="20" t="str">
        <f>IFERROR(INDEX('Detalles movimientos'!H$5:H$1004, MATCH(71, 'Detalles movimientos'!$U$5:$U$1004, 0)), "")</f>
        <v/>
      </c>
      <c r="H80" s="21" t="str">
        <f>IFERROR(INDEX('Detalles movimientos'!I$5:I$1004, MATCH(71, 'Detalles movimientos'!$U$5:$U$1004, 0)), "")</f>
        <v/>
      </c>
      <c r="I80" s="20" t="str">
        <f>IFERROR(INDEX('Detalles movimientos'!M$5:M$1004, MATCH(71, 'Detalles movimientos'!$U$5:$U$1004, 0)), "")</f>
        <v/>
      </c>
      <c r="J80" s="19" t="str">
        <f>IFERROR(INDEX('Detalles movimientos'!N$5:N$1004, MATCH(71, 'Detalles movimientos'!$U$5:$U$1004, 0)), "")</f>
        <v/>
      </c>
      <c r="K80" s="20" t="str">
        <f>IFERROR(INDEX('Detalles movimientos'!O$5:O$1004, MATCH(71, 'Detalles movimientos'!$U$5:$U$1004, 0)), "")</f>
        <v/>
      </c>
      <c r="L80" s="18" t="str">
        <f>IFERROR(INDEX('Detalles movimientos'!P$5:P$1004, MATCH(71, 'Detalles movimientos'!$U$5:$U$1004, 0)), "")</f>
        <v/>
      </c>
      <c r="M80" s="18" t="str">
        <f>IFERROR(INDEX('Detalles movimientos'!S$5:S$1004, MATCH(71, 'Detalles movimientos'!$U$5:$U$1004, 0)), "")</f>
        <v/>
      </c>
    </row>
    <row r="81" spans="2:13">
      <c r="B81" s="17" t="str">
        <f>IFERROR(INDEX('Detalles movimientos'!C$5:C$1004, MATCH(72, 'Detalles movimientos'!$U$5:$U$1004, 0)), "")</f>
        <v/>
      </c>
      <c r="C81" s="18" t="str">
        <f>IFERROR(INDEX('Detalles movimientos'!D$5:D$1004, MATCH(72, 'Detalles movimientos'!$U$5:$U$1004, 0)), "")</f>
        <v/>
      </c>
      <c r="D81" s="19" t="str">
        <f>IFERROR(INDEX('Detalles movimientos'!E$5:E$1004, MATCH(72, 'Detalles movimientos'!$U$5:$U$1004, 0)), "")</f>
        <v/>
      </c>
      <c r="E81" s="19" t="str">
        <f>IFERROR(INDEX('Detalles movimientos'!F$5:F$1004, MATCH(72, 'Detalles movimientos'!$U$5:$U$1004, 0)), "")</f>
        <v/>
      </c>
      <c r="F81" s="18" t="str">
        <f>IFERROR(INDEX('Detalles movimientos'!G$5:G$1004, MATCH(72, 'Detalles movimientos'!$U$5:$U$1004, 0)), "")</f>
        <v/>
      </c>
      <c r="G81" s="20" t="str">
        <f>IFERROR(INDEX('Detalles movimientos'!H$5:H$1004, MATCH(72, 'Detalles movimientos'!$U$5:$U$1004, 0)), "")</f>
        <v/>
      </c>
      <c r="H81" s="21" t="str">
        <f>IFERROR(INDEX('Detalles movimientos'!I$5:I$1004, MATCH(72, 'Detalles movimientos'!$U$5:$U$1004, 0)), "")</f>
        <v/>
      </c>
      <c r="I81" s="20" t="str">
        <f>IFERROR(INDEX('Detalles movimientos'!M$5:M$1004, MATCH(72, 'Detalles movimientos'!$U$5:$U$1004, 0)), "")</f>
        <v/>
      </c>
      <c r="J81" s="19" t="str">
        <f>IFERROR(INDEX('Detalles movimientos'!N$5:N$1004, MATCH(72, 'Detalles movimientos'!$U$5:$U$1004, 0)), "")</f>
        <v/>
      </c>
      <c r="K81" s="20" t="str">
        <f>IFERROR(INDEX('Detalles movimientos'!O$5:O$1004, MATCH(72, 'Detalles movimientos'!$U$5:$U$1004, 0)), "")</f>
        <v/>
      </c>
      <c r="L81" s="18" t="str">
        <f>IFERROR(INDEX('Detalles movimientos'!P$5:P$1004, MATCH(72, 'Detalles movimientos'!$U$5:$U$1004, 0)), "")</f>
        <v/>
      </c>
      <c r="M81" s="18" t="str">
        <f>IFERROR(INDEX('Detalles movimientos'!S$5:S$1004, MATCH(72, 'Detalles movimientos'!$U$5:$U$1004, 0)), "")</f>
        <v/>
      </c>
    </row>
    <row r="82" spans="2:13">
      <c r="B82" s="17" t="str">
        <f>IFERROR(INDEX('Detalles movimientos'!C$5:C$1004, MATCH(73, 'Detalles movimientos'!$U$5:$U$1004, 0)), "")</f>
        <v/>
      </c>
      <c r="C82" s="18" t="str">
        <f>IFERROR(INDEX('Detalles movimientos'!D$5:D$1004, MATCH(73, 'Detalles movimientos'!$U$5:$U$1004, 0)), "")</f>
        <v/>
      </c>
      <c r="D82" s="19" t="str">
        <f>IFERROR(INDEX('Detalles movimientos'!E$5:E$1004, MATCH(73, 'Detalles movimientos'!$U$5:$U$1004, 0)), "")</f>
        <v/>
      </c>
      <c r="E82" s="19" t="str">
        <f>IFERROR(INDEX('Detalles movimientos'!F$5:F$1004, MATCH(73, 'Detalles movimientos'!$U$5:$U$1004, 0)), "")</f>
        <v/>
      </c>
      <c r="F82" s="18" t="str">
        <f>IFERROR(INDEX('Detalles movimientos'!G$5:G$1004, MATCH(73, 'Detalles movimientos'!$U$5:$U$1004, 0)), "")</f>
        <v/>
      </c>
      <c r="G82" s="20" t="str">
        <f>IFERROR(INDEX('Detalles movimientos'!H$5:H$1004, MATCH(73, 'Detalles movimientos'!$U$5:$U$1004, 0)), "")</f>
        <v/>
      </c>
      <c r="H82" s="21" t="str">
        <f>IFERROR(INDEX('Detalles movimientos'!I$5:I$1004, MATCH(73, 'Detalles movimientos'!$U$5:$U$1004, 0)), "")</f>
        <v/>
      </c>
      <c r="I82" s="20" t="str">
        <f>IFERROR(INDEX('Detalles movimientos'!M$5:M$1004, MATCH(73, 'Detalles movimientos'!$U$5:$U$1004, 0)), "")</f>
        <v/>
      </c>
      <c r="J82" s="19" t="str">
        <f>IFERROR(INDEX('Detalles movimientos'!N$5:N$1004, MATCH(73, 'Detalles movimientos'!$U$5:$U$1004, 0)), "")</f>
        <v/>
      </c>
      <c r="K82" s="20" t="str">
        <f>IFERROR(INDEX('Detalles movimientos'!O$5:O$1004, MATCH(73, 'Detalles movimientos'!$U$5:$U$1004, 0)), "")</f>
        <v/>
      </c>
      <c r="L82" s="18" t="str">
        <f>IFERROR(INDEX('Detalles movimientos'!P$5:P$1004, MATCH(73, 'Detalles movimientos'!$U$5:$U$1004, 0)), "")</f>
        <v/>
      </c>
      <c r="M82" s="18" t="str">
        <f>IFERROR(INDEX('Detalles movimientos'!S$5:S$1004, MATCH(73, 'Detalles movimientos'!$U$5:$U$1004, 0)), "")</f>
        <v/>
      </c>
    </row>
    <row r="83" spans="2:13">
      <c r="B83" s="17" t="str">
        <f>IFERROR(INDEX('Detalles movimientos'!C$5:C$1004, MATCH(74, 'Detalles movimientos'!$U$5:$U$1004, 0)), "")</f>
        <v/>
      </c>
      <c r="C83" s="18" t="str">
        <f>IFERROR(INDEX('Detalles movimientos'!D$5:D$1004, MATCH(74, 'Detalles movimientos'!$U$5:$U$1004, 0)), "")</f>
        <v/>
      </c>
      <c r="D83" s="19" t="str">
        <f>IFERROR(INDEX('Detalles movimientos'!E$5:E$1004, MATCH(74, 'Detalles movimientos'!$U$5:$U$1004, 0)), "")</f>
        <v/>
      </c>
      <c r="E83" s="19" t="str">
        <f>IFERROR(INDEX('Detalles movimientos'!F$5:F$1004, MATCH(74, 'Detalles movimientos'!$U$5:$U$1004, 0)), "")</f>
        <v/>
      </c>
      <c r="F83" s="18" t="str">
        <f>IFERROR(INDEX('Detalles movimientos'!G$5:G$1004, MATCH(74, 'Detalles movimientos'!$U$5:$U$1004, 0)), "")</f>
        <v/>
      </c>
      <c r="G83" s="20" t="str">
        <f>IFERROR(INDEX('Detalles movimientos'!H$5:H$1004, MATCH(74, 'Detalles movimientos'!$U$5:$U$1004, 0)), "")</f>
        <v/>
      </c>
      <c r="H83" s="21" t="str">
        <f>IFERROR(INDEX('Detalles movimientos'!I$5:I$1004, MATCH(74, 'Detalles movimientos'!$U$5:$U$1004, 0)), "")</f>
        <v/>
      </c>
      <c r="I83" s="20" t="str">
        <f>IFERROR(INDEX('Detalles movimientos'!M$5:M$1004, MATCH(74, 'Detalles movimientos'!$U$5:$U$1004, 0)), "")</f>
        <v/>
      </c>
      <c r="J83" s="19" t="str">
        <f>IFERROR(INDEX('Detalles movimientos'!N$5:N$1004, MATCH(74, 'Detalles movimientos'!$U$5:$U$1004, 0)), "")</f>
        <v/>
      </c>
      <c r="K83" s="20" t="str">
        <f>IFERROR(INDEX('Detalles movimientos'!O$5:O$1004, MATCH(74, 'Detalles movimientos'!$U$5:$U$1004, 0)), "")</f>
        <v/>
      </c>
      <c r="L83" s="18" t="str">
        <f>IFERROR(INDEX('Detalles movimientos'!P$5:P$1004, MATCH(74, 'Detalles movimientos'!$U$5:$U$1004, 0)), "")</f>
        <v/>
      </c>
      <c r="M83" s="18" t="str">
        <f>IFERROR(INDEX('Detalles movimientos'!S$5:S$1004, MATCH(74, 'Detalles movimientos'!$U$5:$U$1004, 0)), "")</f>
        <v/>
      </c>
    </row>
    <row r="84" spans="2:13">
      <c r="B84" s="17" t="str">
        <f>IFERROR(INDEX('Detalles movimientos'!C$5:C$1004, MATCH(75, 'Detalles movimientos'!$U$5:$U$1004, 0)), "")</f>
        <v/>
      </c>
      <c r="C84" s="18" t="str">
        <f>IFERROR(INDEX('Detalles movimientos'!D$5:D$1004, MATCH(75, 'Detalles movimientos'!$U$5:$U$1004, 0)), "")</f>
        <v/>
      </c>
      <c r="D84" s="19" t="str">
        <f>IFERROR(INDEX('Detalles movimientos'!E$5:E$1004, MATCH(75, 'Detalles movimientos'!$U$5:$U$1004, 0)), "")</f>
        <v/>
      </c>
      <c r="E84" s="19" t="str">
        <f>IFERROR(INDEX('Detalles movimientos'!F$5:F$1004, MATCH(75, 'Detalles movimientos'!$U$5:$U$1004, 0)), "")</f>
        <v/>
      </c>
      <c r="F84" s="18" t="str">
        <f>IFERROR(INDEX('Detalles movimientos'!G$5:G$1004, MATCH(75, 'Detalles movimientos'!$U$5:$U$1004, 0)), "")</f>
        <v/>
      </c>
      <c r="G84" s="20" t="str">
        <f>IFERROR(INDEX('Detalles movimientos'!H$5:H$1004, MATCH(75, 'Detalles movimientos'!$U$5:$U$1004, 0)), "")</f>
        <v/>
      </c>
      <c r="H84" s="21" t="str">
        <f>IFERROR(INDEX('Detalles movimientos'!I$5:I$1004, MATCH(75, 'Detalles movimientos'!$U$5:$U$1004, 0)), "")</f>
        <v/>
      </c>
      <c r="I84" s="20" t="str">
        <f>IFERROR(INDEX('Detalles movimientos'!M$5:M$1004, MATCH(75, 'Detalles movimientos'!$U$5:$U$1004, 0)), "")</f>
        <v/>
      </c>
      <c r="J84" s="19" t="str">
        <f>IFERROR(INDEX('Detalles movimientos'!N$5:N$1004, MATCH(75, 'Detalles movimientos'!$U$5:$U$1004, 0)), "")</f>
        <v/>
      </c>
      <c r="K84" s="20" t="str">
        <f>IFERROR(INDEX('Detalles movimientos'!O$5:O$1004, MATCH(75, 'Detalles movimientos'!$U$5:$U$1004, 0)), "")</f>
        <v/>
      </c>
      <c r="L84" s="18" t="str">
        <f>IFERROR(INDEX('Detalles movimientos'!P$5:P$1004, MATCH(75, 'Detalles movimientos'!$U$5:$U$1004, 0)), "")</f>
        <v/>
      </c>
      <c r="M84" s="18" t="str">
        <f>IFERROR(INDEX('Detalles movimientos'!S$5:S$1004, MATCH(75, 'Detalles movimientos'!$U$5:$U$1004, 0)), "")</f>
        <v/>
      </c>
    </row>
    <row r="85" spans="2:13">
      <c r="B85" s="17" t="str">
        <f>IFERROR(INDEX('Detalles movimientos'!C$5:C$1004, MATCH(76, 'Detalles movimientos'!$U$5:$U$1004, 0)), "")</f>
        <v/>
      </c>
      <c r="C85" s="18" t="str">
        <f>IFERROR(INDEX('Detalles movimientos'!D$5:D$1004, MATCH(76, 'Detalles movimientos'!$U$5:$U$1004, 0)), "")</f>
        <v/>
      </c>
      <c r="D85" s="19" t="str">
        <f>IFERROR(INDEX('Detalles movimientos'!E$5:E$1004, MATCH(76, 'Detalles movimientos'!$U$5:$U$1004, 0)), "")</f>
        <v/>
      </c>
      <c r="E85" s="19" t="str">
        <f>IFERROR(INDEX('Detalles movimientos'!F$5:F$1004, MATCH(76, 'Detalles movimientos'!$U$5:$U$1004, 0)), "")</f>
        <v/>
      </c>
      <c r="F85" s="18" t="str">
        <f>IFERROR(INDEX('Detalles movimientos'!G$5:G$1004, MATCH(76, 'Detalles movimientos'!$U$5:$U$1004, 0)), "")</f>
        <v/>
      </c>
      <c r="G85" s="20" t="str">
        <f>IFERROR(INDEX('Detalles movimientos'!H$5:H$1004, MATCH(76, 'Detalles movimientos'!$U$5:$U$1004, 0)), "")</f>
        <v/>
      </c>
      <c r="H85" s="21" t="str">
        <f>IFERROR(INDEX('Detalles movimientos'!I$5:I$1004, MATCH(76, 'Detalles movimientos'!$U$5:$U$1004, 0)), "")</f>
        <v/>
      </c>
      <c r="I85" s="20" t="str">
        <f>IFERROR(INDEX('Detalles movimientos'!M$5:M$1004, MATCH(76, 'Detalles movimientos'!$U$5:$U$1004, 0)), "")</f>
        <v/>
      </c>
      <c r="J85" s="19" t="str">
        <f>IFERROR(INDEX('Detalles movimientos'!N$5:N$1004, MATCH(76, 'Detalles movimientos'!$U$5:$U$1004, 0)), "")</f>
        <v/>
      </c>
      <c r="K85" s="20" t="str">
        <f>IFERROR(INDEX('Detalles movimientos'!O$5:O$1004, MATCH(76, 'Detalles movimientos'!$U$5:$U$1004, 0)), "")</f>
        <v/>
      </c>
      <c r="L85" s="18" t="str">
        <f>IFERROR(INDEX('Detalles movimientos'!P$5:P$1004, MATCH(76, 'Detalles movimientos'!$U$5:$U$1004, 0)), "")</f>
        <v/>
      </c>
      <c r="M85" s="18" t="str">
        <f>IFERROR(INDEX('Detalles movimientos'!S$5:S$1004, MATCH(76, 'Detalles movimientos'!$U$5:$U$1004, 0)), "")</f>
        <v/>
      </c>
    </row>
    <row r="86" spans="2:13">
      <c r="B86" s="17" t="str">
        <f>IFERROR(INDEX('Detalles movimientos'!C$5:C$1004, MATCH(77, 'Detalles movimientos'!$U$5:$U$1004, 0)), "")</f>
        <v/>
      </c>
      <c r="C86" s="18" t="str">
        <f>IFERROR(INDEX('Detalles movimientos'!D$5:D$1004, MATCH(77, 'Detalles movimientos'!$U$5:$U$1004, 0)), "")</f>
        <v/>
      </c>
      <c r="D86" s="19" t="str">
        <f>IFERROR(INDEX('Detalles movimientos'!E$5:E$1004, MATCH(77, 'Detalles movimientos'!$U$5:$U$1004, 0)), "")</f>
        <v/>
      </c>
      <c r="E86" s="19" t="str">
        <f>IFERROR(INDEX('Detalles movimientos'!F$5:F$1004, MATCH(77, 'Detalles movimientos'!$U$5:$U$1004, 0)), "")</f>
        <v/>
      </c>
      <c r="F86" s="18" t="str">
        <f>IFERROR(INDEX('Detalles movimientos'!G$5:G$1004, MATCH(77, 'Detalles movimientos'!$U$5:$U$1004, 0)), "")</f>
        <v/>
      </c>
      <c r="G86" s="20" t="str">
        <f>IFERROR(INDEX('Detalles movimientos'!H$5:H$1004, MATCH(77, 'Detalles movimientos'!$U$5:$U$1004, 0)), "")</f>
        <v/>
      </c>
      <c r="H86" s="21" t="str">
        <f>IFERROR(INDEX('Detalles movimientos'!I$5:I$1004, MATCH(77, 'Detalles movimientos'!$U$5:$U$1004, 0)), "")</f>
        <v/>
      </c>
      <c r="I86" s="20" t="str">
        <f>IFERROR(INDEX('Detalles movimientos'!M$5:M$1004, MATCH(77, 'Detalles movimientos'!$U$5:$U$1004, 0)), "")</f>
        <v/>
      </c>
      <c r="J86" s="19" t="str">
        <f>IFERROR(INDEX('Detalles movimientos'!N$5:N$1004, MATCH(77, 'Detalles movimientos'!$U$5:$U$1004, 0)), "")</f>
        <v/>
      </c>
      <c r="K86" s="20" t="str">
        <f>IFERROR(INDEX('Detalles movimientos'!O$5:O$1004, MATCH(77, 'Detalles movimientos'!$U$5:$U$1004, 0)), "")</f>
        <v/>
      </c>
      <c r="L86" s="18" t="str">
        <f>IFERROR(INDEX('Detalles movimientos'!P$5:P$1004, MATCH(77, 'Detalles movimientos'!$U$5:$U$1004, 0)), "")</f>
        <v/>
      </c>
      <c r="M86" s="18" t="str">
        <f>IFERROR(INDEX('Detalles movimientos'!S$5:S$1004, MATCH(77, 'Detalles movimientos'!$U$5:$U$1004, 0)), "")</f>
        <v/>
      </c>
    </row>
    <row r="87" spans="2:13">
      <c r="B87" s="17" t="str">
        <f>IFERROR(INDEX('Detalles movimientos'!C$5:C$1004, MATCH(78, 'Detalles movimientos'!$U$5:$U$1004, 0)), "")</f>
        <v/>
      </c>
      <c r="C87" s="18" t="str">
        <f>IFERROR(INDEX('Detalles movimientos'!D$5:D$1004, MATCH(78, 'Detalles movimientos'!$U$5:$U$1004, 0)), "")</f>
        <v/>
      </c>
      <c r="D87" s="19" t="str">
        <f>IFERROR(INDEX('Detalles movimientos'!E$5:E$1004, MATCH(78, 'Detalles movimientos'!$U$5:$U$1004, 0)), "")</f>
        <v/>
      </c>
      <c r="E87" s="19" t="str">
        <f>IFERROR(INDEX('Detalles movimientos'!F$5:F$1004, MATCH(78, 'Detalles movimientos'!$U$5:$U$1004, 0)), "")</f>
        <v/>
      </c>
      <c r="F87" s="18" t="str">
        <f>IFERROR(INDEX('Detalles movimientos'!G$5:G$1004, MATCH(78, 'Detalles movimientos'!$U$5:$U$1004, 0)), "")</f>
        <v/>
      </c>
      <c r="G87" s="20" t="str">
        <f>IFERROR(INDEX('Detalles movimientos'!H$5:H$1004, MATCH(78, 'Detalles movimientos'!$U$5:$U$1004, 0)), "")</f>
        <v/>
      </c>
      <c r="H87" s="21" t="str">
        <f>IFERROR(INDEX('Detalles movimientos'!I$5:I$1004, MATCH(78, 'Detalles movimientos'!$U$5:$U$1004, 0)), "")</f>
        <v/>
      </c>
      <c r="I87" s="20" t="str">
        <f>IFERROR(INDEX('Detalles movimientos'!M$5:M$1004, MATCH(78, 'Detalles movimientos'!$U$5:$U$1004, 0)), "")</f>
        <v/>
      </c>
      <c r="J87" s="19" t="str">
        <f>IFERROR(INDEX('Detalles movimientos'!N$5:N$1004, MATCH(78, 'Detalles movimientos'!$U$5:$U$1004, 0)), "")</f>
        <v/>
      </c>
      <c r="K87" s="20" t="str">
        <f>IFERROR(INDEX('Detalles movimientos'!O$5:O$1004, MATCH(78, 'Detalles movimientos'!$U$5:$U$1004, 0)), "")</f>
        <v/>
      </c>
      <c r="L87" s="18" t="str">
        <f>IFERROR(INDEX('Detalles movimientos'!P$5:P$1004, MATCH(78, 'Detalles movimientos'!$U$5:$U$1004, 0)), "")</f>
        <v/>
      </c>
      <c r="M87" s="18" t="str">
        <f>IFERROR(INDEX('Detalles movimientos'!S$5:S$1004, MATCH(78, 'Detalles movimientos'!$U$5:$U$1004, 0)), "")</f>
        <v/>
      </c>
    </row>
    <row r="88" spans="2:13">
      <c r="B88" s="17" t="str">
        <f>IFERROR(INDEX('Detalles movimientos'!C$5:C$1004, MATCH(79, 'Detalles movimientos'!$U$5:$U$1004, 0)), "")</f>
        <v/>
      </c>
      <c r="C88" s="18" t="str">
        <f>IFERROR(INDEX('Detalles movimientos'!D$5:D$1004, MATCH(79, 'Detalles movimientos'!$U$5:$U$1004, 0)), "")</f>
        <v/>
      </c>
      <c r="D88" s="19" t="str">
        <f>IFERROR(INDEX('Detalles movimientos'!E$5:E$1004, MATCH(79, 'Detalles movimientos'!$U$5:$U$1004, 0)), "")</f>
        <v/>
      </c>
      <c r="E88" s="19" t="str">
        <f>IFERROR(INDEX('Detalles movimientos'!F$5:F$1004, MATCH(79, 'Detalles movimientos'!$U$5:$U$1004, 0)), "")</f>
        <v/>
      </c>
      <c r="F88" s="18" t="str">
        <f>IFERROR(INDEX('Detalles movimientos'!G$5:G$1004, MATCH(79, 'Detalles movimientos'!$U$5:$U$1004, 0)), "")</f>
        <v/>
      </c>
      <c r="G88" s="20" t="str">
        <f>IFERROR(INDEX('Detalles movimientos'!H$5:H$1004, MATCH(79, 'Detalles movimientos'!$U$5:$U$1004, 0)), "")</f>
        <v/>
      </c>
      <c r="H88" s="21" t="str">
        <f>IFERROR(INDEX('Detalles movimientos'!I$5:I$1004, MATCH(79, 'Detalles movimientos'!$U$5:$U$1004, 0)), "")</f>
        <v/>
      </c>
      <c r="I88" s="20" t="str">
        <f>IFERROR(INDEX('Detalles movimientos'!M$5:M$1004, MATCH(79, 'Detalles movimientos'!$U$5:$U$1004, 0)), "")</f>
        <v/>
      </c>
      <c r="J88" s="19" t="str">
        <f>IFERROR(INDEX('Detalles movimientos'!N$5:N$1004, MATCH(79, 'Detalles movimientos'!$U$5:$U$1004, 0)), "")</f>
        <v/>
      </c>
      <c r="K88" s="20" t="str">
        <f>IFERROR(INDEX('Detalles movimientos'!O$5:O$1004, MATCH(79, 'Detalles movimientos'!$U$5:$U$1004, 0)), "")</f>
        <v/>
      </c>
      <c r="L88" s="18" t="str">
        <f>IFERROR(INDEX('Detalles movimientos'!P$5:P$1004, MATCH(79, 'Detalles movimientos'!$U$5:$U$1004, 0)), "")</f>
        <v/>
      </c>
      <c r="M88" s="18" t="str">
        <f>IFERROR(INDEX('Detalles movimientos'!S$5:S$1004, MATCH(79, 'Detalles movimientos'!$U$5:$U$1004, 0)), "")</f>
        <v/>
      </c>
    </row>
    <row r="89" spans="2:13">
      <c r="B89" s="17" t="str">
        <f>IFERROR(INDEX('Detalles movimientos'!C$5:C$1004, MATCH(80, 'Detalles movimientos'!$U$5:$U$1004, 0)), "")</f>
        <v/>
      </c>
      <c r="C89" s="18" t="str">
        <f>IFERROR(INDEX('Detalles movimientos'!D$5:D$1004, MATCH(80, 'Detalles movimientos'!$U$5:$U$1004, 0)), "")</f>
        <v/>
      </c>
      <c r="D89" s="19" t="str">
        <f>IFERROR(INDEX('Detalles movimientos'!E$5:E$1004, MATCH(80, 'Detalles movimientos'!$U$5:$U$1004, 0)), "")</f>
        <v/>
      </c>
      <c r="E89" s="19" t="str">
        <f>IFERROR(INDEX('Detalles movimientos'!F$5:F$1004, MATCH(80, 'Detalles movimientos'!$U$5:$U$1004, 0)), "")</f>
        <v/>
      </c>
      <c r="F89" s="18" t="str">
        <f>IFERROR(INDEX('Detalles movimientos'!G$5:G$1004, MATCH(80, 'Detalles movimientos'!$U$5:$U$1004, 0)), "")</f>
        <v/>
      </c>
      <c r="G89" s="20" t="str">
        <f>IFERROR(INDEX('Detalles movimientos'!H$5:H$1004, MATCH(80, 'Detalles movimientos'!$U$5:$U$1004, 0)), "")</f>
        <v/>
      </c>
      <c r="H89" s="21" t="str">
        <f>IFERROR(INDEX('Detalles movimientos'!I$5:I$1004, MATCH(80, 'Detalles movimientos'!$U$5:$U$1004, 0)), "")</f>
        <v/>
      </c>
      <c r="I89" s="20" t="str">
        <f>IFERROR(INDEX('Detalles movimientos'!M$5:M$1004, MATCH(80, 'Detalles movimientos'!$U$5:$U$1004, 0)), "")</f>
        <v/>
      </c>
      <c r="J89" s="19" t="str">
        <f>IFERROR(INDEX('Detalles movimientos'!N$5:N$1004, MATCH(80, 'Detalles movimientos'!$U$5:$U$1004, 0)), "")</f>
        <v/>
      </c>
      <c r="K89" s="20" t="str">
        <f>IFERROR(INDEX('Detalles movimientos'!O$5:O$1004, MATCH(80, 'Detalles movimientos'!$U$5:$U$1004, 0)), "")</f>
        <v/>
      </c>
      <c r="L89" s="18" t="str">
        <f>IFERROR(INDEX('Detalles movimientos'!P$5:P$1004, MATCH(80, 'Detalles movimientos'!$U$5:$U$1004, 0)), "")</f>
        <v/>
      </c>
      <c r="M89" s="18" t="str">
        <f>IFERROR(INDEX('Detalles movimientos'!S$5:S$1004, MATCH(80, 'Detalles movimientos'!$U$5:$U$1004, 0)), "")</f>
        <v/>
      </c>
    </row>
    <row r="90" spans="2:13">
      <c r="B90" s="17" t="str">
        <f>IFERROR(INDEX('Detalles movimientos'!C$5:C$1004, MATCH(81, 'Detalles movimientos'!$U$5:$U$1004, 0)), "")</f>
        <v/>
      </c>
      <c r="C90" s="18" t="str">
        <f>IFERROR(INDEX('Detalles movimientos'!D$5:D$1004, MATCH(81, 'Detalles movimientos'!$U$5:$U$1004, 0)), "")</f>
        <v/>
      </c>
      <c r="D90" s="19" t="str">
        <f>IFERROR(INDEX('Detalles movimientos'!E$5:E$1004, MATCH(81, 'Detalles movimientos'!$U$5:$U$1004, 0)), "")</f>
        <v/>
      </c>
      <c r="E90" s="19" t="str">
        <f>IFERROR(INDEX('Detalles movimientos'!F$5:F$1004, MATCH(81, 'Detalles movimientos'!$U$5:$U$1004, 0)), "")</f>
        <v/>
      </c>
      <c r="F90" s="18" t="str">
        <f>IFERROR(INDEX('Detalles movimientos'!G$5:G$1004, MATCH(81, 'Detalles movimientos'!$U$5:$U$1004, 0)), "")</f>
        <v/>
      </c>
      <c r="G90" s="20" t="str">
        <f>IFERROR(INDEX('Detalles movimientos'!H$5:H$1004, MATCH(81, 'Detalles movimientos'!$U$5:$U$1004, 0)), "")</f>
        <v/>
      </c>
      <c r="H90" s="21" t="str">
        <f>IFERROR(INDEX('Detalles movimientos'!I$5:I$1004, MATCH(81, 'Detalles movimientos'!$U$5:$U$1004, 0)), "")</f>
        <v/>
      </c>
      <c r="I90" s="20" t="str">
        <f>IFERROR(INDEX('Detalles movimientos'!M$5:M$1004, MATCH(81, 'Detalles movimientos'!$U$5:$U$1004, 0)), "")</f>
        <v/>
      </c>
      <c r="J90" s="19" t="str">
        <f>IFERROR(INDEX('Detalles movimientos'!N$5:N$1004, MATCH(81, 'Detalles movimientos'!$U$5:$U$1004, 0)), "")</f>
        <v/>
      </c>
      <c r="K90" s="20" t="str">
        <f>IFERROR(INDEX('Detalles movimientos'!O$5:O$1004, MATCH(81, 'Detalles movimientos'!$U$5:$U$1004, 0)), "")</f>
        <v/>
      </c>
      <c r="L90" s="18" t="str">
        <f>IFERROR(INDEX('Detalles movimientos'!P$5:P$1004, MATCH(81, 'Detalles movimientos'!$U$5:$U$1004, 0)), "")</f>
        <v/>
      </c>
      <c r="M90" s="18" t="str">
        <f>IFERROR(INDEX('Detalles movimientos'!S$5:S$1004, MATCH(81, 'Detalles movimientos'!$U$5:$U$1004, 0)), "")</f>
        <v/>
      </c>
    </row>
    <row r="91" spans="2:13">
      <c r="B91" s="17" t="str">
        <f>IFERROR(INDEX('Detalles movimientos'!C$5:C$1004, MATCH(82, 'Detalles movimientos'!$U$5:$U$1004, 0)), "")</f>
        <v/>
      </c>
      <c r="C91" s="18" t="str">
        <f>IFERROR(INDEX('Detalles movimientos'!D$5:D$1004, MATCH(82, 'Detalles movimientos'!$U$5:$U$1004, 0)), "")</f>
        <v/>
      </c>
      <c r="D91" s="19" t="str">
        <f>IFERROR(INDEX('Detalles movimientos'!E$5:E$1004, MATCH(82, 'Detalles movimientos'!$U$5:$U$1004, 0)), "")</f>
        <v/>
      </c>
      <c r="E91" s="19" t="str">
        <f>IFERROR(INDEX('Detalles movimientos'!F$5:F$1004, MATCH(82, 'Detalles movimientos'!$U$5:$U$1004, 0)), "")</f>
        <v/>
      </c>
      <c r="F91" s="18" t="str">
        <f>IFERROR(INDEX('Detalles movimientos'!G$5:G$1004, MATCH(82, 'Detalles movimientos'!$U$5:$U$1004, 0)), "")</f>
        <v/>
      </c>
      <c r="G91" s="20" t="str">
        <f>IFERROR(INDEX('Detalles movimientos'!H$5:H$1004, MATCH(82, 'Detalles movimientos'!$U$5:$U$1004, 0)), "")</f>
        <v/>
      </c>
      <c r="H91" s="21" t="str">
        <f>IFERROR(INDEX('Detalles movimientos'!I$5:I$1004, MATCH(82, 'Detalles movimientos'!$U$5:$U$1004, 0)), "")</f>
        <v/>
      </c>
      <c r="I91" s="20" t="str">
        <f>IFERROR(INDEX('Detalles movimientos'!M$5:M$1004, MATCH(82, 'Detalles movimientos'!$U$5:$U$1004, 0)), "")</f>
        <v/>
      </c>
      <c r="J91" s="19" t="str">
        <f>IFERROR(INDEX('Detalles movimientos'!N$5:N$1004, MATCH(82, 'Detalles movimientos'!$U$5:$U$1004, 0)), "")</f>
        <v/>
      </c>
      <c r="K91" s="20" t="str">
        <f>IFERROR(INDEX('Detalles movimientos'!O$5:O$1004, MATCH(82, 'Detalles movimientos'!$U$5:$U$1004, 0)), "")</f>
        <v/>
      </c>
      <c r="L91" s="18" t="str">
        <f>IFERROR(INDEX('Detalles movimientos'!P$5:P$1004, MATCH(82, 'Detalles movimientos'!$U$5:$U$1004, 0)), "")</f>
        <v/>
      </c>
      <c r="M91" s="18" t="str">
        <f>IFERROR(INDEX('Detalles movimientos'!S$5:S$1004, MATCH(82, 'Detalles movimientos'!$U$5:$U$1004, 0)), "")</f>
        <v/>
      </c>
    </row>
    <row r="92" spans="2:13">
      <c r="B92" s="17" t="str">
        <f>IFERROR(INDEX('Detalles movimientos'!C$5:C$1004, MATCH(83, 'Detalles movimientos'!$U$5:$U$1004, 0)), "")</f>
        <v/>
      </c>
      <c r="C92" s="18" t="str">
        <f>IFERROR(INDEX('Detalles movimientos'!D$5:D$1004, MATCH(83, 'Detalles movimientos'!$U$5:$U$1004, 0)), "")</f>
        <v/>
      </c>
      <c r="D92" s="19" t="str">
        <f>IFERROR(INDEX('Detalles movimientos'!E$5:E$1004, MATCH(83, 'Detalles movimientos'!$U$5:$U$1004, 0)), "")</f>
        <v/>
      </c>
      <c r="E92" s="19" t="str">
        <f>IFERROR(INDEX('Detalles movimientos'!F$5:F$1004, MATCH(83, 'Detalles movimientos'!$U$5:$U$1004, 0)), "")</f>
        <v/>
      </c>
      <c r="F92" s="18" t="str">
        <f>IFERROR(INDEX('Detalles movimientos'!G$5:G$1004, MATCH(83, 'Detalles movimientos'!$U$5:$U$1004, 0)), "")</f>
        <v/>
      </c>
      <c r="G92" s="20" t="str">
        <f>IFERROR(INDEX('Detalles movimientos'!H$5:H$1004, MATCH(83, 'Detalles movimientos'!$U$5:$U$1004, 0)), "")</f>
        <v/>
      </c>
      <c r="H92" s="21" t="str">
        <f>IFERROR(INDEX('Detalles movimientos'!I$5:I$1004, MATCH(83, 'Detalles movimientos'!$U$5:$U$1004, 0)), "")</f>
        <v/>
      </c>
      <c r="I92" s="20" t="str">
        <f>IFERROR(INDEX('Detalles movimientos'!M$5:M$1004, MATCH(83, 'Detalles movimientos'!$U$5:$U$1004, 0)), "")</f>
        <v/>
      </c>
      <c r="J92" s="19" t="str">
        <f>IFERROR(INDEX('Detalles movimientos'!N$5:N$1004, MATCH(83, 'Detalles movimientos'!$U$5:$U$1004, 0)), "")</f>
        <v/>
      </c>
      <c r="K92" s="20" t="str">
        <f>IFERROR(INDEX('Detalles movimientos'!O$5:O$1004, MATCH(83, 'Detalles movimientos'!$U$5:$U$1004, 0)), "")</f>
        <v/>
      </c>
      <c r="L92" s="18" t="str">
        <f>IFERROR(INDEX('Detalles movimientos'!P$5:P$1004, MATCH(83, 'Detalles movimientos'!$U$5:$U$1004, 0)), "")</f>
        <v/>
      </c>
      <c r="M92" s="18" t="str">
        <f>IFERROR(INDEX('Detalles movimientos'!S$5:S$1004, MATCH(83, 'Detalles movimientos'!$U$5:$U$1004, 0)), "")</f>
        <v/>
      </c>
    </row>
    <row r="93" spans="2:13">
      <c r="B93" s="17" t="str">
        <f>IFERROR(INDEX('Detalles movimientos'!C$5:C$1004, MATCH(84, 'Detalles movimientos'!$U$5:$U$1004, 0)), "")</f>
        <v/>
      </c>
      <c r="C93" s="18" t="str">
        <f>IFERROR(INDEX('Detalles movimientos'!D$5:D$1004, MATCH(84, 'Detalles movimientos'!$U$5:$U$1004, 0)), "")</f>
        <v/>
      </c>
      <c r="D93" s="19" t="str">
        <f>IFERROR(INDEX('Detalles movimientos'!E$5:E$1004, MATCH(84, 'Detalles movimientos'!$U$5:$U$1004, 0)), "")</f>
        <v/>
      </c>
      <c r="E93" s="19" t="str">
        <f>IFERROR(INDEX('Detalles movimientos'!F$5:F$1004, MATCH(84, 'Detalles movimientos'!$U$5:$U$1004, 0)), "")</f>
        <v/>
      </c>
      <c r="F93" s="18" t="str">
        <f>IFERROR(INDEX('Detalles movimientos'!G$5:G$1004, MATCH(84, 'Detalles movimientos'!$U$5:$U$1004, 0)), "")</f>
        <v/>
      </c>
      <c r="G93" s="20" t="str">
        <f>IFERROR(INDEX('Detalles movimientos'!H$5:H$1004, MATCH(84, 'Detalles movimientos'!$U$5:$U$1004, 0)), "")</f>
        <v/>
      </c>
      <c r="H93" s="21" t="str">
        <f>IFERROR(INDEX('Detalles movimientos'!I$5:I$1004, MATCH(84, 'Detalles movimientos'!$U$5:$U$1004, 0)), "")</f>
        <v/>
      </c>
      <c r="I93" s="20" t="str">
        <f>IFERROR(INDEX('Detalles movimientos'!M$5:M$1004, MATCH(84, 'Detalles movimientos'!$U$5:$U$1004, 0)), "")</f>
        <v/>
      </c>
      <c r="J93" s="19" t="str">
        <f>IFERROR(INDEX('Detalles movimientos'!N$5:N$1004, MATCH(84, 'Detalles movimientos'!$U$5:$U$1004, 0)), "")</f>
        <v/>
      </c>
      <c r="K93" s="20" t="str">
        <f>IFERROR(INDEX('Detalles movimientos'!O$5:O$1004, MATCH(84, 'Detalles movimientos'!$U$5:$U$1004, 0)), "")</f>
        <v/>
      </c>
      <c r="L93" s="18" t="str">
        <f>IFERROR(INDEX('Detalles movimientos'!P$5:P$1004, MATCH(84, 'Detalles movimientos'!$U$5:$U$1004, 0)), "")</f>
        <v/>
      </c>
      <c r="M93" s="18" t="str">
        <f>IFERROR(INDEX('Detalles movimientos'!S$5:S$1004, MATCH(84, 'Detalles movimientos'!$U$5:$U$1004, 0)), "")</f>
        <v/>
      </c>
    </row>
    <row r="94" spans="2:13">
      <c r="B94" s="17" t="str">
        <f>IFERROR(INDEX('Detalles movimientos'!C$5:C$1004, MATCH(85, 'Detalles movimientos'!$U$5:$U$1004, 0)), "")</f>
        <v/>
      </c>
      <c r="C94" s="18" t="str">
        <f>IFERROR(INDEX('Detalles movimientos'!D$5:D$1004, MATCH(85, 'Detalles movimientos'!$U$5:$U$1004, 0)), "")</f>
        <v/>
      </c>
      <c r="D94" s="19" t="str">
        <f>IFERROR(INDEX('Detalles movimientos'!E$5:E$1004, MATCH(85, 'Detalles movimientos'!$U$5:$U$1004, 0)), "")</f>
        <v/>
      </c>
      <c r="E94" s="19" t="str">
        <f>IFERROR(INDEX('Detalles movimientos'!F$5:F$1004, MATCH(85, 'Detalles movimientos'!$U$5:$U$1004, 0)), "")</f>
        <v/>
      </c>
      <c r="F94" s="18" t="str">
        <f>IFERROR(INDEX('Detalles movimientos'!G$5:G$1004, MATCH(85, 'Detalles movimientos'!$U$5:$U$1004, 0)), "")</f>
        <v/>
      </c>
      <c r="G94" s="20" t="str">
        <f>IFERROR(INDEX('Detalles movimientos'!H$5:H$1004, MATCH(85, 'Detalles movimientos'!$U$5:$U$1004, 0)), "")</f>
        <v/>
      </c>
      <c r="H94" s="21" t="str">
        <f>IFERROR(INDEX('Detalles movimientos'!I$5:I$1004, MATCH(85, 'Detalles movimientos'!$U$5:$U$1004, 0)), "")</f>
        <v/>
      </c>
      <c r="I94" s="20" t="str">
        <f>IFERROR(INDEX('Detalles movimientos'!M$5:M$1004, MATCH(85, 'Detalles movimientos'!$U$5:$U$1004, 0)), "")</f>
        <v/>
      </c>
      <c r="J94" s="19" t="str">
        <f>IFERROR(INDEX('Detalles movimientos'!N$5:N$1004, MATCH(85, 'Detalles movimientos'!$U$5:$U$1004, 0)), "")</f>
        <v/>
      </c>
      <c r="K94" s="20" t="str">
        <f>IFERROR(INDEX('Detalles movimientos'!O$5:O$1004, MATCH(85, 'Detalles movimientos'!$U$5:$U$1004, 0)), "")</f>
        <v/>
      </c>
      <c r="L94" s="18" t="str">
        <f>IFERROR(INDEX('Detalles movimientos'!P$5:P$1004, MATCH(85, 'Detalles movimientos'!$U$5:$U$1004, 0)), "")</f>
        <v/>
      </c>
      <c r="M94" s="18" t="str">
        <f>IFERROR(INDEX('Detalles movimientos'!S$5:S$1004, MATCH(85, 'Detalles movimientos'!$U$5:$U$1004, 0)), "")</f>
        <v/>
      </c>
    </row>
    <row r="95" spans="2:13">
      <c r="B95" s="17" t="str">
        <f>IFERROR(INDEX('Detalles movimientos'!C$5:C$1004, MATCH(86, 'Detalles movimientos'!$U$5:$U$1004, 0)), "")</f>
        <v/>
      </c>
      <c r="C95" s="18" t="str">
        <f>IFERROR(INDEX('Detalles movimientos'!D$5:D$1004, MATCH(86, 'Detalles movimientos'!$U$5:$U$1004, 0)), "")</f>
        <v/>
      </c>
      <c r="D95" s="19" t="str">
        <f>IFERROR(INDEX('Detalles movimientos'!E$5:E$1004, MATCH(86, 'Detalles movimientos'!$U$5:$U$1004, 0)), "")</f>
        <v/>
      </c>
      <c r="E95" s="19" t="str">
        <f>IFERROR(INDEX('Detalles movimientos'!F$5:F$1004, MATCH(86, 'Detalles movimientos'!$U$5:$U$1004, 0)), "")</f>
        <v/>
      </c>
      <c r="F95" s="18" t="str">
        <f>IFERROR(INDEX('Detalles movimientos'!G$5:G$1004, MATCH(86, 'Detalles movimientos'!$U$5:$U$1004, 0)), "")</f>
        <v/>
      </c>
      <c r="G95" s="20" t="str">
        <f>IFERROR(INDEX('Detalles movimientos'!H$5:H$1004, MATCH(86, 'Detalles movimientos'!$U$5:$U$1004, 0)), "")</f>
        <v/>
      </c>
      <c r="H95" s="21" t="str">
        <f>IFERROR(INDEX('Detalles movimientos'!I$5:I$1004, MATCH(86, 'Detalles movimientos'!$U$5:$U$1004, 0)), "")</f>
        <v/>
      </c>
      <c r="I95" s="20" t="str">
        <f>IFERROR(INDEX('Detalles movimientos'!M$5:M$1004, MATCH(86, 'Detalles movimientos'!$U$5:$U$1004, 0)), "")</f>
        <v/>
      </c>
      <c r="J95" s="19" t="str">
        <f>IFERROR(INDEX('Detalles movimientos'!N$5:N$1004, MATCH(86, 'Detalles movimientos'!$U$5:$U$1004, 0)), "")</f>
        <v/>
      </c>
      <c r="K95" s="20" t="str">
        <f>IFERROR(INDEX('Detalles movimientos'!O$5:O$1004, MATCH(86, 'Detalles movimientos'!$U$5:$U$1004, 0)), "")</f>
        <v/>
      </c>
      <c r="L95" s="18" t="str">
        <f>IFERROR(INDEX('Detalles movimientos'!P$5:P$1004, MATCH(86, 'Detalles movimientos'!$U$5:$U$1004, 0)), "")</f>
        <v/>
      </c>
      <c r="M95" s="18" t="str">
        <f>IFERROR(INDEX('Detalles movimientos'!S$5:S$1004, MATCH(86, 'Detalles movimientos'!$U$5:$U$1004, 0)), "")</f>
        <v/>
      </c>
    </row>
    <row r="96" spans="2:13">
      <c r="B96" s="17" t="str">
        <f>IFERROR(INDEX('Detalles movimientos'!C$5:C$1004, MATCH(87, 'Detalles movimientos'!$U$5:$U$1004, 0)), "")</f>
        <v/>
      </c>
      <c r="C96" s="18" t="str">
        <f>IFERROR(INDEX('Detalles movimientos'!D$5:D$1004, MATCH(87, 'Detalles movimientos'!$U$5:$U$1004, 0)), "")</f>
        <v/>
      </c>
      <c r="D96" s="19" t="str">
        <f>IFERROR(INDEX('Detalles movimientos'!E$5:E$1004, MATCH(87, 'Detalles movimientos'!$U$5:$U$1004, 0)), "")</f>
        <v/>
      </c>
      <c r="E96" s="19" t="str">
        <f>IFERROR(INDEX('Detalles movimientos'!F$5:F$1004, MATCH(87, 'Detalles movimientos'!$U$5:$U$1004, 0)), "")</f>
        <v/>
      </c>
      <c r="F96" s="18" t="str">
        <f>IFERROR(INDEX('Detalles movimientos'!G$5:G$1004, MATCH(87, 'Detalles movimientos'!$U$5:$U$1004, 0)), "")</f>
        <v/>
      </c>
      <c r="G96" s="20" t="str">
        <f>IFERROR(INDEX('Detalles movimientos'!H$5:H$1004, MATCH(87, 'Detalles movimientos'!$U$5:$U$1004, 0)), "")</f>
        <v/>
      </c>
      <c r="H96" s="21" t="str">
        <f>IFERROR(INDEX('Detalles movimientos'!I$5:I$1004, MATCH(87, 'Detalles movimientos'!$U$5:$U$1004, 0)), "")</f>
        <v/>
      </c>
      <c r="I96" s="20" t="str">
        <f>IFERROR(INDEX('Detalles movimientos'!M$5:M$1004, MATCH(87, 'Detalles movimientos'!$U$5:$U$1004, 0)), "")</f>
        <v/>
      </c>
      <c r="J96" s="19" t="str">
        <f>IFERROR(INDEX('Detalles movimientos'!N$5:N$1004, MATCH(87, 'Detalles movimientos'!$U$5:$U$1004, 0)), "")</f>
        <v/>
      </c>
      <c r="K96" s="20" t="str">
        <f>IFERROR(INDEX('Detalles movimientos'!O$5:O$1004, MATCH(87, 'Detalles movimientos'!$U$5:$U$1004, 0)), "")</f>
        <v/>
      </c>
      <c r="L96" s="18" t="str">
        <f>IFERROR(INDEX('Detalles movimientos'!P$5:P$1004, MATCH(87, 'Detalles movimientos'!$U$5:$U$1004, 0)), "")</f>
        <v/>
      </c>
      <c r="M96" s="18" t="str">
        <f>IFERROR(INDEX('Detalles movimientos'!S$5:S$1004, MATCH(87, 'Detalles movimientos'!$U$5:$U$1004, 0)), "")</f>
        <v/>
      </c>
    </row>
    <row r="97" spans="2:13">
      <c r="B97" s="17" t="str">
        <f>IFERROR(INDEX('Detalles movimientos'!C$5:C$1004, MATCH(88, 'Detalles movimientos'!$U$5:$U$1004, 0)), "")</f>
        <v/>
      </c>
      <c r="C97" s="18" t="str">
        <f>IFERROR(INDEX('Detalles movimientos'!D$5:D$1004, MATCH(88, 'Detalles movimientos'!$U$5:$U$1004, 0)), "")</f>
        <v/>
      </c>
      <c r="D97" s="19" t="str">
        <f>IFERROR(INDEX('Detalles movimientos'!E$5:E$1004, MATCH(88, 'Detalles movimientos'!$U$5:$U$1004, 0)), "")</f>
        <v/>
      </c>
      <c r="E97" s="19" t="str">
        <f>IFERROR(INDEX('Detalles movimientos'!F$5:F$1004, MATCH(88, 'Detalles movimientos'!$U$5:$U$1004, 0)), "")</f>
        <v/>
      </c>
      <c r="F97" s="18" t="str">
        <f>IFERROR(INDEX('Detalles movimientos'!G$5:G$1004, MATCH(88, 'Detalles movimientos'!$U$5:$U$1004, 0)), "")</f>
        <v/>
      </c>
      <c r="G97" s="20" t="str">
        <f>IFERROR(INDEX('Detalles movimientos'!H$5:H$1004, MATCH(88, 'Detalles movimientos'!$U$5:$U$1004, 0)), "")</f>
        <v/>
      </c>
      <c r="H97" s="21" t="str">
        <f>IFERROR(INDEX('Detalles movimientos'!I$5:I$1004, MATCH(88, 'Detalles movimientos'!$U$5:$U$1004, 0)), "")</f>
        <v/>
      </c>
      <c r="I97" s="20" t="str">
        <f>IFERROR(INDEX('Detalles movimientos'!M$5:M$1004, MATCH(88, 'Detalles movimientos'!$U$5:$U$1004, 0)), "")</f>
        <v/>
      </c>
      <c r="J97" s="19" t="str">
        <f>IFERROR(INDEX('Detalles movimientos'!N$5:N$1004, MATCH(88, 'Detalles movimientos'!$U$5:$U$1004, 0)), "")</f>
        <v/>
      </c>
      <c r="K97" s="20" t="str">
        <f>IFERROR(INDEX('Detalles movimientos'!O$5:O$1004, MATCH(88, 'Detalles movimientos'!$U$5:$U$1004, 0)), "")</f>
        <v/>
      </c>
      <c r="L97" s="18" t="str">
        <f>IFERROR(INDEX('Detalles movimientos'!P$5:P$1004, MATCH(88, 'Detalles movimientos'!$U$5:$U$1004, 0)), "")</f>
        <v/>
      </c>
      <c r="M97" s="18" t="str">
        <f>IFERROR(INDEX('Detalles movimientos'!S$5:S$1004, MATCH(88, 'Detalles movimientos'!$U$5:$U$1004, 0)), "")</f>
        <v/>
      </c>
    </row>
    <row r="98" spans="2:13">
      <c r="B98" s="17" t="str">
        <f>IFERROR(INDEX('Detalles movimientos'!C$5:C$1004, MATCH(89, 'Detalles movimientos'!$U$5:$U$1004, 0)), "")</f>
        <v/>
      </c>
      <c r="C98" s="18" t="str">
        <f>IFERROR(INDEX('Detalles movimientos'!D$5:D$1004, MATCH(89, 'Detalles movimientos'!$U$5:$U$1004, 0)), "")</f>
        <v/>
      </c>
      <c r="D98" s="19" t="str">
        <f>IFERROR(INDEX('Detalles movimientos'!E$5:E$1004, MATCH(89, 'Detalles movimientos'!$U$5:$U$1004, 0)), "")</f>
        <v/>
      </c>
      <c r="E98" s="19" t="str">
        <f>IFERROR(INDEX('Detalles movimientos'!F$5:F$1004, MATCH(89, 'Detalles movimientos'!$U$5:$U$1004, 0)), "")</f>
        <v/>
      </c>
      <c r="F98" s="18" t="str">
        <f>IFERROR(INDEX('Detalles movimientos'!G$5:G$1004, MATCH(89, 'Detalles movimientos'!$U$5:$U$1004, 0)), "")</f>
        <v/>
      </c>
      <c r="G98" s="20" t="str">
        <f>IFERROR(INDEX('Detalles movimientos'!H$5:H$1004, MATCH(89, 'Detalles movimientos'!$U$5:$U$1004, 0)), "")</f>
        <v/>
      </c>
      <c r="H98" s="21" t="str">
        <f>IFERROR(INDEX('Detalles movimientos'!I$5:I$1004, MATCH(89, 'Detalles movimientos'!$U$5:$U$1004, 0)), "")</f>
        <v/>
      </c>
      <c r="I98" s="20" t="str">
        <f>IFERROR(INDEX('Detalles movimientos'!M$5:M$1004, MATCH(89, 'Detalles movimientos'!$U$5:$U$1004, 0)), "")</f>
        <v/>
      </c>
      <c r="J98" s="19" t="str">
        <f>IFERROR(INDEX('Detalles movimientos'!N$5:N$1004, MATCH(89, 'Detalles movimientos'!$U$5:$U$1004, 0)), "")</f>
        <v/>
      </c>
      <c r="K98" s="20" t="str">
        <f>IFERROR(INDEX('Detalles movimientos'!O$5:O$1004, MATCH(89, 'Detalles movimientos'!$U$5:$U$1004, 0)), "")</f>
        <v/>
      </c>
      <c r="L98" s="18" t="str">
        <f>IFERROR(INDEX('Detalles movimientos'!P$5:P$1004, MATCH(89, 'Detalles movimientos'!$U$5:$U$1004, 0)), "")</f>
        <v/>
      </c>
      <c r="M98" s="18" t="str">
        <f>IFERROR(INDEX('Detalles movimientos'!S$5:S$1004, MATCH(89, 'Detalles movimientos'!$U$5:$U$1004, 0)), "")</f>
        <v/>
      </c>
    </row>
    <row r="99" spans="2:13">
      <c r="B99" s="17" t="str">
        <f>IFERROR(INDEX('Detalles movimientos'!C$5:C$1004, MATCH(90, 'Detalles movimientos'!$U$5:$U$1004, 0)), "")</f>
        <v/>
      </c>
      <c r="C99" s="18" t="str">
        <f>IFERROR(INDEX('Detalles movimientos'!D$5:D$1004, MATCH(90, 'Detalles movimientos'!$U$5:$U$1004, 0)), "")</f>
        <v/>
      </c>
      <c r="D99" s="19" t="str">
        <f>IFERROR(INDEX('Detalles movimientos'!E$5:E$1004, MATCH(90, 'Detalles movimientos'!$U$5:$U$1004, 0)), "")</f>
        <v/>
      </c>
      <c r="E99" s="19" t="str">
        <f>IFERROR(INDEX('Detalles movimientos'!F$5:F$1004, MATCH(90, 'Detalles movimientos'!$U$5:$U$1004, 0)), "")</f>
        <v/>
      </c>
      <c r="F99" s="18" t="str">
        <f>IFERROR(INDEX('Detalles movimientos'!G$5:G$1004, MATCH(90, 'Detalles movimientos'!$U$5:$U$1004, 0)), "")</f>
        <v/>
      </c>
      <c r="G99" s="20" t="str">
        <f>IFERROR(INDEX('Detalles movimientos'!H$5:H$1004, MATCH(90, 'Detalles movimientos'!$U$5:$U$1004, 0)), "")</f>
        <v/>
      </c>
      <c r="H99" s="21" t="str">
        <f>IFERROR(INDEX('Detalles movimientos'!I$5:I$1004, MATCH(90, 'Detalles movimientos'!$U$5:$U$1004, 0)), "")</f>
        <v/>
      </c>
      <c r="I99" s="20" t="str">
        <f>IFERROR(INDEX('Detalles movimientos'!M$5:M$1004, MATCH(90, 'Detalles movimientos'!$U$5:$U$1004, 0)), "")</f>
        <v/>
      </c>
      <c r="J99" s="19" t="str">
        <f>IFERROR(INDEX('Detalles movimientos'!N$5:N$1004, MATCH(90, 'Detalles movimientos'!$U$5:$U$1004, 0)), "")</f>
        <v/>
      </c>
      <c r="K99" s="20" t="str">
        <f>IFERROR(INDEX('Detalles movimientos'!O$5:O$1004, MATCH(90, 'Detalles movimientos'!$U$5:$U$1004, 0)), "")</f>
        <v/>
      </c>
      <c r="L99" s="18" t="str">
        <f>IFERROR(INDEX('Detalles movimientos'!P$5:P$1004, MATCH(90, 'Detalles movimientos'!$U$5:$U$1004, 0)), "")</f>
        <v/>
      </c>
      <c r="M99" s="18" t="str">
        <f>IFERROR(INDEX('Detalles movimientos'!S$5:S$1004, MATCH(90, 'Detalles movimientos'!$U$5:$U$1004, 0)), "")</f>
        <v/>
      </c>
    </row>
    <row r="100" spans="2:13">
      <c r="B100" s="17" t="str">
        <f>IFERROR(INDEX('Detalles movimientos'!C$5:C$1004, MATCH(91, 'Detalles movimientos'!$U$5:$U$1004, 0)), "")</f>
        <v/>
      </c>
      <c r="C100" s="18" t="str">
        <f>IFERROR(INDEX('Detalles movimientos'!D$5:D$1004, MATCH(91, 'Detalles movimientos'!$U$5:$U$1004, 0)), "")</f>
        <v/>
      </c>
      <c r="D100" s="19" t="str">
        <f>IFERROR(INDEX('Detalles movimientos'!E$5:E$1004, MATCH(91, 'Detalles movimientos'!$U$5:$U$1004, 0)), "")</f>
        <v/>
      </c>
      <c r="E100" s="19" t="str">
        <f>IFERROR(INDEX('Detalles movimientos'!F$5:F$1004, MATCH(91, 'Detalles movimientos'!$U$5:$U$1004, 0)), "")</f>
        <v/>
      </c>
      <c r="F100" s="18" t="str">
        <f>IFERROR(INDEX('Detalles movimientos'!G$5:G$1004, MATCH(91, 'Detalles movimientos'!$U$5:$U$1004, 0)), "")</f>
        <v/>
      </c>
      <c r="G100" s="20" t="str">
        <f>IFERROR(INDEX('Detalles movimientos'!H$5:H$1004, MATCH(91, 'Detalles movimientos'!$U$5:$U$1004, 0)), "")</f>
        <v/>
      </c>
      <c r="H100" s="21" t="str">
        <f>IFERROR(INDEX('Detalles movimientos'!I$5:I$1004, MATCH(91, 'Detalles movimientos'!$U$5:$U$1004, 0)), "")</f>
        <v/>
      </c>
      <c r="I100" s="20" t="str">
        <f>IFERROR(INDEX('Detalles movimientos'!M$5:M$1004, MATCH(91, 'Detalles movimientos'!$U$5:$U$1004, 0)), "")</f>
        <v/>
      </c>
      <c r="J100" s="19" t="str">
        <f>IFERROR(INDEX('Detalles movimientos'!N$5:N$1004, MATCH(91, 'Detalles movimientos'!$U$5:$U$1004, 0)), "")</f>
        <v/>
      </c>
      <c r="K100" s="20" t="str">
        <f>IFERROR(INDEX('Detalles movimientos'!O$5:O$1004, MATCH(91, 'Detalles movimientos'!$U$5:$U$1004, 0)), "")</f>
        <v/>
      </c>
      <c r="L100" s="18" t="str">
        <f>IFERROR(INDEX('Detalles movimientos'!P$5:P$1004, MATCH(91, 'Detalles movimientos'!$U$5:$U$1004, 0)), "")</f>
        <v/>
      </c>
      <c r="M100" s="18" t="str">
        <f>IFERROR(INDEX('Detalles movimientos'!S$5:S$1004, MATCH(91, 'Detalles movimientos'!$U$5:$U$1004, 0)), "")</f>
        <v/>
      </c>
    </row>
    <row r="101" spans="2:13">
      <c r="B101" s="17" t="str">
        <f>IFERROR(INDEX('Detalles movimientos'!C$5:C$1004, MATCH(92, 'Detalles movimientos'!$U$5:$U$1004, 0)), "")</f>
        <v/>
      </c>
      <c r="C101" s="18" t="str">
        <f>IFERROR(INDEX('Detalles movimientos'!D$5:D$1004, MATCH(92, 'Detalles movimientos'!$U$5:$U$1004, 0)), "")</f>
        <v/>
      </c>
      <c r="D101" s="19" t="str">
        <f>IFERROR(INDEX('Detalles movimientos'!E$5:E$1004, MATCH(92, 'Detalles movimientos'!$U$5:$U$1004, 0)), "")</f>
        <v/>
      </c>
      <c r="E101" s="19" t="str">
        <f>IFERROR(INDEX('Detalles movimientos'!F$5:F$1004, MATCH(92, 'Detalles movimientos'!$U$5:$U$1004, 0)), "")</f>
        <v/>
      </c>
      <c r="F101" s="18" t="str">
        <f>IFERROR(INDEX('Detalles movimientos'!G$5:G$1004, MATCH(92, 'Detalles movimientos'!$U$5:$U$1004, 0)), "")</f>
        <v/>
      </c>
      <c r="G101" s="20" t="str">
        <f>IFERROR(INDEX('Detalles movimientos'!H$5:H$1004, MATCH(92, 'Detalles movimientos'!$U$5:$U$1004, 0)), "")</f>
        <v/>
      </c>
      <c r="H101" s="21" t="str">
        <f>IFERROR(INDEX('Detalles movimientos'!I$5:I$1004, MATCH(92, 'Detalles movimientos'!$U$5:$U$1004, 0)), "")</f>
        <v/>
      </c>
      <c r="I101" s="20" t="str">
        <f>IFERROR(INDEX('Detalles movimientos'!M$5:M$1004, MATCH(92, 'Detalles movimientos'!$U$5:$U$1004, 0)), "")</f>
        <v/>
      </c>
      <c r="J101" s="19" t="str">
        <f>IFERROR(INDEX('Detalles movimientos'!N$5:N$1004, MATCH(92, 'Detalles movimientos'!$U$5:$U$1004, 0)), "")</f>
        <v/>
      </c>
      <c r="K101" s="20" t="str">
        <f>IFERROR(INDEX('Detalles movimientos'!O$5:O$1004, MATCH(92, 'Detalles movimientos'!$U$5:$U$1004, 0)), "")</f>
        <v/>
      </c>
      <c r="L101" s="18" t="str">
        <f>IFERROR(INDEX('Detalles movimientos'!P$5:P$1004, MATCH(92, 'Detalles movimientos'!$U$5:$U$1004, 0)), "")</f>
        <v/>
      </c>
      <c r="M101" s="18" t="str">
        <f>IFERROR(INDEX('Detalles movimientos'!S$5:S$1004, MATCH(92, 'Detalles movimientos'!$U$5:$U$1004, 0)), "")</f>
        <v/>
      </c>
    </row>
    <row r="102" spans="2:13">
      <c r="B102" s="17" t="str">
        <f>IFERROR(INDEX('Detalles movimientos'!C$5:C$1004, MATCH(93, 'Detalles movimientos'!$U$5:$U$1004, 0)), "")</f>
        <v/>
      </c>
      <c r="C102" s="18" t="str">
        <f>IFERROR(INDEX('Detalles movimientos'!D$5:D$1004, MATCH(93, 'Detalles movimientos'!$U$5:$U$1004, 0)), "")</f>
        <v/>
      </c>
      <c r="D102" s="19" t="str">
        <f>IFERROR(INDEX('Detalles movimientos'!E$5:E$1004, MATCH(93, 'Detalles movimientos'!$U$5:$U$1004, 0)), "")</f>
        <v/>
      </c>
      <c r="E102" s="19" t="str">
        <f>IFERROR(INDEX('Detalles movimientos'!F$5:F$1004, MATCH(93, 'Detalles movimientos'!$U$5:$U$1004, 0)), "")</f>
        <v/>
      </c>
      <c r="F102" s="18" t="str">
        <f>IFERROR(INDEX('Detalles movimientos'!G$5:G$1004, MATCH(93, 'Detalles movimientos'!$U$5:$U$1004, 0)), "")</f>
        <v/>
      </c>
      <c r="G102" s="20" t="str">
        <f>IFERROR(INDEX('Detalles movimientos'!H$5:H$1004, MATCH(93, 'Detalles movimientos'!$U$5:$U$1004, 0)), "")</f>
        <v/>
      </c>
      <c r="H102" s="21" t="str">
        <f>IFERROR(INDEX('Detalles movimientos'!I$5:I$1004, MATCH(93, 'Detalles movimientos'!$U$5:$U$1004, 0)), "")</f>
        <v/>
      </c>
      <c r="I102" s="20" t="str">
        <f>IFERROR(INDEX('Detalles movimientos'!M$5:M$1004, MATCH(93, 'Detalles movimientos'!$U$5:$U$1004, 0)), "")</f>
        <v/>
      </c>
      <c r="J102" s="19" t="str">
        <f>IFERROR(INDEX('Detalles movimientos'!N$5:N$1004, MATCH(93, 'Detalles movimientos'!$U$5:$U$1004, 0)), "")</f>
        <v/>
      </c>
      <c r="K102" s="20" t="str">
        <f>IFERROR(INDEX('Detalles movimientos'!O$5:O$1004, MATCH(93, 'Detalles movimientos'!$U$5:$U$1004, 0)), "")</f>
        <v/>
      </c>
      <c r="L102" s="18" t="str">
        <f>IFERROR(INDEX('Detalles movimientos'!P$5:P$1004, MATCH(93, 'Detalles movimientos'!$U$5:$U$1004, 0)), "")</f>
        <v/>
      </c>
      <c r="M102" s="18" t="str">
        <f>IFERROR(INDEX('Detalles movimientos'!S$5:S$1004, MATCH(93, 'Detalles movimientos'!$U$5:$U$1004, 0)), "")</f>
        <v/>
      </c>
    </row>
    <row r="103" spans="2:13">
      <c r="B103" s="17" t="str">
        <f>IFERROR(INDEX('Detalles movimientos'!C$5:C$1004, MATCH(94, 'Detalles movimientos'!$U$5:$U$1004, 0)), "")</f>
        <v/>
      </c>
      <c r="C103" s="18" t="str">
        <f>IFERROR(INDEX('Detalles movimientos'!D$5:D$1004, MATCH(94, 'Detalles movimientos'!$U$5:$U$1004, 0)), "")</f>
        <v/>
      </c>
      <c r="D103" s="19" t="str">
        <f>IFERROR(INDEX('Detalles movimientos'!E$5:E$1004, MATCH(94, 'Detalles movimientos'!$U$5:$U$1004, 0)), "")</f>
        <v/>
      </c>
      <c r="E103" s="19" t="str">
        <f>IFERROR(INDEX('Detalles movimientos'!F$5:F$1004, MATCH(94, 'Detalles movimientos'!$U$5:$U$1004, 0)), "")</f>
        <v/>
      </c>
      <c r="F103" s="18" t="str">
        <f>IFERROR(INDEX('Detalles movimientos'!G$5:G$1004, MATCH(94, 'Detalles movimientos'!$U$5:$U$1004, 0)), "")</f>
        <v/>
      </c>
      <c r="G103" s="20" t="str">
        <f>IFERROR(INDEX('Detalles movimientos'!H$5:H$1004, MATCH(94, 'Detalles movimientos'!$U$5:$U$1004, 0)), "")</f>
        <v/>
      </c>
      <c r="H103" s="21" t="str">
        <f>IFERROR(INDEX('Detalles movimientos'!I$5:I$1004, MATCH(94, 'Detalles movimientos'!$U$5:$U$1004, 0)), "")</f>
        <v/>
      </c>
      <c r="I103" s="20" t="str">
        <f>IFERROR(INDEX('Detalles movimientos'!M$5:M$1004, MATCH(94, 'Detalles movimientos'!$U$5:$U$1004, 0)), "")</f>
        <v/>
      </c>
      <c r="J103" s="19" t="str">
        <f>IFERROR(INDEX('Detalles movimientos'!N$5:N$1004, MATCH(94, 'Detalles movimientos'!$U$5:$U$1004, 0)), "")</f>
        <v/>
      </c>
      <c r="K103" s="20" t="str">
        <f>IFERROR(INDEX('Detalles movimientos'!O$5:O$1004, MATCH(94, 'Detalles movimientos'!$U$5:$U$1004, 0)), "")</f>
        <v/>
      </c>
      <c r="L103" s="18" t="str">
        <f>IFERROR(INDEX('Detalles movimientos'!P$5:P$1004, MATCH(94, 'Detalles movimientos'!$U$5:$U$1004, 0)), "")</f>
        <v/>
      </c>
      <c r="M103" s="18" t="str">
        <f>IFERROR(INDEX('Detalles movimientos'!S$5:S$1004, MATCH(94, 'Detalles movimientos'!$U$5:$U$1004, 0)), "")</f>
        <v/>
      </c>
    </row>
    <row r="104" spans="2:13">
      <c r="B104" s="17" t="str">
        <f>IFERROR(INDEX('Detalles movimientos'!C$5:C$1004, MATCH(95, 'Detalles movimientos'!$U$5:$U$1004, 0)), "")</f>
        <v/>
      </c>
      <c r="C104" s="18" t="str">
        <f>IFERROR(INDEX('Detalles movimientos'!D$5:D$1004, MATCH(95, 'Detalles movimientos'!$U$5:$U$1004, 0)), "")</f>
        <v/>
      </c>
      <c r="D104" s="19" t="str">
        <f>IFERROR(INDEX('Detalles movimientos'!E$5:E$1004, MATCH(95, 'Detalles movimientos'!$U$5:$U$1004, 0)), "")</f>
        <v/>
      </c>
      <c r="E104" s="19" t="str">
        <f>IFERROR(INDEX('Detalles movimientos'!F$5:F$1004, MATCH(95, 'Detalles movimientos'!$U$5:$U$1004, 0)), "")</f>
        <v/>
      </c>
      <c r="F104" s="18" t="str">
        <f>IFERROR(INDEX('Detalles movimientos'!G$5:G$1004, MATCH(95, 'Detalles movimientos'!$U$5:$U$1004, 0)), "")</f>
        <v/>
      </c>
      <c r="G104" s="20" t="str">
        <f>IFERROR(INDEX('Detalles movimientos'!H$5:H$1004, MATCH(95, 'Detalles movimientos'!$U$5:$U$1004, 0)), "")</f>
        <v/>
      </c>
      <c r="H104" s="21" t="str">
        <f>IFERROR(INDEX('Detalles movimientos'!I$5:I$1004, MATCH(95, 'Detalles movimientos'!$U$5:$U$1004, 0)), "")</f>
        <v/>
      </c>
      <c r="I104" s="20" t="str">
        <f>IFERROR(INDEX('Detalles movimientos'!M$5:M$1004, MATCH(95, 'Detalles movimientos'!$U$5:$U$1004, 0)), "")</f>
        <v/>
      </c>
      <c r="J104" s="19" t="str">
        <f>IFERROR(INDEX('Detalles movimientos'!N$5:N$1004, MATCH(95, 'Detalles movimientos'!$U$5:$U$1004, 0)), "")</f>
        <v/>
      </c>
      <c r="K104" s="20" t="str">
        <f>IFERROR(INDEX('Detalles movimientos'!O$5:O$1004, MATCH(95, 'Detalles movimientos'!$U$5:$U$1004, 0)), "")</f>
        <v/>
      </c>
      <c r="L104" s="18" t="str">
        <f>IFERROR(INDEX('Detalles movimientos'!P$5:P$1004, MATCH(95, 'Detalles movimientos'!$U$5:$U$1004, 0)), "")</f>
        <v/>
      </c>
      <c r="M104" s="18" t="str">
        <f>IFERROR(INDEX('Detalles movimientos'!S$5:S$1004, MATCH(95, 'Detalles movimientos'!$U$5:$U$1004, 0)), "")</f>
        <v/>
      </c>
    </row>
    <row r="105" spans="2:13">
      <c r="B105" s="17" t="str">
        <f>IFERROR(INDEX('Detalles movimientos'!C$5:C$1004, MATCH(96, 'Detalles movimientos'!$U$5:$U$1004, 0)), "")</f>
        <v/>
      </c>
      <c r="C105" s="18" t="str">
        <f>IFERROR(INDEX('Detalles movimientos'!D$5:D$1004, MATCH(96, 'Detalles movimientos'!$U$5:$U$1004, 0)), "")</f>
        <v/>
      </c>
      <c r="D105" s="19" t="str">
        <f>IFERROR(INDEX('Detalles movimientos'!E$5:E$1004, MATCH(96, 'Detalles movimientos'!$U$5:$U$1004, 0)), "")</f>
        <v/>
      </c>
      <c r="E105" s="19" t="str">
        <f>IFERROR(INDEX('Detalles movimientos'!F$5:F$1004, MATCH(96, 'Detalles movimientos'!$U$5:$U$1004, 0)), "")</f>
        <v/>
      </c>
      <c r="F105" s="18" t="str">
        <f>IFERROR(INDEX('Detalles movimientos'!G$5:G$1004, MATCH(96, 'Detalles movimientos'!$U$5:$U$1004, 0)), "")</f>
        <v/>
      </c>
      <c r="G105" s="20" t="str">
        <f>IFERROR(INDEX('Detalles movimientos'!H$5:H$1004, MATCH(96, 'Detalles movimientos'!$U$5:$U$1004, 0)), "")</f>
        <v/>
      </c>
      <c r="H105" s="21" t="str">
        <f>IFERROR(INDEX('Detalles movimientos'!I$5:I$1004, MATCH(96, 'Detalles movimientos'!$U$5:$U$1004, 0)), "")</f>
        <v/>
      </c>
      <c r="I105" s="20" t="str">
        <f>IFERROR(INDEX('Detalles movimientos'!M$5:M$1004, MATCH(96, 'Detalles movimientos'!$U$5:$U$1004, 0)), "")</f>
        <v/>
      </c>
      <c r="J105" s="19" t="str">
        <f>IFERROR(INDEX('Detalles movimientos'!N$5:N$1004, MATCH(96, 'Detalles movimientos'!$U$5:$U$1004, 0)), "")</f>
        <v/>
      </c>
      <c r="K105" s="20" t="str">
        <f>IFERROR(INDEX('Detalles movimientos'!O$5:O$1004, MATCH(96, 'Detalles movimientos'!$U$5:$U$1004, 0)), "")</f>
        <v/>
      </c>
      <c r="L105" s="18" t="str">
        <f>IFERROR(INDEX('Detalles movimientos'!P$5:P$1004, MATCH(96, 'Detalles movimientos'!$U$5:$U$1004, 0)), "")</f>
        <v/>
      </c>
      <c r="M105" s="18" t="str">
        <f>IFERROR(INDEX('Detalles movimientos'!S$5:S$1004, MATCH(96, 'Detalles movimientos'!$U$5:$U$1004, 0)), "")</f>
        <v/>
      </c>
    </row>
    <row r="106" spans="2:13">
      <c r="B106" s="17" t="str">
        <f>IFERROR(INDEX('Detalles movimientos'!C$5:C$1004, MATCH(97, 'Detalles movimientos'!$U$5:$U$1004, 0)), "")</f>
        <v/>
      </c>
      <c r="C106" s="18" t="str">
        <f>IFERROR(INDEX('Detalles movimientos'!D$5:D$1004, MATCH(97, 'Detalles movimientos'!$U$5:$U$1004, 0)), "")</f>
        <v/>
      </c>
      <c r="D106" s="19" t="str">
        <f>IFERROR(INDEX('Detalles movimientos'!E$5:E$1004, MATCH(97, 'Detalles movimientos'!$U$5:$U$1004, 0)), "")</f>
        <v/>
      </c>
      <c r="E106" s="19" t="str">
        <f>IFERROR(INDEX('Detalles movimientos'!F$5:F$1004, MATCH(97, 'Detalles movimientos'!$U$5:$U$1004, 0)), "")</f>
        <v/>
      </c>
      <c r="F106" s="18" t="str">
        <f>IFERROR(INDEX('Detalles movimientos'!G$5:G$1004, MATCH(97, 'Detalles movimientos'!$U$5:$U$1004, 0)), "")</f>
        <v/>
      </c>
      <c r="G106" s="20" t="str">
        <f>IFERROR(INDEX('Detalles movimientos'!H$5:H$1004, MATCH(97, 'Detalles movimientos'!$U$5:$U$1004, 0)), "")</f>
        <v/>
      </c>
      <c r="H106" s="21" t="str">
        <f>IFERROR(INDEX('Detalles movimientos'!I$5:I$1004, MATCH(97, 'Detalles movimientos'!$U$5:$U$1004, 0)), "")</f>
        <v/>
      </c>
      <c r="I106" s="20" t="str">
        <f>IFERROR(INDEX('Detalles movimientos'!M$5:M$1004, MATCH(97, 'Detalles movimientos'!$U$5:$U$1004, 0)), "")</f>
        <v/>
      </c>
      <c r="J106" s="19" t="str">
        <f>IFERROR(INDEX('Detalles movimientos'!N$5:N$1004, MATCH(97, 'Detalles movimientos'!$U$5:$U$1004, 0)), "")</f>
        <v/>
      </c>
      <c r="K106" s="20" t="str">
        <f>IFERROR(INDEX('Detalles movimientos'!O$5:O$1004, MATCH(97, 'Detalles movimientos'!$U$5:$U$1004, 0)), "")</f>
        <v/>
      </c>
      <c r="L106" s="18" t="str">
        <f>IFERROR(INDEX('Detalles movimientos'!P$5:P$1004, MATCH(97, 'Detalles movimientos'!$U$5:$U$1004, 0)), "")</f>
        <v/>
      </c>
      <c r="M106" s="18" t="str">
        <f>IFERROR(INDEX('Detalles movimientos'!S$5:S$1004, MATCH(97, 'Detalles movimientos'!$U$5:$U$1004, 0)), "")</f>
        <v/>
      </c>
    </row>
    <row r="107" spans="2:13">
      <c r="B107" s="17" t="str">
        <f>IFERROR(INDEX('Detalles movimientos'!C$5:C$1004, MATCH(98, 'Detalles movimientos'!$U$5:$U$1004, 0)), "")</f>
        <v/>
      </c>
      <c r="C107" s="18" t="str">
        <f>IFERROR(INDEX('Detalles movimientos'!D$5:D$1004, MATCH(98, 'Detalles movimientos'!$U$5:$U$1004, 0)), "")</f>
        <v/>
      </c>
      <c r="D107" s="19" t="str">
        <f>IFERROR(INDEX('Detalles movimientos'!E$5:E$1004, MATCH(98, 'Detalles movimientos'!$U$5:$U$1004, 0)), "")</f>
        <v/>
      </c>
      <c r="E107" s="19" t="str">
        <f>IFERROR(INDEX('Detalles movimientos'!F$5:F$1004, MATCH(98, 'Detalles movimientos'!$U$5:$U$1004, 0)), "")</f>
        <v/>
      </c>
      <c r="F107" s="18" t="str">
        <f>IFERROR(INDEX('Detalles movimientos'!G$5:G$1004, MATCH(98, 'Detalles movimientos'!$U$5:$U$1004, 0)), "")</f>
        <v/>
      </c>
      <c r="G107" s="20" t="str">
        <f>IFERROR(INDEX('Detalles movimientos'!H$5:H$1004, MATCH(98, 'Detalles movimientos'!$U$5:$U$1004, 0)), "")</f>
        <v/>
      </c>
      <c r="H107" s="21" t="str">
        <f>IFERROR(INDEX('Detalles movimientos'!I$5:I$1004, MATCH(98, 'Detalles movimientos'!$U$5:$U$1004, 0)), "")</f>
        <v/>
      </c>
      <c r="I107" s="20" t="str">
        <f>IFERROR(INDEX('Detalles movimientos'!M$5:M$1004, MATCH(98, 'Detalles movimientos'!$U$5:$U$1004, 0)), "")</f>
        <v/>
      </c>
      <c r="J107" s="19" t="str">
        <f>IFERROR(INDEX('Detalles movimientos'!N$5:N$1004, MATCH(98, 'Detalles movimientos'!$U$5:$U$1004, 0)), "")</f>
        <v/>
      </c>
      <c r="K107" s="20" t="str">
        <f>IFERROR(INDEX('Detalles movimientos'!O$5:O$1004, MATCH(98, 'Detalles movimientos'!$U$5:$U$1004, 0)), "")</f>
        <v/>
      </c>
      <c r="L107" s="18" t="str">
        <f>IFERROR(INDEX('Detalles movimientos'!P$5:P$1004, MATCH(98, 'Detalles movimientos'!$U$5:$U$1004, 0)), "")</f>
        <v/>
      </c>
      <c r="M107" s="18" t="str">
        <f>IFERROR(INDEX('Detalles movimientos'!S$5:S$1004, MATCH(98, 'Detalles movimientos'!$U$5:$U$1004, 0)), "")</f>
        <v/>
      </c>
    </row>
    <row r="108" spans="2:13">
      <c r="B108" s="17" t="str">
        <f>IFERROR(INDEX('Detalles movimientos'!C$5:C$1004, MATCH(99, 'Detalles movimientos'!$U$5:$U$1004, 0)), "")</f>
        <v/>
      </c>
      <c r="C108" s="18" t="str">
        <f>IFERROR(INDEX('Detalles movimientos'!D$5:D$1004, MATCH(99, 'Detalles movimientos'!$U$5:$U$1004, 0)), "")</f>
        <v/>
      </c>
      <c r="D108" s="19" t="str">
        <f>IFERROR(INDEX('Detalles movimientos'!E$5:E$1004, MATCH(99, 'Detalles movimientos'!$U$5:$U$1004, 0)), "")</f>
        <v/>
      </c>
      <c r="E108" s="19" t="str">
        <f>IFERROR(INDEX('Detalles movimientos'!F$5:F$1004, MATCH(99, 'Detalles movimientos'!$U$5:$U$1004, 0)), "")</f>
        <v/>
      </c>
      <c r="F108" s="18" t="str">
        <f>IFERROR(INDEX('Detalles movimientos'!G$5:G$1004, MATCH(99, 'Detalles movimientos'!$U$5:$U$1004, 0)), "")</f>
        <v/>
      </c>
      <c r="G108" s="20" t="str">
        <f>IFERROR(INDEX('Detalles movimientos'!H$5:H$1004, MATCH(99, 'Detalles movimientos'!$U$5:$U$1004, 0)), "")</f>
        <v/>
      </c>
      <c r="H108" s="21" t="str">
        <f>IFERROR(INDEX('Detalles movimientos'!I$5:I$1004, MATCH(99, 'Detalles movimientos'!$U$5:$U$1004, 0)), "")</f>
        <v/>
      </c>
      <c r="I108" s="20" t="str">
        <f>IFERROR(INDEX('Detalles movimientos'!M$5:M$1004, MATCH(99, 'Detalles movimientos'!$U$5:$U$1004, 0)), "")</f>
        <v/>
      </c>
      <c r="J108" s="19" t="str">
        <f>IFERROR(INDEX('Detalles movimientos'!N$5:N$1004, MATCH(99, 'Detalles movimientos'!$U$5:$U$1004, 0)), "")</f>
        <v/>
      </c>
      <c r="K108" s="20" t="str">
        <f>IFERROR(INDEX('Detalles movimientos'!O$5:O$1004, MATCH(99, 'Detalles movimientos'!$U$5:$U$1004, 0)), "")</f>
        <v/>
      </c>
      <c r="L108" s="18" t="str">
        <f>IFERROR(INDEX('Detalles movimientos'!P$5:P$1004, MATCH(99, 'Detalles movimientos'!$U$5:$U$1004, 0)), "")</f>
        <v/>
      </c>
      <c r="M108" s="18" t="str">
        <f>IFERROR(INDEX('Detalles movimientos'!S$5:S$1004, MATCH(99, 'Detalles movimientos'!$U$5:$U$1004, 0)), "")</f>
        <v/>
      </c>
    </row>
    <row r="109" spans="2:13">
      <c r="B109" s="17" t="str">
        <f>IFERROR(INDEX('Detalles movimientos'!C$5:C$1004, MATCH(100, 'Detalles movimientos'!$U$5:$U$1004, 0)), "")</f>
        <v/>
      </c>
      <c r="C109" s="18" t="str">
        <f>IFERROR(INDEX('Detalles movimientos'!D$5:D$1004, MATCH(100, 'Detalles movimientos'!$U$5:$U$1004, 0)), "")</f>
        <v/>
      </c>
      <c r="D109" s="19" t="str">
        <f>IFERROR(INDEX('Detalles movimientos'!E$5:E$1004, MATCH(100, 'Detalles movimientos'!$U$5:$U$1004, 0)), "")</f>
        <v/>
      </c>
      <c r="E109" s="19" t="str">
        <f>IFERROR(INDEX('Detalles movimientos'!F$5:F$1004, MATCH(100, 'Detalles movimientos'!$U$5:$U$1004, 0)), "")</f>
        <v/>
      </c>
      <c r="F109" s="18" t="str">
        <f>IFERROR(INDEX('Detalles movimientos'!G$5:G$1004, MATCH(100, 'Detalles movimientos'!$U$5:$U$1004, 0)), "")</f>
        <v/>
      </c>
      <c r="G109" s="20" t="str">
        <f>IFERROR(INDEX('Detalles movimientos'!H$5:H$1004, MATCH(100, 'Detalles movimientos'!$U$5:$U$1004, 0)), "")</f>
        <v/>
      </c>
      <c r="H109" s="21" t="str">
        <f>IFERROR(INDEX('Detalles movimientos'!I$5:I$1004, MATCH(100, 'Detalles movimientos'!$U$5:$U$1004, 0)), "")</f>
        <v/>
      </c>
      <c r="I109" s="20" t="str">
        <f>IFERROR(INDEX('Detalles movimientos'!M$5:M$1004, MATCH(100, 'Detalles movimientos'!$U$5:$U$1004, 0)), "")</f>
        <v/>
      </c>
      <c r="J109" s="19" t="str">
        <f>IFERROR(INDEX('Detalles movimientos'!N$5:N$1004, MATCH(100, 'Detalles movimientos'!$U$5:$U$1004, 0)), "")</f>
        <v/>
      </c>
      <c r="K109" s="20" t="str">
        <f>IFERROR(INDEX('Detalles movimientos'!O$5:O$1004, MATCH(100, 'Detalles movimientos'!$U$5:$U$1004, 0)), "")</f>
        <v/>
      </c>
      <c r="L109" s="18" t="str">
        <f>IFERROR(INDEX('Detalles movimientos'!P$5:P$1004, MATCH(100, 'Detalles movimientos'!$U$5:$U$1004, 0)), "")</f>
        <v/>
      </c>
      <c r="M109" s="18" t="str">
        <f>IFERROR(INDEX('Detalles movimientos'!S$5:S$1004, MATCH(100, 'Detalles movimientos'!$U$5:$U$1004, 0)), "")</f>
        <v/>
      </c>
    </row>
    <row r="110" spans="2:13">
      <c r="B110" s="17" t="str">
        <f>IFERROR(INDEX('Detalles movimientos'!C$5:C$1004, MATCH(101, 'Detalles movimientos'!$U$5:$U$1004, 0)), "")</f>
        <v/>
      </c>
      <c r="C110" s="18" t="str">
        <f>IFERROR(INDEX('Detalles movimientos'!D$5:D$1004, MATCH(101, 'Detalles movimientos'!$U$5:$U$1004, 0)), "")</f>
        <v/>
      </c>
      <c r="D110" s="19" t="str">
        <f>IFERROR(INDEX('Detalles movimientos'!E$5:E$1004, MATCH(101, 'Detalles movimientos'!$U$5:$U$1004, 0)), "")</f>
        <v/>
      </c>
      <c r="E110" s="19" t="str">
        <f>IFERROR(INDEX('Detalles movimientos'!F$5:F$1004, MATCH(101, 'Detalles movimientos'!$U$5:$U$1004, 0)), "")</f>
        <v/>
      </c>
      <c r="F110" s="18" t="str">
        <f>IFERROR(INDEX('Detalles movimientos'!G$5:G$1004, MATCH(101, 'Detalles movimientos'!$U$5:$U$1004, 0)), "")</f>
        <v/>
      </c>
      <c r="G110" s="20" t="str">
        <f>IFERROR(INDEX('Detalles movimientos'!H$5:H$1004, MATCH(101, 'Detalles movimientos'!$U$5:$U$1004, 0)), "")</f>
        <v/>
      </c>
      <c r="H110" s="21" t="str">
        <f>IFERROR(INDEX('Detalles movimientos'!I$5:I$1004, MATCH(101, 'Detalles movimientos'!$U$5:$U$1004, 0)), "")</f>
        <v/>
      </c>
      <c r="I110" s="20" t="str">
        <f>IFERROR(INDEX('Detalles movimientos'!M$5:M$1004, MATCH(101, 'Detalles movimientos'!$U$5:$U$1004, 0)), "")</f>
        <v/>
      </c>
      <c r="J110" s="19" t="str">
        <f>IFERROR(INDEX('Detalles movimientos'!N$5:N$1004, MATCH(101, 'Detalles movimientos'!$U$5:$U$1004, 0)), "")</f>
        <v/>
      </c>
      <c r="K110" s="20" t="str">
        <f>IFERROR(INDEX('Detalles movimientos'!O$5:O$1004, MATCH(101, 'Detalles movimientos'!$U$5:$U$1004, 0)), "")</f>
        <v/>
      </c>
      <c r="L110" s="18" t="str">
        <f>IFERROR(INDEX('Detalles movimientos'!P$5:P$1004, MATCH(101, 'Detalles movimientos'!$U$5:$U$1004, 0)), "")</f>
        <v/>
      </c>
      <c r="M110" s="18" t="str">
        <f>IFERROR(INDEX('Detalles movimientos'!S$5:S$1004, MATCH(101, 'Detalles movimientos'!$U$5:$U$1004, 0)), "")</f>
        <v/>
      </c>
    </row>
    <row r="111" spans="2:13">
      <c r="B111" s="17" t="str">
        <f>IFERROR(INDEX('Detalles movimientos'!C$5:C$1004, MATCH(102, 'Detalles movimientos'!$U$5:$U$1004, 0)), "")</f>
        <v/>
      </c>
      <c r="C111" s="18" t="str">
        <f>IFERROR(INDEX('Detalles movimientos'!D$5:D$1004, MATCH(102, 'Detalles movimientos'!$U$5:$U$1004, 0)), "")</f>
        <v/>
      </c>
      <c r="D111" s="19" t="str">
        <f>IFERROR(INDEX('Detalles movimientos'!E$5:E$1004, MATCH(102, 'Detalles movimientos'!$U$5:$U$1004, 0)), "")</f>
        <v/>
      </c>
      <c r="E111" s="19" t="str">
        <f>IFERROR(INDEX('Detalles movimientos'!F$5:F$1004, MATCH(102, 'Detalles movimientos'!$U$5:$U$1004, 0)), "")</f>
        <v/>
      </c>
      <c r="F111" s="18" t="str">
        <f>IFERROR(INDEX('Detalles movimientos'!G$5:G$1004, MATCH(102, 'Detalles movimientos'!$U$5:$U$1004, 0)), "")</f>
        <v/>
      </c>
      <c r="G111" s="20" t="str">
        <f>IFERROR(INDEX('Detalles movimientos'!H$5:H$1004, MATCH(102, 'Detalles movimientos'!$U$5:$U$1004, 0)), "")</f>
        <v/>
      </c>
      <c r="H111" s="21" t="str">
        <f>IFERROR(INDEX('Detalles movimientos'!I$5:I$1004, MATCH(102, 'Detalles movimientos'!$U$5:$U$1004, 0)), "")</f>
        <v/>
      </c>
      <c r="I111" s="20" t="str">
        <f>IFERROR(INDEX('Detalles movimientos'!M$5:M$1004, MATCH(102, 'Detalles movimientos'!$U$5:$U$1004, 0)), "")</f>
        <v/>
      </c>
      <c r="J111" s="19" t="str">
        <f>IFERROR(INDEX('Detalles movimientos'!N$5:N$1004, MATCH(102, 'Detalles movimientos'!$U$5:$U$1004, 0)), "")</f>
        <v/>
      </c>
      <c r="K111" s="20" t="str">
        <f>IFERROR(INDEX('Detalles movimientos'!O$5:O$1004, MATCH(102, 'Detalles movimientos'!$U$5:$U$1004, 0)), "")</f>
        <v/>
      </c>
      <c r="L111" s="18" t="str">
        <f>IFERROR(INDEX('Detalles movimientos'!P$5:P$1004, MATCH(102, 'Detalles movimientos'!$U$5:$U$1004, 0)), "")</f>
        <v/>
      </c>
      <c r="M111" s="18" t="str">
        <f>IFERROR(INDEX('Detalles movimientos'!S$5:S$1004, MATCH(102, 'Detalles movimientos'!$U$5:$U$1004, 0)), "")</f>
        <v/>
      </c>
    </row>
    <row r="112" spans="2:13">
      <c r="B112" s="17" t="str">
        <f>IFERROR(INDEX('Detalles movimientos'!C$5:C$1004, MATCH(103, 'Detalles movimientos'!$U$5:$U$1004, 0)), "")</f>
        <v/>
      </c>
      <c r="C112" s="18" t="str">
        <f>IFERROR(INDEX('Detalles movimientos'!D$5:D$1004, MATCH(103, 'Detalles movimientos'!$U$5:$U$1004, 0)), "")</f>
        <v/>
      </c>
      <c r="D112" s="19" t="str">
        <f>IFERROR(INDEX('Detalles movimientos'!E$5:E$1004, MATCH(103, 'Detalles movimientos'!$U$5:$U$1004, 0)), "")</f>
        <v/>
      </c>
      <c r="E112" s="19" t="str">
        <f>IFERROR(INDEX('Detalles movimientos'!F$5:F$1004, MATCH(103, 'Detalles movimientos'!$U$5:$U$1004, 0)), "")</f>
        <v/>
      </c>
      <c r="F112" s="18" t="str">
        <f>IFERROR(INDEX('Detalles movimientos'!G$5:G$1004, MATCH(103, 'Detalles movimientos'!$U$5:$U$1004, 0)), "")</f>
        <v/>
      </c>
      <c r="G112" s="20" t="str">
        <f>IFERROR(INDEX('Detalles movimientos'!H$5:H$1004, MATCH(103, 'Detalles movimientos'!$U$5:$U$1004, 0)), "")</f>
        <v/>
      </c>
      <c r="H112" s="21" t="str">
        <f>IFERROR(INDEX('Detalles movimientos'!I$5:I$1004, MATCH(103, 'Detalles movimientos'!$U$5:$U$1004, 0)), "")</f>
        <v/>
      </c>
      <c r="I112" s="20" t="str">
        <f>IFERROR(INDEX('Detalles movimientos'!M$5:M$1004, MATCH(103, 'Detalles movimientos'!$U$5:$U$1004, 0)), "")</f>
        <v/>
      </c>
      <c r="J112" s="19" t="str">
        <f>IFERROR(INDEX('Detalles movimientos'!N$5:N$1004, MATCH(103, 'Detalles movimientos'!$U$5:$U$1004, 0)), "")</f>
        <v/>
      </c>
      <c r="K112" s="20" t="str">
        <f>IFERROR(INDEX('Detalles movimientos'!O$5:O$1004, MATCH(103, 'Detalles movimientos'!$U$5:$U$1004, 0)), "")</f>
        <v/>
      </c>
      <c r="L112" s="18" t="str">
        <f>IFERROR(INDEX('Detalles movimientos'!P$5:P$1004, MATCH(103, 'Detalles movimientos'!$U$5:$U$1004, 0)), "")</f>
        <v/>
      </c>
      <c r="M112" s="18" t="str">
        <f>IFERROR(INDEX('Detalles movimientos'!S$5:S$1004, MATCH(103, 'Detalles movimientos'!$U$5:$U$1004, 0)), "")</f>
        <v/>
      </c>
    </row>
    <row r="113" spans="2:13">
      <c r="B113" s="17" t="str">
        <f>IFERROR(INDEX('Detalles movimientos'!C$5:C$1004, MATCH(104, 'Detalles movimientos'!$U$5:$U$1004, 0)), "")</f>
        <v/>
      </c>
      <c r="C113" s="18" t="str">
        <f>IFERROR(INDEX('Detalles movimientos'!D$5:D$1004, MATCH(104, 'Detalles movimientos'!$U$5:$U$1004, 0)), "")</f>
        <v/>
      </c>
      <c r="D113" s="19" t="str">
        <f>IFERROR(INDEX('Detalles movimientos'!E$5:E$1004, MATCH(104, 'Detalles movimientos'!$U$5:$U$1004, 0)), "")</f>
        <v/>
      </c>
      <c r="E113" s="19" t="str">
        <f>IFERROR(INDEX('Detalles movimientos'!F$5:F$1004, MATCH(104, 'Detalles movimientos'!$U$5:$U$1004, 0)), "")</f>
        <v/>
      </c>
      <c r="F113" s="18" t="str">
        <f>IFERROR(INDEX('Detalles movimientos'!G$5:G$1004, MATCH(104, 'Detalles movimientos'!$U$5:$U$1004, 0)), "")</f>
        <v/>
      </c>
      <c r="G113" s="20" t="str">
        <f>IFERROR(INDEX('Detalles movimientos'!H$5:H$1004, MATCH(104, 'Detalles movimientos'!$U$5:$U$1004, 0)), "")</f>
        <v/>
      </c>
      <c r="H113" s="21" t="str">
        <f>IFERROR(INDEX('Detalles movimientos'!I$5:I$1004, MATCH(104, 'Detalles movimientos'!$U$5:$U$1004, 0)), "")</f>
        <v/>
      </c>
      <c r="I113" s="20" t="str">
        <f>IFERROR(INDEX('Detalles movimientos'!M$5:M$1004, MATCH(104, 'Detalles movimientos'!$U$5:$U$1004, 0)), "")</f>
        <v/>
      </c>
      <c r="J113" s="19" t="str">
        <f>IFERROR(INDEX('Detalles movimientos'!N$5:N$1004, MATCH(104, 'Detalles movimientos'!$U$5:$U$1004, 0)), "")</f>
        <v/>
      </c>
      <c r="K113" s="20" t="str">
        <f>IFERROR(INDEX('Detalles movimientos'!O$5:O$1004, MATCH(104, 'Detalles movimientos'!$U$5:$U$1004, 0)), "")</f>
        <v/>
      </c>
      <c r="L113" s="18" t="str">
        <f>IFERROR(INDEX('Detalles movimientos'!P$5:P$1004, MATCH(104, 'Detalles movimientos'!$U$5:$U$1004, 0)), "")</f>
        <v/>
      </c>
      <c r="M113" s="18" t="str">
        <f>IFERROR(INDEX('Detalles movimientos'!S$5:S$1004, MATCH(104, 'Detalles movimientos'!$U$5:$U$1004, 0)), "")</f>
        <v/>
      </c>
    </row>
    <row r="114" spans="2:13">
      <c r="B114" s="17" t="str">
        <f>IFERROR(INDEX('Detalles movimientos'!C$5:C$1004, MATCH(105, 'Detalles movimientos'!$U$5:$U$1004, 0)), "")</f>
        <v/>
      </c>
      <c r="C114" s="18" t="str">
        <f>IFERROR(INDEX('Detalles movimientos'!D$5:D$1004, MATCH(105, 'Detalles movimientos'!$U$5:$U$1004, 0)), "")</f>
        <v/>
      </c>
      <c r="D114" s="19" t="str">
        <f>IFERROR(INDEX('Detalles movimientos'!E$5:E$1004, MATCH(105, 'Detalles movimientos'!$U$5:$U$1004, 0)), "")</f>
        <v/>
      </c>
      <c r="E114" s="19" t="str">
        <f>IFERROR(INDEX('Detalles movimientos'!F$5:F$1004, MATCH(105, 'Detalles movimientos'!$U$5:$U$1004, 0)), "")</f>
        <v/>
      </c>
      <c r="F114" s="18" t="str">
        <f>IFERROR(INDEX('Detalles movimientos'!G$5:G$1004, MATCH(105, 'Detalles movimientos'!$U$5:$U$1004, 0)), "")</f>
        <v/>
      </c>
      <c r="G114" s="20" t="str">
        <f>IFERROR(INDEX('Detalles movimientos'!H$5:H$1004, MATCH(105, 'Detalles movimientos'!$U$5:$U$1004, 0)), "")</f>
        <v/>
      </c>
      <c r="H114" s="21" t="str">
        <f>IFERROR(INDEX('Detalles movimientos'!I$5:I$1004, MATCH(105, 'Detalles movimientos'!$U$5:$U$1004, 0)), "")</f>
        <v/>
      </c>
      <c r="I114" s="20" t="str">
        <f>IFERROR(INDEX('Detalles movimientos'!M$5:M$1004, MATCH(105, 'Detalles movimientos'!$U$5:$U$1004, 0)), "")</f>
        <v/>
      </c>
      <c r="J114" s="19" t="str">
        <f>IFERROR(INDEX('Detalles movimientos'!N$5:N$1004, MATCH(105, 'Detalles movimientos'!$U$5:$U$1004, 0)), "")</f>
        <v/>
      </c>
      <c r="K114" s="20" t="str">
        <f>IFERROR(INDEX('Detalles movimientos'!O$5:O$1004, MATCH(105, 'Detalles movimientos'!$U$5:$U$1004, 0)), "")</f>
        <v/>
      </c>
      <c r="L114" s="18" t="str">
        <f>IFERROR(INDEX('Detalles movimientos'!P$5:P$1004, MATCH(105, 'Detalles movimientos'!$U$5:$U$1004, 0)), "")</f>
        <v/>
      </c>
      <c r="M114" s="18" t="str">
        <f>IFERROR(INDEX('Detalles movimientos'!S$5:S$1004, MATCH(105, 'Detalles movimientos'!$U$5:$U$1004, 0)), "")</f>
        <v/>
      </c>
    </row>
    <row r="115" spans="2:13">
      <c r="B115" s="17" t="str">
        <f>IFERROR(INDEX('Detalles movimientos'!C$5:C$1004, MATCH(106, 'Detalles movimientos'!$U$5:$U$1004, 0)), "")</f>
        <v/>
      </c>
      <c r="C115" s="18" t="str">
        <f>IFERROR(INDEX('Detalles movimientos'!D$5:D$1004, MATCH(106, 'Detalles movimientos'!$U$5:$U$1004, 0)), "")</f>
        <v/>
      </c>
      <c r="D115" s="19" t="str">
        <f>IFERROR(INDEX('Detalles movimientos'!E$5:E$1004, MATCH(106, 'Detalles movimientos'!$U$5:$U$1004, 0)), "")</f>
        <v/>
      </c>
      <c r="E115" s="19" t="str">
        <f>IFERROR(INDEX('Detalles movimientos'!F$5:F$1004, MATCH(106, 'Detalles movimientos'!$U$5:$U$1004, 0)), "")</f>
        <v/>
      </c>
      <c r="F115" s="18" t="str">
        <f>IFERROR(INDEX('Detalles movimientos'!G$5:G$1004, MATCH(106, 'Detalles movimientos'!$U$5:$U$1004, 0)), "")</f>
        <v/>
      </c>
      <c r="G115" s="20" t="str">
        <f>IFERROR(INDEX('Detalles movimientos'!H$5:H$1004, MATCH(106, 'Detalles movimientos'!$U$5:$U$1004, 0)), "")</f>
        <v/>
      </c>
      <c r="H115" s="21" t="str">
        <f>IFERROR(INDEX('Detalles movimientos'!I$5:I$1004, MATCH(106, 'Detalles movimientos'!$U$5:$U$1004, 0)), "")</f>
        <v/>
      </c>
      <c r="I115" s="20" t="str">
        <f>IFERROR(INDEX('Detalles movimientos'!M$5:M$1004, MATCH(106, 'Detalles movimientos'!$U$5:$U$1004, 0)), "")</f>
        <v/>
      </c>
      <c r="J115" s="19" t="str">
        <f>IFERROR(INDEX('Detalles movimientos'!N$5:N$1004, MATCH(106, 'Detalles movimientos'!$U$5:$U$1004, 0)), "")</f>
        <v/>
      </c>
      <c r="K115" s="20" t="str">
        <f>IFERROR(INDEX('Detalles movimientos'!O$5:O$1004, MATCH(106, 'Detalles movimientos'!$U$5:$U$1004, 0)), "")</f>
        <v/>
      </c>
      <c r="L115" s="18" t="str">
        <f>IFERROR(INDEX('Detalles movimientos'!P$5:P$1004, MATCH(106, 'Detalles movimientos'!$U$5:$U$1004, 0)), "")</f>
        <v/>
      </c>
      <c r="M115" s="18" t="str">
        <f>IFERROR(INDEX('Detalles movimientos'!S$5:S$1004, MATCH(106, 'Detalles movimientos'!$U$5:$U$1004, 0)), "")</f>
        <v/>
      </c>
    </row>
    <row r="116" spans="2:13">
      <c r="B116" s="17" t="str">
        <f>IFERROR(INDEX('Detalles movimientos'!C$5:C$1004, MATCH(107, 'Detalles movimientos'!$U$5:$U$1004, 0)), "")</f>
        <v/>
      </c>
      <c r="C116" s="18" t="str">
        <f>IFERROR(INDEX('Detalles movimientos'!D$5:D$1004, MATCH(107, 'Detalles movimientos'!$U$5:$U$1004, 0)), "")</f>
        <v/>
      </c>
      <c r="D116" s="19" t="str">
        <f>IFERROR(INDEX('Detalles movimientos'!E$5:E$1004, MATCH(107, 'Detalles movimientos'!$U$5:$U$1004, 0)), "")</f>
        <v/>
      </c>
      <c r="E116" s="19" t="str">
        <f>IFERROR(INDEX('Detalles movimientos'!F$5:F$1004, MATCH(107, 'Detalles movimientos'!$U$5:$U$1004, 0)), "")</f>
        <v/>
      </c>
      <c r="F116" s="18" t="str">
        <f>IFERROR(INDEX('Detalles movimientos'!G$5:G$1004, MATCH(107, 'Detalles movimientos'!$U$5:$U$1004, 0)), "")</f>
        <v/>
      </c>
      <c r="G116" s="20" t="str">
        <f>IFERROR(INDEX('Detalles movimientos'!H$5:H$1004, MATCH(107, 'Detalles movimientos'!$U$5:$U$1004, 0)), "")</f>
        <v/>
      </c>
      <c r="H116" s="21" t="str">
        <f>IFERROR(INDEX('Detalles movimientos'!I$5:I$1004, MATCH(107, 'Detalles movimientos'!$U$5:$U$1004, 0)), "")</f>
        <v/>
      </c>
      <c r="I116" s="20" t="str">
        <f>IFERROR(INDEX('Detalles movimientos'!M$5:M$1004, MATCH(107, 'Detalles movimientos'!$U$5:$U$1004, 0)), "")</f>
        <v/>
      </c>
      <c r="J116" s="19" t="str">
        <f>IFERROR(INDEX('Detalles movimientos'!N$5:N$1004, MATCH(107, 'Detalles movimientos'!$U$5:$U$1004, 0)), "")</f>
        <v/>
      </c>
      <c r="K116" s="20" t="str">
        <f>IFERROR(INDEX('Detalles movimientos'!O$5:O$1004, MATCH(107, 'Detalles movimientos'!$U$5:$U$1004, 0)), "")</f>
        <v/>
      </c>
      <c r="L116" s="18" t="str">
        <f>IFERROR(INDEX('Detalles movimientos'!P$5:P$1004, MATCH(107, 'Detalles movimientos'!$U$5:$U$1004, 0)), "")</f>
        <v/>
      </c>
      <c r="M116" s="18" t="str">
        <f>IFERROR(INDEX('Detalles movimientos'!S$5:S$1004, MATCH(107, 'Detalles movimientos'!$U$5:$U$1004, 0)), "")</f>
        <v/>
      </c>
    </row>
    <row r="117" spans="2:13">
      <c r="B117" s="17" t="str">
        <f>IFERROR(INDEX('Detalles movimientos'!C$5:C$1004, MATCH(108, 'Detalles movimientos'!$U$5:$U$1004, 0)), "")</f>
        <v/>
      </c>
      <c r="C117" s="18" t="str">
        <f>IFERROR(INDEX('Detalles movimientos'!D$5:D$1004, MATCH(108, 'Detalles movimientos'!$U$5:$U$1004, 0)), "")</f>
        <v/>
      </c>
      <c r="D117" s="19" t="str">
        <f>IFERROR(INDEX('Detalles movimientos'!E$5:E$1004, MATCH(108, 'Detalles movimientos'!$U$5:$U$1004, 0)), "")</f>
        <v/>
      </c>
      <c r="E117" s="19" t="str">
        <f>IFERROR(INDEX('Detalles movimientos'!F$5:F$1004, MATCH(108, 'Detalles movimientos'!$U$5:$U$1004, 0)), "")</f>
        <v/>
      </c>
      <c r="F117" s="18" t="str">
        <f>IFERROR(INDEX('Detalles movimientos'!G$5:G$1004, MATCH(108, 'Detalles movimientos'!$U$5:$U$1004, 0)), "")</f>
        <v/>
      </c>
      <c r="G117" s="20" t="str">
        <f>IFERROR(INDEX('Detalles movimientos'!H$5:H$1004, MATCH(108, 'Detalles movimientos'!$U$5:$U$1004, 0)), "")</f>
        <v/>
      </c>
      <c r="H117" s="21" t="str">
        <f>IFERROR(INDEX('Detalles movimientos'!I$5:I$1004, MATCH(108, 'Detalles movimientos'!$U$5:$U$1004, 0)), "")</f>
        <v/>
      </c>
      <c r="I117" s="20" t="str">
        <f>IFERROR(INDEX('Detalles movimientos'!M$5:M$1004, MATCH(108, 'Detalles movimientos'!$U$5:$U$1004, 0)), "")</f>
        <v/>
      </c>
      <c r="J117" s="19" t="str">
        <f>IFERROR(INDEX('Detalles movimientos'!N$5:N$1004, MATCH(108, 'Detalles movimientos'!$U$5:$U$1004, 0)), "")</f>
        <v/>
      </c>
      <c r="K117" s="20" t="str">
        <f>IFERROR(INDEX('Detalles movimientos'!O$5:O$1004, MATCH(108, 'Detalles movimientos'!$U$5:$U$1004, 0)), "")</f>
        <v/>
      </c>
      <c r="L117" s="18" t="str">
        <f>IFERROR(INDEX('Detalles movimientos'!P$5:P$1004, MATCH(108, 'Detalles movimientos'!$U$5:$U$1004, 0)), "")</f>
        <v/>
      </c>
      <c r="M117" s="18" t="str">
        <f>IFERROR(INDEX('Detalles movimientos'!S$5:S$1004, MATCH(108, 'Detalles movimientos'!$U$5:$U$1004, 0)), "")</f>
        <v/>
      </c>
    </row>
    <row r="118" spans="2:13">
      <c r="B118" s="17" t="str">
        <f>IFERROR(INDEX('Detalles movimientos'!C$5:C$1004, MATCH(109, 'Detalles movimientos'!$U$5:$U$1004, 0)), "")</f>
        <v/>
      </c>
      <c r="C118" s="18" t="str">
        <f>IFERROR(INDEX('Detalles movimientos'!D$5:D$1004, MATCH(109, 'Detalles movimientos'!$U$5:$U$1004, 0)), "")</f>
        <v/>
      </c>
      <c r="D118" s="19" t="str">
        <f>IFERROR(INDEX('Detalles movimientos'!E$5:E$1004, MATCH(109, 'Detalles movimientos'!$U$5:$U$1004, 0)), "")</f>
        <v/>
      </c>
      <c r="E118" s="19" t="str">
        <f>IFERROR(INDEX('Detalles movimientos'!F$5:F$1004, MATCH(109, 'Detalles movimientos'!$U$5:$U$1004, 0)), "")</f>
        <v/>
      </c>
      <c r="F118" s="18" t="str">
        <f>IFERROR(INDEX('Detalles movimientos'!G$5:G$1004, MATCH(109, 'Detalles movimientos'!$U$5:$U$1004, 0)), "")</f>
        <v/>
      </c>
      <c r="G118" s="20" t="str">
        <f>IFERROR(INDEX('Detalles movimientos'!H$5:H$1004, MATCH(109, 'Detalles movimientos'!$U$5:$U$1004, 0)), "")</f>
        <v/>
      </c>
      <c r="H118" s="21" t="str">
        <f>IFERROR(INDEX('Detalles movimientos'!I$5:I$1004, MATCH(109, 'Detalles movimientos'!$U$5:$U$1004, 0)), "")</f>
        <v/>
      </c>
      <c r="I118" s="20" t="str">
        <f>IFERROR(INDEX('Detalles movimientos'!M$5:M$1004, MATCH(109, 'Detalles movimientos'!$U$5:$U$1004, 0)), "")</f>
        <v/>
      </c>
      <c r="J118" s="19" t="str">
        <f>IFERROR(INDEX('Detalles movimientos'!N$5:N$1004, MATCH(109, 'Detalles movimientos'!$U$5:$U$1004, 0)), "")</f>
        <v/>
      </c>
      <c r="K118" s="20" t="str">
        <f>IFERROR(INDEX('Detalles movimientos'!O$5:O$1004, MATCH(109, 'Detalles movimientos'!$U$5:$U$1004, 0)), "")</f>
        <v/>
      </c>
      <c r="L118" s="18" t="str">
        <f>IFERROR(INDEX('Detalles movimientos'!P$5:P$1004, MATCH(109, 'Detalles movimientos'!$U$5:$U$1004, 0)), "")</f>
        <v/>
      </c>
      <c r="M118" s="18" t="str">
        <f>IFERROR(INDEX('Detalles movimientos'!S$5:S$1004, MATCH(109, 'Detalles movimientos'!$U$5:$U$1004, 0)), "")</f>
        <v/>
      </c>
    </row>
    <row r="119" spans="2:13">
      <c r="B119" s="17" t="str">
        <f>IFERROR(INDEX('Detalles movimientos'!C$5:C$1004, MATCH(110, 'Detalles movimientos'!$U$5:$U$1004, 0)), "")</f>
        <v/>
      </c>
      <c r="C119" s="18" t="str">
        <f>IFERROR(INDEX('Detalles movimientos'!D$5:D$1004, MATCH(110, 'Detalles movimientos'!$U$5:$U$1004, 0)), "")</f>
        <v/>
      </c>
      <c r="D119" s="19" t="str">
        <f>IFERROR(INDEX('Detalles movimientos'!E$5:E$1004, MATCH(110, 'Detalles movimientos'!$U$5:$U$1004, 0)), "")</f>
        <v/>
      </c>
      <c r="E119" s="19" t="str">
        <f>IFERROR(INDEX('Detalles movimientos'!F$5:F$1004, MATCH(110, 'Detalles movimientos'!$U$5:$U$1004, 0)), "")</f>
        <v/>
      </c>
      <c r="F119" s="18" t="str">
        <f>IFERROR(INDEX('Detalles movimientos'!G$5:G$1004, MATCH(110, 'Detalles movimientos'!$U$5:$U$1004, 0)), "")</f>
        <v/>
      </c>
      <c r="G119" s="20" t="str">
        <f>IFERROR(INDEX('Detalles movimientos'!H$5:H$1004, MATCH(110, 'Detalles movimientos'!$U$5:$U$1004, 0)), "")</f>
        <v/>
      </c>
      <c r="H119" s="21" t="str">
        <f>IFERROR(INDEX('Detalles movimientos'!I$5:I$1004, MATCH(110, 'Detalles movimientos'!$U$5:$U$1004, 0)), "")</f>
        <v/>
      </c>
      <c r="I119" s="20" t="str">
        <f>IFERROR(INDEX('Detalles movimientos'!M$5:M$1004, MATCH(110, 'Detalles movimientos'!$U$5:$U$1004, 0)), "")</f>
        <v/>
      </c>
      <c r="J119" s="19" t="str">
        <f>IFERROR(INDEX('Detalles movimientos'!N$5:N$1004, MATCH(110, 'Detalles movimientos'!$U$5:$U$1004, 0)), "")</f>
        <v/>
      </c>
      <c r="K119" s="20" t="str">
        <f>IFERROR(INDEX('Detalles movimientos'!O$5:O$1004, MATCH(110, 'Detalles movimientos'!$U$5:$U$1004, 0)), "")</f>
        <v/>
      </c>
      <c r="L119" s="18" t="str">
        <f>IFERROR(INDEX('Detalles movimientos'!P$5:P$1004, MATCH(110, 'Detalles movimientos'!$U$5:$U$1004, 0)), "")</f>
        <v/>
      </c>
      <c r="M119" s="18" t="str">
        <f>IFERROR(INDEX('Detalles movimientos'!S$5:S$1004, MATCH(110, 'Detalles movimientos'!$U$5:$U$1004, 0)), "")</f>
        <v/>
      </c>
    </row>
    <row r="120" spans="2:13">
      <c r="B120" s="17" t="str">
        <f>IFERROR(INDEX('Detalles movimientos'!C$5:C$1004, MATCH(111, 'Detalles movimientos'!$U$5:$U$1004, 0)), "")</f>
        <v/>
      </c>
      <c r="C120" s="18" t="str">
        <f>IFERROR(INDEX('Detalles movimientos'!D$5:D$1004, MATCH(111, 'Detalles movimientos'!$U$5:$U$1004, 0)), "")</f>
        <v/>
      </c>
      <c r="D120" s="19" t="str">
        <f>IFERROR(INDEX('Detalles movimientos'!E$5:E$1004, MATCH(111, 'Detalles movimientos'!$U$5:$U$1004, 0)), "")</f>
        <v/>
      </c>
      <c r="E120" s="19" t="str">
        <f>IFERROR(INDEX('Detalles movimientos'!F$5:F$1004, MATCH(111, 'Detalles movimientos'!$U$5:$U$1004, 0)), "")</f>
        <v/>
      </c>
      <c r="F120" s="18" t="str">
        <f>IFERROR(INDEX('Detalles movimientos'!G$5:G$1004, MATCH(111, 'Detalles movimientos'!$U$5:$U$1004, 0)), "")</f>
        <v/>
      </c>
      <c r="G120" s="20" t="str">
        <f>IFERROR(INDEX('Detalles movimientos'!H$5:H$1004, MATCH(111, 'Detalles movimientos'!$U$5:$U$1004, 0)), "")</f>
        <v/>
      </c>
      <c r="H120" s="21" t="str">
        <f>IFERROR(INDEX('Detalles movimientos'!I$5:I$1004, MATCH(111, 'Detalles movimientos'!$U$5:$U$1004, 0)), "")</f>
        <v/>
      </c>
      <c r="I120" s="20" t="str">
        <f>IFERROR(INDEX('Detalles movimientos'!M$5:M$1004, MATCH(111, 'Detalles movimientos'!$U$5:$U$1004, 0)), "")</f>
        <v/>
      </c>
      <c r="J120" s="19" t="str">
        <f>IFERROR(INDEX('Detalles movimientos'!N$5:N$1004, MATCH(111, 'Detalles movimientos'!$U$5:$U$1004, 0)), "")</f>
        <v/>
      </c>
      <c r="K120" s="20" t="str">
        <f>IFERROR(INDEX('Detalles movimientos'!O$5:O$1004, MATCH(111, 'Detalles movimientos'!$U$5:$U$1004, 0)), "")</f>
        <v/>
      </c>
      <c r="L120" s="18" t="str">
        <f>IFERROR(INDEX('Detalles movimientos'!P$5:P$1004, MATCH(111, 'Detalles movimientos'!$U$5:$U$1004, 0)), "")</f>
        <v/>
      </c>
      <c r="M120" s="18" t="str">
        <f>IFERROR(INDEX('Detalles movimientos'!S$5:S$1004, MATCH(111, 'Detalles movimientos'!$U$5:$U$1004, 0)), "")</f>
        <v/>
      </c>
    </row>
    <row r="121" spans="2:13">
      <c r="B121" s="17" t="str">
        <f>IFERROR(INDEX('Detalles movimientos'!C$5:C$1004, MATCH(112, 'Detalles movimientos'!$U$5:$U$1004, 0)), "")</f>
        <v/>
      </c>
      <c r="C121" s="18" t="str">
        <f>IFERROR(INDEX('Detalles movimientos'!D$5:D$1004, MATCH(112, 'Detalles movimientos'!$U$5:$U$1004, 0)), "")</f>
        <v/>
      </c>
      <c r="D121" s="19" t="str">
        <f>IFERROR(INDEX('Detalles movimientos'!E$5:E$1004, MATCH(112, 'Detalles movimientos'!$U$5:$U$1004, 0)), "")</f>
        <v/>
      </c>
      <c r="E121" s="19" t="str">
        <f>IFERROR(INDEX('Detalles movimientos'!F$5:F$1004, MATCH(112, 'Detalles movimientos'!$U$5:$U$1004, 0)), "")</f>
        <v/>
      </c>
      <c r="F121" s="18" t="str">
        <f>IFERROR(INDEX('Detalles movimientos'!G$5:G$1004, MATCH(112, 'Detalles movimientos'!$U$5:$U$1004, 0)), "")</f>
        <v/>
      </c>
      <c r="G121" s="20" t="str">
        <f>IFERROR(INDEX('Detalles movimientos'!H$5:H$1004, MATCH(112, 'Detalles movimientos'!$U$5:$U$1004, 0)), "")</f>
        <v/>
      </c>
      <c r="H121" s="21" t="str">
        <f>IFERROR(INDEX('Detalles movimientos'!I$5:I$1004, MATCH(112, 'Detalles movimientos'!$U$5:$U$1004, 0)), "")</f>
        <v/>
      </c>
      <c r="I121" s="20" t="str">
        <f>IFERROR(INDEX('Detalles movimientos'!M$5:M$1004, MATCH(112, 'Detalles movimientos'!$U$5:$U$1004, 0)), "")</f>
        <v/>
      </c>
      <c r="J121" s="19" t="str">
        <f>IFERROR(INDEX('Detalles movimientos'!N$5:N$1004, MATCH(112, 'Detalles movimientos'!$U$5:$U$1004, 0)), "")</f>
        <v/>
      </c>
      <c r="K121" s="20" t="str">
        <f>IFERROR(INDEX('Detalles movimientos'!O$5:O$1004, MATCH(112, 'Detalles movimientos'!$U$5:$U$1004, 0)), "")</f>
        <v/>
      </c>
      <c r="L121" s="18" t="str">
        <f>IFERROR(INDEX('Detalles movimientos'!P$5:P$1004, MATCH(112, 'Detalles movimientos'!$U$5:$U$1004, 0)), "")</f>
        <v/>
      </c>
      <c r="M121" s="18" t="str">
        <f>IFERROR(INDEX('Detalles movimientos'!S$5:S$1004, MATCH(112, 'Detalles movimientos'!$U$5:$U$1004, 0)), "")</f>
        <v/>
      </c>
    </row>
    <row r="122" spans="2:13">
      <c r="B122" s="17" t="str">
        <f>IFERROR(INDEX('Detalles movimientos'!C$5:C$1004, MATCH(113, 'Detalles movimientos'!$U$5:$U$1004, 0)), "")</f>
        <v/>
      </c>
      <c r="C122" s="18" t="str">
        <f>IFERROR(INDEX('Detalles movimientos'!D$5:D$1004, MATCH(113, 'Detalles movimientos'!$U$5:$U$1004, 0)), "")</f>
        <v/>
      </c>
      <c r="D122" s="19" t="str">
        <f>IFERROR(INDEX('Detalles movimientos'!E$5:E$1004, MATCH(113, 'Detalles movimientos'!$U$5:$U$1004, 0)), "")</f>
        <v/>
      </c>
      <c r="E122" s="19" t="str">
        <f>IFERROR(INDEX('Detalles movimientos'!F$5:F$1004, MATCH(113, 'Detalles movimientos'!$U$5:$U$1004, 0)), "")</f>
        <v/>
      </c>
      <c r="F122" s="18" t="str">
        <f>IFERROR(INDEX('Detalles movimientos'!G$5:G$1004, MATCH(113, 'Detalles movimientos'!$U$5:$U$1004, 0)), "")</f>
        <v/>
      </c>
      <c r="G122" s="20" t="str">
        <f>IFERROR(INDEX('Detalles movimientos'!H$5:H$1004, MATCH(113, 'Detalles movimientos'!$U$5:$U$1004, 0)), "")</f>
        <v/>
      </c>
      <c r="H122" s="21" t="str">
        <f>IFERROR(INDEX('Detalles movimientos'!I$5:I$1004, MATCH(113, 'Detalles movimientos'!$U$5:$U$1004, 0)), "")</f>
        <v/>
      </c>
      <c r="I122" s="20" t="str">
        <f>IFERROR(INDEX('Detalles movimientos'!M$5:M$1004, MATCH(113, 'Detalles movimientos'!$U$5:$U$1004, 0)), "")</f>
        <v/>
      </c>
      <c r="J122" s="19" t="str">
        <f>IFERROR(INDEX('Detalles movimientos'!N$5:N$1004, MATCH(113, 'Detalles movimientos'!$U$5:$U$1004, 0)), "")</f>
        <v/>
      </c>
      <c r="K122" s="20" t="str">
        <f>IFERROR(INDEX('Detalles movimientos'!O$5:O$1004, MATCH(113, 'Detalles movimientos'!$U$5:$U$1004, 0)), "")</f>
        <v/>
      </c>
      <c r="L122" s="18" t="str">
        <f>IFERROR(INDEX('Detalles movimientos'!P$5:P$1004, MATCH(113, 'Detalles movimientos'!$U$5:$U$1004, 0)), "")</f>
        <v/>
      </c>
      <c r="M122" s="18" t="str">
        <f>IFERROR(INDEX('Detalles movimientos'!S$5:S$1004, MATCH(113, 'Detalles movimientos'!$U$5:$U$1004, 0)), "")</f>
        <v/>
      </c>
    </row>
    <row r="123" spans="2:13">
      <c r="B123" s="17" t="str">
        <f>IFERROR(INDEX('Detalles movimientos'!C$5:C$1004, MATCH(114, 'Detalles movimientos'!$U$5:$U$1004, 0)), "")</f>
        <v/>
      </c>
      <c r="C123" s="18" t="str">
        <f>IFERROR(INDEX('Detalles movimientos'!D$5:D$1004, MATCH(114, 'Detalles movimientos'!$U$5:$U$1004, 0)), "")</f>
        <v/>
      </c>
      <c r="D123" s="19" t="str">
        <f>IFERROR(INDEX('Detalles movimientos'!E$5:E$1004, MATCH(114, 'Detalles movimientos'!$U$5:$U$1004, 0)), "")</f>
        <v/>
      </c>
      <c r="E123" s="19" t="str">
        <f>IFERROR(INDEX('Detalles movimientos'!F$5:F$1004, MATCH(114, 'Detalles movimientos'!$U$5:$U$1004, 0)), "")</f>
        <v/>
      </c>
      <c r="F123" s="18" t="str">
        <f>IFERROR(INDEX('Detalles movimientos'!G$5:G$1004, MATCH(114, 'Detalles movimientos'!$U$5:$U$1004, 0)), "")</f>
        <v/>
      </c>
      <c r="G123" s="20" t="str">
        <f>IFERROR(INDEX('Detalles movimientos'!H$5:H$1004, MATCH(114, 'Detalles movimientos'!$U$5:$U$1004, 0)), "")</f>
        <v/>
      </c>
      <c r="H123" s="21" t="str">
        <f>IFERROR(INDEX('Detalles movimientos'!I$5:I$1004, MATCH(114, 'Detalles movimientos'!$U$5:$U$1004, 0)), "")</f>
        <v/>
      </c>
      <c r="I123" s="20" t="str">
        <f>IFERROR(INDEX('Detalles movimientos'!M$5:M$1004, MATCH(114, 'Detalles movimientos'!$U$5:$U$1004, 0)), "")</f>
        <v/>
      </c>
      <c r="J123" s="19" t="str">
        <f>IFERROR(INDEX('Detalles movimientos'!N$5:N$1004, MATCH(114, 'Detalles movimientos'!$U$5:$U$1004, 0)), "")</f>
        <v/>
      </c>
      <c r="K123" s="20" t="str">
        <f>IFERROR(INDEX('Detalles movimientos'!O$5:O$1004, MATCH(114, 'Detalles movimientos'!$U$5:$U$1004, 0)), "")</f>
        <v/>
      </c>
      <c r="L123" s="18" t="str">
        <f>IFERROR(INDEX('Detalles movimientos'!P$5:P$1004, MATCH(114, 'Detalles movimientos'!$U$5:$U$1004, 0)), "")</f>
        <v/>
      </c>
      <c r="M123" s="18" t="str">
        <f>IFERROR(INDEX('Detalles movimientos'!S$5:S$1004, MATCH(114, 'Detalles movimientos'!$U$5:$U$1004, 0)), "")</f>
        <v/>
      </c>
    </row>
    <row r="124" spans="2:13">
      <c r="B124" s="17" t="str">
        <f>IFERROR(INDEX('Detalles movimientos'!C$5:C$1004, MATCH(115, 'Detalles movimientos'!$U$5:$U$1004, 0)), "")</f>
        <v/>
      </c>
      <c r="C124" s="18" t="str">
        <f>IFERROR(INDEX('Detalles movimientos'!D$5:D$1004, MATCH(115, 'Detalles movimientos'!$U$5:$U$1004, 0)), "")</f>
        <v/>
      </c>
      <c r="D124" s="19" t="str">
        <f>IFERROR(INDEX('Detalles movimientos'!E$5:E$1004, MATCH(115, 'Detalles movimientos'!$U$5:$U$1004, 0)), "")</f>
        <v/>
      </c>
      <c r="E124" s="19" t="str">
        <f>IFERROR(INDEX('Detalles movimientos'!F$5:F$1004, MATCH(115, 'Detalles movimientos'!$U$5:$U$1004, 0)), "")</f>
        <v/>
      </c>
      <c r="F124" s="18" t="str">
        <f>IFERROR(INDEX('Detalles movimientos'!G$5:G$1004, MATCH(115, 'Detalles movimientos'!$U$5:$U$1004, 0)), "")</f>
        <v/>
      </c>
      <c r="G124" s="20" t="str">
        <f>IFERROR(INDEX('Detalles movimientos'!H$5:H$1004, MATCH(115, 'Detalles movimientos'!$U$5:$U$1004, 0)), "")</f>
        <v/>
      </c>
      <c r="H124" s="21" t="str">
        <f>IFERROR(INDEX('Detalles movimientos'!I$5:I$1004, MATCH(115, 'Detalles movimientos'!$U$5:$U$1004, 0)), "")</f>
        <v/>
      </c>
      <c r="I124" s="20" t="str">
        <f>IFERROR(INDEX('Detalles movimientos'!M$5:M$1004, MATCH(115, 'Detalles movimientos'!$U$5:$U$1004, 0)), "")</f>
        <v/>
      </c>
      <c r="J124" s="19" t="str">
        <f>IFERROR(INDEX('Detalles movimientos'!N$5:N$1004, MATCH(115, 'Detalles movimientos'!$U$5:$U$1004, 0)), "")</f>
        <v/>
      </c>
      <c r="K124" s="20" t="str">
        <f>IFERROR(INDEX('Detalles movimientos'!O$5:O$1004, MATCH(115, 'Detalles movimientos'!$U$5:$U$1004, 0)), "")</f>
        <v/>
      </c>
      <c r="L124" s="18" t="str">
        <f>IFERROR(INDEX('Detalles movimientos'!P$5:P$1004, MATCH(115, 'Detalles movimientos'!$U$5:$U$1004, 0)), "")</f>
        <v/>
      </c>
      <c r="M124" s="18" t="str">
        <f>IFERROR(INDEX('Detalles movimientos'!S$5:S$1004, MATCH(115, 'Detalles movimientos'!$U$5:$U$1004, 0)), "")</f>
        <v/>
      </c>
    </row>
    <row r="125" spans="2:13">
      <c r="B125" s="17" t="str">
        <f>IFERROR(INDEX('Detalles movimientos'!C$5:C$1004, MATCH(116, 'Detalles movimientos'!$U$5:$U$1004, 0)), "")</f>
        <v/>
      </c>
      <c r="C125" s="18" t="str">
        <f>IFERROR(INDEX('Detalles movimientos'!D$5:D$1004, MATCH(116, 'Detalles movimientos'!$U$5:$U$1004, 0)), "")</f>
        <v/>
      </c>
      <c r="D125" s="19" t="str">
        <f>IFERROR(INDEX('Detalles movimientos'!E$5:E$1004, MATCH(116, 'Detalles movimientos'!$U$5:$U$1004, 0)), "")</f>
        <v/>
      </c>
      <c r="E125" s="19" t="str">
        <f>IFERROR(INDEX('Detalles movimientos'!F$5:F$1004, MATCH(116, 'Detalles movimientos'!$U$5:$U$1004, 0)), "")</f>
        <v/>
      </c>
      <c r="F125" s="18" t="str">
        <f>IFERROR(INDEX('Detalles movimientos'!G$5:G$1004, MATCH(116, 'Detalles movimientos'!$U$5:$U$1004, 0)), "")</f>
        <v/>
      </c>
      <c r="G125" s="20" t="str">
        <f>IFERROR(INDEX('Detalles movimientos'!H$5:H$1004, MATCH(116, 'Detalles movimientos'!$U$5:$U$1004, 0)), "")</f>
        <v/>
      </c>
      <c r="H125" s="21" t="str">
        <f>IFERROR(INDEX('Detalles movimientos'!I$5:I$1004, MATCH(116, 'Detalles movimientos'!$U$5:$U$1004, 0)), "")</f>
        <v/>
      </c>
      <c r="I125" s="20" t="str">
        <f>IFERROR(INDEX('Detalles movimientos'!M$5:M$1004, MATCH(116, 'Detalles movimientos'!$U$5:$U$1004, 0)), "")</f>
        <v/>
      </c>
      <c r="J125" s="19" t="str">
        <f>IFERROR(INDEX('Detalles movimientos'!N$5:N$1004, MATCH(116, 'Detalles movimientos'!$U$5:$U$1004, 0)), "")</f>
        <v/>
      </c>
      <c r="K125" s="20" t="str">
        <f>IFERROR(INDEX('Detalles movimientos'!O$5:O$1004, MATCH(116, 'Detalles movimientos'!$U$5:$U$1004, 0)), "")</f>
        <v/>
      </c>
      <c r="L125" s="18" t="str">
        <f>IFERROR(INDEX('Detalles movimientos'!P$5:P$1004, MATCH(116, 'Detalles movimientos'!$U$5:$U$1004, 0)), "")</f>
        <v/>
      </c>
      <c r="M125" s="18" t="str">
        <f>IFERROR(INDEX('Detalles movimientos'!S$5:S$1004, MATCH(116, 'Detalles movimientos'!$U$5:$U$1004, 0)), "")</f>
        <v/>
      </c>
    </row>
    <row r="126" spans="2:13">
      <c r="B126" s="17" t="str">
        <f>IFERROR(INDEX('Detalles movimientos'!C$5:C$1004, MATCH(117, 'Detalles movimientos'!$U$5:$U$1004, 0)), "")</f>
        <v/>
      </c>
      <c r="C126" s="18" t="str">
        <f>IFERROR(INDEX('Detalles movimientos'!D$5:D$1004, MATCH(117, 'Detalles movimientos'!$U$5:$U$1004, 0)), "")</f>
        <v/>
      </c>
      <c r="D126" s="19" t="str">
        <f>IFERROR(INDEX('Detalles movimientos'!E$5:E$1004, MATCH(117, 'Detalles movimientos'!$U$5:$U$1004, 0)), "")</f>
        <v/>
      </c>
      <c r="E126" s="19" t="str">
        <f>IFERROR(INDEX('Detalles movimientos'!F$5:F$1004, MATCH(117, 'Detalles movimientos'!$U$5:$U$1004, 0)), "")</f>
        <v/>
      </c>
      <c r="F126" s="18" t="str">
        <f>IFERROR(INDEX('Detalles movimientos'!G$5:G$1004, MATCH(117, 'Detalles movimientos'!$U$5:$U$1004, 0)), "")</f>
        <v/>
      </c>
      <c r="G126" s="20" t="str">
        <f>IFERROR(INDEX('Detalles movimientos'!H$5:H$1004, MATCH(117, 'Detalles movimientos'!$U$5:$U$1004, 0)), "")</f>
        <v/>
      </c>
      <c r="H126" s="21" t="str">
        <f>IFERROR(INDEX('Detalles movimientos'!I$5:I$1004, MATCH(117, 'Detalles movimientos'!$U$5:$U$1004, 0)), "")</f>
        <v/>
      </c>
      <c r="I126" s="20" t="str">
        <f>IFERROR(INDEX('Detalles movimientos'!M$5:M$1004, MATCH(117, 'Detalles movimientos'!$U$5:$U$1004, 0)), "")</f>
        <v/>
      </c>
      <c r="J126" s="19" t="str">
        <f>IFERROR(INDEX('Detalles movimientos'!N$5:N$1004, MATCH(117, 'Detalles movimientos'!$U$5:$U$1004, 0)), "")</f>
        <v/>
      </c>
      <c r="K126" s="20" t="str">
        <f>IFERROR(INDEX('Detalles movimientos'!O$5:O$1004, MATCH(117, 'Detalles movimientos'!$U$5:$U$1004, 0)), "")</f>
        <v/>
      </c>
      <c r="L126" s="18" t="str">
        <f>IFERROR(INDEX('Detalles movimientos'!P$5:P$1004, MATCH(117, 'Detalles movimientos'!$U$5:$U$1004, 0)), "")</f>
        <v/>
      </c>
      <c r="M126" s="18" t="str">
        <f>IFERROR(INDEX('Detalles movimientos'!S$5:S$1004, MATCH(117, 'Detalles movimientos'!$U$5:$U$1004, 0)), "")</f>
        <v/>
      </c>
    </row>
    <row r="127" spans="2:13">
      <c r="B127" s="17" t="str">
        <f>IFERROR(INDEX('Detalles movimientos'!C$5:C$1004, MATCH(118, 'Detalles movimientos'!$U$5:$U$1004, 0)), "")</f>
        <v/>
      </c>
      <c r="C127" s="18" t="str">
        <f>IFERROR(INDEX('Detalles movimientos'!D$5:D$1004, MATCH(118, 'Detalles movimientos'!$U$5:$U$1004, 0)), "")</f>
        <v/>
      </c>
      <c r="D127" s="19" t="str">
        <f>IFERROR(INDEX('Detalles movimientos'!E$5:E$1004, MATCH(118, 'Detalles movimientos'!$U$5:$U$1004, 0)), "")</f>
        <v/>
      </c>
      <c r="E127" s="19" t="str">
        <f>IFERROR(INDEX('Detalles movimientos'!F$5:F$1004, MATCH(118, 'Detalles movimientos'!$U$5:$U$1004, 0)), "")</f>
        <v/>
      </c>
      <c r="F127" s="18" t="str">
        <f>IFERROR(INDEX('Detalles movimientos'!G$5:G$1004, MATCH(118, 'Detalles movimientos'!$U$5:$U$1004, 0)), "")</f>
        <v/>
      </c>
      <c r="G127" s="20" t="str">
        <f>IFERROR(INDEX('Detalles movimientos'!H$5:H$1004, MATCH(118, 'Detalles movimientos'!$U$5:$U$1004, 0)), "")</f>
        <v/>
      </c>
      <c r="H127" s="21" t="str">
        <f>IFERROR(INDEX('Detalles movimientos'!I$5:I$1004, MATCH(118, 'Detalles movimientos'!$U$5:$U$1004, 0)), "")</f>
        <v/>
      </c>
      <c r="I127" s="20" t="str">
        <f>IFERROR(INDEX('Detalles movimientos'!M$5:M$1004, MATCH(118, 'Detalles movimientos'!$U$5:$U$1004, 0)), "")</f>
        <v/>
      </c>
      <c r="J127" s="19" t="str">
        <f>IFERROR(INDEX('Detalles movimientos'!N$5:N$1004, MATCH(118, 'Detalles movimientos'!$U$5:$U$1004, 0)), "")</f>
        <v/>
      </c>
      <c r="K127" s="20" t="str">
        <f>IFERROR(INDEX('Detalles movimientos'!O$5:O$1004, MATCH(118, 'Detalles movimientos'!$U$5:$U$1004, 0)), "")</f>
        <v/>
      </c>
      <c r="L127" s="18" t="str">
        <f>IFERROR(INDEX('Detalles movimientos'!P$5:P$1004, MATCH(118, 'Detalles movimientos'!$U$5:$U$1004, 0)), "")</f>
        <v/>
      </c>
      <c r="M127" s="18" t="str">
        <f>IFERROR(INDEX('Detalles movimientos'!S$5:S$1004, MATCH(118, 'Detalles movimientos'!$U$5:$U$1004, 0)), "")</f>
        <v/>
      </c>
    </row>
    <row r="128" spans="2:13">
      <c r="B128" s="17" t="str">
        <f>IFERROR(INDEX('Detalles movimientos'!C$5:C$1004, MATCH(119, 'Detalles movimientos'!$U$5:$U$1004, 0)), "")</f>
        <v/>
      </c>
      <c r="C128" s="18" t="str">
        <f>IFERROR(INDEX('Detalles movimientos'!D$5:D$1004, MATCH(119, 'Detalles movimientos'!$U$5:$U$1004, 0)), "")</f>
        <v/>
      </c>
      <c r="D128" s="19" t="str">
        <f>IFERROR(INDEX('Detalles movimientos'!E$5:E$1004, MATCH(119, 'Detalles movimientos'!$U$5:$U$1004, 0)), "")</f>
        <v/>
      </c>
      <c r="E128" s="19" t="str">
        <f>IFERROR(INDEX('Detalles movimientos'!F$5:F$1004, MATCH(119, 'Detalles movimientos'!$U$5:$U$1004, 0)), "")</f>
        <v/>
      </c>
      <c r="F128" s="18" t="str">
        <f>IFERROR(INDEX('Detalles movimientos'!G$5:G$1004, MATCH(119, 'Detalles movimientos'!$U$5:$U$1004, 0)), "")</f>
        <v/>
      </c>
      <c r="G128" s="20" t="str">
        <f>IFERROR(INDEX('Detalles movimientos'!H$5:H$1004, MATCH(119, 'Detalles movimientos'!$U$5:$U$1004, 0)), "")</f>
        <v/>
      </c>
      <c r="H128" s="21" t="str">
        <f>IFERROR(INDEX('Detalles movimientos'!I$5:I$1004, MATCH(119, 'Detalles movimientos'!$U$5:$U$1004, 0)), "")</f>
        <v/>
      </c>
      <c r="I128" s="20" t="str">
        <f>IFERROR(INDEX('Detalles movimientos'!M$5:M$1004, MATCH(119, 'Detalles movimientos'!$U$5:$U$1004, 0)), "")</f>
        <v/>
      </c>
      <c r="J128" s="19" t="str">
        <f>IFERROR(INDEX('Detalles movimientos'!N$5:N$1004, MATCH(119, 'Detalles movimientos'!$U$5:$U$1004, 0)), "")</f>
        <v/>
      </c>
      <c r="K128" s="20" t="str">
        <f>IFERROR(INDEX('Detalles movimientos'!O$5:O$1004, MATCH(119, 'Detalles movimientos'!$U$5:$U$1004, 0)), "")</f>
        <v/>
      </c>
      <c r="L128" s="18" t="str">
        <f>IFERROR(INDEX('Detalles movimientos'!P$5:P$1004, MATCH(119, 'Detalles movimientos'!$U$5:$U$1004, 0)), "")</f>
        <v/>
      </c>
      <c r="M128" s="18" t="str">
        <f>IFERROR(INDEX('Detalles movimientos'!S$5:S$1004, MATCH(119, 'Detalles movimientos'!$U$5:$U$1004, 0)), "")</f>
        <v/>
      </c>
    </row>
    <row r="129" spans="2:13">
      <c r="B129" s="17" t="str">
        <f>IFERROR(INDEX('Detalles movimientos'!C$5:C$1004, MATCH(120, 'Detalles movimientos'!$U$5:$U$1004, 0)), "")</f>
        <v/>
      </c>
      <c r="C129" s="18" t="str">
        <f>IFERROR(INDEX('Detalles movimientos'!D$5:D$1004, MATCH(120, 'Detalles movimientos'!$U$5:$U$1004, 0)), "")</f>
        <v/>
      </c>
      <c r="D129" s="19" t="str">
        <f>IFERROR(INDEX('Detalles movimientos'!E$5:E$1004, MATCH(120, 'Detalles movimientos'!$U$5:$U$1004, 0)), "")</f>
        <v/>
      </c>
      <c r="E129" s="19" t="str">
        <f>IFERROR(INDEX('Detalles movimientos'!F$5:F$1004, MATCH(120, 'Detalles movimientos'!$U$5:$U$1004, 0)), "")</f>
        <v/>
      </c>
      <c r="F129" s="18" t="str">
        <f>IFERROR(INDEX('Detalles movimientos'!G$5:G$1004, MATCH(120, 'Detalles movimientos'!$U$5:$U$1004, 0)), "")</f>
        <v/>
      </c>
      <c r="G129" s="20" t="str">
        <f>IFERROR(INDEX('Detalles movimientos'!H$5:H$1004, MATCH(120, 'Detalles movimientos'!$U$5:$U$1004, 0)), "")</f>
        <v/>
      </c>
      <c r="H129" s="21" t="str">
        <f>IFERROR(INDEX('Detalles movimientos'!I$5:I$1004, MATCH(120, 'Detalles movimientos'!$U$5:$U$1004, 0)), "")</f>
        <v/>
      </c>
      <c r="I129" s="20" t="str">
        <f>IFERROR(INDEX('Detalles movimientos'!M$5:M$1004, MATCH(120, 'Detalles movimientos'!$U$5:$U$1004, 0)), "")</f>
        <v/>
      </c>
      <c r="J129" s="19" t="str">
        <f>IFERROR(INDEX('Detalles movimientos'!N$5:N$1004, MATCH(120, 'Detalles movimientos'!$U$5:$U$1004, 0)), "")</f>
        <v/>
      </c>
      <c r="K129" s="20" t="str">
        <f>IFERROR(INDEX('Detalles movimientos'!O$5:O$1004, MATCH(120, 'Detalles movimientos'!$U$5:$U$1004, 0)), "")</f>
        <v/>
      </c>
      <c r="L129" s="18" t="str">
        <f>IFERROR(INDEX('Detalles movimientos'!P$5:P$1004, MATCH(120, 'Detalles movimientos'!$U$5:$U$1004, 0)), "")</f>
        <v/>
      </c>
      <c r="M129" s="18" t="str">
        <f>IFERROR(INDEX('Detalles movimientos'!S$5:S$1004, MATCH(120, 'Detalles movimientos'!$U$5:$U$1004, 0)), "")</f>
        <v/>
      </c>
    </row>
    <row r="130" spans="2:13">
      <c r="B130" s="17" t="str">
        <f>IFERROR(INDEX('Detalles movimientos'!C$5:C$1004, MATCH(121, 'Detalles movimientos'!$U$5:$U$1004, 0)), "")</f>
        <v/>
      </c>
      <c r="C130" s="18" t="str">
        <f>IFERROR(INDEX('Detalles movimientos'!D$5:D$1004, MATCH(121, 'Detalles movimientos'!$U$5:$U$1004, 0)), "")</f>
        <v/>
      </c>
      <c r="D130" s="19" t="str">
        <f>IFERROR(INDEX('Detalles movimientos'!E$5:E$1004, MATCH(121, 'Detalles movimientos'!$U$5:$U$1004, 0)), "")</f>
        <v/>
      </c>
      <c r="E130" s="19" t="str">
        <f>IFERROR(INDEX('Detalles movimientos'!F$5:F$1004, MATCH(121, 'Detalles movimientos'!$U$5:$U$1004, 0)), "")</f>
        <v/>
      </c>
      <c r="F130" s="18" t="str">
        <f>IFERROR(INDEX('Detalles movimientos'!G$5:G$1004, MATCH(121, 'Detalles movimientos'!$U$5:$U$1004, 0)), "")</f>
        <v/>
      </c>
      <c r="G130" s="20" t="str">
        <f>IFERROR(INDEX('Detalles movimientos'!H$5:H$1004, MATCH(121, 'Detalles movimientos'!$U$5:$U$1004, 0)), "")</f>
        <v/>
      </c>
      <c r="H130" s="21" t="str">
        <f>IFERROR(INDEX('Detalles movimientos'!I$5:I$1004, MATCH(121, 'Detalles movimientos'!$U$5:$U$1004, 0)), "")</f>
        <v/>
      </c>
      <c r="I130" s="20" t="str">
        <f>IFERROR(INDEX('Detalles movimientos'!M$5:M$1004, MATCH(121, 'Detalles movimientos'!$U$5:$U$1004, 0)), "")</f>
        <v/>
      </c>
      <c r="J130" s="19" t="str">
        <f>IFERROR(INDEX('Detalles movimientos'!N$5:N$1004, MATCH(121, 'Detalles movimientos'!$U$5:$U$1004, 0)), "")</f>
        <v/>
      </c>
      <c r="K130" s="20" t="str">
        <f>IFERROR(INDEX('Detalles movimientos'!O$5:O$1004, MATCH(121, 'Detalles movimientos'!$U$5:$U$1004, 0)), "")</f>
        <v/>
      </c>
      <c r="L130" s="18" t="str">
        <f>IFERROR(INDEX('Detalles movimientos'!P$5:P$1004, MATCH(121, 'Detalles movimientos'!$U$5:$U$1004, 0)), "")</f>
        <v/>
      </c>
      <c r="M130" s="18" t="str">
        <f>IFERROR(INDEX('Detalles movimientos'!S$5:S$1004, MATCH(121, 'Detalles movimientos'!$U$5:$U$1004, 0)), "")</f>
        <v/>
      </c>
    </row>
    <row r="131" spans="2:13">
      <c r="B131" s="17" t="str">
        <f>IFERROR(INDEX('Detalles movimientos'!C$5:C$1004, MATCH(122, 'Detalles movimientos'!$U$5:$U$1004, 0)), "")</f>
        <v/>
      </c>
      <c r="C131" s="18" t="str">
        <f>IFERROR(INDEX('Detalles movimientos'!D$5:D$1004, MATCH(122, 'Detalles movimientos'!$U$5:$U$1004, 0)), "")</f>
        <v/>
      </c>
      <c r="D131" s="19" t="str">
        <f>IFERROR(INDEX('Detalles movimientos'!E$5:E$1004, MATCH(122, 'Detalles movimientos'!$U$5:$U$1004, 0)), "")</f>
        <v/>
      </c>
      <c r="E131" s="19" t="str">
        <f>IFERROR(INDEX('Detalles movimientos'!F$5:F$1004, MATCH(122, 'Detalles movimientos'!$U$5:$U$1004, 0)), "")</f>
        <v/>
      </c>
      <c r="F131" s="18" t="str">
        <f>IFERROR(INDEX('Detalles movimientos'!G$5:G$1004, MATCH(122, 'Detalles movimientos'!$U$5:$U$1004, 0)), "")</f>
        <v/>
      </c>
      <c r="G131" s="20" t="str">
        <f>IFERROR(INDEX('Detalles movimientos'!H$5:H$1004, MATCH(122, 'Detalles movimientos'!$U$5:$U$1004, 0)), "")</f>
        <v/>
      </c>
      <c r="H131" s="21" t="str">
        <f>IFERROR(INDEX('Detalles movimientos'!I$5:I$1004, MATCH(122, 'Detalles movimientos'!$U$5:$U$1004, 0)), "")</f>
        <v/>
      </c>
      <c r="I131" s="20" t="str">
        <f>IFERROR(INDEX('Detalles movimientos'!M$5:M$1004, MATCH(122, 'Detalles movimientos'!$U$5:$U$1004, 0)), "")</f>
        <v/>
      </c>
      <c r="J131" s="19" t="str">
        <f>IFERROR(INDEX('Detalles movimientos'!N$5:N$1004, MATCH(122, 'Detalles movimientos'!$U$5:$U$1004, 0)), "")</f>
        <v/>
      </c>
      <c r="K131" s="20" t="str">
        <f>IFERROR(INDEX('Detalles movimientos'!O$5:O$1004, MATCH(122, 'Detalles movimientos'!$U$5:$U$1004, 0)), "")</f>
        <v/>
      </c>
      <c r="L131" s="18" t="str">
        <f>IFERROR(INDEX('Detalles movimientos'!P$5:P$1004, MATCH(122, 'Detalles movimientos'!$U$5:$U$1004, 0)), "")</f>
        <v/>
      </c>
      <c r="M131" s="18" t="str">
        <f>IFERROR(INDEX('Detalles movimientos'!S$5:S$1004, MATCH(122, 'Detalles movimientos'!$U$5:$U$1004, 0)), "")</f>
        <v/>
      </c>
    </row>
    <row r="132" spans="2:13">
      <c r="B132" s="17" t="str">
        <f>IFERROR(INDEX('Detalles movimientos'!C$5:C$1004, MATCH(123, 'Detalles movimientos'!$U$5:$U$1004, 0)), "")</f>
        <v/>
      </c>
      <c r="C132" s="18" t="str">
        <f>IFERROR(INDEX('Detalles movimientos'!D$5:D$1004, MATCH(123, 'Detalles movimientos'!$U$5:$U$1004, 0)), "")</f>
        <v/>
      </c>
      <c r="D132" s="19" t="str">
        <f>IFERROR(INDEX('Detalles movimientos'!E$5:E$1004, MATCH(123, 'Detalles movimientos'!$U$5:$U$1004, 0)), "")</f>
        <v/>
      </c>
      <c r="E132" s="19" t="str">
        <f>IFERROR(INDEX('Detalles movimientos'!F$5:F$1004, MATCH(123, 'Detalles movimientos'!$U$5:$U$1004, 0)), "")</f>
        <v/>
      </c>
      <c r="F132" s="18" t="str">
        <f>IFERROR(INDEX('Detalles movimientos'!G$5:G$1004, MATCH(123, 'Detalles movimientos'!$U$5:$U$1004, 0)), "")</f>
        <v/>
      </c>
      <c r="G132" s="20" t="str">
        <f>IFERROR(INDEX('Detalles movimientos'!H$5:H$1004, MATCH(123, 'Detalles movimientos'!$U$5:$U$1004, 0)), "")</f>
        <v/>
      </c>
      <c r="H132" s="21" t="str">
        <f>IFERROR(INDEX('Detalles movimientos'!I$5:I$1004, MATCH(123, 'Detalles movimientos'!$U$5:$U$1004, 0)), "")</f>
        <v/>
      </c>
      <c r="I132" s="20" t="str">
        <f>IFERROR(INDEX('Detalles movimientos'!M$5:M$1004, MATCH(123, 'Detalles movimientos'!$U$5:$U$1004, 0)), "")</f>
        <v/>
      </c>
      <c r="J132" s="19" t="str">
        <f>IFERROR(INDEX('Detalles movimientos'!N$5:N$1004, MATCH(123, 'Detalles movimientos'!$U$5:$U$1004, 0)), "")</f>
        <v/>
      </c>
      <c r="K132" s="20" t="str">
        <f>IFERROR(INDEX('Detalles movimientos'!O$5:O$1004, MATCH(123, 'Detalles movimientos'!$U$5:$U$1004, 0)), "")</f>
        <v/>
      </c>
      <c r="L132" s="18" t="str">
        <f>IFERROR(INDEX('Detalles movimientos'!P$5:P$1004, MATCH(123, 'Detalles movimientos'!$U$5:$U$1004, 0)), "")</f>
        <v/>
      </c>
      <c r="M132" s="18" t="str">
        <f>IFERROR(INDEX('Detalles movimientos'!S$5:S$1004, MATCH(123, 'Detalles movimientos'!$U$5:$U$1004, 0)), "")</f>
        <v/>
      </c>
    </row>
    <row r="133" spans="2:13">
      <c r="B133" s="17" t="str">
        <f>IFERROR(INDEX('Detalles movimientos'!C$5:C$1004, MATCH(124, 'Detalles movimientos'!$U$5:$U$1004, 0)), "")</f>
        <v/>
      </c>
      <c r="C133" s="18" t="str">
        <f>IFERROR(INDEX('Detalles movimientos'!D$5:D$1004, MATCH(124, 'Detalles movimientos'!$U$5:$U$1004, 0)), "")</f>
        <v/>
      </c>
      <c r="D133" s="19" t="str">
        <f>IFERROR(INDEX('Detalles movimientos'!E$5:E$1004, MATCH(124, 'Detalles movimientos'!$U$5:$U$1004, 0)), "")</f>
        <v/>
      </c>
      <c r="E133" s="19" t="str">
        <f>IFERROR(INDEX('Detalles movimientos'!F$5:F$1004, MATCH(124, 'Detalles movimientos'!$U$5:$U$1004, 0)), "")</f>
        <v/>
      </c>
      <c r="F133" s="18" t="str">
        <f>IFERROR(INDEX('Detalles movimientos'!G$5:G$1004, MATCH(124, 'Detalles movimientos'!$U$5:$U$1004, 0)), "")</f>
        <v/>
      </c>
      <c r="G133" s="20" t="str">
        <f>IFERROR(INDEX('Detalles movimientos'!H$5:H$1004, MATCH(124, 'Detalles movimientos'!$U$5:$U$1004, 0)), "")</f>
        <v/>
      </c>
      <c r="H133" s="21" t="str">
        <f>IFERROR(INDEX('Detalles movimientos'!I$5:I$1004, MATCH(124, 'Detalles movimientos'!$U$5:$U$1004, 0)), "")</f>
        <v/>
      </c>
      <c r="I133" s="20" t="str">
        <f>IFERROR(INDEX('Detalles movimientos'!M$5:M$1004, MATCH(124, 'Detalles movimientos'!$U$5:$U$1004, 0)), "")</f>
        <v/>
      </c>
      <c r="J133" s="19" t="str">
        <f>IFERROR(INDEX('Detalles movimientos'!N$5:N$1004, MATCH(124, 'Detalles movimientos'!$U$5:$U$1004, 0)), "")</f>
        <v/>
      </c>
      <c r="K133" s="20" t="str">
        <f>IFERROR(INDEX('Detalles movimientos'!O$5:O$1004, MATCH(124, 'Detalles movimientos'!$U$5:$U$1004, 0)), "")</f>
        <v/>
      </c>
      <c r="L133" s="18" t="str">
        <f>IFERROR(INDEX('Detalles movimientos'!P$5:P$1004, MATCH(124, 'Detalles movimientos'!$U$5:$U$1004, 0)), "")</f>
        <v/>
      </c>
      <c r="M133" s="18" t="str">
        <f>IFERROR(INDEX('Detalles movimientos'!S$5:S$1004, MATCH(124, 'Detalles movimientos'!$U$5:$U$1004, 0)), "")</f>
        <v/>
      </c>
    </row>
    <row r="134" spans="2:13">
      <c r="B134" s="17" t="str">
        <f>IFERROR(INDEX('Detalles movimientos'!C$5:C$1004, MATCH(125, 'Detalles movimientos'!$U$5:$U$1004, 0)), "")</f>
        <v/>
      </c>
      <c r="C134" s="18" t="str">
        <f>IFERROR(INDEX('Detalles movimientos'!D$5:D$1004, MATCH(125, 'Detalles movimientos'!$U$5:$U$1004, 0)), "")</f>
        <v/>
      </c>
      <c r="D134" s="19" t="str">
        <f>IFERROR(INDEX('Detalles movimientos'!E$5:E$1004, MATCH(125, 'Detalles movimientos'!$U$5:$U$1004, 0)), "")</f>
        <v/>
      </c>
      <c r="E134" s="19" t="str">
        <f>IFERROR(INDEX('Detalles movimientos'!F$5:F$1004, MATCH(125, 'Detalles movimientos'!$U$5:$U$1004, 0)), "")</f>
        <v/>
      </c>
      <c r="F134" s="18" t="str">
        <f>IFERROR(INDEX('Detalles movimientos'!G$5:G$1004, MATCH(125, 'Detalles movimientos'!$U$5:$U$1004, 0)), "")</f>
        <v/>
      </c>
      <c r="G134" s="20" t="str">
        <f>IFERROR(INDEX('Detalles movimientos'!H$5:H$1004, MATCH(125, 'Detalles movimientos'!$U$5:$U$1004, 0)), "")</f>
        <v/>
      </c>
      <c r="H134" s="21" t="str">
        <f>IFERROR(INDEX('Detalles movimientos'!I$5:I$1004, MATCH(125, 'Detalles movimientos'!$U$5:$U$1004, 0)), "")</f>
        <v/>
      </c>
      <c r="I134" s="20" t="str">
        <f>IFERROR(INDEX('Detalles movimientos'!M$5:M$1004, MATCH(125, 'Detalles movimientos'!$U$5:$U$1004, 0)), "")</f>
        <v/>
      </c>
      <c r="J134" s="19" t="str">
        <f>IFERROR(INDEX('Detalles movimientos'!N$5:N$1004, MATCH(125, 'Detalles movimientos'!$U$5:$U$1004, 0)), "")</f>
        <v/>
      </c>
      <c r="K134" s="20" t="str">
        <f>IFERROR(INDEX('Detalles movimientos'!O$5:O$1004, MATCH(125, 'Detalles movimientos'!$U$5:$U$1004, 0)), "")</f>
        <v/>
      </c>
      <c r="L134" s="18" t="str">
        <f>IFERROR(INDEX('Detalles movimientos'!P$5:P$1004, MATCH(125, 'Detalles movimientos'!$U$5:$U$1004, 0)), "")</f>
        <v/>
      </c>
      <c r="M134" s="18" t="str">
        <f>IFERROR(INDEX('Detalles movimientos'!S$5:S$1004, MATCH(125, 'Detalles movimientos'!$U$5:$U$1004, 0)), "")</f>
        <v/>
      </c>
    </row>
    <row r="135" spans="2:13">
      <c r="B135" s="17" t="str">
        <f>IFERROR(INDEX('Detalles movimientos'!C$5:C$1004, MATCH(126, 'Detalles movimientos'!$U$5:$U$1004, 0)), "")</f>
        <v/>
      </c>
      <c r="C135" s="18" t="str">
        <f>IFERROR(INDEX('Detalles movimientos'!D$5:D$1004, MATCH(126, 'Detalles movimientos'!$U$5:$U$1004, 0)), "")</f>
        <v/>
      </c>
      <c r="D135" s="19" t="str">
        <f>IFERROR(INDEX('Detalles movimientos'!E$5:E$1004, MATCH(126, 'Detalles movimientos'!$U$5:$U$1004, 0)), "")</f>
        <v/>
      </c>
      <c r="E135" s="19" t="str">
        <f>IFERROR(INDEX('Detalles movimientos'!F$5:F$1004, MATCH(126, 'Detalles movimientos'!$U$5:$U$1004, 0)), "")</f>
        <v/>
      </c>
      <c r="F135" s="18" t="str">
        <f>IFERROR(INDEX('Detalles movimientos'!G$5:G$1004, MATCH(126, 'Detalles movimientos'!$U$5:$U$1004, 0)), "")</f>
        <v/>
      </c>
      <c r="G135" s="20" t="str">
        <f>IFERROR(INDEX('Detalles movimientos'!H$5:H$1004, MATCH(126, 'Detalles movimientos'!$U$5:$U$1004, 0)), "")</f>
        <v/>
      </c>
      <c r="H135" s="21" t="str">
        <f>IFERROR(INDEX('Detalles movimientos'!I$5:I$1004, MATCH(126, 'Detalles movimientos'!$U$5:$U$1004, 0)), "")</f>
        <v/>
      </c>
      <c r="I135" s="20" t="str">
        <f>IFERROR(INDEX('Detalles movimientos'!M$5:M$1004, MATCH(126, 'Detalles movimientos'!$U$5:$U$1004, 0)), "")</f>
        <v/>
      </c>
      <c r="J135" s="19" t="str">
        <f>IFERROR(INDEX('Detalles movimientos'!N$5:N$1004, MATCH(126, 'Detalles movimientos'!$U$5:$U$1004, 0)), "")</f>
        <v/>
      </c>
      <c r="K135" s="20" t="str">
        <f>IFERROR(INDEX('Detalles movimientos'!O$5:O$1004, MATCH(126, 'Detalles movimientos'!$U$5:$U$1004, 0)), "")</f>
        <v/>
      </c>
      <c r="L135" s="18" t="str">
        <f>IFERROR(INDEX('Detalles movimientos'!P$5:P$1004, MATCH(126, 'Detalles movimientos'!$U$5:$U$1004, 0)), "")</f>
        <v/>
      </c>
      <c r="M135" s="18" t="str">
        <f>IFERROR(INDEX('Detalles movimientos'!S$5:S$1004, MATCH(126, 'Detalles movimientos'!$U$5:$U$1004, 0)), "")</f>
        <v/>
      </c>
    </row>
    <row r="136" spans="2:13">
      <c r="B136" s="17" t="str">
        <f>IFERROR(INDEX('Detalles movimientos'!C$5:C$1004, MATCH(127, 'Detalles movimientos'!$U$5:$U$1004, 0)), "")</f>
        <v/>
      </c>
      <c r="C136" s="18" t="str">
        <f>IFERROR(INDEX('Detalles movimientos'!D$5:D$1004, MATCH(127, 'Detalles movimientos'!$U$5:$U$1004, 0)), "")</f>
        <v/>
      </c>
      <c r="D136" s="19" t="str">
        <f>IFERROR(INDEX('Detalles movimientos'!E$5:E$1004, MATCH(127, 'Detalles movimientos'!$U$5:$U$1004, 0)), "")</f>
        <v/>
      </c>
      <c r="E136" s="19" t="str">
        <f>IFERROR(INDEX('Detalles movimientos'!F$5:F$1004, MATCH(127, 'Detalles movimientos'!$U$5:$U$1004, 0)), "")</f>
        <v/>
      </c>
      <c r="F136" s="18" t="str">
        <f>IFERROR(INDEX('Detalles movimientos'!G$5:G$1004, MATCH(127, 'Detalles movimientos'!$U$5:$U$1004, 0)), "")</f>
        <v/>
      </c>
      <c r="G136" s="20" t="str">
        <f>IFERROR(INDEX('Detalles movimientos'!H$5:H$1004, MATCH(127, 'Detalles movimientos'!$U$5:$U$1004, 0)), "")</f>
        <v/>
      </c>
      <c r="H136" s="21" t="str">
        <f>IFERROR(INDEX('Detalles movimientos'!I$5:I$1004, MATCH(127, 'Detalles movimientos'!$U$5:$U$1004, 0)), "")</f>
        <v/>
      </c>
      <c r="I136" s="20" t="str">
        <f>IFERROR(INDEX('Detalles movimientos'!M$5:M$1004, MATCH(127, 'Detalles movimientos'!$U$5:$U$1004, 0)), "")</f>
        <v/>
      </c>
      <c r="J136" s="19" t="str">
        <f>IFERROR(INDEX('Detalles movimientos'!N$5:N$1004, MATCH(127, 'Detalles movimientos'!$U$5:$U$1004, 0)), "")</f>
        <v/>
      </c>
      <c r="K136" s="20" t="str">
        <f>IFERROR(INDEX('Detalles movimientos'!O$5:O$1004, MATCH(127, 'Detalles movimientos'!$U$5:$U$1004, 0)), "")</f>
        <v/>
      </c>
      <c r="L136" s="18" t="str">
        <f>IFERROR(INDEX('Detalles movimientos'!P$5:P$1004, MATCH(127, 'Detalles movimientos'!$U$5:$U$1004, 0)), "")</f>
        <v/>
      </c>
      <c r="M136" s="18" t="str">
        <f>IFERROR(INDEX('Detalles movimientos'!S$5:S$1004, MATCH(127, 'Detalles movimientos'!$U$5:$U$1004, 0)), "")</f>
        <v/>
      </c>
    </row>
    <row r="137" spans="2:13">
      <c r="B137" s="17" t="str">
        <f>IFERROR(INDEX('Detalles movimientos'!C$5:C$1004, MATCH(128, 'Detalles movimientos'!$U$5:$U$1004, 0)), "")</f>
        <v/>
      </c>
      <c r="C137" s="18" t="str">
        <f>IFERROR(INDEX('Detalles movimientos'!D$5:D$1004, MATCH(128, 'Detalles movimientos'!$U$5:$U$1004, 0)), "")</f>
        <v/>
      </c>
      <c r="D137" s="19" t="str">
        <f>IFERROR(INDEX('Detalles movimientos'!E$5:E$1004, MATCH(128, 'Detalles movimientos'!$U$5:$U$1004, 0)), "")</f>
        <v/>
      </c>
      <c r="E137" s="19" t="str">
        <f>IFERROR(INDEX('Detalles movimientos'!F$5:F$1004, MATCH(128, 'Detalles movimientos'!$U$5:$U$1004, 0)), "")</f>
        <v/>
      </c>
      <c r="F137" s="18" t="str">
        <f>IFERROR(INDEX('Detalles movimientos'!G$5:G$1004, MATCH(128, 'Detalles movimientos'!$U$5:$U$1004, 0)), "")</f>
        <v/>
      </c>
      <c r="G137" s="20" t="str">
        <f>IFERROR(INDEX('Detalles movimientos'!H$5:H$1004, MATCH(128, 'Detalles movimientos'!$U$5:$U$1004, 0)), "")</f>
        <v/>
      </c>
      <c r="H137" s="21" t="str">
        <f>IFERROR(INDEX('Detalles movimientos'!I$5:I$1004, MATCH(128, 'Detalles movimientos'!$U$5:$U$1004, 0)), "")</f>
        <v/>
      </c>
      <c r="I137" s="20" t="str">
        <f>IFERROR(INDEX('Detalles movimientos'!M$5:M$1004, MATCH(128, 'Detalles movimientos'!$U$5:$U$1004, 0)), "")</f>
        <v/>
      </c>
      <c r="J137" s="19" t="str">
        <f>IFERROR(INDEX('Detalles movimientos'!N$5:N$1004, MATCH(128, 'Detalles movimientos'!$U$5:$U$1004, 0)), "")</f>
        <v/>
      </c>
      <c r="K137" s="20" t="str">
        <f>IFERROR(INDEX('Detalles movimientos'!O$5:O$1004, MATCH(128, 'Detalles movimientos'!$U$5:$U$1004, 0)), "")</f>
        <v/>
      </c>
      <c r="L137" s="18" t="str">
        <f>IFERROR(INDEX('Detalles movimientos'!P$5:P$1004, MATCH(128, 'Detalles movimientos'!$U$5:$U$1004, 0)), "")</f>
        <v/>
      </c>
      <c r="M137" s="18" t="str">
        <f>IFERROR(INDEX('Detalles movimientos'!S$5:S$1004, MATCH(128, 'Detalles movimientos'!$U$5:$U$1004, 0)), "")</f>
        <v/>
      </c>
    </row>
    <row r="138" spans="2:13">
      <c r="B138" s="17" t="str">
        <f>IFERROR(INDEX('Detalles movimientos'!C$5:C$1004, MATCH(129, 'Detalles movimientos'!$U$5:$U$1004, 0)), "")</f>
        <v/>
      </c>
      <c r="C138" s="18" t="str">
        <f>IFERROR(INDEX('Detalles movimientos'!D$5:D$1004, MATCH(129, 'Detalles movimientos'!$U$5:$U$1004, 0)), "")</f>
        <v/>
      </c>
      <c r="D138" s="19" t="str">
        <f>IFERROR(INDEX('Detalles movimientos'!E$5:E$1004, MATCH(129, 'Detalles movimientos'!$U$5:$U$1004, 0)), "")</f>
        <v/>
      </c>
      <c r="E138" s="19" t="str">
        <f>IFERROR(INDEX('Detalles movimientos'!F$5:F$1004, MATCH(129, 'Detalles movimientos'!$U$5:$U$1004, 0)), "")</f>
        <v/>
      </c>
      <c r="F138" s="18" t="str">
        <f>IFERROR(INDEX('Detalles movimientos'!G$5:G$1004, MATCH(129, 'Detalles movimientos'!$U$5:$U$1004, 0)), "")</f>
        <v/>
      </c>
      <c r="G138" s="20" t="str">
        <f>IFERROR(INDEX('Detalles movimientos'!H$5:H$1004, MATCH(129, 'Detalles movimientos'!$U$5:$U$1004, 0)), "")</f>
        <v/>
      </c>
      <c r="H138" s="21" t="str">
        <f>IFERROR(INDEX('Detalles movimientos'!I$5:I$1004, MATCH(129, 'Detalles movimientos'!$U$5:$U$1004, 0)), "")</f>
        <v/>
      </c>
      <c r="I138" s="20" t="str">
        <f>IFERROR(INDEX('Detalles movimientos'!M$5:M$1004, MATCH(129, 'Detalles movimientos'!$U$5:$U$1004, 0)), "")</f>
        <v/>
      </c>
      <c r="J138" s="19" t="str">
        <f>IFERROR(INDEX('Detalles movimientos'!N$5:N$1004, MATCH(129, 'Detalles movimientos'!$U$5:$U$1004, 0)), "")</f>
        <v/>
      </c>
      <c r="K138" s="20" t="str">
        <f>IFERROR(INDEX('Detalles movimientos'!O$5:O$1004, MATCH(129, 'Detalles movimientos'!$U$5:$U$1004, 0)), "")</f>
        <v/>
      </c>
      <c r="L138" s="18" t="str">
        <f>IFERROR(INDEX('Detalles movimientos'!P$5:P$1004, MATCH(129, 'Detalles movimientos'!$U$5:$U$1004, 0)), "")</f>
        <v/>
      </c>
      <c r="M138" s="18" t="str">
        <f>IFERROR(INDEX('Detalles movimientos'!S$5:S$1004, MATCH(129, 'Detalles movimientos'!$U$5:$U$1004, 0)), "")</f>
        <v/>
      </c>
    </row>
    <row r="139" spans="2:13">
      <c r="B139" s="17" t="str">
        <f>IFERROR(INDEX('Detalles movimientos'!C$5:C$1004, MATCH(130, 'Detalles movimientos'!$U$5:$U$1004, 0)), "")</f>
        <v/>
      </c>
      <c r="C139" s="18" t="str">
        <f>IFERROR(INDEX('Detalles movimientos'!D$5:D$1004, MATCH(130, 'Detalles movimientos'!$U$5:$U$1004, 0)), "")</f>
        <v/>
      </c>
      <c r="D139" s="19" t="str">
        <f>IFERROR(INDEX('Detalles movimientos'!E$5:E$1004, MATCH(130, 'Detalles movimientos'!$U$5:$U$1004, 0)), "")</f>
        <v/>
      </c>
      <c r="E139" s="19" t="str">
        <f>IFERROR(INDEX('Detalles movimientos'!F$5:F$1004, MATCH(130, 'Detalles movimientos'!$U$5:$U$1004, 0)), "")</f>
        <v/>
      </c>
      <c r="F139" s="18" t="str">
        <f>IFERROR(INDEX('Detalles movimientos'!G$5:G$1004, MATCH(130, 'Detalles movimientos'!$U$5:$U$1004, 0)), "")</f>
        <v/>
      </c>
      <c r="G139" s="20" t="str">
        <f>IFERROR(INDEX('Detalles movimientos'!H$5:H$1004, MATCH(130, 'Detalles movimientos'!$U$5:$U$1004, 0)), "")</f>
        <v/>
      </c>
      <c r="H139" s="21" t="str">
        <f>IFERROR(INDEX('Detalles movimientos'!I$5:I$1004, MATCH(130, 'Detalles movimientos'!$U$5:$U$1004, 0)), "")</f>
        <v/>
      </c>
      <c r="I139" s="20" t="str">
        <f>IFERROR(INDEX('Detalles movimientos'!M$5:M$1004, MATCH(130, 'Detalles movimientos'!$U$5:$U$1004, 0)), "")</f>
        <v/>
      </c>
      <c r="J139" s="19" t="str">
        <f>IFERROR(INDEX('Detalles movimientos'!N$5:N$1004, MATCH(130, 'Detalles movimientos'!$U$5:$U$1004, 0)), "")</f>
        <v/>
      </c>
      <c r="K139" s="20" t="str">
        <f>IFERROR(INDEX('Detalles movimientos'!O$5:O$1004, MATCH(130, 'Detalles movimientos'!$U$5:$U$1004, 0)), "")</f>
        <v/>
      </c>
      <c r="L139" s="18" t="str">
        <f>IFERROR(INDEX('Detalles movimientos'!P$5:P$1004, MATCH(130, 'Detalles movimientos'!$U$5:$U$1004, 0)), "")</f>
        <v/>
      </c>
      <c r="M139" s="18" t="str">
        <f>IFERROR(INDEX('Detalles movimientos'!S$5:S$1004, MATCH(130, 'Detalles movimientos'!$U$5:$U$1004, 0)), "")</f>
        <v/>
      </c>
    </row>
    <row r="140" spans="2:13">
      <c r="B140" s="17" t="str">
        <f>IFERROR(INDEX('Detalles movimientos'!C$5:C$1004, MATCH(131, 'Detalles movimientos'!$U$5:$U$1004, 0)), "")</f>
        <v/>
      </c>
      <c r="C140" s="18" t="str">
        <f>IFERROR(INDEX('Detalles movimientos'!D$5:D$1004, MATCH(131, 'Detalles movimientos'!$U$5:$U$1004, 0)), "")</f>
        <v/>
      </c>
      <c r="D140" s="19" t="str">
        <f>IFERROR(INDEX('Detalles movimientos'!E$5:E$1004, MATCH(131, 'Detalles movimientos'!$U$5:$U$1004, 0)), "")</f>
        <v/>
      </c>
      <c r="E140" s="19" t="str">
        <f>IFERROR(INDEX('Detalles movimientos'!F$5:F$1004, MATCH(131, 'Detalles movimientos'!$U$5:$U$1004, 0)), "")</f>
        <v/>
      </c>
      <c r="F140" s="18" t="str">
        <f>IFERROR(INDEX('Detalles movimientos'!G$5:G$1004, MATCH(131, 'Detalles movimientos'!$U$5:$U$1004, 0)), "")</f>
        <v/>
      </c>
      <c r="G140" s="20" t="str">
        <f>IFERROR(INDEX('Detalles movimientos'!H$5:H$1004, MATCH(131, 'Detalles movimientos'!$U$5:$U$1004, 0)), "")</f>
        <v/>
      </c>
      <c r="H140" s="21" t="str">
        <f>IFERROR(INDEX('Detalles movimientos'!I$5:I$1004, MATCH(131, 'Detalles movimientos'!$U$5:$U$1004, 0)), "")</f>
        <v/>
      </c>
      <c r="I140" s="20" t="str">
        <f>IFERROR(INDEX('Detalles movimientos'!M$5:M$1004, MATCH(131, 'Detalles movimientos'!$U$5:$U$1004, 0)), "")</f>
        <v/>
      </c>
      <c r="J140" s="19" t="str">
        <f>IFERROR(INDEX('Detalles movimientos'!N$5:N$1004, MATCH(131, 'Detalles movimientos'!$U$5:$U$1004, 0)), "")</f>
        <v/>
      </c>
      <c r="K140" s="20" t="str">
        <f>IFERROR(INDEX('Detalles movimientos'!O$5:O$1004, MATCH(131, 'Detalles movimientos'!$U$5:$U$1004, 0)), "")</f>
        <v/>
      </c>
      <c r="L140" s="18" t="str">
        <f>IFERROR(INDEX('Detalles movimientos'!P$5:P$1004, MATCH(131, 'Detalles movimientos'!$U$5:$U$1004, 0)), "")</f>
        <v/>
      </c>
      <c r="M140" s="18" t="str">
        <f>IFERROR(INDEX('Detalles movimientos'!S$5:S$1004, MATCH(131, 'Detalles movimientos'!$U$5:$U$1004, 0)), "")</f>
        <v/>
      </c>
    </row>
    <row r="141" spans="2:13">
      <c r="B141" s="17" t="str">
        <f>IFERROR(INDEX('Detalles movimientos'!C$5:C$1004, MATCH(132, 'Detalles movimientos'!$U$5:$U$1004, 0)), "")</f>
        <v/>
      </c>
      <c r="C141" s="18" t="str">
        <f>IFERROR(INDEX('Detalles movimientos'!D$5:D$1004, MATCH(132, 'Detalles movimientos'!$U$5:$U$1004, 0)), "")</f>
        <v/>
      </c>
      <c r="D141" s="19" t="str">
        <f>IFERROR(INDEX('Detalles movimientos'!E$5:E$1004, MATCH(132, 'Detalles movimientos'!$U$5:$U$1004, 0)), "")</f>
        <v/>
      </c>
      <c r="E141" s="19" t="str">
        <f>IFERROR(INDEX('Detalles movimientos'!F$5:F$1004, MATCH(132, 'Detalles movimientos'!$U$5:$U$1004, 0)), "")</f>
        <v/>
      </c>
      <c r="F141" s="18" t="str">
        <f>IFERROR(INDEX('Detalles movimientos'!G$5:G$1004, MATCH(132, 'Detalles movimientos'!$U$5:$U$1004, 0)), "")</f>
        <v/>
      </c>
      <c r="G141" s="20" t="str">
        <f>IFERROR(INDEX('Detalles movimientos'!H$5:H$1004, MATCH(132, 'Detalles movimientos'!$U$5:$U$1004, 0)), "")</f>
        <v/>
      </c>
      <c r="H141" s="21" t="str">
        <f>IFERROR(INDEX('Detalles movimientos'!I$5:I$1004, MATCH(132, 'Detalles movimientos'!$U$5:$U$1004, 0)), "")</f>
        <v/>
      </c>
      <c r="I141" s="20" t="str">
        <f>IFERROR(INDEX('Detalles movimientos'!M$5:M$1004, MATCH(132, 'Detalles movimientos'!$U$5:$U$1004, 0)), "")</f>
        <v/>
      </c>
      <c r="J141" s="19" t="str">
        <f>IFERROR(INDEX('Detalles movimientos'!N$5:N$1004, MATCH(132, 'Detalles movimientos'!$U$5:$U$1004, 0)), "")</f>
        <v/>
      </c>
      <c r="K141" s="20" t="str">
        <f>IFERROR(INDEX('Detalles movimientos'!O$5:O$1004, MATCH(132, 'Detalles movimientos'!$U$5:$U$1004, 0)), "")</f>
        <v/>
      </c>
      <c r="L141" s="18" t="str">
        <f>IFERROR(INDEX('Detalles movimientos'!P$5:P$1004, MATCH(132, 'Detalles movimientos'!$U$5:$U$1004, 0)), "")</f>
        <v/>
      </c>
      <c r="M141" s="18" t="str">
        <f>IFERROR(INDEX('Detalles movimientos'!S$5:S$1004, MATCH(132, 'Detalles movimientos'!$U$5:$U$1004, 0)), "")</f>
        <v/>
      </c>
    </row>
    <row r="142" spans="2:13">
      <c r="B142" s="17" t="str">
        <f>IFERROR(INDEX('Detalles movimientos'!C$5:C$1004, MATCH(133, 'Detalles movimientos'!$U$5:$U$1004, 0)), "")</f>
        <v/>
      </c>
      <c r="C142" s="18" t="str">
        <f>IFERROR(INDEX('Detalles movimientos'!D$5:D$1004, MATCH(133, 'Detalles movimientos'!$U$5:$U$1004, 0)), "")</f>
        <v/>
      </c>
      <c r="D142" s="19" t="str">
        <f>IFERROR(INDEX('Detalles movimientos'!E$5:E$1004, MATCH(133, 'Detalles movimientos'!$U$5:$U$1004, 0)), "")</f>
        <v/>
      </c>
      <c r="E142" s="19" t="str">
        <f>IFERROR(INDEX('Detalles movimientos'!F$5:F$1004, MATCH(133, 'Detalles movimientos'!$U$5:$U$1004, 0)), "")</f>
        <v/>
      </c>
      <c r="F142" s="18" t="str">
        <f>IFERROR(INDEX('Detalles movimientos'!G$5:G$1004, MATCH(133, 'Detalles movimientos'!$U$5:$U$1004, 0)), "")</f>
        <v/>
      </c>
      <c r="G142" s="20" t="str">
        <f>IFERROR(INDEX('Detalles movimientos'!H$5:H$1004, MATCH(133, 'Detalles movimientos'!$U$5:$U$1004, 0)), "")</f>
        <v/>
      </c>
      <c r="H142" s="21" t="str">
        <f>IFERROR(INDEX('Detalles movimientos'!I$5:I$1004, MATCH(133, 'Detalles movimientos'!$U$5:$U$1004, 0)), "")</f>
        <v/>
      </c>
      <c r="I142" s="20" t="str">
        <f>IFERROR(INDEX('Detalles movimientos'!M$5:M$1004, MATCH(133, 'Detalles movimientos'!$U$5:$U$1004, 0)), "")</f>
        <v/>
      </c>
      <c r="J142" s="19" t="str">
        <f>IFERROR(INDEX('Detalles movimientos'!N$5:N$1004, MATCH(133, 'Detalles movimientos'!$U$5:$U$1004, 0)), "")</f>
        <v/>
      </c>
      <c r="K142" s="20" t="str">
        <f>IFERROR(INDEX('Detalles movimientos'!O$5:O$1004, MATCH(133, 'Detalles movimientos'!$U$5:$U$1004, 0)), "")</f>
        <v/>
      </c>
      <c r="L142" s="18" t="str">
        <f>IFERROR(INDEX('Detalles movimientos'!P$5:P$1004, MATCH(133, 'Detalles movimientos'!$U$5:$U$1004, 0)), "")</f>
        <v/>
      </c>
      <c r="M142" s="18" t="str">
        <f>IFERROR(INDEX('Detalles movimientos'!S$5:S$1004, MATCH(133, 'Detalles movimientos'!$U$5:$U$1004, 0)), "")</f>
        <v/>
      </c>
    </row>
    <row r="143" spans="2:13">
      <c r="B143" s="17" t="str">
        <f>IFERROR(INDEX('Detalles movimientos'!C$5:C$1004, MATCH(134, 'Detalles movimientos'!$U$5:$U$1004, 0)), "")</f>
        <v/>
      </c>
      <c r="C143" s="18" t="str">
        <f>IFERROR(INDEX('Detalles movimientos'!D$5:D$1004, MATCH(134, 'Detalles movimientos'!$U$5:$U$1004, 0)), "")</f>
        <v/>
      </c>
      <c r="D143" s="19" t="str">
        <f>IFERROR(INDEX('Detalles movimientos'!E$5:E$1004, MATCH(134, 'Detalles movimientos'!$U$5:$U$1004, 0)), "")</f>
        <v/>
      </c>
      <c r="E143" s="19" t="str">
        <f>IFERROR(INDEX('Detalles movimientos'!F$5:F$1004, MATCH(134, 'Detalles movimientos'!$U$5:$U$1004, 0)), "")</f>
        <v/>
      </c>
      <c r="F143" s="18" t="str">
        <f>IFERROR(INDEX('Detalles movimientos'!G$5:G$1004, MATCH(134, 'Detalles movimientos'!$U$5:$U$1004, 0)), "")</f>
        <v/>
      </c>
      <c r="G143" s="20" t="str">
        <f>IFERROR(INDEX('Detalles movimientos'!H$5:H$1004, MATCH(134, 'Detalles movimientos'!$U$5:$U$1004, 0)), "")</f>
        <v/>
      </c>
      <c r="H143" s="21" t="str">
        <f>IFERROR(INDEX('Detalles movimientos'!I$5:I$1004, MATCH(134, 'Detalles movimientos'!$U$5:$U$1004, 0)), "")</f>
        <v/>
      </c>
      <c r="I143" s="20" t="str">
        <f>IFERROR(INDEX('Detalles movimientos'!M$5:M$1004, MATCH(134, 'Detalles movimientos'!$U$5:$U$1004, 0)), "")</f>
        <v/>
      </c>
      <c r="J143" s="19" t="str">
        <f>IFERROR(INDEX('Detalles movimientos'!N$5:N$1004, MATCH(134, 'Detalles movimientos'!$U$5:$U$1004, 0)), "")</f>
        <v/>
      </c>
      <c r="K143" s="20" t="str">
        <f>IFERROR(INDEX('Detalles movimientos'!O$5:O$1004, MATCH(134, 'Detalles movimientos'!$U$5:$U$1004, 0)), "")</f>
        <v/>
      </c>
      <c r="L143" s="18" t="str">
        <f>IFERROR(INDEX('Detalles movimientos'!P$5:P$1004, MATCH(134, 'Detalles movimientos'!$U$5:$U$1004, 0)), "")</f>
        <v/>
      </c>
      <c r="M143" s="18" t="str">
        <f>IFERROR(INDEX('Detalles movimientos'!S$5:S$1004, MATCH(134, 'Detalles movimientos'!$U$5:$U$1004, 0)), "")</f>
        <v/>
      </c>
    </row>
    <row r="144" spans="2:13">
      <c r="B144" s="17" t="str">
        <f>IFERROR(INDEX('Detalles movimientos'!C$5:C$1004, MATCH(135, 'Detalles movimientos'!$U$5:$U$1004, 0)), "")</f>
        <v/>
      </c>
      <c r="C144" s="18" t="str">
        <f>IFERROR(INDEX('Detalles movimientos'!D$5:D$1004, MATCH(135, 'Detalles movimientos'!$U$5:$U$1004, 0)), "")</f>
        <v/>
      </c>
      <c r="D144" s="19" t="str">
        <f>IFERROR(INDEX('Detalles movimientos'!E$5:E$1004, MATCH(135, 'Detalles movimientos'!$U$5:$U$1004, 0)), "")</f>
        <v/>
      </c>
      <c r="E144" s="19" t="str">
        <f>IFERROR(INDEX('Detalles movimientos'!F$5:F$1004, MATCH(135, 'Detalles movimientos'!$U$5:$U$1004, 0)), "")</f>
        <v/>
      </c>
      <c r="F144" s="18" t="str">
        <f>IFERROR(INDEX('Detalles movimientos'!G$5:G$1004, MATCH(135, 'Detalles movimientos'!$U$5:$U$1004, 0)), "")</f>
        <v/>
      </c>
      <c r="G144" s="20" t="str">
        <f>IFERROR(INDEX('Detalles movimientos'!H$5:H$1004, MATCH(135, 'Detalles movimientos'!$U$5:$U$1004, 0)), "")</f>
        <v/>
      </c>
      <c r="H144" s="21" t="str">
        <f>IFERROR(INDEX('Detalles movimientos'!I$5:I$1004, MATCH(135, 'Detalles movimientos'!$U$5:$U$1004, 0)), "")</f>
        <v/>
      </c>
      <c r="I144" s="20" t="str">
        <f>IFERROR(INDEX('Detalles movimientos'!M$5:M$1004, MATCH(135, 'Detalles movimientos'!$U$5:$U$1004, 0)), "")</f>
        <v/>
      </c>
      <c r="J144" s="19" t="str">
        <f>IFERROR(INDEX('Detalles movimientos'!N$5:N$1004, MATCH(135, 'Detalles movimientos'!$U$5:$U$1004, 0)), "")</f>
        <v/>
      </c>
      <c r="K144" s="20" t="str">
        <f>IFERROR(INDEX('Detalles movimientos'!O$5:O$1004, MATCH(135, 'Detalles movimientos'!$U$5:$U$1004, 0)), "")</f>
        <v/>
      </c>
      <c r="L144" s="18" t="str">
        <f>IFERROR(INDEX('Detalles movimientos'!P$5:P$1004, MATCH(135, 'Detalles movimientos'!$U$5:$U$1004, 0)), "")</f>
        <v/>
      </c>
      <c r="M144" s="18" t="str">
        <f>IFERROR(INDEX('Detalles movimientos'!S$5:S$1004, MATCH(135, 'Detalles movimientos'!$U$5:$U$1004, 0)), "")</f>
        <v/>
      </c>
    </row>
    <row r="145" spans="2:13">
      <c r="B145" s="17" t="str">
        <f>IFERROR(INDEX('Detalles movimientos'!C$5:C$1004, MATCH(136, 'Detalles movimientos'!$U$5:$U$1004, 0)), "")</f>
        <v/>
      </c>
      <c r="C145" s="18" t="str">
        <f>IFERROR(INDEX('Detalles movimientos'!D$5:D$1004, MATCH(136, 'Detalles movimientos'!$U$5:$U$1004, 0)), "")</f>
        <v/>
      </c>
      <c r="D145" s="19" t="str">
        <f>IFERROR(INDEX('Detalles movimientos'!E$5:E$1004, MATCH(136, 'Detalles movimientos'!$U$5:$U$1004, 0)), "")</f>
        <v/>
      </c>
      <c r="E145" s="19" t="str">
        <f>IFERROR(INDEX('Detalles movimientos'!F$5:F$1004, MATCH(136, 'Detalles movimientos'!$U$5:$U$1004, 0)), "")</f>
        <v/>
      </c>
      <c r="F145" s="18" t="str">
        <f>IFERROR(INDEX('Detalles movimientos'!G$5:G$1004, MATCH(136, 'Detalles movimientos'!$U$5:$U$1004, 0)), "")</f>
        <v/>
      </c>
      <c r="G145" s="20" t="str">
        <f>IFERROR(INDEX('Detalles movimientos'!H$5:H$1004, MATCH(136, 'Detalles movimientos'!$U$5:$U$1004, 0)), "")</f>
        <v/>
      </c>
      <c r="H145" s="21" t="str">
        <f>IFERROR(INDEX('Detalles movimientos'!I$5:I$1004, MATCH(136, 'Detalles movimientos'!$U$5:$U$1004, 0)), "")</f>
        <v/>
      </c>
      <c r="I145" s="20" t="str">
        <f>IFERROR(INDEX('Detalles movimientos'!M$5:M$1004, MATCH(136, 'Detalles movimientos'!$U$5:$U$1004, 0)), "")</f>
        <v/>
      </c>
      <c r="J145" s="19" t="str">
        <f>IFERROR(INDEX('Detalles movimientos'!N$5:N$1004, MATCH(136, 'Detalles movimientos'!$U$5:$U$1004, 0)), "")</f>
        <v/>
      </c>
      <c r="K145" s="20" t="str">
        <f>IFERROR(INDEX('Detalles movimientos'!O$5:O$1004, MATCH(136, 'Detalles movimientos'!$U$5:$U$1004, 0)), "")</f>
        <v/>
      </c>
      <c r="L145" s="18" t="str">
        <f>IFERROR(INDEX('Detalles movimientos'!P$5:P$1004, MATCH(136, 'Detalles movimientos'!$U$5:$U$1004, 0)), "")</f>
        <v/>
      </c>
      <c r="M145" s="18" t="str">
        <f>IFERROR(INDEX('Detalles movimientos'!S$5:S$1004, MATCH(136, 'Detalles movimientos'!$U$5:$U$1004, 0)), "")</f>
        <v/>
      </c>
    </row>
    <row r="146" spans="2:13">
      <c r="B146" s="17" t="str">
        <f>IFERROR(INDEX('Detalles movimientos'!C$5:C$1004, MATCH(137, 'Detalles movimientos'!$U$5:$U$1004, 0)), "")</f>
        <v/>
      </c>
      <c r="C146" s="18" t="str">
        <f>IFERROR(INDEX('Detalles movimientos'!D$5:D$1004, MATCH(137, 'Detalles movimientos'!$U$5:$U$1004, 0)), "")</f>
        <v/>
      </c>
      <c r="D146" s="19" t="str">
        <f>IFERROR(INDEX('Detalles movimientos'!E$5:E$1004, MATCH(137, 'Detalles movimientos'!$U$5:$U$1004, 0)), "")</f>
        <v/>
      </c>
      <c r="E146" s="19" t="str">
        <f>IFERROR(INDEX('Detalles movimientos'!F$5:F$1004, MATCH(137, 'Detalles movimientos'!$U$5:$U$1004, 0)), "")</f>
        <v/>
      </c>
      <c r="F146" s="18" t="str">
        <f>IFERROR(INDEX('Detalles movimientos'!G$5:G$1004, MATCH(137, 'Detalles movimientos'!$U$5:$U$1004, 0)), "")</f>
        <v/>
      </c>
      <c r="G146" s="20" t="str">
        <f>IFERROR(INDEX('Detalles movimientos'!H$5:H$1004, MATCH(137, 'Detalles movimientos'!$U$5:$U$1004, 0)), "")</f>
        <v/>
      </c>
      <c r="H146" s="21" t="str">
        <f>IFERROR(INDEX('Detalles movimientos'!I$5:I$1004, MATCH(137, 'Detalles movimientos'!$U$5:$U$1004, 0)), "")</f>
        <v/>
      </c>
      <c r="I146" s="20" t="str">
        <f>IFERROR(INDEX('Detalles movimientos'!M$5:M$1004, MATCH(137, 'Detalles movimientos'!$U$5:$U$1004, 0)), "")</f>
        <v/>
      </c>
      <c r="J146" s="19" t="str">
        <f>IFERROR(INDEX('Detalles movimientos'!N$5:N$1004, MATCH(137, 'Detalles movimientos'!$U$5:$U$1004, 0)), "")</f>
        <v/>
      </c>
      <c r="K146" s="20" t="str">
        <f>IFERROR(INDEX('Detalles movimientos'!O$5:O$1004, MATCH(137, 'Detalles movimientos'!$U$5:$U$1004, 0)), "")</f>
        <v/>
      </c>
      <c r="L146" s="18" t="str">
        <f>IFERROR(INDEX('Detalles movimientos'!P$5:P$1004, MATCH(137, 'Detalles movimientos'!$U$5:$U$1004, 0)), "")</f>
        <v/>
      </c>
      <c r="M146" s="18" t="str">
        <f>IFERROR(INDEX('Detalles movimientos'!S$5:S$1004, MATCH(137, 'Detalles movimientos'!$U$5:$U$1004, 0)), "")</f>
        <v/>
      </c>
    </row>
    <row r="147" spans="2:13">
      <c r="B147" s="17" t="str">
        <f>IFERROR(INDEX('Detalles movimientos'!C$5:C$1004, MATCH(138, 'Detalles movimientos'!$U$5:$U$1004, 0)), "")</f>
        <v/>
      </c>
      <c r="C147" s="18" t="str">
        <f>IFERROR(INDEX('Detalles movimientos'!D$5:D$1004, MATCH(138, 'Detalles movimientos'!$U$5:$U$1004, 0)), "")</f>
        <v/>
      </c>
      <c r="D147" s="19" t="str">
        <f>IFERROR(INDEX('Detalles movimientos'!E$5:E$1004, MATCH(138, 'Detalles movimientos'!$U$5:$U$1004, 0)), "")</f>
        <v/>
      </c>
      <c r="E147" s="19" t="str">
        <f>IFERROR(INDEX('Detalles movimientos'!F$5:F$1004, MATCH(138, 'Detalles movimientos'!$U$5:$U$1004, 0)), "")</f>
        <v/>
      </c>
      <c r="F147" s="18" t="str">
        <f>IFERROR(INDEX('Detalles movimientos'!G$5:G$1004, MATCH(138, 'Detalles movimientos'!$U$5:$U$1004, 0)), "")</f>
        <v/>
      </c>
      <c r="G147" s="20" t="str">
        <f>IFERROR(INDEX('Detalles movimientos'!H$5:H$1004, MATCH(138, 'Detalles movimientos'!$U$5:$U$1004, 0)), "")</f>
        <v/>
      </c>
      <c r="H147" s="21" t="str">
        <f>IFERROR(INDEX('Detalles movimientos'!I$5:I$1004, MATCH(138, 'Detalles movimientos'!$U$5:$U$1004, 0)), "")</f>
        <v/>
      </c>
      <c r="I147" s="20" t="str">
        <f>IFERROR(INDEX('Detalles movimientos'!M$5:M$1004, MATCH(138, 'Detalles movimientos'!$U$5:$U$1004, 0)), "")</f>
        <v/>
      </c>
      <c r="J147" s="19" t="str">
        <f>IFERROR(INDEX('Detalles movimientos'!N$5:N$1004, MATCH(138, 'Detalles movimientos'!$U$5:$U$1004, 0)), "")</f>
        <v/>
      </c>
      <c r="K147" s="20" t="str">
        <f>IFERROR(INDEX('Detalles movimientos'!O$5:O$1004, MATCH(138, 'Detalles movimientos'!$U$5:$U$1004, 0)), "")</f>
        <v/>
      </c>
      <c r="L147" s="18" t="str">
        <f>IFERROR(INDEX('Detalles movimientos'!P$5:P$1004, MATCH(138, 'Detalles movimientos'!$U$5:$U$1004, 0)), "")</f>
        <v/>
      </c>
      <c r="M147" s="18" t="str">
        <f>IFERROR(INDEX('Detalles movimientos'!S$5:S$1004, MATCH(138, 'Detalles movimientos'!$U$5:$U$1004, 0)), "")</f>
        <v/>
      </c>
    </row>
    <row r="148" spans="2:13">
      <c r="B148" s="17" t="str">
        <f>IFERROR(INDEX('Detalles movimientos'!C$5:C$1004, MATCH(139, 'Detalles movimientos'!$U$5:$U$1004, 0)), "")</f>
        <v/>
      </c>
      <c r="C148" s="18" t="str">
        <f>IFERROR(INDEX('Detalles movimientos'!D$5:D$1004, MATCH(139, 'Detalles movimientos'!$U$5:$U$1004, 0)), "")</f>
        <v/>
      </c>
      <c r="D148" s="19" t="str">
        <f>IFERROR(INDEX('Detalles movimientos'!E$5:E$1004, MATCH(139, 'Detalles movimientos'!$U$5:$U$1004, 0)), "")</f>
        <v/>
      </c>
      <c r="E148" s="19" t="str">
        <f>IFERROR(INDEX('Detalles movimientos'!F$5:F$1004, MATCH(139, 'Detalles movimientos'!$U$5:$U$1004, 0)), "")</f>
        <v/>
      </c>
      <c r="F148" s="18" t="str">
        <f>IFERROR(INDEX('Detalles movimientos'!G$5:G$1004, MATCH(139, 'Detalles movimientos'!$U$5:$U$1004, 0)), "")</f>
        <v/>
      </c>
      <c r="G148" s="20" t="str">
        <f>IFERROR(INDEX('Detalles movimientos'!H$5:H$1004, MATCH(139, 'Detalles movimientos'!$U$5:$U$1004, 0)), "")</f>
        <v/>
      </c>
      <c r="H148" s="21" t="str">
        <f>IFERROR(INDEX('Detalles movimientos'!I$5:I$1004, MATCH(139, 'Detalles movimientos'!$U$5:$U$1004, 0)), "")</f>
        <v/>
      </c>
      <c r="I148" s="20" t="str">
        <f>IFERROR(INDEX('Detalles movimientos'!M$5:M$1004, MATCH(139, 'Detalles movimientos'!$U$5:$U$1004, 0)), "")</f>
        <v/>
      </c>
      <c r="J148" s="19" t="str">
        <f>IFERROR(INDEX('Detalles movimientos'!N$5:N$1004, MATCH(139, 'Detalles movimientos'!$U$5:$U$1004, 0)), "")</f>
        <v/>
      </c>
      <c r="K148" s="20" t="str">
        <f>IFERROR(INDEX('Detalles movimientos'!O$5:O$1004, MATCH(139, 'Detalles movimientos'!$U$5:$U$1004, 0)), "")</f>
        <v/>
      </c>
      <c r="L148" s="18" t="str">
        <f>IFERROR(INDEX('Detalles movimientos'!P$5:P$1004, MATCH(139, 'Detalles movimientos'!$U$5:$U$1004, 0)), "")</f>
        <v/>
      </c>
      <c r="M148" s="18" t="str">
        <f>IFERROR(INDEX('Detalles movimientos'!S$5:S$1004, MATCH(139, 'Detalles movimientos'!$U$5:$U$1004, 0)), "")</f>
        <v/>
      </c>
    </row>
    <row r="149" spans="2:13">
      <c r="B149" s="17" t="str">
        <f>IFERROR(INDEX('Detalles movimientos'!C$5:C$1004, MATCH(140, 'Detalles movimientos'!$U$5:$U$1004, 0)), "")</f>
        <v/>
      </c>
      <c r="C149" s="18" t="str">
        <f>IFERROR(INDEX('Detalles movimientos'!D$5:D$1004, MATCH(140, 'Detalles movimientos'!$U$5:$U$1004, 0)), "")</f>
        <v/>
      </c>
      <c r="D149" s="19" t="str">
        <f>IFERROR(INDEX('Detalles movimientos'!E$5:E$1004, MATCH(140, 'Detalles movimientos'!$U$5:$U$1004, 0)), "")</f>
        <v/>
      </c>
      <c r="E149" s="19" t="str">
        <f>IFERROR(INDEX('Detalles movimientos'!F$5:F$1004, MATCH(140, 'Detalles movimientos'!$U$5:$U$1004, 0)), "")</f>
        <v/>
      </c>
      <c r="F149" s="18" t="str">
        <f>IFERROR(INDEX('Detalles movimientos'!G$5:G$1004, MATCH(140, 'Detalles movimientos'!$U$5:$U$1004, 0)), "")</f>
        <v/>
      </c>
      <c r="G149" s="20" t="str">
        <f>IFERROR(INDEX('Detalles movimientos'!H$5:H$1004, MATCH(140, 'Detalles movimientos'!$U$5:$U$1004, 0)), "")</f>
        <v/>
      </c>
      <c r="H149" s="21" t="str">
        <f>IFERROR(INDEX('Detalles movimientos'!I$5:I$1004, MATCH(140, 'Detalles movimientos'!$U$5:$U$1004, 0)), "")</f>
        <v/>
      </c>
      <c r="I149" s="20" t="str">
        <f>IFERROR(INDEX('Detalles movimientos'!M$5:M$1004, MATCH(140, 'Detalles movimientos'!$U$5:$U$1004, 0)), "")</f>
        <v/>
      </c>
      <c r="J149" s="19" t="str">
        <f>IFERROR(INDEX('Detalles movimientos'!N$5:N$1004, MATCH(140, 'Detalles movimientos'!$U$5:$U$1004, 0)), "")</f>
        <v/>
      </c>
      <c r="K149" s="20" t="str">
        <f>IFERROR(INDEX('Detalles movimientos'!O$5:O$1004, MATCH(140, 'Detalles movimientos'!$U$5:$U$1004, 0)), "")</f>
        <v/>
      </c>
      <c r="L149" s="18" t="str">
        <f>IFERROR(INDEX('Detalles movimientos'!P$5:P$1004, MATCH(140, 'Detalles movimientos'!$U$5:$U$1004, 0)), "")</f>
        <v/>
      </c>
      <c r="M149" s="18" t="str">
        <f>IFERROR(INDEX('Detalles movimientos'!S$5:S$1004, MATCH(140, 'Detalles movimientos'!$U$5:$U$1004, 0)), "")</f>
        <v/>
      </c>
    </row>
    <row r="150" spans="2:13">
      <c r="B150" s="17" t="str">
        <f>IFERROR(INDEX('Detalles movimientos'!C$5:C$1004, MATCH(141, 'Detalles movimientos'!$U$5:$U$1004, 0)), "")</f>
        <v/>
      </c>
      <c r="C150" s="18" t="str">
        <f>IFERROR(INDEX('Detalles movimientos'!D$5:D$1004, MATCH(141, 'Detalles movimientos'!$U$5:$U$1004, 0)), "")</f>
        <v/>
      </c>
      <c r="D150" s="19" t="str">
        <f>IFERROR(INDEX('Detalles movimientos'!E$5:E$1004, MATCH(141, 'Detalles movimientos'!$U$5:$U$1004, 0)), "")</f>
        <v/>
      </c>
      <c r="E150" s="19" t="str">
        <f>IFERROR(INDEX('Detalles movimientos'!F$5:F$1004, MATCH(141, 'Detalles movimientos'!$U$5:$U$1004, 0)), "")</f>
        <v/>
      </c>
      <c r="F150" s="18" t="str">
        <f>IFERROR(INDEX('Detalles movimientos'!G$5:G$1004, MATCH(141, 'Detalles movimientos'!$U$5:$U$1004, 0)), "")</f>
        <v/>
      </c>
      <c r="G150" s="20" t="str">
        <f>IFERROR(INDEX('Detalles movimientos'!H$5:H$1004, MATCH(141, 'Detalles movimientos'!$U$5:$U$1004, 0)), "")</f>
        <v/>
      </c>
      <c r="H150" s="21" t="str">
        <f>IFERROR(INDEX('Detalles movimientos'!I$5:I$1004, MATCH(141, 'Detalles movimientos'!$U$5:$U$1004, 0)), "")</f>
        <v/>
      </c>
      <c r="I150" s="20" t="str">
        <f>IFERROR(INDEX('Detalles movimientos'!M$5:M$1004, MATCH(141, 'Detalles movimientos'!$U$5:$U$1004, 0)), "")</f>
        <v/>
      </c>
      <c r="J150" s="19" t="str">
        <f>IFERROR(INDEX('Detalles movimientos'!N$5:N$1004, MATCH(141, 'Detalles movimientos'!$U$5:$U$1004, 0)), "")</f>
        <v/>
      </c>
      <c r="K150" s="20" t="str">
        <f>IFERROR(INDEX('Detalles movimientos'!O$5:O$1004, MATCH(141, 'Detalles movimientos'!$U$5:$U$1004, 0)), "")</f>
        <v/>
      </c>
      <c r="L150" s="18" t="str">
        <f>IFERROR(INDEX('Detalles movimientos'!P$5:P$1004, MATCH(141, 'Detalles movimientos'!$U$5:$U$1004, 0)), "")</f>
        <v/>
      </c>
      <c r="M150" s="18" t="str">
        <f>IFERROR(INDEX('Detalles movimientos'!S$5:S$1004, MATCH(141, 'Detalles movimientos'!$U$5:$U$1004, 0)), "")</f>
        <v/>
      </c>
    </row>
    <row r="151" spans="2:13">
      <c r="B151" s="17" t="str">
        <f>IFERROR(INDEX('Detalles movimientos'!C$5:C$1004, MATCH(142, 'Detalles movimientos'!$U$5:$U$1004, 0)), "")</f>
        <v/>
      </c>
      <c r="C151" s="18" t="str">
        <f>IFERROR(INDEX('Detalles movimientos'!D$5:D$1004, MATCH(142, 'Detalles movimientos'!$U$5:$U$1004, 0)), "")</f>
        <v/>
      </c>
      <c r="D151" s="19" t="str">
        <f>IFERROR(INDEX('Detalles movimientos'!E$5:E$1004, MATCH(142, 'Detalles movimientos'!$U$5:$U$1004, 0)), "")</f>
        <v/>
      </c>
      <c r="E151" s="19" t="str">
        <f>IFERROR(INDEX('Detalles movimientos'!F$5:F$1004, MATCH(142, 'Detalles movimientos'!$U$5:$U$1004, 0)), "")</f>
        <v/>
      </c>
      <c r="F151" s="18" t="str">
        <f>IFERROR(INDEX('Detalles movimientos'!G$5:G$1004, MATCH(142, 'Detalles movimientos'!$U$5:$U$1004, 0)), "")</f>
        <v/>
      </c>
      <c r="G151" s="20" t="str">
        <f>IFERROR(INDEX('Detalles movimientos'!H$5:H$1004, MATCH(142, 'Detalles movimientos'!$U$5:$U$1004, 0)), "")</f>
        <v/>
      </c>
      <c r="H151" s="21" t="str">
        <f>IFERROR(INDEX('Detalles movimientos'!I$5:I$1004, MATCH(142, 'Detalles movimientos'!$U$5:$U$1004, 0)), "")</f>
        <v/>
      </c>
      <c r="I151" s="20" t="str">
        <f>IFERROR(INDEX('Detalles movimientos'!M$5:M$1004, MATCH(142, 'Detalles movimientos'!$U$5:$U$1004, 0)), "")</f>
        <v/>
      </c>
      <c r="J151" s="19" t="str">
        <f>IFERROR(INDEX('Detalles movimientos'!N$5:N$1004, MATCH(142, 'Detalles movimientos'!$U$5:$U$1004, 0)), "")</f>
        <v/>
      </c>
      <c r="K151" s="20" t="str">
        <f>IFERROR(INDEX('Detalles movimientos'!O$5:O$1004, MATCH(142, 'Detalles movimientos'!$U$5:$U$1004, 0)), "")</f>
        <v/>
      </c>
      <c r="L151" s="18" t="str">
        <f>IFERROR(INDEX('Detalles movimientos'!P$5:P$1004, MATCH(142, 'Detalles movimientos'!$U$5:$U$1004, 0)), "")</f>
        <v/>
      </c>
      <c r="M151" s="18" t="str">
        <f>IFERROR(INDEX('Detalles movimientos'!S$5:S$1004, MATCH(142, 'Detalles movimientos'!$U$5:$U$1004, 0)), "")</f>
        <v/>
      </c>
    </row>
    <row r="152" spans="2:13">
      <c r="B152" s="17" t="str">
        <f>IFERROR(INDEX('Detalles movimientos'!C$5:C$1004, MATCH(143, 'Detalles movimientos'!$U$5:$U$1004, 0)), "")</f>
        <v/>
      </c>
      <c r="C152" s="18" t="str">
        <f>IFERROR(INDEX('Detalles movimientos'!D$5:D$1004, MATCH(143, 'Detalles movimientos'!$U$5:$U$1004, 0)), "")</f>
        <v/>
      </c>
      <c r="D152" s="19" t="str">
        <f>IFERROR(INDEX('Detalles movimientos'!E$5:E$1004, MATCH(143, 'Detalles movimientos'!$U$5:$U$1004, 0)), "")</f>
        <v/>
      </c>
      <c r="E152" s="19" t="str">
        <f>IFERROR(INDEX('Detalles movimientos'!F$5:F$1004, MATCH(143, 'Detalles movimientos'!$U$5:$U$1004, 0)), "")</f>
        <v/>
      </c>
      <c r="F152" s="18" t="str">
        <f>IFERROR(INDEX('Detalles movimientos'!G$5:G$1004, MATCH(143, 'Detalles movimientos'!$U$5:$U$1004, 0)), "")</f>
        <v/>
      </c>
      <c r="G152" s="20" t="str">
        <f>IFERROR(INDEX('Detalles movimientos'!H$5:H$1004, MATCH(143, 'Detalles movimientos'!$U$5:$U$1004, 0)), "")</f>
        <v/>
      </c>
      <c r="H152" s="21" t="str">
        <f>IFERROR(INDEX('Detalles movimientos'!I$5:I$1004, MATCH(143, 'Detalles movimientos'!$U$5:$U$1004, 0)), "")</f>
        <v/>
      </c>
      <c r="I152" s="20" t="str">
        <f>IFERROR(INDEX('Detalles movimientos'!M$5:M$1004, MATCH(143, 'Detalles movimientos'!$U$5:$U$1004, 0)), "")</f>
        <v/>
      </c>
      <c r="J152" s="19" t="str">
        <f>IFERROR(INDEX('Detalles movimientos'!N$5:N$1004, MATCH(143, 'Detalles movimientos'!$U$5:$U$1004, 0)), "")</f>
        <v/>
      </c>
      <c r="K152" s="20" t="str">
        <f>IFERROR(INDEX('Detalles movimientos'!O$5:O$1004, MATCH(143, 'Detalles movimientos'!$U$5:$U$1004, 0)), "")</f>
        <v/>
      </c>
      <c r="L152" s="18" t="str">
        <f>IFERROR(INDEX('Detalles movimientos'!P$5:P$1004, MATCH(143, 'Detalles movimientos'!$U$5:$U$1004, 0)), "")</f>
        <v/>
      </c>
      <c r="M152" s="18" t="str">
        <f>IFERROR(INDEX('Detalles movimientos'!S$5:S$1004, MATCH(143, 'Detalles movimientos'!$U$5:$U$1004, 0)), "")</f>
        <v/>
      </c>
    </row>
    <row r="153" spans="2:13">
      <c r="B153" s="17" t="str">
        <f>IFERROR(INDEX('Detalles movimientos'!C$5:C$1004, MATCH(144, 'Detalles movimientos'!$U$5:$U$1004, 0)), "")</f>
        <v/>
      </c>
      <c r="C153" s="18" t="str">
        <f>IFERROR(INDEX('Detalles movimientos'!D$5:D$1004, MATCH(144, 'Detalles movimientos'!$U$5:$U$1004, 0)), "")</f>
        <v/>
      </c>
      <c r="D153" s="19" t="str">
        <f>IFERROR(INDEX('Detalles movimientos'!E$5:E$1004, MATCH(144, 'Detalles movimientos'!$U$5:$U$1004, 0)), "")</f>
        <v/>
      </c>
      <c r="E153" s="19" t="str">
        <f>IFERROR(INDEX('Detalles movimientos'!F$5:F$1004, MATCH(144, 'Detalles movimientos'!$U$5:$U$1004, 0)), "")</f>
        <v/>
      </c>
      <c r="F153" s="18" t="str">
        <f>IFERROR(INDEX('Detalles movimientos'!G$5:G$1004, MATCH(144, 'Detalles movimientos'!$U$5:$U$1004, 0)), "")</f>
        <v/>
      </c>
      <c r="G153" s="20" t="str">
        <f>IFERROR(INDEX('Detalles movimientos'!H$5:H$1004, MATCH(144, 'Detalles movimientos'!$U$5:$U$1004, 0)), "")</f>
        <v/>
      </c>
      <c r="H153" s="21" t="str">
        <f>IFERROR(INDEX('Detalles movimientos'!I$5:I$1004, MATCH(144, 'Detalles movimientos'!$U$5:$U$1004, 0)), "")</f>
        <v/>
      </c>
      <c r="I153" s="20" t="str">
        <f>IFERROR(INDEX('Detalles movimientos'!M$5:M$1004, MATCH(144, 'Detalles movimientos'!$U$5:$U$1004, 0)), "")</f>
        <v/>
      </c>
      <c r="J153" s="19" t="str">
        <f>IFERROR(INDEX('Detalles movimientos'!N$5:N$1004, MATCH(144, 'Detalles movimientos'!$U$5:$U$1004, 0)), "")</f>
        <v/>
      </c>
      <c r="K153" s="20" t="str">
        <f>IFERROR(INDEX('Detalles movimientos'!O$5:O$1004, MATCH(144, 'Detalles movimientos'!$U$5:$U$1004, 0)), "")</f>
        <v/>
      </c>
      <c r="L153" s="18" t="str">
        <f>IFERROR(INDEX('Detalles movimientos'!P$5:P$1004, MATCH(144, 'Detalles movimientos'!$U$5:$U$1004, 0)), "")</f>
        <v/>
      </c>
      <c r="M153" s="18" t="str">
        <f>IFERROR(INDEX('Detalles movimientos'!S$5:S$1004, MATCH(144, 'Detalles movimientos'!$U$5:$U$1004, 0)), "")</f>
        <v/>
      </c>
    </row>
    <row r="154" spans="2:13">
      <c r="B154" s="17" t="str">
        <f>IFERROR(INDEX('Detalles movimientos'!C$5:C$1004, MATCH(145, 'Detalles movimientos'!$U$5:$U$1004, 0)), "")</f>
        <v/>
      </c>
      <c r="C154" s="18" t="str">
        <f>IFERROR(INDEX('Detalles movimientos'!D$5:D$1004, MATCH(145, 'Detalles movimientos'!$U$5:$U$1004, 0)), "")</f>
        <v/>
      </c>
      <c r="D154" s="19" t="str">
        <f>IFERROR(INDEX('Detalles movimientos'!E$5:E$1004, MATCH(145, 'Detalles movimientos'!$U$5:$U$1004, 0)), "")</f>
        <v/>
      </c>
      <c r="E154" s="19" t="str">
        <f>IFERROR(INDEX('Detalles movimientos'!F$5:F$1004, MATCH(145, 'Detalles movimientos'!$U$5:$U$1004, 0)), "")</f>
        <v/>
      </c>
      <c r="F154" s="18" t="str">
        <f>IFERROR(INDEX('Detalles movimientos'!G$5:G$1004, MATCH(145, 'Detalles movimientos'!$U$5:$U$1004, 0)), "")</f>
        <v/>
      </c>
      <c r="G154" s="20" t="str">
        <f>IFERROR(INDEX('Detalles movimientos'!H$5:H$1004, MATCH(145, 'Detalles movimientos'!$U$5:$U$1004, 0)), "")</f>
        <v/>
      </c>
      <c r="H154" s="21" t="str">
        <f>IFERROR(INDEX('Detalles movimientos'!I$5:I$1004, MATCH(145, 'Detalles movimientos'!$U$5:$U$1004, 0)), "")</f>
        <v/>
      </c>
      <c r="I154" s="20" t="str">
        <f>IFERROR(INDEX('Detalles movimientos'!M$5:M$1004, MATCH(145, 'Detalles movimientos'!$U$5:$U$1004, 0)), "")</f>
        <v/>
      </c>
      <c r="J154" s="19" t="str">
        <f>IFERROR(INDEX('Detalles movimientos'!N$5:N$1004, MATCH(145, 'Detalles movimientos'!$U$5:$U$1004, 0)), "")</f>
        <v/>
      </c>
      <c r="K154" s="20" t="str">
        <f>IFERROR(INDEX('Detalles movimientos'!O$5:O$1004, MATCH(145, 'Detalles movimientos'!$U$5:$U$1004, 0)), "")</f>
        <v/>
      </c>
      <c r="L154" s="18" t="str">
        <f>IFERROR(INDEX('Detalles movimientos'!P$5:P$1004, MATCH(145, 'Detalles movimientos'!$U$5:$U$1004, 0)), "")</f>
        <v/>
      </c>
      <c r="M154" s="18" t="str">
        <f>IFERROR(INDEX('Detalles movimientos'!S$5:S$1004, MATCH(145, 'Detalles movimientos'!$U$5:$U$1004, 0)), "")</f>
        <v/>
      </c>
    </row>
    <row r="155" spans="2:13">
      <c r="B155" s="17" t="str">
        <f>IFERROR(INDEX('Detalles movimientos'!C$5:C$1004, MATCH(146, 'Detalles movimientos'!$U$5:$U$1004, 0)), "")</f>
        <v/>
      </c>
      <c r="C155" s="18" t="str">
        <f>IFERROR(INDEX('Detalles movimientos'!D$5:D$1004, MATCH(146, 'Detalles movimientos'!$U$5:$U$1004, 0)), "")</f>
        <v/>
      </c>
      <c r="D155" s="19" t="str">
        <f>IFERROR(INDEX('Detalles movimientos'!E$5:E$1004, MATCH(146, 'Detalles movimientos'!$U$5:$U$1004, 0)), "")</f>
        <v/>
      </c>
      <c r="E155" s="19" t="str">
        <f>IFERROR(INDEX('Detalles movimientos'!F$5:F$1004, MATCH(146, 'Detalles movimientos'!$U$5:$U$1004, 0)), "")</f>
        <v/>
      </c>
      <c r="F155" s="18" t="str">
        <f>IFERROR(INDEX('Detalles movimientos'!G$5:G$1004, MATCH(146, 'Detalles movimientos'!$U$5:$U$1004, 0)), "")</f>
        <v/>
      </c>
      <c r="G155" s="20" t="str">
        <f>IFERROR(INDEX('Detalles movimientos'!H$5:H$1004, MATCH(146, 'Detalles movimientos'!$U$5:$U$1004, 0)), "")</f>
        <v/>
      </c>
      <c r="H155" s="21" t="str">
        <f>IFERROR(INDEX('Detalles movimientos'!I$5:I$1004, MATCH(146, 'Detalles movimientos'!$U$5:$U$1004, 0)), "")</f>
        <v/>
      </c>
      <c r="I155" s="20" t="str">
        <f>IFERROR(INDEX('Detalles movimientos'!M$5:M$1004, MATCH(146, 'Detalles movimientos'!$U$5:$U$1004, 0)), "")</f>
        <v/>
      </c>
      <c r="J155" s="19" t="str">
        <f>IFERROR(INDEX('Detalles movimientos'!N$5:N$1004, MATCH(146, 'Detalles movimientos'!$U$5:$U$1004, 0)), "")</f>
        <v/>
      </c>
      <c r="K155" s="20" t="str">
        <f>IFERROR(INDEX('Detalles movimientos'!O$5:O$1004, MATCH(146, 'Detalles movimientos'!$U$5:$U$1004, 0)), "")</f>
        <v/>
      </c>
      <c r="L155" s="18" t="str">
        <f>IFERROR(INDEX('Detalles movimientos'!P$5:P$1004, MATCH(146, 'Detalles movimientos'!$U$5:$U$1004, 0)), "")</f>
        <v/>
      </c>
      <c r="M155" s="18" t="str">
        <f>IFERROR(INDEX('Detalles movimientos'!S$5:S$1004, MATCH(146, 'Detalles movimientos'!$U$5:$U$1004, 0)), "")</f>
        <v/>
      </c>
    </row>
    <row r="156" spans="2:13">
      <c r="B156" s="17" t="str">
        <f>IFERROR(INDEX('Detalles movimientos'!C$5:C$1004, MATCH(147, 'Detalles movimientos'!$U$5:$U$1004, 0)), "")</f>
        <v/>
      </c>
      <c r="C156" s="18" t="str">
        <f>IFERROR(INDEX('Detalles movimientos'!D$5:D$1004, MATCH(147, 'Detalles movimientos'!$U$5:$U$1004, 0)), "")</f>
        <v/>
      </c>
      <c r="D156" s="19" t="str">
        <f>IFERROR(INDEX('Detalles movimientos'!E$5:E$1004, MATCH(147, 'Detalles movimientos'!$U$5:$U$1004, 0)), "")</f>
        <v/>
      </c>
      <c r="E156" s="19" t="str">
        <f>IFERROR(INDEX('Detalles movimientos'!F$5:F$1004, MATCH(147, 'Detalles movimientos'!$U$5:$U$1004, 0)), "")</f>
        <v/>
      </c>
      <c r="F156" s="18" t="str">
        <f>IFERROR(INDEX('Detalles movimientos'!G$5:G$1004, MATCH(147, 'Detalles movimientos'!$U$5:$U$1004, 0)), "")</f>
        <v/>
      </c>
      <c r="G156" s="20" t="str">
        <f>IFERROR(INDEX('Detalles movimientos'!H$5:H$1004, MATCH(147, 'Detalles movimientos'!$U$5:$U$1004, 0)), "")</f>
        <v/>
      </c>
      <c r="H156" s="21" t="str">
        <f>IFERROR(INDEX('Detalles movimientos'!I$5:I$1004, MATCH(147, 'Detalles movimientos'!$U$5:$U$1004, 0)), "")</f>
        <v/>
      </c>
      <c r="I156" s="20" t="str">
        <f>IFERROR(INDEX('Detalles movimientos'!M$5:M$1004, MATCH(147, 'Detalles movimientos'!$U$5:$U$1004, 0)), "")</f>
        <v/>
      </c>
      <c r="J156" s="19" t="str">
        <f>IFERROR(INDEX('Detalles movimientos'!N$5:N$1004, MATCH(147, 'Detalles movimientos'!$U$5:$U$1004, 0)), "")</f>
        <v/>
      </c>
      <c r="K156" s="20" t="str">
        <f>IFERROR(INDEX('Detalles movimientos'!O$5:O$1004, MATCH(147, 'Detalles movimientos'!$U$5:$U$1004, 0)), "")</f>
        <v/>
      </c>
      <c r="L156" s="18" t="str">
        <f>IFERROR(INDEX('Detalles movimientos'!P$5:P$1004, MATCH(147, 'Detalles movimientos'!$U$5:$U$1004, 0)), "")</f>
        <v/>
      </c>
      <c r="M156" s="18" t="str">
        <f>IFERROR(INDEX('Detalles movimientos'!S$5:S$1004, MATCH(147, 'Detalles movimientos'!$U$5:$U$1004, 0)), "")</f>
        <v/>
      </c>
    </row>
    <row r="157" spans="2:13">
      <c r="B157" s="17" t="str">
        <f>IFERROR(INDEX('Detalles movimientos'!C$5:C$1004, MATCH(148, 'Detalles movimientos'!$U$5:$U$1004, 0)), "")</f>
        <v/>
      </c>
      <c r="C157" s="18" t="str">
        <f>IFERROR(INDEX('Detalles movimientos'!D$5:D$1004, MATCH(148, 'Detalles movimientos'!$U$5:$U$1004, 0)), "")</f>
        <v/>
      </c>
      <c r="D157" s="19" t="str">
        <f>IFERROR(INDEX('Detalles movimientos'!E$5:E$1004, MATCH(148, 'Detalles movimientos'!$U$5:$U$1004, 0)), "")</f>
        <v/>
      </c>
      <c r="E157" s="19" t="str">
        <f>IFERROR(INDEX('Detalles movimientos'!F$5:F$1004, MATCH(148, 'Detalles movimientos'!$U$5:$U$1004, 0)), "")</f>
        <v/>
      </c>
      <c r="F157" s="18" t="str">
        <f>IFERROR(INDEX('Detalles movimientos'!G$5:G$1004, MATCH(148, 'Detalles movimientos'!$U$5:$U$1004, 0)), "")</f>
        <v/>
      </c>
      <c r="G157" s="20" t="str">
        <f>IFERROR(INDEX('Detalles movimientos'!H$5:H$1004, MATCH(148, 'Detalles movimientos'!$U$5:$U$1004, 0)), "")</f>
        <v/>
      </c>
      <c r="H157" s="21" t="str">
        <f>IFERROR(INDEX('Detalles movimientos'!I$5:I$1004, MATCH(148, 'Detalles movimientos'!$U$5:$U$1004, 0)), "")</f>
        <v/>
      </c>
      <c r="I157" s="20" t="str">
        <f>IFERROR(INDEX('Detalles movimientos'!M$5:M$1004, MATCH(148, 'Detalles movimientos'!$U$5:$U$1004, 0)), "")</f>
        <v/>
      </c>
      <c r="J157" s="19" t="str">
        <f>IFERROR(INDEX('Detalles movimientos'!N$5:N$1004, MATCH(148, 'Detalles movimientos'!$U$5:$U$1004, 0)), "")</f>
        <v/>
      </c>
      <c r="K157" s="20" t="str">
        <f>IFERROR(INDEX('Detalles movimientos'!O$5:O$1004, MATCH(148, 'Detalles movimientos'!$U$5:$U$1004, 0)), "")</f>
        <v/>
      </c>
      <c r="L157" s="18" t="str">
        <f>IFERROR(INDEX('Detalles movimientos'!P$5:P$1004, MATCH(148, 'Detalles movimientos'!$U$5:$U$1004, 0)), "")</f>
        <v/>
      </c>
      <c r="M157" s="18" t="str">
        <f>IFERROR(INDEX('Detalles movimientos'!S$5:S$1004, MATCH(148, 'Detalles movimientos'!$U$5:$U$1004, 0)), "")</f>
        <v/>
      </c>
    </row>
    <row r="158" spans="2:13">
      <c r="B158" s="17" t="str">
        <f>IFERROR(INDEX('Detalles movimientos'!C$5:C$1004, MATCH(149, 'Detalles movimientos'!$U$5:$U$1004, 0)), "")</f>
        <v/>
      </c>
      <c r="C158" s="18" t="str">
        <f>IFERROR(INDEX('Detalles movimientos'!D$5:D$1004, MATCH(149, 'Detalles movimientos'!$U$5:$U$1004, 0)), "")</f>
        <v/>
      </c>
      <c r="D158" s="19" t="str">
        <f>IFERROR(INDEX('Detalles movimientos'!E$5:E$1004, MATCH(149, 'Detalles movimientos'!$U$5:$U$1004, 0)), "")</f>
        <v/>
      </c>
      <c r="E158" s="19" t="str">
        <f>IFERROR(INDEX('Detalles movimientos'!F$5:F$1004, MATCH(149, 'Detalles movimientos'!$U$5:$U$1004, 0)), "")</f>
        <v/>
      </c>
      <c r="F158" s="18" t="str">
        <f>IFERROR(INDEX('Detalles movimientos'!G$5:G$1004, MATCH(149, 'Detalles movimientos'!$U$5:$U$1004, 0)), "")</f>
        <v/>
      </c>
      <c r="G158" s="20" t="str">
        <f>IFERROR(INDEX('Detalles movimientos'!H$5:H$1004, MATCH(149, 'Detalles movimientos'!$U$5:$U$1004, 0)), "")</f>
        <v/>
      </c>
      <c r="H158" s="21" t="str">
        <f>IFERROR(INDEX('Detalles movimientos'!I$5:I$1004, MATCH(149, 'Detalles movimientos'!$U$5:$U$1004, 0)), "")</f>
        <v/>
      </c>
      <c r="I158" s="20" t="str">
        <f>IFERROR(INDEX('Detalles movimientos'!M$5:M$1004, MATCH(149, 'Detalles movimientos'!$U$5:$U$1004, 0)), "")</f>
        <v/>
      </c>
      <c r="J158" s="19" t="str">
        <f>IFERROR(INDEX('Detalles movimientos'!N$5:N$1004, MATCH(149, 'Detalles movimientos'!$U$5:$U$1004, 0)), "")</f>
        <v/>
      </c>
      <c r="K158" s="20" t="str">
        <f>IFERROR(INDEX('Detalles movimientos'!O$5:O$1004, MATCH(149, 'Detalles movimientos'!$U$5:$U$1004, 0)), "")</f>
        <v/>
      </c>
      <c r="L158" s="18" t="str">
        <f>IFERROR(INDEX('Detalles movimientos'!P$5:P$1004, MATCH(149, 'Detalles movimientos'!$U$5:$U$1004, 0)), "")</f>
        <v/>
      </c>
      <c r="M158" s="18" t="str">
        <f>IFERROR(INDEX('Detalles movimientos'!S$5:S$1004, MATCH(149, 'Detalles movimientos'!$U$5:$U$1004,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72" t="s">
        <v>109</v>
      </c>
      <c r="C5" s="66"/>
      <c r="E5" s="72" t="s">
        <v>87</v>
      </c>
      <c r="F5" s="66"/>
      <c r="H5" s="72" t="s">
        <v>88</v>
      </c>
      <c r="I5" s="66"/>
    </row>
    <row r="6" spans="2:13">
      <c r="B6" s="71">
        <f>SUMIFS('Detalles movimientos'!I$5:I$1004, 'Detalles movimientos'!F$5:F$1004, "Tripulacion")</f>
        <v>6058.7</v>
      </c>
      <c r="C6" s="62"/>
      <c r="E6" s="74">
        <f>SUMIFS('Detalles movimientos'!M$5:M$1004, 'Detalles movimientos'!F$5:F$1004, "Tripulacion")</f>
        <v>3942100</v>
      </c>
      <c r="F6" s="62"/>
      <c r="H6" s="75">
        <f>COUNTIFS('Detalles movimientos'!F$5:F$1004, "Tripulacion")</f>
        <v>14</v>
      </c>
      <c r="I6" s="62"/>
    </row>
    <row r="7" spans="2:13">
      <c r="B7" s="63"/>
      <c r="C7" s="64"/>
      <c r="E7" s="63"/>
      <c r="F7" s="64"/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movimientos'!C$5:C$1004, MATCH(1, 'Detalles movimientos'!$V$5:$V$1004, 0)), "")</f>
        <v>46231</v>
      </c>
      <c r="C10" s="18" t="str">
        <f>IFERROR(INDEX('Detalles movimientos'!D$5:D$1004, MATCH(1, 'Detalles movimientos'!$V$5:$V$1004, 0)), "")</f>
        <v>Franco Garcia</v>
      </c>
      <c r="D10" s="19" t="str">
        <f>IFERROR(INDEX('Detalles movimientos'!E$5:E$1004, MATCH(1, 'Detalles movimientos'!$V$5:$V$1004, 0)), "")</f>
        <v>VJYL61</v>
      </c>
      <c r="E10" s="19" t="str">
        <f>IFERROR(INDEX('Detalles movimientos'!F$5:F$1004, MATCH(1, 'Detalles movimientos'!$V$5:$V$1004, 0)), "")</f>
        <v>Tripulacion</v>
      </c>
      <c r="F10" s="18" t="str">
        <f>IFERROR(INDEX('Detalles movimientos'!G$5:G$1004, MATCH(1, 'Detalles movimientos'!$V$5:$V$1004, 0)), "")</f>
        <v>Santa Rita 1177 parcela 14 Pirque</v>
      </c>
      <c r="G10" s="20">
        <f>IFERROR(INDEX('Detalles movimientos'!H$5:H$1004, MATCH(1, 'Detalles movimientos'!$V$5:$V$1004, 0)), "")</f>
        <v>0</v>
      </c>
      <c r="H10" s="21">
        <f>IFERROR(INDEX('Detalles movimientos'!I$5:I$1004, MATCH(1, 'Detalles movimientos'!$V$5:$V$1004, 0)), "")</f>
        <v>912</v>
      </c>
      <c r="I10" s="20">
        <f>IFERROR(INDEX('Detalles movimientos'!M$5:M$1004, MATCH(1, 'Detalles movimientos'!$V$5:$V$1004, 0)), "")</f>
        <v>0</v>
      </c>
      <c r="J10" s="19">
        <f>IFERROR(INDEX('Detalles movimientos'!N$5:N$1004, MATCH(1, 'Detalles movimientos'!$V$5:$V$1004, 0)), "")</f>
        <v>0</v>
      </c>
      <c r="K10" s="20" t="str">
        <f>IFERROR(INDEX('Detalles movimientos'!O$5:O$1004, MATCH(1, 'Detalles movimientos'!$V$5:$V$1004, 0)), "")</f>
        <v/>
      </c>
      <c r="L10" s="18">
        <f>IFERROR(INDEX('Detalles movimientos'!P$5:P$1004, MATCH(1, 'Detalles movimientos'!$V$5:$V$1004, 0)), "")</f>
        <v>0</v>
      </c>
      <c r="M10" s="18">
        <f>IFERROR(INDEX('Detalles movimientos'!S$5:S$1004, MATCH(1, 'Detalles movimientos'!$V$5:$V$1004, 0)), "")</f>
        <v>0</v>
      </c>
    </row>
    <row r="11" spans="2:13">
      <c r="B11" s="17">
        <f>IFERROR(INDEX('Detalles movimientos'!C$5:C$1004, MATCH(2, 'Detalles movimientos'!$V$5:$V$1004, 0)), "")</f>
        <v>46241</v>
      </c>
      <c r="C11" s="18" t="str">
        <f>IFERROR(INDEX('Detalles movimientos'!D$5:D$1004, MATCH(2, 'Detalles movimientos'!$V$5:$V$1004, 0)), "")</f>
        <v>Gastronomca Exquisite</v>
      </c>
      <c r="D11" s="19" t="str">
        <f>IFERROR(INDEX('Detalles movimientos'!E$5:E$1004, MATCH(2, 'Detalles movimientos'!$V$5:$V$1004, 0)), "")</f>
        <v>VJYL61</v>
      </c>
      <c r="E11" s="19" t="str">
        <f>IFERROR(INDEX('Detalles movimientos'!F$5:F$1004, MATCH(2, 'Detalles movimientos'!$V$5:$V$1004, 0)), "")</f>
        <v>Tripulacion</v>
      </c>
      <c r="F11" s="18" t="str">
        <f>IFERROR(INDEX('Detalles movimientos'!G$5:G$1004, MATCH(2, 'Detalles movimientos'!$V$5:$V$1004, 0)), "")</f>
        <v>JP Alesaandri 114 Nuñoa</v>
      </c>
      <c r="G11" s="20">
        <f>IFERROR(INDEX('Detalles movimientos'!H$5:H$1004, MATCH(2, 'Detalles movimientos'!$V$5:$V$1004, 0)), "")</f>
        <v>1000</v>
      </c>
      <c r="H11" s="21">
        <f>IFERROR(INDEX('Detalles movimientos'!I$5:I$1004, MATCH(2, 'Detalles movimientos'!$V$5:$V$1004, 0)), "")</f>
        <v>350</v>
      </c>
      <c r="I11" s="20">
        <f>IFERROR(INDEX('Detalles movimientos'!M$5:M$1004, MATCH(2, 'Detalles movimientos'!$V$5:$V$1004, 0)), "")</f>
        <v>350000</v>
      </c>
      <c r="J11" s="19" t="str">
        <f>IFERROR(INDEX('Detalles movimientos'!N$5:N$1004, MATCH(2, 'Detalles movimientos'!$V$5:$V$1004, 0)), "")</f>
        <v>Transferencia</v>
      </c>
      <c r="K11" s="20" t="str">
        <f>IFERROR(INDEX('Detalles movimientos'!O$5:O$1004, MATCH(2, 'Detalles movimientos'!$V$5:$V$1004, 0)), "")</f>
        <v/>
      </c>
      <c r="L11" s="18" t="str">
        <f>IFERROR(INDEX('Detalles movimientos'!P$5:P$1004, MATCH(2, 'Detalles movimientos'!$V$5:$V$1004, 0)), "")</f>
        <v>Factura</v>
      </c>
      <c r="M11" s="18" t="str">
        <f>IFERROR(INDEX('Detalles movimientos'!S$5:S$1004, MATCH(2, 'Detalles movimientos'!$V$5:$V$1004, 0)), "")</f>
        <v>Gastronomica Exquisite SpA - Rut: 77.714.318-2 - JP alessandri 114 Nuñoa</v>
      </c>
    </row>
    <row r="12" spans="2:13">
      <c r="B12" s="17">
        <f>IFERROR(INDEX('Detalles movimientos'!C$5:C$1004, MATCH(3, 'Detalles movimientos'!$V$5:$V$1004, 0)), "")</f>
        <v>46241</v>
      </c>
      <c r="C12" s="18" t="str">
        <f>IFERROR(INDEX('Detalles movimientos'!D$5:D$1004, MATCH(3, 'Detalles movimientos'!$V$5:$V$1004, 0)), "")</f>
        <v>Panaderia Maipu</v>
      </c>
      <c r="D12" s="19" t="str">
        <f>IFERROR(INDEX('Detalles movimientos'!E$5:E$1004, MATCH(3, 'Detalles movimientos'!$V$5:$V$1004, 0)), "")</f>
        <v>VJYL61</v>
      </c>
      <c r="E12" s="19" t="str">
        <f>IFERROR(INDEX('Detalles movimientos'!F$5:F$1004, MATCH(3, 'Detalles movimientos'!$V$5:$V$1004, 0)), "")</f>
        <v>Tripulacion</v>
      </c>
      <c r="F12" s="18" t="str">
        <f>IFERROR(INDEX('Detalles movimientos'!G$5:G$1004, MATCH(3, 'Detalles movimientos'!$V$5:$V$1004, 0)), "")</f>
        <v>Av los carreras 706B, plaza de los porotos</v>
      </c>
      <c r="G12" s="20">
        <f>IFERROR(INDEX('Detalles movimientos'!H$5:H$1004, MATCH(3, 'Detalles movimientos'!$V$5:$V$1004, 0)), "")</f>
        <v>1000</v>
      </c>
      <c r="H12" s="21">
        <f>IFERROR(INDEX('Detalles movimientos'!I$5:I$1004, MATCH(3, 'Detalles movimientos'!$V$5:$V$1004, 0)), "")</f>
        <v>109</v>
      </c>
      <c r="I12" s="20">
        <f>IFERROR(INDEX('Detalles movimientos'!M$5:M$1004, MATCH(3, 'Detalles movimientos'!$V$5:$V$1004, 0)), "")</f>
        <v>109000</v>
      </c>
      <c r="J12" s="19" t="str">
        <f>IFERROR(INDEX('Detalles movimientos'!N$5:N$1004, MATCH(3, 'Detalles movimientos'!$V$5:$V$1004, 0)), "")</f>
        <v>Transferencia</v>
      </c>
      <c r="K12" s="20" t="str">
        <f>IFERROR(INDEX('Detalles movimientos'!O$5:O$1004, MATCH(3, 'Detalles movimientos'!$V$5:$V$1004, 0)), "")</f>
        <v/>
      </c>
      <c r="L12" s="18">
        <f>IFERROR(INDEX('Detalles movimientos'!P$5:P$1004, MATCH(3, 'Detalles movimientos'!$V$5:$V$1004, 0)), "")</f>
        <v>0</v>
      </c>
      <c r="M12" s="18">
        <f>IFERROR(INDEX('Detalles movimientos'!S$5:S$1004, MATCH(3, 'Detalles movimientos'!$V$5:$V$1004, 0)), "")</f>
        <v>0</v>
      </c>
    </row>
    <row r="13" spans="2:13">
      <c r="B13" s="17">
        <f>IFERROR(INDEX('Detalles movimientos'!C$5:C$1004, MATCH(4, 'Detalles movimientos'!$V$5:$V$1004, 0)), "")</f>
        <v>46247</v>
      </c>
      <c r="C13" s="18" t="str">
        <f>IFERROR(INDEX('Detalles movimientos'!D$5:D$1004, MATCH(4, 'Detalles movimientos'!$V$5:$V$1004, 0)), "")</f>
        <v>Mister Guss SpA</v>
      </c>
      <c r="D13" s="19" t="str">
        <f>IFERROR(INDEX('Detalles movimientos'!E$5:E$1004, MATCH(4, 'Detalles movimientos'!$V$5:$V$1004, 0)), "")</f>
        <v>VJYL61</v>
      </c>
      <c r="E13" s="19" t="str">
        <f>IFERROR(INDEX('Detalles movimientos'!F$5:F$1004, MATCH(4, 'Detalles movimientos'!$V$5:$V$1004, 0)), "")</f>
        <v>Tripulacion</v>
      </c>
      <c r="F13" s="18" t="str">
        <f>IFERROR(INDEX('Detalles movimientos'!G$5:G$1004, MATCH(4, 'Detalles movimientos'!$V$5:$V$1004, 0)), "")</f>
        <v>PRIMERA TRANSVERSAL 828 PADRE HURTADO</v>
      </c>
      <c r="G13" s="20">
        <f>IFERROR(INDEX('Detalles movimientos'!H$5:H$1004, MATCH(4, 'Detalles movimientos'!$V$5:$V$1004, 0)), "")</f>
        <v>1000</v>
      </c>
      <c r="H13" s="21">
        <f>IFERROR(INDEX('Detalles movimientos'!I$5:I$1004, MATCH(4, 'Detalles movimientos'!$V$5:$V$1004, 0)), "")</f>
        <v>256</v>
      </c>
      <c r="I13" s="20">
        <f>IFERROR(INDEX('Detalles movimientos'!M$5:M$1004, MATCH(4, 'Detalles movimientos'!$V$5:$V$1004, 0)), "")</f>
        <v>256000</v>
      </c>
      <c r="J13" s="19" t="str">
        <f>IFERROR(INDEX('Detalles movimientos'!N$5:N$1004, MATCH(4, 'Detalles movimientos'!$V$5:$V$1004, 0)), "")</f>
        <v>Transferencia</v>
      </c>
      <c r="K13" s="20" t="str">
        <f>IFERROR(INDEX('Detalles movimientos'!O$5:O$1004, MATCH(4, 'Detalles movimientos'!$V$5:$V$1004, 0)), "")</f>
        <v/>
      </c>
      <c r="L13" s="18" t="str">
        <f>IFERROR(INDEX('Detalles movimientos'!P$5:P$1004, MATCH(4, 'Detalles movimientos'!$V$5:$V$1004, 0)), "")</f>
        <v>Factura</v>
      </c>
      <c r="M13" s="18" t="str">
        <f>IFERROR(INDEX('Detalles movimientos'!S$5:S$1004, MATCH(4, 'Detalles movimientos'!$V$5:$V$1004, 0)), "")</f>
        <v>MISTER GUSS SPA - RUT 78.060.801-3 - PRIMERA TRANSVERSAL 828 PADRE HURTADO - RESTOBAR</v>
      </c>
    </row>
    <row r="14" spans="2:13">
      <c r="B14" s="17">
        <f>IFERROR(INDEX('Detalles movimientos'!C$5:C$1004, MATCH(5, 'Detalles movimientos'!$V$5:$V$1004, 0)), "")</f>
        <v>46254</v>
      </c>
      <c r="C14" s="18" t="str">
        <f>IFERROR(INDEX('Detalles movimientos'!D$5:D$1004, MATCH(5, 'Detalles movimientos'!$V$5:$V$1004, 0)), "")</f>
        <v>Brasas y Sabor SpA</v>
      </c>
      <c r="D14" s="19" t="str">
        <f>IFERROR(INDEX('Detalles movimientos'!E$5:E$1004, MATCH(5, 'Detalles movimientos'!$V$5:$V$1004, 0)), "")</f>
        <v>VJYL61</v>
      </c>
      <c r="E14" s="19" t="str">
        <f>IFERROR(INDEX('Detalles movimientos'!F$5:F$1004, MATCH(5, 'Detalles movimientos'!$V$5:$V$1004, 0)), "")</f>
        <v>Tripulacion</v>
      </c>
      <c r="F14" s="18" t="str">
        <f>IFERROR(INDEX('Detalles movimientos'!G$5:G$1004, MATCH(5, 'Detalles movimientos'!$V$5:$V$1004, 0)), "")</f>
        <v>Puente Alto</v>
      </c>
      <c r="G14" s="20">
        <f>IFERROR(INDEX('Detalles movimientos'!H$5:H$1004, MATCH(5, 'Detalles movimientos'!$V$5:$V$1004, 0)), "")</f>
        <v>1100</v>
      </c>
      <c r="H14" s="21">
        <f>IFERROR(INDEX('Detalles movimientos'!I$5:I$1004, MATCH(5, 'Detalles movimientos'!$V$5:$V$1004, 0)), "")</f>
        <v>100</v>
      </c>
      <c r="I14" s="20">
        <f>IFERROR(INDEX('Detalles movimientos'!M$5:M$1004, MATCH(5, 'Detalles movimientos'!$V$5:$V$1004, 0)), "")</f>
        <v>110000</v>
      </c>
      <c r="J14" s="19" t="str">
        <f>IFERROR(INDEX('Detalles movimientos'!N$5:N$1004, MATCH(5, 'Detalles movimientos'!$V$5:$V$1004, 0)), "")</f>
        <v>Transferencia</v>
      </c>
      <c r="K14" s="20" t="str">
        <f>IFERROR(INDEX('Detalles movimientos'!O$5:O$1004, MATCH(5, 'Detalles movimientos'!$V$5:$V$1004, 0)), "")</f>
        <v/>
      </c>
      <c r="L14" s="18" t="str">
        <f>IFERROR(INDEX('Detalles movimientos'!P$5:P$1004, MATCH(5, 'Detalles movimientos'!$V$5:$V$1004, 0)), "")</f>
        <v>Factura</v>
      </c>
      <c r="M14" s="18" t="str">
        <f>IFERROR(INDEX('Detalles movimientos'!S$5:S$1004, MATCH(5, 'Detalles movimientos'!$V$5:$V$1004, 0)), "")</f>
        <v>Brasas y Sabor SpA - RUT 76.378-704-4 - Av Concha y Toro #11 Puente Alto</v>
      </c>
    </row>
    <row r="15" spans="2:13">
      <c r="B15" s="17">
        <f>IFERROR(INDEX('Detalles movimientos'!C$5:C$1004, MATCH(6, 'Detalles movimientos'!$V$5:$V$1004, 0)), "")</f>
        <v>46258</v>
      </c>
      <c r="C15" s="18" t="str">
        <f>IFERROR(INDEX('Detalles movimientos'!D$5:D$1004, MATCH(6, 'Detalles movimientos'!$V$5:$V$1004, 0)), "")</f>
        <v>Franco Garcia</v>
      </c>
      <c r="D15" s="19" t="str">
        <f>IFERROR(INDEX('Detalles movimientos'!E$5:E$1004, MATCH(6, 'Detalles movimientos'!$V$5:$V$1004, 0)), "")</f>
        <v>VJYL61</v>
      </c>
      <c r="E15" s="19" t="str">
        <f>IFERROR(INDEX('Detalles movimientos'!F$5:F$1004, MATCH(6, 'Detalles movimientos'!$V$5:$V$1004, 0)), "")</f>
        <v>Tripulacion</v>
      </c>
      <c r="F15" s="18" t="str">
        <f>IFERROR(INDEX('Detalles movimientos'!G$5:G$1004, MATCH(6, 'Detalles movimientos'!$V$5:$V$1004, 0)), "")</f>
        <v>Santa Rita 1177 parcela 14 Pirque</v>
      </c>
      <c r="G15" s="20">
        <f>IFERROR(INDEX('Detalles movimientos'!H$5:H$1004, MATCH(6, 'Detalles movimientos'!$V$5:$V$1004, 0)), "")</f>
        <v>0</v>
      </c>
      <c r="H15" s="21">
        <f>IFERROR(INDEX('Detalles movimientos'!I$5:I$1004, MATCH(6, 'Detalles movimientos'!$V$5:$V$1004, 0)), "")</f>
        <v>1120</v>
      </c>
      <c r="I15" s="20">
        <f>IFERROR(INDEX('Detalles movimientos'!M$5:M$1004, MATCH(6, 'Detalles movimientos'!$V$5:$V$1004, 0)), "")</f>
        <v>0</v>
      </c>
      <c r="J15" s="19">
        <f>IFERROR(INDEX('Detalles movimientos'!N$5:N$1004, MATCH(6, 'Detalles movimientos'!$V$5:$V$1004, 0)), "")</f>
        <v>0</v>
      </c>
      <c r="K15" s="20" t="str">
        <f>IFERROR(INDEX('Detalles movimientos'!O$5:O$1004, MATCH(6, 'Detalles movimientos'!$V$5:$V$1004, 0)), "")</f>
        <v/>
      </c>
      <c r="L15" s="18">
        <f>IFERROR(INDEX('Detalles movimientos'!P$5:P$1004, MATCH(6, 'Detalles movimientos'!$V$5:$V$1004, 0)), "")</f>
        <v>0</v>
      </c>
      <c r="M15" s="18">
        <f>IFERROR(INDEX('Detalles movimientos'!S$5:S$1004, MATCH(6, 'Detalles movimientos'!$V$5:$V$1004, 0)), "")</f>
        <v>0</v>
      </c>
    </row>
    <row r="16" spans="2:13">
      <c r="B16" s="17">
        <f>IFERROR(INDEX('Detalles movimientos'!C$5:C$1004, MATCH(7, 'Detalles movimientos'!$V$5:$V$1004, 0)), "")</f>
        <v>46258</v>
      </c>
      <c r="C16" s="18" t="str">
        <f>IFERROR(INDEX('Detalles movimientos'!D$5:D$1004, MATCH(7, 'Detalles movimientos'!$V$5:$V$1004, 0)), "")</f>
        <v>Centro de Eventos Barrio Alto SpA</v>
      </c>
      <c r="D16" s="19" t="str">
        <f>IFERROR(INDEX('Detalles movimientos'!E$5:E$1004, MATCH(7, 'Detalles movimientos'!$V$5:$V$1004, 0)), "")</f>
        <v>VJYL61</v>
      </c>
      <c r="E16" s="19" t="str">
        <f>IFERROR(INDEX('Detalles movimientos'!F$5:F$1004, MATCH(7, 'Detalles movimientos'!$V$5:$V$1004, 0)), "")</f>
        <v>Tripulacion</v>
      </c>
      <c r="F16" s="18" t="str">
        <f>IFERROR(INDEX('Detalles movimientos'!G$5:G$1004, MATCH(7, 'Detalles movimientos'!$V$5:$V$1004, 0)), "")</f>
        <v>El Peñón 335 Puente Alto</v>
      </c>
      <c r="G16" s="20">
        <f>IFERROR(INDEX('Detalles movimientos'!H$5:H$1004, MATCH(7, 'Detalles movimientos'!$V$5:$V$1004, 0)), "")</f>
        <v>1000</v>
      </c>
      <c r="H16" s="21">
        <f>IFERROR(INDEX('Detalles movimientos'!I$5:I$1004, MATCH(7, 'Detalles movimientos'!$V$5:$V$1004, 0)), "")</f>
        <v>449</v>
      </c>
      <c r="I16" s="20">
        <f>IFERROR(INDEX('Detalles movimientos'!M$5:M$1004, MATCH(7, 'Detalles movimientos'!$V$5:$V$1004, 0)), "")</f>
        <v>449000</v>
      </c>
      <c r="J16" s="19" t="str">
        <f>IFERROR(INDEX('Detalles movimientos'!N$5:N$1004, MATCH(7, 'Detalles movimientos'!$V$5:$V$1004, 0)), "")</f>
        <v>Transferencia</v>
      </c>
      <c r="K16" s="20" t="str">
        <f>IFERROR(INDEX('Detalles movimientos'!O$5:O$1004, MATCH(7, 'Detalles movimientos'!$V$5:$V$1004, 0)), "")</f>
        <v/>
      </c>
      <c r="L16" s="18" t="str">
        <f>IFERROR(INDEX('Detalles movimientos'!P$5:P$1004, MATCH(7, 'Detalles movimientos'!$V$5:$V$1004, 0)), "")</f>
        <v>Factura</v>
      </c>
      <c r="M16" s="18" t="str">
        <f>IFERROR(INDEX('Detalles movimientos'!S$5:S$1004, MATCH(7, 'Detalles movimientos'!$V$5:$V$1004, 0)), "")</f>
        <v>Centro de eventos Barrio Alto SpA - RUT 78.467.844-K - EL PENON CHICO 0335 PUENTE ALTO</v>
      </c>
    </row>
    <row r="17" spans="2:13">
      <c r="B17" s="17">
        <f>IFERROR(INDEX('Detalles movimientos'!C$5:C$1004, MATCH(8, 'Detalles movimientos'!$V$5:$V$1004, 0)), "")</f>
        <v>46261</v>
      </c>
      <c r="C17" s="18" t="str">
        <f>IFERROR(INDEX('Detalles movimientos'!D$5:D$1004, MATCH(8, 'Detalles movimientos'!$V$5:$V$1004, 0)), "")</f>
        <v>Comercializadora Lavin</v>
      </c>
      <c r="D17" s="19" t="str">
        <f>IFERROR(INDEX('Detalles movimientos'!E$5:E$1004, MATCH(8, 'Detalles movimientos'!$V$5:$V$1004, 0)), "")</f>
        <v>VJYL61</v>
      </c>
      <c r="E17" s="19" t="str">
        <f>IFERROR(INDEX('Detalles movimientos'!F$5:F$1004, MATCH(8, 'Detalles movimientos'!$V$5:$V$1004, 0)), "")</f>
        <v>Tripulacion</v>
      </c>
      <c r="F17" s="18" t="str">
        <f>IFERROR(INDEX('Detalles movimientos'!G$5:G$1004, MATCH(8, 'Detalles movimientos'!$V$5:$V$1004, 0)), "")</f>
        <v>Ignacio Carrera Pinto 693 Padre Hurtado</v>
      </c>
      <c r="G17" s="20">
        <f>IFERROR(INDEX('Detalles movimientos'!H$5:H$1004, MATCH(8, 'Detalles movimientos'!$V$5:$V$1004, 0)), "")</f>
        <v>1000</v>
      </c>
      <c r="H17" s="21">
        <f>IFERROR(INDEX('Detalles movimientos'!I$5:I$1004, MATCH(8, 'Detalles movimientos'!$V$5:$V$1004, 0)), "")</f>
        <v>313</v>
      </c>
      <c r="I17" s="20">
        <f>IFERROR(INDEX('Detalles movimientos'!M$5:M$1004, MATCH(8, 'Detalles movimientos'!$V$5:$V$1004, 0)), "")</f>
        <v>313000</v>
      </c>
      <c r="J17" s="19" t="str">
        <f>IFERROR(INDEX('Detalles movimientos'!N$5:N$1004, MATCH(8, 'Detalles movimientos'!$V$5:$V$1004, 0)), "")</f>
        <v>Transferencia</v>
      </c>
      <c r="K17" s="20" t="str">
        <f>IFERROR(INDEX('Detalles movimientos'!O$5:O$1004, MATCH(8, 'Detalles movimientos'!$V$5:$V$1004, 0)), "")</f>
        <v/>
      </c>
      <c r="L17" s="18">
        <f>IFERROR(INDEX('Detalles movimientos'!P$5:P$1004, MATCH(8, 'Detalles movimientos'!$V$5:$V$1004, 0)), "")</f>
        <v>0</v>
      </c>
      <c r="M17" s="18">
        <f>IFERROR(INDEX('Detalles movimientos'!S$5:S$1004, MATCH(8, 'Detalles movimientos'!$V$5:$V$1004, 0)), "")</f>
        <v>0</v>
      </c>
    </row>
    <row r="18" spans="2:13">
      <c r="B18" s="17">
        <f>IFERROR(INDEX('Detalles movimientos'!C$5:C$1004, MATCH(9, 'Detalles movimientos'!$V$5:$V$1004, 0)), "")</f>
        <v>46262</v>
      </c>
      <c r="C18" s="18" t="str">
        <f>IFERROR(INDEX('Detalles movimientos'!D$5:D$1004, MATCH(9, 'Detalles movimientos'!$V$5:$V$1004, 0)), "")</f>
        <v>Gastronomca Exquisite</v>
      </c>
      <c r="D18" s="19" t="str">
        <f>IFERROR(INDEX('Detalles movimientos'!E$5:E$1004, MATCH(9, 'Detalles movimientos'!$V$5:$V$1004, 0)), "")</f>
        <v>VJYL61</v>
      </c>
      <c r="E18" s="19" t="str">
        <f>IFERROR(INDEX('Detalles movimientos'!F$5:F$1004, MATCH(9, 'Detalles movimientos'!$V$5:$V$1004, 0)), "")</f>
        <v>Tripulacion</v>
      </c>
      <c r="F18" s="18" t="str">
        <f>IFERROR(INDEX('Detalles movimientos'!G$5:G$1004, MATCH(9, 'Detalles movimientos'!$V$5:$V$1004, 0)), "")</f>
        <v>JP Alesaandri 114 Nuñoa</v>
      </c>
      <c r="G18" s="20">
        <f>IFERROR(INDEX('Detalles movimientos'!H$5:H$1004, MATCH(9, 'Detalles movimientos'!$V$5:$V$1004, 0)), "")</f>
        <v>1000</v>
      </c>
      <c r="H18" s="21">
        <f>IFERROR(INDEX('Detalles movimientos'!I$5:I$1004, MATCH(9, 'Detalles movimientos'!$V$5:$V$1004, 0)), "")</f>
        <v>300</v>
      </c>
      <c r="I18" s="20">
        <f>IFERROR(INDEX('Detalles movimientos'!M$5:M$1004, MATCH(9, 'Detalles movimientos'!$V$5:$V$1004, 0)), "")</f>
        <v>300000</v>
      </c>
      <c r="J18" s="19" t="str">
        <f>IFERROR(INDEX('Detalles movimientos'!N$5:N$1004, MATCH(9, 'Detalles movimientos'!$V$5:$V$1004, 0)), "")</f>
        <v>Transferencia</v>
      </c>
      <c r="K18" s="20" t="str">
        <f>IFERROR(INDEX('Detalles movimientos'!O$5:O$1004, MATCH(9, 'Detalles movimientos'!$V$5:$V$1004, 0)), "")</f>
        <v/>
      </c>
      <c r="L18" s="18">
        <f>IFERROR(INDEX('Detalles movimientos'!P$5:P$1004, MATCH(9, 'Detalles movimientos'!$V$5:$V$1004, 0)), "")</f>
        <v>0</v>
      </c>
      <c r="M18" s="18">
        <f>IFERROR(INDEX('Detalles movimientos'!S$5:S$1004, MATCH(9, 'Detalles movimientos'!$V$5:$V$1004, 0)), "")</f>
        <v>0</v>
      </c>
    </row>
    <row r="19" spans="2:13">
      <c r="B19" s="17">
        <f>IFERROR(INDEX('Detalles movimientos'!C$5:C$1004, MATCH(10, 'Detalles movimientos'!$V$5:$V$1004, 0)), "")</f>
        <v>46262</v>
      </c>
      <c r="C19" s="18" t="str">
        <f>IFERROR(INDEX('Detalles movimientos'!D$5:D$1004, MATCH(10, 'Detalles movimientos'!$V$5:$V$1004, 0)), "")</f>
        <v>Cuco¨s Pollo</v>
      </c>
      <c r="D19" s="19" t="str">
        <f>IFERROR(INDEX('Detalles movimientos'!E$5:E$1004, MATCH(10, 'Detalles movimientos'!$V$5:$V$1004, 0)), "")</f>
        <v>VJYL42</v>
      </c>
      <c r="E19" s="19" t="str">
        <f>IFERROR(INDEX('Detalles movimientos'!F$5:F$1004, MATCH(10, 'Detalles movimientos'!$V$5:$V$1004, 0)), "")</f>
        <v>Tripulacion</v>
      </c>
      <c r="F19" s="18" t="str">
        <f>IFERROR(INDEX('Detalles movimientos'!G$5:G$1004, MATCH(10, 'Detalles movimientos'!$V$5:$V$1004, 0)), "")</f>
        <v>Av Observatorio 1088 El Bosque</v>
      </c>
      <c r="G19" s="20">
        <f>IFERROR(INDEX('Detalles movimientos'!H$5:H$1004, MATCH(10, 'Detalles movimientos'!$V$5:$V$1004, 0)), "")</f>
        <v>1000</v>
      </c>
      <c r="H19" s="21">
        <f>IFERROR(INDEX('Detalles movimientos'!I$5:I$1004, MATCH(10, 'Detalles movimientos'!$V$5:$V$1004, 0)), "")</f>
        <v>253</v>
      </c>
      <c r="I19" s="20">
        <f>IFERROR(INDEX('Detalles movimientos'!M$5:M$1004, MATCH(10, 'Detalles movimientos'!$V$5:$V$1004, 0)), "")</f>
        <v>253000</v>
      </c>
      <c r="J19" s="19" t="str">
        <f>IFERROR(INDEX('Detalles movimientos'!N$5:N$1004, MATCH(10, 'Detalles movimientos'!$V$5:$V$1004, 0)), "")</f>
        <v xml:space="preserve">Deposito efectivo </v>
      </c>
      <c r="K19" s="20" t="str">
        <f>IFERROR(INDEX('Detalles movimientos'!O$5:O$1004, MATCH(10, 'Detalles movimientos'!$V$5:$V$1004, 0)), "")</f>
        <v/>
      </c>
      <c r="L19" s="18">
        <f>IFERROR(INDEX('Detalles movimientos'!P$5:P$1004, MATCH(10, 'Detalles movimientos'!$V$5:$V$1004, 0)), "")</f>
        <v>0</v>
      </c>
      <c r="M19" s="18">
        <f>IFERROR(INDEX('Detalles movimientos'!S$5:S$1004, MATCH(10, 'Detalles movimientos'!$V$5:$V$1004, 0)), "")</f>
        <v>0</v>
      </c>
    </row>
    <row r="20" spans="2:13">
      <c r="B20" s="17">
        <f>IFERROR(INDEX('Detalles movimientos'!C$5:C$1004, MATCH(11, 'Detalles movimientos'!$V$5:$V$1004, 0)), "")</f>
        <v>46267</v>
      </c>
      <c r="C20" s="18" t="str">
        <f>IFERROR(INDEX('Detalles movimientos'!D$5:D$1004, MATCH(11, 'Detalles movimientos'!$V$5:$V$1004, 0)), "")</f>
        <v>Cristobal Bravo</v>
      </c>
      <c r="D20" s="19" t="str">
        <f>IFERROR(INDEX('Detalles movimientos'!E$5:E$1004, MATCH(11, 'Detalles movimientos'!$V$5:$V$1004, 0)), "")</f>
        <v>VJYL61</v>
      </c>
      <c r="E20" s="19" t="str">
        <f>IFERROR(INDEX('Detalles movimientos'!F$5:F$1004, MATCH(11, 'Detalles movimientos'!$V$5:$V$1004, 0)), "")</f>
        <v>Tripulacion</v>
      </c>
      <c r="F20" s="18" t="str">
        <f>IFERROR(INDEX('Detalles movimientos'!G$5:G$1004, MATCH(11, 'Detalles movimientos'!$V$5:$V$1004, 0)), "")</f>
        <v>Pirque</v>
      </c>
      <c r="G20" s="20">
        <f>IFERROR(INDEX('Detalles movimientos'!H$5:H$1004, MATCH(11, 'Detalles movimientos'!$V$5:$V$1004, 0)), "")</f>
        <v>850</v>
      </c>
      <c r="H20" s="21">
        <f>IFERROR(INDEX('Detalles movimientos'!I$5:I$1004, MATCH(11, 'Detalles movimientos'!$V$5:$V$1004, 0)), "")</f>
        <v>1000</v>
      </c>
      <c r="I20" s="20">
        <f>IFERROR(INDEX('Detalles movimientos'!M$5:M$1004, MATCH(11, 'Detalles movimientos'!$V$5:$V$1004, 0)), "")</f>
        <v>850000</v>
      </c>
      <c r="J20" s="19" t="str">
        <f>IFERROR(INDEX('Detalles movimientos'!N$5:N$1004, MATCH(11, 'Detalles movimientos'!$V$5:$V$1004, 0)), "")</f>
        <v>Pagado</v>
      </c>
      <c r="K20" s="20" t="str">
        <f>IFERROR(INDEX('Detalles movimientos'!O$5:O$1004, MATCH(11, 'Detalles movimientos'!$V$5:$V$1004, 0)), "")</f>
        <v/>
      </c>
      <c r="L20" s="18">
        <f>IFERROR(INDEX('Detalles movimientos'!P$5:P$1004, MATCH(11, 'Detalles movimientos'!$V$5:$V$1004, 0)), "")</f>
        <v>0</v>
      </c>
      <c r="M20" s="18">
        <f>IFERROR(INDEX('Detalles movimientos'!S$5:S$1004, MATCH(11, 'Detalles movimientos'!$V$5:$V$1004, 0)), "")</f>
        <v>0</v>
      </c>
    </row>
    <row r="21" spans="2:13">
      <c r="B21" s="17">
        <f>IFERROR(INDEX('Detalles movimientos'!C$5:C$1004, MATCH(12, 'Detalles movimientos'!$V$5:$V$1004, 0)), "")</f>
        <v>46268</v>
      </c>
      <c r="C21" s="18">
        <f>IFERROR(INDEX('Detalles movimientos'!D$5:D$1004, MATCH(12, 'Detalles movimientos'!$V$5:$V$1004, 0)), "")</f>
        <v>0</v>
      </c>
      <c r="D21" s="19" t="str">
        <f>IFERROR(INDEX('Detalles movimientos'!E$5:E$1004, MATCH(12, 'Detalles movimientos'!$V$5:$V$1004, 0)), "")</f>
        <v>VJYL61</v>
      </c>
      <c r="E21" s="19" t="str">
        <f>IFERROR(INDEX('Detalles movimientos'!F$5:F$1004, MATCH(12, 'Detalles movimientos'!$V$5:$V$1004, 0)), "")</f>
        <v>Tripulacion</v>
      </c>
      <c r="F21" s="18" t="str">
        <f>IFERROR(INDEX('Detalles movimientos'!G$5:G$1004, MATCH(12, 'Detalles movimientos'!$V$5:$V$1004, 0)), "")</f>
        <v>Pirque</v>
      </c>
      <c r="G21" s="20">
        <f>IFERROR(INDEX('Detalles movimientos'!H$5:H$1004, MATCH(12, 'Detalles movimientos'!$V$5:$V$1004, 0)), "")</f>
        <v>1000</v>
      </c>
      <c r="H21" s="21">
        <f>IFERROR(INDEX('Detalles movimientos'!I$5:I$1004, MATCH(12, 'Detalles movimientos'!$V$5:$V$1004, 0)), "")</f>
        <v>342.7</v>
      </c>
      <c r="I21" s="20">
        <f>IFERROR(INDEX('Detalles movimientos'!M$5:M$1004, MATCH(12, 'Detalles movimientos'!$V$5:$V$1004, 0)), "")</f>
        <v>342700</v>
      </c>
      <c r="J21" s="19" t="str">
        <f>IFERROR(INDEX('Detalles movimientos'!N$5:N$1004, MATCH(12, 'Detalles movimientos'!$V$5:$V$1004, 0)), "")</f>
        <v>Transferencia</v>
      </c>
      <c r="K21" s="20" t="str">
        <f>IFERROR(INDEX('Detalles movimientos'!O$5:O$1004, MATCH(12, 'Detalles movimientos'!$V$5:$V$1004, 0)), "")</f>
        <v/>
      </c>
      <c r="L21" s="18">
        <f>IFERROR(INDEX('Detalles movimientos'!P$5:P$1004, MATCH(12, 'Detalles movimientos'!$V$5:$V$1004, 0)), "")</f>
        <v>0</v>
      </c>
      <c r="M21" s="18">
        <f>IFERROR(INDEX('Detalles movimientos'!S$5:S$1004, MATCH(12, 'Detalles movimientos'!$V$5:$V$1004, 0)), "")</f>
        <v>0</v>
      </c>
    </row>
    <row r="22" spans="2:13">
      <c r="B22" s="17">
        <f>IFERROR(INDEX('Detalles movimientos'!C$5:C$1004, MATCH(13, 'Detalles movimientos'!$V$5:$V$1004, 0)), "")</f>
        <v>46271</v>
      </c>
      <c r="C22" s="18" t="str">
        <f>IFERROR(INDEX('Detalles movimientos'!D$5:D$1004, MATCH(13, 'Detalles movimientos'!$V$5:$V$1004, 0)), "")</f>
        <v>Casa de Reposo Brisas</v>
      </c>
      <c r="D22" s="19" t="str">
        <f>IFERROR(INDEX('Detalles movimientos'!E$5:E$1004, MATCH(13, 'Detalles movimientos'!$V$5:$V$1004, 0)), "")</f>
        <v>VJYL61</v>
      </c>
      <c r="E22" s="19" t="str">
        <f>IFERROR(INDEX('Detalles movimientos'!F$5:F$1004, MATCH(13, 'Detalles movimientos'!$V$5:$V$1004, 0)), "")</f>
        <v>Tripulacion</v>
      </c>
      <c r="F22" s="18" t="str">
        <f>IFERROR(INDEX('Detalles movimientos'!G$5:G$1004, MATCH(13, 'Detalles movimientos'!$V$5:$V$1004, 0)), "")</f>
        <v>Pirque</v>
      </c>
      <c r="G22" s="20">
        <f>IFERROR(INDEX('Detalles movimientos'!H$5:H$1004, MATCH(13, 'Detalles movimientos'!$V$5:$V$1004, 0)), "")</f>
        <v>1100</v>
      </c>
      <c r="H22" s="21">
        <f>IFERROR(INDEX('Detalles movimientos'!I$5:I$1004, MATCH(13, 'Detalles movimientos'!$V$5:$V$1004, 0)), "")</f>
        <v>300</v>
      </c>
      <c r="I22" s="20">
        <f>IFERROR(INDEX('Detalles movimientos'!M$5:M$1004, MATCH(13, 'Detalles movimientos'!$V$5:$V$1004, 0)), "")</f>
        <v>330000</v>
      </c>
      <c r="J22" s="19" t="str">
        <f>IFERROR(INDEX('Detalles movimientos'!N$5:N$1004, MATCH(13, 'Detalles movimientos'!$V$5:$V$1004, 0)), "")</f>
        <v>Transferencia</v>
      </c>
      <c r="K22" s="20" t="str">
        <f>IFERROR(INDEX('Detalles movimientos'!O$5:O$1004, MATCH(13, 'Detalles movimientos'!$V$5:$V$1004, 0)), "")</f>
        <v/>
      </c>
      <c r="L22" s="18">
        <f>IFERROR(INDEX('Detalles movimientos'!P$5:P$1004, MATCH(13, 'Detalles movimientos'!$V$5:$V$1004, 0)), "")</f>
        <v>0</v>
      </c>
      <c r="M22" s="18">
        <f>IFERROR(INDEX('Detalles movimientos'!S$5:S$1004, MATCH(13, 'Detalles movimientos'!$V$5:$V$1004, 0)), "")</f>
        <v>0</v>
      </c>
    </row>
    <row r="23" spans="2:13">
      <c r="B23" s="17">
        <f>IFERROR(INDEX('Detalles movimientos'!C$5:C$1004, MATCH(14, 'Detalles movimientos'!$V$5:$V$1004, 0)), "")</f>
        <v>46271</v>
      </c>
      <c r="C23" s="18" t="str">
        <f>IFERROR(INDEX('Detalles movimientos'!D$5:D$1004, MATCH(14, 'Detalles movimientos'!$V$5:$V$1004, 0)), "")</f>
        <v>Jazmin Sunko</v>
      </c>
      <c r="D23" s="19" t="str">
        <f>IFERROR(INDEX('Detalles movimientos'!E$5:E$1004, MATCH(14, 'Detalles movimientos'!$V$5:$V$1004, 0)), "")</f>
        <v>VJYL61</v>
      </c>
      <c r="E23" s="19" t="str">
        <f>IFERROR(INDEX('Detalles movimientos'!F$5:F$1004, MATCH(14, 'Detalles movimientos'!$V$5:$V$1004, 0)), "")</f>
        <v>Tripulacion</v>
      </c>
      <c r="F23" s="18" t="str">
        <f>IFERROR(INDEX('Detalles movimientos'!G$5:G$1004, MATCH(14, 'Detalles movimientos'!$V$5:$V$1004, 0)), "")</f>
        <v>Pirque</v>
      </c>
      <c r="G23" s="20">
        <f>IFERROR(INDEX('Detalles movimientos'!H$5:H$1004, MATCH(14, 'Detalles movimientos'!$V$5:$V$1004, 0)), "")</f>
        <v>1100</v>
      </c>
      <c r="H23" s="21">
        <f>IFERROR(INDEX('Detalles movimientos'!I$5:I$1004, MATCH(14, 'Detalles movimientos'!$V$5:$V$1004, 0)), "")</f>
        <v>254</v>
      </c>
      <c r="I23" s="20">
        <f>IFERROR(INDEX('Detalles movimientos'!M$5:M$1004, MATCH(14, 'Detalles movimientos'!$V$5:$V$1004, 0)), "")</f>
        <v>279400</v>
      </c>
      <c r="J23" s="19" t="str">
        <f>IFERROR(INDEX('Detalles movimientos'!N$5:N$1004, MATCH(14, 'Detalles movimientos'!$V$5:$V$1004, 0)), "")</f>
        <v>Transferencia</v>
      </c>
      <c r="K23" s="20" t="str">
        <f>IFERROR(INDEX('Detalles movimientos'!O$5:O$1004, MATCH(14, 'Detalles movimientos'!$V$5:$V$1004, 0)), "")</f>
        <v/>
      </c>
      <c r="L23" s="18">
        <f>IFERROR(INDEX('Detalles movimientos'!P$5:P$1004, MATCH(14, 'Detalles movimientos'!$V$5:$V$1004, 0)), "")</f>
        <v>0</v>
      </c>
      <c r="M23" s="18">
        <f>IFERROR(INDEX('Detalles movimientos'!S$5:S$1004, MATCH(14, 'Detalles movimientos'!$V$5:$V$1004, 0)), "")</f>
        <v>0</v>
      </c>
    </row>
    <row r="24" spans="2:13">
      <c r="B24" s="17" t="str">
        <f>IFERROR(INDEX('Detalles movimientos'!C$5:C$1004, MATCH(15, 'Detalles movimientos'!$V$5:$V$1004, 0)), "")</f>
        <v/>
      </c>
      <c r="C24" s="18" t="str">
        <f>IFERROR(INDEX('Detalles movimientos'!D$5:D$1004, MATCH(15, 'Detalles movimientos'!$V$5:$V$1004, 0)), "")</f>
        <v/>
      </c>
      <c r="D24" s="19" t="str">
        <f>IFERROR(INDEX('Detalles movimientos'!E$5:E$1004, MATCH(15, 'Detalles movimientos'!$V$5:$V$1004, 0)), "")</f>
        <v/>
      </c>
      <c r="E24" s="19" t="str">
        <f>IFERROR(INDEX('Detalles movimientos'!F$5:F$1004, MATCH(15, 'Detalles movimientos'!$V$5:$V$1004, 0)), "")</f>
        <v/>
      </c>
      <c r="F24" s="18" t="str">
        <f>IFERROR(INDEX('Detalles movimientos'!G$5:G$1004, MATCH(15, 'Detalles movimientos'!$V$5:$V$1004, 0)), "")</f>
        <v/>
      </c>
      <c r="G24" s="20" t="str">
        <f>IFERROR(INDEX('Detalles movimientos'!H$5:H$1004, MATCH(15, 'Detalles movimientos'!$V$5:$V$1004, 0)), "")</f>
        <v/>
      </c>
      <c r="H24" s="21" t="str">
        <f>IFERROR(INDEX('Detalles movimientos'!I$5:I$1004, MATCH(15, 'Detalles movimientos'!$V$5:$V$1004, 0)), "")</f>
        <v/>
      </c>
      <c r="I24" s="20" t="str">
        <f>IFERROR(INDEX('Detalles movimientos'!M$5:M$1004, MATCH(15, 'Detalles movimientos'!$V$5:$V$1004, 0)), "")</f>
        <v/>
      </c>
      <c r="J24" s="19" t="str">
        <f>IFERROR(INDEX('Detalles movimientos'!N$5:N$1004, MATCH(15, 'Detalles movimientos'!$V$5:$V$1004, 0)), "")</f>
        <v/>
      </c>
      <c r="K24" s="20" t="str">
        <f>IFERROR(INDEX('Detalles movimientos'!O$5:O$1004, MATCH(15, 'Detalles movimientos'!$V$5:$V$1004, 0)), "")</f>
        <v/>
      </c>
      <c r="L24" s="18" t="str">
        <f>IFERROR(INDEX('Detalles movimientos'!P$5:P$1004, MATCH(15, 'Detalles movimientos'!$V$5:$V$1004, 0)), "")</f>
        <v/>
      </c>
      <c r="M24" s="18" t="str">
        <f>IFERROR(INDEX('Detalles movimientos'!S$5:S$1004, MATCH(15, 'Detalles movimientos'!$V$5:$V$1004, 0)), "")</f>
        <v/>
      </c>
    </row>
    <row r="25" spans="2:13">
      <c r="B25" s="17" t="str">
        <f>IFERROR(INDEX('Detalles movimientos'!C$5:C$1004, MATCH(16, 'Detalles movimientos'!$V$5:$V$1004, 0)), "")</f>
        <v/>
      </c>
      <c r="C25" s="18" t="str">
        <f>IFERROR(INDEX('Detalles movimientos'!D$5:D$1004, MATCH(16, 'Detalles movimientos'!$V$5:$V$1004, 0)), "")</f>
        <v/>
      </c>
      <c r="D25" s="19" t="str">
        <f>IFERROR(INDEX('Detalles movimientos'!E$5:E$1004, MATCH(16, 'Detalles movimientos'!$V$5:$V$1004, 0)), "")</f>
        <v/>
      </c>
      <c r="E25" s="19" t="str">
        <f>IFERROR(INDEX('Detalles movimientos'!F$5:F$1004, MATCH(16, 'Detalles movimientos'!$V$5:$V$1004, 0)), "")</f>
        <v/>
      </c>
      <c r="F25" s="18" t="str">
        <f>IFERROR(INDEX('Detalles movimientos'!G$5:G$1004, MATCH(16, 'Detalles movimientos'!$V$5:$V$1004, 0)), "")</f>
        <v/>
      </c>
      <c r="G25" s="20" t="str">
        <f>IFERROR(INDEX('Detalles movimientos'!H$5:H$1004, MATCH(16, 'Detalles movimientos'!$V$5:$V$1004, 0)), "")</f>
        <v/>
      </c>
      <c r="H25" s="21" t="str">
        <f>IFERROR(INDEX('Detalles movimientos'!I$5:I$1004, MATCH(16, 'Detalles movimientos'!$V$5:$V$1004, 0)), "")</f>
        <v/>
      </c>
      <c r="I25" s="20" t="str">
        <f>IFERROR(INDEX('Detalles movimientos'!M$5:M$1004, MATCH(16, 'Detalles movimientos'!$V$5:$V$1004, 0)), "")</f>
        <v/>
      </c>
      <c r="J25" s="19" t="str">
        <f>IFERROR(INDEX('Detalles movimientos'!N$5:N$1004, MATCH(16, 'Detalles movimientos'!$V$5:$V$1004, 0)), "")</f>
        <v/>
      </c>
      <c r="K25" s="20" t="str">
        <f>IFERROR(INDEX('Detalles movimientos'!O$5:O$1004, MATCH(16, 'Detalles movimientos'!$V$5:$V$1004, 0)), "")</f>
        <v/>
      </c>
      <c r="L25" s="18" t="str">
        <f>IFERROR(INDEX('Detalles movimientos'!P$5:P$1004, MATCH(16, 'Detalles movimientos'!$V$5:$V$1004, 0)), "")</f>
        <v/>
      </c>
      <c r="M25" s="18" t="str">
        <f>IFERROR(INDEX('Detalles movimientos'!S$5:S$1004, MATCH(16, 'Detalles movimientos'!$V$5:$V$1004, 0)), "")</f>
        <v/>
      </c>
    </row>
    <row r="26" spans="2:13">
      <c r="B26" s="17" t="str">
        <f>IFERROR(INDEX('Detalles movimientos'!C$5:C$1004, MATCH(17, 'Detalles movimientos'!$V$5:$V$1004, 0)), "")</f>
        <v/>
      </c>
      <c r="C26" s="18" t="str">
        <f>IFERROR(INDEX('Detalles movimientos'!D$5:D$1004, MATCH(17, 'Detalles movimientos'!$V$5:$V$1004, 0)), "")</f>
        <v/>
      </c>
      <c r="D26" s="19" t="str">
        <f>IFERROR(INDEX('Detalles movimientos'!E$5:E$1004, MATCH(17, 'Detalles movimientos'!$V$5:$V$1004, 0)), "")</f>
        <v/>
      </c>
      <c r="E26" s="19" t="str">
        <f>IFERROR(INDEX('Detalles movimientos'!F$5:F$1004, MATCH(17, 'Detalles movimientos'!$V$5:$V$1004, 0)), "")</f>
        <v/>
      </c>
      <c r="F26" s="18" t="str">
        <f>IFERROR(INDEX('Detalles movimientos'!G$5:G$1004, MATCH(17, 'Detalles movimientos'!$V$5:$V$1004, 0)), "")</f>
        <v/>
      </c>
      <c r="G26" s="20" t="str">
        <f>IFERROR(INDEX('Detalles movimientos'!H$5:H$1004, MATCH(17, 'Detalles movimientos'!$V$5:$V$1004, 0)), "")</f>
        <v/>
      </c>
      <c r="H26" s="21" t="str">
        <f>IFERROR(INDEX('Detalles movimientos'!I$5:I$1004, MATCH(17, 'Detalles movimientos'!$V$5:$V$1004, 0)), "")</f>
        <v/>
      </c>
      <c r="I26" s="20" t="str">
        <f>IFERROR(INDEX('Detalles movimientos'!M$5:M$1004, MATCH(17, 'Detalles movimientos'!$V$5:$V$1004, 0)), "")</f>
        <v/>
      </c>
      <c r="J26" s="19" t="str">
        <f>IFERROR(INDEX('Detalles movimientos'!N$5:N$1004, MATCH(17, 'Detalles movimientos'!$V$5:$V$1004, 0)), "")</f>
        <v/>
      </c>
      <c r="K26" s="20" t="str">
        <f>IFERROR(INDEX('Detalles movimientos'!O$5:O$1004, MATCH(17, 'Detalles movimientos'!$V$5:$V$1004, 0)), "")</f>
        <v/>
      </c>
      <c r="L26" s="18" t="str">
        <f>IFERROR(INDEX('Detalles movimientos'!P$5:P$1004, MATCH(17, 'Detalles movimientos'!$V$5:$V$1004, 0)), "")</f>
        <v/>
      </c>
      <c r="M26" s="18" t="str">
        <f>IFERROR(INDEX('Detalles movimientos'!S$5:S$1004, MATCH(17, 'Detalles movimientos'!$V$5:$V$1004, 0)), "")</f>
        <v/>
      </c>
    </row>
    <row r="27" spans="2:13">
      <c r="B27" s="17" t="str">
        <f>IFERROR(INDEX('Detalles movimientos'!C$5:C$1004, MATCH(18, 'Detalles movimientos'!$V$5:$V$1004, 0)), "")</f>
        <v/>
      </c>
      <c r="C27" s="18" t="str">
        <f>IFERROR(INDEX('Detalles movimientos'!D$5:D$1004, MATCH(18, 'Detalles movimientos'!$V$5:$V$1004, 0)), "")</f>
        <v/>
      </c>
      <c r="D27" s="19" t="str">
        <f>IFERROR(INDEX('Detalles movimientos'!E$5:E$1004, MATCH(18, 'Detalles movimientos'!$V$5:$V$1004, 0)), "")</f>
        <v/>
      </c>
      <c r="E27" s="19" t="str">
        <f>IFERROR(INDEX('Detalles movimientos'!F$5:F$1004, MATCH(18, 'Detalles movimientos'!$V$5:$V$1004, 0)), "")</f>
        <v/>
      </c>
      <c r="F27" s="18" t="str">
        <f>IFERROR(INDEX('Detalles movimientos'!G$5:G$1004, MATCH(18, 'Detalles movimientos'!$V$5:$V$1004, 0)), "")</f>
        <v/>
      </c>
      <c r="G27" s="20" t="str">
        <f>IFERROR(INDEX('Detalles movimientos'!H$5:H$1004, MATCH(18, 'Detalles movimientos'!$V$5:$V$1004, 0)), "")</f>
        <v/>
      </c>
      <c r="H27" s="21" t="str">
        <f>IFERROR(INDEX('Detalles movimientos'!I$5:I$1004, MATCH(18, 'Detalles movimientos'!$V$5:$V$1004, 0)), "")</f>
        <v/>
      </c>
      <c r="I27" s="20" t="str">
        <f>IFERROR(INDEX('Detalles movimientos'!M$5:M$1004, MATCH(18, 'Detalles movimientos'!$V$5:$V$1004, 0)), "")</f>
        <v/>
      </c>
      <c r="J27" s="19" t="str">
        <f>IFERROR(INDEX('Detalles movimientos'!N$5:N$1004, MATCH(18, 'Detalles movimientos'!$V$5:$V$1004, 0)), "")</f>
        <v/>
      </c>
      <c r="K27" s="20" t="str">
        <f>IFERROR(INDEX('Detalles movimientos'!O$5:O$1004, MATCH(18, 'Detalles movimientos'!$V$5:$V$1004, 0)), "")</f>
        <v/>
      </c>
      <c r="L27" s="18" t="str">
        <f>IFERROR(INDEX('Detalles movimientos'!P$5:P$1004, MATCH(18, 'Detalles movimientos'!$V$5:$V$1004, 0)), "")</f>
        <v/>
      </c>
      <c r="M27" s="18" t="str">
        <f>IFERROR(INDEX('Detalles movimientos'!S$5:S$1004, MATCH(18, 'Detalles movimientos'!$V$5:$V$1004, 0)), "")</f>
        <v/>
      </c>
    </row>
    <row r="28" spans="2:13">
      <c r="B28" s="17" t="str">
        <f>IFERROR(INDEX('Detalles movimientos'!C$5:C$1004, MATCH(19, 'Detalles movimientos'!$V$5:$V$1004, 0)), "")</f>
        <v/>
      </c>
      <c r="C28" s="18" t="str">
        <f>IFERROR(INDEX('Detalles movimientos'!D$5:D$1004, MATCH(19, 'Detalles movimientos'!$V$5:$V$1004, 0)), "")</f>
        <v/>
      </c>
      <c r="D28" s="19" t="str">
        <f>IFERROR(INDEX('Detalles movimientos'!E$5:E$1004, MATCH(19, 'Detalles movimientos'!$V$5:$V$1004, 0)), "")</f>
        <v/>
      </c>
      <c r="E28" s="19" t="str">
        <f>IFERROR(INDEX('Detalles movimientos'!F$5:F$1004, MATCH(19, 'Detalles movimientos'!$V$5:$V$1004, 0)), "")</f>
        <v/>
      </c>
      <c r="F28" s="18" t="str">
        <f>IFERROR(INDEX('Detalles movimientos'!G$5:G$1004, MATCH(19, 'Detalles movimientos'!$V$5:$V$1004, 0)), "")</f>
        <v/>
      </c>
      <c r="G28" s="20" t="str">
        <f>IFERROR(INDEX('Detalles movimientos'!H$5:H$1004, MATCH(19, 'Detalles movimientos'!$V$5:$V$1004, 0)), "")</f>
        <v/>
      </c>
      <c r="H28" s="21" t="str">
        <f>IFERROR(INDEX('Detalles movimientos'!I$5:I$1004, MATCH(19, 'Detalles movimientos'!$V$5:$V$1004, 0)), "")</f>
        <v/>
      </c>
      <c r="I28" s="20" t="str">
        <f>IFERROR(INDEX('Detalles movimientos'!M$5:M$1004, MATCH(19, 'Detalles movimientos'!$V$5:$V$1004, 0)), "")</f>
        <v/>
      </c>
      <c r="J28" s="19" t="str">
        <f>IFERROR(INDEX('Detalles movimientos'!N$5:N$1004, MATCH(19, 'Detalles movimientos'!$V$5:$V$1004, 0)), "")</f>
        <v/>
      </c>
      <c r="K28" s="20" t="str">
        <f>IFERROR(INDEX('Detalles movimientos'!O$5:O$1004, MATCH(19, 'Detalles movimientos'!$V$5:$V$1004, 0)), "")</f>
        <v/>
      </c>
      <c r="L28" s="18" t="str">
        <f>IFERROR(INDEX('Detalles movimientos'!P$5:P$1004, MATCH(19, 'Detalles movimientos'!$V$5:$V$1004, 0)), "")</f>
        <v/>
      </c>
      <c r="M28" s="18" t="str">
        <f>IFERROR(INDEX('Detalles movimientos'!S$5:S$1004, MATCH(19, 'Detalles movimientos'!$V$5:$V$1004, 0)), "")</f>
        <v/>
      </c>
    </row>
    <row r="29" spans="2:13">
      <c r="B29" s="17" t="str">
        <f>IFERROR(INDEX('Detalles movimientos'!C$5:C$1004, MATCH(20, 'Detalles movimientos'!$V$5:$V$1004, 0)), "")</f>
        <v/>
      </c>
      <c r="C29" s="18" t="str">
        <f>IFERROR(INDEX('Detalles movimientos'!D$5:D$1004, MATCH(20, 'Detalles movimientos'!$V$5:$V$1004, 0)), "")</f>
        <v/>
      </c>
      <c r="D29" s="19" t="str">
        <f>IFERROR(INDEX('Detalles movimientos'!E$5:E$1004, MATCH(20, 'Detalles movimientos'!$V$5:$V$1004, 0)), "")</f>
        <v/>
      </c>
      <c r="E29" s="19" t="str">
        <f>IFERROR(INDEX('Detalles movimientos'!F$5:F$1004, MATCH(20, 'Detalles movimientos'!$V$5:$V$1004, 0)), "")</f>
        <v/>
      </c>
      <c r="F29" s="18" t="str">
        <f>IFERROR(INDEX('Detalles movimientos'!G$5:G$1004, MATCH(20, 'Detalles movimientos'!$V$5:$V$1004, 0)), "")</f>
        <v/>
      </c>
      <c r="G29" s="20" t="str">
        <f>IFERROR(INDEX('Detalles movimientos'!H$5:H$1004, MATCH(20, 'Detalles movimientos'!$V$5:$V$1004, 0)), "")</f>
        <v/>
      </c>
      <c r="H29" s="21" t="str">
        <f>IFERROR(INDEX('Detalles movimientos'!I$5:I$1004, MATCH(20, 'Detalles movimientos'!$V$5:$V$1004, 0)), "")</f>
        <v/>
      </c>
      <c r="I29" s="20" t="str">
        <f>IFERROR(INDEX('Detalles movimientos'!M$5:M$1004, MATCH(20, 'Detalles movimientos'!$V$5:$V$1004, 0)), "")</f>
        <v/>
      </c>
      <c r="J29" s="19" t="str">
        <f>IFERROR(INDEX('Detalles movimientos'!N$5:N$1004, MATCH(20, 'Detalles movimientos'!$V$5:$V$1004, 0)), "")</f>
        <v/>
      </c>
      <c r="K29" s="20" t="str">
        <f>IFERROR(INDEX('Detalles movimientos'!O$5:O$1004, MATCH(20, 'Detalles movimientos'!$V$5:$V$1004, 0)), "")</f>
        <v/>
      </c>
      <c r="L29" s="18" t="str">
        <f>IFERROR(INDEX('Detalles movimientos'!P$5:P$1004, MATCH(20, 'Detalles movimientos'!$V$5:$V$1004, 0)), "")</f>
        <v/>
      </c>
      <c r="M29" s="18" t="str">
        <f>IFERROR(INDEX('Detalles movimientos'!S$5:S$1004, MATCH(20, 'Detalles movimientos'!$V$5:$V$1004, 0)), "")</f>
        <v/>
      </c>
    </row>
    <row r="30" spans="2:13">
      <c r="B30" s="17" t="str">
        <f>IFERROR(INDEX('Detalles movimientos'!C$5:C$1004, MATCH(21, 'Detalles movimientos'!$V$5:$V$1004, 0)), "")</f>
        <v/>
      </c>
      <c r="C30" s="18" t="str">
        <f>IFERROR(INDEX('Detalles movimientos'!D$5:D$1004, MATCH(21, 'Detalles movimientos'!$V$5:$V$1004, 0)), "")</f>
        <v/>
      </c>
      <c r="D30" s="19" t="str">
        <f>IFERROR(INDEX('Detalles movimientos'!E$5:E$1004, MATCH(21, 'Detalles movimientos'!$V$5:$V$1004, 0)), "")</f>
        <v/>
      </c>
      <c r="E30" s="19" t="str">
        <f>IFERROR(INDEX('Detalles movimientos'!F$5:F$1004, MATCH(21, 'Detalles movimientos'!$V$5:$V$1004, 0)), "")</f>
        <v/>
      </c>
      <c r="F30" s="18" t="str">
        <f>IFERROR(INDEX('Detalles movimientos'!G$5:G$1004, MATCH(21, 'Detalles movimientos'!$V$5:$V$1004, 0)), "")</f>
        <v/>
      </c>
      <c r="G30" s="20" t="str">
        <f>IFERROR(INDEX('Detalles movimientos'!H$5:H$1004, MATCH(21, 'Detalles movimientos'!$V$5:$V$1004, 0)), "")</f>
        <v/>
      </c>
      <c r="H30" s="21" t="str">
        <f>IFERROR(INDEX('Detalles movimientos'!I$5:I$1004, MATCH(21, 'Detalles movimientos'!$V$5:$V$1004, 0)), "")</f>
        <v/>
      </c>
      <c r="I30" s="20" t="str">
        <f>IFERROR(INDEX('Detalles movimientos'!M$5:M$1004, MATCH(21, 'Detalles movimientos'!$V$5:$V$1004, 0)), "")</f>
        <v/>
      </c>
      <c r="J30" s="19" t="str">
        <f>IFERROR(INDEX('Detalles movimientos'!N$5:N$1004, MATCH(21, 'Detalles movimientos'!$V$5:$V$1004, 0)), "")</f>
        <v/>
      </c>
      <c r="K30" s="20" t="str">
        <f>IFERROR(INDEX('Detalles movimientos'!O$5:O$1004, MATCH(21, 'Detalles movimientos'!$V$5:$V$1004, 0)), "")</f>
        <v/>
      </c>
      <c r="L30" s="18" t="str">
        <f>IFERROR(INDEX('Detalles movimientos'!P$5:P$1004, MATCH(21, 'Detalles movimientos'!$V$5:$V$1004, 0)), "")</f>
        <v/>
      </c>
      <c r="M30" s="18" t="str">
        <f>IFERROR(INDEX('Detalles movimientos'!S$5:S$1004, MATCH(21, 'Detalles movimientos'!$V$5:$V$1004, 0)), "")</f>
        <v/>
      </c>
    </row>
    <row r="31" spans="2:13">
      <c r="B31" s="17" t="str">
        <f>IFERROR(INDEX('Detalles movimientos'!C$5:C$1004, MATCH(22, 'Detalles movimientos'!$V$5:$V$1004, 0)), "")</f>
        <v/>
      </c>
      <c r="C31" s="18" t="str">
        <f>IFERROR(INDEX('Detalles movimientos'!D$5:D$1004, MATCH(22, 'Detalles movimientos'!$V$5:$V$1004, 0)), "")</f>
        <v/>
      </c>
      <c r="D31" s="19" t="str">
        <f>IFERROR(INDEX('Detalles movimientos'!E$5:E$1004, MATCH(22, 'Detalles movimientos'!$V$5:$V$1004, 0)), "")</f>
        <v/>
      </c>
      <c r="E31" s="19" t="str">
        <f>IFERROR(INDEX('Detalles movimientos'!F$5:F$1004, MATCH(22, 'Detalles movimientos'!$V$5:$V$1004, 0)), "")</f>
        <v/>
      </c>
      <c r="F31" s="18" t="str">
        <f>IFERROR(INDEX('Detalles movimientos'!G$5:G$1004, MATCH(22, 'Detalles movimientos'!$V$5:$V$1004, 0)), "")</f>
        <v/>
      </c>
      <c r="G31" s="20" t="str">
        <f>IFERROR(INDEX('Detalles movimientos'!H$5:H$1004, MATCH(22, 'Detalles movimientos'!$V$5:$V$1004, 0)), "")</f>
        <v/>
      </c>
      <c r="H31" s="21" t="str">
        <f>IFERROR(INDEX('Detalles movimientos'!I$5:I$1004, MATCH(22, 'Detalles movimientos'!$V$5:$V$1004, 0)), "")</f>
        <v/>
      </c>
      <c r="I31" s="20" t="str">
        <f>IFERROR(INDEX('Detalles movimientos'!M$5:M$1004, MATCH(22, 'Detalles movimientos'!$V$5:$V$1004, 0)), "")</f>
        <v/>
      </c>
      <c r="J31" s="19" t="str">
        <f>IFERROR(INDEX('Detalles movimientos'!N$5:N$1004, MATCH(22, 'Detalles movimientos'!$V$5:$V$1004, 0)), "")</f>
        <v/>
      </c>
      <c r="K31" s="20" t="str">
        <f>IFERROR(INDEX('Detalles movimientos'!O$5:O$1004, MATCH(22, 'Detalles movimientos'!$V$5:$V$1004, 0)), "")</f>
        <v/>
      </c>
      <c r="L31" s="18" t="str">
        <f>IFERROR(INDEX('Detalles movimientos'!P$5:P$1004, MATCH(22, 'Detalles movimientos'!$V$5:$V$1004, 0)), "")</f>
        <v/>
      </c>
      <c r="M31" s="18" t="str">
        <f>IFERROR(INDEX('Detalles movimientos'!S$5:S$1004, MATCH(22, 'Detalles movimientos'!$V$5:$V$1004, 0)), "")</f>
        <v/>
      </c>
    </row>
    <row r="32" spans="2:13">
      <c r="B32" s="17" t="str">
        <f>IFERROR(INDEX('Detalles movimientos'!C$5:C$1004, MATCH(23, 'Detalles movimientos'!$V$5:$V$1004, 0)), "")</f>
        <v/>
      </c>
      <c r="C32" s="18" t="str">
        <f>IFERROR(INDEX('Detalles movimientos'!D$5:D$1004, MATCH(23, 'Detalles movimientos'!$V$5:$V$1004, 0)), "")</f>
        <v/>
      </c>
      <c r="D32" s="19" t="str">
        <f>IFERROR(INDEX('Detalles movimientos'!E$5:E$1004, MATCH(23, 'Detalles movimientos'!$V$5:$V$1004, 0)), "")</f>
        <v/>
      </c>
      <c r="E32" s="19" t="str">
        <f>IFERROR(INDEX('Detalles movimientos'!F$5:F$1004, MATCH(23, 'Detalles movimientos'!$V$5:$V$1004, 0)), "")</f>
        <v/>
      </c>
      <c r="F32" s="18" t="str">
        <f>IFERROR(INDEX('Detalles movimientos'!G$5:G$1004, MATCH(23, 'Detalles movimientos'!$V$5:$V$1004, 0)), "")</f>
        <v/>
      </c>
      <c r="G32" s="20" t="str">
        <f>IFERROR(INDEX('Detalles movimientos'!H$5:H$1004, MATCH(23, 'Detalles movimientos'!$V$5:$V$1004, 0)), "")</f>
        <v/>
      </c>
      <c r="H32" s="21" t="str">
        <f>IFERROR(INDEX('Detalles movimientos'!I$5:I$1004, MATCH(23, 'Detalles movimientos'!$V$5:$V$1004, 0)), "")</f>
        <v/>
      </c>
      <c r="I32" s="20" t="str">
        <f>IFERROR(INDEX('Detalles movimientos'!M$5:M$1004, MATCH(23, 'Detalles movimientos'!$V$5:$V$1004, 0)), "")</f>
        <v/>
      </c>
      <c r="J32" s="19" t="str">
        <f>IFERROR(INDEX('Detalles movimientos'!N$5:N$1004, MATCH(23, 'Detalles movimientos'!$V$5:$V$1004, 0)), "")</f>
        <v/>
      </c>
      <c r="K32" s="20" t="str">
        <f>IFERROR(INDEX('Detalles movimientos'!O$5:O$1004, MATCH(23, 'Detalles movimientos'!$V$5:$V$1004, 0)), "")</f>
        <v/>
      </c>
      <c r="L32" s="18" t="str">
        <f>IFERROR(INDEX('Detalles movimientos'!P$5:P$1004, MATCH(23, 'Detalles movimientos'!$V$5:$V$1004, 0)), "")</f>
        <v/>
      </c>
      <c r="M32" s="18" t="str">
        <f>IFERROR(INDEX('Detalles movimientos'!S$5:S$1004, MATCH(23, 'Detalles movimientos'!$V$5:$V$1004, 0)), "")</f>
        <v/>
      </c>
    </row>
    <row r="33" spans="2:13">
      <c r="B33" s="17" t="str">
        <f>IFERROR(INDEX('Detalles movimientos'!C$5:C$1004, MATCH(24, 'Detalles movimientos'!$V$5:$V$1004, 0)), "")</f>
        <v/>
      </c>
      <c r="C33" s="18" t="str">
        <f>IFERROR(INDEX('Detalles movimientos'!D$5:D$1004, MATCH(24, 'Detalles movimientos'!$V$5:$V$1004, 0)), "")</f>
        <v/>
      </c>
      <c r="D33" s="19" t="str">
        <f>IFERROR(INDEX('Detalles movimientos'!E$5:E$1004, MATCH(24, 'Detalles movimientos'!$V$5:$V$1004, 0)), "")</f>
        <v/>
      </c>
      <c r="E33" s="19" t="str">
        <f>IFERROR(INDEX('Detalles movimientos'!F$5:F$1004, MATCH(24, 'Detalles movimientos'!$V$5:$V$1004, 0)), "")</f>
        <v/>
      </c>
      <c r="F33" s="18" t="str">
        <f>IFERROR(INDEX('Detalles movimientos'!G$5:G$1004, MATCH(24, 'Detalles movimientos'!$V$5:$V$1004, 0)), "")</f>
        <v/>
      </c>
      <c r="G33" s="20" t="str">
        <f>IFERROR(INDEX('Detalles movimientos'!H$5:H$1004, MATCH(24, 'Detalles movimientos'!$V$5:$V$1004, 0)), "")</f>
        <v/>
      </c>
      <c r="H33" s="21" t="str">
        <f>IFERROR(INDEX('Detalles movimientos'!I$5:I$1004, MATCH(24, 'Detalles movimientos'!$V$5:$V$1004, 0)), "")</f>
        <v/>
      </c>
      <c r="I33" s="20" t="str">
        <f>IFERROR(INDEX('Detalles movimientos'!M$5:M$1004, MATCH(24, 'Detalles movimientos'!$V$5:$V$1004, 0)), "")</f>
        <v/>
      </c>
      <c r="J33" s="19" t="str">
        <f>IFERROR(INDEX('Detalles movimientos'!N$5:N$1004, MATCH(24, 'Detalles movimientos'!$V$5:$V$1004, 0)), "")</f>
        <v/>
      </c>
      <c r="K33" s="20" t="str">
        <f>IFERROR(INDEX('Detalles movimientos'!O$5:O$1004, MATCH(24, 'Detalles movimientos'!$V$5:$V$1004, 0)), "")</f>
        <v/>
      </c>
      <c r="L33" s="18" t="str">
        <f>IFERROR(INDEX('Detalles movimientos'!P$5:P$1004, MATCH(24, 'Detalles movimientos'!$V$5:$V$1004, 0)), "")</f>
        <v/>
      </c>
      <c r="M33" s="18" t="str">
        <f>IFERROR(INDEX('Detalles movimientos'!S$5:S$1004, MATCH(24, 'Detalles movimientos'!$V$5:$V$1004, 0)), "")</f>
        <v/>
      </c>
    </row>
    <row r="34" spans="2:13">
      <c r="B34" s="17" t="str">
        <f>IFERROR(INDEX('Detalles movimientos'!C$5:C$1004, MATCH(25, 'Detalles movimientos'!$V$5:$V$1004, 0)), "")</f>
        <v/>
      </c>
      <c r="C34" s="18" t="str">
        <f>IFERROR(INDEX('Detalles movimientos'!D$5:D$1004, MATCH(25, 'Detalles movimientos'!$V$5:$V$1004, 0)), "")</f>
        <v/>
      </c>
      <c r="D34" s="19" t="str">
        <f>IFERROR(INDEX('Detalles movimientos'!E$5:E$1004, MATCH(25, 'Detalles movimientos'!$V$5:$V$1004, 0)), "")</f>
        <v/>
      </c>
      <c r="E34" s="19" t="str">
        <f>IFERROR(INDEX('Detalles movimientos'!F$5:F$1004, MATCH(25, 'Detalles movimientos'!$V$5:$V$1004, 0)), "")</f>
        <v/>
      </c>
      <c r="F34" s="18" t="str">
        <f>IFERROR(INDEX('Detalles movimientos'!G$5:G$1004, MATCH(25, 'Detalles movimientos'!$V$5:$V$1004, 0)), "")</f>
        <v/>
      </c>
      <c r="G34" s="20" t="str">
        <f>IFERROR(INDEX('Detalles movimientos'!H$5:H$1004, MATCH(25, 'Detalles movimientos'!$V$5:$V$1004, 0)), "")</f>
        <v/>
      </c>
      <c r="H34" s="21" t="str">
        <f>IFERROR(INDEX('Detalles movimientos'!I$5:I$1004, MATCH(25, 'Detalles movimientos'!$V$5:$V$1004, 0)), "")</f>
        <v/>
      </c>
      <c r="I34" s="20" t="str">
        <f>IFERROR(INDEX('Detalles movimientos'!M$5:M$1004, MATCH(25, 'Detalles movimientos'!$V$5:$V$1004, 0)), "")</f>
        <v/>
      </c>
      <c r="J34" s="19" t="str">
        <f>IFERROR(INDEX('Detalles movimientos'!N$5:N$1004, MATCH(25, 'Detalles movimientos'!$V$5:$V$1004, 0)), "")</f>
        <v/>
      </c>
      <c r="K34" s="20" t="str">
        <f>IFERROR(INDEX('Detalles movimientos'!O$5:O$1004, MATCH(25, 'Detalles movimientos'!$V$5:$V$1004, 0)), "")</f>
        <v/>
      </c>
      <c r="L34" s="18" t="str">
        <f>IFERROR(INDEX('Detalles movimientos'!P$5:P$1004, MATCH(25, 'Detalles movimientos'!$V$5:$V$1004, 0)), "")</f>
        <v/>
      </c>
      <c r="M34" s="18" t="str">
        <f>IFERROR(INDEX('Detalles movimientos'!S$5:S$1004, MATCH(25, 'Detalles movimientos'!$V$5:$V$1004, 0)), "")</f>
        <v/>
      </c>
    </row>
    <row r="35" spans="2:13">
      <c r="B35" s="17" t="str">
        <f>IFERROR(INDEX('Detalles movimientos'!C$5:C$1004, MATCH(26, 'Detalles movimientos'!$V$5:$V$1004, 0)), "")</f>
        <v/>
      </c>
      <c r="C35" s="18" t="str">
        <f>IFERROR(INDEX('Detalles movimientos'!D$5:D$1004, MATCH(26, 'Detalles movimientos'!$V$5:$V$1004, 0)), "")</f>
        <v/>
      </c>
      <c r="D35" s="19" t="str">
        <f>IFERROR(INDEX('Detalles movimientos'!E$5:E$1004, MATCH(26, 'Detalles movimientos'!$V$5:$V$1004, 0)), "")</f>
        <v/>
      </c>
      <c r="E35" s="19" t="str">
        <f>IFERROR(INDEX('Detalles movimientos'!F$5:F$1004, MATCH(26, 'Detalles movimientos'!$V$5:$V$1004, 0)), "")</f>
        <v/>
      </c>
      <c r="F35" s="18" t="str">
        <f>IFERROR(INDEX('Detalles movimientos'!G$5:G$1004, MATCH(26, 'Detalles movimientos'!$V$5:$V$1004, 0)), "")</f>
        <v/>
      </c>
      <c r="G35" s="20" t="str">
        <f>IFERROR(INDEX('Detalles movimientos'!H$5:H$1004, MATCH(26, 'Detalles movimientos'!$V$5:$V$1004, 0)), "")</f>
        <v/>
      </c>
      <c r="H35" s="21" t="str">
        <f>IFERROR(INDEX('Detalles movimientos'!I$5:I$1004, MATCH(26, 'Detalles movimientos'!$V$5:$V$1004, 0)), "")</f>
        <v/>
      </c>
      <c r="I35" s="20" t="str">
        <f>IFERROR(INDEX('Detalles movimientos'!M$5:M$1004, MATCH(26, 'Detalles movimientos'!$V$5:$V$1004, 0)), "")</f>
        <v/>
      </c>
      <c r="J35" s="19" t="str">
        <f>IFERROR(INDEX('Detalles movimientos'!N$5:N$1004, MATCH(26, 'Detalles movimientos'!$V$5:$V$1004, 0)), "")</f>
        <v/>
      </c>
      <c r="K35" s="20" t="str">
        <f>IFERROR(INDEX('Detalles movimientos'!O$5:O$1004, MATCH(26, 'Detalles movimientos'!$V$5:$V$1004, 0)), "")</f>
        <v/>
      </c>
      <c r="L35" s="18" t="str">
        <f>IFERROR(INDEX('Detalles movimientos'!P$5:P$1004, MATCH(26, 'Detalles movimientos'!$V$5:$V$1004, 0)), "")</f>
        <v/>
      </c>
      <c r="M35" s="18" t="str">
        <f>IFERROR(INDEX('Detalles movimientos'!S$5:S$1004, MATCH(26, 'Detalles movimientos'!$V$5:$V$1004, 0)), "")</f>
        <v/>
      </c>
    </row>
    <row r="36" spans="2:13">
      <c r="B36" s="17" t="str">
        <f>IFERROR(INDEX('Detalles movimientos'!C$5:C$1004, MATCH(27, 'Detalles movimientos'!$V$5:$V$1004, 0)), "")</f>
        <v/>
      </c>
      <c r="C36" s="18" t="str">
        <f>IFERROR(INDEX('Detalles movimientos'!D$5:D$1004, MATCH(27, 'Detalles movimientos'!$V$5:$V$1004, 0)), "")</f>
        <v/>
      </c>
      <c r="D36" s="19" t="str">
        <f>IFERROR(INDEX('Detalles movimientos'!E$5:E$1004, MATCH(27, 'Detalles movimientos'!$V$5:$V$1004, 0)), "")</f>
        <v/>
      </c>
      <c r="E36" s="19" t="str">
        <f>IFERROR(INDEX('Detalles movimientos'!F$5:F$1004, MATCH(27, 'Detalles movimientos'!$V$5:$V$1004, 0)), "")</f>
        <v/>
      </c>
      <c r="F36" s="18" t="str">
        <f>IFERROR(INDEX('Detalles movimientos'!G$5:G$1004, MATCH(27, 'Detalles movimientos'!$V$5:$V$1004, 0)), "")</f>
        <v/>
      </c>
      <c r="G36" s="20" t="str">
        <f>IFERROR(INDEX('Detalles movimientos'!H$5:H$1004, MATCH(27, 'Detalles movimientos'!$V$5:$V$1004, 0)), "")</f>
        <v/>
      </c>
      <c r="H36" s="21" t="str">
        <f>IFERROR(INDEX('Detalles movimientos'!I$5:I$1004, MATCH(27, 'Detalles movimientos'!$V$5:$V$1004, 0)), "")</f>
        <v/>
      </c>
      <c r="I36" s="20" t="str">
        <f>IFERROR(INDEX('Detalles movimientos'!M$5:M$1004, MATCH(27, 'Detalles movimientos'!$V$5:$V$1004, 0)), "")</f>
        <v/>
      </c>
      <c r="J36" s="19" t="str">
        <f>IFERROR(INDEX('Detalles movimientos'!N$5:N$1004, MATCH(27, 'Detalles movimientos'!$V$5:$V$1004, 0)), "")</f>
        <v/>
      </c>
      <c r="K36" s="20" t="str">
        <f>IFERROR(INDEX('Detalles movimientos'!O$5:O$1004, MATCH(27, 'Detalles movimientos'!$V$5:$V$1004, 0)), "")</f>
        <v/>
      </c>
      <c r="L36" s="18" t="str">
        <f>IFERROR(INDEX('Detalles movimientos'!P$5:P$1004, MATCH(27, 'Detalles movimientos'!$V$5:$V$1004, 0)), "")</f>
        <v/>
      </c>
      <c r="M36" s="18" t="str">
        <f>IFERROR(INDEX('Detalles movimientos'!S$5:S$1004, MATCH(27, 'Detalles movimientos'!$V$5:$V$1004, 0)), "")</f>
        <v/>
      </c>
    </row>
    <row r="37" spans="2:13">
      <c r="B37" s="17" t="str">
        <f>IFERROR(INDEX('Detalles movimientos'!C$5:C$1004, MATCH(28, 'Detalles movimientos'!$V$5:$V$1004, 0)), "")</f>
        <v/>
      </c>
      <c r="C37" s="18" t="str">
        <f>IFERROR(INDEX('Detalles movimientos'!D$5:D$1004, MATCH(28, 'Detalles movimientos'!$V$5:$V$1004, 0)), "")</f>
        <v/>
      </c>
      <c r="D37" s="19" t="str">
        <f>IFERROR(INDEX('Detalles movimientos'!E$5:E$1004, MATCH(28, 'Detalles movimientos'!$V$5:$V$1004, 0)), "")</f>
        <v/>
      </c>
      <c r="E37" s="19" t="str">
        <f>IFERROR(INDEX('Detalles movimientos'!F$5:F$1004, MATCH(28, 'Detalles movimientos'!$V$5:$V$1004, 0)), "")</f>
        <v/>
      </c>
      <c r="F37" s="18" t="str">
        <f>IFERROR(INDEX('Detalles movimientos'!G$5:G$1004, MATCH(28, 'Detalles movimientos'!$V$5:$V$1004, 0)), "")</f>
        <v/>
      </c>
      <c r="G37" s="20" t="str">
        <f>IFERROR(INDEX('Detalles movimientos'!H$5:H$1004, MATCH(28, 'Detalles movimientos'!$V$5:$V$1004, 0)), "")</f>
        <v/>
      </c>
      <c r="H37" s="21" t="str">
        <f>IFERROR(INDEX('Detalles movimientos'!I$5:I$1004, MATCH(28, 'Detalles movimientos'!$V$5:$V$1004, 0)), "")</f>
        <v/>
      </c>
      <c r="I37" s="20" t="str">
        <f>IFERROR(INDEX('Detalles movimientos'!M$5:M$1004, MATCH(28, 'Detalles movimientos'!$V$5:$V$1004, 0)), "")</f>
        <v/>
      </c>
      <c r="J37" s="19" t="str">
        <f>IFERROR(INDEX('Detalles movimientos'!N$5:N$1004, MATCH(28, 'Detalles movimientos'!$V$5:$V$1004, 0)), "")</f>
        <v/>
      </c>
      <c r="K37" s="20" t="str">
        <f>IFERROR(INDEX('Detalles movimientos'!O$5:O$1004, MATCH(28, 'Detalles movimientos'!$V$5:$V$1004, 0)), "")</f>
        <v/>
      </c>
      <c r="L37" s="18" t="str">
        <f>IFERROR(INDEX('Detalles movimientos'!P$5:P$1004, MATCH(28, 'Detalles movimientos'!$V$5:$V$1004, 0)), "")</f>
        <v/>
      </c>
      <c r="M37" s="18" t="str">
        <f>IFERROR(INDEX('Detalles movimientos'!S$5:S$1004, MATCH(28, 'Detalles movimientos'!$V$5:$V$1004, 0)), "")</f>
        <v/>
      </c>
    </row>
    <row r="38" spans="2:13">
      <c r="B38" s="17" t="str">
        <f>IFERROR(INDEX('Detalles movimientos'!C$5:C$1004, MATCH(29, 'Detalles movimientos'!$V$5:$V$1004, 0)), "")</f>
        <v/>
      </c>
      <c r="C38" s="18" t="str">
        <f>IFERROR(INDEX('Detalles movimientos'!D$5:D$1004, MATCH(29, 'Detalles movimientos'!$V$5:$V$1004, 0)), "")</f>
        <v/>
      </c>
      <c r="D38" s="19" t="str">
        <f>IFERROR(INDEX('Detalles movimientos'!E$5:E$1004, MATCH(29, 'Detalles movimientos'!$V$5:$V$1004, 0)), "")</f>
        <v/>
      </c>
      <c r="E38" s="19" t="str">
        <f>IFERROR(INDEX('Detalles movimientos'!F$5:F$1004, MATCH(29, 'Detalles movimientos'!$V$5:$V$1004, 0)), "")</f>
        <v/>
      </c>
      <c r="F38" s="18" t="str">
        <f>IFERROR(INDEX('Detalles movimientos'!G$5:G$1004, MATCH(29, 'Detalles movimientos'!$V$5:$V$1004, 0)), "")</f>
        <v/>
      </c>
      <c r="G38" s="20" t="str">
        <f>IFERROR(INDEX('Detalles movimientos'!H$5:H$1004, MATCH(29, 'Detalles movimientos'!$V$5:$V$1004, 0)), "")</f>
        <v/>
      </c>
      <c r="H38" s="21" t="str">
        <f>IFERROR(INDEX('Detalles movimientos'!I$5:I$1004, MATCH(29, 'Detalles movimientos'!$V$5:$V$1004, 0)), "")</f>
        <v/>
      </c>
      <c r="I38" s="20" t="str">
        <f>IFERROR(INDEX('Detalles movimientos'!M$5:M$1004, MATCH(29, 'Detalles movimientos'!$V$5:$V$1004, 0)), "")</f>
        <v/>
      </c>
      <c r="J38" s="19" t="str">
        <f>IFERROR(INDEX('Detalles movimientos'!N$5:N$1004, MATCH(29, 'Detalles movimientos'!$V$5:$V$1004, 0)), "")</f>
        <v/>
      </c>
      <c r="K38" s="20" t="str">
        <f>IFERROR(INDEX('Detalles movimientos'!O$5:O$1004, MATCH(29, 'Detalles movimientos'!$V$5:$V$1004, 0)), "")</f>
        <v/>
      </c>
      <c r="L38" s="18" t="str">
        <f>IFERROR(INDEX('Detalles movimientos'!P$5:P$1004, MATCH(29, 'Detalles movimientos'!$V$5:$V$1004, 0)), "")</f>
        <v/>
      </c>
      <c r="M38" s="18" t="str">
        <f>IFERROR(INDEX('Detalles movimientos'!S$5:S$1004, MATCH(29, 'Detalles movimientos'!$V$5:$V$1004, 0)), "")</f>
        <v/>
      </c>
    </row>
    <row r="39" spans="2:13">
      <c r="B39" s="17" t="str">
        <f>IFERROR(INDEX('Detalles movimientos'!C$5:C$1004, MATCH(30, 'Detalles movimientos'!$V$5:$V$1004, 0)), "")</f>
        <v/>
      </c>
      <c r="C39" s="18" t="str">
        <f>IFERROR(INDEX('Detalles movimientos'!D$5:D$1004, MATCH(30, 'Detalles movimientos'!$V$5:$V$1004, 0)), "")</f>
        <v/>
      </c>
      <c r="D39" s="19" t="str">
        <f>IFERROR(INDEX('Detalles movimientos'!E$5:E$1004, MATCH(30, 'Detalles movimientos'!$V$5:$V$1004, 0)), "")</f>
        <v/>
      </c>
      <c r="E39" s="19" t="str">
        <f>IFERROR(INDEX('Detalles movimientos'!F$5:F$1004, MATCH(30, 'Detalles movimientos'!$V$5:$V$1004, 0)), "")</f>
        <v/>
      </c>
      <c r="F39" s="18" t="str">
        <f>IFERROR(INDEX('Detalles movimientos'!G$5:G$1004, MATCH(30, 'Detalles movimientos'!$V$5:$V$1004, 0)), "")</f>
        <v/>
      </c>
      <c r="G39" s="20" t="str">
        <f>IFERROR(INDEX('Detalles movimientos'!H$5:H$1004, MATCH(30, 'Detalles movimientos'!$V$5:$V$1004, 0)), "")</f>
        <v/>
      </c>
      <c r="H39" s="21" t="str">
        <f>IFERROR(INDEX('Detalles movimientos'!I$5:I$1004, MATCH(30, 'Detalles movimientos'!$V$5:$V$1004, 0)), "")</f>
        <v/>
      </c>
      <c r="I39" s="20" t="str">
        <f>IFERROR(INDEX('Detalles movimientos'!M$5:M$1004, MATCH(30, 'Detalles movimientos'!$V$5:$V$1004, 0)), "")</f>
        <v/>
      </c>
      <c r="J39" s="19" t="str">
        <f>IFERROR(INDEX('Detalles movimientos'!N$5:N$1004, MATCH(30, 'Detalles movimientos'!$V$5:$V$1004, 0)), "")</f>
        <v/>
      </c>
      <c r="K39" s="20" t="str">
        <f>IFERROR(INDEX('Detalles movimientos'!O$5:O$1004, MATCH(30, 'Detalles movimientos'!$V$5:$V$1004, 0)), "")</f>
        <v/>
      </c>
      <c r="L39" s="18" t="str">
        <f>IFERROR(INDEX('Detalles movimientos'!P$5:P$1004, MATCH(30, 'Detalles movimientos'!$V$5:$V$1004, 0)), "")</f>
        <v/>
      </c>
      <c r="M39" s="18" t="str">
        <f>IFERROR(INDEX('Detalles movimientos'!S$5:S$1004, MATCH(30, 'Detalles movimientos'!$V$5:$V$1004, 0)), "")</f>
        <v/>
      </c>
    </row>
    <row r="40" spans="2:13">
      <c r="B40" s="17" t="str">
        <f>IFERROR(INDEX('Detalles movimientos'!C$5:C$1004, MATCH(31, 'Detalles movimientos'!$V$5:$V$1004, 0)), "")</f>
        <v/>
      </c>
      <c r="C40" s="18" t="str">
        <f>IFERROR(INDEX('Detalles movimientos'!D$5:D$1004, MATCH(31, 'Detalles movimientos'!$V$5:$V$1004, 0)), "")</f>
        <v/>
      </c>
      <c r="D40" s="19" t="str">
        <f>IFERROR(INDEX('Detalles movimientos'!E$5:E$1004, MATCH(31, 'Detalles movimientos'!$V$5:$V$1004, 0)), "")</f>
        <v/>
      </c>
      <c r="E40" s="19" t="str">
        <f>IFERROR(INDEX('Detalles movimientos'!F$5:F$1004, MATCH(31, 'Detalles movimientos'!$V$5:$V$1004, 0)), "")</f>
        <v/>
      </c>
      <c r="F40" s="18" t="str">
        <f>IFERROR(INDEX('Detalles movimientos'!G$5:G$1004, MATCH(31, 'Detalles movimientos'!$V$5:$V$1004, 0)), "")</f>
        <v/>
      </c>
      <c r="G40" s="20" t="str">
        <f>IFERROR(INDEX('Detalles movimientos'!H$5:H$1004, MATCH(31, 'Detalles movimientos'!$V$5:$V$1004, 0)), "")</f>
        <v/>
      </c>
      <c r="H40" s="21" t="str">
        <f>IFERROR(INDEX('Detalles movimientos'!I$5:I$1004, MATCH(31, 'Detalles movimientos'!$V$5:$V$1004, 0)), "")</f>
        <v/>
      </c>
      <c r="I40" s="20" t="str">
        <f>IFERROR(INDEX('Detalles movimientos'!M$5:M$1004, MATCH(31, 'Detalles movimientos'!$V$5:$V$1004, 0)), "")</f>
        <v/>
      </c>
      <c r="J40" s="19" t="str">
        <f>IFERROR(INDEX('Detalles movimientos'!N$5:N$1004, MATCH(31, 'Detalles movimientos'!$V$5:$V$1004, 0)), "")</f>
        <v/>
      </c>
      <c r="K40" s="20" t="str">
        <f>IFERROR(INDEX('Detalles movimientos'!O$5:O$1004, MATCH(31, 'Detalles movimientos'!$V$5:$V$1004, 0)), "")</f>
        <v/>
      </c>
      <c r="L40" s="18" t="str">
        <f>IFERROR(INDEX('Detalles movimientos'!P$5:P$1004, MATCH(31, 'Detalles movimientos'!$V$5:$V$1004, 0)), "")</f>
        <v/>
      </c>
      <c r="M40" s="18" t="str">
        <f>IFERROR(INDEX('Detalles movimientos'!S$5:S$1004, MATCH(31, 'Detalles movimientos'!$V$5:$V$1004, 0)), "")</f>
        <v/>
      </c>
    </row>
    <row r="41" spans="2:13">
      <c r="B41" s="17" t="str">
        <f>IFERROR(INDEX('Detalles movimientos'!C$5:C$1004, MATCH(32, 'Detalles movimientos'!$V$5:$V$1004, 0)), "")</f>
        <v/>
      </c>
      <c r="C41" s="18" t="str">
        <f>IFERROR(INDEX('Detalles movimientos'!D$5:D$1004, MATCH(32, 'Detalles movimientos'!$V$5:$V$1004, 0)), "")</f>
        <v/>
      </c>
      <c r="D41" s="19" t="str">
        <f>IFERROR(INDEX('Detalles movimientos'!E$5:E$1004, MATCH(32, 'Detalles movimientos'!$V$5:$V$1004, 0)), "")</f>
        <v/>
      </c>
      <c r="E41" s="19" t="str">
        <f>IFERROR(INDEX('Detalles movimientos'!F$5:F$1004, MATCH(32, 'Detalles movimientos'!$V$5:$V$1004, 0)), "")</f>
        <v/>
      </c>
      <c r="F41" s="18" t="str">
        <f>IFERROR(INDEX('Detalles movimientos'!G$5:G$1004, MATCH(32, 'Detalles movimientos'!$V$5:$V$1004, 0)), "")</f>
        <v/>
      </c>
      <c r="G41" s="20" t="str">
        <f>IFERROR(INDEX('Detalles movimientos'!H$5:H$1004, MATCH(32, 'Detalles movimientos'!$V$5:$V$1004, 0)), "")</f>
        <v/>
      </c>
      <c r="H41" s="21" t="str">
        <f>IFERROR(INDEX('Detalles movimientos'!I$5:I$1004, MATCH(32, 'Detalles movimientos'!$V$5:$V$1004, 0)), "")</f>
        <v/>
      </c>
      <c r="I41" s="20" t="str">
        <f>IFERROR(INDEX('Detalles movimientos'!M$5:M$1004, MATCH(32, 'Detalles movimientos'!$V$5:$V$1004, 0)), "")</f>
        <v/>
      </c>
      <c r="J41" s="19" t="str">
        <f>IFERROR(INDEX('Detalles movimientos'!N$5:N$1004, MATCH(32, 'Detalles movimientos'!$V$5:$V$1004, 0)), "")</f>
        <v/>
      </c>
      <c r="K41" s="20" t="str">
        <f>IFERROR(INDEX('Detalles movimientos'!O$5:O$1004, MATCH(32, 'Detalles movimientos'!$V$5:$V$1004, 0)), "")</f>
        <v/>
      </c>
      <c r="L41" s="18" t="str">
        <f>IFERROR(INDEX('Detalles movimientos'!P$5:P$1004, MATCH(32, 'Detalles movimientos'!$V$5:$V$1004, 0)), "")</f>
        <v/>
      </c>
      <c r="M41" s="18" t="str">
        <f>IFERROR(INDEX('Detalles movimientos'!S$5:S$1004, MATCH(32, 'Detalles movimientos'!$V$5:$V$1004, 0)), "")</f>
        <v/>
      </c>
    </row>
    <row r="42" spans="2:13">
      <c r="B42" s="17" t="str">
        <f>IFERROR(INDEX('Detalles movimientos'!C$5:C$1004, MATCH(33, 'Detalles movimientos'!$V$5:$V$1004, 0)), "")</f>
        <v/>
      </c>
      <c r="C42" s="18" t="str">
        <f>IFERROR(INDEX('Detalles movimientos'!D$5:D$1004, MATCH(33, 'Detalles movimientos'!$V$5:$V$1004, 0)), "")</f>
        <v/>
      </c>
      <c r="D42" s="19" t="str">
        <f>IFERROR(INDEX('Detalles movimientos'!E$5:E$1004, MATCH(33, 'Detalles movimientos'!$V$5:$V$1004, 0)), "")</f>
        <v/>
      </c>
      <c r="E42" s="19" t="str">
        <f>IFERROR(INDEX('Detalles movimientos'!F$5:F$1004, MATCH(33, 'Detalles movimientos'!$V$5:$V$1004, 0)), "")</f>
        <v/>
      </c>
      <c r="F42" s="18" t="str">
        <f>IFERROR(INDEX('Detalles movimientos'!G$5:G$1004, MATCH(33, 'Detalles movimientos'!$V$5:$V$1004, 0)), "")</f>
        <v/>
      </c>
      <c r="G42" s="20" t="str">
        <f>IFERROR(INDEX('Detalles movimientos'!H$5:H$1004, MATCH(33, 'Detalles movimientos'!$V$5:$V$1004, 0)), "")</f>
        <v/>
      </c>
      <c r="H42" s="21" t="str">
        <f>IFERROR(INDEX('Detalles movimientos'!I$5:I$1004, MATCH(33, 'Detalles movimientos'!$V$5:$V$1004, 0)), "")</f>
        <v/>
      </c>
      <c r="I42" s="20" t="str">
        <f>IFERROR(INDEX('Detalles movimientos'!M$5:M$1004, MATCH(33, 'Detalles movimientos'!$V$5:$V$1004, 0)), "")</f>
        <v/>
      </c>
      <c r="J42" s="19" t="str">
        <f>IFERROR(INDEX('Detalles movimientos'!N$5:N$1004, MATCH(33, 'Detalles movimientos'!$V$5:$V$1004, 0)), "")</f>
        <v/>
      </c>
      <c r="K42" s="20" t="str">
        <f>IFERROR(INDEX('Detalles movimientos'!O$5:O$1004, MATCH(33, 'Detalles movimientos'!$V$5:$V$1004, 0)), "")</f>
        <v/>
      </c>
      <c r="L42" s="18" t="str">
        <f>IFERROR(INDEX('Detalles movimientos'!P$5:P$1004, MATCH(33, 'Detalles movimientos'!$V$5:$V$1004, 0)), "")</f>
        <v/>
      </c>
      <c r="M42" s="18" t="str">
        <f>IFERROR(INDEX('Detalles movimientos'!S$5:S$1004, MATCH(33, 'Detalles movimientos'!$V$5:$V$1004, 0)), "")</f>
        <v/>
      </c>
    </row>
    <row r="43" spans="2:13">
      <c r="B43" s="17" t="str">
        <f>IFERROR(INDEX('Detalles movimientos'!C$5:C$1004, MATCH(34, 'Detalles movimientos'!$V$5:$V$1004, 0)), "")</f>
        <v/>
      </c>
      <c r="C43" s="18" t="str">
        <f>IFERROR(INDEX('Detalles movimientos'!D$5:D$1004, MATCH(34, 'Detalles movimientos'!$V$5:$V$1004, 0)), "")</f>
        <v/>
      </c>
      <c r="D43" s="19" t="str">
        <f>IFERROR(INDEX('Detalles movimientos'!E$5:E$1004, MATCH(34, 'Detalles movimientos'!$V$5:$V$1004, 0)), "")</f>
        <v/>
      </c>
      <c r="E43" s="19" t="str">
        <f>IFERROR(INDEX('Detalles movimientos'!F$5:F$1004, MATCH(34, 'Detalles movimientos'!$V$5:$V$1004, 0)), "")</f>
        <v/>
      </c>
      <c r="F43" s="18" t="str">
        <f>IFERROR(INDEX('Detalles movimientos'!G$5:G$1004, MATCH(34, 'Detalles movimientos'!$V$5:$V$1004, 0)), "")</f>
        <v/>
      </c>
      <c r="G43" s="20" t="str">
        <f>IFERROR(INDEX('Detalles movimientos'!H$5:H$1004, MATCH(34, 'Detalles movimientos'!$V$5:$V$1004, 0)), "")</f>
        <v/>
      </c>
      <c r="H43" s="21" t="str">
        <f>IFERROR(INDEX('Detalles movimientos'!I$5:I$1004, MATCH(34, 'Detalles movimientos'!$V$5:$V$1004, 0)), "")</f>
        <v/>
      </c>
      <c r="I43" s="20" t="str">
        <f>IFERROR(INDEX('Detalles movimientos'!M$5:M$1004, MATCH(34, 'Detalles movimientos'!$V$5:$V$1004, 0)), "")</f>
        <v/>
      </c>
      <c r="J43" s="19" t="str">
        <f>IFERROR(INDEX('Detalles movimientos'!N$5:N$1004, MATCH(34, 'Detalles movimientos'!$V$5:$V$1004, 0)), "")</f>
        <v/>
      </c>
      <c r="K43" s="20" t="str">
        <f>IFERROR(INDEX('Detalles movimientos'!O$5:O$1004, MATCH(34, 'Detalles movimientos'!$V$5:$V$1004, 0)), "")</f>
        <v/>
      </c>
      <c r="L43" s="18" t="str">
        <f>IFERROR(INDEX('Detalles movimientos'!P$5:P$1004, MATCH(34, 'Detalles movimientos'!$V$5:$V$1004, 0)), "")</f>
        <v/>
      </c>
      <c r="M43" s="18" t="str">
        <f>IFERROR(INDEX('Detalles movimientos'!S$5:S$1004, MATCH(34, 'Detalles movimientos'!$V$5:$V$1004, 0)), "")</f>
        <v/>
      </c>
    </row>
    <row r="44" spans="2:13">
      <c r="B44" s="17" t="str">
        <f>IFERROR(INDEX('Detalles movimientos'!C$5:C$1004, MATCH(35, 'Detalles movimientos'!$V$5:$V$1004, 0)), "")</f>
        <v/>
      </c>
      <c r="C44" s="18" t="str">
        <f>IFERROR(INDEX('Detalles movimientos'!D$5:D$1004, MATCH(35, 'Detalles movimientos'!$V$5:$V$1004, 0)), "")</f>
        <v/>
      </c>
      <c r="D44" s="19" t="str">
        <f>IFERROR(INDEX('Detalles movimientos'!E$5:E$1004, MATCH(35, 'Detalles movimientos'!$V$5:$V$1004, 0)), "")</f>
        <v/>
      </c>
      <c r="E44" s="19" t="str">
        <f>IFERROR(INDEX('Detalles movimientos'!F$5:F$1004, MATCH(35, 'Detalles movimientos'!$V$5:$V$1004, 0)), "")</f>
        <v/>
      </c>
      <c r="F44" s="18" t="str">
        <f>IFERROR(INDEX('Detalles movimientos'!G$5:G$1004, MATCH(35, 'Detalles movimientos'!$V$5:$V$1004, 0)), "")</f>
        <v/>
      </c>
      <c r="G44" s="20" t="str">
        <f>IFERROR(INDEX('Detalles movimientos'!H$5:H$1004, MATCH(35, 'Detalles movimientos'!$V$5:$V$1004, 0)), "")</f>
        <v/>
      </c>
      <c r="H44" s="21" t="str">
        <f>IFERROR(INDEX('Detalles movimientos'!I$5:I$1004, MATCH(35, 'Detalles movimientos'!$V$5:$V$1004, 0)), "")</f>
        <v/>
      </c>
      <c r="I44" s="20" t="str">
        <f>IFERROR(INDEX('Detalles movimientos'!M$5:M$1004, MATCH(35, 'Detalles movimientos'!$V$5:$V$1004, 0)), "")</f>
        <v/>
      </c>
      <c r="J44" s="19" t="str">
        <f>IFERROR(INDEX('Detalles movimientos'!N$5:N$1004, MATCH(35, 'Detalles movimientos'!$V$5:$V$1004, 0)), "")</f>
        <v/>
      </c>
      <c r="K44" s="20" t="str">
        <f>IFERROR(INDEX('Detalles movimientos'!O$5:O$1004, MATCH(35, 'Detalles movimientos'!$V$5:$V$1004, 0)), "")</f>
        <v/>
      </c>
      <c r="L44" s="18" t="str">
        <f>IFERROR(INDEX('Detalles movimientos'!P$5:P$1004, MATCH(35, 'Detalles movimientos'!$V$5:$V$1004, 0)), "")</f>
        <v/>
      </c>
      <c r="M44" s="18" t="str">
        <f>IFERROR(INDEX('Detalles movimientos'!S$5:S$1004, MATCH(35, 'Detalles movimientos'!$V$5:$V$1004, 0)), "")</f>
        <v/>
      </c>
    </row>
    <row r="45" spans="2:13">
      <c r="B45" s="17" t="str">
        <f>IFERROR(INDEX('Detalles movimientos'!C$5:C$1004, MATCH(36, 'Detalles movimientos'!$V$5:$V$1004, 0)), "")</f>
        <v/>
      </c>
      <c r="C45" s="18" t="str">
        <f>IFERROR(INDEX('Detalles movimientos'!D$5:D$1004, MATCH(36, 'Detalles movimientos'!$V$5:$V$1004, 0)), "")</f>
        <v/>
      </c>
      <c r="D45" s="19" t="str">
        <f>IFERROR(INDEX('Detalles movimientos'!E$5:E$1004, MATCH(36, 'Detalles movimientos'!$V$5:$V$1004, 0)), "")</f>
        <v/>
      </c>
      <c r="E45" s="19" t="str">
        <f>IFERROR(INDEX('Detalles movimientos'!F$5:F$1004, MATCH(36, 'Detalles movimientos'!$V$5:$V$1004, 0)), "")</f>
        <v/>
      </c>
      <c r="F45" s="18" t="str">
        <f>IFERROR(INDEX('Detalles movimientos'!G$5:G$1004, MATCH(36, 'Detalles movimientos'!$V$5:$V$1004, 0)), "")</f>
        <v/>
      </c>
      <c r="G45" s="20" t="str">
        <f>IFERROR(INDEX('Detalles movimientos'!H$5:H$1004, MATCH(36, 'Detalles movimientos'!$V$5:$V$1004, 0)), "")</f>
        <v/>
      </c>
      <c r="H45" s="21" t="str">
        <f>IFERROR(INDEX('Detalles movimientos'!I$5:I$1004, MATCH(36, 'Detalles movimientos'!$V$5:$V$1004, 0)), "")</f>
        <v/>
      </c>
      <c r="I45" s="20" t="str">
        <f>IFERROR(INDEX('Detalles movimientos'!M$5:M$1004, MATCH(36, 'Detalles movimientos'!$V$5:$V$1004, 0)), "")</f>
        <v/>
      </c>
      <c r="J45" s="19" t="str">
        <f>IFERROR(INDEX('Detalles movimientos'!N$5:N$1004, MATCH(36, 'Detalles movimientos'!$V$5:$V$1004, 0)), "")</f>
        <v/>
      </c>
      <c r="K45" s="20" t="str">
        <f>IFERROR(INDEX('Detalles movimientos'!O$5:O$1004, MATCH(36, 'Detalles movimientos'!$V$5:$V$1004, 0)), "")</f>
        <v/>
      </c>
      <c r="L45" s="18" t="str">
        <f>IFERROR(INDEX('Detalles movimientos'!P$5:P$1004, MATCH(36, 'Detalles movimientos'!$V$5:$V$1004, 0)), "")</f>
        <v/>
      </c>
      <c r="M45" s="18" t="str">
        <f>IFERROR(INDEX('Detalles movimientos'!S$5:S$1004, MATCH(36, 'Detalles movimientos'!$V$5:$V$1004, 0)), "")</f>
        <v/>
      </c>
    </row>
    <row r="46" spans="2:13">
      <c r="B46" s="17" t="str">
        <f>IFERROR(INDEX('Detalles movimientos'!C$5:C$1004, MATCH(37, 'Detalles movimientos'!$V$5:$V$1004, 0)), "")</f>
        <v/>
      </c>
      <c r="C46" s="18" t="str">
        <f>IFERROR(INDEX('Detalles movimientos'!D$5:D$1004, MATCH(37, 'Detalles movimientos'!$V$5:$V$1004, 0)), "")</f>
        <v/>
      </c>
      <c r="D46" s="19" t="str">
        <f>IFERROR(INDEX('Detalles movimientos'!E$5:E$1004, MATCH(37, 'Detalles movimientos'!$V$5:$V$1004, 0)), "")</f>
        <v/>
      </c>
      <c r="E46" s="19" t="str">
        <f>IFERROR(INDEX('Detalles movimientos'!F$5:F$1004, MATCH(37, 'Detalles movimientos'!$V$5:$V$1004, 0)), "")</f>
        <v/>
      </c>
      <c r="F46" s="18" t="str">
        <f>IFERROR(INDEX('Detalles movimientos'!G$5:G$1004, MATCH(37, 'Detalles movimientos'!$V$5:$V$1004, 0)), "")</f>
        <v/>
      </c>
      <c r="G46" s="20" t="str">
        <f>IFERROR(INDEX('Detalles movimientos'!H$5:H$1004, MATCH(37, 'Detalles movimientos'!$V$5:$V$1004, 0)), "")</f>
        <v/>
      </c>
      <c r="H46" s="21" t="str">
        <f>IFERROR(INDEX('Detalles movimientos'!I$5:I$1004, MATCH(37, 'Detalles movimientos'!$V$5:$V$1004, 0)), "")</f>
        <v/>
      </c>
      <c r="I46" s="20" t="str">
        <f>IFERROR(INDEX('Detalles movimientos'!M$5:M$1004, MATCH(37, 'Detalles movimientos'!$V$5:$V$1004, 0)), "")</f>
        <v/>
      </c>
      <c r="J46" s="19" t="str">
        <f>IFERROR(INDEX('Detalles movimientos'!N$5:N$1004, MATCH(37, 'Detalles movimientos'!$V$5:$V$1004, 0)), "")</f>
        <v/>
      </c>
      <c r="K46" s="20" t="str">
        <f>IFERROR(INDEX('Detalles movimientos'!O$5:O$1004, MATCH(37, 'Detalles movimientos'!$V$5:$V$1004, 0)), "")</f>
        <v/>
      </c>
      <c r="L46" s="18" t="str">
        <f>IFERROR(INDEX('Detalles movimientos'!P$5:P$1004, MATCH(37, 'Detalles movimientos'!$V$5:$V$1004, 0)), "")</f>
        <v/>
      </c>
      <c r="M46" s="18" t="str">
        <f>IFERROR(INDEX('Detalles movimientos'!S$5:S$1004, MATCH(37, 'Detalles movimientos'!$V$5:$V$1004, 0)), "")</f>
        <v/>
      </c>
    </row>
    <row r="47" spans="2:13">
      <c r="B47" s="17" t="str">
        <f>IFERROR(INDEX('Detalles movimientos'!C$5:C$1004, MATCH(38, 'Detalles movimientos'!$V$5:$V$1004, 0)), "")</f>
        <v/>
      </c>
      <c r="C47" s="18" t="str">
        <f>IFERROR(INDEX('Detalles movimientos'!D$5:D$1004, MATCH(38, 'Detalles movimientos'!$V$5:$V$1004, 0)), "")</f>
        <v/>
      </c>
      <c r="D47" s="19" t="str">
        <f>IFERROR(INDEX('Detalles movimientos'!E$5:E$1004, MATCH(38, 'Detalles movimientos'!$V$5:$V$1004, 0)), "")</f>
        <v/>
      </c>
      <c r="E47" s="19" t="str">
        <f>IFERROR(INDEX('Detalles movimientos'!F$5:F$1004, MATCH(38, 'Detalles movimientos'!$V$5:$V$1004, 0)), "")</f>
        <v/>
      </c>
      <c r="F47" s="18" t="str">
        <f>IFERROR(INDEX('Detalles movimientos'!G$5:G$1004, MATCH(38, 'Detalles movimientos'!$V$5:$V$1004, 0)), "")</f>
        <v/>
      </c>
      <c r="G47" s="20" t="str">
        <f>IFERROR(INDEX('Detalles movimientos'!H$5:H$1004, MATCH(38, 'Detalles movimientos'!$V$5:$V$1004, 0)), "")</f>
        <v/>
      </c>
      <c r="H47" s="21" t="str">
        <f>IFERROR(INDEX('Detalles movimientos'!I$5:I$1004, MATCH(38, 'Detalles movimientos'!$V$5:$V$1004, 0)), "")</f>
        <v/>
      </c>
      <c r="I47" s="20" t="str">
        <f>IFERROR(INDEX('Detalles movimientos'!M$5:M$1004, MATCH(38, 'Detalles movimientos'!$V$5:$V$1004, 0)), "")</f>
        <v/>
      </c>
      <c r="J47" s="19" t="str">
        <f>IFERROR(INDEX('Detalles movimientos'!N$5:N$1004, MATCH(38, 'Detalles movimientos'!$V$5:$V$1004, 0)), "")</f>
        <v/>
      </c>
      <c r="K47" s="20" t="str">
        <f>IFERROR(INDEX('Detalles movimientos'!O$5:O$1004, MATCH(38, 'Detalles movimientos'!$V$5:$V$1004, 0)), "")</f>
        <v/>
      </c>
      <c r="L47" s="18" t="str">
        <f>IFERROR(INDEX('Detalles movimientos'!P$5:P$1004, MATCH(38, 'Detalles movimientos'!$V$5:$V$1004, 0)), "")</f>
        <v/>
      </c>
      <c r="M47" s="18" t="str">
        <f>IFERROR(INDEX('Detalles movimientos'!S$5:S$1004, MATCH(38, 'Detalles movimientos'!$V$5:$V$1004, 0)), "")</f>
        <v/>
      </c>
    </row>
    <row r="48" spans="2:13">
      <c r="B48" s="17" t="str">
        <f>IFERROR(INDEX('Detalles movimientos'!C$5:C$1004, MATCH(39, 'Detalles movimientos'!$V$5:$V$1004, 0)), "")</f>
        <v/>
      </c>
      <c r="C48" s="18" t="str">
        <f>IFERROR(INDEX('Detalles movimientos'!D$5:D$1004, MATCH(39, 'Detalles movimientos'!$V$5:$V$1004, 0)), "")</f>
        <v/>
      </c>
      <c r="D48" s="19" t="str">
        <f>IFERROR(INDEX('Detalles movimientos'!E$5:E$1004, MATCH(39, 'Detalles movimientos'!$V$5:$V$1004, 0)), "")</f>
        <v/>
      </c>
      <c r="E48" s="19" t="str">
        <f>IFERROR(INDEX('Detalles movimientos'!F$5:F$1004, MATCH(39, 'Detalles movimientos'!$V$5:$V$1004, 0)), "")</f>
        <v/>
      </c>
      <c r="F48" s="18" t="str">
        <f>IFERROR(INDEX('Detalles movimientos'!G$5:G$1004, MATCH(39, 'Detalles movimientos'!$V$5:$V$1004, 0)), "")</f>
        <v/>
      </c>
      <c r="G48" s="20" t="str">
        <f>IFERROR(INDEX('Detalles movimientos'!H$5:H$1004, MATCH(39, 'Detalles movimientos'!$V$5:$V$1004, 0)), "")</f>
        <v/>
      </c>
      <c r="H48" s="21" t="str">
        <f>IFERROR(INDEX('Detalles movimientos'!I$5:I$1004, MATCH(39, 'Detalles movimientos'!$V$5:$V$1004, 0)), "")</f>
        <v/>
      </c>
      <c r="I48" s="20" t="str">
        <f>IFERROR(INDEX('Detalles movimientos'!M$5:M$1004, MATCH(39, 'Detalles movimientos'!$V$5:$V$1004, 0)), "")</f>
        <v/>
      </c>
      <c r="J48" s="19" t="str">
        <f>IFERROR(INDEX('Detalles movimientos'!N$5:N$1004, MATCH(39, 'Detalles movimientos'!$V$5:$V$1004, 0)), "")</f>
        <v/>
      </c>
      <c r="K48" s="20" t="str">
        <f>IFERROR(INDEX('Detalles movimientos'!O$5:O$1004, MATCH(39, 'Detalles movimientos'!$V$5:$V$1004, 0)), "")</f>
        <v/>
      </c>
      <c r="L48" s="18" t="str">
        <f>IFERROR(INDEX('Detalles movimientos'!P$5:P$1004, MATCH(39, 'Detalles movimientos'!$V$5:$V$1004, 0)), "")</f>
        <v/>
      </c>
      <c r="M48" s="18" t="str">
        <f>IFERROR(INDEX('Detalles movimientos'!S$5:S$1004, MATCH(39, 'Detalles movimientos'!$V$5:$V$1004, 0)), "")</f>
        <v/>
      </c>
    </row>
    <row r="49" spans="2:13">
      <c r="B49" s="17" t="str">
        <f>IFERROR(INDEX('Detalles movimientos'!C$5:C$1004, MATCH(40, 'Detalles movimientos'!$V$5:$V$1004, 0)), "")</f>
        <v/>
      </c>
      <c r="C49" s="18" t="str">
        <f>IFERROR(INDEX('Detalles movimientos'!D$5:D$1004, MATCH(40, 'Detalles movimientos'!$V$5:$V$1004, 0)), "")</f>
        <v/>
      </c>
      <c r="D49" s="19" t="str">
        <f>IFERROR(INDEX('Detalles movimientos'!E$5:E$1004, MATCH(40, 'Detalles movimientos'!$V$5:$V$1004, 0)), "")</f>
        <v/>
      </c>
      <c r="E49" s="19" t="str">
        <f>IFERROR(INDEX('Detalles movimientos'!F$5:F$1004, MATCH(40, 'Detalles movimientos'!$V$5:$V$1004, 0)), "")</f>
        <v/>
      </c>
      <c r="F49" s="18" t="str">
        <f>IFERROR(INDEX('Detalles movimientos'!G$5:G$1004, MATCH(40, 'Detalles movimientos'!$V$5:$V$1004, 0)), "")</f>
        <v/>
      </c>
      <c r="G49" s="20" t="str">
        <f>IFERROR(INDEX('Detalles movimientos'!H$5:H$1004, MATCH(40, 'Detalles movimientos'!$V$5:$V$1004, 0)), "")</f>
        <v/>
      </c>
      <c r="H49" s="21" t="str">
        <f>IFERROR(INDEX('Detalles movimientos'!I$5:I$1004, MATCH(40, 'Detalles movimientos'!$V$5:$V$1004, 0)), "")</f>
        <v/>
      </c>
      <c r="I49" s="20" t="str">
        <f>IFERROR(INDEX('Detalles movimientos'!M$5:M$1004, MATCH(40, 'Detalles movimientos'!$V$5:$V$1004, 0)), "")</f>
        <v/>
      </c>
      <c r="J49" s="19" t="str">
        <f>IFERROR(INDEX('Detalles movimientos'!N$5:N$1004, MATCH(40, 'Detalles movimientos'!$V$5:$V$1004, 0)), "")</f>
        <v/>
      </c>
      <c r="K49" s="20" t="str">
        <f>IFERROR(INDEX('Detalles movimientos'!O$5:O$1004, MATCH(40, 'Detalles movimientos'!$V$5:$V$1004, 0)), "")</f>
        <v/>
      </c>
      <c r="L49" s="18" t="str">
        <f>IFERROR(INDEX('Detalles movimientos'!P$5:P$1004, MATCH(40, 'Detalles movimientos'!$V$5:$V$1004, 0)), "")</f>
        <v/>
      </c>
      <c r="M49" s="18" t="str">
        <f>IFERROR(INDEX('Detalles movimientos'!S$5:S$1004, MATCH(40, 'Detalles movimientos'!$V$5:$V$1004, 0)), "")</f>
        <v/>
      </c>
    </row>
    <row r="50" spans="2:13">
      <c r="B50" s="17" t="str">
        <f>IFERROR(INDEX('Detalles movimientos'!C$5:C$1004, MATCH(41, 'Detalles movimientos'!$V$5:$V$1004, 0)), "")</f>
        <v/>
      </c>
      <c r="C50" s="18" t="str">
        <f>IFERROR(INDEX('Detalles movimientos'!D$5:D$1004, MATCH(41, 'Detalles movimientos'!$V$5:$V$1004, 0)), "")</f>
        <v/>
      </c>
      <c r="D50" s="19" t="str">
        <f>IFERROR(INDEX('Detalles movimientos'!E$5:E$1004, MATCH(41, 'Detalles movimientos'!$V$5:$V$1004, 0)), "")</f>
        <v/>
      </c>
      <c r="E50" s="19" t="str">
        <f>IFERROR(INDEX('Detalles movimientos'!F$5:F$1004, MATCH(41, 'Detalles movimientos'!$V$5:$V$1004, 0)), "")</f>
        <v/>
      </c>
      <c r="F50" s="18" t="str">
        <f>IFERROR(INDEX('Detalles movimientos'!G$5:G$1004, MATCH(41, 'Detalles movimientos'!$V$5:$V$1004, 0)), "")</f>
        <v/>
      </c>
      <c r="G50" s="20" t="str">
        <f>IFERROR(INDEX('Detalles movimientos'!H$5:H$1004, MATCH(41, 'Detalles movimientos'!$V$5:$V$1004, 0)), "")</f>
        <v/>
      </c>
      <c r="H50" s="21" t="str">
        <f>IFERROR(INDEX('Detalles movimientos'!I$5:I$1004, MATCH(41, 'Detalles movimientos'!$V$5:$V$1004, 0)), "")</f>
        <v/>
      </c>
      <c r="I50" s="20" t="str">
        <f>IFERROR(INDEX('Detalles movimientos'!M$5:M$1004, MATCH(41, 'Detalles movimientos'!$V$5:$V$1004, 0)), "")</f>
        <v/>
      </c>
      <c r="J50" s="19" t="str">
        <f>IFERROR(INDEX('Detalles movimientos'!N$5:N$1004, MATCH(41, 'Detalles movimientos'!$V$5:$V$1004, 0)), "")</f>
        <v/>
      </c>
      <c r="K50" s="20" t="str">
        <f>IFERROR(INDEX('Detalles movimientos'!O$5:O$1004, MATCH(41, 'Detalles movimientos'!$V$5:$V$1004, 0)), "")</f>
        <v/>
      </c>
      <c r="L50" s="18" t="str">
        <f>IFERROR(INDEX('Detalles movimientos'!P$5:P$1004, MATCH(41, 'Detalles movimientos'!$V$5:$V$1004, 0)), "")</f>
        <v/>
      </c>
      <c r="M50" s="18" t="str">
        <f>IFERROR(INDEX('Detalles movimientos'!S$5:S$1004, MATCH(41, 'Detalles movimientos'!$V$5:$V$1004, 0)), "")</f>
        <v/>
      </c>
    </row>
    <row r="51" spans="2:13">
      <c r="B51" s="17" t="str">
        <f>IFERROR(INDEX('Detalles movimientos'!C$5:C$1004, MATCH(42, 'Detalles movimientos'!$V$5:$V$1004, 0)), "")</f>
        <v/>
      </c>
      <c r="C51" s="18" t="str">
        <f>IFERROR(INDEX('Detalles movimientos'!D$5:D$1004, MATCH(42, 'Detalles movimientos'!$V$5:$V$1004, 0)), "")</f>
        <v/>
      </c>
      <c r="D51" s="19" t="str">
        <f>IFERROR(INDEX('Detalles movimientos'!E$5:E$1004, MATCH(42, 'Detalles movimientos'!$V$5:$V$1004, 0)), "")</f>
        <v/>
      </c>
      <c r="E51" s="19" t="str">
        <f>IFERROR(INDEX('Detalles movimientos'!F$5:F$1004, MATCH(42, 'Detalles movimientos'!$V$5:$V$1004, 0)), "")</f>
        <v/>
      </c>
      <c r="F51" s="18" t="str">
        <f>IFERROR(INDEX('Detalles movimientos'!G$5:G$1004, MATCH(42, 'Detalles movimientos'!$V$5:$V$1004, 0)), "")</f>
        <v/>
      </c>
      <c r="G51" s="20" t="str">
        <f>IFERROR(INDEX('Detalles movimientos'!H$5:H$1004, MATCH(42, 'Detalles movimientos'!$V$5:$V$1004, 0)), "")</f>
        <v/>
      </c>
      <c r="H51" s="21" t="str">
        <f>IFERROR(INDEX('Detalles movimientos'!I$5:I$1004, MATCH(42, 'Detalles movimientos'!$V$5:$V$1004, 0)), "")</f>
        <v/>
      </c>
      <c r="I51" s="20" t="str">
        <f>IFERROR(INDEX('Detalles movimientos'!M$5:M$1004, MATCH(42, 'Detalles movimientos'!$V$5:$V$1004, 0)), "")</f>
        <v/>
      </c>
      <c r="J51" s="19" t="str">
        <f>IFERROR(INDEX('Detalles movimientos'!N$5:N$1004, MATCH(42, 'Detalles movimientos'!$V$5:$V$1004, 0)), "")</f>
        <v/>
      </c>
      <c r="K51" s="20" t="str">
        <f>IFERROR(INDEX('Detalles movimientos'!O$5:O$1004, MATCH(42, 'Detalles movimientos'!$V$5:$V$1004, 0)), "")</f>
        <v/>
      </c>
      <c r="L51" s="18" t="str">
        <f>IFERROR(INDEX('Detalles movimientos'!P$5:P$1004, MATCH(42, 'Detalles movimientos'!$V$5:$V$1004, 0)), "")</f>
        <v/>
      </c>
      <c r="M51" s="18" t="str">
        <f>IFERROR(INDEX('Detalles movimientos'!S$5:S$1004, MATCH(42, 'Detalles movimientos'!$V$5:$V$1004, 0)), "")</f>
        <v/>
      </c>
    </row>
    <row r="52" spans="2:13">
      <c r="B52" s="17" t="str">
        <f>IFERROR(INDEX('Detalles movimientos'!C$5:C$1004, MATCH(43, 'Detalles movimientos'!$V$5:$V$1004, 0)), "")</f>
        <v/>
      </c>
      <c r="C52" s="18" t="str">
        <f>IFERROR(INDEX('Detalles movimientos'!D$5:D$1004, MATCH(43, 'Detalles movimientos'!$V$5:$V$1004, 0)), "")</f>
        <v/>
      </c>
      <c r="D52" s="19" t="str">
        <f>IFERROR(INDEX('Detalles movimientos'!E$5:E$1004, MATCH(43, 'Detalles movimientos'!$V$5:$V$1004, 0)), "")</f>
        <v/>
      </c>
      <c r="E52" s="19" t="str">
        <f>IFERROR(INDEX('Detalles movimientos'!F$5:F$1004, MATCH(43, 'Detalles movimientos'!$V$5:$V$1004, 0)), "")</f>
        <v/>
      </c>
      <c r="F52" s="18" t="str">
        <f>IFERROR(INDEX('Detalles movimientos'!G$5:G$1004, MATCH(43, 'Detalles movimientos'!$V$5:$V$1004, 0)), "")</f>
        <v/>
      </c>
      <c r="G52" s="20" t="str">
        <f>IFERROR(INDEX('Detalles movimientos'!H$5:H$1004, MATCH(43, 'Detalles movimientos'!$V$5:$V$1004, 0)), "")</f>
        <v/>
      </c>
      <c r="H52" s="21" t="str">
        <f>IFERROR(INDEX('Detalles movimientos'!I$5:I$1004, MATCH(43, 'Detalles movimientos'!$V$5:$V$1004, 0)), "")</f>
        <v/>
      </c>
      <c r="I52" s="20" t="str">
        <f>IFERROR(INDEX('Detalles movimientos'!M$5:M$1004, MATCH(43, 'Detalles movimientos'!$V$5:$V$1004, 0)), "")</f>
        <v/>
      </c>
      <c r="J52" s="19" t="str">
        <f>IFERROR(INDEX('Detalles movimientos'!N$5:N$1004, MATCH(43, 'Detalles movimientos'!$V$5:$V$1004, 0)), "")</f>
        <v/>
      </c>
      <c r="K52" s="20" t="str">
        <f>IFERROR(INDEX('Detalles movimientos'!O$5:O$1004, MATCH(43, 'Detalles movimientos'!$V$5:$V$1004, 0)), "")</f>
        <v/>
      </c>
      <c r="L52" s="18" t="str">
        <f>IFERROR(INDEX('Detalles movimientos'!P$5:P$1004, MATCH(43, 'Detalles movimientos'!$V$5:$V$1004, 0)), "")</f>
        <v/>
      </c>
      <c r="M52" s="18" t="str">
        <f>IFERROR(INDEX('Detalles movimientos'!S$5:S$1004, MATCH(43, 'Detalles movimientos'!$V$5:$V$1004, 0)), "")</f>
        <v/>
      </c>
    </row>
    <row r="53" spans="2:13">
      <c r="B53" s="17" t="str">
        <f>IFERROR(INDEX('Detalles movimientos'!C$5:C$1004, MATCH(44, 'Detalles movimientos'!$V$5:$V$1004, 0)), "")</f>
        <v/>
      </c>
      <c r="C53" s="18" t="str">
        <f>IFERROR(INDEX('Detalles movimientos'!D$5:D$1004, MATCH(44, 'Detalles movimientos'!$V$5:$V$1004, 0)), "")</f>
        <v/>
      </c>
      <c r="D53" s="19" t="str">
        <f>IFERROR(INDEX('Detalles movimientos'!E$5:E$1004, MATCH(44, 'Detalles movimientos'!$V$5:$V$1004, 0)), "")</f>
        <v/>
      </c>
      <c r="E53" s="19" t="str">
        <f>IFERROR(INDEX('Detalles movimientos'!F$5:F$1004, MATCH(44, 'Detalles movimientos'!$V$5:$V$1004, 0)), "")</f>
        <v/>
      </c>
      <c r="F53" s="18" t="str">
        <f>IFERROR(INDEX('Detalles movimientos'!G$5:G$1004, MATCH(44, 'Detalles movimientos'!$V$5:$V$1004, 0)), "")</f>
        <v/>
      </c>
      <c r="G53" s="20" t="str">
        <f>IFERROR(INDEX('Detalles movimientos'!H$5:H$1004, MATCH(44, 'Detalles movimientos'!$V$5:$V$1004, 0)), "")</f>
        <v/>
      </c>
      <c r="H53" s="21" t="str">
        <f>IFERROR(INDEX('Detalles movimientos'!I$5:I$1004, MATCH(44, 'Detalles movimientos'!$V$5:$V$1004, 0)), "")</f>
        <v/>
      </c>
      <c r="I53" s="20" t="str">
        <f>IFERROR(INDEX('Detalles movimientos'!M$5:M$1004, MATCH(44, 'Detalles movimientos'!$V$5:$V$1004, 0)), "")</f>
        <v/>
      </c>
      <c r="J53" s="19" t="str">
        <f>IFERROR(INDEX('Detalles movimientos'!N$5:N$1004, MATCH(44, 'Detalles movimientos'!$V$5:$V$1004, 0)), "")</f>
        <v/>
      </c>
      <c r="K53" s="20" t="str">
        <f>IFERROR(INDEX('Detalles movimientos'!O$5:O$1004, MATCH(44, 'Detalles movimientos'!$V$5:$V$1004, 0)), "")</f>
        <v/>
      </c>
      <c r="L53" s="18" t="str">
        <f>IFERROR(INDEX('Detalles movimientos'!P$5:P$1004, MATCH(44, 'Detalles movimientos'!$V$5:$V$1004, 0)), "")</f>
        <v/>
      </c>
      <c r="M53" s="18" t="str">
        <f>IFERROR(INDEX('Detalles movimientos'!S$5:S$1004, MATCH(44, 'Detalles movimientos'!$V$5:$V$1004, 0)), "")</f>
        <v/>
      </c>
    </row>
    <row r="54" spans="2:13">
      <c r="B54" s="17" t="str">
        <f>IFERROR(INDEX('Detalles movimientos'!C$5:C$1004, MATCH(45, 'Detalles movimientos'!$V$5:$V$1004, 0)), "")</f>
        <v/>
      </c>
      <c r="C54" s="18" t="str">
        <f>IFERROR(INDEX('Detalles movimientos'!D$5:D$1004, MATCH(45, 'Detalles movimientos'!$V$5:$V$1004, 0)), "")</f>
        <v/>
      </c>
      <c r="D54" s="19" t="str">
        <f>IFERROR(INDEX('Detalles movimientos'!E$5:E$1004, MATCH(45, 'Detalles movimientos'!$V$5:$V$1004, 0)), "")</f>
        <v/>
      </c>
      <c r="E54" s="19" t="str">
        <f>IFERROR(INDEX('Detalles movimientos'!F$5:F$1004, MATCH(45, 'Detalles movimientos'!$V$5:$V$1004, 0)), "")</f>
        <v/>
      </c>
      <c r="F54" s="18" t="str">
        <f>IFERROR(INDEX('Detalles movimientos'!G$5:G$1004, MATCH(45, 'Detalles movimientos'!$V$5:$V$1004, 0)), "")</f>
        <v/>
      </c>
      <c r="G54" s="20" t="str">
        <f>IFERROR(INDEX('Detalles movimientos'!H$5:H$1004, MATCH(45, 'Detalles movimientos'!$V$5:$V$1004, 0)), "")</f>
        <v/>
      </c>
      <c r="H54" s="21" t="str">
        <f>IFERROR(INDEX('Detalles movimientos'!I$5:I$1004, MATCH(45, 'Detalles movimientos'!$V$5:$V$1004, 0)), "")</f>
        <v/>
      </c>
      <c r="I54" s="20" t="str">
        <f>IFERROR(INDEX('Detalles movimientos'!M$5:M$1004, MATCH(45, 'Detalles movimientos'!$V$5:$V$1004, 0)), "")</f>
        <v/>
      </c>
      <c r="J54" s="19" t="str">
        <f>IFERROR(INDEX('Detalles movimientos'!N$5:N$1004, MATCH(45, 'Detalles movimientos'!$V$5:$V$1004, 0)), "")</f>
        <v/>
      </c>
      <c r="K54" s="20" t="str">
        <f>IFERROR(INDEX('Detalles movimientos'!O$5:O$1004, MATCH(45, 'Detalles movimientos'!$V$5:$V$1004, 0)), "")</f>
        <v/>
      </c>
      <c r="L54" s="18" t="str">
        <f>IFERROR(INDEX('Detalles movimientos'!P$5:P$1004, MATCH(45, 'Detalles movimientos'!$V$5:$V$1004, 0)), "")</f>
        <v/>
      </c>
      <c r="M54" s="18" t="str">
        <f>IFERROR(INDEX('Detalles movimientos'!S$5:S$1004, MATCH(45, 'Detalles movimientos'!$V$5:$V$1004, 0)), "")</f>
        <v/>
      </c>
    </row>
    <row r="55" spans="2:13">
      <c r="B55" s="17" t="str">
        <f>IFERROR(INDEX('Detalles movimientos'!C$5:C$1004, MATCH(46, 'Detalles movimientos'!$V$5:$V$1004, 0)), "")</f>
        <v/>
      </c>
      <c r="C55" s="18" t="str">
        <f>IFERROR(INDEX('Detalles movimientos'!D$5:D$1004, MATCH(46, 'Detalles movimientos'!$V$5:$V$1004, 0)), "")</f>
        <v/>
      </c>
      <c r="D55" s="19" t="str">
        <f>IFERROR(INDEX('Detalles movimientos'!E$5:E$1004, MATCH(46, 'Detalles movimientos'!$V$5:$V$1004, 0)), "")</f>
        <v/>
      </c>
      <c r="E55" s="19" t="str">
        <f>IFERROR(INDEX('Detalles movimientos'!F$5:F$1004, MATCH(46, 'Detalles movimientos'!$V$5:$V$1004, 0)), "")</f>
        <v/>
      </c>
      <c r="F55" s="18" t="str">
        <f>IFERROR(INDEX('Detalles movimientos'!G$5:G$1004, MATCH(46, 'Detalles movimientos'!$V$5:$V$1004, 0)), "")</f>
        <v/>
      </c>
      <c r="G55" s="20" t="str">
        <f>IFERROR(INDEX('Detalles movimientos'!H$5:H$1004, MATCH(46, 'Detalles movimientos'!$V$5:$V$1004, 0)), "")</f>
        <v/>
      </c>
      <c r="H55" s="21" t="str">
        <f>IFERROR(INDEX('Detalles movimientos'!I$5:I$1004, MATCH(46, 'Detalles movimientos'!$V$5:$V$1004, 0)), "")</f>
        <v/>
      </c>
      <c r="I55" s="20" t="str">
        <f>IFERROR(INDEX('Detalles movimientos'!M$5:M$1004, MATCH(46, 'Detalles movimientos'!$V$5:$V$1004, 0)), "")</f>
        <v/>
      </c>
      <c r="J55" s="19" t="str">
        <f>IFERROR(INDEX('Detalles movimientos'!N$5:N$1004, MATCH(46, 'Detalles movimientos'!$V$5:$V$1004, 0)), "")</f>
        <v/>
      </c>
      <c r="K55" s="20" t="str">
        <f>IFERROR(INDEX('Detalles movimientos'!O$5:O$1004, MATCH(46, 'Detalles movimientos'!$V$5:$V$1004, 0)), "")</f>
        <v/>
      </c>
      <c r="L55" s="18" t="str">
        <f>IFERROR(INDEX('Detalles movimientos'!P$5:P$1004, MATCH(46, 'Detalles movimientos'!$V$5:$V$1004, 0)), "")</f>
        <v/>
      </c>
      <c r="M55" s="18" t="str">
        <f>IFERROR(INDEX('Detalles movimientos'!S$5:S$1004, MATCH(46, 'Detalles movimientos'!$V$5:$V$1004, 0)), "")</f>
        <v/>
      </c>
    </row>
    <row r="56" spans="2:13">
      <c r="B56" s="17" t="str">
        <f>IFERROR(INDEX('Detalles movimientos'!C$5:C$1004, MATCH(47, 'Detalles movimientos'!$V$5:$V$1004, 0)), "")</f>
        <v/>
      </c>
      <c r="C56" s="18" t="str">
        <f>IFERROR(INDEX('Detalles movimientos'!D$5:D$1004, MATCH(47, 'Detalles movimientos'!$V$5:$V$1004, 0)), "")</f>
        <v/>
      </c>
      <c r="D56" s="19" t="str">
        <f>IFERROR(INDEX('Detalles movimientos'!E$5:E$1004, MATCH(47, 'Detalles movimientos'!$V$5:$V$1004, 0)), "")</f>
        <v/>
      </c>
      <c r="E56" s="19" t="str">
        <f>IFERROR(INDEX('Detalles movimientos'!F$5:F$1004, MATCH(47, 'Detalles movimientos'!$V$5:$V$1004, 0)), "")</f>
        <v/>
      </c>
      <c r="F56" s="18" t="str">
        <f>IFERROR(INDEX('Detalles movimientos'!G$5:G$1004, MATCH(47, 'Detalles movimientos'!$V$5:$V$1004, 0)), "")</f>
        <v/>
      </c>
      <c r="G56" s="20" t="str">
        <f>IFERROR(INDEX('Detalles movimientos'!H$5:H$1004, MATCH(47, 'Detalles movimientos'!$V$5:$V$1004, 0)), "")</f>
        <v/>
      </c>
      <c r="H56" s="21" t="str">
        <f>IFERROR(INDEX('Detalles movimientos'!I$5:I$1004, MATCH(47, 'Detalles movimientos'!$V$5:$V$1004, 0)), "")</f>
        <v/>
      </c>
      <c r="I56" s="20" t="str">
        <f>IFERROR(INDEX('Detalles movimientos'!M$5:M$1004, MATCH(47, 'Detalles movimientos'!$V$5:$V$1004, 0)), "")</f>
        <v/>
      </c>
      <c r="J56" s="19" t="str">
        <f>IFERROR(INDEX('Detalles movimientos'!N$5:N$1004, MATCH(47, 'Detalles movimientos'!$V$5:$V$1004, 0)), "")</f>
        <v/>
      </c>
      <c r="K56" s="20" t="str">
        <f>IFERROR(INDEX('Detalles movimientos'!O$5:O$1004, MATCH(47, 'Detalles movimientos'!$V$5:$V$1004, 0)), "")</f>
        <v/>
      </c>
      <c r="L56" s="18" t="str">
        <f>IFERROR(INDEX('Detalles movimientos'!P$5:P$1004, MATCH(47, 'Detalles movimientos'!$V$5:$V$1004, 0)), "")</f>
        <v/>
      </c>
      <c r="M56" s="18" t="str">
        <f>IFERROR(INDEX('Detalles movimientos'!S$5:S$1004, MATCH(47, 'Detalles movimientos'!$V$5:$V$1004, 0)), "")</f>
        <v/>
      </c>
    </row>
    <row r="57" spans="2:13">
      <c r="B57" s="17" t="str">
        <f>IFERROR(INDEX('Detalles movimientos'!C$5:C$1004, MATCH(48, 'Detalles movimientos'!$V$5:$V$1004, 0)), "")</f>
        <v/>
      </c>
      <c r="C57" s="18" t="str">
        <f>IFERROR(INDEX('Detalles movimientos'!D$5:D$1004, MATCH(48, 'Detalles movimientos'!$V$5:$V$1004, 0)), "")</f>
        <v/>
      </c>
      <c r="D57" s="19" t="str">
        <f>IFERROR(INDEX('Detalles movimientos'!E$5:E$1004, MATCH(48, 'Detalles movimientos'!$V$5:$V$1004, 0)), "")</f>
        <v/>
      </c>
      <c r="E57" s="19" t="str">
        <f>IFERROR(INDEX('Detalles movimientos'!F$5:F$1004, MATCH(48, 'Detalles movimientos'!$V$5:$V$1004, 0)), "")</f>
        <v/>
      </c>
      <c r="F57" s="18" t="str">
        <f>IFERROR(INDEX('Detalles movimientos'!G$5:G$1004, MATCH(48, 'Detalles movimientos'!$V$5:$V$1004, 0)), "")</f>
        <v/>
      </c>
      <c r="G57" s="20" t="str">
        <f>IFERROR(INDEX('Detalles movimientos'!H$5:H$1004, MATCH(48, 'Detalles movimientos'!$V$5:$V$1004, 0)), "")</f>
        <v/>
      </c>
      <c r="H57" s="21" t="str">
        <f>IFERROR(INDEX('Detalles movimientos'!I$5:I$1004, MATCH(48, 'Detalles movimientos'!$V$5:$V$1004, 0)), "")</f>
        <v/>
      </c>
      <c r="I57" s="20" t="str">
        <f>IFERROR(INDEX('Detalles movimientos'!M$5:M$1004, MATCH(48, 'Detalles movimientos'!$V$5:$V$1004, 0)), "")</f>
        <v/>
      </c>
      <c r="J57" s="19" t="str">
        <f>IFERROR(INDEX('Detalles movimientos'!N$5:N$1004, MATCH(48, 'Detalles movimientos'!$V$5:$V$1004, 0)), "")</f>
        <v/>
      </c>
      <c r="K57" s="20" t="str">
        <f>IFERROR(INDEX('Detalles movimientos'!O$5:O$1004, MATCH(48, 'Detalles movimientos'!$V$5:$V$1004, 0)), "")</f>
        <v/>
      </c>
      <c r="L57" s="18" t="str">
        <f>IFERROR(INDEX('Detalles movimientos'!P$5:P$1004, MATCH(48, 'Detalles movimientos'!$V$5:$V$1004, 0)), "")</f>
        <v/>
      </c>
      <c r="M57" s="18" t="str">
        <f>IFERROR(INDEX('Detalles movimientos'!S$5:S$1004, MATCH(48, 'Detalles movimientos'!$V$5:$V$1004, 0)), "")</f>
        <v/>
      </c>
    </row>
    <row r="58" spans="2:13">
      <c r="B58" s="17" t="str">
        <f>IFERROR(INDEX('Detalles movimientos'!C$5:C$1004, MATCH(49, 'Detalles movimientos'!$V$5:$V$1004, 0)), "")</f>
        <v/>
      </c>
      <c r="C58" s="18" t="str">
        <f>IFERROR(INDEX('Detalles movimientos'!D$5:D$1004, MATCH(49, 'Detalles movimientos'!$V$5:$V$1004, 0)), "")</f>
        <v/>
      </c>
      <c r="D58" s="19" t="str">
        <f>IFERROR(INDEX('Detalles movimientos'!E$5:E$1004, MATCH(49, 'Detalles movimientos'!$V$5:$V$1004, 0)), "")</f>
        <v/>
      </c>
      <c r="E58" s="19" t="str">
        <f>IFERROR(INDEX('Detalles movimientos'!F$5:F$1004, MATCH(49, 'Detalles movimientos'!$V$5:$V$1004, 0)), "")</f>
        <v/>
      </c>
      <c r="F58" s="18" t="str">
        <f>IFERROR(INDEX('Detalles movimientos'!G$5:G$1004, MATCH(49, 'Detalles movimientos'!$V$5:$V$1004, 0)), "")</f>
        <v/>
      </c>
      <c r="G58" s="20" t="str">
        <f>IFERROR(INDEX('Detalles movimientos'!H$5:H$1004, MATCH(49, 'Detalles movimientos'!$V$5:$V$1004, 0)), "")</f>
        <v/>
      </c>
      <c r="H58" s="21" t="str">
        <f>IFERROR(INDEX('Detalles movimientos'!I$5:I$1004, MATCH(49, 'Detalles movimientos'!$V$5:$V$1004, 0)), "")</f>
        <v/>
      </c>
      <c r="I58" s="20" t="str">
        <f>IFERROR(INDEX('Detalles movimientos'!M$5:M$1004, MATCH(49, 'Detalles movimientos'!$V$5:$V$1004, 0)), "")</f>
        <v/>
      </c>
      <c r="J58" s="19" t="str">
        <f>IFERROR(INDEX('Detalles movimientos'!N$5:N$1004, MATCH(49, 'Detalles movimientos'!$V$5:$V$1004, 0)), "")</f>
        <v/>
      </c>
      <c r="K58" s="20" t="str">
        <f>IFERROR(INDEX('Detalles movimientos'!O$5:O$1004, MATCH(49, 'Detalles movimientos'!$V$5:$V$1004, 0)), "")</f>
        <v/>
      </c>
      <c r="L58" s="18" t="str">
        <f>IFERROR(INDEX('Detalles movimientos'!P$5:P$1004, MATCH(49, 'Detalles movimientos'!$V$5:$V$1004, 0)), "")</f>
        <v/>
      </c>
      <c r="M58" s="18" t="str">
        <f>IFERROR(INDEX('Detalles movimientos'!S$5:S$1004, MATCH(49, 'Detalles movimientos'!$V$5:$V$1004, 0)), "")</f>
        <v/>
      </c>
    </row>
    <row r="59" spans="2:13">
      <c r="B59" s="17" t="str">
        <f>IFERROR(INDEX('Detalles movimientos'!C$5:C$1004, MATCH(50, 'Detalles movimientos'!$V$5:$V$1004, 0)), "")</f>
        <v/>
      </c>
      <c r="C59" s="18" t="str">
        <f>IFERROR(INDEX('Detalles movimientos'!D$5:D$1004, MATCH(50, 'Detalles movimientos'!$V$5:$V$1004, 0)), "")</f>
        <v/>
      </c>
      <c r="D59" s="19" t="str">
        <f>IFERROR(INDEX('Detalles movimientos'!E$5:E$1004, MATCH(50, 'Detalles movimientos'!$V$5:$V$1004, 0)), "")</f>
        <v/>
      </c>
      <c r="E59" s="19" t="str">
        <f>IFERROR(INDEX('Detalles movimientos'!F$5:F$1004, MATCH(50, 'Detalles movimientos'!$V$5:$V$1004, 0)), "")</f>
        <v/>
      </c>
      <c r="F59" s="18" t="str">
        <f>IFERROR(INDEX('Detalles movimientos'!G$5:G$1004, MATCH(50, 'Detalles movimientos'!$V$5:$V$1004, 0)), "")</f>
        <v/>
      </c>
      <c r="G59" s="20" t="str">
        <f>IFERROR(INDEX('Detalles movimientos'!H$5:H$1004, MATCH(50, 'Detalles movimientos'!$V$5:$V$1004, 0)), "")</f>
        <v/>
      </c>
      <c r="H59" s="21" t="str">
        <f>IFERROR(INDEX('Detalles movimientos'!I$5:I$1004, MATCH(50, 'Detalles movimientos'!$V$5:$V$1004, 0)), "")</f>
        <v/>
      </c>
      <c r="I59" s="20" t="str">
        <f>IFERROR(INDEX('Detalles movimientos'!M$5:M$1004, MATCH(50, 'Detalles movimientos'!$V$5:$V$1004, 0)), "")</f>
        <v/>
      </c>
      <c r="J59" s="19" t="str">
        <f>IFERROR(INDEX('Detalles movimientos'!N$5:N$1004, MATCH(50, 'Detalles movimientos'!$V$5:$V$1004, 0)), "")</f>
        <v/>
      </c>
      <c r="K59" s="20" t="str">
        <f>IFERROR(INDEX('Detalles movimientos'!O$5:O$1004, MATCH(50, 'Detalles movimientos'!$V$5:$V$1004, 0)), "")</f>
        <v/>
      </c>
      <c r="L59" s="18" t="str">
        <f>IFERROR(INDEX('Detalles movimientos'!P$5:P$1004, MATCH(50, 'Detalles movimientos'!$V$5:$V$1004, 0)), "")</f>
        <v/>
      </c>
      <c r="M59" s="18" t="str">
        <f>IFERROR(INDEX('Detalles movimientos'!S$5:S$1004, MATCH(50, 'Detalles movimientos'!$V$5:$V$1004, 0)), "")</f>
        <v/>
      </c>
    </row>
    <row r="60" spans="2:13">
      <c r="B60" s="17" t="str">
        <f>IFERROR(INDEX('Detalles movimientos'!C$5:C$1004, MATCH(51, 'Detalles movimientos'!$V$5:$V$1004, 0)), "")</f>
        <v/>
      </c>
      <c r="C60" s="18" t="str">
        <f>IFERROR(INDEX('Detalles movimientos'!D$5:D$1004, MATCH(51, 'Detalles movimientos'!$V$5:$V$1004, 0)), "")</f>
        <v/>
      </c>
      <c r="D60" s="19" t="str">
        <f>IFERROR(INDEX('Detalles movimientos'!E$5:E$1004, MATCH(51, 'Detalles movimientos'!$V$5:$V$1004, 0)), "")</f>
        <v/>
      </c>
      <c r="E60" s="19" t="str">
        <f>IFERROR(INDEX('Detalles movimientos'!F$5:F$1004, MATCH(51, 'Detalles movimientos'!$V$5:$V$1004, 0)), "")</f>
        <v/>
      </c>
      <c r="F60" s="18" t="str">
        <f>IFERROR(INDEX('Detalles movimientos'!G$5:G$1004, MATCH(51, 'Detalles movimientos'!$V$5:$V$1004, 0)), "")</f>
        <v/>
      </c>
      <c r="G60" s="20" t="str">
        <f>IFERROR(INDEX('Detalles movimientos'!H$5:H$1004, MATCH(51, 'Detalles movimientos'!$V$5:$V$1004, 0)), "")</f>
        <v/>
      </c>
      <c r="H60" s="21" t="str">
        <f>IFERROR(INDEX('Detalles movimientos'!I$5:I$1004, MATCH(51, 'Detalles movimientos'!$V$5:$V$1004, 0)), "")</f>
        <v/>
      </c>
      <c r="I60" s="20" t="str">
        <f>IFERROR(INDEX('Detalles movimientos'!M$5:M$1004, MATCH(51, 'Detalles movimientos'!$V$5:$V$1004, 0)), "")</f>
        <v/>
      </c>
      <c r="J60" s="19" t="str">
        <f>IFERROR(INDEX('Detalles movimientos'!N$5:N$1004, MATCH(51, 'Detalles movimientos'!$V$5:$V$1004, 0)), "")</f>
        <v/>
      </c>
      <c r="K60" s="20" t="str">
        <f>IFERROR(INDEX('Detalles movimientos'!O$5:O$1004, MATCH(51, 'Detalles movimientos'!$V$5:$V$1004, 0)), "")</f>
        <v/>
      </c>
      <c r="L60" s="18" t="str">
        <f>IFERROR(INDEX('Detalles movimientos'!P$5:P$1004, MATCH(51, 'Detalles movimientos'!$V$5:$V$1004, 0)), "")</f>
        <v/>
      </c>
      <c r="M60" s="18" t="str">
        <f>IFERROR(INDEX('Detalles movimientos'!S$5:S$1004, MATCH(51, 'Detalles movimientos'!$V$5:$V$1004, 0)), "")</f>
        <v/>
      </c>
    </row>
    <row r="61" spans="2:13">
      <c r="B61" s="17" t="str">
        <f>IFERROR(INDEX('Detalles movimientos'!C$5:C$1004, MATCH(52, 'Detalles movimientos'!$V$5:$V$1004, 0)), "")</f>
        <v/>
      </c>
      <c r="C61" s="18" t="str">
        <f>IFERROR(INDEX('Detalles movimientos'!D$5:D$1004, MATCH(52, 'Detalles movimientos'!$V$5:$V$1004, 0)), "")</f>
        <v/>
      </c>
      <c r="D61" s="19" t="str">
        <f>IFERROR(INDEX('Detalles movimientos'!E$5:E$1004, MATCH(52, 'Detalles movimientos'!$V$5:$V$1004, 0)), "")</f>
        <v/>
      </c>
      <c r="E61" s="19" t="str">
        <f>IFERROR(INDEX('Detalles movimientos'!F$5:F$1004, MATCH(52, 'Detalles movimientos'!$V$5:$V$1004, 0)), "")</f>
        <v/>
      </c>
      <c r="F61" s="18" t="str">
        <f>IFERROR(INDEX('Detalles movimientos'!G$5:G$1004, MATCH(52, 'Detalles movimientos'!$V$5:$V$1004, 0)), "")</f>
        <v/>
      </c>
      <c r="G61" s="20" t="str">
        <f>IFERROR(INDEX('Detalles movimientos'!H$5:H$1004, MATCH(52, 'Detalles movimientos'!$V$5:$V$1004, 0)), "")</f>
        <v/>
      </c>
      <c r="H61" s="21" t="str">
        <f>IFERROR(INDEX('Detalles movimientos'!I$5:I$1004, MATCH(52, 'Detalles movimientos'!$V$5:$V$1004, 0)), "")</f>
        <v/>
      </c>
      <c r="I61" s="20" t="str">
        <f>IFERROR(INDEX('Detalles movimientos'!M$5:M$1004, MATCH(52, 'Detalles movimientos'!$V$5:$V$1004, 0)), "")</f>
        <v/>
      </c>
      <c r="J61" s="19" t="str">
        <f>IFERROR(INDEX('Detalles movimientos'!N$5:N$1004, MATCH(52, 'Detalles movimientos'!$V$5:$V$1004, 0)), "")</f>
        <v/>
      </c>
      <c r="K61" s="20" t="str">
        <f>IFERROR(INDEX('Detalles movimientos'!O$5:O$1004, MATCH(52, 'Detalles movimientos'!$V$5:$V$1004, 0)), "")</f>
        <v/>
      </c>
      <c r="L61" s="18" t="str">
        <f>IFERROR(INDEX('Detalles movimientos'!P$5:P$1004, MATCH(52, 'Detalles movimientos'!$V$5:$V$1004, 0)), "")</f>
        <v/>
      </c>
      <c r="M61" s="18" t="str">
        <f>IFERROR(INDEX('Detalles movimientos'!S$5:S$1004, MATCH(52, 'Detalles movimientos'!$V$5:$V$1004, 0)), "")</f>
        <v/>
      </c>
    </row>
    <row r="62" spans="2:13">
      <c r="B62" s="17" t="str">
        <f>IFERROR(INDEX('Detalles movimientos'!C$5:C$1004, MATCH(53, 'Detalles movimientos'!$V$5:$V$1004, 0)), "")</f>
        <v/>
      </c>
      <c r="C62" s="18" t="str">
        <f>IFERROR(INDEX('Detalles movimientos'!D$5:D$1004, MATCH(53, 'Detalles movimientos'!$V$5:$V$1004, 0)), "")</f>
        <v/>
      </c>
      <c r="D62" s="19" t="str">
        <f>IFERROR(INDEX('Detalles movimientos'!E$5:E$1004, MATCH(53, 'Detalles movimientos'!$V$5:$V$1004, 0)), "")</f>
        <v/>
      </c>
      <c r="E62" s="19" t="str">
        <f>IFERROR(INDEX('Detalles movimientos'!F$5:F$1004, MATCH(53, 'Detalles movimientos'!$V$5:$V$1004, 0)), "")</f>
        <v/>
      </c>
      <c r="F62" s="18" t="str">
        <f>IFERROR(INDEX('Detalles movimientos'!G$5:G$1004, MATCH(53, 'Detalles movimientos'!$V$5:$V$1004, 0)), "")</f>
        <v/>
      </c>
      <c r="G62" s="20" t="str">
        <f>IFERROR(INDEX('Detalles movimientos'!H$5:H$1004, MATCH(53, 'Detalles movimientos'!$V$5:$V$1004, 0)), "")</f>
        <v/>
      </c>
      <c r="H62" s="21" t="str">
        <f>IFERROR(INDEX('Detalles movimientos'!I$5:I$1004, MATCH(53, 'Detalles movimientos'!$V$5:$V$1004, 0)), "")</f>
        <v/>
      </c>
      <c r="I62" s="20" t="str">
        <f>IFERROR(INDEX('Detalles movimientos'!M$5:M$1004, MATCH(53, 'Detalles movimientos'!$V$5:$V$1004, 0)), "")</f>
        <v/>
      </c>
      <c r="J62" s="19" t="str">
        <f>IFERROR(INDEX('Detalles movimientos'!N$5:N$1004, MATCH(53, 'Detalles movimientos'!$V$5:$V$1004, 0)), "")</f>
        <v/>
      </c>
      <c r="K62" s="20" t="str">
        <f>IFERROR(INDEX('Detalles movimientos'!O$5:O$1004, MATCH(53, 'Detalles movimientos'!$V$5:$V$1004, 0)), "")</f>
        <v/>
      </c>
      <c r="L62" s="18" t="str">
        <f>IFERROR(INDEX('Detalles movimientos'!P$5:P$1004, MATCH(53, 'Detalles movimientos'!$V$5:$V$1004, 0)), "")</f>
        <v/>
      </c>
      <c r="M62" s="18" t="str">
        <f>IFERROR(INDEX('Detalles movimientos'!S$5:S$1004, MATCH(53, 'Detalles movimientos'!$V$5:$V$1004, 0)), "")</f>
        <v/>
      </c>
    </row>
    <row r="63" spans="2:13">
      <c r="B63" s="17" t="str">
        <f>IFERROR(INDEX('Detalles movimientos'!C$5:C$1004, MATCH(54, 'Detalles movimientos'!$V$5:$V$1004, 0)), "")</f>
        <v/>
      </c>
      <c r="C63" s="18" t="str">
        <f>IFERROR(INDEX('Detalles movimientos'!D$5:D$1004, MATCH(54, 'Detalles movimientos'!$V$5:$V$1004, 0)), "")</f>
        <v/>
      </c>
      <c r="D63" s="19" t="str">
        <f>IFERROR(INDEX('Detalles movimientos'!E$5:E$1004, MATCH(54, 'Detalles movimientos'!$V$5:$V$1004, 0)), "")</f>
        <v/>
      </c>
      <c r="E63" s="19" t="str">
        <f>IFERROR(INDEX('Detalles movimientos'!F$5:F$1004, MATCH(54, 'Detalles movimientos'!$V$5:$V$1004, 0)), "")</f>
        <v/>
      </c>
      <c r="F63" s="18" t="str">
        <f>IFERROR(INDEX('Detalles movimientos'!G$5:G$1004, MATCH(54, 'Detalles movimientos'!$V$5:$V$1004, 0)), "")</f>
        <v/>
      </c>
      <c r="G63" s="20" t="str">
        <f>IFERROR(INDEX('Detalles movimientos'!H$5:H$1004, MATCH(54, 'Detalles movimientos'!$V$5:$V$1004, 0)), "")</f>
        <v/>
      </c>
      <c r="H63" s="21" t="str">
        <f>IFERROR(INDEX('Detalles movimientos'!I$5:I$1004, MATCH(54, 'Detalles movimientos'!$V$5:$V$1004, 0)), "")</f>
        <v/>
      </c>
      <c r="I63" s="20" t="str">
        <f>IFERROR(INDEX('Detalles movimientos'!M$5:M$1004, MATCH(54, 'Detalles movimientos'!$V$5:$V$1004, 0)), "")</f>
        <v/>
      </c>
      <c r="J63" s="19" t="str">
        <f>IFERROR(INDEX('Detalles movimientos'!N$5:N$1004, MATCH(54, 'Detalles movimientos'!$V$5:$V$1004, 0)), "")</f>
        <v/>
      </c>
      <c r="K63" s="20" t="str">
        <f>IFERROR(INDEX('Detalles movimientos'!O$5:O$1004, MATCH(54, 'Detalles movimientos'!$V$5:$V$1004, 0)), "")</f>
        <v/>
      </c>
      <c r="L63" s="18" t="str">
        <f>IFERROR(INDEX('Detalles movimientos'!P$5:P$1004, MATCH(54, 'Detalles movimientos'!$V$5:$V$1004, 0)), "")</f>
        <v/>
      </c>
      <c r="M63" s="18" t="str">
        <f>IFERROR(INDEX('Detalles movimientos'!S$5:S$1004, MATCH(54, 'Detalles movimientos'!$V$5:$V$1004, 0)), "")</f>
        <v/>
      </c>
    </row>
    <row r="64" spans="2:13">
      <c r="B64" s="17" t="str">
        <f>IFERROR(INDEX('Detalles movimientos'!C$5:C$1004, MATCH(55, 'Detalles movimientos'!$V$5:$V$1004, 0)), "")</f>
        <v/>
      </c>
      <c r="C64" s="18" t="str">
        <f>IFERROR(INDEX('Detalles movimientos'!D$5:D$1004, MATCH(55, 'Detalles movimientos'!$V$5:$V$1004, 0)), "")</f>
        <v/>
      </c>
      <c r="D64" s="19" t="str">
        <f>IFERROR(INDEX('Detalles movimientos'!E$5:E$1004, MATCH(55, 'Detalles movimientos'!$V$5:$V$1004, 0)), "")</f>
        <v/>
      </c>
      <c r="E64" s="19" t="str">
        <f>IFERROR(INDEX('Detalles movimientos'!F$5:F$1004, MATCH(55, 'Detalles movimientos'!$V$5:$V$1004, 0)), "")</f>
        <v/>
      </c>
      <c r="F64" s="18" t="str">
        <f>IFERROR(INDEX('Detalles movimientos'!G$5:G$1004, MATCH(55, 'Detalles movimientos'!$V$5:$V$1004, 0)), "")</f>
        <v/>
      </c>
      <c r="G64" s="20" t="str">
        <f>IFERROR(INDEX('Detalles movimientos'!H$5:H$1004, MATCH(55, 'Detalles movimientos'!$V$5:$V$1004, 0)), "")</f>
        <v/>
      </c>
      <c r="H64" s="21" t="str">
        <f>IFERROR(INDEX('Detalles movimientos'!I$5:I$1004, MATCH(55, 'Detalles movimientos'!$V$5:$V$1004, 0)), "")</f>
        <v/>
      </c>
      <c r="I64" s="20" t="str">
        <f>IFERROR(INDEX('Detalles movimientos'!M$5:M$1004, MATCH(55, 'Detalles movimientos'!$V$5:$V$1004, 0)), "")</f>
        <v/>
      </c>
      <c r="J64" s="19" t="str">
        <f>IFERROR(INDEX('Detalles movimientos'!N$5:N$1004, MATCH(55, 'Detalles movimientos'!$V$5:$V$1004, 0)), "")</f>
        <v/>
      </c>
      <c r="K64" s="20" t="str">
        <f>IFERROR(INDEX('Detalles movimientos'!O$5:O$1004, MATCH(55, 'Detalles movimientos'!$V$5:$V$1004, 0)), "")</f>
        <v/>
      </c>
      <c r="L64" s="18" t="str">
        <f>IFERROR(INDEX('Detalles movimientos'!P$5:P$1004, MATCH(55, 'Detalles movimientos'!$V$5:$V$1004, 0)), "")</f>
        <v/>
      </c>
      <c r="M64" s="18" t="str">
        <f>IFERROR(INDEX('Detalles movimientos'!S$5:S$1004, MATCH(55, 'Detalles movimientos'!$V$5:$V$1004, 0)), "")</f>
        <v/>
      </c>
    </row>
    <row r="65" spans="2:13">
      <c r="B65" s="17" t="str">
        <f>IFERROR(INDEX('Detalles movimientos'!C$5:C$1004, MATCH(56, 'Detalles movimientos'!$V$5:$V$1004, 0)), "")</f>
        <v/>
      </c>
      <c r="C65" s="18" t="str">
        <f>IFERROR(INDEX('Detalles movimientos'!D$5:D$1004, MATCH(56, 'Detalles movimientos'!$V$5:$V$1004, 0)), "")</f>
        <v/>
      </c>
      <c r="D65" s="19" t="str">
        <f>IFERROR(INDEX('Detalles movimientos'!E$5:E$1004, MATCH(56, 'Detalles movimientos'!$V$5:$V$1004, 0)), "")</f>
        <v/>
      </c>
      <c r="E65" s="19" t="str">
        <f>IFERROR(INDEX('Detalles movimientos'!F$5:F$1004, MATCH(56, 'Detalles movimientos'!$V$5:$V$1004, 0)), "")</f>
        <v/>
      </c>
      <c r="F65" s="18" t="str">
        <f>IFERROR(INDEX('Detalles movimientos'!G$5:G$1004, MATCH(56, 'Detalles movimientos'!$V$5:$V$1004, 0)), "")</f>
        <v/>
      </c>
      <c r="G65" s="20" t="str">
        <f>IFERROR(INDEX('Detalles movimientos'!H$5:H$1004, MATCH(56, 'Detalles movimientos'!$V$5:$V$1004, 0)), "")</f>
        <v/>
      </c>
      <c r="H65" s="21" t="str">
        <f>IFERROR(INDEX('Detalles movimientos'!I$5:I$1004, MATCH(56, 'Detalles movimientos'!$V$5:$V$1004, 0)), "")</f>
        <v/>
      </c>
      <c r="I65" s="20" t="str">
        <f>IFERROR(INDEX('Detalles movimientos'!M$5:M$1004, MATCH(56, 'Detalles movimientos'!$V$5:$V$1004, 0)), "")</f>
        <v/>
      </c>
      <c r="J65" s="19" t="str">
        <f>IFERROR(INDEX('Detalles movimientos'!N$5:N$1004, MATCH(56, 'Detalles movimientos'!$V$5:$V$1004, 0)), "")</f>
        <v/>
      </c>
      <c r="K65" s="20" t="str">
        <f>IFERROR(INDEX('Detalles movimientos'!O$5:O$1004, MATCH(56, 'Detalles movimientos'!$V$5:$V$1004, 0)), "")</f>
        <v/>
      </c>
      <c r="L65" s="18" t="str">
        <f>IFERROR(INDEX('Detalles movimientos'!P$5:P$1004, MATCH(56, 'Detalles movimientos'!$V$5:$V$1004, 0)), "")</f>
        <v/>
      </c>
      <c r="M65" s="18" t="str">
        <f>IFERROR(INDEX('Detalles movimientos'!S$5:S$1004, MATCH(56, 'Detalles movimientos'!$V$5:$V$1004, 0)), "")</f>
        <v/>
      </c>
    </row>
    <row r="66" spans="2:13">
      <c r="B66" s="17" t="str">
        <f>IFERROR(INDEX('Detalles movimientos'!C$5:C$1004, MATCH(57, 'Detalles movimientos'!$V$5:$V$1004, 0)), "")</f>
        <v/>
      </c>
      <c r="C66" s="18" t="str">
        <f>IFERROR(INDEX('Detalles movimientos'!D$5:D$1004, MATCH(57, 'Detalles movimientos'!$V$5:$V$1004, 0)), "")</f>
        <v/>
      </c>
      <c r="D66" s="19" t="str">
        <f>IFERROR(INDEX('Detalles movimientos'!E$5:E$1004, MATCH(57, 'Detalles movimientos'!$V$5:$V$1004, 0)), "")</f>
        <v/>
      </c>
      <c r="E66" s="19" t="str">
        <f>IFERROR(INDEX('Detalles movimientos'!F$5:F$1004, MATCH(57, 'Detalles movimientos'!$V$5:$V$1004, 0)), "")</f>
        <v/>
      </c>
      <c r="F66" s="18" t="str">
        <f>IFERROR(INDEX('Detalles movimientos'!G$5:G$1004, MATCH(57, 'Detalles movimientos'!$V$5:$V$1004, 0)), "")</f>
        <v/>
      </c>
      <c r="G66" s="20" t="str">
        <f>IFERROR(INDEX('Detalles movimientos'!H$5:H$1004, MATCH(57, 'Detalles movimientos'!$V$5:$V$1004, 0)), "")</f>
        <v/>
      </c>
      <c r="H66" s="21" t="str">
        <f>IFERROR(INDEX('Detalles movimientos'!I$5:I$1004, MATCH(57, 'Detalles movimientos'!$V$5:$V$1004, 0)), "")</f>
        <v/>
      </c>
      <c r="I66" s="20" t="str">
        <f>IFERROR(INDEX('Detalles movimientos'!M$5:M$1004, MATCH(57, 'Detalles movimientos'!$V$5:$V$1004, 0)), "")</f>
        <v/>
      </c>
      <c r="J66" s="19" t="str">
        <f>IFERROR(INDEX('Detalles movimientos'!N$5:N$1004, MATCH(57, 'Detalles movimientos'!$V$5:$V$1004, 0)), "")</f>
        <v/>
      </c>
      <c r="K66" s="20" t="str">
        <f>IFERROR(INDEX('Detalles movimientos'!O$5:O$1004, MATCH(57, 'Detalles movimientos'!$V$5:$V$1004, 0)), "")</f>
        <v/>
      </c>
      <c r="L66" s="18" t="str">
        <f>IFERROR(INDEX('Detalles movimientos'!P$5:P$1004, MATCH(57, 'Detalles movimientos'!$V$5:$V$1004, 0)), "")</f>
        <v/>
      </c>
      <c r="M66" s="18" t="str">
        <f>IFERROR(INDEX('Detalles movimientos'!S$5:S$1004, MATCH(57, 'Detalles movimientos'!$V$5:$V$1004, 0)), "")</f>
        <v/>
      </c>
    </row>
    <row r="67" spans="2:13">
      <c r="B67" s="17" t="str">
        <f>IFERROR(INDEX('Detalles movimientos'!C$5:C$1004, MATCH(58, 'Detalles movimientos'!$V$5:$V$1004, 0)), "")</f>
        <v/>
      </c>
      <c r="C67" s="18" t="str">
        <f>IFERROR(INDEX('Detalles movimientos'!D$5:D$1004, MATCH(58, 'Detalles movimientos'!$V$5:$V$1004, 0)), "")</f>
        <v/>
      </c>
      <c r="D67" s="19" t="str">
        <f>IFERROR(INDEX('Detalles movimientos'!E$5:E$1004, MATCH(58, 'Detalles movimientos'!$V$5:$V$1004, 0)), "")</f>
        <v/>
      </c>
      <c r="E67" s="19" t="str">
        <f>IFERROR(INDEX('Detalles movimientos'!F$5:F$1004, MATCH(58, 'Detalles movimientos'!$V$5:$V$1004, 0)), "")</f>
        <v/>
      </c>
      <c r="F67" s="18" t="str">
        <f>IFERROR(INDEX('Detalles movimientos'!G$5:G$1004, MATCH(58, 'Detalles movimientos'!$V$5:$V$1004, 0)), "")</f>
        <v/>
      </c>
      <c r="G67" s="20" t="str">
        <f>IFERROR(INDEX('Detalles movimientos'!H$5:H$1004, MATCH(58, 'Detalles movimientos'!$V$5:$V$1004, 0)), "")</f>
        <v/>
      </c>
      <c r="H67" s="21" t="str">
        <f>IFERROR(INDEX('Detalles movimientos'!I$5:I$1004, MATCH(58, 'Detalles movimientos'!$V$5:$V$1004, 0)), "")</f>
        <v/>
      </c>
      <c r="I67" s="20" t="str">
        <f>IFERROR(INDEX('Detalles movimientos'!M$5:M$1004, MATCH(58, 'Detalles movimientos'!$V$5:$V$1004, 0)), "")</f>
        <v/>
      </c>
      <c r="J67" s="19" t="str">
        <f>IFERROR(INDEX('Detalles movimientos'!N$5:N$1004, MATCH(58, 'Detalles movimientos'!$V$5:$V$1004, 0)), "")</f>
        <v/>
      </c>
      <c r="K67" s="20" t="str">
        <f>IFERROR(INDEX('Detalles movimientos'!O$5:O$1004, MATCH(58, 'Detalles movimientos'!$V$5:$V$1004, 0)), "")</f>
        <v/>
      </c>
      <c r="L67" s="18" t="str">
        <f>IFERROR(INDEX('Detalles movimientos'!P$5:P$1004, MATCH(58, 'Detalles movimientos'!$V$5:$V$1004, 0)), "")</f>
        <v/>
      </c>
      <c r="M67" s="18" t="str">
        <f>IFERROR(INDEX('Detalles movimientos'!S$5:S$1004, MATCH(58, 'Detalles movimientos'!$V$5:$V$1004, 0)), "")</f>
        <v/>
      </c>
    </row>
    <row r="68" spans="2:13">
      <c r="B68" s="17" t="str">
        <f>IFERROR(INDEX('Detalles movimientos'!C$5:C$1004, MATCH(59, 'Detalles movimientos'!$V$5:$V$1004, 0)), "")</f>
        <v/>
      </c>
      <c r="C68" s="18" t="str">
        <f>IFERROR(INDEX('Detalles movimientos'!D$5:D$1004, MATCH(59, 'Detalles movimientos'!$V$5:$V$1004, 0)), "")</f>
        <v/>
      </c>
      <c r="D68" s="19" t="str">
        <f>IFERROR(INDEX('Detalles movimientos'!E$5:E$1004, MATCH(59, 'Detalles movimientos'!$V$5:$V$1004, 0)), "")</f>
        <v/>
      </c>
      <c r="E68" s="19" t="str">
        <f>IFERROR(INDEX('Detalles movimientos'!F$5:F$1004, MATCH(59, 'Detalles movimientos'!$V$5:$V$1004, 0)), "")</f>
        <v/>
      </c>
      <c r="F68" s="18" t="str">
        <f>IFERROR(INDEX('Detalles movimientos'!G$5:G$1004, MATCH(59, 'Detalles movimientos'!$V$5:$V$1004, 0)), "")</f>
        <v/>
      </c>
      <c r="G68" s="20" t="str">
        <f>IFERROR(INDEX('Detalles movimientos'!H$5:H$1004, MATCH(59, 'Detalles movimientos'!$V$5:$V$1004, 0)), "")</f>
        <v/>
      </c>
      <c r="H68" s="21" t="str">
        <f>IFERROR(INDEX('Detalles movimientos'!I$5:I$1004, MATCH(59, 'Detalles movimientos'!$V$5:$V$1004, 0)), "")</f>
        <v/>
      </c>
      <c r="I68" s="20" t="str">
        <f>IFERROR(INDEX('Detalles movimientos'!M$5:M$1004, MATCH(59, 'Detalles movimientos'!$V$5:$V$1004, 0)), "")</f>
        <v/>
      </c>
      <c r="J68" s="19" t="str">
        <f>IFERROR(INDEX('Detalles movimientos'!N$5:N$1004, MATCH(59, 'Detalles movimientos'!$V$5:$V$1004, 0)), "")</f>
        <v/>
      </c>
      <c r="K68" s="20" t="str">
        <f>IFERROR(INDEX('Detalles movimientos'!O$5:O$1004, MATCH(59, 'Detalles movimientos'!$V$5:$V$1004, 0)), "")</f>
        <v/>
      </c>
      <c r="L68" s="18" t="str">
        <f>IFERROR(INDEX('Detalles movimientos'!P$5:P$1004, MATCH(59, 'Detalles movimientos'!$V$5:$V$1004, 0)), "")</f>
        <v/>
      </c>
      <c r="M68" s="18" t="str">
        <f>IFERROR(INDEX('Detalles movimientos'!S$5:S$1004, MATCH(59, 'Detalles movimientos'!$V$5:$V$1004, 0)), "")</f>
        <v/>
      </c>
    </row>
    <row r="69" spans="2:13">
      <c r="B69" s="17" t="str">
        <f>IFERROR(INDEX('Detalles movimientos'!C$5:C$1004, MATCH(60, 'Detalles movimientos'!$V$5:$V$1004, 0)), "")</f>
        <v/>
      </c>
      <c r="C69" s="18" t="str">
        <f>IFERROR(INDEX('Detalles movimientos'!D$5:D$1004, MATCH(60, 'Detalles movimientos'!$V$5:$V$1004, 0)), "")</f>
        <v/>
      </c>
      <c r="D69" s="19" t="str">
        <f>IFERROR(INDEX('Detalles movimientos'!E$5:E$1004, MATCH(60, 'Detalles movimientos'!$V$5:$V$1004, 0)), "")</f>
        <v/>
      </c>
      <c r="E69" s="19" t="str">
        <f>IFERROR(INDEX('Detalles movimientos'!F$5:F$1004, MATCH(60, 'Detalles movimientos'!$V$5:$V$1004, 0)), "")</f>
        <v/>
      </c>
      <c r="F69" s="18" t="str">
        <f>IFERROR(INDEX('Detalles movimientos'!G$5:G$1004, MATCH(60, 'Detalles movimientos'!$V$5:$V$1004, 0)), "")</f>
        <v/>
      </c>
      <c r="G69" s="20" t="str">
        <f>IFERROR(INDEX('Detalles movimientos'!H$5:H$1004, MATCH(60, 'Detalles movimientos'!$V$5:$V$1004, 0)), "")</f>
        <v/>
      </c>
      <c r="H69" s="21" t="str">
        <f>IFERROR(INDEX('Detalles movimientos'!I$5:I$1004, MATCH(60, 'Detalles movimientos'!$V$5:$V$1004, 0)), "")</f>
        <v/>
      </c>
      <c r="I69" s="20" t="str">
        <f>IFERROR(INDEX('Detalles movimientos'!M$5:M$1004, MATCH(60, 'Detalles movimientos'!$V$5:$V$1004, 0)), "")</f>
        <v/>
      </c>
      <c r="J69" s="19" t="str">
        <f>IFERROR(INDEX('Detalles movimientos'!N$5:N$1004, MATCH(60, 'Detalles movimientos'!$V$5:$V$1004, 0)), "")</f>
        <v/>
      </c>
      <c r="K69" s="20" t="str">
        <f>IFERROR(INDEX('Detalles movimientos'!O$5:O$1004, MATCH(60, 'Detalles movimientos'!$V$5:$V$1004, 0)), "")</f>
        <v/>
      </c>
      <c r="L69" s="18" t="str">
        <f>IFERROR(INDEX('Detalles movimientos'!P$5:P$1004, MATCH(60, 'Detalles movimientos'!$V$5:$V$1004, 0)), "")</f>
        <v/>
      </c>
      <c r="M69" s="18" t="str">
        <f>IFERROR(INDEX('Detalles movimientos'!S$5:S$1004, MATCH(60, 'Detalles movimientos'!$V$5:$V$1004, 0)), "")</f>
        <v/>
      </c>
    </row>
    <row r="70" spans="2:13">
      <c r="B70" s="17" t="str">
        <f>IFERROR(INDEX('Detalles movimientos'!C$5:C$1004, MATCH(61, 'Detalles movimientos'!$V$5:$V$1004, 0)), "")</f>
        <v/>
      </c>
      <c r="C70" s="18" t="str">
        <f>IFERROR(INDEX('Detalles movimientos'!D$5:D$1004, MATCH(61, 'Detalles movimientos'!$V$5:$V$1004, 0)), "")</f>
        <v/>
      </c>
      <c r="D70" s="19" t="str">
        <f>IFERROR(INDEX('Detalles movimientos'!E$5:E$1004, MATCH(61, 'Detalles movimientos'!$V$5:$V$1004, 0)), "")</f>
        <v/>
      </c>
      <c r="E70" s="19" t="str">
        <f>IFERROR(INDEX('Detalles movimientos'!F$5:F$1004, MATCH(61, 'Detalles movimientos'!$V$5:$V$1004, 0)), "")</f>
        <v/>
      </c>
      <c r="F70" s="18" t="str">
        <f>IFERROR(INDEX('Detalles movimientos'!G$5:G$1004, MATCH(61, 'Detalles movimientos'!$V$5:$V$1004, 0)), "")</f>
        <v/>
      </c>
      <c r="G70" s="20" t="str">
        <f>IFERROR(INDEX('Detalles movimientos'!H$5:H$1004, MATCH(61, 'Detalles movimientos'!$V$5:$V$1004, 0)), "")</f>
        <v/>
      </c>
      <c r="H70" s="21" t="str">
        <f>IFERROR(INDEX('Detalles movimientos'!I$5:I$1004, MATCH(61, 'Detalles movimientos'!$V$5:$V$1004, 0)), "")</f>
        <v/>
      </c>
      <c r="I70" s="20" t="str">
        <f>IFERROR(INDEX('Detalles movimientos'!M$5:M$1004, MATCH(61, 'Detalles movimientos'!$V$5:$V$1004, 0)), "")</f>
        <v/>
      </c>
      <c r="J70" s="19" t="str">
        <f>IFERROR(INDEX('Detalles movimientos'!N$5:N$1004, MATCH(61, 'Detalles movimientos'!$V$5:$V$1004, 0)), "")</f>
        <v/>
      </c>
      <c r="K70" s="20" t="str">
        <f>IFERROR(INDEX('Detalles movimientos'!O$5:O$1004, MATCH(61, 'Detalles movimientos'!$V$5:$V$1004, 0)), "")</f>
        <v/>
      </c>
      <c r="L70" s="18" t="str">
        <f>IFERROR(INDEX('Detalles movimientos'!P$5:P$1004, MATCH(61, 'Detalles movimientos'!$V$5:$V$1004, 0)), "")</f>
        <v/>
      </c>
      <c r="M70" s="18" t="str">
        <f>IFERROR(INDEX('Detalles movimientos'!S$5:S$1004, MATCH(61, 'Detalles movimientos'!$V$5:$V$1004, 0)), "")</f>
        <v/>
      </c>
    </row>
    <row r="71" spans="2:13">
      <c r="B71" s="17" t="str">
        <f>IFERROR(INDEX('Detalles movimientos'!C$5:C$1004, MATCH(62, 'Detalles movimientos'!$V$5:$V$1004, 0)), "")</f>
        <v/>
      </c>
      <c r="C71" s="18" t="str">
        <f>IFERROR(INDEX('Detalles movimientos'!D$5:D$1004, MATCH(62, 'Detalles movimientos'!$V$5:$V$1004, 0)), "")</f>
        <v/>
      </c>
      <c r="D71" s="19" t="str">
        <f>IFERROR(INDEX('Detalles movimientos'!E$5:E$1004, MATCH(62, 'Detalles movimientos'!$V$5:$V$1004, 0)), "")</f>
        <v/>
      </c>
      <c r="E71" s="19" t="str">
        <f>IFERROR(INDEX('Detalles movimientos'!F$5:F$1004, MATCH(62, 'Detalles movimientos'!$V$5:$V$1004, 0)), "")</f>
        <v/>
      </c>
      <c r="F71" s="18" t="str">
        <f>IFERROR(INDEX('Detalles movimientos'!G$5:G$1004, MATCH(62, 'Detalles movimientos'!$V$5:$V$1004, 0)), "")</f>
        <v/>
      </c>
      <c r="G71" s="20" t="str">
        <f>IFERROR(INDEX('Detalles movimientos'!H$5:H$1004, MATCH(62, 'Detalles movimientos'!$V$5:$V$1004, 0)), "")</f>
        <v/>
      </c>
      <c r="H71" s="21" t="str">
        <f>IFERROR(INDEX('Detalles movimientos'!I$5:I$1004, MATCH(62, 'Detalles movimientos'!$V$5:$V$1004, 0)), "")</f>
        <v/>
      </c>
      <c r="I71" s="20" t="str">
        <f>IFERROR(INDEX('Detalles movimientos'!M$5:M$1004, MATCH(62, 'Detalles movimientos'!$V$5:$V$1004, 0)), "")</f>
        <v/>
      </c>
      <c r="J71" s="19" t="str">
        <f>IFERROR(INDEX('Detalles movimientos'!N$5:N$1004, MATCH(62, 'Detalles movimientos'!$V$5:$V$1004, 0)), "")</f>
        <v/>
      </c>
      <c r="K71" s="20" t="str">
        <f>IFERROR(INDEX('Detalles movimientos'!O$5:O$1004, MATCH(62, 'Detalles movimientos'!$V$5:$V$1004, 0)), "")</f>
        <v/>
      </c>
      <c r="L71" s="18" t="str">
        <f>IFERROR(INDEX('Detalles movimientos'!P$5:P$1004, MATCH(62, 'Detalles movimientos'!$V$5:$V$1004, 0)), "")</f>
        <v/>
      </c>
      <c r="M71" s="18" t="str">
        <f>IFERROR(INDEX('Detalles movimientos'!S$5:S$1004, MATCH(62, 'Detalles movimientos'!$V$5:$V$1004, 0)), "")</f>
        <v/>
      </c>
    </row>
    <row r="72" spans="2:13">
      <c r="B72" s="17" t="str">
        <f>IFERROR(INDEX('Detalles movimientos'!C$5:C$1004, MATCH(63, 'Detalles movimientos'!$V$5:$V$1004, 0)), "")</f>
        <v/>
      </c>
      <c r="C72" s="18" t="str">
        <f>IFERROR(INDEX('Detalles movimientos'!D$5:D$1004, MATCH(63, 'Detalles movimientos'!$V$5:$V$1004, 0)), "")</f>
        <v/>
      </c>
      <c r="D72" s="19" t="str">
        <f>IFERROR(INDEX('Detalles movimientos'!E$5:E$1004, MATCH(63, 'Detalles movimientos'!$V$5:$V$1004, 0)), "")</f>
        <v/>
      </c>
      <c r="E72" s="19" t="str">
        <f>IFERROR(INDEX('Detalles movimientos'!F$5:F$1004, MATCH(63, 'Detalles movimientos'!$V$5:$V$1004, 0)), "")</f>
        <v/>
      </c>
      <c r="F72" s="18" t="str">
        <f>IFERROR(INDEX('Detalles movimientos'!G$5:G$1004, MATCH(63, 'Detalles movimientos'!$V$5:$V$1004, 0)), "")</f>
        <v/>
      </c>
      <c r="G72" s="20" t="str">
        <f>IFERROR(INDEX('Detalles movimientos'!H$5:H$1004, MATCH(63, 'Detalles movimientos'!$V$5:$V$1004, 0)), "")</f>
        <v/>
      </c>
      <c r="H72" s="21" t="str">
        <f>IFERROR(INDEX('Detalles movimientos'!I$5:I$1004, MATCH(63, 'Detalles movimientos'!$V$5:$V$1004, 0)), "")</f>
        <v/>
      </c>
      <c r="I72" s="20" t="str">
        <f>IFERROR(INDEX('Detalles movimientos'!M$5:M$1004, MATCH(63, 'Detalles movimientos'!$V$5:$V$1004, 0)), "")</f>
        <v/>
      </c>
      <c r="J72" s="19" t="str">
        <f>IFERROR(INDEX('Detalles movimientos'!N$5:N$1004, MATCH(63, 'Detalles movimientos'!$V$5:$V$1004, 0)), "")</f>
        <v/>
      </c>
      <c r="K72" s="20" t="str">
        <f>IFERROR(INDEX('Detalles movimientos'!O$5:O$1004, MATCH(63, 'Detalles movimientos'!$V$5:$V$1004, 0)), "")</f>
        <v/>
      </c>
      <c r="L72" s="18" t="str">
        <f>IFERROR(INDEX('Detalles movimientos'!P$5:P$1004, MATCH(63, 'Detalles movimientos'!$V$5:$V$1004, 0)), "")</f>
        <v/>
      </c>
      <c r="M72" s="18" t="str">
        <f>IFERROR(INDEX('Detalles movimientos'!S$5:S$1004, MATCH(63, 'Detalles movimientos'!$V$5:$V$1004, 0)), "")</f>
        <v/>
      </c>
    </row>
    <row r="73" spans="2:13">
      <c r="B73" s="17" t="str">
        <f>IFERROR(INDEX('Detalles movimientos'!C$5:C$1004, MATCH(64, 'Detalles movimientos'!$V$5:$V$1004, 0)), "")</f>
        <v/>
      </c>
      <c r="C73" s="18" t="str">
        <f>IFERROR(INDEX('Detalles movimientos'!D$5:D$1004, MATCH(64, 'Detalles movimientos'!$V$5:$V$1004, 0)), "")</f>
        <v/>
      </c>
      <c r="D73" s="19" t="str">
        <f>IFERROR(INDEX('Detalles movimientos'!E$5:E$1004, MATCH(64, 'Detalles movimientos'!$V$5:$V$1004, 0)), "")</f>
        <v/>
      </c>
      <c r="E73" s="19" t="str">
        <f>IFERROR(INDEX('Detalles movimientos'!F$5:F$1004, MATCH(64, 'Detalles movimientos'!$V$5:$V$1004, 0)), "")</f>
        <v/>
      </c>
      <c r="F73" s="18" t="str">
        <f>IFERROR(INDEX('Detalles movimientos'!G$5:G$1004, MATCH(64, 'Detalles movimientos'!$V$5:$V$1004, 0)), "")</f>
        <v/>
      </c>
      <c r="G73" s="20" t="str">
        <f>IFERROR(INDEX('Detalles movimientos'!H$5:H$1004, MATCH(64, 'Detalles movimientos'!$V$5:$V$1004, 0)), "")</f>
        <v/>
      </c>
      <c r="H73" s="21" t="str">
        <f>IFERROR(INDEX('Detalles movimientos'!I$5:I$1004, MATCH(64, 'Detalles movimientos'!$V$5:$V$1004, 0)), "")</f>
        <v/>
      </c>
      <c r="I73" s="20" t="str">
        <f>IFERROR(INDEX('Detalles movimientos'!M$5:M$1004, MATCH(64, 'Detalles movimientos'!$V$5:$V$1004, 0)), "")</f>
        <v/>
      </c>
      <c r="J73" s="19" t="str">
        <f>IFERROR(INDEX('Detalles movimientos'!N$5:N$1004, MATCH(64, 'Detalles movimientos'!$V$5:$V$1004, 0)), "")</f>
        <v/>
      </c>
      <c r="K73" s="20" t="str">
        <f>IFERROR(INDEX('Detalles movimientos'!O$5:O$1004, MATCH(64, 'Detalles movimientos'!$V$5:$V$1004, 0)), "")</f>
        <v/>
      </c>
      <c r="L73" s="18" t="str">
        <f>IFERROR(INDEX('Detalles movimientos'!P$5:P$1004, MATCH(64, 'Detalles movimientos'!$V$5:$V$1004, 0)), "")</f>
        <v/>
      </c>
      <c r="M73" s="18" t="str">
        <f>IFERROR(INDEX('Detalles movimientos'!S$5:S$1004, MATCH(64, 'Detalles movimientos'!$V$5:$V$1004, 0)), "")</f>
        <v/>
      </c>
    </row>
    <row r="74" spans="2:13">
      <c r="B74" s="17" t="str">
        <f>IFERROR(INDEX('Detalles movimientos'!C$5:C$1004, MATCH(65, 'Detalles movimientos'!$V$5:$V$1004, 0)), "")</f>
        <v/>
      </c>
      <c r="C74" s="18" t="str">
        <f>IFERROR(INDEX('Detalles movimientos'!D$5:D$1004, MATCH(65, 'Detalles movimientos'!$V$5:$V$1004, 0)), "")</f>
        <v/>
      </c>
      <c r="D74" s="19" t="str">
        <f>IFERROR(INDEX('Detalles movimientos'!E$5:E$1004, MATCH(65, 'Detalles movimientos'!$V$5:$V$1004, 0)), "")</f>
        <v/>
      </c>
      <c r="E74" s="19" t="str">
        <f>IFERROR(INDEX('Detalles movimientos'!F$5:F$1004, MATCH(65, 'Detalles movimientos'!$V$5:$V$1004, 0)), "")</f>
        <v/>
      </c>
      <c r="F74" s="18" t="str">
        <f>IFERROR(INDEX('Detalles movimientos'!G$5:G$1004, MATCH(65, 'Detalles movimientos'!$V$5:$V$1004, 0)), "")</f>
        <v/>
      </c>
      <c r="G74" s="20" t="str">
        <f>IFERROR(INDEX('Detalles movimientos'!H$5:H$1004, MATCH(65, 'Detalles movimientos'!$V$5:$V$1004, 0)), "")</f>
        <v/>
      </c>
      <c r="H74" s="21" t="str">
        <f>IFERROR(INDEX('Detalles movimientos'!I$5:I$1004, MATCH(65, 'Detalles movimientos'!$V$5:$V$1004, 0)), "")</f>
        <v/>
      </c>
      <c r="I74" s="20" t="str">
        <f>IFERROR(INDEX('Detalles movimientos'!M$5:M$1004, MATCH(65, 'Detalles movimientos'!$V$5:$V$1004, 0)), "")</f>
        <v/>
      </c>
      <c r="J74" s="19" t="str">
        <f>IFERROR(INDEX('Detalles movimientos'!N$5:N$1004, MATCH(65, 'Detalles movimientos'!$V$5:$V$1004, 0)), "")</f>
        <v/>
      </c>
      <c r="K74" s="20" t="str">
        <f>IFERROR(INDEX('Detalles movimientos'!O$5:O$1004, MATCH(65, 'Detalles movimientos'!$V$5:$V$1004, 0)), "")</f>
        <v/>
      </c>
      <c r="L74" s="18" t="str">
        <f>IFERROR(INDEX('Detalles movimientos'!P$5:P$1004, MATCH(65, 'Detalles movimientos'!$V$5:$V$1004, 0)), "")</f>
        <v/>
      </c>
      <c r="M74" s="18" t="str">
        <f>IFERROR(INDEX('Detalles movimientos'!S$5:S$1004, MATCH(65, 'Detalles movimientos'!$V$5:$V$1004, 0)), "")</f>
        <v/>
      </c>
    </row>
    <row r="75" spans="2:13">
      <c r="B75" s="17" t="str">
        <f>IFERROR(INDEX('Detalles movimientos'!C$5:C$1004, MATCH(66, 'Detalles movimientos'!$V$5:$V$1004, 0)), "")</f>
        <v/>
      </c>
      <c r="C75" s="18" t="str">
        <f>IFERROR(INDEX('Detalles movimientos'!D$5:D$1004, MATCH(66, 'Detalles movimientos'!$V$5:$V$1004, 0)), "")</f>
        <v/>
      </c>
      <c r="D75" s="19" t="str">
        <f>IFERROR(INDEX('Detalles movimientos'!E$5:E$1004, MATCH(66, 'Detalles movimientos'!$V$5:$V$1004, 0)), "")</f>
        <v/>
      </c>
      <c r="E75" s="19" t="str">
        <f>IFERROR(INDEX('Detalles movimientos'!F$5:F$1004, MATCH(66, 'Detalles movimientos'!$V$5:$V$1004, 0)), "")</f>
        <v/>
      </c>
      <c r="F75" s="18" t="str">
        <f>IFERROR(INDEX('Detalles movimientos'!G$5:G$1004, MATCH(66, 'Detalles movimientos'!$V$5:$V$1004, 0)), "")</f>
        <v/>
      </c>
      <c r="G75" s="20" t="str">
        <f>IFERROR(INDEX('Detalles movimientos'!H$5:H$1004, MATCH(66, 'Detalles movimientos'!$V$5:$V$1004, 0)), "")</f>
        <v/>
      </c>
      <c r="H75" s="21" t="str">
        <f>IFERROR(INDEX('Detalles movimientos'!I$5:I$1004, MATCH(66, 'Detalles movimientos'!$V$5:$V$1004, 0)), "")</f>
        <v/>
      </c>
      <c r="I75" s="20" t="str">
        <f>IFERROR(INDEX('Detalles movimientos'!M$5:M$1004, MATCH(66, 'Detalles movimientos'!$V$5:$V$1004, 0)), "")</f>
        <v/>
      </c>
      <c r="J75" s="19" t="str">
        <f>IFERROR(INDEX('Detalles movimientos'!N$5:N$1004, MATCH(66, 'Detalles movimientos'!$V$5:$V$1004, 0)), "")</f>
        <v/>
      </c>
      <c r="K75" s="20" t="str">
        <f>IFERROR(INDEX('Detalles movimientos'!O$5:O$1004, MATCH(66, 'Detalles movimientos'!$V$5:$V$1004, 0)), "")</f>
        <v/>
      </c>
      <c r="L75" s="18" t="str">
        <f>IFERROR(INDEX('Detalles movimientos'!P$5:P$1004, MATCH(66, 'Detalles movimientos'!$V$5:$V$1004, 0)), "")</f>
        <v/>
      </c>
      <c r="M75" s="18" t="str">
        <f>IFERROR(INDEX('Detalles movimientos'!S$5:S$1004, MATCH(66, 'Detalles movimientos'!$V$5:$V$1004, 0)), "")</f>
        <v/>
      </c>
    </row>
    <row r="76" spans="2:13">
      <c r="B76" s="17" t="str">
        <f>IFERROR(INDEX('Detalles movimientos'!C$5:C$1004, MATCH(67, 'Detalles movimientos'!$V$5:$V$1004, 0)), "")</f>
        <v/>
      </c>
      <c r="C76" s="18" t="str">
        <f>IFERROR(INDEX('Detalles movimientos'!D$5:D$1004, MATCH(67, 'Detalles movimientos'!$V$5:$V$1004, 0)), "")</f>
        <v/>
      </c>
      <c r="D76" s="19" t="str">
        <f>IFERROR(INDEX('Detalles movimientos'!E$5:E$1004, MATCH(67, 'Detalles movimientos'!$V$5:$V$1004, 0)), "")</f>
        <v/>
      </c>
      <c r="E76" s="19" t="str">
        <f>IFERROR(INDEX('Detalles movimientos'!F$5:F$1004, MATCH(67, 'Detalles movimientos'!$V$5:$V$1004, 0)), "")</f>
        <v/>
      </c>
      <c r="F76" s="18" t="str">
        <f>IFERROR(INDEX('Detalles movimientos'!G$5:G$1004, MATCH(67, 'Detalles movimientos'!$V$5:$V$1004, 0)), "")</f>
        <v/>
      </c>
      <c r="G76" s="20" t="str">
        <f>IFERROR(INDEX('Detalles movimientos'!H$5:H$1004, MATCH(67, 'Detalles movimientos'!$V$5:$V$1004, 0)), "")</f>
        <v/>
      </c>
      <c r="H76" s="21" t="str">
        <f>IFERROR(INDEX('Detalles movimientos'!I$5:I$1004, MATCH(67, 'Detalles movimientos'!$V$5:$V$1004, 0)), "")</f>
        <v/>
      </c>
      <c r="I76" s="20" t="str">
        <f>IFERROR(INDEX('Detalles movimientos'!M$5:M$1004, MATCH(67, 'Detalles movimientos'!$V$5:$V$1004, 0)), "")</f>
        <v/>
      </c>
      <c r="J76" s="19" t="str">
        <f>IFERROR(INDEX('Detalles movimientos'!N$5:N$1004, MATCH(67, 'Detalles movimientos'!$V$5:$V$1004, 0)), "")</f>
        <v/>
      </c>
      <c r="K76" s="20" t="str">
        <f>IFERROR(INDEX('Detalles movimientos'!O$5:O$1004, MATCH(67, 'Detalles movimientos'!$V$5:$V$1004, 0)), "")</f>
        <v/>
      </c>
      <c r="L76" s="18" t="str">
        <f>IFERROR(INDEX('Detalles movimientos'!P$5:P$1004, MATCH(67, 'Detalles movimientos'!$V$5:$V$1004, 0)), "")</f>
        <v/>
      </c>
      <c r="M76" s="18" t="str">
        <f>IFERROR(INDEX('Detalles movimientos'!S$5:S$1004, MATCH(67, 'Detalles movimientos'!$V$5:$V$1004, 0)), "")</f>
        <v/>
      </c>
    </row>
    <row r="77" spans="2:13">
      <c r="B77" s="17" t="str">
        <f>IFERROR(INDEX('Detalles movimientos'!C$5:C$1004, MATCH(68, 'Detalles movimientos'!$V$5:$V$1004, 0)), "")</f>
        <v/>
      </c>
      <c r="C77" s="18" t="str">
        <f>IFERROR(INDEX('Detalles movimientos'!D$5:D$1004, MATCH(68, 'Detalles movimientos'!$V$5:$V$1004, 0)), "")</f>
        <v/>
      </c>
      <c r="D77" s="19" t="str">
        <f>IFERROR(INDEX('Detalles movimientos'!E$5:E$1004, MATCH(68, 'Detalles movimientos'!$V$5:$V$1004, 0)), "")</f>
        <v/>
      </c>
      <c r="E77" s="19" t="str">
        <f>IFERROR(INDEX('Detalles movimientos'!F$5:F$1004, MATCH(68, 'Detalles movimientos'!$V$5:$V$1004, 0)), "")</f>
        <v/>
      </c>
      <c r="F77" s="18" t="str">
        <f>IFERROR(INDEX('Detalles movimientos'!G$5:G$1004, MATCH(68, 'Detalles movimientos'!$V$5:$V$1004, 0)), "")</f>
        <v/>
      </c>
      <c r="G77" s="20" t="str">
        <f>IFERROR(INDEX('Detalles movimientos'!H$5:H$1004, MATCH(68, 'Detalles movimientos'!$V$5:$V$1004, 0)), "")</f>
        <v/>
      </c>
      <c r="H77" s="21" t="str">
        <f>IFERROR(INDEX('Detalles movimientos'!I$5:I$1004, MATCH(68, 'Detalles movimientos'!$V$5:$V$1004, 0)), "")</f>
        <v/>
      </c>
      <c r="I77" s="20" t="str">
        <f>IFERROR(INDEX('Detalles movimientos'!M$5:M$1004, MATCH(68, 'Detalles movimientos'!$V$5:$V$1004, 0)), "")</f>
        <v/>
      </c>
      <c r="J77" s="19" t="str">
        <f>IFERROR(INDEX('Detalles movimientos'!N$5:N$1004, MATCH(68, 'Detalles movimientos'!$V$5:$V$1004, 0)), "")</f>
        <v/>
      </c>
      <c r="K77" s="20" t="str">
        <f>IFERROR(INDEX('Detalles movimientos'!O$5:O$1004, MATCH(68, 'Detalles movimientos'!$V$5:$V$1004, 0)), "")</f>
        <v/>
      </c>
      <c r="L77" s="18" t="str">
        <f>IFERROR(INDEX('Detalles movimientos'!P$5:P$1004, MATCH(68, 'Detalles movimientos'!$V$5:$V$1004, 0)), "")</f>
        <v/>
      </c>
      <c r="M77" s="18" t="str">
        <f>IFERROR(INDEX('Detalles movimientos'!S$5:S$1004, MATCH(68, 'Detalles movimientos'!$V$5:$V$1004, 0)), "")</f>
        <v/>
      </c>
    </row>
    <row r="78" spans="2:13">
      <c r="B78" s="17" t="str">
        <f>IFERROR(INDEX('Detalles movimientos'!C$5:C$1004, MATCH(69, 'Detalles movimientos'!$V$5:$V$1004, 0)), "")</f>
        <v/>
      </c>
      <c r="C78" s="18" t="str">
        <f>IFERROR(INDEX('Detalles movimientos'!D$5:D$1004, MATCH(69, 'Detalles movimientos'!$V$5:$V$1004, 0)), "")</f>
        <v/>
      </c>
      <c r="D78" s="19" t="str">
        <f>IFERROR(INDEX('Detalles movimientos'!E$5:E$1004, MATCH(69, 'Detalles movimientos'!$V$5:$V$1004, 0)), "")</f>
        <v/>
      </c>
      <c r="E78" s="19" t="str">
        <f>IFERROR(INDEX('Detalles movimientos'!F$5:F$1004, MATCH(69, 'Detalles movimientos'!$V$5:$V$1004, 0)), "")</f>
        <v/>
      </c>
      <c r="F78" s="18" t="str">
        <f>IFERROR(INDEX('Detalles movimientos'!G$5:G$1004, MATCH(69, 'Detalles movimientos'!$V$5:$V$1004, 0)), "")</f>
        <v/>
      </c>
      <c r="G78" s="20" t="str">
        <f>IFERROR(INDEX('Detalles movimientos'!H$5:H$1004, MATCH(69, 'Detalles movimientos'!$V$5:$V$1004, 0)), "")</f>
        <v/>
      </c>
      <c r="H78" s="21" t="str">
        <f>IFERROR(INDEX('Detalles movimientos'!I$5:I$1004, MATCH(69, 'Detalles movimientos'!$V$5:$V$1004, 0)), "")</f>
        <v/>
      </c>
      <c r="I78" s="20" t="str">
        <f>IFERROR(INDEX('Detalles movimientos'!M$5:M$1004, MATCH(69, 'Detalles movimientos'!$V$5:$V$1004, 0)), "")</f>
        <v/>
      </c>
      <c r="J78" s="19" t="str">
        <f>IFERROR(INDEX('Detalles movimientos'!N$5:N$1004, MATCH(69, 'Detalles movimientos'!$V$5:$V$1004, 0)), "")</f>
        <v/>
      </c>
      <c r="K78" s="20" t="str">
        <f>IFERROR(INDEX('Detalles movimientos'!O$5:O$1004, MATCH(69, 'Detalles movimientos'!$V$5:$V$1004, 0)), "")</f>
        <v/>
      </c>
      <c r="L78" s="18" t="str">
        <f>IFERROR(INDEX('Detalles movimientos'!P$5:P$1004, MATCH(69, 'Detalles movimientos'!$V$5:$V$1004, 0)), "")</f>
        <v/>
      </c>
      <c r="M78" s="18" t="str">
        <f>IFERROR(INDEX('Detalles movimientos'!S$5:S$1004, MATCH(69, 'Detalles movimientos'!$V$5:$V$1004, 0)), "")</f>
        <v/>
      </c>
    </row>
    <row r="79" spans="2:13">
      <c r="B79" s="17" t="str">
        <f>IFERROR(INDEX('Detalles movimientos'!C$5:C$1004, MATCH(70, 'Detalles movimientos'!$V$5:$V$1004, 0)), "")</f>
        <v/>
      </c>
      <c r="C79" s="18" t="str">
        <f>IFERROR(INDEX('Detalles movimientos'!D$5:D$1004, MATCH(70, 'Detalles movimientos'!$V$5:$V$1004, 0)), "")</f>
        <v/>
      </c>
      <c r="D79" s="19" t="str">
        <f>IFERROR(INDEX('Detalles movimientos'!E$5:E$1004, MATCH(70, 'Detalles movimientos'!$V$5:$V$1004, 0)), "")</f>
        <v/>
      </c>
      <c r="E79" s="19" t="str">
        <f>IFERROR(INDEX('Detalles movimientos'!F$5:F$1004, MATCH(70, 'Detalles movimientos'!$V$5:$V$1004, 0)), "")</f>
        <v/>
      </c>
      <c r="F79" s="18" t="str">
        <f>IFERROR(INDEX('Detalles movimientos'!G$5:G$1004, MATCH(70, 'Detalles movimientos'!$V$5:$V$1004, 0)), "")</f>
        <v/>
      </c>
      <c r="G79" s="20" t="str">
        <f>IFERROR(INDEX('Detalles movimientos'!H$5:H$1004, MATCH(70, 'Detalles movimientos'!$V$5:$V$1004, 0)), "")</f>
        <v/>
      </c>
      <c r="H79" s="21" t="str">
        <f>IFERROR(INDEX('Detalles movimientos'!I$5:I$1004, MATCH(70, 'Detalles movimientos'!$V$5:$V$1004, 0)), "")</f>
        <v/>
      </c>
      <c r="I79" s="20" t="str">
        <f>IFERROR(INDEX('Detalles movimientos'!M$5:M$1004, MATCH(70, 'Detalles movimientos'!$V$5:$V$1004, 0)), "")</f>
        <v/>
      </c>
      <c r="J79" s="19" t="str">
        <f>IFERROR(INDEX('Detalles movimientos'!N$5:N$1004, MATCH(70, 'Detalles movimientos'!$V$5:$V$1004, 0)), "")</f>
        <v/>
      </c>
      <c r="K79" s="20" t="str">
        <f>IFERROR(INDEX('Detalles movimientos'!O$5:O$1004, MATCH(70, 'Detalles movimientos'!$V$5:$V$1004, 0)), "")</f>
        <v/>
      </c>
      <c r="L79" s="18" t="str">
        <f>IFERROR(INDEX('Detalles movimientos'!P$5:P$1004, MATCH(70, 'Detalles movimientos'!$V$5:$V$1004, 0)), "")</f>
        <v/>
      </c>
      <c r="M79" s="18" t="str">
        <f>IFERROR(INDEX('Detalles movimientos'!S$5:S$1004, MATCH(70, 'Detalles movimientos'!$V$5:$V$1004, 0)), "")</f>
        <v/>
      </c>
    </row>
    <row r="80" spans="2:13">
      <c r="B80" s="17" t="str">
        <f>IFERROR(INDEX('Detalles movimientos'!C$5:C$1004, MATCH(71, 'Detalles movimientos'!$V$5:$V$1004, 0)), "")</f>
        <v/>
      </c>
      <c r="C80" s="18" t="str">
        <f>IFERROR(INDEX('Detalles movimientos'!D$5:D$1004, MATCH(71, 'Detalles movimientos'!$V$5:$V$1004, 0)), "")</f>
        <v/>
      </c>
      <c r="D80" s="19" t="str">
        <f>IFERROR(INDEX('Detalles movimientos'!E$5:E$1004, MATCH(71, 'Detalles movimientos'!$V$5:$V$1004, 0)), "")</f>
        <v/>
      </c>
      <c r="E80" s="19" t="str">
        <f>IFERROR(INDEX('Detalles movimientos'!F$5:F$1004, MATCH(71, 'Detalles movimientos'!$V$5:$V$1004, 0)), "")</f>
        <v/>
      </c>
      <c r="F80" s="18" t="str">
        <f>IFERROR(INDEX('Detalles movimientos'!G$5:G$1004, MATCH(71, 'Detalles movimientos'!$V$5:$V$1004, 0)), "")</f>
        <v/>
      </c>
      <c r="G80" s="20" t="str">
        <f>IFERROR(INDEX('Detalles movimientos'!H$5:H$1004, MATCH(71, 'Detalles movimientos'!$V$5:$V$1004, 0)), "")</f>
        <v/>
      </c>
      <c r="H80" s="21" t="str">
        <f>IFERROR(INDEX('Detalles movimientos'!I$5:I$1004, MATCH(71, 'Detalles movimientos'!$V$5:$V$1004, 0)), "")</f>
        <v/>
      </c>
      <c r="I80" s="20" t="str">
        <f>IFERROR(INDEX('Detalles movimientos'!M$5:M$1004, MATCH(71, 'Detalles movimientos'!$V$5:$V$1004, 0)), "")</f>
        <v/>
      </c>
      <c r="J80" s="19" t="str">
        <f>IFERROR(INDEX('Detalles movimientos'!N$5:N$1004, MATCH(71, 'Detalles movimientos'!$V$5:$V$1004, 0)), "")</f>
        <v/>
      </c>
      <c r="K80" s="20" t="str">
        <f>IFERROR(INDEX('Detalles movimientos'!O$5:O$1004, MATCH(71, 'Detalles movimientos'!$V$5:$V$1004, 0)), "")</f>
        <v/>
      </c>
      <c r="L80" s="18" t="str">
        <f>IFERROR(INDEX('Detalles movimientos'!P$5:P$1004, MATCH(71, 'Detalles movimientos'!$V$5:$V$1004, 0)), "")</f>
        <v/>
      </c>
      <c r="M80" s="18" t="str">
        <f>IFERROR(INDEX('Detalles movimientos'!S$5:S$1004, MATCH(71, 'Detalles movimientos'!$V$5:$V$1004, 0)), "")</f>
        <v/>
      </c>
    </row>
    <row r="81" spans="2:13">
      <c r="B81" s="17" t="str">
        <f>IFERROR(INDEX('Detalles movimientos'!C$5:C$1004, MATCH(72, 'Detalles movimientos'!$V$5:$V$1004, 0)), "")</f>
        <v/>
      </c>
      <c r="C81" s="18" t="str">
        <f>IFERROR(INDEX('Detalles movimientos'!D$5:D$1004, MATCH(72, 'Detalles movimientos'!$V$5:$V$1004, 0)), "")</f>
        <v/>
      </c>
      <c r="D81" s="19" t="str">
        <f>IFERROR(INDEX('Detalles movimientos'!E$5:E$1004, MATCH(72, 'Detalles movimientos'!$V$5:$V$1004, 0)), "")</f>
        <v/>
      </c>
      <c r="E81" s="19" t="str">
        <f>IFERROR(INDEX('Detalles movimientos'!F$5:F$1004, MATCH(72, 'Detalles movimientos'!$V$5:$V$1004, 0)), "")</f>
        <v/>
      </c>
      <c r="F81" s="18" t="str">
        <f>IFERROR(INDEX('Detalles movimientos'!G$5:G$1004, MATCH(72, 'Detalles movimientos'!$V$5:$V$1004, 0)), "")</f>
        <v/>
      </c>
      <c r="G81" s="20" t="str">
        <f>IFERROR(INDEX('Detalles movimientos'!H$5:H$1004, MATCH(72, 'Detalles movimientos'!$V$5:$V$1004, 0)), "")</f>
        <v/>
      </c>
      <c r="H81" s="21" t="str">
        <f>IFERROR(INDEX('Detalles movimientos'!I$5:I$1004, MATCH(72, 'Detalles movimientos'!$V$5:$V$1004, 0)), "")</f>
        <v/>
      </c>
      <c r="I81" s="20" t="str">
        <f>IFERROR(INDEX('Detalles movimientos'!M$5:M$1004, MATCH(72, 'Detalles movimientos'!$V$5:$V$1004, 0)), "")</f>
        <v/>
      </c>
      <c r="J81" s="19" t="str">
        <f>IFERROR(INDEX('Detalles movimientos'!N$5:N$1004, MATCH(72, 'Detalles movimientos'!$V$5:$V$1004, 0)), "")</f>
        <v/>
      </c>
      <c r="K81" s="20" t="str">
        <f>IFERROR(INDEX('Detalles movimientos'!O$5:O$1004, MATCH(72, 'Detalles movimientos'!$V$5:$V$1004, 0)), "")</f>
        <v/>
      </c>
      <c r="L81" s="18" t="str">
        <f>IFERROR(INDEX('Detalles movimientos'!P$5:P$1004, MATCH(72, 'Detalles movimientos'!$V$5:$V$1004, 0)), "")</f>
        <v/>
      </c>
      <c r="M81" s="18" t="str">
        <f>IFERROR(INDEX('Detalles movimientos'!S$5:S$1004, MATCH(72, 'Detalles movimientos'!$V$5:$V$1004, 0)), "")</f>
        <v/>
      </c>
    </row>
    <row r="82" spans="2:13">
      <c r="B82" s="17" t="str">
        <f>IFERROR(INDEX('Detalles movimientos'!C$5:C$1004, MATCH(73, 'Detalles movimientos'!$V$5:$V$1004, 0)), "")</f>
        <v/>
      </c>
      <c r="C82" s="18" t="str">
        <f>IFERROR(INDEX('Detalles movimientos'!D$5:D$1004, MATCH(73, 'Detalles movimientos'!$V$5:$V$1004, 0)), "")</f>
        <v/>
      </c>
      <c r="D82" s="19" t="str">
        <f>IFERROR(INDEX('Detalles movimientos'!E$5:E$1004, MATCH(73, 'Detalles movimientos'!$V$5:$V$1004, 0)), "")</f>
        <v/>
      </c>
      <c r="E82" s="19" t="str">
        <f>IFERROR(INDEX('Detalles movimientos'!F$5:F$1004, MATCH(73, 'Detalles movimientos'!$V$5:$V$1004, 0)), "")</f>
        <v/>
      </c>
      <c r="F82" s="18" t="str">
        <f>IFERROR(INDEX('Detalles movimientos'!G$5:G$1004, MATCH(73, 'Detalles movimientos'!$V$5:$V$1004, 0)), "")</f>
        <v/>
      </c>
      <c r="G82" s="20" t="str">
        <f>IFERROR(INDEX('Detalles movimientos'!H$5:H$1004, MATCH(73, 'Detalles movimientos'!$V$5:$V$1004, 0)), "")</f>
        <v/>
      </c>
      <c r="H82" s="21" t="str">
        <f>IFERROR(INDEX('Detalles movimientos'!I$5:I$1004, MATCH(73, 'Detalles movimientos'!$V$5:$V$1004, 0)), "")</f>
        <v/>
      </c>
      <c r="I82" s="20" t="str">
        <f>IFERROR(INDEX('Detalles movimientos'!M$5:M$1004, MATCH(73, 'Detalles movimientos'!$V$5:$V$1004, 0)), "")</f>
        <v/>
      </c>
      <c r="J82" s="19" t="str">
        <f>IFERROR(INDEX('Detalles movimientos'!N$5:N$1004, MATCH(73, 'Detalles movimientos'!$V$5:$V$1004, 0)), "")</f>
        <v/>
      </c>
      <c r="K82" s="20" t="str">
        <f>IFERROR(INDEX('Detalles movimientos'!O$5:O$1004, MATCH(73, 'Detalles movimientos'!$V$5:$V$1004, 0)), "")</f>
        <v/>
      </c>
      <c r="L82" s="18" t="str">
        <f>IFERROR(INDEX('Detalles movimientos'!P$5:P$1004, MATCH(73, 'Detalles movimientos'!$V$5:$V$1004, 0)), "")</f>
        <v/>
      </c>
      <c r="M82" s="18" t="str">
        <f>IFERROR(INDEX('Detalles movimientos'!S$5:S$1004, MATCH(73, 'Detalles movimientos'!$V$5:$V$1004, 0)), "")</f>
        <v/>
      </c>
    </row>
    <row r="83" spans="2:13">
      <c r="B83" s="17" t="str">
        <f>IFERROR(INDEX('Detalles movimientos'!C$5:C$1004, MATCH(74, 'Detalles movimientos'!$V$5:$V$1004, 0)), "")</f>
        <v/>
      </c>
      <c r="C83" s="18" t="str">
        <f>IFERROR(INDEX('Detalles movimientos'!D$5:D$1004, MATCH(74, 'Detalles movimientos'!$V$5:$V$1004, 0)), "")</f>
        <v/>
      </c>
      <c r="D83" s="19" t="str">
        <f>IFERROR(INDEX('Detalles movimientos'!E$5:E$1004, MATCH(74, 'Detalles movimientos'!$V$5:$V$1004, 0)), "")</f>
        <v/>
      </c>
      <c r="E83" s="19" t="str">
        <f>IFERROR(INDEX('Detalles movimientos'!F$5:F$1004, MATCH(74, 'Detalles movimientos'!$V$5:$V$1004, 0)), "")</f>
        <v/>
      </c>
      <c r="F83" s="18" t="str">
        <f>IFERROR(INDEX('Detalles movimientos'!G$5:G$1004, MATCH(74, 'Detalles movimientos'!$V$5:$V$1004, 0)), "")</f>
        <v/>
      </c>
      <c r="G83" s="20" t="str">
        <f>IFERROR(INDEX('Detalles movimientos'!H$5:H$1004, MATCH(74, 'Detalles movimientos'!$V$5:$V$1004, 0)), "")</f>
        <v/>
      </c>
      <c r="H83" s="21" t="str">
        <f>IFERROR(INDEX('Detalles movimientos'!I$5:I$1004, MATCH(74, 'Detalles movimientos'!$V$5:$V$1004, 0)), "")</f>
        <v/>
      </c>
      <c r="I83" s="20" t="str">
        <f>IFERROR(INDEX('Detalles movimientos'!M$5:M$1004, MATCH(74, 'Detalles movimientos'!$V$5:$V$1004, 0)), "")</f>
        <v/>
      </c>
      <c r="J83" s="19" t="str">
        <f>IFERROR(INDEX('Detalles movimientos'!N$5:N$1004, MATCH(74, 'Detalles movimientos'!$V$5:$V$1004, 0)), "")</f>
        <v/>
      </c>
      <c r="K83" s="20" t="str">
        <f>IFERROR(INDEX('Detalles movimientos'!O$5:O$1004, MATCH(74, 'Detalles movimientos'!$V$5:$V$1004, 0)), "")</f>
        <v/>
      </c>
      <c r="L83" s="18" t="str">
        <f>IFERROR(INDEX('Detalles movimientos'!P$5:P$1004, MATCH(74, 'Detalles movimientos'!$V$5:$V$1004, 0)), "")</f>
        <v/>
      </c>
      <c r="M83" s="18" t="str">
        <f>IFERROR(INDEX('Detalles movimientos'!S$5:S$1004, MATCH(74, 'Detalles movimientos'!$V$5:$V$1004, 0)), "")</f>
        <v/>
      </c>
    </row>
    <row r="84" spans="2:13">
      <c r="B84" s="17" t="str">
        <f>IFERROR(INDEX('Detalles movimientos'!C$5:C$1004, MATCH(75, 'Detalles movimientos'!$V$5:$V$1004, 0)), "")</f>
        <v/>
      </c>
      <c r="C84" s="18" t="str">
        <f>IFERROR(INDEX('Detalles movimientos'!D$5:D$1004, MATCH(75, 'Detalles movimientos'!$V$5:$V$1004, 0)), "")</f>
        <v/>
      </c>
      <c r="D84" s="19" t="str">
        <f>IFERROR(INDEX('Detalles movimientos'!E$5:E$1004, MATCH(75, 'Detalles movimientos'!$V$5:$V$1004, 0)), "")</f>
        <v/>
      </c>
      <c r="E84" s="19" t="str">
        <f>IFERROR(INDEX('Detalles movimientos'!F$5:F$1004, MATCH(75, 'Detalles movimientos'!$V$5:$V$1004, 0)), "")</f>
        <v/>
      </c>
      <c r="F84" s="18" t="str">
        <f>IFERROR(INDEX('Detalles movimientos'!G$5:G$1004, MATCH(75, 'Detalles movimientos'!$V$5:$V$1004, 0)), "")</f>
        <v/>
      </c>
      <c r="G84" s="20" t="str">
        <f>IFERROR(INDEX('Detalles movimientos'!H$5:H$1004, MATCH(75, 'Detalles movimientos'!$V$5:$V$1004, 0)), "")</f>
        <v/>
      </c>
      <c r="H84" s="21" t="str">
        <f>IFERROR(INDEX('Detalles movimientos'!I$5:I$1004, MATCH(75, 'Detalles movimientos'!$V$5:$V$1004, 0)), "")</f>
        <v/>
      </c>
      <c r="I84" s="20" t="str">
        <f>IFERROR(INDEX('Detalles movimientos'!M$5:M$1004, MATCH(75, 'Detalles movimientos'!$V$5:$V$1004, 0)), "")</f>
        <v/>
      </c>
      <c r="J84" s="19" t="str">
        <f>IFERROR(INDEX('Detalles movimientos'!N$5:N$1004, MATCH(75, 'Detalles movimientos'!$V$5:$V$1004, 0)), "")</f>
        <v/>
      </c>
      <c r="K84" s="20" t="str">
        <f>IFERROR(INDEX('Detalles movimientos'!O$5:O$1004, MATCH(75, 'Detalles movimientos'!$V$5:$V$1004, 0)), "")</f>
        <v/>
      </c>
      <c r="L84" s="18" t="str">
        <f>IFERROR(INDEX('Detalles movimientos'!P$5:P$1004, MATCH(75, 'Detalles movimientos'!$V$5:$V$1004, 0)), "")</f>
        <v/>
      </c>
      <c r="M84" s="18" t="str">
        <f>IFERROR(INDEX('Detalles movimientos'!S$5:S$1004, MATCH(75, 'Detalles movimientos'!$V$5:$V$1004, 0)), "")</f>
        <v/>
      </c>
    </row>
    <row r="85" spans="2:13">
      <c r="B85" s="17" t="str">
        <f>IFERROR(INDEX('Detalles movimientos'!C$5:C$1004, MATCH(76, 'Detalles movimientos'!$V$5:$V$1004, 0)), "")</f>
        <v/>
      </c>
      <c r="C85" s="18" t="str">
        <f>IFERROR(INDEX('Detalles movimientos'!D$5:D$1004, MATCH(76, 'Detalles movimientos'!$V$5:$V$1004, 0)), "")</f>
        <v/>
      </c>
      <c r="D85" s="19" t="str">
        <f>IFERROR(INDEX('Detalles movimientos'!E$5:E$1004, MATCH(76, 'Detalles movimientos'!$V$5:$V$1004, 0)), "")</f>
        <v/>
      </c>
      <c r="E85" s="19" t="str">
        <f>IFERROR(INDEX('Detalles movimientos'!F$5:F$1004, MATCH(76, 'Detalles movimientos'!$V$5:$V$1004, 0)), "")</f>
        <v/>
      </c>
      <c r="F85" s="18" t="str">
        <f>IFERROR(INDEX('Detalles movimientos'!G$5:G$1004, MATCH(76, 'Detalles movimientos'!$V$5:$V$1004, 0)), "")</f>
        <v/>
      </c>
      <c r="G85" s="20" t="str">
        <f>IFERROR(INDEX('Detalles movimientos'!H$5:H$1004, MATCH(76, 'Detalles movimientos'!$V$5:$V$1004, 0)), "")</f>
        <v/>
      </c>
      <c r="H85" s="21" t="str">
        <f>IFERROR(INDEX('Detalles movimientos'!I$5:I$1004, MATCH(76, 'Detalles movimientos'!$V$5:$V$1004, 0)), "")</f>
        <v/>
      </c>
      <c r="I85" s="20" t="str">
        <f>IFERROR(INDEX('Detalles movimientos'!M$5:M$1004, MATCH(76, 'Detalles movimientos'!$V$5:$V$1004, 0)), "")</f>
        <v/>
      </c>
      <c r="J85" s="19" t="str">
        <f>IFERROR(INDEX('Detalles movimientos'!N$5:N$1004, MATCH(76, 'Detalles movimientos'!$V$5:$V$1004, 0)), "")</f>
        <v/>
      </c>
      <c r="K85" s="20" t="str">
        <f>IFERROR(INDEX('Detalles movimientos'!O$5:O$1004, MATCH(76, 'Detalles movimientos'!$V$5:$V$1004, 0)), "")</f>
        <v/>
      </c>
      <c r="L85" s="18" t="str">
        <f>IFERROR(INDEX('Detalles movimientos'!P$5:P$1004, MATCH(76, 'Detalles movimientos'!$V$5:$V$1004, 0)), "")</f>
        <v/>
      </c>
      <c r="M85" s="18" t="str">
        <f>IFERROR(INDEX('Detalles movimientos'!S$5:S$1004, MATCH(76, 'Detalles movimientos'!$V$5:$V$1004, 0)), "")</f>
        <v/>
      </c>
    </row>
    <row r="86" spans="2:13">
      <c r="B86" s="17" t="str">
        <f>IFERROR(INDEX('Detalles movimientos'!C$5:C$1004, MATCH(77, 'Detalles movimientos'!$V$5:$V$1004, 0)), "")</f>
        <v/>
      </c>
      <c r="C86" s="18" t="str">
        <f>IFERROR(INDEX('Detalles movimientos'!D$5:D$1004, MATCH(77, 'Detalles movimientos'!$V$5:$V$1004, 0)), "")</f>
        <v/>
      </c>
      <c r="D86" s="19" t="str">
        <f>IFERROR(INDEX('Detalles movimientos'!E$5:E$1004, MATCH(77, 'Detalles movimientos'!$V$5:$V$1004, 0)), "")</f>
        <v/>
      </c>
      <c r="E86" s="19" t="str">
        <f>IFERROR(INDEX('Detalles movimientos'!F$5:F$1004, MATCH(77, 'Detalles movimientos'!$V$5:$V$1004, 0)), "")</f>
        <v/>
      </c>
      <c r="F86" s="18" t="str">
        <f>IFERROR(INDEX('Detalles movimientos'!G$5:G$1004, MATCH(77, 'Detalles movimientos'!$V$5:$V$1004, 0)), "")</f>
        <v/>
      </c>
      <c r="G86" s="20" t="str">
        <f>IFERROR(INDEX('Detalles movimientos'!H$5:H$1004, MATCH(77, 'Detalles movimientos'!$V$5:$V$1004, 0)), "")</f>
        <v/>
      </c>
      <c r="H86" s="21" t="str">
        <f>IFERROR(INDEX('Detalles movimientos'!I$5:I$1004, MATCH(77, 'Detalles movimientos'!$V$5:$V$1004, 0)), "")</f>
        <v/>
      </c>
      <c r="I86" s="20" t="str">
        <f>IFERROR(INDEX('Detalles movimientos'!M$5:M$1004, MATCH(77, 'Detalles movimientos'!$V$5:$V$1004, 0)), "")</f>
        <v/>
      </c>
      <c r="J86" s="19" t="str">
        <f>IFERROR(INDEX('Detalles movimientos'!N$5:N$1004, MATCH(77, 'Detalles movimientos'!$V$5:$V$1004, 0)), "")</f>
        <v/>
      </c>
      <c r="K86" s="20" t="str">
        <f>IFERROR(INDEX('Detalles movimientos'!O$5:O$1004, MATCH(77, 'Detalles movimientos'!$V$5:$V$1004, 0)), "")</f>
        <v/>
      </c>
      <c r="L86" s="18" t="str">
        <f>IFERROR(INDEX('Detalles movimientos'!P$5:P$1004, MATCH(77, 'Detalles movimientos'!$V$5:$V$1004, 0)), "")</f>
        <v/>
      </c>
      <c r="M86" s="18" t="str">
        <f>IFERROR(INDEX('Detalles movimientos'!S$5:S$1004, MATCH(77, 'Detalles movimientos'!$V$5:$V$1004, 0)), "")</f>
        <v/>
      </c>
    </row>
    <row r="87" spans="2:13">
      <c r="B87" s="17" t="str">
        <f>IFERROR(INDEX('Detalles movimientos'!C$5:C$1004, MATCH(78, 'Detalles movimientos'!$V$5:$V$1004, 0)), "")</f>
        <v/>
      </c>
      <c r="C87" s="18" t="str">
        <f>IFERROR(INDEX('Detalles movimientos'!D$5:D$1004, MATCH(78, 'Detalles movimientos'!$V$5:$V$1004, 0)), "")</f>
        <v/>
      </c>
      <c r="D87" s="19" t="str">
        <f>IFERROR(INDEX('Detalles movimientos'!E$5:E$1004, MATCH(78, 'Detalles movimientos'!$V$5:$V$1004, 0)), "")</f>
        <v/>
      </c>
      <c r="E87" s="19" t="str">
        <f>IFERROR(INDEX('Detalles movimientos'!F$5:F$1004, MATCH(78, 'Detalles movimientos'!$V$5:$V$1004, 0)), "")</f>
        <v/>
      </c>
      <c r="F87" s="18" t="str">
        <f>IFERROR(INDEX('Detalles movimientos'!G$5:G$1004, MATCH(78, 'Detalles movimientos'!$V$5:$V$1004, 0)), "")</f>
        <v/>
      </c>
      <c r="G87" s="20" t="str">
        <f>IFERROR(INDEX('Detalles movimientos'!H$5:H$1004, MATCH(78, 'Detalles movimientos'!$V$5:$V$1004, 0)), "")</f>
        <v/>
      </c>
      <c r="H87" s="21" t="str">
        <f>IFERROR(INDEX('Detalles movimientos'!I$5:I$1004, MATCH(78, 'Detalles movimientos'!$V$5:$V$1004, 0)), "")</f>
        <v/>
      </c>
      <c r="I87" s="20" t="str">
        <f>IFERROR(INDEX('Detalles movimientos'!M$5:M$1004, MATCH(78, 'Detalles movimientos'!$V$5:$V$1004, 0)), "")</f>
        <v/>
      </c>
      <c r="J87" s="19" t="str">
        <f>IFERROR(INDEX('Detalles movimientos'!N$5:N$1004, MATCH(78, 'Detalles movimientos'!$V$5:$V$1004, 0)), "")</f>
        <v/>
      </c>
      <c r="K87" s="20" t="str">
        <f>IFERROR(INDEX('Detalles movimientos'!O$5:O$1004, MATCH(78, 'Detalles movimientos'!$V$5:$V$1004, 0)), "")</f>
        <v/>
      </c>
      <c r="L87" s="18" t="str">
        <f>IFERROR(INDEX('Detalles movimientos'!P$5:P$1004, MATCH(78, 'Detalles movimientos'!$V$5:$V$1004, 0)), "")</f>
        <v/>
      </c>
      <c r="M87" s="18" t="str">
        <f>IFERROR(INDEX('Detalles movimientos'!S$5:S$1004, MATCH(78, 'Detalles movimientos'!$V$5:$V$1004, 0)), "")</f>
        <v/>
      </c>
    </row>
    <row r="88" spans="2:13">
      <c r="B88" s="17" t="str">
        <f>IFERROR(INDEX('Detalles movimientos'!C$5:C$1004, MATCH(79, 'Detalles movimientos'!$V$5:$V$1004, 0)), "")</f>
        <v/>
      </c>
      <c r="C88" s="18" t="str">
        <f>IFERROR(INDEX('Detalles movimientos'!D$5:D$1004, MATCH(79, 'Detalles movimientos'!$V$5:$V$1004, 0)), "")</f>
        <v/>
      </c>
      <c r="D88" s="19" t="str">
        <f>IFERROR(INDEX('Detalles movimientos'!E$5:E$1004, MATCH(79, 'Detalles movimientos'!$V$5:$V$1004, 0)), "")</f>
        <v/>
      </c>
      <c r="E88" s="19" t="str">
        <f>IFERROR(INDEX('Detalles movimientos'!F$5:F$1004, MATCH(79, 'Detalles movimientos'!$V$5:$V$1004, 0)), "")</f>
        <v/>
      </c>
      <c r="F88" s="18" t="str">
        <f>IFERROR(INDEX('Detalles movimientos'!G$5:G$1004, MATCH(79, 'Detalles movimientos'!$V$5:$V$1004, 0)), "")</f>
        <v/>
      </c>
      <c r="G88" s="20" t="str">
        <f>IFERROR(INDEX('Detalles movimientos'!H$5:H$1004, MATCH(79, 'Detalles movimientos'!$V$5:$V$1004, 0)), "")</f>
        <v/>
      </c>
      <c r="H88" s="21" t="str">
        <f>IFERROR(INDEX('Detalles movimientos'!I$5:I$1004, MATCH(79, 'Detalles movimientos'!$V$5:$V$1004, 0)), "")</f>
        <v/>
      </c>
      <c r="I88" s="20" t="str">
        <f>IFERROR(INDEX('Detalles movimientos'!M$5:M$1004, MATCH(79, 'Detalles movimientos'!$V$5:$V$1004, 0)), "")</f>
        <v/>
      </c>
      <c r="J88" s="19" t="str">
        <f>IFERROR(INDEX('Detalles movimientos'!N$5:N$1004, MATCH(79, 'Detalles movimientos'!$V$5:$V$1004, 0)), "")</f>
        <v/>
      </c>
      <c r="K88" s="20" t="str">
        <f>IFERROR(INDEX('Detalles movimientos'!O$5:O$1004, MATCH(79, 'Detalles movimientos'!$V$5:$V$1004, 0)), "")</f>
        <v/>
      </c>
      <c r="L88" s="18" t="str">
        <f>IFERROR(INDEX('Detalles movimientos'!P$5:P$1004, MATCH(79, 'Detalles movimientos'!$V$5:$V$1004, 0)), "")</f>
        <v/>
      </c>
      <c r="M88" s="18" t="str">
        <f>IFERROR(INDEX('Detalles movimientos'!S$5:S$1004, MATCH(79, 'Detalles movimientos'!$V$5:$V$1004, 0)), "")</f>
        <v/>
      </c>
    </row>
    <row r="89" spans="2:13">
      <c r="B89" s="17" t="str">
        <f>IFERROR(INDEX('Detalles movimientos'!C$5:C$1004, MATCH(80, 'Detalles movimientos'!$V$5:$V$1004, 0)), "")</f>
        <v/>
      </c>
      <c r="C89" s="18" t="str">
        <f>IFERROR(INDEX('Detalles movimientos'!D$5:D$1004, MATCH(80, 'Detalles movimientos'!$V$5:$V$1004, 0)), "")</f>
        <v/>
      </c>
      <c r="D89" s="19" t="str">
        <f>IFERROR(INDEX('Detalles movimientos'!E$5:E$1004, MATCH(80, 'Detalles movimientos'!$V$5:$V$1004, 0)), "")</f>
        <v/>
      </c>
      <c r="E89" s="19" t="str">
        <f>IFERROR(INDEX('Detalles movimientos'!F$5:F$1004, MATCH(80, 'Detalles movimientos'!$V$5:$V$1004, 0)), "")</f>
        <v/>
      </c>
      <c r="F89" s="18" t="str">
        <f>IFERROR(INDEX('Detalles movimientos'!G$5:G$1004, MATCH(80, 'Detalles movimientos'!$V$5:$V$1004, 0)), "")</f>
        <v/>
      </c>
      <c r="G89" s="20" t="str">
        <f>IFERROR(INDEX('Detalles movimientos'!H$5:H$1004, MATCH(80, 'Detalles movimientos'!$V$5:$V$1004, 0)), "")</f>
        <v/>
      </c>
      <c r="H89" s="21" t="str">
        <f>IFERROR(INDEX('Detalles movimientos'!I$5:I$1004, MATCH(80, 'Detalles movimientos'!$V$5:$V$1004, 0)), "")</f>
        <v/>
      </c>
      <c r="I89" s="20" t="str">
        <f>IFERROR(INDEX('Detalles movimientos'!M$5:M$1004, MATCH(80, 'Detalles movimientos'!$V$5:$V$1004, 0)), "")</f>
        <v/>
      </c>
      <c r="J89" s="19" t="str">
        <f>IFERROR(INDEX('Detalles movimientos'!N$5:N$1004, MATCH(80, 'Detalles movimientos'!$V$5:$V$1004, 0)), "")</f>
        <v/>
      </c>
      <c r="K89" s="20" t="str">
        <f>IFERROR(INDEX('Detalles movimientos'!O$5:O$1004, MATCH(80, 'Detalles movimientos'!$V$5:$V$1004, 0)), "")</f>
        <v/>
      </c>
      <c r="L89" s="18" t="str">
        <f>IFERROR(INDEX('Detalles movimientos'!P$5:P$1004, MATCH(80, 'Detalles movimientos'!$V$5:$V$1004, 0)), "")</f>
        <v/>
      </c>
      <c r="M89" s="18" t="str">
        <f>IFERROR(INDEX('Detalles movimientos'!S$5:S$1004, MATCH(80, 'Detalles movimientos'!$V$5:$V$1004, 0)), "")</f>
        <v/>
      </c>
    </row>
    <row r="90" spans="2:13">
      <c r="B90" s="17" t="str">
        <f>IFERROR(INDEX('Detalles movimientos'!C$5:C$1004, MATCH(81, 'Detalles movimientos'!$V$5:$V$1004, 0)), "")</f>
        <v/>
      </c>
      <c r="C90" s="18" t="str">
        <f>IFERROR(INDEX('Detalles movimientos'!D$5:D$1004, MATCH(81, 'Detalles movimientos'!$V$5:$V$1004, 0)), "")</f>
        <v/>
      </c>
      <c r="D90" s="19" t="str">
        <f>IFERROR(INDEX('Detalles movimientos'!E$5:E$1004, MATCH(81, 'Detalles movimientos'!$V$5:$V$1004, 0)), "")</f>
        <v/>
      </c>
      <c r="E90" s="19" t="str">
        <f>IFERROR(INDEX('Detalles movimientos'!F$5:F$1004, MATCH(81, 'Detalles movimientos'!$V$5:$V$1004, 0)), "")</f>
        <v/>
      </c>
      <c r="F90" s="18" t="str">
        <f>IFERROR(INDEX('Detalles movimientos'!G$5:G$1004, MATCH(81, 'Detalles movimientos'!$V$5:$V$1004, 0)), "")</f>
        <v/>
      </c>
      <c r="G90" s="20" t="str">
        <f>IFERROR(INDEX('Detalles movimientos'!H$5:H$1004, MATCH(81, 'Detalles movimientos'!$V$5:$V$1004, 0)), "")</f>
        <v/>
      </c>
      <c r="H90" s="21" t="str">
        <f>IFERROR(INDEX('Detalles movimientos'!I$5:I$1004, MATCH(81, 'Detalles movimientos'!$V$5:$V$1004, 0)), "")</f>
        <v/>
      </c>
      <c r="I90" s="20" t="str">
        <f>IFERROR(INDEX('Detalles movimientos'!M$5:M$1004, MATCH(81, 'Detalles movimientos'!$V$5:$V$1004, 0)), "")</f>
        <v/>
      </c>
      <c r="J90" s="19" t="str">
        <f>IFERROR(INDEX('Detalles movimientos'!N$5:N$1004, MATCH(81, 'Detalles movimientos'!$V$5:$V$1004, 0)), "")</f>
        <v/>
      </c>
      <c r="K90" s="20" t="str">
        <f>IFERROR(INDEX('Detalles movimientos'!O$5:O$1004, MATCH(81, 'Detalles movimientos'!$V$5:$V$1004, 0)), "")</f>
        <v/>
      </c>
      <c r="L90" s="18" t="str">
        <f>IFERROR(INDEX('Detalles movimientos'!P$5:P$1004, MATCH(81, 'Detalles movimientos'!$V$5:$V$1004, 0)), "")</f>
        <v/>
      </c>
      <c r="M90" s="18" t="str">
        <f>IFERROR(INDEX('Detalles movimientos'!S$5:S$1004, MATCH(81, 'Detalles movimientos'!$V$5:$V$1004, 0)), "")</f>
        <v/>
      </c>
    </row>
    <row r="91" spans="2:13">
      <c r="B91" s="17" t="str">
        <f>IFERROR(INDEX('Detalles movimientos'!C$5:C$1004, MATCH(82, 'Detalles movimientos'!$V$5:$V$1004, 0)), "")</f>
        <v/>
      </c>
      <c r="C91" s="18" t="str">
        <f>IFERROR(INDEX('Detalles movimientos'!D$5:D$1004, MATCH(82, 'Detalles movimientos'!$V$5:$V$1004, 0)), "")</f>
        <v/>
      </c>
      <c r="D91" s="19" t="str">
        <f>IFERROR(INDEX('Detalles movimientos'!E$5:E$1004, MATCH(82, 'Detalles movimientos'!$V$5:$V$1004, 0)), "")</f>
        <v/>
      </c>
      <c r="E91" s="19" t="str">
        <f>IFERROR(INDEX('Detalles movimientos'!F$5:F$1004, MATCH(82, 'Detalles movimientos'!$V$5:$V$1004, 0)), "")</f>
        <v/>
      </c>
      <c r="F91" s="18" t="str">
        <f>IFERROR(INDEX('Detalles movimientos'!G$5:G$1004, MATCH(82, 'Detalles movimientos'!$V$5:$V$1004, 0)), "")</f>
        <v/>
      </c>
      <c r="G91" s="20" t="str">
        <f>IFERROR(INDEX('Detalles movimientos'!H$5:H$1004, MATCH(82, 'Detalles movimientos'!$V$5:$V$1004, 0)), "")</f>
        <v/>
      </c>
      <c r="H91" s="21" t="str">
        <f>IFERROR(INDEX('Detalles movimientos'!I$5:I$1004, MATCH(82, 'Detalles movimientos'!$V$5:$V$1004, 0)), "")</f>
        <v/>
      </c>
      <c r="I91" s="20" t="str">
        <f>IFERROR(INDEX('Detalles movimientos'!M$5:M$1004, MATCH(82, 'Detalles movimientos'!$V$5:$V$1004, 0)), "")</f>
        <v/>
      </c>
      <c r="J91" s="19" t="str">
        <f>IFERROR(INDEX('Detalles movimientos'!N$5:N$1004, MATCH(82, 'Detalles movimientos'!$V$5:$V$1004, 0)), "")</f>
        <v/>
      </c>
      <c r="K91" s="20" t="str">
        <f>IFERROR(INDEX('Detalles movimientos'!O$5:O$1004, MATCH(82, 'Detalles movimientos'!$V$5:$V$1004, 0)), "")</f>
        <v/>
      </c>
      <c r="L91" s="18" t="str">
        <f>IFERROR(INDEX('Detalles movimientos'!P$5:P$1004, MATCH(82, 'Detalles movimientos'!$V$5:$V$1004, 0)), "")</f>
        <v/>
      </c>
      <c r="M91" s="18" t="str">
        <f>IFERROR(INDEX('Detalles movimientos'!S$5:S$1004, MATCH(82, 'Detalles movimientos'!$V$5:$V$1004, 0)), "")</f>
        <v/>
      </c>
    </row>
    <row r="92" spans="2:13">
      <c r="B92" s="17" t="str">
        <f>IFERROR(INDEX('Detalles movimientos'!C$5:C$1004, MATCH(83, 'Detalles movimientos'!$V$5:$V$1004, 0)), "")</f>
        <v/>
      </c>
      <c r="C92" s="18" t="str">
        <f>IFERROR(INDEX('Detalles movimientos'!D$5:D$1004, MATCH(83, 'Detalles movimientos'!$V$5:$V$1004, 0)), "")</f>
        <v/>
      </c>
      <c r="D92" s="19" t="str">
        <f>IFERROR(INDEX('Detalles movimientos'!E$5:E$1004, MATCH(83, 'Detalles movimientos'!$V$5:$V$1004, 0)), "")</f>
        <v/>
      </c>
      <c r="E92" s="19" t="str">
        <f>IFERROR(INDEX('Detalles movimientos'!F$5:F$1004, MATCH(83, 'Detalles movimientos'!$V$5:$V$1004, 0)), "")</f>
        <v/>
      </c>
      <c r="F92" s="18" t="str">
        <f>IFERROR(INDEX('Detalles movimientos'!G$5:G$1004, MATCH(83, 'Detalles movimientos'!$V$5:$V$1004, 0)), "")</f>
        <v/>
      </c>
      <c r="G92" s="20" t="str">
        <f>IFERROR(INDEX('Detalles movimientos'!H$5:H$1004, MATCH(83, 'Detalles movimientos'!$V$5:$V$1004, 0)), "")</f>
        <v/>
      </c>
      <c r="H92" s="21" t="str">
        <f>IFERROR(INDEX('Detalles movimientos'!I$5:I$1004, MATCH(83, 'Detalles movimientos'!$V$5:$V$1004, 0)), "")</f>
        <v/>
      </c>
      <c r="I92" s="20" t="str">
        <f>IFERROR(INDEX('Detalles movimientos'!M$5:M$1004, MATCH(83, 'Detalles movimientos'!$V$5:$V$1004, 0)), "")</f>
        <v/>
      </c>
      <c r="J92" s="19" t="str">
        <f>IFERROR(INDEX('Detalles movimientos'!N$5:N$1004, MATCH(83, 'Detalles movimientos'!$V$5:$V$1004, 0)), "")</f>
        <v/>
      </c>
      <c r="K92" s="20" t="str">
        <f>IFERROR(INDEX('Detalles movimientos'!O$5:O$1004, MATCH(83, 'Detalles movimientos'!$V$5:$V$1004, 0)), "")</f>
        <v/>
      </c>
      <c r="L92" s="18" t="str">
        <f>IFERROR(INDEX('Detalles movimientos'!P$5:P$1004, MATCH(83, 'Detalles movimientos'!$V$5:$V$1004, 0)), "")</f>
        <v/>
      </c>
      <c r="M92" s="18" t="str">
        <f>IFERROR(INDEX('Detalles movimientos'!S$5:S$1004, MATCH(83, 'Detalles movimientos'!$V$5:$V$1004, 0)), "")</f>
        <v/>
      </c>
    </row>
    <row r="93" spans="2:13">
      <c r="B93" s="17" t="str">
        <f>IFERROR(INDEX('Detalles movimientos'!C$5:C$1004, MATCH(84, 'Detalles movimientos'!$V$5:$V$1004, 0)), "")</f>
        <v/>
      </c>
      <c r="C93" s="18" t="str">
        <f>IFERROR(INDEX('Detalles movimientos'!D$5:D$1004, MATCH(84, 'Detalles movimientos'!$V$5:$V$1004, 0)), "")</f>
        <v/>
      </c>
      <c r="D93" s="19" t="str">
        <f>IFERROR(INDEX('Detalles movimientos'!E$5:E$1004, MATCH(84, 'Detalles movimientos'!$V$5:$V$1004, 0)), "")</f>
        <v/>
      </c>
      <c r="E93" s="19" t="str">
        <f>IFERROR(INDEX('Detalles movimientos'!F$5:F$1004, MATCH(84, 'Detalles movimientos'!$V$5:$V$1004, 0)), "")</f>
        <v/>
      </c>
      <c r="F93" s="18" t="str">
        <f>IFERROR(INDEX('Detalles movimientos'!G$5:G$1004, MATCH(84, 'Detalles movimientos'!$V$5:$V$1004, 0)), "")</f>
        <v/>
      </c>
      <c r="G93" s="20" t="str">
        <f>IFERROR(INDEX('Detalles movimientos'!H$5:H$1004, MATCH(84, 'Detalles movimientos'!$V$5:$V$1004, 0)), "")</f>
        <v/>
      </c>
      <c r="H93" s="21" t="str">
        <f>IFERROR(INDEX('Detalles movimientos'!I$5:I$1004, MATCH(84, 'Detalles movimientos'!$V$5:$V$1004, 0)), "")</f>
        <v/>
      </c>
      <c r="I93" s="20" t="str">
        <f>IFERROR(INDEX('Detalles movimientos'!M$5:M$1004, MATCH(84, 'Detalles movimientos'!$V$5:$V$1004, 0)), "")</f>
        <v/>
      </c>
      <c r="J93" s="19" t="str">
        <f>IFERROR(INDEX('Detalles movimientos'!N$5:N$1004, MATCH(84, 'Detalles movimientos'!$V$5:$V$1004, 0)), "")</f>
        <v/>
      </c>
      <c r="K93" s="20" t="str">
        <f>IFERROR(INDEX('Detalles movimientos'!O$5:O$1004, MATCH(84, 'Detalles movimientos'!$V$5:$V$1004, 0)), "")</f>
        <v/>
      </c>
      <c r="L93" s="18" t="str">
        <f>IFERROR(INDEX('Detalles movimientos'!P$5:P$1004, MATCH(84, 'Detalles movimientos'!$V$5:$V$1004, 0)), "")</f>
        <v/>
      </c>
      <c r="M93" s="18" t="str">
        <f>IFERROR(INDEX('Detalles movimientos'!S$5:S$1004, MATCH(84, 'Detalles movimientos'!$V$5:$V$1004, 0)), "")</f>
        <v/>
      </c>
    </row>
    <row r="94" spans="2:13">
      <c r="B94" s="17" t="str">
        <f>IFERROR(INDEX('Detalles movimientos'!C$5:C$1004, MATCH(85, 'Detalles movimientos'!$V$5:$V$1004, 0)), "")</f>
        <v/>
      </c>
      <c r="C94" s="18" t="str">
        <f>IFERROR(INDEX('Detalles movimientos'!D$5:D$1004, MATCH(85, 'Detalles movimientos'!$V$5:$V$1004, 0)), "")</f>
        <v/>
      </c>
      <c r="D94" s="19" t="str">
        <f>IFERROR(INDEX('Detalles movimientos'!E$5:E$1004, MATCH(85, 'Detalles movimientos'!$V$5:$V$1004, 0)), "")</f>
        <v/>
      </c>
      <c r="E94" s="19" t="str">
        <f>IFERROR(INDEX('Detalles movimientos'!F$5:F$1004, MATCH(85, 'Detalles movimientos'!$V$5:$V$1004, 0)), "")</f>
        <v/>
      </c>
      <c r="F94" s="18" t="str">
        <f>IFERROR(INDEX('Detalles movimientos'!G$5:G$1004, MATCH(85, 'Detalles movimientos'!$V$5:$V$1004, 0)), "")</f>
        <v/>
      </c>
      <c r="G94" s="20" t="str">
        <f>IFERROR(INDEX('Detalles movimientos'!H$5:H$1004, MATCH(85, 'Detalles movimientos'!$V$5:$V$1004, 0)), "")</f>
        <v/>
      </c>
      <c r="H94" s="21" t="str">
        <f>IFERROR(INDEX('Detalles movimientos'!I$5:I$1004, MATCH(85, 'Detalles movimientos'!$V$5:$V$1004, 0)), "")</f>
        <v/>
      </c>
      <c r="I94" s="20" t="str">
        <f>IFERROR(INDEX('Detalles movimientos'!M$5:M$1004, MATCH(85, 'Detalles movimientos'!$V$5:$V$1004, 0)), "")</f>
        <v/>
      </c>
      <c r="J94" s="19" t="str">
        <f>IFERROR(INDEX('Detalles movimientos'!N$5:N$1004, MATCH(85, 'Detalles movimientos'!$V$5:$V$1004, 0)), "")</f>
        <v/>
      </c>
      <c r="K94" s="20" t="str">
        <f>IFERROR(INDEX('Detalles movimientos'!O$5:O$1004, MATCH(85, 'Detalles movimientos'!$V$5:$V$1004, 0)), "")</f>
        <v/>
      </c>
      <c r="L94" s="18" t="str">
        <f>IFERROR(INDEX('Detalles movimientos'!P$5:P$1004, MATCH(85, 'Detalles movimientos'!$V$5:$V$1004, 0)), "")</f>
        <v/>
      </c>
      <c r="M94" s="18" t="str">
        <f>IFERROR(INDEX('Detalles movimientos'!S$5:S$1004, MATCH(85, 'Detalles movimientos'!$V$5:$V$1004, 0)), "")</f>
        <v/>
      </c>
    </row>
    <row r="95" spans="2:13">
      <c r="B95" s="17" t="str">
        <f>IFERROR(INDEX('Detalles movimientos'!C$5:C$1004, MATCH(86, 'Detalles movimientos'!$V$5:$V$1004, 0)), "")</f>
        <v/>
      </c>
      <c r="C95" s="18" t="str">
        <f>IFERROR(INDEX('Detalles movimientos'!D$5:D$1004, MATCH(86, 'Detalles movimientos'!$V$5:$V$1004, 0)), "")</f>
        <v/>
      </c>
      <c r="D95" s="19" t="str">
        <f>IFERROR(INDEX('Detalles movimientos'!E$5:E$1004, MATCH(86, 'Detalles movimientos'!$V$5:$V$1004, 0)), "")</f>
        <v/>
      </c>
      <c r="E95" s="19" t="str">
        <f>IFERROR(INDEX('Detalles movimientos'!F$5:F$1004, MATCH(86, 'Detalles movimientos'!$V$5:$V$1004, 0)), "")</f>
        <v/>
      </c>
      <c r="F95" s="18" t="str">
        <f>IFERROR(INDEX('Detalles movimientos'!G$5:G$1004, MATCH(86, 'Detalles movimientos'!$V$5:$V$1004, 0)), "")</f>
        <v/>
      </c>
      <c r="G95" s="20" t="str">
        <f>IFERROR(INDEX('Detalles movimientos'!H$5:H$1004, MATCH(86, 'Detalles movimientos'!$V$5:$V$1004, 0)), "")</f>
        <v/>
      </c>
      <c r="H95" s="21" t="str">
        <f>IFERROR(INDEX('Detalles movimientos'!I$5:I$1004, MATCH(86, 'Detalles movimientos'!$V$5:$V$1004, 0)), "")</f>
        <v/>
      </c>
      <c r="I95" s="20" t="str">
        <f>IFERROR(INDEX('Detalles movimientos'!M$5:M$1004, MATCH(86, 'Detalles movimientos'!$V$5:$V$1004, 0)), "")</f>
        <v/>
      </c>
      <c r="J95" s="19" t="str">
        <f>IFERROR(INDEX('Detalles movimientos'!N$5:N$1004, MATCH(86, 'Detalles movimientos'!$V$5:$V$1004, 0)), "")</f>
        <v/>
      </c>
      <c r="K95" s="20" t="str">
        <f>IFERROR(INDEX('Detalles movimientos'!O$5:O$1004, MATCH(86, 'Detalles movimientos'!$V$5:$V$1004, 0)), "")</f>
        <v/>
      </c>
      <c r="L95" s="18" t="str">
        <f>IFERROR(INDEX('Detalles movimientos'!P$5:P$1004, MATCH(86, 'Detalles movimientos'!$V$5:$V$1004, 0)), "")</f>
        <v/>
      </c>
      <c r="M95" s="18" t="str">
        <f>IFERROR(INDEX('Detalles movimientos'!S$5:S$1004, MATCH(86, 'Detalles movimientos'!$V$5:$V$1004, 0)), "")</f>
        <v/>
      </c>
    </row>
    <row r="96" spans="2:13">
      <c r="B96" s="17" t="str">
        <f>IFERROR(INDEX('Detalles movimientos'!C$5:C$1004, MATCH(87, 'Detalles movimientos'!$V$5:$V$1004, 0)), "")</f>
        <v/>
      </c>
      <c r="C96" s="18" t="str">
        <f>IFERROR(INDEX('Detalles movimientos'!D$5:D$1004, MATCH(87, 'Detalles movimientos'!$V$5:$V$1004, 0)), "")</f>
        <v/>
      </c>
      <c r="D96" s="19" t="str">
        <f>IFERROR(INDEX('Detalles movimientos'!E$5:E$1004, MATCH(87, 'Detalles movimientos'!$V$5:$V$1004, 0)), "")</f>
        <v/>
      </c>
      <c r="E96" s="19" t="str">
        <f>IFERROR(INDEX('Detalles movimientos'!F$5:F$1004, MATCH(87, 'Detalles movimientos'!$V$5:$V$1004, 0)), "")</f>
        <v/>
      </c>
      <c r="F96" s="18" t="str">
        <f>IFERROR(INDEX('Detalles movimientos'!G$5:G$1004, MATCH(87, 'Detalles movimientos'!$V$5:$V$1004, 0)), "")</f>
        <v/>
      </c>
      <c r="G96" s="20" t="str">
        <f>IFERROR(INDEX('Detalles movimientos'!H$5:H$1004, MATCH(87, 'Detalles movimientos'!$V$5:$V$1004, 0)), "")</f>
        <v/>
      </c>
      <c r="H96" s="21" t="str">
        <f>IFERROR(INDEX('Detalles movimientos'!I$5:I$1004, MATCH(87, 'Detalles movimientos'!$V$5:$V$1004, 0)), "")</f>
        <v/>
      </c>
      <c r="I96" s="20" t="str">
        <f>IFERROR(INDEX('Detalles movimientos'!M$5:M$1004, MATCH(87, 'Detalles movimientos'!$V$5:$V$1004, 0)), "")</f>
        <v/>
      </c>
      <c r="J96" s="19" t="str">
        <f>IFERROR(INDEX('Detalles movimientos'!N$5:N$1004, MATCH(87, 'Detalles movimientos'!$V$5:$V$1004, 0)), "")</f>
        <v/>
      </c>
      <c r="K96" s="20" t="str">
        <f>IFERROR(INDEX('Detalles movimientos'!O$5:O$1004, MATCH(87, 'Detalles movimientos'!$V$5:$V$1004, 0)), "")</f>
        <v/>
      </c>
      <c r="L96" s="18" t="str">
        <f>IFERROR(INDEX('Detalles movimientos'!P$5:P$1004, MATCH(87, 'Detalles movimientos'!$V$5:$V$1004, 0)), "")</f>
        <v/>
      </c>
      <c r="M96" s="18" t="str">
        <f>IFERROR(INDEX('Detalles movimientos'!S$5:S$1004, MATCH(87, 'Detalles movimientos'!$V$5:$V$1004, 0)), "")</f>
        <v/>
      </c>
    </row>
    <row r="97" spans="2:13">
      <c r="B97" s="17" t="str">
        <f>IFERROR(INDEX('Detalles movimientos'!C$5:C$1004, MATCH(88, 'Detalles movimientos'!$V$5:$V$1004, 0)), "")</f>
        <v/>
      </c>
      <c r="C97" s="18" t="str">
        <f>IFERROR(INDEX('Detalles movimientos'!D$5:D$1004, MATCH(88, 'Detalles movimientos'!$V$5:$V$1004, 0)), "")</f>
        <v/>
      </c>
      <c r="D97" s="19" t="str">
        <f>IFERROR(INDEX('Detalles movimientos'!E$5:E$1004, MATCH(88, 'Detalles movimientos'!$V$5:$V$1004, 0)), "")</f>
        <v/>
      </c>
      <c r="E97" s="19" t="str">
        <f>IFERROR(INDEX('Detalles movimientos'!F$5:F$1004, MATCH(88, 'Detalles movimientos'!$V$5:$V$1004, 0)), "")</f>
        <v/>
      </c>
      <c r="F97" s="18" t="str">
        <f>IFERROR(INDEX('Detalles movimientos'!G$5:G$1004, MATCH(88, 'Detalles movimientos'!$V$5:$V$1004, 0)), "")</f>
        <v/>
      </c>
      <c r="G97" s="20" t="str">
        <f>IFERROR(INDEX('Detalles movimientos'!H$5:H$1004, MATCH(88, 'Detalles movimientos'!$V$5:$V$1004, 0)), "")</f>
        <v/>
      </c>
      <c r="H97" s="21" t="str">
        <f>IFERROR(INDEX('Detalles movimientos'!I$5:I$1004, MATCH(88, 'Detalles movimientos'!$V$5:$V$1004, 0)), "")</f>
        <v/>
      </c>
      <c r="I97" s="20" t="str">
        <f>IFERROR(INDEX('Detalles movimientos'!M$5:M$1004, MATCH(88, 'Detalles movimientos'!$V$5:$V$1004, 0)), "")</f>
        <v/>
      </c>
      <c r="J97" s="19" t="str">
        <f>IFERROR(INDEX('Detalles movimientos'!N$5:N$1004, MATCH(88, 'Detalles movimientos'!$V$5:$V$1004, 0)), "")</f>
        <v/>
      </c>
      <c r="K97" s="20" t="str">
        <f>IFERROR(INDEX('Detalles movimientos'!O$5:O$1004, MATCH(88, 'Detalles movimientos'!$V$5:$V$1004, 0)), "")</f>
        <v/>
      </c>
      <c r="L97" s="18" t="str">
        <f>IFERROR(INDEX('Detalles movimientos'!P$5:P$1004, MATCH(88, 'Detalles movimientos'!$V$5:$V$1004, 0)), "")</f>
        <v/>
      </c>
      <c r="M97" s="18" t="str">
        <f>IFERROR(INDEX('Detalles movimientos'!S$5:S$1004, MATCH(88, 'Detalles movimientos'!$V$5:$V$1004, 0)), "")</f>
        <v/>
      </c>
    </row>
    <row r="98" spans="2:13">
      <c r="B98" s="17" t="str">
        <f>IFERROR(INDEX('Detalles movimientos'!C$5:C$1004, MATCH(89, 'Detalles movimientos'!$V$5:$V$1004, 0)), "")</f>
        <v/>
      </c>
      <c r="C98" s="18" t="str">
        <f>IFERROR(INDEX('Detalles movimientos'!D$5:D$1004, MATCH(89, 'Detalles movimientos'!$V$5:$V$1004, 0)), "")</f>
        <v/>
      </c>
      <c r="D98" s="19" t="str">
        <f>IFERROR(INDEX('Detalles movimientos'!E$5:E$1004, MATCH(89, 'Detalles movimientos'!$V$5:$V$1004, 0)), "")</f>
        <v/>
      </c>
      <c r="E98" s="19" t="str">
        <f>IFERROR(INDEX('Detalles movimientos'!F$5:F$1004, MATCH(89, 'Detalles movimientos'!$V$5:$V$1004, 0)), "")</f>
        <v/>
      </c>
      <c r="F98" s="18" t="str">
        <f>IFERROR(INDEX('Detalles movimientos'!G$5:G$1004, MATCH(89, 'Detalles movimientos'!$V$5:$V$1004, 0)), "")</f>
        <v/>
      </c>
      <c r="G98" s="20" t="str">
        <f>IFERROR(INDEX('Detalles movimientos'!H$5:H$1004, MATCH(89, 'Detalles movimientos'!$V$5:$V$1004, 0)), "")</f>
        <v/>
      </c>
      <c r="H98" s="21" t="str">
        <f>IFERROR(INDEX('Detalles movimientos'!I$5:I$1004, MATCH(89, 'Detalles movimientos'!$V$5:$V$1004, 0)), "")</f>
        <v/>
      </c>
      <c r="I98" s="20" t="str">
        <f>IFERROR(INDEX('Detalles movimientos'!M$5:M$1004, MATCH(89, 'Detalles movimientos'!$V$5:$V$1004, 0)), "")</f>
        <v/>
      </c>
      <c r="J98" s="19" t="str">
        <f>IFERROR(INDEX('Detalles movimientos'!N$5:N$1004, MATCH(89, 'Detalles movimientos'!$V$5:$V$1004, 0)), "")</f>
        <v/>
      </c>
      <c r="K98" s="20" t="str">
        <f>IFERROR(INDEX('Detalles movimientos'!O$5:O$1004, MATCH(89, 'Detalles movimientos'!$V$5:$V$1004, 0)), "")</f>
        <v/>
      </c>
      <c r="L98" s="18" t="str">
        <f>IFERROR(INDEX('Detalles movimientos'!P$5:P$1004, MATCH(89, 'Detalles movimientos'!$V$5:$V$1004, 0)), "")</f>
        <v/>
      </c>
      <c r="M98" s="18" t="str">
        <f>IFERROR(INDEX('Detalles movimientos'!S$5:S$1004, MATCH(89, 'Detalles movimientos'!$V$5:$V$1004, 0)), "")</f>
        <v/>
      </c>
    </row>
    <row r="99" spans="2:13">
      <c r="B99" s="17" t="str">
        <f>IFERROR(INDEX('Detalles movimientos'!C$5:C$1004, MATCH(90, 'Detalles movimientos'!$V$5:$V$1004, 0)), "")</f>
        <v/>
      </c>
      <c r="C99" s="18" t="str">
        <f>IFERROR(INDEX('Detalles movimientos'!D$5:D$1004, MATCH(90, 'Detalles movimientos'!$V$5:$V$1004, 0)), "")</f>
        <v/>
      </c>
      <c r="D99" s="19" t="str">
        <f>IFERROR(INDEX('Detalles movimientos'!E$5:E$1004, MATCH(90, 'Detalles movimientos'!$V$5:$V$1004, 0)), "")</f>
        <v/>
      </c>
      <c r="E99" s="19" t="str">
        <f>IFERROR(INDEX('Detalles movimientos'!F$5:F$1004, MATCH(90, 'Detalles movimientos'!$V$5:$V$1004, 0)), "")</f>
        <v/>
      </c>
      <c r="F99" s="18" t="str">
        <f>IFERROR(INDEX('Detalles movimientos'!G$5:G$1004, MATCH(90, 'Detalles movimientos'!$V$5:$V$1004, 0)), "")</f>
        <v/>
      </c>
      <c r="G99" s="20" t="str">
        <f>IFERROR(INDEX('Detalles movimientos'!H$5:H$1004, MATCH(90, 'Detalles movimientos'!$V$5:$V$1004, 0)), "")</f>
        <v/>
      </c>
      <c r="H99" s="21" t="str">
        <f>IFERROR(INDEX('Detalles movimientos'!I$5:I$1004, MATCH(90, 'Detalles movimientos'!$V$5:$V$1004, 0)), "")</f>
        <v/>
      </c>
      <c r="I99" s="20" t="str">
        <f>IFERROR(INDEX('Detalles movimientos'!M$5:M$1004, MATCH(90, 'Detalles movimientos'!$V$5:$V$1004, 0)), "")</f>
        <v/>
      </c>
      <c r="J99" s="19" t="str">
        <f>IFERROR(INDEX('Detalles movimientos'!N$5:N$1004, MATCH(90, 'Detalles movimientos'!$V$5:$V$1004, 0)), "")</f>
        <v/>
      </c>
      <c r="K99" s="20" t="str">
        <f>IFERROR(INDEX('Detalles movimientos'!O$5:O$1004, MATCH(90, 'Detalles movimientos'!$V$5:$V$1004, 0)), "")</f>
        <v/>
      </c>
      <c r="L99" s="18" t="str">
        <f>IFERROR(INDEX('Detalles movimientos'!P$5:P$1004, MATCH(90, 'Detalles movimientos'!$V$5:$V$1004, 0)), "")</f>
        <v/>
      </c>
      <c r="M99" s="18" t="str">
        <f>IFERROR(INDEX('Detalles movimientos'!S$5:S$1004, MATCH(90, 'Detalles movimientos'!$V$5:$V$1004, 0)), "")</f>
        <v/>
      </c>
    </row>
    <row r="100" spans="2:13">
      <c r="B100" s="17" t="str">
        <f>IFERROR(INDEX('Detalles movimientos'!C$5:C$1004, MATCH(91, 'Detalles movimientos'!$V$5:$V$1004, 0)), "")</f>
        <v/>
      </c>
      <c r="C100" s="18" t="str">
        <f>IFERROR(INDEX('Detalles movimientos'!D$5:D$1004, MATCH(91, 'Detalles movimientos'!$V$5:$V$1004, 0)), "")</f>
        <v/>
      </c>
      <c r="D100" s="19" t="str">
        <f>IFERROR(INDEX('Detalles movimientos'!E$5:E$1004, MATCH(91, 'Detalles movimientos'!$V$5:$V$1004, 0)), "")</f>
        <v/>
      </c>
      <c r="E100" s="19" t="str">
        <f>IFERROR(INDEX('Detalles movimientos'!F$5:F$1004, MATCH(91, 'Detalles movimientos'!$V$5:$V$1004, 0)), "")</f>
        <v/>
      </c>
      <c r="F100" s="18" t="str">
        <f>IFERROR(INDEX('Detalles movimientos'!G$5:G$1004, MATCH(91, 'Detalles movimientos'!$V$5:$V$1004, 0)), "")</f>
        <v/>
      </c>
      <c r="G100" s="20" t="str">
        <f>IFERROR(INDEX('Detalles movimientos'!H$5:H$1004, MATCH(91, 'Detalles movimientos'!$V$5:$V$1004, 0)), "")</f>
        <v/>
      </c>
      <c r="H100" s="21" t="str">
        <f>IFERROR(INDEX('Detalles movimientos'!I$5:I$1004, MATCH(91, 'Detalles movimientos'!$V$5:$V$1004, 0)), "")</f>
        <v/>
      </c>
      <c r="I100" s="20" t="str">
        <f>IFERROR(INDEX('Detalles movimientos'!M$5:M$1004, MATCH(91, 'Detalles movimientos'!$V$5:$V$1004, 0)), "")</f>
        <v/>
      </c>
      <c r="J100" s="19" t="str">
        <f>IFERROR(INDEX('Detalles movimientos'!N$5:N$1004, MATCH(91, 'Detalles movimientos'!$V$5:$V$1004, 0)), "")</f>
        <v/>
      </c>
      <c r="K100" s="20" t="str">
        <f>IFERROR(INDEX('Detalles movimientos'!O$5:O$1004, MATCH(91, 'Detalles movimientos'!$V$5:$V$1004, 0)), "")</f>
        <v/>
      </c>
      <c r="L100" s="18" t="str">
        <f>IFERROR(INDEX('Detalles movimientos'!P$5:P$1004, MATCH(91, 'Detalles movimientos'!$V$5:$V$1004, 0)), "")</f>
        <v/>
      </c>
      <c r="M100" s="18" t="str">
        <f>IFERROR(INDEX('Detalles movimientos'!S$5:S$1004, MATCH(91, 'Detalles movimientos'!$V$5:$V$1004, 0)), "")</f>
        <v/>
      </c>
    </row>
    <row r="101" spans="2:13">
      <c r="B101" s="17" t="str">
        <f>IFERROR(INDEX('Detalles movimientos'!C$5:C$1004, MATCH(92, 'Detalles movimientos'!$V$5:$V$1004, 0)), "")</f>
        <v/>
      </c>
      <c r="C101" s="18" t="str">
        <f>IFERROR(INDEX('Detalles movimientos'!D$5:D$1004, MATCH(92, 'Detalles movimientos'!$V$5:$V$1004, 0)), "")</f>
        <v/>
      </c>
      <c r="D101" s="19" t="str">
        <f>IFERROR(INDEX('Detalles movimientos'!E$5:E$1004, MATCH(92, 'Detalles movimientos'!$V$5:$V$1004, 0)), "")</f>
        <v/>
      </c>
      <c r="E101" s="19" t="str">
        <f>IFERROR(INDEX('Detalles movimientos'!F$5:F$1004, MATCH(92, 'Detalles movimientos'!$V$5:$V$1004, 0)), "")</f>
        <v/>
      </c>
      <c r="F101" s="18" t="str">
        <f>IFERROR(INDEX('Detalles movimientos'!G$5:G$1004, MATCH(92, 'Detalles movimientos'!$V$5:$V$1004, 0)), "")</f>
        <v/>
      </c>
      <c r="G101" s="20" t="str">
        <f>IFERROR(INDEX('Detalles movimientos'!H$5:H$1004, MATCH(92, 'Detalles movimientos'!$V$5:$V$1004, 0)), "")</f>
        <v/>
      </c>
      <c r="H101" s="21" t="str">
        <f>IFERROR(INDEX('Detalles movimientos'!I$5:I$1004, MATCH(92, 'Detalles movimientos'!$V$5:$V$1004, 0)), "")</f>
        <v/>
      </c>
      <c r="I101" s="20" t="str">
        <f>IFERROR(INDEX('Detalles movimientos'!M$5:M$1004, MATCH(92, 'Detalles movimientos'!$V$5:$V$1004, 0)), "")</f>
        <v/>
      </c>
      <c r="J101" s="19" t="str">
        <f>IFERROR(INDEX('Detalles movimientos'!N$5:N$1004, MATCH(92, 'Detalles movimientos'!$V$5:$V$1004, 0)), "")</f>
        <v/>
      </c>
      <c r="K101" s="20" t="str">
        <f>IFERROR(INDEX('Detalles movimientos'!O$5:O$1004, MATCH(92, 'Detalles movimientos'!$V$5:$V$1004, 0)), "")</f>
        <v/>
      </c>
      <c r="L101" s="18" t="str">
        <f>IFERROR(INDEX('Detalles movimientos'!P$5:P$1004, MATCH(92, 'Detalles movimientos'!$V$5:$V$1004, 0)), "")</f>
        <v/>
      </c>
      <c r="M101" s="18" t="str">
        <f>IFERROR(INDEX('Detalles movimientos'!S$5:S$1004, MATCH(92, 'Detalles movimientos'!$V$5:$V$1004, 0)), "")</f>
        <v/>
      </c>
    </row>
    <row r="102" spans="2:13">
      <c r="B102" s="17" t="str">
        <f>IFERROR(INDEX('Detalles movimientos'!C$5:C$1004, MATCH(93, 'Detalles movimientos'!$V$5:$V$1004, 0)), "")</f>
        <v/>
      </c>
      <c r="C102" s="18" t="str">
        <f>IFERROR(INDEX('Detalles movimientos'!D$5:D$1004, MATCH(93, 'Detalles movimientos'!$V$5:$V$1004, 0)), "")</f>
        <v/>
      </c>
      <c r="D102" s="19" t="str">
        <f>IFERROR(INDEX('Detalles movimientos'!E$5:E$1004, MATCH(93, 'Detalles movimientos'!$V$5:$V$1004, 0)), "")</f>
        <v/>
      </c>
      <c r="E102" s="19" t="str">
        <f>IFERROR(INDEX('Detalles movimientos'!F$5:F$1004, MATCH(93, 'Detalles movimientos'!$V$5:$V$1004, 0)), "")</f>
        <v/>
      </c>
      <c r="F102" s="18" t="str">
        <f>IFERROR(INDEX('Detalles movimientos'!G$5:G$1004, MATCH(93, 'Detalles movimientos'!$V$5:$V$1004, 0)), "")</f>
        <v/>
      </c>
      <c r="G102" s="20" t="str">
        <f>IFERROR(INDEX('Detalles movimientos'!H$5:H$1004, MATCH(93, 'Detalles movimientos'!$V$5:$V$1004, 0)), "")</f>
        <v/>
      </c>
      <c r="H102" s="21" t="str">
        <f>IFERROR(INDEX('Detalles movimientos'!I$5:I$1004, MATCH(93, 'Detalles movimientos'!$V$5:$V$1004, 0)), "")</f>
        <v/>
      </c>
      <c r="I102" s="20" t="str">
        <f>IFERROR(INDEX('Detalles movimientos'!M$5:M$1004, MATCH(93, 'Detalles movimientos'!$V$5:$V$1004, 0)), "")</f>
        <v/>
      </c>
      <c r="J102" s="19" t="str">
        <f>IFERROR(INDEX('Detalles movimientos'!N$5:N$1004, MATCH(93, 'Detalles movimientos'!$V$5:$V$1004, 0)), "")</f>
        <v/>
      </c>
      <c r="K102" s="20" t="str">
        <f>IFERROR(INDEX('Detalles movimientos'!O$5:O$1004, MATCH(93, 'Detalles movimientos'!$V$5:$V$1004, 0)), "")</f>
        <v/>
      </c>
      <c r="L102" s="18" t="str">
        <f>IFERROR(INDEX('Detalles movimientos'!P$5:P$1004, MATCH(93, 'Detalles movimientos'!$V$5:$V$1004, 0)), "")</f>
        <v/>
      </c>
      <c r="M102" s="18" t="str">
        <f>IFERROR(INDEX('Detalles movimientos'!S$5:S$1004, MATCH(93, 'Detalles movimientos'!$V$5:$V$1004, 0)), "")</f>
        <v/>
      </c>
    </row>
    <row r="103" spans="2:13">
      <c r="B103" s="17" t="str">
        <f>IFERROR(INDEX('Detalles movimientos'!C$5:C$1004, MATCH(94, 'Detalles movimientos'!$V$5:$V$1004, 0)), "")</f>
        <v/>
      </c>
      <c r="C103" s="18" t="str">
        <f>IFERROR(INDEX('Detalles movimientos'!D$5:D$1004, MATCH(94, 'Detalles movimientos'!$V$5:$V$1004, 0)), "")</f>
        <v/>
      </c>
      <c r="D103" s="19" t="str">
        <f>IFERROR(INDEX('Detalles movimientos'!E$5:E$1004, MATCH(94, 'Detalles movimientos'!$V$5:$V$1004, 0)), "")</f>
        <v/>
      </c>
      <c r="E103" s="19" t="str">
        <f>IFERROR(INDEX('Detalles movimientos'!F$5:F$1004, MATCH(94, 'Detalles movimientos'!$V$5:$V$1004, 0)), "")</f>
        <v/>
      </c>
      <c r="F103" s="18" t="str">
        <f>IFERROR(INDEX('Detalles movimientos'!G$5:G$1004, MATCH(94, 'Detalles movimientos'!$V$5:$V$1004, 0)), "")</f>
        <v/>
      </c>
      <c r="G103" s="20" t="str">
        <f>IFERROR(INDEX('Detalles movimientos'!H$5:H$1004, MATCH(94, 'Detalles movimientos'!$V$5:$V$1004, 0)), "")</f>
        <v/>
      </c>
      <c r="H103" s="21" t="str">
        <f>IFERROR(INDEX('Detalles movimientos'!I$5:I$1004, MATCH(94, 'Detalles movimientos'!$V$5:$V$1004, 0)), "")</f>
        <v/>
      </c>
      <c r="I103" s="20" t="str">
        <f>IFERROR(INDEX('Detalles movimientos'!M$5:M$1004, MATCH(94, 'Detalles movimientos'!$V$5:$V$1004, 0)), "")</f>
        <v/>
      </c>
      <c r="J103" s="19" t="str">
        <f>IFERROR(INDEX('Detalles movimientos'!N$5:N$1004, MATCH(94, 'Detalles movimientos'!$V$5:$V$1004, 0)), "")</f>
        <v/>
      </c>
      <c r="K103" s="20" t="str">
        <f>IFERROR(INDEX('Detalles movimientos'!O$5:O$1004, MATCH(94, 'Detalles movimientos'!$V$5:$V$1004, 0)), "")</f>
        <v/>
      </c>
      <c r="L103" s="18" t="str">
        <f>IFERROR(INDEX('Detalles movimientos'!P$5:P$1004, MATCH(94, 'Detalles movimientos'!$V$5:$V$1004, 0)), "")</f>
        <v/>
      </c>
      <c r="M103" s="18" t="str">
        <f>IFERROR(INDEX('Detalles movimientos'!S$5:S$1004, MATCH(94, 'Detalles movimientos'!$V$5:$V$1004, 0)), "")</f>
        <v/>
      </c>
    </row>
    <row r="104" spans="2:13">
      <c r="B104" s="17" t="str">
        <f>IFERROR(INDEX('Detalles movimientos'!C$5:C$1004, MATCH(95, 'Detalles movimientos'!$V$5:$V$1004, 0)), "")</f>
        <v/>
      </c>
      <c r="C104" s="18" t="str">
        <f>IFERROR(INDEX('Detalles movimientos'!D$5:D$1004, MATCH(95, 'Detalles movimientos'!$V$5:$V$1004, 0)), "")</f>
        <v/>
      </c>
      <c r="D104" s="19" t="str">
        <f>IFERROR(INDEX('Detalles movimientos'!E$5:E$1004, MATCH(95, 'Detalles movimientos'!$V$5:$V$1004, 0)), "")</f>
        <v/>
      </c>
      <c r="E104" s="19" t="str">
        <f>IFERROR(INDEX('Detalles movimientos'!F$5:F$1004, MATCH(95, 'Detalles movimientos'!$V$5:$V$1004, 0)), "")</f>
        <v/>
      </c>
      <c r="F104" s="18" t="str">
        <f>IFERROR(INDEX('Detalles movimientos'!G$5:G$1004, MATCH(95, 'Detalles movimientos'!$V$5:$V$1004, 0)), "")</f>
        <v/>
      </c>
      <c r="G104" s="20" t="str">
        <f>IFERROR(INDEX('Detalles movimientos'!H$5:H$1004, MATCH(95, 'Detalles movimientos'!$V$5:$V$1004, 0)), "")</f>
        <v/>
      </c>
      <c r="H104" s="21" t="str">
        <f>IFERROR(INDEX('Detalles movimientos'!I$5:I$1004, MATCH(95, 'Detalles movimientos'!$V$5:$V$1004, 0)), "")</f>
        <v/>
      </c>
      <c r="I104" s="20" t="str">
        <f>IFERROR(INDEX('Detalles movimientos'!M$5:M$1004, MATCH(95, 'Detalles movimientos'!$V$5:$V$1004, 0)), "")</f>
        <v/>
      </c>
      <c r="J104" s="19" t="str">
        <f>IFERROR(INDEX('Detalles movimientos'!N$5:N$1004, MATCH(95, 'Detalles movimientos'!$V$5:$V$1004, 0)), "")</f>
        <v/>
      </c>
      <c r="K104" s="20" t="str">
        <f>IFERROR(INDEX('Detalles movimientos'!O$5:O$1004, MATCH(95, 'Detalles movimientos'!$V$5:$V$1004, 0)), "")</f>
        <v/>
      </c>
      <c r="L104" s="18" t="str">
        <f>IFERROR(INDEX('Detalles movimientos'!P$5:P$1004, MATCH(95, 'Detalles movimientos'!$V$5:$V$1004, 0)), "")</f>
        <v/>
      </c>
      <c r="M104" s="18" t="str">
        <f>IFERROR(INDEX('Detalles movimientos'!S$5:S$1004, MATCH(95, 'Detalles movimientos'!$V$5:$V$1004, 0)), "")</f>
        <v/>
      </c>
    </row>
    <row r="105" spans="2:13">
      <c r="B105" s="17" t="str">
        <f>IFERROR(INDEX('Detalles movimientos'!C$5:C$1004, MATCH(96, 'Detalles movimientos'!$V$5:$V$1004, 0)), "")</f>
        <v/>
      </c>
      <c r="C105" s="18" t="str">
        <f>IFERROR(INDEX('Detalles movimientos'!D$5:D$1004, MATCH(96, 'Detalles movimientos'!$V$5:$V$1004, 0)), "")</f>
        <v/>
      </c>
      <c r="D105" s="19" t="str">
        <f>IFERROR(INDEX('Detalles movimientos'!E$5:E$1004, MATCH(96, 'Detalles movimientos'!$V$5:$V$1004, 0)), "")</f>
        <v/>
      </c>
      <c r="E105" s="19" t="str">
        <f>IFERROR(INDEX('Detalles movimientos'!F$5:F$1004, MATCH(96, 'Detalles movimientos'!$V$5:$V$1004, 0)), "")</f>
        <v/>
      </c>
      <c r="F105" s="18" t="str">
        <f>IFERROR(INDEX('Detalles movimientos'!G$5:G$1004, MATCH(96, 'Detalles movimientos'!$V$5:$V$1004, 0)), "")</f>
        <v/>
      </c>
      <c r="G105" s="20" t="str">
        <f>IFERROR(INDEX('Detalles movimientos'!H$5:H$1004, MATCH(96, 'Detalles movimientos'!$V$5:$V$1004, 0)), "")</f>
        <v/>
      </c>
      <c r="H105" s="21" t="str">
        <f>IFERROR(INDEX('Detalles movimientos'!I$5:I$1004, MATCH(96, 'Detalles movimientos'!$V$5:$V$1004, 0)), "")</f>
        <v/>
      </c>
      <c r="I105" s="20" t="str">
        <f>IFERROR(INDEX('Detalles movimientos'!M$5:M$1004, MATCH(96, 'Detalles movimientos'!$V$5:$V$1004, 0)), "")</f>
        <v/>
      </c>
      <c r="J105" s="19" t="str">
        <f>IFERROR(INDEX('Detalles movimientos'!N$5:N$1004, MATCH(96, 'Detalles movimientos'!$V$5:$V$1004, 0)), "")</f>
        <v/>
      </c>
      <c r="K105" s="20" t="str">
        <f>IFERROR(INDEX('Detalles movimientos'!O$5:O$1004, MATCH(96, 'Detalles movimientos'!$V$5:$V$1004, 0)), "")</f>
        <v/>
      </c>
      <c r="L105" s="18" t="str">
        <f>IFERROR(INDEX('Detalles movimientos'!P$5:P$1004, MATCH(96, 'Detalles movimientos'!$V$5:$V$1004, 0)), "")</f>
        <v/>
      </c>
      <c r="M105" s="18" t="str">
        <f>IFERROR(INDEX('Detalles movimientos'!S$5:S$1004, MATCH(96, 'Detalles movimientos'!$V$5:$V$1004, 0)), "")</f>
        <v/>
      </c>
    </row>
    <row r="106" spans="2:13">
      <c r="B106" s="17" t="str">
        <f>IFERROR(INDEX('Detalles movimientos'!C$5:C$1004, MATCH(97, 'Detalles movimientos'!$V$5:$V$1004, 0)), "")</f>
        <v/>
      </c>
      <c r="C106" s="18" t="str">
        <f>IFERROR(INDEX('Detalles movimientos'!D$5:D$1004, MATCH(97, 'Detalles movimientos'!$V$5:$V$1004, 0)), "")</f>
        <v/>
      </c>
      <c r="D106" s="19" t="str">
        <f>IFERROR(INDEX('Detalles movimientos'!E$5:E$1004, MATCH(97, 'Detalles movimientos'!$V$5:$V$1004, 0)), "")</f>
        <v/>
      </c>
      <c r="E106" s="19" t="str">
        <f>IFERROR(INDEX('Detalles movimientos'!F$5:F$1004, MATCH(97, 'Detalles movimientos'!$V$5:$V$1004, 0)), "")</f>
        <v/>
      </c>
      <c r="F106" s="18" t="str">
        <f>IFERROR(INDEX('Detalles movimientos'!G$5:G$1004, MATCH(97, 'Detalles movimientos'!$V$5:$V$1004, 0)), "")</f>
        <v/>
      </c>
      <c r="G106" s="20" t="str">
        <f>IFERROR(INDEX('Detalles movimientos'!H$5:H$1004, MATCH(97, 'Detalles movimientos'!$V$5:$V$1004, 0)), "")</f>
        <v/>
      </c>
      <c r="H106" s="21" t="str">
        <f>IFERROR(INDEX('Detalles movimientos'!I$5:I$1004, MATCH(97, 'Detalles movimientos'!$V$5:$V$1004, 0)), "")</f>
        <v/>
      </c>
      <c r="I106" s="20" t="str">
        <f>IFERROR(INDEX('Detalles movimientos'!M$5:M$1004, MATCH(97, 'Detalles movimientos'!$V$5:$V$1004, 0)), "")</f>
        <v/>
      </c>
      <c r="J106" s="19" t="str">
        <f>IFERROR(INDEX('Detalles movimientos'!N$5:N$1004, MATCH(97, 'Detalles movimientos'!$V$5:$V$1004, 0)), "")</f>
        <v/>
      </c>
      <c r="K106" s="20" t="str">
        <f>IFERROR(INDEX('Detalles movimientos'!O$5:O$1004, MATCH(97, 'Detalles movimientos'!$V$5:$V$1004, 0)), "")</f>
        <v/>
      </c>
      <c r="L106" s="18" t="str">
        <f>IFERROR(INDEX('Detalles movimientos'!P$5:P$1004, MATCH(97, 'Detalles movimientos'!$V$5:$V$1004, 0)), "")</f>
        <v/>
      </c>
      <c r="M106" s="18" t="str">
        <f>IFERROR(INDEX('Detalles movimientos'!S$5:S$1004, MATCH(97, 'Detalles movimientos'!$V$5:$V$1004, 0)), "")</f>
        <v/>
      </c>
    </row>
    <row r="107" spans="2:13">
      <c r="B107" s="17" t="str">
        <f>IFERROR(INDEX('Detalles movimientos'!C$5:C$1004, MATCH(98, 'Detalles movimientos'!$V$5:$V$1004, 0)), "")</f>
        <v/>
      </c>
      <c r="C107" s="18" t="str">
        <f>IFERROR(INDEX('Detalles movimientos'!D$5:D$1004, MATCH(98, 'Detalles movimientos'!$V$5:$V$1004, 0)), "")</f>
        <v/>
      </c>
      <c r="D107" s="19" t="str">
        <f>IFERROR(INDEX('Detalles movimientos'!E$5:E$1004, MATCH(98, 'Detalles movimientos'!$V$5:$V$1004, 0)), "")</f>
        <v/>
      </c>
      <c r="E107" s="19" t="str">
        <f>IFERROR(INDEX('Detalles movimientos'!F$5:F$1004, MATCH(98, 'Detalles movimientos'!$V$5:$V$1004, 0)), "")</f>
        <v/>
      </c>
      <c r="F107" s="18" t="str">
        <f>IFERROR(INDEX('Detalles movimientos'!G$5:G$1004, MATCH(98, 'Detalles movimientos'!$V$5:$V$1004, 0)), "")</f>
        <v/>
      </c>
      <c r="G107" s="20" t="str">
        <f>IFERROR(INDEX('Detalles movimientos'!H$5:H$1004, MATCH(98, 'Detalles movimientos'!$V$5:$V$1004, 0)), "")</f>
        <v/>
      </c>
      <c r="H107" s="21" t="str">
        <f>IFERROR(INDEX('Detalles movimientos'!I$5:I$1004, MATCH(98, 'Detalles movimientos'!$V$5:$V$1004, 0)), "")</f>
        <v/>
      </c>
      <c r="I107" s="20" t="str">
        <f>IFERROR(INDEX('Detalles movimientos'!M$5:M$1004, MATCH(98, 'Detalles movimientos'!$V$5:$V$1004, 0)), "")</f>
        <v/>
      </c>
      <c r="J107" s="19" t="str">
        <f>IFERROR(INDEX('Detalles movimientos'!N$5:N$1004, MATCH(98, 'Detalles movimientos'!$V$5:$V$1004, 0)), "")</f>
        <v/>
      </c>
      <c r="K107" s="20" t="str">
        <f>IFERROR(INDEX('Detalles movimientos'!O$5:O$1004, MATCH(98, 'Detalles movimientos'!$V$5:$V$1004, 0)), "")</f>
        <v/>
      </c>
      <c r="L107" s="18" t="str">
        <f>IFERROR(INDEX('Detalles movimientos'!P$5:P$1004, MATCH(98, 'Detalles movimientos'!$V$5:$V$1004, 0)), "")</f>
        <v/>
      </c>
      <c r="M107" s="18" t="str">
        <f>IFERROR(INDEX('Detalles movimientos'!S$5:S$1004, MATCH(98, 'Detalles movimientos'!$V$5:$V$1004, 0)), "")</f>
        <v/>
      </c>
    </row>
    <row r="108" spans="2:13">
      <c r="B108" s="17" t="str">
        <f>IFERROR(INDEX('Detalles movimientos'!C$5:C$1004, MATCH(99, 'Detalles movimientos'!$V$5:$V$1004, 0)), "")</f>
        <v/>
      </c>
      <c r="C108" s="18" t="str">
        <f>IFERROR(INDEX('Detalles movimientos'!D$5:D$1004, MATCH(99, 'Detalles movimientos'!$V$5:$V$1004, 0)), "")</f>
        <v/>
      </c>
      <c r="D108" s="19" t="str">
        <f>IFERROR(INDEX('Detalles movimientos'!E$5:E$1004, MATCH(99, 'Detalles movimientos'!$V$5:$V$1004, 0)), "")</f>
        <v/>
      </c>
      <c r="E108" s="19" t="str">
        <f>IFERROR(INDEX('Detalles movimientos'!F$5:F$1004, MATCH(99, 'Detalles movimientos'!$V$5:$V$1004, 0)), "")</f>
        <v/>
      </c>
      <c r="F108" s="18" t="str">
        <f>IFERROR(INDEX('Detalles movimientos'!G$5:G$1004, MATCH(99, 'Detalles movimientos'!$V$5:$V$1004, 0)), "")</f>
        <v/>
      </c>
      <c r="G108" s="20" t="str">
        <f>IFERROR(INDEX('Detalles movimientos'!H$5:H$1004, MATCH(99, 'Detalles movimientos'!$V$5:$V$1004, 0)), "")</f>
        <v/>
      </c>
      <c r="H108" s="21" t="str">
        <f>IFERROR(INDEX('Detalles movimientos'!I$5:I$1004, MATCH(99, 'Detalles movimientos'!$V$5:$V$1004, 0)), "")</f>
        <v/>
      </c>
      <c r="I108" s="20" t="str">
        <f>IFERROR(INDEX('Detalles movimientos'!M$5:M$1004, MATCH(99, 'Detalles movimientos'!$V$5:$V$1004, 0)), "")</f>
        <v/>
      </c>
      <c r="J108" s="19" t="str">
        <f>IFERROR(INDEX('Detalles movimientos'!N$5:N$1004, MATCH(99, 'Detalles movimientos'!$V$5:$V$1004, 0)), "")</f>
        <v/>
      </c>
      <c r="K108" s="20" t="str">
        <f>IFERROR(INDEX('Detalles movimientos'!O$5:O$1004, MATCH(99, 'Detalles movimientos'!$V$5:$V$1004, 0)), "")</f>
        <v/>
      </c>
      <c r="L108" s="18" t="str">
        <f>IFERROR(INDEX('Detalles movimientos'!P$5:P$1004, MATCH(99, 'Detalles movimientos'!$V$5:$V$1004, 0)), "")</f>
        <v/>
      </c>
      <c r="M108" s="18" t="str">
        <f>IFERROR(INDEX('Detalles movimientos'!S$5:S$1004, MATCH(99, 'Detalles movimientos'!$V$5:$V$1004, 0)), "")</f>
        <v/>
      </c>
    </row>
    <row r="109" spans="2:13">
      <c r="B109" s="17" t="str">
        <f>IFERROR(INDEX('Detalles movimientos'!C$5:C$1004, MATCH(100, 'Detalles movimientos'!$V$5:$V$1004, 0)), "")</f>
        <v/>
      </c>
      <c r="C109" s="18" t="str">
        <f>IFERROR(INDEX('Detalles movimientos'!D$5:D$1004, MATCH(100, 'Detalles movimientos'!$V$5:$V$1004, 0)), "")</f>
        <v/>
      </c>
      <c r="D109" s="19" t="str">
        <f>IFERROR(INDEX('Detalles movimientos'!E$5:E$1004, MATCH(100, 'Detalles movimientos'!$V$5:$V$1004, 0)), "")</f>
        <v/>
      </c>
      <c r="E109" s="19" t="str">
        <f>IFERROR(INDEX('Detalles movimientos'!F$5:F$1004, MATCH(100, 'Detalles movimientos'!$V$5:$V$1004, 0)), "")</f>
        <v/>
      </c>
      <c r="F109" s="18" t="str">
        <f>IFERROR(INDEX('Detalles movimientos'!G$5:G$1004, MATCH(100, 'Detalles movimientos'!$V$5:$V$1004, 0)), "")</f>
        <v/>
      </c>
      <c r="G109" s="20" t="str">
        <f>IFERROR(INDEX('Detalles movimientos'!H$5:H$1004, MATCH(100, 'Detalles movimientos'!$V$5:$V$1004, 0)), "")</f>
        <v/>
      </c>
      <c r="H109" s="21" t="str">
        <f>IFERROR(INDEX('Detalles movimientos'!I$5:I$1004, MATCH(100, 'Detalles movimientos'!$V$5:$V$1004, 0)), "")</f>
        <v/>
      </c>
      <c r="I109" s="20" t="str">
        <f>IFERROR(INDEX('Detalles movimientos'!M$5:M$1004, MATCH(100, 'Detalles movimientos'!$V$5:$V$1004, 0)), "")</f>
        <v/>
      </c>
      <c r="J109" s="19" t="str">
        <f>IFERROR(INDEX('Detalles movimientos'!N$5:N$1004, MATCH(100, 'Detalles movimientos'!$V$5:$V$1004, 0)), "")</f>
        <v/>
      </c>
      <c r="K109" s="20" t="str">
        <f>IFERROR(INDEX('Detalles movimientos'!O$5:O$1004, MATCH(100, 'Detalles movimientos'!$V$5:$V$1004, 0)), "")</f>
        <v/>
      </c>
      <c r="L109" s="18" t="str">
        <f>IFERROR(INDEX('Detalles movimientos'!P$5:P$1004, MATCH(100, 'Detalles movimientos'!$V$5:$V$1004, 0)), "")</f>
        <v/>
      </c>
      <c r="M109" s="18" t="str">
        <f>IFERROR(INDEX('Detalles movimientos'!S$5:S$1004, MATCH(100, 'Detalles movimientos'!$V$5:$V$1004, 0)), "")</f>
        <v/>
      </c>
    </row>
    <row r="110" spans="2:13">
      <c r="B110" s="17" t="str">
        <f>IFERROR(INDEX('Detalles movimientos'!C$5:C$1004, MATCH(101, 'Detalles movimientos'!$V$5:$V$1004, 0)), "")</f>
        <v/>
      </c>
      <c r="C110" s="18" t="str">
        <f>IFERROR(INDEX('Detalles movimientos'!D$5:D$1004, MATCH(101, 'Detalles movimientos'!$V$5:$V$1004, 0)), "")</f>
        <v/>
      </c>
      <c r="D110" s="19" t="str">
        <f>IFERROR(INDEX('Detalles movimientos'!E$5:E$1004, MATCH(101, 'Detalles movimientos'!$V$5:$V$1004, 0)), "")</f>
        <v/>
      </c>
      <c r="E110" s="19" t="str">
        <f>IFERROR(INDEX('Detalles movimientos'!F$5:F$1004, MATCH(101, 'Detalles movimientos'!$V$5:$V$1004, 0)), "")</f>
        <v/>
      </c>
      <c r="F110" s="18" t="str">
        <f>IFERROR(INDEX('Detalles movimientos'!G$5:G$1004, MATCH(101, 'Detalles movimientos'!$V$5:$V$1004, 0)), "")</f>
        <v/>
      </c>
      <c r="G110" s="20" t="str">
        <f>IFERROR(INDEX('Detalles movimientos'!H$5:H$1004, MATCH(101, 'Detalles movimientos'!$V$5:$V$1004, 0)), "")</f>
        <v/>
      </c>
      <c r="H110" s="21" t="str">
        <f>IFERROR(INDEX('Detalles movimientos'!I$5:I$1004, MATCH(101, 'Detalles movimientos'!$V$5:$V$1004, 0)), "")</f>
        <v/>
      </c>
      <c r="I110" s="20" t="str">
        <f>IFERROR(INDEX('Detalles movimientos'!M$5:M$1004, MATCH(101, 'Detalles movimientos'!$V$5:$V$1004, 0)), "")</f>
        <v/>
      </c>
      <c r="J110" s="19" t="str">
        <f>IFERROR(INDEX('Detalles movimientos'!N$5:N$1004, MATCH(101, 'Detalles movimientos'!$V$5:$V$1004, 0)), "")</f>
        <v/>
      </c>
      <c r="K110" s="20" t="str">
        <f>IFERROR(INDEX('Detalles movimientos'!O$5:O$1004, MATCH(101, 'Detalles movimientos'!$V$5:$V$1004, 0)), "")</f>
        <v/>
      </c>
      <c r="L110" s="18" t="str">
        <f>IFERROR(INDEX('Detalles movimientos'!P$5:P$1004, MATCH(101, 'Detalles movimientos'!$V$5:$V$1004, 0)), "")</f>
        <v/>
      </c>
      <c r="M110" s="18" t="str">
        <f>IFERROR(INDEX('Detalles movimientos'!S$5:S$1004, MATCH(101, 'Detalles movimientos'!$V$5:$V$1004, 0)), "")</f>
        <v/>
      </c>
    </row>
    <row r="111" spans="2:13">
      <c r="B111" s="17" t="str">
        <f>IFERROR(INDEX('Detalles movimientos'!C$5:C$1004, MATCH(102, 'Detalles movimientos'!$V$5:$V$1004, 0)), "")</f>
        <v/>
      </c>
      <c r="C111" s="18" t="str">
        <f>IFERROR(INDEX('Detalles movimientos'!D$5:D$1004, MATCH(102, 'Detalles movimientos'!$V$5:$V$1004, 0)), "")</f>
        <v/>
      </c>
      <c r="D111" s="19" t="str">
        <f>IFERROR(INDEX('Detalles movimientos'!E$5:E$1004, MATCH(102, 'Detalles movimientos'!$V$5:$V$1004, 0)), "")</f>
        <v/>
      </c>
      <c r="E111" s="19" t="str">
        <f>IFERROR(INDEX('Detalles movimientos'!F$5:F$1004, MATCH(102, 'Detalles movimientos'!$V$5:$V$1004, 0)), "")</f>
        <v/>
      </c>
      <c r="F111" s="18" t="str">
        <f>IFERROR(INDEX('Detalles movimientos'!G$5:G$1004, MATCH(102, 'Detalles movimientos'!$V$5:$V$1004, 0)), "")</f>
        <v/>
      </c>
      <c r="G111" s="20" t="str">
        <f>IFERROR(INDEX('Detalles movimientos'!H$5:H$1004, MATCH(102, 'Detalles movimientos'!$V$5:$V$1004, 0)), "")</f>
        <v/>
      </c>
      <c r="H111" s="21" t="str">
        <f>IFERROR(INDEX('Detalles movimientos'!I$5:I$1004, MATCH(102, 'Detalles movimientos'!$V$5:$V$1004, 0)), "")</f>
        <v/>
      </c>
      <c r="I111" s="20" t="str">
        <f>IFERROR(INDEX('Detalles movimientos'!M$5:M$1004, MATCH(102, 'Detalles movimientos'!$V$5:$V$1004, 0)), "")</f>
        <v/>
      </c>
      <c r="J111" s="19" t="str">
        <f>IFERROR(INDEX('Detalles movimientos'!N$5:N$1004, MATCH(102, 'Detalles movimientos'!$V$5:$V$1004, 0)), "")</f>
        <v/>
      </c>
      <c r="K111" s="20" t="str">
        <f>IFERROR(INDEX('Detalles movimientos'!O$5:O$1004, MATCH(102, 'Detalles movimientos'!$V$5:$V$1004, 0)), "")</f>
        <v/>
      </c>
      <c r="L111" s="18" t="str">
        <f>IFERROR(INDEX('Detalles movimientos'!P$5:P$1004, MATCH(102, 'Detalles movimientos'!$V$5:$V$1004, 0)), "")</f>
        <v/>
      </c>
      <c r="M111" s="18" t="str">
        <f>IFERROR(INDEX('Detalles movimientos'!S$5:S$1004, MATCH(102, 'Detalles movimientos'!$V$5:$V$1004, 0)), "")</f>
        <v/>
      </c>
    </row>
    <row r="112" spans="2:13">
      <c r="B112" s="17" t="str">
        <f>IFERROR(INDEX('Detalles movimientos'!C$5:C$1004, MATCH(103, 'Detalles movimientos'!$V$5:$V$1004, 0)), "")</f>
        <v/>
      </c>
      <c r="C112" s="18" t="str">
        <f>IFERROR(INDEX('Detalles movimientos'!D$5:D$1004, MATCH(103, 'Detalles movimientos'!$V$5:$V$1004, 0)), "")</f>
        <v/>
      </c>
      <c r="D112" s="19" t="str">
        <f>IFERROR(INDEX('Detalles movimientos'!E$5:E$1004, MATCH(103, 'Detalles movimientos'!$V$5:$V$1004, 0)), "")</f>
        <v/>
      </c>
      <c r="E112" s="19" t="str">
        <f>IFERROR(INDEX('Detalles movimientos'!F$5:F$1004, MATCH(103, 'Detalles movimientos'!$V$5:$V$1004, 0)), "")</f>
        <v/>
      </c>
      <c r="F112" s="18" t="str">
        <f>IFERROR(INDEX('Detalles movimientos'!G$5:G$1004, MATCH(103, 'Detalles movimientos'!$V$5:$V$1004, 0)), "")</f>
        <v/>
      </c>
      <c r="G112" s="20" t="str">
        <f>IFERROR(INDEX('Detalles movimientos'!H$5:H$1004, MATCH(103, 'Detalles movimientos'!$V$5:$V$1004, 0)), "")</f>
        <v/>
      </c>
      <c r="H112" s="21" t="str">
        <f>IFERROR(INDEX('Detalles movimientos'!I$5:I$1004, MATCH(103, 'Detalles movimientos'!$V$5:$V$1004, 0)), "")</f>
        <v/>
      </c>
      <c r="I112" s="20" t="str">
        <f>IFERROR(INDEX('Detalles movimientos'!M$5:M$1004, MATCH(103, 'Detalles movimientos'!$V$5:$V$1004, 0)), "")</f>
        <v/>
      </c>
      <c r="J112" s="19" t="str">
        <f>IFERROR(INDEX('Detalles movimientos'!N$5:N$1004, MATCH(103, 'Detalles movimientos'!$V$5:$V$1004, 0)), "")</f>
        <v/>
      </c>
      <c r="K112" s="20" t="str">
        <f>IFERROR(INDEX('Detalles movimientos'!O$5:O$1004, MATCH(103, 'Detalles movimientos'!$V$5:$V$1004, 0)), "")</f>
        <v/>
      </c>
      <c r="L112" s="18" t="str">
        <f>IFERROR(INDEX('Detalles movimientos'!P$5:P$1004, MATCH(103, 'Detalles movimientos'!$V$5:$V$1004, 0)), "")</f>
        <v/>
      </c>
      <c r="M112" s="18" t="str">
        <f>IFERROR(INDEX('Detalles movimientos'!S$5:S$1004, MATCH(103, 'Detalles movimientos'!$V$5:$V$1004, 0)), "")</f>
        <v/>
      </c>
    </row>
    <row r="113" spans="2:13">
      <c r="B113" s="17" t="str">
        <f>IFERROR(INDEX('Detalles movimientos'!C$5:C$1004, MATCH(104, 'Detalles movimientos'!$V$5:$V$1004, 0)), "")</f>
        <v/>
      </c>
      <c r="C113" s="18" t="str">
        <f>IFERROR(INDEX('Detalles movimientos'!D$5:D$1004, MATCH(104, 'Detalles movimientos'!$V$5:$V$1004, 0)), "")</f>
        <v/>
      </c>
      <c r="D113" s="19" t="str">
        <f>IFERROR(INDEX('Detalles movimientos'!E$5:E$1004, MATCH(104, 'Detalles movimientos'!$V$5:$V$1004, 0)), "")</f>
        <v/>
      </c>
      <c r="E113" s="19" t="str">
        <f>IFERROR(INDEX('Detalles movimientos'!F$5:F$1004, MATCH(104, 'Detalles movimientos'!$V$5:$V$1004, 0)), "")</f>
        <v/>
      </c>
      <c r="F113" s="18" t="str">
        <f>IFERROR(INDEX('Detalles movimientos'!G$5:G$1004, MATCH(104, 'Detalles movimientos'!$V$5:$V$1004, 0)), "")</f>
        <v/>
      </c>
      <c r="G113" s="20" t="str">
        <f>IFERROR(INDEX('Detalles movimientos'!H$5:H$1004, MATCH(104, 'Detalles movimientos'!$V$5:$V$1004, 0)), "")</f>
        <v/>
      </c>
      <c r="H113" s="21" t="str">
        <f>IFERROR(INDEX('Detalles movimientos'!I$5:I$1004, MATCH(104, 'Detalles movimientos'!$V$5:$V$1004, 0)), "")</f>
        <v/>
      </c>
      <c r="I113" s="20" t="str">
        <f>IFERROR(INDEX('Detalles movimientos'!M$5:M$1004, MATCH(104, 'Detalles movimientos'!$V$5:$V$1004, 0)), "")</f>
        <v/>
      </c>
      <c r="J113" s="19" t="str">
        <f>IFERROR(INDEX('Detalles movimientos'!N$5:N$1004, MATCH(104, 'Detalles movimientos'!$V$5:$V$1004, 0)), "")</f>
        <v/>
      </c>
      <c r="K113" s="20" t="str">
        <f>IFERROR(INDEX('Detalles movimientos'!O$5:O$1004, MATCH(104, 'Detalles movimientos'!$V$5:$V$1004, 0)), "")</f>
        <v/>
      </c>
      <c r="L113" s="18" t="str">
        <f>IFERROR(INDEX('Detalles movimientos'!P$5:P$1004, MATCH(104, 'Detalles movimientos'!$V$5:$V$1004, 0)), "")</f>
        <v/>
      </c>
      <c r="M113" s="18" t="str">
        <f>IFERROR(INDEX('Detalles movimientos'!S$5:S$1004, MATCH(104, 'Detalles movimientos'!$V$5:$V$1004, 0)), "")</f>
        <v/>
      </c>
    </row>
    <row r="114" spans="2:13">
      <c r="B114" s="17" t="str">
        <f>IFERROR(INDEX('Detalles movimientos'!C$5:C$1004, MATCH(105, 'Detalles movimientos'!$V$5:$V$1004, 0)), "")</f>
        <v/>
      </c>
      <c r="C114" s="18" t="str">
        <f>IFERROR(INDEX('Detalles movimientos'!D$5:D$1004, MATCH(105, 'Detalles movimientos'!$V$5:$V$1004, 0)), "")</f>
        <v/>
      </c>
      <c r="D114" s="19" t="str">
        <f>IFERROR(INDEX('Detalles movimientos'!E$5:E$1004, MATCH(105, 'Detalles movimientos'!$V$5:$V$1004, 0)), "")</f>
        <v/>
      </c>
      <c r="E114" s="19" t="str">
        <f>IFERROR(INDEX('Detalles movimientos'!F$5:F$1004, MATCH(105, 'Detalles movimientos'!$V$5:$V$1004, 0)), "")</f>
        <v/>
      </c>
      <c r="F114" s="18" t="str">
        <f>IFERROR(INDEX('Detalles movimientos'!G$5:G$1004, MATCH(105, 'Detalles movimientos'!$V$5:$V$1004, 0)), "")</f>
        <v/>
      </c>
      <c r="G114" s="20" t="str">
        <f>IFERROR(INDEX('Detalles movimientos'!H$5:H$1004, MATCH(105, 'Detalles movimientos'!$V$5:$V$1004, 0)), "")</f>
        <v/>
      </c>
      <c r="H114" s="21" t="str">
        <f>IFERROR(INDEX('Detalles movimientos'!I$5:I$1004, MATCH(105, 'Detalles movimientos'!$V$5:$V$1004, 0)), "")</f>
        <v/>
      </c>
      <c r="I114" s="20" t="str">
        <f>IFERROR(INDEX('Detalles movimientos'!M$5:M$1004, MATCH(105, 'Detalles movimientos'!$V$5:$V$1004, 0)), "")</f>
        <v/>
      </c>
      <c r="J114" s="19" t="str">
        <f>IFERROR(INDEX('Detalles movimientos'!N$5:N$1004, MATCH(105, 'Detalles movimientos'!$V$5:$V$1004, 0)), "")</f>
        <v/>
      </c>
      <c r="K114" s="20" t="str">
        <f>IFERROR(INDEX('Detalles movimientos'!O$5:O$1004, MATCH(105, 'Detalles movimientos'!$V$5:$V$1004, 0)), "")</f>
        <v/>
      </c>
      <c r="L114" s="18" t="str">
        <f>IFERROR(INDEX('Detalles movimientos'!P$5:P$1004, MATCH(105, 'Detalles movimientos'!$V$5:$V$1004, 0)), "")</f>
        <v/>
      </c>
      <c r="M114" s="18" t="str">
        <f>IFERROR(INDEX('Detalles movimientos'!S$5:S$1004, MATCH(105, 'Detalles movimientos'!$V$5:$V$1004, 0)), "")</f>
        <v/>
      </c>
    </row>
    <row r="115" spans="2:13">
      <c r="B115" s="17" t="str">
        <f>IFERROR(INDEX('Detalles movimientos'!C$5:C$1004, MATCH(106, 'Detalles movimientos'!$V$5:$V$1004, 0)), "")</f>
        <v/>
      </c>
      <c r="C115" s="18" t="str">
        <f>IFERROR(INDEX('Detalles movimientos'!D$5:D$1004, MATCH(106, 'Detalles movimientos'!$V$5:$V$1004, 0)), "")</f>
        <v/>
      </c>
      <c r="D115" s="19" t="str">
        <f>IFERROR(INDEX('Detalles movimientos'!E$5:E$1004, MATCH(106, 'Detalles movimientos'!$V$5:$V$1004, 0)), "")</f>
        <v/>
      </c>
      <c r="E115" s="19" t="str">
        <f>IFERROR(INDEX('Detalles movimientos'!F$5:F$1004, MATCH(106, 'Detalles movimientos'!$V$5:$V$1004, 0)), "")</f>
        <v/>
      </c>
      <c r="F115" s="18" t="str">
        <f>IFERROR(INDEX('Detalles movimientos'!G$5:G$1004, MATCH(106, 'Detalles movimientos'!$V$5:$V$1004, 0)), "")</f>
        <v/>
      </c>
      <c r="G115" s="20" t="str">
        <f>IFERROR(INDEX('Detalles movimientos'!H$5:H$1004, MATCH(106, 'Detalles movimientos'!$V$5:$V$1004, 0)), "")</f>
        <v/>
      </c>
      <c r="H115" s="21" t="str">
        <f>IFERROR(INDEX('Detalles movimientos'!I$5:I$1004, MATCH(106, 'Detalles movimientos'!$V$5:$V$1004, 0)), "")</f>
        <v/>
      </c>
      <c r="I115" s="20" t="str">
        <f>IFERROR(INDEX('Detalles movimientos'!M$5:M$1004, MATCH(106, 'Detalles movimientos'!$V$5:$V$1004, 0)), "")</f>
        <v/>
      </c>
      <c r="J115" s="19" t="str">
        <f>IFERROR(INDEX('Detalles movimientos'!N$5:N$1004, MATCH(106, 'Detalles movimientos'!$V$5:$V$1004, 0)), "")</f>
        <v/>
      </c>
      <c r="K115" s="20" t="str">
        <f>IFERROR(INDEX('Detalles movimientos'!O$5:O$1004, MATCH(106, 'Detalles movimientos'!$V$5:$V$1004, 0)), "")</f>
        <v/>
      </c>
      <c r="L115" s="18" t="str">
        <f>IFERROR(INDEX('Detalles movimientos'!P$5:P$1004, MATCH(106, 'Detalles movimientos'!$V$5:$V$1004, 0)), "")</f>
        <v/>
      </c>
      <c r="M115" s="18" t="str">
        <f>IFERROR(INDEX('Detalles movimientos'!S$5:S$1004, MATCH(106, 'Detalles movimientos'!$V$5:$V$1004, 0)), "")</f>
        <v/>
      </c>
    </row>
    <row r="116" spans="2:13">
      <c r="B116" s="17" t="str">
        <f>IFERROR(INDEX('Detalles movimientos'!C$5:C$1004, MATCH(107, 'Detalles movimientos'!$V$5:$V$1004, 0)), "")</f>
        <v/>
      </c>
      <c r="C116" s="18" t="str">
        <f>IFERROR(INDEX('Detalles movimientos'!D$5:D$1004, MATCH(107, 'Detalles movimientos'!$V$5:$V$1004, 0)), "")</f>
        <v/>
      </c>
      <c r="D116" s="19" t="str">
        <f>IFERROR(INDEX('Detalles movimientos'!E$5:E$1004, MATCH(107, 'Detalles movimientos'!$V$5:$V$1004, 0)), "")</f>
        <v/>
      </c>
      <c r="E116" s="19" t="str">
        <f>IFERROR(INDEX('Detalles movimientos'!F$5:F$1004, MATCH(107, 'Detalles movimientos'!$V$5:$V$1004, 0)), "")</f>
        <v/>
      </c>
      <c r="F116" s="18" t="str">
        <f>IFERROR(INDEX('Detalles movimientos'!G$5:G$1004, MATCH(107, 'Detalles movimientos'!$V$5:$V$1004, 0)), "")</f>
        <v/>
      </c>
      <c r="G116" s="20" t="str">
        <f>IFERROR(INDEX('Detalles movimientos'!H$5:H$1004, MATCH(107, 'Detalles movimientos'!$V$5:$V$1004, 0)), "")</f>
        <v/>
      </c>
      <c r="H116" s="21" t="str">
        <f>IFERROR(INDEX('Detalles movimientos'!I$5:I$1004, MATCH(107, 'Detalles movimientos'!$V$5:$V$1004, 0)), "")</f>
        <v/>
      </c>
      <c r="I116" s="20" t="str">
        <f>IFERROR(INDEX('Detalles movimientos'!M$5:M$1004, MATCH(107, 'Detalles movimientos'!$V$5:$V$1004, 0)), "")</f>
        <v/>
      </c>
      <c r="J116" s="19" t="str">
        <f>IFERROR(INDEX('Detalles movimientos'!N$5:N$1004, MATCH(107, 'Detalles movimientos'!$V$5:$V$1004, 0)), "")</f>
        <v/>
      </c>
      <c r="K116" s="20" t="str">
        <f>IFERROR(INDEX('Detalles movimientos'!O$5:O$1004, MATCH(107, 'Detalles movimientos'!$V$5:$V$1004, 0)), "")</f>
        <v/>
      </c>
      <c r="L116" s="18" t="str">
        <f>IFERROR(INDEX('Detalles movimientos'!P$5:P$1004, MATCH(107, 'Detalles movimientos'!$V$5:$V$1004, 0)), "")</f>
        <v/>
      </c>
      <c r="M116" s="18" t="str">
        <f>IFERROR(INDEX('Detalles movimientos'!S$5:S$1004, MATCH(107, 'Detalles movimientos'!$V$5:$V$1004, 0)), "")</f>
        <v/>
      </c>
    </row>
    <row r="117" spans="2:13">
      <c r="B117" s="17" t="str">
        <f>IFERROR(INDEX('Detalles movimientos'!C$5:C$1004, MATCH(108, 'Detalles movimientos'!$V$5:$V$1004, 0)), "")</f>
        <v/>
      </c>
      <c r="C117" s="18" t="str">
        <f>IFERROR(INDEX('Detalles movimientos'!D$5:D$1004, MATCH(108, 'Detalles movimientos'!$V$5:$V$1004, 0)), "")</f>
        <v/>
      </c>
      <c r="D117" s="19" t="str">
        <f>IFERROR(INDEX('Detalles movimientos'!E$5:E$1004, MATCH(108, 'Detalles movimientos'!$V$5:$V$1004, 0)), "")</f>
        <v/>
      </c>
      <c r="E117" s="19" t="str">
        <f>IFERROR(INDEX('Detalles movimientos'!F$5:F$1004, MATCH(108, 'Detalles movimientos'!$V$5:$V$1004, 0)), "")</f>
        <v/>
      </c>
      <c r="F117" s="18" t="str">
        <f>IFERROR(INDEX('Detalles movimientos'!G$5:G$1004, MATCH(108, 'Detalles movimientos'!$V$5:$V$1004, 0)), "")</f>
        <v/>
      </c>
      <c r="G117" s="20" t="str">
        <f>IFERROR(INDEX('Detalles movimientos'!H$5:H$1004, MATCH(108, 'Detalles movimientos'!$V$5:$V$1004, 0)), "")</f>
        <v/>
      </c>
      <c r="H117" s="21" t="str">
        <f>IFERROR(INDEX('Detalles movimientos'!I$5:I$1004, MATCH(108, 'Detalles movimientos'!$V$5:$V$1004, 0)), "")</f>
        <v/>
      </c>
      <c r="I117" s="20" t="str">
        <f>IFERROR(INDEX('Detalles movimientos'!M$5:M$1004, MATCH(108, 'Detalles movimientos'!$V$5:$V$1004, 0)), "")</f>
        <v/>
      </c>
      <c r="J117" s="19" t="str">
        <f>IFERROR(INDEX('Detalles movimientos'!N$5:N$1004, MATCH(108, 'Detalles movimientos'!$V$5:$V$1004, 0)), "")</f>
        <v/>
      </c>
      <c r="K117" s="20" t="str">
        <f>IFERROR(INDEX('Detalles movimientos'!O$5:O$1004, MATCH(108, 'Detalles movimientos'!$V$5:$V$1004, 0)), "")</f>
        <v/>
      </c>
      <c r="L117" s="18" t="str">
        <f>IFERROR(INDEX('Detalles movimientos'!P$5:P$1004, MATCH(108, 'Detalles movimientos'!$V$5:$V$1004, 0)), "")</f>
        <v/>
      </c>
      <c r="M117" s="18" t="str">
        <f>IFERROR(INDEX('Detalles movimientos'!S$5:S$1004, MATCH(108, 'Detalles movimientos'!$V$5:$V$1004, 0)), "")</f>
        <v/>
      </c>
    </row>
    <row r="118" spans="2:13">
      <c r="B118" s="17" t="str">
        <f>IFERROR(INDEX('Detalles movimientos'!C$5:C$1004, MATCH(109, 'Detalles movimientos'!$V$5:$V$1004, 0)), "")</f>
        <v/>
      </c>
      <c r="C118" s="18" t="str">
        <f>IFERROR(INDEX('Detalles movimientos'!D$5:D$1004, MATCH(109, 'Detalles movimientos'!$V$5:$V$1004, 0)), "")</f>
        <v/>
      </c>
      <c r="D118" s="19" t="str">
        <f>IFERROR(INDEX('Detalles movimientos'!E$5:E$1004, MATCH(109, 'Detalles movimientos'!$V$5:$V$1004, 0)), "")</f>
        <v/>
      </c>
      <c r="E118" s="19" t="str">
        <f>IFERROR(INDEX('Detalles movimientos'!F$5:F$1004, MATCH(109, 'Detalles movimientos'!$V$5:$V$1004, 0)), "")</f>
        <v/>
      </c>
      <c r="F118" s="18" t="str">
        <f>IFERROR(INDEX('Detalles movimientos'!G$5:G$1004, MATCH(109, 'Detalles movimientos'!$V$5:$V$1004, 0)), "")</f>
        <v/>
      </c>
      <c r="G118" s="20" t="str">
        <f>IFERROR(INDEX('Detalles movimientos'!H$5:H$1004, MATCH(109, 'Detalles movimientos'!$V$5:$V$1004, 0)), "")</f>
        <v/>
      </c>
      <c r="H118" s="21" t="str">
        <f>IFERROR(INDEX('Detalles movimientos'!I$5:I$1004, MATCH(109, 'Detalles movimientos'!$V$5:$V$1004, 0)), "")</f>
        <v/>
      </c>
      <c r="I118" s="20" t="str">
        <f>IFERROR(INDEX('Detalles movimientos'!M$5:M$1004, MATCH(109, 'Detalles movimientos'!$V$5:$V$1004, 0)), "")</f>
        <v/>
      </c>
      <c r="J118" s="19" t="str">
        <f>IFERROR(INDEX('Detalles movimientos'!N$5:N$1004, MATCH(109, 'Detalles movimientos'!$V$5:$V$1004, 0)), "")</f>
        <v/>
      </c>
      <c r="K118" s="20" t="str">
        <f>IFERROR(INDEX('Detalles movimientos'!O$5:O$1004, MATCH(109, 'Detalles movimientos'!$V$5:$V$1004, 0)), "")</f>
        <v/>
      </c>
      <c r="L118" s="18" t="str">
        <f>IFERROR(INDEX('Detalles movimientos'!P$5:P$1004, MATCH(109, 'Detalles movimientos'!$V$5:$V$1004, 0)), "")</f>
        <v/>
      </c>
      <c r="M118" s="18" t="str">
        <f>IFERROR(INDEX('Detalles movimientos'!S$5:S$1004, MATCH(109, 'Detalles movimientos'!$V$5:$V$1004, 0)), "")</f>
        <v/>
      </c>
    </row>
    <row r="119" spans="2:13">
      <c r="B119" s="17" t="str">
        <f>IFERROR(INDEX('Detalles movimientos'!C$5:C$1004, MATCH(110, 'Detalles movimientos'!$V$5:$V$1004, 0)), "")</f>
        <v/>
      </c>
      <c r="C119" s="18" t="str">
        <f>IFERROR(INDEX('Detalles movimientos'!D$5:D$1004, MATCH(110, 'Detalles movimientos'!$V$5:$V$1004, 0)), "")</f>
        <v/>
      </c>
      <c r="D119" s="19" t="str">
        <f>IFERROR(INDEX('Detalles movimientos'!E$5:E$1004, MATCH(110, 'Detalles movimientos'!$V$5:$V$1004, 0)), "")</f>
        <v/>
      </c>
      <c r="E119" s="19" t="str">
        <f>IFERROR(INDEX('Detalles movimientos'!F$5:F$1004, MATCH(110, 'Detalles movimientos'!$V$5:$V$1004, 0)), "")</f>
        <v/>
      </c>
      <c r="F119" s="18" t="str">
        <f>IFERROR(INDEX('Detalles movimientos'!G$5:G$1004, MATCH(110, 'Detalles movimientos'!$V$5:$V$1004, 0)), "")</f>
        <v/>
      </c>
      <c r="G119" s="20" t="str">
        <f>IFERROR(INDEX('Detalles movimientos'!H$5:H$1004, MATCH(110, 'Detalles movimientos'!$V$5:$V$1004, 0)), "")</f>
        <v/>
      </c>
      <c r="H119" s="21" t="str">
        <f>IFERROR(INDEX('Detalles movimientos'!I$5:I$1004, MATCH(110, 'Detalles movimientos'!$V$5:$V$1004, 0)), "")</f>
        <v/>
      </c>
      <c r="I119" s="20" t="str">
        <f>IFERROR(INDEX('Detalles movimientos'!M$5:M$1004, MATCH(110, 'Detalles movimientos'!$V$5:$V$1004, 0)), "")</f>
        <v/>
      </c>
      <c r="J119" s="19" t="str">
        <f>IFERROR(INDEX('Detalles movimientos'!N$5:N$1004, MATCH(110, 'Detalles movimientos'!$V$5:$V$1004, 0)), "")</f>
        <v/>
      </c>
      <c r="K119" s="20" t="str">
        <f>IFERROR(INDEX('Detalles movimientos'!O$5:O$1004, MATCH(110, 'Detalles movimientos'!$V$5:$V$1004, 0)), "")</f>
        <v/>
      </c>
      <c r="L119" s="18" t="str">
        <f>IFERROR(INDEX('Detalles movimientos'!P$5:P$1004, MATCH(110, 'Detalles movimientos'!$V$5:$V$1004, 0)), "")</f>
        <v/>
      </c>
      <c r="M119" s="18" t="str">
        <f>IFERROR(INDEX('Detalles movimientos'!S$5:S$1004, MATCH(110, 'Detalles movimientos'!$V$5:$V$1004, 0)), "")</f>
        <v/>
      </c>
    </row>
    <row r="120" spans="2:13">
      <c r="B120" s="17" t="str">
        <f>IFERROR(INDEX('Detalles movimientos'!C$5:C$1004, MATCH(111, 'Detalles movimientos'!$V$5:$V$1004, 0)), "")</f>
        <v/>
      </c>
      <c r="C120" s="18" t="str">
        <f>IFERROR(INDEX('Detalles movimientos'!D$5:D$1004, MATCH(111, 'Detalles movimientos'!$V$5:$V$1004, 0)), "")</f>
        <v/>
      </c>
      <c r="D120" s="19" t="str">
        <f>IFERROR(INDEX('Detalles movimientos'!E$5:E$1004, MATCH(111, 'Detalles movimientos'!$V$5:$V$1004, 0)), "")</f>
        <v/>
      </c>
      <c r="E120" s="19" t="str">
        <f>IFERROR(INDEX('Detalles movimientos'!F$5:F$1004, MATCH(111, 'Detalles movimientos'!$V$5:$V$1004, 0)), "")</f>
        <v/>
      </c>
      <c r="F120" s="18" t="str">
        <f>IFERROR(INDEX('Detalles movimientos'!G$5:G$1004, MATCH(111, 'Detalles movimientos'!$V$5:$V$1004, 0)), "")</f>
        <v/>
      </c>
      <c r="G120" s="20" t="str">
        <f>IFERROR(INDEX('Detalles movimientos'!H$5:H$1004, MATCH(111, 'Detalles movimientos'!$V$5:$V$1004, 0)), "")</f>
        <v/>
      </c>
      <c r="H120" s="21" t="str">
        <f>IFERROR(INDEX('Detalles movimientos'!I$5:I$1004, MATCH(111, 'Detalles movimientos'!$V$5:$V$1004, 0)), "")</f>
        <v/>
      </c>
      <c r="I120" s="20" t="str">
        <f>IFERROR(INDEX('Detalles movimientos'!M$5:M$1004, MATCH(111, 'Detalles movimientos'!$V$5:$V$1004, 0)), "")</f>
        <v/>
      </c>
      <c r="J120" s="19" t="str">
        <f>IFERROR(INDEX('Detalles movimientos'!N$5:N$1004, MATCH(111, 'Detalles movimientos'!$V$5:$V$1004, 0)), "")</f>
        <v/>
      </c>
      <c r="K120" s="20" t="str">
        <f>IFERROR(INDEX('Detalles movimientos'!O$5:O$1004, MATCH(111, 'Detalles movimientos'!$V$5:$V$1004, 0)), "")</f>
        <v/>
      </c>
      <c r="L120" s="18" t="str">
        <f>IFERROR(INDEX('Detalles movimientos'!P$5:P$1004, MATCH(111, 'Detalles movimientos'!$V$5:$V$1004, 0)), "")</f>
        <v/>
      </c>
      <c r="M120" s="18" t="str">
        <f>IFERROR(INDEX('Detalles movimientos'!S$5:S$1004, MATCH(111, 'Detalles movimientos'!$V$5:$V$1004, 0)), "")</f>
        <v/>
      </c>
    </row>
    <row r="121" spans="2:13">
      <c r="B121" s="17" t="str">
        <f>IFERROR(INDEX('Detalles movimientos'!C$5:C$1004, MATCH(112, 'Detalles movimientos'!$V$5:$V$1004, 0)), "")</f>
        <v/>
      </c>
      <c r="C121" s="18" t="str">
        <f>IFERROR(INDEX('Detalles movimientos'!D$5:D$1004, MATCH(112, 'Detalles movimientos'!$V$5:$V$1004, 0)), "")</f>
        <v/>
      </c>
      <c r="D121" s="19" t="str">
        <f>IFERROR(INDEX('Detalles movimientos'!E$5:E$1004, MATCH(112, 'Detalles movimientos'!$V$5:$V$1004, 0)), "")</f>
        <v/>
      </c>
      <c r="E121" s="19" t="str">
        <f>IFERROR(INDEX('Detalles movimientos'!F$5:F$1004, MATCH(112, 'Detalles movimientos'!$V$5:$V$1004, 0)), "")</f>
        <v/>
      </c>
      <c r="F121" s="18" t="str">
        <f>IFERROR(INDEX('Detalles movimientos'!G$5:G$1004, MATCH(112, 'Detalles movimientos'!$V$5:$V$1004, 0)), "")</f>
        <v/>
      </c>
      <c r="G121" s="20" t="str">
        <f>IFERROR(INDEX('Detalles movimientos'!H$5:H$1004, MATCH(112, 'Detalles movimientos'!$V$5:$V$1004, 0)), "")</f>
        <v/>
      </c>
      <c r="H121" s="21" t="str">
        <f>IFERROR(INDEX('Detalles movimientos'!I$5:I$1004, MATCH(112, 'Detalles movimientos'!$V$5:$V$1004, 0)), "")</f>
        <v/>
      </c>
      <c r="I121" s="20" t="str">
        <f>IFERROR(INDEX('Detalles movimientos'!M$5:M$1004, MATCH(112, 'Detalles movimientos'!$V$5:$V$1004, 0)), "")</f>
        <v/>
      </c>
      <c r="J121" s="19" t="str">
        <f>IFERROR(INDEX('Detalles movimientos'!N$5:N$1004, MATCH(112, 'Detalles movimientos'!$V$5:$V$1004, 0)), "")</f>
        <v/>
      </c>
      <c r="K121" s="20" t="str">
        <f>IFERROR(INDEX('Detalles movimientos'!O$5:O$1004, MATCH(112, 'Detalles movimientos'!$V$5:$V$1004, 0)), "")</f>
        <v/>
      </c>
      <c r="L121" s="18" t="str">
        <f>IFERROR(INDEX('Detalles movimientos'!P$5:P$1004, MATCH(112, 'Detalles movimientos'!$V$5:$V$1004, 0)), "")</f>
        <v/>
      </c>
      <c r="M121" s="18" t="str">
        <f>IFERROR(INDEX('Detalles movimientos'!S$5:S$1004, MATCH(112, 'Detalles movimientos'!$V$5:$V$1004, 0)), "")</f>
        <v/>
      </c>
    </row>
    <row r="122" spans="2:13">
      <c r="B122" s="17" t="str">
        <f>IFERROR(INDEX('Detalles movimientos'!C$5:C$1004, MATCH(113, 'Detalles movimientos'!$V$5:$V$1004, 0)), "")</f>
        <v/>
      </c>
      <c r="C122" s="18" t="str">
        <f>IFERROR(INDEX('Detalles movimientos'!D$5:D$1004, MATCH(113, 'Detalles movimientos'!$V$5:$V$1004, 0)), "")</f>
        <v/>
      </c>
      <c r="D122" s="19" t="str">
        <f>IFERROR(INDEX('Detalles movimientos'!E$5:E$1004, MATCH(113, 'Detalles movimientos'!$V$5:$V$1004, 0)), "")</f>
        <v/>
      </c>
      <c r="E122" s="19" t="str">
        <f>IFERROR(INDEX('Detalles movimientos'!F$5:F$1004, MATCH(113, 'Detalles movimientos'!$V$5:$V$1004, 0)), "")</f>
        <v/>
      </c>
      <c r="F122" s="18" t="str">
        <f>IFERROR(INDEX('Detalles movimientos'!G$5:G$1004, MATCH(113, 'Detalles movimientos'!$V$5:$V$1004, 0)), "")</f>
        <v/>
      </c>
      <c r="G122" s="20" t="str">
        <f>IFERROR(INDEX('Detalles movimientos'!H$5:H$1004, MATCH(113, 'Detalles movimientos'!$V$5:$V$1004, 0)), "")</f>
        <v/>
      </c>
      <c r="H122" s="21" t="str">
        <f>IFERROR(INDEX('Detalles movimientos'!I$5:I$1004, MATCH(113, 'Detalles movimientos'!$V$5:$V$1004, 0)), "")</f>
        <v/>
      </c>
      <c r="I122" s="20" t="str">
        <f>IFERROR(INDEX('Detalles movimientos'!M$5:M$1004, MATCH(113, 'Detalles movimientos'!$V$5:$V$1004, 0)), "")</f>
        <v/>
      </c>
      <c r="J122" s="19" t="str">
        <f>IFERROR(INDEX('Detalles movimientos'!N$5:N$1004, MATCH(113, 'Detalles movimientos'!$V$5:$V$1004, 0)), "")</f>
        <v/>
      </c>
      <c r="K122" s="20" t="str">
        <f>IFERROR(INDEX('Detalles movimientos'!O$5:O$1004, MATCH(113, 'Detalles movimientos'!$V$5:$V$1004, 0)), "")</f>
        <v/>
      </c>
      <c r="L122" s="18" t="str">
        <f>IFERROR(INDEX('Detalles movimientos'!P$5:P$1004, MATCH(113, 'Detalles movimientos'!$V$5:$V$1004, 0)), "")</f>
        <v/>
      </c>
      <c r="M122" s="18" t="str">
        <f>IFERROR(INDEX('Detalles movimientos'!S$5:S$1004, MATCH(113, 'Detalles movimientos'!$V$5:$V$1004, 0)), "")</f>
        <v/>
      </c>
    </row>
    <row r="123" spans="2:13">
      <c r="B123" s="17" t="str">
        <f>IFERROR(INDEX('Detalles movimientos'!C$5:C$1004, MATCH(114, 'Detalles movimientos'!$V$5:$V$1004, 0)), "")</f>
        <v/>
      </c>
      <c r="C123" s="18" t="str">
        <f>IFERROR(INDEX('Detalles movimientos'!D$5:D$1004, MATCH(114, 'Detalles movimientos'!$V$5:$V$1004, 0)), "")</f>
        <v/>
      </c>
      <c r="D123" s="19" t="str">
        <f>IFERROR(INDEX('Detalles movimientos'!E$5:E$1004, MATCH(114, 'Detalles movimientos'!$V$5:$V$1004, 0)), "")</f>
        <v/>
      </c>
      <c r="E123" s="19" t="str">
        <f>IFERROR(INDEX('Detalles movimientos'!F$5:F$1004, MATCH(114, 'Detalles movimientos'!$V$5:$V$1004, 0)), "")</f>
        <v/>
      </c>
      <c r="F123" s="18" t="str">
        <f>IFERROR(INDEX('Detalles movimientos'!G$5:G$1004, MATCH(114, 'Detalles movimientos'!$V$5:$V$1004, 0)), "")</f>
        <v/>
      </c>
      <c r="G123" s="20" t="str">
        <f>IFERROR(INDEX('Detalles movimientos'!H$5:H$1004, MATCH(114, 'Detalles movimientos'!$V$5:$V$1004, 0)), "")</f>
        <v/>
      </c>
      <c r="H123" s="21" t="str">
        <f>IFERROR(INDEX('Detalles movimientos'!I$5:I$1004, MATCH(114, 'Detalles movimientos'!$V$5:$V$1004, 0)), "")</f>
        <v/>
      </c>
      <c r="I123" s="20" t="str">
        <f>IFERROR(INDEX('Detalles movimientos'!M$5:M$1004, MATCH(114, 'Detalles movimientos'!$V$5:$V$1004, 0)), "")</f>
        <v/>
      </c>
      <c r="J123" s="19" t="str">
        <f>IFERROR(INDEX('Detalles movimientos'!N$5:N$1004, MATCH(114, 'Detalles movimientos'!$V$5:$V$1004, 0)), "")</f>
        <v/>
      </c>
      <c r="K123" s="20" t="str">
        <f>IFERROR(INDEX('Detalles movimientos'!O$5:O$1004, MATCH(114, 'Detalles movimientos'!$V$5:$V$1004, 0)), "")</f>
        <v/>
      </c>
      <c r="L123" s="18" t="str">
        <f>IFERROR(INDEX('Detalles movimientos'!P$5:P$1004, MATCH(114, 'Detalles movimientos'!$V$5:$V$1004, 0)), "")</f>
        <v/>
      </c>
      <c r="M123" s="18" t="str">
        <f>IFERROR(INDEX('Detalles movimientos'!S$5:S$1004, MATCH(114, 'Detalles movimientos'!$V$5:$V$1004, 0)), "")</f>
        <v/>
      </c>
    </row>
    <row r="124" spans="2:13">
      <c r="B124" s="17" t="str">
        <f>IFERROR(INDEX('Detalles movimientos'!C$5:C$1004, MATCH(115, 'Detalles movimientos'!$V$5:$V$1004, 0)), "")</f>
        <v/>
      </c>
      <c r="C124" s="18" t="str">
        <f>IFERROR(INDEX('Detalles movimientos'!D$5:D$1004, MATCH(115, 'Detalles movimientos'!$V$5:$V$1004, 0)), "")</f>
        <v/>
      </c>
      <c r="D124" s="19" t="str">
        <f>IFERROR(INDEX('Detalles movimientos'!E$5:E$1004, MATCH(115, 'Detalles movimientos'!$V$5:$V$1004, 0)), "")</f>
        <v/>
      </c>
      <c r="E124" s="19" t="str">
        <f>IFERROR(INDEX('Detalles movimientos'!F$5:F$1004, MATCH(115, 'Detalles movimientos'!$V$5:$V$1004, 0)), "")</f>
        <v/>
      </c>
      <c r="F124" s="18" t="str">
        <f>IFERROR(INDEX('Detalles movimientos'!G$5:G$1004, MATCH(115, 'Detalles movimientos'!$V$5:$V$1004, 0)), "")</f>
        <v/>
      </c>
      <c r="G124" s="20" t="str">
        <f>IFERROR(INDEX('Detalles movimientos'!H$5:H$1004, MATCH(115, 'Detalles movimientos'!$V$5:$V$1004, 0)), "")</f>
        <v/>
      </c>
      <c r="H124" s="21" t="str">
        <f>IFERROR(INDEX('Detalles movimientos'!I$5:I$1004, MATCH(115, 'Detalles movimientos'!$V$5:$V$1004, 0)), "")</f>
        <v/>
      </c>
      <c r="I124" s="20" t="str">
        <f>IFERROR(INDEX('Detalles movimientos'!M$5:M$1004, MATCH(115, 'Detalles movimientos'!$V$5:$V$1004, 0)), "")</f>
        <v/>
      </c>
      <c r="J124" s="19" t="str">
        <f>IFERROR(INDEX('Detalles movimientos'!N$5:N$1004, MATCH(115, 'Detalles movimientos'!$V$5:$V$1004, 0)), "")</f>
        <v/>
      </c>
      <c r="K124" s="20" t="str">
        <f>IFERROR(INDEX('Detalles movimientos'!O$5:O$1004, MATCH(115, 'Detalles movimientos'!$V$5:$V$1004, 0)), "")</f>
        <v/>
      </c>
      <c r="L124" s="18" t="str">
        <f>IFERROR(INDEX('Detalles movimientos'!P$5:P$1004, MATCH(115, 'Detalles movimientos'!$V$5:$V$1004, 0)), "")</f>
        <v/>
      </c>
      <c r="M124" s="18" t="str">
        <f>IFERROR(INDEX('Detalles movimientos'!S$5:S$1004, MATCH(115, 'Detalles movimientos'!$V$5:$V$1004, 0)), "")</f>
        <v/>
      </c>
    </row>
    <row r="125" spans="2:13">
      <c r="B125" s="17" t="str">
        <f>IFERROR(INDEX('Detalles movimientos'!C$5:C$1004, MATCH(116, 'Detalles movimientos'!$V$5:$V$1004, 0)), "")</f>
        <v/>
      </c>
      <c r="C125" s="18" t="str">
        <f>IFERROR(INDEX('Detalles movimientos'!D$5:D$1004, MATCH(116, 'Detalles movimientos'!$V$5:$V$1004, 0)), "")</f>
        <v/>
      </c>
      <c r="D125" s="19" t="str">
        <f>IFERROR(INDEX('Detalles movimientos'!E$5:E$1004, MATCH(116, 'Detalles movimientos'!$V$5:$V$1004, 0)), "")</f>
        <v/>
      </c>
      <c r="E125" s="19" t="str">
        <f>IFERROR(INDEX('Detalles movimientos'!F$5:F$1004, MATCH(116, 'Detalles movimientos'!$V$5:$V$1004, 0)), "")</f>
        <v/>
      </c>
      <c r="F125" s="18" t="str">
        <f>IFERROR(INDEX('Detalles movimientos'!G$5:G$1004, MATCH(116, 'Detalles movimientos'!$V$5:$V$1004, 0)), "")</f>
        <v/>
      </c>
      <c r="G125" s="20" t="str">
        <f>IFERROR(INDEX('Detalles movimientos'!H$5:H$1004, MATCH(116, 'Detalles movimientos'!$V$5:$V$1004, 0)), "")</f>
        <v/>
      </c>
      <c r="H125" s="21" t="str">
        <f>IFERROR(INDEX('Detalles movimientos'!I$5:I$1004, MATCH(116, 'Detalles movimientos'!$V$5:$V$1004, 0)), "")</f>
        <v/>
      </c>
      <c r="I125" s="20" t="str">
        <f>IFERROR(INDEX('Detalles movimientos'!M$5:M$1004, MATCH(116, 'Detalles movimientos'!$V$5:$V$1004, 0)), "")</f>
        <v/>
      </c>
      <c r="J125" s="19" t="str">
        <f>IFERROR(INDEX('Detalles movimientos'!N$5:N$1004, MATCH(116, 'Detalles movimientos'!$V$5:$V$1004, 0)), "")</f>
        <v/>
      </c>
      <c r="K125" s="20" t="str">
        <f>IFERROR(INDEX('Detalles movimientos'!O$5:O$1004, MATCH(116, 'Detalles movimientos'!$V$5:$V$1004, 0)), "")</f>
        <v/>
      </c>
      <c r="L125" s="18" t="str">
        <f>IFERROR(INDEX('Detalles movimientos'!P$5:P$1004, MATCH(116, 'Detalles movimientos'!$V$5:$V$1004, 0)), "")</f>
        <v/>
      </c>
      <c r="M125" s="18" t="str">
        <f>IFERROR(INDEX('Detalles movimientos'!S$5:S$1004, MATCH(116, 'Detalles movimientos'!$V$5:$V$1004, 0)), "")</f>
        <v/>
      </c>
    </row>
    <row r="126" spans="2:13">
      <c r="B126" s="17" t="str">
        <f>IFERROR(INDEX('Detalles movimientos'!C$5:C$1004, MATCH(117, 'Detalles movimientos'!$V$5:$V$1004, 0)), "")</f>
        <v/>
      </c>
      <c r="C126" s="18" t="str">
        <f>IFERROR(INDEX('Detalles movimientos'!D$5:D$1004, MATCH(117, 'Detalles movimientos'!$V$5:$V$1004, 0)), "")</f>
        <v/>
      </c>
      <c r="D126" s="19" t="str">
        <f>IFERROR(INDEX('Detalles movimientos'!E$5:E$1004, MATCH(117, 'Detalles movimientos'!$V$5:$V$1004, 0)), "")</f>
        <v/>
      </c>
      <c r="E126" s="19" t="str">
        <f>IFERROR(INDEX('Detalles movimientos'!F$5:F$1004, MATCH(117, 'Detalles movimientos'!$V$5:$V$1004, 0)), "")</f>
        <v/>
      </c>
      <c r="F126" s="18" t="str">
        <f>IFERROR(INDEX('Detalles movimientos'!G$5:G$1004, MATCH(117, 'Detalles movimientos'!$V$5:$V$1004, 0)), "")</f>
        <v/>
      </c>
      <c r="G126" s="20" t="str">
        <f>IFERROR(INDEX('Detalles movimientos'!H$5:H$1004, MATCH(117, 'Detalles movimientos'!$V$5:$V$1004, 0)), "")</f>
        <v/>
      </c>
      <c r="H126" s="21" t="str">
        <f>IFERROR(INDEX('Detalles movimientos'!I$5:I$1004, MATCH(117, 'Detalles movimientos'!$V$5:$V$1004, 0)), "")</f>
        <v/>
      </c>
      <c r="I126" s="20" t="str">
        <f>IFERROR(INDEX('Detalles movimientos'!M$5:M$1004, MATCH(117, 'Detalles movimientos'!$V$5:$V$1004, 0)), "")</f>
        <v/>
      </c>
      <c r="J126" s="19" t="str">
        <f>IFERROR(INDEX('Detalles movimientos'!N$5:N$1004, MATCH(117, 'Detalles movimientos'!$V$5:$V$1004, 0)), "")</f>
        <v/>
      </c>
      <c r="K126" s="20" t="str">
        <f>IFERROR(INDEX('Detalles movimientos'!O$5:O$1004, MATCH(117, 'Detalles movimientos'!$V$5:$V$1004, 0)), "")</f>
        <v/>
      </c>
      <c r="L126" s="18" t="str">
        <f>IFERROR(INDEX('Detalles movimientos'!P$5:P$1004, MATCH(117, 'Detalles movimientos'!$V$5:$V$1004, 0)), "")</f>
        <v/>
      </c>
      <c r="M126" s="18" t="str">
        <f>IFERROR(INDEX('Detalles movimientos'!S$5:S$1004, MATCH(117, 'Detalles movimientos'!$V$5:$V$1004, 0)), "")</f>
        <v/>
      </c>
    </row>
    <row r="127" spans="2:13">
      <c r="B127" s="17" t="str">
        <f>IFERROR(INDEX('Detalles movimientos'!C$5:C$1004, MATCH(118, 'Detalles movimientos'!$V$5:$V$1004, 0)), "")</f>
        <v/>
      </c>
      <c r="C127" s="18" t="str">
        <f>IFERROR(INDEX('Detalles movimientos'!D$5:D$1004, MATCH(118, 'Detalles movimientos'!$V$5:$V$1004, 0)), "")</f>
        <v/>
      </c>
      <c r="D127" s="19" t="str">
        <f>IFERROR(INDEX('Detalles movimientos'!E$5:E$1004, MATCH(118, 'Detalles movimientos'!$V$5:$V$1004, 0)), "")</f>
        <v/>
      </c>
      <c r="E127" s="19" t="str">
        <f>IFERROR(INDEX('Detalles movimientos'!F$5:F$1004, MATCH(118, 'Detalles movimientos'!$V$5:$V$1004, 0)), "")</f>
        <v/>
      </c>
      <c r="F127" s="18" t="str">
        <f>IFERROR(INDEX('Detalles movimientos'!G$5:G$1004, MATCH(118, 'Detalles movimientos'!$V$5:$V$1004, 0)), "")</f>
        <v/>
      </c>
      <c r="G127" s="20" t="str">
        <f>IFERROR(INDEX('Detalles movimientos'!H$5:H$1004, MATCH(118, 'Detalles movimientos'!$V$5:$V$1004, 0)), "")</f>
        <v/>
      </c>
      <c r="H127" s="21" t="str">
        <f>IFERROR(INDEX('Detalles movimientos'!I$5:I$1004, MATCH(118, 'Detalles movimientos'!$V$5:$V$1004, 0)), "")</f>
        <v/>
      </c>
      <c r="I127" s="20" t="str">
        <f>IFERROR(INDEX('Detalles movimientos'!M$5:M$1004, MATCH(118, 'Detalles movimientos'!$V$5:$V$1004, 0)), "")</f>
        <v/>
      </c>
      <c r="J127" s="19" t="str">
        <f>IFERROR(INDEX('Detalles movimientos'!N$5:N$1004, MATCH(118, 'Detalles movimientos'!$V$5:$V$1004, 0)), "")</f>
        <v/>
      </c>
      <c r="K127" s="20" t="str">
        <f>IFERROR(INDEX('Detalles movimientos'!O$5:O$1004, MATCH(118, 'Detalles movimientos'!$V$5:$V$1004, 0)), "")</f>
        <v/>
      </c>
      <c r="L127" s="18" t="str">
        <f>IFERROR(INDEX('Detalles movimientos'!P$5:P$1004, MATCH(118, 'Detalles movimientos'!$V$5:$V$1004, 0)), "")</f>
        <v/>
      </c>
      <c r="M127" s="18" t="str">
        <f>IFERROR(INDEX('Detalles movimientos'!S$5:S$1004, MATCH(118, 'Detalles movimientos'!$V$5:$V$1004, 0)), "")</f>
        <v/>
      </c>
    </row>
    <row r="128" spans="2:13">
      <c r="B128" s="17" t="str">
        <f>IFERROR(INDEX('Detalles movimientos'!C$5:C$1004, MATCH(119, 'Detalles movimientos'!$V$5:$V$1004, 0)), "")</f>
        <v/>
      </c>
      <c r="C128" s="18" t="str">
        <f>IFERROR(INDEX('Detalles movimientos'!D$5:D$1004, MATCH(119, 'Detalles movimientos'!$V$5:$V$1004, 0)), "")</f>
        <v/>
      </c>
      <c r="D128" s="19" t="str">
        <f>IFERROR(INDEX('Detalles movimientos'!E$5:E$1004, MATCH(119, 'Detalles movimientos'!$V$5:$V$1004, 0)), "")</f>
        <v/>
      </c>
      <c r="E128" s="19" t="str">
        <f>IFERROR(INDEX('Detalles movimientos'!F$5:F$1004, MATCH(119, 'Detalles movimientos'!$V$5:$V$1004, 0)), "")</f>
        <v/>
      </c>
      <c r="F128" s="18" t="str">
        <f>IFERROR(INDEX('Detalles movimientos'!G$5:G$1004, MATCH(119, 'Detalles movimientos'!$V$5:$V$1004, 0)), "")</f>
        <v/>
      </c>
      <c r="G128" s="20" t="str">
        <f>IFERROR(INDEX('Detalles movimientos'!H$5:H$1004, MATCH(119, 'Detalles movimientos'!$V$5:$V$1004, 0)), "")</f>
        <v/>
      </c>
      <c r="H128" s="21" t="str">
        <f>IFERROR(INDEX('Detalles movimientos'!I$5:I$1004, MATCH(119, 'Detalles movimientos'!$V$5:$V$1004, 0)), "")</f>
        <v/>
      </c>
      <c r="I128" s="20" t="str">
        <f>IFERROR(INDEX('Detalles movimientos'!M$5:M$1004, MATCH(119, 'Detalles movimientos'!$V$5:$V$1004, 0)), "")</f>
        <v/>
      </c>
      <c r="J128" s="19" t="str">
        <f>IFERROR(INDEX('Detalles movimientos'!N$5:N$1004, MATCH(119, 'Detalles movimientos'!$V$5:$V$1004, 0)), "")</f>
        <v/>
      </c>
      <c r="K128" s="20" t="str">
        <f>IFERROR(INDEX('Detalles movimientos'!O$5:O$1004, MATCH(119, 'Detalles movimientos'!$V$5:$V$1004, 0)), "")</f>
        <v/>
      </c>
      <c r="L128" s="18" t="str">
        <f>IFERROR(INDEX('Detalles movimientos'!P$5:P$1004, MATCH(119, 'Detalles movimientos'!$V$5:$V$1004, 0)), "")</f>
        <v/>
      </c>
      <c r="M128" s="18" t="str">
        <f>IFERROR(INDEX('Detalles movimientos'!S$5:S$1004, MATCH(119, 'Detalles movimientos'!$V$5:$V$1004, 0)), "")</f>
        <v/>
      </c>
    </row>
    <row r="129" spans="2:13">
      <c r="B129" s="17" t="str">
        <f>IFERROR(INDEX('Detalles movimientos'!C$5:C$1004, MATCH(120, 'Detalles movimientos'!$V$5:$V$1004, 0)), "")</f>
        <v/>
      </c>
      <c r="C129" s="18" t="str">
        <f>IFERROR(INDEX('Detalles movimientos'!D$5:D$1004, MATCH(120, 'Detalles movimientos'!$V$5:$V$1004, 0)), "")</f>
        <v/>
      </c>
      <c r="D129" s="19" t="str">
        <f>IFERROR(INDEX('Detalles movimientos'!E$5:E$1004, MATCH(120, 'Detalles movimientos'!$V$5:$V$1004, 0)), "")</f>
        <v/>
      </c>
      <c r="E129" s="19" t="str">
        <f>IFERROR(INDEX('Detalles movimientos'!F$5:F$1004, MATCH(120, 'Detalles movimientos'!$V$5:$V$1004, 0)), "")</f>
        <v/>
      </c>
      <c r="F129" s="18" t="str">
        <f>IFERROR(INDEX('Detalles movimientos'!G$5:G$1004, MATCH(120, 'Detalles movimientos'!$V$5:$V$1004, 0)), "")</f>
        <v/>
      </c>
      <c r="G129" s="20" t="str">
        <f>IFERROR(INDEX('Detalles movimientos'!H$5:H$1004, MATCH(120, 'Detalles movimientos'!$V$5:$V$1004, 0)), "")</f>
        <v/>
      </c>
      <c r="H129" s="21" t="str">
        <f>IFERROR(INDEX('Detalles movimientos'!I$5:I$1004, MATCH(120, 'Detalles movimientos'!$V$5:$V$1004, 0)), "")</f>
        <v/>
      </c>
      <c r="I129" s="20" t="str">
        <f>IFERROR(INDEX('Detalles movimientos'!M$5:M$1004, MATCH(120, 'Detalles movimientos'!$V$5:$V$1004, 0)), "")</f>
        <v/>
      </c>
      <c r="J129" s="19" t="str">
        <f>IFERROR(INDEX('Detalles movimientos'!N$5:N$1004, MATCH(120, 'Detalles movimientos'!$V$5:$V$1004, 0)), "")</f>
        <v/>
      </c>
      <c r="K129" s="20" t="str">
        <f>IFERROR(INDEX('Detalles movimientos'!O$5:O$1004, MATCH(120, 'Detalles movimientos'!$V$5:$V$1004, 0)), "")</f>
        <v/>
      </c>
      <c r="L129" s="18" t="str">
        <f>IFERROR(INDEX('Detalles movimientos'!P$5:P$1004, MATCH(120, 'Detalles movimientos'!$V$5:$V$1004, 0)), "")</f>
        <v/>
      </c>
      <c r="M129" s="18" t="str">
        <f>IFERROR(INDEX('Detalles movimientos'!S$5:S$1004, MATCH(120, 'Detalles movimientos'!$V$5:$V$1004, 0)), "")</f>
        <v/>
      </c>
    </row>
    <row r="130" spans="2:13">
      <c r="B130" s="17" t="str">
        <f>IFERROR(INDEX('Detalles movimientos'!C$5:C$1004, MATCH(121, 'Detalles movimientos'!$V$5:$V$1004, 0)), "")</f>
        <v/>
      </c>
      <c r="C130" s="18" t="str">
        <f>IFERROR(INDEX('Detalles movimientos'!D$5:D$1004, MATCH(121, 'Detalles movimientos'!$V$5:$V$1004, 0)), "")</f>
        <v/>
      </c>
      <c r="D130" s="19" t="str">
        <f>IFERROR(INDEX('Detalles movimientos'!E$5:E$1004, MATCH(121, 'Detalles movimientos'!$V$5:$V$1004, 0)), "")</f>
        <v/>
      </c>
      <c r="E130" s="19" t="str">
        <f>IFERROR(INDEX('Detalles movimientos'!F$5:F$1004, MATCH(121, 'Detalles movimientos'!$V$5:$V$1004, 0)), "")</f>
        <v/>
      </c>
      <c r="F130" s="18" t="str">
        <f>IFERROR(INDEX('Detalles movimientos'!G$5:G$1004, MATCH(121, 'Detalles movimientos'!$V$5:$V$1004, 0)), "")</f>
        <v/>
      </c>
      <c r="G130" s="20" t="str">
        <f>IFERROR(INDEX('Detalles movimientos'!H$5:H$1004, MATCH(121, 'Detalles movimientos'!$V$5:$V$1004, 0)), "")</f>
        <v/>
      </c>
      <c r="H130" s="21" t="str">
        <f>IFERROR(INDEX('Detalles movimientos'!I$5:I$1004, MATCH(121, 'Detalles movimientos'!$V$5:$V$1004, 0)), "")</f>
        <v/>
      </c>
      <c r="I130" s="20" t="str">
        <f>IFERROR(INDEX('Detalles movimientos'!M$5:M$1004, MATCH(121, 'Detalles movimientos'!$V$5:$V$1004, 0)), "")</f>
        <v/>
      </c>
      <c r="J130" s="19" t="str">
        <f>IFERROR(INDEX('Detalles movimientos'!N$5:N$1004, MATCH(121, 'Detalles movimientos'!$V$5:$V$1004, 0)), "")</f>
        <v/>
      </c>
      <c r="K130" s="20" t="str">
        <f>IFERROR(INDEX('Detalles movimientos'!O$5:O$1004, MATCH(121, 'Detalles movimientos'!$V$5:$V$1004, 0)), "")</f>
        <v/>
      </c>
      <c r="L130" s="18" t="str">
        <f>IFERROR(INDEX('Detalles movimientos'!P$5:P$1004, MATCH(121, 'Detalles movimientos'!$V$5:$V$1004, 0)), "")</f>
        <v/>
      </c>
      <c r="M130" s="18" t="str">
        <f>IFERROR(INDEX('Detalles movimientos'!S$5:S$1004, MATCH(121, 'Detalles movimientos'!$V$5:$V$1004, 0)), "")</f>
        <v/>
      </c>
    </row>
    <row r="131" spans="2:13">
      <c r="B131" s="17" t="str">
        <f>IFERROR(INDEX('Detalles movimientos'!C$5:C$1004, MATCH(122, 'Detalles movimientos'!$V$5:$V$1004, 0)), "")</f>
        <v/>
      </c>
      <c r="C131" s="18" t="str">
        <f>IFERROR(INDEX('Detalles movimientos'!D$5:D$1004, MATCH(122, 'Detalles movimientos'!$V$5:$V$1004, 0)), "")</f>
        <v/>
      </c>
      <c r="D131" s="19" t="str">
        <f>IFERROR(INDEX('Detalles movimientos'!E$5:E$1004, MATCH(122, 'Detalles movimientos'!$V$5:$V$1004, 0)), "")</f>
        <v/>
      </c>
      <c r="E131" s="19" t="str">
        <f>IFERROR(INDEX('Detalles movimientos'!F$5:F$1004, MATCH(122, 'Detalles movimientos'!$V$5:$V$1004, 0)), "")</f>
        <v/>
      </c>
      <c r="F131" s="18" t="str">
        <f>IFERROR(INDEX('Detalles movimientos'!G$5:G$1004, MATCH(122, 'Detalles movimientos'!$V$5:$V$1004, 0)), "")</f>
        <v/>
      </c>
      <c r="G131" s="20" t="str">
        <f>IFERROR(INDEX('Detalles movimientos'!H$5:H$1004, MATCH(122, 'Detalles movimientos'!$V$5:$V$1004, 0)), "")</f>
        <v/>
      </c>
      <c r="H131" s="21" t="str">
        <f>IFERROR(INDEX('Detalles movimientos'!I$5:I$1004, MATCH(122, 'Detalles movimientos'!$V$5:$V$1004, 0)), "")</f>
        <v/>
      </c>
      <c r="I131" s="20" t="str">
        <f>IFERROR(INDEX('Detalles movimientos'!M$5:M$1004, MATCH(122, 'Detalles movimientos'!$V$5:$V$1004, 0)), "")</f>
        <v/>
      </c>
      <c r="J131" s="19" t="str">
        <f>IFERROR(INDEX('Detalles movimientos'!N$5:N$1004, MATCH(122, 'Detalles movimientos'!$V$5:$V$1004, 0)), "")</f>
        <v/>
      </c>
      <c r="K131" s="20" t="str">
        <f>IFERROR(INDEX('Detalles movimientos'!O$5:O$1004, MATCH(122, 'Detalles movimientos'!$V$5:$V$1004, 0)), "")</f>
        <v/>
      </c>
      <c r="L131" s="18" t="str">
        <f>IFERROR(INDEX('Detalles movimientos'!P$5:P$1004, MATCH(122, 'Detalles movimientos'!$V$5:$V$1004, 0)), "")</f>
        <v/>
      </c>
      <c r="M131" s="18" t="str">
        <f>IFERROR(INDEX('Detalles movimientos'!S$5:S$1004, MATCH(122, 'Detalles movimientos'!$V$5:$V$1004, 0)), "")</f>
        <v/>
      </c>
    </row>
    <row r="132" spans="2:13">
      <c r="B132" s="17" t="str">
        <f>IFERROR(INDEX('Detalles movimientos'!C$5:C$1004, MATCH(123, 'Detalles movimientos'!$V$5:$V$1004, 0)), "")</f>
        <v/>
      </c>
      <c r="C132" s="18" t="str">
        <f>IFERROR(INDEX('Detalles movimientos'!D$5:D$1004, MATCH(123, 'Detalles movimientos'!$V$5:$V$1004, 0)), "")</f>
        <v/>
      </c>
      <c r="D132" s="19" t="str">
        <f>IFERROR(INDEX('Detalles movimientos'!E$5:E$1004, MATCH(123, 'Detalles movimientos'!$V$5:$V$1004, 0)), "")</f>
        <v/>
      </c>
      <c r="E132" s="19" t="str">
        <f>IFERROR(INDEX('Detalles movimientos'!F$5:F$1004, MATCH(123, 'Detalles movimientos'!$V$5:$V$1004, 0)), "")</f>
        <v/>
      </c>
      <c r="F132" s="18" t="str">
        <f>IFERROR(INDEX('Detalles movimientos'!G$5:G$1004, MATCH(123, 'Detalles movimientos'!$V$5:$V$1004, 0)), "")</f>
        <v/>
      </c>
      <c r="G132" s="20" t="str">
        <f>IFERROR(INDEX('Detalles movimientos'!H$5:H$1004, MATCH(123, 'Detalles movimientos'!$V$5:$V$1004, 0)), "")</f>
        <v/>
      </c>
      <c r="H132" s="21" t="str">
        <f>IFERROR(INDEX('Detalles movimientos'!I$5:I$1004, MATCH(123, 'Detalles movimientos'!$V$5:$V$1004, 0)), "")</f>
        <v/>
      </c>
      <c r="I132" s="20" t="str">
        <f>IFERROR(INDEX('Detalles movimientos'!M$5:M$1004, MATCH(123, 'Detalles movimientos'!$V$5:$V$1004, 0)), "")</f>
        <v/>
      </c>
      <c r="J132" s="19" t="str">
        <f>IFERROR(INDEX('Detalles movimientos'!N$5:N$1004, MATCH(123, 'Detalles movimientos'!$V$5:$V$1004, 0)), "")</f>
        <v/>
      </c>
      <c r="K132" s="20" t="str">
        <f>IFERROR(INDEX('Detalles movimientos'!O$5:O$1004, MATCH(123, 'Detalles movimientos'!$V$5:$V$1004, 0)), "")</f>
        <v/>
      </c>
      <c r="L132" s="18" t="str">
        <f>IFERROR(INDEX('Detalles movimientos'!P$5:P$1004, MATCH(123, 'Detalles movimientos'!$V$5:$V$1004, 0)), "")</f>
        <v/>
      </c>
      <c r="M132" s="18" t="str">
        <f>IFERROR(INDEX('Detalles movimientos'!S$5:S$1004, MATCH(123, 'Detalles movimientos'!$V$5:$V$1004, 0)), "")</f>
        <v/>
      </c>
    </row>
    <row r="133" spans="2:13">
      <c r="B133" s="17" t="str">
        <f>IFERROR(INDEX('Detalles movimientos'!C$5:C$1004, MATCH(124, 'Detalles movimientos'!$V$5:$V$1004, 0)), "")</f>
        <v/>
      </c>
      <c r="C133" s="18" t="str">
        <f>IFERROR(INDEX('Detalles movimientos'!D$5:D$1004, MATCH(124, 'Detalles movimientos'!$V$5:$V$1004, 0)), "")</f>
        <v/>
      </c>
      <c r="D133" s="19" t="str">
        <f>IFERROR(INDEX('Detalles movimientos'!E$5:E$1004, MATCH(124, 'Detalles movimientos'!$V$5:$V$1004, 0)), "")</f>
        <v/>
      </c>
      <c r="E133" s="19" t="str">
        <f>IFERROR(INDEX('Detalles movimientos'!F$5:F$1004, MATCH(124, 'Detalles movimientos'!$V$5:$V$1004, 0)), "")</f>
        <v/>
      </c>
      <c r="F133" s="18" t="str">
        <f>IFERROR(INDEX('Detalles movimientos'!G$5:G$1004, MATCH(124, 'Detalles movimientos'!$V$5:$V$1004, 0)), "")</f>
        <v/>
      </c>
      <c r="G133" s="20" t="str">
        <f>IFERROR(INDEX('Detalles movimientos'!H$5:H$1004, MATCH(124, 'Detalles movimientos'!$V$5:$V$1004, 0)), "")</f>
        <v/>
      </c>
      <c r="H133" s="21" t="str">
        <f>IFERROR(INDEX('Detalles movimientos'!I$5:I$1004, MATCH(124, 'Detalles movimientos'!$V$5:$V$1004, 0)), "")</f>
        <v/>
      </c>
      <c r="I133" s="20" t="str">
        <f>IFERROR(INDEX('Detalles movimientos'!M$5:M$1004, MATCH(124, 'Detalles movimientos'!$V$5:$V$1004, 0)), "")</f>
        <v/>
      </c>
      <c r="J133" s="19" t="str">
        <f>IFERROR(INDEX('Detalles movimientos'!N$5:N$1004, MATCH(124, 'Detalles movimientos'!$V$5:$V$1004, 0)), "")</f>
        <v/>
      </c>
      <c r="K133" s="20" t="str">
        <f>IFERROR(INDEX('Detalles movimientos'!O$5:O$1004, MATCH(124, 'Detalles movimientos'!$V$5:$V$1004, 0)), "")</f>
        <v/>
      </c>
      <c r="L133" s="18" t="str">
        <f>IFERROR(INDEX('Detalles movimientos'!P$5:P$1004, MATCH(124, 'Detalles movimientos'!$V$5:$V$1004, 0)), "")</f>
        <v/>
      </c>
      <c r="M133" s="18" t="str">
        <f>IFERROR(INDEX('Detalles movimientos'!S$5:S$1004, MATCH(124, 'Detalles movimientos'!$V$5:$V$1004, 0)), "")</f>
        <v/>
      </c>
    </row>
    <row r="134" spans="2:13">
      <c r="B134" s="17" t="str">
        <f>IFERROR(INDEX('Detalles movimientos'!C$5:C$1004, MATCH(125, 'Detalles movimientos'!$V$5:$V$1004, 0)), "")</f>
        <v/>
      </c>
      <c r="C134" s="18" t="str">
        <f>IFERROR(INDEX('Detalles movimientos'!D$5:D$1004, MATCH(125, 'Detalles movimientos'!$V$5:$V$1004, 0)), "")</f>
        <v/>
      </c>
      <c r="D134" s="19" t="str">
        <f>IFERROR(INDEX('Detalles movimientos'!E$5:E$1004, MATCH(125, 'Detalles movimientos'!$V$5:$V$1004, 0)), "")</f>
        <v/>
      </c>
      <c r="E134" s="19" t="str">
        <f>IFERROR(INDEX('Detalles movimientos'!F$5:F$1004, MATCH(125, 'Detalles movimientos'!$V$5:$V$1004, 0)), "")</f>
        <v/>
      </c>
      <c r="F134" s="18" t="str">
        <f>IFERROR(INDEX('Detalles movimientos'!G$5:G$1004, MATCH(125, 'Detalles movimientos'!$V$5:$V$1004, 0)), "")</f>
        <v/>
      </c>
      <c r="G134" s="20" t="str">
        <f>IFERROR(INDEX('Detalles movimientos'!H$5:H$1004, MATCH(125, 'Detalles movimientos'!$V$5:$V$1004, 0)), "")</f>
        <v/>
      </c>
      <c r="H134" s="21" t="str">
        <f>IFERROR(INDEX('Detalles movimientos'!I$5:I$1004, MATCH(125, 'Detalles movimientos'!$V$5:$V$1004, 0)), "")</f>
        <v/>
      </c>
      <c r="I134" s="20" t="str">
        <f>IFERROR(INDEX('Detalles movimientos'!M$5:M$1004, MATCH(125, 'Detalles movimientos'!$V$5:$V$1004, 0)), "")</f>
        <v/>
      </c>
      <c r="J134" s="19" t="str">
        <f>IFERROR(INDEX('Detalles movimientos'!N$5:N$1004, MATCH(125, 'Detalles movimientos'!$V$5:$V$1004, 0)), "")</f>
        <v/>
      </c>
      <c r="K134" s="20" t="str">
        <f>IFERROR(INDEX('Detalles movimientos'!O$5:O$1004, MATCH(125, 'Detalles movimientos'!$V$5:$V$1004, 0)), "")</f>
        <v/>
      </c>
      <c r="L134" s="18" t="str">
        <f>IFERROR(INDEX('Detalles movimientos'!P$5:P$1004, MATCH(125, 'Detalles movimientos'!$V$5:$V$1004, 0)), "")</f>
        <v/>
      </c>
      <c r="M134" s="18" t="str">
        <f>IFERROR(INDEX('Detalles movimientos'!S$5:S$1004, MATCH(125, 'Detalles movimientos'!$V$5:$V$1004, 0)), "")</f>
        <v/>
      </c>
    </row>
    <row r="135" spans="2:13">
      <c r="B135" s="17" t="str">
        <f>IFERROR(INDEX('Detalles movimientos'!C$5:C$1004, MATCH(126, 'Detalles movimientos'!$V$5:$V$1004, 0)), "")</f>
        <v/>
      </c>
      <c r="C135" s="18" t="str">
        <f>IFERROR(INDEX('Detalles movimientos'!D$5:D$1004, MATCH(126, 'Detalles movimientos'!$V$5:$V$1004, 0)), "")</f>
        <v/>
      </c>
      <c r="D135" s="19" t="str">
        <f>IFERROR(INDEX('Detalles movimientos'!E$5:E$1004, MATCH(126, 'Detalles movimientos'!$V$5:$V$1004, 0)), "")</f>
        <v/>
      </c>
      <c r="E135" s="19" t="str">
        <f>IFERROR(INDEX('Detalles movimientos'!F$5:F$1004, MATCH(126, 'Detalles movimientos'!$V$5:$V$1004, 0)), "")</f>
        <v/>
      </c>
      <c r="F135" s="18" t="str">
        <f>IFERROR(INDEX('Detalles movimientos'!G$5:G$1004, MATCH(126, 'Detalles movimientos'!$V$5:$V$1004, 0)), "")</f>
        <v/>
      </c>
      <c r="G135" s="20" t="str">
        <f>IFERROR(INDEX('Detalles movimientos'!H$5:H$1004, MATCH(126, 'Detalles movimientos'!$V$5:$V$1004, 0)), "")</f>
        <v/>
      </c>
      <c r="H135" s="21" t="str">
        <f>IFERROR(INDEX('Detalles movimientos'!I$5:I$1004, MATCH(126, 'Detalles movimientos'!$V$5:$V$1004, 0)), "")</f>
        <v/>
      </c>
      <c r="I135" s="20" t="str">
        <f>IFERROR(INDEX('Detalles movimientos'!M$5:M$1004, MATCH(126, 'Detalles movimientos'!$V$5:$V$1004, 0)), "")</f>
        <v/>
      </c>
      <c r="J135" s="19" t="str">
        <f>IFERROR(INDEX('Detalles movimientos'!N$5:N$1004, MATCH(126, 'Detalles movimientos'!$V$5:$V$1004, 0)), "")</f>
        <v/>
      </c>
      <c r="K135" s="20" t="str">
        <f>IFERROR(INDEX('Detalles movimientos'!O$5:O$1004, MATCH(126, 'Detalles movimientos'!$V$5:$V$1004, 0)), "")</f>
        <v/>
      </c>
      <c r="L135" s="18" t="str">
        <f>IFERROR(INDEX('Detalles movimientos'!P$5:P$1004, MATCH(126, 'Detalles movimientos'!$V$5:$V$1004, 0)), "")</f>
        <v/>
      </c>
      <c r="M135" s="18" t="str">
        <f>IFERROR(INDEX('Detalles movimientos'!S$5:S$1004, MATCH(126, 'Detalles movimientos'!$V$5:$V$1004, 0)), "")</f>
        <v/>
      </c>
    </row>
    <row r="136" spans="2:13">
      <c r="B136" s="17" t="str">
        <f>IFERROR(INDEX('Detalles movimientos'!C$5:C$1004, MATCH(127, 'Detalles movimientos'!$V$5:$V$1004, 0)), "")</f>
        <v/>
      </c>
      <c r="C136" s="18" t="str">
        <f>IFERROR(INDEX('Detalles movimientos'!D$5:D$1004, MATCH(127, 'Detalles movimientos'!$V$5:$V$1004, 0)), "")</f>
        <v/>
      </c>
      <c r="D136" s="19" t="str">
        <f>IFERROR(INDEX('Detalles movimientos'!E$5:E$1004, MATCH(127, 'Detalles movimientos'!$V$5:$V$1004, 0)), "")</f>
        <v/>
      </c>
      <c r="E136" s="19" t="str">
        <f>IFERROR(INDEX('Detalles movimientos'!F$5:F$1004, MATCH(127, 'Detalles movimientos'!$V$5:$V$1004, 0)), "")</f>
        <v/>
      </c>
      <c r="F136" s="18" t="str">
        <f>IFERROR(INDEX('Detalles movimientos'!G$5:G$1004, MATCH(127, 'Detalles movimientos'!$V$5:$V$1004, 0)), "")</f>
        <v/>
      </c>
      <c r="G136" s="20" t="str">
        <f>IFERROR(INDEX('Detalles movimientos'!H$5:H$1004, MATCH(127, 'Detalles movimientos'!$V$5:$V$1004, 0)), "")</f>
        <v/>
      </c>
      <c r="H136" s="21" t="str">
        <f>IFERROR(INDEX('Detalles movimientos'!I$5:I$1004, MATCH(127, 'Detalles movimientos'!$V$5:$V$1004, 0)), "")</f>
        <v/>
      </c>
      <c r="I136" s="20" t="str">
        <f>IFERROR(INDEX('Detalles movimientos'!M$5:M$1004, MATCH(127, 'Detalles movimientos'!$V$5:$V$1004, 0)), "")</f>
        <v/>
      </c>
      <c r="J136" s="19" t="str">
        <f>IFERROR(INDEX('Detalles movimientos'!N$5:N$1004, MATCH(127, 'Detalles movimientos'!$V$5:$V$1004, 0)), "")</f>
        <v/>
      </c>
      <c r="K136" s="20" t="str">
        <f>IFERROR(INDEX('Detalles movimientos'!O$5:O$1004, MATCH(127, 'Detalles movimientos'!$V$5:$V$1004, 0)), "")</f>
        <v/>
      </c>
      <c r="L136" s="18" t="str">
        <f>IFERROR(INDEX('Detalles movimientos'!P$5:P$1004, MATCH(127, 'Detalles movimientos'!$V$5:$V$1004, 0)), "")</f>
        <v/>
      </c>
      <c r="M136" s="18" t="str">
        <f>IFERROR(INDEX('Detalles movimientos'!S$5:S$1004, MATCH(127, 'Detalles movimientos'!$V$5:$V$1004, 0)), "")</f>
        <v/>
      </c>
    </row>
    <row r="137" spans="2:13">
      <c r="B137" s="17" t="str">
        <f>IFERROR(INDEX('Detalles movimientos'!C$5:C$1004, MATCH(128, 'Detalles movimientos'!$V$5:$V$1004, 0)), "")</f>
        <v/>
      </c>
      <c r="C137" s="18" t="str">
        <f>IFERROR(INDEX('Detalles movimientos'!D$5:D$1004, MATCH(128, 'Detalles movimientos'!$V$5:$V$1004, 0)), "")</f>
        <v/>
      </c>
      <c r="D137" s="19" t="str">
        <f>IFERROR(INDEX('Detalles movimientos'!E$5:E$1004, MATCH(128, 'Detalles movimientos'!$V$5:$V$1004, 0)), "")</f>
        <v/>
      </c>
      <c r="E137" s="19" t="str">
        <f>IFERROR(INDEX('Detalles movimientos'!F$5:F$1004, MATCH(128, 'Detalles movimientos'!$V$5:$V$1004, 0)), "")</f>
        <v/>
      </c>
      <c r="F137" s="18" t="str">
        <f>IFERROR(INDEX('Detalles movimientos'!G$5:G$1004, MATCH(128, 'Detalles movimientos'!$V$5:$V$1004, 0)), "")</f>
        <v/>
      </c>
      <c r="G137" s="20" t="str">
        <f>IFERROR(INDEX('Detalles movimientos'!H$5:H$1004, MATCH(128, 'Detalles movimientos'!$V$5:$V$1004, 0)), "")</f>
        <v/>
      </c>
      <c r="H137" s="21" t="str">
        <f>IFERROR(INDEX('Detalles movimientos'!I$5:I$1004, MATCH(128, 'Detalles movimientos'!$V$5:$V$1004, 0)), "")</f>
        <v/>
      </c>
      <c r="I137" s="20" t="str">
        <f>IFERROR(INDEX('Detalles movimientos'!M$5:M$1004, MATCH(128, 'Detalles movimientos'!$V$5:$V$1004, 0)), "")</f>
        <v/>
      </c>
      <c r="J137" s="19" t="str">
        <f>IFERROR(INDEX('Detalles movimientos'!N$5:N$1004, MATCH(128, 'Detalles movimientos'!$V$5:$V$1004, 0)), "")</f>
        <v/>
      </c>
      <c r="K137" s="20" t="str">
        <f>IFERROR(INDEX('Detalles movimientos'!O$5:O$1004, MATCH(128, 'Detalles movimientos'!$V$5:$V$1004, 0)), "")</f>
        <v/>
      </c>
      <c r="L137" s="18" t="str">
        <f>IFERROR(INDEX('Detalles movimientos'!P$5:P$1004, MATCH(128, 'Detalles movimientos'!$V$5:$V$1004, 0)), "")</f>
        <v/>
      </c>
      <c r="M137" s="18" t="str">
        <f>IFERROR(INDEX('Detalles movimientos'!S$5:S$1004, MATCH(128, 'Detalles movimientos'!$V$5:$V$1004, 0)), "")</f>
        <v/>
      </c>
    </row>
    <row r="138" spans="2:13">
      <c r="B138" s="17" t="str">
        <f>IFERROR(INDEX('Detalles movimientos'!C$5:C$1004, MATCH(129, 'Detalles movimientos'!$V$5:$V$1004, 0)), "")</f>
        <v/>
      </c>
      <c r="C138" s="18" t="str">
        <f>IFERROR(INDEX('Detalles movimientos'!D$5:D$1004, MATCH(129, 'Detalles movimientos'!$V$5:$V$1004, 0)), "")</f>
        <v/>
      </c>
      <c r="D138" s="19" t="str">
        <f>IFERROR(INDEX('Detalles movimientos'!E$5:E$1004, MATCH(129, 'Detalles movimientos'!$V$5:$V$1004, 0)), "")</f>
        <v/>
      </c>
      <c r="E138" s="19" t="str">
        <f>IFERROR(INDEX('Detalles movimientos'!F$5:F$1004, MATCH(129, 'Detalles movimientos'!$V$5:$V$1004, 0)), "")</f>
        <v/>
      </c>
      <c r="F138" s="18" t="str">
        <f>IFERROR(INDEX('Detalles movimientos'!G$5:G$1004, MATCH(129, 'Detalles movimientos'!$V$5:$V$1004, 0)), "")</f>
        <v/>
      </c>
      <c r="G138" s="20" t="str">
        <f>IFERROR(INDEX('Detalles movimientos'!H$5:H$1004, MATCH(129, 'Detalles movimientos'!$V$5:$V$1004, 0)), "")</f>
        <v/>
      </c>
      <c r="H138" s="21" t="str">
        <f>IFERROR(INDEX('Detalles movimientos'!I$5:I$1004, MATCH(129, 'Detalles movimientos'!$V$5:$V$1004, 0)), "")</f>
        <v/>
      </c>
      <c r="I138" s="20" t="str">
        <f>IFERROR(INDEX('Detalles movimientos'!M$5:M$1004, MATCH(129, 'Detalles movimientos'!$V$5:$V$1004, 0)), "")</f>
        <v/>
      </c>
      <c r="J138" s="19" t="str">
        <f>IFERROR(INDEX('Detalles movimientos'!N$5:N$1004, MATCH(129, 'Detalles movimientos'!$V$5:$V$1004, 0)), "")</f>
        <v/>
      </c>
      <c r="K138" s="20" t="str">
        <f>IFERROR(INDEX('Detalles movimientos'!O$5:O$1004, MATCH(129, 'Detalles movimientos'!$V$5:$V$1004, 0)), "")</f>
        <v/>
      </c>
      <c r="L138" s="18" t="str">
        <f>IFERROR(INDEX('Detalles movimientos'!P$5:P$1004, MATCH(129, 'Detalles movimientos'!$V$5:$V$1004, 0)), "")</f>
        <v/>
      </c>
      <c r="M138" s="18" t="str">
        <f>IFERROR(INDEX('Detalles movimientos'!S$5:S$1004, MATCH(129, 'Detalles movimientos'!$V$5:$V$1004, 0)), "")</f>
        <v/>
      </c>
    </row>
    <row r="139" spans="2:13">
      <c r="B139" s="17" t="str">
        <f>IFERROR(INDEX('Detalles movimientos'!C$5:C$1004, MATCH(130, 'Detalles movimientos'!$V$5:$V$1004, 0)), "")</f>
        <v/>
      </c>
      <c r="C139" s="18" t="str">
        <f>IFERROR(INDEX('Detalles movimientos'!D$5:D$1004, MATCH(130, 'Detalles movimientos'!$V$5:$V$1004, 0)), "")</f>
        <v/>
      </c>
      <c r="D139" s="19" t="str">
        <f>IFERROR(INDEX('Detalles movimientos'!E$5:E$1004, MATCH(130, 'Detalles movimientos'!$V$5:$V$1004, 0)), "")</f>
        <v/>
      </c>
      <c r="E139" s="19" t="str">
        <f>IFERROR(INDEX('Detalles movimientos'!F$5:F$1004, MATCH(130, 'Detalles movimientos'!$V$5:$V$1004, 0)), "")</f>
        <v/>
      </c>
      <c r="F139" s="18" t="str">
        <f>IFERROR(INDEX('Detalles movimientos'!G$5:G$1004, MATCH(130, 'Detalles movimientos'!$V$5:$V$1004, 0)), "")</f>
        <v/>
      </c>
      <c r="G139" s="20" t="str">
        <f>IFERROR(INDEX('Detalles movimientos'!H$5:H$1004, MATCH(130, 'Detalles movimientos'!$V$5:$V$1004, 0)), "")</f>
        <v/>
      </c>
      <c r="H139" s="21" t="str">
        <f>IFERROR(INDEX('Detalles movimientos'!I$5:I$1004, MATCH(130, 'Detalles movimientos'!$V$5:$V$1004, 0)), "")</f>
        <v/>
      </c>
      <c r="I139" s="20" t="str">
        <f>IFERROR(INDEX('Detalles movimientos'!M$5:M$1004, MATCH(130, 'Detalles movimientos'!$V$5:$V$1004, 0)), "")</f>
        <v/>
      </c>
      <c r="J139" s="19" t="str">
        <f>IFERROR(INDEX('Detalles movimientos'!N$5:N$1004, MATCH(130, 'Detalles movimientos'!$V$5:$V$1004, 0)), "")</f>
        <v/>
      </c>
      <c r="K139" s="20" t="str">
        <f>IFERROR(INDEX('Detalles movimientos'!O$5:O$1004, MATCH(130, 'Detalles movimientos'!$V$5:$V$1004, 0)), "")</f>
        <v/>
      </c>
      <c r="L139" s="18" t="str">
        <f>IFERROR(INDEX('Detalles movimientos'!P$5:P$1004, MATCH(130, 'Detalles movimientos'!$V$5:$V$1004, 0)), "")</f>
        <v/>
      </c>
      <c r="M139" s="18" t="str">
        <f>IFERROR(INDEX('Detalles movimientos'!S$5:S$1004, MATCH(130, 'Detalles movimientos'!$V$5:$V$1004, 0)), "")</f>
        <v/>
      </c>
    </row>
    <row r="140" spans="2:13">
      <c r="B140" s="17" t="str">
        <f>IFERROR(INDEX('Detalles movimientos'!C$5:C$1004, MATCH(131, 'Detalles movimientos'!$V$5:$V$1004, 0)), "")</f>
        <v/>
      </c>
      <c r="C140" s="18" t="str">
        <f>IFERROR(INDEX('Detalles movimientos'!D$5:D$1004, MATCH(131, 'Detalles movimientos'!$V$5:$V$1004, 0)), "")</f>
        <v/>
      </c>
      <c r="D140" s="19" t="str">
        <f>IFERROR(INDEX('Detalles movimientos'!E$5:E$1004, MATCH(131, 'Detalles movimientos'!$V$5:$V$1004, 0)), "")</f>
        <v/>
      </c>
      <c r="E140" s="19" t="str">
        <f>IFERROR(INDEX('Detalles movimientos'!F$5:F$1004, MATCH(131, 'Detalles movimientos'!$V$5:$V$1004, 0)), "")</f>
        <v/>
      </c>
      <c r="F140" s="18" t="str">
        <f>IFERROR(INDEX('Detalles movimientos'!G$5:G$1004, MATCH(131, 'Detalles movimientos'!$V$5:$V$1004, 0)), "")</f>
        <v/>
      </c>
      <c r="G140" s="20" t="str">
        <f>IFERROR(INDEX('Detalles movimientos'!H$5:H$1004, MATCH(131, 'Detalles movimientos'!$V$5:$V$1004, 0)), "")</f>
        <v/>
      </c>
      <c r="H140" s="21" t="str">
        <f>IFERROR(INDEX('Detalles movimientos'!I$5:I$1004, MATCH(131, 'Detalles movimientos'!$V$5:$V$1004, 0)), "")</f>
        <v/>
      </c>
      <c r="I140" s="20" t="str">
        <f>IFERROR(INDEX('Detalles movimientos'!M$5:M$1004, MATCH(131, 'Detalles movimientos'!$V$5:$V$1004, 0)), "")</f>
        <v/>
      </c>
      <c r="J140" s="19" t="str">
        <f>IFERROR(INDEX('Detalles movimientos'!N$5:N$1004, MATCH(131, 'Detalles movimientos'!$V$5:$V$1004, 0)), "")</f>
        <v/>
      </c>
      <c r="K140" s="20" t="str">
        <f>IFERROR(INDEX('Detalles movimientos'!O$5:O$1004, MATCH(131, 'Detalles movimientos'!$V$5:$V$1004, 0)), "")</f>
        <v/>
      </c>
      <c r="L140" s="18" t="str">
        <f>IFERROR(INDEX('Detalles movimientos'!P$5:P$1004, MATCH(131, 'Detalles movimientos'!$V$5:$V$1004, 0)), "")</f>
        <v/>
      </c>
      <c r="M140" s="18" t="str">
        <f>IFERROR(INDEX('Detalles movimientos'!S$5:S$1004, MATCH(131, 'Detalles movimientos'!$V$5:$V$1004, 0)), "")</f>
        <v/>
      </c>
    </row>
    <row r="141" spans="2:13">
      <c r="B141" s="17" t="str">
        <f>IFERROR(INDEX('Detalles movimientos'!C$5:C$1004, MATCH(132, 'Detalles movimientos'!$V$5:$V$1004, 0)), "")</f>
        <v/>
      </c>
      <c r="C141" s="18" t="str">
        <f>IFERROR(INDEX('Detalles movimientos'!D$5:D$1004, MATCH(132, 'Detalles movimientos'!$V$5:$V$1004, 0)), "")</f>
        <v/>
      </c>
      <c r="D141" s="19" t="str">
        <f>IFERROR(INDEX('Detalles movimientos'!E$5:E$1004, MATCH(132, 'Detalles movimientos'!$V$5:$V$1004, 0)), "")</f>
        <v/>
      </c>
      <c r="E141" s="19" t="str">
        <f>IFERROR(INDEX('Detalles movimientos'!F$5:F$1004, MATCH(132, 'Detalles movimientos'!$V$5:$V$1004, 0)), "")</f>
        <v/>
      </c>
      <c r="F141" s="18" t="str">
        <f>IFERROR(INDEX('Detalles movimientos'!G$5:G$1004, MATCH(132, 'Detalles movimientos'!$V$5:$V$1004, 0)), "")</f>
        <v/>
      </c>
      <c r="G141" s="20" t="str">
        <f>IFERROR(INDEX('Detalles movimientos'!H$5:H$1004, MATCH(132, 'Detalles movimientos'!$V$5:$V$1004, 0)), "")</f>
        <v/>
      </c>
      <c r="H141" s="21" t="str">
        <f>IFERROR(INDEX('Detalles movimientos'!I$5:I$1004, MATCH(132, 'Detalles movimientos'!$V$5:$V$1004, 0)), "")</f>
        <v/>
      </c>
      <c r="I141" s="20" t="str">
        <f>IFERROR(INDEX('Detalles movimientos'!M$5:M$1004, MATCH(132, 'Detalles movimientos'!$V$5:$V$1004, 0)), "")</f>
        <v/>
      </c>
      <c r="J141" s="19" t="str">
        <f>IFERROR(INDEX('Detalles movimientos'!N$5:N$1004, MATCH(132, 'Detalles movimientos'!$V$5:$V$1004, 0)), "")</f>
        <v/>
      </c>
      <c r="K141" s="20" t="str">
        <f>IFERROR(INDEX('Detalles movimientos'!O$5:O$1004, MATCH(132, 'Detalles movimientos'!$V$5:$V$1004, 0)), "")</f>
        <v/>
      </c>
      <c r="L141" s="18" t="str">
        <f>IFERROR(INDEX('Detalles movimientos'!P$5:P$1004, MATCH(132, 'Detalles movimientos'!$V$5:$V$1004, 0)), "")</f>
        <v/>
      </c>
      <c r="M141" s="18" t="str">
        <f>IFERROR(INDEX('Detalles movimientos'!S$5:S$1004, MATCH(132, 'Detalles movimientos'!$V$5:$V$1004, 0)), "")</f>
        <v/>
      </c>
    </row>
    <row r="142" spans="2:13">
      <c r="B142" s="17" t="str">
        <f>IFERROR(INDEX('Detalles movimientos'!C$5:C$1004, MATCH(133, 'Detalles movimientos'!$V$5:$V$1004, 0)), "")</f>
        <v/>
      </c>
      <c r="C142" s="18" t="str">
        <f>IFERROR(INDEX('Detalles movimientos'!D$5:D$1004, MATCH(133, 'Detalles movimientos'!$V$5:$V$1004, 0)), "")</f>
        <v/>
      </c>
      <c r="D142" s="19" t="str">
        <f>IFERROR(INDEX('Detalles movimientos'!E$5:E$1004, MATCH(133, 'Detalles movimientos'!$V$5:$V$1004, 0)), "")</f>
        <v/>
      </c>
      <c r="E142" s="19" t="str">
        <f>IFERROR(INDEX('Detalles movimientos'!F$5:F$1004, MATCH(133, 'Detalles movimientos'!$V$5:$V$1004, 0)), "")</f>
        <v/>
      </c>
      <c r="F142" s="18" t="str">
        <f>IFERROR(INDEX('Detalles movimientos'!G$5:G$1004, MATCH(133, 'Detalles movimientos'!$V$5:$V$1004, 0)), "")</f>
        <v/>
      </c>
      <c r="G142" s="20" t="str">
        <f>IFERROR(INDEX('Detalles movimientos'!H$5:H$1004, MATCH(133, 'Detalles movimientos'!$V$5:$V$1004, 0)), "")</f>
        <v/>
      </c>
      <c r="H142" s="21" t="str">
        <f>IFERROR(INDEX('Detalles movimientos'!I$5:I$1004, MATCH(133, 'Detalles movimientos'!$V$5:$V$1004, 0)), "")</f>
        <v/>
      </c>
      <c r="I142" s="20" t="str">
        <f>IFERROR(INDEX('Detalles movimientos'!M$5:M$1004, MATCH(133, 'Detalles movimientos'!$V$5:$V$1004, 0)), "")</f>
        <v/>
      </c>
      <c r="J142" s="19" t="str">
        <f>IFERROR(INDEX('Detalles movimientos'!N$5:N$1004, MATCH(133, 'Detalles movimientos'!$V$5:$V$1004, 0)), "")</f>
        <v/>
      </c>
      <c r="K142" s="20" t="str">
        <f>IFERROR(INDEX('Detalles movimientos'!O$5:O$1004, MATCH(133, 'Detalles movimientos'!$V$5:$V$1004, 0)), "")</f>
        <v/>
      </c>
      <c r="L142" s="18" t="str">
        <f>IFERROR(INDEX('Detalles movimientos'!P$5:P$1004, MATCH(133, 'Detalles movimientos'!$V$5:$V$1004, 0)), "")</f>
        <v/>
      </c>
      <c r="M142" s="18" t="str">
        <f>IFERROR(INDEX('Detalles movimientos'!S$5:S$1004, MATCH(133, 'Detalles movimientos'!$V$5:$V$1004, 0)), "")</f>
        <v/>
      </c>
    </row>
    <row r="143" spans="2:13">
      <c r="B143" s="17" t="str">
        <f>IFERROR(INDEX('Detalles movimientos'!C$5:C$1004, MATCH(134, 'Detalles movimientos'!$V$5:$V$1004, 0)), "")</f>
        <v/>
      </c>
      <c r="C143" s="18" t="str">
        <f>IFERROR(INDEX('Detalles movimientos'!D$5:D$1004, MATCH(134, 'Detalles movimientos'!$V$5:$V$1004, 0)), "")</f>
        <v/>
      </c>
      <c r="D143" s="19" t="str">
        <f>IFERROR(INDEX('Detalles movimientos'!E$5:E$1004, MATCH(134, 'Detalles movimientos'!$V$5:$V$1004, 0)), "")</f>
        <v/>
      </c>
      <c r="E143" s="19" t="str">
        <f>IFERROR(INDEX('Detalles movimientos'!F$5:F$1004, MATCH(134, 'Detalles movimientos'!$V$5:$V$1004, 0)), "")</f>
        <v/>
      </c>
      <c r="F143" s="18" t="str">
        <f>IFERROR(INDEX('Detalles movimientos'!G$5:G$1004, MATCH(134, 'Detalles movimientos'!$V$5:$V$1004, 0)), "")</f>
        <v/>
      </c>
      <c r="G143" s="20" t="str">
        <f>IFERROR(INDEX('Detalles movimientos'!H$5:H$1004, MATCH(134, 'Detalles movimientos'!$V$5:$V$1004, 0)), "")</f>
        <v/>
      </c>
      <c r="H143" s="21" t="str">
        <f>IFERROR(INDEX('Detalles movimientos'!I$5:I$1004, MATCH(134, 'Detalles movimientos'!$V$5:$V$1004, 0)), "")</f>
        <v/>
      </c>
      <c r="I143" s="20" t="str">
        <f>IFERROR(INDEX('Detalles movimientos'!M$5:M$1004, MATCH(134, 'Detalles movimientos'!$V$5:$V$1004, 0)), "")</f>
        <v/>
      </c>
      <c r="J143" s="19" t="str">
        <f>IFERROR(INDEX('Detalles movimientos'!N$5:N$1004, MATCH(134, 'Detalles movimientos'!$V$5:$V$1004, 0)), "")</f>
        <v/>
      </c>
      <c r="K143" s="20" t="str">
        <f>IFERROR(INDEX('Detalles movimientos'!O$5:O$1004, MATCH(134, 'Detalles movimientos'!$V$5:$V$1004, 0)), "")</f>
        <v/>
      </c>
      <c r="L143" s="18" t="str">
        <f>IFERROR(INDEX('Detalles movimientos'!P$5:P$1004, MATCH(134, 'Detalles movimientos'!$V$5:$V$1004, 0)), "")</f>
        <v/>
      </c>
      <c r="M143" s="18" t="str">
        <f>IFERROR(INDEX('Detalles movimientos'!S$5:S$1004, MATCH(134, 'Detalles movimientos'!$V$5:$V$1004, 0)), "")</f>
        <v/>
      </c>
    </row>
    <row r="144" spans="2:13">
      <c r="B144" s="17" t="str">
        <f>IFERROR(INDEX('Detalles movimientos'!C$5:C$1004, MATCH(135, 'Detalles movimientos'!$V$5:$V$1004, 0)), "")</f>
        <v/>
      </c>
      <c r="C144" s="18" t="str">
        <f>IFERROR(INDEX('Detalles movimientos'!D$5:D$1004, MATCH(135, 'Detalles movimientos'!$V$5:$V$1004, 0)), "")</f>
        <v/>
      </c>
      <c r="D144" s="19" t="str">
        <f>IFERROR(INDEX('Detalles movimientos'!E$5:E$1004, MATCH(135, 'Detalles movimientos'!$V$5:$V$1004, 0)), "")</f>
        <v/>
      </c>
      <c r="E144" s="19" t="str">
        <f>IFERROR(INDEX('Detalles movimientos'!F$5:F$1004, MATCH(135, 'Detalles movimientos'!$V$5:$V$1004, 0)), "")</f>
        <v/>
      </c>
      <c r="F144" s="18" t="str">
        <f>IFERROR(INDEX('Detalles movimientos'!G$5:G$1004, MATCH(135, 'Detalles movimientos'!$V$5:$V$1004, 0)), "")</f>
        <v/>
      </c>
      <c r="G144" s="20" t="str">
        <f>IFERROR(INDEX('Detalles movimientos'!H$5:H$1004, MATCH(135, 'Detalles movimientos'!$V$5:$V$1004, 0)), "")</f>
        <v/>
      </c>
      <c r="H144" s="21" t="str">
        <f>IFERROR(INDEX('Detalles movimientos'!I$5:I$1004, MATCH(135, 'Detalles movimientos'!$V$5:$V$1004, 0)), "")</f>
        <v/>
      </c>
      <c r="I144" s="20" t="str">
        <f>IFERROR(INDEX('Detalles movimientos'!M$5:M$1004, MATCH(135, 'Detalles movimientos'!$V$5:$V$1004, 0)), "")</f>
        <v/>
      </c>
      <c r="J144" s="19" t="str">
        <f>IFERROR(INDEX('Detalles movimientos'!N$5:N$1004, MATCH(135, 'Detalles movimientos'!$V$5:$V$1004, 0)), "")</f>
        <v/>
      </c>
      <c r="K144" s="20" t="str">
        <f>IFERROR(INDEX('Detalles movimientos'!O$5:O$1004, MATCH(135, 'Detalles movimientos'!$V$5:$V$1004, 0)), "")</f>
        <v/>
      </c>
      <c r="L144" s="18" t="str">
        <f>IFERROR(INDEX('Detalles movimientos'!P$5:P$1004, MATCH(135, 'Detalles movimientos'!$V$5:$V$1004, 0)), "")</f>
        <v/>
      </c>
      <c r="M144" s="18" t="str">
        <f>IFERROR(INDEX('Detalles movimientos'!S$5:S$1004, MATCH(135, 'Detalles movimientos'!$V$5:$V$1004, 0)), "")</f>
        <v/>
      </c>
    </row>
    <row r="145" spans="2:13">
      <c r="B145" s="17" t="str">
        <f>IFERROR(INDEX('Detalles movimientos'!C$5:C$1004, MATCH(136, 'Detalles movimientos'!$V$5:$V$1004, 0)), "")</f>
        <v/>
      </c>
      <c r="C145" s="18" t="str">
        <f>IFERROR(INDEX('Detalles movimientos'!D$5:D$1004, MATCH(136, 'Detalles movimientos'!$V$5:$V$1004, 0)), "")</f>
        <v/>
      </c>
      <c r="D145" s="19" t="str">
        <f>IFERROR(INDEX('Detalles movimientos'!E$5:E$1004, MATCH(136, 'Detalles movimientos'!$V$5:$V$1004, 0)), "")</f>
        <v/>
      </c>
      <c r="E145" s="19" t="str">
        <f>IFERROR(INDEX('Detalles movimientos'!F$5:F$1004, MATCH(136, 'Detalles movimientos'!$V$5:$V$1004, 0)), "")</f>
        <v/>
      </c>
      <c r="F145" s="18" t="str">
        <f>IFERROR(INDEX('Detalles movimientos'!G$5:G$1004, MATCH(136, 'Detalles movimientos'!$V$5:$V$1004, 0)), "")</f>
        <v/>
      </c>
      <c r="G145" s="20" t="str">
        <f>IFERROR(INDEX('Detalles movimientos'!H$5:H$1004, MATCH(136, 'Detalles movimientos'!$V$5:$V$1004, 0)), "")</f>
        <v/>
      </c>
      <c r="H145" s="21" t="str">
        <f>IFERROR(INDEX('Detalles movimientos'!I$5:I$1004, MATCH(136, 'Detalles movimientos'!$V$5:$V$1004, 0)), "")</f>
        <v/>
      </c>
      <c r="I145" s="20" t="str">
        <f>IFERROR(INDEX('Detalles movimientos'!M$5:M$1004, MATCH(136, 'Detalles movimientos'!$V$5:$V$1004, 0)), "")</f>
        <v/>
      </c>
      <c r="J145" s="19" t="str">
        <f>IFERROR(INDEX('Detalles movimientos'!N$5:N$1004, MATCH(136, 'Detalles movimientos'!$V$5:$V$1004, 0)), "")</f>
        <v/>
      </c>
      <c r="K145" s="20" t="str">
        <f>IFERROR(INDEX('Detalles movimientos'!O$5:O$1004, MATCH(136, 'Detalles movimientos'!$V$5:$V$1004, 0)), "")</f>
        <v/>
      </c>
      <c r="L145" s="18" t="str">
        <f>IFERROR(INDEX('Detalles movimientos'!P$5:P$1004, MATCH(136, 'Detalles movimientos'!$V$5:$V$1004, 0)), "")</f>
        <v/>
      </c>
      <c r="M145" s="18" t="str">
        <f>IFERROR(INDEX('Detalles movimientos'!S$5:S$1004, MATCH(136, 'Detalles movimientos'!$V$5:$V$1004, 0)), "")</f>
        <v/>
      </c>
    </row>
    <row r="146" spans="2:13">
      <c r="B146" s="17" t="str">
        <f>IFERROR(INDEX('Detalles movimientos'!C$5:C$1004, MATCH(137, 'Detalles movimientos'!$V$5:$V$1004, 0)), "")</f>
        <v/>
      </c>
      <c r="C146" s="18" t="str">
        <f>IFERROR(INDEX('Detalles movimientos'!D$5:D$1004, MATCH(137, 'Detalles movimientos'!$V$5:$V$1004, 0)), "")</f>
        <v/>
      </c>
      <c r="D146" s="19" t="str">
        <f>IFERROR(INDEX('Detalles movimientos'!E$5:E$1004, MATCH(137, 'Detalles movimientos'!$V$5:$V$1004, 0)), "")</f>
        <v/>
      </c>
      <c r="E146" s="19" t="str">
        <f>IFERROR(INDEX('Detalles movimientos'!F$5:F$1004, MATCH(137, 'Detalles movimientos'!$V$5:$V$1004, 0)), "")</f>
        <v/>
      </c>
      <c r="F146" s="18" t="str">
        <f>IFERROR(INDEX('Detalles movimientos'!G$5:G$1004, MATCH(137, 'Detalles movimientos'!$V$5:$V$1004, 0)), "")</f>
        <v/>
      </c>
      <c r="G146" s="20" t="str">
        <f>IFERROR(INDEX('Detalles movimientos'!H$5:H$1004, MATCH(137, 'Detalles movimientos'!$V$5:$V$1004, 0)), "")</f>
        <v/>
      </c>
      <c r="H146" s="21" t="str">
        <f>IFERROR(INDEX('Detalles movimientos'!I$5:I$1004, MATCH(137, 'Detalles movimientos'!$V$5:$V$1004, 0)), "")</f>
        <v/>
      </c>
      <c r="I146" s="20" t="str">
        <f>IFERROR(INDEX('Detalles movimientos'!M$5:M$1004, MATCH(137, 'Detalles movimientos'!$V$5:$V$1004, 0)), "")</f>
        <v/>
      </c>
      <c r="J146" s="19" t="str">
        <f>IFERROR(INDEX('Detalles movimientos'!N$5:N$1004, MATCH(137, 'Detalles movimientos'!$V$5:$V$1004, 0)), "")</f>
        <v/>
      </c>
      <c r="K146" s="20" t="str">
        <f>IFERROR(INDEX('Detalles movimientos'!O$5:O$1004, MATCH(137, 'Detalles movimientos'!$V$5:$V$1004, 0)), "")</f>
        <v/>
      </c>
      <c r="L146" s="18" t="str">
        <f>IFERROR(INDEX('Detalles movimientos'!P$5:P$1004, MATCH(137, 'Detalles movimientos'!$V$5:$V$1004, 0)), "")</f>
        <v/>
      </c>
      <c r="M146" s="18" t="str">
        <f>IFERROR(INDEX('Detalles movimientos'!S$5:S$1004, MATCH(137, 'Detalles movimientos'!$V$5:$V$1004, 0)), "")</f>
        <v/>
      </c>
    </row>
    <row r="147" spans="2:13">
      <c r="B147" s="17" t="str">
        <f>IFERROR(INDEX('Detalles movimientos'!C$5:C$1004, MATCH(138, 'Detalles movimientos'!$V$5:$V$1004, 0)), "")</f>
        <v/>
      </c>
      <c r="C147" s="18" t="str">
        <f>IFERROR(INDEX('Detalles movimientos'!D$5:D$1004, MATCH(138, 'Detalles movimientos'!$V$5:$V$1004, 0)), "")</f>
        <v/>
      </c>
      <c r="D147" s="19" t="str">
        <f>IFERROR(INDEX('Detalles movimientos'!E$5:E$1004, MATCH(138, 'Detalles movimientos'!$V$5:$V$1004, 0)), "")</f>
        <v/>
      </c>
      <c r="E147" s="19" t="str">
        <f>IFERROR(INDEX('Detalles movimientos'!F$5:F$1004, MATCH(138, 'Detalles movimientos'!$V$5:$V$1004, 0)), "")</f>
        <v/>
      </c>
      <c r="F147" s="18" t="str">
        <f>IFERROR(INDEX('Detalles movimientos'!G$5:G$1004, MATCH(138, 'Detalles movimientos'!$V$5:$V$1004, 0)), "")</f>
        <v/>
      </c>
      <c r="G147" s="20" t="str">
        <f>IFERROR(INDEX('Detalles movimientos'!H$5:H$1004, MATCH(138, 'Detalles movimientos'!$V$5:$V$1004, 0)), "")</f>
        <v/>
      </c>
      <c r="H147" s="21" t="str">
        <f>IFERROR(INDEX('Detalles movimientos'!I$5:I$1004, MATCH(138, 'Detalles movimientos'!$V$5:$V$1004, 0)), "")</f>
        <v/>
      </c>
      <c r="I147" s="20" t="str">
        <f>IFERROR(INDEX('Detalles movimientos'!M$5:M$1004, MATCH(138, 'Detalles movimientos'!$V$5:$V$1004, 0)), "")</f>
        <v/>
      </c>
      <c r="J147" s="19" t="str">
        <f>IFERROR(INDEX('Detalles movimientos'!N$5:N$1004, MATCH(138, 'Detalles movimientos'!$V$5:$V$1004, 0)), "")</f>
        <v/>
      </c>
      <c r="K147" s="20" t="str">
        <f>IFERROR(INDEX('Detalles movimientos'!O$5:O$1004, MATCH(138, 'Detalles movimientos'!$V$5:$V$1004, 0)), "")</f>
        <v/>
      </c>
      <c r="L147" s="18" t="str">
        <f>IFERROR(INDEX('Detalles movimientos'!P$5:P$1004, MATCH(138, 'Detalles movimientos'!$V$5:$V$1004, 0)), "")</f>
        <v/>
      </c>
      <c r="M147" s="18" t="str">
        <f>IFERROR(INDEX('Detalles movimientos'!S$5:S$1004, MATCH(138, 'Detalles movimientos'!$V$5:$V$1004, 0)), "")</f>
        <v/>
      </c>
    </row>
    <row r="148" spans="2:13">
      <c r="B148" s="17" t="str">
        <f>IFERROR(INDEX('Detalles movimientos'!C$5:C$1004, MATCH(139, 'Detalles movimientos'!$V$5:$V$1004, 0)), "")</f>
        <v/>
      </c>
      <c r="C148" s="18" t="str">
        <f>IFERROR(INDEX('Detalles movimientos'!D$5:D$1004, MATCH(139, 'Detalles movimientos'!$V$5:$V$1004, 0)), "")</f>
        <v/>
      </c>
      <c r="D148" s="19" t="str">
        <f>IFERROR(INDEX('Detalles movimientos'!E$5:E$1004, MATCH(139, 'Detalles movimientos'!$V$5:$V$1004, 0)), "")</f>
        <v/>
      </c>
      <c r="E148" s="19" t="str">
        <f>IFERROR(INDEX('Detalles movimientos'!F$5:F$1004, MATCH(139, 'Detalles movimientos'!$V$5:$V$1004, 0)), "")</f>
        <v/>
      </c>
      <c r="F148" s="18" t="str">
        <f>IFERROR(INDEX('Detalles movimientos'!G$5:G$1004, MATCH(139, 'Detalles movimientos'!$V$5:$V$1004, 0)), "")</f>
        <v/>
      </c>
      <c r="G148" s="20" t="str">
        <f>IFERROR(INDEX('Detalles movimientos'!H$5:H$1004, MATCH(139, 'Detalles movimientos'!$V$5:$V$1004, 0)), "")</f>
        <v/>
      </c>
      <c r="H148" s="21" t="str">
        <f>IFERROR(INDEX('Detalles movimientos'!I$5:I$1004, MATCH(139, 'Detalles movimientos'!$V$5:$V$1004, 0)), "")</f>
        <v/>
      </c>
      <c r="I148" s="20" t="str">
        <f>IFERROR(INDEX('Detalles movimientos'!M$5:M$1004, MATCH(139, 'Detalles movimientos'!$V$5:$V$1004, 0)), "")</f>
        <v/>
      </c>
      <c r="J148" s="19" t="str">
        <f>IFERROR(INDEX('Detalles movimientos'!N$5:N$1004, MATCH(139, 'Detalles movimientos'!$V$5:$V$1004, 0)), "")</f>
        <v/>
      </c>
      <c r="K148" s="20" t="str">
        <f>IFERROR(INDEX('Detalles movimientos'!O$5:O$1004, MATCH(139, 'Detalles movimientos'!$V$5:$V$1004, 0)), "")</f>
        <v/>
      </c>
      <c r="L148" s="18" t="str">
        <f>IFERROR(INDEX('Detalles movimientos'!P$5:P$1004, MATCH(139, 'Detalles movimientos'!$V$5:$V$1004, 0)), "")</f>
        <v/>
      </c>
      <c r="M148" s="18" t="str">
        <f>IFERROR(INDEX('Detalles movimientos'!S$5:S$1004, MATCH(139, 'Detalles movimientos'!$V$5:$V$1004, 0)), "")</f>
        <v/>
      </c>
    </row>
    <row r="149" spans="2:13">
      <c r="B149" s="17" t="str">
        <f>IFERROR(INDEX('Detalles movimientos'!C$5:C$1004, MATCH(140, 'Detalles movimientos'!$V$5:$V$1004, 0)), "")</f>
        <v/>
      </c>
      <c r="C149" s="18" t="str">
        <f>IFERROR(INDEX('Detalles movimientos'!D$5:D$1004, MATCH(140, 'Detalles movimientos'!$V$5:$V$1004, 0)), "")</f>
        <v/>
      </c>
      <c r="D149" s="19" t="str">
        <f>IFERROR(INDEX('Detalles movimientos'!E$5:E$1004, MATCH(140, 'Detalles movimientos'!$V$5:$V$1004, 0)), "")</f>
        <v/>
      </c>
      <c r="E149" s="19" t="str">
        <f>IFERROR(INDEX('Detalles movimientos'!F$5:F$1004, MATCH(140, 'Detalles movimientos'!$V$5:$V$1004, 0)), "")</f>
        <v/>
      </c>
      <c r="F149" s="18" t="str">
        <f>IFERROR(INDEX('Detalles movimientos'!G$5:G$1004, MATCH(140, 'Detalles movimientos'!$V$5:$V$1004, 0)), "")</f>
        <v/>
      </c>
      <c r="G149" s="20" t="str">
        <f>IFERROR(INDEX('Detalles movimientos'!H$5:H$1004, MATCH(140, 'Detalles movimientos'!$V$5:$V$1004, 0)), "")</f>
        <v/>
      </c>
      <c r="H149" s="21" t="str">
        <f>IFERROR(INDEX('Detalles movimientos'!I$5:I$1004, MATCH(140, 'Detalles movimientos'!$V$5:$V$1004, 0)), "")</f>
        <v/>
      </c>
      <c r="I149" s="20" t="str">
        <f>IFERROR(INDEX('Detalles movimientos'!M$5:M$1004, MATCH(140, 'Detalles movimientos'!$V$5:$V$1004, 0)), "")</f>
        <v/>
      </c>
      <c r="J149" s="19" t="str">
        <f>IFERROR(INDEX('Detalles movimientos'!N$5:N$1004, MATCH(140, 'Detalles movimientos'!$V$5:$V$1004, 0)), "")</f>
        <v/>
      </c>
      <c r="K149" s="20" t="str">
        <f>IFERROR(INDEX('Detalles movimientos'!O$5:O$1004, MATCH(140, 'Detalles movimientos'!$V$5:$V$1004, 0)), "")</f>
        <v/>
      </c>
      <c r="L149" s="18" t="str">
        <f>IFERROR(INDEX('Detalles movimientos'!P$5:P$1004, MATCH(140, 'Detalles movimientos'!$V$5:$V$1004, 0)), "")</f>
        <v/>
      </c>
      <c r="M149" s="18" t="str">
        <f>IFERROR(INDEX('Detalles movimientos'!S$5:S$1004, MATCH(140, 'Detalles movimientos'!$V$5:$V$1004, 0)), "")</f>
        <v/>
      </c>
    </row>
    <row r="150" spans="2:13">
      <c r="B150" s="17" t="str">
        <f>IFERROR(INDEX('Detalles movimientos'!C$5:C$1004, MATCH(141, 'Detalles movimientos'!$V$5:$V$1004, 0)), "")</f>
        <v/>
      </c>
      <c r="C150" s="18" t="str">
        <f>IFERROR(INDEX('Detalles movimientos'!D$5:D$1004, MATCH(141, 'Detalles movimientos'!$V$5:$V$1004, 0)), "")</f>
        <v/>
      </c>
      <c r="D150" s="19" t="str">
        <f>IFERROR(INDEX('Detalles movimientos'!E$5:E$1004, MATCH(141, 'Detalles movimientos'!$V$5:$V$1004, 0)), "")</f>
        <v/>
      </c>
      <c r="E150" s="19" t="str">
        <f>IFERROR(INDEX('Detalles movimientos'!F$5:F$1004, MATCH(141, 'Detalles movimientos'!$V$5:$V$1004, 0)), "")</f>
        <v/>
      </c>
      <c r="F150" s="18" t="str">
        <f>IFERROR(INDEX('Detalles movimientos'!G$5:G$1004, MATCH(141, 'Detalles movimientos'!$V$5:$V$1004, 0)), "")</f>
        <v/>
      </c>
      <c r="G150" s="20" t="str">
        <f>IFERROR(INDEX('Detalles movimientos'!H$5:H$1004, MATCH(141, 'Detalles movimientos'!$V$5:$V$1004, 0)), "")</f>
        <v/>
      </c>
      <c r="H150" s="21" t="str">
        <f>IFERROR(INDEX('Detalles movimientos'!I$5:I$1004, MATCH(141, 'Detalles movimientos'!$V$5:$V$1004, 0)), "")</f>
        <v/>
      </c>
      <c r="I150" s="20" t="str">
        <f>IFERROR(INDEX('Detalles movimientos'!M$5:M$1004, MATCH(141, 'Detalles movimientos'!$V$5:$V$1004, 0)), "")</f>
        <v/>
      </c>
      <c r="J150" s="19" t="str">
        <f>IFERROR(INDEX('Detalles movimientos'!N$5:N$1004, MATCH(141, 'Detalles movimientos'!$V$5:$V$1004, 0)), "")</f>
        <v/>
      </c>
      <c r="K150" s="20" t="str">
        <f>IFERROR(INDEX('Detalles movimientos'!O$5:O$1004, MATCH(141, 'Detalles movimientos'!$V$5:$V$1004, 0)), "")</f>
        <v/>
      </c>
      <c r="L150" s="18" t="str">
        <f>IFERROR(INDEX('Detalles movimientos'!P$5:P$1004, MATCH(141, 'Detalles movimientos'!$V$5:$V$1004, 0)), "")</f>
        <v/>
      </c>
      <c r="M150" s="18" t="str">
        <f>IFERROR(INDEX('Detalles movimientos'!S$5:S$1004, MATCH(141, 'Detalles movimientos'!$V$5:$V$1004, 0)), "")</f>
        <v/>
      </c>
    </row>
    <row r="151" spans="2:13">
      <c r="B151" s="17" t="str">
        <f>IFERROR(INDEX('Detalles movimientos'!C$5:C$1004, MATCH(142, 'Detalles movimientos'!$V$5:$V$1004, 0)), "")</f>
        <v/>
      </c>
      <c r="C151" s="18" t="str">
        <f>IFERROR(INDEX('Detalles movimientos'!D$5:D$1004, MATCH(142, 'Detalles movimientos'!$V$5:$V$1004, 0)), "")</f>
        <v/>
      </c>
      <c r="D151" s="19" t="str">
        <f>IFERROR(INDEX('Detalles movimientos'!E$5:E$1004, MATCH(142, 'Detalles movimientos'!$V$5:$V$1004, 0)), "")</f>
        <v/>
      </c>
      <c r="E151" s="19" t="str">
        <f>IFERROR(INDEX('Detalles movimientos'!F$5:F$1004, MATCH(142, 'Detalles movimientos'!$V$5:$V$1004, 0)), "")</f>
        <v/>
      </c>
      <c r="F151" s="18" t="str">
        <f>IFERROR(INDEX('Detalles movimientos'!G$5:G$1004, MATCH(142, 'Detalles movimientos'!$V$5:$V$1004, 0)), "")</f>
        <v/>
      </c>
      <c r="G151" s="20" t="str">
        <f>IFERROR(INDEX('Detalles movimientos'!H$5:H$1004, MATCH(142, 'Detalles movimientos'!$V$5:$V$1004, 0)), "")</f>
        <v/>
      </c>
      <c r="H151" s="21" t="str">
        <f>IFERROR(INDEX('Detalles movimientos'!I$5:I$1004, MATCH(142, 'Detalles movimientos'!$V$5:$V$1004, 0)), "")</f>
        <v/>
      </c>
      <c r="I151" s="20" t="str">
        <f>IFERROR(INDEX('Detalles movimientos'!M$5:M$1004, MATCH(142, 'Detalles movimientos'!$V$5:$V$1004, 0)), "")</f>
        <v/>
      </c>
      <c r="J151" s="19" t="str">
        <f>IFERROR(INDEX('Detalles movimientos'!N$5:N$1004, MATCH(142, 'Detalles movimientos'!$V$5:$V$1004, 0)), "")</f>
        <v/>
      </c>
      <c r="K151" s="20" t="str">
        <f>IFERROR(INDEX('Detalles movimientos'!O$5:O$1004, MATCH(142, 'Detalles movimientos'!$V$5:$V$1004, 0)), "")</f>
        <v/>
      </c>
      <c r="L151" s="18" t="str">
        <f>IFERROR(INDEX('Detalles movimientos'!P$5:P$1004, MATCH(142, 'Detalles movimientos'!$V$5:$V$1004, 0)), "")</f>
        <v/>
      </c>
      <c r="M151" s="18" t="str">
        <f>IFERROR(INDEX('Detalles movimientos'!S$5:S$1004, MATCH(142, 'Detalles movimientos'!$V$5:$V$1004, 0)), "")</f>
        <v/>
      </c>
    </row>
    <row r="152" spans="2:13">
      <c r="B152" s="17" t="str">
        <f>IFERROR(INDEX('Detalles movimientos'!C$5:C$1004, MATCH(143, 'Detalles movimientos'!$V$5:$V$1004, 0)), "")</f>
        <v/>
      </c>
      <c r="C152" s="18" t="str">
        <f>IFERROR(INDEX('Detalles movimientos'!D$5:D$1004, MATCH(143, 'Detalles movimientos'!$V$5:$V$1004, 0)), "")</f>
        <v/>
      </c>
      <c r="D152" s="19" t="str">
        <f>IFERROR(INDEX('Detalles movimientos'!E$5:E$1004, MATCH(143, 'Detalles movimientos'!$V$5:$V$1004, 0)), "")</f>
        <v/>
      </c>
      <c r="E152" s="19" t="str">
        <f>IFERROR(INDEX('Detalles movimientos'!F$5:F$1004, MATCH(143, 'Detalles movimientos'!$V$5:$V$1004, 0)), "")</f>
        <v/>
      </c>
      <c r="F152" s="18" t="str">
        <f>IFERROR(INDEX('Detalles movimientos'!G$5:G$1004, MATCH(143, 'Detalles movimientos'!$V$5:$V$1004, 0)), "")</f>
        <v/>
      </c>
      <c r="G152" s="20" t="str">
        <f>IFERROR(INDEX('Detalles movimientos'!H$5:H$1004, MATCH(143, 'Detalles movimientos'!$V$5:$V$1004, 0)), "")</f>
        <v/>
      </c>
      <c r="H152" s="21" t="str">
        <f>IFERROR(INDEX('Detalles movimientos'!I$5:I$1004, MATCH(143, 'Detalles movimientos'!$V$5:$V$1004, 0)), "")</f>
        <v/>
      </c>
      <c r="I152" s="20" t="str">
        <f>IFERROR(INDEX('Detalles movimientos'!M$5:M$1004, MATCH(143, 'Detalles movimientos'!$V$5:$V$1004, 0)), "")</f>
        <v/>
      </c>
      <c r="J152" s="19" t="str">
        <f>IFERROR(INDEX('Detalles movimientos'!N$5:N$1004, MATCH(143, 'Detalles movimientos'!$V$5:$V$1004, 0)), "")</f>
        <v/>
      </c>
      <c r="K152" s="20" t="str">
        <f>IFERROR(INDEX('Detalles movimientos'!O$5:O$1004, MATCH(143, 'Detalles movimientos'!$V$5:$V$1004, 0)), "")</f>
        <v/>
      </c>
      <c r="L152" s="18" t="str">
        <f>IFERROR(INDEX('Detalles movimientos'!P$5:P$1004, MATCH(143, 'Detalles movimientos'!$V$5:$V$1004, 0)), "")</f>
        <v/>
      </c>
      <c r="M152" s="18" t="str">
        <f>IFERROR(INDEX('Detalles movimientos'!S$5:S$1004, MATCH(143, 'Detalles movimientos'!$V$5:$V$1004, 0)), "")</f>
        <v/>
      </c>
    </row>
    <row r="153" spans="2:13">
      <c r="B153" s="17" t="str">
        <f>IFERROR(INDEX('Detalles movimientos'!C$5:C$1004, MATCH(144, 'Detalles movimientos'!$V$5:$V$1004, 0)), "")</f>
        <v/>
      </c>
      <c r="C153" s="18" t="str">
        <f>IFERROR(INDEX('Detalles movimientos'!D$5:D$1004, MATCH(144, 'Detalles movimientos'!$V$5:$V$1004, 0)), "")</f>
        <v/>
      </c>
      <c r="D153" s="19" t="str">
        <f>IFERROR(INDEX('Detalles movimientos'!E$5:E$1004, MATCH(144, 'Detalles movimientos'!$V$5:$V$1004, 0)), "")</f>
        <v/>
      </c>
      <c r="E153" s="19" t="str">
        <f>IFERROR(INDEX('Detalles movimientos'!F$5:F$1004, MATCH(144, 'Detalles movimientos'!$V$5:$V$1004, 0)), "")</f>
        <v/>
      </c>
      <c r="F153" s="18" t="str">
        <f>IFERROR(INDEX('Detalles movimientos'!G$5:G$1004, MATCH(144, 'Detalles movimientos'!$V$5:$V$1004, 0)), "")</f>
        <v/>
      </c>
      <c r="G153" s="20" t="str">
        <f>IFERROR(INDEX('Detalles movimientos'!H$5:H$1004, MATCH(144, 'Detalles movimientos'!$V$5:$V$1004, 0)), "")</f>
        <v/>
      </c>
      <c r="H153" s="21" t="str">
        <f>IFERROR(INDEX('Detalles movimientos'!I$5:I$1004, MATCH(144, 'Detalles movimientos'!$V$5:$V$1004, 0)), "")</f>
        <v/>
      </c>
      <c r="I153" s="20" t="str">
        <f>IFERROR(INDEX('Detalles movimientos'!M$5:M$1004, MATCH(144, 'Detalles movimientos'!$V$5:$V$1004, 0)), "")</f>
        <v/>
      </c>
      <c r="J153" s="19" t="str">
        <f>IFERROR(INDEX('Detalles movimientos'!N$5:N$1004, MATCH(144, 'Detalles movimientos'!$V$5:$V$1004, 0)), "")</f>
        <v/>
      </c>
      <c r="K153" s="20" t="str">
        <f>IFERROR(INDEX('Detalles movimientos'!O$5:O$1004, MATCH(144, 'Detalles movimientos'!$V$5:$V$1004, 0)), "")</f>
        <v/>
      </c>
      <c r="L153" s="18" t="str">
        <f>IFERROR(INDEX('Detalles movimientos'!P$5:P$1004, MATCH(144, 'Detalles movimientos'!$V$5:$V$1004, 0)), "")</f>
        <v/>
      </c>
      <c r="M153" s="18" t="str">
        <f>IFERROR(INDEX('Detalles movimientos'!S$5:S$1004, MATCH(144, 'Detalles movimientos'!$V$5:$V$1004, 0)), "")</f>
        <v/>
      </c>
    </row>
    <row r="154" spans="2:13">
      <c r="B154" s="17" t="str">
        <f>IFERROR(INDEX('Detalles movimientos'!C$5:C$1004, MATCH(145, 'Detalles movimientos'!$V$5:$V$1004, 0)), "")</f>
        <v/>
      </c>
      <c r="C154" s="18" t="str">
        <f>IFERROR(INDEX('Detalles movimientos'!D$5:D$1004, MATCH(145, 'Detalles movimientos'!$V$5:$V$1004, 0)), "")</f>
        <v/>
      </c>
      <c r="D154" s="19" t="str">
        <f>IFERROR(INDEX('Detalles movimientos'!E$5:E$1004, MATCH(145, 'Detalles movimientos'!$V$5:$V$1004, 0)), "")</f>
        <v/>
      </c>
      <c r="E154" s="19" t="str">
        <f>IFERROR(INDEX('Detalles movimientos'!F$5:F$1004, MATCH(145, 'Detalles movimientos'!$V$5:$V$1004, 0)), "")</f>
        <v/>
      </c>
      <c r="F154" s="18" t="str">
        <f>IFERROR(INDEX('Detalles movimientos'!G$5:G$1004, MATCH(145, 'Detalles movimientos'!$V$5:$V$1004, 0)), "")</f>
        <v/>
      </c>
      <c r="G154" s="20" t="str">
        <f>IFERROR(INDEX('Detalles movimientos'!H$5:H$1004, MATCH(145, 'Detalles movimientos'!$V$5:$V$1004, 0)), "")</f>
        <v/>
      </c>
      <c r="H154" s="21" t="str">
        <f>IFERROR(INDEX('Detalles movimientos'!I$5:I$1004, MATCH(145, 'Detalles movimientos'!$V$5:$V$1004, 0)), "")</f>
        <v/>
      </c>
      <c r="I154" s="20" t="str">
        <f>IFERROR(INDEX('Detalles movimientos'!M$5:M$1004, MATCH(145, 'Detalles movimientos'!$V$5:$V$1004, 0)), "")</f>
        <v/>
      </c>
      <c r="J154" s="19" t="str">
        <f>IFERROR(INDEX('Detalles movimientos'!N$5:N$1004, MATCH(145, 'Detalles movimientos'!$V$5:$V$1004, 0)), "")</f>
        <v/>
      </c>
      <c r="K154" s="20" t="str">
        <f>IFERROR(INDEX('Detalles movimientos'!O$5:O$1004, MATCH(145, 'Detalles movimientos'!$V$5:$V$1004, 0)), "")</f>
        <v/>
      </c>
      <c r="L154" s="18" t="str">
        <f>IFERROR(INDEX('Detalles movimientos'!P$5:P$1004, MATCH(145, 'Detalles movimientos'!$V$5:$V$1004, 0)), "")</f>
        <v/>
      </c>
      <c r="M154" s="18" t="str">
        <f>IFERROR(INDEX('Detalles movimientos'!S$5:S$1004, MATCH(145, 'Detalles movimientos'!$V$5:$V$1004, 0)), "")</f>
        <v/>
      </c>
    </row>
    <row r="155" spans="2:13">
      <c r="B155" s="17" t="str">
        <f>IFERROR(INDEX('Detalles movimientos'!C$5:C$1004, MATCH(146, 'Detalles movimientos'!$V$5:$V$1004, 0)), "")</f>
        <v/>
      </c>
      <c r="C155" s="18" t="str">
        <f>IFERROR(INDEX('Detalles movimientos'!D$5:D$1004, MATCH(146, 'Detalles movimientos'!$V$5:$V$1004, 0)), "")</f>
        <v/>
      </c>
      <c r="D155" s="19" t="str">
        <f>IFERROR(INDEX('Detalles movimientos'!E$5:E$1004, MATCH(146, 'Detalles movimientos'!$V$5:$V$1004, 0)), "")</f>
        <v/>
      </c>
      <c r="E155" s="19" t="str">
        <f>IFERROR(INDEX('Detalles movimientos'!F$5:F$1004, MATCH(146, 'Detalles movimientos'!$V$5:$V$1004, 0)), "")</f>
        <v/>
      </c>
      <c r="F155" s="18" t="str">
        <f>IFERROR(INDEX('Detalles movimientos'!G$5:G$1004, MATCH(146, 'Detalles movimientos'!$V$5:$V$1004, 0)), "")</f>
        <v/>
      </c>
      <c r="G155" s="20" t="str">
        <f>IFERROR(INDEX('Detalles movimientos'!H$5:H$1004, MATCH(146, 'Detalles movimientos'!$V$5:$V$1004, 0)), "")</f>
        <v/>
      </c>
      <c r="H155" s="21" t="str">
        <f>IFERROR(INDEX('Detalles movimientos'!I$5:I$1004, MATCH(146, 'Detalles movimientos'!$V$5:$V$1004, 0)), "")</f>
        <v/>
      </c>
      <c r="I155" s="20" t="str">
        <f>IFERROR(INDEX('Detalles movimientos'!M$5:M$1004, MATCH(146, 'Detalles movimientos'!$V$5:$V$1004, 0)), "")</f>
        <v/>
      </c>
      <c r="J155" s="19" t="str">
        <f>IFERROR(INDEX('Detalles movimientos'!N$5:N$1004, MATCH(146, 'Detalles movimientos'!$V$5:$V$1004, 0)), "")</f>
        <v/>
      </c>
      <c r="K155" s="20" t="str">
        <f>IFERROR(INDEX('Detalles movimientos'!O$5:O$1004, MATCH(146, 'Detalles movimientos'!$V$5:$V$1004, 0)), "")</f>
        <v/>
      </c>
      <c r="L155" s="18" t="str">
        <f>IFERROR(INDEX('Detalles movimientos'!P$5:P$1004, MATCH(146, 'Detalles movimientos'!$V$5:$V$1004, 0)), "")</f>
        <v/>
      </c>
      <c r="M155" s="18" t="str">
        <f>IFERROR(INDEX('Detalles movimientos'!S$5:S$1004, MATCH(146, 'Detalles movimientos'!$V$5:$V$1004, 0)), "")</f>
        <v/>
      </c>
    </row>
    <row r="156" spans="2:13">
      <c r="B156" s="17" t="str">
        <f>IFERROR(INDEX('Detalles movimientos'!C$5:C$1004, MATCH(147, 'Detalles movimientos'!$V$5:$V$1004, 0)), "")</f>
        <v/>
      </c>
      <c r="C156" s="18" t="str">
        <f>IFERROR(INDEX('Detalles movimientos'!D$5:D$1004, MATCH(147, 'Detalles movimientos'!$V$5:$V$1004, 0)), "")</f>
        <v/>
      </c>
      <c r="D156" s="19" t="str">
        <f>IFERROR(INDEX('Detalles movimientos'!E$5:E$1004, MATCH(147, 'Detalles movimientos'!$V$5:$V$1004, 0)), "")</f>
        <v/>
      </c>
      <c r="E156" s="19" t="str">
        <f>IFERROR(INDEX('Detalles movimientos'!F$5:F$1004, MATCH(147, 'Detalles movimientos'!$V$5:$V$1004, 0)), "")</f>
        <v/>
      </c>
      <c r="F156" s="18" t="str">
        <f>IFERROR(INDEX('Detalles movimientos'!G$5:G$1004, MATCH(147, 'Detalles movimientos'!$V$5:$V$1004, 0)), "")</f>
        <v/>
      </c>
      <c r="G156" s="20" t="str">
        <f>IFERROR(INDEX('Detalles movimientos'!H$5:H$1004, MATCH(147, 'Detalles movimientos'!$V$5:$V$1004, 0)), "")</f>
        <v/>
      </c>
      <c r="H156" s="21" t="str">
        <f>IFERROR(INDEX('Detalles movimientos'!I$5:I$1004, MATCH(147, 'Detalles movimientos'!$V$5:$V$1004, 0)), "")</f>
        <v/>
      </c>
      <c r="I156" s="20" t="str">
        <f>IFERROR(INDEX('Detalles movimientos'!M$5:M$1004, MATCH(147, 'Detalles movimientos'!$V$5:$V$1004, 0)), "")</f>
        <v/>
      </c>
      <c r="J156" s="19" t="str">
        <f>IFERROR(INDEX('Detalles movimientos'!N$5:N$1004, MATCH(147, 'Detalles movimientos'!$V$5:$V$1004, 0)), "")</f>
        <v/>
      </c>
      <c r="K156" s="20" t="str">
        <f>IFERROR(INDEX('Detalles movimientos'!O$5:O$1004, MATCH(147, 'Detalles movimientos'!$V$5:$V$1004, 0)), "")</f>
        <v/>
      </c>
      <c r="L156" s="18" t="str">
        <f>IFERROR(INDEX('Detalles movimientos'!P$5:P$1004, MATCH(147, 'Detalles movimientos'!$V$5:$V$1004, 0)), "")</f>
        <v/>
      </c>
      <c r="M156" s="18" t="str">
        <f>IFERROR(INDEX('Detalles movimientos'!S$5:S$1004, MATCH(147, 'Detalles movimientos'!$V$5:$V$1004, 0)), "")</f>
        <v/>
      </c>
    </row>
    <row r="157" spans="2:13">
      <c r="B157" s="17" t="str">
        <f>IFERROR(INDEX('Detalles movimientos'!C$5:C$1004, MATCH(148, 'Detalles movimientos'!$V$5:$V$1004, 0)), "")</f>
        <v/>
      </c>
      <c r="C157" s="18" t="str">
        <f>IFERROR(INDEX('Detalles movimientos'!D$5:D$1004, MATCH(148, 'Detalles movimientos'!$V$5:$V$1004, 0)), "")</f>
        <v/>
      </c>
      <c r="D157" s="19" t="str">
        <f>IFERROR(INDEX('Detalles movimientos'!E$5:E$1004, MATCH(148, 'Detalles movimientos'!$V$5:$V$1004, 0)), "")</f>
        <v/>
      </c>
      <c r="E157" s="19" t="str">
        <f>IFERROR(INDEX('Detalles movimientos'!F$5:F$1004, MATCH(148, 'Detalles movimientos'!$V$5:$V$1004, 0)), "")</f>
        <v/>
      </c>
      <c r="F157" s="18" t="str">
        <f>IFERROR(INDEX('Detalles movimientos'!G$5:G$1004, MATCH(148, 'Detalles movimientos'!$V$5:$V$1004, 0)), "")</f>
        <v/>
      </c>
      <c r="G157" s="20" t="str">
        <f>IFERROR(INDEX('Detalles movimientos'!H$5:H$1004, MATCH(148, 'Detalles movimientos'!$V$5:$V$1004, 0)), "")</f>
        <v/>
      </c>
      <c r="H157" s="21" t="str">
        <f>IFERROR(INDEX('Detalles movimientos'!I$5:I$1004, MATCH(148, 'Detalles movimientos'!$V$5:$V$1004, 0)), "")</f>
        <v/>
      </c>
      <c r="I157" s="20" t="str">
        <f>IFERROR(INDEX('Detalles movimientos'!M$5:M$1004, MATCH(148, 'Detalles movimientos'!$V$5:$V$1004, 0)), "")</f>
        <v/>
      </c>
      <c r="J157" s="19" t="str">
        <f>IFERROR(INDEX('Detalles movimientos'!N$5:N$1004, MATCH(148, 'Detalles movimientos'!$V$5:$V$1004, 0)), "")</f>
        <v/>
      </c>
      <c r="K157" s="20" t="str">
        <f>IFERROR(INDEX('Detalles movimientos'!O$5:O$1004, MATCH(148, 'Detalles movimientos'!$V$5:$V$1004, 0)), "")</f>
        <v/>
      </c>
      <c r="L157" s="18" t="str">
        <f>IFERROR(INDEX('Detalles movimientos'!P$5:P$1004, MATCH(148, 'Detalles movimientos'!$V$5:$V$1004, 0)), "")</f>
        <v/>
      </c>
      <c r="M157" s="18" t="str">
        <f>IFERROR(INDEX('Detalles movimientos'!S$5:S$1004, MATCH(148, 'Detalles movimientos'!$V$5:$V$1004, 0)), "")</f>
        <v/>
      </c>
    </row>
    <row r="158" spans="2:13">
      <c r="B158" s="17" t="str">
        <f>IFERROR(INDEX('Detalles movimientos'!C$5:C$1004, MATCH(149, 'Detalles movimientos'!$V$5:$V$1004, 0)), "")</f>
        <v/>
      </c>
      <c r="C158" s="18" t="str">
        <f>IFERROR(INDEX('Detalles movimientos'!D$5:D$1004, MATCH(149, 'Detalles movimientos'!$V$5:$V$1004, 0)), "")</f>
        <v/>
      </c>
      <c r="D158" s="19" t="str">
        <f>IFERROR(INDEX('Detalles movimientos'!E$5:E$1004, MATCH(149, 'Detalles movimientos'!$V$5:$V$1004, 0)), "")</f>
        <v/>
      </c>
      <c r="E158" s="19" t="str">
        <f>IFERROR(INDEX('Detalles movimientos'!F$5:F$1004, MATCH(149, 'Detalles movimientos'!$V$5:$V$1004, 0)), "")</f>
        <v/>
      </c>
      <c r="F158" s="18" t="str">
        <f>IFERROR(INDEX('Detalles movimientos'!G$5:G$1004, MATCH(149, 'Detalles movimientos'!$V$5:$V$1004, 0)), "")</f>
        <v/>
      </c>
      <c r="G158" s="20" t="str">
        <f>IFERROR(INDEX('Detalles movimientos'!H$5:H$1004, MATCH(149, 'Detalles movimientos'!$V$5:$V$1004, 0)), "")</f>
        <v/>
      </c>
      <c r="H158" s="21" t="str">
        <f>IFERROR(INDEX('Detalles movimientos'!I$5:I$1004, MATCH(149, 'Detalles movimientos'!$V$5:$V$1004, 0)), "")</f>
        <v/>
      </c>
      <c r="I158" s="20" t="str">
        <f>IFERROR(INDEX('Detalles movimientos'!M$5:M$1004, MATCH(149, 'Detalles movimientos'!$V$5:$V$1004, 0)), "")</f>
        <v/>
      </c>
      <c r="J158" s="19" t="str">
        <f>IFERROR(INDEX('Detalles movimientos'!N$5:N$1004, MATCH(149, 'Detalles movimientos'!$V$5:$V$1004, 0)), "")</f>
        <v/>
      </c>
      <c r="K158" s="20" t="str">
        <f>IFERROR(INDEX('Detalles movimientos'!O$5:O$1004, MATCH(149, 'Detalles movimientos'!$V$5:$V$1004, 0)), "")</f>
        <v/>
      </c>
      <c r="L158" s="18" t="str">
        <f>IFERROR(INDEX('Detalles movimientos'!P$5:P$1004, MATCH(149, 'Detalles movimientos'!$V$5:$V$1004, 0)), "")</f>
        <v/>
      </c>
      <c r="M158" s="18" t="str">
        <f>IFERROR(INDEX('Detalles movimientos'!S$5:S$1004, MATCH(149, 'Detalles movimientos'!$V$5:$V$1004,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2026-09-15T02:34:09Z</dcterms:modified>
</cp:coreProperties>
</file>