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900" windowWidth="28800" windowHeight="16260" tabRatio="600" firstSheet="0" activeTab="0" autoFilterDateGrouping="1"/>
  </bookViews>
  <sheets>
    <sheet name="Detalles movimientos" sheetId="1" state="visible" r:id="rId1"/>
    <sheet name="ENAP" sheetId="2" state="visible" r:id="rId2"/>
    <sheet name="Análisis de Negocio" sheetId="3" state="visible" r:id="rId3"/>
    <sheet name="CJ" sheetId="4" state="visible" r:id="rId4"/>
    <sheet name="Ignacio" sheetId="5" state="visible" r:id="rId5"/>
    <sheet name="Tripulacion" sheetId="6" state="visible" r:id="rId6"/>
  </sheets>
  <definedNames/>
  <calcPr calcId="191029" fullCalcOnLoad="1" iterate="1"/>
</workbook>
</file>

<file path=xl/styles.xml><?xml version="1.0" encoding="utf-8"?>
<styleSheet xmlns="http://schemas.openxmlformats.org/spreadsheetml/2006/main">
  <numFmts count="4">
    <numFmt numFmtId="164" formatCode="_ &quot;$&quot;* #,##0_ ;_ &quot;$&quot;* \-#,##0_ ;_ &quot;$&quot;* &quot;-&quot;_ ;_ @_ "/>
    <numFmt numFmtId="165" formatCode="yyyy\-mm\-dd"/>
    <numFmt numFmtId="166" formatCode="#,##0.0"/>
    <numFmt numFmtId="167" formatCode="&quot;$&quot;#,##0"/>
  </numFmts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4"/>
      <scheme val="minor"/>
    </font>
    <font>
      <name val="Aptos Narrow"/>
      <family val="2"/>
      <color theme="0"/>
      <sz val="16"/>
      <scheme val="minor"/>
    </font>
    <font>
      <name val="Aptos Narrow"/>
      <sz val="10"/>
    </font>
    <font>
      <name val="Aptos Narrow"/>
      <color rgb="FFA6A6A6"/>
      <sz val="9"/>
    </font>
    <font>
      <name val="Aptos Narrow"/>
      <b val="1"/>
      <color rgb="FF1F4E78"/>
      <sz val="16"/>
    </font>
    <font>
      <name val="Aptos Narrow"/>
      <i val="1"/>
      <color rgb="FF595959"/>
      <sz val="11"/>
    </font>
    <font>
      <name val="Aptos Narrow"/>
      <b val="1"/>
      <color rgb="FF1F4E78"/>
      <sz val="10"/>
    </font>
    <font>
      <name val="Aptos Narrow"/>
      <b val="1"/>
      <color rgb="FF000000"/>
      <sz val="18"/>
    </font>
    <font>
      <name val="Aptos Narrow"/>
      <b val="1"/>
      <color rgb="FF000000"/>
      <sz val="11"/>
    </font>
    <font>
      <name val="Aptos Narrow"/>
      <b val="1"/>
      <color rgb="FFFFFFFF"/>
      <sz val="11"/>
    </font>
    <font>
      <name val="Aptos Narrow"/>
      <b val="1"/>
      <color rgb="FFFFFFFF"/>
      <sz val="14"/>
    </font>
    <font>
      <name val="Aptos Narrow"/>
      <b val="1"/>
      <sz val="12"/>
    </font>
    <font>
      <name val="Aptos Narrow"/>
      <family val="2"/>
      <sz val="12"/>
      <scheme val="minor"/>
    </font>
    <font>
      <name val="Aptos Narrow"/>
      <sz val="12"/>
    </font>
    <font>
      <name val="Aptos Narrow"/>
      <b val="1"/>
      <sz val="12"/>
    </font>
    <font>
      <name val="Aptos Narrow"/>
      <family val="2"/>
      <color rgb="FF000000"/>
      <sz val="12"/>
      <scheme val="minor"/>
    </font>
    <font>
      <name val="Aptos Narrow"/>
      <family val="2"/>
      <sz val="8"/>
      <scheme val="minor"/>
    </font>
  </fonts>
  <fills count="17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1F4E78"/>
        <bgColor rgb="FF1F4E78"/>
      </patternFill>
    </fill>
    <fill>
      <patternFill patternType="solid">
        <fgColor theme="3" tint="0.09997863704336681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/>
      <diagonal/>
    </border>
    <border>
      <left/>
      <right style="slantDashDot">
        <color auto="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slantDashDot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1" fillId="0" borderId="0"/>
    <xf numFmtId="42" fontId="1" fillId="0" borderId="0"/>
  </cellStyleXfs>
  <cellXfs count="126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0" fillId="0" borderId="2" pivotButton="0" quotePrefix="0" xfId="0"/>
    <xf numFmtId="0" fontId="2" fillId="2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1">
      <alignment horizontal="left"/>
    </xf>
    <xf numFmtId="164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1" pivotButton="0" quotePrefix="0" xfId="1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4" borderId="6" applyAlignment="1" pivotButton="0" quotePrefix="0" xfId="0">
      <alignment horizontal="center" vertical="center" wrapText="1"/>
    </xf>
    <xf numFmtId="165" fontId="4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164" fontId="4" fillId="0" borderId="6" applyAlignment="1" pivotButton="0" quotePrefix="0" xfId="0">
      <alignment horizontal="right"/>
    </xf>
    <xf numFmtId="166" fontId="4" fillId="0" borderId="6" applyAlignment="1" pivotButton="0" quotePrefix="0" xfId="0">
      <alignment horizontal="right"/>
    </xf>
    <xf numFmtId="164" fontId="0" fillId="0" borderId="0" pivotButton="0" quotePrefix="0" xfId="0"/>
    <xf numFmtId="164" fontId="1" fillId="0" borderId="0" pivotButton="0" quotePrefix="0" xfId="1"/>
    <xf numFmtId="3" fontId="1" fillId="0" borderId="0" pivotButton="0" quotePrefix="0" xfId="1"/>
    <xf numFmtId="0" fontId="2" fillId="2" borderId="7" applyAlignment="1" pivotButton="0" quotePrefix="0" xfId="0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3" fontId="1" fillId="0" borderId="1" pivotButton="0" quotePrefix="0" xfId="1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0" fillId="8" borderId="1" pivotButton="0" quotePrefix="0" xfId="0"/>
    <xf numFmtId="3" fontId="0" fillId="0" borderId="1" applyAlignment="1" pivotButton="0" quotePrefix="0" xfId="0">
      <alignment horizontal="center"/>
    </xf>
    <xf numFmtId="3" fontId="0" fillId="0" borderId="0" pivotButton="0" quotePrefix="0" xfId="0"/>
    <xf numFmtId="0" fontId="0" fillId="9" borderId="0" pivotButton="0" quotePrefix="0" xfId="0"/>
    <xf numFmtId="3" fontId="0" fillId="8" borderId="1" applyAlignment="1" pivotButton="0" quotePrefix="0" xfId="0">
      <alignment horizontal="center"/>
    </xf>
    <xf numFmtId="3" fontId="0" fillId="0" borderId="1" pivotButton="0" quotePrefix="0" xfId="0"/>
    <xf numFmtId="0" fontId="16" fillId="10" borderId="5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5" fillId="0" borderId="0" pivotButton="0" quotePrefix="0" xfId="0"/>
    <xf numFmtId="166" fontId="15" fillId="0" borderId="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/>
    </xf>
    <xf numFmtId="0" fontId="17" fillId="0" borderId="1" pivotButton="0" quotePrefix="0" xfId="0"/>
    <xf numFmtId="0" fontId="0" fillId="0" borderId="1" applyAlignment="1" pivotButton="0" quotePrefix="0" xfId="0">
      <alignment wrapText="1"/>
    </xf>
    <xf numFmtId="164" fontId="0" fillId="9" borderId="1" pivotButton="0" quotePrefix="0" xfId="0"/>
    <xf numFmtId="0" fontId="0" fillId="9" borderId="1" pivotButton="0" quotePrefix="0" xfId="0"/>
    <xf numFmtId="14" fontId="0" fillId="11" borderId="1" pivotButton="0" quotePrefix="0" xfId="0"/>
    <xf numFmtId="0" fontId="0" fillId="11" borderId="1" pivotButton="0" quotePrefix="0" xfId="0"/>
    <xf numFmtId="0" fontId="0" fillId="11" borderId="1" applyAlignment="1" pivotButton="0" quotePrefix="0" xfId="0">
      <alignment horizontal="center"/>
    </xf>
    <xf numFmtId="164" fontId="0" fillId="11" borderId="1" pivotButton="0" quotePrefix="0" xfId="1"/>
    <xf numFmtId="3" fontId="0" fillId="11" borderId="1" applyAlignment="1" pivotButton="0" quotePrefix="0" xfId="0">
      <alignment horizontal="center"/>
    </xf>
    <xf numFmtId="164" fontId="0" fillId="12" borderId="1" pivotButton="0" quotePrefix="0" xfId="0"/>
    <xf numFmtId="0" fontId="0" fillId="12" borderId="1" pivotButton="0" quotePrefix="0" xfId="0"/>
    <xf numFmtId="164" fontId="0" fillId="13" borderId="1" pivotButton="0" quotePrefix="0" xfId="0"/>
    <xf numFmtId="0" fontId="0" fillId="13" borderId="1" pivotButton="0" quotePrefix="0" xfId="0"/>
    <xf numFmtId="164" fontId="0" fillId="14" borderId="1" pivotButton="0" quotePrefix="0" xfId="0"/>
    <xf numFmtId="0" fontId="0" fillId="14" borderId="1" pivotButton="0" quotePrefix="0" xfId="0"/>
    <xf numFmtId="14" fontId="0" fillId="15" borderId="1" pivotButton="0" quotePrefix="0" xfId="0"/>
    <xf numFmtId="0" fontId="0" fillId="15" borderId="1" pivotButton="0" quotePrefix="0" xfId="0"/>
    <xf numFmtId="0" fontId="0" fillId="15" borderId="1" applyAlignment="1" pivotButton="0" quotePrefix="0" xfId="0">
      <alignment horizontal="center"/>
    </xf>
    <xf numFmtId="164" fontId="0" fillId="15" borderId="1" pivotButton="0" quotePrefix="0" xfId="1"/>
    <xf numFmtId="3" fontId="0" fillId="15" borderId="1" applyAlignment="1" pivotButton="0" quotePrefix="0" xfId="0">
      <alignment horizontal="center"/>
    </xf>
    <xf numFmtId="164" fontId="0" fillId="15" borderId="1" pivotButton="0" quotePrefix="0" xfId="0"/>
    <xf numFmtId="0" fontId="0" fillId="15" borderId="8" pivotButton="0" quotePrefix="0" xfId="0"/>
    <xf numFmtId="164" fontId="1" fillId="15" borderId="1" pivotButton="0" quotePrefix="0" xfId="1"/>
    <xf numFmtId="3" fontId="1" fillId="15" borderId="1" pivotButton="0" quotePrefix="0" xfId="1"/>
    <xf numFmtId="0" fontId="0" fillId="15" borderId="0" pivotButton="0" quotePrefix="0" xfId="0"/>
    <xf numFmtId="14" fontId="0" fillId="16" borderId="1" pivotButton="0" quotePrefix="0" xfId="0"/>
    <xf numFmtId="0" fontId="0" fillId="16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pivotButton="0" quotePrefix="0" xfId="1"/>
    <xf numFmtId="3" fontId="0" fillId="16" borderId="1" applyAlignment="1" pivotButton="0" quotePrefix="0" xfId="0">
      <alignment horizontal="center"/>
    </xf>
    <xf numFmtId="164" fontId="0" fillId="16" borderId="1" pivotButton="0" quotePrefix="0" xfId="0"/>
    <xf numFmtId="0" fontId="0" fillId="16" borderId="8" pivotButton="0" quotePrefix="0" xfId="0"/>
    <xf numFmtId="164" fontId="1" fillId="16" borderId="1" pivotButton="0" quotePrefix="0" xfId="1"/>
    <xf numFmtId="3" fontId="1" fillId="16" borderId="1" pivotButton="0" quotePrefix="0" xfId="1"/>
    <xf numFmtId="0" fontId="0" fillId="16" borderId="0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164" fontId="1" fillId="0" borderId="0" pivotButton="0" quotePrefix="0" xfId="1"/>
    <xf numFmtId="0" fontId="0" fillId="0" borderId="4" pivotButton="0" quotePrefix="0" xfId="0"/>
    <xf numFmtId="3" fontId="15" fillId="0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15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13" fillId="7" borderId="0" pivotButton="0" quotePrefix="0" xfId="0"/>
    <xf numFmtId="0" fontId="12" fillId="6" borderId="0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/>
    </xf>
    <xf numFmtId="0" fontId="0" fillId="0" borderId="10" pivotButton="0" quotePrefix="0" xfId="0"/>
    <xf numFmtId="166" fontId="9" fillId="3" borderId="5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8" fillId="3" borderId="5" applyAlignment="1" pivotButton="0" quotePrefix="0" xfId="0">
      <alignment horizontal="right" vertical="center"/>
    </xf>
    <xf numFmtId="164" fontId="9" fillId="3" borderId="5" applyAlignment="1" pivotButton="0" quotePrefix="0" xfId="0">
      <alignment horizontal="center" vertical="center"/>
    </xf>
    <xf numFmtId="3" fontId="9" fillId="3" borderId="5" applyAlignment="1" pivotButton="0" quotePrefix="0" xfId="0">
      <alignment horizontal="center" vertical="center"/>
    </xf>
    <xf numFmtId="164" fontId="1" fillId="0" borderId="0" pivotButton="0" quotePrefix="0" xfId="1"/>
    <xf numFmtId="164" fontId="0" fillId="0" borderId="1" pivotButton="0" quotePrefix="0" xfId="1"/>
    <xf numFmtId="164" fontId="0" fillId="0" borderId="1" pivotButton="0" quotePrefix="0" xfId="0"/>
    <xf numFmtId="164" fontId="1" fillId="0" borderId="1" pivotButton="0" quotePrefix="0" xfId="1"/>
    <xf numFmtId="164" fontId="0" fillId="11" borderId="1" pivotButton="0" quotePrefix="0" xfId="1"/>
    <xf numFmtId="164" fontId="0" fillId="14" borderId="1" pivotButton="0" quotePrefix="0" xfId="0"/>
    <xf numFmtId="164" fontId="0" fillId="12" borderId="1" pivotButton="0" quotePrefix="0" xfId="0"/>
    <xf numFmtId="164" fontId="0" fillId="9" borderId="1" pivotButton="0" quotePrefix="0" xfId="0"/>
    <xf numFmtId="164" fontId="0" fillId="13" borderId="1" pivotButton="0" quotePrefix="0" xfId="0"/>
    <xf numFmtId="164" fontId="0" fillId="0" borderId="1" applyAlignment="1" pivotButton="0" quotePrefix="0" xfId="1">
      <alignment horizontal="left"/>
    </xf>
    <xf numFmtId="164" fontId="0" fillId="0" borderId="1" applyAlignment="1" pivotButton="0" quotePrefix="0" xfId="0">
      <alignment horizontal="left"/>
    </xf>
    <xf numFmtId="164" fontId="0" fillId="15" borderId="1" pivotButton="0" quotePrefix="0" xfId="1"/>
    <xf numFmtId="164" fontId="0" fillId="15" borderId="1" pivotButton="0" quotePrefix="0" xfId="0"/>
    <xf numFmtId="164" fontId="1" fillId="15" borderId="1" pivotButton="0" quotePrefix="0" xfId="1"/>
    <xf numFmtId="164" fontId="0" fillId="16" borderId="1" pivotButton="0" quotePrefix="0" xfId="1"/>
    <xf numFmtId="164" fontId="0" fillId="16" borderId="1" pivotButton="0" quotePrefix="0" xfId="0"/>
    <xf numFmtId="164" fontId="1" fillId="16" borderId="1" pivotButton="0" quotePrefix="0" xfId="1"/>
    <xf numFmtId="164" fontId="0" fillId="0" borderId="0" pivotButton="0" quotePrefix="0" xfId="0"/>
    <xf numFmtId="166" fontId="15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/>
    </xf>
    <xf numFmtId="164" fontId="4" fillId="0" borderId="6" applyAlignment="1" pivotButton="0" quotePrefix="0" xfId="0">
      <alignment horizontal="right"/>
    </xf>
    <xf numFmtId="166" fontId="4" fillId="0" borderId="6" applyAlignment="1" pivotButton="0" quotePrefix="0" xfId="0">
      <alignment horizontal="right"/>
    </xf>
    <xf numFmtId="166" fontId="0" fillId="0" borderId="0" pivotButton="0" quotePrefix="0" xfId="0"/>
    <xf numFmtId="167" fontId="0" fillId="0" borderId="0" pivotButton="0" quotePrefix="0" xfId="0"/>
    <xf numFmtId="166" fontId="9" fillId="3" borderId="5" applyAlignment="1" pivotButton="0" quotePrefix="0" xfId="0">
      <alignment horizontal="center" vertical="center"/>
    </xf>
    <xf numFmtId="164" fontId="9" fillId="3" borderId="5" applyAlignment="1" pivotButton="0" quotePrefix="0" xfId="0">
      <alignment horizontal="center" vertical="center"/>
    </xf>
  </cellXfs>
  <cellStyles count="2">
    <cellStyle name="Normal" xfId="0" builtinId="0"/>
    <cellStyle name="Moneda [0]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W1024"/>
  <sheetViews>
    <sheetView showGridLines="0" tabSelected="1" zoomScaleNormal="100" workbookViewId="0">
      <pane ySplit="4" topLeftCell="A77" activePane="bottomLeft" state="frozen"/>
      <selection pane="bottomLeft" activeCell="C97" sqref="C97"/>
    </sheetView>
  </sheetViews>
  <sheetFormatPr baseColWidth="10" defaultRowHeight="16"/>
  <cols>
    <col width="4.5" customWidth="1" style="81" min="1" max="2"/>
    <col width="10" customWidth="1" style="81" min="3" max="3"/>
    <col width="20.33203125" bestFit="1" customWidth="1" style="81" min="4" max="4"/>
    <col width="18.6640625" bestFit="1" customWidth="1" style="81" min="5" max="5"/>
    <col width="18.6640625" customWidth="1" style="81" min="6" max="6"/>
    <col width="40.6640625" bestFit="1" customWidth="1" style="81" min="7" max="7"/>
    <col width="7.5" bestFit="1" customWidth="1" style="81" min="8" max="8"/>
    <col width="15.33203125" bestFit="1" customWidth="1" style="81" min="9" max="9"/>
    <col width="15.33203125" customWidth="1" style="81" min="10" max="10"/>
    <col width="15.33203125" customWidth="1" style="82" min="11" max="12"/>
    <col width="17" bestFit="1" customWidth="1" style="81" min="13" max="13"/>
    <col width="17.83203125" bestFit="1" customWidth="1" style="81" min="14" max="14"/>
    <col width="17.83203125" customWidth="1" style="81" min="15" max="15"/>
    <col width="31.33203125" bestFit="1" customWidth="1" style="81" min="16" max="16"/>
    <col width="31.33203125" customWidth="1" style="100" min="17" max="17"/>
    <col width="31.33203125" customWidth="1" style="24" min="18" max="18"/>
    <col hidden="1" width="13" customWidth="1" style="81" min="20" max="23"/>
  </cols>
  <sheetData>
    <row r="2" ht="23" customHeight="1" s="81">
      <c r="C2" s="80" t="inlineStr">
        <is>
          <t>VENTAS GRANEL ECOGAS SPA</t>
        </is>
      </c>
      <c r="R2" s="84" t="n"/>
    </row>
    <row r="3" ht="17" customHeight="1" s="81" thickBot="1"/>
    <row r="4" ht="19" customHeight="1" s="81">
      <c r="C4" s="4" t="inlineStr">
        <is>
          <t>Fecha</t>
        </is>
      </c>
      <c r="D4" s="4" t="inlineStr">
        <is>
          <t>Nombre Cliente</t>
        </is>
      </c>
      <c r="E4" s="4" t="inlineStr">
        <is>
          <t>Camión</t>
        </is>
      </c>
      <c r="F4" s="4" t="inlineStr">
        <is>
          <t>Vende</t>
        </is>
      </c>
      <c r="G4" s="4" t="inlineStr">
        <is>
          <t>Dirección</t>
        </is>
      </c>
      <c r="H4" s="4" t="inlineStr">
        <is>
          <t>Precio</t>
        </is>
      </c>
      <c r="I4" s="4" t="inlineStr">
        <is>
          <t>Litros Vendidos</t>
        </is>
      </c>
      <c r="J4" s="4" t="n"/>
      <c r="K4" s="4" t="inlineStr">
        <is>
          <t>Cuenta litros</t>
        </is>
      </c>
      <c r="L4" s="4" t="inlineStr">
        <is>
          <t>Extraccion</t>
        </is>
      </c>
      <c r="M4" s="4" t="inlineStr">
        <is>
          <t>Total Recaudado</t>
        </is>
      </c>
      <c r="N4" s="4" t="inlineStr">
        <is>
          <t>Medio de pago</t>
        </is>
      </c>
      <c r="O4" s="4" t="inlineStr">
        <is>
          <t>Comisiones</t>
        </is>
      </c>
      <c r="P4" s="25" t="inlineStr">
        <is>
          <t>Observación</t>
        </is>
      </c>
      <c r="Q4" s="28" t="inlineStr">
        <is>
          <t>COMPRA ENAP</t>
        </is>
      </c>
      <c r="R4" s="28" t="inlineStr">
        <is>
          <t>Litros Comprados</t>
        </is>
      </c>
      <c r="T4" s="13" t="inlineStr">
        <is>
          <t>_Idx_CJ</t>
        </is>
      </c>
      <c r="U4" s="13" t="inlineStr">
        <is>
          <t>_Idx_Ignacio</t>
        </is>
      </c>
      <c r="V4" s="13" t="inlineStr">
        <is>
          <t>_Idx_Tripulacion</t>
        </is>
      </c>
      <c r="W4" s="13" t="inlineStr">
        <is>
          <t>_Idx_ENAP carga</t>
        </is>
      </c>
    </row>
    <row r="5">
      <c r="C5" s="7" t="n">
        <v>46226</v>
      </c>
      <c r="D5" s="1" t="inlineStr">
        <is>
          <t>ENAP carga</t>
        </is>
      </c>
      <c r="E5" s="5" t="inlineStr">
        <is>
          <t>VJYL61</t>
        </is>
      </c>
      <c r="F5" s="5" t="inlineStr">
        <is>
          <t>ENAP carga</t>
        </is>
      </c>
      <c r="G5" s="1" t="n"/>
      <c r="H5" s="101" t="n"/>
      <c r="I5" s="5" t="n"/>
      <c r="J5" s="5" t="n"/>
      <c r="K5" s="34" t="n"/>
      <c r="L5" s="34" t="n"/>
      <c r="M5" s="102" t="n"/>
      <c r="N5" s="1" t="inlineStr">
        <is>
          <t>ENAP carga</t>
        </is>
      </c>
      <c r="O5" s="102">
        <f>IF(F5="CJ", I5*200, "")</f>
        <v/>
      </c>
      <c r="P5" s="26" t="inlineStr">
        <is>
          <t>Guía N° xxxxx</t>
        </is>
      </c>
      <c r="Q5" s="103" t="n">
        <v>3836889</v>
      </c>
      <c r="R5" s="29" t="n">
        <v>11481</v>
      </c>
      <c r="T5">
        <f>IF(F5="CJ", COUNTIF(F$5:F5, "CJ"), "")</f>
        <v/>
      </c>
      <c r="U5">
        <f>IF(F5="Ignacio", COUNTIF(F$5:F5, "Ignacio"), "")</f>
        <v/>
      </c>
      <c r="V5">
        <f>IF(F5="Tripulacion", COUNTIF(F$5:F5, "Tripulacion"), "")</f>
        <v/>
      </c>
      <c r="W5">
        <f>IF(F5="ENAP carga", COUNTIF(F$5:F5, "ENAP carga"), "")</f>
        <v/>
      </c>
    </row>
    <row r="6">
      <c r="C6" s="7" t="n">
        <v>46230</v>
      </c>
      <c r="D6" s="1" t="inlineStr">
        <is>
          <t>Ignacio Guerrero</t>
        </is>
      </c>
      <c r="E6" s="5" t="inlineStr">
        <is>
          <t>VJYL61</t>
        </is>
      </c>
      <c r="F6" s="5" t="inlineStr">
        <is>
          <t>Ignacio</t>
        </is>
      </c>
      <c r="G6" s="1" t="n"/>
      <c r="H6" s="101" t="n"/>
      <c r="I6" s="5" t="n"/>
      <c r="J6" s="5" t="n"/>
      <c r="K6" s="34" t="n"/>
      <c r="L6" s="34" t="n">
        <v>1403</v>
      </c>
      <c r="M6" s="102" t="n"/>
      <c r="N6" s="33" t="inlineStr">
        <is>
          <t>Extraccion</t>
        </is>
      </c>
      <c r="O6" s="102">
        <f>IF(F6="CJ", I6*200, "")</f>
        <v/>
      </c>
      <c r="P6" s="26" t="inlineStr">
        <is>
          <t>Extraccion</t>
        </is>
      </c>
      <c r="Q6" s="103" t="n"/>
      <c r="R6" s="29" t="n"/>
      <c r="T6">
        <f>IF(F6="CJ", COUNTIF(F$5:F6, "CJ"), "")</f>
        <v/>
      </c>
      <c r="U6">
        <f>IF(F6="Ignacio", COUNTIF(F$5:F6, "Ignacio"), "")</f>
        <v/>
      </c>
      <c r="V6">
        <f>IF(F6="Tripulacion", COUNTIF(F$5:F6, "Tripulacion"), "")</f>
        <v/>
      </c>
      <c r="W6">
        <f>IF(F6="ENAP carga", COUNTIF(F$5:F6, "ENAP carga"), "")</f>
        <v/>
      </c>
    </row>
    <row r="7">
      <c r="C7" s="49" t="n">
        <v>46230</v>
      </c>
      <c r="D7" s="50" t="inlineStr">
        <is>
          <t>Ricardo Brisas del Raco</t>
        </is>
      </c>
      <c r="E7" s="51" t="inlineStr">
        <is>
          <t>VJYL61</t>
        </is>
      </c>
      <c r="F7" s="51" t="inlineStr">
        <is>
          <t>CJ</t>
        </is>
      </c>
      <c r="G7" s="50" t="inlineStr">
        <is>
          <t>Brisas del Raco</t>
        </is>
      </c>
      <c r="H7" s="104" t="n">
        <v>1000</v>
      </c>
      <c r="I7" s="51" t="n">
        <v>179.2</v>
      </c>
      <c r="J7" s="51" t="n"/>
      <c r="K7" s="53" t="n"/>
      <c r="L7" s="53" t="n"/>
      <c r="M7" s="105">
        <f>H7*I7</f>
        <v/>
      </c>
      <c r="N7" s="59" t="inlineStr">
        <is>
          <t>Tarjeta</t>
        </is>
      </c>
      <c r="O7" s="103">
        <f>I7*200</f>
        <v/>
      </c>
      <c r="P7" s="26" t="inlineStr">
        <is>
          <t>Comision Pagada</t>
        </is>
      </c>
      <c r="Q7" s="103" t="n"/>
      <c r="R7" s="29" t="n"/>
      <c r="T7">
        <f>IF(F7="CJ", COUNTIF(F$5:F7, "CJ"), "")</f>
        <v/>
      </c>
      <c r="U7">
        <f>IF(F7="Ignacio", COUNTIF(F$5:F7, "Ignacio"), "")</f>
        <v/>
      </c>
      <c r="V7">
        <f>IF(F7="Tripulacion", COUNTIF(F$5:F7, "Tripulacion"), "")</f>
        <v/>
      </c>
      <c r="W7">
        <f>IF(F7="ENAP carga", COUNTIF(F$5:F7, "ENAP carga"), "")</f>
        <v/>
      </c>
    </row>
    <row r="8">
      <c r="C8" s="49" t="n">
        <v>46230</v>
      </c>
      <c r="D8" s="55" t="inlineStr">
        <is>
          <t>Ale Turko</t>
        </is>
      </c>
      <c r="E8" s="51" t="inlineStr">
        <is>
          <t>VJYL61</t>
        </is>
      </c>
      <c r="F8" s="51" t="inlineStr">
        <is>
          <t>CJ</t>
        </is>
      </c>
      <c r="G8" s="50" t="n"/>
      <c r="H8" s="104" t="n">
        <v>1000</v>
      </c>
      <c r="I8" s="51" t="n">
        <v>518.1</v>
      </c>
      <c r="J8" s="51" t="n"/>
      <c r="K8" s="53" t="n"/>
      <c r="L8" s="53" t="n"/>
      <c r="M8" s="106">
        <f>H8*I8</f>
        <v/>
      </c>
      <c r="N8" s="55" t="inlineStr">
        <is>
          <t>Pendiente de pago</t>
        </is>
      </c>
      <c r="O8" s="103">
        <f>I8*200</f>
        <v/>
      </c>
      <c r="P8" s="26" t="inlineStr">
        <is>
          <t>Comision Pagada</t>
        </is>
      </c>
      <c r="Q8" s="103" t="n"/>
      <c r="R8" s="29" t="n"/>
      <c r="T8">
        <f>IF(F8="CJ", COUNTIF(F$5:F8, "CJ"), "")</f>
        <v/>
      </c>
      <c r="U8">
        <f>IF(F8="Ignacio", COUNTIF(F$5:F8, "Ignacio"), "")</f>
        <v/>
      </c>
      <c r="V8">
        <f>IF(F8="Tripulacion", COUNTIF(F$5:F8, "Tripulacion"), "")</f>
        <v/>
      </c>
      <c r="W8">
        <f>IF(F8="ENAP carga", COUNTIF(F$5:F8, "ENAP carga"), "")</f>
        <v/>
      </c>
    </row>
    <row r="9">
      <c r="C9" s="49" t="n">
        <v>46230</v>
      </c>
      <c r="D9" s="50" t="inlineStr">
        <is>
          <t xml:space="preserve">Tirua </t>
        </is>
      </c>
      <c r="E9" s="51" t="inlineStr">
        <is>
          <t>VJYL61</t>
        </is>
      </c>
      <c r="F9" s="51" t="inlineStr">
        <is>
          <t>CJ</t>
        </is>
      </c>
      <c r="G9" s="50" t="n"/>
      <c r="H9" s="104" t="n">
        <v>1000</v>
      </c>
      <c r="I9" s="51" t="n">
        <v>488.2</v>
      </c>
      <c r="J9" s="51" t="n"/>
      <c r="K9" s="53" t="n"/>
      <c r="L9" s="53" t="n"/>
      <c r="M9" s="107">
        <f>H9*I9</f>
        <v/>
      </c>
      <c r="N9" s="48" t="inlineStr">
        <is>
          <t>Pagado</t>
        </is>
      </c>
      <c r="O9" s="103">
        <f>I9*200</f>
        <v/>
      </c>
      <c r="P9" s="26" t="inlineStr">
        <is>
          <t>Comision Pagada</t>
        </is>
      </c>
      <c r="Q9" s="103" t="n"/>
      <c r="R9" s="29" t="n"/>
      <c r="T9">
        <f>IF(F9="CJ", COUNTIF(F$5:F9, "CJ"), "")</f>
        <v/>
      </c>
      <c r="U9">
        <f>IF(F9="Ignacio", COUNTIF(F$5:F9, "Ignacio"), "")</f>
        <v/>
      </c>
      <c r="V9">
        <f>IF(F9="Tripulacion", COUNTIF(F$5:F9, "Tripulacion"), "")</f>
        <v/>
      </c>
      <c r="W9">
        <f>IF(F9="ENAP carga", COUNTIF(F$5:F9, "ENAP carga"), "")</f>
        <v/>
      </c>
    </row>
    <row r="10">
      <c r="C10" s="49" t="n">
        <v>46230</v>
      </c>
      <c r="D10" s="50" t="inlineStr">
        <is>
          <t xml:space="preserve">Ciao Italia </t>
        </is>
      </c>
      <c r="E10" s="51" t="inlineStr">
        <is>
          <t>VJYL61</t>
        </is>
      </c>
      <c r="F10" s="51" t="inlineStr">
        <is>
          <t>CJ</t>
        </is>
      </c>
      <c r="G10" s="50" t="n"/>
      <c r="H10" s="104" t="n">
        <v>1000</v>
      </c>
      <c r="I10" s="51" t="n">
        <v>500.3</v>
      </c>
      <c r="J10" s="51" t="n"/>
      <c r="K10" s="53" t="n"/>
      <c r="L10" s="53" t="n"/>
      <c r="M10" s="107">
        <f>H10*I10</f>
        <v/>
      </c>
      <c r="N10" s="48" t="inlineStr">
        <is>
          <t>Pagado</t>
        </is>
      </c>
      <c r="O10" s="103">
        <f>I10*200</f>
        <v/>
      </c>
      <c r="P10" s="26" t="inlineStr">
        <is>
          <t>Comision Pagada</t>
        </is>
      </c>
      <c r="Q10" s="103" t="n"/>
      <c r="R10" s="29" t="n"/>
      <c r="T10">
        <f>IF(F10="CJ", COUNTIF(F$5:F10, "CJ"), "")</f>
        <v/>
      </c>
      <c r="U10">
        <f>IF(F10="Ignacio", COUNTIF(F$5:F10, "Ignacio"), "")</f>
        <v/>
      </c>
      <c r="V10">
        <f>IF(F10="Tripulacion", COUNTIF(F$5:F10, "Tripulacion"), "")</f>
        <v/>
      </c>
      <c r="W10">
        <f>IF(F10="ENAP carga", COUNTIF(F$5:F10, "ENAP carga"), "")</f>
        <v/>
      </c>
    </row>
    <row r="11">
      <c r="C11" s="49" t="n">
        <v>46230</v>
      </c>
      <c r="D11" s="50" t="inlineStr">
        <is>
          <t xml:space="preserve">Claudio Ulloa </t>
        </is>
      </c>
      <c r="E11" s="51" t="inlineStr">
        <is>
          <t>VJYL61</t>
        </is>
      </c>
      <c r="F11" s="51" t="inlineStr">
        <is>
          <t>CJ</t>
        </is>
      </c>
      <c r="G11" s="50" t="n"/>
      <c r="H11" s="104" t="n">
        <v>1000</v>
      </c>
      <c r="I11" s="51" t="n">
        <v>237.9</v>
      </c>
      <c r="J11" s="51" t="n"/>
      <c r="K11" s="53" t="n"/>
      <c r="L11" s="53" t="n"/>
      <c r="M11" s="107">
        <f>H11*I11</f>
        <v/>
      </c>
      <c r="N11" s="48" t="inlineStr">
        <is>
          <t>Pagado</t>
        </is>
      </c>
      <c r="O11" s="103">
        <f>I11*200</f>
        <v/>
      </c>
      <c r="P11" s="26" t="inlineStr">
        <is>
          <t>Comision Pagada</t>
        </is>
      </c>
      <c r="Q11" s="103" t="n"/>
      <c r="R11" s="29" t="n"/>
      <c r="T11">
        <f>IF(F11="CJ", COUNTIF(F$5:F11, "CJ"), "")</f>
        <v/>
      </c>
      <c r="U11">
        <f>IF(F11="Ignacio", COUNTIF(F$5:F11, "Ignacio"), "")</f>
        <v/>
      </c>
      <c r="V11">
        <f>IF(F11="Tripulacion", COUNTIF(F$5:F11, "Tripulacion"), "")</f>
        <v/>
      </c>
      <c r="W11">
        <f>IF(F11="ENAP carga", COUNTIF(F$5:F11, "ENAP carga"), "")</f>
        <v/>
      </c>
    </row>
    <row r="12">
      <c r="C12" s="49" t="n">
        <v>46230</v>
      </c>
      <c r="D12" s="50" t="inlineStr">
        <is>
          <t>Francisco Ulloa</t>
        </is>
      </c>
      <c r="E12" s="51" t="inlineStr">
        <is>
          <t>VJYL61</t>
        </is>
      </c>
      <c r="F12" s="51" t="inlineStr">
        <is>
          <t>CJ</t>
        </is>
      </c>
      <c r="G12" s="50" t="n"/>
      <c r="H12" s="104" t="n">
        <v>1000</v>
      </c>
      <c r="I12" s="51" t="n">
        <v>205.1</v>
      </c>
      <c r="J12" s="51" t="n"/>
      <c r="K12" s="53" t="n"/>
      <c r="L12" s="53" t="n"/>
      <c r="M12" s="107">
        <f>H12*I12</f>
        <v/>
      </c>
      <c r="N12" s="48" t="inlineStr">
        <is>
          <t>Pagado</t>
        </is>
      </c>
      <c r="O12" s="103">
        <f>I12*200</f>
        <v/>
      </c>
      <c r="P12" s="26" t="inlineStr">
        <is>
          <t>Comision Pagada</t>
        </is>
      </c>
      <c r="Q12" s="103" t="n"/>
      <c r="R12" s="29" t="n"/>
      <c r="T12">
        <f>IF(F12="CJ", COUNTIF(F$5:F12, "CJ"), "")</f>
        <v/>
      </c>
      <c r="U12">
        <f>IF(F12="Ignacio", COUNTIF(F$5:F12, "Ignacio"), "")</f>
        <v/>
      </c>
      <c r="V12">
        <f>IF(F12="Tripulacion", COUNTIF(F$5:F12, "Tripulacion"), "")</f>
        <v/>
      </c>
      <c r="W12">
        <f>IF(F12="ENAP carga", COUNTIF(F$5:F12, "ENAP carga"), "")</f>
        <v/>
      </c>
    </row>
    <row r="13">
      <c r="C13" s="49" t="n">
        <v>46230</v>
      </c>
      <c r="D13" s="50" t="inlineStr">
        <is>
          <t>Alicia Pavez</t>
        </is>
      </c>
      <c r="E13" s="51" t="inlineStr">
        <is>
          <t>VJYL61</t>
        </is>
      </c>
      <c r="F13" s="51" t="inlineStr">
        <is>
          <t>CJ</t>
        </is>
      </c>
      <c r="G13" s="50" t="n"/>
      <c r="H13" s="104" t="n">
        <v>1000</v>
      </c>
      <c r="I13" s="51" t="n">
        <v>300</v>
      </c>
      <c r="J13" s="51" t="n"/>
      <c r="K13" s="53" t="n"/>
      <c r="L13" s="53" t="n"/>
      <c r="M13" s="108">
        <f>H13*I13</f>
        <v/>
      </c>
      <c r="N13" s="57" t="inlineStr">
        <is>
          <t>Pendiente de pago</t>
        </is>
      </c>
      <c r="O13" s="103">
        <f>I13*200</f>
        <v/>
      </c>
      <c r="P13" s="26" t="inlineStr">
        <is>
          <t>Comision Pagada</t>
        </is>
      </c>
      <c r="Q13" s="103" t="n"/>
      <c r="R13" s="29" t="n"/>
      <c r="S13" s="3">
        <f>SUM(I7:I13)</f>
        <v/>
      </c>
      <c r="T13" s="1">
        <f>IF(F13="CJ", COUNTIF(F$5:F13, "CJ"), "")</f>
        <v/>
      </c>
      <c r="U13" s="101">
        <f>IF(F13="Ignacio", COUNTIF(F$5:F13, "Ignacio"), "")</f>
        <v/>
      </c>
      <c r="V13" s="1">
        <f>IF(F13="Tripulacion", COUNTIF(F$5:F13, "Tripulacion"), "")</f>
        <v/>
      </c>
      <c r="W13">
        <f>IF(F13="ENAP carga", COUNTIF(F$5:F13, "ENAP carga"), "")</f>
        <v/>
      </c>
    </row>
    <row r="14">
      <c r="C14" s="7" t="n">
        <v>46231</v>
      </c>
      <c r="D14" s="1" t="inlineStr">
        <is>
          <t xml:space="preserve">Vanessa </t>
        </is>
      </c>
      <c r="E14" s="5" t="inlineStr">
        <is>
          <t>VJYL61</t>
        </is>
      </c>
      <c r="F14" s="5" t="inlineStr">
        <is>
          <t>CJ</t>
        </is>
      </c>
      <c r="G14" s="1" t="n"/>
      <c r="H14" s="101" t="n">
        <v>1000</v>
      </c>
      <c r="I14" s="5" t="n">
        <v>200</v>
      </c>
      <c r="J14" s="5" t="n"/>
      <c r="K14" s="34" t="n"/>
      <c r="L14" s="34" t="n"/>
      <c r="M14" s="102">
        <f>H14*I14</f>
        <v/>
      </c>
      <c r="N14" s="1" t="inlineStr">
        <is>
          <t>Transferencia</t>
        </is>
      </c>
      <c r="O14" s="102">
        <f>IF(F14="CJ", I14*200, "")</f>
        <v/>
      </c>
      <c r="P14" s="26" t="n"/>
      <c r="Q14" s="103" t="n"/>
      <c r="R14" s="29" t="n"/>
      <c r="T14">
        <f>IF(F14="CJ", COUNTIF(F$5:F14, "CJ"), "")</f>
        <v/>
      </c>
      <c r="U14">
        <f>IF(F14="Ignacio", COUNTIF(F$5:F14, "Ignacio"), "")</f>
        <v/>
      </c>
      <c r="V14">
        <f>IF(F14="Tripulacion", COUNTIF(F$5:F14, "Tripulacion"), "")</f>
        <v/>
      </c>
      <c r="W14">
        <f>IF(F14="ENAP carga", COUNTIF(F$5:F14, "ENAP carga"), "")</f>
        <v/>
      </c>
    </row>
    <row r="15">
      <c r="C15" s="7" t="n">
        <v>46231</v>
      </c>
      <c r="D15" s="1" t="inlineStr">
        <is>
          <t>Franco Garcia</t>
        </is>
      </c>
      <c r="E15" s="5" t="inlineStr">
        <is>
          <t>VJYL61</t>
        </is>
      </c>
      <c r="F15" s="5" t="inlineStr">
        <is>
          <t>Tripulacion</t>
        </is>
      </c>
      <c r="G15" s="1" t="inlineStr">
        <is>
          <t>Santa Rita 1177 parcela 14 Pirque</t>
        </is>
      </c>
      <c r="H15" s="101" t="n">
        <v>0</v>
      </c>
      <c r="I15" s="5" t="n">
        <v>912</v>
      </c>
      <c r="J15" s="5" t="n"/>
      <c r="K15" s="34" t="n">
        <v>13789</v>
      </c>
      <c r="L15" s="34" t="n"/>
      <c r="M15" s="102">
        <f>H15*I15</f>
        <v/>
      </c>
      <c r="N15" s="1" t="n"/>
      <c r="O15" s="102">
        <f>IF(F15="CJ", I15*200, "")</f>
        <v/>
      </c>
      <c r="P15" s="26" t="n"/>
      <c r="Q15" s="103" t="n"/>
      <c r="R15" s="29" t="n"/>
      <c r="T15">
        <f>IF(F15="CJ", COUNTIF(F$5:F15, "CJ"), "")</f>
        <v/>
      </c>
      <c r="U15">
        <f>IF(F15="Ignacio", COUNTIF(F$5:F15, "Ignacio"), "")</f>
        <v/>
      </c>
      <c r="V15">
        <f>IF(F15="Tripulacion", COUNTIF(F$5:F15, "Tripulacion"), "")</f>
        <v/>
      </c>
      <c r="W15">
        <f>IF(F15="ENAP carga", COUNTIF(F$5:F15, "ENAP carga"), "")</f>
        <v/>
      </c>
    </row>
    <row r="16" customFormat="1" s="11">
      <c r="C16" s="7" t="n">
        <v>46233</v>
      </c>
      <c r="D16" s="8" t="inlineStr">
        <is>
          <t>Simon</t>
        </is>
      </c>
      <c r="E16" s="5" t="inlineStr">
        <is>
          <t>VJYL61</t>
        </is>
      </c>
      <c r="F16" s="5" t="inlineStr">
        <is>
          <t>CJ</t>
        </is>
      </c>
      <c r="G16" s="8" t="inlineStr">
        <is>
          <t>Camino el Chalaco 66B</t>
        </is>
      </c>
      <c r="H16" s="109" t="n">
        <v>1000</v>
      </c>
      <c r="I16" s="5" t="n">
        <v>747</v>
      </c>
      <c r="J16" s="34">
        <f>K16-K15</f>
        <v/>
      </c>
      <c r="K16" s="34" t="n">
        <v>14535</v>
      </c>
      <c r="L16" s="34" t="n"/>
      <c r="M16" s="110">
        <f>H16*I16</f>
        <v/>
      </c>
      <c r="N16" s="8" t="inlineStr">
        <is>
          <t>Transferencia</t>
        </is>
      </c>
      <c r="O16" s="110">
        <f>IF(F16="CJ", I16*200, "")</f>
        <v/>
      </c>
      <c r="P16" s="27" t="inlineStr">
        <is>
          <t>Factura</t>
        </is>
      </c>
      <c r="Q16" s="103" t="n"/>
      <c r="R16" s="29" t="n"/>
      <c r="S16" t="inlineStr">
        <is>
          <t>Ebal spa - RUT: 77.625.623-4 - Av Gabriela 3264 La Pintana - Giro Construccion</t>
        </is>
      </c>
      <c r="T16">
        <f>IF(F16="CJ", COUNTIF(F$5:F16, "CJ"), "")</f>
        <v/>
      </c>
      <c r="U16">
        <f>IF(F16="Ignacio", COUNTIF(F$5:F16, "Ignacio"), "")</f>
        <v/>
      </c>
      <c r="V16">
        <f>IF(F16="Tripulacion", COUNTIF(F$5:F16, "Tripulacion"), "")</f>
        <v/>
      </c>
      <c r="W16">
        <f>IF(F16="ENAP carga", COUNTIF(F$5:F16, "ENAP carga"), "")</f>
        <v/>
      </c>
    </row>
    <row r="17">
      <c r="C17" s="7" t="n">
        <v>46237</v>
      </c>
      <c r="D17" s="1" t="inlineStr">
        <is>
          <t>Manuel Vergara Ricci</t>
        </is>
      </c>
      <c r="E17" s="5" t="inlineStr">
        <is>
          <t>VJYL61</t>
        </is>
      </c>
      <c r="F17" s="5" t="inlineStr">
        <is>
          <t>CJ</t>
        </is>
      </c>
      <c r="G17" s="1" t="inlineStr">
        <is>
          <t>Avenida Virginia subercaseaux 4175 (parcela 15)</t>
        </is>
      </c>
      <c r="H17" s="101" t="n">
        <v>1100</v>
      </c>
      <c r="I17" s="5" t="n">
        <v>200</v>
      </c>
      <c r="J17" s="34">
        <f>K17-K16</f>
        <v/>
      </c>
      <c r="K17" s="34" t="n">
        <v>14735</v>
      </c>
      <c r="L17" s="34" t="n"/>
      <c r="M17" s="102">
        <f>H17*I17</f>
        <v/>
      </c>
      <c r="N17" s="1" t="inlineStr">
        <is>
          <t>Transferencia</t>
        </is>
      </c>
      <c r="O17" s="102">
        <f>IF(F17="CJ", I17*200, "")</f>
        <v/>
      </c>
      <c r="P17" s="26" t="n"/>
      <c r="Q17" s="103" t="n"/>
      <c r="R17" s="29" t="n"/>
      <c r="T17">
        <f>IF(F17="CJ", COUNTIF(F$5:F17, "CJ"), "")</f>
        <v/>
      </c>
      <c r="U17">
        <f>IF(F17="Ignacio", COUNTIF(F$5:F17, "Ignacio"), "")</f>
        <v/>
      </c>
      <c r="V17">
        <f>IF(F17="Tripulacion", COUNTIF(F$5:F17, "Tripulacion"), "")</f>
        <v/>
      </c>
      <c r="W17">
        <f>IF(F17="ENAP carga", COUNTIF(F$5:F17, "ENAP carga"), "")</f>
        <v/>
      </c>
    </row>
    <row r="18">
      <c r="C18" s="7" t="n">
        <v>46237</v>
      </c>
      <c r="D18" s="1" t="inlineStr">
        <is>
          <t>Gabriela Rojas</t>
        </is>
      </c>
      <c r="E18" s="5" t="inlineStr">
        <is>
          <t>VJYL61</t>
        </is>
      </c>
      <c r="F18" s="5" t="inlineStr">
        <is>
          <t>CJ</t>
        </is>
      </c>
      <c r="G18" s="1" t="inlineStr">
        <is>
          <t>Camino de las flores 1262 Pirque</t>
        </is>
      </c>
      <c r="H18" s="101" t="n">
        <v>1100</v>
      </c>
      <c r="I18" s="5" t="n">
        <v>350</v>
      </c>
      <c r="J18" s="37">
        <f>K18-K17</f>
        <v/>
      </c>
      <c r="K18" s="34" t="n">
        <v>16490</v>
      </c>
      <c r="L18" s="34" t="n"/>
      <c r="M18" s="102">
        <f>H18*I18</f>
        <v/>
      </c>
      <c r="N18" s="1" t="inlineStr">
        <is>
          <t>Transferencia en dos</t>
        </is>
      </c>
      <c r="O18" s="102">
        <f>IF(F18="CJ", I18*200, "")</f>
        <v/>
      </c>
      <c r="P18" s="26" t="inlineStr">
        <is>
          <t>Quedó saldo de $35 mil para mañana</t>
        </is>
      </c>
      <c r="Q18" s="103" t="n"/>
      <c r="R18" s="29" t="n"/>
      <c r="T18">
        <f>IF(F18="CJ", COUNTIF(F$5:F18, "CJ"), "")</f>
        <v/>
      </c>
      <c r="U18">
        <f>IF(F18="Ignacio", COUNTIF(F$5:F18, "Ignacio"), "")</f>
        <v/>
      </c>
      <c r="V18">
        <f>IF(F18="Tripulacion", COUNTIF(F$5:F18, "Tripulacion"), "")</f>
        <v/>
      </c>
      <c r="W18">
        <f>IF(F18="ENAP carga", COUNTIF(F$5:F18, "ENAP carga"), "")</f>
        <v/>
      </c>
    </row>
    <row r="19">
      <c r="C19" s="7" t="n">
        <v>46238</v>
      </c>
      <c r="D19" s="1" t="inlineStr">
        <is>
          <t>Ignacio Guerrero</t>
        </is>
      </c>
      <c r="E19" s="5" t="inlineStr">
        <is>
          <t>VJYL61</t>
        </is>
      </c>
      <c r="F19" s="5" t="inlineStr">
        <is>
          <t>Ignacio</t>
        </is>
      </c>
      <c r="G19" s="1" t="n"/>
      <c r="H19" s="101" t="n"/>
      <c r="I19" s="1" t="n"/>
      <c r="J19" s="1" t="n"/>
      <c r="K19" s="38" t="n"/>
      <c r="L19" s="44" t="n">
        <v>1403</v>
      </c>
      <c r="M19" s="102" t="n"/>
      <c r="N19" s="33" t="inlineStr">
        <is>
          <t>Extraccion</t>
        </is>
      </c>
      <c r="O19" s="102">
        <f>IF(F19="CJ", L19*200, "")</f>
        <v/>
      </c>
      <c r="P19" s="26" t="inlineStr">
        <is>
          <t>Extraccion</t>
        </is>
      </c>
      <c r="Q19" s="103" t="n"/>
      <c r="R19" s="29" t="n"/>
      <c r="T19">
        <f>IF(F19="CJ", COUNTIF(F$5:F19, "CJ"), "")</f>
        <v/>
      </c>
      <c r="U19">
        <f>IF(F19="Ignacio", COUNTIF(F$5:F19, "Ignacio"), "")</f>
        <v/>
      </c>
      <c r="V19">
        <f>IF(F19="Tripulacion", COUNTIF(F$5:F19, "Tripulacion"), "")</f>
        <v/>
      </c>
      <c r="W19">
        <f>IF(F19="ENAP carga", COUNTIF(F$5:F19, "ENAP carga"), "")</f>
        <v/>
      </c>
    </row>
    <row r="20">
      <c r="C20" s="7" t="n">
        <v>46239</v>
      </c>
      <c r="D20" s="1" t="inlineStr">
        <is>
          <t>Casa de Reposo Brisas</t>
        </is>
      </c>
      <c r="E20" s="5" t="inlineStr">
        <is>
          <t>VJYL61</t>
        </is>
      </c>
      <c r="F20" s="5" t="inlineStr">
        <is>
          <t>CJ</t>
        </is>
      </c>
      <c r="G20" s="1" t="inlineStr">
        <is>
          <t>Brisas del raco parcela 36 Pirque</t>
        </is>
      </c>
      <c r="H20" s="101" t="n">
        <v>1100</v>
      </c>
      <c r="I20" s="5" t="n">
        <v>270</v>
      </c>
      <c r="J20" s="34">
        <f>K20-K18</f>
        <v/>
      </c>
      <c r="K20" s="34" t="n">
        <v>16760</v>
      </c>
      <c r="L20" s="34" t="n"/>
      <c r="M20" s="102">
        <f>H20*I20</f>
        <v/>
      </c>
      <c r="N20" s="1" t="inlineStr">
        <is>
          <t>Transferencia</t>
        </is>
      </c>
      <c r="O20" s="102">
        <f>IF(F20="CJ", I20*200, "")</f>
        <v/>
      </c>
      <c r="P20" s="26" t="inlineStr">
        <is>
          <t>Factura</t>
        </is>
      </c>
      <c r="Q20" s="103" t="n"/>
      <c r="R20" s="29" t="n"/>
      <c r="S20" t="inlineStr">
        <is>
          <t>Residencia Adulto Mayor Amor Eterno SpA - Rut 76.699.397-4 - Los Almendros Parcela2B Pirque</t>
        </is>
      </c>
      <c r="T20">
        <f>IF(F20="CJ", COUNTIF(F$5:F20, "CJ"), "")</f>
        <v/>
      </c>
      <c r="U20">
        <f>IF(F20="Ignacio", COUNTIF(F$5:F20, "Ignacio"), "")</f>
        <v/>
      </c>
      <c r="V20">
        <f>IF(F20="Tripulacion", COUNTIF(F$5:F20, "Tripulacion"), "")</f>
        <v/>
      </c>
      <c r="W20">
        <f>IF(F20="ENAP carga", COUNTIF(F$5:F20, "ENAP carga"), "")</f>
        <v/>
      </c>
    </row>
    <row r="21">
      <c r="C21" s="7" t="n">
        <v>46241</v>
      </c>
      <c r="D21" s="1" t="inlineStr">
        <is>
          <t>Gastronomca Exquisite</t>
        </is>
      </c>
      <c r="E21" s="5" t="inlineStr">
        <is>
          <t>VJYL61</t>
        </is>
      </c>
      <c r="F21" s="5" t="inlineStr">
        <is>
          <t>Tripulacion</t>
        </is>
      </c>
      <c r="G21" s="1" t="inlineStr">
        <is>
          <t>JP Alesaandri 114 Nuñoa</t>
        </is>
      </c>
      <c r="H21" s="101" t="n">
        <v>1000</v>
      </c>
      <c r="I21" s="5" t="n">
        <v>350</v>
      </c>
      <c r="J21" s="34">
        <f>K21-K20</f>
        <v/>
      </c>
      <c r="K21" s="34" t="n">
        <v>17110</v>
      </c>
      <c r="L21" s="34" t="n"/>
      <c r="M21" s="102">
        <f>H21*I21</f>
        <v/>
      </c>
      <c r="N21" s="1" t="inlineStr">
        <is>
          <t>Transferencia</t>
        </is>
      </c>
      <c r="O21" s="102">
        <f>IF(F21="CJ", I21*200, "")</f>
        <v/>
      </c>
      <c r="P21" s="26" t="inlineStr">
        <is>
          <t>Factura</t>
        </is>
      </c>
      <c r="Q21" s="103" t="n"/>
      <c r="R21" s="29" t="n"/>
      <c r="S21" t="inlineStr">
        <is>
          <t>Gastronomica Exquisite SpA - Rut: 77.714.318-2 - JP alessandri 114 Nuñoa</t>
        </is>
      </c>
      <c r="T21">
        <f>IF(F21="CJ", COUNTIF(F$5:F21, "CJ"), "")</f>
        <v/>
      </c>
      <c r="U21">
        <f>IF(F21="Ignacio", COUNTIF(F$5:F21, "Ignacio"), "")</f>
        <v/>
      </c>
      <c r="V21">
        <f>IF(F21="Tripulacion", COUNTIF(F$5:F21, "Tripulacion"), "")</f>
        <v/>
      </c>
      <c r="W21">
        <f>IF(F21="ENAP carga", COUNTIF(F$5:F21, "ENAP carga"), "")</f>
        <v/>
      </c>
    </row>
    <row r="22">
      <c r="C22" s="7" t="n">
        <v>46241</v>
      </c>
      <c r="D22" s="1" t="inlineStr">
        <is>
          <t>Panaderia Maipu</t>
        </is>
      </c>
      <c r="E22" s="5" t="inlineStr">
        <is>
          <t>VJYL61</t>
        </is>
      </c>
      <c r="F22" s="5" t="inlineStr">
        <is>
          <t>Tripulacion</t>
        </is>
      </c>
      <c r="G22" s="1" t="inlineStr">
        <is>
          <t>Av los carreras 706B, plaza de los porotos</t>
        </is>
      </c>
      <c r="H22" s="101" t="n">
        <v>1000</v>
      </c>
      <c r="I22" s="5" t="n">
        <v>109</v>
      </c>
      <c r="J22" s="34">
        <f>K22-K21</f>
        <v/>
      </c>
      <c r="K22" s="5" t="n">
        <v>17219</v>
      </c>
      <c r="L22" s="34" t="n"/>
      <c r="M22" s="102">
        <f>H22*I22</f>
        <v/>
      </c>
      <c r="N22" s="1" t="inlineStr">
        <is>
          <t>Transferencia</t>
        </is>
      </c>
      <c r="O22" s="102">
        <f>IF(F22="CJ", I22*200, "")</f>
        <v/>
      </c>
      <c r="P22" s="26" t="n"/>
      <c r="Q22" s="103" t="n"/>
      <c r="R22" s="29" t="n"/>
      <c r="T22">
        <f>IF(F22="CJ", COUNTIF(F$5:F22, "CJ"), "")</f>
        <v/>
      </c>
      <c r="U22">
        <f>IF(F22="Ignacio", COUNTIF(F$5:F22, "Ignacio"), "")</f>
        <v/>
      </c>
      <c r="V22">
        <f>IF(F22="Tripulacion", COUNTIF(F$5:F22, "Tripulacion"), "")</f>
        <v/>
      </c>
      <c r="W22">
        <f>IF(F22="ENAP carga", COUNTIF(F$5:F22, "ENAP carga"), "")</f>
        <v/>
      </c>
    </row>
    <row r="23">
      <c r="C23" s="7" t="n">
        <v>46242</v>
      </c>
      <c r="D23" s="1" t="inlineStr">
        <is>
          <t>Ignacio Guerrero</t>
        </is>
      </c>
      <c r="E23" s="5" t="inlineStr">
        <is>
          <t>VJYL61</t>
        </is>
      </c>
      <c r="F23" s="5" t="inlineStr">
        <is>
          <t>Ignacio</t>
        </is>
      </c>
      <c r="G23" s="1" t="n"/>
      <c r="H23" s="101" t="n"/>
      <c r="I23" s="1" t="n"/>
      <c r="J23" s="1" t="n"/>
      <c r="K23" s="38" t="n"/>
      <c r="L23" s="37" t="n">
        <v>2219</v>
      </c>
      <c r="M23" s="102" t="n"/>
      <c r="N23" s="33" t="inlineStr">
        <is>
          <t>Extraccion</t>
        </is>
      </c>
      <c r="O23" s="102">
        <f>IF(F23="CJ", L23*200, "")</f>
        <v/>
      </c>
      <c r="P23" s="26" t="inlineStr">
        <is>
          <t>Extraccion</t>
        </is>
      </c>
      <c r="Q23" s="103" t="n"/>
      <c r="R23" s="29" t="n"/>
      <c r="T23">
        <f>IF(F23="CJ", COUNTIF(F$5:F23, "CJ"), "")</f>
        <v/>
      </c>
      <c r="U23">
        <f>IF(F23="Ignacio", COUNTIF(F$5:F23, "Ignacio"), "")</f>
        <v/>
      </c>
      <c r="V23">
        <f>IF(F23="Tripulacion", COUNTIF(F$5:F23, "Tripulacion"), "")</f>
        <v/>
      </c>
      <c r="W23">
        <f>IF(F23="ENAP carga", COUNTIF(F$5:F23, "ENAP carga"), "")</f>
        <v/>
      </c>
    </row>
    <row r="24">
      <c r="C24" s="7" t="n">
        <v>46245</v>
      </c>
      <c r="D24" s="1" t="inlineStr">
        <is>
          <t>Eli Ciao Italia</t>
        </is>
      </c>
      <c r="E24" s="5" t="inlineStr">
        <is>
          <t>VJYL61</t>
        </is>
      </c>
      <c r="F24" s="5" t="inlineStr">
        <is>
          <t>CJ</t>
        </is>
      </c>
      <c r="G24" s="1" t="inlineStr">
        <is>
          <t>Camino rinconada san Vicente parcela 38</t>
        </is>
      </c>
      <c r="H24" s="101" t="n">
        <v>1100</v>
      </c>
      <c r="I24" s="5" t="n">
        <v>404</v>
      </c>
      <c r="J24" s="37">
        <f>K24-K22</f>
        <v/>
      </c>
      <c r="K24" s="34" t="n">
        <v>19834</v>
      </c>
      <c r="L24" s="34" t="n"/>
      <c r="M24" s="102">
        <f>H24*I24</f>
        <v/>
      </c>
      <c r="N24" s="1" t="inlineStr">
        <is>
          <t>Transferencia</t>
        </is>
      </c>
      <c r="O24" s="102">
        <f>IF(F24="CJ", I24*200, "")</f>
        <v/>
      </c>
      <c r="P24" s="26" t="n"/>
      <c r="Q24" s="103" t="n"/>
      <c r="R24" s="29" t="n"/>
      <c r="T24">
        <f>IF(F24="CJ", COUNTIF(F$5:F24, "CJ"), "")</f>
        <v/>
      </c>
      <c r="U24">
        <f>IF(F24="Ignacio", COUNTIF(F$5:F24, "Ignacio"), "")</f>
        <v/>
      </c>
      <c r="V24">
        <f>IF(F24="Tripulacion", COUNTIF(F$5:F24, "Tripulacion"), "")</f>
        <v/>
      </c>
      <c r="W24">
        <f>IF(F24="ENAP carga", COUNTIF(F$5:F24, "ENAP carga"), "")</f>
        <v/>
      </c>
    </row>
    <row r="25">
      <c r="C25" s="7" t="n">
        <v>46245</v>
      </c>
      <c r="D25" s="1" t="inlineStr">
        <is>
          <t>Javier Quiroz</t>
        </is>
      </c>
      <c r="E25" s="5" t="inlineStr">
        <is>
          <t>VJYL61</t>
        </is>
      </c>
      <c r="F25" s="5" t="inlineStr">
        <is>
          <t>CJ</t>
        </is>
      </c>
      <c r="G25" s="1" t="inlineStr">
        <is>
          <t>Condominio majadas C parcela 5</t>
        </is>
      </c>
      <c r="H25" s="101" t="n">
        <v>1100</v>
      </c>
      <c r="I25" s="5" t="n">
        <v>509</v>
      </c>
      <c r="J25" s="34">
        <f>K25-K24</f>
        <v/>
      </c>
      <c r="K25" s="34" t="n">
        <v>20343</v>
      </c>
      <c r="L25" s="34" t="n"/>
      <c r="M25" s="102">
        <f>H25*I25</f>
        <v/>
      </c>
      <c r="N25" s="1" t="inlineStr">
        <is>
          <t>Transferencia</t>
        </is>
      </c>
      <c r="O25" s="102">
        <f>IF(F25="CJ", I25*200, "")</f>
        <v/>
      </c>
      <c r="P25" s="26" t="n"/>
      <c r="Q25" s="103" t="n"/>
      <c r="R25" s="29" t="n"/>
      <c r="T25">
        <f>IF(F25="CJ", COUNTIF(F$5:F25, "CJ"), "")</f>
        <v/>
      </c>
      <c r="U25">
        <f>IF(F25="Ignacio", COUNTIF(F$5:F25, "Ignacio"), "")</f>
        <v/>
      </c>
      <c r="V25">
        <f>IF(F25="Tripulacion", COUNTIF(F$5:F25, "Tripulacion"), "")</f>
        <v/>
      </c>
      <c r="W25">
        <f>IF(F25="ENAP carga", COUNTIF(F$5:F25, "ENAP carga"), "")</f>
        <v/>
      </c>
    </row>
    <row r="26">
      <c r="C26" s="7" t="n">
        <v>46246</v>
      </c>
      <c r="D26" s="1" t="inlineStr">
        <is>
          <t>ENAP carga</t>
        </is>
      </c>
      <c r="E26" s="5" t="inlineStr">
        <is>
          <t>VJYL42</t>
        </is>
      </c>
      <c r="F26" s="5" t="inlineStr">
        <is>
          <t>ENAP carga</t>
        </is>
      </c>
      <c r="G26" s="1" t="n"/>
      <c r="H26" s="101" t="n"/>
      <c r="I26" s="5" t="n"/>
      <c r="J26" s="5" t="n"/>
      <c r="K26" s="34" t="n"/>
      <c r="L26" s="34" t="n"/>
      <c r="M26" s="102">
        <f>H26*I26</f>
        <v/>
      </c>
      <c r="N26" s="1" t="inlineStr">
        <is>
          <t>ENAP carga</t>
        </is>
      </c>
      <c r="O26" s="102">
        <f>IF(F26="CJ", I26*200, "")</f>
        <v/>
      </c>
      <c r="P26" s="26" t="inlineStr">
        <is>
          <t>Guía N° 2356186</t>
        </is>
      </c>
      <c r="Q26" s="103" t="n">
        <v>3882182</v>
      </c>
      <c r="R26" s="29" t="n">
        <v>11617</v>
      </c>
      <c r="T26">
        <f>IF(F26="CJ", COUNTIF(F$5:F26, "CJ"), "")</f>
        <v/>
      </c>
      <c r="U26">
        <f>IF(F26="Ignacio", COUNTIF(F$5:F26, "Ignacio"), "")</f>
        <v/>
      </c>
      <c r="V26">
        <f>IF(F26="Tripulacion", COUNTIF(F$5:F26, "Tripulacion"), "")</f>
        <v/>
      </c>
      <c r="W26">
        <f>IF(F26="ENAP carga", COUNTIF(F$5:F26, "ENAP carga"), "")</f>
        <v/>
      </c>
    </row>
    <row r="27">
      <c r="C27" s="7" t="n">
        <v>46247</v>
      </c>
      <c r="D27" s="1" t="inlineStr">
        <is>
          <t>Ignacio Guerrero</t>
        </is>
      </c>
      <c r="E27" s="5" t="inlineStr">
        <is>
          <t>VJYL42</t>
        </is>
      </c>
      <c r="F27" s="5" t="inlineStr">
        <is>
          <t>Ignacio</t>
        </is>
      </c>
      <c r="G27" s="1" t="n"/>
      <c r="H27" s="101" t="n"/>
      <c r="I27" s="5" t="n"/>
      <c r="J27" s="34" t="n"/>
      <c r="K27" s="34" t="n"/>
      <c r="L27" s="34" t="n">
        <v>11539</v>
      </c>
      <c r="M27" s="102">
        <f>H27*I27</f>
        <v/>
      </c>
      <c r="N27" s="33" t="inlineStr">
        <is>
          <t>Extraccion</t>
        </is>
      </c>
      <c r="O27" s="102">
        <f>IF(F27="CJ", I27*200, "")</f>
        <v/>
      </c>
      <c r="P27" s="26" t="inlineStr">
        <is>
          <t>Extraccion</t>
        </is>
      </c>
      <c r="Q27" s="103" t="n"/>
      <c r="R27" s="29" t="n"/>
      <c r="T27">
        <f>IF(F27="CJ", COUNTIF(F$5:F27, "CJ"), "")</f>
        <v/>
      </c>
      <c r="U27">
        <f>IF(F27="Ignacio", COUNTIF(F$5:F27, "Ignacio"), "")</f>
        <v/>
      </c>
      <c r="V27">
        <f>IF(F27="Tripulacion", COUNTIF(F$5:F27, "Tripulacion"), "")</f>
        <v/>
      </c>
      <c r="W27">
        <f>IF(F27="ENAP carga", COUNTIF(F$5:F27, "ENAP carga"), "")</f>
        <v/>
      </c>
    </row>
    <row r="28">
      <c r="C28" s="7" t="n">
        <v>46247</v>
      </c>
      <c r="D28" s="1" t="inlineStr">
        <is>
          <t>ENAP carga</t>
        </is>
      </c>
      <c r="E28" s="5" t="inlineStr">
        <is>
          <t>VJYL61</t>
        </is>
      </c>
      <c r="F28" s="5" t="inlineStr">
        <is>
          <t>ENAP carga</t>
        </is>
      </c>
      <c r="G28" s="1" t="n"/>
      <c r="H28" s="101" t="n"/>
      <c r="I28" s="5" t="n"/>
      <c r="J28" s="5" t="n"/>
      <c r="K28" s="34" t="n"/>
      <c r="L28" s="34" t="n"/>
      <c r="M28" s="102">
        <f>H28*I28</f>
        <v/>
      </c>
      <c r="N28" s="1" t="inlineStr">
        <is>
          <t>ENAP carga</t>
        </is>
      </c>
      <c r="O28" s="102">
        <f>IF(F28="CJ", I28*200, "")</f>
        <v/>
      </c>
      <c r="P28" s="26" t="inlineStr">
        <is>
          <t>Guía N° 2356453</t>
        </is>
      </c>
      <c r="Q28" s="103" t="n">
        <v>3836889</v>
      </c>
      <c r="R28" s="29" t="n">
        <v>11481</v>
      </c>
      <c r="T28">
        <f>IF(F28="CJ", COUNTIF(F$5:F28, "CJ"), "")</f>
        <v/>
      </c>
      <c r="U28">
        <f>IF(F28="Ignacio", COUNTIF(F$5:F28, "Ignacio"), "")</f>
        <v/>
      </c>
      <c r="V28">
        <f>IF(F28="Tripulacion", COUNTIF(F$5:F28, "Tripulacion"), "")</f>
        <v/>
      </c>
      <c r="W28">
        <f>IF(F28="ENAP carga", COUNTIF(F$5:F28, "ENAP carga"), "")</f>
        <v/>
      </c>
    </row>
    <row r="29">
      <c r="C29" s="7" t="n">
        <v>46247</v>
      </c>
      <c r="D29" s="1" t="inlineStr">
        <is>
          <t>Mister Guss SpA</t>
        </is>
      </c>
      <c r="E29" s="5" t="inlineStr">
        <is>
          <t>VJYL61</t>
        </is>
      </c>
      <c r="F29" s="5" t="inlineStr">
        <is>
          <t>Tripulacion</t>
        </is>
      </c>
      <c r="G29" s="1" t="inlineStr">
        <is>
          <t>PRIMERA TRANSVERSAL 828 PADRE HURTADO</t>
        </is>
      </c>
      <c r="H29" s="101" t="n">
        <v>1000</v>
      </c>
      <c r="I29" s="5" t="n">
        <v>256</v>
      </c>
      <c r="J29" s="37" t="n"/>
      <c r="K29" s="34" t="n">
        <v>22615</v>
      </c>
      <c r="L29" s="34" t="n"/>
      <c r="M29" s="102">
        <f>H29*I29</f>
        <v/>
      </c>
      <c r="N29" s="1" t="inlineStr">
        <is>
          <t>Transferencia</t>
        </is>
      </c>
      <c r="O29" s="102">
        <f>IF(F29="CJ", I29*200, "")</f>
        <v/>
      </c>
      <c r="P29" s="26" t="inlineStr">
        <is>
          <t>Factura</t>
        </is>
      </c>
      <c r="Q29" s="103" t="n"/>
      <c r="R29" s="29" t="n"/>
      <c r="S29" t="inlineStr">
        <is>
          <t>MISTER GUSS SPA - RUT 78.060.801-3 - PRIMERA TRANSVERSAL 828 PADRE HURTADO - RESTOBAR</t>
        </is>
      </c>
      <c r="T29">
        <f>IF(F29="CJ", COUNTIF(F$5:F29, "CJ"), "")</f>
        <v/>
      </c>
      <c r="U29">
        <f>IF(F29="Ignacio", COUNTIF(F$5:F29, "Ignacio"), "")</f>
        <v/>
      </c>
      <c r="V29">
        <f>IF(F29="Tripulacion", COUNTIF(F$5:F29, "Tripulacion"), "")</f>
        <v/>
      </c>
      <c r="W29">
        <f>IF(F29="ENAP carga", COUNTIF(F$5:F29, "ENAP carga"), "")</f>
        <v/>
      </c>
    </row>
    <row r="30">
      <c r="C30" s="7" t="n">
        <v>46248</v>
      </c>
      <c r="D30" s="1" t="inlineStr">
        <is>
          <t>ENAP carga</t>
        </is>
      </c>
      <c r="E30" s="5" t="inlineStr">
        <is>
          <t>VJYL42</t>
        </is>
      </c>
      <c r="F30" s="5" t="inlineStr">
        <is>
          <t>ENAP carga</t>
        </is>
      </c>
      <c r="G30" s="1" t="n"/>
      <c r="H30" s="101" t="n"/>
      <c r="I30" s="5" t="n"/>
      <c r="J30" s="5" t="n"/>
      <c r="K30" s="34" t="n"/>
      <c r="L30" s="34" t="n"/>
      <c r="M30" s="102" t="n"/>
      <c r="N30" s="1" t="inlineStr">
        <is>
          <t>ENAP carga</t>
        </is>
      </c>
      <c r="O30" s="102">
        <f>IF(F30="CJ", I30*200, "")</f>
        <v/>
      </c>
      <c r="P30" s="26" t="inlineStr">
        <is>
          <t>Guía N° 2356889</t>
        </is>
      </c>
      <c r="Q30" s="103" t="n">
        <v>3955528</v>
      </c>
      <c r="R30" s="29" t="n">
        <v>11656</v>
      </c>
      <c r="T30">
        <f>IF(F30="CJ", COUNTIF(F$5:F30, "CJ"), "")</f>
        <v/>
      </c>
      <c r="U30">
        <f>IF(F30="Ignacio", COUNTIF(F$5:F30, "Ignacio"), "")</f>
        <v/>
      </c>
      <c r="V30">
        <f>IF(F30="Tripulacion", COUNTIF(F$5:F30, "Tripulacion"), "")</f>
        <v/>
      </c>
      <c r="W30">
        <f>IF(F30="ENAP carga", COUNTIF(F$5:F30, "ENAP carga"), "")</f>
        <v/>
      </c>
    </row>
    <row r="31">
      <c r="C31" s="7" t="n">
        <v>46251</v>
      </c>
      <c r="D31" s="1" t="inlineStr">
        <is>
          <t>Ignacio Guerrero</t>
        </is>
      </c>
      <c r="E31" s="5" t="inlineStr">
        <is>
          <t>VJYL42</t>
        </is>
      </c>
      <c r="F31" s="5" t="inlineStr">
        <is>
          <t>Ignacio</t>
        </is>
      </c>
      <c r="G31" s="1" t="n"/>
      <c r="H31" s="101" t="n"/>
      <c r="I31" s="5" t="n"/>
      <c r="J31" s="5" t="n"/>
      <c r="K31" s="34" t="n"/>
      <c r="L31" s="34" t="n">
        <v>11344</v>
      </c>
      <c r="M31" s="102" t="n"/>
      <c r="N31" s="33" t="inlineStr">
        <is>
          <t>Extraccion</t>
        </is>
      </c>
      <c r="O31" s="102" t="n"/>
      <c r="P31" s="26" t="inlineStr">
        <is>
          <t>Extraccion</t>
        </is>
      </c>
      <c r="Q31" s="103" t="n"/>
      <c r="R31" s="29" t="n"/>
    </row>
    <row r="32">
      <c r="C32" s="7" t="n">
        <v>46252</v>
      </c>
      <c r="D32" s="1" t="inlineStr">
        <is>
          <t>ENAP carga</t>
        </is>
      </c>
      <c r="E32" s="5" t="inlineStr">
        <is>
          <t>VJYL42</t>
        </is>
      </c>
      <c r="F32" s="5" t="inlineStr">
        <is>
          <t>ENAP carga</t>
        </is>
      </c>
      <c r="G32" s="1" t="n"/>
      <c r="H32" s="101" t="n"/>
      <c r="I32" s="5" t="n"/>
      <c r="J32" s="5" t="n"/>
      <c r="K32" s="34" t="n"/>
      <c r="L32" s="34" t="n"/>
      <c r="M32" s="102" t="n"/>
      <c r="N32" s="1" t="inlineStr">
        <is>
          <t>ENAP carga</t>
        </is>
      </c>
      <c r="O32" s="102">
        <f>IF(F32="CJ", I32*200, "")</f>
        <v/>
      </c>
      <c r="P32" s="26" t="inlineStr">
        <is>
          <t>Guía N° 2358078</t>
        </is>
      </c>
      <c r="Q32" s="103" t="n">
        <v>3889821</v>
      </c>
      <c r="R32" s="29" t="n">
        <v>11462</v>
      </c>
      <c r="T32">
        <f>IF(F32="CJ", COUNTIF(F$5:F32, "CJ"), "")</f>
        <v/>
      </c>
      <c r="U32">
        <f>IF(F32="Ignacio", COUNTIF(F$5:F32, "Ignacio"), "")</f>
        <v/>
      </c>
      <c r="V32">
        <f>IF(F32="Tripulacion", COUNTIF(F$5:F32, "Tripulacion"), "")</f>
        <v/>
      </c>
      <c r="W32">
        <f>IF(F32="ENAP carga", COUNTIF(F$5:F32, "ENAP carga"), "")</f>
        <v/>
      </c>
    </row>
    <row r="33">
      <c r="C33" s="7" t="n">
        <v>46253</v>
      </c>
      <c r="D33" s="1" t="inlineStr">
        <is>
          <t>ENAP carga</t>
        </is>
      </c>
      <c r="E33" s="5" t="inlineStr">
        <is>
          <t>VJYL42</t>
        </is>
      </c>
      <c r="F33" s="5" t="inlineStr">
        <is>
          <t>ENAP carga</t>
        </is>
      </c>
      <c r="G33" s="1" t="n"/>
      <c r="H33" s="101" t="n"/>
      <c r="I33" s="5" t="n"/>
      <c r="J33" s="5" t="n"/>
      <c r="K33" s="34" t="n"/>
      <c r="L33" s="34" t="n"/>
      <c r="M33" s="102" t="n"/>
      <c r="N33" s="1" t="inlineStr">
        <is>
          <t>ENAP carga</t>
        </is>
      </c>
      <c r="O33" s="102">
        <f>IF(F33="CJ", I33*200, "")</f>
        <v/>
      </c>
      <c r="P33" s="26" t="inlineStr">
        <is>
          <t>Guía N° 2358522</t>
        </is>
      </c>
      <c r="Q33" s="103" t="n">
        <v>3830686</v>
      </c>
      <c r="R33" s="29" t="n">
        <v>11288</v>
      </c>
      <c r="T33">
        <f>IF(F33="CJ", COUNTIF(F$5:F33, "CJ"), "")</f>
        <v/>
      </c>
      <c r="U33">
        <f>IF(F33="Ignacio", COUNTIF(F$5:F33, "Ignacio"), "")</f>
        <v/>
      </c>
      <c r="V33">
        <f>IF(F33="Tripulacion", COUNTIF(F$5:F33, "Tripulacion"), "")</f>
        <v/>
      </c>
      <c r="W33">
        <f>IF(F33="ENAP carga", COUNTIF(F$5:F33, "ENAP carga"), "")</f>
        <v/>
      </c>
    </row>
    <row r="34">
      <c r="C34" s="7" t="n">
        <v>46253</v>
      </c>
      <c r="D34" s="1" t="inlineStr">
        <is>
          <t>Ignacio Guerrero</t>
        </is>
      </c>
      <c r="E34" s="5" t="inlineStr">
        <is>
          <t>VJYL42</t>
        </is>
      </c>
      <c r="F34" s="5" t="inlineStr">
        <is>
          <t>Ignacio</t>
        </is>
      </c>
      <c r="G34" s="1" t="n"/>
      <c r="H34" s="101" t="n"/>
      <c r="I34" s="5" t="n"/>
      <c r="J34" s="5" t="n"/>
      <c r="K34" s="34" t="n"/>
      <c r="L34" s="34" t="n">
        <v>11225</v>
      </c>
      <c r="M34" s="102" t="n"/>
      <c r="N34" s="33" t="inlineStr">
        <is>
          <t>Extraccion</t>
        </is>
      </c>
      <c r="O34" s="102" t="n"/>
      <c r="P34" s="26" t="inlineStr">
        <is>
          <t>Extraccion</t>
        </is>
      </c>
      <c r="Q34" s="103" t="n"/>
      <c r="R34" s="29" t="n"/>
    </row>
    <row r="35">
      <c r="C35" s="7" t="n">
        <v>46254</v>
      </c>
      <c r="D35" s="1" t="inlineStr">
        <is>
          <t>Ignacio Guerrero</t>
        </is>
      </c>
      <c r="E35" s="5" t="inlineStr">
        <is>
          <t>VJYL42</t>
        </is>
      </c>
      <c r="F35" s="5" t="inlineStr">
        <is>
          <t>Ignacio</t>
        </is>
      </c>
      <c r="G35" s="1" t="n"/>
      <c r="H35" s="101" t="n"/>
      <c r="I35" s="5" t="n"/>
      <c r="J35" s="5" t="n"/>
      <c r="K35" s="34" t="n"/>
      <c r="L35" s="34" t="n">
        <v>11088</v>
      </c>
      <c r="M35" s="102" t="n"/>
      <c r="N35" s="33" t="inlineStr">
        <is>
          <t>Extraccion</t>
        </is>
      </c>
      <c r="O35" s="102" t="n"/>
      <c r="P35" s="26" t="inlineStr">
        <is>
          <t>Extraccion</t>
        </is>
      </c>
      <c r="Q35" s="103" t="n"/>
      <c r="R35" s="29" t="n"/>
    </row>
    <row r="36">
      <c r="C36" s="7" t="n">
        <v>46254</v>
      </c>
      <c r="D36" s="1" t="inlineStr">
        <is>
          <t>Bar Barrio Alto</t>
        </is>
      </c>
      <c r="E36" s="5" t="inlineStr">
        <is>
          <t>VJYL61</t>
        </is>
      </c>
      <c r="F36" s="5" t="inlineStr">
        <is>
          <t>CJ</t>
        </is>
      </c>
      <c r="G36" s="1" t="inlineStr">
        <is>
          <t>El Peñón 335 Puente Alto</t>
        </is>
      </c>
      <c r="H36" s="101" t="n">
        <v>1000</v>
      </c>
      <c r="I36" s="5" t="n">
        <v>294</v>
      </c>
      <c r="J36" s="34">
        <f>K36-K29</f>
        <v/>
      </c>
      <c r="K36" s="34" t="n">
        <v>22909</v>
      </c>
      <c r="L36" s="34" t="n"/>
      <c r="M36" s="102">
        <f>H36*I36</f>
        <v/>
      </c>
      <c r="N36" s="1" t="inlineStr">
        <is>
          <t>Transferencia dos</t>
        </is>
      </c>
      <c r="O36" s="102">
        <f>IF(F36="CJ", I36*200, "")</f>
        <v/>
      </c>
      <c r="P36" s="26" t="inlineStr">
        <is>
          <t>Factura</t>
        </is>
      </c>
      <c r="Q36" s="103" t="n"/>
      <c r="R36" s="29" t="n"/>
      <c r="S36" s="36" t="inlineStr">
        <is>
          <t>Centro de eventos Barrio Alto SpA - RUT 78.467.844-K - EL PENON CHICO 0335 PUENTE ALTO</t>
        </is>
      </c>
      <c r="T36">
        <f>IF(F36="CJ", COUNTIF(F$5:F36, "CJ"), "")</f>
        <v/>
      </c>
      <c r="U36">
        <f>IF(F36="Ignacio", COUNTIF(F$5:F36, "Ignacio"), "")</f>
        <v/>
      </c>
      <c r="V36">
        <f>IF(F36="Tripulacion", COUNTIF(F$5:F36, "Tripulacion"), "")</f>
        <v/>
      </c>
      <c r="W36">
        <f>IF(F36="ENAP carga", COUNTIF(F$5:F36, "ENAP carga"), "")</f>
        <v/>
      </c>
    </row>
    <row r="37">
      <c r="C37" s="7" t="n">
        <v>46254</v>
      </c>
      <c r="D37" s="1" t="inlineStr">
        <is>
          <t>BAR Tirua</t>
        </is>
      </c>
      <c r="E37" s="5" t="inlineStr">
        <is>
          <t>VJYL61</t>
        </is>
      </c>
      <c r="F37" s="5" t="inlineStr">
        <is>
          <t>CJ</t>
        </is>
      </c>
      <c r="G37" s="1" t="inlineStr">
        <is>
          <t>Pirque</t>
        </is>
      </c>
      <c r="H37" s="101" t="n">
        <v>1100</v>
      </c>
      <c r="I37" s="5" t="n">
        <v>500</v>
      </c>
      <c r="J37" s="34">
        <f>K37-K36</f>
        <v/>
      </c>
      <c r="K37" s="34" t="n">
        <v>23409</v>
      </c>
      <c r="L37" s="34" t="n"/>
      <c r="M37" s="102">
        <f>H37*I37</f>
        <v/>
      </c>
      <c r="N37" s="1" t="inlineStr">
        <is>
          <t>Pendiente de pago</t>
        </is>
      </c>
      <c r="O37" s="102">
        <f>IF(F37="CJ", I37*200, "")</f>
        <v/>
      </c>
      <c r="P37" s="26" t="n"/>
      <c r="Q37" s="103" t="n"/>
      <c r="R37" s="29" t="n"/>
      <c r="T37">
        <f>IF(F37="CJ", COUNTIF(F$5:F37, "CJ"), "")</f>
        <v/>
      </c>
      <c r="U37">
        <f>IF(F37="Ignacio", COUNTIF(F$5:F37, "Ignacio"), "")</f>
        <v/>
      </c>
      <c r="V37">
        <f>IF(F37="Tripulacion", COUNTIF(F$5:F37, "Tripulacion"), "")</f>
        <v/>
      </c>
      <c r="W37">
        <f>IF(F37="ENAP carga", COUNTIF(F$5:F37, "ENAP carga"), "")</f>
        <v/>
      </c>
    </row>
    <row r="38">
      <c r="C38" s="7" t="n">
        <v>46254</v>
      </c>
      <c r="D38" s="1" t="inlineStr">
        <is>
          <t>Brasas y Sabor SpA</t>
        </is>
      </c>
      <c r="E38" s="5" t="inlineStr">
        <is>
          <t>VJYL61</t>
        </is>
      </c>
      <c r="F38" s="5" t="inlineStr">
        <is>
          <t>Tripulacion</t>
        </is>
      </c>
      <c r="G38" s="1" t="inlineStr">
        <is>
          <t>Puente Alto</t>
        </is>
      </c>
      <c r="H38" s="101" t="n">
        <v>1100</v>
      </c>
      <c r="I38" s="5" t="n">
        <v>100</v>
      </c>
      <c r="J38" s="34">
        <f>K38-K37</f>
        <v/>
      </c>
      <c r="K38" s="34" t="n">
        <v>23509</v>
      </c>
      <c r="L38" s="34" t="n"/>
      <c r="M38" s="102">
        <f>H38*I38</f>
        <v/>
      </c>
      <c r="N38" s="1" t="inlineStr">
        <is>
          <t>Transferencia</t>
        </is>
      </c>
      <c r="O38" s="102">
        <f>IF(F38="CJ", I38*200, "")</f>
        <v/>
      </c>
      <c r="P38" s="26" t="inlineStr">
        <is>
          <t>Factura</t>
        </is>
      </c>
      <c r="Q38" s="103" t="n"/>
      <c r="R38" s="29" t="n"/>
      <c r="S38" s="36" t="inlineStr">
        <is>
          <t>Brasas y Sabor SpA - RUT 76.378-704-4 - Av Concha y Toro #11 Puente Alto</t>
        </is>
      </c>
      <c r="T38">
        <f>IF(F38="CJ", COUNTIF(F$5:F38, "CJ"), "")</f>
        <v/>
      </c>
      <c r="U38">
        <f>IF(F38="Ignacio", COUNTIF(F$5:F38, "Ignacio"), "")</f>
        <v/>
      </c>
      <c r="V38">
        <f>IF(F38="Tripulacion", COUNTIF(F$5:F38, "Tripulacion"), "")</f>
        <v/>
      </c>
      <c r="W38">
        <f>IF(F38="ENAP carga", COUNTIF(F$5:F38, "ENAP carga"), "")</f>
        <v/>
      </c>
    </row>
    <row r="39">
      <c r="C39" s="7" t="n">
        <v>46258</v>
      </c>
      <c r="D39" s="1" t="inlineStr">
        <is>
          <t>Franco Garcia</t>
        </is>
      </c>
      <c r="E39" s="5" t="inlineStr">
        <is>
          <t>VJYL61</t>
        </is>
      </c>
      <c r="F39" s="5" t="inlineStr">
        <is>
          <t>Tripulacion</t>
        </is>
      </c>
      <c r="G39" s="1" t="inlineStr">
        <is>
          <t>Santa Rita 1177 parcela 14 Pirque</t>
        </is>
      </c>
      <c r="H39" s="101" t="n">
        <v>0</v>
      </c>
      <c r="I39" s="5" t="n">
        <v>1120</v>
      </c>
      <c r="J39" s="34">
        <f>K39-K38</f>
        <v/>
      </c>
      <c r="K39" s="34" t="n">
        <v>24630</v>
      </c>
      <c r="L39" s="34" t="n"/>
      <c r="M39" s="102">
        <f>H39*I39</f>
        <v/>
      </c>
      <c r="N39" s="1" t="n"/>
      <c r="O39" s="102">
        <f>IF(F39="CJ", I39*200, "")</f>
        <v/>
      </c>
      <c r="P39" s="26" t="n"/>
      <c r="Q39" s="103" t="n"/>
      <c r="R39" s="29" t="n"/>
      <c r="T39">
        <f>IF(F39="CJ", COUNTIF(F$5:F39, "CJ"), "")</f>
        <v/>
      </c>
      <c r="U39">
        <f>IF(F39="Ignacio", COUNTIF(F$5:F39, "Ignacio"), "")</f>
        <v/>
      </c>
      <c r="V39">
        <f>IF(F39="Tripulacion", COUNTIF(F$5:F39, "Tripulacion"), "")</f>
        <v/>
      </c>
      <c r="W39">
        <f>IF(F39="ENAP carga", COUNTIF(F$5:F39, "ENAP carga"), "")</f>
        <v/>
      </c>
    </row>
    <row r="40">
      <c r="C40" s="7" t="n">
        <v>46258</v>
      </c>
      <c r="D40" s="1" t="inlineStr">
        <is>
          <t>Centro de Eventos Barrio Alto SpA</t>
        </is>
      </c>
      <c r="E40" s="5" t="inlineStr">
        <is>
          <t>VJYL61</t>
        </is>
      </c>
      <c r="F40" s="5" t="inlineStr">
        <is>
          <t>Tripulacion</t>
        </is>
      </c>
      <c r="G40" s="1" t="inlineStr">
        <is>
          <t>El Peñón 335 Puente Alto</t>
        </is>
      </c>
      <c r="H40" s="101" t="n">
        <v>1000</v>
      </c>
      <c r="I40" s="5" t="n">
        <v>449</v>
      </c>
      <c r="J40" s="34">
        <f>K40-K39</f>
        <v/>
      </c>
      <c r="K40" s="34" t="n">
        <v>25078</v>
      </c>
      <c r="L40" s="34" t="n"/>
      <c r="M40" s="102">
        <f>H40*I40</f>
        <v/>
      </c>
      <c r="N40" s="1" t="inlineStr">
        <is>
          <t>Transferencia</t>
        </is>
      </c>
      <c r="O40" s="102">
        <f>IF(F40="CJ", I40*200, "")</f>
        <v/>
      </c>
      <c r="P40" s="26" t="inlineStr">
        <is>
          <t>Factura</t>
        </is>
      </c>
      <c r="Q40" s="103" t="n"/>
      <c r="R40" s="29" t="n"/>
      <c r="S40" s="36" t="inlineStr">
        <is>
          <t>Centro de eventos Barrio Alto SpA - RUT 78.467.844-K - EL PENON CHICO 0335 PUENTE ALTO</t>
        </is>
      </c>
      <c r="T40">
        <f>IF(F40="CJ", COUNTIF(F$5:F40, "CJ"), "")</f>
        <v/>
      </c>
      <c r="U40">
        <f>IF(F40="Ignacio", COUNTIF(F$5:F40, "Ignacio"), "")</f>
        <v/>
      </c>
      <c r="V40">
        <f>IF(F40="Tripulacion", COUNTIF(F$5:F40, "Tripulacion"), "")</f>
        <v/>
      </c>
      <c r="W40">
        <f>IF(F40="ENAP carga", COUNTIF(F$5:F40, "ENAP carga"), "")</f>
        <v/>
      </c>
    </row>
    <row r="41">
      <c r="C41" s="7" t="n">
        <v>46259</v>
      </c>
      <c r="D41" s="1" t="inlineStr">
        <is>
          <t>ENAP carga</t>
        </is>
      </c>
      <c r="E41" s="5" t="inlineStr">
        <is>
          <t>VJYL42</t>
        </is>
      </c>
      <c r="F41" s="5" t="inlineStr">
        <is>
          <t>ENAP carga</t>
        </is>
      </c>
      <c r="G41" s="1" t="n"/>
      <c r="H41" s="101" t="n"/>
      <c r="I41" s="5" t="n"/>
      <c r="J41" s="5" t="n"/>
      <c r="K41" s="34" t="n"/>
      <c r="L41" s="34" t="n"/>
      <c r="M41" s="102" t="n"/>
      <c r="N41" s="1" t="inlineStr">
        <is>
          <t>ENAP carga</t>
        </is>
      </c>
      <c r="O41" s="102">
        <f>IF(F41="CJ", I41*200, "")</f>
        <v/>
      </c>
      <c r="P41" s="26" t="inlineStr">
        <is>
          <t>Guía N° 2360214</t>
        </is>
      </c>
      <c r="Q41" s="103" t="n">
        <v>3772187</v>
      </c>
      <c r="R41" s="29" t="n">
        <v>11288</v>
      </c>
      <c r="T41">
        <f>IF(F41="CJ", COUNTIF(F$5:F41, "CJ"), "")</f>
        <v/>
      </c>
      <c r="U41">
        <f>IF(F41="Ignacio", COUNTIF(F$5:F41, "Ignacio"), "")</f>
        <v/>
      </c>
      <c r="V41">
        <f>IF(F41="Tripulacion", COUNTIF(F$5:F41, "Tripulacion"), "")</f>
        <v/>
      </c>
      <c r="W41">
        <f>IF(F41="ENAP carga", COUNTIF(F$5:F41, "ENAP carga"), "")</f>
        <v/>
      </c>
    </row>
    <row r="42">
      <c r="C42" s="7" t="n">
        <v>46260</v>
      </c>
      <c r="D42" s="1" t="inlineStr">
        <is>
          <t>ENAP carga</t>
        </is>
      </c>
      <c r="E42" s="5" t="inlineStr">
        <is>
          <t>VJYL42</t>
        </is>
      </c>
      <c r="F42" s="5" t="inlineStr">
        <is>
          <t>ENAP carga</t>
        </is>
      </c>
      <c r="G42" s="1" t="n"/>
      <c r="H42" s="101" t="n"/>
      <c r="I42" s="5" t="n"/>
      <c r="J42" s="5" t="n"/>
      <c r="K42" s="34" t="n"/>
      <c r="L42" s="34" t="n"/>
      <c r="M42" s="102" t="n"/>
      <c r="N42" s="1" t="inlineStr">
        <is>
          <t>ENAP carga</t>
        </is>
      </c>
      <c r="O42" s="102">
        <f>IF(F42="CJ", I42*200, "")</f>
        <v/>
      </c>
      <c r="P42" s="26" t="inlineStr">
        <is>
          <t>Guía N° 2360596</t>
        </is>
      </c>
      <c r="Q42" s="103" t="n">
        <v>3571608</v>
      </c>
      <c r="R42" s="29" t="n">
        <v>10688</v>
      </c>
      <c r="T42">
        <f>IF(F42="CJ", COUNTIF(F$5:F42, "CJ"), "")</f>
        <v/>
      </c>
      <c r="U42">
        <f>IF(F42="Ignacio", COUNTIF(F$5:F42, "Ignacio"), "")</f>
        <v/>
      </c>
      <c r="V42">
        <f>IF(F42="Tripulacion", COUNTIF(F$5:F42, "Tripulacion"), "")</f>
        <v/>
      </c>
      <c r="W42">
        <f>IF(F42="ENAP carga", COUNTIF(F$5:F42, "ENAP carga"), "")</f>
        <v/>
      </c>
    </row>
    <row r="43">
      <c r="C43" s="7" t="n">
        <v>46261</v>
      </c>
      <c r="D43" s="1" t="inlineStr">
        <is>
          <t>Comercializadora Lavin</t>
        </is>
      </c>
      <c r="E43" s="5" t="inlineStr">
        <is>
          <t>VJYL61</t>
        </is>
      </c>
      <c r="F43" s="5" t="inlineStr">
        <is>
          <t>Tripulacion</t>
        </is>
      </c>
      <c r="G43" s="1" t="inlineStr">
        <is>
          <t>Ignacio Carrera Pinto 693 Padre Hurtado</t>
        </is>
      </c>
      <c r="H43" s="101" t="n">
        <v>1000</v>
      </c>
      <c r="I43" s="5" t="n">
        <v>313</v>
      </c>
      <c r="J43" s="34">
        <f>K43-K40</f>
        <v/>
      </c>
      <c r="K43" s="34" t="n">
        <v>25391</v>
      </c>
      <c r="L43" s="34" t="n"/>
      <c r="M43" s="102">
        <f>H43*I43</f>
        <v/>
      </c>
      <c r="N43" s="1" t="inlineStr">
        <is>
          <t>Transferencia</t>
        </is>
      </c>
      <c r="O43" s="102">
        <f>IF(F43="CJ", I43*200, "")</f>
        <v/>
      </c>
      <c r="P43" s="26" t="n"/>
      <c r="Q43" s="103" t="n"/>
      <c r="R43" s="29" t="n"/>
      <c r="T43">
        <f>IF(F43="CJ", COUNTIF(F$5:F43, "CJ"), "")</f>
        <v/>
      </c>
      <c r="U43">
        <f>IF(F43="Ignacio", COUNTIF(F$5:F43, "Ignacio"), "")</f>
        <v/>
      </c>
      <c r="V43">
        <f>IF(F43="Tripulacion", COUNTIF(F$5:F43, "Tripulacion"), "")</f>
        <v/>
      </c>
      <c r="W43">
        <f>IF(F43="ENAP carga", COUNTIF(F$5:F43, "ENAP carga"), "")</f>
        <v/>
      </c>
    </row>
    <row r="44">
      <c r="C44" s="7" t="n">
        <v>46261</v>
      </c>
      <c r="D44" s="1" t="inlineStr">
        <is>
          <t>El Toro Manso</t>
        </is>
      </c>
      <c r="E44" s="5" t="inlineStr">
        <is>
          <t>VJYL61</t>
        </is>
      </c>
      <c r="F44" s="5" t="inlineStr">
        <is>
          <t>CJ</t>
        </is>
      </c>
      <c r="G44" s="1" t="inlineStr">
        <is>
          <t>Virginia Subercaso Pirque</t>
        </is>
      </c>
      <c r="H44" s="101" t="n">
        <v>1000</v>
      </c>
      <c r="I44" s="5" t="n">
        <v>300</v>
      </c>
      <c r="J44" s="5" t="n"/>
      <c r="K44" s="34" t="n"/>
      <c r="L44" s="34" t="n"/>
      <c r="M44" s="102">
        <f>H44*I44</f>
        <v/>
      </c>
      <c r="N44" s="1" t="inlineStr">
        <is>
          <t>Transferencia</t>
        </is>
      </c>
      <c r="O44" s="102">
        <f>IF(F44="CJ", I44*200, "")</f>
        <v/>
      </c>
      <c r="P44" s="26" t="n"/>
      <c r="Q44" s="103" t="n"/>
      <c r="R44" s="29" t="n"/>
      <c r="T44">
        <f>IF(F44="CJ", COUNTIF(F$5:F44, "CJ"), "")</f>
        <v/>
      </c>
      <c r="U44">
        <f>IF(F44="Ignacio", COUNTIF(F$5:F44, "Ignacio"), "")</f>
        <v/>
      </c>
      <c r="V44">
        <f>IF(F44="Tripulacion", COUNTIF(F$5:F44, "Tripulacion"), "")</f>
        <v/>
      </c>
      <c r="W44">
        <f>IF(F44="ENAP carga", COUNTIF(F$5:F44, "ENAP carga"), "")</f>
        <v/>
      </c>
    </row>
    <row r="45">
      <c r="C45" s="7" t="n">
        <v>46262</v>
      </c>
      <c r="D45" s="1" t="inlineStr">
        <is>
          <t>ENAP carga</t>
        </is>
      </c>
      <c r="E45" s="5" t="inlineStr">
        <is>
          <t>VJYL42</t>
        </is>
      </c>
      <c r="F45" s="5" t="inlineStr">
        <is>
          <t>ENAP carga</t>
        </is>
      </c>
      <c r="G45" s="1" t="n"/>
      <c r="H45" s="1" t="n"/>
      <c r="I45" s="5" t="n"/>
      <c r="J45" s="5" t="n"/>
      <c r="K45" s="34" t="n"/>
      <c r="L45" s="34" t="n"/>
      <c r="M45" s="102" t="n"/>
      <c r="N45" s="1" t="n"/>
      <c r="O45" s="102">
        <f>IF(F45="CJ", I45*200, "")</f>
        <v/>
      </c>
      <c r="P45" s="26" t="inlineStr">
        <is>
          <t>Guía N° 2361274</t>
        </is>
      </c>
      <c r="Q45" s="103" t="n">
        <v>3843361</v>
      </c>
      <c r="R45" s="29" t="n">
        <v>11501</v>
      </c>
      <c r="T45">
        <f>IF(F45="CJ", COUNTIF(F$5:F45, "CJ"), "")</f>
        <v/>
      </c>
      <c r="U45">
        <f>IF(F45="Ignacio", COUNTIF(F$5:F45, "Ignacio"), "")</f>
        <v/>
      </c>
      <c r="V45">
        <f>IF(F45="Tripulacion", COUNTIF(F$5:F45, "Tripulacion"), "")</f>
        <v/>
      </c>
      <c r="W45">
        <f>IF(F45="ENAP carga", COUNTIF(F$5:F45, "ENAP carga"), "")</f>
        <v/>
      </c>
    </row>
    <row r="46">
      <c r="C46" s="7" t="n">
        <v>46262</v>
      </c>
      <c r="D46" s="1" t="inlineStr">
        <is>
          <t>Gastronomca Exquisite</t>
        </is>
      </c>
      <c r="E46" s="5" t="inlineStr">
        <is>
          <t>VJYL61</t>
        </is>
      </c>
      <c r="F46" s="5" t="inlineStr">
        <is>
          <t>Tripulacion</t>
        </is>
      </c>
      <c r="G46" s="1" t="inlineStr">
        <is>
          <t>JP Alesaandri 114 Nuñoa</t>
        </is>
      </c>
      <c r="H46" s="101" t="n">
        <v>1000</v>
      </c>
      <c r="I46" s="5" t="n">
        <v>300</v>
      </c>
      <c r="J46" s="34">
        <f>K46-K43</f>
        <v/>
      </c>
      <c r="K46" s="34" t="n">
        <v>25691</v>
      </c>
      <c r="L46" s="34" t="n"/>
      <c r="M46" s="102">
        <f>H46*I46</f>
        <v/>
      </c>
      <c r="N46" s="1" t="inlineStr">
        <is>
          <t>Transferencia</t>
        </is>
      </c>
      <c r="O46" s="102">
        <f>IF(F46="CJ", I46*200, "")</f>
        <v/>
      </c>
      <c r="P46" s="26" t="n"/>
      <c r="Q46" s="103" t="n"/>
      <c r="R46" s="29" t="n"/>
      <c r="T46">
        <f>IF(F46="CJ", COUNTIF(F$5:F46, "CJ"), "")</f>
        <v/>
      </c>
      <c r="U46">
        <f>IF(F46="Ignacio", COUNTIF(F$5:F46, "Ignacio"), "")</f>
        <v/>
      </c>
      <c r="V46">
        <f>IF(F46="Tripulacion", COUNTIF(F$5:F46, "Tripulacion"), "")</f>
        <v/>
      </c>
      <c r="W46">
        <f>IF(F46="ENAP carga", COUNTIF(F$5:F46, "ENAP carga"), "")</f>
        <v/>
      </c>
    </row>
    <row r="47" ht="17" customHeight="1" s="81">
      <c r="C47" s="7" t="n">
        <v>46262</v>
      </c>
      <c r="D47" s="45" t="inlineStr">
        <is>
          <t>Cuco¨s Pollo</t>
        </is>
      </c>
      <c r="E47" s="5" t="inlineStr">
        <is>
          <t>VJYL42</t>
        </is>
      </c>
      <c r="F47" s="5" t="inlineStr">
        <is>
          <t>Tripulacion</t>
        </is>
      </c>
      <c r="G47" s="46" t="inlineStr">
        <is>
          <t>Av Observatorio 1088 El Bosque</t>
        </is>
      </c>
      <c r="H47" s="101" t="n">
        <v>1000</v>
      </c>
      <c r="I47" s="5" t="n">
        <v>253</v>
      </c>
      <c r="J47" s="5" t="n"/>
      <c r="K47" s="34" t="n"/>
      <c r="L47" s="34" t="n"/>
      <c r="M47" s="102">
        <f>H47*I47</f>
        <v/>
      </c>
      <c r="N47" s="1" t="inlineStr">
        <is>
          <t xml:space="preserve">Deposito efectivo </t>
        </is>
      </c>
      <c r="O47" s="102">
        <f>IF(F47="CJ", I47*200, "")</f>
        <v/>
      </c>
      <c r="P47" s="26" t="n"/>
      <c r="Q47" s="103" t="n"/>
      <c r="R47" s="29" t="n"/>
      <c r="T47">
        <f>IF(F47="CJ", COUNTIF(F$5:F47, "CJ"), "")</f>
        <v/>
      </c>
      <c r="U47">
        <f>IF(F47="Ignacio", COUNTIF(F$5:F47, "Ignacio"), "")</f>
        <v/>
      </c>
      <c r="V47">
        <f>IF(F47="Tripulacion", COUNTIF(F$5:F47, "Tripulacion"), "")</f>
        <v/>
      </c>
      <c r="W47">
        <f>IF(F47="ENAP carga", COUNTIF(F$5:F47, "ENAP carga"), "")</f>
        <v/>
      </c>
    </row>
    <row r="48">
      <c r="C48" s="7" t="n">
        <v>46265</v>
      </c>
      <c r="D48" s="1" t="inlineStr">
        <is>
          <t>ENAP carga</t>
        </is>
      </c>
      <c r="E48" s="5" t="inlineStr">
        <is>
          <t>VJYL42</t>
        </is>
      </c>
      <c r="F48" s="5" t="inlineStr">
        <is>
          <t>ENAP carga</t>
        </is>
      </c>
      <c r="G48" s="1" t="n"/>
      <c r="H48" s="101" t="n"/>
      <c r="I48" s="5" t="n"/>
      <c r="J48" s="5" t="n"/>
      <c r="K48" s="34" t="n"/>
      <c r="L48" s="34" t="n"/>
      <c r="M48" s="102" t="n"/>
      <c r="N48" s="1" t="inlineStr">
        <is>
          <t>ENAP carga</t>
        </is>
      </c>
      <c r="O48" s="102">
        <f>IF(F48="CJ", I48*200, "")</f>
        <v/>
      </c>
      <c r="P48" s="26" t="inlineStr">
        <is>
          <t>Guía N° 2361941</t>
        </is>
      </c>
      <c r="Q48" s="103" t="n">
        <v>3890396</v>
      </c>
      <c r="R48" s="29" t="n">
        <v>11462</v>
      </c>
      <c r="T48">
        <f>IF(F48="CJ", COUNTIF(F$5:F48, "CJ"), "")</f>
        <v/>
      </c>
      <c r="U48">
        <f>IF(F48="Ignacio", COUNTIF(F$5:F48, "Ignacio"), "")</f>
        <v/>
      </c>
      <c r="V48">
        <f>IF(F48="Tripulacion", COUNTIF(F$5:F48, "Tripulacion"), "")</f>
        <v/>
      </c>
      <c r="W48">
        <f>IF(F48="ENAP carga", COUNTIF(F$5:F48, "ENAP carga"), "")</f>
        <v/>
      </c>
    </row>
    <row r="49" customFormat="1" s="69">
      <c r="C49" s="60" t="n">
        <v>46267</v>
      </c>
      <c r="D49" s="61" t="inlineStr">
        <is>
          <t>Cristobal Bravo</t>
        </is>
      </c>
      <c r="E49" s="62" t="inlineStr">
        <is>
          <t>VJYL61</t>
        </is>
      </c>
      <c r="F49" s="62" t="inlineStr">
        <is>
          <t>Tripulacion</t>
        </is>
      </c>
      <c r="G49" s="61" t="inlineStr">
        <is>
          <t>Pirque</t>
        </is>
      </c>
      <c r="H49" s="111" t="n">
        <v>850</v>
      </c>
      <c r="I49" s="62" t="n">
        <v>1000</v>
      </c>
      <c r="J49" s="64">
        <f>K49-K46</f>
        <v/>
      </c>
      <c r="K49" s="64" t="n">
        <v>26691</v>
      </c>
      <c r="L49" s="64" t="n"/>
      <c r="M49" s="112">
        <f>H49*I49</f>
        <v/>
      </c>
      <c r="N49" s="61" t="inlineStr">
        <is>
          <t>Pagado</t>
        </is>
      </c>
      <c r="O49" s="112">
        <f>IF(F49="CJ", I49*200, "")</f>
        <v/>
      </c>
      <c r="P49" s="66" t="n"/>
      <c r="Q49" s="113" t="n"/>
      <c r="R49" s="68" t="n"/>
      <c r="T49" s="69">
        <f>IF(F49="CJ", COUNTIF(F$5:F49, "CJ"), "")</f>
        <v/>
      </c>
      <c r="U49" s="69">
        <f>IF(F49="Ignacio", COUNTIF(F$5:F49, "Ignacio"), "")</f>
        <v/>
      </c>
      <c r="V49" s="69">
        <f>IF(F49="Tripulacion", COUNTIF(F$5:F49, "Tripulacion"), "")</f>
        <v/>
      </c>
      <c r="W49" s="69">
        <f>IF(F49="ENAP carga", COUNTIF(F$5:F49, "ENAP carga"), "")</f>
        <v/>
      </c>
    </row>
    <row r="50">
      <c r="C50" s="7" t="n">
        <v>46268</v>
      </c>
      <c r="D50" s="1" t="n"/>
      <c r="E50" s="5" t="inlineStr">
        <is>
          <t>VJYL61</t>
        </is>
      </c>
      <c r="F50" s="5" t="inlineStr">
        <is>
          <t>Tripulacion</t>
        </is>
      </c>
      <c r="G50" s="1" t="inlineStr">
        <is>
          <t>Pirque</t>
        </is>
      </c>
      <c r="H50" s="101" t="n">
        <v>1000</v>
      </c>
      <c r="I50" s="5" t="n">
        <v>342.7</v>
      </c>
      <c r="J50" s="34">
        <f>K50-K49</f>
        <v/>
      </c>
      <c r="K50" s="34" t="n">
        <v>27034</v>
      </c>
      <c r="L50" s="34" t="n"/>
      <c r="M50" s="102">
        <f>H50*I50</f>
        <v/>
      </c>
      <c r="N50" s="1" t="inlineStr">
        <is>
          <t>Transferencia</t>
        </is>
      </c>
      <c r="O50" s="102">
        <f>IF(F50="CJ", I50*200, "")</f>
        <v/>
      </c>
      <c r="P50" s="26" t="n"/>
      <c r="Q50" s="103" t="n"/>
      <c r="R50" s="29" t="n"/>
      <c r="T50">
        <f>IF(F50="CJ", COUNTIF(F$5:F50, "CJ"), "")</f>
        <v/>
      </c>
      <c r="U50">
        <f>IF(F50="Ignacio", COUNTIF(F$5:F50, "Ignacio"), "")</f>
        <v/>
      </c>
      <c r="V50">
        <f>IF(F50="Tripulacion", COUNTIF(F$5:F50, "Tripulacion"), "")</f>
        <v/>
      </c>
      <c r="W50">
        <f>IF(F50="ENAP carga", COUNTIF(F$5:F50, "ENAP carga"), "")</f>
        <v/>
      </c>
    </row>
    <row r="51">
      <c r="C51" s="7" t="n">
        <v>46270</v>
      </c>
      <c r="D51" s="1" t="inlineStr">
        <is>
          <t>ENAP carga</t>
        </is>
      </c>
      <c r="E51" s="5" t="inlineStr">
        <is>
          <t>VJYL42</t>
        </is>
      </c>
      <c r="F51" s="5" t="inlineStr">
        <is>
          <t>ENAP carga</t>
        </is>
      </c>
      <c r="G51" s="1" t="n"/>
      <c r="H51" s="101" t="n"/>
      <c r="I51" s="5" t="n"/>
      <c r="J51" s="34" t="n"/>
      <c r="K51" s="34" t="n"/>
      <c r="L51" s="34" t="n"/>
      <c r="M51" s="102" t="n"/>
      <c r="N51" s="1" t="inlineStr">
        <is>
          <t>ENAP carga</t>
        </is>
      </c>
      <c r="O51" s="102" t="n"/>
      <c r="P51" s="26" t="inlineStr">
        <is>
          <t>Guía N° 2363973</t>
        </is>
      </c>
      <c r="Q51" s="103" t="n">
        <v>3890396</v>
      </c>
      <c r="R51" s="29" t="n">
        <v>11481</v>
      </c>
    </row>
    <row r="52">
      <c r="C52" s="7" t="n">
        <v>46271</v>
      </c>
      <c r="D52" s="1" t="inlineStr">
        <is>
          <t>Casa de Reposo Brisas</t>
        </is>
      </c>
      <c r="E52" s="5" t="inlineStr">
        <is>
          <t>VJYL61</t>
        </is>
      </c>
      <c r="F52" s="5" t="inlineStr">
        <is>
          <t>Tripulacion</t>
        </is>
      </c>
      <c r="G52" s="1" t="inlineStr">
        <is>
          <t>Pirque</t>
        </is>
      </c>
      <c r="H52" s="101" t="n">
        <v>1100</v>
      </c>
      <c r="I52" s="5" t="n">
        <v>300</v>
      </c>
      <c r="J52" s="34">
        <f>K52-K50</f>
        <v/>
      </c>
      <c r="K52" s="34" t="n">
        <v>27334</v>
      </c>
      <c r="L52" s="34" t="n"/>
      <c r="M52" s="102">
        <f>H52*I52</f>
        <v/>
      </c>
      <c r="N52" s="1" t="inlineStr">
        <is>
          <t>Transferencia</t>
        </is>
      </c>
      <c r="O52" s="102">
        <f>IF(F52="CJ", I52*200, "")</f>
        <v/>
      </c>
      <c r="P52" s="26" t="n"/>
      <c r="Q52" s="103" t="n"/>
      <c r="R52" s="29" t="n"/>
      <c r="T52">
        <f>IF(F52="CJ", COUNTIF(F$5:F52, "CJ"), "")</f>
        <v/>
      </c>
      <c r="U52">
        <f>IF(F52="Ignacio", COUNTIF(F$5:F52, "Ignacio"), "")</f>
        <v/>
      </c>
      <c r="V52">
        <f>IF(F52="Tripulacion", COUNTIF(F$5:F52, "Tripulacion"), "")</f>
        <v/>
      </c>
      <c r="W52">
        <f>IF(F52="ENAP carga", COUNTIF(F$5:F52, "ENAP carga"), "")</f>
        <v/>
      </c>
    </row>
    <row r="53">
      <c r="C53" s="7" t="n">
        <v>46271</v>
      </c>
      <c r="D53" s="1" t="inlineStr">
        <is>
          <t>Jazmin Sunko</t>
        </is>
      </c>
      <c r="E53" s="5" t="inlineStr">
        <is>
          <t>VJYL61</t>
        </is>
      </c>
      <c r="F53" s="5" t="inlineStr">
        <is>
          <t>Tripulacion</t>
        </is>
      </c>
      <c r="G53" s="1" t="inlineStr">
        <is>
          <t>Pirque</t>
        </is>
      </c>
      <c r="H53" s="101" t="n">
        <v>1100</v>
      </c>
      <c r="I53" s="5" t="n">
        <v>254</v>
      </c>
      <c r="J53" s="34">
        <f>K53-K52</f>
        <v/>
      </c>
      <c r="K53" s="34" t="n">
        <v>27588.7</v>
      </c>
      <c r="L53" s="34" t="n"/>
      <c r="M53" s="102">
        <f>H53*I53</f>
        <v/>
      </c>
      <c r="N53" s="1" t="inlineStr">
        <is>
          <t>Transferencia</t>
        </is>
      </c>
      <c r="O53" s="102">
        <f>IF(F53="CJ", I53*200, "")</f>
        <v/>
      </c>
      <c r="P53" s="26" t="n"/>
      <c r="Q53" s="103" t="n"/>
      <c r="R53" s="29" t="n"/>
      <c r="T53">
        <f>IF(F53="CJ", COUNTIF(F$5:F53, "CJ"), "")</f>
        <v/>
      </c>
      <c r="U53">
        <f>IF(F53="Ignacio", COUNTIF(F$5:F53, "Ignacio"), "")</f>
        <v/>
      </c>
      <c r="V53">
        <f>IF(F53="Tripulacion", COUNTIF(F$5:F53, "Tripulacion"), "")</f>
        <v/>
      </c>
      <c r="W53">
        <f>IF(F53="ENAP carga", COUNTIF(F$5:F53, "ENAP carga"), "")</f>
        <v/>
      </c>
    </row>
    <row r="54">
      <c r="C54" s="7" t="n">
        <v>46272</v>
      </c>
      <c r="D54" s="1" t="inlineStr">
        <is>
          <t>ENAP carga</t>
        </is>
      </c>
      <c r="E54" s="5" t="inlineStr">
        <is>
          <t>VJYL42</t>
        </is>
      </c>
      <c r="F54" s="5" t="inlineStr">
        <is>
          <t>ENAP carga</t>
        </is>
      </c>
      <c r="G54" s="1" t="n"/>
      <c r="H54" s="101" t="n"/>
      <c r="I54" s="5" t="n"/>
      <c r="J54" s="34" t="n"/>
      <c r="K54" s="34" t="n"/>
      <c r="L54" s="34" t="n"/>
      <c r="M54" s="102" t="n"/>
      <c r="N54" s="1" t="inlineStr">
        <is>
          <t>ENAP carga</t>
        </is>
      </c>
      <c r="O54" s="102">
        <f>IF(F54="CJ", I54*200, "")</f>
        <v/>
      </c>
      <c r="P54" s="26" t="inlineStr">
        <is>
          <t>Guía N° 2364285</t>
        </is>
      </c>
      <c r="Q54" s="103" t="n">
        <v>3706813</v>
      </c>
      <c r="R54" s="29" t="n">
        <v>11288</v>
      </c>
      <c r="T54">
        <f>IF(F54="CJ", COUNTIF(F$5:F54, "CJ"), "")</f>
        <v/>
      </c>
      <c r="U54">
        <f>IF(F54="Ignacio", COUNTIF(F$5:F54, "Ignacio"), "")</f>
        <v/>
      </c>
      <c r="V54">
        <f>IF(F54="Tripulacion", COUNTIF(F$5:F54, "Tripulacion"), "")</f>
        <v/>
      </c>
      <c r="W54">
        <f>IF(F54="ENAP carga", COUNTIF(F$5:F54, "ENAP carga"), "")</f>
        <v/>
      </c>
    </row>
    <row r="55">
      <c r="C55" s="7" t="n">
        <v>46273</v>
      </c>
      <c r="D55" s="1" t="inlineStr">
        <is>
          <t>ENAP carga</t>
        </is>
      </c>
      <c r="E55" s="5" t="inlineStr">
        <is>
          <t>VJYL42</t>
        </is>
      </c>
      <c r="F55" s="5" t="inlineStr">
        <is>
          <t>ENAP carga</t>
        </is>
      </c>
      <c r="G55" s="1" t="n"/>
      <c r="H55" s="101" t="n"/>
      <c r="I55" s="5" t="n"/>
      <c r="J55" s="34" t="n"/>
      <c r="K55" s="34" t="n"/>
      <c r="L55" s="34" t="n"/>
      <c r="M55" s="102" t="n"/>
      <c r="N55" s="1" t="inlineStr">
        <is>
          <t>ENAP carga</t>
        </is>
      </c>
      <c r="O55" s="102">
        <f>IF(F55="CJ", I55*200, "")</f>
        <v/>
      </c>
      <c r="P55" s="26" t="inlineStr">
        <is>
          <t>Guía N° 2364754</t>
        </is>
      </c>
      <c r="Q55" s="103" t="n">
        <v>3675022</v>
      </c>
      <c r="R55" s="29" t="n">
        <v>11307</v>
      </c>
      <c r="T55">
        <f>IF(F55="CJ", COUNTIF(F$5:F55, "CJ"), "")</f>
        <v/>
      </c>
      <c r="U55">
        <f>IF(F55="Ignacio", COUNTIF(F$5:F55, "Ignacio"), "")</f>
        <v/>
      </c>
      <c r="V55">
        <f>IF(F55="Tripulacion", COUNTIF(F$5:F55, "Tripulacion"), "")</f>
        <v/>
      </c>
      <c r="W55">
        <f>IF(F55="ENAP carga", COUNTIF(F$5:F55, "ENAP carga"), "")</f>
        <v/>
      </c>
    </row>
    <row r="56">
      <c r="C56" s="7" t="n">
        <v>46274</v>
      </c>
      <c r="D56" s="1" t="inlineStr">
        <is>
          <t>ENAP carga</t>
        </is>
      </c>
      <c r="E56" s="5" t="inlineStr">
        <is>
          <t>VJYL42</t>
        </is>
      </c>
      <c r="F56" s="5" t="inlineStr">
        <is>
          <t>ENAP carga</t>
        </is>
      </c>
      <c r="G56" s="1" t="n"/>
      <c r="H56" s="101" t="n"/>
      <c r="I56" s="5" t="n"/>
      <c r="J56" s="34" t="n"/>
      <c r="K56" s="34" t="n"/>
      <c r="L56" s="34" t="n"/>
      <c r="M56" s="102" t="n"/>
      <c r="N56" s="1" t="inlineStr">
        <is>
          <t>ENAP carga</t>
        </is>
      </c>
      <c r="O56" s="102">
        <f>IF(F56="CJ", I56*200, "")</f>
        <v/>
      </c>
      <c r="P56" s="26" t="inlineStr">
        <is>
          <t>Guía N° 2365221</t>
        </is>
      </c>
      <c r="Q56" s="103" t="n">
        <v>3725888</v>
      </c>
      <c r="R56" s="29" t="n">
        <v>11346</v>
      </c>
      <c r="T56">
        <f>IF(F56="CJ", COUNTIF(F$5:F56, "CJ"), "")</f>
        <v/>
      </c>
      <c r="U56">
        <f>IF(F56="Ignacio", COUNTIF(F$5:F56, "Ignacio"), "")</f>
        <v/>
      </c>
      <c r="V56">
        <f>IF(F56="Tripulacion", COUNTIF(F$5:F56, "Tripulacion"), "")</f>
        <v/>
      </c>
      <c r="W56">
        <f>IF(F56="ENAP carga", COUNTIF(F$5:F56, "ENAP carga"), "")</f>
        <v/>
      </c>
    </row>
    <row r="57">
      <c r="C57" s="7" t="n">
        <v>46275</v>
      </c>
      <c r="D57" s="1" t="inlineStr">
        <is>
          <t>ENAP carga</t>
        </is>
      </c>
      <c r="E57" s="5" t="inlineStr">
        <is>
          <t>VJYL42</t>
        </is>
      </c>
      <c r="F57" s="5" t="inlineStr">
        <is>
          <t>ENAP carga</t>
        </is>
      </c>
      <c r="G57" s="1" t="n"/>
      <c r="H57" s="101" t="n"/>
      <c r="I57" s="5" t="n"/>
      <c r="J57" s="34" t="n"/>
      <c r="K57" s="34" t="n"/>
      <c r="L57" s="34" t="n"/>
      <c r="M57" s="102" t="n"/>
      <c r="N57" s="1" t="inlineStr">
        <is>
          <t>ENAP carga</t>
        </is>
      </c>
      <c r="O57" s="102">
        <f>IF(F57="CJ", I57*200, "")</f>
        <v/>
      </c>
      <c r="P57" s="26" t="inlineStr">
        <is>
          <t>Guía N° 2365840</t>
        </is>
      </c>
      <c r="Q57" s="103" t="n">
        <v>3706813</v>
      </c>
      <c r="R57" s="29" t="n">
        <v>11288</v>
      </c>
      <c r="T57">
        <f>IF(F57="CJ", COUNTIF(F$5:F57, "CJ"), "")</f>
        <v/>
      </c>
      <c r="U57">
        <f>IF(F57="Ignacio", COUNTIF(F$5:F57, "Ignacio"), "")</f>
        <v/>
      </c>
      <c r="V57">
        <f>IF(F57="Tripulacion", COUNTIF(F$5:F57, "Tripulacion"), "")</f>
        <v/>
      </c>
      <c r="W57">
        <f>IF(F57="ENAP carga", COUNTIF(F$5:F57, "ENAP carga"), "")</f>
        <v/>
      </c>
    </row>
    <row r="58">
      <c r="C58" s="7" t="n">
        <v>46276</v>
      </c>
      <c r="D58" s="1" t="inlineStr">
        <is>
          <t>ENAP carga</t>
        </is>
      </c>
      <c r="E58" s="5" t="inlineStr">
        <is>
          <t>VJYL42</t>
        </is>
      </c>
      <c r="F58" s="5" t="inlineStr">
        <is>
          <t>ENAP carga</t>
        </is>
      </c>
      <c r="G58" s="1" t="n"/>
      <c r="H58" s="101" t="n"/>
      <c r="I58" s="5" t="n"/>
      <c r="J58" s="34" t="n"/>
      <c r="K58" s="34" t="n"/>
      <c r="L58" s="34" t="n"/>
      <c r="M58" s="102" t="n"/>
      <c r="N58" s="1" t="inlineStr">
        <is>
          <t>ENAP carga</t>
        </is>
      </c>
      <c r="O58" s="102">
        <f>IF(F58="CJ", I58*200, "")</f>
        <v/>
      </c>
      <c r="P58" s="26" t="inlineStr">
        <is>
          <t>Guía N° 2366189</t>
        </is>
      </c>
      <c r="Q58" s="103" t="n">
        <v>3675022</v>
      </c>
      <c r="R58" s="29" t="n">
        <v>11191</v>
      </c>
      <c r="T58">
        <f>IF(F58="CJ", COUNTIF(F$5:F58, "CJ"), "")</f>
        <v/>
      </c>
      <c r="U58">
        <f>IF(F58="Ignacio", COUNTIF(F$5:F58, "Ignacio"), "")</f>
        <v/>
      </c>
      <c r="V58">
        <f>IF(F58="Tripulacion", COUNTIF(F$5:F58, "Tripulacion"), "")</f>
        <v/>
      </c>
      <c r="W58">
        <f>IF(F58="ENAP carga", COUNTIF(F$5:F58, "ENAP carga"), "")</f>
        <v/>
      </c>
    </row>
    <row r="59">
      <c r="C59" s="7" t="n">
        <v>46277</v>
      </c>
      <c r="D59" s="1" t="inlineStr">
        <is>
          <t>ENAP carga</t>
        </is>
      </c>
      <c r="E59" s="5" t="inlineStr">
        <is>
          <t>VJYL42</t>
        </is>
      </c>
      <c r="F59" s="5" t="inlineStr">
        <is>
          <t>ENAP carga</t>
        </is>
      </c>
      <c r="G59" s="1" t="n"/>
      <c r="H59" s="101" t="n"/>
      <c r="I59" s="5" t="n"/>
      <c r="J59" s="34" t="n"/>
      <c r="K59" s="34" t="n"/>
      <c r="L59" s="34" t="n"/>
      <c r="M59" s="102" t="n"/>
      <c r="N59" s="1" t="inlineStr">
        <is>
          <t>ENAP carga</t>
        </is>
      </c>
      <c r="O59" s="102">
        <f>IF(F59="CJ", I59*200, "")</f>
        <v/>
      </c>
      <c r="P59" s="26" t="inlineStr">
        <is>
          <t>Guía N° 2366535</t>
        </is>
      </c>
      <c r="Q59" s="103" t="n">
        <v>3725888</v>
      </c>
      <c r="R59" s="29" t="n">
        <v>11346</v>
      </c>
      <c r="T59">
        <f>IF(F59="CJ", COUNTIF(F$5:F59, "CJ"), "")</f>
        <v/>
      </c>
      <c r="U59">
        <f>IF(F59="Ignacio", COUNTIF(F$5:F59, "Ignacio"), "")</f>
        <v/>
      </c>
      <c r="V59">
        <f>IF(F59="Tripulacion", COUNTIF(F$5:F59, "Tripulacion"), "")</f>
        <v/>
      </c>
      <c r="W59">
        <f>IF(F59="ENAP carga", COUNTIF(F$5:F59, "ENAP carga"), "")</f>
        <v/>
      </c>
    </row>
    <row r="60">
      <c r="C60" s="7" t="n">
        <v>46279</v>
      </c>
      <c r="D60" s="1" t="inlineStr">
        <is>
          <t>ENAP carga</t>
        </is>
      </c>
      <c r="E60" s="5" t="inlineStr">
        <is>
          <t>VJYL42</t>
        </is>
      </c>
      <c r="F60" s="5" t="inlineStr">
        <is>
          <t>ENAP carga</t>
        </is>
      </c>
      <c r="G60" s="1" t="n"/>
      <c r="H60" s="101" t="n"/>
      <c r="I60" s="5" t="n"/>
      <c r="J60" s="34" t="n"/>
      <c r="K60" s="34" t="n"/>
      <c r="L60" s="34" t="n"/>
      <c r="M60" s="102" t="n"/>
      <c r="N60" s="1" t="inlineStr">
        <is>
          <t>ENAP carga</t>
        </is>
      </c>
      <c r="O60" s="102">
        <f>IF(F60="CJ", I60*200, "")</f>
        <v/>
      </c>
      <c r="P60" s="26" t="inlineStr">
        <is>
          <t>Guía N° 2366964</t>
        </is>
      </c>
      <c r="Q60" s="103" t="n">
        <v>3675022</v>
      </c>
      <c r="R60" s="29" t="n">
        <v>11191</v>
      </c>
      <c r="T60">
        <f>IF(F60="CJ", COUNTIF(F$5:F60, "CJ"), "")</f>
        <v/>
      </c>
      <c r="U60">
        <f>IF(F60="Ignacio", COUNTIF(F$5:F60, "Ignacio"), "")</f>
        <v/>
      </c>
      <c r="V60">
        <f>IF(F60="Tripulacion", COUNTIF(F$5:F60, "Tripulacion"), "")</f>
        <v/>
      </c>
      <c r="W60">
        <f>IF(F60="ENAP carga", COUNTIF(F$5:F60, "ENAP carga"), "")</f>
        <v/>
      </c>
    </row>
    <row r="61">
      <c r="C61" s="7" t="n">
        <v>46281</v>
      </c>
      <c r="D61" s="1" t="inlineStr">
        <is>
          <t>ENAP carga</t>
        </is>
      </c>
      <c r="E61" s="5" t="inlineStr">
        <is>
          <t>VJYL42</t>
        </is>
      </c>
      <c r="F61" s="5" t="inlineStr">
        <is>
          <t>ENAP carga</t>
        </is>
      </c>
      <c r="G61" s="1" t="n"/>
      <c r="H61" s="101" t="n"/>
      <c r="I61" s="5" t="n"/>
      <c r="J61" s="34" t="n"/>
      <c r="K61" s="34" t="n"/>
      <c r="L61" s="34" t="n"/>
      <c r="M61" s="102" t="n"/>
      <c r="N61" s="1" t="inlineStr">
        <is>
          <t>ENAP carga</t>
        </is>
      </c>
      <c r="O61" s="102">
        <f>IF(F61="CJ", I61*200, "")</f>
        <v/>
      </c>
      <c r="P61" s="26" t="inlineStr">
        <is>
          <t>Guía N° 2367767</t>
        </is>
      </c>
      <c r="Q61" s="103" t="n">
        <v>3630515</v>
      </c>
      <c r="R61" s="29" t="n">
        <v>11055</v>
      </c>
      <c r="T61">
        <f>IF(F61="CJ", COUNTIF(F$5:F61, "CJ"), "")</f>
        <v/>
      </c>
      <c r="U61">
        <f>IF(F61="Ignacio", COUNTIF(F$5:F61, "Ignacio"), "")</f>
        <v/>
      </c>
      <c r="V61">
        <f>IF(F61="Tripulacion", COUNTIF(F$5:F61, "Tripulacion"), "")</f>
        <v/>
      </c>
      <c r="W61">
        <f>IF(F61="ENAP carga", COUNTIF(F$5:F61, "ENAP carga"), "")</f>
        <v/>
      </c>
    </row>
    <row r="62">
      <c r="C62" s="7" t="n">
        <v>46281</v>
      </c>
      <c r="D62" s="1" t="inlineStr">
        <is>
          <t>ENAP carga</t>
        </is>
      </c>
      <c r="E62" s="5" t="inlineStr">
        <is>
          <t>VJYL61</t>
        </is>
      </c>
      <c r="F62" s="5" t="inlineStr">
        <is>
          <t>ENAP carga</t>
        </is>
      </c>
      <c r="G62" s="1" t="n"/>
      <c r="H62" s="101" t="n"/>
      <c r="I62" s="5" t="n"/>
      <c r="J62" s="34" t="n"/>
      <c r="K62" s="34" t="n"/>
      <c r="L62" s="34" t="n"/>
      <c r="M62" s="102" t="n"/>
      <c r="N62" s="1" t="inlineStr">
        <is>
          <t>ENAP carga</t>
        </is>
      </c>
      <c r="O62" s="102" t="n"/>
      <c r="P62" s="26" t="inlineStr">
        <is>
          <t>Guía N° 2367813</t>
        </is>
      </c>
      <c r="Q62" s="103" t="n">
        <v>3624157</v>
      </c>
      <c r="R62" s="29" t="n">
        <v>11036</v>
      </c>
    </row>
    <row r="63">
      <c r="C63" s="7" t="n">
        <v>46282</v>
      </c>
      <c r="D63" s="1" t="inlineStr">
        <is>
          <t>ENAP carga</t>
        </is>
      </c>
      <c r="E63" s="5" t="inlineStr">
        <is>
          <t>VJYL61</t>
        </is>
      </c>
      <c r="F63" s="5" t="inlineStr">
        <is>
          <t>ENAP carga</t>
        </is>
      </c>
      <c r="G63" s="1" t="n"/>
      <c r="H63" s="101" t="n"/>
      <c r="I63" s="5" t="n"/>
      <c r="J63" s="34" t="n"/>
      <c r="K63" s="34" t="n"/>
      <c r="L63" s="34" t="n"/>
      <c r="M63" s="102" t="n"/>
      <c r="N63" s="1" t="inlineStr">
        <is>
          <t>ENAP carga</t>
        </is>
      </c>
      <c r="O63" s="102" t="n"/>
      <c r="P63" s="26" t="inlineStr">
        <is>
          <t>Guía N° 2368175</t>
        </is>
      </c>
      <c r="Q63" s="103" t="n">
        <v>3636873</v>
      </c>
      <c r="R63" s="29" t="n">
        <v>11075</v>
      </c>
    </row>
    <row r="64">
      <c r="C64" s="7" t="n">
        <v>46282</v>
      </c>
      <c r="D64" s="1" t="inlineStr">
        <is>
          <t>ENAP carga</t>
        </is>
      </c>
      <c r="E64" s="5" t="inlineStr">
        <is>
          <t>VJYL42</t>
        </is>
      </c>
      <c r="F64" s="5" t="inlineStr">
        <is>
          <t>ENAP carga</t>
        </is>
      </c>
      <c r="G64" s="1" t="n"/>
      <c r="H64" s="101" t="n"/>
      <c r="I64" s="5" t="n"/>
      <c r="J64" s="34" t="n"/>
      <c r="K64" s="34" t="n"/>
      <c r="L64" s="34" t="n"/>
      <c r="M64" s="102" t="n"/>
      <c r="N64" s="1" t="inlineStr">
        <is>
          <t>ENAP carga</t>
        </is>
      </c>
      <c r="O64" s="102" t="n"/>
      <c r="P64" s="26" t="inlineStr">
        <is>
          <t>Guía N° 2368199</t>
        </is>
      </c>
      <c r="Q64" s="103" t="n">
        <v>3630515</v>
      </c>
      <c r="R64" s="29" t="n">
        <v>11055</v>
      </c>
    </row>
    <row r="65">
      <c r="C65" s="7" t="n">
        <v>46283</v>
      </c>
      <c r="D65" s="1" t="inlineStr">
        <is>
          <t>ENAP carga</t>
        </is>
      </c>
      <c r="E65" s="5" t="inlineStr">
        <is>
          <t>VJYL42</t>
        </is>
      </c>
      <c r="F65" s="5" t="inlineStr">
        <is>
          <t>ENAP carga</t>
        </is>
      </c>
      <c r="G65" s="1" t="n"/>
      <c r="H65" s="101" t="n"/>
      <c r="I65" s="5" t="n"/>
      <c r="J65" s="34" t="n"/>
      <c r="K65" s="34" t="n"/>
      <c r="L65" s="34" t="n"/>
      <c r="M65" s="102" t="n"/>
      <c r="N65" s="1" t="inlineStr">
        <is>
          <t>ENAP carga</t>
        </is>
      </c>
      <c r="O65" s="102" t="n"/>
      <c r="P65" s="26" t="inlineStr">
        <is>
          <t>Guía N° 2368296</t>
        </is>
      </c>
      <c r="Q65" s="103" t="n">
        <v>3687739</v>
      </c>
      <c r="R65" s="29" t="n">
        <v>11230</v>
      </c>
    </row>
    <row r="66">
      <c r="C66" s="7" t="n">
        <v>46283</v>
      </c>
      <c r="D66" s="1" t="inlineStr">
        <is>
          <t>ENAP carga</t>
        </is>
      </c>
      <c r="E66" s="5" t="inlineStr">
        <is>
          <t>VJYL61</t>
        </is>
      </c>
      <c r="F66" s="5" t="inlineStr">
        <is>
          <t>ENAP carga</t>
        </is>
      </c>
      <c r="G66" s="1" t="n"/>
      <c r="H66" s="101" t="n"/>
      <c r="I66" s="5" t="n"/>
      <c r="J66" s="34" t="n"/>
      <c r="K66" s="34" t="n"/>
      <c r="L66" s="34" t="n"/>
      <c r="M66" s="102" t="n"/>
      <c r="N66" s="1" t="inlineStr">
        <is>
          <t>ENAP carga</t>
        </is>
      </c>
      <c r="O66" s="102" t="n"/>
      <c r="P66" s="26" t="inlineStr">
        <is>
          <t>Guía N° 2368302</t>
        </is>
      </c>
      <c r="Q66" s="103" t="n">
        <v>3700455</v>
      </c>
      <c r="R66" s="29" t="n">
        <v>11268</v>
      </c>
    </row>
    <row r="67">
      <c r="C67" s="7" t="n">
        <v>46286</v>
      </c>
      <c r="D67" s="1" t="inlineStr">
        <is>
          <t>ENAP carga</t>
        </is>
      </c>
      <c r="E67" s="5" t="inlineStr">
        <is>
          <t>VJYL42</t>
        </is>
      </c>
      <c r="F67" s="5" t="inlineStr">
        <is>
          <t>ENAP carga</t>
        </is>
      </c>
      <c r="G67" s="1" t="n"/>
      <c r="H67" s="101" t="n"/>
      <c r="I67" s="5" t="n"/>
      <c r="J67" s="34" t="n"/>
      <c r="K67" s="34" t="n"/>
      <c r="L67" s="34" t="n"/>
      <c r="M67" s="102" t="n"/>
      <c r="N67" s="1" t="inlineStr">
        <is>
          <t>ENAP carga</t>
        </is>
      </c>
      <c r="O67" s="102" t="n"/>
      <c r="P67" s="26" t="inlineStr">
        <is>
          <t>Guía N° 2368758</t>
        </is>
      </c>
      <c r="Q67" s="103" t="n">
        <v>3643231</v>
      </c>
      <c r="R67" s="29" t="n">
        <v>11094</v>
      </c>
    </row>
    <row r="68">
      <c r="C68" s="7" t="n">
        <v>46287</v>
      </c>
      <c r="D68" s="1" t="inlineStr">
        <is>
          <t>ENAP carga</t>
        </is>
      </c>
      <c r="E68" s="5" t="inlineStr">
        <is>
          <t>VJYL61</t>
        </is>
      </c>
      <c r="F68" s="5" t="inlineStr">
        <is>
          <t>ENAP carga</t>
        </is>
      </c>
      <c r="G68" s="1" t="n"/>
      <c r="H68" s="101" t="n"/>
      <c r="I68" s="5" t="n"/>
      <c r="J68" s="34" t="n"/>
      <c r="K68" s="34" t="n"/>
      <c r="L68" s="34" t="n"/>
      <c r="M68" s="102" t="n"/>
      <c r="N68" s="1" t="inlineStr">
        <is>
          <t>ENAP carga</t>
        </is>
      </c>
      <c r="O68" s="102" t="n"/>
      <c r="P68" s="26" t="inlineStr">
        <is>
          <t>Guía N° 2369174</t>
        </is>
      </c>
      <c r="Q68" s="103" t="n">
        <v>3687739</v>
      </c>
      <c r="R68" s="29" t="n">
        <v>11230</v>
      </c>
    </row>
    <row r="69">
      <c r="C69" s="7" t="n">
        <v>46288</v>
      </c>
      <c r="D69" s="1" t="inlineStr">
        <is>
          <t>ENAP carga</t>
        </is>
      </c>
      <c r="E69" s="5" t="inlineStr">
        <is>
          <t>VJYL42</t>
        </is>
      </c>
      <c r="F69" s="5" t="inlineStr">
        <is>
          <t>ENAP carga</t>
        </is>
      </c>
      <c r="G69" s="1" t="n"/>
      <c r="H69" s="101" t="n"/>
      <c r="I69" s="5" t="n"/>
      <c r="J69" s="34" t="n"/>
      <c r="K69" s="34" t="n"/>
      <c r="L69" s="34" t="n"/>
      <c r="M69" s="102" t="n"/>
      <c r="N69" s="1" t="inlineStr">
        <is>
          <t>ENAP carga</t>
        </is>
      </c>
      <c r="O69" s="102" t="n"/>
      <c r="P69" s="26" t="inlineStr">
        <is>
          <t>Guía N° 2369529</t>
        </is>
      </c>
      <c r="Q69" s="103" t="n">
        <v>3649590</v>
      </c>
      <c r="R69" s="29" t="n">
        <v>11113</v>
      </c>
    </row>
    <row r="70">
      <c r="C70" s="7" t="n">
        <v>46288</v>
      </c>
      <c r="D70" s="1" t="inlineStr">
        <is>
          <t>ENAP carga</t>
        </is>
      </c>
      <c r="E70" s="5" t="inlineStr">
        <is>
          <t>VJYL61</t>
        </is>
      </c>
      <c r="F70" s="5" t="inlineStr">
        <is>
          <t>ENAP carga</t>
        </is>
      </c>
      <c r="G70" s="1" t="n"/>
      <c r="H70" s="1" t="n"/>
      <c r="I70" s="1" t="n"/>
      <c r="J70" s="1" t="n"/>
      <c r="K70" s="38" t="n"/>
      <c r="L70" s="38" t="n"/>
      <c r="M70" s="1" t="n"/>
      <c r="N70" s="1" t="inlineStr">
        <is>
          <t>ENAP carga</t>
        </is>
      </c>
      <c r="O70" s="102" t="n"/>
      <c r="P70" s="26" t="inlineStr">
        <is>
          <t>Guía N° 2369600</t>
        </is>
      </c>
      <c r="Q70" s="103" t="n">
        <v>3668664</v>
      </c>
      <c r="R70" s="29" t="n">
        <v>11172</v>
      </c>
      <c r="T70">
        <f>IF(F70="CJ", COUNTIF(F$5:F70, "CJ"), "")</f>
        <v/>
      </c>
      <c r="U70">
        <f>IF(F70="Ignacio", COUNTIF(F$5:F70, "Ignacio"), "")</f>
        <v/>
      </c>
      <c r="V70">
        <f>IF(F70="Tripulacion", COUNTIF(F$5:F70, "Tripulacion"), "")</f>
        <v/>
      </c>
      <c r="W70">
        <f>IF(F70="ENAP carga", COUNTIF(F$5:F70, "ENAP carga"), "")</f>
        <v/>
      </c>
    </row>
    <row r="71">
      <c r="C71" s="7" t="n">
        <v>46289</v>
      </c>
      <c r="D71" s="1" t="inlineStr">
        <is>
          <t>ENAP carga</t>
        </is>
      </c>
      <c r="E71" s="5" t="inlineStr">
        <is>
          <t>VJYL42</t>
        </is>
      </c>
      <c r="F71" s="5" t="inlineStr">
        <is>
          <t>ENAP carga</t>
        </is>
      </c>
      <c r="G71" s="1" t="n"/>
      <c r="H71" s="101" t="n"/>
      <c r="I71" s="5" t="n"/>
      <c r="J71" s="34" t="n"/>
      <c r="K71" s="34" t="n"/>
      <c r="L71" s="34" t="n"/>
      <c r="M71" s="102" t="n"/>
      <c r="N71" s="1" t="inlineStr">
        <is>
          <t>ENAP carga</t>
        </is>
      </c>
      <c r="O71" s="102" t="n"/>
      <c r="P71" s="26" t="inlineStr">
        <is>
          <t>Guía N° 2369880</t>
        </is>
      </c>
      <c r="Q71" s="103" t="n">
        <v>3675022</v>
      </c>
      <c r="R71" s="29" t="n">
        <v>11191</v>
      </c>
    </row>
    <row r="72">
      <c r="C72" s="7" t="n">
        <v>46290</v>
      </c>
      <c r="D72" s="1" t="inlineStr">
        <is>
          <t>ENAP carga</t>
        </is>
      </c>
      <c r="E72" s="5" t="inlineStr">
        <is>
          <t>VJYL61</t>
        </is>
      </c>
      <c r="F72" s="5" t="inlineStr">
        <is>
          <t>ENAP carga</t>
        </is>
      </c>
      <c r="G72" s="1" t="n"/>
      <c r="H72" s="1" t="n"/>
      <c r="I72" s="1" t="n"/>
      <c r="J72" s="1" t="n"/>
      <c r="K72" s="38" t="n"/>
      <c r="L72" s="38" t="n"/>
      <c r="M72" s="1" t="n"/>
      <c r="N72" s="1" t="inlineStr">
        <is>
          <t>ENAP carga</t>
        </is>
      </c>
      <c r="O72" s="102" t="n"/>
      <c r="P72" s="26" t="inlineStr">
        <is>
          <t>Guía N° 2370275</t>
        </is>
      </c>
      <c r="Q72" s="103" t="n">
        <v>3681380</v>
      </c>
      <c r="R72" s="29" t="n">
        <v>11210</v>
      </c>
    </row>
    <row r="73">
      <c r="C73" s="7" t="n">
        <v>46290</v>
      </c>
      <c r="D73" s="1" t="inlineStr">
        <is>
          <t xml:space="preserve">Ciao Italia </t>
        </is>
      </c>
      <c r="E73" s="5" t="inlineStr">
        <is>
          <t>VJYL61</t>
        </is>
      </c>
      <c r="F73" s="5" t="n"/>
      <c r="G73" s="1" t="n"/>
      <c r="H73" s="101" t="n">
        <v>1000</v>
      </c>
      <c r="I73" s="5" t="n">
        <v>400</v>
      </c>
      <c r="J73" s="34" t="n"/>
      <c r="K73" s="34" t="n"/>
      <c r="L73" s="34" t="n"/>
      <c r="M73" s="102" t="n">
        <v>400000</v>
      </c>
      <c r="N73" s="1" t="inlineStr">
        <is>
          <t>Transferencia</t>
        </is>
      </c>
      <c r="O73" s="102">
        <f>IF(F73="CJ", I74*200, "")</f>
        <v/>
      </c>
      <c r="P73" s="26" t="n"/>
      <c r="Q73" s="103" t="n"/>
      <c r="R73" s="29" t="n"/>
      <c r="T73">
        <f>IF(F73="CJ", COUNTIF(F$5:F73, "CJ"), "")</f>
        <v/>
      </c>
      <c r="U73">
        <f>IF(F73="Ignacio", COUNTIF(F$5:F73, "Ignacio"), "")</f>
        <v/>
      </c>
      <c r="V73">
        <f>IF(F73="Tripulacion", COUNTIF(F$5:F73, "Tripulacion"), "")</f>
        <v/>
      </c>
      <c r="W73">
        <f>IF(F73="ENAP carga", COUNTIF(F$5:F73, "ENAP carga"), "")</f>
        <v/>
      </c>
    </row>
    <row r="74">
      <c r="C74" s="7" t="n">
        <v>46290</v>
      </c>
      <c r="D74" s="1" t="inlineStr">
        <is>
          <t>Franco Garcia</t>
        </is>
      </c>
      <c r="E74" s="5" t="inlineStr">
        <is>
          <t>VJYL61</t>
        </is>
      </c>
      <c r="F74" s="5" t="n"/>
      <c r="G74" s="1" t="n"/>
      <c r="H74" s="101" t="n"/>
      <c r="I74" s="5" t="n">
        <v>606</v>
      </c>
      <c r="J74" s="5" t="n"/>
      <c r="K74" s="34" t="n"/>
      <c r="L74" s="34" t="n"/>
      <c r="M74" s="102" t="n"/>
      <c r="N74" s="1" t="n"/>
      <c r="O74" s="102">
        <f>IF(F74="CJ",#REF!* 200, "")</f>
        <v/>
      </c>
      <c r="P74" s="26" t="n"/>
      <c r="Q74" s="103" t="n"/>
      <c r="R74" s="29" t="n"/>
      <c r="T74">
        <f>IF(F74="CJ", COUNTIF(F$5:F74, "CJ"), "")</f>
        <v/>
      </c>
      <c r="U74">
        <f>IF(F74="Ignacio", COUNTIF(F$5:F74, "Ignacio"), "")</f>
        <v/>
      </c>
      <c r="V74">
        <f>IF(F74="Tripulacion", COUNTIF(F$5:F74, "Tripulacion"), "")</f>
        <v/>
      </c>
      <c r="W74">
        <f>IF(F74="ENAP carga", COUNTIF(F$5:F74, "ENAP carga"), "")</f>
        <v/>
      </c>
    </row>
    <row r="75">
      <c r="C75" s="7" t="n">
        <v>46290</v>
      </c>
      <c r="D75" s="1" t="inlineStr">
        <is>
          <t>JC</t>
        </is>
      </c>
      <c r="E75" s="5" t="inlineStr">
        <is>
          <t>VJYL61</t>
        </is>
      </c>
      <c r="F75" s="5" t="n"/>
      <c r="G75" s="1" t="n"/>
      <c r="H75" s="101" t="n"/>
      <c r="I75" s="5" t="n">
        <v>453</v>
      </c>
      <c r="J75" s="5" t="n"/>
      <c r="K75" s="34" t="n"/>
      <c r="L75" s="34" t="n"/>
      <c r="M75" s="102" t="n"/>
      <c r="N75" s="1" t="n"/>
      <c r="O75" s="102" t="n"/>
      <c r="P75" s="26" t="n"/>
      <c r="Q75" s="103" t="n"/>
      <c r="R75" s="29" t="n"/>
    </row>
    <row r="76">
      <c r="C76" s="7" t="n">
        <v>46291</v>
      </c>
      <c r="D76" s="1" t="inlineStr">
        <is>
          <t>ENAP carga</t>
        </is>
      </c>
      <c r="E76" s="5" t="inlineStr">
        <is>
          <t>VJYL61</t>
        </is>
      </c>
      <c r="F76" s="5" t="inlineStr">
        <is>
          <t>ENAP carga</t>
        </is>
      </c>
      <c r="G76" s="1" t="n"/>
      <c r="H76" s="101" t="n"/>
      <c r="I76" s="5" t="n"/>
      <c r="J76" s="34" t="n"/>
      <c r="K76" s="34" t="n"/>
      <c r="L76" s="34" t="n"/>
      <c r="M76" s="102" t="n"/>
      <c r="N76" s="1" t="inlineStr">
        <is>
          <t>ENAP carga</t>
        </is>
      </c>
      <c r="O76" s="102" t="n"/>
      <c r="P76" s="26" t="inlineStr">
        <is>
          <t>Guía N° 2370601</t>
        </is>
      </c>
      <c r="Q76" s="103" t="n">
        <v>3668664</v>
      </c>
      <c r="R76" s="29" t="n">
        <v>11172</v>
      </c>
    </row>
    <row r="77">
      <c r="C77" s="7" t="n">
        <v>46291</v>
      </c>
      <c r="D77" s="1" t="inlineStr">
        <is>
          <t>ENAP carga</t>
        </is>
      </c>
      <c r="E77" s="5" t="inlineStr">
        <is>
          <t>VJYL42</t>
        </is>
      </c>
      <c r="F77" s="5" t="inlineStr">
        <is>
          <t>ENAP carga</t>
        </is>
      </c>
      <c r="G77" s="1" t="n"/>
      <c r="H77" s="101" t="n"/>
      <c r="I77" s="5" t="n"/>
      <c r="J77" s="34" t="n"/>
      <c r="K77" s="34" t="n"/>
      <c r="L77" s="34" t="n"/>
      <c r="M77" s="102" t="n"/>
      <c r="N77" s="1" t="inlineStr">
        <is>
          <t>ENAP carga</t>
        </is>
      </c>
      <c r="O77" s="102" t="n"/>
      <c r="P77" s="26" t="inlineStr">
        <is>
          <t>Guía N° 2370615</t>
        </is>
      </c>
      <c r="Q77" s="103" t="n">
        <v>3643231</v>
      </c>
      <c r="R77" s="29" t="n">
        <v>11094</v>
      </c>
    </row>
    <row r="78">
      <c r="C78" s="7" t="n">
        <v>46293</v>
      </c>
      <c r="D78" s="1" t="inlineStr">
        <is>
          <t>ENAP carga</t>
        </is>
      </c>
      <c r="E78" s="5" t="inlineStr">
        <is>
          <t>VJYL42</t>
        </is>
      </c>
      <c r="F78" s="5" t="inlineStr">
        <is>
          <t>ENAP carga</t>
        </is>
      </c>
      <c r="G78" s="1" t="n"/>
      <c r="H78" s="101" t="n"/>
      <c r="I78" s="5" t="n"/>
      <c r="J78" s="34" t="n"/>
      <c r="K78" s="34" t="n"/>
      <c r="L78" s="34" t="n"/>
      <c r="M78" s="102" t="n"/>
      <c r="N78" s="1" t="inlineStr">
        <is>
          <t>ENAP carga</t>
        </is>
      </c>
      <c r="O78" s="102" t="n"/>
      <c r="P78" s="26" t="inlineStr">
        <is>
          <t>Guía N° 2370973</t>
        </is>
      </c>
      <c r="Q78" s="103" t="n">
        <v>3605082</v>
      </c>
      <c r="R78" s="29" t="n">
        <v>10978</v>
      </c>
    </row>
    <row r="79">
      <c r="C79" s="7" t="n">
        <v>46293</v>
      </c>
      <c r="D79" s="1" t="inlineStr">
        <is>
          <t>Mister Guss SpA</t>
        </is>
      </c>
      <c r="E79" s="5" t="inlineStr">
        <is>
          <t>VJYL42</t>
        </is>
      </c>
      <c r="F79" s="5" t="n"/>
      <c r="G79" s="1" t="n"/>
      <c r="H79" s="101" t="n">
        <v>1000</v>
      </c>
      <c r="I79" s="5" t="n">
        <v>916</v>
      </c>
      <c r="J79" s="5" t="n"/>
      <c r="K79" s="34" t="n"/>
      <c r="L79" s="34" t="n"/>
      <c r="M79" s="102" t="n">
        <v>916000</v>
      </c>
      <c r="N79" s="1" t="n"/>
      <c r="O79" s="102" t="n"/>
      <c r="P79" s="26" t="n"/>
      <c r="Q79" s="103" t="n"/>
      <c r="R79" s="29" t="n"/>
    </row>
    <row r="80">
      <c r="C80" s="7" t="n">
        <v>46295</v>
      </c>
      <c r="D80" s="1" t="inlineStr">
        <is>
          <t>ENAP carga</t>
        </is>
      </c>
      <c r="E80" s="5" t="inlineStr">
        <is>
          <t>VJYL61</t>
        </is>
      </c>
      <c r="F80" s="5" t="inlineStr">
        <is>
          <t>ENAP carga</t>
        </is>
      </c>
      <c r="G80" s="1" t="n"/>
      <c r="H80" s="1" t="n"/>
      <c r="I80" s="1" t="n"/>
      <c r="J80" s="1" t="n"/>
      <c r="K80" s="38" t="n"/>
      <c r="L80" s="38" t="n"/>
      <c r="M80" s="1" t="n"/>
      <c r="N80" s="1" t="inlineStr">
        <is>
          <t>ENAP carga</t>
        </is>
      </c>
      <c r="O80" s="102" t="n"/>
      <c r="P80" s="26" t="inlineStr">
        <is>
          <t>Guía N° 2371924</t>
        </is>
      </c>
      <c r="Q80" s="103" t="n">
        <v>3681380</v>
      </c>
      <c r="R80" s="29" t="n">
        <v>11210</v>
      </c>
    </row>
    <row r="81" customFormat="1" s="79">
      <c r="C81" s="70" t="n">
        <v>46297</v>
      </c>
      <c r="D81" s="71" t="inlineStr">
        <is>
          <t>ENAP carga</t>
        </is>
      </c>
      <c r="E81" s="72" t="inlineStr">
        <is>
          <t>VJYL42</t>
        </is>
      </c>
      <c r="F81" s="72" t="inlineStr">
        <is>
          <t>ENAP carga</t>
        </is>
      </c>
      <c r="G81" s="71" t="n"/>
      <c r="H81" s="114" t="n"/>
      <c r="I81" s="72" t="n"/>
      <c r="J81" s="74" t="n"/>
      <c r="K81" s="74" t="n"/>
      <c r="L81" s="74" t="n"/>
      <c r="M81" s="115" t="n"/>
      <c r="N81" s="71" t="inlineStr">
        <is>
          <t>ENAP carga</t>
        </is>
      </c>
      <c r="O81" s="115" t="n"/>
      <c r="P81" s="76" t="inlineStr">
        <is>
          <t>Guía N° 2372734</t>
        </is>
      </c>
      <c r="Q81" s="116" t="n">
        <v>4124127</v>
      </c>
      <c r="R81" s="78" t="n">
        <v>11172</v>
      </c>
    </row>
    <row r="82">
      <c r="C82" s="7" t="n">
        <v>46297</v>
      </c>
      <c r="D82" s="1" t="inlineStr">
        <is>
          <t>ENAP carga</t>
        </is>
      </c>
      <c r="E82" s="5" t="inlineStr">
        <is>
          <t>VJYL61</t>
        </is>
      </c>
      <c r="F82" s="5" t="inlineStr">
        <is>
          <t>ENAP carga</t>
        </is>
      </c>
      <c r="G82" s="1" t="n"/>
      <c r="H82" s="1" t="n"/>
      <c r="I82" s="1" t="n"/>
      <c r="J82" s="1" t="n"/>
      <c r="K82" s="38" t="n"/>
      <c r="L82" s="38" t="n"/>
      <c r="M82" s="1" t="n"/>
      <c r="N82" s="1" t="inlineStr">
        <is>
          <t>ENAP carga</t>
        </is>
      </c>
      <c r="O82" s="102" t="n"/>
      <c r="P82" s="26" t="inlineStr">
        <is>
          <t>Guía N° 2372742</t>
        </is>
      </c>
      <c r="Q82" s="103" t="n">
        <v>4124127</v>
      </c>
      <c r="R82" s="29" t="n">
        <v>11172</v>
      </c>
      <c r="T82">
        <f>IF(F82="CJ", COUNTIF(F$5:F82, "CJ"), "")</f>
        <v/>
      </c>
      <c r="U82">
        <f>IF(F82="Ignacio", COUNTIF(F$5:F82, "Ignacio"), "")</f>
        <v/>
      </c>
      <c r="V82">
        <f>IF(F82="Tripulacion", COUNTIF(F$5:F82, "Tripulacion"), "")</f>
        <v/>
      </c>
      <c r="W82">
        <f>IF(F82="ENAP carga", COUNTIF(F$5:F82, "ENAP carga"), "")</f>
        <v/>
      </c>
    </row>
    <row r="83">
      <c r="C83" s="7" t="n">
        <v>46298</v>
      </c>
      <c r="D83" s="1" t="inlineStr">
        <is>
          <t>ENAP carga</t>
        </is>
      </c>
      <c r="E83" s="5" t="inlineStr">
        <is>
          <t>VJYL42</t>
        </is>
      </c>
      <c r="F83" s="5" t="inlineStr">
        <is>
          <t>ENAP carga</t>
        </is>
      </c>
      <c r="G83" s="1" t="n"/>
      <c r="H83" s="1" t="n"/>
      <c r="I83" s="1" t="n"/>
      <c r="J83" s="1" t="n"/>
      <c r="K83" s="38" t="n"/>
      <c r="L83" s="38" t="n"/>
      <c r="M83" s="1" t="n"/>
      <c r="N83" s="1" t="inlineStr">
        <is>
          <t>ENAP carga</t>
        </is>
      </c>
      <c r="O83" s="102" t="n"/>
      <c r="P83" s="26" t="inlineStr">
        <is>
          <t>Guía N° 2372987</t>
        </is>
      </c>
      <c r="Q83" s="103" t="n">
        <v>4145568</v>
      </c>
      <c r="R83" s="29" t="n">
        <v>11230</v>
      </c>
    </row>
    <row r="84">
      <c r="C84" s="7" t="n">
        <v>46300</v>
      </c>
      <c r="D84" s="1" t="inlineStr">
        <is>
          <t>ENAP carga</t>
        </is>
      </c>
      <c r="E84" s="5" t="inlineStr">
        <is>
          <t>VJYL42</t>
        </is>
      </c>
      <c r="F84" s="5" t="inlineStr">
        <is>
          <t>ENAP carga</t>
        </is>
      </c>
      <c r="G84" s="1" t="n"/>
      <c r="H84" s="101" t="n"/>
      <c r="I84" s="5" t="n"/>
      <c r="J84" s="34" t="n"/>
      <c r="K84" s="34" t="n"/>
      <c r="L84" s="34" t="n"/>
      <c r="M84" s="102" t="n"/>
      <c r="N84" s="1" t="inlineStr">
        <is>
          <t>ENAP carga</t>
        </is>
      </c>
      <c r="O84" s="102" t="n"/>
      <c r="P84" s="26" t="inlineStr">
        <is>
          <t>Guía N° 2373313</t>
        </is>
      </c>
      <c r="Q84" s="103" t="n">
        <v>4131274</v>
      </c>
      <c r="R84" s="29" t="n">
        <v>11191</v>
      </c>
    </row>
    <row r="85">
      <c r="C85" s="7" t="n">
        <v>46301</v>
      </c>
      <c r="D85" s="1" t="inlineStr">
        <is>
          <t>ENAP carga</t>
        </is>
      </c>
      <c r="E85" s="5" t="inlineStr">
        <is>
          <t>VJYL61</t>
        </is>
      </c>
      <c r="F85" s="5" t="inlineStr">
        <is>
          <t>ENAP carga</t>
        </is>
      </c>
      <c r="G85" s="1" t="n"/>
      <c r="H85" s="1" t="n"/>
      <c r="I85" s="1" t="n"/>
      <c r="J85" s="1" t="n"/>
      <c r="K85" s="38" t="n"/>
      <c r="L85" s="38" t="n"/>
      <c r="M85" s="1" t="n"/>
      <c r="N85" s="1" t="inlineStr">
        <is>
          <t>ENAP carga</t>
        </is>
      </c>
      <c r="O85" s="102" t="n"/>
      <c r="P85" s="26" t="inlineStr">
        <is>
          <t>Guía N° 2373685</t>
        </is>
      </c>
      <c r="Q85" s="103" t="n">
        <v>4131274</v>
      </c>
      <c r="R85" s="29" t="n">
        <v>11191</v>
      </c>
      <c r="T85">
        <f>IF(F85="CJ", COUNTIF(F$5:F85, "CJ"), "")</f>
        <v/>
      </c>
      <c r="U85">
        <f>IF(F85="Ignacio", COUNTIF(F$5:F85, "Ignacio"), "")</f>
        <v/>
      </c>
      <c r="V85">
        <f>IF(F85="Tripulacion", COUNTIF(F$5:F85, "Tripulacion"), "")</f>
        <v/>
      </c>
      <c r="W85">
        <f>IF(F85="ENAP carga", COUNTIF(F$5:F85, "ENAP carga"), "")</f>
        <v/>
      </c>
    </row>
    <row r="86">
      <c r="C86" s="7" t="n">
        <v>46303</v>
      </c>
      <c r="D86" s="1" t="inlineStr">
        <is>
          <t>ENAP carga</t>
        </is>
      </c>
      <c r="E86" s="5" t="inlineStr">
        <is>
          <t>VJYL61</t>
        </is>
      </c>
      <c r="F86" s="5" t="inlineStr">
        <is>
          <t>ENAP carga</t>
        </is>
      </c>
      <c r="G86" s="1" t="n"/>
      <c r="H86" s="1" t="n"/>
      <c r="I86" s="1" t="n"/>
      <c r="J86" s="1" t="n"/>
      <c r="K86" s="38" t="n"/>
      <c r="L86" s="38" t="n"/>
      <c r="M86" s="1" t="n"/>
      <c r="N86" s="1" t="inlineStr">
        <is>
          <t>ENAP carga</t>
        </is>
      </c>
      <c r="O86" s="102" t="n"/>
      <c r="P86" s="26" t="inlineStr">
        <is>
          <t>Guía N° 2374399</t>
        </is>
      </c>
      <c r="Q86" s="103" t="n">
        <v>4131274</v>
      </c>
      <c r="R86" s="29" t="n">
        <v>11191</v>
      </c>
    </row>
    <row r="87">
      <c r="C87" s="7" t="n">
        <v>46304</v>
      </c>
      <c r="D87" s="1" t="inlineStr">
        <is>
          <t>ENAP carga</t>
        </is>
      </c>
      <c r="E87" s="5" t="inlineStr">
        <is>
          <t>VJYL42</t>
        </is>
      </c>
      <c r="F87" s="5" t="inlineStr">
        <is>
          <t>ENAP carga</t>
        </is>
      </c>
      <c r="G87" s="1" t="n"/>
      <c r="H87" s="101" t="n"/>
      <c r="I87" s="5" t="n"/>
      <c r="J87" s="34" t="n"/>
      <c r="K87" s="34" t="n"/>
      <c r="L87" s="34" t="n"/>
      <c r="M87" s="102" t="n"/>
      <c r="N87" s="1" t="inlineStr">
        <is>
          <t>ENAP carga</t>
        </is>
      </c>
      <c r="O87" s="102" t="n"/>
      <c r="P87" s="26" t="inlineStr">
        <is>
          <t>Guía N° 2374704</t>
        </is>
      </c>
      <c r="Q87" s="103" t="n">
        <v>4081242</v>
      </c>
      <c r="R87" s="29" t="n">
        <v>11055</v>
      </c>
    </row>
    <row r="88">
      <c r="C88" s="7" t="n">
        <v>46305</v>
      </c>
      <c r="D88" s="1" t="inlineStr">
        <is>
          <t>ENAP carga</t>
        </is>
      </c>
      <c r="E88" s="5" t="inlineStr">
        <is>
          <t>VJYL42</t>
        </is>
      </c>
      <c r="F88" s="5" t="inlineStr">
        <is>
          <t>ENAP carga</t>
        </is>
      </c>
      <c r="G88" s="1" t="n"/>
      <c r="H88" s="1" t="n"/>
      <c r="I88" s="1" t="n"/>
      <c r="J88" s="1" t="n"/>
      <c r="K88" s="38" t="n"/>
      <c r="L88" s="38" t="n"/>
      <c r="M88" s="1" t="n"/>
      <c r="N88" s="1" t="inlineStr">
        <is>
          <t>ENAP carga</t>
        </is>
      </c>
      <c r="O88" s="102" t="n"/>
      <c r="P88" s="26" t="inlineStr">
        <is>
          <t>Guía N° 2375047</t>
        </is>
      </c>
      <c r="Q88" s="103" t="n">
        <v>4116979</v>
      </c>
      <c r="R88" s="29" t="n">
        <v>11152</v>
      </c>
      <c r="T88">
        <f>IF(F88="CJ", COUNTIF(F$5:F88, "CJ"), "")</f>
        <v/>
      </c>
      <c r="U88">
        <f>IF(F88="Ignacio", COUNTIF(F$5:F88, "Ignacio"), "")</f>
        <v/>
      </c>
      <c r="V88">
        <f>IF(F88="Tripulacion", COUNTIF(F$5:F88, "Tripulacion"), "")</f>
        <v/>
      </c>
      <c r="W88">
        <f>IF(F88="ENAP carga", COUNTIF(F$5:F88, "ENAP carga"), "")</f>
        <v/>
      </c>
    </row>
    <row r="89">
      <c r="C89" s="7" t="n">
        <v>46305</v>
      </c>
      <c r="D89" s="1" t="inlineStr">
        <is>
          <t>ENAP carga</t>
        </is>
      </c>
      <c r="E89" s="5" t="inlineStr">
        <is>
          <t>VJYL61</t>
        </is>
      </c>
      <c r="F89" s="5" t="inlineStr">
        <is>
          <t>ENAP carga</t>
        </is>
      </c>
      <c r="G89" s="1" t="n"/>
      <c r="H89" s="1" t="n"/>
      <c r="I89" s="1" t="n"/>
      <c r="J89" s="1" t="n"/>
      <c r="K89" s="38" t="n"/>
      <c r="L89" s="38" t="n"/>
      <c r="M89" s="1" t="n"/>
      <c r="N89" s="1" t="inlineStr">
        <is>
          <t>ENAP carga</t>
        </is>
      </c>
      <c r="O89" s="102" t="n"/>
      <c r="P89" s="26" t="inlineStr">
        <is>
          <t>Guía N° 2375063</t>
        </is>
      </c>
      <c r="Q89" s="103" t="n">
        <v>4109832</v>
      </c>
      <c r="R89" s="29" t="n">
        <v>11133</v>
      </c>
    </row>
    <row r="90">
      <c r="C90" s="7" t="n">
        <v>46307</v>
      </c>
      <c r="D90" s="1" t="inlineStr">
        <is>
          <t>ENAP carga</t>
        </is>
      </c>
      <c r="E90" s="5" t="inlineStr">
        <is>
          <t>VJYL42</t>
        </is>
      </c>
      <c r="F90" s="5" t="inlineStr">
        <is>
          <t>ENAP carga</t>
        </is>
      </c>
      <c r="G90" s="1" t="n"/>
      <c r="H90" s="1" t="n"/>
      <c r="I90" s="1" t="n"/>
      <c r="J90" s="1" t="n"/>
      <c r="K90" s="38" t="n"/>
      <c r="L90" s="38" t="n"/>
      <c r="M90" s="1" t="n"/>
      <c r="N90" s="1" t="inlineStr">
        <is>
          <t>ENAP carga</t>
        </is>
      </c>
      <c r="O90" s="102" t="n"/>
      <c r="P90" s="26" t="inlineStr">
        <is>
          <t>Guía N° 2375303</t>
        </is>
      </c>
      <c r="Q90" s="103" t="n">
        <v>4109832</v>
      </c>
      <c r="R90" s="29" t="n">
        <v>11133</v>
      </c>
    </row>
    <row r="91">
      <c r="C91" s="7" t="n">
        <v>46307</v>
      </c>
      <c r="D91" s="1" t="inlineStr">
        <is>
          <t>ENAP carga</t>
        </is>
      </c>
      <c r="E91" s="5" t="inlineStr">
        <is>
          <t>VJYL61</t>
        </is>
      </c>
      <c r="F91" s="5" t="inlineStr">
        <is>
          <t>ENAP carga</t>
        </is>
      </c>
      <c r="G91" s="1" t="n"/>
      <c r="H91" s="1" t="n"/>
      <c r="I91" s="1" t="n"/>
      <c r="J91" s="1" t="n"/>
      <c r="K91" s="38" t="n"/>
      <c r="L91" s="38" t="n"/>
      <c r="M91" s="1" t="n"/>
      <c r="N91" s="1" t="inlineStr">
        <is>
          <t>ENAP carga</t>
        </is>
      </c>
      <c r="O91" s="102" t="n"/>
      <c r="P91" s="26" t="inlineStr">
        <is>
          <t>Guía N° 2375310</t>
        </is>
      </c>
      <c r="Q91" s="103" t="n">
        <v>4109832</v>
      </c>
      <c r="R91" s="29" t="n">
        <v>11133</v>
      </c>
      <c r="T91">
        <f>IF(F91="CJ", COUNTIF(F$5:F91, "CJ"), "")</f>
        <v/>
      </c>
      <c r="U91">
        <f>IF(F91="Ignacio", COUNTIF(F$5:F91, "Ignacio"), "")</f>
        <v/>
      </c>
      <c r="V91">
        <f>IF(F91="Tripulacion", COUNTIF(F$5:F91, "Tripulacion"), "")</f>
        <v/>
      </c>
      <c r="W91">
        <f>IF(F91="ENAP carga", COUNTIF(F$5:F91, "ENAP carga"), "")</f>
        <v/>
      </c>
    </row>
    <row r="92">
      <c r="C92" s="7" t="n">
        <v>46308</v>
      </c>
      <c r="D92" s="1" t="inlineStr">
        <is>
          <t>ENAP carga</t>
        </is>
      </c>
      <c r="E92" s="5" t="inlineStr">
        <is>
          <t>VJYL61</t>
        </is>
      </c>
      <c r="F92" s="5" t="inlineStr">
        <is>
          <t>ENAP carga</t>
        </is>
      </c>
      <c r="G92" s="1" t="n"/>
      <c r="H92" s="101" t="n"/>
      <c r="I92" s="5" t="n"/>
      <c r="J92" s="34" t="n"/>
      <c r="K92" s="34" t="n"/>
      <c r="L92" s="34" t="n"/>
      <c r="M92" s="102" t="n"/>
      <c r="N92" s="1" t="inlineStr">
        <is>
          <t>ENAP carga</t>
        </is>
      </c>
      <c r="O92" s="102" t="n"/>
      <c r="P92" s="26" t="inlineStr">
        <is>
          <t>Guía N° 2375632</t>
        </is>
      </c>
      <c r="Q92" s="103" t="n">
        <v>4116979</v>
      </c>
      <c r="R92" s="29" t="n">
        <v>11152</v>
      </c>
    </row>
    <row r="93">
      <c r="C93" s="7" t="n">
        <v>46310</v>
      </c>
      <c r="D93" s="1" t="inlineStr">
        <is>
          <t>ENAP carga</t>
        </is>
      </c>
      <c r="E93" s="5" t="inlineStr">
        <is>
          <t>VJYL61</t>
        </is>
      </c>
      <c r="F93" s="5" t="inlineStr">
        <is>
          <t>ENAP carga</t>
        </is>
      </c>
      <c r="G93" s="1" t="n"/>
      <c r="H93" s="101" t="n"/>
      <c r="I93" s="5" t="n"/>
      <c r="J93" s="34" t="n"/>
      <c r="K93" s="34" t="n"/>
      <c r="L93" s="34" t="n"/>
      <c r="M93" s="102" t="n"/>
      <c r="N93" s="1" t="inlineStr">
        <is>
          <t>ENAP carga</t>
        </is>
      </c>
      <c r="O93" s="102" t="n"/>
      <c r="P93" s="26" t="inlineStr">
        <is>
          <t>Guía N° 2376368</t>
        </is>
      </c>
      <c r="Q93" s="103" t="n">
        <v>4095536</v>
      </c>
      <c r="R93" s="29" t="n">
        <v>11094</v>
      </c>
      <c r="T93">
        <f>IF(F93="CJ", COUNTIF(F$5:F93, "CJ"), "")</f>
        <v/>
      </c>
      <c r="U93">
        <f>IF(F93="Ignacio", COUNTIF(F$5:F93, "Ignacio"), "")</f>
        <v/>
      </c>
      <c r="V93">
        <f>IF(F93="Tripulacion", COUNTIF(F$5:F93, "Tripulacion"), "")</f>
        <v/>
      </c>
      <c r="W93">
        <f>IF(F93="ENAP carga", COUNTIF(F$5:F93, "ENAP carga"), "")</f>
        <v/>
      </c>
    </row>
    <row r="94">
      <c r="C94" s="7" t="n">
        <v>46310</v>
      </c>
      <c r="D94" s="1" t="inlineStr">
        <is>
          <t>ENAP carga</t>
        </is>
      </c>
      <c r="E94" s="5" t="inlineStr">
        <is>
          <t>VJYL42</t>
        </is>
      </c>
      <c r="F94" s="5" t="inlineStr">
        <is>
          <t>ENAP carga</t>
        </is>
      </c>
      <c r="G94" s="1" t="n"/>
      <c r="H94" s="101" t="n"/>
      <c r="I94" s="5" t="n"/>
      <c r="J94" s="34" t="n"/>
      <c r="K94" s="34" t="n"/>
      <c r="L94" s="34" t="n"/>
      <c r="M94" s="102" t="n"/>
      <c r="N94" s="1" t="inlineStr">
        <is>
          <t>ENAP carga</t>
        </is>
      </c>
      <c r="O94" s="102" t="n"/>
      <c r="P94" s="26" t="inlineStr">
        <is>
          <t>Guía N° 2376392</t>
        </is>
      </c>
      <c r="Q94" s="103" t="n">
        <v>4102683</v>
      </c>
      <c r="R94" s="29" t="n">
        <v>11113</v>
      </c>
    </row>
    <row r="95">
      <c r="C95" s="7" t="n">
        <v>46311</v>
      </c>
      <c r="D95" s="1" t="inlineStr">
        <is>
          <t>ENAP carga</t>
        </is>
      </c>
      <c r="E95" s="5" t="inlineStr">
        <is>
          <t>VJYL42</t>
        </is>
      </c>
      <c r="F95" s="5" t="inlineStr">
        <is>
          <t>ENAP carga</t>
        </is>
      </c>
      <c r="G95" s="1" t="n"/>
      <c r="H95" s="101" t="n"/>
      <c r="I95" s="5" t="n"/>
      <c r="J95" s="34" t="n"/>
      <c r="K95" s="34" t="n"/>
      <c r="L95" s="34" t="n"/>
      <c r="M95" s="102" t="n"/>
      <c r="N95" s="1" t="inlineStr">
        <is>
          <t>ENAP carga</t>
        </is>
      </c>
      <c r="O95" s="102" t="n"/>
      <c r="P95" s="26" t="inlineStr">
        <is>
          <t>Guía N° 2376802</t>
        </is>
      </c>
      <c r="Q95" s="103" t="n">
        <v>4116979</v>
      </c>
      <c r="R95" s="29" t="n">
        <v>11152</v>
      </c>
      <c r="T95">
        <f>IF(F95="CJ", COUNTIF(F$5:F95, "CJ"), "")</f>
        <v/>
      </c>
      <c r="U95">
        <f>IF(F95="Ignacio", COUNTIF(F$5:F95, "Ignacio"), "")</f>
        <v/>
      </c>
      <c r="V95">
        <f>IF(F95="Tripulacion", COUNTIF(F$5:F95, "Tripulacion"), "")</f>
        <v/>
      </c>
      <c r="W95">
        <f>IF(F95="ENAP carga", COUNTIF(F$5:F95, "ENAP carga"), "")</f>
        <v/>
      </c>
    </row>
    <row r="96">
      <c r="C96" s="7" t="n">
        <v>46311</v>
      </c>
      <c r="D96" s="1" t="inlineStr">
        <is>
          <t>ENAP carga</t>
        </is>
      </c>
      <c r="E96" s="5" t="inlineStr">
        <is>
          <t>VJYL61</t>
        </is>
      </c>
      <c r="F96" s="5" t="inlineStr">
        <is>
          <t>ENAP carga</t>
        </is>
      </c>
      <c r="G96" s="1" t="n"/>
      <c r="H96" s="101" t="n"/>
      <c r="I96" s="5" t="n"/>
      <c r="J96" s="34" t="n"/>
      <c r="K96" s="34" t="n"/>
      <c r="L96" s="34" t="n"/>
      <c r="M96" s="102" t="n"/>
      <c r="N96" s="1" t="inlineStr">
        <is>
          <t>ENAP carga</t>
        </is>
      </c>
      <c r="O96" s="102" t="n"/>
      <c r="P96" s="26" t="inlineStr">
        <is>
          <t>Guía N° 2376794</t>
        </is>
      </c>
      <c r="Q96" s="103" t="n">
        <v>4102683</v>
      </c>
      <c r="R96" s="29" t="n">
        <v>11113</v>
      </c>
    </row>
    <row r="97">
      <c r="C97" s="7" t="n">
        <v>46312</v>
      </c>
      <c r="D97" s="1" t="inlineStr">
        <is>
          <t>ENAP carga</t>
        </is>
      </c>
      <c r="E97" s="5" t="inlineStr">
        <is>
          <t>VJYL42</t>
        </is>
      </c>
      <c r="F97" s="5" t="inlineStr">
        <is>
          <t>ENAP carga</t>
        </is>
      </c>
      <c r="G97" s="1" t="n"/>
      <c r="H97" s="101" t="n"/>
      <c r="I97" s="5" t="n"/>
      <c r="J97" s="34" t="n"/>
      <c r="K97" s="34" t="n"/>
      <c r="L97" s="34" t="n"/>
      <c r="M97" s="102" t="n"/>
      <c r="N97" s="1" t="inlineStr">
        <is>
          <t>ENAP carga</t>
        </is>
      </c>
      <c r="O97" s="102" t="n"/>
      <c r="P97" s="26" t="inlineStr">
        <is>
          <t>Guía N° 2377115</t>
        </is>
      </c>
      <c r="Q97" s="103" t="n">
        <v>4109832</v>
      </c>
      <c r="R97" s="29" t="n">
        <v>11133</v>
      </c>
      <c r="T97">
        <f>IF(F97="CJ", COUNTIF(F$5:F97, "CJ"), "")</f>
        <v/>
      </c>
      <c r="U97">
        <f>IF(F97="Ignacio", COUNTIF(F$5:F97, "Ignacio"), "")</f>
        <v/>
      </c>
      <c r="V97">
        <f>IF(F97="Tripulacion", COUNTIF(F$5:F97, "Tripulacion"), "")</f>
        <v/>
      </c>
      <c r="W97">
        <f>IF(F97="ENAP carga", COUNTIF(F$5:F97, "ENAP carga"), "")</f>
        <v/>
      </c>
    </row>
    <row r="98">
      <c r="C98" s="7" t="n">
        <v>46314</v>
      </c>
      <c r="D98" s="1" t="inlineStr">
        <is>
          <t>ENAP carga</t>
        </is>
      </c>
      <c r="E98" s="5" t="inlineStr">
        <is>
          <t>VJYL61</t>
        </is>
      </c>
      <c r="F98" s="5" t="inlineStr">
        <is>
          <t>ENAP carga</t>
        </is>
      </c>
      <c r="G98" s="1" t="n"/>
      <c r="H98" s="101" t="n"/>
      <c r="I98" s="5" t="n"/>
      <c r="J98" s="34" t="n"/>
      <c r="K98" s="34" t="n"/>
      <c r="L98" s="34" t="n"/>
      <c r="M98" s="102" t="n"/>
      <c r="N98" s="1" t="inlineStr">
        <is>
          <t>ENAP carga</t>
        </is>
      </c>
      <c r="O98" s="102" t="n"/>
      <c r="P98" s="26" t="inlineStr">
        <is>
          <t>Guía N° 2377567</t>
        </is>
      </c>
      <c r="Q98" s="103" t="n">
        <v>4074094</v>
      </c>
      <c r="R98" s="29" t="n">
        <v>11036</v>
      </c>
      <c r="W98">
        <f>IF(F98="ENAP carga", COUNTIF(F$5:F98, "ENAP carga"), "")</f>
        <v/>
      </c>
    </row>
    <row r="99">
      <c r="C99" s="7" t="n">
        <v>46315</v>
      </c>
      <c r="D99" s="1" t="inlineStr">
        <is>
          <t>ENAP carga</t>
        </is>
      </c>
      <c r="E99" s="5" t="inlineStr">
        <is>
          <t>VJYL61</t>
        </is>
      </c>
      <c r="F99" s="5" t="inlineStr">
        <is>
          <t>ENAP carga</t>
        </is>
      </c>
      <c r="G99" s="1" t="n"/>
      <c r="H99" s="1" t="n"/>
      <c r="I99" s="1" t="n"/>
      <c r="J99" s="1" t="n"/>
      <c r="K99" s="38" t="n"/>
      <c r="L99" s="38" t="n"/>
      <c r="M99" s="1" t="n"/>
      <c r="N99" s="1" t="inlineStr">
        <is>
          <t>ENAP carga</t>
        </is>
      </c>
      <c r="O99" s="102" t="n"/>
      <c r="P99" s="26" t="inlineStr">
        <is>
          <t>Guía N° 2377964</t>
        </is>
      </c>
      <c r="Q99" s="103" t="n">
        <v>4088388</v>
      </c>
      <c r="R99" s="29" t="n">
        <v>11075</v>
      </c>
      <c r="T99">
        <f>IF(F99="CJ", COUNTIF(F$5:F99, "CJ"), "")</f>
        <v/>
      </c>
      <c r="U99">
        <f>IF(F99="Ignacio", COUNTIF(F$5:F99, "Ignacio"), "")</f>
        <v/>
      </c>
      <c r="V99">
        <f>IF(F99="Tripulacion", COUNTIF(F$5:F99, "Tripulacion"), "")</f>
        <v/>
      </c>
      <c r="W99">
        <f>IF(F99="ENAP carga", COUNTIF(F$5:F99, "ENAP carga"), "")</f>
        <v/>
      </c>
    </row>
    <row r="100">
      <c r="C100" s="7" t="n">
        <v>46315</v>
      </c>
      <c r="D100" s="1" t="inlineStr">
        <is>
          <t>ENAP carga</t>
        </is>
      </c>
      <c r="E100" s="5" t="inlineStr">
        <is>
          <t>VJYL42</t>
        </is>
      </c>
      <c r="F100" s="5" t="inlineStr">
        <is>
          <t>ENAP carga</t>
        </is>
      </c>
      <c r="G100" s="1" t="n"/>
      <c r="H100" s="101" t="n"/>
      <c r="I100" s="5" t="n"/>
      <c r="J100" s="34" t="n"/>
      <c r="K100" s="34" t="n"/>
      <c r="L100" s="34" t="n"/>
      <c r="M100" s="102" t="n"/>
      <c r="N100" s="1" t="inlineStr">
        <is>
          <t>ENAP carga</t>
        </is>
      </c>
      <c r="O100" s="102" t="n"/>
      <c r="P100" s="26" t="inlineStr">
        <is>
          <t>Guía N° 2377979</t>
        </is>
      </c>
      <c r="Q100" s="103" t="n">
        <v>4066946</v>
      </c>
      <c r="R100" s="29" t="n">
        <v>11017</v>
      </c>
      <c r="W100">
        <f>IF(F100="ENAP carga", COUNTIF(F$5:F100, "ENAP carga"), "")</f>
        <v/>
      </c>
    </row>
    <row r="101">
      <c r="C101" s="7" t="n"/>
      <c r="D101" s="1" t="n"/>
      <c r="E101" s="5" t="n"/>
      <c r="F101" s="5" t="n"/>
      <c r="G101" s="1" t="n"/>
      <c r="H101" s="1" t="n"/>
      <c r="I101" s="1" t="n"/>
      <c r="J101" s="1" t="n"/>
      <c r="K101" s="38" t="n"/>
      <c r="L101" s="38" t="n"/>
      <c r="M101" s="1" t="n"/>
      <c r="N101" s="1" t="n"/>
      <c r="O101" s="102" t="n"/>
      <c r="P101" s="26" t="n"/>
      <c r="Q101" s="103" t="n"/>
      <c r="R101" s="29" t="n"/>
      <c r="T101">
        <f>IF(F101="CJ", COUNTIF(F$5:F101, "CJ"), "")</f>
        <v/>
      </c>
      <c r="U101">
        <f>IF(F101="Ignacio", COUNTIF(F$5:F101, "Ignacio"), "")</f>
        <v/>
      </c>
      <c r="V101">
        <f>IF(F101="Tripulacion", COUNTIF(F$5:F101, "Tripulacion"), "")</f>
        <v/>
      </c>
      <c r="W101">
        <f>IF(F101="ENAP carga", COUNTIF(F$5:F101, "ENAP carga"), "")</f>
        <v/>
      </c>
    </row>
    <row r="102">
      <c r="C102" s="7" t="n"/>
      <c r="D102" s="1" t="n"/>
      <c r="E102" s="5" t="n"/>
      <c r="F102" s="5" t="n"/>
      <c r="G102" s="1" t="n"/>
      <c r="H102" s="101" t="n"/>
      <c r="I102" s="5" t="n"/>
      <c r="J102" s="34" t="n"/>
      <c r="K102" s="34" t="n"/>
      <c r="L102" s="34" t="n"/>
      <c r="M102" s="102" t="n"/>
      <c r="N102" s="1" t="n"/>
      <c r="O102" s="102" t="n"/>
      <c r="P102" s="26" t="n"/>
      <c r="Q102" s="103" t="n"/>
      <c r="R102" s="29" t="n"/>
    </row>
    <row r="103">
      <c r="C103" s="7" t="n"/>
      <c r="D103" s="1" t="n"/>
      <c r="E103" s="5" t="n"/>
      <c r="F103" s="5" t="n"/>
      <c r="G103" s="1" t="n"/>
      <c r="H103" s="1" t="n"/>
      <c r="I103" s="1" t="n"/>
      <c r="J103" s="1" t="n"/>
      <c r="K103" s="38" t="n"/>
      <c r="L103" s="38" t="n"/>
      <c r="M103" s="1" t="n"/>
      <c r="N103" s="1" t="n"/>
      <c r="O103" s="102" t="n"/>
      <c r="P103" s="26" t="n"/>
      <c r="Q103" s="103" t="n"/>
      <c r="R103" s="29" t="n"/>
      <c r="T103">
        <f>IF(F103="CJ", COUNTIF(F$5:F103, "CJ"), "")</f>
        <v/>
      </c>
      <c r="U103">
        <f>IF(F103="Ignacio", COUNTIF(F$5:F103, "Ignacio"), "")</f>
        <v/>
      </c>
      <c r="V103">
        <f>IF(F103="Tripulacion", COUNTIF(F$5:F103, "Tripulacion"), "")</f>
        <v/>
      </c>
      <c r="W103">
        <f>IF(F103="ENAP carga", COUNTIF(F$5:F103, "ENAP carga"), "")</f>
        <v/>
      </c>
    </row>
    <row r="104">
      <c r="C104" s="7" t="n"/>
      <c r="D104" s="1" t="n"/>
      <c r="E104" s="5" t="n"/>
      <c r="F104" s="5" t="n"/>
      <c r="G104" s="1" t="n"/>
      <c r="H104" s="101" t="n"/>
      <c r="I104" s="5" t="n"/>
      <c r="J104" s="34" t="n"/>
      <c r="K104" s="34" t="n"/>
      <c r="L104" s="34" t="n"/>
      <c r="M104" s="102" t="n"/>
      <c r="N104" s="1" t="n"/>
      <c r="O104" s="102" t="n"/>
      <c r="P104" s="26" t="n"/>
      <c r="Q104" s="103" t="n"/>
      <c r="R104" s="29" t="n"/>
    </row>
    <row r="105">
      <c r="C105" s="7" t="n"/>
      <c r="D105" s="1" t="n"/>
      <c r="E105" s="5" t="n"/>
      <c r="F105" s="5" t="n"/>
      <c r="G105" s="1" t="n"/>
      <c r="H105" s="1" t="n"/>
      <c r="I105" s="1" t="n"/>
      <c r="J105" s="1" t="n"/>
      <c r="K105" s="38" t="n"/>
      <c r="L105" s="38" t="n"/>
      <c r="M105" s="1" t="n"/>
      <c r="N105" s="1" t="n"/>
      <c r="O105" s="102" t="n"/>
      <c r="P105" s="26" t="n"/>
      <c r="Q105" s="103" t="n"/>
      <c r="R105" s="29" t="n"/>
      <c r="T105">
        <f>IF(F105="CJ", COUNTIF(F$5:F105, "CJ"), "")</f>
        <v/>
      </c>
      <c r="U105">
        <f>IF(F105="Ignacio", COUNTIF(F$5:F105, "Ignacio"), "")</f>
        <v/>
      </c>
      <c r="V105">
        <f>IF(F105="Tripulacion", COUNTIF(F$5:F105, "Tripulacion"), "")</f>
        <v/>
      </c>
      <c r="W105">
        <f>IF(F105="ENAP carga", COUNTIF(F$5:F105, "ENAP carga"), "")</f>
        <v/>
      </c>
    </row>
    <row r="106">
      <c r="O106" s="117">
        <f>IF(F106="CJ", I106*200, "")</f>
        <v/>
      </c>
      <c r="T106">
        <f>IF(F106="CJ", COUNTIF(F$5:F106, "CJ"), "")</f>
        <v/>
      </c>
      <c r="U106">
        <f>IF(F106="Ignacio", COUNTIF(F$5:F106, "Ignacio"), "")</f>
        <v/>
      </c>
      <c r="V106">
        <f>IF(F106="Tripulacion", COUNTIF(F$5:F106, "Tripulacion"), "")</f>
        <v/>
      </c>
      <c r="W106">
        <f>IF(F106="ENAP carga", COUNTIF(F$5:F106, "ENAP carga"), "")</f>
        <v/>
      </c>
    </row>
    <row r="107">
      <c r="O107" s="117">
        <f>IF(F107="CJ", I107*200, "")</f>
        <v/>
      </c>
      <c r="T107">
        <f>IF(F107="CJ", COUNTIF(F$5:F107, "CJ"), "")</f>
        <v/>
      </c>
      <c r="U107">
        <f>IF(F107="Ignacio", COUNTIF(F$5:F107, "Ignacio"), "")</f>
        <v/>
      </c>
      <c r="V107">
        <f>IF(F107="Tripulacion", COUNTIF(F$5:F107, "Tripulacion"), "")</f>
        <v/>
      </c>
      <c r="W107">
        <f>IF(F107="ENAP carga", COUNTIF(F$5:F107, "ENAP carga"), "")</f>
        <v/>
      </c>
    </row>
    <row r="108">
      <c r="O108" s="117">
        <f>IF(F108="CJ", I108*200, "")</f>
        <v/>
      </c>
      <c r="T108">
        <f>IF(F108="CJ", COUNTIF(F$5:F108, "CJ"), "")</f>
        <v/>
      </c>
      <c r="U108">
        <f>IF(F108="Ignacio", COUNTIF(F$5:F108, "Ignacio"), "")</f>
        <v/>
      </c>
      <c r="V108">
        <f>IF(F108="Tripulacion", COUNTIF(F$5:F108, "Tripulacion"), "")</f>
        <v/>
      </c>
      <c r="W108">
        <f>IF(F108="ENAP carga", COUNTIF(F$5:F108, "ENAP carga"), "")</f>
        <v/>
      </c>
    </row>
    <row r="109">
      <c r="O109" s="117">
        <f>IF(F109="CJ", I109*200, "")</f>
        <v/>
      </c>
      <c r="T109">
        <f>IF(F109="CJ", COUNTIF(F$5:F109, "CJ"), "")</f>
        <v/>
      </c>
      <c r="U109">
        <f>IF(F109="Ignacio", COUNTIF(F$5:F109, "Ignacio"), "")</f>
        <v/>
      </c>
      <c r="V109">
        <f>IF(F109="Tripulacion", COUNTIF(F$5:F109, "Tripulacion"), "")</f>
        <v/>
      </c>
      <c r="W109">
        <f>IF(F109="ENAP carga", COUNTIF(F$5:F109, "ENAP carga"), "")</f>
        <v/>
      </c>
    </row>
    <row r="110">
      <c r="O110" s="117">
        <f>IF(F110="CJ", I110*200, "")</f>
        <v/>
      </c>
      <c r="T110">
        <f>IF(F110="CJ", COUNTIF(F$5:F110, "CJ"), "")</f>
        <v/>
      </c>
      <c r="U110">
        <f>IF(F110="Ignacio", COUNTIF(F$5:F110, "Ignacio"), "")</f>
        <v/>
      </c>
      <c r="V110">
        <f>IF(F110="Tripulacion", COUNTIF(F$5:F110, "Tripulacion"), "")</f>
        <v/>
      </c>
      <c r="W110">
        <f>IF(F110="ENAP carga", COUNTIF(F$5:F110, "ENAP carga"), "")</f>
        <v/>
      </c>
    </row>
    <row r="111">
      <c r="O111" s="117">
        <f>IF(F111="CJ", I111*200, "")</f>
        <v/>
      </c>
      <c r="T111">
        <f>IF(F111="CJ", COUNTIF(F$5:F111, "CJ"), "")</f>
        <v/>
      </c>
      <c r="U111">
        <f>IF(F111="Ignacio", COUNTIF(F$5:F111, "Ignacio"), "")</f>
        <v/>
      </c>
      <c r="V111">
        <f>IF(F111="Tripulacion", COUNTIF(F$5:F111, "Tripulacion"), "")</f>
        <v/>
      </c>
      <c r="W111">
        <f>IF(F111="ENAP carga", COUNTIF(F$5:F111, "ENAP carga"), "")</f>
        <v/>
      </c>
    </row>
    <row r="112">
      <c r="O112" s="117">
        <f>IF(F112="CJ", I112*200, "")</f>
        <v/>
      </c>
      <c r="T112">
        <f>IF(F112="CJ", COUNTIF(F$5:F112, "CJ"), "")</f>
        <v/>
      </c>
      <c r="U112">
        <f>IF(F112="Ignacio", COUNTIF(F$5:F112, "Ignacio"), "")</f>
        <v/>
      </c>
      <c r="V112">
        <f>IF(F112="Tripulacion", COUNTIF(F$5:F112, "Tripulacion"), "")</f>
        <v/>
      </c>
      <c r="W112">
        <f>IF(F112="ENAP carga", COUNTIF(F$5:F112, "ENAP carga"), "")</f>
        <v/>
      </c>
    </row>
    <row r="113">
      <c r="O113" s="117">
        <f>IF(F113="CJ", I113*200, "")</f>
        <v/>
      </c>
      <c r="T113">
        <f>IF(F113="CJ", COUNTIF(F$5:F113, "CJ"), "")</f>
        <v/>
      </c>
      <c r="U113">
        <f>IF(F113="Ignacio", COUNTIF(F$5:F113, "Ignacio"), "")</f>
        <v/>
      </c>
      <c r="V113">
        <f>IF(F113="Tripulacion", COUNTIF(F$5:F113, "Tripulacion"), "")</f>
        <v/>
      </c>
      <c r="W113">
        <f>IF(F113="ENAP carga", COUNTIF(F$5:F113, "ENAP carga"), "")</f>
        <v/>
      </c>
    </row>
    <row r="114">
      <c r="O114" s="117">
        <f>IF(F114="CJ", I114*200, "")</f>
        <v/>
      </c>
      <c r="T114">
        <f>IF(F114="CJ", COUNTIF(F$5:F114, "CJ"), "")</f>
        <v/>
      </c>
      <c r="U114">
        <f>IF(F114="Ignacio", COUNTIF(F$5:F114, "Ignacio"), "")</f>
        <v/>
      </c>
      <c r="V114">
        <f>IF(F114="Tripulacion", COUNTIF(F$5:F114, "Tripulacion"), "")</f>
        <v/>
      </c>
      <c r="W114">
        <f>IF(F114="ENAP carga", COUNTIF(F$5:F114, "ENAP carga"), "")</f>
        <v/>
      </c>
    </row>
    <row r="115">
      <c r="O115" s="117">
        <f>IF(F115="CJ", I115*200, "")</f>
        <v/>
      </c>
      <c r="T115">
        <f>IF(F115="CJ", COUNTIF(F$5:F115, "CJ"), "")</f>
        <v/>
      </c>
      <c r="U115">
        <f>IF(F115="Ignacio", COUNTIF(F$5:F115, "Ignacio"), "")</f>
        <v/>
      </c>
      <c r="V115">
        <f>IF(F115="Tripulacion", COUNTIF(F$5:F115, "Tripulacion"), "")</f>
        <v/>
      </c>
      <c r="W115">
        <f>IF(F115="ENAP carga", COUNTIF(F$5:F115, "ENAP carga"), "")</f>
        <v/>
      </c>
    </row>
    <row r="116">
      <c r="O116" s="117">
        <f>IF(F116="CJ", I116*200, "")</f>
        <v/>
      </c>
      <c r="T116">
        <f>IF(F116="CJ", COUNTIF(F$5:F116, "CJ"), "")</f>
        <v/>
      </c>
      <c r="U116">
        <f>IF(F116="Ignacio", COUNTIF(F$5:F116, "Ignacio"), "")</f>
        <v/>
      </c>
      <c r="V116">
        <f>IF(F116="Tripulacion", COUNTIF(F$5:F116, "Tripulacion"), "")</f>
        <v/>
      </c>
      <c r="W116">
        <f>IF(F116="ENAP carga", COUNTIF(F$5:F116, "ENAP carga"), "")</f>
        <v/>
      </c>
    </row>
    <row r="117">
      <c r="O117" s="117">
        <f>IF(F117="CJ", I117*200, "")</f>
        <v/>
      </c>
      <c r="T117">
        <f>IF(F117="CJ", COUNTIF(F$5:F117, "CJ"), "")</f>
        <v/>
      </c>
      <c r="U117">
        <f>IF(F117="Ignacio", COUNTIF(F$5:F117, "Ignacio"), "")</f>
        <v/>
      </c>
      <c r="V117">
        <f>IF(F117="Tripulacion", COUNTIF(F$5:F117, "Tripulacion"), "")</f>
        <v/>
      </c>
      <c r="W117">
        <f>IF(F117="ENAP carga", COUNTIF(F$5:F117, "ENAP carga"), "")</f>
        <v/>
      </c>
    </row>
    <row r="118">
      <c r="O118" s="117">
        <f>IF(F118="CJ", I118*200, "")</f>
        <v/>
      </c>
      <c r="T118">
        <f>IF(F118="CJ", COUNTIF(F$5:F118, "CJ"), "")</f>
        <v/>
      </c>
      <c r="U118">
        <f>IF(F118="Ignacio", COUNTIF(F$5:F118, "Ignacio"), "")</f>
        <v/>
      </c>
      <c r="V118">
        <f>IF(F118="Tripulacion", COUNTIF(F$5:F118, "Tripulacion"), "")</f>
        <v/>
      </c>
      <c r="W118">
        <f>IF(F118="ENAP carga", COUNTIF(F$5:F118, "ENAP carga"), "")</f>
        <v/>
      </c>
    </row>
    <row r="119">
      <c r="O119" s="117">
        <f>IF(F119="CJ", I119*200, "")</f>
        <v/>
      </c>
      <c r="T119">
        <f>IF(F119="CJ", COUNTIF(F$5:F119, "CJ"), "")</f>
        <v/>
      </c>
      <c r="U119">
        <f>IF(F119="Ignacio", COUNTIF(F$5:F119, "Ignacio"), "")</f>
        <v/>
      </c>
      <c r="V119">
        <f>IF(F119="Tripulacion", COUNTIF(F$5:F119, "Tripulacion"), "")</f>
        <v/>
      </c>
      <c r="W119">
        <f>IF(F119="ENAP carga", COUNTIF(F$5:F119, "ENAP carga"), "")</f>
        <v/>
      </c>
    </row>
    <row r="120">
      <c r="O120" s="117">
        <f>IF(F120="CJ", I120*200, "")</f>
        <v/>
      </c>
      <c r="T120">
        <f>IF(F120="CJ", COUNTIF(F$5:F120, "CJ"), "")</f>
        <v/>
      </c>
      <c r="U120">
        <f>IF(F120="Ignacio", COUNTIF(F$5:F120, "Ignacio"), "")</f>
        <v/>
      </c>
      <c r="V120">
        <f>IF(F120="Tripulacion", COUNTIF(F$5:F120, "Tripulacion"), "")</f>
        <v/>
      </c>
      <c r="W120">
        <f>IF(F120="ENAP carga", COUNTIF(F$5:F120, "ENAP carga"), "")</f>
        <v/>
      </c>
    </row>
    <row r="121">
      <c r="O121" s="117">
        <f>IF(F121="CJ", I121*200, "")</f>
        <v/>
      </c>
      <c r="T121">
        <f>IF(F121="CJ", COUNTIF(F$5:F121, "CJ"), "")</f>
        <v/>
      </c>
      <c r="U121">
        <f>IF(F121="Ignacio", COUNTIF(F$5:F121, "Ignacio"), "")</f>
        <v/>
      </c>
      <c r="V121">
        <f>IF(F121="Tripulacion", COUNTIF(F$5:F121, "Tripulacion"), "")</f>
        <v/>
      </c>
      <c r="W121">
        <f>IF(F121="ENAP carga", COUNTIF(F$5:F121, "ENAP carga"), "")</f>
        <v/>
      </c>
    </row>
    <row r="122">
      <c r="O122" s="117">
        <f>IF(F122="CJ", I122*200, "")</f>
        <v/>
      </c>
      <c r="T122">
        <f>IF(F122="CJ", COUNTIF(F$5:F122, "CJ"), "")</f>
        <v/>
      </c>
      <c r="U122">
        <f>IF(F122="Ignacio", COUNTIF(F$5:F122, "Ignacio"), "")</f>
        <v/>
      </c>
      <c r="V122">
        <f>IF(F122="Tripulacion", COUNTIF(F$5:F122, "Tripulacion"), "")</f>
        <v/>
      </c>
      <c r="W122">
        <f>IF(F122="ENAP carga", COUNTIF(F$5:F122, "ENAP carga"), "")</f>
        <v/>
      </c>
    </row>
    <row r="123">
      <c r="O123" s="117">
        <f>IF(F123="CJ", I123*200, "")</f>
        <v/>
      </c>
      <c r="T123">
        <f>IF(F123="CJ", COUNTIF(F$5:F123, "CJ"), "")</f>
        <v/>
      </c>
      <c r="U123">
        <f>IF(F123="Ignacio", COUNTIF(F$5:F123, "Ignacio"), "")</f>
        <v/>
      </c>
      <c r="V123">
        <f>IF(F123="Tripulacion", COUNTIF(F$5:F123, "Tripulacion"), "")</f>
        <v/>
      </c>
      <c r="W123">
        <f>IF(F123="ENAP carga", COUNTIF(F$5:F123, "ENAP carga"), "")</f>
        <v/>
      </c>
    </row>
    <row r="124">
      <c r="O124" s="117">
        <f>IF(F124="CJ", I124*200, "")</f>
        <v/>
      </c>
      <c r="T124">
        <f>IF(F124="CJ", COUNTIF(F$5:F124, "CJ"), "")</f>
        <v/>
      </c>
      <c r="U124">
        <f>IF(F124="Ignacio", COUNTIF(F$5:F124, "Ignacio"), "")</f>
        <v/>
      </c>
      <c r="V124">
        <f>IF(F124="Tripulacion", COUNTIF(F$5:F124, "Tripulacion"), "")</f>
        <v/>
      </c>
      <c r="W124">
        <f>IF(F124="ENAP carga", COUNTIF(F$5:F124, "ENAP carga"), "")</f>
        <v/>
      </c>
    </row>
    <row r="125">
      <c r="O125" s="117">
        <f>IF(F125="CJ", I125*200, "")</f>
        <v/>
      </c>
      <c r="T125">
        <f>IF(F125="CJ", COUNTIF(F$5:F125, "CJ"), "")</f>
        <v/>
      </c>
      <c r="U125">
        <f>IF(F125="Ignacio", COUNTIF(F$5:F125, "Ignacio"), "")</f>
        <v/>
      </c>
      <c r="V125">
        <f>IF(F125="Tripulacion", COUNTIF(F$5:F125, "Tripulacion"), "")</f>
        <v/>
      </c>
      <c r="W125">
        <f>IF(F125="ENAP carga", COUNTIF(F$5:F125, "ENAP carga"), "")</f>
        <v/>
      </c>
    </row>
    <row r="126">
      <c r="O126" s="117">
        <f>IF(F126="CJ", I126*200, "")</f>
        <v/>
      </c>
      <c r="T126">
        <f>IF(F126="CJ", COUNTIF(F$5:F126, "CJ"), "")</f>
        <v/>
      </c>
      <c r="U126">
        <f>IF(F126="Ignacio", COUNTIF(F$5:F126, "Ignacio"), "")</f>
        <v/>
      </c>
      <c r="V126">
        <f>IF(F126="Tripulacion", COUNTIF(F$5:F126, "Tripulacion"), "")</f>
        <v/>
      </c>
      <c r="W126">
        <f>IF(F126="ENAP carga", COUNTIF(F$5:F126, "ENAP carga"), "")</f>
        <v/>
      </c>
    </row>
    <row r="127">
      <c r="O127" s="117">
        <f>IF(F127="CJ", I127*200, "")</f>
        <v/>
      </c>
      <c r="T127">
        <f>IF(F127="CJ", COUNTIF(F$5:F127, "CJ"), "")</f>
        <v/>
      </c>
      <c r="U127">
        <f>IF(F127="Ignacio", COUNTIF(F$5:F127, "Ignacio"), "")</f>
        <v/>
      </c>
      <c r="V127">
        <f>IF(F127="Tripulacion", COUNTIF(F$5:F127, "Tripulacion"), "")</f>
        <v/>
      </c>
      <c r="W127">
        <f>IF(F127="ENAP carga", COUNTIF(F$5:F127, "ENAP carga"), "")</f>
        <v/>
      </c>
    </row>
    <row r="128">
      <c r="O128" s="117">
        <f>IF(F128="CJ", I128*200, "")</f>
        <v/>
      </c>
      <c r="T128">
        <f>IF(F128="CJ", COUNTIF(F$5:F128, "CJ"), "")</f>
        <v/>
      </c>
      <c r="U128">
        <f>IF(F128="Ignacio", COUNTIF(F$5:F128, "Ignacio"), "")</f>
        <v/>
      </c>
      <c r="V128">
        <f>IF(F128="Tripulacion", COUNTIF(F$5:F128, "Tripulacion"), "")</f>
        <v/>
      </c>
      <c r="W128">
        <f>IF(F128="ENAP carga", COUNTIF(F$5:F128, "ENAP carga"), "")</f>
        <v/>
      </c>
    </row>
    <row r="129">
      <c r="O129" s="117">
        <f>IF(F129="CJ", I129*200, "")</f>
        <v/>
      </c>
      <c r="T129">
        <f>IF(F129="CJ", COUNTIF(F$5:F129, "CJ"), "")</f>
        <v/>
      </c>
      <c r="U129">
        <f>IF(F129="Ignacio", COUNTIF(F$5:F129, "Ignacio"), "")</f>
        <v/>
      </c>
      <c r="V129">
        <f>IF(F129="Tripulacion", COUNTIF(F$5:F129, "Tripulacion"), "")</f>
        <v/>
      </c>
      <c r="W129">
        <f>IF(F129="ENAP carga", COUNTIF(F$5:F129, "ENAP carga"), "")</f>
        <v/>
      </c>
    </row>
    <row r="130">
      <c r="O130" s="117">
        <f>IF(F130="CJ", I130*200, "")</f>
        <v/>
      </c>
      <c r="T130">
        <f>IF(F130="CJ", COUNTIF(F$5:F130, "CJ"), "")</f>
        <v/>
      </c>
      <c r="U130">
        <f>IF(F130="Ignacio", COUNTIF(F$5:F130, "Ignacio"), "")</f>
        <v/>
      </c>
      <c r="V130">
        <f>IF(F130="Tripulacion", COUNTIF(F$5:F130, "Tripulacion"), "")</f>
        <v/>
      </c>
      <c r="W130">
        <f>IF(F130="ENAP carga", COUNTIF(F$5:F130, "ENAP carga"), "")</f>
        <v/>
      </c>
    </row>
    <row r="131">
      <c r="O131" s="117">
        <f>IF(F131="CJ", I131*200, "")</f>
        <v/>
      </c>
      <c r="T131">
        <f>IF(F131="CJ", COUNTIF(F$5:F131, "CJ"), "")</f>
        <v/>
      </c>
      <c r="U131">
        <f>IF(F131="Ignacio", COUNTIF(F$5:F131, "Ignacio"), "")</f>
        <v/>
      </c>
      <c r="V131">
        <f>IF(F131="Tripulacion", COUNTIF(F$5:F131, "Tripulacion"), "")</f>
        <v/>
      </c>
      <c r="W131">
        <f>IF(F131="ENAP carga", COUNTIF(F$5:F131, "ENAP carga"), "")</f>
        <v/>
      </c>
    </row>
    <row r="132">
      <c r="O132" s="117">
        <f>IF(F132="CJ", I132*200, "")</f>
        <v/>
      </c>
      <c r="T132">
        <f>IF(F132="CJ", COUNTIF(F$5:F132, "CJ"), "")</f>
        <v/>
      </c>
      <c r="U132">
        <f>IF(F132="Ignacio", COUNTIF(F$5:F132, "Ignacio"), "")</f>
        <v/>
      </c>
      <c r="V132">
        <f>IF(F132="Tripulacion", COUNTIF(F$5:F132, "Tripulacion"), "")</f>
        <v/>
      </c>
      <c r="W132">
        <f>IF(F132="ENAP carga", COUNTIF(F$5:F132, "ENAP carga"), "")</f>
        <v/>
      </c>
    </row>
    <row r="133">
      <c r="O133" s="117">
        <f>IF(F133="CJ", I133*200, "")</f>
        <v/>
      </c>
      <c r="T133">
        <f>IF(F133="CJ", COUNTIF(F$5:F133, "CJ"), "")</f>
        <v/>
      </c>
      <c r="U133">
        <f>IF(F133="Ignacio", COUNTIF(F$5:F133, "Ignacio"), "")</f>
        <v/>
      </c>
      <c r="V133">
        <f>IF(F133="Tripulacion", COUNTIF(F$5:F133, "Tripulacion"), "")</f>
        <v/>
      </c>
      <c r="W133">
        <f>IF(F133="ENAP carga", COUNTIF(F$5:F133, "ENAP carga"), "")</f>
        <v/>
      </c>
    </row>
    <row r="134">
      <c r="O134" s="117">
        <f>IF(F134="CJ", I134*200, "")</f>
        <v/>
      </c>
      <c r="T134">
        <f>IF(F134="CJ", COUNTIF(F$5:F134, "CJ"), "")</f>
        <v/>
      </c>
      <c r="U134">
        <f>IF(F134="Ignacio", COUNTIF(F$5:F134, "Ignacio"), "")</f>
        <v/>
      </c>
      <c r="V134">
        <f>IF(F134="Tripulacion", COUNTIF(F$5:F134, "Tripulacion"), "")</f>
        <v/>
      </c>
      <c r="W134">
        <f>IF(F134="ENAP carga", COUNTIF(F$5:F134, "ENAP carga"), "")</f>
        <v/>
      </c>
    </row>
    <row r="135">
      <c r="O135" s="117">
        <f>IF(F135="CJ", I135*200, "")</f>
        <v/>
      </c>
      <c r="T135">
        <f>IF(F135="CJ", COUNTIF(F$5:F135, "CJ"), "")</f>
        <v/>
      </c>
      <c r="U135">
        <f>IF(F135="Ignacio", COUNTIF(F$5:F135, "Ignacio"), "")</f>
        <v/>
      </c>
      <c r="V135">
        <f>IF(F135="Tripulacion", COUNTIF(F$5:F135, "Tripulacion"), "")</f>
        <v/>
      </c>
      <c r="W135">
        <f>IF(F135="ENAP carga", COUNTIF(F$5:F135, "ENAP carga"), "")</f>
        <v/>
      </c>
    </row>
    <row r="136">
      <c r="O136" s="117">
        <f>IF(F136="CJ", I136*200, "")</f>
        <v/>
      </c>
      <c r="T136">
        <f>IF(F136="CJ", COUNTIF(F$5:F136, "CJ"), "")</f>
        <v/>
      </c>
      <c r="U136">
        <f>IF(F136="Ignacio", COUNTIF(F$5:F136, "Ignacio"), "")</f>
        <v/>
      </c>
      <c r="V136">
        <f>IF(F136="Tripulacion", COUNTIF(F$5:F136, "Tripulacion"), "")</f>
        <v/>
      </c>
      <c r="W136">
        <f>IF(F136="ENAP carga", COUNTIF(F$5:F136, "ENAP carga"), "")</f>
        <v/>
      </c>
    </row>
    <row r="137">
      <c r="O137" s="117">
        <f>IF(F137="CJ", I137*200, "")</f>
        <v/>
      </c>
      <c r="T137">
        <f>IF(F137="CJ", COUNTIF(F$5:F137, "CJ"), "")</f>
        <v/>
      </c>
      <c r="U137">
        <f>IF(F137="Ignacio", COUNTIF(F$5:F137, "Ignacio"), "")</f>
        <v/>
      </c>
      <c r="V137">
        <f>IF(F137="Tripulacion", COUNTIF(F$5:F137, "Tripulacion"), "")</f>
        <v/>
      </c>
      <c r="W137">
        <f>IF(F137="ENAP carga", COUNTIF(F$5:F137, "ENAP carga"), "")</f>
        <v/>
      </c>
    </row>
    <row r="138">
      <c r="O138" s="117">
        <f>IF(F138="CJ", I138*200, "")</f>
        <v/>
      </c>
      <c r="T138">
        <f>IF(F138="CJ", COUNTIF(F$5:F138, "CJ"), "")</f>
        <v/>
      </c>
      <c r="U138">
        <f>IF(F138="Ignacio", COUNTIF(F$5:F138, "Ignacio"), "")</f>
        <v/>
      </c>
      <c r="V138">
        <f>IF(F138="Tripulacion", COUNTIF(F$5:F138, "Tripulacion"), "")</f>
        <v/>
      </c>
      <c r="W138">
        <f>IF(F138="ENAP carga", COUNTIF(F$5:F138, "ENAP carga"), "")</f>
        <v/>
      </c>
    </row>
    <row r="139">
      <c r="O139" s="117">
        <f>IF(F139="CJ", I139*200, "")</f>
        <v/>
      </c>
      <c r="T139">
        <f>IF(F139="CJ", COUNTIF(F$5:F139, "CJ"), "")</f>
        <v/>
      </c>
      <c r="U139">
        <f>IF(F139="Ignacio", COUNTIF(F$5:F139, "Ignacio"), "")</f>
        <v/>
      </c>
      <c r="V139">
        <f>IF(F139="Tripulacion", COUNTIF(F$5:F139, "Tripulacion"), "")</f>
        <v/>
      </c>
      <c r="W139">
        <f>IF(F139="ENAP carga", COUNTIF(F$5:F139, "ENAP carga"), "")</f>
        <v/>
      </c>
    </row>
    <row r="140">
      <c r="O140" s="117">
        <f>IF(F140="CJ", I140*200, "")</f>
        <v/>
      </c>
      <c r="T140">
        <f>IF(F140="CJ", COUNTIF(F$5:F140, "CJ"), "")</f>
        <v/>
      </c>
      <c r="U140">
        <f>IF(F140="Ignacio", COUNTIF(F$5:F140, "Ignacio"), "")</f>
        <v/>
      </c>
      <c r="V140">
        <f>IF(F140="Tripulacion", COUNTIF(F$5:F140, "Tripulacion"), "")</f>
        <v/>
      </c>
      <c r="W140">
        <f>IF(F140="ENAP carga", COUNTIF(F$5:F140, "ENAP carga"), "")</f>
        <v/>
      </c>
    </row>
    <row r="141">
      <c r="O141" s="117">
        <f>IF(F141="CJ", I141*200, "")</f>
        <v/>
      </c>
      <c r="T141">
        <f>IF(F141="CJ", COUNTIF(F$5:F141, "CJ"), "")</f>
        <v/>
      </c>
      <c r="U141">
        <f>IF(F141="Ignacio", COUNTIF(F$5:F141, "Ignacio"), "")</f>
        <v/>
      </c>
      <c r="V141">
        <f>IF(F141="Tripulacion", COUNTIF(F$5:F141, "Tripulacion"), "")</f>
        <v/>
      </c>
      <c r="W141">
        <f>IF(F141="ENAP carga", COUNTIF(F$5:F141, "ENAP carga"), "")</f>
        <v/>
      </c>
    </row>
    <row r="142">
      <c r="O142" s="117">
        <f>IF(F142="CJ", I142*200, "")</f>
        <v/>
      </c>
      <c r="T142">
        <f>IF(F142="CJ", COUNTIF(F$5:F142, "CJ"), "")</f>
        <v/>
      </c>
      <c r="U142">
        <f>IF(F142="Ignacio", COUNTIF(F$5:F142, "Ignacio"), "")</f>
        <v/>
      </c>
      <c r="V142">
        <f>IF(F142="Tripulacion", COUNTIF(F$5:F142, "Tripulacion"), "")</f>
        <v/>
      </c>
      <c r="W142">
        <f>IF(F142="ENAP carga", COUNTIF(F$5:F142, "ENAP carga"), "")</f>
        <v/>
      </c>
    </row>
    <row r="143">
      <c r="O143" s="117">
        <f>IF(F143="CJ", I143*200, "")</f>
        <v/>
      </c>
      <c r="T143">
        <f>IF(F143="CJ", COUNTIF(F$5:F143, "CJ"), "")</f>
        <v/>
      </c>
      <c r="U143">
        <f>IF(F143="Ignacio", COUNTIF(F$5:F143, "Ignacio"), "")</f>
        <v/>
      </c>
      <c r="V143">
        <f>IF(F143="Tripulacion", COUNTIF(F$5:F143, "Tripulacion"), "")</f>
        <v/>
      </c>
      <c r="W143">
        <f>IF(F143="ENAP carga", COUNTIF(F$5:F143, "ENAP carga"), "")</f>
        <v/>
      </c>
    </row>
    <row r="144">
      <c r="O144" s="117">
        <f>IF(F144="CJ", I144*200, "")</f>
        <v/>
      </c>
      <c r="T144">
        <f>IF(F144="CJ", COUNTIF(F$5:F144, "CJ"), "")</f>
        <v/>
      </c>
      <c r="U144">
        <f>IF(F144="Ignacio", COUNTIF(F$5:F144, "Ignacio"), "")</f>
        <v/>
      </c>
      <c r="V144">
        <f>IF(F144="Tripulacion", COUNTIF(F$5:F144, "Tripulacion"), "")</f>
        <v/>
      </c>
      <c r="W144">
        <f>IF(F144="ENAP carga", COUNTIF(F$5:F144, "ENAP carga"), "")</f>
        <v/>
      </c>
    </row>
    <row r="145">
      <c r="O145" s="117">
        <f>IF(F145="CJ", I145*200, "")</f>
        <v/>
      </c>
      <c r="T145">
        <f>IF(F145="CJ", COUNTIF(F$5:F145, "CJ"), "")</f>
        <v/>
      </c>
      <c r="U145">
        <f>IF(F145="Ignacio", COUNTIF(F$5:F145, "Ignacio"), "")</f>
        <v/>
      </c>
      <c r="V145">
        <f>IF(F145="Tripulacion", COUNTIF(F$5:F145, "Tripulacion"), "")</f>
        <v/>
      </c>
      <c r="W145">
        <f>IF(F145="ENAP carga", COUNTIF(F$5:F145, "ENAP carga"), "")</f>
        <v/>
      </c>
    </row>
    <row r="146">
      <c r="O146" s="117">
        <f>IF(F146="CJ", I146*200, "")</f>
        <v/>
      </c>
      <c r="T146">
        <f>IF(F146="CJ", COUNTIF(F$5:F146, "CJ"), "")</f>
        <v/>
      </c>
      <c r="U146">
        <f>IF(F146="Ignacio", COUNTIF(F$5:F146, "Ignacio"), "")</f>
        <v/>
      </c>
      <c r="V146">
        <f>IF(F146="Tripulacion", COUNTIF(F$5:F146, "Tripulacion"), "")</f>
        <v/>
      </c>
      <c r="W146">
        <f>IF(F146="ENAP carga", COUNTIF(F$5:F146, "ENAP carga"), "")</f>
        <v/>
      </c>
    </row>
    <row r="147">
      <c r="O147" s="117">
        <f>IF(F147="CJ", I147*200, "")</f>
        <v/>
      </c>
      <c r="T147">
        <f>IF(F147="CJ", COUNTIF(F$5:F147, "CJ"), "")</f>
        <v/>
      </c>
      <c r="U147">
        <f>IF(F147="Ignacio", COUNTIF(F$5:F147, "Ignacio"), "")</f>
        <v/>
      </c>
      <c r="V147">
        <f>IF(F147="Tripulacion", COUNTIF(F$5:F147, "Tripulacion"), "")</f>
        <v/>
      </c>
      <c r="W147">
        <f>IF(F147="ENAP carga", COUNTIF(F$5:F147, "ENAP carga"), "")</f>
        <v/>
      </c>
    </row>
    <row r="148">
      <c r="O148" s="117">
        <f>IF(F148="CJ", I148*200, "")</f>
        <v/>
      </c>
      <c r="T148">
        <f>IF(F148="CJ", COUNTIF(F$5:F148, "CJ"), "")</f>
        <v/>
      </c>
      <c r="U148">
        <f>IF(F148="Ignacio", COUNTIF(F$5:F148, "Ignacio"), "")</f>
        <v/>
      </c>
      <c r="V148">
        <f>IF(F148="Tripulacion", COUNTIF(F$5:F148, "Tripulacion"), "")</f>
        <v/>
      </c>
      <c r="W148">
        <f>IF(F148="ENAP carga", COUNTIF(F$5:F148, "ENAP carga"), "")</f>
        <v/>
      </c>
    </row>
    <row r="149">
      <c r="O149" s="117">
        <f>IF(F149="CJ", I149*200, "")</f>
        <v/>
      </c>
      <c r="T149">
        <f>IF(F149="CJ", COUNTIF(F$5:F149, "CJ"), "")</f>
        <v/>
      </c>
      <c r="U149">
        <f>IF(F149="Ignacio", COUNTIF(F$5:F149, "Ignacio"), "")</f>
        <v/>
      </c>
      <c r="V149">
        <f>IF(F149="Tripulacion", COUNTIF(F$5:F149, "Tripulacion"), "")</f>
        <v/>
      </c>
      <c r="W149">
        <f>IF(F149="ENAP carga", COUNTIF(F$5:F149, "ENAP carga"), "")</f>
        <v/>
      </c>
    </row>
    <row r="150">
      <c r="O150" s="117">
        <f>IF(F150="CJ", I150*200, "")</f>
        <v/>
      </c>
      <c r="T150">
        <f>IF(F150="CJ", COUNTIF(F$5:F150, "CJ"), "")</f>
        <v/>
      </c>
      <c r="U150">
        <f>IF(F150="Ignacio", COUNTIF(F$5:F150, "Ignacio"), "")</f>
        <v/>
      </c>
      <c r="V150">
        <f>IF(F150="Tripulacion", COUNTIF(F$5:F150, "Tripulacion"), "")</f>
        <v/>
      </c>
      <c r="W150">
        <f>IF(F150="ENAP carga", COUNTIF(F$5:F150, "ENAP carga"), "")</f>
        <v/>
      </c>
    </row>
    <row r="151">
      <c r="O151" s="117">
        <f>IF(F151="CJ", I151*200, "")</f>
        <v/>
      </c>
      <c r="T151">
        <f>IF(F151="CJ", COUNTIF(F$5:F151, "CJ"), "")</f>
        <v/>
      </c>
      <c r="U151">
        <f>IF(F151="Ignacio", COUNTIF(F$5:F151, "Ignacio"), "")</f>
        <v/>
      </c>
      <c r="V151">
        <f>IF(F151="Tripulacion", COUNTIF(F$5:F151, "Tripulacion"), "")</f>
        <v/>
      </c>
      <c r="W151">
        <f>IF(F151="ENAP carga", COUNTIF(F$5:F151, "ENAP carga"), "")</f>
        <v/>
      </c>
    </row>
    <row r="152">
      <c r="O152" s="117">
        <f>IF(F152="CJ", I152*200, "")</f>
        <v/>
      </c>
      <c r="T152">
        <f>IF(F152="CJ", COUNTIF(F$5:F152, "CJ"), "")</f>
        <v/>
      </c>
      <c r="U152">
        <f>IF(F152="Ignacio", COUNTIF(F$5:F152, "Ignacio"), "")</f>
        <v/>
      </c>
      <c r="V152">
        <f>IF(F152="Tripulacion", COUNTIF(F$5:F152, "Tripulacion"), "")</f>
        <v/>
      </c>
      <c r="W152">
        <f>IF(F152="ENAP carga", COUNTIF(F$5:F152, "ENAP carga"), "")</f>
        <v/>
      </c>
    </row>
    <row r="153">
      <c r="O153" s="117">
        <f>IF(F153="CJ", I153*200, "")</f>
        <v/>
      </c>
      <c r="T153">
        <f>IF(F153="CJ", COUNTIF(F$5:F153, "CJ"), "")</f>
        <v/>
      </c>
      <c r="U153">
        <f>IF(F153="Ignacio", COUNTIF(F$5:F153, "Ignacio"), "")</f>
        <v/>
      </c>
      <c r="V153">
        <f>IF(F153="Tripulacion", COUNTIF(F$5:F153, "Tripulacion"), "")</f>
        <v/>
      </c>
      <c r="W153">
        <f>IF(F153="ENAP carga", COUNTIF(F$5:F153, "ENAP carga"), "")</f>
        <v/>
      </c>
    </row>
    <row r="154">
      <c r="O154" s="117">
        <f>IF(F154="CJ", I154*200, "")</f>
        <v/>
      </c>
      <c r="T154">
        <f>IF(F154="CJ", COUNTIF(F$5:F154, "CJ"), "")</f>
        <v/>
      </c>
      <c r="U154">
        <f>IF(F154="Ignacio", COUNTIF(F$5:F154, "Ignacio"), "")</f>
        <v/>
      </c>
      <c r="V154">
        <f>IF(F154="Tripulacion", COUNTIF(F$5:F154, "Tripulacion"), "")</f>
        <v/>
      </c>
      <c r="W154">
        <f>IF(F154="ENAP carga", COUNTIF(F$5:F154, "ENAP carga"), "")</f>
        <v/>
      </c>
    </row>
    <row r="155">
      <c r="O155" s="117">
        <f>IF(F155="CJ", I155*200, "")</f>
        <v/>
      </c>
      <c r="T155">
        <f>IF(F155="CJ", COUNTIF(F$5:F155, "CJ"), "")</f>
        <v/>
      </c>
      <c r="U155">
        <f>IF(F155="Ignacio", COUNTIF(F$5:F155, "Ignacio"), "")</f>
        <v/>
      </c>
      <c r="V155">
        <f>IF(F155="Tripulacion", COUNTIF(F$5:F155, "Tripulacion"), "")</f>
        <v/>
      </c>
      <c r="W155">
        <f>IF(F155="ENAP carga", COUNTIF(F$5:F155, "ENAP carga"), "")</f>
        <v/>
      </c>
    </row>
    <row r="156">
      <c r="O156" s="117">
        <f>IF(F156="CJ", I156*200, "")</f>
        <v/>
      </c>
      <c r="T156">
        <f>IF(F156="CJ", COUNTIF(F$5:F156, "CJ"), "")</f>
        <v/>
      </c>
      <c r="U156">
        <f>IF(F156="Ignacio", COUNTIF(F$5:F156, "Ignacio"), "")</f>
        <v/>
      </c>
      <c r="V156">
        <f>IF(F156="Tripulacion", COUNTIF(F$5:F156, "Tripulacion"), "")</f>
        <v/>
      </c>
      <c r="W156">
        <f>IF(F156="ENAP carga", COUNTIF(F$5:F156, "ENAP carga"), "")</f>
        <v/>
      </c>
    </row>
    <row r="157">
      <c r="O157" s="117">
        <f>IF(F157="CJ", I157*200, "")</f>
        <v/>
      </c>
      <c r="T157">
        <f>IF(F157="CJ", COUNTIF(F$5:F157, "CJ"), "")</f>
        <v/>
      </c>
      <c r="U157">
        <f>IF(F157="Ignacio", COUNTIF(F$5:F157, "Ignacio"), "")</f>
        <v/>
      </c>
      <c r="V157">
        <f>IF(F157="Tripulacion", COUNTIF(F$5:F157, "Tripulacion"), "")</f>
        <v/>
      </c>
      <c r="W157">
        <f>IF(F157="ENAP carga", COUNTIF(F$5:F157, "ENAP carga"), "")</f>
        <v/>
      </c>
    </row>
    <row r="158">
      <c r="O158" s="117">
        <f>IF(F158="CJ", I158*200, "")</f>
        <v/>
      </c>
      <c r="T158">
        <f>IF(F158="CJ", COUNTIF(F$5:F158, "CJ"), "")</f>
        <v/>
      </c>
      <c r="U158">
        <f>IF(F158="Ignacio", COUNTIF(F$5:F158, "Ignacio"), "")</f>
        <v/>
      </c>
      <c r="V158">
        <f>IF(F158="Tripulacion", COUNTIF(F$5:F158, "Tripulacion"), "")</f>
        <v/>
      </c>
      <c r="W158">
        <f>IF(F158="ENAP carga", COUNTIF(F$5:F158, "ENAP carga"), "")</f>
        <v/>
      </c>
    </row>
    <row r="159">
      <c r="O159" s="117">
        <f>IF(F159="CJ", I159*200, "")</f>
        <v/>
      </c>
      <c r="T159">
        <f>IF(F159="CJ", COUNTIF(F$5:F159, "CJ"), "")</f>
        <v/>
      </c>
      <c r="U159">
        <f>IF(F159="Ignacio", COUNTIF(F$5:F159, "Ignacio"), "")</f>
        <v/>
      </c>
      <c r="V159">
        <f>IF(F159="Tripulacion", COUNTIF(F$5:F159, "Tripulacion"), "")</f>
        <v/>
      </c>
      <c r="W159">
        <f>IF(F159="ENAP carga", COUNTIF(F$5:F159, "ENAP carga"), "")</f>
        <v/>
      </c>
    </row>
    <row r="160">
      <c r="O160" s="117">
        <f>IF(F160="CJ", I160*200, "")</f>
        <v/>
      </c>
      <c r="T160">
        <f>IF(F160="CJ", COUNTIF(F$5:F160, "CJ"), "")</f>
        <v/>
      </c>
      <c r="U160">
        <f>IF(F160="Ignacio", COUNTIF(F$5:F160, "Ignacio"), "")</f>
        <v/>
      </c>
      <c r="V160">
        <f>IF(F160="Tripulacion", COUNTIF(F$5:F160, "Tripulacion"), "")</f>
        <v/>
      </c>
      <c r="W160">
        <f>IF(F160="ENAP carga", COUNTIF(F$5:F160, "ENAP carga"), "")</f>
        <v/>
      </c>
    </row>
    <row r="161">
      <c r="O161" s="117">
        <f>IF(F161="CJ", I161*200, "")</f>
        <v/>
      </c>
      <c r="T161">
        <f>IF(F161="CJ", COUNTIF(F$5:F161, "CJ"), "")</f>
        <v/>
      </c>
      <c r="U161">
        <f>IF(F161="Ignacio", COUNTIF(F$5:F161, "Ignacio"), "")</f>
        <v/>
      </c>
      <c r="V161">
        <f>IF(F161="Tripulacion", COUNTIF(F$5:F161, "Tripulacion"), "")</f>
        <v/>
      </c>
      <c r="W161">
        <f>IF(F161="ENAP carga", COUNTIF(F$5:F161, "ENAP carga"), "")</f>
        <v/>
      </c>
    </row>
    <row r="162">
      <c r="O162" s="117">
        <f>IF(F162="CJ", I162*200, "")</f>
        <v/>
      </c>
      <c r="T162">
        <f>IF(F162="CJ", COUNTIF(F$5:F162, "CJ"), "")</f>
        <v/>
      </c>
      <c r="U162">
        <f>IF(F162="Ignacio", COUNTIF(F$5:F162, "Ignacio"), "")</f>
        <v/>
      </c>
      <c r="V162">
        <f>IF(F162="Tripulacion", COUNTIF(F$5:F162, "Tripulacion"), "")</f>
        <v/>
      </c>
      <c r="W162">
        <f>IF(F162="ENAP carga", COUNTIF(F$5:F162, "ENAP carga"), "")</f>
        <v/>
      </c>
    </row>
    <row r="163">
      <c r="O163" s="117">
        <f>IF(F163="CJ", I163*200, "")</f>
        <v/>
      </c>
      <c r="T163">
        <f>IF(F163="CJ", COUNTIF(F$5:F163, "CJ"), "")</f>
        <v/>
      </c>
      <c r="U163">
        <f>IF(F163="Ignacio", COUNTIF(F$5:F163, "Ignacio"), "")</f>
        <v/>
      </c>
      <c r="V163">
        <f>IF(F163="Tripulacion", COUNTIF(F$5:F163, "Tripulacion"), "")</f>
        <v/>
      </c>
      <c r="W163">
        <f>IF(F163="ENAP carga", COUNTIF(F$5:F163, "ENAP carga"), "")</f>
        <v/>
      </c>
    </row>
    <row r="164">
      <c r="O164" s="117">
        <f>IF(F164="CJ", I164*200, "")</f>
        <v/>
      </c>
      <c r="T164">
        <f>IF(F164="CJ", COUNTIF(F$5:F164, "CJ"), "")</f>
        <v/>
      </c>
      <c r="U164">
        <f>IF(F164="Ignacio", COUNTIF(F$5:F164, "Ignacio"), "")</f>
        <v/>
      </c>
      <c r="V164">
        <f>IF(F164="Tripulacion", COUNTIF(F$5:F164, "Tripulacion"), "")</f>
        <v/>
      </c>
      <c r="W164">
        <f>IF(F164="ENAP carga", COUNTIF(F$5:F164, "ENAP carga"), "")</f>
        <v/>
      </c>
    </row>
    <row r="165">
      <c r="O165" s="117">
        <f>IF(F165="CJ", I165*200, "")</f>
        <v/>
      </c>
      <c r="T165">
        <f>IF(F165="CJ", COUNTIF(F$5:F165, "CJ"), "")</f>
        <v/>
      </c>
      <c r="U165">
        <f>IF(F165="Ignacio", COUNTIF(F$5:F165, "Ignacio"), "")</f>
        <v/>
      </c>
      <c r="V165">
        <f>IF(F165="Tripulacion", COUNTIF(F$5:F165, "Tripulacion"), "")</f>
        <v/>
      </c>
      <c r="W165">
        <f>IF(F165="ENAP carga", COUNTIF(F$5:F165, "ENAP carga"), "")</f>
        <v/>
      </c>
    </row>
    <row r="166">
      <c r="O166" s="117">
        <f>IF(F166="CJ", I166*200, "")</f>
        <v/>
      </c>
      <c r="T166">
        <f>IF(F166="CJ", COUNTIF(F$5:F166, "CJ"), "")</f>
        <v/>
      </c>
      <c r="U166">
        <f>IF(F166="Ignacio", COUNTIF(F$5:F166, "Ignacio"), "")</f>
        <v/>
      </c>
      <c r="V166">
        <f>IF(F166="Tripulacion", COUNTIF(F$5:F166, "Tripulacion"), "")</f>
        <v/>
      </c>
      <c r="W166">
        <f>IF(F166="ENAP carga", COUNTIF(F$5:F166, "ENAP carga"), "")</f>
        <v/>
      </c>
    </row>
    <row r="167">
      <c r="O167" s="117">
        <f>IF(F167="CJ", I167*200, "")</f>
        <v/>
      </c>
      <c r="T167">
        <f>IF(F167="CJ", COUNTIF(F$5:F167, "CJ"), "")</f>
        <v/>
      </c>
      <c r="U167">
        <f>IF(F167="Ignacio", COUNTIF(F$5:F167, "Ignacio"), "")</f>
        <v/>
      </c>
      <c r="V167">
        <f>IF(F167="Tripulacion", COUNTIF(F$5:F167, "Tripulacion"), "")</f>
        <v/>
      </c>
      <c r="W167">
        <f>IF(F167="ENAP carga", COUNTIF(F$5:F167, "ENAP carga"), "")</f>
        <v/>
      </c>
    </row>
    <row r="168">
      <c r="O168" s="117">
        <f>IF(F168="CJ", I168*200, "")</f>
        <v/>
      </c>
      <c r="T168">
        <f>IF(F168="CJ", COUNTIF(F$5:F168, "CJ"), "")</f>
        <v/>
      </c>
      <c r="U168">
        <f>IF(F168="Ignacio", COUNTIF(F$5:F168, "Ignacio"), "")</f>
        <v/>
      </c>
      <c r="V168">
        <f>IF(F168="Tripulacion", COUNTIF(F$5:F168, "Tripulacion"), "")</f>
        <v/>
      </c>
      <c r="W168">
        <f>IF(F168="ENAP carga", COUNTIF(F$5:F168, "ENAP carga"), "")</f>
        <v/>
      </c>
    </row>
    <row r="169">
      <c r="O169" s="117">
        <f>IF(F169="CJ", I169*200, "")</f>
        <v/>
      </c>
      <c r="T169">
        <f>IF(F169="CJ", COUNTIF(F$5:F169, "CJ"), "")</f>
        <v/>
      </c>
      <c r="U169">
        <f>IF(F169="Ignacio", COUNTIF(F$5:F169, "Ignacio"), "")</f>
        <v/>
      </c>
      <c r="V169">
        <f>IF(F169="Tripulacion", COUNTIF(F$5:F169, "Tripulacion"), "")</f>
        <v/>
      </c>
      <c r="W169">
        <f>IF(F169="ENAP carga", COUNTIF(F$5:F169, "ENAP carga"), "")</f>
        <v/>
      </c>
    </row>
    <row r="170">
      <c r="O170" s="117">
        <f>IF(F170="CJ", I170*200, "")</f>
        <v/>
      </c>
      <c r="T170">
        <f>IF(F170="CJ", COUNTIF(F$5:F170, "CJ"), "")</f>
        <v/>
      </c>
      <c r="U170">
        <f>IF(F170="Ignacio", COUNTIF(F$5:F170, "Ignacio"), "")</f>
        <v/>
      </c>
      <c r="V170">
        <f>IF(F170="Tripulacion", COUNTIF(F$5:F170, "Tripulacion"), "")</f>
        <v/>
      </c>
      <c r="W170">
        <f>IF(F170="ENAP carga", COUNTIF(F$5:F170, "ENAP carga"), "")</f>
        <v/>
      </c>
    </row>
    <row r="171">
      <c r="O171" s="117">
        <f>IF(F171="CJ", I171*200, "")</f>
        <v/>
      </c>
      <c r="T171">
        <f>IF(F171="CJ", COUNTIF(F$5:F171, "CJ"), "")</f>
        <v/>
      </c>
      <c r="U171">
        <f>IF(F171="Ignacio", COUNTIF(F$5:F171, "Ignacio"), "")</f>
        <v/>
      </c>
      <c r="V171">
        <f>IF(F171="Tripulacion", COUNTIF(F$5:F171, "Tripulacion"), "")</f>
        <v/>
      </c>
      <c r="W171">
        <f>IF(F171="ENAP carga", COUNTIF(F$5:F171, "ENAP carga"), "")</f>
        <v/>
      </c>
    </row>
    <row r="172">
      <c r="O172" s="117">
        <f>IF(F172="CJ", I172*200, "")</f>
        <v/>
      </c>
      <c r="T172">
        <f>IF(F172="CJ", COUNTIF(F$5:F172, "CJ"), "")</f>
        <v/>
      </c>
      <c r="U172">
        <f>IF(F172="Ignacio", COUNTIF(F$5:F172, "Ignacio"), "")</f>
        <v/>
      </c>
      <c r="V172">
        <f>IF(F172="Tripulacion", COUNTIF(F$5:F172, "Tripulacion"), "")</f>
        <v/>
      </c>
      <c r="W172">
        <f>IF(F172="ENAP carga", COUNTIF(F$5:F172, "ENAP carga"), "")</f>
        <v/>
      </c>
    </row>
    <row r="173">
      <c r="O173" s="117">
        <f>IF(F173="CJ", I173*200, "")</f>
        <v/>
      </c>
      <c r="T173">
        <f>IF(F173="CJ", COUNTIF(F$5:F173, "CJ"), "")</f>
        <v/>
      </c>
      <c r="U173">
        <f>IF(F173="Ignacio", COUNTIF(F$5:F173, "Ignacio"), "")</f>
        <v/>
      </c>
      <c r="V173">
        <f>IF(F173="Tripulacion", COUNTIF(F$5:F173, "Tripulacion"), "")</f>
        <v/>
      </c>
      <c r="W173">
        <f>IF(F173="ENAP carga", COUNTIF(F$5:F173, "ENAP carga"), "")</f>
        <v/>
      </c>
    </row>
    <row r="174">
      <c r="O174" s="117">
        <f>IF(F174="CJ", I174*200, "")</f>
        <v/>
      </c>
      <c r="T174">
        <f>IF(F174="CJ", COUNTIF(F$5:F174, "CJ"), "")</f>
        <v/>
      </c>
      <c r="U174">
        <f>IF(F174="Ignacio", COUNTIF(F$5:F174, "Ignacio"), "")</f>
        <v/>
      </c>
      <c r="V174">
        <f>IF(F174="Tripulacion", COUNTIF(F$5:F174, "Tripulacion"), "")</f>
        <v/>
      </c>
      <c r="W174">
        <f>IF(F174="ENAP carga", COUNTIF(F$5:F174, "ENAP carga"), "")</f>
        <v/>
      </c>
    </row>
    <row r="175">
      <c r="O175" s="117">
        <f>IF(F175="CJ", I175*200, "")</f>
        <v/>
      </c>
      <c r="T175">
        <f>IF(F175="CJ", COUNTIF(F$5:F175, "CJ"), "")</f>
        <v/>
      </c>
      <c r="U175">
        <f>IF(F175="Ignacio", COUNTIF(F$5:F175, "Ignacio"), "")</f>
        <v/>
      </c>
      <c r="V175">
        <f>IF(F175="Tripulacion", COUNTIF(F$5:F175, "Tripulacion"), "")</f>
        <v/>
      </c>
      <c r="W175">
        <f>IF(F175="ENAP carga", COUNTIF(F$5:F175, "ENAP carga"), "")</f>
        <v/>
      </c>
    </row>
    <row r="176">
      <c r="O176" s="117">
        <f>IF(F176="CJ", I176*200, "")</f>
        <v/>
      </c>
      <c r="T176">
        <f>IF(F176="CJ", COUNTIF(F$5:F176, "CJ"), "")</f>
        <v/>
      </c>
      <c r="U176">
        <f>IF(F176="Ignacio", COUNTIF(F$5:F176, "Ignacio"), "")</f>
        <v/>
      </c>
      <c r="V176">
        <f>IF(F176="Tripulacion", COUNTIF(F$5:F176, "Tripulacion"), "")</f>
        <v/>
      </c>
      <c r="W176">
        <f>IF(F176="ENAP carga", COUNTIF(F$5:F176, "ENAP carga"), "")</f>
        <v/>
      </c>
    </row>
    <row r="177">
      <c r="O177" s="117">
        <f>IF(F177="CJ", I177*200, "")</f>
        <v/>
      </c>
      <c r="T177">
        <f>IF(F177="CJ", COUNTIF(F$5:F177, "CJ"), "")</f>
        <v/>
      </c>
      <c r="U177">
        <f>IF(F177="Ignacio", COUNTIF(F$5:F177, "Ignacio"), "")</f>
        <v/>
      </c>
      <c r="V177">
        <f>IF(F177="Tripulacion", COUNTIF(F$5:F177, "Tripulacion"), "")</f>
        <v/>
      </c>
      <c r="W177">
        <f>IF(F177="ENAP carga", COUNTIF(F$5:F177, "ENAP carga"), "")</f>
        <v/>
      </c>
    </row>
    <row r="178">
      <c r="O178" s="117">
        <f>IF(F178="CJ", I178*200, "")</f>
        <v/>
      </c>
      <c r="T178">
        <f>IF(F178="CJ", COUNTIF(F$5:F178, "CJ"), "")</f>
        <v/>
      </c>
      <c r="U178">
        <f>IF(F178="Ignacio", COUNTIF(F$5:F178, "Ignacio"), "")</f>
        <v/>
      </c>
      <c r="V178">
        <f>IF(F178="Tripulacion", COUNTIF(F$5:F178, "Tripulacion"), "")</f>
        <v/>
      </c>
      <c r="W178">
        <f>IF(F178="ENAP carga", COUNTIF(F$5:F178, "ENAP carga"), "")</f>
        <v/>
      </c>
    </row>
    <row r="179">
      <c r="O179" s="117">
        <f>IF(F179="CJ", I179*200, "")</f>
        <v/>
      </c>
      <c r="T179">
        <f>IF(F179="CJ", COUNTIF(F$5:F179, "CJ"), "")</f>
        <v/>
      </c>
      <c r="U179">
        <f>IF(F179="Ignacio", COUNTIF(F$5:F179, "Ignacio"), "")</f>
        <v/>
      </c>
      <c r="V179">
        <f>IF(F179="Tripulacion", COUNTIF(F$5:F179, "Tripulacion"), "")</f>
        <v/>
      </c>
      <c r="W179">
        <f>IF(F179="ENAP carga", COUNTIF(F$5:F179, "ENAP carga"), "")</f>
        <v/>
      </c>
    </row>
    <row r="180">
      <c r="O180" s="117">
        <f>IF(F180="CJ", I180*200, "")</f>
        <v/>
      </c>
      <c r="T180">
        <f>IF(F180="CJ", COUNTIF(F$5:F180, "CJ"), "")</f>
        <v/>
      </c>
      <c r="U180">
        <f>IF(F180="Ignacio", COUNTIF(F$5:F180, "Ignacio"), "")</f>
        <v/>
      </c>
      <c r="V180">
        <f>IF(F180="Tripulacion", COUNTIF(F$5:F180, "Tripulacion"), "")</f>
        <v/>
      </c>
      <c r="W180">
        <f>IF(F180="ENAP carga", COUNTIF(F$5:F180, "ENAP carga"), "")</f>
        <v/>
      </c>
    </row>
    <row r="181">
      <c r="O181" s="117">
        <f>IF(F181="CJ", I181*200, "")</f>
        <v/>
      </c>
      <c r="T181">
        <f>IF(F181="CJ", COUNTIF(F$5:F181, "CJ"), "")</f>
        <v/>
      </c>
      <c r="U181">
        <f>IF(F181="Ignacio", COUNTIF(F$5:F181, "Ignacio"), "")</f>
        <v/>
      </c>
      <c r="V181">
        <f>IF(F181="Tripulacion", COUNTIF(F$5:F181, "Tripulacion"), "")</f>
        <v/>
      </c>
      <c r="W181">
        <f>IF(F181="ENAP carga", COUNTIF(F$5:F181, "ENAP carga"), "")</f>
        <v/>
      </c>
    </row>
    <row r="182">
      <c r="O182" s="117">
        <f>IF(F182="CJ", I182*200, "")</f>
        <v/>
      </c>
      <c r="T182">
        <f>IF(F182="CJ", COUNTIF(F$5:F182, "CJ"), "")</f>
        <v/>
      </c>
      <c r="U182">
        <f>IF(F182="Ignacio", COUNTIF(F$5:F182, "Ignacio"), "")</f>
        <v/>
      </c>
      <c r="V182">
        <f>IF(F182="Tripulacion", COUNTIF(F$5:F182, "Tripulacion"), "")</f>
        <v/>
      </c>
      <c r="W182">
        <f>IF(F182="ENAP carga", COUNTIF(F$5:F182, "ENAP carga"), "")</f>
        <v/>
      </c>
    </row>
    <row r="183">
      <c r="O183" s="117">
        <f>IF(F183="CJ", I183*200, "")</f>
        <v/>
      </c>
      <c r="T183">
        <f>IF(F183="CJ", COUNTIF(F$5:F183, "CJ"), "")</f>
        <v/>
      </c>
      <c r="U183">
        <f>IF(F183="Ignacio", COUNTIF(F$5:F183, "Ignacio"), "")</f>
        <v/>
      </c>
      <c r="V183">
        <f>IF(F183="Tripulacion", COUNTIF(F$5:F183, "Tripulacion"), "")</f>
        <v/>
      </c>
      <c r="W183">
        <f>IF(F183="ENAP carga", COUNTIF(F$5:F183, "ENAP carga"), "")</f>
        <v/>
      </c>
    </row>
    <row r="184">
      <c r="O184" s="117">
        <f>IF(F184="CJ", I184*200, "")</f>
        <v/>
      </c>
      <c r="T184">
        <f>IF(F184="CJ", COUNTIF(F$5:F184, "CJ"), "")</f>
        <v/>
      </c>
      <c r="U184">
        <f>IF(F184="Ignacio", COUNTIF(F$5:F184, "Ignacio"), "")</f>
        <v/>
      </c>
      <c r="V184">
        <f>IF(F184="Tripulacion", COUNTIF(F$5:F184, "Tripulacion"), "")</f>
        <v/>
      </c>
      <c r="W184">
        <f>IF(F184="ENAP carga", COUNTIF(F$5:F184, "ENAP carga"), "")</f>
        <v/>
      </c>
    </row>
    <row r="185">
      <c r="O185" s="117">
        <f>IF(F185="CJ", I185*200, "")</f>
        <v/>
      </c>
      <c r="T185">
        <f>IF(F185="CJ", COUNTIF(F$5:F185, "CJ"), "")</f>
        <v/>
      </c>
      <c r="U185">
        <f>IF(F185="Ignacio", COUNTIF(F$5:F185, "Ignacio"), "")</f>
        <v/>
      </c>
      <c r="V185">
        <f>IF(F185="Tripulacion", COUNTIF(F$5:F185, "Tripulacion"), "")</f>
        <v/>
      </c>
      <c r="W185">
        <f>IF(F185="ENAP carga", COUNTIF(F$5:F185, "ENAP carga"), "")</f>
        <v/>
      </c>
    </row>
    <row r="186">
      <c r="O186" s="117">
        <f>IF(F186="CJ", I186*200, "")</f>
        <v/>
      </c>
      <c r="T186">
        <f>IF(F186="CJ", COUNTIF(F$5:F186, "CJ"), "")</f>
        <v/>
      </c>
      <c r="U186">
        <f>IF(F186="Ignacio", COUNTIF(F$5:F186, "Ignacio"), "")</f>
        <v/>
      </c>
      <c r="V186">
        <f>IF(F186="Tripulacion", COUNTIF(F$5:F186, "Tripulacion"), "")</f>
        <v/>
      </c>
      <c r="W186">
        <f>IF(F186="ENAP carga", COUNTIF(F$5:F186, "ENAP carga"), "")</f>
        <v/>
      </c>
    </row>
    <row r="187">
      <c r="O187" s="117">
        <f>IF(F187="CJ", I187*200, "")</f>
        <v/>
      </c>
      <c r="T187">
        <f>IF(F187="CJ", COUNTIF(F$5:F187, "CJ"), "")</f>
        <v/>
      </c>
      <c r="U187">
        <f>IF(F187="Ignacio", COUNTIF(F$5:F187, "Ignacio"), "")</f>
        <v/>
      </c>
      <c r="V187">
        <f>IF(F187="Tripulacion", COUNTIF(F$5:F187, "Tripulacion"), "")</f>
        <v/>
      </c>
      <c r="W187">
        <f>IF(F187="ENAP carga", COUNTIF(F$5:F187, "ENAP carga"), "")</f>
        <v/>
      </c>
    </row>
    <row r="188">
      <c r="O188" s="117">
        <f>IF(F188="CJ", I188*200, "")</f>
        <v/>
      </c>
      <c r="T188">
        <f>IF(F188="CJ", COUNTIF(F$5:F188, "CJ"), "")</f>
        <v/>
      </c>
      <c r="U188">
        <f>IF(F188="Ignacio", COUNTIF(F$5:F188, "Ignacio"), "")</f>
        <v/>
      </c>
      <c r="V188">
        <f>IF(F188="Tripulacion", COUNTIF(F$5:F188, "Tripulacion"), "")</f>
        <v/>
      </c>
      <c r="W188">
        <f>IF(F188="ENAP carga", COUNTIF(F$5:F188, "ENAP carga"), "")</f>
        <v/>
      </c>
    </row>
    <row r="189">
      <c r="O189" s="117">
        <f>IF(F189="CJ", I189*200, "")</f>
        <v/>
      </c>
      <c r="T189">
        <f>IF(F189="CJ", COUNTIF(F$5:F189, "CJ"), "")</f>
        <v/>
      </c>
      <c r="U189">
        <f>IF(F189="Ignacio", COUNTIF(F$5:F189, "Ignacio"), "")</f>
        <v/>
      </c>
      <c r="V189">
        <f>IF(F189="Tripulacion", COUNTIF(F$5:F189, "Tripulacion"), "")</f>
        <v/>
      </c>
      <c r="W189">
        <f>IF(F189="ENAP carga", COUNTIF(F$5:F189, "ENAP carga"), "")</f>
        <v/>
      </c>
    </row>
    <row r="190">
      <c r="O190" s="117">
        <f>IF(F190="CJ", I190*200, "")</f>
        <v/>
      </c>
      <c r="T190">
        <f>IF(F190="CJ", COUNTIF(F$5:F190, "CJ"), "")</f>
        <v/>
      </c>
      <c r="U190">
        <f>IF(F190="Ignacio", COUNTIF(F$5:F190, "Ignacio"), "")</f>
        <v/>
      </c>
      <c r="V190">
        <f>IF(F190="Tripulacion", COUNTIF(F$5:F190, "Tripulacion"), "")</f>
        <v/>
      </c>
      <c r="W190">
        <f>IF(F190="ENAP carga", COUNTIF(F$5:F190, "ENAP carga"), "")</f>
        <v/>
      </c>
    </row>
    <row r="191">
      <c r="O191" s="117">
        <f>IF(F191="CJ", I191*200, "")</f>
        <v/>
      </c>
      <c r="T191">
        <f>IF(F191="CJ", COUNTIF(F$5:F191, "CJ"), "")</f>
        <v/>
      </c>
      <c r="U191">
        <f>IF(F191="Ignacio", COUNTIF(F$5:F191, "Ignacio"), "")</f>
        <v/>
      </c>
      <c r="V191">
        <f>IF(F191="Tripulacion", COUNTIF(F$5:F191, "Tripulacion"), "")</f>
        <v/>
      </c>
      <c r="W191">
        <f>IF(F191="ENAP carga", COUNTIF(F$5:F191, "ENAP carga"), "")</f>
        <v/>
      </c>
    </row>
    <row r="192">
      <c r="O192" s="117">
        <f>IF(F192="CJ", I192*200, "")</f>
        <v/>
      </c>
      <c r="T192">
        <f>IF(F192="CJ", COUNTIF(F$5:F192, "CJ"), "")</f>
        <v/>
      </c>
      <c r="U192">
        <f>IF(F192="Ignacio", COUNTIF(F$5:F192, "Ignacio"), "")</f>
        <v/>
      </c>
      <c r="V192">
        <f>IF(F192="Tripulacion", COUNTIF(F$5:F192, "Tripulacion"), "")</f>
        <v/>
      </c>
      <c r="W192">
        <f>IF(F192="ENAP carga", COUNTIF(F$5:F192, "ENAP carga"), "")</f>
        <v/>
      </c>
    </row>
    <row r="193">
      <c r="O193" s="117">
        <f>IF(F193="CJ", I193*200, "")</f>
        <v/>
      </c>
      <c r="T193">
        <f>IF(F193="CJ", COUNTIF(F$5:F193, "CJ"), "")</f>
        <v/>
      </c>
      <c r="U193">
        <f>IF(F193="Ignacio", COUNTIF(F$5:F193, "Ignacio"), "")</f>
        <v/>
      </c>
      <c r="V193">
        <f>IF(F193="Tripulacion", COUNTIF(F$5:F193, "Tripulacion"), "")</f>
        <v/>
      </c>
      <c r="W193">
        <f>IF(F193="ENAP carga", COUNTIF(F$5:F193, "ENAP carga"), "")</f>
        <v/>
      </c>
    </row>
    <row r="194">
      <c r="O194" s="117">
        <f>IF(F194="CJ", I194*200, "")</f>
        <v/>
      </c>
      <c r="T194">
        <f>IF(F194="CJ", COUNTIF(F$5:F194, "CJ"), "")</f>
        <v/>
      </c>
      <c r="U194">
        <f>IF(F194="Ignacio", COUNTIF(F$5:F194, "Ignacio"), "")</f>
        <v/>
      </c>
      <c r="V194">
        <f>IF(F194="Tripulacion", COUNTIF(F$5:F194, "Tripulacion"), "")</f>
        <v/>
      </c>
      <c r="W194">
        <f>IF(F194="ENAP carga", COUNTIF(F$5:F194, "ENAP carga"), "")</f>
        <v/>
      </c>
    </row>
    <row r="195">
      <c r="O195" s="117">
        <f>IF(F195="CJ", I195*200, "")</f>
        <v/>
      </c>
      <c r="T195">
        <f>IF(F195="CJ", COUNTIF(F$5:F195, "CJ"), "")</f>
        <v/>
      </c>
      <c r="U195">
        <f>IF(F195="Ignacio", COUNTIF(F$5:F195, "Ignacio"), "")</f>
        <v/>
      </c>
      <c r="V195">
        <f>IF(F195="Tripulacion", COUNTIF(F$5:F195, "Tripulacion"), "")</f>
        <v/>
      </c>
      <c r="W195">
        <f>IF(F195="ENAP carga", COUNTIF(F$5:F195, "ENAP carga"), "")</f>
        <v/>
      </c>
    </row>
    <row r="196">
      <c r="O196" s="117">
        <f>IF(F196="CJ", I196*200, "")</f>
        <v/>
      </c>
      <c r="T196">
        <f>IF(F196="CJ", COUNTIF(F$5:F196, "CJ"), "")</f>
        <v/>
      </c>
      <c r="U196">
        <f>IF(F196="Ignacio", COUNTIF(F$5:F196, "Ignacio"), "")</f>
        <v/>
      </c>
      <c r="V196">
        <f>IF(F196="Tripulacion", COUNTIF(F$5:F196, "Tripulacion"), "")</f>
        <v/>
      </c>
      <c r="W196">
        <f>IF(F196="ENAP carga", COUNTIF(F$5:F196, "ENAP carga"), "")</f>
        <v/>
      </c>
    </row>
    <row r="197">
      <c r="O197" s="117">
        <f>IF(F197="CJ", I197*200, "")</f>
        <v/>
      </c>
      <c r="T197">
        <f>IF(F197="CJ", COUNTIF(F$5:F197, "CJ"), "")</f>
        <v/>
      </c>
      <c r="U197">
        <f>IF(F197="Ignacio", COUNTIF(F$5:F197, "Ignacio"), "")</f>
        <v/>
      </c>
      <c r="V197">
        <f>IF(F197="Tripulacion", COUNTIF(F$5:F197, "Tripulacion"), "")</f>
        <v/>
      </c>
      <c r="W197">
        <f>IF(F197="ENAP carga", COUNTIF(F$5:F197, "ENAP carga"), "")</f>
        <v/>
      </c>
    </row>
    <row r="198">
      <c r="O198" s="117">
        <f>IF(F198="CJ", I198*200, "")</f>
        <v/>
      </c>
      <c r="T198">
        <f>IF(F198="CJ", COUNTIF(F$5:F198, "CJ"), "")</f>
        <v/>
      </c>
      <c r="U198">
        <f>IF(F198="Ignacio", COUNTIF(F$5:F198, "Ignacio"), "")</f>
        <v/>
      </c>
      <c r="V198">
        <f>IF(F198="Tripulacion", COUNTIF(F$5:F198, "Tripulacion"), "")</f>
        <v/>
      </c>
      <c r="W198">
        <f>IF(F198="ENAP carga", COUNTIF(F$5:F198, "ENAP carga"), "")</f>
        <v/>
      </c>
    </row>
    <row r="199">
      <c r="O199" s="117">
        <f>IF(F199="CJ", I199*200, "")</f>
        <v/>
      </c>
      <c r="T199">
        <f>IF(F199="CJ", COUNTIF(F$5:F199, "CJ"), "")</f>
        <v/>
      </c>
      <c r="U199">
        <f>IF(F199="Ignacio", COUNTIF(F$5:F199, "Ignacio"), "")</f>
        <v/>
      </c>
      <c r="V199">
        <f>IF(F199="Tripulacion", COUNTIF(F$5:F199, "Tripulacion"), "")</f>
        <v/>
      </c>
      <c r="W199">
        <f>IF(F199="ENAP carga", COUNTIF(F$5:F199, "ENAP carga"), "")</f>
        <v/>
      </c>
    </row>
    <row r="200">
      <c r="O200" s="117">
        <f>IF(F200="CJ", I200*200, "")</f>
        <v/>
      </c>
      <c r="T200">
        <f>IF(F200="CJ", COUNTIF(F$5:F200, "CJ"), "")</f>
        <v/>
      </c>
      <c r="U200">
        <f>IF(F200="Ignacio", COUNTIF(F$5:F200, "Ignacio"), "")</f>
        <v/>
      </c>
      <c r="V200">
        <f>IF(F200="Tripulacion", COUNTIF(F$5:F200, "Tripulacion"), "")</f>
        <v/>
      </c>
      <c r="W200">
        <f>IF(F200="ENAP carga", COUNTIF(F$5:F200, "ENAP carga"), "")</f>
        <v/>
      </c>
    </row>
    <row r="201">
      <c r="O201" s="117">
        <f>IF(F201="CJ", I201*200, "")</f>
        <v/>
      </c>
      <c r="T201">
        <f>IF(F201="CJ", COUNTIF(F$5:F201, "CJ"), "")</f>
        <v/>
      </c>
      <c r="U201">
        <f>IF(F201="Ignacio", COUNTIF(F$5:F201, "Ignacio"), "")</f>
        <v/>
      </c>
      <c r="V201">
        <f>IF(F201="Tripulacion", COUNTIF(F$5:F201, "Tripulacion"), "")</f>
        <v/>
      </c>
      <c r="W201">
        <f>IF(F201="ENAP carga", COUNTIF(F$5:F201, "ENAP carga"), "")</f>
        <v/>
      </c>
    </row>
    <row r="202">
      <c r="O202" s="117">
        <f>IF(F202="CJ", I202*200, "")</f>
        <v/>
      </c>
      <c r="T202">
        <f>IF(F202="CJ", COUNTIF(F$5:F202, "CJ"), "")</f>
        <v/>
      </c>
      <c r="U202">
        <f>IF(F202="Ignacio", COUNTIF(F$5:F202, "Ignacio"), "")</f>
        <v/>
      </c>
      <c r="V202">
        <f>IF(F202="Tripulacion", COUNTIF(F$5:F202, "Tripulacion"), "")</f>
        <v/>
      </c>
      <c r="W202">
        <f>IF(F202="ENAP carga", COUNTIF(F$5:F202, "ENAP carga"), "")</f>
        <v/>
      </c>
    </row>
    <row r="203">
      <c r="O203" s="117">
        <f>IF(F203="CJ", I203*200, "")</f>
        <v/>
      </c>
      <c r="T203">
        <f>IF(F203="CJ", COUNTIF(F$5:F203, "CJ"), "")</f>
        <v/>
      </c>
      <c r="U203">
        <f>IF(F203="Ignacio", COUNTIF(F$5:F203, "Ignacio"), "")</f>
        <v/>
      </c>
      <c r="V203">
        <f>IF(F203="Tripulacion", COUNTIF(F$5:F203, "Tripulacion"), "")</f>
        <v/>
      </c>
      <c r="W203">
        <f>IF(F203="ENAP carga", COUNTIF(F$5:F203, "ENAP carga"), "")</f>
        <v/>
      </c>
    </row>
    <row r="204">
      <c r="O204" s="117">
        <f>IF(F204="CJ", I204*200, "")</f>
        <v/>
      </c>
      <c r="T204">
        <f>IF(F204="CJ", COUNTIF(F$5:F204, "CJ"), "")</f>
        <v/>
      </c>
      <c r="U204">
        <f>IF(F204="Ignacio", COUNTIF(F$5:F204, "Ignacio"), "")</f>
        <v/>
      </c>
      <c r="V204">
        <f>IF(F204="Tripulacion", COUNTIF(F$5:F204, "Tripulacion"), "")</f>
        <v/>
      </c>
      <c r="W204">
        <f>IF(F204="ENAP carga", COUNTIF(F$5:F204, "ENAP carga"), "")</f>
        <v/>
      </c>
    </row>
    <row r="205">
      <c r="O205" s="117">
        <f>IF(F205="CJ", I205*200, "")</f>
        <v/>
      </c>
      <c r="T205">
        <f>IF(F205="CJ", COUNTIF(F$5:F205, "CJ"), "")</f>
        <v/>
      </c>
      <c r="U205">
        <f>IF(F205="Ignacio", COUNTIF(F$5:F205, "Ignacio"), "")</f>
        <v/>
      </c>
      <c r="V205">
        <f>IF(F205="Tripulacion", COUNTIF(F$5:F205, "Tripulacion"), "")</f>
        <v/>
      </c>
      <c r="W205">
        <f>IF(F205="ENAP carga", COUNTIF(F$5:F205, "ENAP carga"), "")</f>
        <v/>
      </c>
    </row>
    <row r="206">
      <c r="O206" s="117">
        <f>IF(F206="CJ", I206*200, "")</f>
        <v/>
      </c>
      <c r="T206">
        <f>IF(F206="CJ", COUNTIF(F$5:F206, "CJ"), "")</f>
        <v/>
      </c>
      <c r="U206">
        <f>IF(F206="Ignacio", COUNTIF(F$5:F206, "Ignacio"), "")</f>
        <v/>
      </c>
      <c r="V206">
        <f>IF(F206="Tripulacion", COUNTIF(F$5:F206, "Tripulacion"), "")</f>
        <v/>
      </c>
      <c r="W206">
        <f>IF(F206="ENAP carga", COUNTIF(F$5:F206, "ENAP carga"), "")</f>
        <v/>
      </c>
    </row>
    <row r="207">
      <c r="O207" s="117">
        <f>IF(F207="CJ", I207*200, "")</f>
        <v/>
      </c>
      <c r="T207">
        <f>IF(F207="CJ", COUNTIF(F$5:F207, "CJ"), "")</f>
        <v/>
      </c>
      <c r="U207">
        <f>IF(F207="Ignacio", COUNTIF(F$5:F207, "Ignacio"), "")</f>
        <v/>
      </c>
      <c r="V207">
        <f>IF(F207="Tripulacion", COUNTIF(F$5:F207, "Tripulacion"), "")</f>
        <v/>
      </c>
      <c r="W207">
        <f>IF(F207="ENAP carga", COUNTIF(F$5:F207, "ENAP carga"), "")</f>
        <v/>
      </c>
    </row>
    <row r="208">
      <c r="O208" s="117">
        <f>IF(F208="CJ", I208*200, "")</f>
        <v/>
      </c>
      <c r="T208">
        <f>IF(F208="CJ", COUNTIF(F$5:F208, "CJ"), "")</f>
        <v/>
      </c>
      <c r="U208">
        <f>IF(F208="Ignacio", COUNTIF(F$5:F208, "Ignacio"), "")</f>
        <v/>
      </c>
      <c r="V208">
        <f>IF(F208="Tripulacion", COUNTIF(F$5:F208, "Tripulacion"), "")</f>
        <v/>
      </c>
      <c r="W208">
        <f>IF(F208="ENAP carga", COUNTIF(F$5:F208, "ENAP carga"), "")</f>
        <v/>
      </c>
    </row>
    <row r="209">
      <c r="O209" s="117">
        <f>IF(F209="CJ", I209*200, "")</f>
        <v/>
      </c>
      <c r="T209">
        <f>IF(F209="CJ", COUNTIF(F$5:F209, "CJ"), "")</f>
        <v/>
      </c>
      <c r="U209">
        <f>IF(F209="Ignacio", COUNTIF(F$5:F209, "Ignacio"), "")</f>
        <v/>
      </c>
      <c r="V209">
        <f>IF(F209="Tripulacion", COUNTIF(F$5:F209, "Tripulacion"), "")</f>
        <v/>
      </c>
      <c r="W209">
        <f>IF(F209="ENAP carga", COUNTIF(F$5:F209, "ENAP carga"), "")</f>
        <v/>
      </c>
    </row>
    <row r="210">
      <c r="O210" s="117">
        <f>IF(F210="CJ", I210*200, "")</f>
        <v/>
      </c>
      <c r="T210">
        <f>IF(F210="CJ", COUNTIF(F$5:F210, "CJ"), "")</f>
        <v/>
      </c>
      <c r="U210">
        <f>IF(F210="Ignacio", COUNTIF(F$5:F210, "Ignacio"), "")</f>
        <v/>
      </c>
      <c r="V210">
        <f>IF(F210="Tripulacion", COUNTIF(F$5:F210, "Tripulacion"), "")</f>
        <v/>
      </c>
      <c r="W210">
        <f>IF(F210="ENAP carga", COUNTIF(F$5:F210, "ENAP carga"), "")</f>
        <v/>
      </c>
    </row>
    <row r="211">
      <c r="O211" s="117">
        <f>IF(F211="CJ", I211*200, "")</f>
        <v/>
      </c>
      <c r="T211">
        <f>IF(F211="CJ", COUNTIF(F$5:F211, "CJ"), "")</f>
        <v/>
      </c>
      <c r="U211">
        <f>IF(F211="Ignacio", COUNTIF(F$5:F211, "Ignacio"), "")</f>
        <v/>
      </c>
      <c r="V211">
        <f>IF(F211="Tripulacion", COUNTIF(F$5:F211, "Tripulacion"), "")</f>
        <v/>
      </c>
      <c r="W211">
        <f>IF(F211="ENAP carga", COUNTIF(F$5:F211, "ENAP carga"), "")</f>
        <v/>
      </c>
    </row>
    <row r="212">
      <c r="O212" s="117">
        <f>IF(F212="CJ", I212*200, "")</f>
        <v/>
      </c>
      <c r="T212">
        <f>IF(F212="CJ", COUNTIF(F$5:F212, "CJ"), "")</f>
        <v/>
      </c>
      <c r="U212">
        <f>IF(F212="Ignacio", COUNTIF(F$5:F212, "Ignacio"), "")</f>
        <v/>
      </c>
      <c r="V212">
        <f>IF(F212="Tripulacion", COUNTIF(F$5:F212, "Tripulacion"), "")</f>
        <v/>
      </c>
      <c r="W212">
        <f>IF(F212="ENAP carga", COUNTIF(F$5:F212, "ENAP carga"), "")</f>
        <v/>
      </c>
    </row>
    <row r="213">
      <c r="O213" s="117">
        <f>IF(F213="CJ", I213*200, "")</f>
        <v/>
      </c>
      <c r="T213">
        <f>IF(F213="CJ", COUNTIF(F$5:F213, "CJ"), "")</f>
        <v/>
      </c>
      <c r="U213">
        <f>IF(F213="Ignacio", COUNTIF(F$5:F213, "Ignacio"), "")</f>
        <v/>
      </c>
      <c r="V213">
        <f>IF(F213="Tripulacion", COUNTIF(F$5:F213, "Tripulacion"), "")</f>
        <v/>
      </c>
      <c r="W213">
        <f>IF(F213="ENAP carga", COUNTIF(F$5:F213, "ENAP carga"), "")</f>
        <v/>
      </c>
    </row>
    <row r="214">
      <c r="O214" s="117">
        <f>IF(F214="CJ", I214*200, "")</f>
        <v/>
      </c>
      <c r="T214">
        <f>IF(F214="CJ", COUNTIF(F$5:F214, "CJ"), "")</f>
        <v/>
      </c>
      <c r="U214">
        <f>IF(F214="Ignacio", COUNTIF(F$5:F214, "Ignacio"), "")</f>
        <v/>
      </c>
      <c r="V214">
        <f>IF(F214="Tripulacion", COUNTIF(F$5:F214, "Tripulacion"), "")</f>
        <v/>
      </c>
      <c r="W214">
        <f>IF(F214="ENAP carga", COUNTIF(F$5:F214, "ENAP carga"), "")</f>
        <v/>
      </c>
    </row>
    <row r="215">
      <c r="O215" s="117">
        <f>IF(F215="CJ", I215*200, "")</f>
        <v/>
      </c>
      <c r="T215">
        <f>IF(F215="CJ", COUNTIF(F$5:F215, "CJ"), "")</f>
        <v/>
      </c>
      <c r="U215">
        <f>IF(F215="Ignacio", COUNTIF(F$5:F215, "Ignacio"), "")</f>
        <v/>
      </c>
      <c r="V215">
        <f>IF(F215="Tripulacion", COUNTIF(F$5:F215, "Tripulacion"), "")</f>
        <v/>
      </c>
      <c r="W215">
        <f>IF(F215="ENAP carga", COUNTIF(F$5:F215, "ENAP carga"), "")</f>
        <v/>
      </c>
    </row>
    <row r="216">
      <c r="O216" s="117">
        <f>IF(F216="CJ", I216*200, "")</f>
        <v/>
      </c>
      <c r="T216">
        <f>IF(F216="CJ", COUNTIF(F$5:F216, "CJ"), "")</f>
        <v/>
      </c>
      <c r="U216">
        <f>IF(F216="Ignacio", COUNTIF(F$5:F216, "Ignacio"), "")</f>
        <v/>
      </c>
      <c r="V216">
        <f>IF(F216="Tripulacion", COUNTIF(F$5:F216, "Tripulacion"), "")</f>
        <v/>
      </c>
      <c r="W216">
        <f>IF(F216="ENAP carga", COUNTIF(F$5:F216, "ENAP carga"), "")</f>
        <v/>
      </c>
    </row>
    <row r="217">
      <c r="O217" s="117">
        <f>IF(F217="CJ", I217*200, "")</f>
        <v/>
      </c>
      <c r="T217">
        <f>IF(F217="CJ", COUNTIF(F$5:F217, "CJ"), "")</f>
        <v/>
      </c>
      <c r="U217">
        <f>IF(F217="Ignacio", COUNTIF(F$5:F217, "Ignacio"), "")</f>
        <v/>
      </c>
      <c r="V217">
        <f>IF(F217="Tripulacion", COUNTIF(F$5:F217, "Tripulacion"), "")</f>
        <v/>
      </c>
      <c r="W217">
        <f>IF(F217="ENAP carga", COUNTIF(F$5:F217, "ENAP carga"), "")</f>
        <v/>
      </c>
    </row>
    <row r="218">
      <c r="O218" s="117">
        <f>IF(F218="CJ", I218*200, "")</f>
        <v/>
      </c>
      <c r="T218">
        <f>IF(F218="CJ", COUNTIF(F$5:F218, "CJ"), "")</f>
        <v/>
      </c>
      <c r="U218">
        <f>IF(F218="Ignacio", COUNTIF(F$5:F218, "Ignacio"), "")</f>
        <v/>
      </c>
      <c r="V218">
        <f>IF(F218="Tripulacion", COUNTIF(F$5:F218, "Tripulacion"), "")</f>
        <v/>
      </c>
      <c r="W218">
        <f>IF(F218="ENAP carga", COUNTIF(F$5:F218, "ENAP carga"), "")</f>
        <v/>
      </c>
    </row>
    <row r="219">
      <c r="O219" s="117">
        <f>IF(F219="CJ", I219*200, "")</f>
        <v/>
      </c>
      <c r="T219">
        <f>IF(F219="CJ", COUNTIF(F$5:F219, "CJ"), "")</f>
        <v/>
      </c>
      <c r="U219">
        <f>IF(F219="Ignacio", COUNTIF(F$5:F219, "Ignacio"), "")</f>
        <v/>
      </c>
      <c r="V219">
        <f>IF(F219="Tripulacion", COUNTIF(F$5:F219, "Tripulacion"), "")</f>
        <v/>
      </c>
      <c r="W219">
        <f>IF(F219="ENAP carga", COUNTIF(F$5:F219, "ENAP carga"), "")</f>
        <v/>
      </c>
    </row>
    <row r="220">
      <c r="O220" s="117">
        <f>IF(F220="CJ", I220*200, "")</f>
        <v/>
      </c>
      <c r="T220">
        <f>IF(F220="CJ", COUNTIF(F$5:F220, "CJ"), "")</f>
        <v/>
      </c>
      <c r="U220">
        <f>IF(F220="Ignacio", COUNTIF(F$5:F220, "Ignacio"), "")</f>
        <v/>
      </c>
      <c r="V220">
        <f>IF(F220="Tripulacion", COUNTIF(F$5:F220, "Tripulacion"), "")</f>
        <v/>
      </c>
      <c r="W220">
        <f>IF(F220="ENAP carga", COUNTIF(F$5:F220, "ENAP carga"), "")</f>
        <v/>
      </c>
    </row>
    <row r="221">
      <c r="O221" s="117">
        <f>IF(F221="CJ", I221*200, "")</f>
        <v/>
      </c>
      <c r="T221">
        <f>IF(F221="CJ", COUNTIF(F$5:F221, "CJ"), "")</f>
        <v/>
      </c>
      <c r="U221">
        <f>IF(F221="Ignacio", COUNTIF(F$5:F221, "Ignacio"), "")</f>
        <v/>
      </c>
      <c r="V221">
        <f>IF(F221="Tripulacion", COUNTIF(F$5:F221, "Tripulacion"), "")</f>
        <v/>
      </c>
      <c r="W221">
        <f>IF(F221="ENAP carga", COUNTIF(F$5:F221, "ENAP carga"), "")</f>
        <v/>
      </c>
    </row>
    <row r="222">
      <c r="O222" s="117">
        <f>IF(F222="CJ", I222*200, "")</f>
        <v/>
      </c>
      <c r="T222">
        <f>IF(F222="CJ", COUNTIF(F$5:F222, "CJ"), "")</f>
        <v/>
      </c>
      <c r="U222">
        <f>IF(F222="Ignacio", COUNTIF(F$5:F222, "Ignacio"), "")</f>
        <v/>
      </c>
      <c r="V222">
        <f>IF(F222="Tripulacion", COUNTIF(F$5:F222, "Tripulacion"), "")</f>
        <v/>
      </c>
      <c r="W222">
        <f>IF(F222="ENAP carga", COUNTIF(F$5:F222, "ENAP carga"), "")</f>
        <v/>
      </c>
    </row>
    <row r="223">
      <c r="O223" s="117">
        <f>IF(F223="CJ", I223*200, "")</f>
        <v/>
      </c>
      <c r="T223">
        <f>IF(F223="CJ", COUNTIF(F$5:F223, "CJ"), "")</f>
        <v/>
      </c>
      <c r="U223">
        <f>IF(F223="Ignacio", COUNTIF(F$5:F223, "Ignacio"), "")</f>
        <v/>
      </c>
      <c r="V223">
        <f>IF(F223="Tripulacion", COUNTIF(F$5:F223, "Tripulacion"), "")</f>
        <v/>
      </c>
      <c r="W223">
        <f>IF(F223="ENAP carga", COUNTIF(F$5:F223, "ENAP carga"), "")</f>
        <v/>
      </c>
    </row>
    <row r="224">
      <c r="O224" s="117">
        <f>IF(F224="CJ", I224*200, "")</f>
        <v/>
      </c>
      <c r="T224">
        <f>IF(F224="CJ", COUNTIF(F$5:F224, "CJ"), "")</f>
        <v/>
      </c>
      <c r="U224">
        <f>IF(F224="Ignacio", COUNTIF(F$5:F224, "Ignacio"), "")</f>
        <v/>
      </c>
      <c r="V224">
        <f>IF(F224="Tripulacion", COUNTIF(F$5:F224, "Tripulacion"), "")</f>
        <v/>
      </c>
      <c r="W224">
        <f>IF(F224="ENAP carga", COUNTIF(F$5:F224, "ENAP carga"), "")</f>
        <v/>
      </c>
    </row>
    <row r="225">
      <c r="O225" s="117">
        <f>IF(F225="CJ", I225*200, "")</f>
        <v/>
      </c>
      <c r="T225">
        <f>IF(F225="CJ", COUNTIF(F$5:F225, "CJ"), "")</f>
        <v/>
      </c>
      <c r="U225">
        <f>IF(F225="Ignacio", COUNTIF(F$5:F225, "Ignacio"), "")</f>
        <v/>
      </c>
      <c r="V225">
        <f>IF(F225="Tripulacion", COUNTIF(F$5:F225, "Tripulacion"), "")</f>
        <v/>
      </c>
      <c r="W225">
        <f>IF(F225="ENAP carga", COUNTIF(F$5:F225, "ENAP carga"), "")</f>
        <v/>
      </c>
    </row>
    <row r="226">
      <c r="O226" s="117">
        <f>IF(F226="CJ", I226*200, "")</f>
        <v/>
      </c>
      <c r="T226">
        <f>IF(F226="CJ", COUNTIF(F$5:F226, "CJ"), "")</f>
        <v/>
      </c>
      <c r="U226">
        <f>IF(F226="Ignacio", COUNTIF(F$5:F226, "Ignacio"), "")</f>
        <v/>
      </c>
      <c r="V226">
        <f>IF(F226="Tripulacion", COUNTIF(F$5:F226, "Tripulacion"), "")</f>
        <v/>
      </c>
      <c r="W226">
        <f>IF(F226="ENAP carga", COUNTIF(F$5:F226, "ENAP carga"), "")</f>
        <v/>
      </c>
    </row>
    <row r="227">
      <c r="O227" s="117">
        <f>IF(F227="CJ", I227*200, "")</f>
        <v/>
      </c>
      <c r="T227">
        <f>IF(F227="CJ", COUNTIF(F$5:F227, "CJ"), "")</f>
        <v/>
      </c>
      <c r="U227">
        <f>IF(F227="Ignacio", COUNTIF(F$5:F227, "Ignacio"), "")</f>
        <v/>
      </c>
      <c r="V227">
        <f>IF(F227="Tripulacion", COUNTIF(F$5:F227, "Tripulacion"), "")</f>
        <v/>
      </c>
      <c r="W227">
        <f>IF(F227="ENAP carga", COUNTIF(F$5:F227, "ENAP carga"), "")</f>
        <v/>
      </c>
    </row>
    <row r="228">
      <c r="O228" s="117">
        <f>IF(F228="CJ", I228*200, "")</f>
        <v/>
      </c>
      <c r="T228">
        <f>IF(F228="CJ", COUNTIF(F$5:F228, "CJ"), "")</f>
        <v/>
      </c>
      <c r="U228">
        <f>IF(F228="Ignacio", COUNTIF(F$5:F228, "Ignacio"), "")</f>
        <v/>
      </c>
      <c r="V228">
        <f>IF(F228="Tripulacion", COUNTIF(F$5:F228, "Tripulacion"), "")</f>
        <v/>
      </c>
      <c r="W228">
        <f>IF(F228="ENAP carga", COUNTIF(F$5:F228, "ENAP carga"), "")</f>
        <v/>
      </c>
    </row>
    <row r="229">
      <c r="O229" s="117">
        <f>IF(F229="CJ", I229*200, "")</f>
        <v/>
      </c>
      <c r="T229">
        <f>IF(F229="CJ", COUNTIF(F$5:F229, "CJ"), "")</f>
        <v/>
      </c>
      <c r="U229">
        <f>IF(F229="Ignacio", COUNTIF(F$5:F229, "Ignacio"), "")</f>
        <v/>
      </c>
      <c r="V229">
        <f>IF(F229="Tripulacion", COUNTIF(F$5:F229, "Tripulacion"), "")</f>
        <v/>
      </c>
      <c r="W229">
        <f>IF(F229="ENAP carga", COUNTIF(F$5:F229, "ENAP carga"), "")</f>
        <v/>
      </c>
    </row>
    <row r="230">
      <c r="O230" s="117">
        <f>IF(F230="CJ", I230*200, "")</f>
        <v/>
      </c>
      <c r="T230">
        <f>IF(F230="CJ", COUNTIF(F$5:F230, "CJ"), "")</f>
        <v/>
      </c>
      <c r="U230">
        <f>IF(F230="Ignacio", COUNTIF(F$5:F230, "Ignacio"), "")</f>
        <v/>
      </c>
      <c r="V230">
        <f>IF(F230="Tripulacion", COUNTIF(F$5:F230, "Tripulacion"), "")</f>
        <v/>
      </c>
      <c r="W230">
        <f>IF(F230="ENAP carga", COUNTIF(F$5:F230, "ENAP carga"), "")</f>
        <v/>
      </c>
    </row>
    <row r="231">
      <c r="O231" s="117">
        <f>IF(F231="CJ", I231*200, "")</f>
        <v/>
      </c>
      <c r="T231">
        <f>IF(F231="CJ", COUNTIF(F$5:F231, "CJ"), "")</f>
        <v/>
      </c>
      <c r="U231">
        <f>IF(F231="Ignacio", COUNTIF(F$5:F231, "Ignacio"), "")</f>
        <v/>
      </c>
      <c r="V231">
        <f>IF(F231="Tripulacion", COUNTIF(F$5:F231, "Tripulacion"), "")</f>
        <v/>
      </c>
      <c r="W231">
        <f>IF(F231="ENAP carga", COUNTIF(F$5:F231, "ENAP carga"), "")</f>
        <v/>
      </c>
    </row>
    <row r="232">
      <c r="O232" s="117">
        <f>IF(F232="CJ", I232*200, "")</f>
        <v/>
      </c>
      <c r="T232">
        <f>IF(F232="CJ", COUNTIF(F$5:F232, "CJ"), "")</f>
        <v/>
      </c>
      <c r="U232">
        <f>IF(F232="Ignacio", COUNTIF(F$5:F232, "Ignacio"), "")</f>
        <v/>
      </c>
      <c r="V232">
        <f>IF(F232="Tripulacion", COUNTIF(F$5:F232, "Tripulacion"), "")</f>
        <v/>
      </c>
      <c r="W232">
        <f>IF(F232="ENAP carga", COUNTIF(F$5:F232, "ENAP carga"), "")</f>
        <v/>
      </c>
    </row>
    <row r="233">
      <c r="O233" s="117">
        <f>IF(F233="CJ", I233*200, "")</f>
        <v/>
      </c>
      <c r="T233">
        <f>IF(F233="CJ", COUNTIF(F$5:F233, "CJ"), "")</f>
        <v/>
      </c>
      <c r="U233">
        <f>IF(F233="Ignacio", COUNTIF(F$5:F233, "Ignacio"), "")</f>
        <v/>
      </c>
      <c r="V233">
        <f>IF(F233="Tripulacion", COUNTIF(F$5:F233, "Tripulacion"), "")</f>
        <v/>
      </c>
      <c r="W233">
        <f>IF(F233="ENAP carga", COUNTIF(F$5:F233, "ENAP carga"), "")</f>
        <v/>
      </c>
    </row>
    <row r="234">
      <c r="O234" s="117">
        <f>IF(F234="CJ", I234*200, "")</f>
        <v/>
      </c>
      <c r="T234">
        <f>IF(F234="CJ", COUNTIF(F$5:F234, "CJ"), "")</f>
        <v/>
      </c>
      <c r="U234">
        <f>IF(F234="Ignacio", COUNTIF(F$5:F234, "Ignacio"), "")</f>
        <v/>
      </c>
      <c r="V234">
        <f>IF(F234="Tripulacion", COUNTIF(F$5:F234, "Tripulacion"), "")</f>
        <v/>
      </c>
      <c r="W234">
        <f>IF(F234="ENAP carga", COUNTIF(F$5:F234, "ENAP carga"), "")</f>
        <v/>
      </c>
    </row>
    <row r="235">
      <c r="O235" s="117">
        <f>IF(F235="CJ", I235*200, "")</f>
        <v/>
      </c>
      <c r="T235">
        <f>IF(F235="CJ", COUNTIF(F$5:F235, "CJ"), "")</f>
        <v/>
      </c>
      <c r="U235">
        <f>IF(F235="Ignacio", COUNTIF(F$5:F235, "Ignacio"), "")</f>
        <v/>
      </c>
      <c r="V235">
        <f>IF(F235="Tripulacion", COUNTIF(F$5:F235, "Tripulacion"), "")</f>
        <v/>
      </c>
      <c r="W235">
        <f>IF(F235="ENAP carga", COUNTIF(F$5:F235, "ENAP carga"), "")</f>
        <v/>
      </c>
    </row>
    <row r="236">
      <c r="O236" s="117">
        <f>IF(F236="CJ", I236*200, "")</f>
        <v/>
      </c>
      <c r="T236">
        <f>IF(F236="CJ", COUNTIF(F$5:F236, "CJ"), "")</f>
        <v/>
      </c>
      <c r="U236">
        <f>IF(F236="Ignacio", COUNTIF(F$5:F236, "Ignacio"), "")</f>
        <v/>
      </c>
      <c r="V236">
        <f>IF(F236="Tripulacion", COUNTIF(F$5:F236, "Tripulacion"), "")</f>
        <v/>
      </c>
      <c r="W236">
        <f>IF(F236="ENAP carga", COUNTIF(F$5:F236, "ENAP carga"), "")</f>
        <v/>
      </c>
    </row>
    <row r="237">
      <c r="O237" s="117">
        <f>IF(F237="CJ", I237*200, "")</f>
        <v/>
      </c>
      <c r="T237">
        <f>IF(F237="CJ", COUNTIF(F$5:F237, "CJ"), "")</f>
        <v/>
      </c>
      <c r="U237">
        <f>IF(F237="Ignacio", COUNTIF(F$5:F237, "Ignacio"), "")</f>
        <v/>
      </c>
      <c r="V237">
        <f>IF(F237="Tripulacion", COUNTIF(F$5:F237, "Tripulacion"), "")</f>
        <v/>
      </c>
      <c r="W237">
        <f>IF(F237="ENAP carga", COUNTIF(F$5:F237, "ENAP carga"), "")</f>
        <v/>
      </c>
    </row>
    <row r="238">
      <c r="O238" s="117">
        <f>IF(F238="CJ", I238*200, "")</f>
        <v/>
      </c>
      <c r="T238">
        <f>IF(F238="CJ", COUNTIF(F$5:F238, "CJ"), "")</f>
        <v/>
      </c>
      <c r="U238">
        <f>IF(F238="Ignacio", COUNTIF(F$5:F238, "Ignacio"), "")</f>
        <v/>
      </c>
      <c r="V238">
        <f>IF(F238="Tripulacion", COUNTIF(F$5:F238, "Tripulacion"), "")</f>
        <v/>
      </c>
      <c r="W238">
        <f>IF(F238="ENAP carga", COUNTIF(F$5:F238, "ENAP carga"), "")</f>
        <v/>
      </c>
    </row>
    <row r="239">
      <c r="O239" s="117">
        <f>IF(F239="CJ", I239*200, "")</f>
        <v/>
      </c>
      <c r="T239">
        <f>IF(F239="CJ", COUNTIF(F$5:F239, "CJ"), "")</f>
        <v/>
      </c>
      <c r="U239">
        <f>IF(F239="Ignacio", COUNTIF(F$5:F239, "Ignacio"), "")</f>
        <v/>
      </c>
      <c r="V239">
        <f>IF(F239="Tripulacion", COUNTIF(F$5:F239, "Tripulacion"), "")</f>
        <v/>
      </c>
      <c r="W239">
        <f>IF(F239="ENAP carga", COUNTIF(F$5:F239, "ENAP carga"), "")</f>
        <v/>
      </c>
    </row>
    <row r="240">
      <c r="O240" s="117">
        <f>IF(F240="CJ", I240*200, "")</f>
        <v/>
      </c>
      <c r="T240">
        <f>IF(F240="CJ", COUNTIF(F$5:F240, "CJ"), "")</f>
        <v/>
      </c>
      <c r="U240">
        <f>IF(F240="Ignacio", COUNTIF(F$5:F240, "Ignacio"), "")</f>
        <v/>
      </c>
      <c r="V240">
        <f>IF(F240="Tripulacion", COUNTIF(F$5:F240, "Tripulacion"), "")</f>
        <v/>
      </c>
      <c r="W240">
        <f>IF(F240="ENAP carga", COUNTIF(F$5:F240, "ENAP carga"), "")</f>
        <v/>
      </c>
    </row>
    <row r="241">
      <c r="O241" s="117">
        <f>IF(F241="CJ", I241*200, "")</f>
        <v/>
      </c>
      <c r="T241">
        <f>IF(F241="CJ", COUNTIF(F$5:F241, "CJ"), "")</f>
        <v/>
      </c>
      <c r="U241">
        <f>IF(F241="Ignacio", COUNTIF(F$5:F241, "Ignacio"), "")</f>
        <v/>
      </c>
      <c r="V241">
        <f>IF(F241="Tripulacion", COUNTIF(F$5:F241, "Tripulacion"), "")</f>
        <v/>
      </c>
      <c r="W241">
        <f>IF(F241="ENAP carga", COUNTIF(F$5:F241, "ENAP carga"), "")</f>
        <v/>
      </c>
    </row>
    <row r="242">
      <c r="O242" s="117">
        <f>IF(F242="CJ", I242*200, "")</f>
        <v/>
      </c>
      <c r="T242">
        <f>IF(F242="CJ", COUNTIF(F$5:F242, "CJ"), "")</f>
        <v/>
      </c>
      <c r="U242">
        <f>IF(F242="Ignacio", COUNTIF(F$5:F242, "Ignacio"), "")</f>
        <v/>
      </c>
      <c r="V242">
        <f>IF(F242="Tripulacion", COUNTIF(F$5:F242, "Tripulacion"), "")</f>
        <v/>
      </c>
      <c r="W242">
        <f>IF(F242="ENAP carga", COUNTIF(F$5:F242, "ENAP carga"), "")</f>
        <v/>
      </c>
    </row>
    <row r="243">
      <c r="O243" s="117">
        <f>IF(F243="CJ", I243*200, "")</f>
        <v/>
      </c>
      <c r="T243">
        <f>IF(F243="CJ", COUNTIF(F$5:F243, "CJ"), "")</f>
        <v/>
      </c>
      <c r="U243">
        <f>IF(F243="Ignacio", COUNTIF(F$5:F243, "Ignacio"), "")</f>
        <v/>
      </c>
      <c r="V243">
        <f>IF(F243="Tripulacion", COUNTIF(F$5:F243, "Tripulacion"), "")</f>
        <v/>
      </c>
      <c r="W243">
        <f>IF(F243="ENAP carga", COUNTIF(F$5:F243, "ENAP carga"), "")</f>
        <v/>
      </c>
    </row>
    <row r="244">
      <c r="O244" s="117">
        <f>IF(F244="CJ", I244*200, "")</f>
        <v/>
      </c>
      <c r="T244">
        <f>IF(F244="CJ", COUNTIF(F$5:F244, "CJ"), "")</f>
        <v/>
      </c>
      <c r="U244">
        <f>IF(F244="Ignacio", COUNTIF(F$5:F244, "Ignacio"), "")</f>
        <v/>
      </c>
      <c r="V244">
        <f>IF(F244="Tripulacion", COUNTIF(F$5:F244, "Tripulacion"), "")</f>
        <v/>
      </c>
      <c r="W244">
        <f>IF(F244="ENAP carga", COUNTIF(F$5:F244, "ENAP carga"), "")</f>
        <v/>
      </c>
    </row>
    <row r="245">
      <c r="O245" s="117">
        <f>IF(F245="CJ", I245*200, "")</f>
        <v/>
      </c>
      <c r="T245">
        <f>IF(F245="CJ", COUNTIF(F$5:F245, "CJ"), "")</f>
        <v/>
      </c>
      <c r="U245">
        <f>IF(F245="Ignacio", COUNTIF(F$5:F245, "Ignacio"), "")</f>
        <v/>
      </c>
      <c r="V245">
        <f>IF(F245="Tripulacion", COUNTIF(F$5:F245, "Tripulacion"), "")</f>
        <v/>
      </c>
      <c r="W245">
        <f>IF(F245="ENAP carga", COUNTIF(F$5:F245, "ENAP carga"), "")</f>
        <v/>
      </c>
    </row>
    <row r="246">
      <c r="O246" s="117">
        <f>IF(F246="CJ", I246*200, "")</f>
        <v/>
      </c>
      <c r="T246">
        <f>IF(F246="CJ", COUNTIF(F$5:F246, "CJ"), "")</f>
        <v/>
      </c>
      <c r="U246">
        <f>IF(F246="Ignacio", COUNTIF(F$5:F246, "Ignacio"), "")</f>
        <v/>
      </c>
      <c r="V246">
        <f>IF(F246="Tripulacion", COUNTIF(F$5:F246, "Tripulacion"), "")</f>
        <v/>
      </c>
      <c r="W246">
        <f>IF(F246="ENAP carga", COUNTIF(F$5:F246, "ENAP carga"), "")</f>
        <v/>
      </c>
    </row>
    <row r="247">
      <c r="O247" s="117">
        <f>IF(F247="CJ", I247*200, "")</f>
        <v/>
      </c>
      <c r="T247">
        <f>IF(F247="CJ", COUNTIF(F$5:F247, "CJ"), "")</f>
        <v/>
      </c>
      <c r="U247">
        <f>IF(F247="Ignacio", COUNTIF(F$5:F247, "Ignacio"), "")</f>
        <v/>
      </c>
      <c r="V247">
        <f>IF(F247="Tripulacion", COUNTIF(F$5:F247, "Tripulacion"), "")</f>
        <v/>
      </c>
      <c r="W247">
        <f>IF(F247="ENAP carga", COUNTIF(F$5:F247, "ENAP carga"), "")</f>
        <v/>
      </c>
    </row>
    <row r="248">
      <c r="O248" s="117">
        <f>IF(F248="CJ", I248*200, "")</f>
        <v/>
      </c>
      <c r="T248">
        <f>IF(F248="CJ", COUNTIF(F$5:F248, "CJ"), "")</f>
        <v/>
      </c>
      <c r="U248">
        <f>IF(F248="Ignacio", COUNTIF(F$5:F248, "Ignacio"), "")</f>
        <v/>
      </c>
      <c r="V248">
        <f>IF(F248="Tripulacion", COUNTIF(F$5:F248, "Tripulacion"), "")</f>
        <v/>
      </c>
      <c r="W248">
        <f>IF(F248="ENAP carga", COUNTIF(F$5:F248, "ENAP carga"), "")</f>
        <v/>
      </c>
    </row>
    <row r="249">
      <c r="O249" s="117">
        <f>IF(F249="CJ", I249*200, "")</f>
        <v/>
      </c>
      <c r="T249">
        <f>IF(F249="CJ", COUNTIF(F$5:F249, "CJ"), "")</f>
        <v/>
      </c>
      <c r="U249">
        <f>IF(F249="Ignacio", COUNTIF(F$5:F249, "Ignacio"), "")</f>
        <v/>
      </c>
      <c r="V249">
        <f>IF(F249="Tripulacion", COUNTIF(F$5:F249, "Tripulacion"), "")</f>
        <v/>
      </c>
      <c r="W249">
        <f>IF(F249="ENAP carga", COUNTIF(F$5:F249, "ENAP carga"), "")</f>
        <v/>
      </c>
    </row>
    <row r="250">
      <c r="O250" s="117">
        <f>IF(F250="CJ", I250*200, "")</f>
        <v/>
      </c>
      <c r="T250">
        <f>IF(F250="CJ", COUNTIF(F$5:F250, "CJ"), "")</f>
        <v/>
      </c>
      <c r="U250">
        <f>IF(F250="Ignacio", COUNTIF(F$5:F250, "Ignacio"), "")</f>
        <v/>
      </c>
      <c r="V250">
        <f>IF(F250="Tripulacion", COUNTIF(F$5:F250, "Tripulacion"), "")</f>
        <v/>
      </c>
      <c r="W250">
        <f>IF(F250="ENAP carga", COUNTIF(F$5:F250, "ENAP carga"), "")</f>
        <v/>
      </c>
    </row>
    <row r="251">
      <c r="O251" s="117">
        <f>IF(F251="CJ", I251*200, "")</f>
        <v/>
      </c>
      <c r="T251">
        <f>IF(F251="CJ", COUNTIF(F$5:F251, "CJ"), "")</f>
        <v/>
      </c>
      <c r="U251">
        <f>IF(F251="Ignacio", COUNTIF(F$5:F251, "Ignacio"), "")</f>
        <v/>
      </c>
      <c r="V251">
        <f>IF(F251="Tripulacion", COUNTIF(F$5:F251, "Tripulacion"), "")</f>
        <v/>
      </c>
      <c r="W251">
        <f>IF(F251="ENAP carga", COUNTIF(F$5:F251, "ENAP carga"), "")</f>
        <v/>
      </c>
    </row>
    <row r="252">
      <c r="O252" s="117">
        <f>IF(F252="CJ", I252*200, "")</f>
        <v/>
      </c>
      <c r="T252">
        <f>IF(F252="CJ", COUNTIF(F$5:F252, "CJ"), "")</f>
        <v/>
      </c>
      <c r="U252">
        <f>IF(F252="Ignacio", COUNTIF(F$5:F252, "Ignacio"), "")</f>
        <v/>
      </c>
      <c r="V252">
        <f>IF(F252="Tripulacion", COUNTIF(F$5:F252, "Tripulacion"), "")</f>
        <v/>
      </c>
      <c r="W252">
        <f>IF(F252="ENAP carga", COUNTIF(F$5:F252, "ENAP carga"), "")</f>
        <v/>
      </c>
    </row>
    <row r="253">
      <c r="O253" s="117">
        <f>IF(F253="CJ", I253*200, "")</f>
        <v/>
      </c>
      <c r="T253">
        <f>IF(F253="CJ", COUNTIF(F$5:F253, "CJ"), "")</f>
        <v/>
      </c>
      <c r="U253">
        <f>IF(F253="Ignacio", COUNTIF(F$5:F253, "Ignacio"), "")</f>
        <v/>
      </c>
      <c r="V253">
        <f>IF(F253="Tripulacion", COUNTIF(F$5:F253, "Tripulacion"), "")</f>
        <v/>
      </c>
      <c r="W253">
        <f>IF(F253="ENAP carga", COUNTIF(F$5:F253, "ENAP carga"), "")</f>
        <v/>
      </c>
    </row>
    <row r="254">
      <c r="O254" s="117">
        <f>IF(F254="CJ", I254*200, "")</f>
        <v/>
      </c>
      <c r="T254">
        <f>IF(F254="CJ", COUNTIF(F$5:F254, "CJ"), "")</f>
        <v/>
      </c>
      <c r="U254">
        <f>IF(F254="Ignacio", COUNTIF(F$5:F254, "Ignacio"), "")</f>
        <v/>
      </c>
      <c r="V254">
        <f>IF(F254="Tripulacion", COUNTIF(F$5:F254, "Tripulacion"), "")</f>
        <v/>
      </c>
      <c r="W254">
        <f>IF(F254="ENAP carga", COUNTIF(F$5:F254, "ENAP carga"), "")</f>
        <v/>
      </c>
    </row>
    <row r="255">
      <c r="O255" s="117">
        <f>IF(F255="CJ", I255*200, "")</f>
        <v/>
      </c>
      <c r="T255">
        <f>IF(F255="CJ", COUNTIF(F$5:F255, "CJ"), "")</f>
        <v/>
      </c>
      <c r="U255">
        <f>IF(F255="Ignacio", COUNTIF(F$5:F255, "Ignacio"), "")</f>
        <v/>
      </c>
      <c r="V255">
        <f>IF(F255="Tripulacion", COUNTIF(F$5:F255, "Tripulacion"), "")</f>
        <v/>
      </c>
      <c r="W255">
        <f>IF(F255="ENAP carga", COUNTIF(F$5:F255, "ENAP carga"), "")</f>
        <v/>
      </c>
    </row>
    <row r="256">
      <c r="O256" s="117">
        <f>IF(F256="CJ", I256*200, "")</f>
        <v/>
      </c>
      <c r="T256">
        <f>IF(F256="CJ", COUNTIF(F$5:F256, "CJ"), "")</f>
        <v/>
      </c>
      <c r="U256">
        <f>IF(F256="Ignacio", COUNTIF(F$5:F256, "Ignacio"), "")</f>
        <v/>
      </c>
      <c r="V256">
        <f>IF(F256="Tripulacion", COUNTIF(F$5:F256, "Tripulacion"), "")</f>
        <v/>
      </c>
      <c r="W256">
        <f>IF(F256="ENAP carga", COUNTIF(F$5:F256, "ENAP carga"), "")</f>
        <v/>
      </c>
    </row>
    <row r="257">
      <c r="O257" s="117">
        <f>IF(F257="CJ", I257*200, "")</f>
        <v/>
      </c>
      <c r="T257">
        <f>IF(F257="CJ", COUNTIF(F$5:F257, "CJ"), "")</f>
        <v/>
      </c>
      <c r="U257">
        <f>IF(F257="Ignacio", COUNTIF(F$5:F257, "Ignacio"), "")</f>
        <v/>
      </c>
      <c r="V257">
        <f>IF(F257="Tripulacion", COUNTIF(F$5:F257, "Tripulacion"), "")</f>
        <v/>
      </c>
      <c r="W257">
        <f>IF(F257="ENAP carga", COUNTIF(F$5:F257, "ENAP carga"), "")</f>
        <v/>
      </c>
    </row>
    <row r="258">
      <c r="O258" s="117">
        <f>IF(F258="CJ", I258*200, "")</f>
        <v/>
      </c>
      <c r="T258">
        <f>IF(F258="CJ", COUNTIF(F$5:F258, "CJ"), "")</f>
        <v/>
      </c>
      <c r="U258">
        <f>IF(F258="Ignacio", COUNTIF(F$5:F258, "Ignacio"), "")</f>
        <v/>
      </c>
      <c r="V258">
        <f>IF(F258="Tripulacion", COUNTIF(F$5:F258, "Tripulacion"), "")</f>
        <v/>
      </c>
      <c r="W258">
        <f>IF(F258="ENAP carga", COUNTIF(F$5:F258, "ENAP carga"), "")</f>
        <v/>
      </c>
    </row>
    <row r="259">
      <c r="O259" s="117">
        <f>IF(F259="CJ", I259*200, "")</f>
        <v/>
      </c>
      <c r="T259">
        <f>IF(F259="CJ", COUNTIF(F$5:F259, "CJ"), "")</f>
        <v/>
      </c>
      <c r="U259">
        <f>IF(F259="Ignacio", COUNTIF(F$5:F259, "Ignacio"), "")</f>
        <v/>
      </c>
      <c r="V259">
        <f>IF(F259="Tripulacion", COUNTIF(F$5:F259, "Tripulacion"), "")</f>
        <v/>
      </c>
      <c r="W259">
        <f>IF(F259="ENAP carga", COUNTIF(F$5:F259, "ENAP carga"), "")</f>
        <v/>
      </c>
    </row>
    <row r="260">
      <c r="O260" s="117">
        <f>IF(F260="CJ", I260*200, "")</f>
        <v/>
      </c>
      <c r="T260">
        <f>IF(F260="CJ", COUNTIF(F$5:F260, "CJ"), "")</f>
        <v/>
      </c>
      <c r="U260">
        <f>IF(F260="Ignacio", COUNTIF(F$5:F260, "Ignacio"), "")</f>
        <v/>
      </c>
      <c r="V260">
        <f>IF(F260="Tripulacion", COUNTIF(F$5:F260, "Tripulacion"), "")</f>
        <v/>
      </c>
      <c r="W260">
        <f>IF(F260="ENAP carga", COUNTIF(F$5:F260, "ENAP carga"), "")</f>
        <v/>
      </c>
    </row>
    <row r="261">
      <c r="O261" s="117">
        <f>IF(F261="CJ", I261*200, "")</f>
        <v/>
      </c>
      <c r="T261">
        <f>IF(F261="CJ", COUNTIF(F$5:F261, "CJ"), "")</f>
        <v/>
      </c>
      <c r="U261">
        <f>IF(F261="Ignacio", COUNTIF(F$5:F261, "Ignacio"), "")</f>
        <v/>
      </c>
      <c r="V261">
        <f>IF(F261="Tripulacion", COUNTIF(F$5:F261, "Tripulacion"), "")</f>
        <v/>
      </c>
      <c r="W261">
        <f>IF(F261="ENAP carga", COUNTIF(F$5:F261, "ENAP carga"), "")</f>
        <v/>
      </c>
    </row>
    <row r="262">
      <c r="O262" s="117">
        <f>IF(F262="CJ", I262*200, "")</f>
        <v/>
      </c>
      <c r="T262">
        <f>IF(F262="CJ", COUNTIF(F$5:F262, "CJ"), "")</f>
        <v/>
      </c>
      <c r="U262">
        <f>IF(F262="Ignacio", COUNTIF(F$5:F262, "Ignacio"), "")</f>
        <v/>
      </c>
      <c r="V262">
        <f>IF(F262="Tripulacion", COUNTIF(F$5:F262, "Tripulacion"), "")</f>
        <v/>
      </c>
      <c r="W262">
        <f>IF(F262="ENAP carga", COUNTIF(F$5:F262, "ENAP carga"), "")</f>
        <v/>
      </c>
    </row>
    <row r="263">
      <c r="O263" s="117">
        <f>IF(F263="CJ", I263*200, "")</f>
        <v/>
      </c>
      <c r="T263">
        <f>IF(F263="CJ", COUNTIF(F$5:F263, "CJ"), "")</f>
        <v/>
      </c>
      <c r="U263">
        <f>IF(F263="Ignacio", COUNTIF(F$5:F263, "Ignacio"), "")</f>
        <v/>
      </c>
      <c r="V263">
        <f>IF(F263="Tripulacion", COUNTIF(F$5:F263, "Tripulacion"), "")</f>
        <v/>
      </c>
      <c r="W263">
        <f>IF(F263="ENAP carga", COUNTIF(F$5:F263, "ENAP carga"), "")</f>
        <v/>
      </c>
    </row>
    <row r="264">
      <c r="O264" s="117">
        <f>IF(F264="CJ", I264*200, "")</f>
        <v/>
      </c>
      <c r="T264">
        <f>IF(F264="CJ", COUNTIF(F$5:F264, "CJ"), "")</f>
        <v/>
      </c>
      <c r="U264">
        <f>IF(F264="Ignacio", COUNTIF(F$5:F264, "Ignacio"), "")</f>
        <v/>
      </c>
      <c r="V264">
        <f>IF(F264="Tripulacion", COUNTIF(F$5:F264, "Tripulacion"), "")</f>
        <v/>
      </c>
      <c r="W264">
        <f>IF(F264="ENAP carga", COUNTIF(F$5:F264, "ENAP carga"), "")</f>
        <v/>
      </c>
    </row>
    <row r="265">
      <c r="O265" s="117">
        <f>IF(F265="CJ", I265*200, "")</f>
        <v/>
      </c>
      <c r="T265">
        <f>IF(F265="CJ", COUNTIF(F$5:F265, "CJ"), "")</f>
        <v/>
      </c>
      <c r="U265">
        <f>IF(F265="Ignacio", COUNTIF(F$5:F265, "Ignacio"), "")</f>
        <v/>
      </c>
      <c r="V265">
        <f>IF(F265="Tripulacion", COUNTIF(F$5:F265, "Tripulacion"), "")</f>
        <v/>
      </c>
      <c r="W265">
        <f>IF(F265="ENAP carga", COUNTIF(F$5:F265, "ENAP carga"), "")</f>
        <v/>
      </c>
    </row>
    <row r="266">
      <c r="O266" s="117">
        <f>IF(F266="CJ", I266*200, "")</f>
        <v/>
      </c>
      <c r="T266">
        <f>IF(F266="CJ", COUNTIF(F$5:F266, "CJ"), "")</f>
        <v/>
      </c>
      <c r="U266">
        <f>IF(F266="Ignacio", COUNTIF(F$5:F266, "Ignacio"), "")</f>
        <v/>
      </c>
      <c r="V266">
        <f>IF(F266="Tripulacion", COUNTIF(F$5:F266, "Tripulacion"), "")</f>
        <v/>
      </c>
      <c r="W266">
        <f>IF(F266="ENAP carga", COUNTIF(F$5:F266, "ENAP carga"), "")</f>
        <v/>
      </c>
    </row>
    <row r="267">
      <c r="O267" s="117">
        <f>IF(F267="CJ", I267*200, "")</f>
        <v/>
      </c>
      <c r="T267">
        <f>IF(F267="CJ", COUNTIF(F$5:F267, "CJ"), "")</f>
        <v/>
      </c>
      <c r="U267">
        <f>IF(F267="Ignacio", COUNTIF(F$5:F267, "Ignacio"), "")</f>
        <v/>
      </c>
      <c r="V267">
        <f>IF(F267="Tripulacion", COUNTIF(F$5:F267, "Tripulacion"), "")</f>
        <v/>
      </c>
      <c r="W267">
        <f>IF(F267="ENAP carga", COUNTIF(F$5:F267, "ENAP carga"), "")</f>
        <v/>
      </c>
    </row>
    <row r="268">
      <c r="O268" s="117">
        <f>IF(F268="CJ", I268*200, "")</f>
        <v/>
      </c>
      <c r="T268">
        <f>IF(F268="CJ", COUNTIF(F$5:F268, "CJ"), "")</f>
        <v/>
      </c>
      <c r="U268">
        <f>IF(F268="Ignacio", COUNTIF(F$5:F268, "Ignacio"), "")</f>
        <v/>
      </c>
      <c r="V268">
        <f>IF(F268="Tripulacion", COUNTIF(F$5:F268, "Tripulacion"), "")</f>
        <v/>
      </c>
      <c r="W268">
        <f>IF(F268="ENAP carga", COUNTIF(F$5:F268, "ENAP carga"), "")</f>
        <v/>
      </c>
    </row>
    <row r="269">
      <c r="O269" s="117">
        <f>IF(F269="CJ", I269*200, "")</f>
        <v/>
      </c>
      <c r="T269">
        <f>IF(F269="CJ", COUNTIF(F$5:F269, "CJ"), "")</f>
        <v/>
      </c>
      <c r="U269">
        <f>IF(F269="Ignacio", COUNTIF(F$5:F269, "Ignacio"), "")</f>
        <v/>
      </c>
      <c r="V269">
        <f>IF(F269="Tripulacion", COUNTIF(F$5:F269, "Tripulacion"), "")</f>
        <v/>
      </c>
      <c r="W269">
        <f>IF(F269="ENAP carga", COUNTIF(F$5:F269, "ENAP carga"), "")</f>
        <v/>
      </c>
    </row>
    <row r="270">
      <c r="O270" s="117">
        <f>IF(F270="CJ", I270*200, "")</f>
        <v/>
      </c>
      <c r="T270">
        <f>IF(F270="CJ", COUNTIF(F$5:F270, "CJ"), "")</f>
        <v/>
      </c>
      <c r="U270">
        <f>IF(F270="Ignacio", COUNTIF(F$5:F270, "Ignacio"), "")</f>
        <v/>
      </c>
      <c r="V270">
        <f>IF(F270="Tripulacion", COUNTIF(F$5:F270, "Tripulacion"), "")</f>
        <v/>
      </c>
      <c r="W270">
        <f>IF(F270="ENAP carga", COUNTIF(F$5:F270, "ENAP carga"), "")</f>
        <v/>
      </c>
    </row>
    <row r="271">
      <c r="O271" s="117">
        <f>IF(F271="CJ", I271*200, "")</f>
        <v/>
      </c>
      <c r="T271">
        <f>IF(F271="CJ", COUNTIF(F$5:F271, "CJ"), "")</f>
        <v/>
      </c>
      <c r="U271">
        <f>IF(F271="Ignacio", COUNTIF(F$5:F271, "Ignacio"), "")</f>
        <v/>
      </c>
      <c r="V271">
        <f>IF(F271="Tripulacion", COUNTIF(F$5:F271, "Tripulacion"), "")</f>
        <v/>
      </c>
      <c r="W271">
        <f>IF(F271="ENAP carga", COUNTIF(F$5:F271, "ENAP carga"), "")</f>
        <v/>
      </c>
    </row>
    <row r="272">
      <c r="O272" s="117">
        <f>IF(F272="CJ", I272*200, "")</f>
        <v/>
      </c>
      <c r="T272">
        <f>IF(F272="CJ", COUNTIF(F$5:F272, "CJ"), "")</f>
        <v/>
      </c>
      <c r="U272">
        <f>IF(F272="Ignacio", COUNTIF(F$5:F272, "Ignacio"), "")</f>
        <v/>
      </c>
      <c r="V272">
        <f>IF(F272="Tripulacion", COUNTIF(F$5:F272, "Tripulacion"), "")</f>
        <v/>
      </c>
      <c r="W272">
        <f>IF(F272="ENAP carga", COUNTIF(F$5:F272, "ENAP carga"), "")</f>
        <v/>
      </c>
    </row>
    <row r="273">
      <c r="O273" s="117">
        <f>IF(F273="CJ", I273*200, "")</f>
        <v/>
      </c>
      <c r="T273">
        <f>IF(F273="CJ", COUNTIF(F$5:F273, "CJ"), "")</f>
        <v/>
      </c>
      <c r="U273">
        <f>IF(F273="Ignacio", COUNTIF(F$5:F273, "Ignacio"), "")</f>
        <v/>
      </c>
      <c r="V273">
        <f>IF(F273="Tripulacion", COUNTIF(F$5:F273, "Tripulacion"), "")</f>
        <v/>
      </c>
      <c r="W273">
        <f>IF(F273="ENAP carga", COUNTIF(F$5:F273, "ENAP carga"), "")</f>
        <v/>
      </c>
    </row>
    <row r="274">
      <c r="O274" s="117">
        <f>IF(F274="CJ", I274*200, "")</f>
        <v/>
      </c>
      <c r="T274">
        <f>IF(F274="CJ", COUNTIF(F$5:F274, "CJ"), "")</f>
        <v/>
      </c>
      <c r="U274">
        <f>IF(F274="Ignacio", COUNTIF(F$5:F274, "Ignacio"), "")</f>
        <v/>
      </c>
      <c r="V274">
        <f>IF(F274="Tripulacion", COUNTIF(F$5:F274, "Tripulacion"), "")</f>
        <v/>
      </c>
      <c r="W274">
        <f>IF(F274="ENAP carga", COUNTIF(F$5:F274, "ENAP carga"), "")</f>
        <v/>
      </c>
    </row>
    <row r="275">
      <c r="O275" s="117">
        <f>IF(F275="CJ", I275*200, "")</f>
        <v/>
      </c>
      <c r="T275">
        <f>IF(F275="CJ", COUNTIF(F$5:F275, "CJ"), "")</f>
        <v/>
      </c>
      <c r="U275">
        <f>IF(F275="Ignacio", COUNTIF(F$5:F275, "Ignacio"), "")</f>
        <v/>
      </c>
      <c r="V275">
        <f>IF(F275="Tripulacion", COUNTIF(F$5:F275, "Tripulacion"), "")</f>
        <v/>
      </c>
      <c r="W275">
        <f>IF(F275="ENAP carga", COUNTIF(F$5:F275, "ENAP carga"), "")</f>
        <v/>
      </c>
    </row>
    <row r="276">
      <c r="O276" s="117">
        <f>IF(F276="CJ", I276*200, "")</f>
        <v/>
      </c>
      <c r="T276">
        <f>IF(F276="CJ", COUNTIF(F$5:F276, "CJ"), "")</f>
        <v/>
      </c>
      <c r="U276">
        <f>IF(F276="Ignacio", COUNTIF(F$5:F276, "Ignacio"), "")</f>
        <v/>
      </c>
      <c r="V276">
        <f>IF(F276="Tripulacion", COUNTIF(F$5:F276, "Tripulacion"), "")</f>
        <v/>
      </c>
      <c r="W276">
        <f>IF(F276="ENAP carga", COUNTIF(F$5:F276, "ENAP carga"), "")</f>
        <v/>
      </c>
    </row>
    <row r="277">
      <c r="O277" s="117">
        <f>IF(F277="CJ", I277*200, "")</f>
        <v/>
      </c>
      <c r="T277">
        <f>IF(F277="CJ", COUNTIF(F$5:F277, "CJ"), "")</f>
        <v/>
      </c>
      <c r="U277">
        <f>IF(F277="Ignacio", COUNTIF(F$5:F277, "Ignacio"), "")</f>
        <v/>
      </c>
      <c r="V277">
        <f>IF(F277="Tripulacion", COUNTIF(F$5:F277, "Tripulacion"), "")</f>
        <v/>
      </c>
      <c r="W277">
        <f>IF(F277="ENAP carga", COUNTIF(F$5:F277, "ENAP carga"), "")</f>
        <v/>
      </c>
    </row>
    <row r="278">
      <c r="O278" s="117">
        <f>IF(F278="CJ", I278*200, "")</f>
        <v/>
      </c>
      <c r="T278">
        <f>IF(F278="CJ", COUNTIF(F$5:F278, "CJ"), "")</f>
        <v/>
      </c>
      <c r="U278">
        <f>IF(F278="Ignacio", COUNTIF(F$5:F278, "Ignacio"), "")</f>
        <v/>
      </c>
      <c r="V278">
        <f>IF(F278="Tripulacion", COUNTIF(F$5:F278, "Tripulacion"), "")</f>
        <v/>
      </c>
      <c r="W278">
        <f>IF(F278="ENAP carga", COUNTIF(F$5:F278, "ENAP carga"), "")</f>
        <v/>
      </c>
    </row>
    <row r="279">
      <c r="O279" s="117">
        <f>IF(F279="CJ", I279*200, "")</f>
        <v/>
      </c>
      <c r="T279">
        <f>IF(F279="CJ", COUNTIF(F$5:F279, "CJ"), "")</f>
        <v/>
      </c>
      <c r="U279">
        <f>IF(F279="Ignacio", COUNTIF(F$5:F279, "Ignacio"), "")</f>
        <v/>
      </c>
      <c r="V279">
        <f>IF(F279="Tripulacion", COUNTIF(F$5:F279, "Tripulacion"), "")</f>
        <v/>
      </c>
      <c r="W279">
        <f>IF(F279="ENAP carga", COUNTIF(F$5:F279, "ENAP carga"), "")</f>
        <v/>
      </c>
    </row>
    <row r="280">
      <c r="O280" s="117">
        <f>IF(F280="CJ", I280*200, "")</f>
        <v/>
      </c>
      <c r="T280">
        <f>IF(F280="CJ", COUNTIF(F$5:F280, "CJ"), "")</f>
        <v/>
      </c>
      <c r="U280">
        <f>IF(F280="Ignacio", COUNTIF(F$5:F280, "Ignacio"), "")</f>
        <v/>
      </c>
      <c r="V280">
        <f>IF(F280="Tripulacion", COUNTIF(F$5:F280, "Tripulacion"), "")</f>
        <v/>
      </c>
      <c r="W280">
        <f>IF(F280="ENAP carga", COUNTIF(F$5:F280, "ENAP carga"), "")</f>
        <v/>
      </c>
    </row>
    <row r="281">
      <c r="O281" s="117">
        <f>IF(F281="CJ", I281*200, "")</f>
        <v/>
      </c>
      <c r="T281">
        <f>IF(F281="CJ", COUNTIF(F$5:F281, "CJ"), "")</f>
        <v/>
      </c>
      <c r="U281">
        <f>IF(F281="Ignacio", COUNTIF(F$5:F281, "Ignacio"), "")</f>
        <v/>
      </c>
      <c r="V281">
        <f>IF(F281="Tripulacion", COUNTIF(F$5:F281, "Tripulacion"), "")</f>
        <v/>
      </c>
      <c r="W281">
        <f>IF(F281="ENAP carga", COUNTIF(F$5:F281, "ENAP carga"), "")</f>
        <v/>
      </c>
    </row>
    <row r="282">
      <c r="O282" s="117">
        <f>IF(F282="CJ", I282*200, "")</f>
        <v/>
      </c>
      <c r="T282">
        <f>IF(F282="CJ", COUNTIF(F$5:F282, "CJ"), "")</f>
        <v/>
      </c>
      <c r="U282">
        <f>IF(F282="Ignacio", COUNTIF(F$5:F282, "Ignacio"), "")</f>
        <v/>
      </c>
      <c r="V282">
        <f>IF(F282="Tripulacion", COUNTIF(F$5:F282, "Tripulacion"), "")</f>
        <v/>
      </c>
      <c r="W282">
        <f>IF(F282="ENAP carga", COUNTIF(F$5:F282, "ENAP carga"), "")</f>
        <v/>
      </c>
    </row>
    <row r="283">
      <c r="O283" s="117">
        <f>IF(F283="CJ", I283*200, "")</f>
        <v/>
      </c>
      <c r="T283">
        <f>IF(F283="CJ", COUNTIF(F$5:F283, "CJ"), "")</f>
        <v/>
      </c>
      <c r="U283">
        <f>IF(F283="Ignacio", COUNTIF(F$5:F283, "Ignacio"), "")</f>
        <v/>
      </c>
      <c r="V283">
        <f>IF(F283="Tripulacion", COUNTIF(F$5:F283, "Tripulacion"), "")</f>
        <v/>
      </c>
      <c r="W283">
        <f>IF(F283="ENAP carga", COUNTIF(F$5:F283, "ENAP carga"), "")</f>
        <v/>
      </c>
    </row>
    <row r="284">
      <c r="O284" s="117">
        <f>IF(F284="CJ", I284*200, "")</f>
        <v/>
      </c>
      <c r="T284">
        <f>IF(F284="CJ", COUNTIF(F$5:F284, "CJ"), "")</f>
        <v/>
      </c>
      <c r="U284">
        <f>IF(F284="Ignacio", COUNTIF(F$5:F284, "Ignacio"), "")</f>
        <v/>
      </c>
      <c r="V284">
        <f>IF(F284="Tripulacion", COUNTIF(F$5:F284, "Tripulacion"), "")</f>
        <v/>
      </c>
      <c r="W284">
        <f>IF(F284="ENAP carga", COUNTIF(F$5:F284, "ENAP carga"), "")</f>
        <v/>
      </c>
    </row>
    <row r="285">
      <c r="O285" s="117">
        <f>IF(F285="CJ", I285*200, "")</f>
        <v/>
      </c>
      <c r="T285">
        <f>IF(F285="CJ", COUNTIF(F$5:F285, "CJ"), "")</f>
        <v/>
      </c>
      <c r="U285">
        <f>IF(F285="Ignacio", COUNTIF(F$5:F285, "Ignacio"), "")</f>
        <v/>
      </c>
      <c r="V285">
        <f>IF(F285="Tripulacion", COUNTIF(F$5:F285, "Tripulacion"), "")</f>
        <v/>
      </c>
      <c r="W285">
        <f>IF(F285="ENAP carga", COUNTIF(F$5:F285, "ENAP carga"), "")</f>
        <v/>
      </c>
    </row>
    <row r="286">
      <c r="O286" s="117">
        <f>IF(F286="CJ", I286*200, "")</f>
        <v/>
      </c>
      <c r="T286">
        <f>IF(F286="CJ", COUNTIF(F$5:F286, "CJ"), "")</f>
        <v/>
      </c>
      <c r="U286">
        <f>IF(F286="Ignacio", COUNTIF(F$5:F286, "Ignacio"), "")</f>
        <v/>
      </c>
      <c r="V286">
        <f>IF(F286="Tripulacion", COUNTIF(F$5:F286, "Tripulacion"), "")</f>
        <v/>
      </c>
      <c r="W286">
        <f>IF(F286="ENAP carga", COUNTIF(F$5:F286, "ENAP carga"), "")</f>
        <v/>
      </c>
    </row>
    <row r="287">
      <c r="O287" s="117">
        <f>IF(F287="CJ", I287*200, "")</f>
        <v/>
      </c>
      <c r="T287">
        <f>IF(F287="CJ", COUNTIF(F$5:F287, "CJ"), "")</f>
        <v/>
      </c>
      <c r="U287">
        <f>IF(F287="Ignacio", COUNTIF(F$5:F287, "Ignacio"), "")</f>
        <v/>
      </c>
      <c r="V287">
        <f>IF(F287="Tripulacion", COUNTIF(F$5:F287, "Tripulacion"), "")</f>
        <v/>
      </c>
      <c r="W287">
        <f>IF(F287="ENAP carga", COUNTIF(F$5:F287, "ENAP carga"), "")</f>
        <v/>
      </c>
    </row>
    <row r="288">
      <c r="O288" s="117">
        <f>IF(F288="CJ", I288*200, "")</f>
        <v/>
      </c>
      <c r="T288">
        <f>IF(F288="CJ", COUNTIF(F$5:F288, "CJ"), "")</f>
        <v/>
      </c>
      <c r="U288">
        <f>IF(F288="Ignacio", COUNTIF(F$5:F288, "Ignacio"), "")</f>
        <v/>
      </c>
      <c r="V288">
        <f>IF(F288="Tripulacion", COUNTIF(F$5:F288, "Tripulacion"), "")</f>
        <v/>
      </c>
      <c r="W288">
        <f>IF(F288="ENAP carga", COUNTIF(F$5:F288, "ENAP carga"), "")</f>
        <v/>
      </c>
    </row>
    <row r="289">
      <c r="O289" s="117">
        <f>IF(F289="CJ", I289*200, "")</f>
        <v/>
      </c>
      <c r="T289">
        <f>IF(F289="CJ", COUNTIF(F$5:F289, "CJ"), "")</f>
        <v/>
      </c>
      <c r="U289">
        <f>IF(F289="Ignacio", COUNTIF(F$5:F289, "Ignacio"), "")</f>
        <v/>
      </c>
      <c r="V289">
        <f>IF(F289="Tripulacion", COUNTIF(F$5:F289, "Tripulacion"), "")</f>
        <v/>
      </c>
      <c r="W289">
        <f>IF(F289="ENAP carga", COUNTIF(F$5:F289, "ENAP carga"), "")</f>
        <v/>
      </c>
    </row>
    <row r="290">
      <c r="O290" s="117">
        <f>IF(F290="CJ", I290*200, "")</f>
        <v/>
      </c>
      <c r="T290">
        <f>IF(F290="CJ", COUNTIF(F$5:F290, "CJ"), "")</f>
        <v/>
      </c>
      <c r="U290">
        <f>IF(F290="Ignacio", COUNTIF(F$5:F290, "Ignacio"), "")</f>
        <v/>
      </c>
      <c r="V290">
        <f>IF(F290="Tripulacion", COUNTIF(F$5:F290, "Tripulacion"), "")</f>
        <v/>
      </c>
      <c r="W290">
        <f>IF(F290="ENAP carga", COUNTIF(F$5:F290, "ENAP carga"), "")</f>
        <v/>
      </c>
    </row>
    <row r="291">
      <c r="O291" s="117">
        <f>IF(F291="CJ", I291*200, "")</f>
        <v/>
      </c>
      <c r="T291">
        <f>IF(F291="CJ", COUNTIF(F$5:F291, "CJ"), "")</f>
        <v/>
      </c>
      <c r="U291">
        <f>IF(F291="Ignacio", COUNTIF(F$5:F291, "Ignacio"), "")</f>
        <v/>
      </c>
      <c r="V291">
        <f>IF(F291="Tripulacion", COUNTIF(F$5:F291, "Tripulacion"), "")</f>
        <v/>
      </c>
      <c r="W291">
        <f>IF(F291="ENAP carga", COUNTIF(F$5:F291, "ENAP carga"), "")</f>
        <v/>
      </c>
    </row>
    <row r="292">
      <c r="O292" s="117">
        <f>IF(F292="CJ", I292*200, "")</f>
        <v/>
      </c>
      <c r="T292">
        <f>IF(F292="CJ", COUNTIF(F$5:F292, "CJ"), "")</f>
        <v/>
      </c>
      <c r="U292">
        <f>IF(F292="Ignacio", COUNTIF(F$5:F292, "Ignacio"), "")</f>
        <v/>
      </c>
      <c r="V292">
        <f>IF(F292="Tripulacion", COUNTIF(F$5:F292, "Tripulacion"), "")</f>
        <v/>
      </c>
      <c r="W292">
        <f>IF(F292="ENAP carga", COUNTIF(F$5:F292, "ENAP carga"), "")</f>
        <v/>
      </c>
    </row>
    <row r="293">
      <c r="O293" s="117">
        <f>IF(F293="CJ", I293*200, "")</f>
        <v/>
      </c>
      <c r="T293">
        <f>IF(F293="CJ", COUNTIF(F$5:F293, "CJ"), "")</f>
        <v/>
      </c>
      <c r="U293">
        <f>IF(F293="Ignacio", COUNTIF(F$5:F293, "Ignacio"), "")</f>
        <v/>
      </c>
      <c r="V293">
        <f>IF(F293="Tripulacion", COUNTIF(F$5:F293, "Tripulacion"), "")</f>
        <v/>
      </c>
      <c r="W293">
        <f>IF(F293="ENAP carga", COUNTIF(F$5:F293, "ENAP carga"), "")</f>
        <v/>
      </c>
    </row>
    <row r="294">
      <c r="O294" s="117">
        <f>IF(F294="CJ", I294*200, "")</f>
        <v/>
      </c>
      <c r="T294">
        <f>IF(F294="CJ", COUNTIF(F$5:F294, "CJ"), "")</f>
        <v/>
      </c>
      <c r="U294">
        <f>IF(F294="Ignacio", COUNTIF(F$5:F294, "Ignacio"), "")</f>
        <v/>
      </c>
      <c r="V294">
        <f>IF(F294="Tripulacion", COUNTIF(F$5:F294, "Tripulacion"), "")</f>
        <v/>
      </c>
      <c r="W294">
        <f>IF(F294="ENAP carga", COUNTIF(F$5:F294, "ENAP carga"), "")</f>
        <v/>
      </c>
    </row>
    <row r="295">
      <c r="O295" s="117">
        <f>IF(F295="CJ", I295*200, "")</f>
        <v/>
      </c>
      <c r="T295">
        <f>IF(F295="CJ", COUNTIF(F$5:F295, "CJ"), "")</f>
        <v/>
      </c>
      <c r="U295">
        <f>IF(F295="Ignacio", COUNTIF(F$5:F295, "Ignacio"), "")</f>
        <v/>
      </c>
      <c r="V295">
        <f>IF(F295="Tripulacion", COUNTIF(F$5:F295, "Tripulacion"), "")</f>
        <v/>
      </c>
      <c r="W295">
        <f>IF(F295="ENAP carga", COUNTIF(F$5:F295, "ENAP carga"), "")</f>
        <v/>
      </c>
    </row>
    <row r="296">
      <c r="O296" s="117">
        <f>IF(F296="CJ", I296*200, "")</f>
        <v/>
      </c>
      <c r="T296">
        <f>IF(F296="CJ", COUNTIF(F$5:F296, "CJ"), "")</f>
        <v/>
      </c>
      <c r="U296">
        <f>IF(F296="Ignacio", COUNTIF(F$5:F296, "Ignacio"), "")</f>
        <v/>
      </c>
      <c r="V296">
        <f>IF(F296="Tripulacion", COUNTIF(F$5:F296, "Tripulacion"), "")</f>
        <v/>
      </c>
      <c r="W296">
        <f>IF(F296="ENAP carga", COUNTIF(F$5:F296, "ENAP carga"), "")</f>
        <v/>
      </c>
    </row>
    <row r="297">
      <c r="O297" s="117">
        <f>IF(F297="CJ", I297*200, "")</f>
        <v/>
      </c>
      <c r="T297">
        <f>IF(F297="CJ", COUNTIF(F$5:F297, "CJ"), "")</f>
        <v/>
      </c>
      <c r="U297">
        <f>IF(F297="Ignacio", COUNTIF(F$5:F297, "Ignacio"), "")</f>
        <v/>
      </c>
      <c r="V297">
        <f>IF(F297="Tripulacion", COUNTIF(F$5:F297, "Tripulacion"), "")</f>
        <v/>
      </c>
      <c r="W297">
        <f>IF(F297="ENAP carga", COUNTIF(F$5:F297, "ENAP carga"), "")</f>
        <v/>
      </c>
    </row>
    <row r="298">
      <c r="O298" s="117">
        <f>IF(F298="CJ", I298*200, "")</f>
        <v/>
      </c>
      <c r="T298">
        <f>IF(F298="CJ", COUNTIF(F$5:F298, "CJ"), "")</f>
        <v/>
      </c>
      <c r="U298">
        <f>IF(F298="Ignacio", COUNTIF(F$5:F298, "Ignacio"), "")</f>
        <v/>
      </c>
      <c r="V298">
        <f>IF(F298="Tripulacion", COUNTIF(F$5:F298, "Tripulacion"), "")</f>
        <v/>
      </c>
      <c r="W298">
        <f>IF(F298="ENAP carga", COUNTIF(F$5:F298, "ENAP carga"), "")</f>
        <v/>
      </c>
    </row>
    <row r="299">
      <c r="O299" s="117">
        <f>IF(F299="CJ", I299*200, "")</f>
        <v/>
      </c>
      <c r="T299">
        <f>IF(F299="CJ", COUNTIF(F$5:F299, "CJ"), "")</f>
        <v/>
      </c>
      <c r="U299">
        <f>IF(F299="Ignacio", COUNTIF(F$5:F299, "Ignacio"), "")</f>
        <v/>
      </c>
      <c r="V299">
        <f>IF(F299="Tripulacion", COUNTIF(F$5:F299, "Tripulacion"), "")</f>
        <v/>
      </c>
      <c r="W299">
        <f>IF(F299="ENAP carga", COUNTIF(F$5:F299, "ENAP carga"), "")</f>
        <v/>
      </c>
    </row>
    <row r="300">
      <c r="O300" s="117">
        <f>IF(F300="CJ", I300*200, "")</f>
        <v/>
      </c>
      <c r="T300">
        <f>IF(F300="CJ", COUNTIF(F$5:F300, "CJ"), "")</f>
        <v/>
      </c>
      <c r="U300">
        <f>IF(F300="Ignacio", COUNTIF(F$5:F300, "Ignacio"), "")</f>
        <v/>
      </c>
      <c r="V300">
        <f>IF(F300="Tripulacion", COUNTIF(F$5:F300, "Tripulacion"), "")</f>
        <v/>
      </c>
      <c r="W300">
        <f>IF(F300="ENAP carga", COUNTIF(F$5:F300, "ENAP carga"), "")</f>
        <v/>
      </c>
    </row>
    <row r="301">
      <c r="O301" s="117">
        <f>IF(F301="CJ", I301*200, "")</f>
        <v/>
      </c>
      <c r="T301">
        <f>IF(F301="CJ", COUNTIF(F$5:F301, "CJ"), "")</f>
        <v/>
      </c>
      <c r="U301">
        <f>IF(F301="Ignacio", COUNTIF(F$5:F301, "Ignacio"), "")</f>
        <v/>
      </c>
      <c r="V301">
        <f>IF(F301="Tripulacion", COUNTIF(F$5:F301, "Tripulacion"), "")</f>
        <v/>
      </c>
      <c r="W301">
        <f>IF(F301="ENAP carga", COUNTIF(F$5:F301, "ENAP carga"), "")</f>
        <v/>
      </c>
    </row>
    <row r="302">
      <c r="O302" s="117">
        <f>IF(F302="CJ", I302*200, "")</f>
        <v/>
      </c>
      <c r="T302">
        <f>IF(F302="CJ", COUNTIF(F$5:F302, "CJ"), "")</f>
        <v/>
      </c>
      <c r="U302">
        <f>IF(F302="Ignacio", COUNTIF(F$5:F302, "Ignacio"), "")</f>
        <v/>
      </c>
      <c r="V302">
        <f>IF(F302="Tripulacion", COUNTIF(F$5:F302, "Tripulacion"), "")</f>
        <v/>
      </c>
      <c r="W302">
        <f>IF(F302="ENAP carga", COUNTIF(F$5:F302, "ENAP carga"), "")</f>
        <v/>
      </c>
    </row>
    <row r="303">
      <c r="O303" s="117">
        <f>IF(F303="CJ", I303*200, "")</f>
        <v/>
      </c>
      <c r="T303">
        <f>IF(F303="CJ", COUNTIF(F$5:F303, "CJ"), "")</f>
        <v/>
      </c>
      <c r="U303">
        <f>IF(F303="Ignacio", COUNTIF(F$5:F303, "Ignacio"), "")</f>
        <v/>
      </c>
      <c r="V303">
        <f>IF(F303="Tripulacion", COUNTIF(F$5:F303, "Tripulacion"), "")</f>
        <v/>
      </c>
      <c r="W303">
        <f>IF(F303="ENAP carga", COUNTIF(F$5:F303, "ENAP carga"), "")</f>
        <v/>
      </c>
    </row>
    <row r="304">
      <c r="O304" s="117">
        <f>IF(F304="CJ", I304*200, "")</f>
        <v/>
      </c>
      <c r="T304">
        <f>IF(F304="CJ", COUNTIF(F$5:F304, "CJ"), "")</f>
        <v/>
      </c>
      <c r="U304">
        <f>IF(F304="Ignacio", COUNTIF(F$5:F304, "Ignacio"), "")</f>
        <v/>
      </c>
      <c r="V304">
        <f>IF(F304="Tripulacion", COUNTIF(F$5:F304, "Tripulacion"), "")</f>
        <v/>
      </c>
      <c r="W304">
        <f>IF(F304="ENAP carga", COUNTIF(F$5:F304, "ENAP carga"), "")</f>
        <v/>
      </c>
    </row>
    <row r="305">
      <c r="O305" s="117">
        <f>IF(F305="CJ", I305*200, "")</f>
        <v/>
      </c>
      <c r="T305">
        <f>IF(F305="CJ", COUNTIF(F$5:F305, "CJ"), "")</f>
        <v/>
      </c>
      <c r="U305">
        <f>IF(F305="Ignacio", COUNTIF(F$5:F305, "Ignacio"), "")</f>
        <v/>
      </c>
      <c r="V305">
        <f>IF(F305="Tripulacion", COUNTIF(F$5:F305, "Tripulacion"), "")</f>
        <v/>
      </c>
      <c r="W305">
        <f>IF(F305="ENAP carga", COUNTIF(F$5:F305, "ENAP carga"), "")</f>
        <v/>
      </c>
    </row>
    <row r="306">
      <c r="O306" s="117">
        <f>IF(F306="CJ", I306*200, "")</f>
        <v/>
      </c>
      <c r="T306">
        <f>IF(F306="CJ", COUNTIF(F$5:F306, "CJ"), "")</f>
        <v/>
      </c>
      <c r="U306">
        <f>IF(F306="Ignacio", COUNTIF(F$5:F306, "Ignacio"), "")</f>
        <v/>
      </c>
      <c r="V306">
        <f>IF(F306="Tripulacion", COUNTIF(F$5:F306, "Tripulacion"), "")</f>
        <v/>
      </c>
      <c r="W306">
        <f>IF(F306="ENAP carga", COUNTIF(F$5:F306, "ENAP carga"), "")</f>
        <v/>
      </c>
    </row>
    <row r="307">
      <c r="O307" s="117">
        <f>IF(F307="CJ", I307*200, "")</f>
        <v/>
      </c>
      <c r="T307">
        <f>IF(F307="CJ", COUNTIF(F$5:F307, "CJ"), "")</f>
        <v/>
      </c>
      <c r="U307">
        <f>IF(F307="Ignacio", COUNTIF(F$5:F307, "Ignacio"), "")</f>
        <v/>
      </c>
      <c r="V307">
        <f>IF(F307="Tripulacion", COUNTIF(F$5:F307, "Tripulacion"), "")</f>
        <v/>
      </c>
      <c r="W307">
        <f>IF(F307="ENAP carga", COUNTIF(F$5:F307, "ENAP carga"), "")</f>
        <v/>
      </c>
    </row>
    <row r="308">
      <c r="O308" s="117">
        <f>IF(F308="CJ", I308*200, "")</f>
        <v/>
      </c>
      <c r="T308">
        <f>IF(F308="CJ", COUNTIF(F$5:F308, "CJ"), "")</f>
        <v/>
      </c>
      <c r="U308">
        <f>IF(F308="Ignacio", COUNTIF(F$5:F308, "Ignacio"), "")</f>
        <v/>
      </c>
      <c r="V308">
        <f>IF(F308="Tripulacion", COUNTIF(F$5:F308, "Tripulacion"), "")</f>
        <v/>
      </c>
      <c r="W308">
        <f>IF(F308="ENAP carga", COUNTIF(F$5:F308, "ENAP carga"), "")</f>
        <v/>
      </c>
    </row>
    <row r="309">
      <c r="O309" s="117">
        <f>IF(F309="CJ", I309*200, "")</f>
        <v/>
      </c>
      <c r="T309">
        <f>IF(F309="CJ", COUNTIF(F$5:F309, "CJ"), "")</f>
        <v/>
      </c>
      <c r="U309">
        <f>IF(F309="Ignacio", COUNTIF(F$5:F309, "Ignacio"), "")</f>
        <v/>
      </c>
      <c r="V309">
        <f>IF(F309="Tripulacion", COUNTIF(F$5:F309, "Tripulacion"), "")</f>
        <v/>
      </c>
      <c r="W309">
        <f>IF(F309="ENAP carga", COUNTIF(F$5:F309, "ENAP carga"), "")</f>
        <v/>
      </c>
    </row>
    <row r="310">
      <c r="O310" s="117">
        <f>IF(F310="CJ", I310*200, "")</f>
        <v/>
      </c>
      <c r="T310">
        <f>IF(F310="CJ", COUNTIF(F$5:F310, "CJ"), "")</f>
        <v/>
      </c>
      <c r="U310">
        <f>IF(F310="Ignacio", COUNTIF(F$5:F310, "Ignacio"), "")</f>
        <v/>
      </c>
      <c r="V310">
        <f>IF(F310="Tripulacion", COUNTIF(F$5:F310, "Tripulacion"), "")</f>
        <v/>
      </c>
      <c r="W310">
        <f>IF(F310="ENAP carga", COUNTIF(F$5:F310, "ENAP carga"), "")</f>
        <v/>
      </c>
    </row>
    <row r="311">
      <c r="O311" s="117">
        <f>IF(F311="CJ", I311*200, "")</f>
        <v/>
      </c>
      <c r="T311">
        <f>IF(F311="CJ", COUNTIF(F$5:F311, "CJ"), "")</f>
        <v/>
      </c>
      <c r="U311">
        <f>IF(F311="Ignacio", COUNTIF(F$5:F311, "Ignacio"), "")</f>
        <v/>
      </c>
      <c r="V311">
        <f>IF(F311="Tripulacion", COUNTIF(F$5:F311, "Tripulacion"), "")</f>
        <v/>
      </c>
      <c r="W311">
        <f>IF(F311="ENAP carga", COUNTIF(F$5:F311, "ENAP carga"), "")</f>
        <v/>
      </c>
    </row>
    <row r="312">
      <c r="O312" s="117">
        <f>IF(F312="CJ", I312*200, "")</f>
        <v/>
      </c>
      <c r="T312">
        <f>IF(F312="CJ", COUNTIF(F$5:F312, "CJ"), "")</f>
        <v/>
      </c>
      <c r="U312">
        <f>IF(F312="Ignacio", COUNTIF(F$5:F312, "Ignacio"), "")</f>
        <v/>
      </c>
      <c r="V312">
        <f>IF(F312="Tripulacion", COUNTIF(F$5:F312, "Tripulacion"), "")</f>
        <v/>
      </c>
      <c r="W312">
        <f>IF(F312="ENAP carga", COUNTIF(F$5:F312, "ENAP carga"), "")</f>
        <v/>
      </c>
    </row>
    <row r="313">
      <c r="O313" s="117">
        <f>IF(F313="CJ", I313*200, "")</f>
        <v/>
      </c>
      <c r="T313">
        <f>IF(F313="CJ", COUNTIF(F$5:F313, "CJ"), "")</f>
        <v/>
      </c>
      <c r="U313">
        <f>IF(F313="Ignacio", COUNTIF(F$5:F313, "Ignacio"), "")</f>
        <v/>
      </c>
      <c r="V313">
        <f>IF(F313="Tripulacion", COUNTIF(F$5:F313, "Tripulacion"), "")</f>
        <v/>
      </c>
      <c r="W313">
        <f>IF(F313="ENAP carga", COUNTIF(F$5:F313, "ENAP carga"), "")</f>
        <v/>
      </c>
    </row>
    <row r="314">
      <c r="O314" s="117">
        <f>IF(F314="CJ", I314*200, "")</f>
        <v/>
      </c>
      <c r="T314">
        <f>IF(F314="CJ", COUNTIF(F$5:F314, "CJ"), "")</f>
        <v/>
      </c>
      <c r="U314">
        <f>IF(F314="Ignacio", COUNTIF(F$5:F314, "Ignacio"), "")</f>
        <v/>
      </c>
      <c r="V314">
        <f>IF(F314="Tripulacion", COUNTIF(F$5:F314, "Tripulacion"), "")</f>
        <v/>
      </c>
      <c r="W314">
        <f>IF(F314="ENAP carga", COUNTIF(F$5:F314, "ENAP carga"), "")</f>
        <v/>
      </c>
    </row>
    <row r="315">
      <c r="O315" s="117">
        <f>IF(F315="CJ", I315*200, "")</f>
        <v/>
      </c>
      <c r="T315">
        <f>IF(F315="CJ", COUNTIF(F$5:F315, "CJ"), "")</f>
        <v/>
      </c>
      <c r="U315">
        <f>IF(F315="Ignacio", COUNTIF(F$5:F315, "Ignacio"), "")</f>
        <v/>
      </c>
      <c r="V315">
        <f>IF(F315="Tripulacion", COUNTIF(F$5:F315, "Tripulacion"), "")</f>
        <v/>
      </c>
      <c r="W315">
        <f>IF(F315="ENAP carga", COUNTIF(F$5:F315, "ENAP carga"), "")</f>
        <v/>
      </c>
    </row>
    <row r="316">
      <c r="O316" s="117">
        <f>IF(F316="CJ", I316*200, "")</f>
        <v/>
      </c>
      <c r="T316">
        <f>IF(F316="CJ", COUNTIF(F$5:F316, "CJ"), "")</f>
        <v/>
      </c>
      <c r="U316">
        <f>IF(F316="Ignacio", COUNTIF(F$5:F316, "Ignacio"), "")</f>
        <v/>
      </c>
      <c r="V316">
        <f>IF(F316="Tripulacion", COUNTIF(F$5:F316, "Tripulacion"), "")</f>
        <v/>
      </c>
      <c r="W316">
        <f>IF(F316="ENAP carga", COUNTIF(F$5:F316, "ENAP carga"), "")</f>
        <v/>
      </c>
    </row>
    <row r="317">
      <c r="O317" s="117">
        <f>IF(F317="CJ", I317*200, "")</f>
        <v/>
      </c>
      <c r="T317">
        <f>IF(F317="CJ", COUNTIF(F$5:F317, "CJ"), "")</f>
        <v/>
      </c>
      <c r="U317">
        <f>IF(F317="Ignacio", COUNTIF(F$5:F317, "Ignacio"), "")</f>
        <v/>
      </c>
      <c r="V317">
        <f>IF(F317="Tripulacion", COUNTIF(F$5:F317, "Tripulacion"), "")</f>
        <v/>
      </c>
      <c r="W317">
        <f>IF(F317="ENAP carga", COUNTIF(F$5:F317, "ENAP carga"), "")</f>
        <v/>
      </c>
    </row>
    <row r="318">
      <c r="O318" s="117">
        <f>IF(F318="CJ", I318*200, "")</f>
        <v/>
      </c>
      <c r="T318">
        <f>IF(F318="CJ", COUNTIF(F$5:F318, "CJ"), "")</f>
        <v/>
      </c>
      <c r="U318">
        <f>IF(F318="Ignacio", COUNTIF(F$5:F318, "Ignacio"), "")</f>
        <v/>
      </c>
      <c r="V318">
        <f>IF(F318="Tripulacion", COUNTIF(F$5:F318, "Tripulacion"), "")</f>
        <v/>
      </c>
      <c r="W318">
        <f>IF(F318="ENAP carga", COUNTIF(F$5:F318, "ENAP carga"), "")</f>
        <v/>
      </c>
    </row>
    <row r="319">
      <c r="O319" s="117">
        <f>IF(F319="CJ", I319*200, "")</f>
        <v/>
      </c>
      <c r="T319">
        <f>IF(F319="CJ", COUNTIF(F$5:F319, "CJ"), "")</f>
        <v/>
      </c>
      <c r="U319">
        <f>IF(F319="Ignacio", COUNTIF(F$5:F319, "Ignacio"), "")</f>
        <v/>
      </c>
      <c r="V319">
        <f>IF(F319="Tripulacion", COUNTIF(F$5:F319, "Tripulacion"), "")</f>
        <v/>
      </c>
      <c r="W319">
        <f>IF(F319="ENAP carga", COUNTIF(F$5:F319, "ENAP carga"), "")</f>
        <v/>
      </c>
    </row>
    <row r="320">
      <c r="O320" s="117">
        <f>IF(F320="CJ", I320*200, "")</f>
        <v/>
      </c>
      <c r="T320">
        <f>IF(F320="CJ", COUNTIF(F$5:F320, "CJ"), "")</f>
        <v/>
      </c>
      <c r="U320">
        <f>IF(F320="Ignacio", COUNTIF(F$5:F320, "Ignacio"), "")</f>
        <v/>
      </c>
      <c r="V320">
        <f>IF(F320="Tripulacion", COUNTIF(F$5:F320, "Tripulacion"), "")</f>
        <v/>
      </c>
      <c r="W320">
        <f>IF(F320="ENAP carga", COUNTIF(F$5:F320, "ENAP carga"), "")</f>
        <v/>
      </c>
    </row>
    <row r="321">
      <c r="O321" s="117">
        <f>IF(F321="CJ", I321*200, "")</f>
        <v/>
      </c>
      <c r="T321">
        <f>IF(F321="CJ", COUNTIF(F$5:F321, "CJ"), "")</f>
        <v/>
      </c>
      <c r="U321">
        <f>IF(F321="Ignacio", COUNTIF(F$5:F321, "Ignacio"), "")</f>
        <v/>
      </c>
      <c r="V321">
        <f>IF(F321="Tripulacion", COUNTIF(F$5:F321, "Tripulacion"), "")</f>
        <v/>
      </c>
      <c r="W321">
        <f>IF(F321="ENAP carga", COUNTIF(F$5:F321, "ENAP carga"), "")</f>
        <v/>
      </c>
    </row>
    <row r="322">
      <c r="O322" s="117">
        <f>IF(F322="CJ", I322*200, "")</f>
        <v/>
      </c>
      <c r="T322">
        <f>IF(F322="CJ", COUNTIF(F$5:F322, "CJ"), "")</f>
        <v/>
      </c>
      <c r="U322">
        <f>IF(F322="Ignacio", COUNTIF(F$5:F322, "Ignacio"), "")</f>
        <v/>
      </c>
      <c r="V322">
        <f>IF(F322="Tripulacion", COUNTIF(F$5:F322, "Tripulacion"), "")</f>
        <v/>
      </c>
      <c r="W322">
        <f>IF(F322="ENAP carga", COUNTIF(F$5:F322, "ENAP carga"), "")</f>
        <v/>
      </c>
    </row>
    <row r="323">
      <c r="O323" s="117">
        <f>IF(F323="CJ", I323*200, "")</f>
        <v/>
      </c>
      <c r="T323">
        <f>IF(F323="CJ", COUNTIF(F$5:F323, "CJ"), "")</f>
        <v/>
      </c>
      <c r="U323">
        <f>IF(F323="Ignacio", COUNTIF(F$5:F323, "Ignacio"), "")</f>
        <v/>
      </c>
      <c r="V323">
        <f>IF(F323="Tripulacion", COUNTIF(F$5:F323, "Tripulacion"), "")</f>
        <v/>
      </c>
      <c r="W323">
        <f>IF(F323="ENAP carga", COUNTIF(F$5:F323, "ENAP carga"), "")</f>
        <v/>
      </c>
    </row>
    <row r="324">
      <c r="O324" s="117">
        <f>IF(F324="CJ", I324*200, "")</f>
        <v/>
      </c>
      <c r="T324">
        <f>IF(F324="CJ", COUNTIF(F$5:F324, "CJ"), "")</f>
        <v/>
      </c>
      <c r="U324">
        <f>IF(F324="Ignacio", COUNTIF(F$5:F324, "Ignacio"), "")</f>
        <v/>
      </c>
      <c r="V324">
        <f>IF(F324="Tripulacion", COUNTIF(F$5:F324, "Tripulacion"), "")</f>
        <v/>
      </c>
      <c r="W324">
        <f>IF(F324="ENAP carga", COUNTIF(F$5:F324, "ENAP carga"), "")</f>
        <v/>
      </c>
    </row>
    <row r="325">
      <c r="O325" s="117">
        <f>IF(F325="CJ", I325*200, "")</f>
        <v/>
      </c>
      <c r="T325">
        <f>IF(F325="CJ", COUNTIF(F$5:F325, "CJ"), "")</f>
        <v/>
      </c>
      <c r="U325">
        <f>IF(F325="Ignacio", COUNTIF(F$5:F325, "Ignacio"), "")</f>
        <v/>
      </c>
      <c r="V325">
        <f>IF(F325="Tripulacion", COUNTIF(F$5:F325, "Tripulacion"), "")</f>
        <v/>
      </c>
      <c r="W325">
        <f>IF(F325="ENAP carga", COUNTIF(F$5:F325, "ENAP carga"), "")</f>
        <v/>
      </c>
    </row>
    <row r="326">
      <c r="O326" s="117">
        <f>IF(F326="CJ", I326*200, "")</f>
        <v/>
      </c>
      <c r="T326">
        <f>IF(F326="CJ", COUNTIF(F$5:F326, "CJ"), "")</f>
        <v/>
      </c>
      <c r="U326">
        <f>IF(F326="Ignacio", COUNTIF(F$5:F326, "Ignacio"), "")</f>
        <v/>
      </c>
      <c r="V326">
        <f>IF(F326="Tripulacion", COUNTIF(F$5:F326, "Tripulacion"), "")</f>
        <v/>
      </c>
      <c r="W326">
        <f>IF(F326="ENAP carga", COUNTIF(F$5:F326, "ENAP carga"), "")</f>
        <v/>
      </c>
    </row>
    <row r="327">
      <c r="O327" s="117">
        <f>IF(F327="CJ", I327*200, "")</f>
        <v/>
      </c>
      <c r="T327">
        <f>IF(F327="CJ", COUNTIF(F$5:F327, "CJ"), "")</f>
        <v/>
      </c>
      <c r="U327">
        <f>IF(F327="Ignacio", COUNTIF(F$5:F327, "Ignacio"), "")</f>
        <v/>
      </c>
      <c r="V327">
        <f>IF(F327="Tripulacion", COUNTIF(F$5:F327, "Tripulacion"), "")</f>
        <v/>
      </c>
      <c r="W327">
        <f>IF(F327="ENAP carga", COUNTIF(F$5:F327, "ENAP carga"), "")</f>
        <v/>
      </c>
    </row>
    <row r="328">
      <c r="O328" s="117">
        <f>IF(F328="CJ", I328*200, "")</f>
        <v/>
      </c>
      <c r="T328">
        <f>IF(F328="CJ", COUNTIF(F$5:F328, "CJ"), "")</f>
        <v/>
      </c>
      <c r="U328">
        <f>IF(F328="Ignacio", COUNTIF(F$5:F328, "Ignacio"), "")</f>
        <v/>
      </c>
      <c r="V328">
        <f>IF(F328="Tripulacion", COUNTIF(F$5:F328, "Tripulacion"), "")</f>
        <v/>
      </c>
      <c r="W328">
        <f>IF(F328="ENAP carga", COUNTIF(F$5:F328, "ENAP carga"), "")</f>
        <v/>
      </c>
    </row>
    <row r="329">
      <c r="O329" s="117">
        <f>IF(F329="CJ", I329*200, "")</f>
        <v/>
      </c>
      <c r="T329">
        <f>IF(F329="CJ", COUNTIF(F$5:F329, "CJ"), "")</f>
        <v/>
      </c>
      <c r="U329">
        <f>IF(F329="Ignacio", COUNTIF(F$5:F329, "Ignacio"), "")</f>
        <v/>
      </c>
      <c r="V329">
        <f>IF(F329="Tripulacion", COUNTIF(F$5:F329, "Tripulacion"), "")</f>
        <v/>
      </c>
      <c r="W329">
        <f>IF(F329="ENAP carga", COUNTIF(F$5:F329, "ENAP carga"), "")</f>
        <v/>
      </c>
    </row>
    <row r="330">
      <c r="O330" s="117">
        <f>IF(F330="CJ", I330*200, "")</f>
        <v/>
      </c>
      <c r="T330">
        <f>IF(F330="CJ", COUNTIF(F$5:F330, "CJ"), "")</f>
        <v/>
      </c>
      <c r="U330">
        <f>IF(F330="Ignacio", COUNTIF(F$5:F330, "Ignacio"), "")</f>
        <v/>
      </c>
      <c r="V330">
        <f>IF(F330="Tripulacion", COUNTIF(F$5:F330, "Tripulacion"), "")</f>
        <v/>
      </c>
      <c r="W330">
        <f>IF(F330="ENAP carga", COUNTIF(F$5:F330, "ENAP carga"), "")</f>
        <v/>
      </c>
    </row>
    <row r="331">
      <c r="O331" s="117">
        <f>IF(F331="CJ", I331*200, "")</f>
        <v/>
      </c>
      <c r="T331">
        <f>IF(F331="CJ", COUNTIF(F$5:F331, "CJ"), "")</f>
        <v/>
      </c>
      <c r="U331">
        <f>IF(F331="Ignacio", COUNTIF(F$5:F331, "Ignacio"), "")</f>
        <v/>
      </c>
      <c r="V331">
        <f>IF(F331="Tripulacion", COUNTIF(F$5:F331, "Tripulacion"), "")</f>
        <v/>
      </c>
      <c r="W331">
        <f>IF(F331="ENAP carga", COUNTIF(F$5:F331, "ENAP carga"), "")</f>
        <v/>
      </c>
    </row>
    <row r="332">
      <c r="O332" s="117">
        <f>IF(F332="CJ", I332*200, "")</f>
        <v/>
      </c>
      <c r="T332">
        <f>IF(F332="CJ", COUNTIF(F$5:F332, "CJ"), "")</f>
        <v/>
      </c>
      <c r="U332">
        <f>IF(F332="Ignacio", COUNTIF(F$5:F332, "Ignacio"), "")</f>
        <v/>
      </c>
      <c r="V332">
        <f>IF(F332="Tripulacion", COUNTIF(F$5:F332, "Tripulacion"), "")</f>
        <v/>
      </c>
      <c r="W332">
        <f>IF(F332="ENAP carga", COUNTIF(F$5:F332, "ENAP carga"), "")</f>
        <v/>
      </c>
    </row>
    <row r="333">
      <c r="O333" s="117">
        <f>IF(F333="CJ", I333*200, "")</f>
        <v/>
      </c>
      <c r="T333">
        <f>IF(F333="CJ", COUNTIF(F$5:F333, "CJ"), "")</f>
        <v/>
      </c>
      <c r="U333">
        <f>IF(F333="Ignacio", COUNTIF(F$5:F333, "Ignacio"), "")</f>
        <v/>
      </c>
      <c r="V333">
        <f>IF(F333="Tripulacion", COUNTIF(F$5:F333, "Tripulacion"), "")</f>
        <v/>
      </c>
      <c r="W333">
        <f>IF(F333="ENAP carga", COUNTIF(F$5:F333, "ENAP carga"), "")</f>
        <v/>
      </c>
    </row>
    <row r="334">
      <c r="O334" s="117">
        <f>IF(F334="CJ", I334*200, "")</f>
        <v/>
      </c>
      <c r="T334">
        <f>IF(F334="CJ", COUNTIF(F$5:F334, "CJ"), "")</f>
        <v/>
      </c>
      <c r="U334">
        <f>IF(F334="Ignacio", COUNTIF(F$5:F334, "Ignacio"), "")</f>
        <v/>
      </c>
      <c r="V334">
        <f>IF(F334="Tripulacion", COUNTIF(F$5:F334, "Tripulacion"), "")</f>
        <v/>
      </c>
      <c r="W334">
        <f>IF(F334="ENAP carga", COUNTIF(F$5:F334, "ENAP carga"), "")</f>
        <v/>
      </c>
    </row>
    <row r="335">
      <c r="O335" s="117">
        <f>IF(F335="CJ", I335*200, "")</f>
        <v/>
      </c>
      <c r="T335">
        <f>IF(F335="CJ", COUNTIF(F$5:F335, "CJ"), "")</f>
        <v/>
      </c>
      <c r="U335">
        <f>IF(F335="Ignacio", COUNTIF(F$5:F335, "Ignacio"), "")</f>
        <v/>
      </c>
      <c r="V335">
        <f>IF(F335="Tripulacion", COUNTIF(F$5:F335, "Tripulacion"), "")</f>
        <v/>
      </c>
      <c r="W335">
        <f>IF(F335="ENAP carga", COUNTIF(F$5:F335, "ENAP carga"), "")</f>
        <v/>
      </c>
    </row>
    <row r="336">
      <c r="O336" s="117">
        <f>IF(F336="CJ", I336*200, "")</f>
        <v/>
      </c>
      <c r="T336">
        <f>IF(F336="CJ", COUNTIF(F$5:F336, "CJ"), "")</f>
        <v/>
      </c>
      <c r="U336">
        <f>IF(F336="Ignacio", COUNTIF(F$5:F336, "Ignacio"), "")</f>
        <v/>
      </c>
      <c r="V336">
        <f>IF(F336="Tripulacion", COUNTIF(F$5:F336, "Tripulacion"), "")</f>
        <v/>
      </c>
      <c r="W336">
        <f>IF(F336="ENAP carga", COUNTIF(F$5:F336, "ENAP carga"), "")</f>
        <v/>
      </c>
    </row>
    <row r="337">
      <c r="O337" s="117">
        <f>IF(F337="CJ", I337*200, "")</f>
        <v/>
      </c>
      <c r="T337">
        <f>IF(F337="CJ", COUNTIF(F$5:F337, "CJ"), "")</f>
        <v/>
      </c>
      <c r="U337">
        <f>IF(F337="Ignacio", COUNTIF(F$5:F337, "Ignacio"), "")</f>
        <v/>
      </c>
      <c r="V337">
        <f>IF(F337="Tripulacion", COUNTIF(F$5:F337, "Tripulacion"), "")</f>
        <v/>
      </c>
      <c r="W337">
        <f>IF(F337="ENAP carga", COUNTIF(F$5:F337, "ENAP carga"), "")</f>
        <v/>
      </c>
    </row>
    <row r="338">
      <c r="O338" s="117">
        <f>IF(F338="CJ", I338*200, "")</f>
        <v/>
      </c>
      <c r="T338">
        <f>IF(F338="CJ", COUNTIF(F$5:F338, "CJ"), "")</f>
        <v/>
      </c>
      <c r="U338">
        <f>IF(F338="Ignacio", COUNTIF(F$5:F338, "Ignacio"), "")</f>
        <v/>
      </c>
      <c r="V338">
        <f>IF(F338="Tripulacion", COUNTIF(F$5:F338, "Tripulacion"), "")</f>
        <v/>
      </c>
      <c r="W338">
        <f>IF(F338="ENAP carga", COUNTIF(F$5:F338, "ENAP carga"), "")</f>
        <v/>
      </c>
    </row>
    <row r="339">
      <c r="O339" s="117">
        <f>IF(F339="CJ", I339*200, "")</f>
        <v/>
      </c>
      <c r="T339">
        <f>IF(F339="CJ", COUNTIF(F$5:F339, "CJ"), "")</f>
        <v/>
      </c>
      <c r="U339">
        <f>IF(F339="Ignacio", COUNTIF(F$5:F339, "Ignacio"), "")</f>
        <v/>
      </c>
      <c r="V339">
        <f>IF(F339="Tripulacion", COUNTIF(F$5:F339, "Tripulacion"), "")</f>
        <v/>
      </c>
      <c r="W339">
        <f>IF(F339="ENAP carga", COUNTIF(F$5:F339, "ENAP carga"), "")</f>
        <v/>
      </c>
    </row>
    <row r="340">
      <c r="O340" s="117">
        <f>IF(F340="CJ", I340*200, "")</f>
        <v/>
      </c>
      <c r="T340">
        <f>IF(F340="CJ", COUNTIF(F$5:F340, "CJ"), "")</f>
        <v/>
      </c>
      <c r="U340">
        <f>IF(F340="Ignacio", COUNTIF(F$5:F340, "Ignacio"), "")</f>
        <v/>
      </c>
      <c r="V340">
        <f>IF(F340="Tripulacion", COUNTIF(F$5:F340, "Tripulacion"), "")</f>
        <v/>
      </c>
      <c r="W340">
        <f>IF(F340="ENAP carga", COUNTIF(F$5:F340, "ENAP carga"), "")</f>
        <v/>
      </c>
    </row>
    <row r="341">
      <c r="O341" s="117">
        <f>IF(F341="CJ", I341*200, "")</f>
        <v/>
      </c>
      <c r="T341">
        <f>IF(F341="CJ", COUNTIF(F$5:F341, "CJ"), "")</f>
        <v/>
      </c>
      <c r="U341">
        <f>IF(F341="Ignacio", COUNTIF(F$5:F341, "Ignacio"), "")</f>
        <v/>
      </c>
      <c r="V341">
        <f>IF(F341="Tripulacion", COUNTIF(F$5:F341, "Tripulacion"), "")</f>
        <v/>
      </c>
      <c r="W341">
        <f>IF(F341="ENAP carga", COUNTIF(F$5:F341, "ENAP carga"), "")</f>
        <v/>
      </c>
    </row>
    <row r="342">
      <c r="O342" s="117">
        <f>IF(F342="CJ", I342*200, "")</f>
        <v/>
      </c>
      <c r="T342">
        <f>IF(F342="CJ", COUNTIF(F$5:F342, "CJ"), "")</f>
        <v/>
      </c>
      <c r="U342">
        <f>IF(F342="Ignacio", COUNTIF(F$5:F342, "Ignacio"), "")</f>
        <v/>
      </c>
      <c r="V342">
        <f>IF(F342="Tripulacion", COUNTIF(F$5:F342, "Tripulacion"), "")</f>
        <v/>
      </c>
      <c r="W342">
        <f>IF(F342="ENAP carga", COUNTIF(F$5:F342, "ENAP carga"), "")</f>
        <v/>
      </c>
    </row>
    <row r="343">
      <c r="O343" s="117">
        <f>IF(F343="CJ", I343*200, "")</f>
        <v/>
      </c>
      <c r="T343">
        <f>IF(F343="CJ", COUNTIF(F$5:F343, "CJ"), "")</f>
        <v/>
      </c>
      <c r="U343">
        <f>IF(F343="Ignacio", COUNTIF(F$5:F343, "Ignacio"), "")</f>
        <v/>
      </c>
      <c r="V343">
        <f>IF(F343="Tripulacion", COUNTIF(F$5:F343, "Tripulacion"), "")</f>
        <v/>
      </c>
      <c r="W343">
        <f>IF(F343="ENAP carga", COUNTIF(F$5:F343, "ENAP carga"), "")</f>
        <v/>
      </c>
    </row>
    <row r="344">
      <c r="O344" s="117">
        <f>IF(F344="CJ", I344*200, "")</f>
        <v/>
      </c>
      <c r="T344">
        <f>IF(F344="CJ", COUNTIF(F$5:F344, "CJ"), "")</f>
        <v/>
      </c>
      <c r="U344">
        <f>IF(F344="Ignacio", COUNTIF(F$5:F344, "Ignacio"), "")</f>
        <v/>
      </c>
      <c r="V344">
        <f>IF(F344="Tripulacion", COUNTIF(F$5:F344, "Tripulacion"), "")</f>
        <v/>
      </c>
      <c r="W344">
        <f>IF(F344="ENAP carga", COUNTIF(F$5:F344, "ENAP carga"), "")</f>
        <v/>
      </c>
    </row>
    <row r="345">
      <c r="O345" s="117">
        <f>IF(F345="CJ", I345*200, "")</f>
        <v/>
      </c>
      <c r="T345">
        <f>IF(F345="CJ", COUNTIF(F$5:F345, "CJ"), "")</f>
        <v/>
      </c>
      <c r="U345">
        <f>IF(F345="Ignacio", COUNTIF(F$5:F345, "Ignacio"), "")</f>
        <v/>
      </c>
      <c r="V345">
        <f>IF(F345="Tripulacion", COUNTIF(F$5:F345, "Tripulacion"), "")</f>
        <v/>
      </c>
      <c r="W345">
        <f>IF(F345="ENAP carga", COUNTIF(F$5:F345, "ENAP carga"), "")</f>
        <v/>
      </c>
    </row>
    <row r="346">
      <c r="O346" s="117">
        <f>IF(F346="CJ", I346*200, "")</f>
        <v/>
      </c>
      <c r="T346">
        <f>IF(F346="CJ", COUNTIF(F$5:F346, "CJ"), "")</f>
        <v/>
      </c>
      <c r="U346">
        <f>IF(F346="Ignacio", COUNTIF(F$5:F346, "Ignacio"), "")</f>
        <v/>
      </c>
      <c r="V346">
        <f>IF(F346="Tripulacion", COUNTIF(F$5:F346, "Tripulacion"), "")</f>
        <v/>
      </c>
      <c r="W346">
        <f>IF(F346="ENAP carga", COUNTIF(F$5:F346, "ENAP carga"), "")</f>
        <v/>
      </c>
    </row>
    <row r="347">
      <c r="O347" s="117">
        <f>IF(F347="CJ", I347*200, "")</f>
        <v/>
      </c>
      <c r="T347">
        <f>IF(F347="CJ", COUNTIF(F$5:F347, "CJ"), "")</f>
        <v/>
      </c>
      <c r="U347">
        <f>IF(F347="Ignacio", COUNTIF(F$5:F347, "Ignacio"), "")</f>
        <v/>
      </c>
      <c r="V347">
        <f>IF(F347="Tripulacion", COUNTIF(F$5:F347, "Tripulacion"), "")</f>
        <v/>
      </c>
      <c r="W347">
        <f>IF(F347="ENAP carga", COUNTIF(F$5:F347, "ENAP carga"), "")</f>
        <v/>
      </c>
    </row>
    <row r="348">
      <c r="O348" s="117">
        <f>IF(F348="CJ", I348*200, "")</f>
        <v/>
      </c>
      <c r="T348">
        <f>IF(F348="CJ", COUNTIF(F$5:F348, "CJ"), "")</f>
        <v/>
      </c>
      <c r="U348">
        <f>IF(F348="Ignacio", COUNTIF(F$5:F348, "Ignacio"), "")</f>
        <v/>
      </c>
      <c r="V348">
        <f>IF(F348="Tripulacion", COUNTIF(F$5:F348, "Tripulacion"), "")</f>
        <v/>
      </c>
      <c r="W348">
        <f>IF(F348="ENAP carga", COUNTIF(F$5:F348, "ENAP carga"), "")</f>
        <v/>
      </c>
    </row>
    <row r="349">
      <c r="O349" s="117">
        <f>IF(F349="CJ", I349*200, "")</f>
        <v/>
      </c>
      <c r="T349">
        <f>IF(F349="CJ", COUNTIF(F$5:F349, "CJ"), "")</f>
        <v/>
      </c>
      <c r="U349">
        <f>IF(F349="Ignacio", COUNTIF(F$5:F349, "Ignacio"), "")</f>
        <v/>
      </c>
      <c r="V349">
        <f>IF(F349="Tripulacion", COUNTIF(F$5:F349, "Tripulacion"), "")</f>
        <v/>
      </c>
      <c r="W349">
        <f>IF(F349="ENAP carga", COUNTIF(F$5:F349, "ENAP carga"), "")</f>
        <v/>
      </c>
    </row>
    <row r="350">
      <c r="O350" s="117">
        <f>IF(F350="CJ", I350*200, "")</f>
        <v/>
      </c>
      <c r="T350">
        <f>IF(F350="CJ", COUNTIF(F$5:F350, "CJ"), "")</f>
        <v/>
      </c>
      <c r="U350">
        <f>IF(F350="Ignacio", COUNTIF(F$5:F350, "Ignacio"), "")</f>
        <v/>
      </c>
      <c r="V350">
        <f>IF(F350="Tripulacion", COUNTIF(F$5:F350, "Tripulacion"), "")</f>
        <v/>
      </c>
      <c r="W350">
        <f>IF(F350="ENAP carga", COUNTIF(F$5:F350, "ENAP carga"), "")</f>
        <v/>
      </c>
    </row>
    <row r="351">
      <c r="O351" s="117">
        <f>IF(F351="CJ", I351*200, "")</f>
        <v/>
      </c>
      <c r="T351">
        <f>IF(F351="CJ", COUNTIF(F$5:F351, "CJ"), "")</f>
        <v/>
      </c>
      <c r="U351">
        <f>IF(F351="Ignacio", COUNTIF(F$5:F351, "Ignacio"), "")</f>
        <v/>
      </c>
      <c r="V351">
        <f>IF(F351="Tripulacion", COUNTIF(F$5:F351, "Tripulacion"), "")</f>
        <v/>
      </c>
      <c r="W351">
        <f>IF(F351="ENAP carga", COUNTIF(F$5:F351, "ENAP carga"), "")</f>
        <v/>
      </c>
    </row>
    <row r="352">
      <c r="O352" s="117">
        <f>IF(F352="CJ", I352*200, "")</f>
        <v/>
      </c>
      <c r="T352">
        <f>IF(F352="CJ", COUNTIF(F$5:F352, "CJ"), "")</f>
        <v/>
      </c>
      <c r="U352">
        <f>IF(F352="Ignacio", COUNTIF(F$5:F352, "Ignacio"), "")</f>
        <v/>
      </c>
      <c r="V352">
        <f>IF(F352="Tripulacion", COUNTIF(F$5:F352, "Tripulacion"), "")</f>
        <v/>
      </c>
      <c r="W352">
        <f>IF(F352="ENAP carga", COUNTIF(F$5:F352, "ENAP carga"), "")</f>
        <v/>
      </c>
    </row>
    <row r="353">
      <c r="O353" s="117">
        <f>IF(F353="CJ", I353*200, "")</f>
        <v/>
      </c>
      <c r="T353">
        <f>IF(F353="CJ", COUNTIF(F$5:F353, "CJ"), "")</f>
        <v/>
      </c>
      <c r="U353">
        <f>IF(F353="Ignacio", COUNTIF(F$5:F353, "Ignacio"), "")</f>
        <v/>
      </c>
      <c r="V353">
        <f>IF(F353="Tripulacion", COUNTIF(F$5:F353, "Tripulacion"), "")</f>
        <v/>
      </c>
      <c r="W353">
        <f>IF(F353="ENAP carga", COUNTIF(F$5:F353, "ENAP carga"), "")</f>
        <v/>
      </c>
    </row>
    <row r="354">
      <c r="O354" s="117">
        <f>IF(F354="CJ", I354*200, "")</f>
        <v/>
      </c>
      <c r="T354">
        <f>IF(F354="CJ", COUNTIF(F$5:F354, "CJ"), "")</f>
        <v/>
      </c>
      <c r="U354">
        <f>IF(F354="Ignacio", COUNTIF(F$5:F354, "Ignacio"), "")</f>
        <v/>
      </c>
      <c r="V354">
        <f>IF(F354="Tripulacion", COUNTIF(F$5:F354, "Tripulacion"), "")</f>
        <v/>
      </c>
      <c r="W354">
        <f>IF(F354="ENAP carga", COUNTIF(F$5:F354, "ENAP carga"), "")</f>
        <v/>
      </c>
    </row>
    <row r="355">
      <c r="O355" s="117">
        <f>IF(F355="CJ", I355*200, "")</f>
        <v/>
      </c>
      <c r="T355">
        <f>IF(F355="CJ", COUNTIF(F$5:F355, "CJ"), "")</f>
        <v/>
      </c>
      <c r="U355">
        <f>IF(F355="Ignacio", COUNTIF(F$5:F355, "Ignacio"), "")</f>
        <v/>
      </c>
      <c r="V355">
        <f>IF(F355="Tripulacion", COUNTIF(F$5:F355, "Tripulacion"), "")</f>
        <v/>
      </c>
      <c r="W355">
        <f>IF(F355="ENAP carga", COUNTIF(F$5:F355, "ENAP carga"), "")</f>
        <v/>
      </c>
    </row>
    <row r="356">
      <c r="O356" s="117">
        <f>IF(F356="CJ", I356*200, "")</f>
        <v/>
      </c>
      <c r="T356">
        <f>IF(F356="CJ", COUNTIF(F$5:F356, "CJ"), "")</f>
        <v/>
      </c>
      <c r="U356">
        <f>IF(F356="Ignacio", COUNTIF(F$5:F356, "Ignacio"), "")</f>
        <v/>
      </c>
      <c r="V356">
        <f>IF(F356="Tripulacion", COUNTIF(F$5:F356, "Tripulacion"), "")</f>
        <v/>
      </c>
      <c r="W356">
        <f>IF(F356="ENAP carga", COUNTIF(F$5:F356, "ENAP carga"), "")</f>
        <v/>
      </c>
    </row>
    <row r="357">
      <c r="O357" s="117">
        <f>IF(F357="CJ", I357*200, "")</f>
        <v/>
      </c>
      <c r="T357">
        <f>IF(F357="CJ", COUNTIF(F$5:F357, "CJ"), "")</f>
        <v/>
      </c>
      <c r="U357">
        <f>IF(F357="Ignacio", COUNTIF(F$5:F357, "Ignacio"), "")</f>
        <v/>
      </c>
      <c r="V357">
        <f>IF(F357="Tripulacion", COUNTIF(F$5:F357, "Tripulacion"), "")</f>
        <v/>
      </c>
      <c r="W357">
        <f>IF(F357="ENAP carga", COUNTIF(F$5:F357, "ENAP carga"), "")</f>
        <v/>
      </c>
    </row>
    <row r="358">
      <c r="O358" s="117">
        <f>IF(F358="CJ", I358*200, "")</f>
        <v/>
      </c>
      <c r="T358">
        <f>IF(F358="CJ", COUNTIF(F$5:F358, "CJ"), "")</f>
        <v/>
      </c>
      <c r="U358">
        <f>IF(F358="Ignacio", COUNTIF(F$5:F358, "Ignacio"), "")</f>
        <v/>
      </c>
      <c r="V358">
        <f>IF(F358="Tripulacion", COUNTIF(F$5:F358, "Tripulacion"), "")</f>
        <v/>
      </c>
      <c r="W358">
        <f>IF(F358="ENAP carga", COUNTIF(F$5:F358, "ENAP carga"), "")</f>
        <v/>
      </c>
    </row>
    <row r="359">
      <c r="O359" s="117">
        <f>IF(F359="CJ", I359*200, "")</f>
        <v/>
      </c>
      <c r="T359">
        <f>IF(F359="CJ", COUNTIF(F$5:F359, "CJ"), "")</f>
        <v/>
      </c>
      <c r="U359">
        <f>IF(F359="Ignacio", COUNTIF(F$5:F359, "Ignacio"), "")</f>
        <v/>
      </c>
      <c r="V359">
        <f>IF(F359="Tripulacion", COUNTIF(F$5:F359, "Tripulacion"), "")</f>
        <v/>
      </c>
      <c r="W359">
        <f>IF(F359="ENAP carga", COUNTIF(F$5:F359, "ENAP carga"), "")</f>
        <v/>
      </c>
    </row>
    <row r="360">
      <c r="O360" s="117">
        <f>IF(F360="CJ", I360*200, "")</f>
        <v/>
      </c>
      <c r="T360">
        <f>IF(F360="CJ", COUNTIF(F$5:F360, "CJ"), "")</f>
        <v/>
      </c>
      <c r="U360">
        <f>IF(F360="Ignacio", COUNTIF(F$5:F360, "Ignacio"), "")</f>
        <v/>
      </c>
      <c r="V360">
        <f>IF(F360="Tripulacion", COUNTIF(F$5:F360, "Tripulacion"), "")</f>
        <v/>
      </c>
      <c r="W360">
        <f>IF(F360="ENAP carga", COUNTIF(F$5:F360, "ENAP carga"), "")</f>
        <v/>
      </c>
    </row>
    <row r="361">
      <c r="O361" s="117">
        <f>IF(F361="CJ", I361*200, "")</f>
        <v/>
      </c>
      <c r="T361">
        <f>IF(F361="CJ", COUNTIF(F$5:F361, "CJ"), "")</f>
        <v/>
      </c>
      <c r="U361">
        <f>IF(F361="Ignacio", COUNTIF(F$5:F361, "Ignacio"), "")</f>
        <v/>
      </c>
      <c r="V361">
        <f>IF(F361="Tripulacion", COUNTIF(F$5:F361, "Tripulacion"), "")</f>
        <v/>
      </c>
      <c r="W361">
        <f>IF(F361="ENAP carga", COUNTIF(F$5:F361, "ENAP carga"), "")</f>
        <v/>
      </c>
    </row>
    <row r="362">
      <c r="O362" s="117">
        <f>IF(F362="CJ", I362*200, "")</f>
        <v/>
      </c>
      <c r="T362">
        <f>IF(F362="CJ", COUNTIF(F$5:F362, "CJ"), "")</f>
        <v/>
      </c>
      <c r="U362">
        <f>IF(F362="Ignacio", COUNTIF(F$5:F362, "Ignacio"), "")</f>
        <v/>
      </c>
      <c r="V362">
        <f>IF(F362="Tripulacion", COUNTIF(F$5:F362, "Tripulacion"), "")</f>
        <v/>
      </c>
      <c r="W362">
        <f>IF(F362="ENAP carga", COUNTIF(F$5:F362, "ENAP carga"), "")</f>
        <v/>
      </c>
    </row>
    <row r="363">
      <c r="O363" s="117">
        <f>IF(F363="CJ", I363*200, "")</f>
        <v/>
      </c>
      <c r="T363">
        <f>IF(F363="CJ", COUNTIF(F$5:F363, "CJ"), "")</f>
        <v/>
      </c>
      <c r="U363">
        <f>IF(F363="Ignacio", COUNTIF(F$5:F363, "Ignacio"), "")</f>
        <v/>
      </c>
      <c r="V363">
        <f>IF(F363="Tripulacion", COUNTIF(F$5:F363, "Tripulacion"), "")</f>
        <v/>
      </c>
      <c r="W363">
        <f>IF(F363="ENAP carga", COUNTIF(F$5:F363, "ENAP carga"), "")</f>
        <v/>
      </c>
    </row>
    <row r="364">
      <c r="O364" s="117">
        <f>IF(F364="CJ", I364*200, "")</f>
        <v/>
      </c>
      <c r="T364">
        <f>IF(F364="CJ", COUNTIF(F$5:F364, "CJ"), "")</f>
        <v/>
      </c>
      <c r="U364">
        <f>IF(F364="Ignacio", COUNTIF(F$5:F364, "Ignacio"), "")</f>
        <v/>
      </c>
      <c r="V364">
        <f>IF(F364="Tripulacion", COUNTIF(F$5:F364, "Tripulacion"), "")</f>
        <v/>
      </c>
      <c r="W364">
        <f>IF(F364="ENAP carga", COUNTIF(F$5:F364, "ENAP carga"), "")</f>
        <v/>
      </c>
    </row>
    <row r="365">
      <c r="O365" s="117">
        <f>IF(F365="CJ", I365*200, "")</f>
        <v/>
      </c>
      <c r="T365">
        <f>IF(F365="CJ", COUNTIF(F$5:F365, "CJ"), "")</f>
        <v/>
      </c>
      <c r="U365">
        <f>IF(F365="Ignacio", COUNTIF(F$5:F365, "Ignacio"), "")</f>
        <v/>
      </c>
      <c r="V365">
        <f>IF(F365="Tripulacion", COUNTIF(F$5:F365, "Tripulacion"), "")</f>
        <v/>
      </c>
      <c r="W365">
        <f>IF(F365="ENAP carga", COUNTIF(F$5:F365, "ENAP carga"), "")</f>
        <v/>
      </c>
    </row>
    <row r="366">
      <c r="O366" s="117">
        <f>IF(F366="CJ", I366*200, "")</f>
        <v/>
      </c>
      <c r="T366">
        <f>IF(F366="CJ", COUNTIF(F$5:F366, "CJ"), "")</f>
        <v/>
      </c>
      <c r="U366">
        <f>IF(F366="Ignacio", COUNTIF(F$5:F366, "Ignacio"), "")</f>
        <v/>
      </c>
      <c r="V366">
        <f>IF(F366="Tripulacion", COUNTIF(F$5:F366, "Tripulacion"), "")</f>
        <v/>
      </c>
      <c r="W366">
        <f>IF(F366="ENAP carga", COUNTIF(F$5:F366, "ENAP carga"), "")</f>
        <v/>
      </c>
    </row>
    <row r="367">
      <c r="O367" s="117">
        <f>IF(F367="CJ", I367*200, "")</f>
        <v/>
      </c>
      <c r="T367">
        <f>IF(F367="CJ", COUNTIF(F$5:F367, "CJ"), "")</f>
        <v/>
      </c>
      <c r="U367">
        <f>IF(F367="Ignacio", COUNTIF(F$5:F367, "Ignacio"), "")</f>
        <v/>
      </c>
      <c r="V367">
        <f>IF(F367="Tripulacion", COUNTIF(F$5:F367, "Tripulacion"), "")</f>
        <v/>
      </c>
      <c r="W367">
        <f>IF(F367="ENAP carga", COUNTIF(F$5:F367, "ENAP carga"), "")</f>
        <v/>
      </c>
    </row>
    <row r="368">
      <c r="O368" s="117">
        <f>IF(F368="CJ", I368*200, "")</f>
        <v/>
      </c>
      <c r="T368">
        <f>IF(F368="CJ", COUNTIF(F$5:F368, "CJ"), "")</f>
        <v/>
      </c>
      <c r="U368">
        <f>IF(F368="Ignacio", COUNTIF(F$5:F368, "Ignacio"), "")</f>
        <v/>
      </c>
      <c r="V368">
        <f>IF(F368="Tripulacion", COUNTIF(F$5:F368, "Tripulacion"), "")</f>
        <v/>
      </c>
      <c r="W368">
        <f>IF(F368="ENAP carga", COUNTIF(F$5:F368, "ENAP carga"), "")</f>
        <v/>
      </c>
    </row>
    <row r="369">
      <c r="O369" s="117">
        <f>IF(F369="CJ", I369*200, "")</f>
        <v/>
      </c>
      <c r="T369">
        <f>IF(F369="CJ", COUNTIF(F$5:F369, "CJ"), "")</f>
        <v/>
      </c>
      <c r="U369">
        <f>IF(F369="Ignacio", COUNTIF(F$5:F369, "Ignacio"), "")</f>
        <v/>
      </c>
      <c r="V369">
        <f>IF(F369="Tripulacion", COUNTIF(F$5:F369, "Tripulacion"), "")</f>
        <v/>
      </c>
      <c r="W369">
        <f>IF(F369="ENAP carga", COUNTIF(F$5:F369, "ENAP carga"), "")</f>
        <v/>
      </c>
    </row>
    <row r="370">
      <c r="O370" s="117">
        <f>IF(F370="CJ", I370*200, "")</f>
        <v/>
      </c>
      <c r="T370">
        <f>IF(F370="CJ", COUNTIF(F$5:F370, "CJ"), "")</f>
        <v/>
      </c>
      <c r="U370">
        <f>IF(F370="Ignacio", COUNTIF(F$5:F370, "Ignacio"), "")</f>
        <v/>
      </c>
      <c r="V370">
        <f>IF(F370="Tripulacion", COUNTIF(F$5:F370, "Tripulacion"), "")</f>
        <v/>
      </c>
      <c r="W370">
        <f>IF(F370="ENAP carga", COUNTIF(F$5:F370, "ENAP carga"), "")</f>
        <v/>
      </c>
    </row>
    <row r="371">
      <c r="O371" s="117">
        <f>IF(F371="CJ", I371*200, "")</f>
        <v/>
      </c>
      <c r="T371">
        <f>IF(F371="CJ", COUNTIF(F$5:F371, "CJ"), "")</f>
        <v/>
      </c>
      <c r="U371">
        <f>IF(F371="Ignacio", COUNTIF(F$5:F371, "Ignacio"), "")</f>
        <v/>
      </c>
      <c r="V371">
        <f>IF(F371="Tripulacion", COUNTIF(F$5:F371, "Tripulacion"), "")</f>
        <v/>
      </c>
      <c r="W371">
        <f>IF(F371="ENAP carga", COUNTIF(F$5:F371, "ENAP carga"), "")</f>
        <v/>
      </c>
    </row>
    <row r="372">
      <c r="O372" s="117">
        <f>IF(F372="CJ", I372*200, "")</f>
        <v/>
      </c>
      <c r="T372">
        <f>IF(F372="CJ", COUNTIF(F$5:F372, "CJ"), "")</f>
        <v/>
      </c>
      <c r="U372">
        <f>IF(F372="Ignacio", COUNTIF(F$5:F372, "Ignacio"), "")</f>
        <v/>
      </c>
      <c r="V372">
        <f>IF(F372="Tripulacion", COUNTIF(F$5:F372, "Tripulacion"), "")</f>
        <v/>
      </c>
      <c r="W372">
        <f>IF(F372="ENAP carga", COUNTIF(F$5:F372, "ENAP carga"), "")</f>
        <v/>
      </c>
    </row>
    <row r="373">
      <c r="O373" s="117">
        <f>IF(F373="CJ", I373*200, "")</f>
        <v/>
      </c>
      <c r="T373">
        <f>IF(F373="CJ", COUNTIF(F$5:F373, "CJ"), "")</f>
        <v/>
      </c>
      <c r="U373">
        <f>IF(F373="Ignacio", COUNTIF(F$5:F373, "Ignacio"), "")</f>
        <v/>
      </c>
      <c r="V373">
        <f>IF(F373="Tripulacion", COUNTIF(F$5:F373, "Tripulacion"), "")</f>
        <v/>
      </c>
      <c r="W373">
        <f>IF(F373="ENAP carga", COUNTIF(F$5:F373, "ENAP carga"), "")</f>
        <v/>
      </c>
    </row>
    <row r="374">
      <c r="O374" s="117">
        <f>IF(F374="CJ", I374*200, "")</f>
        <v/>
      </c>
      <c r="T374">
        <f>IF(F374="CJ", COUNTIF(F$5:F374, "CJ"), "")</f>
        <v/>
      </c>
      <c r="U374">
        <f>IF(F374="Ignacio", COUNTIF(F$5:F374, "Ignacio"), "")</f>
        <v/>
      </c>
      <c r="V374">
        <f>IF(F374="Tripulacion", COUNTIF(F$5:F374, "Tripulacion"), "")</f>
        <v/>
      </c>
      <c r="W374">
        <f>IF(F374="ENAP carga", COUNTIF(F$5:F374, "ENAP carga"), "")</f>
        <v/>
      </c>
    </row>
    <row r="375">
      <c r="O375" s="117">
        <f>IF(F375="CJ", I375*200, "")</f>
        <v/>
      </c>
      <c r="T375">
        <f>IF(F375="CJ", COUNTIF(F$5:F375, "CJ"), "")</f>
        <v/>
      </c>
      <c r="U375">
        <f>IF(F375="Ignacio", COUNTIF(F$5:F375, "Ignacio"), "")</f>
        <v/>
      </c>
      <c r="V375">
        <f>IF(F375="Tripulacion", COUNTIF(F$5:F375, "Tripulacion"), "")</f>
        <v/>
      </c>
      <c r="W375">
        <f>IF(F375="ENAP carga", COUNTIF(F$5:F375, "ENAP carga"), "")</f>
        <v/>
      </c>
    </row>
    <row r="376">
      <c r="O376" s="117">
        <f>IF(F376="CJ", I376*200, "")</f>
        <v/>
      </c>
      <c r="T376">
        <f>IF(F376="CJ", COUNTIF(F$5:F376, "CJ"), "")</f>
        <v/>
      </c>
      <c r="U376">
        <f>IF(F376="Ignacio", COUNTIF(F$5:F376, "Ignacio"), "")</f>
        <v/>
      </c>
      <c r="V376">
        <f>IF(F376="Tripulacion", COUNTIF(F$5:F376, "Tripulacion"), "")</f>
        <v/>
      </c>
      <c r="W376">
        <f>IF(F376="ENAP carga", COUNTIF(F$5:F376, "ENAP carga"), "")</f>
        <v/>
      </c>
    </row>
    <row r="377">
      <c r="O377" s="117">
        <f>IF(F377="CJ", I377*200, "")</f>
        <v/>
      </c>
      <c r="T377">
        <f>IF(F377="CJ", COUNTIF(F$5:F377, "CJ"), "")</f>
        <v/>
      </c>
      <c r="U377">
        <f>IF(F377="Ignacio", COUNTIF(F$5:F377, "Ignacio"), "")</f>
        <v/>
      </c>
      <c r="V377">
        <f>IF(F377="Tripulacion", COUNTIF(F$5:F377, "Tripulacion"), "")</f>
        <v/>
      </c>
      <c r="W377">
        <f>IF(F377="ENAP carga", COUNTIF(F$5:F377, "ENAP carga"), "")</f>
        <v/>
      </c>
    </row>
    <row r="378">
      <c r="O378" s="117">
        <f>IF(F378="CJ", I378*200, "")</f>
        <v/>
      </c>
      <c r="T378">
        <f>IF(F378="CJ", COUNTIF(F$5:F378, "CJ"), "")</f>
        <v/>
      </c>
      <c r="U378">
        <f>IF(F378="Ignacio", COUNTIF(F$5:F378, "Ignacio"), "")</f>
        <v/>
      </c>
      <c r="V378">
        <f>IF(F378="Tripulacion", COUNTIF(F$5:F378, "Tripulacion"), "")</f>
        <v/>
      </c>
      <c r="W378">
        <f>IF(F378="ENAP carga", COUNTIF(F$5:F378, "ENAP carga"), "")</f>
        <v/>
      </c>
    </row>
    <row r="379">
      <c r="O379" s="117">
        <f>IF(F379="CJ", I379*200, "")</f>
        <v/>
      </c>
      <c r="T379">
        <f>IF(F379="CJ", COUNTIF(F$5:F379, "CJ"), "")</f>
        <v/>
      </c>
      <c r="U379">
        <f>IF(F379="Ignacio", COUNTIF(F$5:F379, "Ignacio"), "")</f>
        <v/>
      </c>
      <c r="V379">
        <f>IF(F379="Tripulacion", COUNTIF(F$5:F379, "Tripulacion"), "")</f>
        <v/>
      </c>
      <c r="W379">
        <f>IF(F379="ENAP carga", COUNTIF(F$5:F379, "ENAP carga"), "")</f>
        <v/>
      </c>
    </row>
    <row r="380">
      <c r="O380" s="117">
        <f>IF(F380="CJ", I380*200, "")</f>
        <v/>
      </c>
      <c r="T380">
        <f>IF(F380="CJ", COUNTIF(F$5:F380, "CJ"), "")</f>
        <v/>
      </c>
      <c r="U380">
        <f>IF(F380="Ignacio", COUNTIF(F$5:F380, "Ignacio"), "")</f>
        <v/>
      </c>
      <c r="V380">
        <f>IF(F380="Tripulacion", COUNTIF(F$5:F380, "Tripulacion"), "")</f>
        <v/>
      </c>
      <c r="W380">
        <f>IF(F380="ENAP carga", COUNTIF(F$5:F380, "ENAP carga"), "")</f>
        <v/>
      </c>
    </row>
    <row r="381">
      <c r="O381" s="117">
        <f>IF(F381="CJ", I381*200, "")</f>
        <v/>
      </c>
      <c r="T381">
        <f>IF(F381="CJ", COUNTIF(F$5:F381, "CJ"), "")</f>
        <v/>
      </c>
      <c r="U381">
        <f>IF(F381="Ignacio", COUNTIF(F$5:F381, "Ignacio"), "")</f>
        <v/>
      </c>
      <c r="V381">
        <f>IF(F381="Tripulacion", COUNTIF(F$5:F381, "Tripulacion"), "")</f>
        <v/>
      </c>
      <c r="W381">
        <f>IF(F381="ENAP carga", COUNTIF(F$5:F381, "ENAP carga"), "")</f>
        <v/>
      </c>
    </row>
    <row r="382">
      <c r="O382" s="117">
        <f>IF(F382="CJ", I382*200, "")</f>
        <v/>
      </c>
      <c r="T382">
        <f>IF(F382="CJ", COUNTIF(F$5:F382, "CJ"), "")</f>
        <v/>
      </c>
      <c r="U382">
        <f>IF(F382="Ignacio", COUNTIF(F$5:F382, "Ignacio"), "")</f>
        <v/>
      </c>
      <c r="V382">
        <f>IF(F382="Tripulacion", COUNTIF(F$5:F382, "Tripulacion"), "")</f>
        <v/>
      </c>
      <c r="W382">
        <f>IF(F382="ENAP carga", COUNTIF(F$5:F382, "ENAP carga"), "")</f>
        <v/>
      </c>
    </row>
    <row r="383">
      <c r="O383" s="117">
        <f>IF(F383="CJ", I383*200, "")</f>
        <v/>
      </c>
      <c r="T383">
        <f>IF(F383="CJ", COUNTIF(F$5:F383, "CJ"), "")</f>
        <v/>
      </c>
      <c r="U383">
        <f>IF(F383="Ignacio", COUNTIF(F$5:F383, "Ignacio"), "")</f>
        <v/>
      </c>
      <c r="V383">
        <f>IF(F383="Tripulacion", COUNTIF(F$5:F383, "Tripulacion"), "")</f>
        <v/>
      </c>
      <c r="W383">
        <f>IF(F383="ENAP carga", COUNTIF(F$5:F383, "ENAP carga"), "")</f>
        <v/>
      </c>
    </row>
    <row r="384">
      <c r="O384" s="117">
        <f>IF(F384="CJ", I384*200, "")</f>
        <v/>
      </c>
      <c r="T384">
        <f>IF(F384="CJ", COUNTIF(F$5:F384, "CJ"), "")</f>
        <v/>
      </c>
      <c r="U384">
        <f>IF(F384="Ignacio", COUNTIF(F$5:F384, "Ignacio"), "")</f>
        <v/>
      </c>
      <c r="V384">
        <f>IF(F384="Tripulacion", COUNTIF(F$5:F384, "Tripulacion"), "")</f>
        <v/>
      </c>
      <c r="W384">
        <f>IF(F384="ENAP carga", COUNTIF(F$5:F384, "ENAP carga"), "")</f>
        <v/>
      </c>
    </row>
    <row r="385">
      <c r="O385" s="117">
        <f>IF(F385="CJ", I385*200, "")</f>
        <v/>
      </c>
      <c r="T385">
        <f>IF(F385="CJ", COUNTIF(F$5:F385, "CJ"), "")</f>
        <v/>
      </c>
      <c r="U385">
        <f>IF(F385="Ignacio", COUNTIF(F$5:F385, "Ignacio"), "")</f>
        <v/>
      </c>
      <c r="V385">
        <f>IF(F385="Tripulacion", COUNTIF(F$5:F385, "Tripulacion"), "")</f>
        <v/>
      </c>
      <c r="W385">
        <f>IF(F385="ENAP carga", COUNTIF(F$5:F385, "ENAP carga"), "")</f>
        <v/>
      </c>
    </row>
    <row r="386">
      <c r="O386" s="117">
        <f>IF(F386="CJ", I386*200, "")</f>
        <v/>
      </c>
      <c r="T386">
        <f>IF(F386="CJ", COUNTIF(F$5:F386, "CJ"), "")</f>
        <v/>
      </c>
      <c r="U386">
        <f>IF(F386="Ignacio", COUNTIF(F$5:F386, "Ignacio"), "")</f>
        <v/>
      </c>
      <c r="V386">
        <f>IF(F386="Tripulacion", COUNTIF(F$5:F386, "Tripulacion"), "")</f>
        <v/>
      </c>
      <c r="W386">
        <f>IF(F386="ENAP carga", COUNTIF(F$5:F386, "ENAP carga"), "")</f>
        <v/>
      </c>
    </row>
    <row r="387">
      <c r="O387" s="117">
        <f>IF(F387="CJ", I387*200, "")</f>
        <v/>
      </c>
      <c r="T387">
        <f>IF(F387="CJ", COUNTIF(F$5:F387, "CJ"), "")</f>
        <v/>
      </c>
      <c r="U387">
        <f>IF(F387="Ignacio", COUNTIF(F$5:F387, "Ignacio"), "")</f>
        <v/>
      </c>
      <c r="V387">
        <f>IF(F387="Tripulacion", COUNTIF(F$5:F387, "Tripulacion"), "")</f>
        <v/>
      </c>
      <c r="W387">
        <f>IF(F387="ENAP carga", COUNTIF(F$5:F387, "ENAP carga"), "")</f>
        <v/>
      </c>
    </row>
    <row r="388">
      <c r="O388" s="117">
        <f>IF(F388="CJ", I388*200, "")</f>
        <v/>
      </c>
      <c r="T388">
        <f>IF(F388="CJ", COUNTIF(F$5:F388, "CJ"), "")</f>
        <v/>
      </c>
      <c r="U388">
        <f>IF(F388="Ignacio", COUNTIF(F$5:F388, "Ignacio"), "")</f>
        <v/>
      </c>
      <c r="V388">
        <f>IF(F388="Tripulacion", COUNTIF(F$5:F388, "Tripulacion"), "")</f>
        <v/>
      </c>
      <c r="W388">
        <f>IF(F388="ENAP carga", COUNTIF(F$5:F388, "ENAP carga"), "")</f>
        <v/>
      </c>
    </row>
    <row r="389">
      <c r="O389" s="117">
        <f>IF(F389="CJ", I389*200, "")</f>
        <v/>
      </c>
      <c r="T389">
        <f>IF(F389="CJ", COUNTIF(F$5:F389, "CJ"), "")</f>
        <v/>
      </c>
      <c r="U389">
        <f>IF(F389="Ignacio", COUNTIF(F$5:F389, "Ignacio"), "")</f>
        <v/>
      </c>
      <c r="V389">
        <f>IF(F389="Tripulacion", COUNTIF(F$5:F389, "Tripulacion"), "")</f>
        <v/>
      </c>
      <c r="W389">
        <f>IF(F389="ENAP carga", COUNTIF(F$5:F389, "ENAP carga"), "")</f>
        <v/>
      </c>
    </row>
    <row r="390">
      <c r="O390" s="117">
        <f>IF(F390="CJ", I390*200, "")</f>
        <v/>
      </c>
      <c r="T390">
        <f>IF(F390="CJ", COUNTIF(F$5:F390, "CJ"), "")</f>
        <v/>
      </c>
      <c r="U390">
        <f>IF(F390="Ignacio", COUNTIF(F$5:F390, "Ignacio"), "")</f>
        <v/>
      </c>
      <c r="V390">
        <f>IF(F390="Tripulacion", COUNTIF(F$5:F390, "Tripulacion"), "")</f>
        <v/>
      </c>
      <c r="W390">
        <f>IF(F390="ENAP carga", COUNTIF(F$5:F390, "ENAP carga"), "")</f>
        <v/>
      </c>
    </row>
    <row r="391">
      <c r="O391" s="117">
        <f>IF(F391="CJ", I391*200, "")</f>
        <v/>
      </c>
      <c r="T391">
        <f>IF(F391="CJ", COUNTIF(F$5:F391, "CJ"), "")</f>
        <v/>
      </c>
      <c r="U391">
        <f>IF(F391="Ignacio", COUNTIF(F$5:F391, "Ignacio"), "")</f>
        <v/>
      </c>
      <c r="V391">
        <f>IF(F391="Tripulacion", COUNTIF(F$5:F391, "Tripulacion"), "")</f>
        <v/>
      </c>
      <c r="W391">
        <f>IF(F391="ENAP carga", COUNTIF(F$5:F391, "ENAP carga"), "")</f>
        <v/>
      </c>
    </row>
    <row r="392">
      <c r="O392" s="117">
        <f>IF(F392="CJ", I392*200, "")</f>
        <v/>
      </c>
      <c r="T392">
        <f>IF(F392="CJ", COUNTIF(F$5:F392, "CJ"), "")</f>
        <v/>
      </c>
      <c r="U392">
        <f>IF(F392="Ignacio", COUNTIF(F$5:F392, "Ignacio"), "")</f>
        <v/>
      </c>
      <c r="V392">
        <f>IF(F392="Tripulacion", COUNTIF(F$5:F392, "Tripulacion"), "")</f>
        <v/>
      </c>
      <c r="W392">
        <f>IF(F392="ENAP carga", COUNTIF(F$5:F392, "ENAP carga"), "")</f>
        <v/>
      </c>
    </row>
    <row r="393">
      <c r="O393" s="117">
        <f>IF(F393="CJ", I393*200, "")</f>
        <v/>
      </c>
      <c r="T393">
        <f>IF(F393="CJ", COUNTIF(F$5:F393, "CJ"), "")</f>
        <v/>
      </c>
      <c r="U393">
        <f>IF(F393="Ignacio", COUNTIF(F$5:F393, "Ignacio"), "")</f>
        <v/>
      </c>
      <c r="V393">
        <f>IF(F393="Tripulacion", COUNTIF(F$5:F393, "Tripulacion"), "")</f>
        <v/>
      </c>
      <c r="W393">
        <f>IF(F393="ENAP carga", COUNTIF(F$5:F393, "ENAP carga"), "")</f>
        <v/>
      </c>
    </row>
    <row r="394">
      <c r="O394" s="117">
        <f>IF(F394="CJ", I394*200, "")</f>
        <v/>
      </c>
      <c r="T394">
        <f>IF(F394="CJ", COUNTIF(F$5:F394, "CJ"), "")</f>
        <v/>
      </c>
      <c r="U394">
        <f>IF(F394="Ignacio", COUNTIF(F$5:F394, "Ignacio"), "")</f>
        <v/>
      </c>
      <c r="V394">
        <f>IF(F394="Tripulacion", COUNTIF(F$5:F394, "Tripulacion"), "")</f>
        <v/>
      </c>
      <c r="W394">
        <f>IF(F394="ENAP carga", COUNTIF(F$5:F394, "ENAP carga"), "")</f>
        <v/>
      </c>
    </row>
    <row r="395">
      <c r="O395" s="117">
        <f>IF(F395="CJ", I395*200, "")</f>
        <v/>
      </c>
      <c r="T395">
        <f>IF(F395="CJ", COUNTIF(F$5:F395, "CJ"), "")</f>
        <v/>
      </c>
      <c r="U395">
        <f>IF(F395="Ignacio", COUNTIF(F$5:F395, "Ignacio"), "")</f>
        <v/>
      </c>
      <c r="V395">
        <f>IF(F395="Tripulacion", COUNTIF(F$5:F395, "Tripulacion"), "")</f>
        <v/>
      </c>
      <c r="W395">
        <f>IF(F395="ENAP carga", COUNTIF(F$5:F395, "ENAP carga"), "")</f>
        <v/>
      </c>
    </row>
    <row r="396">
      <c r="O396" s="117">
        <f>IF(F396="CJ", I396*200, "")</f>
        <v/>
      </c>
      <c r="T396">
        <f>IF(F396="CJ", COUNTIF(F$5:F396, "CJ"), "")</f>
        <v/>
      </c>
      <c r="U396">
        <f>IF(F396="Ignacio", COUNTIF(F$5:F396, "Ignacio"), "")</f>
        <v/>
      </c>
      <c r="V396">
        <f>IF(F396="Tripulacion", COUNTIF(F$5:F396, "Tripulacion"), "")</f>
        <v/>
      </c>
      <c r="W396">
        <f>IF(F396="ENAP carga", COUNTIF(F$5:F396, "ENAP carga"), "")</f>
        <v/>
      </c>
    </row>
    <row r="397">
      <c r="O397" s="117">
        <f>IF(F397="CJ", I397*200, "")</f>
        <v/>
      </c>
      <c r="T397">
        <f>IF(F397="CJ", COUNTIF(F$5:F397, "CJ"), "")</f>
        <v/>
      </c>
      <c r="U397">
        <f>IF(F397="Ignacio", COUNTIF(F$5:F397, "Ignacio"), "")</f>
        <v/>
      </c>
      <c r="V397">
        <f>IF(F397="Tripulacion", COUNTIF(F$5:F397, "Tripulacion"), "")</f>
        <v/>
      </c>
      <c r="W397">
        <f>IF(F397="ENAP carga", COUNTIF(F$5:F397, "ENAP carga"), "")</f>
        <v/>
      </c>
    </row>
    <row r="398">
      <c r="O398" s="117">
        <f>IF(F398="CJ", I398*200, "")</f>
        <v/>
      </c>
      <c r="T398">
        <f>IF(F398="CJ", COUNTIF(F$5:F398, "CJ"), "")</f>
        <v/>
      </c>
      <c r="U398">
        <f>IF(F398="Ignacio", COUNTIF(F$5:F398, "Ignacio"), "")</f>
        <v/>
      </c>
      <c r="V398">
        <f>IF(F398="Tripulacion", COUNTIF(F$5:F398, "Tripulacion"), "")</f>
        <v/>
      </c>
      <c r="W398">
        <f>IF(F398="ENAP carga", COUNTIF(F$5:F398, "ENAP carga"), "")</f>
        <v/>
      </c>
    </row>
    <row r="399">
      <c r="O399" s="117">
        <f>IF(F399="CJ", I399*200, "")</f>
        <v/>
      </c>
      <c r="T399">
        <f>IF(F399="CJ", COUNTIF(F$5:F399, "CJ"), "")</f>
        <v/>
      </c>
      <c r="U399">
        <f>IF(F399="Ignacio", COUNTIF(F$5:F399, "Ignacio"), "")</f>
        <v/>
      </c>
      <c r="V399">
        <f>IF(F399="Tripulacion", COUNTIF(F$5:F399, "Tripulacion"), "")</f>
        <v/>
      </c>
      <c r="W399">
        <f>IF(F399="ENAP carga", COUNTIF(F$5:F399, "ENAP carga"), "")</f>
        <v/>
      </c>
    </row>
    <row r="400">
      <c r="O400" s="117">
        <f>IF(F400="CJ", I400*200, "")</f>
        <v/>
      </c>
      <c r="T400">
        <f>IF(F400="CJ", COUNTIF(F$5:F400, "CJ"), "")</f>
        <v/>
      </c>
      <c r="U400">
        <f>IF(F400="Ignacio", COUNTIF(F$5:F400, "Ignacio"), "")</f>
        <v/>
      </c>
      <c r="V400">
        <f>IF(F400="Tripulacion", COUNTIF(F$5:F400, "Tripulacion"), "")</f>
        <v/>
      </c>
      <c r="W400">
        <f>IF(F400="ENAP carga", COUNTIF(F$5:F400, "ENAP carga"), "")</f>
        <v/>
      </c>
    </row>
    <row r="401">
      <c r="O401" s="117">
        <f>IF(F401="CJ", I401*200, "")</f>
        <v/>
      </c>
      <c r="T401">
        <f>IF(F401="CJ", COUNTIF(F$5:F401, "CJ"), "")</f>
        <v/>
      </c>
      <c r="U401">
        <f>IF(F401="Ignacio", COUNTIF(F$5:F401, "Ignacio"), "")</f>
        <v/>
      </c>
      <c r="V401">
        <f>IF(F401="Tripulacion", COUNTIF(F$5:F401, "Tripulacion"), "")</f>
        <v/>
      </c>
      <c r="W401">
        <f>IF(F401="ENAP carga", COUNTIF(F$5:F401, "ENAP carga"), "")</f>
        <v/>
      </c>
    </row>
    <row r="402">
      <c r="O402" s="117">
        <f>IF(F402="CJ", I402*200, "")</f>
        <v/>
      </c>
      <c r="T402">
        <f>IF(F402="CJ", COUNTIF(F$5:F402, "CJ"), "")</f>
        <v/>
      </c>
      <c r="U402">
        <f>IF(F402="Ignacio", COUNTIF(F$5:F402, "Ignacio"), "")</f>
        <v/>
      </c>
      <c r="V402">
        <f>IF(F402="Tripulacion", COUNTIF(F$5:F402, "Tripulacion"), "")</f>
        <v/>
      </c>
      <c r="W402">
        <f>IF(F402="ENAP carga", COUNTIF(F$5:F402, "ENAP carga"), "")</f>
        <v/>
      </c>
    </row>
    <row r="403">
      <c r="O403" s="117">
        <f>IF(F403="CJ", I403*200, "")</f>
        <v/>
      </c>
      <c r="T403">
        <f>IF(F403="CJ", COUNTIF(F$5:F403, "CJ"), "")</f>
        <v/>
      </c>
      <c r="U403">
        <f>IF(F403="Ignacio", COUNTIF(F$5:F403, "Ignacio"), "")</f>
        <v/>
      </c>
      <c r="V403">
        <f>IF(F403="Tripulacion", COUNTIF(F$5:F403, "Tripulacion"), "")</f>
        <v/>
      </c>
      <c r="W403">
        <f>IF(F403="ENAP carga", COUNTIF(F$5:F403, "ENAP carga"), "")</f>
        <v/>
      </c>
    </row>
    <row r="404">
      <c r="O404" s="117">
        <f>IF(F404="CJ", I404*200, "")</f>
        <v/>
      </c>
      <c r="T404">
        <f>IF(F404="CJ", COUNTIF(F$5:F404, "CJ"), "")</f>
        <v/>
      </c>
      <c r="U404">
        <f>IF(F404="Ignacio", COUNTIF(F$5:F404, "Ignacio"), "")</f>
        <v/>
      </c>
      <c r="V404">
        <f>IF(F404="Tripulacion", COUNTIF(F$5:F404, "Tripulacion"), "")</f>
        <v/>
      </c>
      <c r="W404">
        <f>IF(F404="ENAP carga", COUNTIF(F$5:F404, "ENAP carga"), "")</f>
        <v/>
      </c>
    </row>
    <row r="405">
      <c r="O405" s="117">
        <f>IF(F405="CJ", I405*200, "")</f>
        <v/>
      </c>
      <c r="T405">
        <f>IF(F405="CJ", COUNTIF(F$5:F405, "CJ"), "")</f>
        <v/>
      </c>
      <c r="U405">
        <f>IF(F405="Ignacio", COUNTIF(F$5:F405, "Ignacio"), "")</f>
        <v/>
      </c>
      <c r="V405">
        <f>IF(F405="Tripulacion", COUNTIF(F$5:F405, "Tripulacion"), "")</f>
        <v/>
      </c>
      <c r="W405">
        <f>IF(F405="ENAP carga", COUNTIF(F$5:F405, "ENAP carga"), "")</f>
        <v/>
      </c>
    </row>
    <row r="406">
      <c r="O406" s="117">
        <f>IF(F406="CJ", I406*200, "")</f>
        <v/>
      </c>
      <c r="T406">
        <f>IF(F406="CJ", COUNTIF(F$5:F406, "CJ"), "")</f>
        <v/>
      </c>
      <c r="U406">
        <f>IF(F406="Ignacio", COUNTIF(F$5:F406, "Ignacio"), "")</f>
        <v/>
      </c>
      <c r="V406">
        <f>IF(F406="Tripulacion", COUNTIF(F$5:F406, "Tripulacion"), "")</f>
        <v/>
      </c>
      <c r="W406">
        <f>IF(F406="ENAP carga", COUNTIF(F$5:F406, "ENAP carga"), "")</f>
        <v/>
      </c>
    </row>
    <row r="407">
      <c r="O407" s="117">
        <f>IF(F407="CJ", I407*200, "")</f>
        <v/>
      </c>
      <c r="T407">
        <f>IF(F407="CJ", COUNTIF(F$5:F407, "CJ"), "")</f>
        <v/>
      </c>
      <c r="U407">
        <f>IF(F407="Ignacio", COUNTIF(F$5:F407, "Ignacio"), "")</f>
        <v/>
      </c>
      <c r="V407">
        <f>IF(F407="Tripulacion", COUNTIF(F$5:F407, "Tripulacion"), "")</f>
        <v/>
      </c>
      <c r="W407">
        <f>IF(F407="ENAP carga", COUNTIF(F$5:F407, "ENAP carga"), "")</f>
        <v/>
      </c>
    </row>
    <row r="408">
      <c r="O408" s="117">
        <f>IF(F408="CJ", I408*200, "")</f>
        <v/>
      </c>
      <c r="T408">
        <f>IF(F408="CJ", COUNTIF(F$5:F408, "CJ"), "")</f>
        <v/>
      </c>
      <c r="U408">
        <f>IF(F408="Ignacio", COUNTIF(F$5:F408, "Ignacio"), "")</f>
        <v/>
      </c>
      <c r="V408">
        <f>IF(F408="Tripulacion", COUNTIF(F$5:F408, "Tripulacion"), "")</f>
        <v/>
      </c>
      <c r="W408">
        <f>IF(F408="ENAP carga", COUNTIF(F$5:F408, "ENAP carga"), "")</f>
        <v/>
      </c>
    </row>
    <row r="409">
      <c r="O409" s="117">
        <f>IF(F409="CJ", I409*200, "")</f>
        <v/>
      </c>
      <c r="T409">
        <f>IF(F409="CJ", COUNTIF(F$5:F409, "CJ"), "")</f>
        <v/>
      </c>
      <c r="U409">
        <f>IF(F409="Ignacio", COUNTIF(F$5:F409, "Ignacio"), "")</f>
        <v/>
      </c>
      <c r="V409">
        <f>IF(F409="Tripulacion", COUNTIF(F$5:F409, "Tripulacion"), "")</f>
        <v/>
      </c>
      <c r="W409">
        <f>IF(F409="ENAP carga", COUNTIF(F$5:F409, "ENAP carga"), "")</f>
        <v/>
      </c>
    </row>
    <row r="410">
      <c r="O410" s="117">
        <f>IF(F410="CJ", I410*200, "")</f>
        <v/>
      </c>
      <c r="T410">
        <f>IF(F410="CJ", COUNTIF(F$5:F410, "CJ"), "")</f>
        <v/>
      </c>
      <c r="U410">
        <f>IF(F410="Ignacio", COUNTIF(F$5:F410, "Ignacio"), "")</f>
        <v/>
      </c>
      <c r="V410">
        <f>IF(F410="Tripulacion", COUNTIF(F$5:F410, "Tripulacion"), "")</f>
        <v/>
      </c>
      <c r="W410">
        <f>IF(F410="ENAP carga", COUNTIF(F$5:F410, "ENAP carga"), "")</f>
        <v/>
      </c>
    </row>
    <row r="411">
      <c r="O411" s="117">
        <f>IF(F411="CJ", I411*200, "")</f>
        <v/>
      </c>
      <c r="T411">
        <f>IF(F411="CJ", COUNTIF(F$5:F411, "CJ"), "")</f>
        <v/>
      </c>
      <c r="U411">
        <f>IF(F411="Ignacio", COUNTIF(F$5:F411, "Ignacio"), "")</f>
        <v/>
      </c>
      <c r="V411">
        <f>IF(F411="Tripulacion", COUNTIF(F$5:F411, "Tripulacion"), "")</f>
        <v/>
      </c>
      <c r="W411">
        <f>IF(F411="ENAP carga", COUNTIF(F$5:F411, "ENAP carga"), "")</f>
        <v/>
      </c>
    </row>
    <row r="412">
      <c r="O412" s="117">
        <f>IF(F412="CJ", I412*200, "")</f>
        <v/>
      </c>
      <c r="T412">
        <f>IF(F412="CJ", COUNTIF(F$5:F412, "CJ"), "")</f>
        <v/>
      </c>
      <c r="U412">
        <f>IF(F412="Ignacio", COUNTIF(F$5:F412, "Ignacio"), "")</f>
        <v/>
      </c>
      <c r="V412">
        <f>IF(F412="Tripulacion", COUNTIF(F$5:F412, "Tripulacion"), "")</f>
        <v/>
      </c>
      <c r="W412">
        <f>IF(F412="ENAP carga", COUNTIF(F$5:F412, "ENAP carga"), "")</f>
        <v/>
      </c>
    </row>
    <row r="413">
      <c r="O413" s="117">
        <f>IF(F413="CJ", I413*200, "")</f>
        <v/>
      </c>
      <c r="T413">
        <f>IF(F413="CJ", COUNTIF(F$5:F413, "CJ"), "")</f>
        <v/>
      </c>
      <c r="U413">
        <f>IF(F413="Ignacio", COUNTIF(F$5:F413, "Ignacio"), "")</f>
        <v/>
      </c>
      <c r="V413">
        <f>IF(F413="Tripulacion", COUNTIF(F$5:F413, "Tripulacion"), "")</f>
        <v/>
      </c>
      <c r="W413">
        <f>IF(F413="ENAP carga", COUNTIF(F$5:F413, "ENAP carga"), "")</f>
        <v/>
      </c>
    </row>
    <row r="414">
      <c r="O414" s="117">
        <f>IF(F414="CJ", I414*200, "")</f>
        <v/>
      </c>
      <c r="T414">
        <f>IF(F414="CJ", COUNTIF(F$5:F414, "CJ"), "")</f>
        <v/>
      </c>
      <c r="U414">
        <f>IF(F414="Ignacio", COUNTIF(F$5:F414, "Ignacio"), "")</f>
        <v/>
      </c>
      <c r="V414">
        <f>IF(F414="Tripulacion", COUNTIF(F$5:F414, "Tripulacion"), "")</f>
        <v/>
      </c>
      <c r="W414">
        <f>IF(F414="ENAP carga", COUNTIF(F$5:F414, "ENAP carga"), "")</f>
        <v/>
      </c>
    </row>
    <row r="415">
      <c r="O415" s="117">
        <f>IF(F415="CJ", I415*200, "")</f>
        <v/>
      </c>
      <c r="T415">
        <f>IF(F415="CJ", COUNTIF(F$5:F415, "CJ"), "")</f>
        <v/>
      </c>
      <c r="U415">
        <f>IF(F415="Ignacio", COUNTIF(F$5:F415, "Ignacio"), "")</f>
        <v/>
      </c>
      <c r="V415">
        <f>IF(F415="Tripulacion", COUNTIF(F$5:F415, "Tripulacion"), "")</f>
        <v/>
      </c>
      <c r="W415">
        <f>IF(F415="ENAP carga", COUNTIF(F$5:F415, "ENAP carga"), "")</f>
        <v/>
      </c>
    </row>
    <row r="416">
      <c r="O416" s="117">
        <f>IF(F416="CJ", I416*200, "")</f>
        <v/>
      </c>
      <c r="T416">
        <f>IF(F416="CJ", COUNTIF(F$5:F416, "CJ"), "")</f>
        <v/>
      </c>
      <c r="U416">
        <f>IF(F416="Ignacio", COUNTIF(F$5:F416, "Ignacio"), "")</f>
        <v/>
      </c>
      <c r="V416">
        <f>IF(F416="Tripulacion", COUNTIF(F$5:F416, "Tripulacion"), "")</f>
        <v/>
      </c>
      <c r="W416">
        <f>IF(F416="ENAP carga", COUNTIF(F$5:F416, "ENAP carga"), "")</f>
        <v/>
      </c>
    </row>
    <row r="417">
      <c r="O417" s="117">
        <f>IF(F417="CJ", I417*200, "")</f>
        <v/>
      </c>
      <c r="T417">
        <f>IF(F417="CJ", COUNTIF(F$5:F417, "CJ"), "")</f>
        <v/>
      </c>
      <c r="U417">
        <f>IF(F417="Ignacio", COUNTIF(F$5:F417, "Ignacio"), "")</f>
        <v/>
      </c>
      <c r="V417">
        <f>IF(F417="Tripulacion", COUNTIF(F$5:F417, "Tripulacion"), "")</f>
        <v/>
      </c>
      <c r="W417">
        <f>IF(F417="ENAP carga", COUNTIF(F$5:F417, "ENAP carga"), "")</f>
        <v/>
      </c>
    </row>
    <row r="418">
      <c r="O418" s="117">
        <f>IF(F418="CJ", I418*200, "")</f>
        <v/>
      </c>
      <c r="T418">
        <f>IF(F418="CJ", COUNTIF(F$5:F418, "CJ"), "")</f>
        <v/>
      </c>
      <c r="U418">
        <f>IF(F418="Ignacio", COUNTIF(F$5:F418, "Ignacio"), "")</f>
        <v/>
      </c>
      <c r="V418">
        <f>IF(F418="Tripulacion", COUNTIF(F$5:F418, "Tripulacion"), "")</f>
        <v/>
      </c>
      <c r="W418">
        <f>IF(F418="ENAP carga", COUNTIF(F$5:F418, "ENAP carga"), "")</f>
        <v/>
      </c>
    </row>
    <row r="419">
      <c r="O419" s="117">
        <f>IF(F419="CJ", I419*200, "")</f>
        <v/>
      </c>
      <c r="T419">
        <f>IF(F419="CJ", COUNTIF(F$5:F419, "CJ"), "")</f>
        <v/>
      </c>
      <c r="U419">
        <f>IF(F419="Ignacio", COUNTIF(F$5:F419, "Ignacio"), "")</f>
        <v/>
      </c>
      <c r="V419">
        <f>IF(F419="Tripulacion", COUNTIF(F$5:F419, "Tripulacion"), "")</f>
        <v/>
      </c>
      <c r="W419">
        <f>IF(F419="ENAP carga", COUNTIF(F$5:F419, "ENAP carga"), "")</f>
        <v/>
      </c>
    </row>
    <row r="420">
      <c r="O420" s="117">
        <f>IF(F420="CJ", I420*200, "")</f>
        <v/>
      </c>
      <c r="T420">
        <f>IF(F420="CJ", COUNTIF(F$5:F420, "CJ"), "")</f>
        <v/>
      </c>
      <c r="U420">
        <f>IF(F420="Ignacio", COUNTIF(F$5:F420, "Ignacio"), "")</f>
        <v/>
      </c>
      <c r="V420">
        <f>IF(F420="Tripulacion", COUNTIF(F$5:F420, "Tripulacion"), "")</f>
        <v/>
      </c>
      <c r="W420">
        <f>IF(F420="ENAP carga", COUNTIF(F$5:F420, "ENAP carga"), "")</f>
        <v/>
      </c>
    </row>
    <row r="421">
      <c r="O421" s="117">
        <f>IF(F421="CJ", I421*200, "")</f>
        <v/>
      </c>
      <c r="T421">
        <f>IF(F421="CJ", COUNTIF(F$5:F421, "CJ"), "")</f>
        <v/>
      </c>
      <c r="U421">
        <f>IF(F421="Ignacio", COUNTIF(F$5:F421, "Ignacio"), "")</f>
        <v/>
      </c>
      <c r="V421">
        <f>IF(F421="Tripulacion", COUNTIF(F$5:F421, "Tripulacion"), "")</f>
        <v/>
      </c>
      <c r="W421">
        <f>IF(F421="ENAP carga", COUNTIF(F$5:F421, "ENAP carga"), "")</f>
        <v/>
      </c>
    </row>
    <row r="422">
      <c r="O422" s="117">
        <f>IF(F422="CJ", I422*200, "")</f>
        <v/>
      </c>
      <c r="T422">
        <f>IF(F422="CJ", COUNTIF(F$5:F422, "CJ"), "")</f>
        <v/>
      </c>
      <c r="U422">
        <f>IF(F422="Ignacio", COUNTIF(F$5:F422, "Ignacio"), "")</f>
        <v/>
      </c>
      <c r="V422">
        <f>IF(F422="Tripulacion", COUNTIF(F$5:F422, "Tripulacion"), "")</f>
        <v/>
      </c>
      <c r="W422">
        <f>IF(F422="ENAP carga", COUNTIF(F$5:F422, "ENAP carga"), "")</f>
        <v/>
      </c>
    </row>
    <row r="423">
      <c r="O423" s="117">
        <f>IF(F423="CJ", I423*200, "")</f>
        <v/>
      </c>
      <c r="T423">
        <f>IF(F423="CJ", COUNTIF(F$5:F423, "CJ"), "")</f>
        <v/>
      </c>
      <c r="U423">
        <f>IF(F423="Ignacio", COUNTIF(F$5:F423, "Ignacio"), "")</f>
        <v/>
      </c>
      <c r="V423">
        <f>IF(F423="Tripulacion", COUNTIF(F$5:F423, "Tripulacion"), "")</f>
        <v/>
      </c>
      <c r="W423">
        <f>IF(F423="ENAP carga", COUNTIF(F$5:F423, "ENAP carga"), "")</f>
        <v/>
      </c>
    </row>
    <row r="424">
      <c r="O424" s="117">
        <f>IF(F424="CJ", I424*200, "")</f>
        <v/>
      </c>
      <c r="T424">
        <f>IF(F424="CJ", COUNTIF(F$5:F424, "CJ"), "")</f>
        <v/>
      </c>
      <c r="U424">
        <f>IF(F424="Ignacio", COUNTIF(F$5:F424, "Ignacio"), "")</f>
        <v/>
      </c>
      <c r="V424">
        <f>IF(F424="Tripulacion", COUNTIF(F$5:F424, "Tripulacion"), "")</f>
        <v/>
      </c>
      <c r="W424">
        <f>IF(F424="ENAP carga", COUNTIF(F$5:F424, "ENAP carga"), "")</f>
        <v/>
      </c>
    </row>
    <row r="425">
      <c r="O425" s="117">
        <f>IF(F425="CJ", I425*200, "")</f>
        <v/>
      </c>
      <c r="T425">
        <f>IF(F425="CJ", COUNTIF(F$5:F425, "CJ"), "")</f>
        <v/>
      </c>
      <c r="U425">
        <f>IF(F425="Ignacio", COUNTIF(F$5:F425, "Ignacio"), "")</f>
        <v/>
      </c>
      <c r="V425">
        <f>IF(F425="Tripulacion", COUNTIF(F$5:F425, "Tripulacion"), "")</f>
        <v/>
      </c>
      <c r="W425">
        <f>IF(F425="ENAP carga", COUNTIF(F$5:F425, "ENAP carga"), "")</f>
        <v/>
      </c>
    </row>
    <row r="426">
      <c r="O426" s="117">
        <f>IF(F426="CJ", I426*200, "")</f>
        <v/>
      </c>
      <c r="T426">
        <f>IF(F426="CJ", COUNTIF(F$5:F426, "CJ"), "")</f>
        <v/>
      </c>
      <c r="U426">
        <f>IF(F426="Ignacio", COUNTIF(F$5:F426, "Ignacio"), "")</f>
        <v/>
      </c>
      <c r="V426">
        <f>IF(F426="Tripulacion", COUNTIF(F$5:F426, "Tripulacion"), "")</f>
        <v/>
      </c>
      <c r="W426">
        <f>IF(F426="ENAP carga", COUNTIF(F$5:F426, "ENAP carga"), "")</f>
        <v/>
      </c>
    </row>
    <row r="427">
      <c r="O427" s="117">
        <f>IF(F427="CJ", I427*200, "")</f>
        <v/>
      </c>
      <c r="T427">
        <f>IF(F427="CJ", COUNTIF(F$5:F427, "CJ"), "")</f>
        <v/>
      </c>
      <c r="U427">
        <f>IF(F427="Ignacio", COUNTIF(F$5:F427, "Ignacio"), "")</f>
        <v/>
      </c>
      <c r="V427">
        <f>IF(F427="Tripulacion", COUNTIF(F$5:F427, "Tripulacion"), "")</f>
        <v/>
      </c>
      <c r="W427">
        <f>IF(F427="ENAP carga", COUNTIF(F$5:F427, "ENAP carga"), "")</f>
        <v/>
      </c>
    </row>
    <row r="428">
      <c r="O428" s="117">
        <f>IF(F428="CJ", I428*200, "")</f>
        <v/>
      </c>
      <c r="T428">
        <f>IF(F428="CJ", COUNTIF(F$5:F428, "CJ"), "")</f>
        <v/>
      </c>
      <c r="U428">
        <f>IF(F428="Ignacio", COUNTIF(F$5:F428, "Ignacio"), "")</f>
        <v/>
      </c>
      <c r="V428">
        <f>IF(F428="Tripulacion", COUNTIF(F$5:F428, "Tripulacion"), "")</f>
        <v/>
      </c>
      <c r="W428">
        <f>IF(F428="ENAP carga", COUNTIF(F$5:F428, "ENAP carga"), "")</f>
        <v/>
      </c>
    </row>
    <row r="429">
      <c r="O429" s="117">
        <f>IF(F429="CJ", I429*200, "")</f>
        <v/>
      </c>
      <c r="T429">
        <f>IF(F429="CJ", COUNTIF(F$5:F429, "CJ"), "")</f>
        <v/>
      </c>
      <c r="U429">
        <f>IF(F429="Ignacio", COUNTIF(F$5:F429, "Ignacio"), "")</f>
        <v/>
      </c>
      <c r="V429">
        <f>IF(F429="Tripulacion", COUNTIF(F$5:F429, "Tripulacion"), "")</f>
        <v/>
      </c>
      <c r="W429">
        <f>IF(F429="ENAP carga", COUNTIF(F$5:F429, "ENAP carga"), "")</f>
        <v/>
      </c>
    </row>
    <row r="430">
      <c r="O430" s="117">
        <f>IF(F430="CJ", I430*200, "")</f>
        <v/>
      </c>
      <c r="T430">
        <f>IF(F430="CJ", COUNTIF(F$5:F430, "CJ"), "")</f>
        <v/>
      </c>
      <c r="U430">
        <f>IF(F430="Ignacio", COUNTIF(F$5:F430, "Ignacio"), "")</f>
        <v/>
      </c>
      <c r="V430">
        <f>IF(F430="Tripulacion", COUNTIF(F$5:F430, "Tripulacion"), "")</f>
        <v/>
      </c>
      <c r="W430">
        <f>IF(F430="ENAP carga", COUNTIF(F$5:F430, "ENAP carga"), "")</f>
        <v/>
      </c>
    </row>
    <row r="431">
      <c r="O431" s="117">
        <f>IF(F431="CJ", I431*200, "")</f>
        <v/>
      </c>
      <c r="T431">
        <f>IF(F431="CJ", COUNTIF(F$5:F431, "CJ"), "")</f>
        <v/>
      </c>
      <c r="U431">
        <f>IF(F431="Ignacio", COUNTIF(F$5:F431, "Ignacio"), "")</f>
        <v/>
      </c>
      <c r="V431">
        <f>IF(F431="Tripulacion", COUNTIF(F$5:F431, "Tripulacion"), "")</f>
        <v/>
      </c>
      <c r="W431">
        <f>IF(F431="ENAP carga", COUNTIF(F$5:F431, "ENAP carga"), "")</f>
        <v/>
      </c>
    </row>
    <row r="432">
      <c r="O432" s="117">
        <f>IF(F432="CJ", I432*200, "")</f>
        <v/>
      </c>
      <c r="T432">
        <f>IF(F432="CJ", COUNTIF(F$5:F432, "CJ"), "")</f>
        <v/>
      </c>
      <c r="U432">
        <f>IF(F432="Ignacio", COUNTIF(F$5:F432, "Ignacio"), "")</f>
        <v/>
      </c>
      <c r="V432">
        <f>IF(F432="Tripulacion", COUNTIF(F$5:F432, "Tripulacion"), "")</f>
        <v/>
      </c>
      <c r="W432">
        <f>IF(F432="ENAP carga", COUNTIF(F$5:F432, "ENAP carga"), "")</f>
        <v/>
      </c>
    </row>
    <row r="433">
      <c r="O433" s="117">
        <f>IF(F433="CJ", I433*200, "")</f>
        <v/>
      </c>
      <c r="T433">
        <f>IF(F433="CJ", COUNTIF(F$5:F433, "CJ"), "")</f>
        <v/>
      </c>
      <c r="U433">
        <f>IF(F433="Ignacio", COUNTIF(F$5:F433, "Ignacio"), "")</f>
        <v/>
      </c>
      <c r="V433">
        <f>IF(F433="Tripulacion", COUNTIF(F$5:F433, "Tripulacion"), "")</f>
        <v/>
      </c>
      <c r="W433">
        <f>IF(F433="ENAP carga", COUNTIF(F$5:F433, "ENAP carga"), "")</f>
        <v/>
      </c>
    </row>
    <row r="434">
      <c r="O434" s="117">
        <f>IF(F434="CJ", I434*200, "")</f>
        <v/>
      </c>
      <c r="T434">
        <f>IF(F434="CJ", COUNTIF(F$5:F434, "CJ"), "")</f>
        <v/>
      </c>
      <c r="U434">
        <f>IF(F434="Ignacio", COUNTIF(F$5:F434, "Ignacio"), "")</f>
        <v/>
      </c>
      <c r="V434">
        <f>IF(F434="Tripulacion", COUNTIF(F$5:F434, "Tripulacion"), "")</f>
        <v/>
      </c>
      <c r="W434">
        <f>IF(F434="ENAP carga", COUNTIF(F$5:F434, "ENAP carga"), "")</f>
        <v/>
      </c>
    </row>
    <row r="435">
      <c r="O435" s="117">
        <f>IF(F435="CJ", I435*200, "")</f>
        <v/>
      </c>
      <c r="T435">
        <f>IF(F435="CJ", COUNTIF(F$5:F435, "CJ"), "")</f>
        <v/>
      </c>
      <c r="U435">
        <f>IF(F435="Ignacio", COUNTIF(F$5:F435, "Ignacio"), "")</f>
        <v/>
      </c>
      <c r="V435">
        <f>IF(F435="Tripulacion", COUNTIF(F$5:F435, "Tripulacion"), "")</f>
        <v/>
      </c>
      <c r="W435">
        <f>IF(F435="ENAP carga", COUNTIF(F$5:F435, "ENAP carga"), "")</f>
        <v/>
      </c>
    </row>
    <row r="436">
      <c r="O436" s="117">
        <f>IF(F436="CJ", I436*200, "")</f>
        <v/>
      </c>
      <c r="T436">
        <f>IF(F436="CJ", COUNTIF(F$5:F436, "CJ"), "")</f>
        <v/>
      </c>
      <c r="U436">
        <f>IF(F436="Ignacio", COUNTIF(F$5:F436, "Ignacio"), "")</f>
        <v/>
      </c>
      <c r="V436">
        <f>IF(F436="Tripulacion", COUNTIF(F$5:F436, "Tripulacion"), "")</f>
        <v/>
      </c>
      <c r="W436">
        <f>IF(F436="ENAP carga", COUNTIF(F$5:F436, "ENAP carga"), "")</f>
        <v/>
      </c>
    </row>
    <row r="437">
      <c r="O437" s="117">
        <f>IF(F437="CJ", I437*200, "")</f>
        <v/>
      </c>
      <c r="T437">
        <f>IF(F437="CJ", COUNTIF(F$5:F437, "CJ"), "")</f>
        <v/>
      </c>
      <c r="U437">
        <f>IF(F437="Ignacio", COUNTIF(F$5:F437, "Ignacio"), "")</f>
        <v/>
      </c>
      <c r="V437">
        <f>IF(F437="Tripulacion", COUNTIF(F$5:F437, "Tripulacion"), "")</f>
        <v/>
      </c>
      <c r="W437">
        <f>IF(F437="ENAP carga", COUNTIF(F$5:F437, "ENAP carga"), "")</f>
        <v/>
      </c>
    </row>
    <row r="438">
      <c r="O438" s="117">
        <f>IF(F438="CJ", I438*200, "")</f>
        <v/>
      </c>
      <c r="T438">
        <f>IF(F438="CJ", COUNTIF(F$5:F438, "CJ"), "")</f>
        <v/>
      </c>
      <c r="U438">
        <f>IF(F438="Ignacio", COUNTIF(F$5:F438, "Ignacio"), "")</f>
        <v/>
      </c>
      <c r="V438">
        <f>IF(F438="Tripulacion", COUNTIF(F$5:F438, "Tripulacion"), "")</f>
        <v/>
      </c>
      <c r="W438">
        <f>IF(F438="ENAP carga", COUNTIF(F$5:F438, "ENAP carga"), "")</f>
        <v/>
      </c>
    </row>
    <row r="439">
      <c r="O439" s="117">
        <f>IF(F439="CJ", I439*200, "")</f>
        <v/>
      </c>
      <c r="T439">
        <f>IF(F439="CJ", COUNTIF(F$5:F439, "CJ"), "")</f>
        <v/>
      </c>
      <c r="U439">
        <f>IF(F439="Ignacio", COUNTIF(F$5:F439, "Ignacio"), "")</f>
        <v/>
      </c>
      <c r="V439">
        <f>IF(F439="Tripulacion", COUNTIF(F$5:F439, "Tripulacion"), "")</f>
        <v/>
      </c>
      <c r="W439">
        <f>IF(F439="ENAP carga", COUNTIF(F$5:F439, "ENAP carga"), "")</f>
        <v/>
      </c>
    </row>
    <row r="440">
      <c r="O440" s="117">
        <f>IF(F440="CJ", I440*200, "")</f>
        <v/>
      </c>
      <c r="T440">
        <f>IF(F440="CJ", COUNTIF(F$5:F440, "CJ"), "")</f>
        <v/>
      </c>
      <c r="U440">
        <f>IF(F440="Ignacio", COUNTIF(F$5:F440, "Ignacio"), "")</f>
        <v/>
      </c>
      <c r="V440">
        <f>IF(F440="Tripulacion", COUNTIF(F$5:F440, "Tripulacion"), "")</f>
        <v/>
      </c>
      <c r="W440">
        <f>IF(F440="ENAP carga", COUNTIF(F$5:F440, "ENAP carga"), "")</f>
        <v/>
      </c>
    </row>
    <row r="441">
      <c r="O441" s="117">
        <f>IF(F441="CJ", I441*200, "")</f>
        <v/>
      </c>
      <c r="T441">
        <f>IF(F441="CJ", COUNTIF(F$5:F441, "CJ"), "")</f>
        <v/>
      </c>
      <c r="U441">
        <f>IF(F441="Ignacio", COUNTIF(F$5:F441, "Ignacio"), "")</f>
        <v/>
      </c>
      <c r="V441">
        <f>IF(F441="Tripulacion", COUNTIF(F$5:F441, "Tripulacion"), "")</f>
        <v/>
      </c>
      <c r="W441">
        <f>IF(F441="ENAP carga", COUNTIF(F$5:F441, "ENAP carga"), "")</f>
        <v/>
      </c>
    </row>
    <row r="442">
      <c r="O442" s="117">
        <f>IF(F442="CJ", I442*200, "")</f>
        <v/>
      </c>
      <c r="T442">
        <f>IF(F442="CJ", COUNTIF(F$5:F442, "CJ"), "")</f>
        <v/>
      </c>
      <c r="U442">
        <f>IF(F442="Ignacio", COUNTIF(F$5:F442, "Ignacio"), "")</f>
        <v/>
      </c>
      <c r="V442">
        <f>IF(F442="Tripulacion", COUNTIF(F$5:F442, "Tripulacion"), "")</f>
        <v/>
      </c>
      <c r="W442">
        <f>IF(F442="ENAP carga", COUNTIF(F$5:F442, "ENAP carga"), "")</f>
        <v/>
      </c>
    </row>
    <row r="443">
      <c r="O443" s="117">
        <f>IF(F443="CJ", I443*200, "")</f>
        <v/>
      </c>
      <c r="T443">
        <f>IF(F443="CJ", COUNTIF(F$5:F443, "CJ"), "")</f>
        <v/>
      </c>
      <c r="U443">
        <f>IF(F443="Ignacio", COUNTIF(F$5:F443, "Ignacio"), "")</f>
        <v/>
      </c>
      <c r="V443">
        <f>IF(F443="Tripulacion", COUNTIF(F$5:F443, "Tripulacion"), "")</f>
        <v/>
      </c>
      <c r="W443">
        <f>IF(F443="ENAP carga", COUNTIF(F$5:F443, "ENAP carga"), "")</f>
        <v/>
      </c>
    </row>
    <row r="444">
      <c r="O444" s="117">
        <f>IF(F444="CJ", I444*200, "")</f>
        <v/>
      </c>
      <c r="T444">
        <f>IF(F444="CJ", COUNTIF(F$5:F444, "CJ"), "")</f>
        <v/>
      </c>
      <c r="U444">
        <f>IF(F444="Ignacio", COUNTIF(F$5:F444, "Ignacio"), "")</f>
        <v/>
      </c>
      <c r="V444">
        <f>IF(F444="Tripulacion", COUNTIF(F$5:F444, "Tripulacion"), "")</f>
        <v/>
      </c>
      <c r="W444">
        <f>IF(F444="ENAP carga", COUNTIF(F$5:F444, "ENAP carga"), "")</f>
        <v/>
      </c>
    </row>
    <row r="445">
      <c r="O445" s="117">
        <f>IF(F445="CJ", I445*200, "")</f>
        <v/>
      </c>
      <c r="T445">
        <f>IF(F445="CJ", COUNTIF(F$5:F445, "CJ"), "")</f>
        <v/>
      </c>
      <c r="U445">
        <f>IF(F445="Ignacio", COUNTIF(F$5:F445, "Ignacio"), "")</f>
        <v/>
      </c>
      <c r="V445">
        <f>IF(F445="Tripulacion", COUNTIF(F$5:F445, "Tripulacion"), "")</f>
        <v/>
      </c>
      <c r="W445">
        <f>IF(F445="ENAP carga", COUNTIF(F$5:F445, "ENAP carga"), "")</f>
        <v/>
      </c>
    </row>
    <row r="446">
      <c r="O446" s="117">
        <f>IF(F446="CJ", I446*200, "")</f>
        <v/>
      </c>
      <c r="T446">
        <f>IF(F446="CJ", COUNTIF(F$5:F446, "CJ"), "")</f>
        <v/>
      </c>
      <c r="U446">
        <f>IF(F446="Ignacio", COUNTIF(F$5:F446, "Ignacio"), "")</f>
        <v/>
      </c>
      <c r="V446">
        <f>IF(F446="Tripulacion", COUNTIF(F$5:F446, "Tripulacion"), "")</f>
        <v/>
      </c>
      <c r="W446">
        <f>IF(F446="ENAP carga", COUNTIF(F$5:F446, "ENAP carga"), "")</f>
        <v/>
      </c>
    </row>
    <row r="447">
      <c r="O447" s="117">
        <f>IF(F447="CJ", I447*200, "")</f>
        <v/>
      </c>
      <c r="T447">
        <f>IF(F447="CJ", COUNTIF(F$5:F447, "CJ"), "")</f>
        <v/>
      </c>
      <c r="U447">
        <f>IF(F447="Ignacio", COUNTIF(F$5:F447, "Ignacio"), "")</f>
        <v/>
      </c>
      <c r="V447">
        <f>IF(F447="Tripulacion", COUNTIF(F$5:F447, "Tripulacion"), "")</f>
        <v/>
      </c>
      <c r="W447">
        <f>IF(F447="ENAP carga", COUNTIF(F$5:F447, "ENAP carga"), "")</f>
        <v/>
      </c>
    </row>
    <row r="448">
      <c r="O448" s="117">
        <f>IF(F448="CJ", I448*200, "")</f>
        <v/>
      </c>
      <c r="T448">
        <f>IF(F448="CJ", COUNTIF(F$5:F448, "CJ"), "")</f>
        <v/>
      </c>
      <c r="U448">
        <f>IF(F448="Ignacio", COUNTIF(F$5:F448, "Ignacio"), "")</f>
        <v/>
      </c>
      <c r="V448">
        <f>IF(F448="Tripulacion", COUNTIF(F$5:F448, "Tripulacion"), "")</f>
        <v/>
      </c>
      <c r="W448">
        <f>IF(F448="ENAP carga", COUNTIF(F$5:F448, "ENAP carga"), "")</f>
        <v/>
      </c>
    </row>
    <row r="449">
      <c r="O449" s="117">
        <f>IF(F449="CJ", I449*200, "")</f>
        <v/>
      </c>
      <c r="T449">
        <f>IF(F449="CJ", COUNTIF(F$5:F449, "CJ"), "")</f>
        <v/>
      </c>
      <c r="U449">
        <f>IF(F449="Ignacio", COUNTIF(F$5:F449, "Ignacio"), "")</f>
        <v/>
      </c>
      <c r="V449">
        <f>IF(F449="Tripulacion", COUNTIF(F$5:F449, "Tripulacion"), "")</f>
        <v/>
      </c>
      <c r="W449">
        <f>IF(F449="ENAP carga", COUNTIF(F$5:F449, "ENAP carga"), "")</f>
        <v/>
      </c>
    </row>
    <row r="450">
      <c r="O450" s="117">
        <f>IF(F450="CJ", I450*200, "")</f>
        <v/>
      </c>
      <c r="T450">
        <f>IF(F450="CJ", COUNTIF(F$5:F450, "CJ"), "")</f>
        <v/>
      </c>
      <c r="U450">
        <f>IF(F450="Ignacio", COUNTIF(F$5:F450, "Ignacio"), "")</f>
        <v/>
      </c>
      <c r="V450">
        <f>IF(F450="Tripulacion", COUNTIF(F$5:F450, "Tripulacion"), "")</f>
        <v/>
      </c>
      <c r="W450">
        <f>IF(F450="ENAP carga", COUNTIF(F$5:F450, "ENAP carga"), "")</f>
        <v/>
      </c>
    </row>
    <row r="451">
      <c r="O451" s="117">
        <f>IF(F451="CJ", I451*200, "")</f>
        <v/>
      </c>
      <c r="T451">
        <f>IF(F451="CJ", COUNTIF(F$5:F451, "CJ"), "")</f>
        <v/>
      </c>
      <c r="U451">
        <f>IF(F451="Ignacio", COUNTIF(F$5:F451, "Ignacio"), "")</f>
        <v/>
      </c>
      <c r="V451">
        <f>IF(F451="Tripulacion", COUNTIF(F$5:F451, "Tripulacion"), "")</f>
        <v/>
      </c>
      <c r="W451">
        <f>IF(F451="ENAP carga", COUNTIF(F$5:F451, "ENAP carga"), "")</f>
        <v/>
      </c>
    </row>
    <row r="452">
      <c r="O452" s="117">
        <f>IF(F452="CJ", I452*200, "")</f>
        <v/>
      </c>
      <c r="T452">
        <f>IF(F452="CJ", COUNTIF(F$5:F452, "CJ"), "")</f>
        <v/>
      </c>
      <c r="U452">
        <f>IF(F452="Ignacio", COUNTIF(F$5:F452, "Ignacio"), "")</f>
        <v/>
      </c>
      <c r="V452">
        <f>IF(F452="Tripulacion", COUNTIF(F$5:F452, "Tripulacion"), "")</f>
        <v/>
      </c>
      <c r="W452">
        <f>IF(F452="ENAP carga", COUNTIF(F$5:F452, "ENAP carga"), "")</f>
        <v/>
      </c>
    </row>
    <row r="453">
      <c r="O453" s="117">
        <f>IF(F453="CJ", I453*200, "")</f>
        <v/>
      </c>
      <c r="T453">
        <f>IF(F453="CJ", COUNTIF(F$5:F453, "CJ"), "")</f>
        <v/>
      </c>
      <c r="U453">
        <f>IF(F453="Ignacio", COUNTIF(F$5:F453, "Ignacio"), "")</f>
        <v/>
      </c>
      <c r="V453">
        <f>IF(F453="Tripulacion", COUNTIF(F$5:F453, "Tripulacion"), "")</f>
        <v/>
      </c>
      <c r="W453">
        <f>IF(F453="ENAP carga", COUNTIF(F$5:F453, "ENAP carga"), "")</f>
        <v/>
      </c>
    </row>
    <row r="454">
      <c r="O454" s="117">
        <f>IF(F454="CJ", I454*200, "")</f>
        <v/>
      </c>
      <c r="T454">
        <f>IF(F454="CJ", COUNTIF(F$5:F454, "CJ"), "")</f>
        <v/>
      </c>
      <c r="U454">
        <f>IF(F454="Ignacio", COUNTIF(F$5:F454, "Ignacio"), "")</f>
        <v/>
      </c>
      <c r="V454">
        <f>IF(F454="Tripulacion", COUNTIF(F$5:F454, "Tripulacion"), "")</f>
        <v/>
      </c>
      <c r="W454">
        <f>IF(F454="ENAP carga", COUNTIF(F$5:F454, "ENAP carga"), "")</f>
        <v/>
      </c>
    </row>
    <row r="455">
      <c r="O455" s="117">
        <f>IF(F455="CJ", I455*200, "")</f>
        <v/>
      </c>
      <c r="T455">
        <f>IF(F455="CJ", COUNTIF(F$5:F455, "CJ"), "")</f>
        <v/>
      </c>
      <c r="U455">
        <f>IF(F455="Ignacio", COUNTIF(F$5:F455, "Ignacio"), "")</f>
        <v/>
      </c>
      <c r="V455">
        <f>IF(F455="Tripulacion", COUNTIF(F$5:F455, "Tripulacion"), "")</f>
        <v/>
      </c>
      <c r="W455">
        <f>IF(F455="ENAP carga", COUNTIF(F$5:F455, "ENAP carga"), "")</f>
        <v/>
      </c>
    </row>
    <row r="456">
      <c r="O456" s="117">
        <f>IF(F456="CJ", I456*200, "")</f>
        <v/>
      </c>
      <c r="T456">
        <f>IF(F456="CJ", COUNTIF(F$5:F456, "CJ"), "")</f>
        <v/>
      </c>
      <c r="U456">
        <f>IF(F456="Ignacio", COUNTIF(F$5:F456, "Ignacio"), "")</f>
        <v/>
      </c>
      <c r="V456">
        <f>IF(F456="Tripulacion", COUNTIF(F$5:F456, "Tripulacion"), "")</f>
        <v/>
      </c>
      <c r="W456">
        <f>IF(F456="ENAP carga", COUNTIF(F$5:F456, "ENAP carga"), "")</f>
        <v/>
      </c>
    </row>
    <row r="457">
      <c r="O457" s="117">
        <f>IF(F457="CJ", I457*200, "")</f>
        <v/>
      </c>
      <c r="T457">
        <f>IF(F457="CJ", COUNTIF(F$5:F457, "CJ"), "")</f>
        <v/>
      </c>
      <c r="U457">
        <f>IF(F457="Ignacio", COUNTIF(F$5:F457, "Ignacio"), "")</f>
        <v/>
      </c>
      <c r="V457">
        <f>IF(F457="Tripulacion", COUNTIF(F$5:F457, "Tripulacion"), "")</f>
        <v/>
      </c>
      <c r="W457">
        <f>IF(F457="ENAP carga", COUNTIF(F$5:F457, "ENAP carga"), "")</f>
        <v/>
      </c>
    </row>
    <row r="458">
      <c r="O458" s="117">
        <f>IF(F458="CJ", I458*200, "")</f>
        <v/>
      </c>
      <c r="T458">
        <f>IF(F458="CJ", COUNTIF(F$5:F458, "CJ"), "")</f>
        <v/>
      </c>
      <c r="U458">
        <f>IF(F458="Ignacio", COUNTIF(F$5:F458, "Ignacio"), "")</f>
        <v/>
      </c>
      <c r="V458">
        <f>IF(F458="Tripulacion", COUNTIF(F$5:F458, "Tripulacion"), "")</f>
        <v/>
      </c>
      <c r="W458">
        <f>IF(F458="ENAP carga", COUNTIF(F$5:F458, "ENAP carga"), "")</f>
        <v/>
      </c>
    </row>
    <row r="459">
      <c r="O459" s="117">
        <f>IF(F459="CJ", I459*200, "")</f>
        <v/>
      </c>
      <c r="T459">
        <f>IF(F459="CJ", COUNTIF(F$5:F459, "CJ"), "")</f>
        <v/>
      </c>
      <c r="U459">
        <f>IF(F459="Ignacio", COUNTIF(F$5:F459, "Ignacio"), "")</f>
        <v/>
      </c>
      <c r="V459">
        <f>IF(F459="Tripulacion", COUNTIF(F$5:F459, "Tripulacion"), "")</f>
        <v/>
      </c>
      <c r="W459">
        <f>IF(F459="ENAP carga", COUNTIF(F$5:F459, "ENAP carga"), "")</f>
        <v/>
      </c>
    </row>
    <row r="460">
      <c r="O460" s="117">
        <f>IF(F460="CJ", I460*200, "")</f>
        <v/>
      </c>
      <c r="T460">
        <f>IF(F460="CJ", COUNTIF(F$5:F460, "CJ"), "")</f>
        <v/>
      </c>
      <c r="U460">
        <f>IF(F460="Ignacio", COUNTIF(F$5:F460, "Ignacio"), "")</f>
        <v/>
      </c>
      <c r="V460">
        <f>IF(F460="Tripulacion", COUNTIF(F$5:F460, "Tripulacion"), "")</f>
        <v/>
      </c>
      <c r="W460">
        <f>IF(F460="ENAP carga", COUNTIF(F$5:F460, "ENAP carga"), "")</f>
        <v/>
      </c>
    </row>
    <row r="461">
      <c r="O461" s="117">
        <f>IF(F461="CJ", I461*200, "")</f>
        <v/>
      </c>
      <c r="T461">
        <f>IF(F461="CJ", COUNTIF(F$5:F461, "CJ"), "")</f>
        <v/>
      </c>
      <c r="U461">
        <f>IF(F461="Ignacio", COUNTIF(F$5:F461, "Ignacio"), "")</f>
        <v/>
      </c>
      <c r="V461">
        <f>IF(F461="Tripulacion", COUNTIF(F$5:F461, "Tripulacion"), "")</f>
        <v/>
      </c>
      <c r="W461">
        <f>IF(F461="ENAP carga", COUNTIF(F$5:F461, "ENAP carga"), "")</f>
        <v/>
      </c>
    </row>
    <row r="462">
      <c r="O462" s="117">
        <f>IF(F462="CJ", I462*200, "")</f>
        <v/>
      </c>
      <c r="T462">
        <f>IF(F462="CJ", COUNTIF(F$5:F462, "CJ"), "")</f>
        <v/>
      </c>
      <c r="U462">
        <f>IF(F462="Ignacio", COUNTIF(F$5:F462, "Ignacio"), "")</f>
        <v/>
      </c>
      <c r="V462">
        <f>IF(F462="Tripulacion", COUNTIF(F$5:F462, "Tripulacion"), "")</f>
        <v/>
      </c>
      <c r="W462">
        <f>IF(F462="ENAP carga", COUNTIF(F$5:F462, "ENAP carga"), "")</f>
        <v/>
      </c>
    </row>
    <row r="463">
      <c r="O463" s="117">
        <f>IF(F463="CJ", I463*200, "")</f>
        <v/>
      </c>
      <c r="T463">
        <f>IF(F463="CJ", COUNTIF(F$5:F463, "CJ"), "")</f>
        <v/>
      </c>
      <c r="U463">
        <f>IF(F463="Ignacio", COUNTIF(F$5:F463, "Ignacio"), "")</f>
        <v/>
      </c>
      <c r="V463">
        <f>IF(F463="Tripulacion", COUNTIF(F$5:F463, "Tripulacion"), "")</f>
        <v/>
      </c>
      <c r="W463">
        <f>IF(F463="ENAP carga", COUNTIF(F$5:F463, "ENAP carga"), "")</f>
        <v/>
      </c>
    </row>
    <row r="464">
      <c r="O464" s="117">
        <f>IF(F464="CJ", I464*200, "")</f>
        <v/>
      </c>
      <c r="T464">
        <f>IF(F464="CJ", COUNTIF(F$5:F464, "CJ"), "")</f>
        <v/>
      </c>
      <c r="U464">
        <f>IF(F464="Ignacio", COUNTIF(F$5:F464, "Ignacio"), "")</f>
        <v/>
      </c>
      <c r="V464">
        <f>IF(F464="Tripulacion", COUNTIF(F$5:F464, "Tripulacion"), "")</f>
        <v/>
      </c>
      <c r="W464">
        <f>IF(F464="ENAP carga", COUNTIF(F$5:F464, "ENAP carga"), "")</f>
        <v/>
      </c>
    </row>
    <row r="465">
      <c r="O465" s="117">
        <f>IF(F465="CJ", I465*200, "")</f>
        <v/>
      </c>
      <c r="T465">
        <f>IF(F465="CJ", COUNTIF(F$5:F465, "CJ"), "")</f>
        <v/>
      </c>
      <c r="U465">
        <f>IF(F465="Ignacio", COUNTIF(F$5:F465, "Ignacio"), "")</f>
        <v/>
      </c>
      <c r="V465">
        <f>IF(F465="Tripulacion", COUNTIF(F$5:F465, "Tripulacion"), "")</f>
        <v/>
      </c>
      <c r="W465">
        <f>IF(F465="ENAP carga", COUNTIF(F$5:F465, "ENAP carga"), "")</f>
        <v/>
      </c>
    </row>
    <row r="466">
      <c r="O466" s="117">
        <f>IF(F466="CJ", I466*200, "")</f>
        <v/>
      </c>
      <c r="T466">
        <f>IF(F466="CJ", COUNTIF(F$5:F466, "CJ"), "")</f>
        <v/>
      </c>
      <c r="U466">
        <f>IF(F466="Ignacio", COUNTIF(F$5:F466, "Ignacio"), "")</f>
        <v/>
      </c>
      <c r="V466">
        <f>IF(F466="Tripulacion", COUNTIF(F$5:F466, "Tripulacion"), "")</f>
        <v/>
      </c>
      <c r="W466">
        <f>IF(F466="ENAP carga", COUNTIF(F$5:F466, "ENAP carga"), "")</f>
        <v/>
      </c>
    </row>
    <row r="467">
      <c r="O467" s="117">
        <f>IF(F467="CJ", I467*200, "")</f>
        <v/>
      </c>
      <c r="T467">
        <f>IF(F467="CJ", COUNTIF(F$5:F467, "CJ"), "")</f>
        <v/>
      </c>
      <c r="U467">
        <f>IF(F467="Ignacio", COUNTIF(F$5:F467, "Ignacio"), "")</f>
        <v/>
      </c>
      <c r="V467">
        <f>IF(F467="Tripulacion", COUNTIF(F$5:F467, "Tripulacion"), "")</f>
        <v/>
      </c>
      <c r="W467">
        <f>IF(F467="ENAP carga", COUNTIF(F$5:F467, "ENAP carga"), "")</f>
        <v/>
      </c>
    </row>
    <row r="468">
      <c r="O468" s="117">
        <f>IF(F468="CJ", I468*200, "")</f>
        <v/>
      </c>
      <c r="T468">
        <f>IF(F468="CJ", COUNTIF(F$5:F468, "CJ"), "")</f>
        <v/>
      </c>
      <c r="U468">
        <f>IF(F468="Ignacio", COUNTIF(F$5:F468, "Ignacio"), "")</f>
        <v/>
      </c>
      <c r="V468">
        <f>IF(F468="Tripulacion", COUNTIF(F$5:F468, "Tripulacion"), "")</f>
        <v/>
      </c>
      <c r="W468">
        <f>IF(F468="ENAP carga", COUNTIF(F$5:F468, "ENAP carga"), "")</f>
        <v/>
      </c>
    </row>
    <row r="469">
      <c r="O469" s="117">
        <f>IF(F469="CJ", I469*200, "")</f>
        <v/>
      </c>
      <c r="T469">
        <f>IF(F469="CJ", COUNTIF(F$5:F469, "CJ"), "")</f>
        <v/>
      </c>
      <c r="U469">
        <f>IF(F469="Ignacio", COUNTIF(F$5:F469, "Ignacio"), "")</f>
        <v/>
      </c>
      <c r="V469">
        <f>IF(F469="Tripulacion", COUNTIF(F$5:F469, "Tripulacion"), "")</f>
        <v/>
      </c>
      <c r="W469">
        <f>IF(F469="ENAP carga", COUNTIF(F$5:F469, "ENAP carga"), "")</f>
        <v/>
      </c>
    </row>
    <row r="470">
      <c r="O470" s="117">
        <f>IF(F470="CJ", I470*200, "")</f>
        <v/>
      </c>
      <c r="T470">
        <f>IF(F470="CJ", COUNTIF(F$5:F470, "CJ"), "")</f>
        <v/>
      </c>
      <c r="U470">
        <f>IF(F470="Ignacio", COUNTIF(F$5:F470, "Ignacio"), "")</f>
        <v/>
      </c>
      <c r="V470">
        <f>IF(F470="Tripulacion", COUNTIF(F$5:F470, "Tripulacion"), "")</f>
        <v/>
      </c>
      <c r="W470">
        <f>IF(F470="ENAP carga", COUNTIF(F$5:F470, "ENAP carga"), "")</f>
        <v/>
      </c>
    </row>
    <row r="471">
      <c r="O471" s="117">
        <f>IF(F471="CJ", I471*200, "")</f>
        <v/>
      </c>
      <c r="T471">
        <f>IF(F471="CJ", COUNTIF(F$5:F471, "CJ"), "")</f>
        <v/>
      </c>
      <c r="U471">
        <f>IF(F471="Ignacio", COUNTIF(F$5:F471, "Ignacio"), "")</f>
        <v/>
      </c>
      <c r="V471">
        <f>IF(F471="Tripulacion", COUNTIF(F$5:F471, "Tripulacion"), "")</f>
        <v/>
      </c>
      <c r="W471">
        <f>IF(F471="ENAP carga", COUNTIF(F$5:F471, "ENAP carga"), "")</f>
        <v/>
      </c>
    </row>
    <row r="472">
      <c r="O472" s="117">
        <f>IF(F472="CJ", I472*200, "")</f>
        <v/>
      </c>
      <c r="T472">
        <f>IF(F472="CJ", COUNTIF(F$5:F472, "CJ"), "")</f>
        <v/>
      </c>
      <c r="U472">
        <f>IF(F472="Ignacio", COUNTIF(F$5:F472, "Ignacio"), "")</f>
        <v/>
      </c>
      <c r="V472">
        <f>IF(F472="Tripulacion", COUNTIF(F$5:F472, "Tripulacion"), "")</f>
        <v/>
      </c>
      <c r="W472">
        <f>IF(F472="ENAP carga", COUNTIF(F$5:F472, "ENAP carga"), "")</f>
        <v/>
      </c>
    </row>
    <row r="473">
      <c r="O473" s="117">
        <f>IF(F473="CJ", I473*200, "")</f>
        <v/>
      </c>
      <c r="T473">
        <f>IF(F473="CJ", COUNTIF(F$5:F473, "CJ"), "")</f>
        <v/>
      </c>
      <c r="U473">
        <f>IF(F473="Ignacio", COUNTIF(F$5:F473, "Ignacio"), "")</f>
        <v/>
      </c>
      <c r="V473">
        <f>IF(F473="Tripulacion", COUNTIF(F$5:F473, "Tripulacion"), "")</f>
        <v/>
      </c>
      <c r="W473">
        <f>IF(F473="ENAP carga", COUNTIF(F$5:F473, "ENAP carga"), "")</f>
        <v/>
      </c>
    </row>
    <row r="474">
      <c r="O474" s="117">
        <f>IF(F474="CJ", I474*200, "")</f>
        <v/>
      </c>
      <c r="T474">
        <f>IF(F474="CJ", COUNTIF(F$5:F474, "CJ"), "")</f>
        <v/>
      </c>
      <c r="U474">
        <f>IF(F474="Ignacio", COUNTIF(F$5:F474, "Ignacio"), "")</f>
        <v/>
      </c>
      <c r="V474">
        <f>IF(F474="Tripulacion", COUNTIF(F$5:F474, "Tripulacion"), "")</f>
        <v/>
      </c>
      <c r="W474">
        <f>IF(F474="ENAP carga", COUNTIF(F$5:F474, "ENAP carga"), "")</f>
        <v/>
      </c>
    </row>
    <row r="475">
      <c r="O475" s="117">
        <f>IF(F475="CJ", I475*200, "")</f>
        <v/>
      </c>
      <c r="T475">
        <f>IF(F475="CJ", COUNTIF(F$5:F475, "CJ"), "")</f>
        <v/>
      </c>
      <c r="U475">
        <f>IF(F475="Ignacio", COUNTIF(F$5:F475, "Ignacio"), "")</f>
        <v/>
      </c>
      <c r="V475">
        <f>IF(F475="Tripulacion", COUNTIF(F$5:F475, "Tripulacion"), "")</f>
        <v/>
      </c>
      <c r="W475">
        <f>IF(F475="ENAP carga", COUNTIF(F$5:F475, "ENAP carga"), "")</f>
        <v/>
      </c>
    </row>
    <row r="476">
      <c r="O476" s="117">
        <f>IF(F476="CJ", I476*200, "")</f>
        <v/>
      </c>
      <c r="T476">
        <f>IF(F476="CJ", COUNTIF(F$5:F476, "CJ"), "")</f>
        <v/>
      </c>
      <c r="U476">
        <f>IF(F476="Ignacio", COUNTIF(F$5:F476, "Ignacio"), "")</f>
        <v/>
      </c>
      <c r="V476">
        <f>IF(F476="Tripulacion", COUNTIF(F$5:F476, "Tripulacion"), "")</f>
        <v/>
      </c>
      <c r="W476">
        <f>IF(F476="ENAP carga", COUNTIF(F$5:F476, "ENAP carga"), "")</f>
        <v/>
      </c>
    </row>
    <row r="477">
      <c r="O477" s="117">
        <f>IF(F477="CJ", I477*200, "")</f>
        <v/>
      </c>
      <c r="T477">
        <f>IF(F477="CJ", COUNTIF(F$5:F477, "CJ"), "")</f>
        <v/>
      </c>
      <c r="U477">
        <f>IF(F477="Ignacio", COUNTIF(F$5:F477, "Ignacio"), "")</f>
        <v/>
      </c>
      <c r="V477">
        <f>IF(F477="Tripulacion", COUNTIF(F$5:F477, "Tripulacion"), "")</f>
        <v/>
      </c>
      <c r="W477">
        <f>IF(F477="ENAP carga", COUNTIF(F$5:F477, "ENAP carga"), "")</f>
        <v/>
      </c>
    </row>
    <row r="478">
      <c r="O478" s="117">
        <f>IF(F478="CJ", I478*200, "")</f>
        <v/>
      </c>
      <c r="T478">
        <f>IF(F478="CJ", COUNTIF(F$5:F478, "CJ"), "")</f>
        <v/>
      </c>
      <c r="U478">
        <f>IF(F478="Ignacio", COUNTIF(F$5:F478, "Ignacio"), "")</f>
        <v/>
      </c>
      <c r="V478">
        <f>IF(F478="Tripulacion", COUNTIF(F$5:F478, "Tripulacion"), "")</f>
        <v/>
      </c>
      <c r="W478">
        <f>IF(F478="ENAP carga", COUNTIF(F$5:F478, "ENAP carga"), "")</f>
        <v/>
      </c>
    </row>
    <row r="479">
      <c r="O479" s="117">
        <f>IF(F479="CJ", I479*200, "")</f>
        <v/>
      </c>
      <c r="T479">
        <f>IF(F479="CJ", COUNTIF(F$5:F479, "CJ"), "")</f>
        <v/>
      </c>
      <c r="U479">
        <f>IF(F479="Ignacio", COUNTIF(F$5:F479, "Ignacio"), "")</f>
        <v/>
      </c>
      <c r="V479">
        <f>IF(F479="Tripulacion", COUNTIF(F$5:F479, "Tripulacion"), "")</f>
        <v/>
      </c>
      <c r="W479">
        <f>IF(F479="ENAP carga", COUNTIF(F$5:F479, "ENAP carga"), "")</f>
        <v/>
      </c>
    </row>
    <row r="480">
      <c r="O480" s="117">
        <f>IF(F480="CJ", I480*200, "")</f>
        <v/>
      </c>
      <c r="T480">
        <f>IF(F480="CJ", COUNTIF(F$5:F480, "CJ"), "")</f>
        <v/>
      </c>
      <c r="U480">
        <f>IF(F480="Ignacio", COUNTIF(F$5:F480, "Ignacio"), "")</f>
        <v/>
      </c>
      <c r="V480">
        <f>IF(F480="Tripulacion", COUNTIF(F$5:F480, "Tripulacion"), "")</f>
        <v/>
      </c>
      <c r="W480">
        <f>IF(F480="ENAP carga", COUNTIF(F$5:F480, "ENAP carga"), "")</f>
        <v/>
      </c>
    </row>
    <row r="481">
      <c r="O481" s="117">
        <f>IF(F481="CJ", I481*200, "")</f>
        <v/>
      </c>
      <c r="T481">
        <f>IF(F481="CJ", COUNTIF(F$5:F481, "CJ"), "")</f>
        <v/>
      </c>
      <c r="U481">
        <f>IF(F481="Ignacio", COUNTIF(F$5:F481, "Ignacio"), "")</f>
        <v/>
      </c>
      <c r="V481">
        <f>IF(F481="Tripulacion", COUNTIF(F$5:F481, "Tripulacion"), "")</f>
        <v/>
      </c>
      <c r="W481">
        <f>IF(F481="ENAP carga", COUNTIF(F$5:F481, "ENAP carga"), "")</f>
        <v/>
      </c>
    </row>
    <row r="482">
      <c r="O482" s="117">
        <f>IF(F482="CJ", I482*200, "")</f>
        <v/>
      </c>
      <c r="T482">
        <f>IF(F482="CJ", COUNTIF(F$5:F482, "CJ"), "")</f>
        <v/>
      </c>
      <c r="U482">
        <f>IF(F482="Ignacio", COUNTIF(F$5:F482, "Ignacio"), "")</f>
        <v/>
      </c>
      <c r="V482">
        <f>IF(F482="Tripulacion", COUNTIF(F$5:F482, "Tripulacion"), "")</f>
        <v/>
      </c>
      <c r="W482">
        <f>IF(F482="ENAP carga", COUNTIF(F$5:F482, "ENAP carga"), "")</f>
        <v/>
      </c>
    </row>
    <row r="483">
      <c r="O483" s="117">
        <f>IF(F483="CJ", I483*200, "")</f>
        <v/>
      </c>
      <c r="T483">
        <f>IF(F483="CJ", COUNTIF(F$5:F483, "CJ"), "")</f>
        <v/>
      </c>
      <c r="U483">
        <f>IF(F483="Ignacio", COUNTIF(F$5:F483, "Ignacio"), "")</f>
        <v/>
      </c>
      <c r="V483">
        <f>IF(F483="Tripulacion", COUNTIF(F$5:F483, "Tripulacion"), "")</f>
        <v/>
      </c>
      <c r="W483">
        <f>IF(F483="ENAP carga", COUNTIF(F$5:F483, "ENAP carga"), "")</f>
        <v/>
      </c>
    </row>
    <row r="484">
      <c r="O484" s="117">
        <f>IF(F484="CJ", I484*200, "")</f>
        <v/>
      </c>
      <c r="T484">
        <f>IF(F484="CJ", COUNTIF(F$5:F484, "CJ"), "")</f>
        <v/>
      </c>
      <c r="U484">
        <f>IF(F484="Ignacio", COUNTIF(F$5:F484, "Ignacio"), "")</f>
        <v/>
      </c>
      <c r="V484">
        <f>IF(F484="Tripulacion", COUNTIF(F$5:F484, "Tripulacion"), "")</f>
        <v/>
      </c>
      <c r="W484">
        <f>IF(F484="ENAP carga", COUNTIF(F$5:F484, "ENAP carga"), "")</f>
        <v/>
      </c>
    </row>
    <row r="485">
      <c r="O485" s="117">
        <f>IF(F485="CJ", I485*200, "")</f>
        <v/>
      </c>
      <c r="T485">
        <f>IF(F485="CJ", COUNTIF(F$5:F485, "CJ"), "")</f>
        <v/>
      </c>
      <c r="U485">
        <f>IF(F485="Ignacio", COUNTIF(F$5:F485, "Ignacio"), "")</f>
        <v/>
      </c>
      <c r="V485">
        <f>IF(F485="Tripulacion", COUNTIF(F$5:F485, "Tripulacion"), "")</f>
        <v/>
      </c>
      <c r="W485">
        <f>IF(F485="ENAP carga", COUNTIF(F$5:F485, "ENAP carga"), "")</f>
        <v/>
      </c>
    </row>
    <row r="486">
      <c r="O486" s="117">
        <f>IF(F486="CJ", I486*200, "")</f>
        <v/>
      </c>
      <c r="T486">
        <f>IF(F486="CJ", COUNTIF(F$5:F486, "CJ"), "")</f>
        <v/>
      </c>
      <c r="U486">
        <f>IF(F486="Ignacio", COUNTIF(F$5:F486, "Ignacio"), "")</f>
        <v/>
      </c>
      <c r="V486">
        <f>IF(F486="Tripulacion", COUNTIF(F$5:F486, "Tripulacion"), "")</f>
        <v/>
      </c>
      <c r="W486">
        <f>IF(F486="ENAP carga", COUNTIF(F$5:F486, "ENAP carga"), "")</f>
        <v/>
      </c>
    </row>
    <row r="487">
      <c r="O487" s="117">
        <f>IF(F487="CJ", I487*200, "")</f>
        <v/>
      </c>
      <c r="T487">
        <f>IF(F487="CJ", COUNTIF(F$5:F487, "CJ"), "")</f>
        <v/>
      </c>
      <c r="U487">
        <f>IF(F487="Ignacio", COUNTIF(F$5:F487, "Ignacio"), "")</f>
        <v/>
      </c>
      <c r="V487">
        <f>IF(F487="Tripulacion", COUNTIF(F$5:F487, "Tripulacion"), "")</f>
        <v/>
      </c>
      <c r="W487">
        <f>IF(F487="ENAP carga", COUNTIF(F$5:F487, "ENAP carga"), "")</f>
        <v/>
      </c>
    </row>
    <row r="488">
      <c r="O488" s="117">
        <f>IF(F488="CJ", I488*200, "")</f>
        <v/>
      </c>
      <c r="T488">
        <f>IF(F488="CJ", COUNTIF(F$5:F488, "CJ"), "")</f>
        <v/>
      </c>
      <c r="U488">
        <f>IF(F488="Ignacio", COUNTIF(F$5:F488, "Ignacio"), "")</f>
        <v/>
      </c>
      <c r="V488">
        <f>IF(F488="Tripulacion", COUNTIF(F$5:F488, "Tripulacion"), "")</f>
        <v/>
      </c>
      <c r="W488">
        <f>IF(F488="ENAP carga", COUNTIF(F$5:F488, "ENAP carga"), "")</f>
        <v/>
      </c>
    </row>
    <row r="489">
      <c r="O489" s="117">
        <f>IF(F489="CJ", I489*200, "")</f>
        <v/>
      </c>
      <c r="T489">
        <f>IF(F489="CJ", COUNTIF(F$5:F489, "CJ"), "")</f>
        <v/>
      </c>
      <c r="U489">
        <f>IF(F489="Ignacio", COUNTIF(F$5:F489, "Ignacio"), "")</f>
        <v/>
      </c>
      <c r="V489">
        <f>IF(F489="Tripulacion", COUNTIF(F$5:F489, "Tripulacion"), "")</f>
        <v/>
      </c>
      <c r="W489">
        <f>IF(F489="ENAP carga", COUNTIF(F$5:F489, "ENAP carga"), "")</f>
        <v/>
      </c>
    </row>
    <row r="490">
      <c r="O490" s="117">
        <f>IF(F490="CJ", I490*200, "")</f>
        <v/>
      </c>
      <c r="T490">
        <f>IF(F490="CJ", COUNTIF(F$5:F490, "CJ"), "")</f>
        <v/>
      </c>
      <c r="U490">
        <f>IF(F490="Ignacio", COUNTIF(F$5:F490, "Ignacio"), "")</f>
        <v/>
      </c>
      <c r="V490">
        <f>IF(F490="Tripulacion", COUNTIF(F$5:F490, "Tripulacion"), "")</f>
        <v/>
      </c>
      <c r="W490">
        <f>IF(F490="ENAP carga", COUNTIF(F$5:F490, "ENAP carga"), "")</f>
        <v/>
      </c>
    </row>
    <row r="491">
      <c r="O491" s="117">
        <f>IF(F491="CJ", I491*200, "")</f>
        <v/>
      </c>
      <c r="T491">
        <f>IF(F491="CJ", COUNTIF(F$5:F491, "CJ"), "")</f>
        <v/>
      </c>
      <c r="U491">
        <f>IF(F491="Ignacio", COUNTIF(F$5:F491, "Ignacio"), "")</f>
        <v/>
      </c>
      <c r="V491">
        <f>IF(F491="Tripulacion", COUNTIF(F$5:F491, "Tripulacion"), "")</f>
        <v/>
      </c>
      <c r="W491">
        <f>IF(F491="ENAP carga", COUNTIF(F$5:F491, "ENAP carga"), "")</f>
        <v/>
      </c>
    </row>
    <row r="492">
      <c r="O492" s="117">
        <f>IF(F492="CJ", I492*200, "")</f>
        <v/>
      </c>
      <c r="T492">
        <f>IF(F492="CJ", COUNTIF(F$5:F492, "CJ"), "")</f>
        <v/>
      </c>
      <c r="U492">
        <f>IF(F492="Ignacio", COUNTIF(F$5:F492, "Ignacio"), "")</f>
        <v/>
      </c>
      <c r="V492">
        <f>IF(F492="Tripulacion", COUNTIF(F$5:F492, "Tripulacion"), "")</f>
        <v/>
      </c>
      <c r="W492">
        <f>IF(F492="ENAP carga", COUNTIF(F$5:F492, "ENAP carga"), "")</f>
        <v/>
      </c>
    </row>
    <row r="493">
      <c r="O493" s="117">
        <f>IF(F493="CJ", I493*200, "")</f>
        <v/>
      </c>
      <c r="T493">
        <f>IF(F493="CJ", COUNTIF(F$5:F493, "CJ"), "")</f>
        <v/>
      </c>
      <c r="U493">
        <f>IF(F493="Ignacio", COUNTIF(F$5:F493, "Ignacio"), "")</f>
        <v/>
      </c>
      <c r="V493">
        <f>IF(F493="Tripulacion", COUNTIF(F$5:F493, "Tripulacion"), "")</f>
        <v/>
      </c>
      <c r="W493">
        <f>IF(F493="ENAP carga", COUNTIF(F$5:F493, "ENAP carga"), "")</f>
        <v/>
      </c>
    </row>
    <row r="494">
      <c r="O494" s="117">
        <f>IF(F494="CJ", I494*200, "")</f>
        <v/>
      </c>
      <c r="T494">
        <f>IF(F494="CJ", COUNTIF(F$5:F494, "CJ"), "")</f>
        <v/>
      </c>
      <c r="U494">
        <f>IF(F494="Ignacio", COUNTIF(F$5:F494, "Ignacio"), "")</f>
        <v/>
      </c>
      <c r="V494">
        <f>IF(F494="Tripulacion", COUNTIF(F$5:F494, "Tripulacion"), "")</f>
        <v/>
      </c>
      <c r="W494">
        <f>IF(F494="ENAP carga", COUNTIF(F$5:F494, "ENAP carga"), "")</f>
        <v/>
      </c>
    </row>
    <row r="495">
      <c r="O495" s="117">
        <f>IF(F495="CJ", I495*200, "")</f>
        <v/>
      </c>
      <c r="T495">
        <f>IF(F495="CJ", COUNTIF(F$5:F495, "CJ"), "")</f>
        <v/>
      </c>
      <c r="U495">
        <f>IF(F495="Ignacio", COUNTIF(F$5:F495, "Ignacio"), "")</f>
        <v/>
      </c>
      <c r="V495">
        <f>IF(F495="Tripulacion", COUNTIF(F$5:F495, "Tripulacion"), "")</f>
        <v/>
      </c>
      <c r="W495">
        <f>IF(F495="ENAP carga", COUNTIF(F$5:F495, "ENAP carga"), "")</f>
        <v/>
      </c>
    </row>
    <row r="496">
      <c r="O496" s="117">
        <f>IF(F496="CJ", I496*200, "")</f>
        <v/>
      </c>
      <c r="T496">
        <f>IF(F496="CJ", COUNTIF(F$5:F496, "CJ"), "")</f>
        <v/>
      </c>
      <c r="U496">
        <f>IF(F496="Ignacio", COUNTIF(F$5:F496, "Ignacio"), "")</f>
        <v/>
      </c>
      <c r="V496">
        <f>IF(F496="Tripulacion", COUNTIF(F$5:F496, "Tripulacion"), "")</f>
        <v/>
      </c>
      <c r="W496">
        <f>IF(F496="ENAP carga", COUNTIF(F$5:F496, "ENAP carga"), "")</f>
        <v/>
      </c>
    </row>
    <row r="497">
      <c r="O497" s="117">
        <f>IF(F497="CJ", I497*200, "")</f>
        <v/>
      </c>
      <c r="T497">
        <f>IF(F497="CJ", COUNTIF(F$5:F497, "CJ"), "")</f>
        <v/>
      </c>
      <c r="U497">
        <f>IF(F497="Ignacio", COUNTIF(F$5:F497, "Ignacio"), "")</f>
        <v/>
      </c>
      <c r="V497">
        <f>IF(F497="Tripulacion", COUNTIF(F$5:F497, "Tripulacion"), "")</f>
        <v/>
      </c>
      <c r="W497">
        <f>IF(F497="ENAP carga", COUNTIF(F$5:F497, "ENAP carga"), "")</f>
        <v/>
      </c>
    </row>
    <row r="498">
      <c r="O498" s="117">
        <f>IF(F498="CJ", I498*200, "")</f>
        <v/>
      </c>
      <c r="T498">
        <f>IF(F498="CJ", COUNTIF(F$5:F498, "CJ"), "")</f>
        <v/>
      </c>
      <c r="U498">
        <f>IF(F498="Ignacio", COUNTIF(F$5:F498, "Ignacio"), "")</f>
        <v/>
      </c>
      <c r="V498">
        <f>IF(F498="Tripulacion", COUNTIF(F$5:F498, "Tripulacion"), "")</f>
        <v/>
      </c>
      <c r="W498">
        <f>IF(F498="ENAP carga", COUNTIF(F$5:F498, "ENAP carga"), "")</f>
        <v/>
      </c>
    </row>
    <row r="499">
      <c r="O499" s="117">
        <f>IF(F499="CJ", I499*200, "")</f>
        <v/>
      </c>
      <c r="T499">
        <f>IF(F499="CJ", COUNTIF(F$5:F499, "CJ"), "")</f>
        <v/>
      </c>
      <c r="U499">
        <f>IF(F499="Ignacio", COUNTIF(F$5:F499, "Ignacio"), "")</f>
        <v/>
      </c>
      <c r="V499">
        <f>IF(F499="Tripulacion", COUNTIF(F$5:F499, "Tripulacion"), "")</f>
        <v/>
      </c>
      <c r="W499">
        <f>IF(F499="ENAP carga", COUNTIF(F$5:F499, "ENAP carga"), "")</f>
        <v/>
      </c>
    </row>
    <row r="500">
      <c r="O500" s="117">
        <f>IF(F500="CJ", I500*200, "")</f>
        <v/>
      </c>
      <c r="T500">
        <f>IF(F500="CJ", COUNTIF(F$5:F500, "CJ"), "")</f>
        <v/>
      </c>
      <c r="U500">
        <f>IF(F500="Ignacio", COUNTIF(F$5:F500, "Ignacio"), "")</f>
        <v/>
      </c>
      <c r="V500">
        <f>IF(F500="Tripulacion", COUNTIF(F$5:F500, "Tripulacion"), "")</f>
        <v/>
      </c>
      <c r="W500">
        <f>IF(F500="ENAP carga", COUNTIF(F$5:F500, "ENAP carga"), "")</f>
        <v/>
      </c>
    </row>
    <row r="501">
      <c r="O501" s="117">
        <f>IF(F501="CJ", I501*200, "")</f>
        <v/>
      </c>
      <c r="T501">
        <f>IF(F501="CJ", COUNTIF(F$5:F501, "CJ"), "")</f>
        <v/>
      </c>
      <c r="U501">
        <f>IF(F501="Ignacio", COUNTIF(F$5:F501, "Ignacio"), "")</f>
        <v/>
      </c>
      <c r="V501">
        <f>IF(F501="Tripulacion", COUNTIF(F$5:F501, "Tripulacion"), "")</f>
        <v/>
      </c>
      <c r="W501">
        <f>IF(F501="ENAP carga", COUNTIF(F$5:F501, "ENAP carga"), "")</f>
        <v/>
      </c>
    </row>
    <row r="502">
      <c r="O502" s="117">
        <f>IF(F502="CJ", I502*200, "")</f>
        <v/>
      </c>
      <c r="T502">
        <f>IF(F502="CJ", COUNTIF(F$5:F502, "CJ"), "")</f>
        <v/>
      </c>
      <c r="U502">
        <f>IF(F502="Ignacio", COUNTIF(F$5:F502, "Ignacio"), "")</f>
        <v/>
      </c>
      <c r="V502">
        <f>IF(F502="Tripulacion", COUNTIF(F$5:F502, "Tripulacion"), "")</f>
        <v/>
      </c>
      <c r="W502">
        <f>IF(F502="ENAP carga", COUNTIF(F$5:F502, "ENAP carga"), "")</f>
        <v/>
      </c>
    </row>
    <row r="503">
      <c r="O503" s="117">
        <f>IF(F503="CJ", I503*200, "")</f>
        <v/>
      </c>
      <c r="T503">
        <f>IF(F503="CJ", COUNTIF(F$5:F503, "CJ"), "")</f>
        <v/>
      </c>
      <c r="U503">
        <f>IF(F503="Ignacio", COUNTIF(F$5:F503, "Ignacio"), "")</f>
        <v/>
      </c>
      <c r="V503">
        <f>IF(F503="Tripulacion", COUNTIF(F$5:F503, "Tripulacion"), "")</f>
        <v/>
      </c>
      <c r="W503">
        <f>IF(F503="ENAP carga", COUNTIF(F$5:F503, "ENAP carga"), "")</f>
        <v/>
      </c>
    </row>
    <row r="504">
      <c r="O504" s="117">
        <f>IF(F504="CJ", I504*200, "")</f>
        <v/>
      </c>
      <c r="T504">
        <f>IF(F504="CJ", COUNTIF(F$5:F504, "CJ"), "")</f>
        <v/>
      </c>
      <c r="U504">
        <f>IF(F504="Ignacio", COUNTIF(F$5:F504, "Ignacio"), "")</f>
        <v/>
      </c>
      <c r="V504">
        <f>IF(F504="Tripulacion", COUNTIF(F$5:F504, "Tripulacion"), "")</f>
        <v/>
      </c>
      <c r="W504">
        <f>IF(F504="ENAP carga", COUNTIF(F$5:F504, "ENAP carga"), "")</f>
        <v/>
      </c>
    </row>
    <row r="505">
      <c r="O505" s="117">
        <f>IF(F505="CJ", I505*200, "")</f>
        <v/>
      </c>
      <c r="T505">
        <f>IF(F505="CJ", COUNTIF(F$5:F505, "CJ"), "")</f>
        <v/>
      </c>
      <c r="U505">
        <f>IF(F505="Ignacio", COUNTIF(F$5:F505, "Ignacio"), "")</f>
        <v/>
      </c>
      <c r="V505">
        <f>IF(F505="Tripulacion", COUNTIF(F$5:F505, "Tripulacion"), "")</f>
        <v/>
      </c>
      <c r="W505">
        <f>IF(F505="ENAP carga", COUNTIF(F$5:F505, "ENAP carga"), "")</f>
        <v/>
      </c>
    </row>
    <row r="506">
      <c r="O506" s="117">
        <f>IF(F506="CJ", I506*200, "")</f>
        <v/>
      </c>
      <c r="T506">
        <f>IF(F506="CJ", COUNTIF(F$5:F506, "CJ"), "")</f>
        <v/>
      </c>
      <c r="U506">
        <f>IF(F506="Ignacio", COUNTIF(F$5:F506, "Ignacio"), "")</f>
        <v/>
      </c>
      <c r="V506">
        <f>IF(F506="Tripulacion", COUNTIF(F$5:F506, "Tripulacion"), "")</f>
        <v/>
      </c>
      <c r="W506">
        <f>IF(F506="ENAP carga", COUNTIF(F$5:F506, "ENAP carga"), "")</f>
        <v/>
      </c>
    </row>
    <row r="507">
      <c r="O507" s="117">
        <f>IF(F507="CJ", I507*200, "")</f>
        <v/>
      </c>
      <c r="T507">
        <f>IF(F507="CJ", COUNTIF(F$5:F507, "CJ"), "")</f>
        <v/>
      </c>
      <c r="U507">
        <f>IF(F507="Ignacio", COUNTIF(F$5:F507, "Ignacio"), "")</f>
        <v/>
      </c>
      <c r="V507">
        <f>IF(F507="Tripulacion", COUNTIF(F$5:F507, "Tripulacion"), "")</f>
        <v/>
      </c>
      <c r="W507">
        <f>IF(F507="ENAP carga", COUNTIF(F$5:F507, "ENAP carga"), "")</f>
        <v/>
      </c>
    </row>
    <row r="508">
      <c r="O508" s="117">
        <f>IF(F508="CJ", I508*200, "")</f>
        <v/>
      </c>
      <c r="T508">
        <f>IF(F508="CJ", COUNTIF(F$5:F508, "CJ"), "")</f>
        <v/>
      </c>
      <c r="U508">
        <f>IF(F508="Ignacio", COUNTIF(F$5:F508, "Ignacio"), "")</f>
        <v/>
      </c>
      <c r="V508">
        <f>IF(F508="Tripulacion", COUNTIF(F$5:F508, "Tripulacion"), "")</f>
        <v/>
      </c>
      <c r="W508">
        <f>IF(F508="ENAP carga", COUNTIF(F$5:F508, "ENAP carga"), "")</f>
        <v/>
      </c>
    </row>
    <row r="509">
      <c r="O509" s="117">
        <f>IF(F509="CJ", I509*200, "")</f>
        <v/>
      </c>
      <c r="T509">
        <f>IF(F509="CJ", COUNTIF(F$5:F509, "CJ"), "")</f>
        <v/>
      </c>
      <c r="U509">
        <f>IF(F509="Ignacio", COUNTIF(F$5:F509, "Ignacio"), "")</f>
        <v/>
      </c>
      <c r="V509">
        <f>IF(F509="Tripulacion", COUNTIF(F$5:F509, "Tripulacion"), "")</f>
        <v/>
      </c>
      <c r="W509">
        <f>IF(F509="ENAP carga", COUNTIF(F$5:F509, "ENAP carga"), "")</f>
        <v/>
      </c>
    </row>
    <row r="510">
      <c r="O510" s="117">
        <f>IF(F510="CJ", I510*200, "")</f>
        <v/>
      </c>
      <c r="T510">
        <f>IF(F510="CJ", COUNTIF(F$5:F510, "CJ"), "")</f>
        <v/>
      </c>
      <c r="U510">
        <f>IF(F510="Ignacio", COUNTIF(F$5:F510, "Ignacio"), "")</f>
        <v/>
      </c>
      <c r="V510">
        <f>IF(F510="Tripulacion", COUNTIF(F$5:F510, "Tripulacion"), "")</f>
        <v/>
      </c>
      <c r="W510">
        <f>IF(F510="ENAP carga", COUNTIF(F$5:F510, "ENAP carga"), "")</f>
        <v/>
      </c>
    </row>
    <row r="511">
      <c r="O511" s="117">
        <f>IF(F511="CJ", I511*200, "")</f>
        <v/>
      </c>
      <c r="T511">
        <f>IF(F511="CJ", COUNTIF(F$5:F511, "CJ"), "")</f>
        <v/>
      </c>
      <c r="U511">
        <f>IF(F511="Ignacio", COUNTIF(F$5:F511, "Ignacio"), "")</f>
        <v/>
      </c>
      <c r="V511">
        <f>IF(F511="Tripulacion", COUNTIF(F$5:F511, "Tripulacion"), "")</f>
        <v/>
      </c>
      <c r="W511">
        <f>IF(F511="ENAP carga", COUNTIF(F$5:F511, "ENAP carga"), "")</f>
        <v/>
      </c>
    </row>
    <row r="512">
      <c r="O512" s="117">
        <f>IF(F512="CJ", I512*200, "")</f>
        <v/>
      </c>
      <c r="T512">
        <f>IF(F512="CJ", COUNTIF(F$5:F512, "CJ"), "")</f>
        <v/>
      </c>
      <c r="U512">
        <f>IF(F512="Ignacio", COUNTIF(F$5:F512, "Ignacio"), "")</f>
        <v/>
      </c>
      <c r="V512">
        <f>IF(F512="Tripulacion", COUNTIF(F$5:F512, "Tripulacion"), "")</f>
        <v/>
      </c>
      <c r="W512">
        <f>IF(F512="ENAP carga", COUNTIF(F$5:F512, "ENAP carga"), "")</f>
        <v/>
      </c>
    </row>
    <row r="513">
      <c r="O513" s="117">
        <f>IF(F513="CJ", I513*200, "")</f>
        <v/>
      </c>
      <c r="T513">
        <f>IF(F513="CJ", COUNTIF(F$5:F513, "CJ"), "")</f>
        <v/>
      </c>
      <c r="U513">
        <f>IF(F513="Ignacio", COUNTIF(F$5:F513, "Ignacio"), "")</f>
        <v/>
      </c>
      <c r="V513">
        <f>IF(F513="Tripulacion", COUNTIF(F$5:F513, "Tripulacion"), "")</f>
        <v/>
      </c>
      <c r="W513">
        <f>IF(F513="ENAP carga", COUNTIF(F$5:F513, "ENAP carga"), "")</f>
        <v/>
      </c>
    </row>
    <row r="514">
      <c r="O514" s="117">
        <f>IF(F514="CJ", I514*200, "")</f>
        <v/>
      </c>
      <c r="T514">
        <f>IF(F514="CJ", COUNTIF(F$5:F514, "CJ"), "")</f>
        <v/>
      </c>
      <c r="U514">
        <f>IF(F514="Ignacio", COUNTIF(F$5:F514, "Ignacio"), "")</f>
        <v/>
      </c>
      <c r="V514">
        <f>IF(F514="Tripulacion", COUNTIF(F$5:F514, "Tripulacion"), "")</f>
        <v/>
      </c>
      <c r="W514">
        <f>IF(F514="ENAP carga", COUNTIF(F$5:F514, "ENAP carga"), "")</f>
        <v/>
      </c>
    </row>
    <row r="515">
      <c r="O515" s="117">
        <f>IF(F515="CJ", I515*200, "")</f>
        <v/>
      </c>
      <c r="T515">
        <f>IF(F515="CJ", COUNTIF(F$5:F515, "CJ"), "")</f>
        <v/>
      </c>
      <c r="U515">
        <f>IF(F515="Ignacio", COUNTIF(F$5:F515, "Ignacio"), "")</f>
        <v/>
      </c>
      <c r="V515">
        <f>IF(F515="Tripulacion", COUNTIF(F$5:F515, "Tripulacion"), "")</f>
        <v/>
      </c>
      <c r="W515">
        <f>IF(F515="ENAP carga", COUNTIF(F$5:F515, "ENAP carga"), "")</f>
        <v/>
      </c>
    </row>
    <row r="516">
      <c r="O516" s="117">
        <f>IF(F516="CJ", I516*200, "")</f>
        <v/>
      </c>
      <c r="T516">
        <f>IF(F516="CJ", COUNTIF(F$5:F516, "CJ"), "")</f>
        <v/>
      </c>
      <c r="U516">
        <f>IF(F516="Ignacio", COUNTIF(F$5:F516, "Ignacio"), "")</f>
        <v/>
      </c>
      <c r="V516">
        <f>IF(F516="Tripulacion", COUNTIF(F$5:F516, "Tripulacion"), "")</f>
        <v/>
      </c>
      <c r="W516">
        <f>IF(F516="ENAP carga", COUNTIF(F$5:F516, "ENAP carga"), "")</f>
        <v/>
      </c>
    </row>
    <row r="517">
      <c r="O517" s="117">
        <f>IF(F517="CJ", I517*200, "")</f>
        <v/>
      </c>
      <c r="T517">
        <f>IF(F517="CJ", COUNTIF(F$5:F517, "CJ"), "")</f>
        <v/>
      </c>
      <c r="U517">
        <f>IF(F517="Ignacio", COUNTIF(F$5:F517, "Ignacio"), "")</f>
        <v/>
      </c>
      <c r="V517">
        <f>IF(F517="Tripulacion", COUNTIF(F$5:F517, "Tripulacion"), "")</f>
        <v/>
      </c>
      <c r="W517">
        <f>IF(F517="ENAP carga", COUNTIF(F$5:F517, "ENAP carga"), "")</f>
        <v/>
      </c>
    </row>
    <row r="518">
      <c r="O518" s="117">
        <f>IF(F518="CJ", I518*200, "")</f>
        <v/>
      </c>
      <c r="T518">
        <f>IF(F518="CJ", COUNTIF(F$5:F518, "CJ"), "")</f>
        <v/>
      </c>
      <c r="U518">
        <f>IF(F518="Ignacio", COUNTIF(F$5:F518, "Ignacio"), "")</f>
        <v/>
      </c>
      <c r="V518">
        <f>IF(F518="Tripulacion", COUNTIF(F$5:F518, "Tripulacion"), "")</f>
        <v/>
      </c>
      <c r="W518">
        <f>IF(F518="ENAP carga", COUNTIF(F$5:F518, "ENAP carga"), "")</f>
        <v/>
      </c>
    </row>
    <row r="519">
      <c r="O519" s="117">
        <f>IF(F519="CJ", I519*200, "")</f>
        <v/>
      </c>
      <c r="T519">
        <f>IF(F519="CJ", COUNTIF(F$5:F519, "CJ"), "")</f>
        <v/>
      </c>
      <c r="U519">
        <f>IF(F519="Ignacio", COUNTIF(F$5:F519, "Ignacio"), "")</f>
        <v/>
      </c>
      <c r="V519">
        <f>IF(F519="Tripulacion", COUNTIF(F$5:F519, "Tripulacion"), "")</f>
        <v/>
      </c>
      <c r="W519">
        <f>IF(F519="ENAP carga", COUNTIF(F$5:F519, "ENAP carga"), "")</f>
        <v/>
      </c>
    </row>
    <row r="520">
      <c r="O520" s="117">
        <f>IF(F520="CJ", I520*200, "")</f>
        <v/>
      </c>
      <c r="T520">
        <f>IF(F520="CJ", COUNTIF(F$5:F520, "CJ"), "")</f>
        <v/>
      </c>
      <c r="U520">
        <f>IF(F520="Ignacio", COUNTIF(F$5:F520, "Ignacio"), "")</f>
        <v/>
      </c>
      <c r="V520">
        <f>IF(F520="Tripulacion", COUNTIF(F$5:F520, "Tripulacion"), "")</f>
        <v/>
      </c>
      <c r="W520">
        <f>IF(F520="ENAP carga", COUNTIF(F$5:F520, "ENAP carga"), "")</f>
        <v/>
      </c>
    </row>
    <row r="521">
      <c r="O521" s="117">
        <f>IF(F521="CJ", I521*200, "")</f>
        <v/>
      </c>
      <c r="T521">
        <f>IF(F521="CJ", COUNTIF(F$5:F521, "CJ"), "")</f>
        <v/>
      </c>
      <c r="U521">
        <f>IF(F521="Ignacio", COUNTIF(F$5:F521, "Ignacio"), "")</f>
        <v/>
      </c>
      <c r="V521">
        <f>IF(F521="Tripulacion", COUNTIF(F$5:F521, "Tripulacion"), "")</f>
        <v/>
      </c>
      <c r="W521">
        <f>IF(F521="ENAP carga", COUNTIF(F$5:F521, "ENAP carga"), "")</f>
        <v/>
      </c>
    </row>
    <row r="522">
      <c r="O522" s="117">
        <f>IF(F522="CJ", I522*200, "")</f>
        <v/>
      </c>
      <c r="T522">
        <f>IF(F522="CJ", COUNTIF(F$5:F522, "CJ"), "")</f>
        <v/>
      </c>
      <c r="U522">
        <f>IF(F522="Ignacio", COUNTIF(F$5:F522, "Ignacio"), "")</f>
        <v/>
      </c>
      <c r="V522">
        <f>IF(F522="Tripulacion", COUNTIF(F$5:F522, "Tripulacion"), "")</f>
        <v/>
      </c>
      <c r="W522">
        <f>IF(F522="ENAP carga", COUNTIF(F$5:F522, "ENAP carga"), "")</f>
        <v/>
      </c>
    </row>
    <row r="523">
      <c r="O523" s="117">
        <f>IF(F523="CJ", I523*200, "")</f>
        <v/>
      </c>
      <c r="T523">
        <f>IF(F523="CJ", COUNTIF(F$5:F523, "CJ"), "")</f>
        <v/>
      </c>
      <c r="U523">
        <f>IF(F523="Ignacio", COUNTIF(F$5:F523, "Ignacio"), "")</f>
        <v/>
      </c>
      <c r="V523">
        <f>IF(F523="Tripulacion", COUNTIF(F$5:F523, "Tripulacion"), "")</f>
        <v/>
      </c>
      <c r="W523">
        <f>IF(F523="ENAP carga", COUNTIF(F$5:F523, "ENAP carga"), "")</f>
        <v/>
      </c>
    </row>
    <row r="524">
      <c r="O524" s="117">
        <f>IF(F524="CJ", I524*200, "")</f>
        <v/>
      </c>
      <c r="T524">
        <f>IF(F524="CJ", COUNTIF(F$5:F524, "CJ"), "")</f>
        <v/>
      </c>
      <c r="U524">
        <f>IF(F524="Ignacio", COUNTIF(F$5:F524, "Ignacio"), "")</f>
        <v/>
      </c>
      <c r="V524">
        <f>IF(F524="Tripulacion", COUNTIF(F$5:F524, "Tripulacion"), "")</f>
        <v/>
      </c>
      <c r="W524">
        <f>IF(F524="ENAP carga", COUNTIF(F$5:F524, "ENAP carga"), "")</f>
        <v/>
      </c>
    </row>
    <row r="525">
      <c r="O525" s="117">
        <f>IF(F525="CJ", I525*200, "")</f>
        <v/>
      </c>
      <c r="T525">
        <f>IF(F525="CJ", COUNTIF(F$5:F525, "CJ"), "")</f>
        <v/>
      </c>
      <c r="U525">
        <f>IF(F525="Ignacio", COUNTIF(F$5:F525, "Ignacio"), "")</f>
        <v/>
      </c>
      <c r="V525">
        <f>IF(F525="Tripulacion", COUNTIF(F$5:F525, "Tripulacion"), "")</f>
        <v/>
      </c>
      <c r="W525">
        <f>IF(F525="ENAP carga", COUNTIF(F$5:F525, "ENAP carga"), "")</f>
        <v/>
      </c>
    </row>
    <row r="526">
      <c r="O526" s="117">
        <f>IF(F526="CJ", I526*200, "")</f>
        <v/>
      </c>
      <c r="T526">
        <f>IF(F526="CJ", COUNTIF(F$5:F526, "CJ"), "")</f>
        <v/>
      </c>
      <c r="U526">
        <f>IF(F526="Ignacio", COUNTIF(F$5:F526, "Ignacio"), "")</f>
        <v/>
      </c>
      <c r="V526">
        <f>IF(F526="Tripulacion", COUNTIF(F$5:F526, "Tripulacion"), "")</f>
        <v/>
      </c>
      <c r="W526">
        <f>IF(F526="ENAP carga", COUNTIF(F$5:F526, "ENAP carga"), "")</f>
        <v/>
      </c>
    </row>
    <row r="527">
      <c r="O527" s="117">
        <f>IF(F527="CJ", I527*200, "")</f>
        <v/>
      </c>
      <c r="T527">
        <f>IF(F527="CJ", COUNTIF(F$5:F527, "CJ"), "")</f>
        <v/>
      </c>
      <c r="U527">
        <f>IF(F527="Ignacio", COUNTIF(F$5:F527, "Ignacio"), "")</f>
        <v/>
      </c>
      <c r="V527">
        <f>IF(F527="Tripulacion", COUNTIF(F$5:F527, "Tripulacion"), "")</f>
        <v/>
      </c>
      <c r="W527">
        <f>IF(F527="ENAP carga", COUNTIF(F$5:F527, "ENAP carga"), "")</f>
        <v/>
      </c>
    </row>
    <row r="528">
      <c r="O528" s="117">
        <f>IF(F528="CJ", I528*200, "")</f>
        <v/>
      </c>
      <c r="T528">
        <f>IF(F528="CJ", COUNTIF(F$5:F528, "CJ"), "")</f>
        <v/>
      </c>
      <c r="U528">
        <f>IF(F528="Ignacio", COUNTIF(F$5:F528, "Ignacio"), "")</f>
        <v/>
      </c>
      <c r="V528">
        <f>IF(F528="Tripulacion", COUNTIF(F$5:F528, "Tripulacion"), "")</f>
        <v/>
      </c>
      <c r="W528">
        <f>IF(F528="ENAP carga", COUNTIF(F$5:F528, "ENAP carga"), "")</f>
        <v/>
      </c>
    </row>
    <row r="529">
      <c r="O529" s="117">
        <f>IF(F529="CJ", I529*200, "")</f>
        <v/>
      </c>
      <c r="T529">
        <f>IF(F529="CJ", COUNTIF(F$5:F529, "CJ"), "")</f>
        <v/>
      </c>
      <c r="U529">
        <f>IF(F529="Ignacio", COUNTIF(F$5:F529, "Ignacio"), "")</f>
        <v/>
      </c>
      <c r="V529">
        <f>IF(F529="Tripulacion", COUNTIF(F$5:F529, "Tripulacion"), "")</f>
        <v/>
      </c>
      <c r="W529">
        <f>IF(F529="ENAP carga", COUNTIF(F$5:F529, "ENAP carga"), "")</f>
        <v/>
      </c>
    </row>
    <row r="530">
      <c r="O530" s="117">
        <f>IF(F530="CJ", I530*200, "")</f>
        <v/>
      </c>
      <c r="T530">
        <f>IF(F530="CJ", COUNTIF(F$5:F530, "CJ"), "")</f>
        <v/>
      </c>
      <c r="U530">
        <f>IF(F530="Ignacio", COUNTIF(F$5:F530, "Ignacio"), "")</f>
        <v/>
      </c>
      <c r="V530">
        <f>IF(F530="Tripulacion", COUNTIF(F$5:F530, "Tripulacion"), "")</f>
        <v/>
      </c>
      <c r="W530">
        <f>IF(F530="ENAP carga", COUNTIF(F$5:F530, "ENAP carga"), "")</f>
        <v/>
      </c>
    </row>
    <row r="531">
      <c r="O531" s="117">
        <f>IF(F531="CJ", I531*200, "")</f>
        <v/>
      </c>
      <c r="T531">
        <f>IF(F531="CJ", COUNTIF(F$5:F531, "CJ"), "")</f>
        <v/>
      </c>
      <c r="U531">
        <f>IF(F531="Ignacio", COUNTIF(F$5:F531, "Ignacio"), "")</f>
        <v/>
      </c>
      <c r="V531">
        <f>IF(F531="Tripulacion", COUNTIF(F$5:F531, "Tripulacion"), "")</f>
        <v/>
      </c>
      <c r="W531">
        <f>IF(F531="ENAP carga", COUNTIF(F$5:F531, "ENAP carga"), "")</f>
        <v/>
      </c>
    </row>
    <row r="532">
      <c r="O532" s="117">
        <f>IF(F532="CJ", I532*200, "")</f>
        <v/>
      </c>
      <c r="T532">
        <f>IF(F532="CJ", COUNTIF(F$5:F532, "CJ"), "")</f>
        <v/>
      </c>
      <c r="U532">
        <f>IF(F532="Ignacio", COUNTIF(F$5:F532, "Ignacio"), "")</f>
        <v/>
      </c>
      <c r="V532">
        <f>IF(F532="Tripulacion", COUNTIF(F$5:F532, "Tripulacion"), "")</f>
        <v/>
      </c>
      <c r="W532">
        <f>IF(F532="ENAP carga", COUNTIF(F$5:F532, "ENAP carga"), "")</f>
        <v/>
      </c>
    </row>
    <row r="533">
      <c r="O533" s="117">
        <f>IF(F533="CJ", I533*200, "")</f>
        <v/>
      </c>
      <c r="T533">
        <f>IF(F533="CJ", COUNTIF(F$5:F533, "CJ"), "")</f>
        <v/>
      </c>
      <c r="U533">
        <f>IF(F533="Ignacio", COUNTIF(F$5:F533, "Ignacio"), "")</f>
        <v/>
      </c>
      <c r="V533">
        <f>IF(F533="Tripulacion", COUNTIF(F$5:F533, "Tripulacion"), "")</f>
        <v/>
      </c>
      <c r="W533">
        <f>IF(F533="ENAP carga", COUNTIF(F$5:F533, "ENAP carga"), "")</f>
        <v/>
      </c>
    </row>
    <row r="534">
      <c r="O534" s="117">
        <f>IF(F534="CJ", I534*200, "")</f>
        <v/>
      </c>
      <c r="T534">
        <f>IF(F534="CJ", COUNTIF(F$5:F534, "CJ"), "")</f>
        <v/>
      </c>
      <c r="U534">
        <f>IF(F534="Ignacio", COUNTIF(F$5:F534, "Ignacio"), "")</f>
        <v/>
      </c>
      <c r="V534">
        <f>IF(F534="Tripulacion", COUNTIF(F$5:F534, "Tripulacion"), "")</f>
        <v/>
      </c>
      <c r="W534">
        <f>IF(F534="ENAP carga", COUNTIF(F$5:F534, "ENAP carga"), "")</f>
        <v/>
      </c>
    </row>
    <row r="535">
      <c r="O535" s="117">
        <f>IF(F535="CJ", I535*200, "")</f>
        <v/>
      </c>
      <c r="T535">
        <f>IF(F535="CJ", COUNTIF(F$5:F535, "CJ"), "")</f>
        <v/>
      </c>
      <c r="U535">
        <f>IF(F535="Ignacio", COUNTIF(F$5:F535, "Ignacio"), "")</f>
        <v/>
      </c>
      <c r="V535">
        <f>IF(F535="Tripulacion", COUNTIF(F$5:F535, "Tripulacion"), "")</f>
        <v/>
      </c>
      <c r="W535">
        <f>IF(F535="ENAP carga", COUNTIF(F$5:F535, "ENAP carga"), "")</f>
        <v/>
      </c>
    </row>
    <row r="536">
      <c r="O536" s="117">
        <f>IF(F536="CJ", I536*200, "")</f>
        <v/>
      </c>
      <c r="T536">
        <f>IF(F536="CJ", COUNTIF(F$5:F536, "CJ"), "")</f>
        <v/>
      </c>
      <c r="U536">
        <f>IF(F536="Ignacio", COUNTIF(F$5:F536, "Ignacio"), "")</f>
        <v/>
      </c>
      <c r="V536">
        <f>IF(F536="Tripulacion", COUNTIF(F$5:F536, "Tripulacion"), "")</f>
        <v/>
      </c>
      <c r="W536">
        <f>IF(F536="ENAP carga", COUNTIF(F$5:F536, "ENAP carga"), "")</f>
        <v/>
      </c>
    </row>
    <row r="537">
      <c r="O537" s="117">
        <f>IF(F537="CJ", I537*200, "")</f>
        <v/>
      </c>
      <c r="T537">
        <f>IF(F537="CJ", COUNTIF(F$5:F537, "CJ"), "")</f>
        <v/>
      </c>
      <c r="U537">
        <f>IF(F537="Ignacio", COUNTIF(F$5:F537, "Ignacio"), "")</f>
        <v/>
      </c>
      <c r="V537">
        <f>IF(F537="Tripulacion", COUNTIF(F$5:F537, "Tripulacion"), "")</f>
        <v/>
      </c>
      <c r="W537">
        <f>IF(F537="ENAP carga", COUNTIF(F$5:F537, "ENAP carga"), "")</f>
        <v/>
      </c>
    </row>
    <row r="538">
      <c r="O538" s="117">
        <f>IF(F538="CJ", I538*200, "")</f>
        <v/>
      </c>
      <c r="T538">
        <f>IF(F538="CJ", COUNTIF(F$5:F538, "CJ"), "")</f>
        <v/>
      </c>
      <c r="U538">
        <f>IF(F538="Ignacio", COUNTIF(F$5:F538, "Ignacio"), "")</f>
        <v/>
      </c>
      <c r="V538">
        <f>IF(F538="Tripulacion", COUNTIF(F$5:F538, "Tripulacion"), "")</f>
        <v/>
      </c>
      <c r="W538">
        <f>IF(F538="ENAP carga", COUNTIF(F$5:F538, "ENAP carga"), "")</f>
        <v/>
      </c>
    </row>
    <row r="539">
      <c r="O539" s="117">
        <f>IF(F539="CJ", I539*200, "")</f>
        <v/>
      </c>
      <c r="T539">
        <f>IF(F539="CJ", COUNTIF(F$5:F539, "CJ"), "")</f>
        <v/>
      </c>
      <c r="U539">
        <f>IF(F539="Ignacio", COUNTIF(F$5:F539, "Ignacio"), "")</f>
        <v/>
      </c>
      <c r="V539">
        <f>IF(F539="Tripulacion", COUNTIF(F$5:F539, "Tripulacion"), "")</f>
        <v/>
      </c>
      <c r="W539">
        <f>IF(F539="ENAP carga", COUNTIF(F$5:F539, "ENAP carga"), "")</f>
        <v/>
      </c>
    </row>
    <row r="540">
      <c r="O540" s="117">
        <f>IF(F540="CJ", I540*200, "")</f>
        <v/>
      </c>
      <c r="T540">
        <f>IF(F540="CJ", COUNTIF(F$5:F540, "CJ"), "")</f>
        <v/>
      </c>
      <c r="U540">
        <f>IF(F540="Ignacio", COUNTIF(F$5:F540, "Ignacio"), "")</f>
        <v/>
      </c>
      <c r="V540">
        <f>IF(F540="Tripulacion", COUNTIF(F$5:F540, "Tripulacion"), "")</f>
        <v/>
      </c>
      <c r="W540">
        <f>IF(F540="ENAP carga", COUNTIF(F$5:F540, "ENAP carga"), "")</f>
        <v/>
      </c>
    </row>
    <row r="541">
      <c r="O541" s="117">
        <f>IF(F541="CJ", I541*200, "")</f>
        <v/>
      </c>
      <c r="T541">
        <f>IF(F541="CJ", COUNTIF(F$5:F541, "CJ"), "")</f>
        <v/>
      </c>
      <c r="U541">
        <f>IF(F541="Ignacio", COUNTIF(F$5:F541, "Ignacio"), "")</f>
        <v/>
      </c>
      <c r="V541">
        <f>IF(F541="Tripulacion", COUNTIF(F$5:F541, "Tripulacion"), "")</f>
        <v/>
      </c>
      <c r="W541">
        <f>IF(F541="ENAP carga", COUNTIF(F$5:F541, "ENAP carga"), "")</f>
        <v/>
      </c>
    </row>
    <row r="542">
      <c r="O542" s="117">
        <f>IF(F542="CJ", I542*200, "")</f>
        <v/>
      </c>
      <c r="T542">
        <f>IF(F542="CJ", COUNTIF(F$5:F542, "CJ"), "")</f>
        <v/>
      </c>
      <c r="U542">
        <f>IF(F542="Ignacio", COUNTIF(F$5:F542, "Ignacio"), "")</f>
        <v/>
      </c>
      <c r="V542">
        <f>IF(F542="Tripulacion", COUNTIF(F$5:F542, "Tripulacion"), "")</f>
        <v/>
      </c>
      <c r="W542">
        <f>IF(F542="ENAP carga", COUNTIF(F$5:F542, "ENAP carga"), "")</f>
        <v/>
      </c>
    </row>
    <row r="543">
      <c r="O543" s="117">
        <f>IF(F543="CJ", I543*200, "")</f>
        <v/>
      </c>
      <c r="T543">
        <f>IF(F543="CJ", COUNTIF(F$5:F543, "CJ"), "")</f>
        <v/>
      </c>
      <c r="U543">
        <f>IF(F543="Ignacio", COUNTIF(F$5:F543, "Ignacio"), "")</f>
        <v/>
      </c>
      <c r="V543">
        <f>IF(F543="Tripulacion", COUNTIF(F$5:F543, "Tripulacion"), "")</f>
        <v/>
      </c>
      <c r="W543">
        <f>IF(F543="ENAP carga", COUNTIF(F$5:F543, "ENAP carga"), "")</f>
        <v/>
      </c>
    </row>
    <row r="544">
      <c r="O544" s="117">
        <f>IF(F544="CJ", I544*200, "")</f>
        <v/>
      </c>
      <c r="T544">
        <f>IF(F544="CJ", COUNTIF(F$5:F544, "CJ"), "")</f>
        <v/>
      </c>
      <c r="U544">
        <f>IF(F544="Ignacio", COUNTIF(F$5:F544, "Ignacio"), "")</f>
        <v/>
      </c>
      <c r="V544">
        <f>IF(F544="Tripulacion", COUNTIF(F$5:F544, "Tripulacion"), "")</f>
        <v/>
      </c>
      <c r="W544">
        <f>IF(F544="ENAP carga", COUNTIF(F$5:F544, "ENAP carga"), "")</f>
        <v/>
      </c>
    </row>
    <row r="545">
      <c r="O545" s="117">
        <f>IF(F545="CJ", I545*200, "")</f>
        <v/>
      </c>
      <c r="T545">
        <f>IF(F545="CJ", COUNTIF(F$5:F545, "CJ"), "")</f>
        <v/>
      </c>
      <c r="U545">
        <f>IF(F545="Ignacio", COUNTIF(F$5:F545, "Ignacio"), "")</f>
        <v/>
      </c>
      <c r="V545">
        <f>IF(F545="Tripulacion", COUNTIF(F$5:F545, "Tripulacion"), "")</f>
        <v/>
      </c>
      <c r="W545">
        <f>IF(F545="ENAP carga", COUNTIF(F$5:F545, "ENAP carga"), "")</f>
        <v/>
      </c>
    </row>
    <row r="546">
      <c r="O546" s="117">
        <f>IF(F546="CJ", I546*200, "")</f>
        <v/>
      </c>
      <c r="T546">
        <f>IF(F546="CJ", COUNTIF(F$5:F546, "CJ"), "")</f>
        <v/>
      </c>
      <c r="U546">
        <f>IF(F546="Ignacio", COUNTIF(F$5:F546, "Ignacio"), "")</f>
        <v/>
      </c>
      <c r="V546">
        <f>IF(F546="Tripulacion", COUNTIF(F$5:F546, "Tripulacion"), "")</f>
        <v/>
      </c>
      <c r="W546">
        <f>IF(F546="ENAP carga", COUNTIF(F$5:F546, "ENAP carga"), "")</f>
        <v/>
      </c>
    </row>
    <row r="547">
      <c r="O547" s="117">
        <f>IF(F547="CJ", I547*200, "")</f>
        <v/>
      </c>
      <c r="T547">
        <f>IF(F547="CJ", COUNTIF(F$5:F547, "CJ"), "")</f>
        <v/>
      </c>
      <c r="U547">
        <f>IF(F547="Ignacio", COUNTIF(F$5:F547, "Ignacio"), "")</f>
        <v/>
      </c>
      <c r="V547">
        <f>IF(F547="Tripulacion", COUNTIF(F$5:F547, "Tripulacion"), "")</f>
        <v/>
      </c>
      <c r="W547">
        <f>IF(F547="ENAP carga", COUNTIF(F$5:F547, "ENAP carga"), "")</f>
        <v/>
      </c>
    </row>
    <row r="548">
      <c r="O548" s="117">
        <f>IF(F548="CJ", I548*200, "")</f>
        <v/>
      </c>
      <c r="T548">
        <f>IF(F548="CJ", COUNTIF(F$5:F548, "CJ"), "")</f>
        <v/>
      </c>
      <c r="U548">
        <f>IF(F548="Ignacio", COUNTIF(F$5:F548, "Ignacio"), "")</f>
        <v/>
      </c>
      <c r="V548">
        <f>IF(F548="Tripulacion", COUNTIF(F$5:F548, "Tripulacion"), "")</f>
        <v/>
      </c>
      <c r="W548">
        <f>IF(F548="ENAP carga", COUNTIF(F$5:F548, "ENAP carga"), "")</f>
        <v/>
      </c>
    </row>
    <row r="549">
      <c r="O549" s="117">
        <f>IF(F549="CJ", I549*200, "")</f>
        <v/>
      </c>
      <c r="T549">
        <f>IF(F549="CJ", COUNTIF(F$5:F549, "CJ"), "")</f>
        <v/>
      </c>
      <c r="U549">
        <f>IF(F549="Ignacio", COUNTIF(F$5:F549, "Ignacio"), "")</f>
        <v/>
      </c>
      <c r="V549">
        <f>IF(F549="Tripulacion", COUNTIF(F$5:F549, "Tripulacion"), "")</f>
        <v/>
      </c>
      <c r="W549">
        <f>IF(F549="ENAP carga", COUNTIF(F$5:F549, "ENAP carga"), "")</f>
        <v/>
      </c>
    </row>
    <row r="550">
      <c r="O550" s="117">
        <f>IF(F550="CJ", I550*200, "")</f>
        <v/>
      </c>
      <c r="T550">
        <f>IF(F550="CJ", COUNTIF(F$5:F550, "CJ"), "")</f>
        <v/>
      </c>
      <c r="U550">
        <f>IF(F550="Ignacio", COUNTIF(F$5:F550, "Ignacio"), "")</f>
        <v/>
      </c>
      <c r="V550">
        <f>IF(F550="Tripulacion", COUNTIF(F$5:F550, "Tripulacion"), "")</f>
        <v/>
      </c>
      <c r="W550">
        <f>IF(F550="ENAP carga", COUNTIF(F$5:F550, "ENAP carga"), "")</f>
        <v/>
      </c>
    </row>
    <row r="551">
      <c r="O551" s="117">
        <f>IF(F551="CJ", I551*200, "")</f>
        <v/>
      </c>
      <c r="T551">
        <f>IF(F551="CJ", COUNTIF(F$5:F551, "CJ"), "")</f>
        <v/>
      </c>
      <c r="U551">
        <f>IF(F551="Ignacio", COUNTIF(F$5:F551, "Ignacio"), "")</f>
        <v/>
      </c>
      <c r="V551">
        <f>IF(F551="Tripulacion", COUNTIF(F$5:F551, "Tripulacion"), "")</f>
        <v/>
      </c>
      <c r="W551">
        <f>IF(F551="ENAP carga", COUNTIF(F$5:F551, "ENAP carga"), "")</f>
        <v/>
      </c>
    </row>
    <row r="552">
      <c r="O552" s="117">
        <f>IF(F552="CJ", I552*200, "")</f>
        <v/>
      </c>
      <c r="T552">
        <f>IF(F552="CJ", COUNTIF(F$5:F552, "CJ"), "")</f>
        <v/>
      </c>
      <c r="U552">
        <f>IF(F552="Ignacio", COUNTIF(F$5:F552, "Ignacio"), "")</f>
        <v/>
      </c>
      <c r="V552">
        <f>IF(F552="Tripulacion", COUNTIF(F$5:F552, "Tripulacion"), "")</f>
        <v/>
      </c>
      <c r="W552">
        <f>IF(F552="ENAP carga", COUNTIF(F$5:F552, "ENAP carga"), "")</f>
        <v/>
      </c>
    </row>
    <row r="553">
      <c r="O553" s="117">
        <f>IF(F553="CJ", I553*200, "")</f>
        <v/>
      </c>
      <c r="T553">
        <f>IF(F553="CJ", COUNTIF(F$5:F553, "CJ"), "")</f>
        <v/>
      </c>
      <c r="U553">
        <f>IF(F553="Ignacio", COUNTIF(F$5:F553, "Ignacio"), "")</f>
        <v/>
      </c>
      <c r="V553">
        <f>IF(F553="Tripulacion", COUNTIF(F$5:F553, "Tripulacion"), "")</f>
        <v/>
      </c>
      <c r="W553">
        <f>IF(F553="ENAP carga", COUNTIF(F$5:F553, "ENAP carga"), "")</f>
        <v/>
      </c>
    </row>
    <row r="554">
      <c r="O554" s="117">
        <f>IF(F554="CJ", I554*200, "")</f>
        <v/>
      </c>
      <c r="T554">
        <f>IF(F554="CJ", COUNTIF(F$5:F554, "CJ"), "")</f>
        <v/>
      </c>
      <c r="U554">
        <f>IF(F554="Ignacio", COUNTIF(F$5:F554, "Ignacio"), "")</f>
        <v/>
      </c>
      <c r="V554">
        <f>IF(F554="Tripulacion", COUNTIF(F$5:F554, "Tripulacion"), "")</f>
        <v/>
      </c>
      <c r="W554">
        <f>IF(F554="ENAP carga", COUNTIF(F$5:F554, "ENAP carga"), "")</f>
        <v/>
      </c>
    </row>
    <row r="555">
      <c r="O555" s="117">
        <f>IF(F555="CJ", I555*200, "")</f>
        <v/>
      </c>
      <c r="T555">
        <f>IF(F555="CJ", COUNTIF(F$5:F555, "CJ"), "")</f>
        <v/>
      </c>
      <c r="U555">
        <f>IF(F555="Ignacio", COUNTIF(F$5:F555, "Ignacio"), "")</f>
        <v/>
      </c>
      <c r="V555">
        <f>IF(F555="Tripulacion", COUNTIF(F$5:F555, "Tripulacion"), "")</f>
        <v/>
      </c>
      <c r="W555">
        <f>IF(F555="ENAP carga", COUNTIF(F$5:F555, "ENAP carga"), "")</f>
        <v/>
      </c>
    </row>
    <row r="556">
      <c r="O556" s="117">
        <f>IF(F556="CJ", I556*200, "")</f>
        <v/>
      </c>
      <c r="T556">
        <f>IF(F556="CJ", COUNTIF(F$5:F556, "CJ"), "")</f>
        <v/>
      </c>
      <c r="U556">
        <f>IF(F556="Ignacio", COUNTIF(F$5:F556, "Ignacio"), "")</f>
        <v/>
      </c>
      <c r="V556">
        <f>IF(F556="Tripulacion", COUNTIF(F$5:F556, "Tripulacion"), "")</f>
        <v/>
      </c>
      <c r="W556">
        <f>IF(F556="ENAP carga", COUNTIF(F$5:F556, "ENAP carga"), "")</f>
        <v/>
      </c>
    </row>
    <row r="557">
      <c r="O557" s="117">
        <f>IF(F557="CJ", I557*200, "")</f>
        <v/>
      </c>
      <c r="T557">
        <f>IF(F557="CJ", COUNTIF(F$5:F557, "CJ"), "")</f>
        <v/>
      </c>
      <c r="U557">
        <f>IF(F557="Ignacio", COUNTIF(F$5:F557, "Ignacio"), "")</f>
        <v/>
      </c>
      <c r="V557">
        <f>IF(F557="Tripulacion", COUNTIF(F$5:F557, "Tripulacion"), "")</f>
        <v/>
      </c>
      <c r="W557">
        <f>IF(F557="ENAP carga", COUNTIF(F$5:F557, "ENAP carga"), "")</f>
        <v/>
      </c>
    </row>
    <row r="558">
      <c r="O558" s="117">
        <f>IF(F558="CJ", I558*200, "")</f>
        <v/>
      </c>
      <c r="T558">
        <f>IF(F558="CJ", COUNTIF(F$5:F558, "CJ"), "")</f>
        <v/>
      </c>
      <c r="U558">
        <f>IF(F558="Ignacio", COUNTIF(F$5:F558, "Ignacio"), "")</f>
        <v/>
      </c>
      <c r="V558">
        <f>IF(F558="Tripulacion", COUNTIF(F$5:F558, "Tripulacion"), "")</f>
        <v/>
      </c>
      <c r="W558">
        <f>IF(F558="ENAP carga", COUNTIF(F$5:F558, "ENAP carga"), "")</f>
        <v/>
      </c>
    </row>
    <row r="559">
      <c r="O559" s="117">
        <f>IF(F559="CJ", I559*200, "")</f>
        <v/>
      </c>
      <c r="T559">
        <f>IF(F559="CJ", COUNTIF(F$5:F559, "CJ"), "")</f>
        <v/>
      </c>
      <c r="U559">
        <f>IF(F559="Ignacio", COUNTIF(F$5:F559, "Ignacio"), "")</f>
        <v/>
      </c>
      <c r="V559">
        <f>IF(F559="Tripulacion", COUNTIF(F$5:F559, "Tripulacion"), "")</f>
        <v/>
      </c>
      <c r="W559">
        <f>IF(F559="ENAP carga", COUNTIF(F$5:F559, "ENAP carga"), "")</f>
        <v/>
      </c>
    </row>
    <row r="560">
      <c r="O560" s="117">
        <f>IF(F560="CJ", I560*200, "")</f>
        <v/>
      </c>
      <c r="T560">
        <f>IF(F560="CJ", COUNTIF(F$5:F560, "CJ"), "")</f>
        <v/>
      </c>
      <c r="U560">
        <f>IF(F560="Ignacio", COUNTIF(F$5:F560, "Ignacio"), "")</f>
        <v/>
      </c>
      <c r="V560">
        <f>IF(F560="Tripulacion", COUNTIF(F$5:F560, "Tripulacion"), "")</f>
        <v/>
      </c>
      <c r="W560">
        <f>IF(F560="ENAP carga", COUNTIF(F$5:F560, "ENAP carga"), "")</f>
        <v/>
      </c>
    </row>
    <row r="561">
      <c r="O561" s="117">
        <f>IF(F561="CJ", I561*200, "")</f>
        <v/>
      </c>
      <c r="T561">
        <f>IF(F561="CJ", COUNTIF(F$5:F561, "CJ"), "")</f>
        <v/>
      </c>
      <c r="U561">
        <f>IF(F561="Ignacio", COUNTIF(F$5:F561, "Ignacio"), "")</f>
        <v/>
      </c>
      <c r="V561">
        <f>IF(F561="Tripulacion", COUNTIF(F$5:F561, "Tripulacion"), "")</f>
        <v/>
      </c>
      <c r="W561">
        <f>IF(F561="ENAP carga", COUNTIF(F$5:F561, "ENAP carga"), "")</f>
        <v/>
      </c>
    </row>
    <row r="562">
      <c r="O562" s="117">
        <f>IF(F562="CJ", I562*200, "")</f>
        <v/>
      </c>
      <c r="T562">
        <f>IF(F562="CJ", COUNTIF(F$5:F562, "CJ"), "")</f>
        <v/>
      </c>
      <c r="U562">
        <f>IF(F562="Ignacio", COUNTIF(F$5:F562, "Ignacio"), "")</f>
        <v/>
      </c>
      <c r="V562">
        <f>IF(F562="Tripulacion", COUNTIF(F$5:F562, "Tripulacion"), "")</f>
        <v/>
      </c>
      <c r="W562">
        <f>IF(F562="ENAP carga", COUNTIF(F$5:F562, "ENAP carga"), "")</f>
        <v/>
      </c>
    </row>
    <row r="563">
      <c r="O563" s="117">
        <f>IF(F563="CJ", I563*200, "")</f>
        <v/>
      </c>
      <c r="T563">
        <f>IF(F563="CJ", COUNTIF(F$5:F563, "CJ"), "")</f>
        <v/>
      </c>
      <c r="U563">
        <f>IF(F563="Ignacio", COUNTIF(F$5:F563, "Ignacio"), "")</f>
        <v/>
      </c>
      <c r="V563">
        <f>IF(F563="Tripulacion", COUNTIF(F$5:F563, "Tripulacion"), "")</f>
        <v/>
      </c>
      <c r="W563">
        <f>IF(F563="ENAP carga", COUNTIF(F$5:F563, "ENAP carga"), "")</f>
        <v/>
      </c>
    </row>
    <row r="564">
      <c r="O564" s="117">
        <f>IF(F564="CJ", I564*200, "")</f>
        <v/>
      </c>
      <c r="T564">
        <f>IF(F564="CJ", COUNTIF(F$5:F564, "CJ"), "")</f>
        <v/>
      </c>
      <c r="U564">
        <f>IF(F564="Ignacio", COUNTIF(F$5:F564, "Ignacio"), "")</f>
        <v/>
      </c>
      <c r="V564">
        <f>IF(F564="Tripulacion", COUNTIF(F$5:F564, "Tripulacion"), "")</f>
        <v/>
      </c>
      <c r="W564">
        <f>IF(F564="ENAP carga", COUNTIF(F$5:F564, "ENAP carga"), "")</f>
        <v/>
      </c>
    </row>
    <row r="565">
      <c r="O565" s="117">
        <f>IF(F565="CJ", I565*200, "")</f>
        <v/>
      </c>
      <c r="T565">
        <f>IF(F565="CJ", COUNTIF(F$5:F565, "CJ"), "")</f>
        <v/>
      </c>
      <c r="U565">
        <f>IF(F565="Ignacio", COUNTIF(F$5:F565, "Ignacio"), "")</f>
        <v/>
      </c>
      <c r="V565">
        <f>IF(F565="Tripulacion", COUNTIF(F$5:F565, "Tripulacion"), "")</f>
        <v/>
      </c>
      <c r="W565">
        <f>IF(F565="ENAP carga", COUNTIF(F$5:F565, "ENAP carga"), "")</f>
        <v/>
      </c>
    </row>
    <row r="566">
      <c r="O566" s="117">
        <f>IF(F566="CJ", I566*200, "")</f>
        <v/>
      </c>
      <c r="T566">
        <f>IF(F566="CJ", COUNTIF(F$5:F566, "CJ"), "")</f>
        <v/>
      </c>
      <c r="U566">
        <f>IF(F566="Ignacio", COUNTIF(F$5:F566, "Ignacio"), "")</f>
        <v/>
      </c>
      <c r="V566">
        <f>IF(F566="Tripulacion", COUNTIF(F$5:F566, "Tripulacion"), "")</f>
        <v/>
      </c>
      <c r="W566">
        <f>IF(F566="ENAP carga", COUNTIF(F$5:F566, "ENAP carga"), "")</f>
        <v/>
      </c>
    </row>
    <row r="567">
      <c r="O567" s="117">
        <f>IF(F567="CJ", I567*200, "")</f>
        <v/>
      </c>
      <c r="T567">
        <f>IF(F567="CJ", COUNTIF(F$5:F567, "CJ"), "")</f>
        <v/>
      </c>
      <c r="U567">
        <f>IF(F567="Ignacio", COUNTIF(F$5:F567, "Ignacio"), "")</f>
        <v/>
      </c>
      <c r="V567">
        <f>IF(F567="Tripulacion", COUNTIF(F$5:F567, "Tripulacion"), "")</f>
        <v/>
      </c>
      <c r="W567">
        <f>IF(F567="ENAP carga", COUNTIF(F$5:F567, "ENAP carga"), "")</f>
        <v/>
      </c>
    </row>
    <row r="568">
      <c r="O568" s="117">
        <f>IF(F568="CJ", I568*200, "")</f>
        <v/>
      </c>
      <c r="T568">
        <f>IF(F568="CJ", COUNTIF(F$5:F568, "CJ"), "")</f>
        <v/>
      </c>
      <c r="U568">
        <f>IF(F568="Ignacio", COUNTIF(F$5:F568, "Ignacio"), "")</f>
        <v/>
      </c>
      <c r="V568">
        <f>IF(F568="Tripulacion", COUNTIF(F$5:F568, "Tripulacion"), "")</f>
        <v/>
      </c>
      <c r="W568">
        <f>IF(F568="ENAP carga", COUNTIF(F$5:F568, "ENAP carga"), "")</f>
        <v/>
      </c>
    </row>
    <row r="569">
      <c r="O569" s="117">
        <f>IF(F569="CJ", I569*200, "")</f>
        <v/>
      </c>
      <c r="T569">
        <f>IF(F569="CJ", COUNTIF(F$5:F569, "CJ"), "")</f>
        <v/>
      </c>
      <c r="U569">
        <f>IF(F569="Ignacio", COUNTIF(F$5:F569, "Ignacio"), "")</f>
        <v/>
      </c>
      <c r="V569">
        <f>IF(F569="Tripulacion", COUNTIF(F$5:F569, "Tripulacion"), "")</f>
        <v/>
      </c>
      <c r="W569">
        <f>IF(F569="ENAP carga", COUNTIF(F$5:F569, "ENAP carga"), "")</f>
        <v/>
      </c>
    </row>
    <row r="570">
      <c r="O570" s="117">
        <f>IF(F570="CJ", I570*200, "")</f>
        <v/>
      </c>
      <c r="T570">
        <f>IF(F570="CJ", COUNTIF(F$5:F570, "CJ"), "")</f>
        <v/>
      </c>
      <c r="U570">
        <f>IF(F570="Ignacio", COUNTIF(F$5:F570, "Ignacio"), "")</f>
        <v/>
      </c>
      <c r="V570">
        <f>IF(F570="Tripulacion", COUNTIF(F$5:F570, "Tripulacion"), "")</f>
        <v/>
      </c>
      <c r="W570">
        <f>IF(F570="ENAP carga", COUNTIF(F$5:F570, "ENAP carga"), "")</f>
        <v/>
      </c>
    </row>
    <row r="571">
      <c r="O571" s="117">
        <f>IF(F571="CJ", I571*200, "")</f>
        <v/>
      </c>
      <c r="T571">
        <f>IF(F571="CJ", COUNTIF(F$5:F571, "CJ"), "")</f>
        <v/>
      </c>
      <c r="U571">
        <f>IF(F571="Ignacio", COUNTIF(F$5:F571, "Ignacio"), "")</f>
        <v/>
      </c>
      <c r="V571">
        <f>IF(F571="Tripulacion", COUNTIF(F$5:F571, "Tripulacion"), "")</f>
        <v/>
      </c>
      <c r="W571">
        <f>IF(F571="ENAP carga", COUNTIF(F$5:F571, "ENAP carga"), "")</f>
        <v/>
      </c>
    </row>
    <row r="572">
      <c r="O572" s="117">
        <f>IF(F572="CJ", I572*200, "")</f>
        <v/>
      </c>
      <c r="T572">
        <f>IF(F572="CJ", COUNTIF(F$5:F572, "CJ"), "")</f>
        <v/>
      </c>
      <c r="U572">
        <f>IF(F572="Ignacio", COUNTIF(F$5:F572, "Ignacio"), "")</f>
        <v/>
      </c>
      <c r="V572">
        <f>IF(F572="Tripulacion", COUNTIF(F$5:F572, "Tripulacion"), "")</f>
        <v/>
      </c>
      <c r="W572">
        <f>IF(F572="ENAP carga", COUNTIF(F$5:F572, "ENAP carga"), "")</f>
        <v/>
      </c>
    </row>
    <row r="573">
      <c r="O573" s="117">
        <f>IF(F573="CJ", I573*200, "")</f>
        <v/>
      </c>
      <c r="T573">
        <f>IF(F573="CJ", COUNTIF(F$5:F573, "CJ"), "")</f>
        <v/>
      </c>
      <c r="U573">
        <f>IF(F573="Ignacio", COUNTIF(F$5:F573, "Ignacio"), "")</f>
        <v/>
      </c>
      <c r="V573">
        <f>IF(F573="Tripulacion", COUNTIF(F$5:F573, "Tripulacion"), "")</f>
        <v/>
      </c>
      <c r="W573">
        <f>IF(F573="ENAP carga", COUNTIF(F$5:F573, "ENAP carga"), "")</f>
        <v/>
      </c>
    </row>
    <row r="574">
      <c r="O574" s="117">
        <f>IF(F574="CJ", I574*200, "")</f>
        <v/>
      </c>
      <c r="T574">
        <f>IF(F574="CJ", COUNTIF(F$5:F574, "CJ"), "")</f>
        <v/>
      </c>
      <c r="U574">
        <f>IF(F574="Ignacio", COUNTIF(F$5:F574, "Ignacio"), "")</f>
        <v/>
      </c>
      <c r="V574">
        <f>IF(F574="Tripulacion", COUNTIF(F$5:F574, "Tripulacion"), "")</f>
        <v/>
      </c>
      <c r="W574">
        <f>IF(F574="ENAP carga", COUNTIF(F$5:F574, "ENAP carga"), "")</f>
        <v/>
      </c>
    </row>
    <row r="575">
      <c r="O575" s="117">
        <f>IF(F575="CJ", I575*200, "")</f>
        <v/>
      </c>
      <c r="T575">
        <f>IF(F575="CJ", COUNTIF(F$5:F575, "CJ"), "")</f>
        <v/>
      </c>
      <c r="U575">
        <f>IF(F575="Ignacio", COUNTIF(F$5:F575, "Ignacio"), "")</f>
        <v/>
      </c>
      <c r="V575">
        <f>IF(F575="Tripulacion", COUNTIF(F$5:F575, "Tripulacion"), "")</f>
        <v/>
      </c>
      <c r="W575">
        <f>IF(F575="ENAP carga", COUNTIF(F$5:F575, "ENAP carga"), "")</f>
        <v/>
      </c>
    </row>
    <row r="576">
      <c r="O576" s="117">
        <f>IF(F576="CJ", I576*200, "")</f>
        <v/>
      </c>
      <c r="T576">
        <f>IF(F576="CJ", COUNTIF(F$5:F576, "CJ"), "")</f>
        <v/>
      </c>
      <c r="U576">
        <f>IF(F576="Ignacio", COUNTIF(F$5:F576, "Ignacio"), "")</f>
        <v/>
      </c>
      <c r="V576">
        <f>IF(F576="Tripulacion", COUNTIF(F$5:F576, "Tripulacion"), "")</f>
        <v/>
      </c>
      <c r="W576">
        <f>IF(F576="ENAP carga", COUNTIF(F$5:F576, "ENAP carga"), "")</f>
        <v/>
      </c>
    </row>
    <row r="577">
      <c r="O577" s="117">
        <f>IF(F577="CJ", I577*200, "")</f>
        <v/>
      </c>
      <c r="T577">
        <f>IF(F577="CJ", COUNTIF(F$5:F577, "CJ"), "")</f>
        <v/>
      </c>
      <c r="U577">
        <f>IF(F577="Ignacio", COUNTIF(F$5:F577, "Ignacio"), "")</f>
        <v/>
      </c>
      <c r="V577">
        <f>IF(F577="Tripulacion", COUNTIF(F$5:F577, "Tripulacion"), "")</f>
        <v/>
      </c>
      <c r="W577">
        <f>IF(F577="ENAP carga", COUNTIF(F$5:F577, "ENAP carga"), "")</f>
        <v/>
      </c>
    </row>
    <row r="578">
      <c r="O578" s="117">
        <f>IF(F578="CJ", I578*200, "")</f>
        <v/>
      </c>
      <c r="T578">
        <f>IF(F578="CJ", COUNTIF(F$5:F578, "CJ"), "")</f>
        <v/>
      </c>
      <c r="U578">
        <f>IF(F578="Ignacio", COUNTIF(F$5:F578, "Ignacio"), "")</f>
        <v/>
      </c>
      <c r="V578">
        <f>IF(F578="Tripulacion", COUNTIF(F$5:F578, "Tripulacion"), "")</f>
        <v/>
      </c>
      <c r="W578">
        <f>IF(F578="ENAP carga", COUNTIF(F$5:F578, "ENAP carga"), "")</f>
        <v/>
      </c>
    </row>
    <row r="579">
      <c r="O579" s="117">
        <f>IF(F579="CJ", I579*200, "")</f>
        <v/>
      </c>
      <c r="T579">
        <f>IF(F579="CJ", COUNTIF(F$5:F579, "CJ"), "")</f>
        <v/>
      </c>
      <c r="U579">
        <f>IF(F579="Ignacio", COUNTIF(F$5:F579, "Ignacio"), "")</f>
        <v/>
      </c>
      <c r="V579">
        <f>IF(F579="Tripulacion", COUNTIF(F$5:F579, "Tripulacion"), "")</f>
        <v/>
      </c>
      <c r="W579">
        <f>IF(F579="ENAP carga", COUNTIF(F$5:F579, "ENAP carga"), "")</f>
        <v/>
      </c>
    </row>
    <row r="580">
      <c r="O580" s="117">
        <f>IF(F580="CJ", I580*200, "")</f>
        <v/>
      </c>
      <c r="T580">
        <f>IF(F580="CJ", COUNTIF(F$5:F580, "CJ"), "")</f>
        <v/>
      </c>
      <c r="U580">
        <f>IF(F580="Ignacio", COUNTIF(F$5:F580, "Ignacio"), "")</f>
        <v/>
      </c>
      <c r="V580">
        <f>IF(F580="Tripulacion", COUNTIF(F$5:F580, "Tripulacion"), "")</f>
        <v/>
      </c>
      <c r="W580">
        <f>IF(F580="ENAP carga", COUNTIF(F$5:F580, "ENAP carga"), "")</f>
        <v/>
      </c>
    </row>
    <row r="581">
      <c r="O581" s="117">
        <f>IF(F581="CJ", I581*200, "")</f>
        <v/>
      </c>
      <c r="T581">
        <f>IF(F581="CJ", COUNTIF(F$5:F581, "CJ"), "")</f>
        <v/>
      </c>
      <c r="U581">
        <f>IF(F581="Ignacio", COUNTIF(F$5:F581, "Ignacio"), "")</f>
        <v/>
      </c>
      <c r="V581">
        <f>IF(F581="Tripulacion", COUNTIF(F$5:F581, "Tripulacion"), "")</f>
        <v/>
      </c>
      <c r="W581">
        <f>IF(F581="ENAP carga", COUNTIF(F$5:F581, "ENAP carga"), "")</f>
        <v/>
      </c>
    </row>
    <row r="582">
      <c r="O582" s="117">
        <f>IF(F582="CJ", I582*200, "")</f>
        <v/>
      </c>
      <c r="T582">
        <f>IF(F582="CJ", COUNTIF(F$5:F582, "CJ"), "")</f>
        <v/>
      </c>
      <c r="U582">
        <f>IF(F582="Ignacio", COUNTIF(F$5:F582, "Ignacio"), "")</f>
        <v/>
      </c>
      <c r="V582">
        <f>IF(F582="Tripulacion", COUNTIF(F$5:F582, "Tripulacion"), "")</f>
        <v/>
      </c>
      <c r="W582">
        <f>IF(F582="ENAP carga", COUNTIF(F$5:F582, "ENAP carga"), "")</f>
        <v/>
      </c>
    </row>
    <row r="583">
      <c r="O583" s="117">
        <f>IF(F583="CJ", I583*200, "")</f>
        <v/>
      </c>
      <c r="T583">
        <f>IF(F583="CJ", COUNTIF(F$5:F583, "CJ"), "")</f>
        <v/>
      </c>
      <c r="U583">
        <f>IF(F583="Ignacio", COUNTIF(F$5:F583, "Ignacio"), "")</f>
        <v/>
      </c>
      <c r="V583">
        <f>IF(F583="Tripulacion", COUNTIF(F$5:F583, "Tripulacion"), "")</f>
        <v/>
      </c>
      <c r="W583">
        <f>IF(F583="ENAP carga", COUNTIF(F$5:F583, "ENAP carga"), "")</f>
        <v/>
      </c>
    </row>
    <row r="584">
      <c r="O584" s="117">
        <f>IF(F584="CJ", I584*200, "")</f>
        <v/>
      </c>
      <c r="T584">
        <f>IF(F584="CJ", COUNTIF(F$5:F584, "CJ"), "")</f>
        <v/>
      </c>
      <c r="U584">
        <f>IF(F584="Ignacio", COUNTIF(F$5:F584, "Ignacio"), "")</f>
        <v/>
      </c>
      <c r="V584">
        <f>IF(F584="Tripulacion", COUNTIF(F$5:F584, "Tripulacion"), "")</f>
        <v/>
      </c>
      <c r="W584">
        <f>IF(F584="ENAP carga", COUNTIF(F$5:F584, "ENAP carga"), "")</f>
        <v/>
      </c>
    </row>
    <row r="585">
      <c r="O585" s="117">
        <f>IF(F585="CJ", I585*200, "")</f>
        <v/>
      </c>
      <c r="T585">
        <f>IF(F585="CJ", COUNTIF(F$5:F585, "CJ"), "")</f>
        <v/>
      </c>
      <c r="U585">
        <f>IF(F585="Ignacio", COUNTIF(F$5:F585, "Ignacio"), "")</f>
        <v/>
      </c>
      <c r="V585">
        <f>IF(F585="Tripulacion", COUNTIF(F$5:F585, "Tripulacion"), "")</f>
        <v/>
      </c>
      <c r="W585">
        <f>IF(F585="ENAP carga", COUNTIF(F$5:F585, "ENAP carga"), "")</f>
        <v/>
      </c>
    </row>
    <row r="586">
      <c r="O586" s="117">
        <f>IF(F586="CJ", I586*200, "")</f>
        <v/>
      </c>
      <c r="T586">
        <f>IF(F586="CJ", COUNTIF(F$5:F586, "CJ"), "")</f>
        <v/>
      </c>
      <c r="U586">
        <f>IF(F586="Ignacio", COUNTIF(F$5:F586, "Ignacio"), "")</f>
        <v/>
      </c>
      <c r="V586">
        <f>IF(F586="Tripulacion", COUNTIF(F$5:F586, "Tripulacion"), "")</f>
        <v/>
      </c>
      <c r="W586">
        <f>IF(F586="ENAP carga", COUNTIF(F$5:F586, "ENAP carga"), "")</f>
        <v/>
      </c>
    </row>
    <row r="587">
      <c r="O587" s="117">
        <f>IF(F587="CJ", I587*200, "")</f>
        <v/>
      </c>
      <c r="T587">
        <f>IF(F587="CJ", COUNTIF(F$5:F587, "CJ"), "")</f>
        <v/>
      </c>
      <c r="U587">
        <f>IF(F587="Ignacio", COUNTIF(F$5:F587, "Ignacio"), "")</f>
        <v/>
      </c>
      <c r="V587">
        <f>IF(F587="Tripulacion", COUNTIF(F$5:F587, "Tripulacion"), "")</f>
        <v/>
      </c>
      <c r="W587">
        <f>IF(F587="ENAP carga", COUNTIF(F$5:F587, "ENAP carga"), "")</f>
        <v/>
      </c>
    </row>
    <row r="588">
      <c r="O588" s="117">
        <f>IF(F588="CJ", I588*200, "")</f>
        <v/>
      </c>
      <c r="T588">
        <f>IF(F588="CJ", COUNTIF(F$5:F588, "CJ"), "")</f>
        <v/>
      </c>
      <c r="U588">
        <f>IF(F588="Ignacio", COUNTIF(F$5:F588, "Ignacio"), "")</f>
        <v/>
      </c>
      <c r="V588">
        <f>IF(F588="Tripulacion", COUNTIF(F$5:F588, "Tripulacion"), "")</f>
        <v/>
      </c>
      <c r="W588">
        <f>IF(F588="ENAP carga", COUNTIF(F$5:F588, "ENAP carga"), "")</f>
        <v/>
      </c>
    </row>
    <row r="589">
      <c r="O589" s="117">
        <f>IF(F589="CJ", I589*200, "")</f>
        <v/>
      </c>
      <c r="T589">
        <f>IF(F589="CJ", COUNTIF(F$5:F589, "CJ"), "")</f>
        <v/>
      </c>
      <c r="U589">
        <f>IF(F589="Ignacio", COUNTIF(F$5:F589, "Ignacio"), "")</f>
        <v/>
      </c>
      <c r="V589">
        <f>IF(F589="Tripulacion", COUNTIF(F$5:F589, "Tripulacion"), "")</f>
        <v/>
      </c>
      <c r="W589">
        <f>IF(F589="ENAP carga", COUNTIF(F$5:F589, "ENAP carga"), "")</f>
        <v/>
      </c>
    </row>
    <row r="590">
      <c r="O590" s="117">
        <f>IF(F590="CJ", I590*200, "")</f>
        <v/>
      </c>
      <c r="T590">
        <f>IF(F590="CJ", COUNTIF(F$5:F590, "CJ"), "")</f>
        <v/>
      </c>
      <c r="U590">
        <f>IF(F590="Ignacio", COUNTIF(F$5:F590, "Ignacio"), "")</f>
        <v/>
      </c>
      <c r="V590">
        <f>IF(F590="Tripulacion", COUNTIF(F$5:F590, "Tripulacion"), "")</f>
        <v/>
      </c>
      <c r="W590">
        <f>IF(F590="ENAP carga", COUNTIF(F$5:F590, "ENAP carga"), "")</f>
        <v/>
      </c>
    </row>
    <row r="591">
      <c r="O591" s="117">
        <f>IF(F591="CJ", I591*200, "")</f>
        <v/>
      </c>
      <c r="T591">
        <f>IF(F591="CJ", COUNTIF(F$5:F591, "CJ"), "")</f>
        <v/>
      </c>
      <c r="U591">
        <f>IF(F591="Ignacio", COUNTIF(F$5:F591, "Ignacio"), "")</f>
        <v/>
      </c>
      <c r="V591">
        <f>IF(F591="Tripulacion", COUNTIF(F$5:F591, "Tripulacion"), "")</f>
        <v/>
      </c>
      <c r="W591">
        <f>IF(F591="ENAP carga", COUNTIF(F$5:F591, "ENAP carga"), "")</f>
        <v/>
      </c>
    </row>
    <row r="592">
      <c r="O592" s="117">
        <f>IF(F592="CJ", I592*200, "")</f>
        <v/>
      </c>
      <c r="T592">
        <f>IF(F592="CJ", COUNTIF(F$5:F592, "CJ"), "")</f>
        <v/>
      </c>
      <c r="U592">
        <f>IF(F592="Ignacio", COUNTIF(F$5:F592, "Ignacio"), "")</f>
        <v/>
      </c>
      <c r="V592">
        <f>IF(F592="Tripulacion", COUNTIF(F$5:F592, "Tripulacion"), "")</f>
        <v/>
      </c>
      <c r="W592">
        <f>IF(F592="ENAP carga", COUNTIF(F$5:F592, "ENAP carga"), "")</f>
        <v/>
      </c>
    </row>
    <row r="593">
      <c r="O593" s="117">
        <f>IF(F593="CJ", I593*200, "")</f>
        <v/>
      </c>
      <c r="T593">
        <f>IF(F593="CJ", COUNTIF(F$5:F593, "CJ"), "")</f>
        <v/>
      </c>
      <c r="U593">
        <f>IF(F593="Ignacio", COUNTIF(F$5:F593, "Ignacio"), "")</f>
        <v/>
      </c>
      <c r="V593">
        <f>IF(F593="Tripulacion", COUNTIF(F$5:F593, "Tripulacion"), "")</f>
        <v/>
      </c>
      <c r="W593">
        <f>IF(F593="ENAP carga", COUNTIF(F$5:F593, "ENAP carga"), "")</f>
        <v/>
      </c>
    </row>
    <row r="594">
      <c r="O594" s="117">
        <f>IF(F594="CJ", I594*200, "")</f>
        <v/>
      </c>
      <c r="T594">
        <f>IF(F594="CJ", COUNTIF(F$5:F594, "CJ"), "")</f>
        <v/>
      </c>
      <c r="U594">
        <f>IF(F594="Ignacio", COUNTIF(F$5:F594, "Ignacio"), "")</f>
        <v/>
      </c>
      <c r="V594">
        <f>IF(F594="Tripulacion", COUNTIF(F$5:F594, "Tripulacion"), "")</f>
        <v/>
      </c>
      <c r="W594">
        <f>IF(F594="ENAP carga", COUNTIF(F$5:F594, "ENAP carga"), "")</f>
        <v/>
      </c>
    </row>
    <row r="595">
      <c r="O595" s="117">
        <f>IF(F595="CJ", I595*200, "")</f>
        <v/>
      </c>
      <c r="T595">
        <f>IF(F595="CJ", COUNTIF(F$5:F595, "CJ"), "")</f>
        <v/>
      </c>
      <c r="U595">
        <f>IF(F595="Ignacio", COUNTIF(F$5:F595, "Ignacio"), "")</f>
        <v/>
      </c>
      <c r="V595">
        <f>IF(F595="Tripulacion", COUNTIF(F$5:F595, "Tripulacion"), "")</f>
        <v/>
      </c>
      <c r="W595">
        <f>IF(F595="ENAP carga", COUNTIF(F$5:F595, "ENAP carga"), "")</f>
        <v/>
      </c>
    </row>
    <row r="596">
      <c r="O596" s="117">
        <f>IF(F596="CJ", I596*200, "")</f>
        <v/>
      </c>
      <c r="T596">
        <f>IF(F596="CJ", COUNTIF(F$5:F596, "CJ"), "")</f>
        <v/>
      </c>
      <c r="U596">
        <f>IF(F596="Ignacio", COUNTIF(F$5:F596, "Ignacio"), "")</f>
        <v/>
      </c>
      <c r="V596">
        <f>IF(F596="Tripulacion", COUNTIF(F$5:F596, "Tripulacion"), "")</f>
        <v/>
      </c>
      <c r="W596">
        <f>IF(F596="ENAP carga", COUNTIF(F$5:F596, "ENAP carga"), "")</f>
        <v/>
      </c>
    </row>
    <row r="597">
      <c r="O597" s="117">
        <f>IF(F597="CJ", I597*200, "")</f>
        <v/>
      </c>
      <c r="T597">
        <f>IF(F597="CJ", COUNTIF(F$5:F597, "CJ"), "")</f>
        <v/>
      </c>
      <c r="U597">
        <f>IF(F597="Ignacio", COUNTIF(F$5:F597, "Ignacio"), "")</f>
        <v/>
      </c>
      <c r="V597">
        <f>IF(F597="Tripulacion", COUNTIF(F$5:F597, "Tripulacion"), "")</f>
        <v/>
      </c>
      <c r="W597">
        <f>IF(F597="ENAP carga", COUNTIF(F$5:F597, "ENAP carga"), "")</f>
        <v/>
      </c>
    </row>
    <row r="598">
      <c r="O598" s="117">
        <f>IF(F598="CJ", I598*200, "")</f>
        <v/>
      </c>
      <c r="T598">
        <f>IF(F598="CJ", COUNTIF(F$5:F598, "CJ"), "")</f>
        <v/>
      </c>
      <c r="U598">
        <f>IF(F598="Ignacio", COUNTIF(F$5:F598, "Ignacio"), "")</f>
        <v/>
      </c>
      <c r="V598">
        <f>IF(F598="Tripulacion", COUNTIF(F$5:F598, "Tripulacion"), "")</f>
        <v/>
      </c>
      <c r="W598">
        <f>IF(F598="ENAP carga", COUNTIF(F$5:F598, "ENAP carga"), "")</f>
        <v/>
      </c>
    </row>
    <row r="599">
      <c r="O599" s="117">
        <f>IF(F599="CJ", I599*200, "")</f>
        <v/>
      </c>
      <c r="T599">
        <f>IF(F599="CJ", COUNTIF(F$5:F599, "CJ"), "")</f>
        <v/>
      </c>
      <c r="U599">
        <f>IF(F599="Ignacio", COUNTIF(F$5:F599, "Ignacio"), "")</f>
        <v/>
      </c>
      <c r="V599">
        <f>IF(F599="Tripulacion", COUNTIF(F$5:F599, "Tripulacion"), "")</f>
        <v/>
      </c>
      <c r="W599">
        <f>IF(F599="ENAP carga", COUNTIF(F$5:F599, "ENAP carga"), "")</f>
        <v/>
      </c>
    </row>
    <row r="600">
      <c r="O600" s="117">
        <f>IF(F600="CJ", I600*200, "")</f>
        <v/>
      </c>
      <c r="T600">
        <f>IF(F600="CJ", COUNTIF(F$5:F600, "CJ"), "")</f>
        <v/>
      </c>
      <c r="U600">
        <f>IF(F600="Ignacio", COUNTIF(F$5:F600, "Ignacio"), "")</f>
        <v/>
      </c>
      <c r="V600">
        <f>IF(F600="Tripulacion", COUNTIF(F$5:F600, "Tripulacion"), "")</f>
        <v/>
      </c>
      <c r="W600">
        <f>IF(F600="ENAP carga", COUNTIF(F$5:F600, "ENAP carga"), "")</f>
        <v/>
      </c>
    </row>
    <row r="601">
      <c r="O601" s="117">
        <f>IF(F601="CJ", I601*200, "")</f>
        <v/>
      </c>
      <c r="T601">
        <f>IF(F601="CJ", COUNTIF(F$5:F601, "CJ"), "")</f>
        <v/>
      </c>
      <c r="U601">
        <f>IF(F601="Ignacio", COUNTIF(F$5:F601, "Ignacio"), "")</f>
        <v/>
      </c>
      <c r="V601">
        <f>IF(F601="Tripulacion", COUNTIF(F$5:F601, "Tripulacion"), "")</f>
        <v/>
      </c>
      <c r="W601">
        <f>IF(F601="ENAP carga", COUNTIF(F$5:F601, "ENAP carga"), "")</f>
        <v/>
      </c>
    </row>
    <row r="602">
      <c r="O602" s="117">
        <f>IF(F602="CJ", I602*200, "")</f>
        <v/>
      </c>
      <c r="T602">
        <f>IF(F602="CJ", COUNTIF(F$5:F602, "CJ"), "")</f>
        <v/>
      </c>
      <c r="U602">
        <f>IF(F602="Ignacio", COUNTIF(F$5:F602, "Ignacio"), "")</f>
        <v/>
      </c>
      <c r="V602">
        <f>IF(F602="Tripulacion", COUNTIF(F$5:F602, "Tripulacion"), "")</f>
        <v/>
      </c>
      <c r="W602">
        <f>IF(F602="ENAP carga", COUNTIF(F$5:F602, "ENAP carga"), "")</f>
        <v/>
      </c>
    </row>
    <row r="603">
      <c r="O603" s="117">
        <f>IF(F603="CJ", I603*200, "")</f>
        <v/>
      </c>
      <c r="T603">
        <f>IF(F603="CJ", COUNTIF(F$5:F603, "CJ"), "")</f>
        <v/>
      </c>
      <c r="U603">
        <f>IF(F603="Ignacio", COUNTIF(F$5:F603, "Ignacio"), "")</f>
        <v/>
      </c>
      <c r="V603">
        <f>IF(F603="Tripulacion", COUNTIF(F$5:F603, "Tripulacion"), "")</f>
        <v/>
      </c>
      <c r="W603">
        <f>IF(F603="ENAP carga", COUNTIF(F$5:F603, "ENAP carga"), "")</f>
        <v/>
      </c>
    </row>
    <row r="604">
      <c r="O604" s="117">
        <f>IF(F604="CJ", I604*200, "")</f>
        <v/>
      </c>
      <c r="T604">
        <f>IF(F604="CJ", COUNTIF(F$5:F604, "CJ"), "")</f>
        <v/>
      </c>
      <c r="U604">
        <f>IF(F604="Ignacio", COUNTIF(F$5:F604, "Ignacio"), "")</f>
        <v/>
      </c>
      <c r="V604">
        <f>IF(F604="Tripulacion", COUNTIF(F$5:F604, "Tripulacion"), "")</f>
        <v/>
      </c>
      <c r="W604">
        <f>IF(F604="ENAP carga", COUNTIF(F$5:F604, "ENAP carga"), "")</f>
        <v/>
      </c>
    </row>
    <row r="605">
      <c r="O605" s="117">
        <f>IF(F605="CJ", I605*200, "")</f>
        <v/>
      </c>
      <c r="T605">
        <f>IF(F605="CJ", COUNTIF(F$5:F605, "CJ"), "")</f>
        <v/>
      </c>
      <c r="U605">
        <f>IF(F605="Ignacio", COUNTIF(F$5:F605, "Ignacio"), "")</f>
        <v/>
      </c>
      <c r="V605">
        <f>IF(F605="Tripulacion", COUNTIF(F$5:F605, "Tripulacion"), "")</f>
        <v/>
      </c>
      <c r="W605">
        <f>IF(F605="ENAP carga", COUNTIF(F$5:F605, "ENAP carga"), "")</f>
        <v/>
      </c>
    </row>
    <row r="606">
      <c r="O606" s="117">
        <f>IF(F606="CJ", I606*200, "")</f>
        <v/>
      </c>
      <c r="T606">
        <f>IF(F606="CJ", COUNTIF(F$5:F606, "CJ"), "")</f>
        <v/>
      </c>
      <c r="U606">
        <f>IF(F606="Ignacio", COUNTIF(F$5:F606, "Ignacio"), "")</f>
        <v/>
      </c>
      <c r="V606">
        <f>IF(F606="Tripulacion", COUNTIF(F$5:F606, "Tripulacion"), "")</f>
        <v/>
      </c>
      <c r="W606">
        <f>IF(F606="ENAP carga", COUNTIF(F$5:F606, "ENAP carga"), "")</f>
        <v/>
      </c>
    </row>
    <row r="607">
      <c r="O607" s="117">
        <f>IF(F607="CJ", I607*200, "")</f>
        <v/>
      </c>
      <c r="T607">
        <f>IF(F607="CJ", COUNTIF(F$5:F607, "CJ"), "")</f>
        <v/>
      </c>
      <c r="U607">
        <f>IF(F607="Ignacio", COUNTIF(F$5:F607, "Ignacio"), "")</f>
        <v/>
      </c>
      <c r="V607">
        <f>IF(F607="Tripulacion", COUNTIF(F$5:F607, "Tripulacion"), "")</f>
        <v/>
      </c>
      <c r="W607">
        <f>IF(F607="ENAP carga", COUNTIF(F$5:F607, "ENAP carga"), "")</f>
        <v/>
      </c>
    </row>
    <row r="608">
      <c r="O608" s="117">
        <f>IF(F608="CJ", I608*200, "")</f>
        <v/>
      </c>
      <c r="T608">
        <f>IF(F608="CJ", COUNTIF(F$5:F608, "CJ"), "")</f>
        <v/>
      </c>
      <c r="U608">
        <f>IF(F608="Ignacio", COUNTIF(F$5:F608, "Ignacio"), "")</f>
        <v/>
      </c>
      <c r="V608">
        <f>IF(F608="Tripulacion", COUNTIF(F$5:F608, "Tripulacion"), "")</f>
        <v/>
      </c>
      <c r="W608">
        <f>IF(F608="ENAP carga", COUNTIF(F$5:F608, "ENAP carga"), "")</f>
        <v/>
      </c>
    </row>
    <row r="609">
      <c r="O609" s="117">
        <f>IF(F609="CJ", I609*200, "")</f>
        <v/>
      </c>
      <c r="T609">
        <f>IF(F609="CJ", COUNTIF(F$5:F609, "CJ"), "")</f>
        <v/>
      </c>
      <c r="U609">
        <f>IF(F609="Ignacio", COUNTIF(F$5:F609, "Ignacio"), "")</f>
        <v/>
      </c>
      <c r="V609">
        <f>IF(F609="Tripulacion", COUNTIF(F$5:F609, "Tripulacion"), "")</f>
        <v/>
      </c>
      <c r="W609">
        <f>IF(F609="ENAP carga", COUNTIF(F$5:F609, "ENAP carga"), "")</f>
        <v/>
      </c>
    </row>
    <row r="610">
      <c r="O610" s="117">
        <f>IF(F610="CJ", I610*200, "")</f>
        <v/>
      </c>
      <c r="T610">
        <f>IF(F610="CJ", COUNTIF(F$5:F610, "CJ"), "")</f>
        <v/>
      </c>
      <c r="U610">
        <f>IF(F610="Ignacio", COUNTIF(F$5:F610, "Ignacio"), "")</f>
        <v/>
      </c>
      <c r="V610">
        <f>IF(F610="Tripulacion", COUNTIF(F$5:F610, "Tripulacion"), "")</f>
        <v/>
      </c>
      <c r="W610">
        <f>IF(F610="ENAP carga", COUNTIF(F$5:F610, "ENAP carga"), "")</f>
        <v/>
      </c>
    </row>
    <row r="611">
      <c r="O611" s="117">
        <f>IF(F611="CJ", I611*200, "")</f>
        <v/>
      </c>
      <c r="T611">
        <f>IF(F611="CJ", COUNTIF(F$5:F611, "CJ"), "")</f>
        <v/>
      </c>
      <c r="U611">
        <f>IF(F611="Ignacio", COUNTIF(F$5:F611, "Ignacio"), "")</f>
        <v/>
      </c>
      <c r="V611">
        <f>IF(F611="Tripulacion", COUNTIF(F$5:F611, "Tripulacion"), "")</f>
        <v/>
      </c>
      <c r="W611">
        <f>IF(F611="ENAP carga", COUNTIF(F$5:F611, "ENAP carga"), "")</f>
        <v/>
      </c>
    </row>
    <row r="612">
      <c r="O612" s="117">
        <f>IF(F612="CJ", I612*200, "")</f>
        <v/>
      </c>
      <c r="T612">
        <f>IF(F612="CJ", COUNTIF(F$5:F612, "CJ"), "")</f>
        <v/>
      </c>
      <c r="U612">
        <f>IF(F612="Ignacio", COUNTIF(F$5:F612, "Ignacio"), "")</f>
        <v/>
      </c>
      <c r="V612">
        <f>IF(F612="Tripulacion", COUNTIF(F$5:F612, "Tripulacion"), "")</f>
        <v/>
      </c>
      <c r="W612">
        <f>IF(F612="ENAP carga", COUNTIF(F$5:F612, "ENAP carga"), "")</f>
        <v/>
      </c>
    </row>
    <row r="613">
      <c r="O613" s="117">
        <f>IF(F613="CJ", I613*200, "")</f>
        <v/>
      </c>
      <c r="T613">
        <f>IF(F613="CJ", COUNTIF(F$5:F613, "CJ"), "")</f>
        <v/>
      </c>
      <c r="U613">
        <f>IF(F613="Ignacio", COUNTIF(F$5:F613, "Ignacio"), "")</f>
        <v/>
      </c>
      <c r="V613">
        <f>IF(F613="Tripulacion", COUNTIF(F$5:F613, "Tripulacion"), "")</f>
        <v/>
      </c>
      <c r="W613">
        <f>IF(F613="ENAP carga", COUNTIF(F$5:F613, "ENAP carga"), "")</f>
        <v/>
      </c>
    </row>
    <row r="614">
      <c r="O614" s="117">
        <f>IF(F614="CJ", I614*200, "")</f>
        <v/>
      </c>
      <c r="T614">
        <f>IF(F614="CJ", COUNTIF(F$5:F614, "CJ"), "")</f>
        <v/>
      </c>
      <c r="U614">
        <f>IF(F614="Ignacio", COUNTIF(F$5:F614, "Ignacio"), "")</f>
        <v/>
      </c>
      <c r="V614">
        <f>IF(F614="Tripulacion", COUNTIF(F$5:F614, "Tripulacion"), "")</f>
        <v/>
      </c>
      <c r="W614">
        <f>IF(F614="ENAP carga", COUNTIF(F$5:F614, "ENAP carga"), "")</f>
        <v/>
      </c>
    </row>
    <row r="615">
      <c r="O615" s="117">
        <f>IF(F615="CJ", I615*200, "")</f>
        <v/>
      </c>
      <c r="T615">
        <f>IF(F615="CJ", COUNTIF(F$5:F615, "CJ"), "")</f>
        <v/>
      </c>
      <c r="U615">
        <f>IF(F615="Ignacio", COUNTIF(F$5:F615, "Ignacio"), "")</f>
        <v/>
      </c>
      <c r="V615">
        <f>IF(F615="Tripulacion", COUNTIF(F$5:F615, "Tripulacion"), "")</f>
        <v/>
      </c>
      <c r="W615">
        <f>IF(F615="ENAP carga", COUNTIF(F$5:F615, "ENAP carga"), "")</f>
        <v/>
      </c>
    </row>
    <row r="616">
      <c r="O616" s="117">
        <f>IF(F616="CJ", I616*200, "")</f>
        <v/>
      </c>
      <c r="T616">
        <f>IF(F616="CJ", COUNTIF(F$5:F616, "CJ"), "")</f>
        <v/>
      </c>
      <c r="U616">
        <f>IF(F616="Ignacio", COUNTIF(F$5:F616, "Ignacio"), "")</f>
        <v/>
      </c>
      <c r="V616">
        <f>IF(F616="Tripulacion", COUNTIF(F$5:F616, "Tripulacion"), "")</f>
        <v/>
      </c>
      <c r="W616">
        <f>IF(F616="ENAP carga", COUNTIF(F$5:F616, "ENAP carga"), "")</f>
        <v/>
      </c>
    </row>
    <row r="617">
      <c r="O617" s="117">
        <f>IF(F617="CJ", I617*200, "")</f>
        <v/>
      </c>
      <c r="T617">
        <f>IF(F617="CJ", COUNTIF(F$5:F617, "CJ"), "")</f>
        <v/>
      </c>
      <c r="U617">
        <f>IF(F617="Ignacio", COUNTIF(F$5:F617, "Ignacio"), "")</f>
        <v/>
      </c>
      <c r="V617">
        <f>IF(F617="Tripulacion", COUNTIF(F$5:F617, "Tripulacion"), "")</f>
        <v/>
      </c>
      <c r="W617">
        <f>IF(F617="ENAP carga", COUNTIF(F$5:F617, "ENAP carga"), "")</f>
        <v/>
      </c>
    </row>
    <row r="618">
      <c r="O618" s="117">
        <f>IF(F618="CJ", I618*200, "")</f>
        <v/>
      </c>
      <c r="T618">
        <f>IF(F618="CJ", COUNTIF(F$5:F618, "CJ"), "")</f>
        <v/>
      </c>
      <c r="U618">
        <f>IF(F618="Ignacio", COUNTIF(F$5:F618, "Ignacio"), "")</f>
        <v/>
      </c>
      <c r="V618">
        <f>IF(F618="Tripulacion", COUNTIF(F$5:F618, "Tripulacion"), "")</f>
        <v/>
      </c>
      <c r="W618">
        <f>IF(F618="ENAP carga", COUNTIF(F$5:F618, "ENAP carga"), "")</f>
        <v/>
      </c>
    </row>
    <row r="619">
      <c r="O619" s="117">
        <f>IF(F619="CJ", I619*200, "")</f>
        <v/>
      </c>
      <c r="T619">
        <f>IF(F619="CJ", COUNTIF(F$5:F619, "CJ"), "")</f>
        <v/>
      </c>
      <c r="U619">
        <f>IF(F619="Ignacio", COUNTIF(F$5:F619, "Ignacio"), "")</f>
        <v/>
      </c>
      <c r="V619">
        <f>IF(F619="Tripulacion", COUNTIF(F$5:F619, "Tripulacion"), "")</f>
        <v/>
      </c>
      <c r="W619">
        <f>IF(F619="ENAP carga", COUNTIF(F$5:F619, "ENAP carga"), "")</f>
        <v/>
      </c>
    </row>
    <row r="620">
      <c r="O620" s="117">
        <f>IF(F620="CJ", I620*200, "")</f>
        <v/>
      </c>
      <c r="T620">
        <f>IF(F620="CJ", COUNTIF(F$5:F620, "CJ"), "")</f>
        <v/>
      </c>
      <c r="U620">
        <f>IF(F620="Ignacio", COUNTIF(F$5:F620, "Ignacio"), "")</f>
        <v/>
      </c>
      <c r="V620">
        <f>IF(F620="Tripulacion", COUNTIF(F$5:F620, "Tripulacion"), "")</f>
        <v/>
      </c>
      <c r="W620">
        <f>IF(F620="ENAP carga", COUNTIF(F$5:F620, "ENAP carga"), "")</f>
        <v/>
      </c>
    </row>
    <row r="621">
      <c r="O621" s="117">
        <f>IF(F621="CJ", I621*200, "")</f>
        <v/>
      </c>
      <c r="T621">
        <f>IF(F621="CJ", COUNTIF(F$5:F621, "CJ"), "")</f>
        <v/>
      </c>
      <c r="U621">
        <f>IF(F621="Ignacio", COUNTIF(F$5:F621, "Ignacio"), "")</f>
        <v/>
      </c>
      <c r="V621">
        <f>IF(F621="Tripulacion", COUNTIF(F$5:F621, "Tripulacion"), "")</f>
        <v/>
      </c>
      <c r="W621">
        <f>IF(F621="ENAP carga", COUNTIF(F$5:F621, "ENAP carga"), "")</f>
        <v/>
      </c>
    </row>
    <row r="622">
      <c r="O622" s="117">
        <f>IF(F622="CJ", I622*200, "")</f>
        <v/>
      </c>
      <c r="T622">
        <f>IF(F622="CJ", COUNTIF(F$5:F622, "CJ"), "")</f>
        <v/>
      </c>
      <c r="U622">
        <f>IF(F622="Ignacio", COUNTIF(F$5:F622, "Ignacio"), "")</f>
        <v/>
      </c>
      <c r="V622">
        <f>IF(F622="Tripulacion", COUNTIF(F$5:F622, "Tripulacion"), "")</f>
        <v/>
      </c>
      <c r="W622">
        <f>IF(F622="ENAP carga", COUNTIF(F$5:F622, "ENAP carga"), "")</f>
        <v/>
      </c>
    </row>
    <row r="623">
      <c r="O623" s="117">
        <f>IF(F623="CJ", I623*200, "")</f>
        <v/>
      </c>
      <c r="T623">
        <f>IF(F623="CJ", COUNTIF(F$5:F623, "CJ"), "")</f>
        <v/>
      </c>
      <c r="U623">
        <f>IF(F623="Ignacio", COUNTIF(F$5:F623, "Ignacio"), "")</f>
        <v/>
      </c>
      <c r="V623">
        <f>IF(F623="Tripulacion", COUNTIF(F$5:F623, "Tripulacion"), "")</f>
        <v/>
      </c>
      <c r="W623">
        <f>IF(F623="ENAP carga", COUNTIF(F$5:F623, "ENAP carga"), "")</f>
        <v/>
      </c>
    </row>
    <row r="624">
      <c r="O624" s="117">
        <f>IF(F624="CJ", I624*200, "")</f>
        <v/>
      </c>
      <c r="T624">
        <f>IF(F624="CJ", COUNTIF(F$5:F624, "CJ"), "")</f>
        <v/>
      </c>
      <c r="U624">
        <f>IF(F624="Ignacio", COUNTIF(F$5:F624, "Ignacio"), "")</f>
        <v/>
      </c>
      <c r="V624">
        <f>IF(F624="Tripulacion", COUNTIF(F$5:F624, "Tripulacion"), "")</f>
        <v/>
      </c>
      <c r="W624">
        <f>IF(F624="ENAP carga", COUNTIF(F$5:F624, "ENAP carga"), "")</f>
        <v/>
      </c>
    </row>
    <row r="625">
      <c r="O625" s="117">
        <f>IF(F625="CJ", I625*200, "")</f>
        <v/>
      </c>
      <c r="T625">
        <f>IF(F625="CJ", COUNTIF(F$5:F625, "CJ"), "")</f>
        <v/>
      </c>
      <c r="U625">
        <f>IF(F625="Ignacio", COUNTIF(F$5:F625, "Ignacio"), "")</f>
        <v/>
      </c>
      <c r="V625">
        <f>IF(F625="Tripulacion", COUNTIF(F$5:F625, "Tripulacion"), "")</f>
        <v/>
      </c>
      <c r="W625">
        <f>IF(F625="ENAP carga", COUNTIF(F$5:F625, "ENAP carga"), "")</f>
        <v/>
      </c>
    </row>
    <row r="626">
      <c r="O626" s="117">
        <f>IF(F626="CJ", I626*200, "")</f>
        <v/>
      </c>
      <c r="T626">
        <f>IF(F626="CJ", COUNTIF(F$5:F626, "CJ"), "")</f>
        <v/>
      </c>
      <c r="U626">
        <f>IF(F626="Ignacio", COUNTIF(F$5:F626, "Ignacio"), "")</f>
        <v/>
      </c>
      <c r="V626">
        <f>IF(F626="Tripulacion", COUNTIF(F$5:F626, "Tripulacion"), "")</f>
        <v/>
      </c>
      <c r="W626">
        <f>IF(F626="ENAP carga", COUNTIF(F$5:F626, "ENAP carga"), "")</f>
        <v/>
      </c>
    </row>
    <row r="627">
      <c r="O627" s="117">
        <f>IF(F627="CJ", I627*200, "")</f>
        <v/>
      </c>
      <c r="T627">
        <f>IF(F627="CJ", COUNTIF(F$5:F627, "CJ"), "")</f>
        <v/>
      </c>
      <c r="U627">
        <f>IF(F627="Ignacio", COUNTIF(F$5:F627, "Ignacio"), "")</f>
        <v/>
      </c>
      <c r="V627">
        <f>IF(F627="Tripulacion", COUNTIF(F$5:F627, "Tripulacion"), "")</f>
        <v/>
      </c>
      <c r="W627">
        <f>IF(F627="ENAP carga", COUNTIF(F$5:F627, "ENAP carga"), "")</f>
        <v/>
      </c>
    </row>
    <row r="628">
      <c r="O628" s="117">
        <f>IF(F628="CJ", I628*200, "")</f>
        <v/>
      </c>
      <c r="T628">
        <f>IF(F628="CJ", COUNTIF(F$5:F628, "CJ"), "")</f>
        <v/>
      </c>
      <c r="U628">
        <f>IF(F628="Ignacio", COUNTIF(F$5:F628, "Ignacio"), "")</f>
        <v/>
      </c>
      <c r="V628">
        <f>IF(F628="Tripulacion", COUNTIF(F$5:F628, "Tripulacion"), "")</f>
        <v/>
      </c>
      <c r="W628">
        <f>IF(F628="ENAP carga", COUNTIF(F$5:F628, "ENAP carga"), "")</f>
        <v/>
      </c>
    </row>
    <row r="629">
      <c r="O629" s="117">
        <f>IF(F629="CJ", I629*200, "")</f>
        <v/>
      </c>
      <c r="T629">
        <f>IF(F629="CJ", COUNTIF(F$5:F629, "CJ"), "")</f>
        <v/>
      </c>
      <c r="U629">
        <f>IF(F629="Ignacio", COUNTIF(F$5:F629, "Ignacio"), "")</f>
        <v/>
      </c>
      <c r="V629">
        <f>IF(F629="Tripulacion", COUNTIF(F$5:F629, "Tripulacion"), "")</f>
        <v/>
      </c>
      <c r="W629">
        <f>IF(F629="ENAP carga", COUNTIF(F$5:F629, "ENAP carga"), "")</f>
        <v/>
      </c>
    </row>
    <row r="630">
      <c r="O630" s="117">
        <f>IF(F630="CJ", I630*200, "")</f>
        <v/>
      </c>
      <c r="T630">
        <f>IF(F630="CJ", COUNTIF(F$5:F630, "CJ"), "")</f>
        <v/>
      </c>
      <c r="U630">
        <f>IF(F630="Ignacio", COUNTIF(F$5:F630, "Ignacio"), "")</f>
        <v/>
      </c>
      <c r="V630">
        <f>IF(F630="Tripulacion", COUNTIF(F$5:F630, "Tripulacion"), "")</f>
        <v/>
      </c>
      <c r="W630">
        <f>IF(F630="ENAP carga", COUNTIF(F$5:F630, "ENAP carga"), "")</f>
        <v/>
      </c>
    </row>
    <row r="631">
      <c r="O631" s="117">
        <f>IF(F631="CJ", I631*200, "")</f>
        <v/>
      </c>
      <c r="T631">
        <f>IF(F631="CJ", COUNTIF(F$5:F631, "CJ"), "")</f>
        <v/>
      </c>
      <c r="U631">
        <f>IF(F631="Ignacio", COUNTIF(F$5:F631, "Ignacio"), "")</f>
        <v/>
      </c>
      <c r="V631">
        <f>IF(F631="Tripulacion", COUNTIF(F$5:F631, "Tripulacion"), "")</f>
        <v/>
      </c>
      <c r="W631">
        <f>IF(F631="ENAP carga", COUNTIF(F$5:F631, "ENAP carga"), "")</f>
        <v/>
      </c>
    </row>
    <row r="632">
      <c r="O632" s="117">
        <f>IF(F632="CJ", I632*200, "")</f>
        <v/>
      </c>
      <c r="T632">
        <f>IF(F632="CJ", COUNTIF(F$5:F632, "CJ"), "")</f>
        <v/>
      </c>
      <c r="U632">
        <f>IF(F632="Ignacio", COUNTIF(F$5:F632, "Ignacio"), "")</f>
        <v/>
      </c>
      <c r="V632">
        <f>IF(F632="Tripulacion", COUNTIF(F$5:F632, "Tripulacion"), "")</f>
        <v/>
      </c>
      <c r="W632">
        <f>IF(F632="ENAP carga", COUNTIF(F$5:F632, "ENAP carga"), "")</f>
        <v/>
      </c>
    </row>
    <row r="633">
      <c r="O633" s="117">
        <f>IF(F633="CJ", I633*200, "")</f>
        <v/>
      </c>
      <c r="T633">
        <f>IF(F633="CJ", COUNTIF(F$5:F633, "CJ"), "")</f>
        <v/>
      </c>
      <c r="U633">
        <f>IF(F633="Ignacio", COUNTIF(F$5:F633, "Ignacio"), "")</f>
        <v/>
      </c>
      <c r="V633">
        <f>IF(F633="Tripulacion", COUNTIF(F$5:F633, "Tripulacion"), "")</f>
        <v/>
      </c>
      <c r="W633">
        <f>IF(F633="ENAP carga", COUNTIF(F$5:F633, "ENAP carga"), "")</f>
        <v/>
      </c>
    </row>
    <row r="634">
      <c r="O634" s="117">
        <f>IF(F634="CJ", I634*200, "")</f>
        <v/>
      </c>
      <c r="T634">
        <f>IF(F634="CJ", COUNTIF(F$5:F634, "CJ"), "")</f>
        <v/>
      </c>
      <c r="U634">
        <f>IF(F634="Ignacio", COUNTIF(F$5:F634, "Ignacio"), "")</f>
        <v/>
      </c>
      <c r="V634">
        <f>IF(F634="Tripulacion", COUNTIF(F$5:F634, "Tripulacion"), "")</f>
        <v/>
      </c>
      <c r="W634">
        <f>IF(F634="ENAP carga", COUNTIF(F$5:F634, "ENAP carga"), "")</f>
        <v/>
      </c>
    </row>
    <row r="635">
      <c r="O635" s="117">
        <f>IF(F635="CJ", I635*200, "")</f>
        <v/>
      </c>
      <c r="T635">
        <f>IF(F635="CJ", COUNTIF(F$5:F635, "CJ"), "")</f>
        <v/>
      </c>
      <c r="U635">
        <f>IF(F635="Ignacio", COUNTIF(F$5:F635, "Ignacio"), "")</f>
        <v/>
      </c>
      <c r="V635">
        <f>IF(F635="Tripulacion", COUNTIF(F$5:F635, "Tripulacion"), "")</f>
        <v/>
      </c>
      <c r="W635">
        <f>IF(F635="ENAP carga", COUNTIF(F$5:F635, "ENAP carga"), "")</f>
        <v/>
      </c>
    </row>
    <row r="636">
      <c r="O636" s="117">
        <f>IF(F636="CJ", I636*200, "")</f>
        <v/>
      </c>
      <c r="T636">
        <f>IF(F636="CJ", COUNTIF(F$5:F636, "CJ"), "")</f>
        <v/>
      </c>
      <c r="U636">
        <f>IF(F636="Ignacio", COUNTIF(F$5:F636, "Ignacio"), "")</f>
        <v/>
      </c>
      <c r="V636">
        <f>IF(F636="Tripulacion", COUNTIF(F$5:F636, "Tripulacion"), "")</f>
        <v/>
      </c>
      <c r="W636">
        <f>IF(F636="ENAP carga", COUNTIF(F$5:F636, "ENAP carga"), "")</f>
        <v/>
      </c>
    </row>
    <row r="637">
      <c r="O637" s="117">
        <f>IF(F637="CJ", I637*200, "")</f>
        <v/>
      </c>
      <c r="T637">
        <f>IF(F637="CJ", COUNTIF(F$5:F637, "CJ"), "")</f>
        <v/>
      </c>
      <c r="U637">
        <f>IF(F637="Ignacio", COUNTIF(F$5:F637, "Ignacio"), "")</f>
        <v/>
      </c>
      <c r="V637">
        <f>IF(F637="Tripulacion", COUNTIF(F$5:F637, "Tripulacion"), "")</f>
        <v/>
      </c>
      <c r="W637">
        <f>IF(F637="ENAP carga", COUNTIF(F$5:F637, "ENAP carga"), "")</f>
        <v/>
      </c>
    </row>
    <row r="638">
      <c r="O638" s="117">
        <f>IF(F638="CJ", I638*200, "")</f>
        <v/>
      </c>
      <c r="T638">
        <f>IF(F638="CJ", COUNTIF(F$5:F638, "CJ"), "")</f>
        <v/>
      </c>
      <c r="U638">
        <f>IF(F638="Ignacio", COUNTIF(F$5:F638, "Ignacio"), "")</f>
        <v/>
      </c>
      <c r="V638">
        <f>IF(F638="Tripulacion", COUNTIF(F$5:F638, "Tripulacion"), "")</f>
        <v/>
      </c>
      <c r="W638">
        <f>IF(F638="ENAP carga", COUNTIF(F$5:F638, "ENAP carga"), "")</f>
        <v/>
      </c>
    </row>
    <row r="639">
      <c r="O639" s="117">
        <f>IF(F639="CJ", I639*200, "")</f>
        <v/>
      </c>
      <c r="T639">
        <f>IF(F639="CJ", COUNTIF(F$5:F639, "CJ"), "")</f>
        <v/>
      </c>
      <c r="U639">
        <f>IF(F639="Ignacio", COUNTIF(F$5:F639, "Ignacio"), "")</f>
        <v/>
      </c>
      <c r="V639">
        <f>IF(F639="Tripulacion", COUNTIF(F$5:F639, "Tripulacion"), "")</f>
        <v/>
      </c>
      <c r="W639">
        <f>IF(F639="ENAP carga", COUNTIF(F$5:F639, "ENAP carga"), "")</f>
        <v/>
      </c>
    </row>
    <row r="640">
      <c r="O640" s="117">
        <f>IF(F640="CJ", I640*200, "")</f>
        <v/>
      </c>
      <c r="T640">
        <f>IF(F640="CJ", COUNTIF(F$5:F640, "CJ"), "")</f>
        <v/>
      </c>
      <c r="U640">
        <f>IF(F640="Ignacio", COUNTIF(F$5:F640, "Ignacio"), "")</f>
        <v/>
      </c>
      <c r="V640">
        <f>IF(F640="Tripulacion", COUNTIF(F$5:F640, "Tripulacion"), "")</f>
        <v/>
      </c>
      <c r="W640">
        <f>IF(F640="ENAP carga", COUNTIF(F$5:F640, "ENAP carga"), "")</f>
        <v/>
      </c>
    </row>
    <row r="641">
      <c r="O641" s="117">
        <f>IF(F641="CJ", I641*200, "")</f>
        <v/>
      </c>
      <c r="T641">
        <f>IF(F641="CJ", COUNTIF(F$5:F641, "CJ"), "")</f>
        <v/>
      </c>
      <c r="U641">
        <f>IF(F641="Ignacio", COUNTIF(F$5:F641, "Ignacio"), "")</f>
        <v/>
      </c>
      <c r="V641">
        <f>IF(F641="Tripulacion", COUNTIF(F$5:F641, "Tripulacion"), "")</f>
        <v/>
      </c>
      <c r="W641">
        <f>IF(F641="ENAP carga", COUNTIF(F$5:F641, "ENAP carga"), "")</f>
        <v/>
      </c>
    </row>
    <row r="642">
      <c r="O642" s="117">
        <f>IF(F642="CJ", I642*200, "")</f>
        <v/>
      </c>
      <c r="T642">
        <f>IF(F642="CJ", COUNTIF(F$5:F642, "CJ"), "")</f>
        <v/>
      </c>
      <c r="U642">
        <f>IF(F642="Ignacio", COUNTIF(F$5:F642, "Ignacio"), "")</f>
        <v/>
      </c>
      <c r="V642">
        <f>IF(F642="Tripulacion", COUNTIF(F$5:F642, "Tripulacion"), "")</f>
        <v/>
      </c>
      <c r="W642">
        <f>IF(F642="ENAP carga", COUNTIF(F$5:F642, "ENAP carga"), "")</f>
        <v/>
      </c>
    </row>
    <row r="643">
      <c r="O643" s="117">
        <f>IF(F643="CJ", I643*200, "")</f>
        <v/>
      </c>
      <c r="T643">
        <f>IF(F643="CJ", COUNTIF(F$5:F643, "CJ"), "")</f>
        <v/>
      </c>
      <c r="U643">
        <f>IF(F643="Ignacio", COUNTIF(F$5:F643, "Ignacio"), "")</f>
        <v/>
      </c>
      <c r="V643">
        <f>IF(F643="Tripulacion", COUNTIF(F$5:F643, "Tripulacion"), "")</f>
        <v/>
      </c>
      <c r="W643">
        <f>IF(F643="ENAP carga", COUNTIF(F$5:F643, "ENAP carga"), "")</f>
        <v/>
      </c>
    </row>
    <row r="644">
      <c r="O644" s="117">
        <f>IF(F644="CJ", I644*200, "")</f>
        <v/>
      </c>
      <c r="T644">
        <f>IF(F644="CJ", COUNTIF(F$5:F644, "CJ"), "")</f>
        <v/>
      </c>
      <c r="U644">
        <f>IF(F644="Ignacio", COUNTIF(F$5:F644, "Ignacio"), "")</f>
        <v/>
      </c>
      <c r="V644">
        <f>IF(F644="Tripulacion", COUNTIF(F$5:F644, "Tripulacion"), "")</f>
        <v/>
      </c>
      <c r="W644">
        <f>IF(F644="ENAP carga", COUNTIF(F$5:F644, "ENAP carga"), "")</f>
        <v/>
      </c>
    </row>
    <row r="645">
      <c r="O645" s="117">
        <f>IF(F645="CJ", I645*200, "")</f>
        <v/>
      </c>
      <c r="T645">
        <f>IF(F645="CJ", COUNTIF(F$5:F645, "CJ"), "")</f>
        <v/>
      </c>
      <c r="U645">
        <f>IF(F645="Ignacio", COUNTIF(F$5:F645, "Ignacio"), "")</f>
        <v/>
      </c>
      <c r="V645">
        <f>IF(F645="Tripulacion", COUNTIF(F$5:F645, "Tripulacion"), "")</f>
        <v/>
      </c>
      <c r="W645">
        <f>IF(F645="ENAP carga", COUNTIF(F$5:F645, "ENAP carga"), "")</f>
        <v/>
      </c>
    </row>
    <row r="646">
      <c r="O646" s="117">
        <f>IF(F646="CJ", I646*200, "")</f>
        <v/>
      </c>
      <c r="T646">
        <f>IF(F646="CJ", COUNTIF(F$5:F646, "CJ"), "")</f>
        <v/>
      </c>
      <c r="U646">
        <f>IF(F646="Ignacio", COUNTIF(F$5:F646, "Ignacio"), "")</f>
        <v/>
      </c>
      <c r="V646">
        <f>IF(F646="Tripulacion", COUNTIF(F$5:F646, "Tripulacion"), "")</f>
        <v/>
      </c>
      <c r="W646">
        <f>IF(F646="ENAP carga", COUNTIF(F$5:F646, "ENAP carga"), "")</f>
        <v/>
      </c>
    </row>
    <row r="647">
      <c r="O647" s="117">
        <f>IF(F647="CJ", I647*200, "")</f>
        <v/>
      </c>
      <c r="T647">
        <f>IF(F647="CJ", COUNTIF(F$5:F647, "CJ"), "")</f>
        <v/>
      </c>
      <c r="U647">
        <f>IF(F647="Ignacio", COUNTIF(F$5:F647, "Ignacio"), "")</f>
        <v/>
      </c>
      <c r="V647">
        <f>IF(F647="Tripulacion", COUNTIF(F$5:F647, "Tripulacion"), "")</f>
        <v/>
      </c>
      <c r="W647">
        <f>IF(F647="ENAP carga", COUNTIF(F$5:F647, "ENAP carga"), "")</f>
        <v/>
      </c>
    </row>
    <row r="648">
      <c r="O648" s="117">
        <f>IF(F648="CJ", I648*200, "")</f>
        <v/>
      </c>
      <c r="T648">
        <f>IF(F648="CJ", COUNTIF(F$5:F648, "CJ"), "")</f>
        <v/>
      </c>
      <c r="U648">
        <f>IF(F648="Ignacio", COUNTIF(F$5:F648, "Ignacio"), "")</f>
        <v/>
      </c>
      <c r="V648">
        <f>IF(F648="Tripulacion", COUNTIF(F$5:F648, "Tripulacion"), "")</f>
        <v/>
      </c>
      <c r="W648">
        <f>IF(F648="ENAP carga", COUNTIF(F$5:F648, "ENAP carga"), "")</f>
        <v/>
      </c>
    </row>
    <row r="649">
      <c r="O649" s="117">
        <f>IF(F649="CJ", I649*200, "")</f>
        <v/>
      </c>
      <c r="T649">
        <f>IF(F649="CJ", COUNTIF(F$5:F649, "CJ"), "")</f>
        <v/>
      </c>
      <c r="U649">
        <f>IF(F649="Ignacio", COUNTIF(F$5:F649, "Ignacio"), "")</f>
        <v/>
      </c>
      <c r="V649">
        <f>IF(F649="Tripulacion", COUNTIF(F$5:F649, "Tripulacion"), "")</f>
        <v/>
      </c>
      <c r="W649">
        <f>IF(F649="ENAP carga", COUNTIF(F$5:F649, "ENAP carga"), "")</f>
        <v/>
      </c>
    </row>
    <row r="650">
      <c r="O650" s="117">
        <f>IF(F650="CJ", I650*200, "")</f>
        <v/>
      </c>
      <c r="T650">
        <f>IF(F650="CJ", COUNTIF(F$5:F650, "CJ"), "")</f>
        <v/>
      </c>
      <c r="U650">
        <f>IF(F650="Ignacio", COUNTIF(F$5:F650, "Ignacio"), "")</f>
        <v/>
      </c>
      <c r="V650">
        <f>IF(F650="Tripulacion", COUNTIF(F$5:F650, "Tripulacion"), "")</f>
        <v/>
      </c>
      <c r="W650">
        <f>IF(F650="ENAP carga", COUNTIF(F$5:F650, "ENAP carga"), "")</f>
        <v/>
      </c>
    </row>
    <row r="651">
      <c r="O651" s="117">
        <f>IF(F651="CJ", I651*200, "")</f>
        <v/>
      </c>
      <c r="T651">
        <f>IF(F651="CJ", COUNTIF(F$5:F651, "CJ"), "")</f>
        <v/>
      </c>
      <c r="U651">
        <f>IF(F651="Ignacio", COUNTIF(F$5:F651, "Ignacio"), "")</f>
        <v/>
      </c>
      <c r="V651">
        <f>IF(F651="Tripulacion", COUNTIF(F$5:F651, "Tripulacion"), "")</f>
        <v/>
      </c>
      <c r="W651">
        <f>IF(F651="ENAP carga", COUNTIF(F$5:F651, "ENAP carga"), "")</f>
        <v/>
      </c>
    </row>
    <row r="652">
      <c r="O652" s="117">
        <f>IF(F652="CJ", I652*200, "")</f>
        <v/>
      </c>
      <c r="T652">
        <f>IF(F652="CJ", COUNTIF(F$5:F652, "CJ"), "")</f>
        <v/>
      </c>
      <c r="U652">
        <f>IF(F652="Ignacio", COUNTIF(F$5:F652, "Ignacio"), "")</f>
        <v/>
      </c>
      <c r="V652">
        <f>IF(F652="Tripulacion", COUNTIF(F$5:F652, "Tripulacion"), "")</f>
        <v/>
      </c>
      <c r="W652">
        <f>IF(F652="ENAP carga", COUNTIF(F$5:F652, "ENAP carga"), "")</f>
        <v/>
      </c>
    </row>
    <row r="653">
      <c r="O653" s="117">
        <f>IF(F653="CJ", I653*200, "")</f>
        <v/>
      </c>
      <c r="T653">
        <f>IF(F653="CJ", COUNTIF(F$5:F653, "CJ"), "")</f>
        <v/>
      </c>
      <c r="U653">
        <f>IF(F653="Ignacio", COUNTIF(F$5:F653, "Ignacio"), "")</f>
        <v/>
      </c>
      <c r="V653">
        <f>IF(F653="Tripulacion", COUNTIF(F$5:F653, "Tripulacion"), "")</f>
        <v/>
      </c>
      <c r="W653">
        <f>IF(F653="ENAP carga", COUNTIF(F$5:F653, "ENAP carga"), "")</f>
        <v/>
      </c>
    </row>
    <row r="654">
      <c r="O654" s="117">
        <f>IF(F654="CJ", I654*200, "")</f>
        <v/>
      </c>
      <c r="T654">
        <f>IF(F654="CJ", COUNTIF(F$5:F654, "CJ"), "")</f>
        <v/>
      </c>
      <c r="U654">
        <f>IF(F654="Ignacio", COUNTIF(F$5:F654, "Ignacio"), "")</f>
        <v/>
      </c>
      <c r="V654">
        <f>IF(F654="Tripulacion", COUNTIF(F$5:F654, "Tripulacion"), "")</f>
        <v/>
      </c>
      <c r="W654">
        <f>IF(F654="ENAP carga", COUNTIF(F$5:F654, "ENAP carga"), "")</f>
        <v/>
      </c>
    </row>
    <row r="655">
      <c r="O655" s="117">
        <f>IF(F655="CJ", I655*200, "")</f>
        <v/>
      </c>
      <c r="T655">
        <f>IF(F655="CJ", COUNTIF(F$5:F655, "CJ"), "")</f>
        <v/>
      </c>
      <c r="U655">
        <f>IF(F655="Ignacio", COUNTIF(F$5:F655, "Ignacio"), "")</f>
        <v/>
      </c>
      <c r="V655">
        <f>IF(F655="Tripulacion", COUNTIF(F$5:F655, "Tripulacion"), "")</f>
        <v/>
      </c>
      <c r="W655">
        <f>IF(F655="ENAP carga", COUNTIF(F$5:F655, "ENAP carga"), "")</f>
        <v/>
      </c>
    </row>
    <row r="656">
      <c r="O656" s="117">
        <f>IF(F656="CJ", I656*200, "")</f>
        <v/>
      </c>
      <c r="T656">
        <f>IF(F656="CJ", COUNTIF(F$5:F656, "CJ"), "")</f>
        <v/>
      </c>
      <c r="U656">
        <f>IF(F656="Ignacio", COUNTIF(F$5:F656, "Ignacio"), "")</f>
        <v/>
      </c>
      <c r="V656">
        <f>IF(F656="Tripulacion", COUNTIF(F$5:F656, "Tripulacion"), "")</f>
        <v/>
      </c>
      <c r="W656">
        <f>IF(F656="ENAP carga", COUNTIF(F$5:F656, "ENAP carga"), "")</f>
        <v/>
      </c>
    </row>
    <row r="657">
      <c r="O657" s="117">
        <f>IF(F657="CJ", I657*200, "")</f>
        <v/>
      </c>
      <c r="T657">
        <f>IF(F657="CJ", COUNTIF(F$5:F657, "CJ"), "")</f>
        <v/>
      </c>
      <c r="U657">
        <f>IF(F657="Ignacio", COUNTIF(F$5:F657, "Ignacio"), "")</f>
        <v/>
      </c>
      <c r="V657">
        <f>IF(F657="Tripulacion", COUNTIF(F$5:F657, "Tripulacion"), "")</f>
        <v/>
      </c>
      <c r="W657">
        <f>IF(F657="ENAP carga", COUNTIF(F$5:F657, "ENAP carga"), "")</f>
        <v/>
      </c>
    </row>
    <row r="658">
      <c r="O658" s="117">
        <f>IF(F658="CJ", I658*200, "")</f>
        <v/>
      </c>
      <c r="T658">
        <f>IF(F658="CJ", COUNTIF(F$5:F658, "CJ"), "")</f>
        <v/>
      </c>
      <c r="U658">
        <f>IF(F658="Ignacio", COUNTIF(F$5:F658, "Ignacio"), "")</f>
        <v/>
      </c>
      <c r="V658">
        <f>IF(F658="Tripulacion", COUNTIF(F$5:F658, "Tripulacion"), "")</f>
        <v/>
      </c>
      <c r="W658">
        <f>IF(F658="ENAP carga", COUNTIF(F$5:F658, "ENAP carga"), "")</f>
        <v/>
      </c>
    </row>
    <row r="659">
      <c r="O659" s="117">
        <f>IF(F659="CJ", I659*200, "")</f>
        <v/>
      </c>
      <c r="T659">
        <f>IF(F659="CJ", COUNTIF(F$5:F659, "CJ"), "")</f>
        <v/>
      </c>
      <c r="U659">
        <f>IF(F659="Ignacio", COUNTIF(F$5:F659, "Ignacio"), "")</f>
        <v/>
      </c>
      <c r="V659">
        <f>IF(F659="Tripulacion", COUNTIF(F$5:F659, "Tripulacion"), "")</f>
        <v/>
      </c>
      <c r="W659">
        <f>IF(F659="ENAP carga", COUNTIF(F$5:F659, "ENAP carga"), "")</f>
        <v/>
      </c>
    </row>
    <row r="660">
      <c r="O660" s="117">
        <f>IF(F660="CJ", I660*200, "")</f>
        <v/>
      </c>
      <c r="T660">
        <f>IF(F660="CJ", COUNTIF(F$5:F660, "CJ"), "")</f>
        <v/>
      </c>
      <c r="U660">
        <f>IF(F660="Ignacio", COUNTIF(F$5:F660, "Ignacio"), "")</f>
        <v/>
      </c>
      <c r="V660">
        <f>IF(F660="Tripulacion", COUNTIF(F$5:F660, "Tripulacion"), "")</f>
        <v/>
      </c>
      <c r="W660">
        <f>IF(F660="ENAP carga", COUNTIF(F$5:F660, "ENAP carga"), "")</f>
        <v/>
      </c>
    </row>
    <row r="661">
      <c r="O661" s="117">
        <f>IF(F661="CJ", I661*200, "")</f>
        <v/>
      </c>
      <c r="T661">
        <f>IF(F661="CJ", COUNTIF(F$5:F661, "CJ"), "")</f>
        <v/>
      </c>
      <c r="U661">
        <f>IF(F661="Ignacio", COUNTIF(F$5:F661, "Ignacio"), "")</f>
        <v/>
      </c>
      <c r="V661">
        <f>IF(F661="Tripulacion", COUNTIF(F$5:F661, "Tripulacion"), "")</f>
        <v/>
      </c>
      <c r="W661">
        <f>IF(F661="ENAP carga", COUNTIF(F$5:F661, "ENAP carga"), "")</f>
        <v/>
      </c>
    </row>
    <row r="662">
      <c r="O662" s="117">
        <f>IF(F662="CJ", I662*200, "")</f>
        <v/>
      </c>
      <c r="T662">
        <f>IF(F662="CJ", COUNTIF(F$5:F662, "CJ"), "")</f>
        <v/>
      </c>
      <c r="U662">
        <f>IF(F662="Ignacio", COUNTIF(F$5:F662, "Ignacio"), "")</f>
        <v/>
      </c>
      <c r="V662">
        <f>IF(F662="Tripulacion", COUNTIF(F$5:F662, "Tripulacion"), "")</f>
        <v/>
      </c>
      <c r="W662">
        <f>IF(F662="ENAP carga", COUNTIF(F$5:F662, "ENAP carga"), "")</f>
        <v/>
      </c>
    </row>
    <row r="663">
      <c r="O663" s="117">
        <f>IF(F663="CJ", I663*200, "")</f>
        <v/>
      </c>
      <c r="T663">
        <f>IF(F663="CJ", COUNTIF(F$5:F663, "CJ"), "")</f>
        <v/>
      </c>
      <c r="U663">
        <f>IF(F663="Ignacio", COUNTIF(F$5:F663, "Ignacio"), "")</f>
        <v/>
      </c>
      <c r="V663">
        <f>IF(F663="Tripulacion", COUNTIF(F$5:F663, "Tripulacion"), "")</f>
        <v/>
      </c>
      <c r="W663">
        <f>IF(F663="ENAP carga", COUNTIF(F$5:F663, "ENAP carga"), "")</f>
        <v/>
      </c>
    </row>
    <row r="664">
      <c r="O664" s="117">
        <f>IF(F664="CJ", I664*200, "")</f>
        <v/>
      </c>
      <c r="T664">
        <f>IF(F664="CJ", COUNTIF(F$5:F664, "CJ"), "")</f>
        <v/>
      </c>
      <c r="U664">
        <f>IF(F664="Ignacio", COUNTIF(F$5:F664, "Ignacio"), "")</f>
        <v/>
      </c>
      <c r="V664">
        <f>IF(F664="Tripulacion", COUNTIF(F$5:F664, "Tripulacion"), "")</f>
        <v/>
      </c>
      <c r="W664">
        <f>IF(F664="ENAP carga", COUNTIF(F$5:F664, "ENAP carga"), "")</f>
        <v/>
      </c>
    </row>
    <row r="665">
      <c r="O665" s="117">
        <f>IF(F665="CJ", I665*200, "")</f>
        <v/>
      </c>
      <c r="T665">
        <f>IF(F665="CJ", COUNTIF(F$5:F665, "CJ"), "")</f>
        <v/>
      </c>
      <c r="U665">
        <f>IF(F665="Ignacio", COUNTIF(F$5:F665, "Ignacio"), "")</f>
        <v/>
      </c>
      <c r="V665">
        <f>IF(F665="Tripulacion", COUNTIF(F$5:F665, "Tripulacion"), "")</f>
        <v/>
      </c>
      <c r="W665">
        <f>IF(F665="ENAP carga", COUNTIF(F$5:F665, "ENAP carga"), "")</f>
        <v/>
      </c>
    </row>
    <row r="666">
      <c r="O666" s="117">
        <f>IF(F666="CJ", I666*200, "")</f>
        <v/>
      </c>
      <c r="T666">
        <f>IF(F666="CJ", COUNTIF(F$5:F666, "CJ"), "")</f>
        <v/>
      </c>
      <c r="U666">
        <f>IF(F666="Ignacio", COUNTIF(F$5:F666, "Ignacio"), "")</f>
        <v/>
      </c>
      <c r="V666">
        <f>IF(F666="Tripulacion", COUNTIF(F$5:F666, "Tripulacion"), "")</f>
        <v/>
      </c>
      <c r="W666">
        <f>IF(F666="ENAP carga", COUNTIF(F$5:F666, "ENAP carga"), "")</f>
        <v/>
      </c>
    </row>
    <row r="667">
      <c r="O667" s="117">
        <f>IF(F667="CJ", I667*200, "")</f>
        <v/>
      </c>
      <c r="T667">
        <f>IF(F667="CJ", COUNTIF(F$5:F667, "CJ"), "")</f>
        <v/>
      </c>
      <c r="U667">
        <f>IF(F667="Ignacio", COUNTIF(F$5:F667, "Ignacio"), "")</f>
        <v/>
      </c>
      <c r="V667">
        <f>IF(F667="Tripulacion", COUNTIF(F$5:F667, "Tripulacion"), "")</f>
        <v/>
      </c>
      <c r="W667">
        <f>IF(F667="ENAP carga", COUNTIF(F$5:F667, "ENAP carga"), "")</f>
        <v/>
      </c>
    </row>
    <row r="668">
      <c r="O668" s="117">
        <f>IF(F668="CJ", I668*200, "")</f>
        <v/>
      </c>
      <c r="T668">
        <f>IF(F668="CJ", COUNTIF(F$5:F668, "CJ"), "")</f>
        <v/>
      </c>
      <c r="U668">
        <f>IF(F668="Ignacio", COUNTIF(F$5:F668, "Ignacio"), "")</f>
        <v/>
      </c>
      <c r="V668">
        <f>IF(F668="Tripulacion", COUNTIF(F$5:F668, "Tripulacion"), "")</f>
        <v/>
      </c>
      <c r="W668">
        <f>IF(F668="ENAP carga", COUNTIF(F$5:F668, "ENAP carga"), "")</f>
        <v/>
      </c>
    </row>
    <row r="669">
      <c r="O669" s="117">
        <f>IF(F669="CJ", I669*200, "")</f>
        <v/>
      </c>
      <c r="T669">
        <f>IF(F669="CJ", COUNTIF(F$5:F669, "CJ"), "")</f>
        <v/>
      </c>
      <c r="U669">
        <f>IF(F669="Ignacio", COUNTIF(F$5:F669, "Ignacio"), "")</f>
        <v/>
      </c>
      <c r="V669">
        <f>IF(F669="Tripulacion", COUNTIF(F$5:F669, "Tripulacion"), "")</f>
        <v/>
      </c>
      <c r="W669">
        <f>IF(F669="ENAP carga", COUNTIF(F$5:F669, "ENAP carga"), "")</f>
        <v/>
      </c>
    </row>
    <row r="670">
      <c r="O670" s="117">
        <f>IF(F670="CJ", I670*200, "")</f>
        <v/>
      </c>
      <c r="T670">
        <f>IF(F670="CJ", COUNTIF(F$5:F670, "CJ"), "")</f>
        <v/>
      </c>
      <c r="U670">
        <f>IF(F670="Ignacio", COUNTIF(F$5:F670, "Ignacio"), "")</f>
        <v/>
      </c>
      <c r="V670">
        <f>IF(F670="Tripulacion", COUNTIF(F$5:F670, "Tripulacion"), "")</f>
        <v/>
      </c>
      <c r="W670">
        <f>IF(F670="ENAP carga", COUNTIF(F$5:F670, "ENAP carga"), "")</f>
        <v/>
      </c>
    </row>
    <row r="671">
      <c r="O671" s="117">
        <f>IF(F671="CJ", I671*200, "")</f>
        <v/>
      </c>
      <c r="T671">
        <f>IF(F671="CJ", COUNTIF(F$5:F671, "CJ"), "")</f>
        <v/>
      </c>
      <c r="U671">
        <f>IF(F671="Ignacio", COUNTIF(F$5:F671, "Ignacio"), "")</f>
        <v/>
      </c>
      <c r="V671">
        <f>IF(F671="Tripulacion", COUNTIF(F$5:F671, "Tripulacion"), "")</f>
        <v/>
      </c>
      <c r="W671">
        <f>IF(F671="ENAP carga", COUNTIF(F$5:F671, "ENAP carga"), "")</f>
        <v/>
      </c>
    </row>
    <row r="672">
      <c r="O672" s="117">
        <f>IF(F672="CJ", I672*200, "")</f>
        <v/>
      </c>
      <c r="T672">
        <f>IF(F672="CJ", COUNTIF(F$5:F672, "CJ"), "")</f>
        <v/>
      </c>
      <c r="U672">
        <f>IF(F672="Ignacio", COUNTIF(F$5:F672, "Ignacio"), "")</f>
        <v/>
      </c>
      <c r="V672">
        <f>IF(F672="Tripulacion", COUNTIF(F$5:F672, "Tripulacion"), "")</f>
        <v/>
      </c>
      <c r="W672">
        <f>IF(F672="ENAP carga", COUNTIF(F$5:F672, "ENAP carga"), "")</f>
        <v/>
      </c>
    </row>
    <row r="673">
      <c r="O673" s="117">
        <f>IF(F673="CJ", I673*200, "")</f>
        <v/>
      </c>
      <c r="T673">
        <f>IF(F673="CJ", COUNTIF(F$5:F673, "CJ"), "")</f>
        <v/>
      </c>
      <c r="U673">
        <f>IF(F673="Ignacio", COUNTIF(F$5:F673, "Ignacio"), "")</f>
        <v/>
      </c>
      <c r="V673">
        <f>IF(F673="Tripulacion", COUNTIF(F$5:F673, "Tripulacion"), "")</f>
        <v/>
      </c>
      <c r="W673">
        <f>IF(F673="ENAP carga", COUNTIF(F$5:F673, "ENAP carga"), "")</f>
        <v/>
      </c>
    </row>
    <row r="674">
      <c r="O674" s="117">
        <f>IF(F674="CJ", I674*200, "")</f>
        <v/>
      </c>
      <c r="T674">
        <f>IF(F674="CJ", COUNTIF(F$5:F674, "CJ"), "")</f>
        <v/>
      </c>
      <c r="U674">
        <f>IF(F674="Ignacio", COUNTIF(F$5:F674, "Ignacio"), "")</f>
        <v/>
      </c>
      <c r="V674">
        <f>IF(F674="Tripulacion", COUNTIF(F$5:F674, "Tripulacion"), "")</f>
        <v/>
      </c>
      <c r="W674">
        <f>IF(F674="ENAP carga", COUNTIF(F$5:F674, "ENAP carga"), "")</f>
        <v/>
      </c>
    </row>
    <row r="675">
      <c r="O675" s="117">
        <f>IF(F675="CJ", I675*200, "")</f>
        <v/>
      </c>
      <c r="T675">
        <f>IF(F675="CJ", COUNTIF(F$5:F675, "CJ"), "")</f>
        <v/>
      </c>
      <c r="U675">
        <f>IF(F675="Ignacio", COUNTIF(F$5:F675, "Ignacio"), "")</f>
        <v/>
      </c>
      <c r="V675">
        <f>IF(F675="Tripulacion", COUNTIF(F$5:F675, "Tripulacion"), "")</f>
        <v/>
      </c>
      <c r="W675">
        <f>IF(F675="ENAP carga", COUNTIF(F$5:F675, "ENAP carga"), "")</f>
        <v/>
      </c>
    </row>
    <row r="676">
      <c r="O676" s="117">
        <f>IF(F676="CJ", I676*200, "")</f>
        <v/>
      </c>
      <c r="T676">
        <f>IF(F676="CJ", COUNTIF(F$5:F676, "CJ"), "")</f>
        <v/>
      </c>
      <c r="U676">
        <f>IF(F676="Ignacio", COUNTIF(F$5:F676, "Ignacio"), "")</f>
        <v/>
      </c>
      <c r="V676">
        <f>IF(F676="Tripulacion", COUNTIF(F$5:F676, "Tripulacion"), "")</f>
        <v/>
      </c>
      <c r="W676">
        <f>IF(F676="ENAP carga", COUNTIF(F$5:F676, "ENAP carga"), "")</f>
        <v/>
      </c>
    </row>
    <row r="677">
      <c r="O677" s="117">
        <f>IF(F677="CJ", I677*200, "")</f>
        <v/>
      </c>
      <c r="T677">
        <f>IF(F677="CJ", COUNTIF(F$5:F677, "CJ"), "")</f>
        <v/>
      </c>
      <c r="U677">
        <f>IF(F677="Ignacio", COUNTIF(F$5:F677, "Ignacio"), "")</f>
        <v/>
      </c>
      <c r="V677">
        <f>IF(F677="Tripulacion", COUNTIF(F$5:F677, "Tripulacion"), "")</f>
        <v/>
      </c>
      <c r="W677">
        <f>IF(F677="ENAP carga", COUNTIF(F$5:F677, "ENAP carga"), "")</f>
        <v/>
      </c>
    </row>
    <row r="678">
      <c r="O678" s="117">
        <f>IF(F678="CJ", I678*200, "")</f>
        <v/>
      </c>
      <c r="T678">
        <f>IF(F678="CJ", COUNTIF(F$5:F678, "CJ"), "")</f>
        <v/>
      </c>
      <c r="U678">
        <f>IF(F678="Ignacio", COUNTIF(F$5:F678, "Ignacio"), "")</f>
        <v/>
      </c>
      <c r="V678">
        <f>IF(F678="Tripulacion", COUNTIF(F$5:F678, "Tripulacion"), "")</f>
        <v/>
      </c>
      <c r="W678">
        <f>IF(F678="ENAP carga", COUNTIF(F$5:F678, "ENAP carga"), "")</f>
        <v/>
      </c>
    </row>
    <row r="679">
      <c r="O679" s="117">
        <f>IF(F679="CJ", I679*200, "")</f>
        <v/>
      </c>
      <c r="T679">
        <f>IF(F679="CJ", COUNTIF(F$5:F679, "CJ"), "")</f>
        <v/>
      </c>
      <c r="U679">
        <f>IF(F679="Ignacio", COUNTIF(F$5:F679, "Ignacio"), "")</f>
        <v/>
      </c>
      <c r="V679">
        <f>IF(F679="Tripulacion", COUNTIF(F$5:F679, "Tripulacion"), "")</f>
        <v/>
      </c>
      <c r="W679">
        <f>IF(F679="ENAP carga", COUNTIF(F$5:F679, "ENAP carga"), "")</f>
        <v/>
      </c>
    </row>
    <row r="680">
      <c r="O680" s="117">
        <f>IF(F680="CJ", I680*200, "")</f>
        <v/>
      </c>
      <c r="T680">
        <f>IF(F680="CJ", COUNTIF(F$5:F680, "CJ"), "")</f>
        <v/>
      </c>
      <c r="U680">
        <f>IF(F680="Ignacio", COUNTIF(F$5:F680, "Ignacio"), "")</f>
        <v/>
      </c>
      <c r="V680">
        <f>IF(F680="Tripulacion", COUNTIF(F$5:F680, "Tripulacion"), "")</f>
        <v/>
      </c>
      <c r="W680">
        <f>IF(F680="ENAP carga", COUNTIF(F$5:F680, "ENAP carga"), "")</f>
        <v/>
      </c>
    </row>
    <row r="681">
      <c r="O681" s="117">
        <f>IF(F681="CJ", I681*200, "")</f>
        <v/>
      </c>
      <c r="T681">
        <f>IF(F681="CJ", COUNTIF(F$5:F681, "CJ"), "")</f>
        <v/>
      </c>
      <c r="U681">
        <f>IF(F681="Ignacio", COUNTIF(F$5:F681, "Ignacio"), "")</f>
        <v/>
      </c>
      <c r="V681">
        <f>IF(F681="Tripulacion", COUNTIF(F$5:F681, "Tripulacion"), "")</f>
        <v/>
      </c>
      <c r="W681">
        <f>IF(F681="ENAP carga", COUNTIF(F$5:F681, "ENAP carga"), "")</f>
        <v/>
      </c>
    </row>
    <row r="682">
      <c r="O682" s="117">
        <f>IF(F682="CJ", I682*200, "")</f>
        <v/>
      </c>
      <c r="T682">
        <f>IF(F682="CJ", COUNTIF(F$5:F682, "CJ"), "")</f>
        <v/>
      </c>
      <c r="U682">
        <f>IF(F682="Ignacio", COUNTIF(F$5:F682, "Ignacio"), "")</f>
        <v/>
      </c>
      <c r="V682">
        <f>IF(F682="Tripulacion", COUNTIF(F$5:F682, "Tripulacion"), "")</f>
        <v/>
      </c>
      <c r="W682">
        <f>IF(F682="ENAP carga", COUNTIF(F$5:F682, "ENAP carga"), "")</f>
        <v/>
      </c>
    </row>
    <row r="683">
      <c r="O683" s="117">
        <f>IF(F683="CJ", I683*200, "")</f>
        <v/>
      </c>
      <c r="T683">
        <f>IF(F683="CJ", COUNTIF(F$5:F683, "CJ"), "")</f>
        <v/>
      </c>
      <c r="U683">
        <f>IF(F683="Ignacio", COUNTIF(F$5:F683, "Ignacio"), "")</f>
        <v/>
      </c>
      <c r="V683">
        <f>IF(F683="Tripulacion", COUNTIF(F$5:F683, "Tripulacion"), "")</f>
        <v/>
      </c>
      <c r="W683">
        <f>IF(F683="ENAP carga", COUNTIF(F$5:F683, "ENAP carga"), "")</f>
        <v/>
      </c>
    </row>
    <row r="684">
      <c r="O684" s="117">
        <f>IF(F684="CJ", I684*200, "")</f>
        <v/>
      </c>
      <c r="T684">
        <f>IF(F684="CJ", COUNTIF(F$5:F684, "CJ"), "")</f>
        <v/>
      </c>
      <c r="U684">
        <f>IF(F684="Ignacio", COUNTIF(F$5:F684, "Ignacio"), "")</f>
        <v/>
      </c>
      <c r="V684">
        <f>IF(F684="Tripulacion", COUNTIF(F$5:F684, "Tripulacion"), "")</f>
        <v/>
      </c>
      <c r="W684">
        <f>IF(F684="ENAP carga", COUNTIF(F$5:F684, "ENAP carga"), "")</f>
        <v/>
      </c>
    </row>
    <row r="685">
      <c r="O685" s="117">
        <f>IF(F685="CJ", I685*200, "")</f>
        <v/>
      </c>
      <c r="T685">
        <f>IF(F685="CJ", COUNTIF(F$5:F685, "CJ"), "")</f>
        <v/>
      </c>
      <c r="U685">
        <f>IF(F685="Ignacio", COUNTIF(F$5:F685, "Ignacio"), "")</f>
        <v/>
      </c>
      <c r="V685">
        <f>IF(F685="Tripulacion", COUNTIF(F$5:F685, "Tripulacion"), "")</f>
        <v/>
      </c>
      <c r="W685">
        <f>IF(F685="ENAP carga", COUNTIF(F$5:F685, "ENAP carga"), "")</f>
        <v/>
      </c>
    </row>
    <row r="686">
      <c r="O686" s="117">
        <f>IF(F686="CJ", I686*200, "")</f>
        <v/>
      </c>
      <c r="T686">
        <f>IF(F686="CJ", COUNTIF(F$5:F686, "CJ"), "")</f>
        <v/>
      </c>
      <c r="U686">
        <f>IF(F686="Ignacio", COUNTIF(F$5:F686, "Ignacio"), "")</f>
        <v/>
      </c>
      <c r="V686">
        <f>IF(F686="Tripulacion", COUNTIF(F$5:F686, "Tripulacion"), "")</f>
        <v/>
      </c>
      <c r="W686">
        <f>IF(F686="ENAP carga", COUNTIF(F$5:F686, "ENAP carga"), "")</f>
        <v/>
      </c>
    </row>
    <row r="687">
      <c r="O687" s="117">
        <f>IF(F687="CJ", I687*200, "")</f>
        <v/>
      </c>
      <c r="T687">
        <f>IF(F687="CJ", COUNTIF(F$5:F687, "CJ"), "")</f>
        <v/>
      </c>
      <c r="U687">
        <f>IF(F687="Ignacio", COUNTIF(F$5:F687, "Ignacio"), "")</f>
        <v/>
      </c>
      <c r="V687">
        <f>IF(F687="Tripulacion", COUNTIF(F$5:F687, "Tripulacion"), "")</f>
        <v/>
      </c>
      <c r="W687">
        <f>IF(F687="ENAP carga", COUNTIF(F$5:F687, "ENAP carga"), "")</f>
        <v/>
      </c>
    </row>
    <row r="688">
      <c r="O688" s="117">
        <f>IF(F688="CJ", I688*200, "")</f>
        <v/>
      </c>
      <c r="T688">
        <f>IF(F688="CJ", COUNTIF(F$5:F688, "CJ"), "")</f>
        <v/>
      </c>
      <c r="U688">
        <f>IF(F688="Ignacio", COUNTIF(F$5:F688, "Ignacio"), "")</f>
        <v/>
      </c>
      <c r="V688">
        <f>IF(F688="Tripulacion", COUNTIF(F$5:F688, "Tripulacion"), "")</f>
        <v/>
      </c>
      <c r="W688">
        <f>IF(F688="ENAP carga", COUNTIF(F$5:F688, "ENAP carga"), "")</f>
        <v/>
      </c>
    </row>
    <row r="689">
      <c r="O689" s="117">
        <f>IF(F689="CJ", I689*200, "")</f>
        <v/>
      </c>
      <c r="T689">
        <f>IF(F689="CJ", COUNTIF(F$5:F689, "CJ"), "")</f>
        <v/>
      </c>
      <c r="U689">
        <f>IF(F689="Ignacio", COUNTIF(F$5:F689, "Ignacio"), "")</f>
        <v/>
      </c>
      <c r="V689">
        <f>IF(F689="Tripulacion", COUNTIF(F$5:F689, "Tripulacion"), "")</f>
        <v/>
      </c>
      <c r="W689">
        <f>IF(F689="ENAP carga", COUNTIF(F$5:F689, "ENAP carga"), "")</f>
        <v/>
      </c>
    </row>
    <row r="690">
      <c r="O690" s="117">
        <f>IF(F690="CJ", I690*200, "")</f>
        <v/>
      </c>
      <c r="T690">
        <f>IF(F690="CJ", COUNTIF(F$5:F690, "CJ"), "")</f>
        <v/>
      </c>
      <c r="U690">
        <f>IF(F690="Ignacio", COUNTIF(F$5:F690, "Ignacio"), "")</f>
        <v/>
      </c>
      <c r="V690">
        <f>IF(F690="Tripulacion", COUNTIF(F$5:F690, "Tripulacion"), "")</f>
        <v/>
      </c>
      <c r="W690">
        <f>IF(F690="ENAP carga", COUNTIF(F$5:F690, "ENAP carga"), "")</f>
        <v/>
      </c>
    </row>
    <row r="691">
      <c r="O691" s="117">
        <f>IF(F691="CJ", I691*200, "")</f>
        <v/>
      </c>
      <c r="T691">
        <f>IF(F691="CJ", COUNTIF(F$5:F691, "CJ"), "")</f>
        <v/>
      </c>
      <c r="U691">
        <f>IF(F691="Ignacio", COUNTIF(F$5:F691, "Ignacio"), "")</f>
        <v/>
      </c>
      <c r="V691">
        <f>IF(F691="Tripulacion", COUNTIF(F$5:F691, "Tripulacion"), "")</f>
        <v/>
      </c>
      <c r="W691">
        <f>IF(F691="ENAP carga", COUNTIF(F$5:F691, "ENAP carga"), "")</f>
        <v/>
      </c>
    </row>
    <row r="692">
      <c r="O692" s="117">
        <f>IF(F692="CJ", I692*200, "")</f>
        <v/>
      </c>
      <c r="T692">
        <f>IF(F692="CJ", COUNTIF(F$5:F692, "CJ"), "")</f>
        <v/>
      </c>
      <c r="U692">
        <f>IF(F692="Ignacio", COUNTIF(F$5:F692, "Ignacio"), "")</f>
        <v/>
      </c>
      <c r="V692">
        <f>IF(F692="Tripulacion", COUNTIF(F$5:F692, "Tripulacion"), "")</f>
        <v/>
      </c>
      <c r="W692">
        <f>IF(F692="ENAP carga", COUNTIF(F$5:F692, "ENAP carga"), "")</f>
        <v/>
      </c>
    </row>
    <row r="693">
      <c r="O693" s="117">
        <f>IF(F693="CJ", I693*200, "")</f>
        <v/>
      </c>
      <c r="T693">
        <f>IF(F693="CJ", COUNTIF(F$5:F693, "CJ"), "")</f>
        <v/>
      </c>
      <c r="U693">
        <f>IF(F693="Ignacio", COUNTIF(F$5:F693, "Ignacio"), "")</f>
        <v/>
      </c>
      <c r="V693">
        <f>IF(F693="Tripulacion", COUNTIF(F$5:F693, "Tripulacion"), "")</f>
        <v/>
      </c>
      <c r="W693">
        <f>IF(F693="ENAP carga", COUNTIF(F$5:F693, "ENAP carga"), "")</f>
        <v/>
      </c>
    </row>
    <row r="694">
      <c r="O694" s="117">
        <f>IF(F694="CJ", I694*200, "")</f>
        <v/>
      </c>
      <c r="T694">
        <f>IF(F694="CJ", COUNTIF(F$5:F694, "CJ"), "")</f>
        <v/>
      </c>
      <c r="U694">
        <f>IF(F694="Ignacio", COUNTIF(F$5:F694, "Ignacio"), "")</f>
        <v/>
      </c>
      <c r="V694">
        <f>IF(F694="Tripulacion", COUNTIF(F$5:F694, "Tripulacion"), "")</f>
        <v/>
      </c>
      <c r="W694">
        <f>IF(F694="ENAP carga", COUNTIF(F$5:F694, "ENAP carga"), "")</f>
        <v/>
      </c>
    </row>
    <row r="695">
      <c r="O695" s="117">
        <f>IF(F695="CJ", I695*200, "")</f>
        <v/>
      </c>
      <c r="T695">
        <f>IF(F695="CJ", COUNTIF(F$5:F695, "CJ"), "")</f>
        <v/>
      </c>
      <c r="U695">
        <f>IF(F695="Ignacio", COUNTIF(F$5:F695, "Ignacio"), "")</f>
        <v/>
      </c>
      <c r="V695">
        <f>IF(F695="Tripulacion", COUNTIF(F$5:F695, "Tripulacion"), "")</f>
        <v/>
      </c>
      <c r="W695">
        <f>IF(F695="ENAP carga", COUNTIF(F$5:F695, "ENAP carga"), "")</f>
        <v/>
      </c>
    </row>
    <row r="696">
      <c r="O696" s="117">
        <f>IF(F696="CJ", I696*200, "")</f>
        <v/>
      </c>
      <c r="T696">
        <f>IF(F696="CJ", COUNTIF(F$5:F696, "CJ"), "")</f>
        <v/>
      </c>
      <c r="U696">
        <f>IF(F696="Ignacio", COUNTIF(F$5:F696, "Ignacio"), "")</f>
        <v/>
      </c>
      <c r="V696">
        <f>IF(F696="Tripulacion", COUNTIF(F$5:F696, "Tripulacion"), "")</f>
        <v/>
      </c>
      <c r="W696">
        <f>IF(F696="ENAP carga", COUNTIF(F$5:F696, "ENAP carga"), "")</f>
        <v/>
      </c>
    </row>
    <row r="697">
      <c r="O697" s="117">
        <f>IF(F697="CJ", I697*200, "")</f>
        <v/>
      </c>
      <c r="T697">
        <f>IF(F697="CJ", COUNTIF(F$5:F697, "CJ"), "")</f>
        <v/>
      </c>
      <c r="U697">
        <f>IF(F697="Ignacio", COUNTIF(F$5:F697, "Ignacio"), "")</f>
        <v/>
      </c>
      <c r="V697">
        <f>IF(F697="Tripulacion", COUNTIF(F$5:F697, "Tripulacion"), "")</f>
        <v/>
      </c>
      <c r="W697">
        <f>IF(F697="ENAP carga", COUNTIF(F$5:F697, "ENAP carga"), "")</f>
        <v/>
      </c>
    </row>
    <row r="698">
      <c r="O698" s="117">
        <f>IF(F698="CJ", I698*200, "")</f>
        <v/>
      </c>
      <c r="T698">
        <f>IF(F698="CJ", COUNTIF(F$5:F698, "CJ"), "")</f>
        <v/>
      </c>
      <c r="U698">
        <f>IF(F698="Ignacio", COUNTIF(F$5:F698, "Ignacio"), "")</f>
        <v/>
      </c>
      <c r="V698">
        <f>IF(F698="Tripulacion", COUNTIF(F$5:F698, "Tripulacion"), "")</f>
        <v/>
      </c>
      <c r="W698">
        <f>IF(F698="ENAP carga", COUNTIF(F$5:F698, "ENAP carga"), "")</f>
        <v/>
      </c>
    </row>
    <row r="699">
      <c r="O699" s="117">
        <f>IF(F699="CJ", I699*200, "")</f>
        <v/>
      </c>
      <c r="T699">
        <f>IF(F699="CJ", COUNTIF(F$5:F699, "CJ"), "")</f>
        <v/>
      </c>
      <c r="U699">
        <f>IF(F699="Ignacio", COUNTIF(F$5:F699, "Ignacio"), "")</f>
        <v/>
      </c>
      <c r="V699">
        <f>IF(F699="Tripulacion", COUNTIF(F$5:F699, "Tripulacion"), "")</f>
        <v/>
      </c>
      <c r="W699">
        <f>IF(F699="ENAP carga", COUNTIF(F$5:F699, "ENAP carga"), "")</f>
        <v/>
      </c>
    </row>
    <row r="700">
      <c r="O700" s="117">
        <f>IF(F700="CJ", I700*200, "")</f>
        <v/>
      </c>
      <c r="T700">
        <f>IF(F700="CJ", COUNTIF(F$5:F700, "CJ"), "")</f>
        <v/>
      </c>
      <c r="U700">
        <f>IF(F700="Ignacio", COUNTIF(F$5:F700, "Ignacio"), "")</f>
        <v/>
      </c>
      <c r="V700">
        <f>IF(F700="Tripulacion", COUNTIF(F$5:F700, "Tripulacion"), "")</f>
        <v/>
      </c>
      <c r="W700">
        <f>IF(F700="ENAP carga", COUNTIF(F$5:F700, "ENAP carga"), "")</f>
        <v/>
      </c>
    </row>
    <row r="701">
      <c r="O701" s="117">
        <f>IF(F701="CJ", I701*200, "")</f>
        <v/>
      </c>
      <c r="T701">
        <f>IF(F701="CJ", COUNTIF(F$5:F701, "CJ"), "")</f>
        <v/>
      </c>
      <c r="U701">
        <f>IF(F701="Ignacio", COUNTIF(F$5:F701, "Ignacio"), "")</f>
        <v/>
      </c>
      <c r="V701">
        <f>IF(F701="Tripulacion", COUNTIF(F$5:F701, "Tripulacion"), "")</f>
        <v/>
      </c>
      <c r="W701">
        <f>IF(F701="ENAP carga", COUNTIF(F$5:F701, "ENAP carga"), "")</f>
        <v/>
      </c>
    </row>
    <row r="702">
      <c r="O702" s="117">
        <f>IF(F702="CJ", I702*200, "")</f>
        <v/>
      </c>
      <c r="T702">
        <f>IF(F702="CJ", COUNTIF(F$5:F702, "CJ"), "")</f>
        <v/>
      </c>
      <c r="U702">
        <f>IF(F702="Ignacio", COUNTIF(F$5:F702, "Ignacio"), "")</f>
        <v/>
      </c>
      <c r="V702">
        <f>IF(F702="Tripulacion", COUNTIF(F$5:F702, "Tripulacion"), "")</f>
        <v/>
      </c>
      <c r="W702">
        <f>IF(F702="ENAP carga", COUNTIF(F$5:F702, "ENAP carga"), "")</f>
        <v/>
      </c>
    </row>
    <row r="703">
      <c r="O703" s="117">
        <f>IF(F703="CJ", I703*200, "")</f>
        <v/>
      </c>
      <c r="T703">
        <f>IF(F703="CJ", COUNTIF(F$5:F703, "CJ"), "")</f>
        <v/>
      </c>
      <c r="U703">
        <f>IF(F703="Ignacio", COUNTIF(F$5:F703, "Ignacio"), "")</f>
        <v/>
      </c>
      <c r="V703">
        <f>IF(F703="Tripulacion", COUNTIF(F$5:F703, "Tripulacion"), "")</f>
        <v/>
      </c>
      <c r="W703">
        <f>IF(F703="ENAP carga", COUNTIF(F$5:F703, "ENAP carga"), "")</f>
        <v/>
      </c>
    </row>
    <row r="704">
      <c r="O704" s="117">
        <f>IF(F704="CJ", I704*200, "")</f>
        <v/>
      </c>
      <c r="T704">
        <f>IF(F704="CJ", COUNTIF(F$5:F704, "CJ"), "")</f>
        <v/>
      </c>
      <c r="U704">
        <f>IF(F704="Ignacio", COUNTIF(F$5:F704, "Ignacio"), "")</f>
        <v/>
      </c>
      <c r="V704">
        <f>IF(F704="Tripulacion", COUNTIF(F$5:F704, "Tripulacion"), "")</f>
        <v/>
      </c>
      <c r="W704">
        <f>IF(F704="ENAP carga", COUNTIF(F$5:F704, "ENAP carga"), "")</f>
        <v/>
      </c>
    </row>
    <row r="705">
      <c r="O705" s="117">
        <f>IF(F705="CJ", I705*200, "")</f>
        <v/>
      </c>
      <c r="T705">
        <f>IF(F705="CJ", COUNTIF(F$5:F705, "CJ"), "")</f>
        <v/>
      </c>
      <c r="U705">
        <f>IF(F705="Ignacio", COUNTIF(F$5:F705, "Ignacio"), "")</f>
        <v/>
      </c>
      <c r="V705">
        <f>IF(F705="Tripulacion", COUNTIF(F$5:F705, "Tripulacion"), "")</f>
        <v/>
      </c>
      <c r="W705">
        <f>IF(F705="ENAP carga", COUNTIF(F$5:F705, "ENAP carga"), "")</f>
        <v/>
      </c>
    </row>
    <row r="706">
      <c r="O706" s="117">
        <f>IF(F706="CJ", I706*200, "")</f>
        <v/>
      </c>
      <c r="T706">
        <f>IF(F706="CJ", COUNTIF(F$5:F706, "CJ"), "")</f>
        <v/>
      </c>
      <c r="U706">
        <f>IF(F706="Ignacio", COUNTIF(F$5:F706, "Ignacio"), "")</f>
        <v/>
      </c>
      <c r="V706">
        <f>IF(F706="Tripulacion", COUNTIF(F$5:F706, "Tripulacion"), "")</f>
        <v/>
      </c>
      <c r="W706">
        <f>IF(F706="ENAP carga", COUNTIF(F$5:F706, "ENAP carga"), "")</f>
        <v/>
      </c>
    </row>
    <row r="707">
      <c r="O707" s="117">
        <f>IF(F707="CJ", I707*200, "")</f>
        <v/>
      </c>
      <c r="T707">
        <f>IF(F707="CJ", COUNTIF(F$5:F707, "CJ"), "")</f>
        <v/>
      </c>
      <c r="U707">
        <f>IF(F707="Ignacio", COUNTIF(F$5:F707, "Ignacio"), "")</f>
        <v/>
      </c>
      <c r="V707">
        <f>IF(F707="Tripulacion", COUNTIF(F$5:F707, "Tripulacion"), "")</f>
        <v/>
      </c>
      <c r="W707">
        <f>IF(F707="ENAP carga", COUNTIF(F$5:F707, "ENAP carga"), "")</f>
        <v/>
      </c>
    </row>
    <row r="708">
      <c r="O708" s="117">
        <f>IF(F708="CJ", I708*200, "")</f>
        <v/>
      </c>
      <c r="T708">
        <f>IF(F708="CJ", COUNTIF(F$5:F708, "CJ"), "")</f>
        <v/>
      </c>
      <c r="U708">
        <f>IF(F708="Ignacio", COUNTIF(F$5:F708, "Ignacio"), "")</f>
        <v/>
      </c>
      <c r="V708">
        <f>IF(F708="Tripulacion", COUNTIF(F$5:F708, "Tripulacion"), "")</f>
        <v/>
      </c>
      <c r="W708">
        <f>IF(F708="ENAP carga", COUNTIF(F$5:F708, "ENAP carga"), "")</f>
        <v/>
      </c>
    </row>
    <row r="709">
      <c r="O709" s="117">
        <f>IF(F709="CJ", I709*200, "")</f>
        <v/>
      </c>
      <c r="T709">
        <f>IF(F709="CJ", COUNTIF(F$5:F709, "CJ"), "")</f>
        <v/>
      </c>
      <c r="U709">
        <f>IF(F709="Ignacio", COUNTIF(F$5:F709, "Ignacio"), "")</f>
        <v/>
      </c>
      <c r="V709">
        <f>IF(F709="Tripulacion", COUNTIF(F$5:F709, "Tripulacion"), "")</f>
        <v/>
      </c>
      <c r="W709">
        <f>IF(F709="ENAP carga", COUNTIF(F$5:F709, "ENAP carga"), "")</f>
        <v/>
      </c>
    </row>
    <row r="710">
      <c r="O710" s="117">
        <f>IF(F710="CJ", I710*200, "")</f>
        <v/>
      </c>
      <c r="T710">
        <f>IF(F710="CJ", COUNTIF(F$5:F710, "CJ"), "")</f>
        <v/>
      </c>
      <c r="U710">
        <f>IF(F710="Ignacio", COUNTIF(F$5:F710, "Ignacio"), "")</f>
        <v/>
      </c>
      <c r="V710">
        <f>IF(F710="Tripulacion", COUNTIF(F$5:F710, "Tripulacion"), "")</f>
        <v/>
      </c>
      <c r="W710">
        <f>IF(F710="ENAP carga", COUNTIF(F$5:F710, "ENAP carga"), "")</f>
        <v/>
      </c>
    </row>
    <row r="711">
      <c r="O711" s="117">
        <f>IF(F711="CJ", I711*200, "")</f>
        <v/>
      </c>
      <c r="T711">
        <f>IF(F711="CJ", COUNTIF(F$5:F711, "CJ"), "")</f>
        <v/>
      </c>
      <c r="U711">
        <f>IF(F711="Ignacio", COUNTIF(F$5:F711, "Ignacio"), "")</f>
        <v/>
      </c>
      <c r="V711">
        <f>IF(F711="Tripulacion", COUNTIF(F$5:F711, "Tripulacion"), "")</f>
        <v/>
      </c>
      <c r="W711">
        <f>IF(F711="ENAP carga", COUNTIF(F$5:F711, "ENAP carga"), "")</f>
        <v/>
      </c>
    </row>
    <row r="712">
      <c r="O712" s="117">
        <f>IF(F712="CJ", I712*200, "")</f>
        <v/>
      </c>
      <c r="T712">
        <f>IF(F712="CJ", COUNTIF(F$5:F712, "CJ"), "")</f>
        <v/>
      </c>
      <c r="U712">
        <f>IF(F712="Ignacio", COUNTIF(F$5:F712, "Ignacio"), "")</f>
        <v/>
      </c>
      <c r="V712">
        <f>IF(F712="Tripulacion", COUNTIF(F$5:F712, "Tripulacion"), "")</f>
        <v/>
      </c>
      <c r="W712">
        <f>IF(F712="ENAP carga", COUNTIF(F$5:F712, "ENAP carga"), "")</f>
        <v/>
      </c>
    </row>
    <row r="713">
      <c r="O713" s="117">
        <f>IF(F713="CJ", I713*200, "")</f>
        <v/>
      </c>
      <c r="T713">
        <f>IF(F713="CJ", COUNTIF(F$5:F713, "CJ"), "")</f>
        <v/>
      </c>
      <c r="U713">
        <f>IF(F713="Ignacio", COUNTIF(F$5:F713, "Ignacio"), "")</f>
        <v/>
      </c>
      <c r="V713">
        <f>IF(F713="Tripulacion", COUNTIF(F$5:F713, "Tripulacion"), "")</f>
        <v/>
      </c>
      <c r="W713">
        <f>IF(F713="ENAP carga", COUNTIF(F$5:F713, "ENAP carga"), "")</f>
        <v/>
      </c>
    </row>
    <row r="714">
      <c r="O714" s="117">
        <f>IF(F714="CJ", I714*200, "")</f>
        <v/>
      </c>
      <c r="T714">
        <f>IF(F714="CJ", COUNTIF(F$5:F714, "CJ"), "")</f>
        <v/>
      </c>
      <c r="U714">
        <f>IF(F714="Ignacio", COUNTIF(F$5:F714, "Ignacio"), "")</f>
        <v/>
      </c>
      <c r="V714">
        <f>IF(F714="Tripulacion", COUNTIF(F$5:F714, "Tripulacion"), "")</f>
        <v/>
      </c>
      <c r="W714">
        <f>IF(F714="ENAP carga", COUNTIF(F$5:F714, "ENAP carga"), "")</f>
        <v/>
      </c>
    </row>
    <row r="715">
      <c r="O715" s="117">
        <f>IF(F715="CJ", I715*200, "")</f>
        <v/>
      </c>
      <c r="T715">
        <f>IF(F715="CJ", COUNTIF(F$5:F715, "CJ"), "")</f>
        <v/>
      </c>
      <c r="U715">
        <f>IF(F715="Ignacio", COUNTIF(F$5:F715, "Ignacio"), "")</f>
        <v/>
      </c>
      <c r="V715">
        <f>IF(F715="Tripulacion", COUNTIF(F$5:F715, "Tripulacion"), "")</f>
        <v/>
      </c>
      <c r="W715">
        <f>IF(F715="ENAP carga", COUNTIF(F$5:F715, "ENAP carga"), "")</f>
        <v/>
      </c>
    </row>
    <row r="716">
      <c r="O716" s="117">
        <f>IF(F716="CJ", I716*200, "")</f>
        <v/>
      </c>
      <c r="T716">
        <f>IF(F716="CJ", COUNTIF(F$5:F716, "CJ"), "")</f>
        <v/>
      </c>
      <c r="U716">
        <f>IF(F716="Ignacio", COUNTIF(F$5:F716, "Ignacio"), "")</f>
        <v/>
      </c>
      <c r="V716">
        <f>IF(F716="Tripulacion", COUNTIF(F$5:F716, "Tripulacion"), "")</f>
        <v/>
      </c>
      <c r="W716">
        <f>IF(F716="ENAP carga", COUNTIF(F$5:F716, "ENAP carga"), "")</f>
        <v/>
      </c>
    </row>
    <row r="717">
      <c r="O717" s="117">
        <f>IF(F717="CJ", I717*200, "")</f>
        <v/>
      </c>
      <c r="T717">
        <f>IF(F717="CJ", COUNTIF(F$5:F717, "CJ"), "")</f>
        <v/>
      </c>
      <c r="U717">
        <f>IF(F717="Ignacio", COUNTIF(F$5:F717, "Ignacio"), "")</f>
        <v/>
      </c>
      <c r="V717">
        <f>IF(F717="Tripulacion", COUNTIF(F$5:F717, "Tripulacion"), "")</f>
        <v/>
      </c>
      <c r="W717">
        <f>IF(F717="ENAP carga", COUNTIF(F$5:F717, "ENAP carga"), "")</f>
        <v/>
      </c>
    </row>
    <row r="718">
      <c r="O718" s="117">
        <f>IF(F718="CJ", I718*200, "")</f>
        <v/>
      </c>
      <c r="T718">
        <f>IF(F718="CJ", COUNTIF(F$5:F718, "CJ"), "")</f>
        <v/>
      </c>
      <c r="U718">
        <f>IF(F718="Ignacio", COUNTIF(F$5:F718, "Ignacio"), "")</f>
        <v/>
      </c>
      <c r="V718">
        <f>IF(F718="Tripulacion", COUNTIF(F$5:F718, "Tripulacion"), "")</f>
        <v/>
      </c>
      <c r="W718">
        <f>IF(F718="ENAP carga", COUNTIF(F$5:F718, "ENAP carga"), "")</f>
        <v/>
      </c>
    </row>
    <row r="719">
      <c r="O719" s="117">
        <f>IF(F719="CJ", I719*200, "")</f>
        <v/>
      </c>
      <c r="T719">
        <f>IF(F719="CJ", COUNTIF(F$5:F719, "CJ"), "")</f>
        <v/>
      </c>
      <c r="U719">
        <f>IF(F719="Ignacio", COUNTIF(F$5:F719, "Ignacio"), "")</f>
        <v/>
      </c>
      <c r="V719">
        <f>IF(F719="Tripulacion", COUNTIF(F$5:F719, "Tripulacion"), "")</f>
        <v/>
      </c>
      <c r="W719">
        <f>IF(F719="ENAP carga", COUNTIF(F$5:F719, "ENAP carga"), "")</f>
        <v/>
      </c>
    </row>
    <row r="720">
      <c r="O720" s="117">
        <f>IF(F720="CJ", I720*200, "")</f>
        <v/>
      </c>
      <c r="T720">
        <f>IF(F720="CJ", COUNTIF(F$5:F720, "CJ"), "")</f>
        <v/>
      </c>
      <c r="U720">
        <f>IF(F720="Ignacio", COUNTIF(F$5:F720, "Ignacio"), "")</f>
        <v/>
      </c>
      <c r="V720">
        <f>IF(F720="Tripulacion", COUNTIF(F$5:F720, "Tripulacion"), "")</f>
        <v/>
      </c>
      <c r="W720">
        <f>IF(F720="ENAP carga", COUNTIF(F$5:F720, "ENAP carga"), "")</f>
        <v/>
      </c>
    </row>
    <row r="721">
      <c r="O721" s="117">
        <f>IF(F721="CJ", I721*200, "")</f>
        <v/>
      </c>
      <c r="T721">
        <f>IF(F721="CJ", COUNTIF(F$5:F721, "CJ"), "")</f>
        <v/>
      </c>
      <c r="U721">
        <f>IF(F721="Ignacio", COUNTIF(F$5:F721, "Ignacio"), "")</f>
        <v/>
      </c>
      <c r="V721">
        <f>IF(F721="Tripulacion", COUNTIF(F$5:F721, "Tripulacion"), "")</f>
        <v/>
      </c>
      <c r="W721">
        <f>IF(F721="ENAP carga", COUNTIF(F$5:F721, "ENAP carga"), "")</f>
        <v/>
      </c>
    </row>
    <row r="722">
      <c r="O722" s="117">
        <f>IF(F722="CJ", I722*200, "")</f>
        <v/>
      </c>
      <c r="T722">
        <f>IF(F722="CJ", COUNTIF(F$5:F722, "CJ"), "")</f>
        <v/>
      </c>
      <c r="U722">
        <f>IF(F722="Ignacio", COUNTIF(F$5:F722, "Ignacio"), "")</f>
        <v/>
      </c>
      <c r="V722">
        <f>IF(F722="Tripulacion", COUNTIF(F$5:F722, "Tripulacion"), "")</f>
        <v/>
      </c>
      <c r="W722">
        <f>IF(F722="ENAP carga", COUNTIF(F$5:F722, "ENAP carga"), "")</f>
        <v/>
      </c>
    </row>
    <row r="723">
      <c r="O723" s="117">
        <f>IF(F723="CJ", I723*200, "")</f>
        <v/>
      </c>
      <c r="T723">
        <f>IF(F723="CJ", COUNTIF(F$5:F723, "CJ"), "")</f>
        <v/>
      </c>
      <c r="U723">
        <f>IF(F723="Ignacio", COUNTIF(F$5:F723, "Ignacio"), "")</f>
        <v/>
      </c>
      <c r="V723">
        <f>IF(F723="Tripulacion", COUNTIF(F$5:F723, "Tripulacion"), "")</f>
        <v/>
      </c>
      <c r="W723">
        <f>IF(F723="ENAP carga", COUNTIF(F$5:F723, "ENAP carga"), "")</f>
        <v/>
      </c>
    </row>
    <row r="724">
      <c r="O724" s="117">
        <f>IF(F724="CJ", I724*200, "")</f>
        <v/>
      </c>
      <c r="T724">
        <f>IF(F724="CJ", COUNTIF(F$5:F724, "CJ"), "")</f>
        <v/>
      </c>
      <c r="U724">
        <f>IF(F724="Ignacio", COUNTIF(F$5:F724, "Ignacio"), "")</f>
        <v/>
      </c>
      <c r="V724">
        <f>IF(F724="Tripulacion", COUNTIF(F$5:F724, "Tripulacion"), "")</f>
        <v/>
      </c>
      <c r="W724">
        <f>IF(F724="ENAP carga", COUNTIF(F$5:F724, "ENAP carga"), "")</f>
        <v/>
      </c>
    </row>
    <row r="725">
      <c r="O725" s="117">
        <f>IF(F725="CJ", I725*200, "")</f>
        <v/>
      </c>
      <c r="T725">
        <f>IF(F725="CJ", COUNTIF(F$5:F725, "CJ"), "")</f>
        <v/>
      </c>
      <c r="U725">
        <f>IF(F725="Ignacio", COUNTIF(F$5:F725, "Ignacio"), "")</f>
        <v/>
      </c>
      <c r="V725">
        <f>IF(F725="Tripulacion", COUNTIF(F$5:F725, "Tripulacion"), "")</f>
        <v/>
      </c>
      <c r="W725">
        <f>IF(F725="ENAP carga", COUNTIF(F$5:F725, "ENAP carga"), "")</f>
        <v/>
      </c>
    </row>
    <row r="726">
      <c r="O726" s="117">
        <f>IF(F726="CJ", I726*200, "")</f>
        <v/>
      </c>
      <c r="T726">
        <f>IF(F726="CJ", COUNTIF(F$5:F726, "CJ"), "")</f>
        <v/>
      </c>
      <c r="U726">
        <f>IF(F726="Ignacio", COUNTIF(F$5:F726, "Ignacio"), "")</f>
        <v/>
      </c>
      <c r="V726">
        <f>IF(F726="Tripulacion", COUNTIF(F$5:F726, "Tripulacion"), "")</f>
        <v/>
      </c>
      <c r="W726">
        <f>IF(F726="ENAP carga", COUNTIF(F$5:F726, "ENAP carga"), "")</f>
        <v/>
      </c>
    </row>
    <row r="727">
      <c r="O727" s="117">
        <f>IF(F727="CJ", I727*200, "")</f>
        <v/>
      </c>
      <c r="T727">
        <f>IF(F727="CJ", COUNTIF(F$5:F727, "CJ"), "")</f>
        <v/>
      </c>
      <c r="U727">
        <f>IF(F727="Ignacio", COUNTIF(F$5:F727, "Ignacio"), "")</f>
        <v/>
      </c>
      <c r="V727">
        <f>IF(F727="Tripulacion", COUNTIF(F$5:F727, "Tripulacion"), "")</f>
        <v/>
      </c>
      <c r="W727">
        <f>IF(F727="ENAP carga", COUNTIF(F$5:F727, "ENAP carga"), "")</f>
        <v/>
      </c>
    </row>
    <row r="728">
      <c r="O728" s="117">
        <f>IF(F728="CJ", I728*200, "")</f>
        <v/>
      </c>
      <c r="T728">
        <f>IF(F728="CJ", COUNTIF(F$5:F728, "CJ"), "")</f>
        <v/>
      </c>
      <c r="U728">
        <f>IF(F728="Ignacio", COUNTIF(F$5:F728, "Ignacio"), "")</f>
        <v/>
      </c>
      <c r="V728">
        <f>IF(F728="Tripulacion", COUNTIF(F$5:F728, "Tripulacion"), "")</f>
        <v/>
      </c>
      <c r="W728">
        <f>IF(F728="ENAP carga", COUNTIF(F$5:F728, "ENAP carga"), "")</f>
        <v/>
      </c>
    </row>
    <row r="729">
      <c r="O729" s="117">
        <f>IF(F729="CJ", I729*200, "")</f>
        <v/>
      </c>
      <c r="T729">
        <f>IF(F729="CJ", COUNTIF(F$5:F729, "CJ"), "")</f>
        <v/>
      </c>
      <c r="U729">
        <f>IF(F729="Ignacio", COUNTIF(F$5:F729, "Ignacio"), "")</f>
        <v/>
      </c>
      <c r="V729">
        <f>IF(F729="Tripulacion", COUNTIF(F$5:F729, "Tripulacion"), "")</f>
        <v/>
      </c>
      <c r="W729">
        <f>IF(F729="ENAP carga", COUNTIF(F$5:F729, "ENAP carga"), "")</f>
        <v/>
      </c>
    </row>
    <row r="730">
      <c r="O730" s="117">
        <f>IF(F730="CJ", I730*200, "")</f>
        <v/>
      </c>
      <c r="T730">
        <f>IF(F730="CJ", COUNTIF(F$5:F730, "CJ"), "")</f>
        <v/>
      </c>
      <c r="U730">
        <f>IF(F730="Ignacio", COUNTIF(F$5:F730, "Ignacio"), "")</f>
        <v/>
      </c>
      <c r="V730">
        <f>IF(F730="Tripulacion", COUNTIF(F$5:F730, "Tripulacion"), "")</f>
        <v/>
      </c>
      <c r="W730">
        <f>IF(F730="ENAP carga", COUNTIF(F$5:F730, "ENAP carga"), "")</f>
        <v/>
      </c>
    </row>
    <row r="731">
      <c r="O731" s="117">
        <f>IF(F731="CJ", I731*200, "")</f>
        <v/>
      </c>
      <c r="T731">
        <f>IF(F731="CJ", COUNTIF(F$5:F731, "CJ"), "")</f>
        <v/>
      </c>
      <c r="U731">
        <f>IF(F731="Ignacio", COUNTIF(F$5:F731, "Ignacio"), "")</f>
        <v/>
      </c>
      <c r="V731">
        <f>IF(F731="Tripulacion", COUNTIF(F$5:F731, "Tripulacion"), "")</f>
        <v/>
      </c>
      <c r="W731">
        <f>IF(F731="ENAP carga", COUNTIF(F$5:F731, "ENAP carga"), "")</f>
        <v/>
      </c>
    </row>
    <row r="732">
      <c r="O732" s="117">
        <f>IF(F732="CJ", I732*200, "")</f>
        <v/>
      </c>
      <c r="T732">
        <f>IF(F732="CJ", COUNTIF(F$5:F732, "CJ"), "")</f>
        <v/>
      </c>
      <c r="U732">
        <f>IF(F732="Ignacio", COUNTIF(F$5:F732, "Ignacio"), "")</f>
        <v/>
      </c>
      <c r="V732">
        <f>IF(F732="Tripulacion", COUNTIF(F$5:F732, "Tripulacion"), "")</f>
        <v/>
      </c>
      <c r="W732">
        <f>IF(F732="ENAP carga", COUNTIF(F$5:F732, "ENAP carga"), "")</f>
        <v/>
      </c>
    </row>
    <row r="733">
      <c r="O733" s="117">
        <f>IF(F733="CJ", I733*200, "")</f>
        <v/>
      </c>
      <c r="T733">
        <f>IF(F733="CJ", COUNTIF(F$5:F733, "CJ"), "")</f>
        <v/>
      </c>
      <c r="U733">
        <f>IF(F733="Ignacio", COUNTIF(F$5:F733, "Ignacio"), "")</f>
        <v/>
      </c>
      <c r="V733">
        <f>IF(F733="Tripulacion", COUNTIF(F$5:F733, "Tripulacion"), "")</f>
        <v/>
      </c>
      <c r="W733">
        <f>IF(F733="ENAP carga", COUNTIF(F$5:F733, "ENAP carga"), "")</f>
        <v/>
      </c>
    </row>
    <row r="734">
      <c r="O734" s="117">
        <f>IF(F734="CJ", I734*200, "")</f>
        <v/>
      </c>
      <c r="T734">
        <f>IF(F734="CJ", COUNTIF(F$5:F734, "CJ"), "")</f>
        <v/>
      </c>
      <c r="U734">
        <f>IF(F734="Ignacio", COUNTIF(F$5:F734, "Ignacio"), "")</f>
        <v/>
      </c>
      <c r="V734">
        <f>IF(F734="Tripulacion", COUNTIF(F$5:F734, "Tripulacion"), "")</f>
        <v/>
      </c>
      <c r="W734">
        <f>IF(F734="ENAP carga", COUNTIF(F$5:F734, "ENAP carga"), "")</f>
        <v/>
      </c>
    </row>
    <row r="735">
      <c r="O735" s="117">
        <f>IF(F735="CJ", I735*200, "")</f>
        <v/>
      </c>
      <c r="T735">
        <f>IF(F735="CJ", COUNTIF(F$5:F735, "CJ"), "")</f>
        <v/>
      </c>
      <c r="U735">
        <f>IF(F735="Ignacio", COUNTIF(F$5:F735, "Ignacio"), "")</f>
        <v/>
      </c>
      <c r="V735">
        <f>IF(F735="Tripulacion", COUNTIF(F$5:F735, "Tripulacion"), "")</f>
        <v/>
      </c>
      <c r="W735">
        <f>IF(F735="ENAP carga", COUNTIF(F$5:F735, "ENAP carga"), "")</f>
        <v/>
      </c>
    </row>
    <row r="736">
      <c r="O736" s="117">
        <f>IF(F736="CJ", I736*200, "")</f>
        <v/>
      </c>
      <c r="T736">
        <f>IF(F736="CJ", COUNTIF(F$5:F736, "CJ"), "")</f>
        <v/>
      </c>
      <c r="U736">
        <f>IF(F736="Ignacio", COUNTIF(F$5:F736, "Ignacio"), "")</f>
        <v/>
      </c>
      <c r="V736">
        <f>IF(F736="Tripulacion", COUNTIF(F$5:F736, "Tripulacion"), "")</f>
        <v/>
      </c>
      <c r="W736">
        <f>IF(F736="ENAP carga", COUNTIF(F$5:F736, "ENAP carga"), "")</f>
        <v/>
      </c>
    </row>
    <row r="737">
      <c r="O737" s="117">
        <f>IF(F737="CJ", I737*200, "")</f>
        <v/>
      </c>
      <c r="T737">
        <f>IF(F737="CJ", COUNTIF(F$5:F737, "CJ"), "")</f>
        <v/>
      </c>
      <c r="U737">
        <f>IF(F737="Ignacio", COUNTIF(F$5:F737, "Ignacio"), "")</f>
        <v/>
      </c>
      <c r="V737">
        <f>IF(F737="Tripulacion", COUNTIF(F$5:F737, "Tripulacion"), "")</f>
        <v/>
      </c>
      <c r="W737">
        <f>IF(F737="ENAP carga", COUNTIF(F$5:F737, "ENAP carga"), "")</f>
        <v/>
      </c>
    </row>
    <row r="738">
      <c r="O738" s="117">
        <f>IF(F738="CJ", I738*200, "")</f>
        <v/>
      </c>
      <c r="T738">
        <f>IF(F738="CJ", COUNTIF(F$5:F738, "CJ"), "")</f>
        <v/>
      </c>
      <c r="U738">
        <f>IF(F738="Ignacio", COUNTIF(F$5:F738, "Ignacio"), "")</f>
        <v/>
      </c>
      <c r="V738">
        <f>IF(F738="Tripulacion", COUNTIF(F$5:F738, "Tripulacion"), "")</f>
        <v/>
      </c>
      <c r="W738">
        <f>IF(F738="ENAP carga", COUNTIF(F$5:F738, "ENAP carga"), "")</f>
        <v/>
      </c>
    </row>
    <row r="739">
      <c r="O739" s="117">
        <f>IF(F739="CJ", I739*200, "")</f>
        <v/>
      </c>
      <c r="T739">
        <f>IF(F739="CJ", COUNTIF(F$5:F739, "CJ"), "")</f>
        <v/>
      </c>
      <c r="U739">
        <f>IF(F739="Ignacio", COUNTIF(F$5:F739, "Ignacio"), "")</f>
        <v/>
      </c>
      <c r="V739">
        <f>IF(F739="Tripulacion", COUNTIF(F$5:F739, "Tripulacion"), "")</f>
        <v/>
      </c>
      <c r="W739">
        <f>IF(F739="ENAP carga", COUNTIF(F$5:F739, "ENAP carga"), "")</f>
        <v/>
      </c>
    </row>
    <row r="740">
      <c r="O740" s="117">
        <f>IF(F740="CJ", I740*200, "")</f>
        <v/>
      </c>
      <c r="T740">
        <f>IF(F740="CJ", COUNTIF(F$5:F740, "CJ"), "")</f>
        <v/>
      </c>
      <c r="U740">
        <f>IF(F740="Ignacio", COUNTIF(F$5:F740, "Ignacio"), "")</f>
        <v/>
      </c>
      <c r="V740">
        <f>IF(F740="Tripulacion", COUNTIF(F$5:F740, "Tripulacion"), "")</f>
        <v/>
      </c>
      <c r="W740">
        <f>IF(F740="ENAP carga", COUNTIF(F$5:F740, "ENAP carga"), "")</f>
        <v/>
      </c>
    </row>
    <row r="741">
      <c r="O741" s="117">
        <f>IF(F741="CJ", I741*200, "")</f>
        <v/>
      </c>
      <c r="T741">
        <f>IF(F741="CJ", COUNTIF(F$5:F741, "CJ"), "")</f>
        <v/>
      </c>
      <c r="U741">
        <f>IF(F741="Ignacio", COUNTIF(F$5:F741, "Ignacio"), "")</f>
        <v/>
      </c>
      <c r="V741">
        <f>IF(F741="Tripulacion", COUNTIF(F$5:F741, "Tripulacion"), "")</f>
        <v/>
      </c>
      <c r="W741">
        <f>IF(F741="ENAP carga", COUNTIF(F$5:F741, "ENAP carga"), "")</f>
        <v/>
      </c>
    </row>
    <row r="742">
      <c r="O742" s="117">
        <f>IF(F742="CJ", I742*200, "")</f>
        <v/>
      </c>
      <c r="T742">
        <f>IF(F742="CJ", COUNTIF(F$5:F742, "CJ"), "")</f>
        <v/>
      </c>
      <c r="U742">
        <f>IF(F742="Ignacio", COUNTIF(F$5:F742, "Ignacio"), "")</f>
        <v/>
      </c>
      <c r="V742">
        <f>IF(F742="Tripulacion", COUNTIF(F$5:F742, "Tripulacion"), "")</f>
        <v/>
      </c>
      <c r="W742">
        <f>IF(F742="ENAP carga", COUNTIF(F$5:F742, "ENAP carga"), "")</f>
        <v/>
      </c>
    </row>
    <row r="743">
      <c r="O743" s="117">
        <f>IF(F743="CJ", I743*200, "")</f>
        <v/>
      </c>
      <c r="T743">
        <f>IF(F743="CJ", COUNTIF(F$5:F743, "CJ"), "")</f>
        <v/>
      </c>
      <c r="U743">
        <f>IF(F743="Ignacio", COUNTIF(F$5:F743, "Ignacio"), "")</f>
        <v/>
      </c>
      <c r="V743">
        <f>IF(F743="Tripulacion", COUNTIF(F$5:F743, "Tripulacion"), "")</f>
        <v/>
      </c>
      <c r="W743">
        <f>IF(F743="ENAP carga", COUNTIF(F$5:F743, "ENAP carga"), "")</f>
        <v/>
      </c>
    </row>
    <row r="744">
      <c r="O744" s="117">
        <f>IF(F744="CJ", I744*200, "")</f>
        <v/>
      </c>
      <c r="T744">
        <f>IF(F744="CJ", COUNTIF(F$5:F744, "CJ"), "")</f>
        <v/>
      </c>
      <c r="U744">
        <f>IF(F744="Ignacio", COUNTIF(F$5:F744, "Ignacio"), "")</f>
        <v/>
      </c>
      <c r="V744">
        <f>IF(F744="Tripulacion", COUNTIF(F$5:F744, "Tripulacion"), "")</f>
        <v/>
      </c>
      <c r="W744">
        <f>IF(F744="ENAP carga", COUNTIF(F$5:F744, "ENAP carga"), "")</f>
        <v/>
      </c>
    </row>
    <row r="745">
      <c r="O745" s="117">
        <f>IF(F745="CJ", I745*200, "")</f>
        <v/>
      </c>
      <c r="T745">
        <f>IF(F745="CJ", COUNTIF(F$5:F745, "CJ"), "")</f>
        <v/>
      </c>
      <c r="U745">
        <f>IF(F745="Ignacio", COUNTIF(F$5:F745, "Ignacio"), "")</f>
        <v/>
      </c>
      <c r="V745">
        <f>IF(F745="Tripulacion", COUNTIF(F$5:F745, "Tripulacion"), "")</f>
        <v/>
      </c>
      <c r="W745">
        <f>IF(F745="ENAP carga", COUNTIF(F$5:F745, "ENAP carga"), "")</f>
        <v/>
      </c>
    </row>
    <row r="746">
      <c r="O746" s="117">
        <f>IF(F746="CJ", I746*200, "")</f>
        <v/>
      </c>
      <c r="T746">
        <f>IF(F746="CJ", COUNTIF(F$5:F746, "CJ"), "")</f>
        <v/>
      </c>
      <c r="U746">
        <f>IF(F746="Ignacio", COUNTIF(F$5:F746, "Ignacio"), "")</f>
        <v/>
      </c>
      <c r="V746">
        <f>IF(F746="Tripulacion", COUNTIF(F$5:F746, "Tripulacion"), "")</f>
        <v/>
      </c>
      <c r="W746">
        <f>IF(F746="ENAP carga", COUNTIF(F$5:F746, "ENAP carga"), "")</f>
        <v/>
      </c>
    </row>
    <row r="747">
      <c r="O747" s="117">
        <f>IF(F747="CJ", I747*200, "")</f>
        <v/>
      </c>
      <c r="T747">
        <f>IF(F747="CJ", COUNTIF(F$5:F747, "CJ"), "")</f>
        <v/>
      </c>
      <c r="U747">
        <f>IF(F747="Ignacio", COUNTIF(F$5:F747, "Ignacio"), "")</f>
        <v/>
      </c>
      <c r="V747">
        <f>IF(F747="Tripulacion", COUNTIF(F$5:F747, "Tripulacion"), "")</f>
        <v/>
      </c>
      <c r="W747">
        <f>IF(F747="ENAP carga", COUNTIF(F$5:F747, "ENAP carga"), "")</f>
        <v/>
      </c>
    </row>
    <row r="748">
      <c r="O748" s="117">
        <f>IF(F748="CJ", I748*200, "")</f>
        <v/>
      </c>
      <c r="T748">
        <f>IF(F748="CJ", COUNTIF(F$5:F748, "CJ"), "")</f>
        <v/>
      </c>
      <c r="U748">
        <f>IF(F748="Ignacio", COUNTIF(F$5:F748, "Ignacio"), "")</f>
        <v/>
      </c>
      <c r="V748">
        <f>IF(F748="Tripulacion", COUNTIF(F$5:F748, "Tripulacion"), "")</f>
        <v/>
      </c>
      <c r="W748">
        <f>IF(F748="ENAP carga", COUNTIF(F$5:F748, "ENAP carga"), "")</f>
        <v/>
      </c>
    </row>
    <row r="749">
      <c r="O749" s="117">
        <f>IF(F749="CJ", I749*200, "")</f>
        <v/>
      </c>
      <c r="T749">
        <f>IF(F749="CJ", COUNTIF(F$5:F749, "CJ"), "")</f>
        <v/>
      </c>
      <c r="U749">
        <f>IF(F749="Ignacio", COUNTIF(F$5:F749, "Ignacio"), "")</f>
        <v/>
      </c>
      <c r="V749">
        <f>IF(F749="Tripulacion", COUNTIF(F$5:F749, "Tripulacion"), "")</f>
        <v/>
      </c>
      <c r="W749">
        <f>IF(F749="ENAP carga", COUNTIF(F$5:F749, "ENAP carga"), "")</f>
        <v/>
      </c>
    </row>
    <row r="750">
      <c r="O750" s="117">
        <f>IF(F750="CJ", I750*200, "")</f>
        <v/>
      </c>
      <c r="T750">
        <f>IF(F750="CJ", COUNTIF(F$5:F750, "CJ"), "")</f>
        <v/>
      </c>
      <c r="U750">
        <f>IF(F750="Ignacio", COUNTIF(F$5:F750, "Ignacio"), "")</f>
        <v/>
      </c>
      <c r="V750">
        <f>IF(F750="Tripulacion", COUNTIF(F$5:F750, "Tripulacion"), "")</f>
        <v/>
      </c>
      <c r="W750">
        <f>IF(F750="ENAP carga", COUNTIF(F$5:F750, "ENAP carga"), "")</f>
        <v/>
      </c>
    </row>
    <row r="751">
      <c r="O751" s="117">
        <f>IF(F751="CJ", I751*200, "")</f>
        <v/>
      </c>
      <c r="T751">
        <f>IF(F751="CJ", COUNTIF(F$5:F751, "CJ"), "")</f>
        <v/>
      </c>
      <c r="U751">
        <f>IF(F751="Ignacio", COUNTIF(F$5:F751, "Ignacio"), "")</f>
        <v/>
      </c>
      <c r="V751">
        <f>IF(F751="Tripulacion", COUNTIF(F$5:F751, "Tripulacion"), "")</f>
        <v/>
      </c>
      <c r="W751">
        <f>IF(F751="ENAP carga", COUNTIF(F$5:F751, "ENAP carga"), "")</f>
        <v/>
      </c>
    </row>
    <row r="752">
      <c r="O752" s="117">
        <f>IF(F752="CJ", I752*200, "")</f>
        <v/>
      </c>
      <c r="T752">
        <f>IF(F752="CJ", COUNTIF(F$5:F752, "CJ"), "")</f>
        <v/>
      </c>
      <c r="U752">
        <f>IF(F752="Ignacio", COUNTIF(F$5:F752, "Ignacio"), "")</f>
        <v/>
      </c>
      <c r="V752">
        <f>IF(F752="Tripulacion", COUNTIF(F$5:F752, "Tripulacion"), "")</f>
        <v/>
      </c>
      <c r="W752">
        <f>IF(F752="ENAP carga", COUNTIF(F$5:F752, "ENAP carga"), "")</f>
        <v/>
      </c>
    </row>
    <row r="753">
      <c r="O753" s="117">
        <f>IF(F753="CJ", I753*200, "")</f>
        <v/>
      </c>
      <c r="T753">
        <f>IF(F753="CJ", COUNTIF(F$5:F753, "CJ"), "")</f>
        <v/>
      </c>
      <c r="U753">
        <f>IF(F753="Ignacio", COUNTIF(F$5:F753, "Ignacio"), "")</f>
        <v/>
      </c>
      <c r="V753">
        <f>IF(F753="Tripulacion", COUNTIF(F$5:F753, "Tripulacion"), "")</f>
        <v/>
      </c>
      <c r="W753">
        <f>IF(F753="ENAP carga", COUNTIF(F$5:F753, "ENAP carga"), "")</f>
        <v/>
      </c>
    </row>
    <row r="754">
      <c r="O754" s="117">
        <f>IF(F754="CJ", I754*200, "")</f>
        <v/>
      </c>
      <c r="T754">
        <f>IF(F754="CJ", COUNTIF(F$5:F754, "CJ"), "")</f>
        <v/>
      </c>
      <c r="U754">
        <f>IF(F754="Ignacio", COUNTIF(F$5:F754, "Ignacio"), "")</f>
        <v/>
      </c>
      <c r="V754">
        <f>IF(F754="Tripulacion", COUNTIF(F$5:F754, "Tripulacion"), "")</f>
        <v/>
      </c>
      <c r="W754">
        <f>IF(F754="ENAP carga", COUNTIF(F$5:F754, "ENAP carga"), "")</f>
        <v/>
      </c>
    </row>
    <row r="755">
      <c r="O755" s="117">
        <f>IF(F755="CJ", I755*200, "")</f>
        <v/>
      </c>
      <c r="T755">
        <f>IF(F755="CJ", COUNTIF(F$5:F755, "CJ"), "")</f>
        <v/>
      </c>
      <c r="U755">
        <f>IF(F755="Ignacio", COUNTIF(F$5:F755, "Ignacio"), "")</f>
        <v/>
      </c>
      <c r="V755">
        <f>IF(F755="Tripulacion", COUNTIF(F$5:F755, "Tripulacion"), "")</f>
        <v/>
      </c>
      <c r="W755">
        <f>IF(F755="ENAP carga", COUNTIF(F$5:F755, "ENAP carga"), "")</f>
        <v/>
      </c>
    </row>
    <row r="756">
      <c r="O756" s="117">
        <f>IF(F756="CJ", I756*200, "")</f>
        <v/>
      </c>
      <c r="T756">
        <f>IF(F756="CJ", COUNTIF(F$5:F756, "CJ"), "")</f>
        <v/>
      </c>
      <c r="U756">
        <f>IF(F756="Ignacio", COUNTIF(F$5:F756, "Ignacio"), "")</f>
        <v/>
      </c>
      <c r="V756">
        <f>IF(F756="Tripulacion", COUNTIF(F$5:F756, "Tripulacion"), "")</f>
        <v/>
      </c>
      <c r="W756">
        <f>IF(F756="ENAP carga", COUNTIF(F$5:F756, "ENAP carga"), "")</f>
        <v/>
      </c>
    </row>
    <row r="757">
      <c r="O757" s="117">
        <f>IF(F757="CJ", I757*200, "")</f>
        <v/>
      </c>
      <c r="T757">
        <f>IF(F757="CJ", COUNTIF(F$5:F757, "CJ"), "")</f>
        <v/>
      </c>
      <c r="U757">
        <f>IF(F757="Ignacio", COUNTIF(F$5:F757, "Ignacio"), "")</f>
        <v/>
      </c>
      <c r="V757">
        <f>IF(F757="Tripulacion", COUNTIF(F$5:F757, "Tripulacion"), "")</f>
        <v/>
      </c>
      <c r="W757">
        <f>IF(F757="ENAP carga", COUNTIF(F$5:F757, "ENAP carga"), "")</f>
        <v/>
      </c>
    </row>
    <row r="758">
      <c r="O758" s="117">
        <f>IF(F758="CJ", I758*200, "")</f>
        <v/>
      </c>
      <c r="T758">
        <f>IF(F758="CJ", COUNTIF(F$5:F758, "CJ"), "")</f>
        <v/>
      </c>
      <c r="U758">
        <f>IF(F758="Ignacio", COUNTIF(F$5:F758, "Ignacio"), "")</f>
        <v/>
      </c>
      <c r="V758">
        <f>IF(F758="Tripulacion", COUNTIF(F$5:F758, "Tripulacion"), "")</f>
        <v/>
      </c>
      <c r="W758">
        <f>IF(F758="ENAP carga", COUNTIF(F$5:F758, "ENAP carga"), "")</f>
        <v/>
      </c>
    </row>
    <row r="759">
      <c r="O759" s="117">
        <f>IF(F759="CJ", I759*200, "")</f>
        <v/>
      </c>
      <c r="T759">
        <f>IF(F759="CJ", COUNTIF(F$5:F759, "CJ"), "")</f>
        <v/>
      </c>
      <c r="U759">
        <f>IF(F759="Ignacio", COUNTIF(F$5:F759, "Ignacio"), "")</f>
        <v/>
      </c>
      <c r="V759">
        <f>IF(F759="Tripulacion", COUNTIF(F$5:F759, "Tripulacion"), "")</f>
        <v/>
      </c>
      <c r="W759">
        <f>IF(F759="ENAP carga", COUNTIF(F$5:F759, "ENAP carga"), "")</f>
        <v/>
      </c>
    </row>
    <row r="760">
      <c r="O760" s="117">
        <f>IF(F760="CJ", I760*200, "")</f>
        <v/>
      </c>
      <c r="T760">
        <f>IF(F760="CJ", COUNTIF(F$5:F760, "CJ"), "")</f>
        <v/>
      </c>
      <c r="U760">
        <f>IF(F760="Ignacio", COUNTIF(F$5:F760, "Ignacio"), "")</f>
        <v/>
      </c>
      <c r="V760">
        <f>IF(F760="Tripulacion", COUNTIF(F$5:F760, "Tripulacion"), "")</f>
        <v/>
      </c>
      <c r="W760">
        <f>IF(F760="ENAP carga", COUNTIF(F$5:F760, "ENAP carga"), "")</f>
        <v/>
      </c>
    </row>
    <row r="761">
      <c r="O761" s="117">
        <f>IF(F761="CJ", I761*200, "")</f>
        <v/>
      </c>
      <c r="T761">
        <f>IF(F761="CJ", COUNTIF(F$5:F761, "CJ"), "")</f>
        <v/>
      </c>
      <c r="U761">
        <f>IF(F761="Ignacio", COUNTIF(F$5:F761, "Ignacio"), "")</f>
        <v/>
      </c>
      <c r="V761">
        <f>IF(F761="Tripulacion", COUNTIF(F$5:F761, "Tripulacion"), "")</f>
        <v/>
      </c>
      <c r="W761">
        <f>IF(F761="ENAP carga", COUNTIF(F$5:F761, "ENAP carga"), "")</f>
        <v/>
      </c>
    </row>
    <row r="762">
      <c r="O762" s="117">
        <f>IF(F762="CJ", I762*200, "")</f>
        <v/>
      </c>
      <c r="T762">
        <f>IF(F762="CJ", COUNTIF(F$5:F762, "CJ"), "")</f>
        <v/>
      </c>
      <c r="U762">
        <f>IF(F762="Ignacio", COUNTIF(F$5:F762, "Ignacio"), "")</f>
        <v/>
      </c>
      <c r="V762">
        <f>IF(F762="Tripulacion", COUNTIF(F$5:F762, "Tripulacion"), "")</f>
        <v/>
      </c>
      <c r="W762">
        <f>IF(F762="ENAP carga", COUNTIF(F$5:F762, "ENAP carga"), "")</f>
        <v/>
      </c>
    </row>
    <row r="763">
      <c r="O763" s="117">
        <f>IF(F763="CJ", I763*200, "")</f>
        <v/>
      </c>
      <c r="T763">
        <f>IF(F763="CJ", COUNTIF(F$5:F763, "CJ"), "")</f>
        <v/>
      </c>
      <c r="U763">
        <f>IF(F763="Ignacio", COUNTIF(F$5:F763, "Ignacio"), "")</f>
        <v/>
      </c>
      <c r="V763">
        <f>IF(F763="Tripulacion", COUNTIF(F$5:F763, "Tripulacion"), "")</f>
        <v/>
      </c>
      <c r="W763">
        <f>IF(F763="ENAP carga", COUNTIF(F$5:F763, "ENAP carga"), "")</f>
        <v/>
      </c>
    </row>
    <row r="764">
      <c r="O764" s="117">
        <f>IF(F764="CJ", I764*200, "")</f>
        <v/>
      </c>
      <c r="T764">
        <f>IF(F764="CJ", COUNTIF(F$5:F764, "CJ"), "")</f>
        <v/>
      </c>
      <c r="U764">
        <f>IF(F764="Ignacio", COUNTIF(F$5:F764, "Ignacio"), "")</f>
        <v/>
      </c>
      <c r="V764">
        <f>IF(F764="Tripulacion", COUNTIF(F$5:F764, "Tripulacion"), "")</f>
        <v/>
      </c>
      <c r="W764">
        <f>IF(F764="ENAP carga", COUNTIF(F$5:F764, "ENAP carga"), "")</f>
        <v/>
      </c>
    </row>
    <row r="765">
      <c r="O765" s="117">
        <f>IF(F765="CJ", I765*200, "")</f>
        <v/>
      </c>
      <c r="T765">
        <f>IF(F765="CJ", COUNTIF(F$5:F765, "CJ"), "")</f>
        <v/>
      </c>
      <c r="U765">
        <f>IF(F765="Ignacio", COUNTIF(F$5:F765, "Ignacio"), "")</f>
        <v/>
      </c>
      <c r="V765">
        <f>IF(F765="Tripulacion", COUNTIF(F$5:F765, "Tripulacion"), "")</f>
        <v/>
      </c>
      <c r="W765">
        <f>IF(F765="ENAP carga", COUNTIF(F$5:F765, "ENAP carga"), "")</f>
        <v/>
      </c>
    </row>
    <row r="766">
      <c r="O766" s="117">
        <f>IF(F766="CJ", I766*200, "")</f>
        <v/>
      </c>
      <c r="T766">
        <f>IF(F766="CJ", COUNTIF(F$5:F766, "CJ"), "")</f>
        <v/>
      </c>
      <c r="U766">
        <f>IF(F766="Ignacio", COUNTIF(F$5:F766, "Ignacio"), "")</f>
        <v/>
      </c>
      <c r="V766">
        <f>IF(F766="Tripulacion", COUNTIF(F$5:F766, "Tripulacion"), "")</f>
        <v/>
      </c>
      <c r="W766">
        <f>IF(F766="ENAP carga", COUNTIF(F$5:F766, "ENAP carga"), "")</f>
        <v/>
      </c>
    </row>
    <row r="767">
      <c r="O767" s="117">
        <f>IF(F767="CJ", I767*200, "")</f>
        <v/>
      </c>
      <c r="T767">
        <f>IF(F767="CJ", COUNTIF(F$5:F767, "CJ"), "")</f>
        <v/>
      </c>
      <c r="U767">
        <f>IF(F767="Ignacio", COUNTIF(F$5:F767, "Ignacio"), "")</f>
        <v/>
      </c>
      <c r="V767">
        <f>IF(F767="Tripulacion", COUNTIF(F$5:F767, "Tripulacion"), "")</f>
        <v/>
      </c>
      <c r="W767">
        <f>IF(F767="ENAP carga", COUNTIF(F$5:F767, "ENAP carga"), "")</f>
        <v/>
      </c>
    </row>
    <row r="768">
      <c r="O768" s="117">
        <f>IF(F768="CJ", I768*200, "")</f>
        <v/>
      </c>
      <c r="T768">
        <f>IF(F768="CJ", COUNTIF(F$5:F768, "CJ"), "")</f>
        <v/>
      </c>
      <c r="U768">
        <f>IF(F768="Ignacio", COUNTIF(F$5:F768, "Ignacio"), "")</f>
        <v/>
      </c>
      <c r="V768">
        <f>IF(F768="Tripulacion", COUNTIF(F$5:F768, "Tripulacion"), "")</f>
        <v/>
      </c>
      <c r="W768">
        <f>IF(F768="ENAP carga", COUNTIF(F$5:F768, "ENAP carga"), "")</f>
        <v/>
      </c>
    </row>
    <row r="769">
      <c r="O769" s="117">
        <f>IF(F769="CJ", I769*200, "")</f>
        <v/>
      </c>
      <c r="T769">
        <f>IF(F769="CJ", COUNTIF(F$5:F769, "CJ"), "")</f>
        <v/>
      </c>
      <c r="U769">
        <f>IF(F769="Ignacio", COUNTIF(F$5:F769, "Ignacio"), "")</f>
        <v/>
      </c>
      <c r="V769">
        <f>IF(F769="Tripulacion", COUNTIF(F$5:F769, "Tripulacion"), "")</f>
        <v/>
      </c>
      <c r="W769">
        <f>IF(F769="ENAP carga", COUNTIF(F$5:F769, "ENAP carga"), "")</f>
        <v/>
      </c>
    </row>
    <row r="770">
      <c r="O770" s="117">
        <f>IF(F770="CJ", I770*200, "")</f>
        <v/>
      </c>
      <c r="T770">
        <f>IF(F770="CJ", COUNTIF(F$5:F770, "CJ"), "")</f>
        <v/>
      </c>
      <c r="U770">
        <f>IF(F770="Ignacio", COUNTIF(F$5:F770, "Ignacio"), "")</f>
        <v/>
      </c>
      <c r="V770">
        <f>IF(F770="Tripulacion", COUNTIF(F$5:F770, "Tripulacion"), "")</f>
        <v/>
      </c>
      <c r="W770">
        <f>IF(F770="ENAP carga", COUNTIF(F$5:F770, "ENAP carga"), "")</f>
        <v/>
      </c>
    </row>
    <row r="771">
      <c r="O771" s="117">
        <f>IF(F771="CJ", I771*200, "")</f>
        <v/>
      </c>
      <c r="T771">
        <f>IF(F771="CJ", COUNTIF(F$5:F771, "CJ"), "")</f>
        <v/>
      </c>
      <c r="U771">
        <f>IF(F771="Ignacio", COUNTIF(F$5:F771, "Ignacio"), "")</f>
        <v/>
      </c>
      <c r="V771">
        <f>IF(F771="Tripulacion", COUNTIF(F$5:F771, "Tripulacion"), "")</f>
        <v/>
      </c>
      <c r="W771">
        <f>IF(F771="ENAP carga", COUNTIF(F$5:F771, "ENAP carga"), "")</f>
        <v/>
      </c>
    </row>
    <row r="772">
      <c r="O772" s="117">
        <f>IF(F772="CJ", I772*200, "")</f>
        <v/>
      </c>
      <c r="T772">
        <f>IF(F772="CJ", COUNTIF(F$5:F772, "CJ"), "")</f>
        <v/>
      </c>
      <c r="U772">
        <f>IF(F772="Ignacio", COUNTIF(F$5:F772, "Ignacio"), "")</f>
        <v/>
      </c>
      <c r="V772">
        <f>IF(F772="Tripulacion", COUNTIF(F$5:F772, "Tripulacion"), "")</f>
        <v/>
      </c>
      <c r="W772">
        <f>IF(F772="ENAP carga", COUNTIF(F$5:F772, "ENAP carga"), "")</f>
        <v/>
      </c>
    </row>
    <row r="773">
      <c r="O773" s="117">
        <f>IF(F773="CJ", I773*200, "")</f>
        <v/>
      </c>
      <c r="T773">
        <f>IF(F773="CJ", COUNTIF(F$5:F773, "CJ"), "")</f>
        <v/>
      </c>
      <c r="U773">
        <f>IF(F773="Ignacio", COUNTIF(F$5:F773, "Ignacio"), "")</f>
        <v/>
      </c>
      <c r="V773">
        <f>IF(F773="Tripulacion", COUNTIF(F$5:F773, "Tripulacion"), "")</f>
        <v/>
      </c>
      <c r="W773">
        <f>IF(F773="ENAP carga", COUNTIF(F$5:F773, "ENAP carga"), "")</f>
        <v/>
      </c>
    </row>
    <row r="774">
      <c r="O774" s="117">
        <f>IF(F774="CJ", I774*200, "")</f>
        <v/>
      </c>
      <c r="T774">
        <f>IF(F774="CJ", COUNTIF(F$5:F774, "CJ"), "")</f>
        <v/>
      </c>
      <c r="U774">
        <f>IF(F774="Ignacio", COUNTIF(F$5:F774, "Ignacio"), "")</f>
        <v/>
      </c>
      <c r="V774">
        <f>IF(F774="Tripulacion", COUNTIF(F$5:F774, "Tripulacion"), "")</f>
        <v/>
      </c>
      <c r="W774">
        <f>IF(F774="ENAP carga", COUNTIF(F$5:F774, "ENAP carga"), "")</f>
        <v/>
      </c>
    </row>
    <row r="775">
      <c r="O775" s="117">
        <f>IF(F775="CJ", I775*200, "")</f>
        <v/>
      </c>
      <c r="T775">
        <f>IF(F775="CJ", COUNTIF(F$5:F775, "CJ"), "")</f>
        <v/>
      </c>
      <c r="U775">
        <f>IF(F775="Ignacio", COUNTIF(F$5:F775, "Ignacio"), "")</f>
        <v/>
      </c>
      <c r="V775">
        <f>IF(F775="Tripulacion", COUNTIF(F$5:F775, "Tripulacion"), "")</f>
        <v/>
      </c>
      <c r="W775">
        <f>IF(F775="ENAP carga", COUNTIF(F$5:F775, "ENAP carga"), "")</f>
        <v/>
      </c>
    </row>
    <row r="776">
      <c r="O776" s="117">
        <f>IF(F776="CJ", I776*200, "")</f>
        <v/>
      </c>
      <c r="T776">
        <f>IF(F776="CJ", COUNTIF(F$5:F776, "CJ"), "")</f>
        <v/>
      </c>
      <c r="U776">
        <f>IF(F776="Ignacio", COUNTIF(F$5:F776, "Ignacio"), "")</f>
        <v/>
      </c>
      <c r="V776">
        <f>IF(F776="Tripulacion", COUNTIF(F$5:F776, "Tripulacion"), "")</f>
        <v/>
      </c>
      <c r="W776">
        <f>IF(F776="ENAP carga", COUNTIF(F$5:F776, "ENAP carga"), "")</f>
        <v/>
      </c>
    </row>
    <row r="777">
      <c r="O777" s="117">
        <f>IF(F777="CJ", I777*200, "")</f>
        <v/>
      </c>
      <c r="T777">
        <f>IF(F777="CJ", COUNTIF(F$5:F777, "CJ"), "")</f>
        <v/>
      </c>
      <c r="U777">
        <f>IF(F777="Ignacio", COUNTIF(F$5:F777, "Ignacio"), "")</f>
        <v/>
      </c>
      <c r="V777">
        <f>IF(F777="Tripulacion", COUNTIF(F$5:F777, "Tripulacion"), "")</f>
        <v/>
      </c>
      <c r="W777">
        <f>IF(F777="ENAP carga", COUNTIF(F$5:F777, "ENAP carga"), "")</f>
        <v/>
      </c>
    </row>
    <row r="778">
      <c r="O778" s="117">
        <f>IF(F778="CJ", I778*200, "")</f>
        <v/>
      </c>
      <c r="T778">
        <f>IF(F778="CJ", COUNTIF(F$5:F778, "CJ"), "")</f>
        <v/>
      </c>
      <c r="U778">
        <f>IF(F778="Ignacio", COUNTIF(F$5:F778, "Ignacio"), "")</f>
        <v/>
      </c>
      <c r="V778">
        <f>IF(F778="Tripulacion", COUNTIF(F$5:F778, "Tripulacion"), "")</f>
        <v/>
      </c>
      <c r="W778">
        <f>IF(F778="ENAP carga", COUNTIF(F$5:F778, "ENAP carga"), "")</f>
        <v/>
      </c>
    </row>
    <row r="779">
      <c r="O779" s="117">
        <f>IF(F779="CJ", I779*200, "")</f>
        <v/>
      </c>
      <c r="T779">
        <f>IF(F779="CJ", COUNTIF(F$5:F779, "CJ"), "")</f>
        <v/>
      </c>
      <c r="U779">
        <f>IF(F779="Ignacio", COUNTIF(F$5:F779, "Ignacio"), "")</f>
        <v/>
      </c>
      <c r="V779">
        <f>IF(F779="Tripulacion", COUNTIF(F$5:F779, "Tripulacion"), "")</f>
        <v/>
      </c>
      <c r="W779">
        <f>IF(F779="ENAP carga", COUNTIF(F$5:F779, "ENAP carga"), "")</f>
        <v/>
      </c>
    </row>
    <row r="780">
      <c r="O780" s="117">
        <f>IF(F780="CJ", I780*200, "")</f>
        <v/>
      </c>
      <c r="T780">
        <f>IF(F780="CJ", COUNTIF(F$5:F780, "CJ"), "")</f>
        <v/>
      </c>
      <c r="U780">
        <f>IF(F780="Ignacio", COUNTIF(F$5:F780, "Ignacio"), "")</f>
        <v/>
      </c>
      <c r="V780">
        <f>IF(F780="Tripulacion", COUNTIF(F$5:F780, "Tripulacion"), "")</f>
        <v/>
      </c>
      <c r="W780">
        <f>IF(F780="ENAP carga", COUNTIF(F$5:F780, "ENAP carga"), "")</f>
        <v/>
      </c>
    </row>
    <row r="781">
      <c r="O781" s="117">
        <f>IF(F781="CJ", I781*200, "")</f>
        <v/>
      </c>
      <c r="T781">
        <f>IF(F781="CJ", COUNTIF(F$5:F781, "CJ"), "")</f>
        <v/>
      </c>
      <c r="U781">
        <f>IF(F781="Ignacio", COUNTIF(F$5:F781, "Ignacio"), "")</f>
        <v/>
      </c>
      <c r="V781">
        <f>IF(F781="Tripulacion", COUNTIF(F$5:F781, "Tripulacion"), "")</f>
        <v/>
      </c>
      <c r="W781">
        <f>IF(F781="ENAP carga", COUNTIF(F$5:F781, "ENAP carga"), "")</f>
        <v/>
      </c>
    </row>
    <row r="782">
      <c r="O782" s="117">
        <f>IF(F782="CJ", I782*200, "")</f>
        <v/>
      </c>
      <c r="T782">
        <f>IF(F782="CJ", COUNTIF(F$5:F782, "CJ"), "")</f>
        <v/>
      </c>
      <c r="U782">
        <f>IF(F782="Ignacio", COUNTIF(F$5:F782, "Ignacio"), "")</f>
        <v/>
      </c>
      <c r="V782">
        <f>IF(F782="Tripulacion", COUNTIF(F$5:F782, "Tripulacion"), "")</f>
        <v/>
      </c>
      <c r="W782">
        <f>IF(F782="ENAP carga", COUNTIF(F$5:F782, "ENAP carga"), "")</f>
        <v/>
      </c>
    </row>
    <row r="783">
      <c r="O783" s="117">
        <f>IF(F783="CJ", I783*200, "")</f>
        <v/>
      </c>
      <c r="T783">
        <f>IF(F783="CJ", COUNTIF(F$5:F783, "CJ"), "")</f>
        <v/>
      </c>
      <c r="U783">
        <f>IF(F783="Ignacio", COUNTIF(F$5:F783, "Ignacio"), "")</f>
        <v/>
      </c>
      <c r="V783">
        <f>IF(F783="Tripulacion", COUNTIF(F$5:F783, "Tripulacion"), "")</f>
        <v/>
      </c>
      <c r="W783">
        <f>IF(F783="ENAP carga", COUNTIF(F$5:F783, "ENAP carga"), "")</f>
        <v/>
      </c>
    </row>
    <row r="784">
      <c r="O784" s="117">
        <f>IF(F784="CJ", I784*200, "")</f>
        <v/>
      </c>
      <c r="T784">
        <f>IF(F784="CJ", COUNTIF(F$5:F784, "CJ"), "")</f>
        <v/>
      </c>
      <c r="U784">
        <f>IF(F784="Ignacio", COUNTIF(F$5:F784, "Ignacio"), "")</f>
        <v/>
      </c>
      <c r="V784">
        <f>IF(F784="Tripulacion", COUNTIF(F$5:F784, "Tripulacion"), "")</f>
        <v/>
      </c>
      <c r="W784">
        <f>IF(F784="ENAP carga", COUNTIF(F$5:F784, "ENAP carga"), "")</f>
        <v/>
      </c>
    </row>
    <row r="785">
      <c r="O785" s="117">
        <f>IF(F785="CJ", I785*200, "")</f>
        <v/>
      </c>
      <c r="T785">
        <f>IF(F785="CJ", COUNTIF(F$5:F785, "CJ"), "")</f>
        <v/>
      </c>
      <c r="U785">
        <f>IF(F785="Ignacio", COUNTIF(F$5:F785, "Ignacio"), "")</f>
        <v/>
      </c>
      <c r="V785">
        <f>IF(F785="Tripulacion", COUNTIF(F$5:F785, "Tripulacion"), "")</f>
        <v/>
      </c>
      <c r="W785">
        <f>IF(F785="ENAP carga", COUNTIF(F$5:F785, "ENAP carga"), "")</f>
        <v/>
      </c>
    </row>
    <row r="786">
      <c r="O786" s="117">
        <f>IF(F786="CJ", I786*200, "")</f>
        <v/>
      </c>
      <c r="T786">
        <f>IF(F786="CJ", COUNTIF(F$5:F786, "CJ"), "")</f>
        <v/>
      </c>
      <c r="U786">
        <f>IF(F786="Ignacio", COUNTIF(F$5:F786, "Ignacio"), "")</f>
        <v/>
      </c>
      <c r="V786">
        <f>IF(F786="Tripulacion", COUNTIF(F$5:F786, "Tripulacion"), "")</f>
        <v/>
      </c>
      <c r="W786">
        <f>IF(F786="ENAP carga", COUNTIF(F$5:F786, "ENAP carga"), "")</f>
        <v/>
      </c>
    </row>
    <row r="787">
      <c r="O787" s="117">
        <f>IF(F787="CJ", I787*200, "")</f>
        <v/>
      </c>
      <c r="T787">
        <f>IF(F787="CJ", COUNTIF(F$5:F787, "CJ"), "")</f>
        <v/>
      </c>
      <c r="U787">
        <f>IF(F787="Ignacio", COUNTIF(F$5:F787, "Ignacio"), "")</f>
        <v/>
      </c>
      <c r="V787">
        <f>IF(F787="Tripulacion", COUNTIF(F$5:F787, "Tripulacion"), "")</f>
        <v/>
      </c>
      <c r="W787">
        <f>IF(F787="ENAP carga", COUNTIF(F$5:F787, "ENAP carga"), "")</f>
        <v/>
      </c>
    </row>
    <row r="788">
      <c r="O788" s="117">
        <f>IF(F788="CJ", I788*200, "")</f>
        <v/>
      </c>
      <c r="T788">
        <f>IF(F788="CJ", COUNTIF(F$5:F788, "CJ"), "")</f>
        <v/>
      </c>
      <c r="U788">
        <f>IF(F788="Ignacio", COUNTIF(F$5:F788, "Ignacio"), "")</f>
        <v/>
      </c>
      <c r="V788">
        <f>IF(F788="Tripulacion", COUNTIF(F$5:F788, "Tripulacion"), "")</f>
        <v/>
      </c>
      <c r="W788">
        <f>IF(F788="ENAP carga", COUNTIF(F$5:F788, "ENAP carga"), "")</f>
        <v/>
      </c>
    </row>
    <row r="789">
      <c r="O789" s="117">
        <f>IF(F789="CJ", I789*200, "")</f>
        <v/>
      </c>
      <c r="T789">
        <f>IF(F789="CJ", COUNTIF(F$5:F789, "CJ"), "")</f>
        <v/>
      </c>
      <c r="U789">
        <f>IF(F789="Ignacio", COUNTIF(F$5:F789, "Ignacio"), "")</f>
        <v/>
      </c>
      <c r="V789">
        <f>IF(F789="Tripulacion", COUNTIF(F$5:F789, "Tripulacion"), "")</f>
        <v/>
      </c>
      <c r="W789">
        <f>IF(F789="ENAP carga", COUNTIF(F$5:F789, "ENAP carga"), "")</f>
        <v/>
      </c>
    </row>
    <row r="790">
      <c r="O790" s="117">
        <f>IF(F790="CJ", I790*200, "")</f>
        <v/>
      </c>
      <c r="T790">
        <f>IF(F790="CJ", COUNTIF(F$5:F790, "CJ"), "")</f>
        <v/>
      </c>
      <c r="U790">
        <f>IF(F790="Ignacio", COUNTIF(F$5:F790, "Ignacio"), "")</f>
        <v/>
      </c>
      <c r="V790">
        <f>IF(F790="Tripulacion", COUNTIF(F$5:F790, "Tripulacion"), "")</f>
        <v/>
      </c>
      <c r="W790">
        <f>IF(F790="ENAP carga", COUNTIF(F$5:F790, "ENAP carga"), "")</f>
        <v/>
      </c>
    </row>
    <row r="791">
      <c r="O791" s="117">
        <f>IF(F791="CJ", I791*200, "")</f>
        <v/>
      </c>
      <c r="T791">
        <f>IF(F791="CJ", COUNTIF(F$5:F791, "CJ"), "")</f>
        <v/>
      </c>
      <c r="U791">
        <f>IF(F791="Ignacio", COUNTIF(F$5:F791, "Ignacio"), "")</f>
        <v/>
      </c>
      <c r="V791">
        <f>IF(F791="Tripulacion", COUNTIF(F$5:F791, "Tripulacion"), "")</f>
        <v/>
      </c>
      <c r="W791">
        <f>IF(F791="ENAP carga", COUNTIF(F$5:F791, "ENAP carga"), "")</f>
        <v/>
      </c>
    </row>
    <row r="792">
      <c r="O792" s="117">
        <f>IF(F792="CJ", I792*200, "")</f>
        <v/>
      </c>
      <c r="T792">
        <f>IF(F792="CJ", COUNTIF(F$5:F792, "CJ"), "")</f>
        <v/>
      </c>
      <c r="U792">
        <f>IF(F792="Ignacio", COUNTIF(F$5:F792, "Ignacio"), "")</f>
        <v/>
      </c>
      <c r="V792">
        <f>IF(F792="Tripulacion", COUNTIF(F$5:F792, "Tripulacion"), "")</f>
        <v/>
      </c>
      <c r="W792">
        <f>IF(F792="ENAP carga", COUNTIF(F$5:F792, "ENAP carga"), "")</f>
        <v/>
      </c>
    </row>
    <row r="793">
      <c r="O793" s="117">
        <f>IF(F793="CJ", I793*200, "")</f>
        <v/>
      </c>
      <c r="T793">
        <f>IF(F793="CJ", COUNTIF(F$5:F793, "CJ"), "")</f>
        <v/>
      </c>
      <c r="U793">
        <f>IF(F793="Ignacio", COUNTIF(F$5:F793, "Ignacio"), "")</f>
        <v/>
      </c>
      <c r="V793">
        <f>IF(F793="Tripulacion", COUNTIF(F$5:F793, "Tripulacion"), "")</f>
        <v/>
      </c>
      <c r="W793">
        <f>IF(F793="ENAP carga", COUNTIF(F$5:F793, "ENAP carga"), "")</f>
        <v/>
      </c>
    </row>
    <row r="794">
      <c r="O794" s="117">
        <f>IF(F794="CJ", I794*200, "")</f>
        <v/>
      </c>
      <c r="T794">
        <f>IF(F794="CJ", COUNTIF(F$5:F794, "CJ"), "")</f>
        <v/>
      </c>
      <c r="U794">
        <f>IF(F794="Ignacio", COUNTIF(F$5:F794, "Ignacio"), "")</f>
        <v/>
      </c>
      <c r="V794">
        <f>IF(F794="Tripulacion", COUNTIF(F$5:F794, "Tripulacion"), "")</f>
        <v/>
      </c>
      <c r="W794">
        <f>IF(F794="ENAP carga", COUNTIF(F$5:F794, "ENAP carga"), "")</f>
        <v/>
      </c>
    </row>
    <row r="795">
      <c r="O795" s="117">
        <f>IF(F795="CJ", I795*200, "")</f>
        <v/>
      </c>
      <c r="T795">
        <f>IF(F795="CJ", COUNTIF(F$5:F795, "CJ"), "")</f>
        <v/>
      </c>
      <c r="U795">
        <f>IF(F795="Ignacio", COUNTIF(F$5:F795, "Ignacio"), "")</f>
        <v/>
      </c>
      <c r="V795">
        <f>IF(F795="Tripulacion", COUNTIF(F$5:F795, "Tripulacion"), "")</f>
        <v/>
      </c>
      <c r="W795">
        <f>IF(F795="ENAP carga", COUNTIF(F$5:F795, "ENAP carga"), "")</f>
        <v/>
      </c>
    </row>
    <row r="796">
      <c r="O796" s="117">
        <f>IF(F796="CJ", I796*200, "")</f>
        <v/>
      </c>
      <c r="T796">
        <f>IF(F796="CJ", COUNTIF(F$5:F796, "CJ"), "")</f>
        <v/>
      </c>
      <c r="U796">
        <f>IF(F796="Ignacio", COUNTIF(F$5:F796, "Ignacio"), "")</f>
        <v/>
      </c>
      <c r="V796">
        <f>IF(F796="Tripulacion", COUNTIF(F$5:F796, "Tripulacion"), "")</f>
        <v/>
      </c>
      <c r="W796">
        <f>IF(F796="ENAP carga", COUNTIF(F$5:F796, "ENAP carga"), "")</f>
        <v/>
      </c>
    </row>
    <row r="797">
      <c r="O797" s="117">
        <f>IF(F797="CJ", I797*200, "")</f>
        <v/>
      </c>
      <c r="T797">
        <f>IF(F797="CJ", COUNTIF(F$5:F797, "CJ"), "")</f>
        <v/>
      </c>
      <c r="U797">
        <f>IF(F797="Ignacio", COUNTIF(F$5:F797, "Ignacio"), "")</f>
        <v/>
      </c>
      <c r="V797">
        <f>IF(F797="Tripulacion", COUNTIF(F$5:F797, "Tripulacion"), "")</f>
        <v/>
      </c>
      <c r="W797">
        <f>IF(F797="ENAP carga", COUNTIF(F$5:F797, "ENAP carga"), "")</f>
        <v/>
      </c>
    </row>
    <row r="798">
      <c r="O798" s="117">
        <f>IF(F798="CJ", I798*200, "")</f>
        <v/>
      </c>
      <c r="T798">
        <f>IF(F798="CJ", COUNTIF(F$5:F798, "CJ"), "")</f>
        <v/>
      </c>
      <c r="U798">
        <f>IF(F798="Ignacio", COUNTIF(F$5:F798, "Ignacio"), "")</f>
        <v/>
      </c>
      <c r="V798">
        <f>IF(F798="Tripulacion", COUNTIF(F$5:F798, "Tripulacion"), "")</f>
        <v/>
      </c>
      <c r="W798">
        <f>IF(F798="ENAP carga", COUNTIF(F$5:F798, "ENAP carga"), "")</f>
        <v/>
      </c>
    </row>
    <row r="799">
      <c r="O799" s="117">
        <f>IF(F799="CJ", I799*200, "")</f>
        <v/>
      </c>
      <c r="T799">
        <f>IF(F799="CJ", COUNTIF(F$5:F799, "CJ"), "")</f>
        <v/>
      </c>
      <c r="U799">
        <f>IF(F799="Ignacio", COUNTIF(F$5:F799, "Ignacio"), "")</f>
        <v/>
      </c>
      <c r="V799">
        <f>IF(F799="Tripulacion", COUNTIF(F$5:F799, "Tripulacion"), "")</f>
        <v/>
      </c>
      <c r="W799">
        <f>IF(F799="ENAP carga", COUNTIF(F$5:F799, "ENAP carga"), "")</f>
        <v/>
      </c>
    </row>
    <row r="800">
      <c r="O800" s="117">
        <f>IF(F800="CJ", I800*200, "")</f>
        <v/>
      </c>
      <c r="T800">
        <f>IF(F800="CJ", COUNTIF(F$5:F800, "CJ"), "")</f>
        <v/>
      </c>
      <c r="U800">
        <f>IF(F800="Ignacio", COUNTIF(F$5:F800, "Ignacio"), "")</f>
        <v/>
      </c>
      <c r="V800">
        <f>IF(F800="Tripulacion", COUNTIF(F$5:F800, "Tripulacion"), "")</f>
        <v/>
      </c>
      <c r="W800">
        <f>IF(F800="ENAP carga", COUNTIF(F$5:F800, "ENAP carga"), "")</f>
        <v/>
      </c>
    </row>
    <row r="801">
      <c r="O801" s="117">
        <f>IF(F801="CJ", I801*200, "")</f>
        <v/>
      </c>
      <c r="T801">
        <f>IF(F801="CJ", COUNTIF(F$5:F801, "CJ"), "")</f>
        <v/>
      </c>
      <c r="U801">
        <f>IF(F801="Ignacio", COUNTIF(F$5:F801, "Ignacio"), "")</f>
        <v/>
      </c>
      <c r="V801">
        <f>IF(F801="Tripulacion", COUNTIF(F$5:F801, "Tripulacion"), "")</f>
        <v/>
      </c>
      <c r="W801">
        <f>IF(F801="ENAP carga", COUNTIF(F$5:F801, "ENAP carga"), "")</f>
        <v/>
      </c>
    </row>
    <row r="802">
      <c r="O802" s="117">
        <f>IF(F802="CJ", I802*200, "")</f>
        <v/>
      </c>
      <c r="T802">
        <f>IF(F802="CJ", COUNTIF(F$5:F802, "CJ"), "")</f>
        <v/>
      </c>
      <c r="U802">
        <f>IF(F802="Ignacio", COUNTIF(F$5:F802, "Ignacio"), "")</f>
        <v/>
      </c>
      <c r="V802">
        <f>IF(F802="Tripulacion", COUNTIF(F$5:F802, "Tripulacion"), "")</f>
        <v/>
      </c>
      <c r="W802">
        <f>IF(F802="ENAP carga", COUNTIF(F$5:F802, "ENAP carga"), "")</f>
        <v/>
      </c>
    </row>
    <row r="803">
      <c r="O803" s="117">
        <f>IF(F803="CJ", I803*200, "")</f>
        <v/>
      </c>
      <c r="T803">
        <f>IF(F803="CJ", COUNTIF(F$5:F803, "CJ"), "")</f>
        <v/>
      </c>
      <c r="U803">
        <f>IF(F803="Ignacio", COUNTIF(F$5:F803, "Ignacio"), "")</f>
        <v/>
      </c>
      <c r="V803">
        <f>IF(F803="Tripulacion", COUNTIF(F$5:F803, "Tripulacion"), "")</f>
        <v/>
      </c>
      <c r="W803">
        <f>IF(F803="ENAP carga", COUNTIF(F$5:F803, "ENAP carga"), "")</f>
        <v/>
      </c>
    </row>
    <row r="804">
      <c r="O804" s="117">
        <f>IF(F804="CJ", I804*200, "")</f>
        <v/>
      </c>
      <c r="T804">
        <f>IF(F804="CJ", COUNTIF(F$5:F804, "CJ"), "")</f>
        <v/>
      </c>
      <c r="U804">
        <f>IF(F804="Ignacio", COUNTIF(F$5:F804, "Ignacio"), "")</f>
        <v/>
      </c>
      <c r="V804">
        <f>IF(F804="Tripulacion", COUNTIF(F$5:F804, "Tripulacion"), "")</f>
        <v/>
      </c>
      <c r="W804">
        <f>IF(F804="ENAP carga", COUNTIF(F$5:F804, "ENAP carga"), "")</f>
        <v/>
      </c>
    </row>
    <row r="805">
      <c r="O805" s="117">
        <f>IF(F805="CJ", I805*200, "")</f>
        <v/>
      </c>
      <c r="T805">
        <f>IF(F805="CJ", COUNTIF(F$5:F805, "CJ"), "")</f>
        <v/>
      </c>
      <c r="U805">
        <f>IF(F805="Ignacio", COUNTIF(F$5:F805, "Ignacio"), "")</f>
        <v/>
      </c>
      <c r="V805">
        <f>IF(F805="Tripulacion", COUNTIF(F$5:F805, "Tripulacion"), "")</f>
        <v/>
      </c>
      <c r="W805">
        <f>IF(F805="ENAP carga", COUNTIF(F$5:F805, "ENAP carga"), "")</f>
        <v/>
      </c>
    </row>
    <row r="806">
      <c r="O806" s="117">
        <f>IF(F806="CJ", I806*200, "")</f>
        <v/>
      </c>
      <c r="T806">
        <f>IF(F806="CJ", COUNTIF(F$5:F806, "CJ"), "")</f>
        <v/>
      </c>
      <c r="U806">
        <f>IF(F806="Ignacio", COUNTIF(F$5:F806, "Ignacio"), "")</f>
        <v/>
      </c>
      <c r="V806">
        <f>IF(F806="Tripulacion", COUNTIF(F$5:F806, "Tripulacion"), "")</f>
        <v/>
      </c>
      <c r="W806">
        <f>IF(F806="ENAP carga", COUNTIF(F$5:F806, "ENAP carga"), "")</f>
        <v/>
      </c>
    </row>
    <row r="807">
      <c r="O807" s="117">
        <f>IF(F807="CJ", I807*200, "")</f>
        <v/>
      </c>
      <c r="T807">
        <f>IF(F807="CJ", COUNTIF(F$5:F807, "CJ"), "")</f>
        <v/>
      </c>
      <c r="U807">
        <f>IF(F807="Ignacio", COUNTIF(F$5:F807, "Ignacio"), "")</f>
        <v/>
      </c>
      <c r="V807">
        <f>IF(F807="Tripulacion", COUNTIF(F$5:F807, "Tripulacion"), "")</f>
        <v/>
      </c>
      <c r="W807">
        <f>IF(F807="ENAP carga", COUNTIF(F$5:F807, "ENAP carga"), "")</f>
        <v/>
      </c>
    </row>
    <row r="808">
      <c r="O808" s="117">
        <f>IF(F808="CJ", I808*200, "")</f>
        <v/>
      </c>
      <c r="T808">
        <f>IF(F808="CJ", COUNTIF(F$5:F808, "CJ"), "")</f>
        <v/>
      </c>
      <c r="U808">
        <f>IF(F808="Ignacio", COUNTIF(F$5:F808, "Ignacio"), "")</f>
        <v/>
      </c>
      <c r="V808">
        <f>IF(F808="Tripulacion", COUNTIF(F$5:F808, "Tripulacion"), "")</f>
        <v/>
      </c>
      <c r="W808">
        <f>IF(F808="ENAP carga", COUNTIF(F$5:F808, "ENAP carga"), "")</f>
        <v/>
      </c>
    </row>
    <row r="809">
      <c r="O809" s="117">
        <f>IF(F809="CJ", I809*200, "")</f>
        <v/>
      </c>
      <c r="T809">
        <f>IF(F809="CJ", COUNTIF(F$5:F809, "CJ"), "")</f>
        <v/>
      </c>
      <c r="U809">
        <f>IF(F809="Ignacio", COUNTIF(F$5:F809, "Ignacio"), "")</f>
        <v/>
      </c>
      <c r="V809">
        <f>IF(F809="Tripulacion", COUNTIF(F$5:F809, "Tripulacion"), "")</f>
        <v/>
      </c>
      <c r="W809">
        <f>IF(F809="ENAP carga", COUNTIF(F$5:F809, "ENAP carga"), "")</f>
        <v/>
      </c>
    </row>
    <row r="810">
      <c r="O810" s="117">
        <f>IF(F810="CJ", I810*200, "")</f>
        <v/>
      </c>
      <c r="T810">
        <f>IF(F810="CJ", COUNTIF(F$5:F810, "CJ"), "")</f>
        <v/>
      </c>
      <c r="U810">
        <f>IF(F810="Ignacio", COUNTIF(F$5:F810, "Ignacio"), "")</f>
        <v/>
      </c>
      <c r="V810">
        <f>IF(F810="Tripulacion", COUNTIF(F$5:F810, "Tripulacion"), "")</f>
        <v/>
      </c>
      <c r="W810">
        <f>IF(F810="ENAP carga", COUNTIF(F$5:F810, "ENAP carga"), "")</f>
        <v/>
      </c>
    </row>
    <row r="811">
      <c r="O811" s="117">
        <f>IF(F811="CJ", I811*200, "")</f>
        <v/>
      </c>
      <c r="T811">
        <f>IF(F811="CJ", COUNTIF(F$5:F811, "CJ"), "")</f>
        <v/>
      </c>
      <c r="U811">
        <f>IF(F811="Ignacio", COUNTIF(F$5:F811, "Ignacio"), "")</f>
        <v/>
      </c>
      <c r="V811">
        <f>IF(F811="Tripulacion", COUNTIF(F$5:F811, "Tripulacion"), "")</f>
        <v/>
      </c>
      <c r="W811">
        <f>IF(F811="ENAP carga", COUNTIF(F$5:F811, "ENAP carga"), "")</f>
        <v/>
      </c>
    </row>
    <row r="812">
      <c r="O812" s="117">
        <f>IF(F812="CJ", I812*200, "")</f>
        <v/>
      </c>
      <c r="T812">
        <f>IF(F812="CJ", COUNTIF(F$5:F812, "CJ"), "")</f>
        <v/>
      </c>
      <c r="U812">
        <f>IF(F812="Ignacio", COUNTIF(F$5:F812, "Ignacio"), "")</f>
        <v/>
      </c>
      <c r="V812">
        <f>IF(F812="Tripulacion", COUNTIF(F$5:F812, "Tripulacion"), "")</f>
        <v/>
      </c>
      <c r="W812">
        <f>IF(F812="ENAP carga", COUNTIF(F$5:F812, "ENAP carga"), "")</f>
        <v/>
      </c>
    </row>
    <row r="813">
      <c r="O813" s="117">
        <f>IF(F813="CJ", I813*200, "")</f>
        <v/>
      </c>
      <c r="T813">
        <f>IF(F813="CJ", COUNTIF(F$5:F813, "CJ"), "")</f>
        <v/>
      </c>
      <c r="U813">
        <f>IF(F813="Ignacio", COUNTIF(F$5:F813, "Ignacio"), "")</f>
        <v/>
      </c>
      <c r="V813">
        <f>IF(F813="Tripulacion", COUNTIF(F$5:F813, "Tripulacion"), "")</f>
        <v/>
      </c>
      <c r="W813">
        <f>IF(F813="ENAP carga", COUNTIF(F$5:F813, "ENAP carga"), "")</f>
        <v/>
      </c>
    </row>
    <row r="814">
      <c r="O814" s="117">
        <f>IF(F814="CJ", I814*200, "")</f>
        <v/>
      </c>
      <c r="T814">
        <f>IF(F814="CJ", COUNTIF(F$5:F814, "CJ"), "")</f>
        <v/>
      </c>
      <c r="U814">
        <f>IF(F814="Ignacio", COUNTIF(F$5:F814, "Ignacio"), "")</f>
        <v/>
      </c>
      <c r="V814">
        <f>IF(F814="Tripulacion", COUNTIF(F$5:F814, "Tripulacion"), "")</f>
        <v/>
      </c>
      <c r="W814">
        <f>IF(F814="ENAP carga", COUNTIF(F$5:F814, "ENAP carga"), "")</f>
        <v/>
      </c>
    </row>
    <row r="815">
      <c r="O815" s="117">
        <f>IF(F815="CJ", I815*200, "")</f>
        <v/>
      </c>
      <c r="T815">
        <f>IF(F815="CJ", COUNTIF(F$5:F815, "CJ"), "")</f>
        <v/>
      </c>
      <c r="U815">
        <f>IF(F815="Ignacio", COUNTIF(F$5:F815, "Ignacio"), "")</f>
        <v/>
      </c>
      <c r="V815">
        <f>IF(F815="Tripulacion", COUNTIF(F$5:F815, "Tripulacion"), "")</f>
        <v/>
      </c>
      <c r="W815">
        <f>IF(F815="ENAP carga", COUNTIF(F$5:F815, "ENAP carga"), "")</f>
        <v/>
      </c>
    </row>
    <row r="816">
      <c r="O816" s="117">
        <f>IF(F816="CJ", I816*200, "")</f>
        <v/>
      </c>
      <c r="T816">
        <f>IF(F816="CJ", COUNTIF(F$5:F816, "CJ"), "")</f>
        <v/>
      </c>
      <c r="U816">
        <f>IF(F816="Ignacio", COUNTIF(F$5:F816, "Ignacio"), "")</f>
        <v/>
      </c>
      <c r="V816">
        <f>IF(F816="Tripulacion", COUNTIF(F$5:F816, "Tripulacion"), "")</f>
        <v/>
      </c>
      <c r="W816">
        <f>IF(F816="ENAP carga", COUNTIF(F$5:F816, "ENAP carga"), "")</f>
        <v/>
      </c>
    </row>
    <row r="817">
      <c r="O817" s="117">
        <f>IF(F817="CJ", I817*200, "")</f>
        <v/>
      </c>
      <c r="T817">
        <f>IF(F817="CJ", COUNTIF(F$5:F817, "CJ"), "")</f>
        <v/>
      </c>
      <c r="U817">
        <f>IF(F817="Ignacio", COUNTIF(F$5:F817, "Ignacio"), "")</f>
        <v/>
      </c>
      <c r="V817">
        <f>IF(F817="Tripulacion", COUNTIF(F$5:F817, "Tripulacion"), "")</f>
        <v/>
      </c>
      <c r="W817">
        <f>IF(F817="ENAP carga", COUNTIF(F$5:F817, "ENAP carga"), "")</f>
        <v/>
      </c>
    </row>
    <row r="818">
      <c r="O818" s="117">
        <f>IF(F818="CJ", I818*200, "")</f>
        <v/>
      </c>
      <c r="T818">
        <f>IF(F818="CJ", COUNTIF(F$5:F818, "CJ"), "")</f>
        <v/>
      </c>
      <c r="U818">
        <f>IF(F818="Ignacio", COUNTIF(F$5:F818, "Ignacio"), "")</f>
        <v/>
      </c>
      <c r="V818">
        <f>IF(F818="Tripulacion", COUNTIF(F$5:F818, "Tripulacion"), "")</f>
        <v/>
      </c>
      <c r="W818">
        <f>IF(F818="ENAP carga", COUNTIF(F$5:F818, "ENAP carga"), "")</f>
        <v/>
      </c>
    </row>
    <row r="819">
      <c r="O819" s="117">
        <f>IF(F819="CJ", I819*200, "")</f>
        <v/>
      </c>
      <c r="T819">
        <f>IF(F819="CJ", COUNTIF(F$5:F819, "CJ"), "")</f>
        <v/>
      </c>
      <c r="U819">
        <f>IF(F819="Ignacio", COUNTIF(F$5:F819, "Ignacio"), "")</f>
        <v/>
      </c>
      <c r="V819">
        <f>IF(F819="Tripulacion", COUNTIF(F$5:F819, "Tripulacion"), "")</f>
        <v/>
      </c>
      <c r="W819">
        <f>IF(F819="ENAP carga", COUNTIF(F$5:F819, "ENAP carga"), "")</f>
        <v/>
      </c>
    </row>
    <row r="820">
      <c r="O820" s="117">
        <f>IF(F820="CJ", I820*200, "")</f>
        <v/>
      </c>
      <c r="T820">
        <f>IF(F820="CJ", COUNTIF(F$5:F820, "CJ"), "")</f>
        <v/>
      </c>
      <c r="U820">
        <f>IF(F820="Ignacio", COUNTIF(F$5:F820, "Ignacio"), "")</f>
        <v/>
      </c>
      <c r="V820">
        <f>IF(F820="Tripulacion", COUNTIF(F$5:F820, "Tripulacion"), "")</f>
        <v/>
      </c>
      <c r="W820">
        <f>IF(F820="ENAP carga", COUNTIF(F$5:F820, "ENAP carga"), "")</f>
        <v/>
      </c>
    </row>
    <row r="821">
      <c r="O821" s="117">
        <f>IF(F821="CJ", I821*200, "")</f>
        <v/>
      </c>
      <c r="T821">
        <f>IF(F821="CJ", COUNTIF(F$5:F821, "CJ"), "")</f>
        <v/>
      </c>
      <c r="U821">
        <f>IF(F821="Ignacio", COUNTIF(F$5:F821, "Ignacio"), "")</f>
        <v/>
      </c>
      <c r="V821">
        <f>IF(F821="Tripulacion", COUNTIF(F$5:F821, "Tripulacion"), "")</f>
        <v/>
      </c>
      <c r="W821">
        <f>IF(F821="ENAP carga", COUNTIF(F$5:F821, "ENAP carga"), "")</f>
        <v/>
      </c>
    </row>
    <row r="822">
      <c r="O822" s="117">
        <f>IF(F822="CJ", I822*200, "")</f>
        <v/>
      </c>
      <c r="T822">
        <f>IF(F822="CJ", COUNTIF(F$5:F822, "CJ"), "")</f>
        <v/>
      </c>
      <c r="U822">
        <f>IF(F822="Ignacio", COUNTIF(F$5:F822, "Ignacio"), "")</f>
        <v/>
      </c>
      <c r="V822">
        <f>IF(F822="Tripulacion", COUNTIF(F$5:F822, "Tripulacion"), "")</f>
        <v/>
      </c>
      <c r="W822">
        <f>IF(F822="ENAP carga", COUNTIF(F$5:F822, "ENAP carga"), "")</f>
        <v/>
      </c>
    </row>
    <row r="823">
      <c r="O823" s="117">
        <f>IF(F823="CJ", I823*200, "")</f>
        <v/>
      </c>
      <c r="T823">
        <f>IF(F823="CJ", COUNTIF(F$5:F823, "CJ"), "")</f>
        <v/>
      </c>
      <c r="U823">
        <f>IF(F823="Ignacio", COUNTIF(F$5:F823, "Ignacio"), "")</f>
        <v/>
      </c>
      <c r="V823">
        <f>IF(F823="Tripulacion", COUNTIF(F$5:F823, "Tripulacion"), "")</f>
        <v/>
      </c>
      <c r="W823">
        <f>IF(F823="ENAP carga", COUNTIF(F$5:F823, "ENAP carga"), "")</f>
        <v/>
      </c>
    </row>
    <row r="824">
      <c r="O824" s="117">
        <f>IF(F824="CJ", I824*200, "")</f>
        <v/>
      </c>
      <c r="T824">
        <f>IF(F824="CJ", COUNTIF(F$5:F824, "CJ"), "")</f>
        <v/>
      </c>
      <c r="U824">
        <f>IF(F824="Ignacio", COUNTIF(F$5:F824, "Ignacio"), "")</f>
        <v/>
      </c>
      <c r="V824">
        <f>IF(F824="Tripulacion", COUNTIF(F$5:F824, "Tripulacion"), "")</f>
        <v/>
      </c>
      <c r="W824">
        <f>IF(F824="ENAP carga", COUNTIF(F$5:F824, "ENAP carga"), "")</f>
        <v/>
      </c>
    </row>
    <row r="825">
      <c r="O825" s="117">
        <f>IF(F825="CJ", I825*200, "")</f>
        <v/>
      </c>
      <c r="T825">
        <f>IF(F825="CJ", COUNTIF(F$5:F825, "CJ"), "")</f>
        <v/>
      </c>
      <c r="U825">
        <f>IF(F825="Ignacio", COUNTIF(F$5:F825, "Ignacio"), "")</f>
        <v/>
      </c>
      <c r="V825">
        <f>IF(F825="Tripulacion", COUNTIF(F$5:F825, "Tripulacion"), "")</f>
        <v/>
      </c>
      <c r="W825">
        <f>IF(F825="ENAP carga", COUNTIF(F$5:F825, "ENAP carga"), "")</f>
        <v/>
      </c>
    </row>
    <row r="826">
      <c r="O826" s="117">
        <f>IF(F826="CJ", I826*200, "")</f>
        <v/>
      </c>
      <c r="T826">
        <f>IF(F826="CJ", COUNTIF(F$5:F826, "CJ"), "")</f>
        <v/>
      </c>
      <c r="U826">
        <f>IF(F826="Ignacio", COUNTIF(F$5:F826, "Ignacio"), "")</f>
        <v/>
      </c>
      <c r="V826">
        <f>IF(F826="Tripulacion", COUNTIF(F$5:F826, "Tripulacion"), "")</f>
        <v/>
      </c>
      <c r="W826">
        <f>IF(F826="ENAP carga", COUNTIF(F$5:F826, "ENAP carga"), "")</f>
        <v/>
      </c>
    </row>
    <row r="827">
      <c r="O827" s="117">
        <f>IF(F827="CJ", I827*200, "")</f>
        <v/>
      </c>
      <c r="T827">
        <f>IF(F827="CJ", COUNTIF(F$5:F827, "CJ"), "")</f>
        <v/>
      </c>
      <c r="U827">
        <f>IF(F827="Ignacio", COUNTIF(F$5:F827, "Ignacio"), "")</f>
        <v/>
      </c>
      <c r="V827">
        <f>IF(F827="Tripulacion", COUNTIF(F$5:F827, "Tripulacion"), "")</f>
        <v/>
      </c>
      <c r="W827">
        <f>IF(F827="ENAP carga", COUNTIF(F$5:F827, "ENAP carga"), "")</f>
        <v/>
      </c>
    </row>
    <row r="828">
      <c r="O828" s="117">
        <f>IF(F828="CJ", I828*200, "")</f>
        <v/>
      </c>
      <c r="T828">
        <f>IF(F828="CJ", COUNTIF(F$5:F828, "CJ"), "")</f>
        <v/>
      </c>
      <c r="U828">
        <f>IF(F828="Ignacio", COUNTIF(F$5:F828, "Ignacio"), "")</f>
        <v/>
      </c>
      <c r="V828">
        <f>IF(F828="Tripulacion", COUNTIF(F$5:F828, "Tripulacion"), "")</f>
        <v/>
      </c>
      <c r="W828">
        <f>IF(F828="ENAP carga", COUNTIF(F$5:F828, "ENAP carga"), "")</f>
        <v/>
      </c>
    </row>
    <row r="829">
      <c r="O829" s="117">
        <f>IF(F829="CJ", I829*200, "")</f>
        <v/>
      </c>
      <c r="T829">
        <f>IF(F829="CJ", COUNTIF(F$5:F829, "CJ"), "")</f>
        <v/>
      </c>
      <c r="U829">
        <f>IF(F829="Ignacio", COUNTIF(F$5:F829, "Ignacio"), "")</f>
        <v/>
      </c>
      <c r="V829">
        <f>IF(F829="Tripulacion", COUNTIF(F$5:F829, "Tripulacion"), "")</f>
        <v/>
      </c>
      <c r="W829">
        <f>IF(F829="ENAP carga", COUNTIF(F$5:F829, "ENAP carga"), "")</f>
        <v/>
      </c>
    </row>
    <row r="830">
      <c r="O830" s="117">
        <f>IF(F830="CJ", I830*200, "")</f>
        <v/>
      </c>
      <c r="T830">
        <f>IF(F830="CJ", COUNTIF(F$5:F830, "CJ"), "")</f>
        <v/>
      </c>
      <c r="U830">
        <f>IF(F830="Ignacio", COUNTIF(F$5:F830, "Ignacio"), "")</f>
        <v/>
      </c>
      <c r="V830">
        <f>IF(F830="Tripulacion", COUNTIF(F$5:F830, "Tripulacion"), "")</f>
        <v/>
      </c>
      <c r="W830">
        <f>IF(F830="ENAP carga", COUNTIF(F$5:F830, "ENAP carga"), "")</f>
        <v/>
      </c>
    </row>
    <row r="831">
      <c r="O831" s="117">
        <f>IF(F831="CJ", I831*200, "")</f>
        <v/>
      </c>
      <c r="T831">
        <f>IF(F831="CJ", COUNTIF(F$5:F831, "CJ"), "")</f>
        <v/>
      </c>
      <c r="U831">
        <f>IF(F831="Ignacio", COUNTIF(F$5:F831, "Ignacio"), "")</f>
        <v/>
      </c>
      <c r="V831">
        <f>IF(F831="Tripulacion", COUNTIF(F$5:F831, "Tripulacion"), "")</f>
        <v/>
      </c>
      <c r="W831">
        <f>IF(F831="ENAP carga", COUNTIF(F$5:F831, "ENAP carga"), "")</f>
        <v/>
      </c>
    </row>
    <row r="832">
      <c r="O832" s="117">
        <f>IF(F832="CJ", I832*200, "")</f>
        <v/>
      </c>
      <c r="T832">
        <f>IF(F832="CJ", COUNTIF(F$5:F832, "CJ"), "")</f>
        <v/>
      </c>
      <c r="U832">
        <f>IF(F832="Ignacio", COUNTIF(F$5:F832, "Ignacio"), "")</f>
        <v/>
      </c>
      <c r="V832">
        <f>IF(F832="Tripulacion", COUNTIF(F$5:F832, "Tripulacion"), "")</f>
        <v/>
      </c>
      <c r="W832">
        <f>IF(F832="ENAP carga", COUNTIF(F$5:F832, "ENAP carga"), "")</f>
        <v/>
      </c>
    </row>
    <row r="833">
      <c r="O833" s="117">
        <f>IF(F833="CJ", I833*200, "")</f>
        <v/>
      </c>
      <c r="T833">
        <f>IF(F833="CJ", COUNTIF(F$5:F833, "CJ"), "")</f>
        <v/>
      </c>
      <c r="U833">
        <f>IF(F833="Ignacio", COUNTIF(F$5:F833, "Ignacio"), "")</f>
        <v/>
      </c>
      <c r="V833">
        <f>IF(F833="Tripulacion", COUNTIF(F$5:F833, "Tripulacion"), "")</f>
        <v/>
      </c>
      <c r="W833">
        <f>IF(F833="ENAP carga", COUNTIF(F$5:F833, "ENAP carga"), "")</f>
        <v/>
      </c>
    </row>
    <row r="834">
      <c r="O834" s="117">
        <f>IF(F834="CJ", I834*200, "")</f>
        <v/>
      </c>
      <c r="T834">
        <f>IF(F834="CJ", COUNTIF(F$5:F834, "CJ"), "")</f>
        <v/>
      </c>
      <c r="U834">
        <f>IF(F834="Ignacio", COUNTIF(F$5:F834, "Ignacio"), "")</f>
        <v/>
      </c>
      <c r="V834">
        <f>IF(F834="Tripulacion", COUNTIF(F$5:F834, "Tripulacion"), "")</f>
        <v/>
      </c>
      <c r="W834">
        <f>IF(F834="ENAP carga", COUNTIF(F$5:F834, "ENAP carga"), "")</f>
        <v/>
      </c>
    </row>
    <row r="835">
      <c r="O835" s="117">
        <f>IF(F835="CJ", I835*200, "")</f>
        <v/>
      </c>
      <c r="T835">
        <f>IF(F835="CJ", COUNTIF(F$5:F835, "CJ"), "")</f>
        <v/>
      </c>
      <c r="U835">
        <f>IF(F835="Ignacio", COUNTIF(F$5:F835, "Ignacio"), "")</f>
        <v/>
      </c>
      <c r="V835">
        <f>IF(F835="Tripulacion", COUNTIF(F$5:F835, "Tripulacion"), "")</f>
        <v/>
      </c>
      <c r="W835">
        <f>IF(F835="ENAP carga", COUNTIF(F$5:F835, "ENAP carga"), "")</f>
        <v/>
      </c>
    </row>
    <row r="836">
      <c r="O836" s="117">
        <f>IF(F836="CJ", I836*200, "")</f>
        <v/>
      </c>
      <c r="T836">
        <f>IF(F836="CJ", COUNTIF(F$5:F836, "CJ"), "")</f>
        <v/>
      </c>
      <c r="U836">
        <f>IF(F836="Ignacio", COUNTIF(F$5:F836, "Ignacio"), "")</f>
        <v/>
      </c>
      <c r="V836">
        <f>IF(F836="Tripulacion", COUNTIF(F$5:F836, "Tripulacion"), "")</f>
        <v/>
      </c>
      <c r="W836">
        <f>IF(F836="ENAP carga", COUNTIF(F$5:F836, "ENAP carga"), "")</f>
        <v/>
      </c>
    </row>
    <row r="837">
      <c r="O837" s="117">
        <f>IF(F837="CJ", I837*200, "")</f>
        <v/>
      </c>
      <c r="T837">
        <f>IF(F837="CJ", COUNTIF(F$5:F837, "CJ"), "")</f>
        <v/>
      </c>
      <c r="U837">
        <f>IF(F837="Ignacio", COUNTIF(F$5:F837, "Ignacio"), "")</f>
        <v/>
      </c>
      <c r="V837">
        <f>IF(F837="Tripulacion", COUNTIF(F$5:F837, "Tripulacion"), "")</f>
        <v/>
      </c>
      <c r="W837">
        <f>IF(F837="ENAP carga", COUNTIF(F$5:F837, "ENAP carga"), "")</f>
        <v/>
      </c>
    </row>
    <row r="838">
      <c r="O838" s="117">
        <f>IF(F838="CJ", I838*200, "")</f>
        <v/>
      </c>
      <c r="T838">
        <f>IF(F838="CJ", COUNTIF(F$5:F838, "CJ"), "")</f>
        <v/>
      </c>
      <c r="U838">
        <f>IF(F838="Ignacio", COUNTIF(F$5:F838, "Ignacio"), "")</f>
        <v/>
      </c>
      <c r="V838">
        <f>IF(F838="Tripulacion", COUNTIF(F$5:F838, "Tripulacion"), "")</f>
        <v/>
      </c>
      <c r="W838">
        <f>IF(F838="ENAP carga", COUNTIF(F$5:F838, "ENAP carga"), "")</f>
        <v/>
      </c>
    </row>
    <row r="839">
      <c r="O839" s="117">
        <f>IF(F839="CJ", I839*200, "")</f>
        <v/>
      </c>
      <c r="T839">
        <f>IF(F839="CJ", COUNTIF(F$5:F839, "CJ"), "")</f>
        <v/>
      </c>
      <c r="U839">
        <f>IF(F839="Ignacio", COUNTIF(F$5:F839, "Ignacio"), "")</f>
        <v/>
      </c>
      <c r="V839">
        <f>IF(F839="Tripulacion", COUNTIF(F$5:F839, "Tripulacion"), "")</f>
        <v/>
      </c>
      <c r="W839">
        <f>IF(F839="ENAP carga", COUNTIF(F$5:F839, "ENAP carga"), "")</f>
        <v/>
      </c>
    </row>
    <row r="840">
      <c r="O840" s="117">
        <f>IF(F840="CJ", I840*200, "")</f>
        <v/>
      </c>
      <c r="T840">
        <f>IF(F840="CJ", COUNTIF(F$5:F840, "CJ"), "")</f>
        <v/>
      </c>
      <c r="U840">
        <f>IF(F840="Ignacio", COUNTIF(F$5:F840, "Ignacio"), "")</f>
        <v/>
      </c>
      <c r="V840">
        <f>IF(F840="Tripulacion", COUNTIF(F$5:F840, "Tripulacion"), "")</f>
        <v/>
      </c>
      <c r="W840">
        <f>IF(F840="ENAP carga", COUNTIF(F$5:F840, "ENAP carga"), "")</f>
        <v/>
      </c>
    </row>
    <row r="841">
      <c r="O841" s="117">
        <f>IF(F841="CJ", I841*200, "")</f>
        <v/>
      </c>
      <c r="T841">
        <f>IF(F841="CJ", COUNTIF(F$5:F841, "CJ"), "")</f>
        <v/>
      </c>
      <c r="U841">
        <f>IF(F841="Ignacio", COUNTIF(F$5:F841, "Ignacio"), "")</f>
        <v/>
      </c>
      <c r="V841">
        <f>IF(F841="Tripulacion", COUNTIF(F$5:F841, "Tripulacion"), "")</f>
        <v/>
      </c>
      <c r="W841">
        <f>IF(F841="ENAP carga", COUNTIF(F$5:F841, "ENAP carga"), "")</f>
        <v/>
      </c>
    </row>
    <row r="842">
      <c r="O842" s="117">
        <f>IF(F842="CJ", I842*200, "")</f>
        <v/>
      </c>
      <c r="T842">
        <f>IF(F842="CJ", COUNTIF(F$5:F842, "CJ"), "")</f>
        <v/>
      </c>
      <c r="U842">
        <f>IF(F842="Ignacio", COUNTIF(F$5:F842, "Ignacio"), "")</f>
        <v/>
      </c>
      <c r="V842">
        <f>IF(F842="Tripulacion", COUNTIF(F$5:F842, "Tripulacion"), "")</f>
        <v/>
      </c>
      <c r="W842">
        <f>IF(F842="ENAP carga", COUNTIF(F$5:F842, "ENAP carga"), "")</f>
        <v/>
      </c>
    </row>
    <row r="843">
      <c r="O843" s="117">
        <f>IF(F843="CJ", I843*200, "")</f>
        <v/>
      </c>
      <c r="T843">
        <f>IF(F843="CJ", COUNTIF(F$5:F843, "CJ"), "")</f>
        <v/>
      </c>
      <c r="U843">
        <f>IF(F843="Ignacio", COUNTIF(F$5:F843, "Ignacio"), "")</f>
        <v/>
      </c>
      <c r="V843">
        <f>IF(F843="Tripulacion", COUNTIF(F$5:F843, "Tripulacion"), "")</f>
        <v/>
      </c>
      <c r="W843">
        <f>IF(F843="ENAP carga", COUNTIF(F$5:F843, "ENAP carga"), "")</f>
        <v/>
      </c>
    </row>
    <row r="844">
      <c r="O844" s="117">
        <f>IF(F844="CJ", I844*200, "")</f>
        <v/>
      </c>
      <c r="T844">
        <f>IF(F844="CJ", COUNTIF(F$5:F844, "CJ"), "")</f>
        <v/>
      </c>
      <c r="U844">
        <f>IF(F844="Ignacio", COUNTIF(F$5:F844, "Ignacio"), "")</f>
        <v/>
      </c>
      <c r="V844">
        <f>IF(F844="Tripulacion", COUNTIF(F$5:F844, "Tripulacion"), "")</f>
        <v/>
      </c>
      <c r="W844">
        <f>IF(F844="ENAP carga", COUNTIF(F$5:F844, "ENAP carga"), "")</f>
        <v/>
      </c>
    </row>
    <row r="845">
      <c r="O845" s="117">
        <f>IF(F845="CJ", I845*200, "")</f>
        <v/>
      </c>
      <c r="T845">
        <f>IF(F845="CJ", COUNTIF(F$5:F845, "CJ"), "")</f>
        <v/>
      </c>
      <c r="U845">
        <f>IF(F845="Ignacio", COUNTIF(F$5:F845, "Ignacio"), "")</f>
        <v/>
      </c>
      <c r="V845">
        <f>IF(F845="Tripulacion", COUNTIF(F$5:F845, "Tripulacion"), "")</f>
        <v/>
      </c>
      <c r="W845">
        <f>IF(F845="ENAP carga", COUNTIF(F$5:F845, "ENAP carga"), "")</f>
        <v/>
      </c>
    </row>
    <row r="846">
      <c r="O846" s="117">
        <f>IF(F846="CJ", I846*200, "")</f>
        <v/>
      </c>
      <c r="T846">
        <f>IF(F846="CJ", COUNTIF(F$5:F846, "CJ"), "")</f>
        <v/>
      </c>
      <c r="U846">
        <f>IF(F846="Ignacio", COUNTIF(F$5:F846, "Ignacio"), "")</f>
        <v/>
      </c>
      <c r="V846">
        <f>IF(F846="Tripulacion", COUNTIF(F$5:F846, "Tripulacion"), "")</f>
        <v/>
      </c>
      <c r="W846">
        <f>IF(F846="ENAP carga", COUNTIF(F$5:F846, "ENAP carga"), "")</f>
        <v/>
      </c>
    </row>
    <row r="847">
      <c r="O847" s="117">
        <f>IF(F847="CJ", I847*200, "")</f>
        <v/>
      </c>
      <c r="T847">
        <f>IF(F847="CJ", COUNTIF(F$5:F847, "CJ"), "")</f>
        <v/>
      </c>
      <c r="U847">
        <f>IF(F847="Ignacio", COUNTIF(F$5:F847, "Ignacio"), "")</f>
        <v/>
      </c>
      <c r="V847">
        <f>IF(F847="Tripulacion", COUNTIF(F$5:F847, "Tripulacion"), "")</f>
        <v/>
      </c>
      <c r="W847">
        <f>IF(F847="ENAP carga", COUNTIF(F$5:F847, "ENAP carga"), "")</f>
        <v/>
      </c>
    </row>
    <row r="848">
      <c r="O848" s="117">
        <f>IF(F848="CJ", I848*200, "")</f>
        <v/>
      </c>
      <c r="T848">
        <f>IF(F848="CJ", COUNTIF(F$5:F848, "CJ"), "")</f>
        <v/>
      </c>
      <c r="U848">
        <f>IF(F848="Ignacio", COUNTIF(F$5:F848, "Ignacio"), "")</f>
        <v/>
      </c>
      <c r="V848">
        <f>IF(F848="Tripulacion", COUNTIF(F$5:F848, "Tripulacion"), "")</f>
        <v/>
      </c>
      <c r="W848">
        <f>IF(F848="ENAP carga", COUNTIF(F$5:F848, "ENAP carga"), "")</f>
        <v/>
      </c>
    </row>
    <row r="849">
      <c r="O849" s="117">
        <f>IF(F849="CJ", I849*200, "")</f>
        <v/>
      </c>
      <c r="T849">
        <f>IF(F849="CJ", COUNTIF(F$5:F849, "CJ"), "")</f>
        <v/>
      </c>
      <c r="U849">
        <f>IF(F849="Ignacio", COUNTIF(F$5:F849, "Ignacio"), "")</f>
        <v/>
      </c>
      <c r="V849">
        <f>IF(F849="Tripulacion", COUNTIF(F$5:F849, "Tripulacion"), "")</f>
        <v/>
      </c>
      <c r="W849">
        <f>IF(F849="ENAP carga", COUNTIF(F$5:F849, "ENAP carga"), "")</f>
        <v/>
      </c>
    </row>
    <row r="850">
      <c r="O850" s="117">
        <f>IF(F850="CJ", I850*200, "")</f>
        <v/>
      </c>
      <c r="T850">
        <f>IF(F850="CJ", COUNTIF(F$5:F850, "CJ"), "")</f>
        <v/>
      </c>
      <c r="U850">
        <f>IF(F850="Ignacio", COUNTIF(F$5:F850, "Ignacio"), "")</f>
        <v/>
      </c>
      <c r="V850">
        <f>IF(F850="Tripulacion", COUNTIF(F$5:F850, "Tripulacion"), "")</f>
        <v/>
      </c>
      <c r="W850">
        <f>IF(F850="ENAP carga", COUNTIF(F$5:F850, "ENAP carga"), "")</f>
        <v/>
      </c>
    </row>
    <row r="851">
      <c r="O851" s="117">
        <f>IF(F851="CJ", I851*200, "")</f>
        <v/>
      </c>
      <c r="T851">
        <f>IF(F851="CJ", COUNTIF(F$5:F851, "CJ"), "")</f>
        <v/>
      </c>
      <c r="U851">
        <f>IF(F851="Ignacio", COUNTIF(F$5:F851, "Ignacio"), "")</f>
        <v/>
      </c>
      <c r="V851">
        <f>IF(F851="Tripulacion", COUNTIF(F$5:F851, "Tripulacion"), "")</f>
        <v/>
      </c>
      <c r="W851">
        <f>IF(F851="ENAP carga", COUNTIF(F$5:F851, "ENAP carga"), "")</f>
        <v/>
      </c>
    </row>
    <row r="852">
      <c r="O852" s="117">
        <f>IF(F852="CJ", I852*200, "")</f>
        <v/>
      </c>
      <c r="T852">
        <f>IF(F852="CJ", COUNTIF(F$5:F852, "CJ"), "")</f>
        <v/>
      </c>
      <c r="U852">
        <f>IF(F852="Ignacio", COUNTIF(F$5:F852, "Ignacio"), "")</f>
        <v/>
      </c>
      <c r="V852">
        <f>IF(F852="Tripulacion", COUNTIF(F$5:F852, "Tripulacion"), "")</f>
        <v/>
      </c>
      <c r="W852">
        <f>IF(F852="ENAP carga", COUNTIF(F$5:F852, "ENAP carga"), "")</f>
        <v/>
      </c>
    </row>
    <row r="853">
      <c r="O853" s="117">
        <f>IF(F853="CJ", I853*200, "")</f>
        <v/>
      </c>
      <c r="T853">
        <f>IF(F853="CJ", COUNTIF(F$5:F853, "CJ"), "")</f>
        <v/>
      </c>
      <c r="U853">
        <f>IF(F853="Ignacio", COUNTIF(F$5:F853, "Ignacio"), "")</f>
        <v/>
      </c>
      <c r="V853">
        <f>IF(F853="Tripulacion", COUNTIF(F$5:F853, "Tripulacion"), "")</f>
        <v/>
      </c>
      <c r="W853">
        <f>IF(F853="ENAP carga", COUNTIF(F$5:F853, "ENAP carga"), "")</f>
        <v/>
      </c>
    </row>
    <row r="854">
      <c r="O854" s="117">
        <f>IF(F854="CJ", I854*200, "")</f>
        <v/>
      </c>
      <c r="T854">
        <f>IF(F854="CJ", COUNTIF(F$5:F854, "CJ"), "")</f>
        <v/>
      </c>
      <c r="U854">
        <f>IF(F854="Ignacio", COUNTIF(F$5:F854, "Ignacio"), "")</f>
        <v/>
      </c>
      <c r="V854">
        <f>IF(F854="Tripulacion", COUNTIF(F$5:F854, "Tripulacion"), "")</f>
        <v/>
      </c>
      <c r="W854">
        <f>IF(F854="ENAP carga", COUNTIF(F$5:F854, "ENAP carga"), "")</f>
        <v/>
      </c>
    </row>
    <row r="855">
      <c r="O855" s="117">
        <f>IF(F855="CJ", I855*200, "")</f>
        <v/>
      </c>
      <c r="T855">
        <f>IF(F855="CJ", COUNTIF(F$5:F855, "CJ"), "")</f>
        <v/>
      </c>
      <c r="U855">
        <f>IF(F855="Ignacio", COUNTIF(F$5:F855, "Ignacio"), "")</f>
        <v/>
      </c>
      <c r="V855">
        <f>IF(F855="Tripulacion", COUNTIF(F$5:F855, "Tripulacion"), "")</f>
        <v/>
      </c>
      <c r="W855">
        <f>IF(F855="ENAP carga", COUNTIF(F$5:F855, "ENAP carga"), "")</f>
        <v/>
      </c>
    </row>
    <row r="856">
      <c r="O856" s="117">
        <f>IF(F856="CJ", I856*200, "")</f>
        <v/>
      </c>
      <c r="T856">
        <f>IF(F856="CJ", COUNTIF(F$5:F856, "CJ"), "")</f>
        <v/>
      </c>
      <c r="U856">
        <f>IF(F856="Ignacio", COUNTIF(F$5:F856, "Ignacio"), "")</f>
        <v/>
      </c>
      <c r="V856">
        <f>IF(F856="Tripulacion", COUNTIF(F$5:F856, "Tripulacion"), "")</f>
        <v/>
      </c>
      <c r="W856">
        <f>IF(F856="ENAP carga", COUNTIF(F$5:F856, "ENAP carga"), "")</f>
        <v/>
      </c>
    </row>
    <row r="857">
      <c r="O857" s="117">
        <f>IF(F857="CJ", I857*200, "")</f>
        <v/>
      </c>
      <c r="T857">
        <f>IF(F857="CJ", COUNTIF(F$5:F857, "CJ"), "")</f>
        <v/>
      </c>
      <c r="U857">
        <f>IF(F857="Ignacio", COUNTIF(F$5:F857, "Ignacio"), "")</f>
        <v/>
      </c>
      <c r="V857">
        <f>IF(F857="Tripulacion", COUNTIF(F$5:F857, "Tripulacion"), "")</f>
        <v/>
      </c>
      <c r="W857">
        <f>IF(F857="ENAP carga", COUNTIF(F$5:F857, "ENAP carga"), "")</f>
        <v/>
      </c>
    </row>
    <row r="858">
      <c r="O858" s="117">
        <f>IF(F858="CJ", I858*200, "")</f>
        <v/>
      </c>
      <c r="T858">
        <f>IF(F858="CJ", COUNTIF(F$5:F858, "CJ"), "")</f>
        <v/>
      </c>
      <c r="U858">
        <f>IF(F858="Ignacio", COUNTIF(F$5:F858, "Ignacio"), "")</f>
        <v/>
      </c>
      <c r="V858">
        <f>IF(F858="Tripulacion", COUNTIF(F$5:F858, "Tripulacion"), "")</f>
        <v/>
      </c>
      <c r="W858">
        <f>IF(F858="ENAP carga", COUNTIF(F$5:F858, "ENAP carga"), "")</f>
        <v/>
      </c>
    </row>
    <row r="859">
      <c r="O859" s="117">
        <f>IF(F859="CJ", I859*200, "")</f>
        <v/>
      </c>
      <c r="T859">
        <f>IF(F859="CJ", COUNTIF(F$5:F859, "CJ"), "")</f>
        <v/>
      </c>
      <c r="U859">
        <f>IF(F859="Ignacio", COUNTIF(F$5:F859, "Ignacio"), "")</f>
        <v/>
      </c>
      <c r="V859">
        <f>IF(F859="Tripulacion", COUNTIF(F$5:F859, "Tripulacion"), "")</f>
        <v/>
      </c>
      <c r="W859">
        <f>IF(F859="ENAP carga", COUNTIF(F$5:F859, "ENAP carga"), "")</f>
        <v/>
      </c>
    </row>
    <row r="860">
      <c r="O860" s="117">
        <f>IF(F860="CJ", I860*200, "")</f>
        <v/>
      </c>
      <c r="T860">
        <f>IF(F860="CJ", COUNTIF(F$5:F860, "CJ"), "")</f>
        <v/>
      </c>
      <c r="U860">
        <f>IF(F860="Ignacio", COUNTIF(F$5:F860, "Ignacio"), "")</f>
        <v/>
      </c>
      <c r="V860">
        <f>IF(F860="Tripulacion", COUNTIF(F$5:F860, "Tripulacion"), "")</f>
        <v/>
      </c>
      <c r="W860">
        <f>IF(F860="ENAP carga", COUNTIF(F$5:F860, "ENAP carga"), "")</f>
        <v/>
      </c>
    </row>
    <row r="861">
      <c r="O861" s="117">
        <f>IF(F861="CJ", I861*200, "")</f>
        <v/>
      </c>
      <c r="T861">
        <f>IF(F861="CJ", COUNTIF(F$5:F861, "CJ"), "")</f>
        <v/>
      </c>
      <c r="U861">
        <f>IF(F861="Ignacio", COUNTIF(F$5:F861, "Ignacio"), "")</f>
        <v/>
      </c>
      <c r="V861">
        <f>IF(F861="Tripulacion", COUNTIF(F$5:F861, "Tripulacion"), "")</f>
        <v/>
      </c>
      <c r="W861">
        <f>IF(F861="ENAP carga", COUNTIF(F$5:F861, "ENAP carga"), "")</f>
        <v/>
      </c>
    </row>
    <row r="862">
      <c r="O862" s="117">
        <f>IF(F862="CJ", I862*200, "")</f>
        <v/>
      </c>
      <c r="T862">
        <f>IF(F862="CJ", COUNTIF(F$5:F862, "CJ"), "")</f>
        <v/>
      </c>
      <c r="U862">
        <f>IF(F862="Ignacio", COUNTIF(F$5:F862, "Ignacio"), "")</f>
        <v/>
      </c>
      <c r="V862">
        <f>IF(F862="Tripulacion", COUNTIF(F$5:F862, "Tripulacion"), "")</f>
        <v/>
      </c>
      <c r="W862">
        <f>IF(F862="ENAP carga", COUNTIF(F$5:F862, "ENAP carga"), "")</f>
        <v/>
      </c>
    </row>
    <row r="863">
      <c r="O863" s="117">
        <f>IF(F863="CJ", I863*200, "")</f>
        <v/>
      </c>
      <c r="T863">
        <f>IF(F863="CJ", COUNTIF(F$5:F863, "CJ"), "")</f>
        <v/>
      </c>
      <c r="U863">
        <f>IF(F863="Ignacio", COUNTIF(F$5:F863, "Ignacio"), "")</f>
        <v/>
      </c>
      <c r="V863">
        <f>IF(F863="Tripulacion", COUNTIF(F$5:F863, "Tripulacion"), "")</f>
        <v/>
      </c>
      <c r="W863">
        <f>IF(F863="ENAP carga", COUNTIF(F$5:F863, "ENAP carga"), "")</f>
        <v/>
      </c>
    </row>
    <row r="864">
      <c r="O864" s="117">
        <f>IF(F864="CJ", I864*200, "")</f>
        <v/>
      </c>
      <c r="T864">
        <f>IF(F864="CJ", COUNTIF(F$5:F864, "CJ"), "")</f>
        <v/>
      </c>
      <c r="U864">
        <f>IF(F864="Ignacio", COUNTIF(F$5:F864, "Ignacio"), "")</f>
        <v/>
      </c>
      <c r="V864">
        <f>IF(F864="Tripulacion", COUNTIF(F$5:F864, "Tripulacion"), "")</f>
        <v/>
      </c>
      <c r="W864">
        <f>IF(F864="ENAP carga", COUNTIF(F$5:F864, "ENAP carga"), "")</f>
        <v/>
      </c>
    </row>
    <row r="865">
      <c r="O865" s="117">
        <f>IF(F865="CJ", I865*200, "")</f>
        <v/>
      </c>
      <c r="T865">
        <f>IF(F865="CJ", COUNTIF(F$5:F865, "CJ"), "")</f>
        <v/>
      </c>
      <c r="U865">
        <f>IF(F865="Ignacio", COUNTIF(F$5:F865, "Ignacio"), "")</f>
        <v/>
      </c>
      <c r="V865">
        <f>IF(F865="Tripulacion", COUNTIF(F$5:F865, "Tripulacion"), "")</f>
        <v/>
      </c>
      <c r="W865">
        <f>IF(F865="ENAP carga", COUNTIF(F$5:F865, "ENAP carga"), "")</f>
        <v/>
      </c>
    </row>
    <row r="866">
      <c r="O866" s="117">
        <f>IF(F866="CJ", I866*200, "")</f>
        <v/>
      </c>
      <c r="T866">
        <f>IF(F866="CJ", COUNTIF(F$5:F866, "CJ"), "")</f>
        <v/>
      </c>
      <c r="U866">
        <f>IF(F866="Ignacio", COUNTIF(F$5:F866, "Ignacio"), "")</f>
        <v/>
      </c>
      <c r="V866">
        <f>IF(F866="Tripulacion", COUNTIF(F$5:F866, "Tripulacion"), "")</f>
        <v/>
      </c>
      <c r="W866">
        <f>IF(F866="ENAP carga", COUNTIF(F$5:F866, "ENAP carga"), "")</f>
        <v/>
      </c>
    </row>
    <row r="867">
      <c r="O867" s="117">
        <f>IF(F867="CJ", I867*200, "")</f>
        <v/>
      </c>
      <c r="T867">
        <f>IF(F867="CJ", COUNTIF(F$5:F867, "CJ"), "")</f>
        <v/>
      </c>
      <c r="U867">
        <f>IF(F867="Ignacio", COUNTIF(F$5:F867, "Ignacio"), "")</f>
        <v/>
      </c>
      <c r="V867">
        <f>IF(F867="Tripulacion", COUNTIF(F$5:F867, "Tripulacion"), "")</f>
        <v/>
      </c>
      <c r="W867">
        <f>IF(F867="ENAP carga", COUNTIF(F$5:F867, "ENAP carga"), "")</f>
        <v/>
      </c>
    </row>
    <row r="868">
      <c r="O868" s="117">
        <f>IF(F868="CJ", I868*200, "")</f>
        <v/>
      </c>
      <c r="T868">
        <f>IF(F868="CJ", COUNTIF(F$5:F868, "CJ"), "")</f>
        <v/>
      </c>
      <c r="U868">
        <f>IF(F868="Ignacio", COUNTIF(F$5:F868, "Ignacio"), "")</f>
        <v/>
      </c>
      <c r="V868">
        <f>IF(F868="Tripulacion", COUNTIF(F$5:F868, "Tripulacion"), "")</f>
        <v/>
      </c>
      <c r="W868">
        <f>IF(F868="ENAP carga", COUNTIF(F$5:F868, "ENAP carga"), "")</f>
        <v/>
      </c>
    </row>
    <row r="869">
      <c r="O869" s="117">
        <f>IF(F869="CJ", I869*200, "")</f>
        <v/>
      </c>
      <c r="T869">
        <f>IF(F869="CJ", COUNTIF(F$5:F869, "CJ"), "")</f>
        <v/>
      </c>
      <c r="U869">
        <f>IF(F869="Ignacio", COUNTIF(F$5:F869, "Ignacio"), "")</f>
        <v/>
      </c>
      <c r="V869">
        <f>IF(F869="Tripulacion", COUNTIF(F$5:F869, "Tripulacion"), "")</f>
        <v/>
      </c>
      <c r="W869">
        <f>IF(F869="ENAP carga", COUNTIF(F$5:F869, "ENAP carga"), "")</f>
        <v/>
      </c>
    </row>
    <row r="870">
      <c r="O870" s="117">
        <f>IF(F870="CJ", I870*200, "")</f>
        <v/>
      </c>
      <c r="T870">
        <f>IF(F870="CJ", COUNTIF(F$5:F870, "CJ"), "")</f>
        <v/>
      </c>
      <c r="U870">
        <f>IF(F870="Ignacio", COUNTIF(F$5:F870, "Ignacio"), "")</f>
        <v/>
      </c>
      <c r="V870">
        <f>IF(F870="Tripulacion", COUNTIF(F$5:F870, "Tripulacion"), "")</f>
        <v/>
      </c>
      <c r="W870">
        <f>IF(F870="ENAP carga", COUNTIF(F$5:F870, "ENAP carga"), "")</f>
        <v/>
      </c>
    </row>
    <row r="871">
      <c r="O871" s="117">
        <f>IF(F871="CJ", I871*200, "")</f>
        <v/>
      </c>
      <c r="T871">
        <f>IF(F871="CJ", COUNTIF(F$5:F871, "CJ"), "")</f>
        <v/>
      </c>
      <c r="U871">
        <f>IF(F871="Ignacio", COUNTIF(F$5:F871, "Ignacio"), "")</f>
        <v/>
      </c>
      <c r="V871">
        <f>IF(F871="Tripulacion", COUNTIF(F$5:F871, "Tripulacion"), "")</f>
        <v/>
      </c>
      <c r="W871">
        <f>IF(F871="ENAP carga", COUNTIF(F$5:F871, "ENAP carga"), "")</f>
        <v/>
      </c>
    </row>
    <row r="872">
      <c r="O872" s="117">
        <f>IF(F872="CJ", I872*200, "")</f>
        <v/>
      </c>
      <c r="T872">
        <f>IF(F872="CJ", COUNTIF(F$5:F872, "CJ"), "")</f>
        <v/>
      </c>
      <c r="U872">
        <f>IF(F872="Ignacio", COUNTIF(F$5:F872, "Ignacio"), "")</f>
        <v/>
      </c>
      <c r="V872">
        <f>IF(F872="Tripulacion", COUNTIF(F$5:F872, "Tripulacion"), "")</f>
        <v/>
      </c>
      <c r="W872">
        <f>IF(F872="ENAP carga", COUNTIF(F$5:F872, "ENAP carga"), "")</f>
        <v/>
      </c>
    </row>
    <row r="873">
      <c r="O873" s="117">
        <f>IF(F873="CJ", I873*200, "")</f>
        <v/>
      </c>
      <c r="T873">
        <f>IF(F873="CJ", COUNTIF(F$5:F873, "CJ"), "")</f>
        <v/>
      </c>
      <c r="U873">
        <f>IF(F873="Ignacio", COUNTIF(F$5:F873, "Ignacio"), "")</f>
        <v/>
      </c>
      <c r="V873">
        <f>IF(F873="Tripulacion", COUNTIF(F$5:F873, "Tripulacion"), "")</f>
        <v/>
      </c>
      <c r="W873">
        <f>IF(F873="ENAP carga", COUNTIF(F$5:F873, "ENAP carga"), "")</f>
        <v/>
      </c>
    </row>
    <row r="874">
      <c r="O874" s="117">
        <f>IF(F874="CJ", I874*200, "")</f>
        <v/>
      </c>
      <c r="T874">
        <f>IF(F874="CJ", COUNTIF(F$5:F874, "CJ"), "")</f>
        <v/>
      </c>
      <c r="U874">
        <f>IF(F874="Ignacio", COUNTIF(F$5:F874, "Ignacio"), "")</f>
        <v/>
      </c>
      <c r="V874">
        <f>IF(F874="Tripulacion", COUNTIF(F$5:F874, "Tripulacion"), "")</f>
        <v/>
      </c>
      <c r="W874">
        <f>IF(F874="ENAP carga", COUNTIF(F$5:F874, "ENAP carga"), "")</f>
        <v/>
      </c>
    </row>
    <row r="875">
      <c r="O875" s="117">
        <f>IF(F875="CJ", I875*200, "")</f>
        <v/>
      </c>
      <c r="T875">
        <f>IF(F875="CJ", COUNTIF(F$5:F875, "CJ"), "")</f>
        <v/>
      </c>
      <c r="U875">
        <f>IF(F875="Ignacio", COUNTIF(F$5:F875, "Ignacio"), "")</f>
        <v/>
      </c>
      <c r="V875">
        <f>IF(F875="Tripulacion", COUNTIF(F$5:F875, "Tripulacion"), "")</f>
        <v/>
      </c>
      <c r="W875">
        <f>IF(F875="ENAP carga", COUNTIF(F$5:F875, "ENAP carga"), "")</f>
        <v/>
      </c>
    </row>
    <row r="876">
      <c r="O876" s="117">
        <f>IF(F876="CJ", I876*200, "")</f>
        <v/>
      </c>
      <c r="T876">
        <f>IF(F876="CJ", COUNTIF(F$5:F876, "CJ"), "")</f>
        <v/>
      </c>
      <c r="U876">
        <f>IF(F876="Ignacio", COUNTIF(F$5:F876, "Ignacio"), "")</f>
        <v/>
      </c>
      <c r="V876">
        <f>IF(F876="Tripulacion", COUNTIF(F$5:F876, "Tripulacion"), "")</f>
        <v/>
      </c>
      <c r="W876">
        <f>IF(F876="ENAP carga", COUNTIF(F$5:F876, "ENAP carga"), "")</f>
        <v/>
      </c>
    </row>
    <row r="877">
      <c r="O877" s="117">
        <f>IF(F877="CJ", I877*200, "")</f>
        <v/>
      </c>
      <c r="T877">
        <f>IF(F877="CJ", COUNTIF(F$5:F877, "CJ"), "")</f>
        <v/>
      </c>
      <c r="U877">
        <f>IF(F877="Ignacio", COUNTIF(F$5:F877, "Ignacio"), "")</f>
        <v/>
      </c>
      <c r="V877">
        <f>IF(F877="Tripulacion", COUNTIF(F$5:F877, "Tripulacion"), "")</f>
        <v/>
      </c>
      <c r="W877">
        <f>IF(F877="ENAP carga", COUNTIF(F$5:F877, "ENAP carga"), "")</f>
        <v/>
      </c>
    </row>
    <row r="878">
      <c r="O878" s="117">
        <f>IF(F878="CJ", I878*200, "")</f>
        <v/>
      </c>
      <c r="T878">
        <f>IF(F878="CJ", COUNTIF(F$5:F878, "CJ"), "")</f>
        <v/>
      </c>
      <c r="U878">
        <f>IF(F878="Ignacio", COUNTIF(F$5:F878, "Ignacio"), "")</f>
        <v/>
      </c>
      <c r="V878">
        <f>IF(F878="Tripulacion", COUNTIF(F$5:F878, "Tripulacion"), "")</f>
        <v/>
      </c>
      <c r="W878">
        <f>IF(F878="ENAP carga", COUNTIF(F$5:F878, "ENAP carga"), "")</f>
        <v/>
      </c>
    </row>
    <row r="879">
      <c r="O879" s="117">
        <f>IF(F879="CJ", I879*200, "")</f>
        <v/>
      </c>
      <c r="T879">
        <f>IF(F879="CJ", COUNTIF(F$5:F879, "CJ"), "")</f>
        <v/>
      </c>
      <c r="U879">
        <f>IF(F879="Ignacio", COUNTIF(F$5:F879, "Ignacio"), "")</f>
        <v/>
      </c>
      <c r="V879">
        <f>IF(F879="Tripulacion", COUNTIF(F$5:F879, "Tripulacion"), "")</f>
        <v/>
      </c>
      <c r="W879">
        <f>IF(F879="ENAP carga", COUNTIF(F$5:F879, "ENAP carga"), "")</f>
        <v/>
      </c>
    </row>
    <row r="880">
      <c r="O880" s="117">
        <f>IF(F880="CJ", I880*200, "")</f>
        <v/>
      </c>
      <c r="T880">
        <f>IF(F880="CJ", COUNTIF(F$5:F880, "CJ"), "")</f>
        <v/>
      </c>
      <c r="U880">
        <f>IF(F880="Ignacio", COUNTIF(F$5:F880, "Ignacio"), "")</f>
        <v/>
      </c>
      <c r="V880">
        <f>IF(F880="Tripulacion", COUNTIF(F$5:F880, "Tripulacion"), "")</f>
        <v/>
      </c>
      <c r="W880">
        <f>IF(F880="ENAP carga", COUNTIF(F$5:F880, "ENAP carga"), "")</f>
        <v/>
      </c>
    </row>
    <row r="881">
      <c r="O881" s="117">
        <f>IF(F881="CJ", I881*200, "")</f>
        <v/>
      </c>
      <c r="T881">
        <f>IF(F881="CJ", COUNTIF(F$5:F881, "CJ"), "")</f>
        <v/>
      </c>
      <c r="U881">
        <f>IF(F881="Ignacio", COUNTIF(F$5:F881, "Ignacio"), "")</f>
        <v/>
      </c>
      <c r="V881">
        <f>IF(F881="Tripulacion", COUNTIF(F$5:F881, "Tripulacion"), "")</f>
        <v/>
      </c>
      <c r="W881">
        <f>IF(F881="ENAP carga", COUNTIF(F$5:F881, "ENAP carga"), "")</f>
        <v/>
      </c>
    </row>
    <row r="882">
      <c r="O882" s="117">
        <f>IF(F882="CJ", I882*200, "")</f>
        <v/>
      </c>
      <c r="T882">
        <f>IF(F882="CJ", COUNTIF(F$5:F882, "CJ"), "")</f>
        <v/>
      </c>
      <c r="U882">
        <f>IF(F882="Ignacio", COUNTIF(F$5:F882, "Ignacio"), "")</f>
        <v/>
      </c>
      <c r="V882">
        <f>IF(F882="Tripulacion", COUNTIF(F$5:F882, "Tripulacion"), "")</f>
        <v/>
      </c>
      <c r="W882">
        <f>IF(F882="ENAP carga", COUNTIF(F$5:F882, "ENAP carga"), "")</f>
        <v/>
      </c>
    </row>
    <row r="883">
      <c r="O883" s="117">
        <f>IF(F883="CJ", I883*200, "")</f>
        <v/>
      </c>
      <c r="T883">
        <f>IF(F883="CJ", COUNTIF(F$5:F883, "CJ"), "")</f>
        <v/>
      </c>
      <c r="U883">
        <f>IF(F883="Ignacio", COUNTIF(F$5:F883, "Ignacio"), "")</f>
        <v/>
      </c>
      <c r="V883">
        <f>IF(F883="Tripulacion", COUNTIF(F$5:F883, "Tripulacion"), "")</f>
        <v/>
      </c>
      <c r="W883">
        <f>IF(F883="ENAP carga", COUNTIF(F$5:F883, "ENAP carga"), "")</f>
        <v/>
      </c>
    </row>
    <row r="884">
      <c r="O884" s="117">
        <f>IF(F884="CJ", I884*200, "")</f>
        <v/>
      </c>
      <c r="T884">
        <f>IF(F884="CJ", COUNTIF(F$5:F884, "CJ"), "")</f>
        <v/>
      </c>
      <c r="U884">
        <f>IF(F884="Ignacio", COUNTIF(F$5:F884, "Ignacio"), "")</f>
        <v/>
      </c>
      <c r="V884">
        <f>IF(F884="Tripulacion", COUNTIF(F$5:F884, "Tripulacion"), "")</f>
        <v/>
      </c>
      <c r="W884">
        <f>IF(F884="ENAP carga", COUNTIF(F$5:F884, "ENAP carga"), "")</f>
        <v/>
      </c>
    </row>
    <row r="885">
      <c r="O885" s="117">
        <f>IF(F885="CJ", I885*200, "")</f>
        <v/>
      </c>
      <c r="T885">
        <f>IF(F885="CJ", COUNTIF(F$5:F885, "CJ"), "")</f>
        <v/>
      </c>
      <c r="U885">
        <f>IF(F885="Ignacio", COUNTIF(F$5:F885, "Ignacio"), "")</f>
        <v/>
      </c>
      <c r="V885">
        <f>IF(F885="Tripulacion", COUNTIF(F$5:F885, "Tripulacion"), "")</f>
        <v/>
      </c>
      <c r="W885">
        <f>IF(F885="ENAP carga", COUNTIF(F$5:F885, "ENAP carga"), "")</f>
        <v/>
      </c>
    </row>
    <row r="886">
      <c r="O886" s="117">
        <f>IF(F886="CJ", I886*200, "")</f>
        <v/>
      </c>
      <c r="T886">
        <f>IF(F886="CJ", COUNTIF(F$5:F886, "CJ"), "")</f>
        <v/>
      </c>
      <c r="U886">
        <f>IF(F886="Ignacio", COUNTIF(F$5:F886, "Ignacio"), "")</f>
        <v/>
      </c>
      <c r="V886">
        <f>IF(F886="Tripulacion", COUNTIF(F$5:F886, "Tripulacion"), "")</f>
        <v/>
      </c>
      <c r="W886">
        <f>IF(F886="ENAP carga", COUNTIF(F$5:F886, "ENAP carga"), "")</f>
        <v/>
      </c>
    </row>
    <row r="887">
      <c r="O887" s="117">
        <f>IF(F887="CJ", I887*200, "")</f>
        <v/>
      </c>
      <c r="T887">
        <f>IF(F887="CJ", COUNTIF(F$5:F887, "CJ"), "")</f>
        <v/>
      </c>
      <c r="U887">
        <f>IF(F887="Ignacio", COUNTIF(F$5:F887, "Ignacio"), "")</f>
        <v/>
      </c>
      <c r="V887">
        <f>IF(F887="Tripulacion", COUNTIF(F$5:F887, "Tripulacion"), "")</f>
        <v/>
      </c>
      <c r="W887">
        <f>IF(F887="ENAP carga", COUNTIF(F$5:F887, "ENAP carga"), "")</f>
        <v/>
      </c>
    </row>
    <row r="888">
      <c r="O888" s="117">
        <f>IF(F888="CJ", I888*200, "")</f>
        <v/>
      </c>
      <c r="T888">
        <f>IF(F888="CJ", COUNTIF(F$5:F888, "CJ"), "")</f>
        <v/>
      </c>
      <c r="U888">
        <f>IF(F888="Ignacio", COUNTIF(F$5:F888, "Ignacio"), "")</f>
        <v/>
      </c>
      <c r="V888">
        <f>IF(F888="Tripulacion", COUNTIF(F$5:F888, "Tripulacion"), "")</f>
        <v/>
      </c>
      <c r="W888">
        <f>IF(F888="ENAP carga", COUNTIF(F$5:F888, "ENAP carga"), "")</f>
        <v/>
      </c>
    </row>
    <row r="889">
      <c r="O889" s="117">
        <f>IF(F889="CJ", I889*200, "")</f>
        <v/>
      </c>
      <c r="T889">
        <f>IF(F889="CJ", COUNTIF(F$5:F889, "CJ"), "")</f>
        <v/>
      </c>
      <c r="U889">
        <f>IF(F889="Ignacio", COUNTIF(F$5:F889, "Ignacio"), "")</f>
        <v/>
      </c>
      <c r="V889">
        <f>IF(F889="Tripulacion", COUNTIF(F$5:F889, "Tripulacion"), "")</f>
        <v/>
      </c>
      <c r="W889">
        <f>IF(F889="ENAP carga", COUNTIF(F$5:F889, "ENAP carga"), "")</f>
        <v/>
      </c>
    </row>
    <row r="890">
      <c r="O890" s="117">
        <f>IF(F890="CJ", I890*200, "")</f>
        <v/>
      </c>
      <c r="T890">
        <f>IF(F890="CJ", COUNTIF(F$5:F890, "CJ"), "")</f>
        <v/>
      </c>
      <c r="U890">
        <f>IF(F890="Ignacio", COUNTIF(F$5:F890, "Ignacio"), "")</f>
        <v/>
      </c>
      <c r="V890">
        <f>IF(F890="Tripulacion", COUNTIF(F$5:F890, "Tripulacion"), "")</f>
        <v/>
      </c>
      <c r="W890">
        <f>IF(F890="ENAP carga", COUNTIF(F$5:F890, "ENAP carga"), "")</f>
        <v/>
      </c>
    </row>
    <row r="891">
      <c r="O891" s="117">
        <f>IF(F891="CJ", I891*200, "")</f>
        <v/>
      </c>
      <c r="T891">
        <f>IF(F891="CJ", COUNTIF(F$5:F891, "CJ"), "")</f>
        <v/>
      </c>
      <c r="U891">
        <f>IF(F891="Ignacio", COUNTIF(F$5:F891, "Ignacio"), "")</f>
        <v/>
      </c>
      <c r="V891">
        <f>IF(F891="Tripulacion", COUNTIF(F$5:F891, "Tripulacion"), "")</f>
        <v/>
      </c>
      <c r="W891">
        <f>IF(F891="ENAP carga", COUNTIF(F$5:F891, "ENAP carga"), "")</f>
        <v/>
      </c>
    </row>
    <row r="892">
      <c r="O892" s="117">
        <f>IF(F892="CJ", I892*200, "")</f>
        <v/>
      </c>
      <c r="T892">
        <f>IF(F892="CJ", COUNTIF(F$5:F892, "CJ"), "")</f>
        <v/>
      </c>
      <c r="U892">
        <f>IF(F892="Ignacio", COUNTIF(F$5:F892, "Ignacio"), "")</f>
        <v/>
      </c>
      <c r="V892">
        <f>IF(F892="Tripulacion", COUNTIF(F$5:F892, "Tripulacion"), "")</f>
        <v/>
      </c>
      <c r="W892">
        <f>IF(F892="ENAP carga", COUNTIF(F$5:F892, "ENAP carga"), "")</f>
        <v/>
      </c>
    </row>
    <row r="893">
      <c r="O893" s="117">
        <f>IF(F893="CJ", I893*200, "")</f>
        <v/>
      </c>
      <c r="T893">
        <f>IF(F893="CJ", COUNTIF(F$5:F893, "CJ"), "")</f>
        <v/>
      </c>
      <c r="U893">
        <f>IF(F893="Ignacio", COUNTIF(F$5:F893, "Ignacio"), "")</f>
        <v/>
      </c>
      <c r="V893">
        <f>IF(F893="Tripulacion", COUNTIF(F$5:F893, "Tripulacion"), "")</f>
        <v/>
      </c>
      <c r="W893">
        <f>IF(F893="ENAP carga", COUNTIF(F$5:F893, "ENAP carga"), "")</f>
        <v/>
      </c>
    </row>
    <row r="894">
      <c r="O894" s="117">
        <f>IF(F894="CJ", I894*200, "")</f>
        <v/>
      </c>
      <c r="T894">
        <f>IF(F894="CJ", COUNTIF(F$5:F894, "CJ"), "")</f>
        <v/>
      </c>
      <c r="U894">
        <f>IF(F894="Ignacio", COUNTIF(F$5:F894, "Ignacio"), "")</f>
        <v/>
      </c>
      <c r="V894">
        <f>IF(F894="Tripulacion", COUNTIF(F$5:F894, "Tripulacion"), "")</f>
        <v/>
      </c>
      <c r="W894">
        <f>IF(F894="ENAP carga", COUNTIF(F$5:F894, "ENAP carga"), "")</f>
        <v/>
      </c>
    </row>
    <row r="895">
      <c r="O895" s="117">
        <f>IF(F895="CJ", I895*200, "")</f>
        <v/>
      </c>
      <c r="T895">
        <f>IF(F895="CJ", COUNTIF(F$5:F895, "CJ"), "")</f>
        <v/>
      </c>
      <c r="U895">
        <f>IF(F895="Ignacio", COUNTIF(F$5:F895, "Ignacio"), "")</f>
        <v/>
      </c>
      <c r="V895">
        <f>IF(F895="Tripulacion", COUNTIF(F$5:F895, "Tripulacion"), "")</f>
        <v/>
      </c>
      <c r="W895">
        <f>IF(F895="ENAP carga", COUNTIF(F$5:F895, "ENAP carga"), "")</f>
        <v/>
      </c>
    </row>
    <row r="896">
      <c r="O896" s="117">
        <f>IF(F896="CJ", I896*200, "")</f>
        <v/>
      </c>
      <c r="T896">
        <f>IF(F896="CJ", COUNTIF(F$5:F896, "CJ"), "")</f>
        <v/>
      </c>
      <c r="U896">
        <f>IF(F896="Ignacio", COUNTIF(F$5:F896, "Ignacio"), "")</f>
        <v/>
      </c>
      <c r="V896">
        <f>IF(F896="Tripulacion", COUNTIF(F$5:F896, "Tripulacion"), "")</f>
        <v/>
      </c>
      <c r="W896">
        <f>IF(F896="ENAP carga", COUNTIF(F$5:F896, "ENAP carga"), "")</f>
        <v/>
      </c>
    </row>
    <row r="897">
      <c r="O897" s="117">
        <f>IF(F897="CJ", I897*200, "")</f>
        <v/>
      </c>
      <c r="T897">
        <f>IF(F897="CJ", COUNTIF(F$5:F897, "CJ"), "")</f>
        <v/>
      </c>
      <c r="U897">
        <f>IF(F897="Ignacio", COUNTIF(F$5:F897, "Ignacio"), "")</f>
        <v/>
      </c>
      <c r="V897">
        <f>IF(F897="Tripulacion", COUNTIF(F$5:F897, "Tripulacion"), "")</f>
        <v/>
      </c>
      <c r="W897">
        <f>IF(F897="ENAP carga", COUNTIF(F$5:F897, "ENAP carga"), "")</f>
        <v/>
      </c>
    </row>
    <row r="898">
      <c r="O898" s="117">
        <f>IF(F898="CJ", I898*200, "")</f>
        <v/>
      </c>
      <c r="T898">
        <f>IF(F898="CJ", COUNTIF(F$5:F898, "CJ"), "")</f>
        <v/>
      </c>
      <c r="U898">
        <f>IF(F898="Ignacio", COUNTIF(F$5:F898, "Ignacio"), "")</f>
        <v/>
      </c>
      <c r="V898">
        <f>IF(F898="Tripulacion", COUNTIF(F$5:F898, "Tripulacion"), "")</f>
        <v/>
      </c>
      <c r="W898">
        <f>IF(F898="ENAP carga", COUNTIF(F$5:F898, "ENAP carga"), "")</f>
        <v/>
      </c>
    </row>
    <row r="899">
      <c r="O899" s="117">
        <f>IF(F899="CJ", I899*200, "")</f>
        <v/>
      </c>
      <c r="T899">
        <f>IF(F899="CJ", COUNTIF(F$5:F899, "CJ"), "")</f>
        <v/>
      </c>
      <c r="U899">
        <f>IF(F899="Ignacio", COUNTIF(F$5:F899, "Ignacio"), "")</f>
        <v/>
      </c>
      <c r="V899">
        <f>IF(F899="Tripulacion", COUNTIF(F$5:F899, "Tripulacion"), "")</f>
        <v/>
      </c>
      <c r="W899">
        <f>IF(F899="ENAP carga", COUNTIF(F$5:F899, "ENAP carga"), "")</f>
        <v/>
      </c>
    </row>
    <row r="900">
      <c r="O900" s="117">
        <f>IF(F900="CJ", I900*200, "")</f>
        <v/>
      </c>
      <c r="T900">
        <f>IF(F900="CJ", COUNTIF(F$5:F900, "CJ"), "")</f>
        <v/>
      </c>
      <c r="U900">
        <f>IF(F900="Ignacio", COUNTIF(F$5:F900, "Ignacio"), "")</f>
        <v/>
      </c>
      <c r="V900">
        <f>IF(F900="Tripulacion", COUNTIF(F$5:F900, "Tripulacion"), "")</f>
        <v/>
      </c>
      <c r="W900">
        <f>IF(F900="ENAP carga", COUNTIF(F$5:F900, "ENAP carga"), "")</f>
        <v/>
      </c>
    </row>
    <row r="901">
      <c r="O901" s="117">
        <f>IF(F901="CJ", I901*200, "")</f>
        <v/>
      </c>
      <c r="T901">
        <f>IF(F901="CJ", COUNTIF(F$5:F901, "CJ"), "")</f>
        <v/>
      </c>
      <c r="U901">
        <f>IF(F901="Ignacio", COUNTIF(F$5:F901, "Ignacio"), "")</f>
        <v/>
      </c>
      <c r="V901">
        <f>IF(F901="Tripulacion", COUNTIF(F$5:F901, "Tripulacion"), "")</f>
        <v/>
      </c>
      <c r="W901">
        <f>IF(F901="ENAP carga", COUNTIF(F$5:F901, "ENAP carga"), "")</f>
        <v/>
      </c>
    </row>
    <row r="902">
      <c r="O902" s="117">
        <f>IF(F902="CJ", I902*200, "")</f>
        <v/>
      </c>
      <c r="T902">
        <f>IF(F902="CJ", COUNTIF(F$5:F902, "CJ"), "")</f>
        <v/>
      </c>
      <c r="U902">
        <f>IF(F902="Ignacio", COUNTIF(F$5:F902, "Ignacio"), "")</f>
        <v/>
      </c>
      <c r="V902">
        <f>IF(F902="Tripulacion", COUNTIF(F$5:F902, "Tripulacion"), "")</f>
        <v/>
      </c>
      <c r="W902">
        <f>IF(F902="ENAP carga", COUNTIF(F$5:F902, "ENAP carga"), "")</f>
        <v/>
      </c>
    </row>
    <row r="903">
      <c r="O903" s="117">
        <f>IF(F903="CJ", I903*200, "")</f>
        <v/>
      </c>
      <c r="T903">
        <f>IF(F903="CJ", COUNTIF(F$5:F903, "CJ"), "")</f>
        <v/>
      </c>
      <c r="U903">
        <f>IF(F903="Ignacio", COUNTIF(F$5:F903, "Ignacio"), "")</f>
        <v/>
      </c>
      <c r="V903">
        <f>IF(F903="Tripulacion", COUNTIF(F$5:F903, "Tripulacion"), "")</f>
        <v/>
      </c>
      <c r="W903">
        <f>IF(F903="ENAP carga", COUNTIF(F$5:F903, "ENAP carga"), "")</f>
        <v/>
      </c>
    </row>
    <row r="904">
      <c r="O904" s="117">
        <f>IF(F904="CJ", I904*200, "")</f>
        <v/>
      </c>
      <c r="T904">
        <f>IF(F904="CJ", COUNTIF(F$5:F904, "CJ"), "")</f>
        <v/>
      </c>
      <c r="U904">
        <f>IF(F904="Ignacio", COUNTIF(F$5:F904, "Ignacio"), "")</f>
        <v/>
      </c>
      <c r="V904">
        <f>IF(F904="Tripulacion", COUNTIF(F$5:F904, "Tripulacion"), "")</f>
        <v/>
      </c>
      <c r="W904">
        <f>IF(F904="ENAP carga", COUNTIF(F$5:F904, "ENAP carga"), "")</f>
        <v/>
      </c>
    </row>
    <row r="905">
      <c r="O905" s="117">
        <f>IF(F905="CJ", I905*200, "")</f>
        <v/>
      </c>
      <c r="T905">
        <f>IF(F905="CJ", COUNTIF(F$5:F905, "CJ"), "")</f>
        <v/>
      </c>
      <c r="U905">
        <f>IF(F905="Ignacio", COUNTIF(F$5:F905, "Ignacio"), "")</f>
        <v/>
      </c>
      <c r="V905">
        <f>IF(F905="Tripulacion", COUNTIF(F$5:F905, "Tripulacion"), "")</f>
        <v/>
      </c>
      <c r="W905">
        <f>IF(F905="ENAP carga", COUNTIF(F$5:F905, "ENAP carga"), "")</f>
        <v/>
      </c>
    </row>
    <row r="906">
      <c r="O906" s="117">
        <f>IF(F906="CJ", I906*200, "")</f>
        <v/>
      </c>
      <c r="T906">
        <f>IF(F906="CJ", COUNTIF(F$5:F906, "CJ"), "")</f>
        <v/>
      </c>
      <c r="U906">
        <f>IF(F906="Ignacio", COUNTIF(F$5:F906, "Ignacio"), "")</f>
        <v/>
      </c>
      <c r="V906">
        <f>IF(F906="Tripulacion", COUNTIF(F$5:F906, "Tripulacion"), "")</f>
        <v/>
      </c>
      <c r="W906">
        <f>IF(F906="ENAP carga", COUNTIF(F$5:F906, "ENAP carga"), "")</f>
        <v/>
      </c>
    </row>
    <row r="907">
      <c r="O907" s="117">
        <f>IF(F907="CJ", I907*200, "")</f>
        <v/>
      </c>
      <c r="T907">
        <f>IF(F907="CJ", COUNTIF(F$5:F907, "CJ"), "")</f>
        <v/>
      </c>
      <c r="U907">
        <f>IF(F907="Ignacio", COUNTIF(F$5:F907, "Ignacio"), "")</f>
        <v/>
      </c>
      <c r="V907">
        <f>IF(F907="Tripulacion", COUNTIF(F$5:F907, "Tripulacion"), "")</f>
        <v/>
      </c>
      <c r="W907">
        <f>IF(F907="ENAP carga", COUNTIF(F$5:F907, "ENAP carga"), "")</f>
        <v/>
      </c>
    </row>
    <row r="908">
      <c r="O908" s="117">
        <f>IF(F908="CJ", I908*200, "")</f>
        <v/>
      </c>
      <c r="T908">
        <f>IF(F908="CJ", COUNTIF(F$5:F908, "CJ"), "")</f>
        <v/>
      </c>
      <c r="U908">
        <f>IF(F908="Ignacio", COUNTIF(F$5:F908, "Ignacio"), "")</f>
        <v/>
      </c>
      <c r="V908">
        <f>IF(F908="Tripulacion", COUNTIF(F$5:F908, "Tripulacion"), "")</f>
        <v/>
      </c>
      <c r="W908">
        <f>IF(F908="ENAP carga", COUNTIF(F$5:F908, "ENAP carga"), "")</f>
        <v/>
      </c>
    </row>
    <row r="909">
      <c r="O909" s="117">
        <f>IF(F909="CJ", I909*200, "")</f>
        <v/>
      </c>
      <c r="T909">
        <f>IF(F909="CJ", COUNTIF(F$5:F909, "CJ"), "")</f>
        <v/>
      </c>
      <c r="U909">
        <f>IF(F909="Ignacio", COUNTIF(F$5:F909, "Ignacio"), "")</f>
        <v/>
      </c>
      <c r="V909">
        <f>IF(F909="Tripulacion", COUNTIF(F$5:F909, "Tripulacion"), "")</f>
        <v/>
      </c>
      <c r="W909">
        <f>IF(F909="ENAP carga", COUNTIF(F$5:F909, "ENAP carga"), "")</f>
        <v/>
      </c>
    </row>
    <row r="910">
      <c r="O910" s="117">
        <f>IF(F910="CJ", I910*200, "")</f>
        <v/>
      </c>
      <c r="T910">
        <f>IF(F910="CJ", COUNTIF(F$5:F910, "CJ"), "")</f>
        <v/>
      </c>
      <c r="U910">
        <f>IF(F910="Ignacio", COUNTIF(F$5:F910, "Ignacio"), "")</f>
        <v/>
      </c>
      <c r="V910">
        <f>IF(F910="Tripulacion", COUNTIF(F$5:F910, "Tripulacion"), "")</f>
        <v/>
      </c>
      <c r="W910">
        <f>IF(F910="ENAP carga", COUNTIF(F$5:F910, "ENAP carga"), "")</f>
        <v/>
      </c>
    </row>
    <row r="911">
      <c r="O911" s="117">
        <f>IF(F911="CJ", I911*200, "")</f>
        <v/>
      </c>
      <c r="T911">
        <f>IF(F911="CJ", COUNTIF(F$5:F911, "CJ"), "")</f>
        <v/>
      </c>
      <c r="U911">
        <f>IF(F911="Ignacio", COUNTIF(F$5:F911, "Ignacio"), "")</f>
        <v/>
      </c>
      <c r="V911">
        <f>IF(F911="Tripulacion", COUNTIF(F$5:F911, "Tripulacion"), "")</f>
        <v/>
      </c>
      <c r="W911">
        <f>IF(F911="ENAP carga", COUNTIF(F$5:F911, "ENAP carga"), "")</f>
        <v/>
      </c>
    </row>
    <row r="912">
      <c r="O912" s="117">
        <f>IF(F912="CJ", I912*200, "")</f>
        <v/>
      </c>
      <c r="T912">
        <f>IF(F912="CJ", COUNTIF(F$5:F912, "CJ"), "")</f>
        <v/>
      </c>
      <c r="U912">
        <f>IF(F912="Ignacio", COUNTIF(F$5:F912, "Ignacio"), "")</f>
        <v/>
      </c>
      <c r="V912">
        <f>IF(F912="Tripulacion", COUNTIF(F$5:F912, "Tripulacion"), "")</f>
        <v/>
      </c>
      <c r="W912">
        <f>IF(F912="ENAP carga", COUNTIF(F$5:F912, "ENAP carga"), "")</f>
        <v/>
      </c>
    </row>
    <row r="913">
      <c r="O913" s="117">
        <f>IF(F913="CJ", I913*200, "")</f>
        <v/>
      </c>
      <c r="T913">
        <f>IF(F913="CJ", COUNTIF(F$5:F913, "CJ"), "")</f>
        <v/>
      </c>
      <c r="U913">
        <f>IF(F913="Ignacio", COUNTIF(F$5:F913, "Ignacio"), "")</f>
        <v/>
      </c>
      <c r="V913">
        <f>IF(F913="Tripulacion", COUNTIF(F$5:F913, "Tripulacion"), "")</f>
        <v/>
      </c>
      <c r="W913">
        <f>IF(F913="ENAP carga", COUNTIF(F$5:F913, "ENAP carga"), "")</f>
        <v/>
      </c>
    </row>
    <row r="914">
      <c r="O914" s="117">
        <f>IF(F914="CJ", I914*200, "")</f>
        <v/>
      </c>
      <c r="T914">
        <f>IF(F914="CJ", COUNTIF(F$5:F914, "CJ"), "")</f>
        <v/>
      </c>
      <c r="U914">
        <f>IF(F914="Ignacio", COUNTIF(F$5:F914, "Ignacio"), "")</f>
        <v/>
      </c>
      <c r="V914">
        <f>IF(F914="Tripulacion", COUNTIF(F$5:F914, "Tripulacion"), "")</f>
        <v/>
      </c>
      <c r="W914">
        <f>IF(F914="ENAP carga", COUNTIF(F$5:F914, "ENAP carga"), "")</f>
        <v/>
      </c>
    </row>
    <row r="915">
      <c r="O915" s="117">
        <f>IF(F915="CJ", I915*200, "")</f>
        <v/>
      </c>
      <c r="T915">
        <f>IF(F915="CJ", COUNTIF(F$5:F915, "CJ"), "")</f>
        <v/>
      </c>
      <c r="U915">
        <f>IF(F915="Ignacio", COUNTIF(F$5:F915, "Ignacio"), "")</f>
        <v/>
      </c>
      <c r="V915">
        <f>IF(F915="Tripulacion", COUNTIF(F$5:F915, "Tripulacion"), "")</f>
        <v/>
      </c>
      <c r="W915">
        <f>IF(F915="ENAP carga", COUNTIF(F$5:F915, "ENAP carga"), "")</f>
        <v/>
      </c>
    </row>
    <row r="916">
      <c r="O916" s="117">
        <f>IF(F916="CJ", I916*200, "")</f>
        <v/>
      </c>
      <c r="T916">
        <f>IF(F916="CJ", COUNTIF(F$5:F916, "CJ"), "")</f>
        <v/>
      </c>
      <c r="U916">
        <f>IF(F916="Ignacio", COUNTIF(F$5:F916, "Ignacio"), "")</f>
        <v/>
      </c>
      <c r="V916">
        <f>IF(F916="Tripulacion", COUNTIF(F$5:F916, "Tripulacion"), "")</f>
        <v/>
      </c>
      <c r="W916">
        <f>IF(F916="ENAP carga", COUNTIF(F$5:F916, "ENAP carga"), "")</f>
        <v/>
      </c>
    </row>
    <row r="917">
      <c r="O917" s="117">
        <f>IF(F917="CJ", I917*200, "")</f>
        <v/>
      </c>
      <c r="T917">
        <f>IF(F917="CJ", COUNTIF(F$5:F917, "CJ"), "")</f>
        <v/>
      </c>
      <c r="U917">
        <f>IF(F917="Ignacio", COUNTIF(F$5:F917, "Ignacio"), "")</f>
        <v/>
      </c>
      <c r="V917">
        <f>IF(F917="Tripulacion", COUNTIF(F$5:F917, "Tripulacion"), "")</f>
        <v/>
      </c>
      <c r="W917">
        <f>IF(F917="ENAP carga", COUNTIF(F$5:F917, "ENAP carga"), "")</f>
        <v/>
      </c>
    </row>
    <row r="918">
      <c r="O918" s="117">
        <f>IF(F918="CJ", I918*200, "")</f>
        <v/>
      </c>
      <c r="T918">
        <f>IF(F918="CJ", COUNTIF(F$5:F918, "CJ"), "")</f>
        <v/>
      </c>
      <c r="U918">
        <f>IF(F918="Ignacio", COUNTIF(F$5:F918, "Ignacio"), "")</f>
        <v/>
      </c>
      <c r="V918">
        <f>IF(F918="Tripulacion", COUNTIF(F$5:F918, "Tripulacion"), "")</f>
        <v/>
      </c>
      <c r="W918">
        <f>IF(F918="ENAP carga", COUNTIF(F$5:F918, "ENAP carga"), "")</f>
        <v/>
      </c>
    </row>
    <row r="919">
      <c r="O919" s="117">
        <f>IF(F919="CJ", I919*200, "")</f>
        <v/>
      </c>
      <c r="T919">
        <f>IF(F919="CJ", COUNTIF(F$5:F919, "CJ"), "")</f>
        <v/>
      </c>
      <c r="U919">
        <f>IF(F919="Ignacio", COUNTIF(F$5:F919, "Ignacio"), "")</f>
        <v/>
      </c>
      <c r="V919">
        <f>IF(F919="Tripulacion", COUNTIF(F$5:F919, "Tripulacion"), "")</f>
        <v/>
      </c>
      <c r="W919">
        <f>IF(F919="ENAP carga", COUNTIF(F$5:F919, "ENAP carga"), "")</f>
        <v/>
      </c>
    </row>
    <row r="920">
      <c r="O920" s="117">
        <f>IF(F920="CJ", I920*200, "")</f>
        <v/>
      </c>
      <c r="T920">
        <f>IF(F920="CJ", COUNTIF(F$5:F920, "CJ"), "")</f>
        <v/>
      </c>
      <c r="U920">
        <f>IF(F920="Ignacio", COUNTIF(F$5:F920, "Ignacio"), "")</f>
        <v/>
      </c>
      <c r="V920">
        <f>IF(F920="Tripulacion", COUNTIF(F$5:F920, "Tripulacion"), "")</f>
        <v/>
      </c>
      <c r="W920">
        <f>IF(F920="ENAP carga", COUNTIF(F$5:F920, "ENAP carga"), "")</f>
        <v/>
      </c>
    </row>
    <row r="921">
      <c r="O921" s="117">
        <f>IF(F921="CJ", I921*200, "")</f>
        <v/>
      </c>
      <c r="T921">
        <f>IF(F921="CJ", COUNTIF(F$5:F921, "CJ"), "")</f>
        <v/>
      </c>
      <c r="U921">
        <f>IF(F921="Ignacio", COUNTIF(F$5:F921, "Ignacio"), "")</f>
        <v/>
      </c>
      <c r="V921">
        <f>IF(F921="Tripulacion", COUNTIF(F$5:F921, "Tripulacion"), "")</f>
        <v/>
      </c>
      <c r="W921">
        <f>IF(F921="ENAP carga", COUNTIF(F$5:F921, "ENAP carga"), "")</f>
        <v/>
      </c>
    </row>
    <row r="922">
      <c r="O922" s="117">
        <f>IF(F922="CJ", I922*200, "")</f>
        <v/>
      </c>
      <c r="T922">
        <f>IF(F922="CJ", COUNTIF(F$5:F922, "CJ"), "")</f>
        <v/>
      </c>
      <c r="U922">
        <f>IF(F922="Ignacio", COUNTIF(F$5:F922, "Ignacio"), "")</f>
        <v/>
      </c>
      <c r="V922">
        <f>IF(F922="Tripulacion", COUNTIF(F$5:F922, "Tripulacion"), "")</f>
        <v/>
      </c>
      <c r="W922">
        <f>IF(F922="ENAP carga", COUNTIF(F$5:F922, "ENAP carga"), "")</f>
        <v/>
      </c>
    </row>
    <row r="923">
      <c r="O923" s="117">
        <f>IF(F923="CJ", I923*200, "")</f>
        <v/>
      </c>
      <c r="T923">
        <f>IF(F923="CJ", COUNTIF(F$5:F923, "CJ"), "")</f>
        <v/>
      </c>
      <c r="U923">
        <f>IF(F923="Ignacio", COUNTIF(F$5:F923, "Ignacio"), "")</f>
        <v/>
      </c>
      <c r="V923">
        <f>IF(F923="Tripulacion", COUNTIF(F$5:F923, "Tripulacion"), "")</f>
        <v/>
      </c>
      <c r="W923">
        <f>IF(F923="ENAP carga", COUNTIF(F$5:F923, "ENAP carga"), "")</f>
        <v/>
      </c>
    </row>
    <row r="924">
      <c r="O924" s="117">
        <f>IF(F924="CJ", I924*200, "")</f>
        <v/>
      </c>
      <c r="T924">
        <f>IF(F924="CJ", COUNTIF(F$5:F924, "CJ"), "")</f>
        <v/>
      </c>
      <c r="U924">
        <f>IF(F924="Ignacio", COUNTIF(F$5:F924, "Ignacio"), "")</f>
        <v/>
      </c>
      <c r="V924">
        <f>IF(F924="Tripulacion", COUNTIF(F$5:F924, "Tripulacion"), "")</f>
        <v/>
      </c>
      <c r="W924">
        <f>IF(F924="ENAP carga", COUNTIF(F$5:F924, "ENAP carga"), "")</f>
        <v/>
      </c>
    </row>
    <row r="925">
      <c r="O925" s="117">
        <f>IF(F925="CJ", I925*200, "")</f>
        <v/>
      </c>
      <c r="T925">
        <f>IF(F925="CJ", COUNTIF(F$5:F925, "CJ"), "")</f>
        <v/>
      </c>
      <c r="U925">
        <f>IF(F925="Ignacio", COUNTIF(F$5:F925, "Ignacio"), "")</f>
        <v/>
      </c>
      <c r="V925">
        <f>IF(F925="Tripulacion", COUNTIF(F$5:F925, "Tripulacion"), "")</f>
        <v/>
      </c>
      <c r="W925">
        <f>IF(F925="ENAP carga", COUNTIF(F$5:F925, "ENAP carga"), "")</f>
        <v/>
      </c>
    </row>
    <row r="926">
      <c r="O926" s="117">
        <f>IF(F926="CJ", I926*200, "")</f>
        <v/>
      </c>
      <c r="T926">
        <f>IF(F926="CJ", COUNTIF(F$5:F926, "CJ"), "")</f>
        <v/>
      </c>
      <c r="U926">
        <f>IF(F926="Ignacio", COUNTIF(F$5:F926, "Ignacio"), "")</f>
        <v/>
      </c>
      <c r="V926">
        <f>IF(F926="Tripulacion", COUNTIF(F$5:F926, "Tripulacion"), "")</f>
        <v/>
      </c>
      <c r="W926">
        <f>IF(F926="ENAP carga", COUNTIF(F$5:F926, "ENAP carga"), "")</f>
        <v/>
      </c>
    </row>
    <row r="927">
      <c r="O927" s="117">
        <f>IF(F927="CJ", I927*200, "")</f>
        <v/>
      </c>
      <c r="T927">
        <f>IF(F927="CJ", COUNTIF(F$5:F927, "CJ"), "")</f>
        <v/>
      </c>
      <c r="U927">
        <f>IF(F927="Ignacio", COUNTIF(F$5:F927, "Ignacio"), "")</f>
        <v/>
      </c>
      <c r="V927">
        <f>IF(F927="Tripulacion", COUNTIF(F$5:F927, "Tripulacion"), "")</f>
        <v/>
      </c>
      <c r="W927">
        <f>IF(F927="ENAP carga", COUNTIF(F$5:F927, "ENAP carga"), "")</f>
        <v/>
      </c>
    </row>
    <row r="928">
      <c r="O928" s="117">
        <f>IF(F928="CJ", I928*200, "")</f>
        <v/>
      </c>
      <c r="T928">
        <f>IF(F928="CJ", COUNTIF(F$5:F928, "CJ"), "")</f>
        <v/>
      </c>
      <c r="U928">
        <f>IF(F928="Ignacio", COUNTIF(F$5:F928, "Ignacio"), "")</f>
        <v/>
      </c>
      <c r="V928">
        <f>IF(F928="Tripulacion", COUNTIF(F$5:F928, "Tripulacion"), "")</f>
        <v/>
      </c>
      <c r="W928">
        <f>IF(F928="ENAP carga", COUNTIF(F$5:F928, "ENAP carga"), "")</f>
        <v/>
      </c>
    </row>
    <row r="929">
      <c r="O929" s="117">
        <f>IF(F929="CJ", I929*200, "")</f>
        <v/>
      </c>
      <c r="T929">
        <f>IF(F929="CJ", COUNTIF(F$5:F929, "CJ"), "")</f>
        <v/>
      </c>
      <c r="U929">
        <f>IF(F929="Ignacio", COUNTIF(F$5:F929, "Ignacio"), "")</f>
        <v/>
      </c>
      <c r="V929">
        <f>IF(F929="Tripulacion", COUNTIF(F$5:F929, "Tripulacion"), "")</f>
        <v/>
      </c>
      <c r="W929">
        <f>IF(F929="ENAP carga", COUNTIF(F$5:F929, "ENAP carga"), "")</f>
        <v/>
      </c>
    </row>
    <row r="930">
      <c r="O930" s="117">
        <f>IF(F930="CJ", I930*200, "")</f>
        <v/>
      </c>
      <c r="T930">
        <f>IF(F930="CJ", COUNTIF(F$5:F930, "CJ"), "")</f>
        <v/>
      </c>
      <c r="U930">
        <f>IF(F930="Ignacio", COUNTIF(F$5:F930, "Ignacio"), "")</f>
        <v/>
      </c>
      <c r="V930">
        <f>IF(F930="Tripulacion", COUNTIF(F$5:F930, "Tripulacion"), "")</f>
        <v/>
      </c>
      <c r="W930">
        <f>IF(F930="ENAP carga", COUNTIF(F$5:F930, "ENAP carga"), "")</f>
        <v/>
      </c>
    </row>
    <row r="931">
      <c r="O931" s="117">
        <f>IF(F931="CJ", I931*200, "")</f>
        <v/>
      </c>
      <c r="T931">
        <f>IF(F931="CJ", COUNTIF(F$5:F931, "CJ"), "")</f>
        <v/>
      </c>
      <c r="U931">
        <f>IF(F931="Ignacio", COUNTIF(F$5:F931, "Ignacio"), "")</f>
        <v/>
      </c>
      <c r="V931">
        <f>IF(F931="Tripulacion", COUNTIF(F$5:F931, "Tripulacion"), "")</f>
        <v/>
      </c>
      <c r="W931">
        <f>IF(F931="ENAP carga", COUNTIF(F$5:F931, "ENAP carga"), "")</f>
        <v/>
      </c>
    </row>
    <row r="932">
      <c r="O932" s="117">
        <f>IF(F932="CJ", I932*200, "")</f>
        <v/>
      </c>
      <c r="T932">
        <f>IF(F932="CJ", COUNTIF(F$5:F932, "CJ"), "")</f>
        <v/>
      </c>
      <c r="U932">
        <f>IF(F932="Ignacio", COUNTIF(F$5:F932, "Ignacio"), "")</f>
        <v/>
      </c>
      <c r="V932">
        <f>IF(F932="Tripulacion", COUNTIF(F$5:F932, "Tripulacion"), "")</f>
        <v/>
      </c>
      <c r="W932">
        <f>IF(F932="ENAP carga", COUNTIF(F$5:F932, "ENAP carga"), "")</f>
        <v/>
      </c>
    </row>
    <row r="933">
      <c r="O933" s="117">
        <f>IF(F933="CJ", I933*200, "")</f>
        <v/>
      </c>
      <c r="T933">
        <f>IF(F933="CJ", COUNTIF(F$5:F933, "CJ"), "")</f>
        <v/>
      </c>
      <c r="U933">
        <f>IF(F933="Ignacio", COUNTIF(F$5:F933, "Ignacio"), "")</f>
        <v/>
      </c>
      <c r="V933">
        <f>IF(F933="Tripulacion", COUNTIF(F$5:F933, "Tripulacion"), "")</f>
        <v/>
      </c>
      <c r="W933">
        <f>IF(F933="ENAP carga", COUNTIF(F$5:F933, "ENAP carga"), "")</f>
        <v/>
      </c>
    </row>
    <row r="934">
      <c r="O934" s="117">
        <f>IF(F934="CJ", I934*200, "")</f>
        <v/>
      </c>
      <c r="T934">
        <f>IF(F934="CJ", COUNTIF(F$5:F934, "CJ"), "")</f>
        <v/>
      </c>
      <c r="U934">
        <f>IF(F934="Ignacio", COUNTIF(F$5:F934, "Ignacio"), "")</f>
        <v/>
      </c>
      <c r="V934">
        <f>IF(F934="Tripulacion", COUNTIF(F$5:F934, "Tripulacion"), "")</f>
        <v/>
      </c>
      <c r="W934">
        <f>IF(F934="ENAP carga", COUNTIF(F$5:F934, "ENAP carga"), "")</f>
        <v/>
      </c>
    </row>
    <row r="935">
      <c r="O935" s="117">
        <f>IF(F935="CJ", I935*200, "")</f>
        <v/>
      </c>
      <c r="T935">
        <f>IF(F935="CJ", COUNTIF(F$5:F935, "CJ"), "")</f>
        <v/>
      </c>
      <c r="U935">
        <f>IF(F935="Ignacio", COUNTIF(F$5:F935, "Ignacio"), "")</f>
        <v/>
      </c>
      <c r="V935">
        <f>IF(F935="Tripulacion", COUNTIF(F$5:F935, "Tripulacion"), "")</f>
        <v/>
      </c>
      <c r="W935">
        <f>IF(F935="ENAP carga", COUNTIF(F$5:F935, "ENAP carga"), "")</f>
        <v/>
      </c>
    </row>
    <row r="936">
      <c r="O936" s="117">
        <f>IF(F936="CJ", I936*200, "")</f>
        <v/>
      </c>
      <c r="T936">
        <f>IF(F936="CJ", COUNTIF(F$5:F936, "CJ"), "")</f>
        <v/>
      </c>
      <c r="U936">
        <f>IF(F936="Ignacio", COUNTIF(F$5:F936, "Ignacio"), "")</f>
        <v/>
      </c>
      <c r="V936">
        <f>IF(F936="Tripulacion", COUNTIF(F$5:F936, "Tripulacion"), "")</f>
        <v/>
      </c>
      <c r="W936">
        <f>IF(F936="ENAP carga", COUNTIF(F$5:F936, "ENAP carga"), "")</f>
        <v/>
      </c>
    </row>
    <row r="937">
      <c r="O937" s="117">
        <f>IF(F937="CJ", I937*200, "")</f>
        <v/>
      </c>
      <c r="T937">
        <f>IF(F937="CJ", COUNTIF(F$5:F937, "CJ"), "")</f>
        <v/>
      </c>
      <c r="U937">
        <f>IF(F937="Ignacio", COUNTIF(F$5:F937, "Ignacio"), "")</f>
        <v/>
      </c>
      <c r="V937">
        <f>IF(F937="Tripulacion", COUNTIF(F$5:F937, "Tripulacion"), "")</f>
        <v/>
      </c>
      <c r="W937">
        <f>IF(F937="ENAP carga", COUNTIF(F$5:F937, "ENAP carga"), "")</f>
        <v/>
      </c>
    </row>
    <row r="938">
      <c r="O938" s="117">
        <f>IF(F938="CJ", I938*200, "")</f>
        <v/>
      </c>
      <c r="T938">
        <f>IF(F938="CJ", COUNTIF(F$5:F938, "CJ"), "")</f>
        <v/>
      </c>
      <c r="U938">
        <f>IF(F938="Ignacio", COUNTIF(F$5:F938, "Ignacio"), "")</f>
        <v/>
      </c>
      <c r="V938">
        <f>IF(F938="Tripulacion", COUNTIF(F$5:F938, "Tripulacion"), "")</f>
        <v/>
      </c>
      <c r="W938">
        <f>IF(F938="ENAP carga", COUNTIF(F$5:F938, "ENAP carga"), "")</f>
        <v/>
      </c>
    </row>
    <row r="939">
      <c r="O939" s="117">
        <f>IF(F939="CJ", I939*200, "")</f>
        <v/>
      </c>
      <c r="T939">
        <f>IF(F939="CJ", COUNTIF(F$5:F939, "CJ"), "")</f>
        <v/>
      </c>
      <c r="U939">
        <f>IF(F939="Ignacio", COUNTIF(F$5:F939, "Ignacio"), "")</f>
        <v/>
      </c>
      <c r="V939">
        <f>IF(F939="Tripulacion", COUNTIF(F$5:F939, "Tripulacion"), "")</f>
        <v/>
      </c>
      <c r="W939">
        <f>IF(F939="ENAP carga", COUNTIF(F$5:F939, "ENAP carga"), "")</f>
        <v/>
      </c>
    </row>
    <row r="940">
      <c r="O940" s="117">
        <f>IF(F940="CJ", I940*200, "")</f>
        <v/>
      </c>
      <c r="T940">
        <f>IF(F940="CJ", COUNTIF(F$5:F940, "CJ"), "")</f>
        <v/>
      </c>
      <c r="U940">
        <f>IF(F940="Ignacio", COUNTIF(F$5:F940, "Ignacio"), "")</f>
        <v/>
      </c>
      <c r="V940">
        <f>IF(F940="Tripulacion", COUNTIF(F$5:F940, "Tripulacion"), "")</f>
        <v/>
      </c>
      <c r="W940">
        <f>IF(F940="ENAP carga", COUNTIF(F$5:F940, "ENAP carga"), "")</f>
        <v/>
      </c>
    </row>
    <row r="941">
      <c r="O941" s="117">
        <f>IF(F941="CJ", I941*200, "")</f>
        <v/>
      </c>
      <c r="T941">
        <f>IF(F941="CJ", COUNTIF(F$5:F941, "CJ"), "")</f>
        <v/>
      </c>
      <c r="U941">
        <f>IF(F941="Ignacio", COUNTIF(F$5:F941, "Ignacio"), "")</f>
        <v/>
      </c>
      <c r="V941">
        <f>IF(F941="Tripulacion", COUNTIF(F$5:F941, "Tripulacion"), "")</f>
        <v/>
      </c>
      <c r="W941">
        <f>IF(F941="ENAP carga", COUNTIF(F$5:F941, "ENAP carga"), "")</f>
        <v/>
      </c>
    </row>
    <row r="942">
      <c r="O942" s="117">
        <f>IF(F942="CJ", I942*200, "")</f>
        <v/>
      </c>
      <c r="T942">
        <f>IF(F942="CJ", COUNTIF(F$5:F942, "CJ"), "")</f>
        <v/>
      </c>
      <c r="U942">
        <f>IF(F942="Ignacio", COUNTIF(F$5:F942, "Ignacio"), "")</f>
        <v/>
      </c>
      <c r="V942">
        <f>IF(F942="Tripulacion", COUNTIF(F$5:F942, "Tripulacion"), "")</f>
        <v/>
      </c>
      <c r="W942">
        <f>IF(F942="ENAP carga", COUNTIF(F$5:F942, "ENAP carga"), "")</f>
        <v/>
      </c>
    </row>
    <row r="943">
      <c r="O943" s="117">
        <f>IF(F943="CJ", I943*200, "")</f>
        <v/>
      </c>
      <c r="T943">
        <f>IF(F943="CJ", COUNTIF(F$5:F943, "CJ"), "")</f>
        <v/>
      </c>
      <c r="U943">
        <f>IF(F943="Ignacio", COUNTIF(F$5:F943, "Ignacio"), "")</f>
        <v/>
      </c>
      <c r="V943">
        <f>IF(F943="Tripulacion", COUNTIF(F$5:F943, "Tripulacion"), "")</f>
        <v/>
      </c>
      <c r="W943">
        <f>IF(F943="ENAP carga", COUNTIF(F$5:F943, "ENAP carga"), "")</f>
        <v/>
      </c>
    </row>
    <row r="944">
      <c r="O944" s="117">
        <f>IF(F944="CJ", I944*200, "")</f>
        <v/>
      </c>
      <c r="T944">
        <f>IF(F944="CJ", COUNTIF(F$5:F944, "CJ"), "")</f>
        <v/>
      </c>
      <c r="U944">
        <f>IF(F944="Ignacio", COUNTIF(F$5:F944, "Ignacio"), "")</f>
        <v/>
      </c>
      <c r="V944">
        <f>IF(F944="Tripulacion", COUNTIF(F$5:F944, "Tripulacion"), "")</f>
        <v/>
      </c>
      <c r="W944">
        <f>IF(F944="ENAP carga", COUNTIF(F$5:F944, "ENAP carga"), "")</f>
        <v/>
      </c>
    </row>
    <row r="945">
      <c r="O945" s="117">
        <f>IF(F945="CJ", I945*200, "")</f>
        <v/>
      </c>
      <c r="T945">
        <f>IF(F945="CJ", COUNTIF(F$5:F945, "CJ"), "")</f>
        <v/>
      </c>
      <c r="U945">
        <f>IF(F945="Ignacio", COUNTIF(F$5:F945, "Ignacio"), "")</f>
        <v/>
      </c>
      <c r="V945">
        <f>IF(F945="Tripulacion", COUNTIF(F$5:F945, "Tripulacion"), "")</f>
        <v/>
      </c>
      <c r="W945">
        <f>IF(F945="ENAP carga", COUNTIF(F$5:F945, "ENAP carga"), "")</f>
        <v/>
      </c>
    </row>
    <row r="946">
      <c r="O946" s="117">
        <f>IF(F946="CJ", I946*200, "")</f>
        <v/>
      </c>
      <c r="T946">
        <f>IF(F946="CJ", COUNTIF(F$5:F946, "CJ"), "")</f>
        <v/>
      </c>
      <c r="U946">
        <f>IF(F946="Ignacio", COUNTIF(F$5:F946, "Ignacio"), "")</f>
        <v/>
      </c>
      <c r="V946">
        <f>IF(F946="Tripulacion", COUNTIF(F$5:F946, "Tripulacion"), "")</f>
        <v/>
      </c>
      <c r="W946">
        <f>IF(F946="ENAP carga", COUNTIF(F$5:F946, "ENAP carga"), "")</f>
        <v/>
      </c>
    </row>
    <row r="947">
      <c r="O947" s="117">
        <f>IF(F947="CJ", I947*200, "")</f>
        <v/>
      </c>
      <c r="T947">
        <f>IF(F947="CJ", COUNTIF(F$5:F947, "CJ"), "")</f>
        <v/>
      </c>
      <c r="U947">
        <f>IF(F947="Ignacio", COUNTIF(F$5:F947, "Ignacio"), "")</f>
        <v/>
      </c>
      <c r="V947">
        <f>IF(F947="Tripulacion", COUNTIF(F$5:F947, "Tripulacion"), "")</f>
        <v/>
      </c>
      <c r="W947">
        <f>IF(F947="ENAP carga", COUNTIF(F$5:F947, "ENAP carga"), "")</f>
        <v/>
      </c>
    </row>
    <row r="948">
      <c r="O948" s="117">
        <f>IF(F948="CJ", I948*200, "")</f>
        <v/>
      </c>
      <c r="T948">
        <f>IF(F948="CJ", COUNTIF(F$5:F948, "CJ"), "")</f>
        <v/>
      </c>
      <c r="U948">
        <f>IF(F948="Ignacio", COUNTIF(F$5:F948, "Ignacio"), "")</f>
        <v/>
      </c>
      <c r="V948">
        <f>IF(F948="Tripulacion", COUNTIF(F$5:F948, "Tripulacion"), "")</f>
        <v/>
      </c>
      <c r="W948">
        <f>IF(F948="ENAP carga", COUNTIF(F$5:F948, "ENAP carga"), "")</f>
        <v/>
      </c>
    </row>
    <row r="949">
      <c r="O949" s="117">
        <f>IF(F949="CJ", I949*200, "")</f>
        <v/>
      </c>
      <c r="T949">
        <f>IF(F949="CJ", COUNTIF(F$5:F949, "CJ"), "")</f>
        <v/>
      </c>
      <c r="U949">
        <f>IF(F949="Ignacio", COUNTIF(F$5:F949, "Ignacio"), "")</f>
        <v/>
      </c>
      <c r="V949">
        <f>IF(F949="Tripulacion", COUNTIF(F$5:F949, "Tripulacion"), "")</f>
        <v/>
      </c>
      <c r="W949">
        <f>IF(F949="ENAP carga", COUNTIF(F$5:F949, "ENAP carga"), "")</f>
        <v/>
      </c>
    </row>
    <row r="950">
      <c r="O950" s="117">
        <f>IF(F950="CJ", I950*200, "")</f>
        <v/>
      </c>
      <c r="T950">
        <f>IF(F950="CJ", COUNTIF(F$5:F950, "CJ"), "")</f>
        <v/>
      </c>
      <c r="U950">
        <f>IF(F950="Ignacio", COUNTIF(F$5:F950, "Ignacio"), "")</f>
        <v/>
      </c>
      <c r="V950">
        <f>IF(F950="Tripulacion", COUNTIF(F$5:F950, "Tripulacion"), "")</f>
        <v/>
      </c>
      <c r="W950">
        <f>IF(F950="ENAP carga", COUNTIF(F$5:F950, "ENAP carga"), "")</f>
        <v/>
      </c>
    </row>
    <row r="951">
      <c r="O951" s="117">
        <f>IF(F951="CJ", I951*200, "")</f>
        <v/>
      </c>
      <c r="T951">
        <f>IF(F951="CJ", COUNTIF(F$5:F951, "CJ"), "")</f>
        <v/>
      </c>
      <c r="U951">
        <f>IF(F951="Ignacio", COUNTIF(F$5:F951, "Ignacio"), "")</f>
        <v/>
      </c>
      <c r="V951">
        <f>IF(F951="Tripulacion", COUNTIF(F$5:F951, "Tripulacion"), "")</f>
        <v/>
      </c>
      <c r="W951">
        <f>IF(F951="ENAP carga", COUNTIF(F$5:F951, "ENAP carga"), "")</f>
        <v/>
      </c>
    </row>
    <row r="952">
      <c r="O952" s="117">
        <f>IF(F952="CJ", I952*200, "")</f>
        <v/>
      </c>
      <c r="T952">
        <f>IF(F952="CJ", COUNTIF(F$5:F952, "CJ"), "")</f>
        <v/>
      </c>
      <c r="U952">
        <f>IF(F952="Ignacio", COUNTIF(F$5:F952, "Ignacio"), "")</f>
        <v/>
      </c>
      <c r="V952">
        <f>IF(F952="Tripulacion", COUNTIF(F$5:F952, "Tripulacion"), "")</f>
        <v/>
      </c>
      <c r="W952">
        <f>IF(F952="ENAP carga", COUNTIF(F$5:F952, "ENAP carga"), "")</f>
        <v/>
      </c>
    </row>
    <row r="953">
      <c r="O953" s="117">
        <f>IF(F953="CJ", I953*200, "")</f>
        <v/>
      </c>
      <c r="T953">
        <f>IF(F953="CJ", COUNTIF(F$5:F953, "CJ"), "")</f>
        <v/>
      </c>
      <c r="U953">
        <f>IF(F953="Ignacio", COUNTIF(F$5:F953, "Ignacio"), "")</f>
        <v/>
      </c>
      <c r="V953">
        <f>IF(F953="Tripulacion", COUNTIF(F$5:F953, "Tripulacion"), "")</f>
        <v/>
      </c>
      <c r="W953">
        <f>IF(F953="ENAP carga", COUNTIF(F$5:F953, "ENAP carga"), "")</f>
        <v/>
      </c>
    </row>
    <row r="954">
      <c r="O954" s="117">
        <f>IF(F954="CJ", I954*200, "")</f>
        <v/>
      </c>
      <c r="T954">
        <f>IF(F954="CJ", COUNTIF(F$5:F954, "CJ"), "")</f>
        <v/>
      </c>
      <c r="U954">
        <f>IF(F954="Ignacio", COUNTIF(F$5:F954, "Ignacio"), "")</f>
        <v/>
      </c>
      <c r="V954">
        <f>IF(F954="Tripulacion", COUNTIF(F$5:F954, "Tripulacion"), "")</f>
        <v/>
      </c>
      <c r="W954">
        <f>IF(F954="ENAP carga", COUNTIF(F$5:F954, "ENAP carga"), "")</f>
        <v/>
      </c>
    </row>
    <row r="955">
      <c r="O955" s="117">
        <f>IF(F955="CJ", I955*200, "")</f>
        <v/>
      </c>
      <c r="T955">
        <f>IF(F955="CJ", COUNTIF(F$5:F955, "CJ"), "")</f>
        <v/>
      </c>
      <c r="U955">
        <f>IF(F955="Ignacio", COUNTIF(F$5:F955, "Ignacio"), "")</f>
        <v/>
      </c>
      <c r="V955">
        <f>IF(F955="Tripulacion", COUNTIF(F$5:F955, "Tripulacion"), "")</f>
        <v/>
      </c>
      <c r="W955">
        <f>IF(F955="ENAP carga", COUNTIF(F$5:F955, "ENAP carga"), "")</f>
        <v/>
      </c>
    </row>
    <row r="956">
      <c r="O956" s="117">
        <f>IF(F956="CJ", I956*200, "")</f>
        <v/>
      </c>
      <c r="T956">
        <f>IF(F956="CJ", COUNTIF(F$5:F956, "CJ"), "")</f>
        <v/>
      </c>
      <c r="U956">
        <f>IF(F956="Ignacio", COUNTIF(F$5:F956, "Ignacio"), "")</f>
        <v/>
      </c>
      <c r="V956">
        <f>IF(F956="Tripulacion", COUNTIF(F$5:F956, "Tripulacion"), "")</f>
        <v/>
      </c>
      <c r="W956">
        <f>IF(F956="ENAP carga", COUNTIF(F$5:F956, "ENAP carga"), "")</f>
        <v/>
      </c>
    </row>
    <row r="957">
      <c r="O957" s="117">
        <f>IF(F957="CJ", I957*200, "")</f>
        <v/>
      </c>
      <c r="T957">
        <f>IF(F957="CJ", COUNTIF(F$5:F957, "CJ"), "")</f>
        <v/>
      </c>
      <c r="U957">
        <f>IF(F957="Ignacio", COUNTIF(F$5:F957, "Ignacio"), "")</f>
        <v/>
      </c>
      <c r="V957">
        <f>IF(F957="Tripulacion", COUNTIF(F$5:F957, "Tripulacion"), "")</f>
        <v/>
      </c>
      <c r="W957">
        <f>IF(F957="ENAP carga", COUNTIF(F$5:F957, "ENAP carga"), "")</f>
        <v/>
      </c>
    </row>
    <row r="958">
      <c r="O958" s="117">
        <f>IF(F958="CJ", I958*200, "")</f>
        <v/>
      </c>
      <c r="T958">
        <f>IF(F958="CJ", COUNTIF(F$5:F958, "CJ"), "")</f>
        <v/>
      </c>
      <c r="U958">
        <f>IF(F958="Ignacio", COUNTIF(F$5:F958, "Ignacio"), "")</f>
        <v/>
      </c>
      <c r="V958">
        <f>IF(F958="Tripulacion", COUNTIF(F$5:F958, "Tripulacion"), "")</f>
        <v/>
      </c>
      <c r="W958">
        <f>IF(F958="ENAP carga", COUNTIF(F$5:F958, "ENAP carga"), "")</f>
        <v/>
      </c>
    </row>
    <row r="959">
      <c r="O959" s="117">
        <f>IF(F959="CJ", I959*200, "")</f>
        <v/>
      </c>
      <c r="T959">
        <f>IF(F959="CJ", COUNTIF(F$5:F959, "CJ"), "")</f>
        <v/>
      </c>
      <c r="U959">
        <f>IF(F959="Ignacio", COUNTIF(F$5:F959, "Ignacio"), "")</f>
        <v/>
      </c>
      <c r="V959">
        <f>IF(F959="Tripulacion", COUNTIF(F$5:F959, "Tripulacion"), "")</f>
        <v/>
      </c>
      <c r="W959">
        <f>IF(F959="ENAP carga", COUNTIF(F$5:F959, "ENAP carga"), "")</f>
        <v/>
      </c>
    </row>
    <row r="960">
      <c r="O960" s="117">
        <f>IF(F960="CJ", I960*200, "")</f>
        <v/>
      </c>
      <c r="T960">
        <f>IF(F960="CJ", COUNTIF(F$5:F960, "CJ"), "")</f>
        <v/>
      </c>
      <c r="U960">
        <f>IF(F960="Ignacio", COUNTIF(F$5:F960, "Ignacio"), "")</f>
        <v/>
      </c>
      <c r="V960">
        <f>IF(F960="Tripulacion", COUNTIF(F$5:F960, "Tripulacion"), "")</f>
        <v/>
      </c>
      <c r="W960">
        <f>IF(F960="ENAP carga", COUNTIF(F$5:F960, "ENAP carga"), "")</f>
        <v/>
      </c>
    </row>
    <row r="961">
      <c r="O961" s="117">
        <f>IF(F961="CJ", I961*200, "")</f>
        <v/>
      </c>
      <c r="T961">
        <f>IF(F961="CJ", COUNTIF(F$5:F961, "CJ"), "")</f>
        <v/>
      </c>
      <c r="U961">
        <f>IF(F961="Ignacio", COUNTIF(F$5:F961, "Ignacio"), "")</f>
        <v/>
      </c>
      <c r="V961">
        <f>IF(F961="Tripulacion", COUNTIF(F$5:F961, "Tripulacion"), "")</f>
        <v/>
      </c>
      <c r="W961">
        <f>IF(F961="ENAP carga", COUNTIF(F$5:F961, "ENAP carga"), "")</f>
        <v/>
      </c>
    </row>
    <row r="962">
      <c r="O962" s="117">
        <f>IF(F962="CJ", I962*200, "")</f>
        <v/>
      </c>
      <c r="T962">
        <f>IF(F962="CJ", COUNTIF(F$5:F962, "CJ"), "")</f>
        <v/>
      </c>
      <c r="U962">
        <f>IF(F962="Ignacio", COUNTIF(F$5:F962, "Ignacio"), "")</f>
        <v/>
      </c>
      <c r="V962">
        <f>IF(F962="Tripulacion", COUNTIF(F$5:F962, "Tripulacion"), "")</f>
        <v/>
      </c>
      <c r="W962">
        <f>IF(F962="ENAP carga", COUNTIF(F$5:F962, "ENAP carga"), "")</f>
        <v/>
      </c>
    </row>
    <row r="963">
      <c r="O963" s="117">
        <f>IF(F963="CJ", I963*200, "")</f>
        <v/>
      </c>
      <c r="T963">
        <f>IF(F963="CJ", COUNTIF(F$5:F963, "CJ"), "")</f>
        <v/>
      </c>
      <c r="U963">
        <f>IF(F963="Ignacio", COUNTIF(F$5:F963, "Ignacio"), "")</f>
        <v/>
      </c>
      <c r="V963">
        <f>IF(F963="Tripulacion", COUNTIF(F$5:F963, "Tripulacion"), "")</f>
        <v/>
      </c>
      <c r="W963">
        <f>IF(F963="ENAP carga", COUNTIF(F$5:F963, "ENAP carga"), "")</f>
        <v/>
      </c>
    </row>
    <row r="964">
      <c r="O964" s="117">
        <f>IF(F964="CJ", I964*200, "")</f>
        <v/>
      </c>
      <c r="T964">
        <f>IF(F964="CJ", COUNTIF(F$5:F964, "CJ"), "")</f>
        <v/>
      </c>
      <c r="U964">
        <f>IF(F964="Ignacio", COUNTIF(F$5:F964, "Ignacio"), "")</f>
        <v/>
      </c>
      <c r="V964">
        <f>IF(F964="Tripulacion", COUNTIF(F$5:F964, "Tripulacion"), "")</f>
        <v/>
      </c>
      <c r="W964">
        <f>IF(F964="ENAP carga", COUNTIF(F$5:F964, "ENAP carga"), "")</f>
        <v/>
      </c>
    </row>
    <row r="965">
      <c r="O965" s="117">
        <f>IF(F965="CJ", I965*200, "")</f>
        <v/>
      </c>
      <c r="T965">
        <f>IF(F965="CJ", COUNTIF(F$5:F965, "CJ"), "")</f>
        <v/>
      </c>
      <c r="U965">
        <f>IF(F965="Ignacio", COUNTIF(F$5:F965, "Ignacio"), "")</f>
        <v/>
      </c>
      <c r="V965">
        <f>IF(F965="Tripulacion", COUNTIF(F$5:F965, "Tripulacion"), "")</f>
        <v/>
      </c>
      <c r="W965">
        <f>IF(F965="ENAP carga", COUNTIF(F$5:F965, "ENAP carga"), "")</f>
        <v/>
      </c>
    </row>
    <row r="966">
      <c r="O966" s="117">
        <f>IF(F966="CJ", I966*200, "")</f>
        <v/>
      </c>
      <c r="T966">
        <f>IF(F966="CJ", COUNTIF(F$5:F966, "CJ"), "")</f>
        <v/>
      </c>
      <c r="U966">
        <f>IF(F966="Ignacio", COUNTIF(F$5:F966, "Ignacio"), "")</f>
        <v/>
      </c>
      <c r="V966">
        <f>IF(F966="Tripulacion", COUNTIF(F$5:F966, "Tripulacion"), "")</f>
        <v/>
      </c>
      <c r="W966">
        <f>IF(F966="ENAP carga", COUNTIF(F$5:F966, "ENAP carga"), "")</f>
        <v/>
      </c>
    </row>
    <row r="967">
      <c r="O967" s="117">
        <f>IF(F967="CJ", I967*200, "")</f>
        <v/>
      </c>
      <c r="T967">
        <f>IF(F967="CJ", COUNTIF(F$5:F967, "CJ"), "")</f>
        <v/>
      </c>
      <c r="U967">
        <f>IF(F967="Ignacio", COUNTIF(F$5:F967, "Ignacio"), "")</f>
        <v/>
      </c>
      <c r="V967">
        <f>IF(F967="Tripulacion", COUNTIF(F$5:F967, "Tripulacion"), "")</f>
        <v/>
      </c>
      <c r="W967">
        <f>IF(F967="ENAP carga", COUNTIF(F$5:F967, "ENAP carga"), "")</f>
        <v/>
      </c>
    </row>
    <row r="968">
      <c r="O968" s="117">
        <f>IF(F968="CJ", I968*200, "")</f>
        <v/>
      </c>
      <c r="T968">
        <f>IF(F968="CJ", COUNTIF(F$5:F968, "CJ"), "")</f>
        <v/>
      </c>
      <c r="U968">
        <f>IF(F968="Ignacio", COUNTIF(F$5:F968, "Ignacio"), "")</f>
        <v/>
      </c>
      <c r="V968">
        <f>IF(F968="Tripulacion", COUNTIF(F$5:F968, "Tripulacion"), "")</f>
        <v/>
      </c>
      <c r="W968">
        <f>IF(F968="ENAP carga", COUNTIF(F$5:F968, "ENAP carga"), "")</f>
        <v/>
      </c>
    </row>
    <row r="969">
      <c r="O969" s="117">
        <f>IF(F969="CJ", I969*200, "")</f>
        <v/>
      </c>
      <c r="T969">
        <f>IF(F969="CJ", COUNTIF(F$5:F969, "CJ"), "")</f>
        <v/>
      </c>
      <c r="U969">
        <f>IF(F969="Ignacio", COUNTIF(F$5:F969, "Ignacio"), "")</f>
        <v/>
      </c>
      <c r="V969">
        <f>IF(F969="Tripulacion", COUNTIF(F$5:F969, "Tripulacion"), "")</f>
        <v/>
      </c>
      <c r="W969">
        <f>IF(F969="ENAP carga", COUNTIF(F$5:F969, "ENAP carga"), "")</f>
        <v/>
      </c>
    </row>
    <row r="970">
      <c r="O970" s="117">
        <f>IF(F970="CJ", I970*200, "")</f>
        <v/>
      </c>
      <c r="T970">
        <f>IF(F970="CJ", COUNTIF(F$5:F970, "CJ"), "")</f>
        <v/>
      </c>
      <c r="U970">
        <f>IF(F970="Ignacio", COUNTIF(F$5:F970, "Ignacio"), "")</f>
        <v/>
      </c>
      <c r="V970">
        <f>IF(F970="Tripulacion", COUNTIF(F$5:F970, "Tripulacion"), "")</f>
        <v/>
      </c>
      <c r="W970">
        <f>IF(F970="ENAP carga", COUNTIF(F$5:F970, "ENAP carga"), "")</f>
        <v/>
      </c>
    </row>
    <row r="971">
      <c r="O971" s="117">
        <f>IF(F971="CJ", I971*200, "")</f>
        <v/>
      </c>
      <c r="T971">
        <f>IF(F971="CJ", COUNTIF(F$5:F971, "CJ"), "")</f>
        <v/>
      </c>
      <c r="U971">
        <f>IF(F971="Ignacio", COUNTIF(F$5:F971, "Ignacio"), "")</f>
        <v/>
      </c>
      <c r="V971">
        <f>IF(F971="Tripulacion", COUNTIF(F$5:F971, "Tripulacion"), "")</f>
        <v/>
      </c>
      <c r="W971">
        <f>IF(F971="ENAP carga", COUNTIF(F$5:F971, "ENAP carga"), "")</f>
        <v/>
      </c>
    </row>
    <row r="972">
      <c r="O972" s="117">
        <f>IF(F972="CJ", I972*200, "")</f>
        <v/>
      </c>
      <c r="T972">
        <f>IF(F972="CJ", COUNTIF(F$5:F972, "CJ"), "")</f>
        <v/>
      </c>
      <c r="U972">
        <f>IF(F972="Ignacio", COUNTIF(F$5:F972, "Ignacio"), "")</f>
        <v/>
      </c>
      <c r="V972">
        <f>IF(F972="Tripulacion", COUNTIF(F$5:F972, "Tripulacion"), "")</f>
        <v/>
      </c>
      <c r="W972">
        <f>IF(F972="ENAP carga", COUNTIF(F$5:F972, "ENAP carga"), "")</f>
        <v/>
      </c>
    </row>
    <row r="973">
      <c r="O973" s="117">
        <f>IF(F973="CJ", I973*200, "")</f>
        <v/>
      </c>
      <c r="T973">
        <f>IF(F973="CJ", COUNTIF(F$5:F973, "CJ"), "")</f>
        <v/>
      </c>
      <c r="U973">
        <f>IF(F973="Ignacio", COUNTIF(F$5:F973, "Ignacio"), "")</f>
        <v/>
      </c>
      <c r="V973">
        <f>IF(F973="Tripulacion", COUNTIF(F$5:F973, "Tripulacion"), "")</f>
        <v/>
      </c>
      <c r="W973">
        <f>IF(F973="ENAP carga", COUNTIF(F$5:F973, "ENAP carga"), "")</f>
        <v/>
      </c>
    </row>
    <row r="974">
      <c r="O974" s="117">
        <f>IF(F974="CJ", I974*200, "")</f>
        <v/>
      </c>
      <c r="T974">
        <f>IF(F974="CJ", COUNTIF(F$5:F974, "CJ"), "")</f>
        <v/>
      </c>
      <c r="U974">
        <f>IF(F974="Ignacio", COUNTIF(F$5:F974, "Ignacio"), "")</f>
        <v/>
      </c>
      <c r="V974">
        <f>IF(F974="Tripulacion", COUNTIF(F$5:F974, "Tripulacion"), "")</f>
        <v/>
      </c>
      <c r="W974">
        <f>IF(F974="ENAP carga", COUNTIF(F$5:F974, "ENAP carga"), "")</f>
        <v/>
      </c>
    </row>
    <row r="975">
      <c r="O975" s="117">
        <f>IF(F975="CJ", I975*200, "")</f>
        <v/>
      </c>
      <c r="T975">
        <f>IF(F975="CJ", COUNTIF(F$5:F975, "CJ"), "")</f>
        <v/>
      </c>
      <c r="U975">
        <f>IF(F975="Ignacio", COUNTIF(F$5:F975, "Ignacio"), "")</f>
        <v/>
      </c>
      <c r="V975">
        <f>IF(F975="Tripulacion", COUNTIF(F$5:F975, "Tripulacion"), "")</f>
        <v/>
      </c>
      <c r="W975">
        <f>IF(F975="ENAP carga", COUNTIF(F$5:F975, "ENAP carga"), "")</f>
        <v/>
      </c>
    </row>
    <row r="976">
      <c r="O976" s="117">
        <f>IF(F976="CJ", I976*200, "")</f>
        <v/>
      </c>
      <c r="T976">
        <f>IF(F976="CJ", COUNTIF(F$5:F976, "CJ"), "")</f>
        <v/>
      </c>
      <c r="U976">
        <f>IF(F976="Ignacio", COUNTIF(F$5:F976, "Ignacio"), "")</f>
        <v/>
      </c>
      <c r="V976">
        <f>IF(F976="Tripulacion", COUNTIF(F$5:F976, "Tripulacion"), "")</f>
        <v/>
      </c>
      <c r="W976">
        <f>IF(F976="ENAP carga", COUNTIF(F$5:F976, "ENAP carga"), "")</f>
        <v/>
      </c>
    </row>
    <row r="977">
      <c r="O977" s="117">
        <f>IF(F977="CJ", I977*200, "")</f>
        <v/>
      </c>
      <c r="T977">
        <f>IF(F977="CJ", COUNTIF(F$5:F977, "CJ"), "")</f>
        <v/>
      </c>
      <c r="U977">
        <f>IF(F977="Ignacio", COUNTIF(F$5:F977, "Ignacio"), "")</f>
        <v/>
      </c>
      <c r="V977">
        <f>IF(F977="Tripulacion", COUNTIF(F$5:F977, "Tripulacion"), "")</f>
        <v/>
      </c>
      <c r="W977">
        <f>IF(F977="ENAP carga", COUNTIF(F$5:F977, "ENAP carga"), "")</f>
        <v/>
      </c>
    </row>
    <row r="978">
      <c r="O978" s="117">
        <f>IF(F978="CJ", I978*200, "")</f>
        <v/>
      </c>
      <c r="T978">
        <f>IF(F978="CJ", COUNTIF(F$5:F978, "CJ"), "")</f>
        <v/>
      </c>
      <c r="U978">
        <f>IF(F978="Ignacio", COUNTIF(F$5:F978, "Ignacio"), "")</f>
        <v/>
      </c>
      <c r="V978">
        <f>IF(F978="Tripulacion", COUNTIF(F$5:F978, "Tripulacion"), "")</f>
        <v/>
      </c>
      <c r="W978">
        <f>IF(F978="ENAP carga", COUNTIF(F$5:F978, "ENAP carga"), "")</f>
        <v/>
      </c>
    </row>
    <row r="979">
      <c r="O979" s="117">
        <f>IF(F979="CJ", I979*200, "")</f>
        <v/>
      </c>
      <c r="T979">
        <f>IF(F979="CJ", COUNTIF(F$5:F979, "CJ"), "")</f>
        <v/>
      </c>
      <c r="U979">
        <f>IF(F979="Ignacio", COUNTIF(F$5:F979, "Ignacio"), "")</f>
        <v/>
      </c>
      <c r="V979">
        <f>IF(F979="Tripulacion", COUNTIF(F$5:F979, "Tripulacion"), "")</f>
        <v/>
      </c>
      <c r="W979">
        <f>IF(F979="ENAP carga", COUNTIF(F$5:F979, "ENAP carga"), "")</f>
        <v/>
      </c>
    </row>
    <row r="980">
      <c r="O980" s="117">
        <f>IF(F980="CJ", I980*200, "")</f>
        <v/>
      </c>
      <c r="T980">
        <f>IF(F980="CJ", COUNTIF(F$5:F980, "CJ"), "")</f>
        <v/>
      </c>
      <c r="U980">
        <f>IF(F980="Ignacio", COUNTIF(F$5:F980, "Ignacio"), "")</f>
        <v/>
      </c>
      <c r="V980">
        <f>IF(F980="Tripulacion", COUNTIF(F$5:F980, "Tripulacion"), "")</f>
        <v/>
      </c>
      <c r="W980">
        <f>IF(F980="ENAP carga", COUNTIF(F$5:F980, "ENAP carga"), "")</f>
        <v/>
      </c>
    </row>
    <row r="981">
      <c r="O981" s="117">
        <f>IF(F981="CJ", I981*200, "")</f>
        <v/>
      </c>
      <c r="T981">
        <f>IF(F981="CJ", COUNTIF(F$5:F981, "CJ"), "")</f>
        <v/>
      </c>
      <c r="U981">
        <f>IF(F981="Ignacio", COUNTIF(F$5:F981, "Ignacio"), "")</f>
        <v/>
      </c>
      <c r="V981">
        <f>IF(F981="Tripulacion", COUNTIF(F$5:F981, "Tripulacion"), "")</f>
        <v/>
      </c>
      <c r="W981">
        <f>IF(F981="ENAP carga", COUNTIF(F$5:F981, "ENAP carga"), "")</f>
        <v/>
      </c>
    </row>
    <row r="982">
      <c r="O982" s="117">
        <f>IF(F982="CJ", I982*200, "")</f>
        <v/>
      </c>
      <c r="T982">
        <f>IF(F982="CJ", COUNTIF(F$5:F982, "CJ"), "")</f>
        <v/>
      </c>
      <c r="U982">
        <f>IF(F982="Ignacio", COUNTIF(F$5:F982, "Ignacio"), "")</f>
        <v/>
      </c>
      <c r="V982">
        <f>IF(F982="Tripulacion", COUNTIF(F$5:F982, "Tripulacion"), "")</f>
        <v/>
      </c>
      <c r="W982">
        <f>IF(F982="ENAP carga", COUNTIF(F$5:F982, "ENAP carga"), "")</f>
        <v/>
      </c>
    </row>
    <row r="983">
      <c r="O983" s="117">
        <f>IF(F983="CJ", I983*200, "")</f>
        <v/>
      </c>
      <c r="T983">
        <f>IF(F983="CJ", COUNTIF(F$5:F983, "CJ"), "")</f>
        <v/>
      </c>
      <c r="U983">
        <f>IF(F983="Ignacio", COUNTIF(F$5:F983, "Ignacio"), "")</f>
        <v/>
      </c>
      <c r="V983">
        <f>IF(F983="Tripulacion", COUNTIF(F$5:F983, "Tripulacion"), "")</f>
        <v/>
      </c>
      <c r="W983">
        <f>IF(F983="ENAP carga", COUNTIF(F$5:F983, "ENAP carga"), "")</f>
        <v/>
      </c>
    </row>
    <row r="984">
      <c r="O984" s="117">
        <f>IF(F984="CJ", I984*200, "")</f>
        <v/>
      </c>
      <c r="T984">
        <f>IF(F984="CJ", COUNTIF(F$5:F984, "CJ"), "")</f>
        <v/>
      </c>
      <c r="U984">
        <f>IF(F984="Ignacio", COUNTIF(F$5:F984, "Ignacio"), "")</f>
        <v/>
      </c>
      <c r="V984">
        <f>IF(F984="Tripulacion", COUNTIF(F$5:F984, "Tripulacion"), "")</f>
        <v/>
      </c>
      <c r="W984">
        <f>IF(F984="ENAP carga", COUNTIF(F$5:F984, "ENAP carga"), "")</f>
        <v/>
      </c>
    </row>
    <row r="985">
      <c r="O985" s="117">
        <f>IF(F985="CJ", I985*200, "")</f>
        <v/>
      </c>
      <c r="T985">
        <f>IF(F985="CJ", COUNTIF(F$5:F985, "CJ"), "")</f>
        <v/>
      </c>
      <c r="U985">
        <f>IF(F985="Ignacio", COUNTIF(F$5:F985, "Ignacio"), "")</f>
        <v/>
      </c>
      <c r="V985">
        <f>IF(F985="Tripulacion", COUNTIF(F$5:F985, "Tripulacion"), "")</f>
        <v/>
      </c>
      <c r="W985">
        <f>IF(F985="ENAP carga", COUNTIF(F$5:F985, "ENAP carga"), "")</f>
        <v/>
      </c>
    </row>
    <row r="986">
      <c r="O986" s="117">
        <f>IF(F986="CJ", I986*200, "")</f>
        <v/>
      </c>
      <c r="T986">
        <f>IF(F986="CJ", COUNTIF(F$5:F986, "CJ"), "")</f>
        <v/>
      </c>
      <c r="U986">
        <f>IF(F986="Ignacio", COUNTIF(F$5:F986, "Ignacio"), "")</f>
        <v/>
      </c>
      <c r="V986">
        <f>IF(F986="Tripulacion", COUNTIF(F$5:F986, "Tripulacion"), "")</f>
        <v/>
      </c>
      <c r="W986">
        <f>IF(F986="ENAP carga", COUNTIF(F$5:F986, "ENAP carga"), "")</f>
        <v/>
      </c>
    </row>
    <row r="987">
      <c r="O987" s="117">
        <f>IF(F987="CJ", I987*200, "")</f>
        <v/>
      </c>
      <c r="T987">
        <f>IF(F987="CJ", COUNTIF(F$5:F987, "CJ"), "")</f>
        <v/>
      </c>
      <c r="U987">
        <f>IF(F987="Ignacio", COUNTIF(F$5:F987, "Ignacio"), "")</f>
        <v/>
      </c>
      <c r="V987">
        <f>IF(F987="Tripulacion", COUNTIF(F$5:F987, "Tripulacion"), "")</f>
        <v/>
      </c>
      <c r="W987">
        <f>IF(F987="ENAP carga", COUNTIF(F$5:F987, "ENAP carga"), "")</f>
        <v/>
      </c>
    </row>
    <row r="988">
      <c r="O988" s="117">
        <f>IF(F988="CJ", I988*200, "")</f>
        <v/>
      </c>
      <c r="T988">
        <f>IF(F988="CJ", COUNTIF(F$5:F988, "CJ"), "")</f>
        <v/>
      </c>
      <c r="U988">
        <f>IF(F988="Ignacio", COUNTIF(F$5:F988, "Ignacio"), "")</f>
        <v/>
      </c>
      <c r="V988">
        <f>IF(F988="Tripulacion", COUNTIF(F$5:F988, "Tripulacion"), "")</f>
        <v/>
      </c>
      <c r="W988">
        <f>IF(F988="ENAP carga", COUNTIF(F$5:F988, "ENAP carga"), "")</f>
        <v/>
      </c>
    </row>
    <row r="989">
      <c r="O989" s="117">
        <f>IF(F989="CJ", I989*200, "")</f>
        <v/>
      </c>
      <c r="T989">
        <f>IF(F989="CJ", COUNTIF(F$5:F989, "CJ"), "")</f>
        <v/>
      </c>
      <c r="U989">
        <f>IF(F989="Ignacio", COUNTIF(F$5:F989, "Ignacio"), "")</f>
        <v/>
      </c>
      <c r="V989">
        <f>IF(F989="Tripulacion", COUNTIF(F$5:F989, "Tripulacion"), "")</f>
        <v/>
      </c>
      <c r="W989">
        <f>IF(F989="ENAP carga", COUNTIF(F$5:F989, "ENAP carga"), "")</f>
        <v/>
      </c>
    </row>
    <row r="990">
      <c r="O990" s="117">
        <f>IF(F990="CJ", I990*200, "")</f>
        <v/>
      </c>
      <c r="T990">
        <f>IF(F990="CJ", COUNTIF(F$5:F990, "CJ"), "")</f>
        <v/>
      </c>
      <c r="U990">
        <f>IF(F990="Ignacio", COUNTIF(F$5:F990, "Ignacio"), "")</f>
        <v/>
      </c>
      <c r="V990">
        <f>IF(F990="Tripulacion", COUNTIF(F$5:F990, "Tripulacion"), "")</f>
        <v/>
      </c>
      <c r="W990">
        <f>IF(F990="ENAP carga", COUNTIF(F$5:F990, "ENAP carga"), "")</f>
        <v/>
      </c>
    </row>
    <row r="991">
      <c r="O991" s="117">
        <f>IF(F991="CJ", I991*200, "")</f>
        <v/>
      </c>
      <c r="T991">
        <f>IF(F991="CJ", COUNTIF(F$5:F991, "CJ"), "")</f>
        <v/>
      </c>
      <c r="U991">
        <f>IF(F991="Ignacio", COUNTIF(F$5:F991, "Ignacio"), "")</f>
        <v/>
      </c>
      <c r="V991">
        <f>IF(F991="Tripulacion", COUNTIF(F$5:F991, "Tripulacion"), "")</f>
        <v/>
      </c>
      <c r="W991">
        <f>IF(F991="ENAP carga", COUNTIF(F$5:F991, "ENAP carga"), "")</f>
        <v/>
      </c>
    </row>
    <row r="992">
      <c r="O992" s="117">
        <f>IF(F992="CJ", I992*200, "")</f>
        <v/>
      </c>
      <c r="T992">
        <f>IF(F992="CJ", COUNTIF(F$5:F992, "CJ"), "")</f>
        <v/>
      </c>
      <c r="U992">
        <f>IF(F992="Ignacio", COUNTIF(F$5:F992, "Ignacio"), "")</f>
        <v/>
      </c>
      <c r="V992">
        <f>IF(F992="Tripulacion", COUNTIF(F$5:F992, "Tripulacion"), "")</f>
        <v/>
      </c>
      <c r="W992">
        <f>IF(F992="ENAP carga", COUNTIF(F$5:F992, "ENAP carga"), "")</f>
        <v/>
      </c>
    </row>
    <row r="993">
      <c r="O993" s="117">
        <f>IF(F993="CJ", I993*200, "")</f>
        <v/>
      </c>
      <c r="T993">
        <f>IF(F993="CJ", COUNTIF(F$5:F993, "CJ"), "")</f>
        <v/>
      </c>
      <c r="U993">
        <f>IF(F993="Ignacio", COUNTIF(F$5:F993, "Ignacio"), "")</f>
        <v/>
      </c>
      <c r="V993">
        <f>IF(F993="Tripulacion", COUNTIF(F$5:F993, "Tripulacion"), "")</f>
        <v/>
      </c>
      <c r="W993">
        <f>IF(F993="ENAP carga", COUNTIF(F$5:F993, "ENAP carga"), "")</f>
        <v/>
      </c>
    </row>
    <row r="994">
      <c r="O994" s="117">
        <f>IF(F994="CJ", I994*200, "")</f>
        <v/>
      </c>
      <c r="T994">
        <f>IF(F994="CJ", COUNTIF(F$5:F994, "CJ"), "")</f>
        <v/>
      </c>
      <c r="U994">
        <f>IF(F994="Ignacio", COUNTIF(F$5:F994, "Ignacio"), "")</f>
        <v/>
      </c>
      <c r="V994">
        <f>IF(F994="Tripulacion", COUNTIF(F$5:F994, "Tripulacion"), "")</f>
        <v/>
      </c>
      <c r="W994">
        <f>IF(F994="ENAP carga", COUNTIF(F$5:F994, "ENAP carga"), "")</f>
        <v/>
      </c>
    </row>
    <row r="995">
      <c r="O995" s="117">
        <f>IF(F995="CJ", I995*200, "")</f>
        <v/>
      </c>
      <c r="T995">
        <f>IF(F995="CJ", COUNTIF(F$5:F995, "CJ"), "")</f>
        <v/>
      </c>
      <c r="U995">
        <f>IF(F995="Ignacio", COUNTIF(F$5:F995, "Ignacio"), "")</f>
        <v/>
      </c>
      <c r="V995">
        <f>IF(F995="Tripulacion", COUNTIF(F$5:F995, "Tripulacion"), "")</f>
        <v/>
      </c>
      <c r="W995">
        <f>IF(F995="ENAP carga", COUNTIF(F$5:F995, "ENAP carga"), "")</f>
        <v/>
      </c>
    </row>
    <row r="996">
      <c r="O996" s="117">
        <f>IF(F996="CJ", I996*200, "")</f>
        <v/>
      </c>
      <c r="T996">
        <f>IF(F996="CJ", COUNTIF(F$5:F996, "CJ"), "")</f>
        <v/>
      </c>
      <c r="U996">
        <f>IF(F996="Ignacio", COUNTIF(F$5:F996, "Ignacio"), "")</f>
        <v/>
      </c>
      <c r="V996">
        <f>IF(F996="Tripulacion", COUNTIF(F$5:F996, "Tripulacion"), "")</f>
        <v/>
      </c>
      <c r="W996">
        <f>IF(F996="ENAP carga", COUNTIF(F$5:F996, "ENAP carga"), "")</f>
        <v/>
      </c>
    </row>
    <row r="997">
      <c r="O997" s="117">
        <f>IF(F997="CJ", I997*200, "")</f>
        <v/>
      </c>
      <c r="T997">
        <f>IF(F997="CJ", COUNTIF(F$5:F997, "CJ"), "")</f>
        <v/>
      </c>
      <c r="U997">
        <f>IF(F997="Ignacio", COUNTIF(F$5:F997, "Ignacio"), "")</f>
        <v/>
      </c>
      <c r="V997">
        <f>IF(F997="Tripulacion", COUNTIF(F$5:F997, "Tripulacion"), "")</f>
        <v/>
      </c>
      <c r="W997">
        <f>IF(F997="ENAP carga", COUNTIF(F$5:F997, "ENAP carga"), "")</f>
        <v/>
      </c>
    </row>
    <row r="998">
      <c r="O998" s="117">
        <f>IF(F998="CJ", I998*200, "")</f>
        <v/>
      </c>
      <c r="T998">
        <f>IF(F998="CJ", COUNTIF(F$5:F998, "CJ"), "")</f>
        <v/>
      </c>
      <c r="U998">
        <f>IF(F998="Ignacio", COUNTIF(F$5:F998, "Ignacio"), "")</f>
        <v/>
      </c>
      <c r="V998">
        <f>IF(F998="Tripulacion", COUNTIF(F$5:F998, "Tripulacion"), "")</f>
        <v/>
      </c>
      <c r="W998">
        <f>IF(F998="ENAP carga", COUNTIF(F$5:F998, "ENAP carga"), "")</f>
        <v/>
      </c>
    </row>
    <row r="999">
      <c r="O999" s="117">
        <f>IF(F999="CJ", I999*200, "")</f>
        <v/>
      </c>
      <c r="T999">
        <f>IF(F999="CJ", COUNTIF(F$5:F999, "CJ"), "")</f>
        <v/>
      </c>
      <c r="U999">
        <f>IF(F999="Ignacio", COUNTIF(F$5:F999, "Ignacio"), "")</f>
        <v/>
      </c>
      <c r="V999">
        <f>IF(F999="Tripulacion", COUNTIF(F$5:F999, "Tripulacion"), "")</f>
        <v/>
      </c>
      <c r="W999">
        <f>IF(F999="ENAP carga", COUNTIF(F$5:F999, "ENAP carga"), "")</f>
        <v/>
      </c>
    </row>
    <row r="1000">
      <c r="O1000" s="117">
        <f>IF(F1000="CJ", I1000*200, "")</f>
        <v/>
      </c>
      <c r="T1000">
        <f>IF(F1000="CJ", COUNTIF(F$5:F1000, "CJ"), "")</f>
        <v/>
      </c>
      <c r="U1000">
        <f>IF(F1000="Ignacio", COUNTIF(F$5:F1000, "Ignacio"), "")</f>
        <v/>
      </c>
      <c r="V1000">
        <f>IF(F1000="Tripulacion", COUNTIF(F$5:F1000, "Tripulacion"), "")</f>
        <v/>
      </c>
      <c r="W1000">
        <f>IF(F1000="ENAP carga", COUNTIF(F$5:F1000, "ENAP carga"), "")</f>
        <v/>
      </c>
    </row>
    <row r="1001">
      <c r="O1001" s="117">
        <f>IF(F1001="CJ", I1001*200, "")</f>
        <v/>
      </c>
      <c r="T1001">
        <f>IF(F1001="CJ", COUNTIF(F$5:F1001, "CJ"), "")</f>
        <v/>
      </c>
      <c r="U1001">
        <f>IF(F1001="Ignacio", COUNTIF(F$5:F1001, "Ignacio"), "")</f>
        <v/>
      </c>
      <c r="V1001">
        <f>IF(F1001="Tripulacion", COUNTIF(F$5:F1001, "Tripulacion"), "")</f>
        <v/>
      </c>
      <c r="W1001">
        <f>IF(F1001="ENAP carga", COUNTIF(F$5:F1001, "ENAP carga"), "")</f>
        <v/>
      </c>
    </row>
    <row r="1002">
      <c r="O1002" s="117">
        <f>IF(F1002="CJ", I1002*200, "")</f>
        <v/>
      </c>
      <c r="T1002">
        <f>IF(F1002="CJ", COUNTIF(F$5:F1002, "CJ"), "")</f>
        <v/>
      </c>
      <c r="U1002">
        <f>IF(F1002="Ignacio", COUNTIF(F$5:F1002, "Ignacio"), "")</f>
        <v/>
      </c>
      <c r="V1002">
        <f>IF(F1002="Tripulacion", COUNTIF(F$5:F1002, "Tripulacion"), "")</f>
        <v/>
      </c>
      <c r="W1002">
        <f>IF(F1002="ENAP carga", COUNTIF(F$5:F1002, "ENAP carga"), "")</f>
        <v/>
      </c>
    </row>
    <row r="1003">
      <c r="O1003" s="117">
        <f>IF(F1003="CJ", I1003*200, "")</f>
        <v/>
      </c>
      <c r="T1003">
        <f>IF(F1003="CJ", COUNTIF(F$5:F1003, "CJ"), "")</f>
        <v/>
      </c>
      <c r="U1003">
        <f>IF(F1003="Ignacio", COUNTIF(F$5:F1003, "Ignacio"), "")</f>
        <v/>
      </c>
      <c r="V1003">
        <f>IF(F1003="Tripulacion", COUNTIF(F$5:F1003, "Tripulacion"), "")</f>
        <v/>
      </c>
      <c r="W1003">
        <f>IF(F1003="ENAP carga", COUNTIF(F$5:F1003, "ENAP carga"), "")</f>
        <v/>
      </c>
    </row>
    <row r="1004">
      <c r="O1004" s="117">
        <f>IF(F1004="CJ", I1004*200, "")</f>
        <v/>
      </c>
      <c r="T1004">
        <f>IF(F1004="CJ", COUNTIF(F$5:F1004, "CJ"), "")</f>
        <v/>
      </c>
      <c r="U1004">
        <f>IF(F1004="Ignacio", COUNTIF(F$5:F1004, "Ignacio"), "")</f>
        <v/>
      </c>
      <c r="V1004">
        <f>IF(F1004="Tripulacion", COUNTIF(F$5:F1004, "Tripulacion"), "")</f>
        <v/>
      </c>
      <c r="W1004">
        <f>IF(F1004="ENAP carga", COUNTIF(F$5:F1004, "ENAP carga"), "")</f>
        <v/>
      </c>
    </row>
    <row r="1005">
      <c r="O1005" s="117">
        <f>IF(F1005="CJ", I1005*200, "")</f>
        <v/>
      </c>
      <c r="T1005">
        <f>IF(F1005="CJ", COUNTIF(F$5:F1005, "CJ"), "")</f>
        <v/>
      </c>
      <c r="U1005">
        <f>IF(F1005="Ignacio", COUNTIF(F$5:F1005, "Ignacio"), "")</f>
        <v/>
      </c>
      <c r="V1005">
        <f>IF(F1005="Tripulacion", COUNTIF(F$5:F1005, "Tripulacion"), "")</f>
        <v/>
      </c>
      <c r="W1005">
        <f>IF(F1005="ENAP carga", COUNTIF(F$5:F1005, "ENAP carga"), "")</f>
        <v/>
      </c>
    </row>
    <row r="1006">
      <c r="O1006" s="117">
        <f>IF(F1006="CJ", I1006*200, "")</f>
        <v/>
      </c>
      <c r="T1006">
        <f>IF(F1006="CJ", COUNTIF(F$5:F1006, "CJ"), "")</f>
        <v/>
      </c>
      <c r="U1006">
        <f>IF(F1006="Ignacio", COUNTIF(F$5:F1006, "Ignacio"), "")</f>
        <v/>
      </c>
      <c r="V1006">
        <f>IF(F1006="Tripulacion", COUNTIF(F$5:F1006, "Tripulacion"), "")</f>
        <v/>
      </c>
      <c r="W1006">
        <f>IF(F1006="ENAP carga", COUNTIF(F$5:F1006, "ENAP carga"), "")</f>
        <v/>
      </c>
    </row>
    <row r="1007">
      <c r="O1007" s="117">
        <f>IF(F1007="CJ", I1007*200, "")</f>
        <v/>
      </c>
      <c r="T1007">
        <f>IF(F1007="CJ", COUNTIF(F$5:F1007, "CJ"), "")</f>
        <v/>
      </c>
      <c r="U1007">
        <f>IF(F1007="Ignacio", COUNTIF(F$5:F1007, "Ignacio"), "")</f>
        <v/>
      </c>
      <c r="V1007">
        <f>IF(F1007="Tripulacion", COUNTIF(F$5:F1007, "Tripulacion"), "")</f>
        <v/>
      </c>
      <c r="W1007">
        <f>IF(F1007="ENAP carga", COUNTIF(F$5:F1007, "ENAP carga"), "")</f>
        <v/>
      </c>
    </row>
    <row r="1008">
      <c r="O1008" s="117">
        <f>IF(F1008="CJ", I1008*200, "")</f>
        <v/>
      </c>
      <c r="T1008">
        <f>IF(F1008="CJ", COUNTIF(F$5:F1008, "CJ"), "")</f>
        <v/>
      </c>
      <c r="U1008">
        <f>IF(F1008="Ignacio", COUNTIF(F$5:F1008, "Ignacio"), "")</f>
        <v/>
      </c>
      <c r="V1008">
        <f>IF(F1008="Tripulacion", COUNTIF(F$5:F1008, "Tripulacion"), "")</f>
        <v/>
      </c>
      <c r="W1008">
        <f>IF(F1008="ENAP carga", COUNTIF(F$5:F1008, "ENAP carga"), "")</f>
        <v/>
      </c>
    </row>
    <row r="1009">
      <c r="O1009" s="117">
        <f>IF(F1009="CJ", I1009*200, "")</f>
        <v/>
      </c>
      <c r="T1009">
        <f>IF(F1009="CJ", COUNTIF(F$5:F1009, "CJ"), "")</f>
        <v/>
      </c>
      <c r="U1009">
        <f>IF(F1009="Ignacio", COUNTIF(F$5:F1009, "Ignacio"), "")</f>
        <v/>
      </c>
      <c r="V1009">
        <f>IF(F1009="Tripulacion", COUNTIF(F$5:F1009, "Tripulacion"), "")</f>
        <v/>
      </c>
      <c r="W1009">
        <f>IF(F1009="ENAP carga", COUNTIF(F$5:F1009, "ENAP carga"), "")</f>
        <v/>
      </c>
    </row>
    <row r="1010">
      <c r="O1010" s="117">
        <f>IF(F1010="CJ", I1010*200, "")</f>
        <v/>
      </c>
      <c r="T1010">
        <f>IF(F1010="CJ", COUNTIF(F$5:F1010, "CJ"), "")</f>
        <v/>
      </c>
      <c r="U1010">
        <f>IF(F1010="Ignacio", COUNTIF(F$5:F1010, "Ignacio"), "")</f>
        <v/>
      </c>
      <c r="V1010">
        <f>IF(F1010="Tripulacion", COUNTIF(F$5:F1010, "Tripulacion"), "")</f>
        <v/>
      </c>
      <c r="W1010">
        <f>IF(F1010="ENAP carga", COUNTIF(F$5:F1010, "ENAP carga"), "")</f>
        <v/>
      </c>
    </row>
    <row r="1011">
      <c r="O1011" s="117">
        <f>IF(F1011="CJ", I1011*200, "")</f>
        <v/>
      </c>
      <c r="T1011">
        <f>IF(F1011="CJ", COUNTIF(F$5:F1011, "CJ"), "")</f>
        <v/>
      </c>
      <c r="U1011">
        <f>IF(F1011="Ignacio", COUNTIF(F$5:F1011, "Ignacio"), "")</f>
        <v/>
      </c>
      <c r="V1011">
        <f>IF(F1011="Tripulacion", COUNTIF(F$5:F1011, "Tripulacion"), "")</f>
        <v/>
      </c>
      <c r="W1011">
        <f>IF(F1011="ENAP carga", COUNTIF(F$5:F1011, "ENAP carga"), "")</f>
        <v/>
      </c>
    </row>
    <row r="1012">
      <c r="O1012" s="117">
        <f>IF(F1012="CJ", I1012*200, "")</f>
        <v/>
      </c>
      <c r="T1012">
        <f>IF(F1012="CJ", COUNTIF(F$5:F1012, "CJ"), "")</f>
        <v/>
      </c>
      <c r="U1012">
        <f>IF(F1012="Ignacio", COUNTIF(F$5:F1012, "Ignacio"), "")</f>
        <v/>
      </c>
      <c r="V1012">
        <f>IF(F1012="Tripulacion", COUNTIF(F$5:F1012, "Tripulacion"), "")</f>
        <v/>
      </c>
      <c r="W1012">
        <f>IF(F1012="ENAP carga", COUNTIF(F$5:F1012, "ENAP carga"), "")</f>
        <v/>
      </c>
    </row>
    <row r="1013">
      <c r="O1013" s="117">
        <f>IF(F1013="CJ", I1013*200, "")</f>
        <v/>
      </c>
      <c r="T1013">
        <f>IF(F1013="CJ", COUNTIF(F$5:F1013, "CJ"), "")</f>
        <v/>
      </c>
      <c r="U1013">
        <f>IF(F1013="Ignacio", COUNTIF(F$5:F1013, "Ignacio"), "")</f>
        <v/>
      </c>
      <c r="V1013">
        <f>IF(F1013="Tripulacion", COUNTIF(F$5:F1013, "Tripulacion"), "")</f>
        <v/>
      </c>
      <c r="W1013">
        <f>IF(F1013="ENAP carga", COUNTIF(F$5:F1013, "ENAP carga"), "")</f>
        <v/>
      </c>
    </row>
    <row r="1014">
      <c r="O1014" s="117">
        <f>IF(F1014="CJ", I1014*200, "")</f>
        <v/>
      </c>
      <c r="T1014">
        <f>IF(F1014="CJ", COUNTIF(F$5:F1014, "CJ"), "")</f>
        <v/>
      </c>
      <c r="U1014">
        <f>IF(F1014="Ignacio", COUNTIF(F$5:F1014, "Ignacio"), "")</f>
        <v/>
      </c>
      <c r="V1014">
        <f>IF(F1014="Tripulacion", COUNTIF(F$5:F1014, "Tripulacion"), "")</f>
        <v/>
      </c>
      <c r="W1014">
        <f>IF(F1014="ENAP carga", COUNTIF(F$5:F1014, "ENAP carga"), "")</f>
        <v/>
      </c>
    </row>
    <row r="1015">
      <c r="O1015" s="117">
        <f>IF(F1015="CJ", I1015*200, "")</f>
        <v/>
      </c>
      <c r="T1015">
        <f>IF(F1015="CJ", COUNTIF(F$5:F1015, "CJ"), "")</f>
        <v/>
      </c>
      <c r="U1015">
        <f>IF(F1015="Ignacio", COUNTIF(F$5:F1015, "Ignacio"), "")</f>
        <v/>
      </c>
      <c r="V1015">
        <f>IF(F1015="Tripulacion", COUNTIF(F$5:F1015, "Tripulacion"), "")</f>
        <v/>
      </c>
      <c r="W1015">
        <f>IF(F1015="ENAP carga", COUNTIF(F$5:F1015, "ENAP carga"), "")</f>
        <v/>
      </c>
    </row>
    <row r="1016">
      <c r="O1016" s="117">
        <f>IF(F1016="CJ", I1016*200, "")</f>
        <v/>
      </c>
      <c r="T1016">
        <f>IF(F1016="CJ", COUNTIF(F$5:F1016, "CJ"), "")</f>
        <v/>
      </c>
      <c r="U1016">
        <f>IF(F1016="Ignacio", COUNTIF(F$5:F1016, "Ignacio"), "")</f>
        <v/>
      </c>
      <c r="V1016">
        <f>IF(F1016="Tripulacion", COUNTIF(F$5:F1016, "Tripulacion"), "")</f>
        <v/>
      </c>
      <c r="W1016">
        <f>IF(F1016="ENAP carga", COUNTIF(F$5:F1016, "ENAP carga"), "")</f>
        <v/>
      </c>
    </row>
    <row r="1017">
      <c r="O1017" s="117">
        <f>IF(F1017="CJ", I1017*200, "")</f>
        <v/>
      </c>
      <c r="T1017">
        <f>IF(F1017="CJ", COUNTIF(F$5:F1017, "CJ"), "")</f>
        <v/>
      </c>
      <c r="U1017">
        <f>IF(F1017="Ignacio", COUNTIF(F$5:F1017, "Ignacio"), "")</f>
        <v/>
      </c>
      <c r="V1017">
        <f>IF(F1017="Tripulacion", COUNTIF(F$5:F1017, "Tripulacion"), "")</f>
        <v/>
      </c>
      <c r="W1017">
        <f>IF(F1017="ENAP carga", COUNTIF(F$5:F1017, "ENAP carga"), "")</f>
        <v/>
      </c>
    </row>
    <row r="1018">
      <c r="O1018" s="117">
        <f>IF(F1018="CJ", I1018*200, "")</f>
        <v/>
      </c>
      <c r="T1018">
        <f>IF(F1018="CJ", COUNTIF(F$5:F1018, "CJ"), "")</f>
        <v/>
      </c>
      <c r="U1018">
        <f>IF(F1018="Ignacio", COUNTIF(F$5:F1018, "Ignacio"), "")</f>
        <v/>
      </c>
      <c r="V1018">
        <f>IF(F1018="Tripulacion", COUNTIF(F$5:F1018, "Tripulacion"), "")</f>
        <v/>
      </c>
      <c r="W1018">
        <f>IF(F1018="ENAP carga", COUNTIF(F$5:F1018, "ENAP carga"), "")</f>
        <v/>
      </c>
    </row>
    <row r="1019">
      <c r="O1019" s="117">
        <f>IF(F1019="CJ", I1019*200, "")</f>
        <v/>
      </c>
      <c r="T1019">
        <f>IF(F1019="CJ", COUNTIF(F$5:F1019, "CJ"), "")</f>
        <v/>
      </c>
      <c r="U1019">
        <f>IF(F1019="Ignacio", COUNTIF(F$5:F1019, "Ignacio"), "")</f>
        <v/>
      </c>
      <c r="V1019">
        <f>IF(F1019="Tripulacion", COUNTIF(F$5:F1019, "Tripulacion"), "")</f>
        <v/>
      </c>
      <c r="W1019">
        <f>IF(F1019="ENAP carga", COUNTIF(F$5:F1019, "ENAP carga"), "")</f>
        <v/>
      </c>
    </row>
    <row r="1020">
      <c r="O1020" s="117">
        <f>IF(F1020="CJ", I1020*200, "")</f>
        <v/>
      </c>
      <c r="T1020">
        <f>IF(F1020="CJ", COUNTIF(F$5:F1020, "CJ"), "")</f>
        <v/>
      </c>
      <c r="U1020">
        <f>IF(F1020="Ignacio", COUNTIF(F$5:F1020, "Ignacio"), "")</f>
        <v/>
      </c>
      <c r="V1020">
        <f>IF(F1020="Tripulacion", COUNTIF(F$5:F1020, "Tripulacion"), "")</f>
        <v/>
      </c>
      <c r="W1020">
        <f>IF(F1020="ENAP carga", COUNTIF(F$5:F1020, "ENAP carga"), "")</f>
        <v/>
      </c>
    </row>
    <row r="1021">
      <c r="O1021" s="117">
        <f>IF(F1021="CJ", I1021*200, "")</f>
        <v/>
      </c>
      <c r="T1021">
        <f>IF(F1021="CJ", COUNTIF(F$5:F1021, "CJ"), "")</f>
        <v/>
      </c>
      <c r="U1021">
        <f>IF(F1021="Ignacio", COUNTIF(F$5:F1021, "Ignacio"), "")</f>
        <v/>
      </c>
      <c r="V1021">
        <f>IF(F1021="Tripulacion", COUNTIF(F$5:F1021, "Tripulacion"), "")</f>
        <v/>
      </c>
      <c r="W1021">
        <f>IF(F1021="ENAP carga", COUNTIF(F$5:F1021, "ENAP carga"), "")</f>
        <v/>
      </c>
    </row>
    <row r="1022"/>
    <row r="1023">
      <c r="N1023" s="82" t="n"/>
    </row>
    <row r="1024">
      <c r="P1024" s="82" t="n"/>
    </row>
  </sheetData>
  <mergeCells count="1">
    <mergeCell ref="C2:R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58"/>
  <sheetViews>
    <sheetView showGridLines="0" workbookViewId="0">
      <selection activeCell="B2" sqref="B2"/>
    </sheetView>
  </sheetViews>
  <sheetFormatPr baseColWidth="10" defaultColWidth="8.83203125" defaultRowHeight="16"/>
  <cols>
    <col width="4" customWidth="1" style="81" min="1" max="1"/>
    <col width="18" customWidth="1" style="81" min="2" max="6"/>
    <col width="14" customWidth="1" style="81" min="7" max="8"/>
    <col width="16" customWidth="1" style="81" min="9" max="9"/>
    <col width="18" customWidth="1" style="81" min="10" max="10"/>
    <col width="16" customWidth="1" style="81" min="11" max="11"/>
    <col width="24" customWidth="1" style="81" min="12" max="12"/>
    <col width="45" customWidth="1" style="81" min="13" max="13"/>
  </cols>
  <sheetData>
    <row r="2" ht="22" customHeight="1" s="81">
      <c r="B2" s="14" t="inlineStr">
        <is>
          <t>RESUMEN Y MOVIMIENTOS INDIVIDUALES: ENAP CARGA</t>
        </is>
      </c>
    </row>
    <row r="3">
      <c r="B3" s="15" t="inlineStr">
        <is>
          <t>Sincronización en tiempo real con la pestaña 'Detalles movimientos'</t>
        </is>
      </c>
    </row>
    <row r="5">
      <c r="B5" s="39" t="inlineStr">
        <is>
          <t>LITROS VENDIDOS</t>
        </is>
      </c>
      <c r="C5" s="40" t="inlineStr">
        <is>
          <t>LITROS COMPRADOS</t>
        </is>
      </c>
      <c r="D5" s="40" t="inlineStr">
        <is>
          <t>STOCK ACTUAL</t>
        </is>
      </c>
      <c r="E5" s="40" t="inlineStr">
        <is>
          <t>TOTAL VENTAS ($)</t>
        </is>
      </c>
      <c r="F5" s="40" t="inlineStr">
        <is>
          <t>N° OPERACIONES</t>
        </is>
      </c>
      <c r="G5" s="41" t="n"/>
      <c r="H5" s="89" t="n"/>
      <c r="I5" s="90" t="n"/>
    </row>
    <row r="6" ht="24" customHeight="1" s="81">
      <c r="B6" s="118">
        <f>SUMIFS('Detalles movimientos'!I$5:I$1021, 'Detalles movimientos'!F$5:F$1021, "ENAP carga")</f>
        <v/>
      </c>
      <c r="C6" s="118">
        <f>SUMIFS('Detalles movimientos'!R$5:R$1021, 'Detalles movimientos'!F$5:F$1021, "ENAP carga")</f>
        <v/>
      </c>
      <c r="D6" s="118">
        <f>C6-B6</f>
        <v/>
      </c>
      <c r="E6" s="43">
        <f>SUMIFS('Detalles movimientos'!M$5:M$1021, 'Detalles movimientos'!F$5:F$1021, "ENAP carga")</f>
        <v/>
      </c>
      <c r="F6" s="43">
        <f>COUNTIFS('Detalles movimientos'!F$5:F$1021, "ENAP carga")</f>
        <v/>
      </c>
      <c r="G6" s="41" t="n"/>
      <c r="H6" s="85" t="n"/>
      <c r="I6" s="86" t="n"/>
    </row>
    <row r="7">
      <c r="H7" s="87" t="n"/>
      <c r="I7" s="88" t="n"/>
    </row>
    <row r="9" ht="25" customHeight="1" s="81">
      <c r="B9" s="16" t="inlineStr">
        <is>
          <t>Fecha</t>
        </is>
      </c>
      <c r="C9" s="16" t="inlineStr">
        <is>
          <t>Nombre Cliente</t>
        </is>
      </c>
      <c r="D9" s="16" t="inlineStr">
        <is>
          <t>Camión</t>
        </is>
      </c>
      <c r="E9" s="16" t="inlineStr">
        <is>
          <t>Vende</t>
        </is>
      </c>
      <c r="F9" s="16" t="inlineStr">
        <is>
          <t>Dirección</t>
        </is>
      </c>
      <c r="G9" s="16" t="inlineStr">
        <is>
          <t>Precio</t>
        </is>
      </c>
      <c r="H9" s="16" t="inlineStr">
        <is>
          <t>Litros</t>
        </is>
      </c>
      <c r="I9" s="16" t="inlineStr">
        <is>
          <t>Total</t>
        </is>
      </c>
      <c r="J9" s="16" t="inlineStr">
        <is>
          <t>Medio de pago</t>
        </is>
      </c>
      <c r="K9" s="16" t="inlineStr">
        <is>
          <t>Comisiones</t>
        </is>
      </c>
      <c r="L9" s="16" t="inlineStr">
        <is>
          <t>Observación</t>
        </is>
      </c>
      <c r="M9" s="16" t="inlineStr">
        <is>
          <t>Facturación / Detalles</t>
        </is>
      </c>
    </row>
    <row r="10">
      <c r="B10" s="119">
        <f>IFERROR(INDEX('Detalles movimientos'!C$5:C$1021, MATCH(1, 'Detalles movimientos'!$W$5:$W$1021, 0)), "")</f>
        <v/>
      </c>
      <c r="C10" s="18">
        <f>IFERROR(INDEX('Detalles movimientos'!D$5:D$1021, MATCH(1, 'Detalles movimientos'!$W$5:$W$1021, 0)), "")</f>
        <v/>
      </c>
      <c r="D10" s="19">
        <f>IFERROR(INDEX('Detalles movimientos'!E$5:E$1021, MATCH(1, 'Detalles movimientos'!$W$5:$W$1021, 0)), "")</f>
        <v/>
      </c>
      <c r="E10" s="19">
        <f>IFERROR(INDEX('Detalles movimientos'!F$5:F$1021, MATCH(1, 'Detalles movimientos'!$W$5:$W$1021, 0)), "")</f>
        <v/>
      </c>
      <c r="F10" s="18">
        <f>IFERROR(INDEX('Detalles movimientos'!G$5:G$1021, MATCH(1, 'Detalles movimientos'!$W$5:$W$1021, 0)), "")</f>
        <v/>
      </c>
      <c r="G10" s="120">
        <f>IFERROR(INDEX('Detalles movimientos'!H$5:H$1021, MATCH(1, 'Detalles movimientos'!$W$5:$W$1021, 0)), "")</f>
        <v/>
      </c>
      <c r="H10" s="121">
        <f>IFERROR(INDEX('Detalles movimientos'!I$5:I$1021, MATCH(1, 'Detalles movimientos'!$W$5:$W$1021, 0)), "")</f>
        <v/>
      </c>
      <c r="I10" s="120">
        <f>IFERROR(INDEX('Detalles movimientos'!M$5:M$1021, MATCH(1, 'Detalles movimientos'!$W$5:$W$1021, 0)), "")</f>
        <v/>
      </c>
      <c r="J10" s="19">
        <f>IFERROR(INDEX('Detalles movimientos'!N$5:N$1021, MATCH(1, 'Detalles movimientos'!$W$5:$W$1021, 0)), "")</f>
        <v/>
      </c>
      <c r="K10" s="120">
        <f>IFERROR(INDEX('Detalles movimientos'!O$5:O$1021, MATCH(1, 'Detalles movimientos'!$W$5:$W$1021, 0)), "")</f>
        <v/>
      </c>
      <c r="L10" s="18">
        <f>IFERROR(INDEX('Detalles movimientos'!P$5:P$1021, MATCH(1, 'Detalles movimientos'!$W$5:$W$1021, 0)), "")</f>
        <v/>
      </c>
      <c r="M10" s="18">
        <f>IFERROR(INDEX('Detalles movimientos'!S$5:S$1021, MATCH(1, 'Detalles movimientos'!$W$5:$W$1021, 0)), "")</f>
        <v/>
      </c>
    </row>
    <row r="11">
      <c r="B11" s="119">
        <f>IFERROR(INDEX('Detalles movimientos'!C$5:C$1021, MATCH(2, 'Detalles movimientos'!$W$5:$W$1021, 0)), "")</f>
        <v/>
      </c>
      <c r="C11" s="18">
        <f>IFERROR(INDEX('Detalles movimientos'!D$5:D$1021, MATCH(2, 'Detalles movimientos'!$W$5:$W$1021, 0)), "")</f>
        <v/>
      </c>
      <c r="D11" s="19">
        <f>IFERROR(INDEX('Detalles movimientos'!E$5:E$1021, MATCH(2, 'Detalles movimientos'!$W$5:$W$1021, 0)), "")</f>
        <v/>
      </c>
      <c r="E11" s="19">
        <f>IFERROR(INDEX('Detalles movimientos'!F$5:F$1021, MATCH(2, 'Detalles movimientos'!$W$5:$W$1021, 0)), "")</f>
        <v/>
      </c>
      <c r="F11" s="18">
        <f>IFERROR(INDEX('Detalles movimientos'!G$5:G$1021, MATCH(2, 'Detalles movimientos'!$W$5:$W$1021, 0)), "")</f>
        <v/>
      </c>
      <c r="G11" s="120">
        <f>IFERROR(INDEX('Detalles movimientos'!H$5:H$1021, MATCH(2, 'Detalles movimientos'!$W$5:$W$1021, 0)), "")</f>
        <v/>
      </c>
      <c r="H11" s="121">
        <f>IFERROR(INDEX('Detalles movimientos'!I$5:I$1021, MATCH(2, 'Detalles movimientos'!$W$5:$W$1021, 0)), "")</f>
        <v/>
      </c>
      <c r="I11" s="120">
        <f>IFERROR(INDEX('Detalles movimientos'!M$5:M$1021, MATCH(2, 'Detalles movimientos'!$W$5:$W$1021, 0)), "")</f>
        <v/>
      </c>
      <c r="J11" s="19">
        <f>IFERROR(INDEX('Detalles movimientos'!N$5:N$1021, MATCH(2, 'Detalles movimientos'!$W$5:$W$1021, 0)), "")</f>
        <v/>
      </c>
      <c r="K11" s="120">
        <f>IFERROR(INDEX('Detalles movimientos'!O$5:O$1021, MATCH(2, 'Detalles movimientos'!$W$5:$W$1021, 0)), "")</f>
        <v/>
      </c>
      <c r="L11" s="18">
        <f>IFERROR(INDEX('Detalles movimientos'!P$5:P$1021, MATCH(2, 'Detalles movimientos'!$W$5:$W$1021, 0)), "")</f>
        <v/>
      </c>
      <c r="M11" s="18">
        <f>IFERROR(INDEX('Detalles movimientos'!S$5:S$1021, MATCH(2, 'Detalles movimientos'!$W$5:$W$1021, 0)), "")</f>
        <v/>
      </c>
    </row>
    <row r="12">
      <c r="B12" s="119">
        <f>IFERROR(INDEX('Detalles movimientos'!C$5:C$1021, MATCH(3, 'Detalles movimientos'!$W$5:$W$1021, 0)), "")</f>
        <v/>
      </c>
      <c r="C12" s="18">
        <f>IFERROR(INDEX('Detalles movimientos'!D$5:D$1021, MATCH(3, 'Detalles movimientos'!$W$5:$W$1021, 0)), "")</f>
        <v/>
      </c>
      <c r="D12" s="19">
        <f>IFERROR(INDEX('Detalles movimientos'!E$5:E$1021, MATCH(3, 'Detalles movimientos'!$W$5:$W$1021, 0)), "")</f>
        <v/>
      </c>
      <c r="E12" s="19">
        <f>IFERROR(INDEX('Detalles movimientos'!F$5:F$1021, MATCH(3, 'Detalles movimientos'!$W$5:$W$1021, 0)), "")</f>
        <v/>
      </c>
      <c r="F12" s="18">
        <f>IFERROR(INDEX('Detalles movimientos'!G$5:G$1021, MATCH(3, 'Detalles movimientos'!$W$5:$W$1021, 0)), "")</f>
        <v/>
      </c>
      <c r="G12" s="120">
        <f>IFERROR(INDEX('Detalles movimientos'!H$5:H$1021, MATCH(3, 'Detalles movimientos'!$W$5:$W$1021, 0)), "")</f>
        <v/>
      </c>
      <c r="H12" s="121">
        <f>IFERROR(INDEX('Detalles movimientos'!I$5:I$1021, MATCH(3, 'Detalles movimientos'!$W$5:$W$1021, 0)), "")</f>
        <v/>
      </c>
      <c r="I12" s="120">
        <f>IFERROR(INDEX('Detalles movimientos'!M$5:M$1021, MATCH(3, 'Detalles movimientos'!$W$5:$W$1021, 0)), "")</f>
        <v/>
      </c>
      <c r="J12" s="19">
        <f>IFERROR(INDEX('Detalles movimientos'!N$5:N$1021, MATCH(3, 'Detalles movimientos'!$W$5:$W$1021, 0)), "")</f>
        <v/>
      </c>
      <c r="K12" s="120">
        <f>IFERROR(INDEX('Detalles movimientos'!O$5:O$1021, MATCH(3, 'Detalles movimientos'!$W$5:$W$1021, 0)), "")</f>
        <v/>
      </c>
      <c r="L12" s="18">
        <f>IFERROR(INDEX('Detalles movimientos'!P$5:P$1021, MATCH(3, 'Detalles movimientos'!$W$5:$W$1021, 0)), "")</f>
        <v/>
      </c>
      <c r="M12" s="18">
        <f>IFERROR(INDEX('Detalles movimientos'!S$5:S$1021, MATCH(3, 'Detalles movimientos'!$W$5:$W$1021, 0)), "")</f>
        <v/>
      </c>
    </row>
    <row r="13">
      <c r="B13" s="119">
        <f>IFERROR(INDEX('Detalles movimientos'!C$5:C$1021, MATCH(4, 'Detalles movimientos'!$W$5:$W$1021, 0)), "")</f>
        <v/>
      </c>
      <c r="C13" s="18">
        <f>IFERROR(INDEX('Detalles movimientos'!D$5:D$1021, MATCH(4, 'Detalles movimientos'!$W$5:$W$1021, 0)), "")</f>
        <v/>
      </c>
      <c r="D13" s="19">
        <f>IFERROR(INDEX('Detalles movimientos'!E$5:E$1021, MATCH(4, 'Detalles movimientos'!$W$5:$W$1021, 0)), "")</f>
        <v/>
      </c>
      <c r="E13" s="19">
        <f>IFERROR(INDEX('Detalles movimientos'!F$5:F$1021, MATCH(4, 'Detalles movimientos'!$W$5:$W$1021, 0)), "")</f>
        <v/>
      </c>
      <c r="F13" s="18">
        <f>IFERROR(INDEX('Detalles movimientos'!G$5:G$1021, MATCH(4, 'Detalles movimientos'!$W$5:$W$1021, 0)), "")</f>
        <v/>
      </c>
      <c r="G13" s="120">
        <f>IFERROR(INDEX('Detalles movimientos'!H$5:H$1021, MATCH(4, 'Detalles movimientos'!$W$5:$W$1021, 0)), "")</f>
        <v/>
      </c>
      <c r="H13" s="121">
        <f>IFERROR(INDEX('Detalles movimientos'!I$5:I$1021, MATCH(4, 'Detalles movimientos'!$W$5:$W$1021, 0)), "")</f>
        <v/>
      </c>
      <c r="I13" s="120">
        <f>IFERROR(INDEX('Detalles movimientos'!M$5:M$1021, MATCH(4, 'Detalles movimientos'!$W$5:$W$1021, 0)), "")</f>
        <v/>
      </c>
      <c r="J13" s="19">
        <f>IFERROR(INDEX('Detalles movimientos'!N$5:N$1021, MATCH(4, 'Detalles movimientos'!$W$5:$W$1021, 0)), "")</f>
        <v/>
      </c>
      <c r="K13" s="120">
        <f>IFERROR(INDEX('Detalles movimientos'!O$5:O$1021, MATCH(4, 'Detalles movimientos'!$W$5:$W$1021, 0)), "")</f>
        <v/>
      </c>
      <c r="L13" s="18">
        <f>IFERROR(INDEX('Detalles movimientos'!P$5:P$1021, MATCH(4, 'Detalles movimientos'!$W$5:$W$1021, 0)), "")</f>
        <v/>
      </c>
      <c r="M13" s="18">
        <f>IFERROR(INDEX('Detalles movimientos'!S$5:S$1021, MATCH(4, 'Detalles movimientos'!$W$5:$W$1021, 0)), "")</f>
        <v/>
      </c>
    </row>
    <row r="14">
      <c r="B14" s="119">
        <f>IFERROR(INDEX('Detalles movimientos'!C$5:C$1021, MATCH(5, 'Detalles movimientos'!$W$5:$W$1021, 0)), "")</f>
        <v/>
      </c>
      <c r="C14" s="18">
        <f>IFERROR(INDEX('Detalles movimientos'!D$5:D$1021, MATCH(5, 'Detalles movimientos'!$W$5:$W$1021, 0)), "")</f>
        <v/>
      </c>
      <c r="D14" s="19">
        <f>IFERROR(INDEX('Detalles movimientos'!E$5:E$1021, MATCH(5, 'Detalles movimientos'!$W$5:$W$1021, 0)), "")</f>
        <v/>
      </c>
      <c r="E14" s="19">
        <f>IFERROR(INDEX('Detalles movimientos'!F$5:F$1021, MATCH(5, 'Detalles movimientos'!$W$5:$W$1021, 0)), "")</f>
        <v/>
      </c>
      <c r="F14" s="18">
        <f>IFERROR(INDEX('Detalles movimientos'!G$5:G$1021, MATCH(5, 'Detalles movimientos'!$W$5:$W$1021, 0)), "")</f>
        <v/>
      </c>
      <c r="G14" s="120">
        <f>IFERROR(INDEX('Detalles movimientos'!H$5:H$1021, MATCH(5, 'Detalles movimientos'!$W$5:$W$1021, 0)), "")</f>
        <v/>
      </c>
      <c r="H14" s="121">
        <f>IFERROR(INDEX('Detalles movimientos'!I$5:I$1021, MATCH(5, 'Detalles movimientos'!$W$5:$W$1021, 0)), "")</f>
        <v/>
      </c>
      <c r="I14" s="120">
        <f>IFERROR(INDEX('Detalles movimientos'!M$5:M$1021, MATCH(5, 'Detalles movimientos'!$W$5:$W$1021, 0)), "")</f>
        <v/>
      </c>
      <c r="J14" s="19">
        <f>IFERROR(INDEX('Detalles movimientos'!N$5:N$1021, MATCH(5, 'Detalles movimientos'!$W$5:$W$1021, 0)), "")</f>
        <v/>
      </c>
      <c r="K14" s="120">
        <f>IFERROR(INDEX('Detalles movimientos'!O$5:O$1021, MATCH(5, 'Detalles movimientos'!$W$5:$W$1021, 0)), "")</f>
        <v/>
      </c>
      <c r="L14" s="18">
        <f>IFERROR(INDEX('Detalles movimientos'!P$5:P$1021, MATCH(5, 'Detalles movimientos'!$W$5:$W$1021, 0)), "")</f>
        <v/>
      </c>
      <c r="M14" s="18">
        <f>IFERROR(INDEX('Detalles movimientos'!S$5:S$1021, MATCH(5, 'Detalles movimientos'!$W$5:$W$1021, 0)), "")</f>
        <v/>
      </c>
    </row>
    <row r="15">
      <c r="B15" s="119">
        <f>IFERROR(INDEX('Detalles movimientos'!C$5:C$1021, MATCH(6, 'Detalles movimientos'!$W$5:$W$1021, 0)), "")</f>
        <v/>
      </c>
      <c r="C15" s="18">
        <f>IFERROR(INDEX('Detalles movimientos'!D$5:D$1021, MATCH(6, 'Detalles movimientos'!$W$5:$W$1021, 0)), "")</f>
        <v/>
      </c>
      <c r="D15" s="19">
        <f>IFERROR(INDEX('Detalles movimientos'!E$5:E$1021, MATCH(6, 'Detalles movimientos'!$W$5:$W$1021, 0)), "")</f>
        <v/>
      </c>
      <c r="E15" s="19">
        <f>IFERROR(INDEX('Detalles movimientos'!F$5:F$1021, MATCH(6, 'Detalles movimientos'!$W$5:$W$1021, 0)), "")</f>
        <v/>
      </c>
      <c r="F15" s="18">
        <f>IFERROR(INDEX('Detalles movimientos'!G$5:G$1021, MATCH(6, 'Detalles movimientos'!$W$5:$W$1021, 0)), "")</f>
        <v/>
      </c>
      <c r="G15" s="120">
        <f>IFERROR(INDEX('Detalles movimientos'!H$5:H$1021, MATCH(6, 'Detalles movimientos'!$W$5:$W$1021, 0)), "")</f>
        <v/>
      </c>
      <c r="H15" s="121">
        <f>IFERROR(INDEX('Detalles movimientos'!I$5:I$1021, MATCH(6, 'Detalles movimientos'!$W$5:$W$1021, 0)), "")</f>
        <v/>
      </c>
      <c r="I15" s="120">
        <f>IFERROR(INDEX('Detalles movimientos'!M$5:M$1021, MATCH(6, 'Detalles movimientos'!$W$5:$W$1021, 0)), "")</f>
        <v/>
      </c>
      <c r="J15" s="19">
        <f>IFERROR(INDEX('Detalles movimientos'!N$5:N$1021, MATCH(6, 'Detalles movimientos'!$W$5:$W$1021, 0)), "")</f>
        <v/>
      </c>
      <c r="K15" s="120">
        <f>IFERROR(INDEX('Detalles movimientos'!O$5:O$1021, MATCH(6, 'Detalles movimientos'!$W$5:$W$1021, 0)), "")</f>
        <v/>
      </c>
      <c r="L15" s="18">
        <f>IFERROR(INDEX('Detalles movimientos'!P$5:P$1021, MATCH(6, 'Detalles movimientos'!$W$5:$W$1021, 0)), "")</f>
        <v/>
      </c>
      <c r="M15" s="18">
        <f>IFERROR(INDEX('Detalles movimientos'!S$5:S$1021, MATCH(6, 'Detalles movimientos'!$W$5:$W$1021, 0)), "")</f>
        <v/>
      </c>
    </row>
    <row r="16">
      <c r="B16" s="119">
        <f>IFERROR(INDEX('Detalles movimientos'!C$5:C$1021, MATCH(7, 'Detalles movimientos'!$W$5:$W$1021, 0)), "")</f>
        <v/>
      </c>
      <c r="C16" s="18">
        <f>IFERROR(INDEX('Detalles movimientos'!D$5:D$1021, MATCH(7, 'Detalles movimientos'!$W$5:$W$1021, 0)), "")</f>
        <v/>
      </c>
      <c r="D16" s="19">
        <f>IFERROR(INDEX('Detalles movimientos'!E$5:E$1021, MATCH(7, 'Detalles movimientos'!$W$5:$W$1021, 0)), "")</f>
        <v/>
      </c>
      <c r="E16" s="19">
        <f>IFERROR(INDEX('Detalles movimientos'!F$5:F$1021, MATCH(7, 'Detalles movimientos'!$W$5:$W$1021, 0)), "")</f>
        <v/>
      </c>
      <c r="F16" s="18">
        <f>IFERROR(INDEX('Detalles movimientos'!G$5:G$1021, MATCH(7, 'Detalles movimientos'!$W$5:$W$1021, 0)), "")</f>
        <v/>
      </c>
      <c r="G16" s="120">
        <f>IFERROR(INDEX('Detalles movimientos'!H$5:H$1021, MATCH(7, 'Detalles movimientos'!$W$5:$W$1021, 0)), "")</f>
        <v/>
      </c>
      <c r="H16" s="121">
        <f>IFERROR(INDEX('Detalles movimientos'!I$5:I$1021, MATCH(7, 'Detalles movimientos'!$W$5:$W$1021, 0)), "")</f>
        <v/>
      </c>
      <c r="I16" s="120">
        <f>IFERROR(INDEX('Detalles movimientos'!M$5:M$1021, MATCH(7, 'Detalles movimientos'!$W$5:$W$1021, 0)), "")</f>
        <v/>
      </c>
      <c r="J16" s="19">
        <f>IFERROR(INDEX('Detalles movimientos'!N$5:N$1021, MATCH(7, 'Detalles movimientos'!$W$5:$W$1021, 0)), "")</f>
        <v/>
      </c>
      <c r="K16" s="120">
        <f>IFERROR(INDEX('Detalles movimientos'!O$5:O$1021, MATCH(7, 'Detalles movimientos'!$W$5:$W$1021, 0)), "")</f>
        <v/>
      </c>
      <c r="L16" s="18">
        <f>IFERROR(INDEX('Detalles movimientos'!P$5:P$1021, MATCH(7, 'Detalles movimientos'!$W$5:$W$1021, 0)), "")</f>
        <v/>
      </c>
      <c r="M16" s="18">
        <f>IFERROR(INDEX('Detalles movimientos'!S$5:S$1021, MATCH(7, 'Detalles movimientos'!$W$5:$W$1021, 0)), "")</f>
        <v/>
      </c>
    </row>
    <row r="17">
      <c r="B17" s="119">
        <f>IFERROR(INDEX('Detalles movimientos'!C$5:C$1021, MATCH(8, 'Detalles movimientos'!$W$5:$W$1021, 0)), "")</f>
        <v/>
      </c>
      <c r="C17" s="18">
        <f>IFERROR(INDEX('Detalles movimientos'!D$5:D$1021, MATCH(8, 'Detalles movimientos'!$W$5:$W$1021, 0)), "")</f>
        <v/>
      </c>
      <c r="D17" s="19">
        <f>IFERROR(INDEX('Detalles movimientos'!E$5:E$1021, MATCH(8, 'Detalles movimientos'!$W$5:$W$1021, 0)), "")</f>
        <v/>
      </c>
      <c r="E17" s="19">
        <f>IFERROR(INDEX('Detalles movimientos'!F$5:F$1021, MATCH(8, 'Detalles movimientos'!$W$5:$W$1021, 0)), "")</f>
        <v/>
      </c>
      <c r="F17" s="18">
        <f>IFERROR(INDEX('Detalles movimientos'!G$5:G$1021, MATCH(8, 'Detalles movimientos'!$W$5:$W$1021, 0)), "")</f>
        <v/>
      </c>
      <c r="G17" s="120">
        <f>IFERROR(INDEX('Detalles movimientos'!H$5:H$1021, MATCH(8, 'Detalles movimientos'!$W$5:$W$1021, 0)), "")</f>
        <v/>
      </c>
      <c r="H17" s="121">
        <f>IFERROR(INDEX('Detalles movimientos'!I$5:I$1021, MATCH(8, 'Detalles movimientos'!$W$5:$W$1021, 0)), "")</f>
        <v/>
      </c>
      <c r="I17" s="120">
        <f>IFERROR(INDEX('Detalles movimientos'!M$5:M$1021, MATCH(8, 'Detalles movimientos'!$W$5:$W$1021, 0)), "")</f>
        <v/>
      </c>
      <c r="J17" s="19">
        <f>IFERROR(INDEX('Detalles movimientos'!N$5:N$1021, MATCH(8, 'Detalles movimientos'!$W$5:$W$1021, 0)), "")</f>
        <v/>
      </c>
      <c r="K17" s="120">
        <f>IFERROR(INDEX('Detalles movimientos'!O$5:O$1021, MATCH(8, 'Detalles movimientos'!$W$5:$W$1021, 0)), "")</f>
        <v/>
      </c>
      <c r="L17" s="18">
        <f>IFERROR(INDEX('Detalles movimientos'!P$5:P$1021, MATCH(8, 'Detalles movimientos'!$W$5:$W$1021, 0)), "")</f>
        <v/>
      </c>
      <c r="M17" s="18">
        <f>IFERROR(INDEX('Detalles movimientos'!S$5:S$1021, MATCH(8, 'Detalles movimientos'!$W$5:$W$1021, 0)), "")</f>
        <v/>
      </c>
    </row>
    <row r="18">
      <c r="B18" s="119">
        <f>IFERROR(INDEX('Detalles movimientos'!C$5:C$1021, MATCH(9, 'Detalles movimientos'!$W$5:$W$1021, 0)), "")</f>
        <v/>
      </c>
      <c r="C18" s="18">
        <f>IFERROR(INDEX('Detalles movimientos'!D$5:D$1021, MATCH(9, 'Detalles movimientos'!$W$5:$W$1021, 0)), "")</f>
        <v/>
      </c>
      <c r="D18" s="19">
        <f>IFERROR(INDEX('Detalles movimientos'!E$5:E$1021, MATCH(9, 'Detalles movimientos'!$W$5:$W$1021, 0)), "")</f>
        <v/>
      </c>
      <c r="E18" s="19">
        <f>IFERROR(INDEX('Detalles movimientos'!F$5:F$1021, MATCH(9, 'Detalles movimientos'!$W$5:$W$1021, 0)), "")</f>
        <v/>
      </c>
      <c r="F18" s="18">
        <f>IFERROR(INDEX('Detalles movimientos'!G$5:G$1021, MATCH(9, 'Detalles movimientos'!$W$5:$W$1021, 0)), "")</f>
        <v/>
      </c>
      <c r="G18" s="120">
        <f>IFERROR(INDEX('Detalles movimientos'!H$5:H$1021, MATCH(9, 'Detalles movimientos'!$W$5:$W$1021, 0)), "")</f>
        <v/>
      </c>
      <c r="H18" s="121">
        <f>IFERROR(INDEX('Detalles movimientos'!I$5:I$1021, MATCH(9, 'Detalles movimientos'!$W$5:$W$1021, 0)), "")</f>
        <v/>
      </c>
      <c r="I18" s="120">
        <f>IFERROR(INDEX('Detalles movimientos'!M$5:M$1021, MATCH(9, 'Detalles movimientos'!$W$5:$W$1021, 0)), "")</f>
        <v/>
      </c>
      <c r="J18" s="19">
        <f>IFERROR(INDEX('Detalles movimientos'!N$5:N$1021, MATCH(9, 'Detalles movimientos'!$W$5:$W$1021, 0)), "")</f>
        <v/>
      </c>
      <c r="K18" s="120">
        <f>IFERROR(INDEX('Detalles movimientos'!O$5:O$1021, MATCH(9, 'Detalles movimientos'!$W$5:$W$1021, 0)), "")</f>
        <v/>
      </c>
      <c r="L18" s="18">
        <f>IFERROR(INDEX('Detalles movimientos'!P$5:P$1021, MATCH(9, 'Detalles movimientos'!$W$5:$W$1021, 0)), "")</f>
        <v/>
      </c>
      <c r="M18" s="18">
        <f>IFERROR(INDEX('Detalles movimientos'!S$5:S$1021, MATCH(9, 'Detalles movimientos'!$W$5:$W$1021, 0)), "")</f>
        <v/>
      </c>
    </row>
    <row r="19">
      <c r="B19" s="119">
        <f>IFERROR(INDEX('Detalles movimientos'!C$5:C$1021, MATCH(10, 'Detalles movimientos'!$W$5:$W$1021, 0)), "")</f>
        <v/>
      </c>
      <c r="C19" s="18">
        <f>IFERROR(INDEX('Detalles movimientos'!D$5:D$1021, MATCH(10, 'Detalles movimientos'!$W$5:$W$1021, 0)), "")</f>
        <v/>
      </c>
      <c r="D19" s="19">
        <f>IFERROR(INDEX('Detalles movimientos'!E$5:E$1021, MATCH(10, 'Detalles movimientos'!$W$5:$W$1021, 0)), "")</f>
        <v/>
      </c>
      <c r="E19" s="19">
        <f>IFERROR(INDEX('Detalles movimientos'!F$5:F$1021, MATCH(10, 'Detalles movimientos'!$W$5:$W$1021, 0)), "")</f>
        <v/>
      </c>
      <c r="F19" s="18">
        <f>IFERROR(INDEX('Detalles movimientos'!G$5:G$1021, MATCH(10, 'Detalles movimientos'!$W$5:$W$1021, 0)), "")</f>
        <v/>
      </c>
      <c r="G19" s="120">
        <f>IFERROR(INDEX('Detalles movimientos'!H$5:H$1021, MATCH(10, 'Detalles movimientos'!$W$5:$W$1021, 0)), "")</f>
        <v/>
      </c>
      <c r="H19" s="121">
        <f>IFERROR(INDEX('Detalles movimientos'!I$5:I$1021, MATCH(10, 'Detalles movimientos'!$W$5:$W$1021, 0)), "")</f>
        <v/>
      </c>
      <c r="I19" s="120">
        <f>IFERROR(INDEX('Detalles movimientos'!M$5:M$1021, MATCH(10, 'Detalles movimientos'!$W$5:$W$1021, 0)), "")</f>
        <v/>
      </c>
      <c r="J19" s="19">
        <f>IFERROR(INDEX('Detalles movimientos'!N$5:N$1021, MATCH(10, 'Detalles movimientos'!$W$5:$W$1021, 0)), "")</f>
        <v/>
      </c>
      <c r="K19" s="120">
        <f>IFERROR(INDEX('Detalles movimientos'!O$5:O$1021, MATCH(10, 'Detalles movimientos'!$W$5:$W$1021, 0)), "")</f>
        <v/>
      </c>
      <c r="L19" s="18">
        <f>IFERROR(INDEX('Detalles movimientos'!P$5:P$1021, MATCH(10, 'Detalles movimientos'!$W$5:$W$1021, 0)), "")</f>
        <v/>
      </c>
      <c r="M19" s="18">
        <f>IFERROR(INDEX('Detalles movimientos'!S$5:S$1021, MATCH(10, 'Detalles movimientos'!$W$5:$W$1021, 0)), "")</f>
        <v/>
      </c>
    </row>
    <row r="20">
      <c r="B20" s="119">
        <f>IFERROR(INDEX('Detalles movimientos'!C$5:C$1021, MATCH(11, 'Detalles movimientos'!$W$5:$W$1021, 0)), "")</f>
        <v/>
      </c>
      <c r="C20" s="18">
        <f>IFERROR(INDEX('Detalles movimientos'!D$5:D$1021, MATCH(11, 'Detalles movimientos'!$W$5:$W$1021, 0)), "")</f>
        <v/>
      </c>
      <c r="D20" s="19">
        <f>IFERROR(INDEX('Detalles movimientos'!E$5:E$1021, MATCH(11, 'Detalles movimientos'!$W$5:$W$1021, 0)), "")</f>
        <v/>
      </c>
      <c r="E20" s="19">
        <f>IFERROR(INDEX('Detalles movimientos'!F$5:F$1021, MATCH(11, 'Detalles movimientos'!$W$5:$W$1021, 0)), "")</f>
        <v/>
      </c>
      <c r="F20" s="18">
        <f>IFERROR(INDEX('Detalles movimientos'!G$5:G$1021, MATCH(11, 'Detalles movimientos'!$W$5:$W$1021, 0)), "")</f>
        <v/>
      </c>
      <c r="G20" s="120">
        <f>IFERROR(INDEX('Detalles movimientos'!H$5:H$1021, MATCH(11, 'Detalles movimientos'!$W$5:$W$1021, 0)), "")</f>
        <v/>
      </c>
      <c r="H20" s="121">
        <f>IFERROR(INDEX('Detalles movimientos'!I$5:I$1021, MATCH(11, 'Detalles movimientos'!$W$5:$W$1021, 0)), "")</f>
        <v/>
      </c>
      <c r="I20" s="120">
        <f>IFERROR(INDEX('Detalles movimientos'!M$5:M$1021, MATCH(11, 'Detalles movimientos'!$W$5:$W$1021, 0)), "")</f>
        <v/>
      </c>
      <c r="J20" s="19">
        <f>IFERROR(INDEX('Detalles movimientos'!N$5:N$1021, MATCH(11, 'Detalles movimientos'!$W$5:$W$1021, 0)), "")</f>
        <v/>
      </c>
      <c r="K20" s="120">
        <f>IFERROR(INDEX('Detalles movimientos'!O$5:O$1021, MATCH(11, 'Detalles movimientos'!$W$5:$W$1021, 0)), "")</f>
        <v/>
      </c>
      <c r="L20" s="18">
        <f>IFERROR(INDEX('Detalles movimientos'!P$5:P$1021, MATCH(11, 'Detalles movimientos'!$W$5:$W$1021, 0)), "")</f>
        <v/>
      </c>
      <c r="M20" s="18">
        <f>IFERROR(INDEX('Detalles movimientos'!S$5:S$1021, MATCH(11, 'Detalles movimientos'!$W$5:$W$1021, 0)), "")</f>
        <v/>
      </c>
    </row>
    <row r="21">
      <c r="B21" s="119">
        <f>IFERROR(INDEX('Detalles movimientos'!C$5:C$1021, MATCH(12, 'Detalles movimientos'!$W$5:$W$1021, 0)), "")</f>
        <v/>
      </c>
      <c r="C21" s="18">
        <f>IFERROR(INDEX('Detalles movimientos'!D$5:D$1021, MATCH(12, 'Detalles movimientos'!$W$5:$W$1021, 0)), "")</f>
        <v/>
      </c>
      <c r="D21" s="19">
        <f>IFERROR(INDEX('Detalles movimientos'!E$5:E$1021, MATCH(12, 'Detalles movimientos'!$W$5:$W$1021, 0)), "")</f>
        <v/>
      </c>
      <c r="E21" s="19">
        <f>IFERROR(INDEX('Detalles movimientos'!F$5:F$1021, MATCH(12, 'Detalles movimientos'!$W$5:$W$1021, 0)), "")</f>
        <v/>
      </c>
      <c r="F21" s="18">
        <f>IFERROR(INDEX('Detalles movimientos'!G$5:G$1021, MATCH(12, 'Detalles movimientos'!$W$5:$W$1021, 0)), "")</f>
        <v/>
      </c>
      <c r="G21" s="120">
        <f>IFERROR(INDEX('Detalles movimientos'!H$5:H$1021, MATCH(12, 'Detalles movimientos'!$W$5:$W$1021, 0)), "")</f>
        <v/>
      </c>
      <c r="H21" s="121">
        <f>IFERROR(INDEX('Detalles movimientos'!I$5:I$1021, MATCH(12, 'Detalles movimientos'!$W$5:$W$1021, 0)), "")</f>
        <v/>
      </c>
      <c r="I21" s="120">
        <f>IFERROR(INDEX('Detalles movimientos'!M$5:M$1021, MATCH(12, 'Detalles movimientos'!$W$5:$W$1021, 0)), "")</f>
        <v/>
      </c>
      <c r="J21" s="19">
        <f>IFERROR(INDEX('Detalles movimientos'!N$5:N$1021, MATCH(12, 'Detalles movimientos'!$W$5:$W$1021, 0)), "")</f>
        <v/>
      </c>
      <c r="K21" s="120">
        <f>IFERROR(INDEX('Detalles movimientos'!O$5:O$1021, MATCH(12, 'Detalles movimientos'!$W$5:$W$1021, 0)), "")</f>
        <v/>
      </c>
      <c r="L21" s="18">
        <f>IFERROR(INDEX('Detalles movimientos'!P$5:P$1021, MATCH(12, 'Detalles movimientos'!$W$5:$W$1021, 0)), "")</f>
        <v/>
      </c>
      <c r="M21" s="18">
        <f>IFERROR(INDEX('Detalles movimientos'!S$5:S$1021, MATCH(12, 'Detalles movimientos'!$W$5:$W$1021, 0)), "")</f>
        <v/>
      </c>
    </row>
    <row r="22">
      <c r="B22" s="119">
        <f>IFERROR(INDEX('Detalles movimientos'!C$5:C$1021, MATCH(13, 'Detalles movimientos'!$W$5:$W$1021, 0)), "")</f>
        <v/>
      </c>
      <c r="C22" s="18">
        <f>IFERROR(INDEX('Detalles movimientos'!D$5:D$1021, MATCH(13, 'Detalles movimientos'!$W$5:$W$1021, 0)), "")</f>
        <v/>
      </c>
      <c r="D22" s="19">
        <f>IFERROR(INDEX('Detalles movimientos'!E$5:E$1021, MATCH(13, 'Detalles movimientos'!$W$5:$W$1021, 0)), "")</f>
        <v/>
      </c>
      <c r="E22" s="19">
        <f>IFERROR(INDEX('Detalles movimientos'!F$5:F$1021, MATCH(13, 'Detalles movimientos'!$W$5:$W$1021, 0)), "")</f>
        <v/>
      </c>
      <c r="F22" s="18">
        <f>IFERROR(INDEX('Detalles movimientos'!G$5:G$1021, MATCH(13, 'Detalles movimientos'!$W$5:$W$1021, 0)), "")</f>
        <v/>
      </c>
      <c r="G22" s="120">
        <f>IFERROR(INDEX('Detalles movimientos'!H$5:H$1021, MATCH(13, 'Detalles movimientos'!$W$5:$W$1021, 0)), "")</f>
        <v/>
      </c>
      <c r="H22" s="121">
        <f>IFERROR(INDEX('Detalles movimientos'!I$5:I$1021, MATCH(13, 'Detalles movimientos'!$W$5:$W$1021, 0)), "")</f>
        <v/>
      </c>
      <c r="I22" s="120">
        <f>IFERROR(INDEX('Detalles movimientos'!M$5:M$1021, MATCH(13, 'Detalles movimientos'!$W$5:$W$1021, 0)), "")</f>
        <v/>
      </c>
      <c r="J22" s="19">
        <f>IFERROR(INDEX('Detalles movimientos'!N$5:N$1021, MATCH(13, 'Detalles movimientos'!$W$5:$W$1021, 0)), "")</f>
        <v/>
      </c>
      <c r="K22" s="120">
        <f>IFERROR(INDEX('Detalles movimientos'!O$5:O$1021, MATCH(13, 'Detalles movimientos'!$W$5:$W$1021, 0)), "")</f>
        <v/>
      </c>
      <c r="L22" s="18">
        <f>IFERROR(INDEX('Detalles movimientos'!P$5:P$1021, MATCH(13, 'Detalles movimientos'!$W$5:$W$1021, 0)), "")</f>
        <v/>
      </c>
      <c r="M22" s="18">
        <f>IFERROR(INDEX('Detalles movimientos'!S$5:S$1021, MATCH(13, 'Detalles movimientos'!$W$5:$W$1021, 0)), "")</f>
        <v/>
      </c>
    </row>
    <row r="23">
      <c r="B23" s="119">
        <f>IFERROR(INDEX('Detalles movimientos'!C$5:C$1021, MATCH(14, 'Detalles movimientos'!$W$5:$W$1021, 0)), "")</f>
        <v/>
      </c>
      <c r="C23" s="18">
        <f>IFERROR(INDEX('Detalles movimientos'!D$5:D$1021, MATCH(14, 'Detalles movimientos'!$W$5:$W$1021, 0)), "")</f>
        <v/>
      </c>
      <c r="D23" s="19">
        <f>IFERROR(INDEX('Detalles movimientos'!E$5:E$1021, MATCH(14, 'Detalles movimientos'!$W$5:$W$1021, 0)), "")</f>
        <v/>
      </c>
      <c r="E23" s="19">
        <f>IFERROR(INDEX('Detalles movimientos'!F$5:F$1021, MATCH(14, 'Detalles movimientos'!$W$5:$W$1021, 0)), "")</f>
        <v/>
      </c>
      <c r="F23" s="18">
        <f>IFERROR(INDEX('Detalles movimientos'!G$5:G$1021, MATCH(14, 'Detalles movimientos'!$W$5:$W$1021, 0)), "")</f>
        <v/>
      </c>
      <c r="G23" s="120">
        <f>IFERROR(INDEX('Detalles movimientos'!H$5:H$1021, MATCH(14, 'Detalles movimientos'!$W$5:$W$1021, 0)), "")</f>
        <v/>
      </c>
      <c r="H23" s="121">
        <f>IFERROR(INDEX('Detalles movimientos'!I$5:I$1021, MATCH(14, 'Detalles movimientos'!$W$5:$W$1021, 0)), "")</f>
        <v/>
      </c>
      <c r="I23" s="120">
        <f>IFERROR(INDEX('Detalles movimientos'!M$5:M$1021, MATCH(14, 'Detalles movimientos'!$W$5:$W$1021, 0)), "")</f>
        <v/>
      </c>
      <c r="J23" s="19">
        <f>IFERROR(INDEX('Detalles movimientos'!N$5:N$1021, MATCH(14, 'Detalles movimientos'!$W$5:$W$1021, 0)), "")</f>
        <v/>
      </c>
      <c r="K23" s="120">
        <f>IFERROR(INDEX('Detalles movimientos'!O$5:O$1021, MATCH(14, 'Detalles movimientos'!$W$5:$W$1021, 0)), "")</f>
        <v/>
      </c>
      <c r="L23" s="18">
        <f>IFERROR(INDEX('Detalles movimientos'!P$5:P$1021, MATCH(14, 'Detalles movimientos'!$W$5:$W$1021, 0)), "")</f>
        <v/>
      </c>
      <c r="M23" s="18">
        <f>IFERROR(INDEX('Detalles movimientos'!S$5:S$1021, MATCH(14, 'Detalles movimientos'!$W$5:$W$1021, 0)), "")</f>
        <v/>
      </c>
    </row>
    <row r="24">
      <c r="B24" s="119">
        <f>IFERROR(INDEX('Detalles movimientos'!C$5:C$1021, MATCH(15, 'Detalles movimientos'!$W$5:$W$1021, 0)), "")</f>
        <v/>
      </c>
      <c r="C24" s="18">
        <f>IFERROR(INDEX('Detalles movimientos'!D$5:D$1021, MATCH(15, 'Detalles movimientos'!$W$5:$W$1021, 0)), "")</f>
        <v/>
      </c>
      <c r="D24" s="19">
        <f>IFERROR(INDEX('Detalles movimientos'!E$5:E$1021, MATCH(15, 'Detalles movimientos'!$W$5:$W$1021, 0)), "")</f>
        <v/>
      </c>
      <c r="E24" s="19">
        <f>IFERROR(INDEX('Detalles movimientos'!F$5:F$1021, MATCH(15, 'Detalles movimientos'!$W$5:$W$1021, 0)), "")</f>
        <v/>
      </c>
      <c r="F24" s="18">
        <f>IFERROR(INDEX('Detalles movimientos'!G$5:G$1021, MATCH(15, 'Detalles movimientos'!$W$5:$W$1021, 0)), "")</f>
        <v/>
      </c>
      <c r="G24" s="120">
        <f>IFERROR(INDEX('Detalles movimientos'!H$5:H$1021, MATCH(15, 'Detalles movimientos'!$W$5:$W$1021, 0)), "")</f>
        <v/>
      </c>
      <c r="H24" s="121">
        <f>IFERROR(INDEX('Detalles movimientos'!I$5:I$1021, MATCH(15, 'Detalles movimientos'!$W$5:$W$1021, 0)), "")</f>
        <v/>
      </c>
      <c r="I24" s="120">
        <f>IFERROR(INDEX('Detalles movimientos'!M$5:M$1021, MATCH(15, 'Detalles movimientos'!$W$5:$W$1021, 0)), "")</f>
        <v/>
      </c>
      <c r="J24" s="19">
        <f>IFERROR(INDEX('Detalles movimientos'!N$5:N$1021, MATCH(15, 'Detalles movimientos'!$W$5:$W$1021, 0)), "")</f>
        <v/>
      </c>
      <c r="K24" s="120">
        <f>IFERROR(INDEX('Detalles movimientos'!O$5:O$1021, MATCH(15, 'Detalles movimientos'!$W$5:$W$1021, 0)), "")</f>
        <v/>
      </c>
      <c r="L24" s="18">
        <f>IFERROR(INDEX('Detalles movimientos'!P$5:P$1021, MATCH(15, 'Detalles movimientos'!$W$5:$W$1021, 0)), "")</f>
        <v/>
      </c>
      <c r="M24" s="18">
        <f>IFERROR(INDEX('Detalles movimientos'!S$5:S$1021, MATCH(15, 'Detalles movimientos'!$W$5:$W$1021, 0)), "")</f>
        <v/>
      </c>
    </row>
    <row r="25">
      <c r="B25" s="119">
        <f>IFERROR(INDEX('Detalles movimientos'!C$5:C$1021, MATCH(16, 'Detalles movimientos'!$W$5:$W$1021, 0)), "")</f>
        <v/>
      </c>
      <c r="C25" s="18">
        <f>IFERROR(INDEX('Detalles movimientos'!D$5:D$1021, MATCH(16, 'Detalles movimientos'!$W$5:$W$1021, 0)), "")</f>
        <v/>
      </c>
      <c r="D25" s="19">
        <f>IFERROR(INDEX('Detalles movimientos'!E$5:E$1021, MATCH(16, 'Detalles movimientos'!$W$5:$W$1021, 0)), "")</f>
        <v/>
      </c>
      <c r="E25" s="19">
        <f>IFERROR(INDEX('Detalles movimientos'!F$5:F$1021, MATCH(16, 'Detalles movimientos'!$W$5:$W$1021, 0)), "")</f>
        <v/>
      </c>
      <c r="F25" s="18">
        <f>IFERROR(INDEX('Detalles movimientos'!G$5:G$1021, MATCH(16, 'Detalles movimientos'!$W$5:$W$1021, 0)), "")</f>
        <v/>
      </c>
      <c r="G25" s="120">
        <f>IFERROR(INDEX('Detalles movimientos'!H$5:H$1021, MATCH(16, 'Detalles movimientos'!$W$5:$W$1021, 0)), "")</f>
        <v/>
      </c>
      <c r="H25" s="121">
        <f>IFERROR(INDEX('Detalles movimientos'!I$5:I$1021, MATCH(16, 'Detalles movimientos'!$W$5:$W$1021, 0)), "")</f>
        <v/>
      </c>
      <c r="I25" s="120">
        <f>IFERROR(INDEX('Detalles movimientos'!M$5:M$1021, MATCH(16, 'Detalles movimientos'!$W$5:$W$1021, 0)), "")</f>
        <v/>
      </c>
      <c r="J25" s="19">
        <f>IFERROR(INDEX('Detalles movimientos'!N$5:N$1021, MATCH(16, 'Detalles movimientos'!$W$5:$W$1021, 0)), "")</f>
        <v/>
      </c>
      <c r="K25" s="120">
        <f>IFERROR(INDEX('Detalles movimientos'!O$5:O$1021, MATCH(16, 'Detalles movimientos'!$W$5:$W$1021, 0)), "")</f>
        <v/>
      </c>
      <c r="L25" s="18">
        <f>IFERROR(INDEX('Detalles movimientos'!P$5:P$1021, MATCH(16, 'Detalles movimientos'!$W$5:$W$1021, 0)), "")</f>
        <v/>
      </c>
      <c r="M25" s="18">
        <f>IFERROR(INDEX('Detalles movimientos'!S$5:S$1021, MATCH(16, 'Detalles movimientos'!$W$5:$W$1021, 0)), "")</f>
        <v/>
      </c>
    </row>
    <row r="26">
      <c r="B26" s="119">
        <f>IFERROR(INDEX('Detalles movimientos'!C$5:C$1021, MATCH(17, 'Detalles movimientos'!$W$5:$W$1021, 0)), "")</f>
        <v/>
      </c>
      <c r="C26" s="18">
        <f>IFERROR(INDEX('Detalles movimientos'!D$5:D$1021, MATCH(17, 'Detalles movimientos'!$W$5:$W$1021, 0)), "")</f>
        <v/>
      </c>
      <c r="D26" s="19">
        <f>IFERROR(INDEX('Detalles movimientos'!E$5:E$1021, MATCH(17, 'Detalles movimientos'!$W$5:$W$1021, 0)), "")</f>
        <v/>
      </c>
      <c r="E26" s="19">
        <f>IFERROR(INDEX('Detalles movimientos'!F$5:F$1021, MATCH(17, 'Detalles movimientos'!$W$5:$W$1021, 0)), "")</f>
        <v/>
      </c>
      <c r="F26" s="18">
        <f>IFERROR(INDEX('Detalles movimientos'!G$5:G$1021, MATCH(17, 'Detalles movimientos'!$W$5:$W$1021, 0)), "")</f>
        <v/>
      </c>
      <c r="G26" s="120">
        <f>IFERROR(INDEX('Detalles movimientos'!H$5:H$1021, MATCH(17, 'Detalles movimientos'!$W$5:$W$1021, 0)), "")</f>
        <v/>
      </c>
      <c r="H26" s="121">
        <f>IFERROR(INDEX('Detalles movimientos'!I$5:I$1021, MATCH(17, 'Detalles movimientos'!$W$5:$W$1021, 0)), "")</f>
        <v/>
      </c>
      <c r="I26" s="120">
        <f>IFERROR(INDEX('Detalles movimientos'!M$5:M$1021, MATCH(17, 'Detalles movimientos'!$W$5:$W$1021, 0)), "")</f>
        <v/>
      </c>
      <c r="J26" s="19">
        <f>IFERROR(INDEX('Detalles movimientos'!N$5:N$1021, MATCH(17, 'Detalles movimientos'!$W$5:$W$1021, 0)), "")</f>
        <v/>
      </c>
      <c r="K26" s="120">
        <f>IFERROR(INDEX('Detalles movimientos'!O$5:O$1021, MATCH(17, 'Detalles movimientos'!$W$5:$W$1021, 0)), "")</f>
        <v/>
      </c>
      <c r="L26" s="18">
        <f>IFERROR(INDEX('Detalles movimientos'!P$5:P$1021, MATCH(17, 'Detalles movimientos'!$W$5:$W$1021, 0)), "")</f>
        <v/>
      </c>
      <c r="M26" s="18">
        <f>IFERROR(INDEX('Detalles movimientos'!S$5:S$1021, MATCH(17, 'Detalles movimientos'!$W$5:$W$1021, 0)), "")</f>
        <v/>
      </c>
    </row>
    <row r="27">
      <c r="B27" s="119">
        <f>IFERROR(INDEX('Detalles movimientos'!C$5:C$1021, MATCH(18, 'Detalles movimientos'!$W$5:$W$1021, 0)), "")</f>
        <v/>
      </c>
      <c r="C27" s="18">
        <f>IFERROR(INDEX('Detalles movimientos'!D$5:D$1021, MATCH(18, 'Detalles movimientos'!$W$5:$W$1021, 0)), "")</f>
        <v/>
      </c>
      <c r="D27" s="19">
        <f>IFERROR(INDEX('Detalles movimientos'!E$5:E$1021, MATCH(18, 'Detalles movimientos'!$W$5:$W$1021, 0)), "")</f>
        <v/>
      </c>
      <c r="E27" s="19">
        <f>IFERROR(INDEX('Detalles movimientos'!F$5:F$1021, MATCH(18, 'Detalles movimientos'!$W$5:$W$1021, 0)), "")</f>
        <v/>
      </c>
      <c r="F27" s="18">
        <f>IFERROR(INDEX('Detalles movimientos'!G$5:G$1021, MATCH(18, 'Detalles movimientos'!$W$5:$W$1021, 0)), "")</f>
        <v/>
      </c>
      <c r="G27" s="120">
        <f>IFERROR(INDEX('Detalles movimientos'!H$5:H$1021, MATCH(18, 'Detalles movimientos'!$W$5:$W$1021, 0)), "")</f>
        <v/>
      </c>
      <c r="H27" s="121">
        <f>IFERROR(INDEX('Detalles movimientos'!I$5:I$1021, MATCH(18, 'Detalles movimientos'!$W$5:$W$1021, 0)), "")</f>
        <v/>
      </c>
      <c r="I27" s="120">
        <f>IFERROR(INDEX('Detalles movimientos'!M$5:M$1021, MATCH(18, 'Detalles movimientos'!$W$5:$W$1021, 0)), "")</f>
        <v/>
      </c>
      <c r="J27" s="19">
        <f>IFERROR(INDEX('Detalles movimientos'!N$5:N$1021, MATCH(18, 'Detalles movimientos'!$W$5:$W$1021, 0)), "")</f>
        <v/>
      </c>
      <c r="K27" s="120">
        <f>IFERROR(INDEX('Detalles movimientos'!O$5:O$1021, MATCH(18, 'Detalles movimientos'!$W$5:$W$1021, 0)), "")</f>
        <v/>
      </c>
      <c r="L27" s="18">
        <f>IFERROR(INDEX('Detalles movimientos'!P$5:P$1021, MATCH(18, 'Detalles movimientos'!$W$5:$W$1021, 0)), "")</f>
        <v/>
      </c>
      <c r="M27" s="18">
        <f>IFERROR(INDEX('Detalles movimientos'!S$5:S$1021, MATCH(18, 'Detalles movimientos'!$W$5:$W$1021, 0)), "")</f>
        <v/>
      </c>
    </row>
    <row r="28">
      <c r="B28" s="119">
        <f>IFERROR(INDEX('Detalles movimientos'!C$5:C$1021, MATCH(19, 'Detalles movimientos'!$W$5:$W$1021, 0)), "")</f>
        <v/>
      </c>
      <c r="C28" s="18">
        <f>IFERROR(INDEX('Detalles movimientos'!D$5:D$1021, MATCH(19, 'Detalles movimientos'!$W$5:$W$1021, 0)), "")</f>
        <v/>
      </c>
      <c r="D28" s="19">
        <f>IFERROR(INDEX('Detalles movimientos'!E$5:E$1021, MATCH(19, 'Detalles movimientos'!$W$5:$W$1021, 0)), "")</f>
        <v/>
      </c>
      <c r="E28" s="19">
        <f>IFERROR(INDEX('Detalles movimientos'!F$5:F$1021, MATCH(19, 'Detalles movimientos'!$W$5:$W$1021, 0)), "")</f>
        <v/>
      </c>
      <c r="F28" s="18">
        <f>IFERROR(INDEX('Detalles movimientos'!G$5:G$1021, MATCH(19, 'Detalles movimientos'!$W$5:$W$1021, 0)), "")</f>
        <v/>
      </c>
      <c r="G28" s="120">
        <f>IFERROR(INDEX('Detalles movimientos'!H$5:H$1021, MATCH(19, 'Detalles movimientos'!$W$5:$W$1021, 0)), "")</f>
        <v/>
      </c>
      <c r="H28" s="121">
        <f>IFERROR(INDEX('Detalles movimientos'!I$5:I$1021, MATCH(19, 'Detalles movimientos'!$W$5:$W$1021, 0)), "")</f>
        <v/>
      </c>
      <c r="I28" s="120">
        <f>IFERROR(INDEX('Detalles movimientos'!M$5:M$1021, MATCH(19, 'Detalles movimientos'!$W$5:$W$1021, 0)), "")</f>
        <v/>
      </c>
      <c r="J28" s="19">
        <f>IFERROR(INDEX('Detalles movimientos'!N$5:N$1021, MATCH(19, 'Detalles movimientos'!$W$5:$W$1021, 0)), "")</f>
        <v/>
      </c>
      <c r="K28" s="120">
        <f>IFERROR(INDEX('Detalles movimientos'!O$5:O$1021, MATCH(19, 'Detalles movimientos'!$W$5:$W$1021, 0)), "")</f>
        <v/>
      </c>
      <c r="L28" s="18">
        <f>IFERROR(INDEX('Detalles movimientos'!P$5:P$1021, MATCH(19, 'Detalles movimientos'!$W$5:$W$1021, 0)), "")</f>
        <v/>
      </c>
      <c r="M28" s="18">
        <f>IFERROR(INDEX('Detalles movimientos'!S$5:S$1021, MATCH(19, 'Detalles movimientos'!$W$5:$W$1021, 0)), "")</f>
        <v/>
      </c>
    </row>
    <row r="29">
      <c r="B29" s="119">
        <f>IFERROR(INDEX('Detalles movimientos'!C$5:C$1021, MATCH(20, 'Detalles movimientos'!$W$5:$W$1021, 0)), "")</f>
        <v/>
      </c>
      <c r="C29" s="18">
        <f>IFERROR(INDEX('Detalles movimientos'!D$5:D$1021, MATCH(20, 'Detalles movimientos'!$W$5:$W$1021, 0)), "")</f>
        <v/>
      </c>
      <c r="D29" s="19">
        <f>IFERROR(INDEX('Detalles movimientos'!E$5:E$1021, MATCH(20, 'Detalles movimientos'!$W$5:$W$1021, 0)), "")</f>
        <v/>
      </c>
      <c r="E29" s="19">
        <f>IFERROR(INDEX('Detalles movimientos'!F$5:F$1021, MATCH(20, 'Detalles movimientos'!$W$5:$W$1021, 0)), "")</f>
        <v/>
      </c>
      <c r="F29" s="18">
        <f>IFERROR(INDEX('Detalles movimientos'!G$5:G$1021, MATCH(20, 'Detalles movimientos'!$W$5:$W$1021, 0)), "")</f>
        <v/>
      </c>
      <c r="G29" s="120">
        <f>IFERROR(INDEX('Detalles movimientos'!H$5:H$1021, MATCH(20, 'Detalles movimientos'!$W$5:$W$1021, 0)), "")</f>
        <v/>
      </c>
      <c r="H29" s="121">
        <f>IFERROR(INDEX('Detalles movimientos'!I$5:I$1021, MATCH(20, 'Detalles movimientos'!$W$5:$W$1021, 0)), "")</f>
        <v/>
      </c>
      <c r="I29" s="120">
        <f>IFERROR(INDEX('Detalles movimientos'!M$5:M$1021, MATCH(20, 'Detalles movimientos'!$W$5:$W$1021, 0)), "")</f>
        <v/>
      </c>
      <c r="J29" s="19">
        <f>IFERROR(INDEX('Detalles movimientos'!N$5:N$1021, MATCH(20, 'Detalles movimientos'!$W$5:$W$1021, 0)), "")</f>
        <v/>
      </c>
      <c r="K29" s="120">
        <f>IFERROR(INDEX('Detalles movimientos'!O$5:O$1021, MATCH(20, 'Detalles movimientos'!$W$5:$W$1021, 0)), "")</f>
        <v/>
      </c>
      <c r="L29" s="18">
        <f>IFERROR(INDEX('Detalles movimientos'!P$5:P$1021, MATCH(20, 'Detalles movimientos'!$W$5:$W$1021, 0)), "")</f>
        <v/>
      </c>
      <c r="M29" s="18">
        <f>IFERROR(INDEX('Detalles movimientos'!S$5:S$1021, MATCH(20, 'Detalles movimientos'!$W$5:$W$1021, 0)), "")</f>
        <v/>
      </c>
    </row>
    <row r="30">
      <c r="B30" s="119">
        <f>IFERROR(INDEX('Detalles movimientos'!C$5:C$1021, MATCH(21, 'Detalles movimientos'!$W$5:$W$1021, 0)), "")</f>
        <v/>
      </c>
      <c r="C30" s="18">
        <f>IFERROR(INDEX('Detalles movimientos'!D$5:D$1021, MATCH(21, 'Detalles movimientos'!$W$5:$W$1021, 0)), "")</f>
        <v/>
      </c>
      <c r="D30" s="19">
        <f>IFERROR(INDEX('Detalles movimientos'!E$5:E$1021, MATCH(21, 'Detalles movimientos'!$W$5:$W$1021, 0)), "")</f>
        <v/>
      </c>
      <c r="E30" s="19">
        <f>IFERROR(INDEX('Detalles movimientos'!F$5:F$1021, MATCH(21, 'Detalles movimientos'!$W$5:$W$1021, 0)), "")</f>
        <v/>
      </c>
      <c r="F30" s="18">
        <f>IFERROR(INDEX('Detalles movimientos'!G$5:G$1021, MATCH(21, 'Detalles movimientos'!$W$5:$W$1021, 0)), "")</f>
        <v/>
      </c>
      <c r="G30" s="120">
        <f>IFERROR(INDEX('Detalles movimientos'!H$5:H$1021, MATCH(21, 'Detalles movimientos'!$W$5:$W$1021, 0)), "")</f>
        <v/>
      </c>
      <c r="H30" s="121">
        <f>IFERROR(INDEX('Detalles movimientos'!I$5:I$1021, MATCH(21, 'Detalles movimientos'!$W$5:$W$1021, 0)), "")</f>
        <v/>
      </c>
      <c r="I30" s="120">
        <f>IFERROR(INDEX('Detalles movimientos'!M$5:M$1021, MATCH(21, 'Detalles movimientos'!$W$5:$W$1021, 0)), "")</f>
        <v/>
      </c>
      <c r="J30" s="19">
        <f>IFERROR(INDEX('Detalles movimientos'!N$5:N$1021, MATCH(21, 'Detalles movimientos'!$W$5:$W$1021, 0)), "")</f>
        <v/>
      </c>
      <c r="K30" s="120">
        <f>IFERROR(INDEX('Detalles movimientos'!O$5:O$1021, MATCH(21, 'Detalles movimientos'!$W$5:$W$1021, 0)), "")</f>
        <v/>
      </c>
      <c r="L30" s="18">
        <f>IFERROR(INDEX('Detalles movimientos'!P$5:P$1021, MATCH(21, 'Detalles movimientos'!$W$5:$W$1021, 0)), "")</f>
        <v/>
      </c>
      <c r="M30" s="18">
        <f>IFERROR(INDEX('Detalles movimientos'!S$5:S$1021, MATCH(21, 'Detalles movimientos'!$W$5:$W$1021, 0)), "")</f>
        <v/>
      </c>
    </row>
    <row r="31">
      <c r="B31" s="119">
        <f>IFERROR(INDEX('Detalles movimientos'!C$5:C$1021, MATCH(22, 'Detalles movimientos'!$W$5:$W$1021, 0)), "")</f>
        <v/>
      </c>
      <c r="C31" s="18">
        <f>IFERROR(INDEX('Detalles movimientos'!D$5:D$1021, MATCH(22, 'Detalles movimientos'!$W$5:$W$1021, 0)), "")</f>
        <v/>
      </c>
      <c r="D31" s="19">
        <f>IFERROR(INDEX('Detalles movimientos'!E$5:E$1021, MATCH(22, 'Detalles movimientos'!$W$5:$W$1021, 0)), "")</f>
        <v/>
      </c>
      <c r="E31" s="19">
        <f>IFERROR(INDEX('Detalles movimientos'!F$5:F$1021, MATCH(22, 'Detalles movimientos'!$W$5:$W$1021, 0)), "")</f>
        <v/>
      </c>
      <c r="F31" s="18">
        <f>IFERROR(INDEX('Detalles movimientos'!G$5:G$1021, MATCH(22, 'Detalles movimientos'!$W$5:$W$1021, 0)), "")</f>
        <v/>
      </c>
      <c r="G31" s="120">
        <f>IFERROR(INDEX('Detalles movimientos'!H$5:H$1021, MATCH(22, 'Detalles movimientos'!$W$5:$W$1021, 0)), "")</f>
        <v/>
      </c>
      <c r="H31" s="121">
        <f>IFERROR(INDEX('Detalles movimientos'!I$5:I$1021, MATCH(22, 'Detalles movimientos'!$W$5:$W$1021, 0)), "")</f>
        <v/>
      </c>
      <c r="I31" s="120">
        <f>IFERROR(INDEX('Detalles movimientos'!M$5:M$1021, MATCH(22, 'Detalles movimientos'!$W$5:$W$1021, 0)), "")</f>
        <v/>
      </c>
      <c r="J31" s="19">
        <f>IFERROR(INDEX('Detalles movimientos'!N$5:N$1021, MATCH(22, 'Detalles movimientos'!$W$5:$W$1021, 0)), "")</f>
        <v/>
      </c>
      <c r="K31" s="120">
        <f>IFERROR(INDEX('Detalles movimientos'!O$5:O$1021, MATCH(22, 'Detalles movimientos'!$W$5:$W$1021, 0)), "")</f>
        <v/>
      </c>
      <c r="L31" s="18">
        <f>IFERROR(INDEX('Detalles movimientos'!P$5:P$1021, MATCH(22, 'Detalles movimientos'!$W$5:$W$1021, 0)), "")</f>
        <v/>
      </c>
      <c r="M31" s="18">
        <f>IFERROR(INDEX('Detalles movimientos'!S$5:S$1021, MATCH(22, 'Detalles movimientos'!$W$5:$W$1021, 0)), "")</f>
        <v/>
      </c>
    </row>
    <row r="32">
      <c r="B32" s="119">
        <f>IFERROR(INDEX('Detalles movimientos'!C$5:C$1021, MATCH(23, 'Detalles movimientos'!$W$5:$W$1021, 0)), "")</f>
        <v/>
      </c>
      <c r="C32" s="18">
        <f>IFERROR(INDEX('Detalles movimientos'!D$5:D$1021, MATCH(23, 'Detalles movimientos'!$W$5:$W$1021, 0)), "")</f>
        <v/>
      </c>
      <c r="D32" s="19">
        <f>IFERROR(INDEX('Detalles movimientos'!E$5:E$1021, MATCH(23, 'Detalles movimientos'!$W$5:$W$1021, 0)), "")</f>
        <v/>
      </c>
      <c r="E32" s="19">
        <f>IFERROR(INDEX('Detalles movimientos'!F$5:F$1021, MATCH(23, 'Detalles movimientos'!$W$5:$W$1021, 0)), "")</f>
        <v/>
      </c>
      <c r="F32" s="18">
        <f>IFERROR(INDEX('Detalles movimientos'!G$5:G$1021, MATCH(23, 'Detalles movimientos'!$W$5:$W$1021, 0)), "")</f>
        <v/>
      </c>
      <c r="G32" s="120">
        <f>IFERROR(INDEX('Detalles movimientos'!H$5:H$1021, MATCH(23, 'Detalles movimientos'!$W$5:$W$1021, 0)), "")</f>
        <v/>
      </c>
      <c r="H32" s="121">
        <f>IFERROR(INDEX('Detalles movimientos'!I$5:I$1021, MATCH(23, 'Detalles movimientos'!$W$5:$W$1021, 0)), "")</f>
        <v/>
      </c>
      <c r="I32" s="120">
        <f>IFERROR(INDEX('Detalles movimientos'!M$5:M$1021, MATCH(23, 'Detalles movimientos'!$W$5:$W$1021, 0)), "")</f>
        <v/>
      </c>
      <c r="J32" s="19">
        <f>IFERROR(INDEX('Detalles movimientos'!N$5:N$1021, MATCH(23, 'Detalles movimientos'!$W$5:$W$1021, 0)), "")</f>
        <v/>
      </c>
      <c r="K32" s="120">
        <f>IFERROR(INDEX('Detalles movimientos'!O$5:O$1021, MATCH(23, 'Detalles movimientos'!$W$5:$W$1021, 0)), "")</f>
        <v/>
      </c>
      <c r="L32" s="18">
        <f>IFERROR(INDEX('Detalles movimientos'!P$5:P$1021, MATCH(23, 'Detalles movimientos'!$W$5:$W$1021, 0)), "")</f>
        <v/>
      </c>
      <c r="M32" s="18">
        <f>IFERROR(INDEX('Detalles movimientos'!S$5:S$1021, MATCH(23, 'Detalles movimientos'!$W$5:$W$1021, 0)), "")</f>
        <v/>
      </c>
    </row>
    <row r="33">
      <c r="B33" s="119">
        <f>IFERROR(INDEX('Detalles movimientos'!C$5:C$1021, MATCH(24, 'Detalles movimientos'!$W$5:$W$1021, 0)), "")</f>
        <v/>
      </c>
      <c r="C33" s="18">
        <f>IFERROR(INDEX('Detalles movimientos'!D$5:D$1021, MATCH(24, 'Detalles movimientos'!$W$5:$W$1021, 0)), "")</f>
        <v/>
      </c>
      <c r="D33" s="19">
        <f>IFERROR(INDEX('Detalles movimientos'!E$5:E$1021, MATCH(24, 'Detalles movimientos'!$W$5:$W$1021, 0)), "")</f>
        <v/>
      </c>
      <c r="E33" s="19">
        <f>IFERROR(INDEX('Detalles movimientos'!F$5:F$1021, MATCH(24, 'Detalles movimientos'!$W$5:$W$1021, 0)), "")</f>
        <v/>
      </c>
      <c r="F33" s="18">
        <f>IFERROR(INDEX('Detalles movimientos'!G$5:G$1021, MATCH(24, 'Detalles movimientos'!$W$5:$W$1021, 0)), "")</f>
        <v/>
      </c>
      <c r="G33" s="120">
        <f>IFERROR(INDEX('Detalles movimientos'!H$5:H$1021, MATCH(24, 'Detalles movimientos'!$W$5:$W$1021, 0)), "")</f>
        <v/>
      </c>
      <c r="H33" s="121">
        <f>IFERROR(INDEX('Detalles movimientos'!I$5:I$1021, MATCH(24, 'Detalles movimientos'!$W$5:$W$1021, 0)), "")</f>
        <v/>
      </c>
      <c r="I33" s="120">
        <f>IFERROR(INDEX('Detalles movimientos'!M$5:M$1021, MATCH(24, 'Detalles movimientos'!$W$5:$W$1021, 0)), "")</f>
        <v/>
      </c>
      <c r="J33" s="19">
        <f>IFERROR(INDEX('Detalles movimientos'!N$5:N$1021, MATCH(24, 'Detalles movimientos'!$W$5:$W$1021, 0)), "")</f>
        <v/>
      </c>
      <c r="K33" s="120">
        <f>IFERROR(INDEX('Detalles movimientos'!O$5:O$1021, MATCH(24, 'Detalles movimientos'!$W$5:$W$1021, 0)), "")</f>
        <v/>
      </c>
      <c r="L33" s="18">
        <f>IFERROR(INDEX('Detalles movimientos'!P$5:P$1021, MATCH(24, 'Detalles movimientos'!$W$5:$W$1021, 0)), "")</f>
        <v/>
      </c>
      <c r="M33" s="18">
        <f>IFERROR(INDEX('Detalles movimientos'!S$5:S$1021, MATCH(24, 'Detalles movimientos'!$W$5:$W$1021, 0)), "")</f>
        <v/>
      </c>
    </row>
    <row r="34">
      <c r="B34" s="119">
        <f>IFERROR(INDEX('Detalles movimientos'!C$5:C$1021, MATCH(25, 'Detalles movimientos'!$W$5:$W$1021, 0)), "")</f>
        <v/>
      </c>
      <c r="C34" s="18">
        <f>IFERROR(INDEX('Detalles movimientos'!D$5:D$1021, MATCH(25, 'Detalles movimientos'!$W$5:$W$1021, 0)), "")</f>
        <v/>
      </c>
      <c r="D34" s="19">
        <f>IFERROR(INDEX('Detalles movimientos'!E$5:E$1021, MATCH(25, 'Detalles movimientos'!$W$5:$W$1021, 0)), "")</f>
        <v/>
      </c>
      <c r="E34" s="19">
        <f>IFERROR(INDEX('Detalles movimientos'!F$5:F$1021, MATCH(25, 'Detalles movimientos'!$W$5:$W$1021, 0)), "")</f>
        <v/>
      </c>
      <c r="F34" s="18">
        <f>IFERROR(INDEX('Detalles movimientos'!G$5:G$1021, MATCH(25, 'Detalles movimientos'!$W$5:$W$1021, 0)), "")</f>
        <v/>
      </c>
      <c r="G34" s="120">
        <f>IFERROR(INDEX('Detalles movimientos'!H$5:H$1021, MATCH(25, 'Detalles movimientos'!$W$5:$W$1021, 0)), "")</f>
        <v/>
      </c>
      <c r="H34" s="121">
        <f>IFERROR(INDEX('Detalles movimientos'!I$5:I$1021, MATCH(25, 'Detalles movimientos'!$W$5:$W$1021, 0)), "")</f>
        <v/>
      </c>
      <c r="I34" s="120">
        <f>IFERROR(INDEX('Detalles movimientos'!M$5:M$1021, MATCH(25, 'Detalles movimientos'!$W$5:$W$1021, 0)), "")</f>
        <v/>
      </c>
      <c r="J34" s="19">
        <f>IFERROR(INDEX('Detalles movimientos'!N$5:N$1021, MATCH(25, 'Detalles movimientos'!$W$5:$W$1021, 0)), "")</f>
        <v/>
      </c>
      <c r="K34" s="120">
        <f>IFERROR(INDEX('Detalles movimientos'!O$5:O$1021, MATCH(25, 'Detalles movimientos'!$W$5:$W$1021, 0)), "")</f>
        <v/>
      </c>
      <c r="L34" s="18">
        <f>IFERROR(INDEX('Detalles movimientos'!P$5:P$1021, MATCH(25, 'Detalles movimientos'!$W$5:$W$1021, 0)), "")</f>
        <v/>
      </c>
      <c r="M34" s="18">
        <f>IFERROR(INDEX('Detalles movimientos'!S$5:S$1021, MATCH(25, 'Detalles movimientos'!$W$5:$W$1021, 0)), "")</f>
        <v/>
      </c>
    </row>
    <row r="35">
      <c r="B35" s="119">
        <f>IFERROR(INDEX('Detalles movimientos'!C$5:C$1021, MATCH(26, 'Detalles movimientos'!$W$5:$W$1021, 0)), "")</f>
        <v/>
      </c>
      <c r="C35" s="18">
        <f>IFERROR(INDEX('Detalles movimientos'!D$5:D$1021, MATCH(26, 'Detalles movimientos'!$W$5:$W$1021, 0)), "")</f>
        <v/>
      </c>
      <c r="D35" s="19">
        <f>IFERROR(INDEX('Detalles movimientos'!E$5:E$1021, MATCH(26, 'Detalles movimientos'!$W$5:$W$1021, 0)), "")</f>
        <v/>
      </c>
      <c r="E35" s="19">
        <f>IFERROR(INDEX('Detalles movimientos'!F$5:F$1021, MATCH(26, 'Detalles movimientos'!$W$5:$W$1021, 0)), "")</f>
        <v/>
      </c>
      <c r="F35" s="18">
        <f>IFERROR(INDEX('Detalles movimientos'!G$5:G$1021, MATCH(26, 'Detalles movimientos'!$W$5:$W$1021, 0)), "")</f>
        <v/>
      </c>
      <c r="G35" s="120">
        <f>IFERROR(INDEX('Detalles movimientos'!H$5:H$1021, MATCH(26, 'Detalles movimientos'!$W$5:$W$1021, 0)), "")</f>
        <v/>
      </c>
      <c r="H35" s="121">
        <f>IFERROR(INDEX('Detalles movimientos'!I$5:I$1021, MATCH(26, 'Detalles movimientos'!$W$5:$W$1021, 0)), "")</f>
        <v/>
      </c>
      <c r="I35" s="120">
        <f>IFERROR(INDEX('Detalles movimientos'!M$5:M$1021, MATCH(26, 'Detalles movimientos'!$W$5:$W$1021, 0)), "")</f>
        <v/>
      </c>
      <c r="J35" s="19">
        <f>IFERROR(INDEX('Detalles movimientos'!N$5:N$1021, MATCH(26, 'Detalles movimientos'!$W$5:$W$1021, 0)), "")</f>
        <v/>
      </c>
      <c r="K35" s="120">
        <f>IFERROR(INDEX('Detalles movimientos'!O$5:O$1021, MATCH(26, 'Detalles movimientos'!$W$5:$W$1021, 0)), "")</f>
        <v/>
      </c>
      <c r="L35" s="18">
        <f>IFERROR(INDEX('Detalles movimientos'!P$5:P$1021, MATCH(26, 'Detalles movimientos'!$W$5:$W$1021, 0)), "")</f>
        <v/>
      </c>
      <c r="M35" s="18">
        <f>IFERROR(INDEX('Detalles movimientos'!S$5:S$1021, MATCH(26, 'Detalles movimientos'!$W$5:$W$1021, 0)), "")</f>
        <v/>
      </c>
    </row>
    <row r="36">
      <c r="B36" s="119">
        <f>IFERROR(INDEX('Detalles movimientos'!C$5:C$1021, MATCH(27, 'Detalles movimientos'!$W$5:$W$1021, 0)), "")</f>
        <v/>
      </c>
      <c r="C36" s="18">
        <f>IFERROR(INDEX('Detalles movimientos'!D$5:D$1021, MATCH(27, 'Detalles movimientos'!$W$5:$W$1021, 0)), "")</f>
        <v/>
      </c>
      <c r="D36" s="19">
        <f>IFERROR(INDEX('Detalles movimientos'!E$5:E$1021, MATCH(27, 'Detalles movimientos'!$W$5:$W$1021, 0)), "")</f>
        <v/>
      </c>
      <c r="E36" s="19">
        <f>IFERROR(INDEX('Detalles movimientos'!F$5:F$1021, MATCH(27, 'Detalles movimientos'!$W$5:$W$1021, 0)), "")</f>
        <v/>
      </c>
      <c r="F36" s="18">
        <f>IFERROR(INDEX('Detalles movimientos'!G$5:G$1021, MATCH(27, 'Detalles movimientos'!$W$5:$W$1021, 0)), "")</f>
        <v/>
      </c>
      <c r="G36" s="120">
        <f>IFERROR(INDEX('Detalles movimientos'!H$5:H$1021, MATCH(27, 'Detalles movimientos'!$W$5:$W$1021, 0)), "")</f>
        <v/>
      </c>
      <c r="H36" s="121">
        <f>IFERROR(INDEX('Detalles movimientos'!I$5:I$1021, MATCH(27, 'Detalles movimientos'!$W$5:$W$1021, 0)), "")</f>
        <v/>
      </c>
      <c r="I36" s="120">
        <f>IFERROR(INDEX('Detalles movimientos'!M$5:M$1021, MATCH(27, 'Detalles movimientos'!$W$5:$W$1021, 0)), "")</f>
        <v/>
      </c>
      <c r="J36" s="19">
        <f>IFERROR(INDEX('Detalles movimientos'!N$5:N$1021, MATCH(27, 'Detalles movimientos'!$W$5:$W$1021, 0)), "")</f>
        <v/>
      </c>
      <c r="K36" s="120">
        <f>IFERROR(INDEX('Detalles movimientos'!O$5:O$1021, MATCH(27, 'Detalles movimientos'!$W$5:$W$1021, 0)), "")</f>
        <v/>
      </c>
      <c r="L36" s="18">
        <f>IFERROR(INDEX('Detalles movimientos'!P$5:P$1021, MATCH(27, 'Detalles movimientos'!$W$5:$W$1021, 0)), "")</f>
        <v/>
      </c>
      <c r="M36" s="18">
        <f>IFERROR(INDEX('Detalles movimientos'!S$5:S$1021, MATCH(27, 'Detalles movimientos'!$W$5:$W$1021, 0)), "")</f>
        <v/>
      </c>
    </row>
    <row r="37">
      <c r="B37" s="119">
        <f>IFERROR(INDEX('Detalles movimientos'!C$5:C$1021, MATCH(28, 'Detalles movimientos'!$W$5:$W$1021, 0)), "")</f>
        <v/>
      </c>
      <c r="C37" s="18">
        <f>IFERROR(INDEX('Detalles movimientos'!D$5:D$1021, MATCH(28, 'Detalles movimientos'!$W$5:$W$1021, 0)), "")</f>
        <v/>
      </c>
      <c r="D37" s="19">
        <f>IFERROR(INDEX('Detalles movimientos'!E$5:E$1021, MATCH(28, 'Detalles movimientos'!$W$5:$W$1021, 0)), "")</f>
        <v/>
      </c>
      <c r="E37" s="19">
        <f>IFERROR(INDEX('Detalles movimientos'!F$5:F$1021, MATCH(28, 'Detalles movimientos'!$W$5:$W$1021, 0)), "")</f>
        <v/>
      </c>
      <c r="F37" s="18">
        <f>IFERROR(INDEX('Detalles movimientos'!G$5:G$1021, MATCH(28, 'Detalles movimientos'!$W$5:$W$1021, 0)), "")</f>
        <v/>
      </c>
      <c r="G37" s="120">
        <f>IFERROR(INDEX('Detalles movimientos'!H$5:H$1021, MATCH(28, 'Detalles movimientos'!$W$5:$W$1021, 0)), "")</f>
        <v/>
      </c>
      <c r="H37" s="121">
        <f>IFERROR(INDEX('Detalles movimientos'!I$5:I$1021, MATCH(28, 'Detalles movimientos'!$W$5:$W$1021, 0)), "")</f>
        <v/>
      </c>
      <c r="I37" s="120">
        <f>IFERROR(INDEX('Detalles movimientos'!M$5:M$1021, MATCH(28, 'Detalles movimientos'!$W$5:$W$1021, 0)), "")</f>
        <v/>
      </c>
      <c r="J37" s="19">
        <f>IFERROR(INDEX('Detalles movimientos'!N$5:N$1021, MATCH(28, 'Detalles movimientos'!$W$5:$W$1021, 0)), "")</f>
        <v/>
      </c>
      <c r="K37" s="120">
        <f>IFERROR(INDEX('Detalles movimientos'!O$5:O$1021, MATCH(28, 'Detalles movimientos'!$W$5:$W$1021, 0)), "")</f>
        <v/>
      </c>
      <c r="L37" s="18">
        <f>IFERROR(INDEX('Detalles movimientos'!P$5:P$1021, MATCH(28, 'Detalles movimientos'!$W$5:$W$1021, 0)), "")</f>
        <v/>
      </c>
      <c r="M37" s="18">
        <f>IFERROR(INDEX('Detalles movimientos'!S$5:S$1021, MATCH(28, 'Detalles movimientos'!$W$5:$W$1021, 0)), "")</f>
        <v/>
      </c>
    </row>
    <row r="38">
      <c r="B38" s="119">
        <f>IFERROR(INDEX('Detalles movimientos'!C$5:C$1021, MATCH(29, 'Detalles movimientos'!$W$5:$W$1021, 0)), "")</f>
        <v/>
      </c>
      <c r="C38" s="18">
        <f>IFERROR(INDEX('Detalles movimientos'!D$5:D$1021, MATCH(29, 'Detalles movimientos'!$W$5:$W$1021, 0)), "")</f>
        <v/>
      </c>
      <c r="D38" s="19">
        <f>IFERROR(INDEX('Detalles movimientos'!E$5:E$1021, MATCH(29, 'Detalles movimientos'!$W$5:$W$1021, 0)), "")</f>
        <v/>
      </c>
      <c r="E38" s="19">
        <f>IFERROR(INDEX('Detalles movimientos'!F$5:F$1021, MATCH(29, 'Detalles movimientos'!$W$5:$W$1021, 0)), "")</f>
        <v/>
      </c>
      <c r="F38" s="18">
        <f>IFERROR(INDEX('Detalles movimientos'!G$5:G$1021, MATCH(29, 'Detalles movimientos'!$W$5:$W$1021, 0)), "")</f>
        <v/>
      </c>
      <c r="G38" s="120">
        <f>IFERROR(INDEX('Detalles movimientos'!H$5:H$1021, MATCH(29, 'Detalles movimientos'!$W$5:$W$1021, 0)), "")</f>
        <v/>
      </c>
      <c r="H38" s="121">
        <f>IFERROR(INDEX('Detalles movimientos'!I$5:I$1021, MATCH(29, 'Detalles movimientos'!$W$5:$W$1021, 0)), "")</f>
        <v/>
      </c>
      <c r="I38" s="120">
        <f>IFERROR(INDEX('Detalles movimientos'!M$5:M$1021, MATCH(29, 'Detalles movimientos'!$W$5:$W$1021, 0)), "")</f>
        <v/>
      </c>
      <c r="J38" s="19">
        <f>IFERROR(INDEX('Detalles movimientos'!N$5:N$1021, MATCH(29, 'Detalles movimientos'!$W$5:$W$1021, 0)), "")</f>
        <v/>
      </c>
      <c r="K38" s="120">
        <f>IFERROR(INDEX('Detalles movimientos'!O$5:O$1021, MATCH(29, 'Detalles movimientos'!$W$5:$W$1021, 0)), "")</f>
        <v/>
      </c>
      <c r="L38" s="18">
        <f>IFERROR(INDEX('Detalles movimientos'!P$5:P$1021, MATCH(29, 'Detalles movimientos'!$W$5:$W$1021, 0)), "")</f>
        <v/>
      </c>
      <c r="M38" s="18">
        <f>IFERROR(INDEX('Detalles movimientos'!S$5:S$1021, MATCH(29, 'Detalles movimientos'!$W$5:$W$1021, 0)), "")</f>
        <v/>
      </c>
    </row>
    <row r="39">
      <c r="B39" s="119">
        <f>IFERROR(INDEX('Detalles movimientos'!C$5:C$1021, MATCH(30, 'Detalles movimientos'!$W$5:$W$1021, 0)), "")</f>
        <v/>
      </c>
      <c r="C39" s="18">
        <f>IFERROR(INDEX('Detalles movimientos'!D$5:D$1021, MATCH(30, 'Detalles movimientos'!$W$5:$W$1021, 0)), "")</f>
        <v/>
      </c>
      <c r="D39" s="19">
        <f>IFERROR(INDEX('Detalles movimientos'!E$5:E$1021, MATCH(30, 'Detalles movimientos'!$W$5:$W$1021, 0)), "")</f>
        <v/>
      </c>
      <c r="E39" s="19">
        <f>IFERROR(INDEX('Detalles movimientos'!F$5:F$1021, MATCH(30, 'Detalles movimientos'!$W$5:$W$1021, 0)), "")</f>
        <v/>
      </c>
      <c r="F39" s="18">
        <f>IFERROR(INDEX('Detalles movimientos'!G$5:G$1021, MATCH(30, 'Detalles movimientos'!$W$5:$W$1021, 0)), "")</f>
        <v/>
      </c>
      <c r="G39" s="120">
        <f>IFERROR(INDEX('Detalles movimientos'!H$5:H$1021, MATCH(30, 'Detalles movimientos'!$W$5:$W$1021, 0)), "")</f>
        <v/>
      </c>
      <c r="H39" s="121">
        <f>IFERROR(INDEX('Detalles movimientos'!I$5:I$1021, MATCH(30, 'Detalles movimientos'!$W$5:$W$1021, 0)), "")</f>
        <v/>
      </c>
      <c r="I39" s="120">
        <f>IFERROR(INDEX('Detalles movimientos'!M$5:M$1021, MATCH(30, 'Detalles movimientos'!$W$5:$W$1021, 0)), "")</f>
        <v/>
      </c>
      <c r="J39" s="19">
        <f>IFERROR(INDEX('Detalles movimientos'!N$5:N$1021, MATCH(30, 'Detalles movimientos'!$W$5:$W$1021, 0)), "")</f>
        <v/>
      </c>
      <c r="K39" s="120">
        <f>IFERROR(INDEX('Detalles movimientos'!O$5:O$1021, MATCH(30, 'Detalles movimientos'!$W$5:$W$1021, 0)), "")</f>
        <v/>
      </c>
      <c r="L39" s="18">
        <f>IFERROR(INDEX('Detalles movimientos'!P$5:P$1021, MATCH(30, 'Detalles movimientos'!$W$5:$W$1021, 0)), "")</f>
        <v/>
      </c>
      <c r="M39" s="18">
        <f>IFERROR(INDEX('Detalles movimientos'!S$5:S$1021, MATCH(30, 'Detalles movimientos'!$W$5:$W$1021, 0)), "")</f>
        <v/>
      </c>
    </row>
    <row r="40">
      <c r="B40" s="119">
        <f>IFERROR(INDEX('Detalles movimientos'!C$5:C$1021, MATCH(31, 'Detalles movimientos'!$W$5:$W$1021, 0)), "")</f>
        <v/>
      </c>
      <c r="C40" s="18">
        <f>IFERROR(INDEX('Detalles movimientos'!D$5:D$1021, MATCH(31, 'Detalles movimientos'!$W$5:$W$1021, 0)), "")</f>
        <v/>
      </c>
      <c r="D40" s="19">
        <f>IFERROR(INDEX('Detalles movimientos'!E$5:E$1021, MATCH(31, 'Detalles movimientos'!$W$5:$W$1021, 0)), "")</f>
        <v/>
      </c>
      <c r="E40" s="19">
        <f>IFERROR(INDEX('Detalles movimientos'!F$5:F$1021, MATCH(31, 'Detalles movimientos'!$W$5:$W$1021, 0)), "")</f>
        <v/>
      </c>
      <c r="F40" s="18">
        <f>IFERROR(INDEX('Detalles movimientos'!G$5:G$1021, MATCH(31, 'Detalles movimientos'!$W$5:$W$1021, 0)), "")</f>
        <v/>
      </c>
      <c r="G40" s="120">
        <f>IFERROR(INDEX('Detalles movimientos'!H$5:H$1021, MATCH(31, 'Detalles movimientos'!$W$5:$W$1021, 0)), "")</f>
        <v/>
      </c>
      <c r="H40" s="121">
        <f>IFERROR(INDEX('Detalles movimientos'!I$5:I$1021, MATCH(31, 'Detalles movimientos'!$W$5:$W$1021, 0)), "")</f>
        <v/>
      </c>
      <c r="I40" s="120">
        <f>IFERROR(INDEX('Detalles movimientos'!M$5:M$1021, MATCH(31, 'Detalles movimientos'!$W$5:$W$1021, 0)), "")</f>
        <v/>
      </c>
      <c r="J40" s="19">
        <f>IFERROR(INDEX('Detalles movimientos'!N$5:N$1021, MATCH(31, 'Detalles movimientos'!$W$5:$W$1021, 0)), "")</f>
        <v/>
      </c>
      <c r="K40" s="120">
        <f>IFERROR(INDEX('Detalles movimientos'!O$5:O$1021, MATCH(31, 'Detalles movimientos'!$W$5:$W$1021, 0)), "")</f>
        <v/>
      </c>
      <c r="L40" s="18">
        <f>IFERROR(INDEX('Detalles movimientos'!P$5:P$1021, MATCH(31, 'Detalles movimientos'!$W$5:$W$1021, 0)), "")</f>
        <v/>
      </c>
      <c r="M40" s="18">
        <f>IFERROR(INDEX('Detalles movimientos'!S$5:S$1021, MATCH(31, 'Detalles movimientos'!$W$5:$W$1021, 0)), "")</f>
        <v/>
      </c>
    </row>
    <row r="41">
      <c r="B41" s="119">
        <f>IFERROR(INDEX('Detalles movimientos'!C$5:C$1021, MATCH(32, 'Detalles movimientos'!$W$5:$W$1021, 0)), "")</f>
        <v/>
      </c>
      <c r="C41" s="18">
        <f>IFERROR(INDEX('Detalles movimientos'!D$5:D$1021, MATCH(32, 'Detalles movimientos'!$W$5:$W$1021, 0)), "")</f>
        <v/>
      </c>
      <c r="D41" s="19">
        <f>IFERROR(INDEX('Detalles movimientos'!E$5:E$1021, MATCH(32, 'Detalles movimientos'!$W$5:$W$1021, 0)), "")</f>
        <v/>
      </c>
      <c r="E41" s="19">
        <f>IFERROR(INDEX('Detalles movimientos'!F$5:F$1021, MATCH(32, 'Detalles movimientos'!$W$5:$W$1021, 0)), "")</f>
        <v/>
      </c>
      <c r="F41" s="18">
        <f>IFERROR(INDEX('Detalles movimientos'!G$5:G$1021, MATCH(32, 'Detalles movimientos'!$W$5:$W$1021, 0)), "")</f>
        <v/>
      </c>
      <c r="G41" s="120">
        <f>IFERROR(INDEX('Detalles movimientos'!H$5:H$1021, MATCH(32, 'Detalles movimientos'!$W$5:$W$1021, 0)), "")</f>
        <v/>
      </c>
      <c r="H41" s="121">
        <f>IFERROR(INDEX('Detalles movimientos'!I$5:I$1021, MATCH(32, 'Detalles movimientos'!$W$5:$W$1021, 0)), "")</f>
        <v/>
      </c>
      <c r="I41" s="120">
        <f>IFERROR(INDEX('Detalles movimientos'!M$5:M$1021, MATCH(32, 'Detalles movimientos'!$W$5:$W$1021, 0)), "")</f>
        <v/>
      </c>
      <c r="J41" s="19">
        <f>IFERROR(INDEX('Detalles movimientos'!N$5:N$1021, MATCH(32, 'Detalles movimientos'!$W$5:$W$1021, 0)), "")</f>
        <v/>
      </c>
      <c r="K41" s="120">
        <f>IFERROR(INDEX('Detalles movimientos'!O$5:O$1021, MATCH(32, 'Detalles movimientos'!$W$5:$W$1021, 0)), "")</f>
        <v/>
      </c>
      <c r="L41" s="18">
        <f>IFERROR(INDEX('Detalles movimientos'!P$5:P$1021, MATCH(32, 'Detalles movimientos'!$W$5:$W$1021, 0)), "")</f>
        <v/>
      </c>
      <c r="M41" s="18">
        <f>IFERROR(INDEX('Detalles movimientos'!S$5:S$1021, MATCH(32, 'Detalles movimientos'!$W$5:$W$1021, 0)), "")</f>
        <v/>
      </c>
    </row>
    <row r="42">
      <c r="B42" s="119">
        <f>IFERROR(INDEX('Detalles movimientos'!C$5:C$1021, MATCH(33, 'Detalles movimientos'!$W$5:$W$1021, 0)), "")</f>
        <v/>
      </c>
      <c r="C42" s="18">
        <f>IFERROR(INDEX('Detalles movimientos'!D$5:D$1021, MATCH(33, 'Detalles movimientos'!$W$5:$W$1021, 0)), "")</f>
        <v/>
      </c>
      <c r="D42" s="19">
        <f>IFERROR(INDEX('Detalles movimientos'!E$5:E$1021, MATCH(33, 'Detalles movimientos'!$W$5:$W$1021, 0)), "")</f>
        <v/>
      </c>
      <c r="E42" s="19">
        <f>IFERROR(INDEX('Detalles movimientos'!F$5:F$1021, MATCH(33, 'Detalles movimientos'!$W$5:$W$1021, 0)), "")</f>
        <v/>
      </c>
      <c r="F42" s="18">
        <f>IFERROR(INDEX('Detalles movimientos'!G$5:G$1021, MATCH(33, 'Detalles movimientos'!$W$5:$W$1021, 0)), "")</f>
        <v/>
      </c>
      <c r="G42" s="120">
        <f>IFERROR(INDEX('Detalles movimientos'!H$5:H$1021, MATCH(33, 'Detalles movimientos'!$W$5:$W$1021, 0)), "")</f>
        <v/>
      </c>
      <c r="H42" s="121">
        <f>IFERROR(INDEX('Detalles movimientos'!I$5:I$1021, MATCH(33, 'Detalles movimientos'!$W$5:$W$1021, 0)), "")</f>
        <v/>
      </c>
      <c r="I42" s="120">
        <f>IFERROR(INDEX('Detalles movimientos'!M$5:M$1021, MATCH(33, 'Detalles movimientos'!$W$5:$W$1021, 0)), "")</f>
        <v/>
      </c>
      <c r="J42" s="19">
        <f>IFERROR(INDEX('Detalles movimientos'!N$5:N$1021, MATCH(33, 'Detalles movimientos'!$W$5:$W$1021, 0)), "")</f>
        <v/>
      </c>
      <c r="K42" s="120">
        <f>IFERROR(INDEX('Detalles movimientos'!O$5:O$1021, MATCH(33, 'Detalles movimientos'!$W$5:$W$1021, 0)), "")</f>
        <v/>
      </c>
      <c r="L42" s="18">
        <f>IFERROR(INDEX('Detalles movimientos'!P$5:P$1021, MATCH(33, 'Detalles movimientos'!$W$5:$W$1021, 0)), "")</f>
        <v/>
      </c>
      <c r="M42" s="18">
        <f>IFERROR(INDEX('Detalles movimientos'!S$5:S$1021, MATCH(33, 'Detalles movimientos'!$W$5:$W$1021, 0)), "")</f>
        <v/>
      </c>
    </row>
    <row r="43">
      <c r="B43" s="119">
        <f>IFERROR(INDEX('Detalles movimientos'!C$5:C$1021, MATCH(34, 'Detalles movimientos'!$W$5:$W$1021, 0)), "")</f>
        <v/>
      </c>
      <c r="C43" s="18">
        <f>IFERROR(INDEX('Detalles movimientos'!D$5:D$1021, MATCH(34, 'Detalles movimientos'!$W$5:$W$1021, 0)), "")</f>
        <v/>
      </c>
      <c r="D43" s="19">
        <f>IFERROR(INDEX('Detalles movimientos'!E$5:E$1021, MATCH(34, 'Detalles movimientos'!$W$5:$W$1021, 0)), "")</f>
        <v/>
      </c>
      <c r="E43" s="19">
        <f>IFERROR(INDEX('Detalles movimientos'!F$5:F$1021, MATCH(34, 'Detalles movimientos'!$W$5:$W$1021, 0)), "")</f>
        <v/>
      </c>
      <c r="F43" s="18">
        <f>IFERROR(INDEX('Detalles movimientos'!G$5:G$1021, MATCH(34, 'Detalles movimientos'!$W$5:$W$1021, 0)), "")</f>
        <v/>
      </c>
      <c r="G43" s="120">
        <f>IFERROR(INDEX('Detalles movimientos'!H$5:H$1021, MATCH(34, 'Detalles movimientos'!$W$5:$W$1021, 0)), "")</f>
        <v/>
      </c>
      <c r="H43" s="121">
        <f>IFERROR(INDEX('Detalles movimientos'!I$5:I$1021, MATCH(34, 'Detalles movimientos'!$W$5:$W$1021, 0)), "")</f>
        <v/>
      </c>
      <c r="I43" s="120">
        <f>IFERROR(INDEX('Detalles movimientos'!M$5:M$1021, MATCH(34, 'Detalles movimientos'!$W$5:$W$1021, 0)), "")</f>
        <v/>
      </c>
      <c r="J43" s="19">
        <f>IFERROR(INDEX('Detalles movimientos'!N$5:N$1021, MATCH(34, 'Detalles movimientos'!$W$5:$W$1021, 0)), "")</f>
        <v/>
      </c>
      <c r="K43" s="120">
        <f>IFERROR(INDEX('Detalles movimientos'!O$5:O$1021, MATCH(34, 'Detalles movimientos'!$W$5:$W$1021, 0)), "")</f>
        <v/>
      </c>
      <c r="L43" s="18">
        <f>IFERROR(INDEX('Detalles movimientos'!P$5:P$1021, MATCH(34, 'Detalles movimientos'!$W$5:$W$1021, 0)), "")</f>
        <v/>
      </c>
      <c r="M43" s="18">
        <f>IFERROR(INDEX('Detalles movimientos'!S$5:S$1021, MATCH(34, 'Detalles movimientos'!$W$5:$W$1021, 0)), "")</f>
        <v/>
      </c>
    </row>
    <row r="44">
      <c r="B44" s="119">
        <f>IFERROR(INDEX('Detalles movimientos'!C$5:C$1021, MATCH(35, 'Detalles movimientos'!$W$5:$W$1021, 0)), "")</f>
        <v/>
      </c>
      <c r="C44" s="18">
        <f>IFERROR(INDEX('Detalles movimientos'!D$5:D$1021, MATCH(35, 'Detalles movimientos'!$W$5:$W$1021, 0)), "")</f>
        <v/>
      </c>
      <c r="D44" s="19">
        <f>IFERROR(INDEX('Detalles movimientos'!E$5:E$1021, MATCH(35, 'Detalles movimientos'!$W$5:$W$1021, 0)), "")</f>
        <v/>
      </c>
      <c r="E44" s="19">
        <f>IFERROR(INDEX('Detalles movimientos'!F$5:F$1021, MATCH(35, 'Detalles movimientos'!$W$5:$W$1021, 0)), "")</f>
        <v/>
      </c>
      <c r="F44" s="18">
        <f>IFERROR(INDEX('Detalles movimientos'!G$5:G$1021, MATCH(35, 'Detalles movimientos'!$W$5:$W$1021, 0)), "")</f>
        <v/>
      </c>
      <c r="G44" s="120">
        <f>IFERROR(INDEX('Detalles movimientos'!H$5:H$1021, MATCH(35, 'Detalles movimientos'!$W$5:$W$1021, 0)), "")</f>
        <v/>
      </c>
      <c r="H44" s="121">
        <f>IFERROR(INDEX('Detalles movimientos'!I$5:I$1021, MATCH(35, 'Detalles movimientos'!$W$5:$W$1021, 0)), "")</f>
        <v/>
      </c>
      <c r="I44" s="120">
        <f>IFERROR(INDEX('Detalles movimientos'!M$5:M$1021, MATCH(35, 'Detalles movimientos'!$W$5:$W$1021, 0)), "")</f>
        <v/>
      </c>
      <c r="J44" s="19">
        <f>IFERROR(INDEX('Detalles movimientos'!N$5:N$1021, MATCH(35, 'Detalles movimientos'!$W$5:$W$1021, 0)), "")</f>
        <v/>
      </c>
      <c r="K44" s="120">
        <f>IFERROR(INDEX('Detalles movimientos'!O$5:O$1021, MATCH(35, 'Detalles movimientos'!$W$5:$W$1021, 0)), "")</f>
        <v/>
      </c>
      <c r="L44" s="18">
        <f>IFERROR(INDEX('Detalles movimientos'!P$5:P$1021, MATCH(35, 'Detalles movimientos'!$W$5:$W$1021, 0)), "")</f>
        <v/>
      </c>
      <c r="M44" s="18">
        <f>IFERROR(INDEX('Detalles movimientos'!S$5:S$1021, MATCH(35, 'Detalles movimientos'!$W$5:$W$1021, 0)), "")</f>
        <v/>
      </c>
    </row>
    <row r="45">
      <c r="B45" s="119">
        <f>IFERROR(INDEX('Detalles movimientos'!C$5:C$1021, MATCH(36, 'Detalles movimientos'!$W$5:$W$1021, 0)), "")</f>
        <v/>
      </c>
      <c r="C45" s="18">
        <f>IFERROR(INDEX('Detalles movimientos'!D$5:D$1021, MATCH(36, 'Detalles movimientos'!$W$5:$W$1021, 0)), "")</f>
        <v/>
      </c>
      <c r="D45" s="19">
        <f>IFERROR(INDEX('Detalles movimientos'!E$5:E$1021, MATCH(36, 'Detalles movimientos'!$W$5:$W$1021, 0)), "")</f>
        <v/>
      </c>
      <c r="E45" s="19">
        <f>IFERROR(INDEX('Detalles movimientos'!F$5:F$1021, MATCH(36, 'Detalles movimientos'!$W$5:$W$1021, 0)), "")</f>
        <v/>
      </c>
      <c r="F45" s="18">
        <f>IFERROR(INDEX('Detalles movimientos'!G$5:G$1021, MATCH(36, 'Detalles movimientos'!$W$5:$W$1021, 0)), "")</f>
        <v/>
      </c>
      <c r="G45" s="120">
        <f>IFERROR(INDEX('Detalles movimientos'!H$5:H$1021, MATCH(36, 'Detalles movimientos'!$W$5:$W$1021, 0)), "")</f>
        <v/>
      </c>
      <c r="H45" s="121">
        <f>IFERROR(INDEX('Detalles movimientos'!I$5:I$1021, MATCH(36, 'Detalles movimientos'!$W$5:$W$1021, 0)), "")</f>
        <v/>
      </c>
      <c r="I45" s="120">
        <f>IFERROR(INDEX('Detalles movimientos'!M$5:M$1021, MATCH(36, 'Detalles movimientos'!$W$5:$W$1021, 0)), "")</f>
        <v/>
      </c>
      <c r="J45" s="19">
        <f>IFERROR(INDEX('Detalles movimientos'!N$5:N$1021, MATCH(36, 'Detalles movimientos'!$W$5:$W$1021, 0)), "")</f>
        <v/>
      </c>
      <c r="K45" s="120">
        <f>IFERROR(INDEX('Detalles movimientos'!O$5:O$1021, MATCH(36, 'Detalles movimientos'!$W$5:$W$1021, 0)), "")</f>
        <v/>
      </c>
      <c r="L45" s="18">
        <f>IFERROR(INDEX('Detalles movimientos'!P$5:P$1021, MATCH(36, 'Detalles movimientos'!$W$5:$W$1021, 0)), "")</f>
        <v/>
      </c>
      <c r="M45" s="18">
        <f>IFERROR(INDEX('Detalles movimientos'!S$5:S$1021, MATCH(36, 'Detalles movimientos'!$W$5:$W$1021, 0)), "")</f>
        <v/>
      </c>
    </row>
    <row r="46">
      <c r="B46" s="119">
        <f>IFERROR(INDEX('Detalles movimientos'!C$5:C$1021, MATCH(37, 'Detalles movimientos'!$W$5:$W$1021, 0)), "")</f>
        <v/>
      </c>
      <c r="C46" s="18">
        <f>IFERROR(INDEX('Detalles movimientos'!D$5:D$1021, MATCH(37, 'Detalles movimientos'!$W$5:$W$1021, 0)), "")</f>
        <v/>
      </c>
      <c r="D46" s="19">
        <f>IFERROR(INDEX('Detalles movimientos'!E$5:E$1021, MATCH(37, 'Detalles movimientos'!$W$5:$W$1021, 0)), "")</f>
        <v/>
      </c>
      <c r="E46" s="19">
        <f>IFERROR(INDEX('Detalles movimientos'!F$5:F$1021, MATCH(37, 'Detalles movimientos'!$W$5:$W$1021, 0)), "")</f>
        <v/>
      </c>
      <c r="F46" s="18">
        <f>IFERROR(INDEX('Detalles movimientos'!G$5:G$1021, MATCH(37, 'Detalles movimientos'!$W$5:$W$1021, 0)), "")</f>
        <v/>
      </c>
      <c r="G46" s="120">
        <f>IFERROR(INDEX('Detalles movimientos'!H$5:H$1021, MATCH(37, 'Detalles movimientos'!$W$5:$W$1021, 0)), "")</f>
        <v/>
      </c>
      <c r="H46" s="121">
        <f>IFERROR(INDEX('Detalles movimientos'!I$5:I$1021, MATCH(37, 'Detalles movimientos'!$W$5:$W$1021, 0)), "")</f>
        <v/>
      </c>
      <c r="I46" s="120">
        <f>IFERROR(INDEX('Detalles movimientos'!M$5:M$1021, MATCH(37, 'Detalles movimientos'!$W$5:$W$1021, 0)), "")</f>
        <v/>
      </c>
      <c r="J46" s="19">
        <f>IFERROR(INDEX('Detalles movimientos'!N$5:N$1021, MATCH(37, 'Detalles movimientos'!$W$5:$W$1021, 0)), "")</f>
        <v/>
      </c>
      <c r="K46" s="120">
        <f>IFERROR(INDEX('Detalles movimientos'!O$5:O$1021, MATCH(37, 'Detalles movimientos'!$W$5:$W$1021, 0)), "")</f>
        <v/>
      </c>
      <c r="L46" s="18">
        <f>IFERROR(INDEX('Detalles movimientos'!P$5:P$1021, MATCH(37, 'Detalles movimientos'!$W$5:$W$1021, 0)), "")</f>
        <v/>
      </c>
      <c r="M46" s="18">
        <f>IFERROR(INDEX('Detalles movimientos'!S$5:S$1021, MATCH(37, 'Detalles movimientos'!$W$5:$W$1021, 0)), "")</f>
        <v/>
      </c>
    </row>
    <row r="47">
      <c r="B47" s="119">
        <f>IFERROR(INDEX('Detalles movimientos'!C$5:C$1021, MATCH(38, 'Detalles movimientos'!$W$5:$W$1021, 0)), "")</f>
        <v/>
      </c>
      <c r="C47" s="18">
        <f>IFERROR(INDEX('Detalles movimientos'!D$5:D$1021, MATCH(38, 'Detalles movimientos'!$W$5:$W$1021, 0)), "")</f>
        <v/>
      </c>
      <c r="D47" s="19">
        <f>IFERROR(INDEX('Detalles movimientos'!E$5:E$1021, MATCH(38, 'Detalles movimientos'!$W$5:$W$1021, 0)), "")</f>
        <v/>
      </c>
      <c r="E47" s="19">
        <f>IFERROR(INDEX('Detalles movimientos'!F$5:F$1021, MATCH(38, 'Detalles movimientos'!$W$5:$W$1021, 0)), "")</f>
        <v/>
      </c>
      <c r="F47" s="18">
        <f>IFERROR(INDEX('Detalles movimientos'!G$5:G$1021, MATCH(38, 'Detalles movimientos'!$W$5:$W$1021, 0)), "")</f>
        <v/>
      </c>
      <c r="G47" s="120">
        <f>IFERROR(INDEX('Detalles movimientos'!H$5:H$1021, MATCH(38, 'Detalles movimientos'!$W$5:$W$1021, 0)), "")</f>
        <v/>
      </c>
      <c r="H47" s="121">
        <f>IFERROR(INDEX('Detalles movimientos'!I$5:I$1021, MATCH(38, 'Detalles movimientos'!$W$5:$W$1021, 0)), "")</f>
        <v/>
      </c>
      <c r="I47" s="120">
        <f>IFERROR(INDEX('Detalles movimientos'!M$5:M$1021, MATCH(38, 'Detalles movimientos'!$W$5:$W$1021, 0)), "")</f>
        <v/>
      </c>
      <c r="J47" s="19">
        <f>IFERROR(INDEX('Detalles movimientos'!N$5:N$1021, MATCH(38, 'Detalles movimientos'!$W$5:$W$1021, 0)), "")</f>
        <v/>
      </c>
      <c r="K47" s="120">
        <f>IFERROR(INDEX('Detalles movimientos'!O$5:O$1021, MATCH(38, 'Detalles movimientos'!$W$5:$W$1021, 0)), "")</f>
        <v/>
      </c>
      <c r="L47" s="18">
        <f>IFERROR(INDEX('Detalles movimientos'!P$5:P$1021, MATCH(38, 'Detalles movimientos'!$W$5:$W$1021, 0)), "")</f>
        <v/>
      </c>
      <c r="M47" s="18">
        <f>IFERROR(INDEX('Detalles movimientos'!S$5:S$1021, MATCH(38, 'Detalles movimientos'!$W$5:$W$1021, 0)), "")</f>
        <v/>
      </c>
    </row>
    <row r="48">
      <c r="B48" s="119">
        <f>IFERROR(INDEX('Detalles movimientos'!C$5:C$1021, MATCH(39, 'Detalles movimientos'!$W$5:$W$1021, 0)), "")</f>
        <v/>
      </c>
      <c r="C48" s="18">
        <f>IFERROR(INDEX('Detalles movimientos'!D$5:D$1021, MATCH(39, 'Detalles movimientos'!$W$5:$W$1021, 0)), "")</f>
        <v/>
      </c>
      <c r="D48" s="19">
        <f>IFERROR(INDEX('Detalles movimientos'!E$5:E$1021, MATCH(39, 'Detalles movimientos'!$W$5:$W$1021, 0)), "")</f>
        <v/>
      </c>
      <c r="E48" s="19">
        <f>IFERROR(INDEX('Detalles movimientos'!F$5:F$1021, MATCH(39, 'Detalles movimientos'!$W$5:$W$1021, 0)), "")</f>
        <v/>
      </c>
      <c r="F48" s="18">
        <f>IFERROR(INDEX('Detalles movimientos'!G$5:G$1021, MATCH(39, 'Detalles movimientos'!$W$5:$W$1021, 0)), "")</f>
        <v/>
      </c>
      <c r="G48" s="120">
        <f>IFERROR(INDEX('Detalles movimientos'!H$5:H$1021, MATCH(39, 'Detalles movimientos'!$W$5:$W$1021, 0)), "")</f>
        <v/>
      </c>
      <c r="H48" s="121">
        <f>IFERROR(INDEX('Detalles movimientos'!I$5:I$1021, MATCH(39, 'Detalles movimientos'!$W$5:$W$1021, 0)), "")</f>
        <v/>
      </c>
      <c r="I48" s="120">
        <f>IFERROR(INDEX('Detalles movimientos'!M$5:M$1021, MATCH(39, 'Detalles movimientos'!$W$5:$W$1021, 0)), "")</f>
        <v/>
      </c>
      <c r="J48" s="19">
        <f>IFERROR(INDEX('Detalles movimientos'!N$5:N$1021, MATCH(39, 'Detalles movimientos'!$W$5:$W$1021, 0)), "")</f>
        <v/>
      </c>
      <c r="K48" s="120">
        <f>IFERROR(INDEX('Detalles movimientos'!O$5:O$1021, MATCH(39, 'Detalles movimientos'!$W$5:$W$1021, 0)), "")</f>
        <v/>
      </c>
      <c r="L48" s="18">
        <f>IFERROR(INDEX('Detalles movimientos'!P$5:P$1021, MATCH(39, 'Detalles movimientos'!$W$5:$W$1021, 0)), "")</f>
        <v/>
      </c>
      <c r="M48" s="18">
        <f>IFERROR(INDEX('Detalles movimientos'!S$5:S$1021, MATCH(39, 'Detalles movimientos'!$W$5:$W$1021, 0)), "")</f>
        <v/>
      </c>
    </row>
    <row r="49">
      <c r="B49" s="119">
        <f>IFERROR(INDEX('Detalles movimientos'!C$5:C$1021, MATCH(40, 'Detalles movimientos'!$W$5:$W$1021, 0)), "")</f>
        <v/>
      </c>
      <c r="C49" s="18">
        <f>IFERROR(INDEX('Detalles movimientos'!D$5:D$1021, MATCH(40, 'Detalles movimientos'!$W$5:$W$1021, 0)), "")</f>
        <v/>
      </c>
      <c r="D49" s="19">
        <f>IFERROR(INDEX('Detalles movimientos'!E$5:E$1021, MATCH(40, 'Detalles movimientos'!$W$5:$W$1021, 0)), "")</f>
        <v/>
      </c>
      <c r="E49" s="19">
        <f>IFERROR(INDEX('Detalles movimientos'!F$5:F$1021, MATCH(40, 'Detalles movimientos'!$W$5:$W$1021, 0)), "")</f>
        <v/>
      </c>
      <c r="F49" s="18">
        <f>IFERROR(INDEX('Detalles movimientos'!G$5:G$1021, MATCH(40, 'Detalles movimientos'!$W$5:$W$1021, 0)), "")</f>
        <v/>
      </c>
      <c r="G49" s="120">
        <f>IFERROR(INDEX('Detalles movimientos'!H$5:H$1021, MATCH(40, 'Detalles movimientos'!$W$5:$W$1021, 0)), "")</f>
        <v/>
      </c>
      <c r="H49" s="121">
        <f>IFERROR(INDEX('Detalles movimientos'!I$5:I$1021, MATCH(40, 'Detalles movimientos'!$W$5:$W$1021, 0)), "")</f>
        <v/>
      </c>
      <c r="I49" s="120">
        <f>IFERROR(INDEX('Detalles movimientos'!M$5:M$1021, MATCH(40, 'Detalles movimientos'!$W$5:$W$1021, 0)), "")</f>
        <v/>
      </c>
      <c r="J49" s="19">
        <f>IFERROR(INDEX('Detalles movimientos'!N$5:N$1021, MATCH(40, 'Detalles movimientos'!$W$5:$W$1021, 0)), "")</f>
        <v/>
      </c>
      <c r="K49" s="120">
        <f>IFERROR(INDEX('Detalles movimientos'!O$5:O$1021, MATCH(40, 'Detalles movimientos'!$W$5:$W$1021, 0)), "")</f>
        <v/>
      </c>
      <c r="L49" s="18">
        <f>IFERROR(INDEX('Detalles movimientos'!P$5:P$1021, MATCH(40, 'Detalles movimientos'!$W$5:$W$1021, 0)), "")</f>
        <v/>
      </c>
      <c r="M49" s="18">
        <f>IFERROR(INDEX('Detalles movimientos'!S$5:S$1021, MATCH(40, 'Detalles movimientos'!$W$5:$W$1021, 0)), "")</f>
        <v/>
      </c>
    </row>
    <row r="50">
      <c r="B50" s="119">
        <f>IFERROR(INDEX('Detalles movimientos'!C$5:C$1021, MATCH(41, 'Detalles movimientos'!$W$5:$W$1021, 0)), "")</f>
        <v/>
      </c>
      <c r="C50" s="18">
        <f>IFERROR(INDEX('Detalles movimientos'!D$5:D$1021, MATCH(41, 'Detalles movimientos'!$W$5:$W$1021, 0)), "")</f>
        <v/>
      </c>
      <c r="D50" s="19">
        <f>IFERROR(INDEX('Detalles movimientos'!E$5:E$1021, MATCH(41, 'Detalles movimientos'!$W$5:$W$1021, 0)), "")</f>
        <v/>
      </c>
      <c r="E50" s="19">
        <f>IFERROR(INDEX('Detalles movimientos'!F$5:F$1021, MATCH(41, 'Detalles movimientos'!$W$5:$W$1021, 0)), "")</f>
        <v/>
      </c>
      <c r="F50" s="18">
        <f>IFERROR(INDEX('Detalles movimientos'!G$5:G$1021, MATCH(41, 'Detalles movimientos'!$W$5:$W$1021, 0)), "")</f>
        <v/>
      </c>
      <c r="G50" s="120">
        <f>IFERROR(INDEX('Detalles movimientos'!H$5:H$1021, MATCH(41, 'Detalles movimientos'!$W$5:$W$1021, 0)), "")</f>
        <v/>
      </c>
      <c r="H50" s="121">
        <f>IFERROR(INDEX('Detalles movimientos'!I$5:I$1021, MATCH(41, 'Detalles movimientos'!$W$5:$W$1021, 0)), "")</f>
        <v/>
      </c>
      <c r="I50" s="120">
        <f>IFERROR(INDEX('Detalles movimientos'!M$5:M$1021, MATCH(41, 'Detalles movimientos'!$W$5:$W$1021, 0)), "")</f>
        <v/>
      </c>
      <c r="J50" s="19">
        <f>IFERROR(INDEX('Detalles movimientos'!N$5:N$1021, MATCH(41, 'Detalles movimientos'!$W$5:$W$1021, 0)), "")</f>
        <v/>
      </c>
      <c r="K50" s="120">
        <f>IFERROR(INDEX('Detalles movimientos'!O$5:O$1021, MATCH(41, 'Detalles movimientos'!$W$5:$W$1021, 0)), "")</f>
        <v/>
      </c>
      <c r="L50" s="18">
        <f>IFERROR(INDEX('Detalles movimientos'!P$5:P$1021, MATCH(41, 'Detalles movimientos'!$W$5:$W$1021, 0)), "")</f>
        <v/>
      </c>
      <c r="M50" s="18">
        <f>IFERROR(INDEX('Detalles movimientos'!S$5:S$1021, MATCH(41, 'Detalles movimientos'!$W$5:$W$1021, 0)), "")</f>
        <v/>
      </c>
    </row>
    <row r="51">
      <c r="B51" s="119">
        <f>IFERROR(INDEX('Detalles movimientos'!C$5:C$1021, MATCH(42, 'Detalles movimientos'!$W$5:$W$1021, 0)), "")</f>
        <v/>
      </c>
      <c r="C51" s="18">
        <f>IFERROR(INDEX('Detalles movimientos'!D$5:D$1021, MATCH(42, 'Detalles movimientos'!$W$5:$W$1021, 0)), "")</f>
        <v/>
      </c>
      <c r="D51" s="19">
        <f>IFERROR(INDEX('Detalles movimientos'!E$5:E$1021, MATCH(42, 'Detalles movimientos'!$W$5:$W$1021, 0)), "")</f>
        <v/>
      </c>
      <c r="E51" s="19">
        <f>IFERROR(INDEX('Detalles movimientos'!F$5:F$1021, MATCH(42, 'Detalles movimientos'!$W$5:$W$1021, 0)), "")</f>
        <v/>
      </c>
      <c r="F51" s="18">
        <f>IFERROR(INDEX('Detalles movimientos'!G$5:G$1021, MATCH(42, 'Detalles movimientos'!$W$5:$W$1021, 0)), "")</f>
        <v/>
      </c>
      <c r="G51" s="120">
        <f>IFERROR(INDEX('Detalles movimientos'!H$5:H$1021, MATCH(42, 'Detalles movimientos'!$W$5:$W$1021, 0)), "")</f>
        <v/>
      </c>
      <c r="H51" s="121">
        <f>IFERROR(INDEX('Detalles movimientos'!I$5:I$1021, MATCH(42, 'Detalles movimientos'!$W$5:$W$1021, 0)), "")</f>
        <v/>
      </c>
      <c r="I51" s="120">
        <f>IFERROR(INDEX('Detalles movimientos'!M$5:M$1021, MATCH(42, 'Detalles movimientos'!$W$5:$W$1021, 0)), "")</f>
        <v/>
      </c>
      <c r="J51" s="19">
        <f>IFERROR(INDEX('Detalles movimientos'!N$5:N$1021, MATCH(42, 'Detalles movimientos'!$W$5:$W$1021, 0)), "")</f>
        <v/>
      </c>
      <c r="K51" s="120">
        <f>IFERROR(INDEX('Detalles movimientos'!O$5:O$1021, MATCH(42, 'Detalles movimientos'!$W$5:$W$1021, 0)), "")</f>
        <v/>
      </c>
      <c r="L51" s="18">
        <f>IFERROR(INDEX('Detalles movimientos'!P$5:P$1021, MATCH(42, 'Detalles movimientos'!$W$5:$W$1021, 0)), "")</f>
        <v/>
      </c>
      <c r="M51" s="18">
        <f>IFERROR(INDEX('Detalles movimientos'!S$5:S$1021, MATCH(42, 'Detalles movimientos'!$W$5:$W$1021, 0)), "")</f>
        <v/>
      </c>
    </row>
    <row r="52">
      <c r="B52" s="119">
        <f>IFERROR(INDEX('Detalles movimientos'!C$5:C$1021, MATCH(43, 'Detalles movimientos'!$W$5:$W$1021, 0)), "")</f>
        <v/>
      </c>
      <c r="C52" s="18">
        <f>IFERROR(INDEX('Detalles movimientos'!D$5:D$1021, MATCH(43, 'Detalles movimientos'!$W$5:$W$1021, 0)), "")</f>
        <v/>
      </c>
      <c r="D52" s="19">
        <f>IFERROR(INDEX('Detalles movimientos'!E$5:E$1021, MATCH(43, 'Detalles movimientos'!$W$5:$W$1021, 0)), "")</f>
        <v/>
      </c>
      <c r="E52" s="19">
        <f>IFERROR(INDEX('Detalles movimientos'!F$5:F$1021, MATCH(43, 'Detalles movimientos'!$W$5:$W$1021, 0)), "")</f>
        <v/>
      </c>
      <c r="F52" s="18">
        <f>IFERROR(INDEX('Detalles movimientos'!G$5:G$1021, MATCH(43, 'Detalles movimientos'!$W$5:$W$1021, 0)), "")</f>
        <v/>
      </c>
      <c r="G52" s="120">
        <f>IFERROR(INDEX('Detalles movimientos'!H$5:H$1021, MATCH(43, 'Detalles movimientos'!$W$5:$W$1021, 0)), "")</f>
        <v/>
      </c>
      <c r="H52" s="121">
        <f>IFERROR(INDEX('Detalles movimientos'!I$5:I$1021, MATCH(43, 'Detalles movimientos'!$W$5:$W$1021, 0)), "")</f>
        <v/>
      </c>
      <c r="I52" s="120">
        <f>IFERROR(INDEX('Detalles movimientos'!M$5:M$1021, MATCH(43, 'Detalles movimientos'!$W$5:$W$1021, 0)), "")</f>
        <v/>
      </c>
      <c r="J52" s="19">
        <f>IFERROR(INDEX('Detalles movimientos'!N$5:N$1021, MATCH(43, 'Detalles movimientos'!$W$5:$W$1021, 0)), "")</f>
        <v/>
      </c>
      <c r="K52" s="120">
        <f>IFERROR(INDEX('Detalles movimientos'!O$5:O$1021, MATCH(43, 'Detalles movimientos'!$W$5:$W$1021, 0)), "")</f>
        <v/>
      </c>
      <c r="L52" s="18">
        <f>IFERROR(INDEX('Detalles movimientos'!P$5:P$1021, MATCH(43, 'Detalles movimientos'!$W$5:$W$1021, 0)), "")</f>
        <v/>
      </c>
      <c r="M52" s="18">
        <f>IFERROR(INDEX('Detalles movimientos'!S$5:S$1021, MATCH(43, 'Detalles movimientos'!$W$5:$W$1021, 0)), "")</f>
        <v/>
      </c>
    </row>
    <row r="53">
      <c r="B53" s="119">
        <f>IFERROR(INDEX('Detalles movimientos'!C$5:C$1021, MATCH(44, 'Detalles movimientos'!$W$5:$W$1021, 0)), "")</f>
        <v/>
      </c>
      <c r="C53" s="18">
        <f>IFERROR(INDEX('Detalles movimientos'!D$5:D$1021, MATCH(44, 'Detalles movimientos'!$W$5:$W$1021, 0)), "")</f>
        <v/>
      </c>
      <c r="D53" s="19">
        <f>IFERROR(INDEX('Detalles movimientos'!E$5:E$1021, MATCH(44, 'Detalles movimientos'!$W$5:$W$1021, 0)), "")</f>
        <v/>
      </c>
      <c r="E53" s="19">
        <f>IFERROR(INDEX('Detalles movimientos'!F$5:F$1021, MATCH(44, 'Detalles movimientos'!$W$5:$W$1021, 0)), "")</f>
        <v/>
      </c>
      <c r="F53" s="18">
        <f>IFERROR(INDEX('Detalles movimientos'!G$5:G$1021, MATCH(44, 'Detalles movimientos'!$W$5:$W$1021, 0)), "")</f>
        <v/>
      </c>
      <c r="G53" s="120">
        <f>IFERROR(INDEX('Detalles movimientos'!H$5:H$1021, MATCH(44, 'Detalles movimientos'!$W$5:$W$1021, 0)), "")</f>
        <v/>
      </c>
      <c r="H53" s="121">
        <f>IFERROR(INDEX('Detalles movimientos'!I$5:I$1021, MATCH(44, 'Detalles movimientos'!$W$5:$W$1021, 0)), "")</f>
        <v/>
      </c>
      <c r="I53" s="120">
        <f>IFERROR(INDEX('Detalles movimientos'!M$5:M$1021, MATCH(44, 'Detalles movimientos'!$W$5:$W$1021, 0)), "")</f>
        <v/>
      </c>
      <c r="J53" s="19">
        <f>IFERROR(INDEX('Detalles movimientos'!N$5:N$1021, MATCH(44, 'Detalles movimientos'!$W$5:$W$1021, 0)), "")</f>
        <v/>
      </c>
      <c r="K53" s="120">
        <f>IFERROR(INDEX('Detalles movimientos'!O$5:O$1021, MATCH(44, 'Detalles movimientos'!$W$5:$W$1021, 0)), "")</f>
        <v/>
      </c>
      <c r="L53" s="18">
        <f>IFERROR(INDEX('Detalles movimientos'!P$5:P$1021, MATCH(44, 'Detalles movimientos'!$W$5:$W$1021, 0)), "")</f>
        <v/>
      </c>
      <c r="M53" s="18">
        <f>IFERROR(INDEX('Detalles movimientos'!S$5:S$1021, MATCH(44, 'Detalles movimientos'!$W$5:$W$1021, 0)), "")</f>
        <v/>
      </c>
    </row>
    <row r="54">
      <c r="B54" s="119">
        <f>IFERROR(INDEX('Detalles movimientos'!C$5:C$1021, MATCH(45, 'Detalles movimientos'!$W$5:$W$1021, 0)), "")</f>
        <v/>
      </c>
      <c r="C54" s="18">
        <f>IFERROR(INDEX('Detalles movimientos'!D$5:D$1021, MATCH(45, 'Detalles movimientos'!$W$5:$W$1021, 0)), "")</f>
        <v/>
      </c>
      <c r="D54" s="19">
        <f>IFERROR(INDEX('Detalles movimientos'!E$5:E$1021, MATCH(45, 'Detalles movimientos'!$W$5:$W$1021, 0)), "")</f>
        <v/>
      </c>
      <c r="E54" s="19">
        <f>IFERROR(INDEX('Detalles movimientos'!F$5:F$1021, MATCH(45, 'Detalles movimientos'!$W$5:$W$1021, 0)), "")</f>
        <v/>
      </c>
      <c r="F54" s="18">
        <f>IFERROR(INDEX('Detalles movimientos'!G$5:G$1021, MATCH(45, 'Detalles movimientos'!$W$5:$W$1021, 0)), "")</f>
        <v/>
      </c>
      <c r="G54" s="120">
        <f>IFERROR(INDEX('Detalles movimientos'!H$5:H$1021, MATCH(45, 'Detalles movimientos'!$W$5:$W$1021, 0)), "")</f>
        <v/>
      </c>
      <c r="H54" s="121">
        <f>IFERROR(INDEX('Detalles movimientos'!I$5:I$1021, MATCH(45, 'Detalles movimientos'!$W$5:$W$1021, 0)), "")</f>
        <v/>
      </c>
      <c r="I54" s="120">
        <f>IFERROR(INDEX('Detalles movimientos'!M$5:M$1021, MATCH(45, 'Detalles movimientos'!$W$5:$W$1021, 0)), "")</f>
        <v/>
      </c>
      <c r="J54" s="19">
        <f>IFERROR(INDEX('Detalles movimientos'!N$5:N$1021, MATCH(45, 'Detalles movimientos'!$W$5:$W$1021, 0)), "")</f>
        <v/>
      </c>
      <c r="K54" s="120">
        <f>IFERROR(INDEX('Detalles movimientos'!O$5:O$1021, MATCH(45, 'Detalles movimientos'!$W$5:$W$1021, 0)), "")</f>
        <v/>
      </c>
      <c r="L54" s="18">
        <f>IFERROR(INDEX('Detalles movimientos'!P$5:P$1021, MATCH(45, 'Detalles movimientos'!$W$5:$W$1021, 0)), "")</f>
        <v/>
      </c>
      <c r="M54" s="18">
        <f>IFERROR(INDEX('Detalles movimientos'!S$5:S$1021, MATCH(45, 'Detalles movimientos'!$W$5:$W$1021, 0)), "")</f>
        <v/>
      </c>
    </row>
    <row r="55">
      <c r="B55" s="119">
        <f>IFERROR(INDEX('Detalles movimientos'!C$5:C$1021, MATCH(46, 'Detalles movimientos'!$W$5:$W$1021, 0)), "")</f>
        <v/>
      </c>
      <c r="C55" s="18">
        <f>IFERROR(INDEX('Detalles movimientos'!D$5:D$1021, MATCH(46, 'Detalles movimientos'!$W$5:$W$1021, 0)), "")</f>
        <v/>
      </c>
      <c r="D55" s="19">
        <f>IFERROR(INDEX('Detalles movimientos'!E$5:E$1021, MATCH(46, 'Detalles movimientos'!$W$5:$W$1021, 0)), "")</f>
        <v/>
      </c>
      <c r="E55" s="19">
        <f>IFERROR(INDEX('Detalles movimientos'!F$5:F$1021, MATCH(46, 'Detalles movimientos'!$W$5:$W$1021, 0)), "")</f>
        <v/>
      </c>
      <c r="F55" s="18">
        <f>IFERROR(INDEX('Detalles movimientos'!G$5:G$1021, MATCH(46, 'Detalles movimientos'!$W$5:$W$1021, 0)), "")</f>
        <v/>
      </c>
      <c r="G55" s="120">
        <f>IFERROR(INDEX('Detalles movimientos'!H$5:H$1021, MATCH(46, 'Detalles movimientos'!$W$5:$W$1021, 0)), "")</f>
        <v/>
      </c>
      <c r="H55" s="121">
        <f>IFERROR(INDEX('Detalles movimientos'!I$5:I$1021, MATCH(46, 'Detalles movimientos'!$W$5:$W$1021, 0)), "")</f>
        <v/>
      </c>
      <c r="I55" s="120">
        <f>IFERROR(INDEX('Detalles movimientos'!M$5:M$1021, MATCH(46, 'Detalles movimientos'!$W$5:$W$1021, 0)), "")</f>
        <v/>
      </c>
      <c r="J55" s="19">
        <f>IFERROR(INDEX('Detalles movimientos'!N$5:N$1021, MATCH(46, 'Detalles movimientos'!$W$5:$W$1021, 0)), "")</f>
        <v/>
      </c>
      <c r="K55" s="120">
        <f>IFERROR(INDEX('Detalles movimientos'!O$5:O$1021, MATCH(46, 'Detalles movimientos'!$W$5:$W$1021, 0)), "")</f>
        <v/>
      </c>
      <c r="L55" s="18">
        <f>IFERROR(INDEX('Detalles movimientos'!P$5:P$1021, MATCH(46, 'Detalles movimientos'!$W$5:$W$1021, 0)), "")</f>
        <v/>
      </c>
      <c r="M55" s="18">
        <f>IFERROR(INDEX('Detalles movimientos'!S$5:S$1021, MATCH(46, 'Detalles movimientos'!$W$5:$W$1021, 0)), "")</f>
        <v/>
      </c>
    </row>
    <row r="56">
      <c r="B56" s="119">
        <f>IFERROR(INDEX('Detalles movimientos'!C$5:C$1021, MATCH(47, 'Detalles movimientos'!$W$5:$W$1021, 0)), "")</f>
        <v/>
      </c>
      <c r="C56" s="18">
        <f>IFERROR(INDEX('Detalles movimientos'!D$5:D$1021, MATCH(47, 'Detalles movimientos'!$W$5:$W$1021, 0)), "")</f>
        <v/>
      </c>
      <c r="D56" s="19">
        <f>IFERROR(INDEX('Detalles movimientos'!E$5:E$1021, MATCH(47, 'Detalles movimientos'!$W$5:$W$1021, 0)), "")</f>
        <v/>
      </c>
      <c r="E56" s="19">
        <f>IFERROR(INDEX('Detalles movimientos'!F$5:F$1021, MATCH(47, 'Detalles movimientos'!$W$5:$W$1021, 0)), "")</f>
        <v/>
      </c>
      <c r="F56" s="18">
        <f>IFERROR(INDEX('Detalles movimientos'!G$5:G$1021, MATCH(47, 'Detalles movimientos'!$W$5:$W$1021, 0)), "")</f>
        <v/>
      </c>
      <c r="G56" s="120">
        <f>IFERROR(INDEX('Detalles movimientos'!H$5:H$1021, MATCH(47, 'Detalles movimientos'!$W$5:$W$1021, 0)), "")</f>
        <v/>
      </c>
      <c r="H56" s="121">
        <f>IFERROR(INDEX('Detalles movimientos'!I$5:I$1021, MATCH(47, 'Detalles movimientos'!$W$5:$W$1021, 0)), "")</f>
        <v/>
      </c>
      <c r="I56" s="120">
        <f>IFERROR(INDEX('Detalles movimientos'!M$5:M$1021, MATCH(47, 'Detalles movimientos'!$W$5:$W$1021, 0)), "")</f>
        <v/>
      </c>
      <c r="J56" s="19">
        <f>IFERROR(INDEX('Detalles movimientos'!N$5:N$1021, MATCH(47, 'Detalles movimientos'!$W$5:$W$1021, 0)), "")</f>
        <v/>
      </c>
      <c r="K56" s="120">
        <f>IFERROR(INDEX('Detalles movimientos'!O$5:O$1021, MATCH(47, 'Detalles movimientos'!$W$5:$W$1021, 0)), "")</f>
        <v/>
      </c>
      <c r="L56" s="18">
        <f>IFERROR(INDEX('Detalles movimientos'!P$5:P$1021, MATCH(47, 'Detalles movimientos'!$W$5:$W$1021, 0)), "")</f>
        <v/>
      </c>
      <c r="M56" s="18">
        <f>IFERROR(INDEX('Detalles movimientos'!S$5:S$1021, MATCH(47, 'Detalles movimientos'!$W$5:$W$1021, 0)), "")</f>
        <v/>
      </c>
    </row>
    <row r="57">
      <c r="B57" s="119">
        <f>IFERROR(INDEX('Detalles movimientos'!C$5:C$1021, MATCH(48, 'Detalles movimientos'!$W$5:$W$1021, 0)), "")</f>
        <v/>
      </c>
      <c r="C57" s="18">
        <f>IFERROR(INDEX('Detalles movimientos'!D$5:D$1021, MATCH(48, 'Detalles movimientos'!$W$5:$W$1021, 0)), "")</f>
        <v/>
      </c>
      <c r="D57" s="19">
        <f>IFERROR(INDEX('Detalles movimientos'!E$5:E$1021, MATCH(48, 'Detalles movimientos'!$W$5:$W$1021, 0)), "")</f>
        <v/>
      </c>
      <c r="E57" s="19">
        <f>IFERROR(INDEX('Detalles movimientos'!F$5:F$1021, MATCH(48, 'Detalles movimientos'!$W$5:$W$1021, 0)), "")</f>
        <v/>
      </c>
      <c r="F57" s="18">
        <f>IFERROR(INDEX('Detalles movimientos'!G$5:G$1021, MATCH(48, 'Detalles movimientos'!$W$5:$W$1021, 0)), "")</f>
        <v/>
      </c>
      <c r="G57" s="120">
        <f>IFERROR(INDEX('Detalles movimientos'!H$5:H$1021, MATCH(48, 'Detalles movimientos'!$W$5:$W$1021, 0)), "")</f>
        <v/>
      </c>
      <c r="H57" s="121">
        <f>IFERROR(INDEX('Detalles movimientos'!I$5:I$1021, MATCH(48, 'Detalles movimientos'!$W$5:$W$1021, 0)), "")</f>
        <v/>
      </c>
      <c r="I57" s="120">
        <f>IFERROR(INDEX('Detalles movimientos'!M$5:M$1021, MATCH(48, 'Detalles movimientos'!$W$5:$W$1021, 0)), "")</f>
        <v/>
      </c>
      <c r="J57" s="19">
        <f>IFERROR(INDEX('Detalles movimientos'!N$5:N$1021, MATCH(48, 'Detalles movimientos'!$W$5:$W$1021, 0)), "")</f>
        <v/>
      </c>
      <c r="K57" s="120">
        <f>IFERROR(INDEX('Detalles movimientos'!O$5:O$1021, MATCH(48, 'Detalles movimientos'!$W$5:$W$1021, 0)), "")</f>
        <v/>
      </c>
      <c r="L57" s="18">
        <f>IFERROR(INDEX('Detalles movimientos'!P$5:P$1021, MATCH(48, 'Detalles movimientos'!$W$5:$W$1021, 0)), "")</f>
        <v/>
      </c>
      <c r="M57" s="18">
        <f>IFERROR(INDEX('Detalles movimientos'!S$5:S$1021, MATCH(48, 'Detalles movimientos'!$W$5:$W$1021, 0)), "")</f>
        <v/>
      </c>
    </row>
    <row r="58">
      <c r="B58" s="119">
        <f>IFERROR(INDEX('Detalles movimientos'!C$5:C$1021, MATCH(49, 'Detalles movimientos'!$W$5:$W$1021, 0)), "")</f>
        <v/>
      </c>
      <c r="C58" s="18">
        <f>IFERROR(INDEX('Detalles movimientos'!D$5:D$1021, MATCH(49, 'Detalles movimientos'!$W$5:$W$1021, 0)), "")</f>
        <v/>
      </c>
      <c r="D58" s="19">
        <f>IFERROR(INDEX('Detalles movimientos'!E$5:E$1021, MATCH(49, 'Detalles movimientos'!$W$5:$W$1021, 0)), "")</f>
        <v/>
      </c>
      <c r="E58" s="19">
        <f>IFERROR(INDEX('Detalles movimientos'!F$5:F$1021, MATCH(49, 'Detalles movimientos'!$W$5:$W$1021, 0)), "")</f>
        <v/>
      </c>
      <c r="F58" s="18">
        <f>IFERROR(INDEX('Detalles movimientos'!G$5:G$1021, MATCH(49, 'Detalles movimientos'!$W$5:$W$1021, 0)), "")</f>
        <v/>
      </c>
      <c r="G58" s="120">
        <f>IFERROR(INDEX('Detalles movimientos'!H$5:H$1021, MATCH(49, 'Detalles movimientos'!$W$5:$W$1021, 0)), "")</f>
        <v/>
      </c>
      <c r="H58" s="121">
        <f>IFERROR(INDEX('Detalles movimientos'!I$5:I$1021, MATCH(49, 'Detalles movimientos'!$W$5:$W$1021, 0)), "")</f>
        <v/>
      </c>
      <c r="I58" s="120">
        <f>IFERROR(INDEX('Detalles movimientos'!M$5:M$1021, MATCH(49, 'Detalles movimientos'!$W$5:$W$1021, 0)), "")</f>
        <v/>
      </c>
      <c r="J58" s="19">
        <f>IFERROR(INDEX('Detalles movimientos'!N$5:N$1021, MATCH(49, 'Detalles movimientos'!$W$5:$W$1021, 0)), "")</f>
        <v/>
      </c>
      <c r="K58" s="120">
        <f>IFERROR(INDEX('Detalles movimientos'!O$5:O$1021, MATCH(49, 'Detalles movimientos'!$W$5:$W$1021, 0)), "")</f>
        <v/>
      </c>
      <c r="L58" s="18">
        <f>IFERROR(INDEX('Detalles movimientos'!P$5:P$1021, MATCH(49, 'Detalles movimientos'!$W$5:$W$1021, 0)), "")</f>
        <v/>
      </c>
      <c r="M58" s="18">
        <f>IFERROR(INDEX('Detalles movimientos'!S$5:S$1021, MATCH(49, 'Detalles movimientos'!$W$5:$W$1021, 0)), "")</f>
        <v/>
      </c>
    </row>
    <row r="59">
      <c r="B59" s="119">
        <f>IFERROR(INDEX('Detalles movimientos'!C$5:C$1021, MATCH(50, 'Detalles movimientos'!$W$5:$W$1021, 0)), "")</f>
        <v/>
      </c>
      <c r="C59" s="18">
        <f>IFERROR(INDEX('Detalles movimientos'!D$5:D$1021, MATCH(50, 'Detalles movimientos'!$W$5:$W$1021, 0)), "")</f>
        <v/>
      </c>
      <c r="D59" s="19">
        <f>IFERROR(INDEX('Detalles movimientos'!E$5:E$1021, MATCH(50, 'Detalles movimientos'!$W$5:$W$1021, 0)), "")</f>
        <v/>
      </c>
      <c r="E59" s="19">
        <f>IFERROR(INDEX('Detalles movimientos'!F$5:F$1021, MATCH(50, 'Detalles movimientos'!$W$5:$W$1021, 0)), "")</f>
        <v/>
      </c>
      <c r="F59" s="18">
        <f>IFERROR(INDEX('Detalles movimientos'!G$5:G$1021, MATCH(50, 'Detalles movimientos'!$W$5:$W$1021, 0)), "")</f>
        <v/>
      </c>
      <c r="G59" s="120">
        <f>IFERROR(INDEX('Detalles movimientos'!H$5:H$1021, MATCH(50, 'Detalles movimientos'!$W$5:$W$1021, 0)), "")</f>
        <v/>
      </c>
      <c r="H59" s="121">
        <f>IFERROR(INDEX('Detalles movimientos'!I$5:I$1021, MATCH(50, 'Detalles movimientos'!$W$5:$W$1021, 0)), "")</f>
        <v/>
      </c>
      <c r="I59" s="120">
        <f>IFERROR(INDEX('Detalles movimientos'!M$5:M$1021, MATCH(50, 'Detalles movimientos'!$W$5:$W$1021, 0)), "")</f>
        <v/>
      </c>
      <c r="J59" s="19">
        <f>IFERROR(INDEX('Detalles movimientos'!N$5:N$1021, MATCH(50, 'Detalles movimientos'!$W$5:$W$1021, 0)), "")</f>
        <v/>
      </c>
      <c r="K59" s="120">
        <f>IFERROR(INDEX('Detalles movimientos'!O$5:O$1021, MATCH(50, 'Detalles movimientos'!$W$5:$W$1021, 0)), "")</f>
        <v/>
      </c>
      <c r="L59" s="18">
        <f>IFERROR(INDEX('Detalles movimientos'!P$5:P$1021, MATCH(50, 'Detalles movimientos'!$W$5:$W$1021, 0)), "")</f>
        <v/>
      </c>
      <c r="M59" s="18">
        <f>IFERROR(INDEX('Detalles movimientos'!S$5:S$1021, MATCH(50, 'Detalles movimientos'!$W$5:$W$1021, 0)), "")</f>
        <v/>
      </c>
    </row>
    <row r="60">
      <c r="B60" s="119">
        <f>IFERROR(INDEX('Detalles movimientos'!C$5:C$1021, MATCH(51, 'Detalles movimientos'!$W$5:$W$1021, 0)), "")</f>
        <v/>
      </c>
      <c r="C60" s="18">
        <f>IFERROR(INDEX('Detalles movimientos'!D$5:D$1021, MATCH(51, 'Detalles movimientos'!$W$5:$W$1021, 0)), "")</f>
        <v/>
      </c>
      <c r="D60" s="19">
        <f>IFERROR(INDEX('Detalles movimientos'!E$5:E$1021, MATCH(51, 'Detalles movimientos'!$W$5:$W$1021, 0)), "")</f>
        <v/>
      </c>
      <c r="E60" s="19">
        <f>IFERROR(INDEX('Detalles movimientos'!F$5:F$1021, MATCH(51, 'Detalles movimientos'!$W$5:$W$1021, 0)), "")</f>
        <v/>
      </c>
      <c r="F60" s="18">
        <f>IFERROR(INDEX('Detalles movimientos'!G$5:G$1021, MATCH(51, 'Detalles movimientos'!$W$5:$W$1021, 0)), "")</f>
        <v/>
      </c>
      <c r="G60" s="120">
        <f>IFERROR(INDEX('Detalles movimientos'!H$5:H$1021, MATCH(51, 'Detalles movimientos'!$W$5:$W$1021, 0)), "")</f>
        <v/>
      </c>
      <c r="H60" s="121">
        <f>IFERROR(INDEX('Detalles movimientos'!I$5:I$1021, MATCH(51, 'Detalles movimientos'!$W$5:$W$1021, 0)), "")</f>
        <v/>
      </c>
      <c r="I60" s="120">
        <f>IFERROR(INDEX('Detalles movimientos'!M$5:M$1021, MATCH(51, 'Detalles movimientos'!$W$5:$W$1021, 0)), "")</f>
        <v/>
      </c>
      <c r="J60" s="19">
        <f>IFERROR(INDEX('Detalles movimientos'!N$5:N$1021, MATCH(51, 'Detalles movimientos'!$W$5:$W$1021, 0)), "")</f>
        <v/>
      </c>
      <c r="K60" s="120">
        <f>IFERROR(INDEX('Detalles movimientos'!O$5:O$1021, MATCH(51, 'Detalles movimientos'!$W$5:$W$1021, 0)), "")</f>
        <v/>
      </c>
      <c r="L60" s="18">
        <f>IFERROR(INDEX('Detalles movimientos'!P$5:P$1021, MATCH(51, 'Detalles movimientos'!$W$5:$W$1021, 0)), "")</f>
        <v/>
      </c>
      <c r="M60" s="18">
        <f>IFERROR(INDEX('Detalles movimientos'!S$5:S$1021, MATCH(51, 'Detalles movimientos'!$W$5:$W$1021, 0)), "")</f>
        <v/>
      </c>
    </row>
    <row r="61">
      <c r="B61" s="119">
        <f>IFERROR(INDEX('Detalles movimientos'!C$5:C$1021, MATCH(52, 'Detalles movimientos'!$W$5:$W$1021, 0)), "")</f>
        <v/>
      </c>
      <c r="C61" s="18">
        <f>IFERROR(INDEX('Detalles movimientos'!D$5:D$1021, MATCH(52, 'Detalles movimientos'!$W$5:$W$1021, 0)), "")</f>
        <v/>
      </c>
      <c r="D61" s="19">
        <f>IFERROR(INDEX('Detalles movimientos'!E$5:E$1021, MATCH(52, 'Detalles movimientos'!$W$5:$W$1021, 0)), "")</f>
        <v/>
      </c>
      <c r="E61" s="19">
        <f>IFERROR(INDEX('Detalles movimientos'!F$5:F$1021, MATCH(52, 'Detalles movimientos'!$W$5:$W$1021, 0)), "")</f>
        <v/>
      </c>
      <c r="F61" s="18">
        <f>IFERROR(INDEX('Detalles movimientos'!G$5:G$1021, MATCH(52, 'Detalles movimientos'!$W$5:$W$1021, 0)), "")</f>
        <v/>
      </c>
      <c r="G61" s="120">
        <f>IFERROR(INDEX('Detalles movimientos'!H$5:H$1021, MATCH(52, 'Detalles movimientos'!$W$5:$W$1021, 0)), "")</f>
        <v/>
      </c>
      <c r="H61" s="121">
        <f>IFERROR(INDEX('Detalles movimientos'!I$5:I$1021, MATCH(52, 'Detalles movimientos'!$W$5:$W$1021, 0)), "")</f>
        <v/>
      </c>
      <c r="I61" s="120">
        <f>IFERROR(INDEX('Detalles movimientos'!M$5:M$1021, MATCH(52, 'Detalles movimientos'!$W$5:$W$1021, 0)), "")</f>
        <v/>
      </c>
      <c r="J61" s="19">
        <f>IFERROR(INDEX('Detalles movimientos'!N$5:N$1021, MATCH(52, 'Detalles movimientos'!$W$5:$W$1021, 0)), "")</f>
        <v/>
      </c>
      <c r="K61" s="120">
        <f>IFERROR(INDEX('Detalles movimientos'!O$5:O$1021, MATCH(52, 'Detalles movimientos'!$W$5:$W$1021, 0)), "")</f>
        <v/>
      </c>
      <c r="L61" s="18">
        <f>IFERROR(INDEX('Detalles movimientos'!P$5:P$1021, MATCH(52, 'Detalles movimientos'!$W$5:$W$1021, 0)), "")</f>
        <v/>
      </c>
      <c r="M61" s="18">
        <f>IFERROR(INDEX('Detalles movimientos'!S$5:S$1021, MATCH(52, 'Detalles movimientos'!$W$5:$W$1021, 0)), "")</f>
        <v/>
      </c>
    </row>
    <row r="62">
      <c r="B62" s="119">
        <f>IFERROR(INDEX('Detalles movimientos'!C$5:C$1021, MATCH(53, 'Detalles movimientos'!$W$5:$W$1021, 0)), "")</f>
        <v/>
      </c>
      <c r="C62" s="18">
        <f>IFERROR(INDEX('Detalles movimientos'!D$5:D$1021, MATCH(53, 'Detalles movimientos'!$W$5:$W$1021, 0)), "")</f>
        <v/>
      </c>
      <c r="D62" s="19">
        <f>IFERROR(INDEX('Detalles movimientos'!E$5:E$1021, MATCH(53, 'Detalles movimientos'!$W$5:$W$1021, 0)), "")</f>
        <v/>
      </c>
      <c r="E62" s="19">
        <f>IFERROR(INDEX('Detalles movimientos'!F$5:F$1021, MATCH(53, 'Detalles movimientos'!$W$5:$W$1021, 0)), "")</f>
        <v/>
      </c>
      <c r="F62" s="18">
        <f>IFERROR(INDEX('Detalles movimientos'!G$5:G$1021, MATCH(53, 'Detalles movimientos'!$W$5:$W$1021, 0)), "")</f>
        <v/>
      </c>
      <c r="G62" s="120">
        <f>IFERROR(INDEX('Detalles movimientos'!H$5:H$1021, MATCH(53, 'Detalles movimientos'!$W$5:$W$1021, 0)), "")</f>
        <v/>
      </c>
      <c r="H62" s="121">
        <f>IFERROR(INDEX('Detalles movimientos'!I$5:I$1021, MATCH(53, 'Detalles movimientos'!$W$5:$W$1021, 0)), "")</f>
        <v/>
      </c>
      <c r="I62" s="120">
        <f>IFERROR(INDEX('Detalles movimientos'!M$5:M$1021, MATCH(53, 'Detalles movimientos'!$W$5:$W$1021, 0)), "")</f>
        <v/>
      </c>
      <c r="J62" s="19">
        <f>IFERROR(INDEX('Detalles movimientos'!N$5:N$1021, MATCH(53, 'Detalles movimientos'!$W$5:$W$1021, 0)), "")</f>
        <v/>
      </c>
      <c r="K62" s="120">
        <f>IFERROR(INDEX('Detalles movimientos'!O$5:O$1021, MATCH(53, 'Detalles movimientos'!$W$5:$W$1021, 0)), "")</f>
        <v/>
      </c>
      <c r="L62" s="18">
        <f>IFERROR(INDEX('Detalles movimientos'!P$5:P$1021, MATCH(53, 'Detalles movimientos'!$W$5:$W$1021, 0)), "")</f>
        <v/>
      </c>
      <c r="M62" s="18">
        <f>IFERROR(INDEX('Detalles movimientos'!S$5:S$1021, MATCH(53, 'Detalles movimientos'!$W$5:$W$1021, 0)), "")</f>
        <v/>
      </c>
    </row>
    <row r="63">
      <c r="B63" s="119">
        <f>IFERROR(INDEX('Detalles movimientos'!C$5:C$1021, MATCH(54, 'Detalles movimientos'!$W$5:$W$1021, 0)), "")</f>
        <v/>
      </c>
      <c r="C63" s="18">
        <f>IFERROR(INDEX('Detalles movimientos'!D$5:D$1021, MATCH(54, 'Detalles movimientos'!$W$5:$W$1021, 0)), "")</f>
        <v/>
      </c>
      <c r="D63" s="19">
        <f>IFERROR(INDEX('Detalles movimientos'!E$5:E$1021, MATCH(54, 'Detalles movimientos'!$W$5:$W$1021, 0)), "")</f>
        <v/>
      </c>
      <c r="E63" s="19">
        <f>IFERROR(INDEX('Detalles movimientos'!F$5:F$1021, MATCH(54, 'Detalles movimientos'!$W$5:$W$1021, 0)), "")</f>
        <v/>
      </c>
      <c r="F63" s="18">
        <f>IFERROR(INDEX('Detalles movimientos'!G$5:G$1021, MATCH(54, 'Detalles movimientos'!$W$5:$W$1021, 0)), "")</f>
        <v/>
      </c>
      <c r="G63" s="120">
        <f>IFERROR(INDEX('Detalles movimientos'!H$5:H$1021, MATCH(54, 'Detalles movimientos'!$W$5:$W$1021, 0)), "")</f>
        <v/>
      </c>
      <c r="H63" s="121">
        <f>IFERROR(INDEX('Detalles movimientos'!I$5:I$1021, MATCH(54, 'Detalles movimientos'!$W$5:$W$1021, 0)), "")</f>
        <v/>
      </c>
      <c r="I63" s="120">
        <f>IFERROR(INDEX('Detalles movimientos'!M$5:M$1021, MATCH(54, 'Detalles movimientos'!$W$5:$W$1021, 0)), "")</f>
        <v/>
      </c>
      <c r="J63" s="19">
        <f>IFERROR(INDEX('Detalles movimientos'!N$5:N$1021, MATCH(54, 'Detalles movimientos'!$W$5:$W$1021, 0)), "")</f>
        <v/>
      </c>
      <c r="K63" s="120">
        <f>IFERROR(INDEX('Detalles movimientos'!O$5:O$1021, MATCH(54, 'Detalles movimientos'!$W$5:$W$1021, 0)), "")</f>
        <v/>
      </c>
      <c r="L63" s="18">
        <f>IFERROR(INDEX('Detalles movimientos'!P$5:P$1021, MATCH(54, 'Detalles movimientos'!$W$5:$W$1021, 0)), "")</f>
        <v/>
      </c>
      <c r="M63" s="18">
        <f>IFERROR(INDEX('Detalles movimientos'!S$5:S$1021, MATCH(54, 'Detalles movimientos'!$W$5:$W$1021, 0)), "")</f>
        <v/>
      </c>
    </row>
    <row r="64">
      <c r="B64" s="119">
        <f>IFERROR(INDEX('Detalles movimientos'!C$5:C$1021, MATCH(55, 'Detalles movimientos'!$W$5:$W$1021, 0)), "")</f>
        <v/>
      </c>
      <c r="C64" s="18">
        <f>IFERROR(INDEX('Detalles movimientos'!D$5:D$1021, MATCH(55, 'Detalles movimientos'!$W$5:$W$1021, 0)), "")</f>
        <v/>
      </c>
      <c r="D64" s="19">
        <f>IFERROR(INDEX('Detalles movimientos'!E$5:E$1021, MATCH(55, 'Detalles movimientos'!$W$5:$W$1021, 0)), "")</f>
        <v/>
      </c>
      <c r="E64" s="19">
        <f>IFERROR(INDEX('Detalles movimientos'!F$5:F$1021, MATCH(55, 'Detalles movimientos'!$W$5:$W$1021, 0)), "")</f>
        <v/>
      </c>
      <c r="F64" s="18">
        <f>IFERROR(INDEX('Detalles movimientos'!G$5:G$1021, MATCH(55, 'Detalles movimientos'!$W$5:$W$1021, 0)), "")</f>
        <v/>
      </c>
      <c r="G64" s="120">
        <f>IFERROR(INDEX('Detalles movimientos'!H$5:H$1021, MATCH(55, 'Detalles movimientos'!$W$5:$W$1021, 0)), "")</f>
        <v/>
      </c>
      <c r="H64" s="121">
        <f>IFERROR(INDEX('Detalles movimientos'!I$5:I$1021, MATCH(55, 'Detalles movimientos'!$W$5:$W$1021, 0)), "")</f>
        <v/>
      </c>
      <c r="I64" s="120">
        <f>IFERROR(INDEX('Detalles movimientos'!M$5:M$1021, MATCH(55, 'Detalles movimientos'!$W$5:$W$1021, 0)), "")</f>
        <v/>
      </c>
      <c r="J64" s="19">
        <f>IFERROR(INDEX('Detalles movimientos'!N$5:N$1021, MATCH(55, 'Detalles movimientos'!$W$5:$W$1021, 0)), "")</f>
        <v/>
      </c>
      <c r="K64" s="120">
        <f>IFERROR(INDEX('Detalles movimientos'!O$5:O$1021, MATCH(55, 'Detalles movimientos'!$W$5:$W$1021, 0)), "")</f>
        <v/>
      </c>
      <c r="L64" s="18">
        <f>IFERROR(INDEX('Detalles movimientos'!P$5:P$1021, MATCH(55, 'Detalles movimientos'!$W$5:$W$1021, 0)), "")</f>
        <v/>
      </c>
      <c r="M64" s="18">
        <f>IFERROR(INDEX('Detalles movimientos'!S$5:S$1021, MATCH(55, 'Detalles movimientos'!$W$5:$W$1021, 0)), "")</f>
        <v/>
      </c>
    </row>
    <row r="65">
      <c r="B65" s="119">
        <f>IFERROR(INDEX('Detalles movimientos'!C$5:C$1021, MATCH(56, 'Detalles movimientos'!$W$5:$W$1021, 0)), "")</f>
        <v/>
      </c>
      <c r="C65" s="18">
        <f>IFERROR(INDEX('Detalles movimientos'!D$5:D$1021, MATCH(56, 'Detalles movimientos'!$W$5:$W$1021, 0)), "")</f>
        <v/>
      </c>
      <c r="D65" s="19">
        <f>IFERROR(INDEX('Detalles movimientos'!E$5:E$1021, MATCH(56, 'Detalles movimientos'!$W$5:$W$1021, 0)), "")</f>
        <v/>
      </c>
      <c r="E65" s="19">
        <f>IFERROR(INDEX('Detalles movimientos'!F$5:F$1021, MATCH(56, 'Detalles movimientos'!$W$5:$W$1021, 0)), "")</f>
        <v/>
      </c>
      <c r="F65" s="18">
        <f>IFERROR(INDEX('Detalles movimientos'!G$5:G$1021, MATCH(56, 'Detalles movimientos'!$W$5:$W$1021, 0)), "")</f>
        <v/>
      </c>
      <c r="G65" s="120">
        <f>IFERROR(INDEX('Detalles movimientos'!H$5:H$1021, MATCH(56, 'Detalles movimientos'!$W$5:$W$1021, 0)), "")</f>
        <v/>
      </c>
      <c r="H65" s="121">
        <f>IFERROR(INDEX('Detalles movimientos'!I$5:I$1021, MATCH(56, 'Detalles movimientos'!$W$5:$W$1021, 0)), "")</f>
        <v/>
      </c>
      <c r="I65" s="120">
        <f>IFERROR(INDEX('Detalles movimientos'!M$5:M$1021, MATCH(56, 'Detalles movimientos'!$W$5:$W$1021, 0)), "")</f>
        <v/>
      </c>
      <c r="J65" s="19">
        <f>IFERROR(INDEX('Detalles movimientos'!N$5:N$1021, MATCH(56, 'Detalles movimientos'!$W$5:$W$1021, 0)), "")</f>
        <v/>
      </c>
      <c r="K65" s="120">
        <f>IFERROR(INDEX('Detalles movimientos'!O$5:O$1021, MATCH(56, 'Detalles movimientos'!$W$5:$W$1021, 0)), "")</f>
        <v/>
      </c>
      <c r="L65" s="18">
        <f>IFERROR(INDEX('Detalles movimientos'!P$5:P$1021, MATCH(56, 'Detalles movimientos'!$W$5:$W$1021, 0)), "")</f>
        <v/>
      </c>
      <c r="M65" s="18">
        <f>IFERROR(INDEX('Detalles movimientos'!S$5:S$1021, MATCH(56, 'Detalles movimientos'!$W$5:$W$1021, 0)), "")</f>
        <v/>
      </c>
    </row>
    <row r="66">
      <c r="B66" s="119">
        <f>IFERROR(INDEX('Detalles movimientos'!C$5:C$1021, MATCH(57, 'Detalles movimientos'!$W$5:$W$1021, 0)), "")</f>
        <v/>
      </c>
      <c r="C66" s="18">
        <f>IFERROR(INDEX('Detalles movimientos'!D$5:D$1021, MATCH(57, 'Detalles movimientos'!$W$5:$W$1021, 0)), "")</f>
        <v/>
      </c>
      <c r="D66" s="19">
        <f>IFERROR(INDEX('Detalles movimientos'!E$5:E$1021, MATCH(57, 'Detalles movimientos'!$W$5:$W$1021, 0)), "")</f>
        <v/>
      </c>
      <c r="E66" s="19">
        <f>IFERROR(INDEX('Detalles movimientos'!F$5:F$1021, MATCH(57, 'Detalles movimientos'!$W$5:$W$1021, 0)), "")</f>
        <v/>
      </c>
      <c r="F66" s="18">
        <f>IFERROR(INDEX('Detalles movimientos'!G$5:G$1021, MATCH(57, 'Detalles movimientos'!$W$5:$W$1021, 0)), "")</f>
        <v/>
      </c>
      <c r="G66" s="120">
        <f>IFERROR(INDEX('Detalles movimientos'!H$5:H$1021, MATCH(57, 'Detalles movimientos'!$W$5:$W$1021, 0)), "")</f>
        <v/>
      </c>
      <c r="H66" s="121">
        <f>IFERROR(INDEX('Detalles movimientos'!I$5:I$1021, MATCH(57, 'Detalles movimientos'!$W$5:$W$1021, 0)), "")</f>
        <v/>
      </c>
      <c r="I66" s="120">
        <f>IFERROR(INDEX('Detalles movimientos'!M$5:M$1021, MATCH(57, 'Detalles movimientos'!$W$5:$W$1021, 0)), "")</f>
        <v/>
      </c>
      <c r="J66" s="19">
        <f>IFERROR(INDEX('Detalles movimientos'!N$5:N$1021, MATCH(57, 'Detalles movimientos'!$W$5:$W$1021, 0)), "")</f>
        <v/>
      </c>
      <c r="K66" s="120">
        <f>IFERROR(INDEX('Detalles movimientos'!O$5:O$1021, MATCH(57, 'Detalles movimientos'!$W$5:$W$1021, 0)), "")</f>
        <v/>
      </c>
      <c r="L66" s="18">
        <f>IFERROR(INDEX('Detalles movimientos'!P$5:P$1021, MATCH(57, 'Detalles movimientos'!$W$5:$W$1021, 0)), "")</f>
        <v/>
      </c>
      <c r="M66" s="18">
        <f>IFERROR(INDEX('Detalles movimientos'!S$5:S$1021, MATCH(57, 'Detalles movimientos'!$W$5:$W$1021, 0)), "")</f>
        <v/>
      </c>
    </row>
    <row r="67">
      <c r="B67" s="119">
        <f>IFERROR(INDEX('Detalles movimientos'!C$5:C$1021, MATCH(58, 'Detalles movimientos'!$W$5:$W$1021, 0)), "")</f>
        <v/>
      </c>
      <c r="C67" s="18">
        <f>IFERROR(INDEX('Detalles movimientos'!D$5:D$1021, MATCH(58, 'Detalles movimientos'!$W$5:$W$1021, 0)), "")</f>
        <v/>
      </c>
      <c r="D67" s="19">
        <f>IFERROR(INDEX('Detalles movimientos'!E$5:E$1021, MATCH(58, 'Detalles movimientos'!$W$5:$W$1021, 0)), "")</f>
        <v/>
      </c>
      <c r="E67" s="19">
        <f>IFERROR(INDEX('Detalles movimientos'!F$5:F$1021, MATCH(58, 'Detalles movimientos'!$W$5:$W$1021, 0)), "")</f>
        <v/>
      </c>
      <c r="F67" s="18">
        <f>IFERROR(INDEX('Detalles movimientos'!G$5:G$1021, MATCH(58, 'Detalles movimientos'!$W$5:$W$1021, 0)), "")</f>
        <v/>
      </c>
      <c r="G67" s="120">
        <f>IFERROR(INDEX('Detalles movimientos'!H$5:H$1021, MATCH(58, 'Detalles movimientos'!$W$5:$W$1021, 0)), "")</f>
        <v/>
      </c>
      <c r="H67" s="121">
        <f>IFERROR(INDEX('Detalles movimientos'!I$5:I$1021, MATCH(58, 'Detalles movimientos'!$W$5:$W$1021, 0)), "")</f>
        <v/>
      </c>
      <c r="I67" s="120">
        <f>IFERROR(INDEX('Detalles movimientos'!M$5:M$1021, MATCH(58, 'Detalles movimientos'!$W$5:$W$1021, 0)), "")</f>
        <v/>
      </c>
      <c r="J67" s="19">
        <f>IFERROR(INDEX('Detalles movimientos'!N$5:N$1021, MATCH(58, 'Detalles movimientos'!$W$5:$W$1021, 0)), "")</f>
        <v/>
      </c>
      <c r="K67" s="120">
        <f>IFERROR(INDEX('Detalles movimientos'!O$5:O$1021, MATCH(58, 'Detalles movimientos'!$W$5:$W$1021, 0)), "")</f>
        <v/>
      </c>
      <c r="L67" s="18">
        <f>IFERROR(INDEX('Detalles movimientos'!P$5:P$1021, MATCH(58, 'Detalles movimientos'!$W$5:$W$1021, 0)), "")</f>
        <v/>
      </c>
      <c r="M67" s="18">
        <f>IFERROR(INDEX('Detalles movimientos'!S$5:S$1021, MATCH(58, 'Detalles movimientos'!$W$5:$W$1021, 0)), "")</f>
        <v/>
      </c>
    </row>
    <row r="68">
      <c r="B68" s="119">
        <f>IFERROR(INDEX('Detalles movimientos'!C$5:C$1021, MATCH(59, 'Detalles movimientos'!$W$5:$W$1021, 0)), "")</f>
        <v/>
      </c>
      <c r="C68" s="18">
        <f>IFERROR(INDEX('Detalles movimientos'!D$5:D$1021, MATCH(59, 'Detalles movimientos'!$W$5:$W$1021, 0)), "")</f>
        <v/>
      </c>
      <c r="D68" s="19">
        <f>IFERROR(INDEX('Detalles movimientos'!E$5:E$1021, MATCH(59, 'Detalles movimientos'!$W$5:$W$1021, 0)), "")</f>
        <v/>
      </c>
      <c r="E68" s="19">
        <f>IFERROR(INDEX('Detalles movimientos'!F$5:F$1021, MATCH(59, 'Detalles movimientos'!$W$5:$W$1021, 0)), "")</f>
        <v/>
      </c>
      <c r="F68" s="18">
        <f>IFERROR(INDEX('Detalles movimientos'!G$5:G$1021, MATCH(59, 'Detalles movimientos'!$W$5:$W$1021, 0)), "")</f>
        <v/>
      </c>
      <c r="G68" s="120">
        <f>IFERROR(INDEX('Detalles movimientos'!H$5:H$1021, MATCH(59, 'Detalles movimientos'!$W$5:$W$1021, 0)), "")</f>
        <v/>
      </c>
      <c r="H68" s="121">
        <f>IFERROR(INDEX('Detalles movimientos'!I$5:I$1021, MATCH(59, 'Detalles movimientos'!$W$5:$W$1021, 0)), "")</f>
        <v/>
      </c>
      <c r="I68" s="120">
        <f>IFERROR(INDEX('Detalles movimientos'!M$5:M$1021, MATCH(59, 'Detalles movimientos'!$W$5:$W$1021, 0)), "")</f>
        <v/>
      </c>
      <c r="J68" s="19">
        <f>IFERROR(INDEX('Detalles movimientos'!N$5:N$1021, MATCH(59, 'Detalles movimientos'!$W$5:$W$1021, 0)), "")</f>
        <v/>
      </c>
      <c r="K68" s="120">
        <f>IFERROR(INDEX('Detalles movimientos'!O$5:O$1021, MATCH(59, 'Detalles movimientos'!$W$5:$W$1021, 0)), "")</f>
        <v/>
      </c>
      <c r="L68" s="18">
        <f>IFERROR(INDEX('Detalles movimientos'!P$5:P$1021, MATCH(59, 'Detalles movimientos'!$W$5:$W$1021, 0)), "")</f>
        <v/>
      </c>
      <c r="M68" s="18">
        <f>IFERROR(INDEX('Detalles movimientos'!S$5:S$1021, MATCH(59, 'Detalles movimientos'!$W$5:$W$1021, 0)), "")</f>
        <v/>
      </c>
    </row>
    <row r="69">
      <c r="B69" s="119">
        <f>IFERROR(INDEX('Detalles movimientos'!C$5:C$1021, MATCH(60, 'Detalles movimientos'!$W$5:$W$1021, 0)), "")</f>
        <v/>
      </c>
      <c r="C69" s="18">
        <f>IFERROR(INDEX('Detalles movimientos'!D$5:D$1021, MATCH(60, 'Detalles movimientos'!$W$5:$W$1021, 0)), "")</f>
        <v/>
      </c>
      <c r="D69" s="19">
        <f>IFERROR(INDEX('Detalles movimientos'!E$5:E$1021, MATCH(60, 'Detalles movimientos'!$W$5:$W$1021, 0)), "")</f>
        <v/>
      </c>
      <c r="E69" s="19">
        <f>IFERROR(INDEX('Detalles movimientos'!F$5:F$1021, MATCH(60, 'Detalles movimientos'!$W$5:$W$1021, 0)), "")</f>
        <v/>
      </c>
      <c r="F69" s="18">
        <f>IFERROR(INDEX('Detalles movimientos'!G$5:G$1021, MATCH(60, 'Detalles movimientos'!$W$5:$W$1021, 0)), "")</f>
        <v/>
      </c>
      <c r="G69" s="120">
        <f>IFERROR(INDEX('Detalles movimientos'!H$5:H$1021, MATCH(60, 'Detalles movimientos'!$W$5:$W$1021, 0)), "")</f>
        <v/>
      </c>
      <c r="H69" s="121">
        <f>IFERROR(INDEX('Detalles movimientos'!I$5:I$1021, MATCH(60, 'Detalles movimientos'!$W$5:$W$1021, 0)), "")</f>
        <v/>
      </c>
      <c r="I69" s="120">
        <f>IFERROR(INDEX('Detalles movimientos'!M$5:M$1021, MATCH(60, 'Detalles movimientos'!$W$5:$W$1021, 0)), "")</f>
        <v/>
      </c>
      <c r="J69" s="19">
        <f>IFERROR(INDEX('Detalles movimientos'!N$5:N$1021, MATCH(60, 'Detalles movimientos'!$W$5:$W$1021, 0)), "")</f>
        <v/>
      </c>
      <c r="K69" s="120">
        <f>IFERROR(INDEX('Detalles movimientos'!O$5:O$1021, MATCH(60, 'Detalles movimientos'!$W$5:$W$1021, 0)), "")</f>
        <v/>
      </c>
      <c r="L69" s="18">
        <f>IFERROR(INDEX('Detalles movimientos'!P$5:P$1021, MATCH(60, 'Detalles movimientos'!$W$5:$W$1021, 0)), "")</f>
        <v/>
      </c>
      <c r="M69" s="18">
        <f>IFERROR(INDEX('Detalles movimientos'!S$5:S$1021, MATCH(60, 'Detalles movimientos'!$W$5:$W$1021, 0)), "")</f>
        <v/>
      </c>
    </row>
    <row r="70">
      <c r="B70" s="119">
        <f>IFERROR(INDEX('Detalles movimientos'!C$5:C$1021, MATCH(61, 'Detalles movimientos'!$W$5:$W$1021, 0)), "")</f>
        <v/>
      </c>
      <c r="C70" s="18">
        <f>IFERROR(INDEX('Detalles movimientos'!D$5:D$1021, MATCH(61, 'Detalles movimientos'!$W$5:$W$1021, 0)), "")</f>
        <v/>
      </c>
      <c r="D70" s="19">
        <f>IFERROR(INDEX('Detalles movimientos'!E$5:E$1021, MATCH(61, 'Detalles movimientos'!$W$5:$W$1021, 0)), "")</f>
        <v/>
      </c>
      <c r="E70" s="19">
        <f>IFERROR(INDEX('Detalles movimientos'!F$5:F$1021, MATCH(61, 'Detalles movimientos'!$W$5:$W$1021, 0)), "")</f>
        <v/>
      </c>
      <c r="F70" s="18">
        <f>IFERROR(INDEX('Detalles movimientos'!G$5:G$1021, MATCH(61, 'Detalles movimientos'!$W$5:$W$1021, 0)), "")</f>
        <v/>
      </c>
      <c r="G70" s="120">
        <f>IFERROR(INDEX('Detalles movimientos'!H$5:H$1021, MATCH(61, 'Detalles movimientos'!$W$5:$W$1021, 0)), "")</f>
        <v/>
      </c>
      <c r="H70" s="121">
        <f>IFERROR(INDEX('Detalles movimientos'!I$5:I$1021, MATCH(61, 'Detalles movimientos'!$W$5:$W$1021, 0)), "")</f>
        <v/>
      </c>
      <c r="I70" s="120">
        <f>IFERROR(INDEX('Detalles movimientos'!M$5:M$1021, MATCH(61, 'Detalles movimientos'!$W$5:$W$1021, 0)), "")</f>
        <v/>
      </c>
      <c r="J70" s="19">
        <f>IFERROR(INDEX('Detalles movimientos'!N$5:N$1021, MATCH(61, 'Detalles movimientos'!$W$5:$W$1021, 0)), "")</f>
        <v/>
      </c>
      <c r="K70" s="120">
        <f>IFERROR(INDEX('Detalles movimientos'!O$5:O$1021, MATCH(61, 'Detalles movimientos'!$W$5:$W$1021, 0)), "")</f>
        <v/>
      </c>
      <c r="L70" s="18">
        <f>IFERROR(INDEX('Detalles movimientos'!P$5:P$1021, MATCH(61, 'Detalles movimientos'!$W$5:$W$1021, 0)), "")</f>
        <v/>
      </c>
      <c r="M70" s="18">
        <f>IFERROR(INDEX('Detalles movimientos'!S$5:S$1021, MATCH(61, 'Detalles movimientos'!$W$5:$W$1021, 0)), "")</f>
        <v/>
      </c>
    </row>
    <row r="71">
      <c r="B71" s="119">
        <f>IFERROR(INDEX('Detalles movimientos'!C$5:C$1021, MATCH(62, 'Detalles movimientos'!$W$5:$W$1021, 0)), "")</f>
        <v/>
      </c>
      <c r="C71" s="18">
        <f>IFERROR(INDEX('Detalles movimientos'!D$5:D$1021, MATCH(62, 'Detalles movimientos'!$W$5:$W$1021, 0)), "")</f>
        <v/>
      </c>
      <c r="D71" s="19">
        <f>IFERROR(INDEX('Detalles movimientos'!E$5:E$1021, MATCH(62, 'Detalles movimientos'!$W$5:$W$1021, 0)), "")</f>
        <v/>
      </c>
      <c r="E71" s="19">
        <f>IFERROR(INDEX('Detalles movimientos'!F$5:F$1021, MATCH(62, 'Detalles movimientos'!$W$5:$W$1021, 0)), "")</f>
        <v/>
      </c>
      <c r="F71" s="18">
        <f>IFERROR(INDEX('Detalles movimientos'!G$5:G$1021, MATCH(62, 'Detalles movimientos'!$W$5:$W$1021, 0)), "")</f>
        <v/>
      </c>
      <c r="G71" s="120">
        <f>IFERROR(INDEX('Detalles movimientos'!H$5:H$1021, MATCH(62, 'Detalles movimientos'!$W$5:$W$1021, 0)), "")</f>
        <v/>
      </c>
      <c r="H71" s="121">
        <f>IFERROR(INDEX('Detalles movimientos'!I$5:I$1021, MATCH(62, 'Detalles movimientos'!$W$5:$W$1021, 0)), "")</f>
        <v/>
      </c>
      <c r="I71" s="120">
        <f>IFERROR(INDEX('Detalles movimientos'!M$5:M$1021, MATCH(62, 'Detalles movimientos'!$W$5:$W$1021, 0)), "")</f>
        <v/>
      </c>
      <c r="J71" s="19">
        <f>IFERROR(INDEX('Detalles movimientos'!N$5:N$1021, MATCH(62, 'Detalles movimientos'!$W$5:$W$1021, 0)), "")</f>
        <v/>
      </c>
      <c r="K71" s="120">
        <f>IFERROR(INDEX('Detalles movimientos'!O$5:O$1021, MATCH(62, 'Detalles movimientos'!$W$5:$W$1021, 0)), "")</f>
        <v/>
      </c>
      <c r="L71" s="18">
        <f>IFERROR(INDEX('Detalles movimientos'!P$5:P$1021, MATCH(62, 'Detalles movimientos'!$W$5:$W$1021, 0)), "")</f>
        <v/>
      </c>
      <c r="M71" s="18">
        <f>IFERROR(INDEX('Detalles movimientos'!S$5:S$1021, MATCH(62, 'Detalles movimientos'!$W$5:$W$1021, 0)), "")</f>
        <v/>
      </c>
    </row>
    <row r="72">
      <c r="B72" s="119">
        <f>IFERROR(INDEX('Detalles movimientos'!C$5:C$1021, MATCH(63, 'Detalles movimientos'!$W$5:$W$1021, 0)), "")</f>
        <v/>
      </c>
      <c r="C72" s="18">
        <f>IFERROR(INDEX('Detalles movimientos'!D$5:D$1021, MATCH(63, 'Detalles movimientos'!$W$5:$W$1021, 0)), "")</f>
        <v/>
      </c>
      <c r="D72" s="19">
        <f>IFERROR(INDEX('Detalles movimientos'!E$5:E$1021, MATCH(63, 'Detalles movimientos'!$W$5:$W$1021, 0)), "")</f>
        <v/>
      </c>
      <c r="E72" s="19">
        <f>IFERROR(INDEX('Detalles movimientos'!F$5:F$1021, MATCH(63, 'Detalles movimientos'!$W$5:$W$1021, 0)), "")</f>
        <v/>
      </c>
      <c r="F72" s="18">
        <f>IFERROR(INDEX('Detalles movimientos'!G$5:G$1021, MATCH(63, 'Detalles movimientos'!$W$5:$W$1021, 0)), "")</f>
        <v/>
      </c>
      <c r="G72" s="120">
        <f>IFERROR(INDEX('Detalles movimientos'!H$5:H$1021, MATCH(63, 'Detalles movimientos'!$W$5:$W$1021, 0)), "")</f>
        <v/>
      </c>
      <c r="H72" s="121">
        <f>IFERROR(INDEX('Detalles movimientos'!I$5:I$1021, MATCH(63, 'Detalles movimientos'!$W$5:$W$1021, 0)), "")</f>
        <v/>
      </c>
      <c r="I72" s="120">
        <f>IFERROR(INDEX('Detalles movimientos'!M$5:M$1021, MATCH(63, 'Detalles movimientos'!$W$5:$W$1021, 0)), "")</f>
        <v/>
      </c>
      <c r="J72" s="19">
        <f>IFERROR(INDEX('Detalles movimientos'!N$5:N$1021, MATCH(63, 'Detalles movimientos'!$W$5:$W$1021, 0)), "")</f>
        <v/>
      </c>
      <c r="K72" s="120">
        <f>IFERROR(INDEX('Detalles movimientos'!O$5:O$1021, MATCH(63, 'Detalles movimientos'!$W$5:$W$1021, 0)), "")</f>
        <v/>
      </c>
      <c r="L72" s="18">
        <f>IFERROR(INDEX('Detalles movimientos'!P$5:P$1021, MATCH(63, 'Detalles movimientos'!$W$5:$W$1021, 0)), "")</f>
        <v/>
      </c>
      <c r="M72" s="18">
        <f>IFERROR(INDEX('Detalles movimientos'!S$5:S$1021, MATCH(63, 'Detalles movimientos'!$W$5:$W$1021, 0)), "")</f>
        <v/>
      </c>
    </row>
    <row r="73">
      <c r="B73" s="119">
        <f>IFERROR(INDEX('Detalles movimientos'!C$5:C$1021, MATCH(64, 'Detalles movimientos'!$W$5:$W$1021, 0)), "")</f>
        <v/>
      </c>
      <c r="C73" s="18">
        <f>IFERROR(INDEX('Detalles movimientos'!D$5:D$1021, MATCH(64, 'Detalles movimientos'!$W$5:$W$1021, 0)), "")</f>
        <v/>
      </c>
      <c r="D73" s="19">
        <f>IFERROR(INDEX('Detalles movimientos'!E$5:E$1021, MATCH(64, 'Detalles movimientos'!$W$5:$W$1021, 0)), "")</f>
        <v/>
      </c>
      <c r="E73" s="19">
        <f>IFERROR(INDEX('Detalles movimientos'!F$5:F$1021, MATCH(64, 'Detalles movimientos'!$W$5:$W$1021, 0)), "")</f>
        <v/>
      </c>
      <c r="F73" s="18">
        <f>IFERROR(INDEX('Detalles movimientos'!G$5:G$1021, MATCH(64, 'Detalles movimientos'!$W$5:$W$1021, 0)), "")</f>
        <v/>
      </c>
      <c r="G73" s="120">
        <f>IFERROR(INDEX('Detalles movimientos'!H$5:H$1021, MATCH(64, 'Detalles movimientos'!$W$5:$W$1021, 0)), "")</f>
        <v/>
      </c>
      <c r="H73" s="121">
        <f>IFERROR(INDEX('Detalles movimientos'!I$5:I$1021, MATCH(64, 'Detalles movimientos'!$W$5:$W$1021, 0)), "")</f>
        <v/>
      </c>
      <c r="I73" s="120">
        <f>IFERROR(INDEX('Detalles movimientos'!M$5:M$1021, MATCH(64, 'Detalles movimientos'!$W$5:$W$1021, 0)), "")</f>
        <v/>
      </c>
      <c r="J73" s="19">
        <f>IFERROR(INDEX('Detalles movimientos'!N$5:N$1021, MATCH(64, 'Detalles movimientos'!$W$5:$W$1021, 0)), "")</f>
        <v/>
      </c>
      <c r="K73" s="120">
        <f>IFERROR(INDEX('Detalles movimientos'!O$5:O$1021, MATCH(64, 'Detalles movimientos'!$W$5:$W$1021, 0)), "")</f>
        <v/>
      </c>
      <c r="L73" s="18">
        <f>IFERROR(INDEX('Detalles movimientos'!P$5:P$1021, MATCH(64, 'Detalles movimientos'!$W$5:$W$1021, 0)), "")</f>
        <v/>
      </c>
      <c r="M73" s="18">
        <f>IFERROR(INDEX('Detalles movimientos'!S$5:S$1021, MATCH(64, 'Detalles movimientos'!$W$5:$W$1021, 0)), "")</f>
        <v/>
      </c>
    </row>
    <row r="74">
      <c r="B74" s="119">
        <f>IFERROR(INDEX('Detalles movimientos'!C$5:C$1021, MATCH(65, 'Detalles movimientos'!$W$5:$W$1021, 0)), "")</f>
        <v/>
      </c>
      <c r="C74" s="18">
        <f>IFERROR(INDEX('Detalles movimientos'!D$5:D$1021, MATCH(65, 'Detalles movimientos'!$W$5:$W$1021, 0)), "")</f>
        <v/>
      </c>
      <c r="D74" s="19">
        <f>IFERROR(INDEX('Detalles movimientos'!E$5:E$1021, MATCH(65, 'Detalles movimientos'!$W$5:$W$1021, 0)), "")</f>
        <v/>
      </c>
      <c r="E74" s="19">
        <f>IFERROR(INDEX('Detalles movimientos'!F$5:F$1021, MATCH(65, 'Detalles movimientos'!$W$5:$W$1021, 0)), "")</f>
        <v/>
      </c>
      <c r="F74" s="18">
        <f>IFERROR(INDEX('Detalles movimientos'!G$5:G$1021, MATCH(65, 'Detalles movimientos'!$W$5:$W$1021, 0)), "")</f>
        <v/>
      </c>
      <c r="G74" s="120">
        <f>IFERROR(INDEX('Detalles movimientos'!H$5:H$1021, MATCH(65, 'Detalles movimientos'!$W$5:$W$1021, 0)), "")</f>
        <v/>
      </c>
      <c r="H74" s="121">
        <f>IFERROR(INDEX('Detalles movimientos'!I$5:I$1021, MATCH(65, 'Detalles movimientos'!$W$5:$W$1021, 0)), "")</f>
        <v/>
      </c>
      <c r="I74" s="120">
        <f>IFERROR(INDEX('Detalles movimientos'!M$5:M$1021, MATCH(65, 'Detalles movimientos'!$W$5:$W$1021, 0)), "")</f>
        <v/>
      </c>
      <c r="J74" s="19">
        <f>IFERROR(INDEX('Detalles movimientos'!N$5:N$1021, MATCH(65, 'Detalles movimientos'!$W$5:$W$1021, 0)), "")</f>
        <v/>
      </c>
      <c r="K74" s="120">
        <f>IFERROR(INDEX('Detalles movimientos'!O$5:O$1021, MATCH(65, 'Detalles movimientos'!$W$5:$W$1021, 0)), "")</f>
        <v/>
      </c>
      <c r="L74" s="18">
        <f>IFERROR(INDEX('Detalles movimientos'!P$5:P$1021, MATCH(65, 'Detalles movimientos'!$W$5:$W$1021, 0)), "")</f>
        <v/>
      </c>
      <c r="M74" s="18">
        <f>IFERROR(INDEX('Detalles movimientos'!S$5:S$1021, MATCH(65, 'Detalles movimientos'!$W$5:$W$1021, 0)), "")</f>
        <v/>
      </c>
    </row>
    <row r="75">
      <c r="B75" s="119">
        <f>IFERROR(INDEX('Detalles movimientos'!C$5:C$1021, MATCH(66, 'Detalles movimientos'!$W$5:$W$1021, 0)), "")</f>
        <v/>
      </c>
      <c r="C75" s="18">
        <f>IFERROR(INDEX('Detalles movimientos'!D$5:D$1021, MATCH(66, 'Detalles movimientos'!$W$5:$W$1021, 0)), "")</f>
        <v/>
      </c>
      <c r="D75" s="19">
        <f>IFERROR(INDEX('Detalles movimientos'!E$5:E$1021, MATCH(66, 'Detalles movimientos'!$W$5:$W$1021, 0)), "")</f>
        <v/>
      </c>
      <c r="E75" s="19">
        <f>IFERROR(INDEX('Detalles movimientos'!F$5:F$1021, MATCH(66, 'Detalles movimientos'!$W$5:$W$1021, 0)), "")</f>
        <v/>
      </c>
      <c r="F75" s="18">
        <f>IFERROR(INDEX('Detalles movimientos'!G$5:G$1021, MATCH(66, 'Detalles movimientos'!$W$5:$W$1021, 0)), "")</f>
        <v/>
      </c>
      <c r="G75" s="120">
        <f>IFERROR(INDEX('Detalles movimientos'!H$5:H$1021, MATCH(66, 'Detalles movimientos'!$W$5:$W$1021, 0)), "")</f>
        <v/>
      </c>
      <c r="H75" s="121">
        <f>IFERROR(INDEX('Detalles movimientos'!I$5:I$1021, MATCH(66, 'Detalles movimientos'!$W$5:$W$1021, 0)), "")</f>
        <v/>
      </c>
      <c r="I75" s="120">
        <f>IFERROR(INDEX('Detalles movimientos'!M$5:M$1021, MATCH(66, 'Detalles movimientos'!$W$5:$W$1021, 0)), "")</f>
        <v/>
      </c>
      <c r="J75" s="19">
        <f>IFERROR(INDEX('Detalles movimientos'!N$5:N$1021, MATCH(66, 'Detalles movimientos'!$W$5:$W$1021, 0)), "")</f>
        <v/>
      </c>
      <c r="K75" s="120">
        <f>IFERROR(INDEX('Detalles movimientos'!O$5:O$1021, MATCH(66, 'Detalles movimientos'!$W$5:$W$1021, 0)), "")</f>
        <v/>
      </c>
      <c r="L75" s="18">
        <f>IFERROR(INDEX('Detalles movimientos'!P$5:P$1021, MATCH(66, 'Detalles movimientos'!$W$5:$W$1021, 0)), "")</f>
        <v/>
      </c>
      <c r="M75" s="18">
        <f>IFERROR(INDEX('Detalles movimientos'!S$5:S$1021, MATCH(66, 'Detalles movimientos'!$W$5:$W$1021, 0)), "")</f>
        <v/>
      </c>
    </row>
    <row r="76">
      <c r="B76" s="119">
        <f>IFERROR(INDEX('Detalles movimientos'!C$5:C$1021, MATCH(67, 'Detalles movimientos'!$W$5:$W$1021, 0)), "")</f>
        <v/>
      </c>
      <c r="C76" s="18">
        <f>IFERROR(INDEX('Detalles movimientos'!D$5:D$1021, MATCH(67, 'Detalles movimientos'!$W$5:$W$1021, 0)), "")</f>
        <v/>
      </c>
      <c r="D76" s="19">
        <f>IFERROR(INDEX('Detalles movimientos'!E$5:E$1021, MATCH(67, 'Detalles movimientos'!$W$5:$W$1021, 0)), "")</f>
        <v/>
      </c>
      <c r="E76" s="19">
        <f>IFERROR(INDEX('Detalles movimientos'!F$5:F$1021, MATCH(67, 'Detalles movimientos'!$W$5:$W$1021, 0)), "")</f>
        <v/>
      </c>
      <c r="F76" s="18">
        <f>IFERROR(INDEX('Detalles movimientos'!G$5:G$1021, MATCH(67, 'Detalles movimientos'!$W$5:$W$1021, 0)), "")</f>
        <v/>
      </c>
      <c r="G76" s="120">
        <f>IFERROR(INDEX('Detalles movimientos'!H$5:H$1021, MATCH(67, 'Detalles movimientos'!$W$5:$W$1021, 0)), "")</f>
        <v/>
      </c>
      <c r="H76" s="121">
        <f>IFERROR(INDEX('Detalles movimientos'!I$5:I$1021, MATCH(67, 'Detalles movimientos'!$W$5:$W$1021, 0)), "")</f>
        <v/>
      </c>
      <c r="I76" s="120">
        <f>IFERROR(INDEX('Detalles movimientos'!M$5:M$1021, MATCH(67, 'Detalles movimientos'!$W$5:$W$1021, 0)), "")</f>
        <v/>
      </c>
      <c r="J76" s="19">
        <f>IFERROR(INDEX('Detalles movimientos'!N$5:N$1021, MATCH(67, 'Detalles movimientos'!$W$5:$W$1021, 0)), "")</f>
        <v/>
      </c>
      <c r="K76" s="120">
        <f>IFERROR(INDEX('Detalles movimientos'!O$5:O$1021, MATCH(67, 'Detalles movimientos'!$W$5:$W$1021, 0)), "")</f>
        <v/>
      </c>
      <c r="L76" s="18">
        <f>IFERROR(INDEX('Detalles movimientos'!P$5:P$1021, MATCH(67, 'Detalles movimientos'!$W$5:$W$1021, 0)), "")</f>
        <v/>
      </c>
      <c r="M76" s="18">
        <f>IFERROR(INDEX('Detalles movimientos'!S$5:S$1021, MATCH(67, 'Detalles movimientos'!$W$5:$W$1021, 0)), "")</f>
        <v/>
      </c>
    </row>
    <row r="77">
      <c r="B77" s="119">
        <f>IFERROR(INDEX('Detalles movimientos'!C$5:C$1021, MATCH(68, 'Detalles movimientos'!$W$5:$W$1021, 0)), "")</f>
        <v/>
      </c>
      <c r="C77" s="18">
        <f>IFERROR(INDEX('Detalles movimientos'!D$5:D$1021, MATCH(68, 'Detalles movimientos'!$W$5:$W$1021, 0)), "")</f>
        <v/>
      </c>
      <c r="D77" s="19">
        <f>IFERROR(INDEX('Detalles movimientos'!E$5:E$1021, MATCH(68, 'Detalles movimientos'!$W$5:$W$1021, 0)), "")</f>
        <v/>
      </c>
      <c r="E77" s="19">
        <f>IFERROR(INDEX('Detalles movimientos'!F$5:F$1021, MATCH(68, 'Detalles movimientos'!$W$5:$W$1021, 0)), "")</f>
        <v/>
      </c>
      <c r="F77" s="18">
        <f>IFERROR(INDEX('Detalles movimientos'!G$5:G$1021, MATCH(68, 'Detalles movimientos'!$W$5:$W$1021, 0)), "")</f>
        <v/>
      </c>
      <c r="G77" s="120">
        <f>IFERROR(INDEX('Detalles movimientos'!H$5:H$1021, MATCH(68, 'Detalles movimientos'!$W$5:$W$1021, 0)), "")</f>
        <v/>
      </c>
      <c r="H77" s="121">
        <f>IFERROR(INDEX('Detalles movimientos'!I$5:I$1021, MATCH(68, 'Detalles movimientos'!$W$5:$W$1021, 0)), "")</f>
        <v/>
      </c>
      <c r="I77" s="120">
        <f>IFERROR(INDEX('Detalles movimientos'!M$5:M$1021, MATCH(68, 'Detalles movimientos'!$W$5:$W$1021, 0)), "")</f>
        <v/>
      </c>
      <c r="J77" s="19">
        <f>IFERROR(INDEX('Detalles movimientos'!N$5:N$1021, MATCH(68, 'Detalles movimientos'!$W$5:$W$1021, 0)), "")</f>
        <v/>
      </c>
      <c r="K77" s="120">
        <f>IFERROR(INDEX('Detalles movimientos'!O$5:O$1021, MATCH(68, 'Detalles movimientos'!$W$5:$W$1021, 0)), "")</f>
        <v/>
      </c>
      <c r="L77" s="18">
        <f>IFERROR(INDEX('Detalles movimientos'!P$5:P$1021, MATCH(68, 'Detalles movimientos'!$W$5:$W$1021, 0)), "")</f>
        <v/>
      </c>
      <c r="M77" s="18">
        <f>IFERROR(INDEX('Detalles movimientos'!S$5:S$1021, MATCH(68, 'Detalles movimientos'!$W$5:$W$1021, 0)), "")</f>
        <v/>
      </c>
    </row>
    <row r="78">
      <c r="B78" s="119">
        <f>IFERROR(INDEX('Detalles movimientos'!C$5:C$1021, MATCH(69, 'Detalles movimientos'!$W$5:$W$1021, 0)), "")</f>
        <v/>
      </c>
      <c r="C78" s="18">
        <f>IFERROR(INDEX('Detalles movimientos'!D$5:D$1021, MATCH(69, 'Detalles movimientos'!$W$5:$W$1021, 0)), "")</f>
        <v/>
      </c>
      <c r="D78" s="19">
        <f>IFERROR(INDEX('Detalles movimientos'!E$5:E$1021, MATCH(69, 'Detalles movimientos'!$W$5:$W$1021, 0)), "")</f>
        <v/>
      </c>
      <c r="E78" s="19">
        <f>IFERROR(INDEX('Detalles movimientos'!F$5:F$1021, MATCH(69, 'Detalles movimientos'!$W$5:$W$1021, 0)), "")</f>
        <v/>
      </c>
      <c r="F78" s="18">
        <f>IFERROR(INDEX('Detalles movimientos'!G$5:G$1021, MATCH(69, 'Detalles movimientos'!$W$5:$W$1021, 0)), "")</f>
        <v/>
      </c>
      <c r="G78" s="120">
        <f>IFERROR(INDEX('Detalles movimientos'!H$5:H$1021, MATCH(69, 'Detalles movimientos'!$W$5:$W$1021, 0)), "")</f>
        <v/>
      </c>
      <c r="H78" s="121">
        <f>IFERROR(INDEX('Detalles movimientos'!I$5:I$1021, MATCH(69, 'Detalles movimientos'!$W$5:$W$1021, 0)), "")</f>
        <v/>
      </c>
      <c r="I78" s="120">
        <f>IFERROR(INDEX('Detalles movimientos'!M$5:M$1021, MATCH(69, 'Detalles movimientos'!$W$5:$W$1021, 0)), "")</f>
        <v/>
      </c>
      <c r="J78" s="19">
        <f>IFERROR(INDEX('Detalles movimientos'!N$5:N$1021, MATCH(69, 'Detalles movimientos'!$W$5:$W$1021, 0)), "")</f>
        <v/>
      </c>
      <c r="K78" s="120">
        <f>IFERROR(INDEX('Detalles movimientos'!O$5:O$1021, MATCH(69, 'Detalles movimientos'!$W$5:$W$1021, 0)), "")</f>
        <v/>
      </c>
      <c r="L78" s="18">
        <f>IFERROR(INDEX('Detalles movimientos'!P$5:P$1021, MATCH(69, 'Detalles movimientos'!$W$5:$W$1021, 0)), "")</f>
        <v/>
      </c>
      <c r="M78" s="18">
        <f>IFERROR(INDEX('Detalles movimientos'!S$5:S$1021, MATCH(69, 'Detalles movimientos'!$W$5:$W$1021, 0)), "")</f>
        <v/>
      </c>
    </row>
    <row r="79">
      <c r="B79" s="119">
        <f>IFERROR(INDEX('Detalles movimientos'!C$5:C$1021, MATCH(70, 'Detalles movimientos'!$W$5:$W$1021, 0)), "")</f>
        <v/>
      </c>
      <c r="C79" s="18">
        <f>IFERROR(INDEX('Detalles movimientos'!D$5:D$1021, MATCH(70, 'Detalles movimientos'!$W$5:$W$1021, 0)), "")</f>
        <v/>
      </c>
      <c r="D79" s="19">
        <f>IFERROR(INDEX('Detalles movimientos'!E$5:E$1021, MATCH(70, 'Detalles movimientos'!$W$5:$W$1021, 0)), "")</f>
        <v/>
      </c>
      <c r="E79" s="19">
        <f>IFERROR(INDEX('Detalles movimientos'!F$5:F$1021, MATCH(70, 'Detalles movimientos'!$W$5:$W$1021, 0)), "")</f>
        <v/>
      </c>
      <c r="F79" s="18">
        <f>IFERROR(INDEX('Detalles movimientos'!G$5:G$1021, MATCH(70, 'Detalles movimientos'!$W$5:$W$1021, 0)), "")</f>
        <v/>
      </c>
      <c r="G79" s="120">
        <f>IFERROR(INDEX('Detalles movimientos'!H$5:H$1021, MATCH(70, 'Detalles movimientos'!$W$5:$W$1021, 0)), "")</f>
        <v/>
      </c>
      <c r="H79" s="121">
        <f>IFERROR(INDEX('Detalles movimientos'!I$5:I$1021, MATCH(70, 'Detalles movimientos'!$W$5:$W$1021, 0)), "")</f>
        <v/>
      </c>
      <c r="I79" s="120">
        <f>IFERROR(INDEX('Detalles movimientos'!M$5:M$1021, MATCH(70, 'Detalles movimientos'!$W$5:$W$1021, 0)), "")</f>
        <v/>
      </c>
      <c r="J79" s="19">
        <f>IFERROR(INDEX('Detalles movimientos'!N$5:N$1021, MATCH(70, 'Detalles movimientos'!$W$5:$W$1021, 0)), "")</f>
        <v/>
      </c>
      <c r="K79" s="120">
        <f>IFERROR(INDEX('Detalles movimientos'!O$5:O$1021, MATCH(70, 'Detalles movimientos'!$W$5:$W$1021, 0)), "")</f>
        <v/>
      </c>
      <c r="L79" s="18">
        <f>IFERROR(INDEX('Detalles movimientos'!P$5:P$1021, MATCH(70, 'Detalles movimientos'!$W$5:$W$1021, 0)), "")</f>
        <v/>
      </c>
      <c r="M79" s="18">
        <f>IFERROR(INDEX('Detalles movimientos'!S$5:S$1021, MATCH(70, 'Detalles movimientos'!$W$5:$W$1021, 0)), "")</f>
        <v/>
      </c>
    </row>
    <row r="80">
      <c r="B80" s="119">
        <f>IFERROR(INDEX('Detalles movimientos'!C$5:C$1021, MATCH(71, 'Detalles movimientos'!$W$5:$W$1021, 0)), "")</f>
        <v/>
      </c>
      <c r="C80" s="18">
        <f>IFERROR(INDEX('Detalles movimientos'!D$5:D$1021, MATCH(71, 'Detalles movimientos'!$W$5:$W$1021, 0)), "")</f>
        <v/>
      </c>
      <c r="D80" s="19">
        <f>IFERROR(INDEX('Detalles movimientos'!E$5:E$1021, MATCH(71, 'Detalles movimientos'!$W$5:$W$1021, 0)), "")</f>
        <v/>
      </c>
      <c r="E80" s="19">
        <f>IFERROR(INDEX('Detalles movimientos'!F$5:F$1021, MATCH(71, 'Detalles movimientos'!$W$5:$W$1021, 0)), "")</f>
        <v/>
      </c>
      <c r="F80" s="18">
        <f>IFERROR(INDEX('Detalles movimientos'!G$5:G$1021, MATCH(71, 'Detalles movimientos'!$W$5:$W$1021, 0)), "")</f>
        <v/>
      </c>
      <c r="G80" s="120">
        <f>IFERROR(INDEX('Detalles movimientos'!H$5:H$1021, MATCH(71, 'Detalles movimientos'!$W$5:$W$1021, 0)), "")</f>
        <v/>
      </c>
      <c r="H80" s="121">
        <f>IFERROR(INDEX('Detalles movimientos'!I$5:I$1021, MATCH(71, 'Detalles movimientos'!$W$5:$W$1021, 0)), "")</f>
        <v/>
      </c>
      <c r="I80" s="120">
        <f>IFERROR(INDEX('Detalles movimientos'!M$5:M$1021, MATCH(71, 'Detalles movimientos'!$W$5:$W$1021, 0)), "")</f>
        <v/>
      </c>
      <c r="J80" s="19">
        <f>IFERROR(INDEX('Detalles movimientos'!N$5:N$1021, MATCH(71, 'Detalles movimientos'!$W$5:$W$1021, 0)), "")</f>
        <v/>
      </c>
      <c r="K80" s="120">
        <f>IFERROR(INDEX('Detalles movimientos'!O$5:O$1021, MATCH(71, 'Detalles movimientos'!$W$5:$W$1021, 0)), "")</f>
        <v/>
      </c>
      <c r="L80" s="18">
        <f>IFERROR(INDEX('Detalles movimientos'!P$5:P$1021, MATCH(71, 'Detalles movimientos'!$W$5:$W$1021, 0)), "")</f>
        <v/>
      </c>
      <c r="M80" s="18">
        <f>IFERROR(INDEX('Detalles movimientos'!S$5:S$1021, MATCH(71, 'Detalles movimientos'!$W$5:$W$1021, 0)), "")</f>
        <v/>
      </c>
    </row>
    <row r="81">
      <c r="B81" s="119">
        <f>IFERROR(INDEX('Detalles movimientos'!C$5:C$1021, MATCH(72, 'Detalles movimientos'!$W$5:$W$1021, 0)), "")</f>
        <v/>
      </c>
      <c r="C81" s="18">
        <f>IFERROR(INDEX('Detalles movimientos'!D$5:D$1021, MATCH(72, 'Detalles movimientos'!$W$5:$W$1021, 0)), "")</f>
        <v/>
      </c>
      <c r="D81" s="19">
        <f>IFERROR(INDEX('Detalles movimientos'!E$5:E$1021, MATCH(72, 'Detalles movimientos'!$W$5:$W$1021, 0)), "")</f>
        <v/>
      </c>
      <c r="E81" s="19">
        <f>IFERROR(INDEX('Detalles movimientos'!F$5:F$1021, MATCH(72, 'Detalles movimientos'!$W$5:$W$1021, 0)), "")</f>
        <v/>
      </c>
      <c r="F81" s="18">
        <f>IFERROR(INDEX('Detalles movimientos'!G$5:G$1021, MATCH(72, 'Detalles movimientos'!$W$5:$W$1021, 0)), "")</f>
        <v/>
      </c>
      <c r="G81" s="120">
        <f>IFERROR(INDEX('Detalles movimientos'!H$5:H$1021, MATCH(72, 'Detalles movimientos'!$W$5:$W$1021, 0)), "")</f>
        <v/>
      </c>
      <c r="H81" s="121">
        <f>IFERROR(INDEX('Detalles movimientos'!I$5:I$1021, MATCH(72, 'Detalles movimientos'!$W$5:$W$1021, 0)), "")</f>
        <v/>
      </c>
      <c r="I81" s="120">
        <f>IFERROR(INDEX('Detalles movimientos'!M$5:M$1021, MATCH(72, 'Detalles movimientos'!$W$5:$W$1021, 0)), "")</f>
        <v/>
      </c>
      <c r="J81" s="19">
        <f>IFERROR(INDEX('Detalles movimientos'!N$5:N$1021, MATCH(72, 'Detalles movimientos'!$W$5:$W$1021, 0)), "")</f>
        <v/>
      </c>
      <c r="K81" s="120">
        <f>IFERROR(INDEX('Detalles movimientos'!O$5:O$1021, MATCH(72, 'Detalles movimientos'!$W$5:$W$1021, 0)), "")</f>
        <v/>
      </c>
      <c r="L81" s="18">
        <f>IFERROR(INDEX('Detalles movimientos'!P$5:P$1021, MATCH(72, 'Detalles movimientos'!$W$5:$W$1021, 0)), "")</f>
        <v/>
      </c>
      <c r="M81" s="18">
        <f>IFERROR(INDEX('Detalles movimientos'!S$5:S$1021, MATCH(72, 'Detalles movimientos'!$W$5:$W$1021, 0)), "")</f>
        <v/>
      </c>
    </row>
    <row r="82">
      <c r="B82" s="119">
        <f>IFERROR(INDEX('Detalles movimientos'!C$5:C$1021, MATCH(73, 'Detalles movimientos'!$W$5:$W$1021, 0)), "")</f>
        <v/>
      </c>
      <c r="C82" s="18">
        <f>IFERROR(INDEX('Detalles movimientos'!D$5:D$1021, MATCH(73, 'Detalles movimientos'!$W$5:$W$1021, 0)), "")</f>
        <v/>
      </c>
      <c r="D82" s="19">
        <f>IFERROR(INDEX('Detalles movimientos'!E$5:E$1021, MATCH(73, 'Detalles movimientos'!$W$5:$W$1021, 0)), "")</f>
        <v/>
      </c>
      <c r="E82" s="19">
        <f>IFERROR(INDEX('Detalles movimientos'!F$5:F$1021, MATCH(73, 'Detalles movimientos'!$W$5:$W$1021, 0)), "")</f>
        <v/>
      </c>
      <c r="F82" s="18">
        <f>IFERROR(INDEX('Detalles movimientos'!G$5:G$1021, MATCH(73, 'Detalles movimientos'!$W$5:$W$1021, 0)), "")</f>
        <v/>
      </c>
      <c r="G82" s="120">
        <f>IFERROR(INDEX('Detalles movimientos'!H$5:H$1021, MATCH(73, 'Detalles movimientos'!$W$5:$W$1021, 0)), "")</f>
        <v/>
      </c>
      <c r="H82" s="121">
        <f>IFERROR(INDEX('Detalles movimientos'!I$5:I$1021, MATCH(73, 'Detalles movimientos'!$W$5:$W$1021, 0)), "")</f>
        <v/>
      </c>
      <c r="I82" s="120">
        <f>IFERROR(INDEX('Detalles movimientos'!M$5:M$1021, MATCH(73, 'Detalles movimientos'!$W$5:$W$1021, 0)), "")</f>
        <v/>
      </c>
      <c r="J82" s="19">
        <f>IFERROR(INDEX('Detalles movimientos'!N$5:N$1021, MATCH(73, 'Detalles movimientos'!$W$5:$W$1021, 0)), "")</f>
        <v/>
      </c>
      <c r="K82" s="120">
        <f>IFERROR(INDEX('Detalles movimientos'!O$5:O$1021, MATCH(73, 'Detalles movimientos'!$W$5:$W$1021, 0)), "")</f>
        <v/>
      </c>
      <c r="L82" s="18">
        <f>IFERROR(INDEX('Detalles movimientos'!P$5:P$1021, MATCH(73, 'Detalles movimientos'!$W$5:$W$1021, 0)), "")</f>
        <v/>
      </c>
      <c r="M82" s="18">
        <f>IFERROR(INDEX('Detalles movimientos'!S$5:S$1021, MATCH(73, 'Detalles movimientos'!$W$5:$W$1021, 0)), "")</f>
        <v/>
      </c>
    </row>
    <row r="83">
      <c r="B83" s="119">
        <f>IFERROR(INDEX('Detalles movimientos'!C$5:C$1021, MATCH(74, 'Detalles movimientos'!$W$5:$W$1021, 0)), "")</f>
        <v/>
      </c>
      <c r="C83" s="18">
        <f>IFERROR(INDEX('Detalles movimientos'!D$5:D$1021, MATCH(74, 'Detalles movimientos'!$W$5:$W$1021, 0)), "")</f>
        <v/>
      </c>
      <c r="D83" s="19">
        <f>IFERROR(INDEX('Detalles movimientos'!E$5:E$1021, MATCH(74, 'Detalles movimientos'!$W$5:$W$1021, 0)), "")</f>
        <v/>
      </c>
      <c r="E83" s="19">
        <f>IFERROR(INDEX('Detalles movimientos'!F$5:F$1021, MATCH(74, 'Detalles movimientos'!$W$5:$W$1021, 0)), "")</f>
        <v/>
      </c>
      <c r="F83" s="18">
        <f>IFERROR(INDEX('Detalles movimientos'!G$5:G$1021, MATCH(74, 'Detalles movimientos'!$W$5:$W$1021, 0)), "")</f>
        <v/>
      </c>
      <c r="G83" s="120">
        <f>IFERROR(INDEX('Detalles movimientos'!H$5:H$1021, MATCH(74, 'Detalles movimientos'!$W$5:$W$1021, 0)), "")</f>
        <v/>
      </c>
      <c r="H83" s="121">
        <f>IFERROR(INDEX('Detalles movimientos'!I$5:I$1021, MATCH(74, 'Detalles movimientos'!$W$5:$W$1021, 0)), "")</f>
        <v/>
      </c>
      <c r="I83" s="120">
        <f>IFERROR(INDEX('Detalles movimientos'!M$5:M$1021, MATCH(74, 'Detalles movimientos'!$W$5:$W$1021, 0)), "")</f>
        <v/>
      </c>
      <c r="J83" s="19">
        <f>IFERROR(INDEX('Detalles movimientos'!N$5:N$1021, MATCH(74, 'Detalles movimientos'!$W$5:$W$1021, 0)), "")</f>
        <v/>
      </c>
      <c r="K83" s="120">
        <f>IFERROR(INDEX('Detalles movimientos'!O$5:O$1021, MATCH(74, 'Detalles movimientos'!$W$5:$W$1021, 0)), "")</f>
        <v/>
      </c>
      <c r="L83" s="18">
        <f>IFERROR(INDEX('Detalles movimientos'!P$5:P$1021, MATCH(74, 'Detalles movimientos'!$W$5:$W$1021, 0)), "")</f>
        <v/>
      </c>
      <c r="M83" s="18">
        <f>IFERROR(INDEX('Detalles movimientos'!S$5:S$1021, MATCH(74, 'Detalles movimientos'!$W$5:$W$1021, 0)), "")</f>
        <v/>
      </c>
    </row>
    <row r="84">
      <c r="B84" s="119">
        <f>IFERROR(INDEX('Detalles movimientos'!C$5:C$1021, MATCH(75, 'Detalles movimientos'!$W$5:$W$1021, 0)), "")</f>
        <v/>
      </c>
      <c r="C84" s="18">
        <f>IFERROR(INDEX('Detalles movimientos'!D$5:D$1021, MATCH(75, 'Detalles movimientos'!$W$5:$W$1021, 0)), "")</f>
        <v/>
      </c>
      <c r="D84" s="19">
        <f>IFERROR(INDEX('Detalles movimientos'!E$5:E$1021, MATCH(75, 'Detalles movimientos'!$W$5:$W$1021, 0)), "")</f>
        <v/>
      </c>
      <c r="E84" s="19">
        <f>IFERROR(INDEX('Detalles movimientos'!F$5:F$1021, MATCH(75, 'Detalles movimientos'!$W$5:$W$1021, 0)), "")</f>
        <v/>
      </c>
      <c r="F84" s="18">
        <f>IFERROR(INDEX('Detalles movimientos'!G$5:G$1021, MATCH(75, 'Detalles movimientos'!$W$5:$W$1021, 0)), "")</f>
        <v/>
      </c>
      <c r="G84" s="120">
        <f>IFERROR(INDEX('Detalles movimientos'!H$5:H$1021, MATCH(75, 'Detalles movimientos'!$W$5:$W$1021, 0)), "")</f>
        <v/>
      </c>
      <c r="H84" s="121">
        <f>IFERROR(INDEX('Detalles movimientos'!I$5:I$1021, MATCH(75, 'Detalles movimientos'!$W$5:$W$1021, 0)), "")</f>
        <v/>
      </c>
      <c r="I84" s="120">
        <f>IFERROR(INDEX('Detalles movimientos'!M$5:M$1021, MATCH(75, 'Detalles movimientos'!$W$5:$W$1021, 0)), "")</f>
        <v/>
      </c>
      <c r="J84" s="19">
        <f>IFERROR(INDEX('Detalles movimientos'!N$5:N$1021, MATCH(75, 'Detalles movimientos'!$W$5:$W$1021, 0)), "")</f>
        <v/>
      </c>
      <c r="K84" s="120">
        <f>IFERROR(INDEX('Detalles movimientos'!O$5:O$1021, MATCH(75, 'Detalles movimientos'!$W$5:$W$1021, 0)), "")</f>
        <v/>
      </c>
      <c r="L84" s="18">
        <f>IFERROR(INDEX('Detalles movimientos'!P$5:P$1021, MATCH(75, 'Detalles movimientos'!$W$5:$W$1021, 0)), "")</f>
        <v/>
      </c>
      <c r="M84" s="18">
        <f>IFERROR(INDEX('Detalles movimientos'!S$5:S$1021, MATCH(75, 'Detalles movimientos'!$W$5:$W$1021, 0)), "")</f>
        <v/>
      </c>
    </row>
    <row r="85">
      <c r="B85" s="119">
        <f>IFERROR(INDEX('Detalles movimientos'!C$5:C$1021, MATCH(76, 'Detalles movimientos'!$W$5:$W$1021, 0)), "")</f>
        <v/>
      </c>
      <c r="C85" s="18">
        <f>IFERROR(INDEX('Detalles movimientos'!D$5:D$1021, MATCH(76, 'Detalles movimientos'!$W$5:$W$1021, 0)), "")</f>
        <v/>
      </c>
      <c r="D85" s="19">
        <f>IFERROR(INDEX('Detalles movimientos'!E$5:E$1021, MATCH(76, 'Detalles movimientos'!$W$5:$W$1021, 0)), "")</f>
        <v/>
      </c>
      <c r="E85" s="19">
        <f>IFERROR(INDEX('Detalles movimientos'!F$5:F$1021, MATCH(76, 'Detalles movimientos'!$W$5:$W$1021, 0)), "")</f>
        <v/>
      </c>
      <c r="F85" s="18">
        <f>IFERROR(INDEX('Detalles movimientos'!G$5:G$1021, MATCH(76, 'Detalles movimientos'!$W$5:$W$1021, 0)), "")</f>
        <v/>
      </c>
      <c r="G85" s="120">
        <f>IFERROR(INDEX('Detalles movimientos'!H$5:H$1021, MATCH(76, 'Detalles movimientos'!$W$5:$W$1021, 0)), "")</f>
        <v/>
      </c>
      <c r="H85" s="121">
        <f>IFERROR(INDEX('Detalles movimientos'!I$5:I$1021, MATCH(76, 'Detalles movimientos'!$W$5:$W$1021, 0)), "")</f>
        <v/>
      </c>
      <c r="I85" s="120">
        <f>IFERROR(INDEX('Detalles movimientos'!M$5:M$1021, MATCH(76, 'Detalles movimientos'!$W$5:$W$1021, 0)), "")</f>
        <v/>
      </c>
      <c r="J85" s="19">
        <f>IFERROR(INDEX('Detalles movimientos'!N$5:N$1021, MATCH(76, 'Detalles movimientos'!$W$5:$W$1021, 0)), "")</f>
        <v/>
      </c>
      <c r="K85" s="120">
        <f>IFERROR(INDEX('Detalles movimientos'!O$5:O$1021, MATCH(76, 'Detalles movimientos'!$W$5:$W$1021, 0)), "")</f>
        <v/>
      </c>
      <c r="L85" s="18">
        <f>IFERROR(INDEX('Detalles movimientos'!P$5:P$1021, MATCH(76, 'Detalles movimientos'!$W$5:$W$1021, 0)), "")</f>
        <v/>
      </c>
      <c r="M85" s="18">
        <f>IFERROR(INDEX('Detalles movimientos'!S$5:S$1021, MATCH(76, 'Detalles movimientos'!$W$5:$W$1021, 0)), "")</f>
        <v/>
      </c>
    </row>
    <row r="86">
      <c r="B86" s="119">
        <f>IFERROR(INDEX('Detalles movimientos'!C$5:C$1021, MATCH(77, 'Detalles movimientos'!$W$5:$W$1021, 0)), "")</f>
        <v/>
      </c>
      <c r="C86" s="18">
        <f>IFERROR(INDEX('Detalles movimientos'!D$5:D$1021, MATCH(77, 'Detalles movimientos'!$W$5:$W$1021, 0)), "")</f>
        <v/>
      </c>
      <c r="D86" s="19">
        <f>IFERROR(INDEX('Detalles movimientos'!E$5:E$1021, MATCH(77, 'Detalles movimientos'!$W$5:$W$1021, 0)), "")</f>
        <v/>
      </c>
      <c r="E86" s="19">
        <f>IFERROR(INDEX('Detalles movimientos'!F$5:F$1021, MATCH(77, 'Detalles movimientos'!$W$5:$W$1021, 0)), "")</f>
        <v/>
      </c>
      <c r="F86" s="18">
        <f>IFERROR(INDEX('Detalles movimientos'!G$5:G$1021, MATCH(77, 'Detalles movimientos'!$W$5:$W$1021, 0)), "")</f>
        <v/>
      </c>
      <c r="G86" s="120">
        <f>IFERROR(INDEX('Detalles movimientos'!H$5:H$1021, MATCH(77, 'Detalles movimientos'!$W$5:$W$1021, 0)), "")</f>
        <v/>
      </c>
      <c r="H86" s="121">
        <f>IFERROR(INDEX('Detalles movimientos'!I$5:I$1021, MATCH(77, 'Detalles movimientos'!$W$5:$W$1021, 0)), "")</f>
        <v/>
      </c>
      <c r="I86" s="120">
        <f>IFERROR(INDEX('Detalles movimientos'!M$5:M$1021, MATCH(77, 'Detalles movimientos'!$W$5:$W$1021, 0)), "")</f>
        <v/>
      </c>
      <c r="J86" s="19">
        <f>IFERROR(INDEX('Detalles movimientos'!N$5:N$1021, MATCH(77, 'Detalles movimientos'!$W$5:$W$1021, 0)), "")</f>
        <v/>
      </c>
      <c r="K86" s="120">
        <f>IFERROR(INDEX('Detalles movimientos'!O$5:O$1021, MATCH(77, 'Detalles movimientos'!$W$5:$W$1021, 0)), "")</f>
        <v/>
      </c>
      <c r="L86" s="18">
        <f>IFERROR(INDEX('Detalles movimientos'!P$5:P$1021, MATCH(77, 'Detalles movimientos'!$W$5:$W$1021, 0)), "")</f>
        <v/>
      </c>
      <c r="M86" s="18">
        <f>IFERROR(INDEX('Detalles movimientos'!S$5:S$1021, MATCH(77, 'Detalles movimientos'!$W$5:$W$1021, 0)), "")</f>
        <v/>
      </c>
    </row>
    <row r="87">
      <c r="B87" s="119">
        <f>IFERROR(INDEX('Detalles movimientos'!C$5:C$1021, MATCH(78, 'Detalles movimientos'!$W$5:$W$1021, 0)), "")</f>
        <v/>
      </c>
      <c r="C87" s="18">
        <f>IFERROR(INDEX('Detalles movimientos'!D$5:D$1021, MATCH(78, 'Detalles movimientos'!$W$5:$W$1021, 0)), "")</f>
        <v/>
      </c>
      <c r="D87" s="19">
        <f>IFERROR(INDEX('Detalles movimientos'!E$5:E$1021, MATCH(78, 'Detalles movimientos'!$W$5:$W$1021, 0)), "")</f>
        <v/>
      </c>
      <c r="E87" s="19">
        <f>IFERROR(INDEX('Detalles movimientos'!F$5:F$1021, MATCH(78, 'Detalles movimientos'!$W$5:$W$1021, 0)), "")</f>
        <v/>
      </c>
      <c r="F87" s="18">
        <f>IFERROR(INDEX('Detalles movimientos'!G$5:G$1021, MATCH(78, 'Detalles movimientos'!$W$5:$W$1021, 0)), "")</f>
        <v/>
      </c>
      <c r="G87" s="120">
        <f>IFERROR(INDEX('Detalles movimientos'!H$5:H$1021, MATCH(78, 'Detalles movimientos'!$W$5:$W$1021, 0)), "")</f>
        <v/>
      </c>
      <c r="H87" s="121">
        <f>IFERROR(INDEX('Detalles movimientos'!I$5:I$1021, MATCH(78, 'Detalles movimientos'!$W$5:$W$1021, 0)), "")</f>
        <v/>
      </c>
      <c r="I87" s="120">
        <f>IFERROR(INDEX('Detalles movimientos'!M$5:M$1021, MATCH(78, 'Detalles movimientos'!$W$5:$W$1021, 0)), "")</f>
        <v/>
      </c>
      <c r="J87" s="19">
        <f>IFERROR(INDEX('Detalles movimientos'!N$5:N$1021, MATCH(78, 'Detalles movimientos'!$W$5:$W$1021, 0)), "")</f>
        <v/>
      </c>
      <c r="K87" s="120">
        <f>IFERROR(INDEX('Detalles movimientos'!O$5:O$1021, MATCH(78, 'Detalles movimientos'!$W$5:$W$1021, 0)), "")</f>
        <v/>
      </c>
      <c r="L87" s="18">
        <f>IFERROR(INDEX('Detalles movimientos'!P$5:P$1021, MATCH(78, 'Detalles movimientos'!$W$5:$W$1021, 0)), "")</f>
        <v/>
      </c>
      <c r="M87" s="18">
        <f>IFERROR(INDEX('Detalles movimientos'!S$5:S$1021, MATCH(78, 'Detalles movimientos'!$W$5:$W$1021, 0)), "")</f>
        <v/>
      </c>
    </row>
    <row r="88">
      <c r="B88" s="119">
        <f>IFERROR(INDEX('Detalles movimientos'!C$5:C$1021, MATCH(79, 'Detalles movimientos'!$W$5:$W$1021, 0)), "")</f>
        <v/>
      </c>
      <c r="C88" s="18">
        <f>IFERROR(INDEX('Detalles movimientos'!D$5:D$1021, MATCH(79, 'Detalles movimientos'!$W$5:$W$1021, 0)), "")</f>
        <v/>
      </c>
      <c r="D88" s="19">
        <f>IFERROR(INDEX('Detalles movimientos'!E$5:E$1021, MATCH(79, 'Detalles movimientos'!$W$5:$W$1021, 0)), "")</f>
        <v/>
      </c>
      <c r="E88" s="19">
        <f>IFERROR(INDEX('Detalles movimientos'!F$5:F$1021, MATCH(79, 'Detalles movimientos'!$W$5:$W$1021, 0)), "")</f>
        <v/>
      </c>
      <c r="F88" s="18">
        <f>IFERROR(INDEX('Detalles movimientos'!G$5:G$1021, MATCH(79, 'Detalles movimientos'!$W$5:$W$1021, 0)), "")</f>
        <v/>
      </c>
      <c r="G88" s="120">
        <f>IFERROR(INDEX('Detalles movimientos'!H$5:H$1021, MATCH(79, 'Detalles movimientos'!$W$5:$W$1021, 0)), "")</f>
        <v/>
      </c>
      <c r="H88" s="121">
        <f>IFERROR(INDEX('Detalles movimientos'!I$5:I$1021, MATCH(79, 'Detalles movimientos'!$W$5:$W$1021, 0)), "")</f>
        <v/>
      </c>
      <c r="I88" s="120">
        <f>IFERROR(INDEX('Detalles movimientos'!M$5:M$1021, MATCH(79, 'Detalles movimientos'!$W$5:$W$1021, 0)), "")</f>
        <v/>
      </c>
      <c r="J88" s="19">
        <f>IFERROR(INDEX('Detalles movimientos'!N$5:N$1021, MATCH(79, 'Detalles movimientos'!$W$5:$W$1021, 0)), "")</f>
        <v/>
      </c>
      <c r="K88" s="120">
        <f>IFERROR(INDEX('Detalles movimientos'!O$5:O$1021, MATCH(79, 'Detalles movimientos'!$W$5:$W$1021, 0)), "")</f>
        <v/>
      </c>
      <c r="L88" s="18">
        <f>IFERROR(INDEX('Detalles movimientos'!P$5:P$1021, MATCH(79, 'Detalles movimientos'!$W$5:$W$1021, 0)), "")</f>
        <v/>
      </c>
      <c r="M88" s="18">
        <f>IFERROR(INDEX('Detalles movimientos'!S$5:S$1021, MATCH(79, 'Detalles movimientos'!$W$5:$W$1021, 0)), "")</f>
        <v/>
      </c>
    </row>
    <row r="89">
      <c r="B89" s="119">
        <f>IFERROR(INDEX('Detalles movimientos'!C$5:C$1021, MATCH(80, 'Detalles movimientos'!$W$5:$W$1021, 0)), "")</f>
        <v/>
      </c>
      <c r="C89" s="18">
        <f>IFERROR(INDEX('Detalles movimientos'!D$5:D$1021, MATCH(80, 'Detalles movimientos'!$W$5:$W$1021, 0)), "")</f>
        <v/>
      </c>
      <c r="D89" s="19">
        <f>IFERROR(INDEX('Detalles movimientos'!E$5:E$1021, MATCH(80, 'Detalles movimientos'!$W$5:$W$1021, 0)), "")</f>
        <v/>
      </c>
      <c r="E89" s="19">
        <f>IFERROR(INDEX('Detalles movimientos'!F$5:F$1021, MATCH(80, 'Detalles movimientos'!$W$5:$W$1021, 0)), "")</f>
        <v/>
      </c>
      <c r="F89" s="18">
        <f>IFERROR(INDEX('Detalles movimientos'!G$5:G$1021, MATCH(80, 'Detalles movimientos'!$W$5:$W$1021, 0)), "")</f>
        <v/>
      </c>
      <c r="G89" s="120">
        <f>IFERROR(INDEX('Detalles movimientos'!H$5:H$1021, MATCH(80, 'Detalles movimientos'!$W$5:$W$1021, 0)), "")</f>
        <v/>
      </c>
      <c r="H89" s="121">
        <f>IFERROR(INDEX('Detalles movimientos'!I$5:I$1021, MATCH(80, 'Detalles movimientos'!$W$5:$W$1021, 0)), "")</f>
        <v/>
      </c>
      <c r="I89" s="120">
        <f>IFERROR(INDEX('Detalles movimientos'!M$5:M$1021, MATCH(80, 'Detalles movimientos'!$W$5:$W$1021, 0)), "")</f>
        <v/>
      </c>
      <c r="J89" s="19">
        <f>IFERROR(INDEX('Detalles movimientos'!N$5:N$1021, MATCH(80, 'Detalles movimientos'!$W$5:$W$1021, 0)), "")</f>
        <v/>
      </c>
      <c r="K89" s="120">
        <f>IFERROR(INDEX('Detalles movimientos'!O$5:O$1021, MATCH(80, 'Detalles movimientos'!$W$5:$W$1021, 0)), "")</f>
        <v/>
      </c>
      <c r="L89" s="18">
        <f>IFERROR(INDEX('Detalles movimientos'!P$5:P$1021, MATCH(80, 'Detalles movimientos'!$W$5:$W$1021, 0)), "")</f>
        <v/>
      </c>
      <c r="M89" s="18">
        <f>IFERROR(INDEX('Detalles movimientos'!S$5:S$1021, MATCH(80, 'Detalles movimientos'!$W$5:$W$1021, 0)), "")</f>
        <v/>
      </c>
    </row>
    <row r="90">
      <c r="B90" s="119">
        <f>IFERROR(INDEX('Detalles movimientos'!C$5:C$1021, MATCH(81, 'Detalles movimientos'!$W$5:$W$1021, 0)), "")</f>
        <v/>
      </c>
      <c r="C90" s="18">
        <f>IFERROR(INDEX('Detalles movimientos'!D$5:D$1021, MATCH(81, 'Detalles movimientos'!$W$5:$W$1021, 0)), "")</f>
        <v/>
      </c>
      <c r="D90" s="19">
        <f>IFERROR(INDEX('Detalles movimientos'!E$5:E$1021, MATCH(81, 'Detalles movimientos'!$W$5:$W$1021, 0)), "")</f>
        <v/>
      </c>
      <c r="E90" s="19">
        <f>IFERROR(INDEX('Detalles movimientos'!F$5:F$1021, MATCH(81, 'Detalles movimientos'!$W$5:$W$1021, 0)), "")</f>
        <v/>
      </c>
      <c r="F90" s="18">
        <f>IFERROR(INDEX('Detalles movimientos'!G$5:G$1021, MATCH(81, 'Detalles movimientos'!$W$5:$W$1021, 0)), "")</f>
        <v/>
      </c>
      <c r="G90" s="120">
        <f>IFERROR(INDEX('Detalles movimientos'!H$5:H$1021, MATCH(81, 'Detalles movimientos'!$W$5:$W$1021, 0)), "")</f>
        <v/>
      </c>
      <c r="H90" s="121">
        <f>IFERROR(INDEX('Detalles movimientos'!I$5:I$1021, MATCH(81, 'Detalles movimientos'!$W$5:$W$1021, 0)), "")</f>
        <v/>
      </c>
      <c r="I90" s="120">
        <f>IFERROR(INDEX('Detalles movimientos'!M$5:M$1021, MATCH(81, 'Detalles movimientos'!$W$5:$W$1021, 0)), "")</f>
        <v/>
      </c>
      <c r="J90" s="19">
        <f>IFERROR(INDEX('Detalles movimientos'!N$5:N$1021, MATCH(81, 'Detalles movimientos'!$W$5:$W$1021, 0)), "")</f>
        <v/>
      </c>
      <c r="K90" s="120">
        <f>IFERROR(INDEX('Detalles movimientos'!O$5:O$1021, MATCH(81, 'Detalles movimientos'!$W$5:$W$1021, 0)), "")</f>
        <v/>
      </c>
      <c r="L90" s="18">
        <f>IFERROR(INDEX('Detalles movimientos'!P$5:P$1021, MATCH(81, 'Detalles movimientos'!$W$5:$W$1021, 0)), "")</f>
        <v/>
      </c>
      <c r="M90" s="18">
        <f>IFERROR(INDEX('Detalles movimientos'!S$5:S$1021, MATCH(81, 'Detalles movimientos'!$W$5:$W$1021, 0)), "")</f>
        <v/>
      </c>
    </row>
    <row r="91">
      <c r="B91" s="119">
        <f>IFERROR(INDEX('Detalles movimientos'!C$5:C$1021, MATCH(82, 'Detalles movimientos'!$W$5:$W$1021, 0)), "")</f>
        <v/>
      </c>
      <c r="C91" s="18">
        <f>IFERROR(INDEX('Detalles movimientos'!D$5:D$1021, MATCH(82, 'Detalles movimientos'!$W$5:$W$1021, 0)), "")</f>
        <v/>
      </c>
      <c r="D91" s="19">
        <f>IFERROR(INDEX('Detalles movimientos'!E$5:E$1021, MATCH(82, 'Detalles movimientos'!$W$5:$W$1021, 0)), "")</f>
        <v/>
      </c>
      <c r="E91" s="19">
        <f>IFERROR(INDEX('Detalles movimientos'!F$5:F$1021, MATCH(82, 'Detalles movimientos'!$W$5:$W$1021, 0)), "")</f>
        <v/>
      </c>
      <c r="F91" s="18">
        <f>IFERROR(INDEX('Detalles movimientos'!G$5:G$1021, MATCH(82, 'Detalles movimientos'!$W$5:$W$1021, 0)), "")</f>
        <v/>
      </c>
      <c r="G91" s="120">
        <f>IFERROR(INDEX('Detalles movimientos'!H$5:H$1021, MATCH(82, 'Detalles movimientos'!$W$5:$W$1021, 0)), "")</f>
        <v/>
      </c>
      <c r="H91" s="121">
        <f>IFERROR(INDEX('Detalles movimientos'!I$5:I$1021, MATCH(82, 'Detalles movimientos'!$W$5:$W$1021, 0)), "")</f>
        <v/>
      </c>
      <c r="I91" s="120">
        <f>IFERROR(INDEX('Detalles movimientos'!M$5:M$1021, MATCH(82, 'Detalles movimientos'!$W$5:$W$1021, 0)), "")</f>
        <v/>
      </c>
      <c r="J91" s="19">
        <f>IFERROR(INDEX('Detalles movimientos'!N$5:N$1021, MATCH(82, 'Detalles movimientos'!$W$5:$W$1021, 0)), "")</f>
        <v/>
      </c>
      <c r="K91" s="120">
        <f>IFERROR(INDEX('Detalles movimientos'!O$5:O$1021, MATCH(82, 'Detalles movimientos'!$W$5:$W$1021, 0)), "")</f>
        <v/>
      </c>
      <c r="L91" s="18">
        <f>IFERROR(INDEX('Detalles movimientos'!P$5:P$1021, MATCH(82, 'Detalles movimientos'!$W$5:$W$1021, 0)), "")</f>
        <v/>
      </c>
      <c r="M91" s="18">
        <f>IFERROR(INDEX('Detalles movimientos'!S$5:S$1021, MATCH(82, 'Detalles movimientos'!$W$5:$W$1021, 0)), "")</f>
        <v/>
      </c>
    </row>
    <row r="92">
      <c r="B92" s="119">
        <f>IFERROR(INDEX('Detalles movimientos'!C$5:C$1021, MATCH(83, 'Detalles movimientos'!$W$5:$W$1021, 0)), "")</f>
        <v/>
      </c>
      <c r="C92" s="18">
        <f>IFERROR(INDEX('Detalles movimientos'!D$5:D$1021, MATCH(83, 'Detalles movimientos'!$W$5:$W$1021, 0)), "")</f>
        <v/>
      </c>
      <c r="D92" s="19">
        <f>IFERROR(INDEX('Detalles movimientos'!E$5:E$1021, MATCH(83, 'Detalles movimientos'!$W$5:$W$1021, 0)), "")</f>
        <v/>
      </c>
      <c r="E92" s="19">
        <f>IFERROR(INDEX('Detalles movimientos'!F$5:F$1021, MATCH(83, 'Detalles movimientos'!$W$5:$W$1021, 0)), "")</f>
        <v/>
      </c>
      <c r="F92" s="18">
        <f>IFERROR(INDEX('Detalles movimientos'!G$5:G$1021, MATCH(83, 'Detalles movimientos'!$W$5:$W$1021, 0)), "")</f>
        <v/>
      </c>
      <c r="G92" s="120">
        <f>IFERROR(INDEX('Detalles movimientos'!H$5:H$1021, MATCH(83, 'Detalles movimientos'!$W$5:$W$1021, 0)), "")</f>
        <v/>
      </c>
      <c r="H92" s="121">
        <f>IFERROR(INDEX('Detalles movimientos'!I$5:I$1021, MATCH(83, 'Detalles movimientos'!$W$5:$W$1021, 0)), "")</f>
        <v/>
      </c>
      <c r="I92" s="120">
        <f>IFERROR(INDEX('Detalles movimientos'!M$5:M$1021, MATCH(83, 'Detalles movimientos'!$W$5:$W$1021, 0)), "")</f>
        <v/>
      </c>
      <c r="J92" s="19">
        <f>IFERROR(INDEX('Detalles movimientos'!N$5:N$1021, MATCH(83, 'Detalles movimientos'!$W$5:$W$1021, 0)), "")</f>
        <v/>
      </c>
      <c r="K92" s="120">
        <f>IFERROR(INDEX('Detalles movimientos'!O$5:O$1021, MATCH(83, 'Detalles movimientos'!$W$5:$W$1021, 0)), "")</f>
        <v/>
      </c>
      <c r="L92" s="18">
        <f>IFERROR(INDEX('Detalles movimientos'!P$5:P$1021, MATCH(83, 'Detalles movimientos'!$W$5:$W$1021, 0)), "")</f>
        <v/>
      </c>
      <c r="M92" s="18">
        <f>IFERROR(INDEX('Detalles movimientos'!S$5:S$1021, MATCH(83, 'Detalles movimientos'!$W$5:$W$1021, 0)), "")</f>
        <v/>
      </c>
    </row>
    <row r="93">
      <c r="B93" s="119">
        <f>IFERROR(INDEX('Detalles movimientos'!C$5:C$1021, MATCH(84, 'Detalles movimientos'!$W$5:$W$1021, 0)), "")</f>
        <v/>
      </c>
      <c r="C93" s="18">
        <f>IFERROR(INDEX('Detalles movimientos'!D$5:D$1021, MATCH(84, 'Detalles movimientos'!$W$5:$W$1021, 0)), "")</f>
        <v/>
      </c>
      <c r="D93" s="19">
        <f>IFERROR(INDEX('Detalles movimientos'!E$5:E$1021, MATCH(84, 'Detalles movimientos'!$W$5:$W$1021, 0)), "")</f>
        <v/>
      </c>
      <c r="E93" s="19">
        <f>IFERROR(INDEX('Detalles movimientos'!F$5:F$1021, MATCH(84, 'Detalles movimientos'!$W$5:$W$1021, 0)), "")</f>
        <v/>
      </c>
      <c r="F93" s="18">
        <f>IFERROR(INDEX('Detalles movimientos'!G$5:G$1021, MATCH(84, 'Detalles movimientos'!$W$5:$W$1021, 0)), "")</f>
        <v/>
      </c>
      <c r="G93" s="120">
        <f>IFERROR(INDEX('Detalles movimientos'!H$5:H$1021, MATCH(84, 'Detalles movimientos'!$W$5:$W$1021, 0)), "")</f>
        <v/>
      </c>
      <c r="H93" s="121">
        <f>IFERROR(INDEX('Detalles movimientos'!I$5:I$1021, MATCH(84, 'Detalles movimientos'!$W$5:$W$1021, 0)), "")</f>
        <v/>
      </c>
      <c r="I93" s="120">
        <f>IFERROR(INDEX('Detalles movimientos'!M$5:M$1021, MATCH(84, 'Detalles movimientos'!$W$5:$W$1021, 0)), "")</f>
        <v/>
      </c>
      <c r="J93" s="19">
        <f>IFERROR(INDEX('Detalles movimientos'!N$5:N$1021, MATCH(84, 'Detalles movimientos'!$W$5:$W$1021, 0)), "")</f>
        <v/>
      </c>
      <c r="K93" s="120">
        <f>IFERROR(INDEX('Detalles movimientos'!O$5:O$1021, MATCH(84, 'Detalles movimientos'!$W$5:$W$1021, 0)), "")</f>
        <v/>
      </c>
      <c r="L93" s="18">
        <f>IFERROR(INDEX('Detalles movimientos'!P$5:P$1021, MATCH(84, 'Detalles movimientos'!$W$5:$W$1021, 0)), "")</f>
        <v/>
      </c>
      <c r="M93" s="18">
        <f>IFERROR(INDEX('Detalles movimientos'!S$5:S$1021, MATCH(84, 'Detalles movimientos'!$W$5:$W$1021, 0)), "")</f>
        <v/>
      </c>
    </row>
    <row r="94">
      <c r="B94" s="119">
        <f>IFERROR(INDEX('Detalles movimientos'!C$5:C$1021, MATCH(85, 'Detalles movimientos'!$W$5:$W$1021, 0)), "")</f>
        <v/>
      </c>
      <c r="C94" s="18">
        <f>IFERROR(INDEX('Detalles movimientos'!D$5:D$1021, MATCH(85, 'Detalles movimientos'!$W$5:$W$1021, 0)), "")</f>
        <v/>
      </c>
      <c r="D94" s="19">
        <f>IFERROR(INDEX('Detalles movimientos'!E$5:E$1021, MATCH(85, 'Detalles movimientos'!$W$5:$W$1021, 0)), "")</f>
        <v/>
      </c>
      <c r="E94" s="19">
        <f>IFERROR(INDEX('Detalles movimientos'!F$5:F$1021, MATCH(85, 'Detalles movimientos'!$W$5:$W$1021, 0)), "")</f>
        <v/>
      </c>
      <c r="F94" s="18">
        <f>IFERROR(INDEX('Detalles movimientos'!G$5:G$1021, MATCH(85, 'Detalles movimientos'!$W$5:$W$1021, 0)), "")</f>
        <v/>
      </c>
      <c r="G94" s="120">
        <f>IFERROR(INDEX('Detalles movimientos'!H$5:H$1021, MATCH(85, 'Detalles movimientos'!$W$5:$W$1021, 0)), "")</f>
        <v/>
      </c>
      <c r="H94" s="121">
        <f>IFERROR(INDEX('Detalles movimientos'!I$5:I$1021, MATCH(85, 'Detalles movimientos'!$W$5:$W$1021, 0)), "")</f>
        <v/>
      </c>
      <c r="I94" s="120">
        <f>IFERROR(INDEX('Detalles movimientos'!M$5:M$1021, MATCH(85, 'Detalles movimientos'!$W$5:$W$1021, 0)), "")</f>
        <v/>
      </c>
      <c r="J94" s="19">
        <f>IFERROR(INDEX('Detalles movimientos'!N$5:N$1021, MATCH(85, 'Detalles movimientos'!$W$5:$W$1021, 0)), "")</f>
        <v/>
      </c>
      <c r="K94" s="120">
        <f>IFERROR(INDEX('Detalles movimientos'!O$5:O$1021, MATCH(85, 'Detalles movimientos'!$W$5:$W$1021, 0)), "")</f>
        <v/>
      </c>
      <c r="L94" s="18">
        <f>IFERROR(INDEX('Detalles movimientos'!P$5:P$1021, MATCH(85, 'Detalles movimientos'!$W$5:$W$1021, 0)), "")</f>
        <v/>
      </c>
      <c r="M94" s="18">
        <f>IFERROR(INDEX('Detalles movimientos'!S$5:S$1021, MATCH(85, 'Detalles movimientos'!$W$5:$W$1021, 0)), "")</f>
        <v/>
      </c>
    </row>
    <row r="95">
      <c r="B95" s="119">
        <f>IFERROR(INDEX('Detalles movimientos'!C$5:C$1021, MATCH(86, 'Detalles movimientos'!$W$5:$W$1021, 0)), "")</f>
        <v/>
      </c>
      <c r="C95" s="18">
        <f>IFERROR(INDEX('Detalles movimientos'!D$5:D$1021, MATCH(86, 'Detalles movimientos'!$W$5:$W$1021, 0)), "")</f>
        <v/>
      </c>
      <c r="D95" s="19">
        <f>IFERROR(INDEX('Detalles movimientos'!E$5:E$1021, MATCH(86, 'Detalles movimientos'!$W$5:$W$1021, 0)), "")</f>
        <v/>
      </c>
      <c r="E95" s="19">
        <f>IFERROR(INDEX('Detalles movimientos'!F$5:F$1021, MATCH(86, 'Detalles movimientos'!$W$5:$W$1021, 0)), "")</f>
        <v/>
      </c>
      <c r="F95" s="18">
        <f>IFERROR(INDEX('Detalles movimientos'!G$5:G$1021, MATCH(86, 'Detalles movimientos'!$W$5:$W$1021, 0)), "")</f>
        <v/>
      </c>
      <c r="G95" s="120">
        <f>IFERROR(INDEX('Detalles movimientos'!H$5:H$1021, MATCH(86, 'Detalles movimientos'!$W$5:$W$1021, 0)), "")</f>
        <v/>
      </c>
      <c r="H95" s="121">
        <f>IFERROR(INDEX('Detalles movimientos'!I$5:I$1021, MATCH(86, 'Detalles movimientos'!$W$5:$W$1021, 0)), "")</f>
        <v/>
      </c>
      <c r="I95" s="120">
        <f>IFERROR(INDEX('Detalles movimientos'!M$5:M$1021, MATCH(86, 'Detalles movimientos'!$W$5:$W$1021, 0)), "")</f>
        <v/>
      </c>
      <c r="J95" s="19">
        <f>IFERROR(INDEX('Detalles movimientos'!N$5:N$1021, MATCH(86, 'Detalles movimientos'!$W$5:$W$1021, 0)), "")</f>
        <v/>
      </c>
      <c r="K95" s="120">
        <f>IFERROR(INDEX('Detalles movimientos'!O$5:O$1021, MATCH(86, 'Detalles movimientos'!$W$5:$W$1021, 0)), "")</f>
        <v/>
      </c>
      <c r="L95" s="18">
        <f>IFERROR(INDEX('Detalles movimientos'!P$5:P$1021, MATCH(86, 'Detalles movimientos'!$W$5:$W$1021, 0)), "")</f>
        <v/>
      </c>
      <c r="M95" s="18">
        <f>IFERROR(INDEX('Detalles movimientos'!S$5:S$1021, MATCH(86, 'Detalles movimientos'!$W$5:$W$1021, 0)), "")</f>
        <v/>
      </c>
    </row>
    <row r="96">
      <c r="B96" s="119">
        <f>IFERROR(INDEX('Detalles movimientos'!C$5:C$1021, MATCH(87, 'Detalles movimientos'!$W$5:$W$1021, 0)), "")</f>
        <v/>
      </c>
      <c r="C96" s="18">
        <f>IFERROR(INDEX('Detalles movimientos'!D$5:D$1021, MATCH(87, 'Detalles movimientos'!$W$5:$W$1021, 0)), "")</f>
        <v/>
      </c>
      <c r="D96" s="19">
        <f>IFERROR(INDEX('Detalles movimientos'!E$5:E$1021, MATCH(87, 'Detalles movimientos'!$W$5:$W$1021, 0)), "")</f>
        <v/>
      </c>
      <c r="E96" s="19">
        <f>IFERROR(INDEX('Detalles movimientos'!F$5:F$1021, MATCH(87, 'Detalles movimientos'!$W$5:$W$1021, 0)), "")</f>
        <v/>
      </c>
      <c r="F96" s="18">
        <f>IFERROR(INDEX('Detalles movimientos'!G$5:G$1021, MATCH(87, 'Detalles movimientos'!$W$5:$W$1021, 0)), "")</f>
        <v/>
      </c>
      <c r="G96" s="120">
        <f>IFERROR(INDEX('Detalles movimientos'!H$5:H$1021, MATCH(87, 'Detalles movimientos'!$W$5:$W$1021, 0)), "")</f>
        <v/>
      </c>
      <c r="H96" s="121">
        <f>IFERROR(INDEX('Detalles movimientos'!I$5:I$1021, MATCH(87, 'Detalles movimientos'!$W$5:$W$1021, 0)), "")</f>
        <v/>
      </c>
      <c r="I96" s="120">
        <f>IFERROR(INDEX('Detalles movimientos'!M$5:M$1021, MATCH(87, 'Detalles movimientos'!$W$5:$W$1021, 0)), "")</f>
        <v/>
      </c>
      <c r="J96" s="19">
        <f>IFERROR(INDEX('Detalles movimientos'!N$5:N$1021, MATCH(87, 'Detalles movimientos'!$W$5:$W$1021, 0)), "")</f>
        <v/>
      </c>
      <c r="K96" s="120">
        <f>IFERROR(INDEX('Detalles movimientos'!O$5:O$1021, MATCH(87, 'Detalles movimientos'!$W$5:$W$1021, 0)), "")</f>
        <v/>
      </c>
      <c r="L96" s="18">
        <f>IFERROR(INDEX('Detalles movimientos'!P$5:P$1021, MATCH(87, 'Detalles movimientos'!$W$5:$W$1021, 0)), "")</f>
        <v/>
      </c>
      <c r="M96" s="18">
        <f>IFERROR(INDEX('Detalles movimientos'!S$5:S$1021, MATCH(87, 'Detalles movimientos'!$W$5:$W$1021, 0)), "")</f>
        <v/>
      </c>
    </row>
    <row r="97">
      <c r="B97" s="119">
        <f>IFERROR(INDEX('Detalles movimientos'!C$5:C$1021, MATCH(88, 'Detalles movimientos'!$W$5:$W$1021, 0)), "")</f>
        <v/>
      </c>
      <c r="C97" s="18">
        <f>IFERROR(INDEX('Detalles movimientos'!D$5:D$1021, MATCH(88, 'Detalles movimientos'!$W$5:$W$1021, 0)), "")</f>
        <v/>
      </c>
      <c r="D97" s="19">
        <f>IFERROR(INDEX('Detalles movimientos'!E$5:E$1021, MATCH(88, 'Detalles movimientos'!$W$5:$W$1021, 0)), "")</f>
        <v/>
      </c>
      <c r="E97" s="19">
        <f>IFERROR(INDEX('Detalles movimientos'!F$5:F$1021, MATCH(88, 'Detalles movimientos'!$W$5:$W$1021, 0)), "")</f>
        <v/>
      </c>
      <c r="F97" s="18">
        <f>IFERROR(INDEX('Detalles movimientos'!G$5:G$1021, MATCH(88, 'Detalles movimientos'!$W$5:$W$1021, 0)), "")</f>
        <v/>
      </c>
      <c r="G97" s="120">
        <f>IFERROR(INDEX('Detalles movimientos'!H$5:H$1021, MATCH(88, 'Detalles movimientos'!$W$5:$W$1021, 0)), "")</f>
        <v/>
      </c>
      <c r="H97" s="121">
        <f>IFERROR(INDEX('Detalles movimientos'!I$5:I$1021, MATCH(88, 'Detalles movimientos'!$W$5:$W$1021, 0)), "")</f>
        <v/>
      </c>
      <c r="I97" s="120">
        <f>IFERROR(INDEX('Detalles movimientos'!M$5:M$1021, MATCH(88, 'Detalles movimientos'!$W$5:$W$1021, 0)), "")</f>
        <v/>
      </c>
      <c r="J97" s="19">
        <f>IFERROR(INDEX('Detalles movimientos'!N$5:N$1021, MATCH(88, 'Detalles movimientos'!$W$5:$W$1021, 0)), "")</f>
        <v/>
      </c>
      <c r="K97" s="120">
        <f>IFERROR(INDEX('Detalles movimientos'!O$5:O$1021, MATCH(88, 'Detalles movimientos'!$W$5:$W$1021, 0)), "")</f>
        <v/>
      </c>
      <c r="L97" s="18">
        <f>IFERROR(INDEX('Detalles movimientos'!P$5:P$1021, MATCH(88, 'Detalles movimientos'!$W$5:$W$1021, 0)), "")</f>
        <v/>
      </c>
      <c r="M97" s="18">
        <f>IFERROR(INDEX('Detalles movimientos'!S$5:S$1021, MATCH(88, 'Detalles movimientos'!$W$5:$W$1021, 0)), "")</f>
        <v/>
      </c>
    </row>
    <row r="98">
      <c r="B98" s="119">
        <f>IFERROR(INDEX('Detalles movimientos'!C$5:C$1021, MATCH(89, 'Detalles movimientos'!$W$5:$W$1021, 0)), "")</f>
        <v/>
      </c>
      <c r="C98" s="18">
        <f>IFERROR(INDEX('Detalles movimientos'!D$5:D$1021, MATCH(89, 'Detalles movimientos'!$W$5:$W$1021, 0)), "")</f>
        <v/>
      </c>
      <c r="D98" s="19">
        <f>IFERROR(INDEX('Detalles movimientos'!E$5:E$1021, MATCH(89, 'Detalles movimientos'!$W$5:$W$1021, 0)), "")</f>
        <v/>
      </c>
      <c r="E98" s="19">
        <f>IFERROR(INDEX('Detalles movimientos'!F$5:F$1021, MATCH(89, 'Detalles movimientos'!$W$5:$W$1021, 0)), "")</f>
        <v/>
      </c>
      <c r="F98" s="18">
        <f>IFERROR(INDEX('Detalles movimientos'!G$5:G$1021, MATCH(89, 'Detalles movimientos'!$W$5:$W$1021, 0)), "")</f>
        <v/>
      </c>
      <c r="G98" s="120">
        <f>IFERROR(INDEX('Detalles movimientos'!H$5:H$1021, MATCH(89, 'Detalles movimientos'!$W$5:$W$1021, 0)), "")</f>
        <v/>
      </c>
      <c r="H98" s="121">
        <f>IFERROR(INDEX('Detalles movimientos'!I$5:I$1021, MATCH(89, 'Detalles movimientos'!$W$5:$W$1021, 0)), "")</f>
        <v/>
      </c>
      <c r="I98" s="120">
        <f>IFERROR(INDEX('Detalles movimientos'!M$5:M$1021, MATCH(89, 'Detalles movimientos'!$W$5:$W$1021, 0)), "")</f>
        <v/>
      </c>
      <c r="J98" s="19">
        <f>IFERROR(INDEX('Detalles movimientos'!N$5:N$1021, MATCH(89, 'Detalles movimientos'!$W$5:$W$1021, 0)), "")</f>
        <v/>
      </c>
      <c r="K98" s="120">
        <f>IFERROR(INDEX('Detalles movimientos'!O$5:O$1021, MATCH(89, 'Detalles movimientos'!$W$5:$W$1021, 0)), "")</f>
        <v/>
      </c>
      <c r="L98" s="18">
        <f>IFERROR(INDEX('Detalles movimientos'!P$5:P$1021, MATCH(89, 'Detalles movimientos'!$W$5:$W$1021, 0)), "")</f>
        <v/>
      </c>
      <c r="M98" s="18">
        <f>IFERROR(INDEX('Detalles movimientos'!S$5:S$1021, MATCH(89, 'Detalles movimientos'!$W$5:$W$1021, 0)), "")</f>
        <v/>
      </c>
    </row>
    <row r="99">
      <c r="B99" s="119">
        <f>IFERROR(INDEX('Detalles movimientos'!C$5:C$1021, MATCH(90, 'Detalles movimientos'!$W$5:$W$1021, 0)), "")</f>
        <v/>
      </c>
      <c r="C99" s="18">
        <f>IFERROR(INDEX('Detalles movimientos'!D$5:D$1021, MATCH(90, 'Detalles movimientos'!$W$5:$W$1021, 0)), "")</f>
        <v/>
      </c>
      <c r="D99" s="19">
        <f>IFERROR(INDEX('Detalles movimientos'!E$5:E$1021, MATCH(90, 'Detalles movimientos'!$W$5:$W$1021, 0)), "")</f>
        <v/>
      </c>
      <c r="E99" s="19">
        <f>IFERROR(INDEX('Detalles movimientos'!F$5:F$1021, MATCH(90, 'Detalles movimientos'!$W$5:$W$1021, 0)), "")</f>
        <v/>
      </c>
      <c r="F99" s="18">
        <f>IFERROR(INDEX('Detalles movimientos'!G$5:G$1021, MATCH(90, 'Detalles movimientos'!$W$5:$W$1021, 0)), "")</f>
        <v/>
      </c>
      <c r="G99" s="120">
        <f>IFERROR(INDEX('Detalles movimientos'!H$5:H$1021, MATCH(90, 'Detalles movimientos'!$W$5:$W$1021, 0)), "")</f>
        <v/>
      </c>
      <c r="H99" s="121">
        <f>IFERROR(INDEX('Detalles movimientos'!I$5:I$1021, MATCH(90, 'Detalles movimientos'!$W$5:$W$1021, 0)), "")</f>
        <v/>
      </c>
      <c r="I99" s="120">
        <f>IFERROR(INDEX('Detalles movimientos'!M$5:M$1021, MATCH(90, 'Detalles movimientos'!$W$5:$W$1021, 0)), "")</f>
        <v/>
      </c>
      <c r="J99" s="19">
        <f>IFERROR(INDEX('Detalles movimientos'!N$5:N$1021, MATCH(90, 'Detalles movimientos'!$W$5:$W$1021, 0)), "")</f>
        <v/>
      </c>
      <c r="K99" s="120">
        <f>IFERROR(INDEX('Detalles movimientos'!O$5:O$1021, MATCH(90, 'Detalles movimientos'!$W$5:$W$1021, 0)), "")</f>
        <v/>
      </c>
      <c r="L99" s="18">
        <f>IFERROR(INDEX('Detalles movimientos'!P$5:P$1021, MATCH(90, 'Detalles movimientos'!$W$5:$W$1021, 0)), "")</f>
        <v/>
      </c>
      <c r="M99" s="18">
        <f>IFERROR(INDEX('Detalles movimientos'!S$5:S$1021, MATCH(90, 'Detalles movimientos'!$W$5:$W$1021, 0)), "")</f>
        <v/>
      </c>
    </row>
    <row r="100">
      <c r="B100" s="119">
        <f>IFERROR(INDEX('Detalles movimientos'!C$5:C$1021, MATCH(91, 'Detalles movimientos'!$W$5:$W$1021, 0)), "")</f>
        <v/>
      </c>
      <c r="C100" s="18">
        <f>IFERROR(INDEX('Detalles movimientos'!D$5:D$1021, MATCH(91, 'Detalles movimientos'!$W$5:$W$1021, 0)), "")</f>
        <v/>
      </c>
      <c r="D100" s="19">
        <f>IFERROR(INDEX('Detalles movimientos'!E$5:E$1021, MATCH(91, 'Detalles movimientos'!$W$5:$W$1021, 0)), "")</f>
        <v/>
      </c>
      <c r="E100" s="19">
        <f>IFERROR(INDEX('Detalles movimientos'!F$5:F$1021, MATCH(91, 'Detalles movimientos'!$W$5:$W$1021, 0)), "")</f>
        <v/>
      </c>
      <c r="F100" s="18">
        <f>IFERROR(INDEX('Detalles movimientos'!G$5:G$1021, MATCH(91, 'Detalles movimientos'!$W$5:$W$1021, 0)), "")</f>
        <v/>
      </c>
      <c r="G100" s="120">
        <f>IFERROR(INDEX('Detalles movimientos'!H$5:H$1021, MATCH(91, 'Detalles movimientos'!$W$5:$W$1021, 0)), "")</f>
        <v/>
      </c>
      <c r="H100" s="121">
        <f>IFERROR(INDEX('Detalles movimientos'!I$5:I$1021, MATCH(91, 'Detalles movimientos'!$W$5:$W$1021, 0)), "")</f>
        <v/>
      </c>
      <c r="I100" s="120">
        <f>IFERROR(INDEX('Detalles movimientos'!M$5:M$1021, MATCH(91, 'Detalles movimientos'!$W$5:$W$1021, 0)), "")</f>
        <v/>
      </c>
      <c r="J100" s="19">
        <f>IFERROR(INDEX('Detalles movimientos'!N$5:N$1021, MATCH(91, 'Detalles movimientos'!$W$5:$W$1021, 0)), "")</f>
        <v/>
      </c>
      <c r="K100" s="120">
        <f>IFERROR(INDEX('Detalles movimientos'!O$5:O$1021, MATCH(91, 'Detalles movimientos'!$W$5:$W$1021, 0)), "")</f>
        <v/>
      </c>
      <c r="L100" s="18">
        <f>IFERROR(INDEX('Detalles movimientos'!P$5:P$1021, MATCH(91, 'Detalles movimientos'!$W$5:$W$1021, 0)), "")</f>
        <v/>
      </c>
      <c r="M100" s="18">
        <f>IFERROR(INDEX('Detalles movimientos'!S$5:S$1021, MATCH(91, 'Detalles movimientos'!$W$5:$W$1021, 0)), "")</f>
        <v/>
      </c>
    </row>
    <row r="101">
      <c r="B101" s="119">
        <f>IFERROR(INDEX('Detalles movimientos'!C$5:C$1021, MATCH(92, 'Detalles movimientos'!$W$5:$W$1021, 0)), "")</f>
        <v/>
      </c>
      <c r="C101" s="18">
        <f>IFERROR(INDEX('Detalles movimientos'!D$5:D$1021, MATCH(92, 'Detalles movimientos'!$W$5:$W$1021, 0)), "")</f>
        <v/>
      </c>
      <c r="D101" s="19">
        <f>IFERROR(INDEX('Detalles movimientos'!E$5:E$1021, MATCH(92, 'Detalles movimientos'!$W$5:$W$1021, 0)), "")</f>
        <v/>
      </c>
      <c r="E101" s="19">
        <f>IFERROR(INDEX('Detalles movimientos'!F$5:F$1021, MATCH(92, 'Detalles movimientos'!$W$5:$W$1021, 0)), "")</f>
        <v/>
      </c>
      <c r="F101" s="18">
        <f>IFERROR(INDEX('Detalles movimientos'!G$5:G$1021, MATCH(92, 'Detalles movimientos'!$W$5:$W$1021, 0)), "")</f>
        <v/>
      </c>
      <c r="G101" s="120">
        <f>IFERROR(INDEX('Detalles movimientos'!H$5:H$1021, MATCH(92, 'Detalles movimientos'!$W$5:$W$1021, 0)), "")</f>
        <v/>
      </c>
      <c r="H101" s="121">
        <f>IFERROR(INDEX('Detalles movimientos'!I$5:I$1021, MATCH(92, 'Detalles movimientos'!$W$5:$W$1021, 0)), "")</f>
        <v/>
      </c>
      <c r="I101" s="120">
        <f>IFERROR(INDEX('Detalles movimientos'!M$5:M$1021, MATCH(92, 'Detalles movimientos'!$W$5:$W$1021, 0)), "")</f>
        <v/>
      </c>
      <c r="J101" s="19">
        <f>IFERROR(INDEX('Detalles movimientos'!N$5:N$1021, MATCH(92, 'Detalles movimientos'!$W$5:$W$1021, 0)), "")</f>
        <v/>
      </c>
      <c r="K101" s="120">
        <f>IFERROR(INDEX('Detalles movimientos'!O$5:O$1021, MATCH(92, 'Detalles movimientos'!$W$5:$W$1021, 0)), "")</f>
        <v/>
      </c>
      <c r="L101" s="18">
        <f>IFERROR(INDEX('Detalles movimientos'!P$5:P$1021, MATCH(92, 'Detalles movimientos'!$W$5:$W$1021, 0)), "")</f>
        <v/>
      </c>
      <c r="M101" s="18">
        <f>IFERROR(INDEX('Detalles movimientos'!S$5:S$1021, MATCH(92, 'Detalles movimientos'!$W$5:$W$1021, 0)), "")</f>
        <v/>
      </c>
    </row>
    <row r="102">
      <c r="B102" s="119">
        <f>IFERROR(INDEX('Detalles movimientos'!C$5:C$1021, MATCH(93, 'Detalles movimientos'!$W$5:$W$1021, 0)), "")</f>
        <v/>
      </c>
      <c r="C102" s="18">
        <f>IFERROR(INDEX('Detalles movimientos'!D$5:D$1021, MATCH(93, 'Detalles movimientos'!$W$5:$W$1021, 0)), "")</f>
        <v/>
      </c>
      <c r="D102" s="19">
        <f>IFERROR(INDEX('Detalles movimientos'!E$5:E$1021, MATCH(93, 'Detalles movimientos'!$W$5:$W$1021, 0)), "")</f>
        <v/>
      </c>
      <c r="E102" s="19">
        <f>IFERROR(INDEX('Detalles movimientos'!F$5:F$1021, MATCH(93, 'Detalles movimientos'!$W$5:$W$1021, 0)), "")</f>
        <v/>
      </c>
      <c r="F102" s="18">
        <f>IFERROR(INDEX('Detalles movimientos'!G$5:G$1021, MATCH(93, 'Detalles movimientos'!$W$5:$W$1021, 0)), "")</f>
        <v/>
      </c>
      <c r="G102" s="120">
        <f>IFERROR(INDEX('Detalles movimientos'!H$5:H$1021, MATCH(93, 'Detalles movimientos'!$W$5:$W$1021, 0)), "")</f>
        <v/>
      </c>
      <c r="H102" s="121">
        <f>IFERROR(INDEX('Detalles movimientos'!I$5:I$1021, MATCH(93, 'Detalles movimientos'!$W$5:$W$1021, 0)), "")</f>
        <v/>
      </c>
      <c r="I102" s="120">
        <f>IFERROR(INDEX('Detalles movimientos'!M$5:M$1021, MATCH(93, 'Detalles movimientos'!$W$5:$W$1021, 0)), "")</f>
        <v/>
      </c>
      <c r="J102" s="19">
        <f>IFERROR(INDEX('Detalles movimientos'!N$5:N$1021, MATCH(93, 'Detalles movimientos'!$W$5:$W$1021, 0)), "")</f>
        <v/>
      </c>
      <c r="K102" s="120">
        <f>IFERROR(INDEX('Detalles movimientos'!O$5:O$1021, MATCH(93, 'Detalles movimientos'!$W$5:$W$1021, 0)), "")</f>
        <v/>
      </c>
      <c r="L102" s="18">
        <f>IFERROR(INDEX('Detalles movimientos'!P$5:P$1021, MATCH(93, 'Detalles movimientos'!$W$5:$W$1021, 0)), "")</f>
        <v/>
      </c>
      <c r="M102" s="18">
        <f>IFERROR(INDEX('Detalles movimientos'!S$5:S$1021, MATCH(93, 'Detalles movimientos'!$W$5:$W$1021, 0)), "")</f>
        <v/>
      </c>
    </row>
    <row r="103">
      <c r="B103" s="119">
        <f>IFERROR(INDEX('Detalles movimientos'!C$5:C$1021, MATCH(94, 'Detalles movimientos'!$W$5:$W$1021, 0)), "")</f>
        <v/>
      </c>
      <c r="C103" s="18">
        <f>IFERROR(INDEX('Detalles movimientos'!D$5:D$1021, MATCH(94, 'Detalles movimientos'!$W$5:$W$1021, 0)), "")</f>
        <v/>
      </c>
      <c r="D103" s="19">
        <f>IFERROR(INDEX('Detalles movimientos'!E$5:E$1021, MATCH(94, 'Detalles movimientos'!$W$5:$W$1021, 0)), "")</f>
        <v/>
      </c>
      <c r="E103" s="19">
        <f>IFERROR(INDEX('Detalles movimientos'!F$5:F$1021, MATCH(94, 'Detalles movimientos'!$W$5:$W$1021, 0)), "")</f>
        <v/>
      </c>
      <c r="F103" s="18">
        <f>IFERROR(INDEX('Detalles movimientos'!G$5:G$1021, MATCH(94, 'Detalles movimientos'!$W$5:$W$1021, 0)), "")</f>
        <v/>
      </c>
      <c r="G103" s="120">
        <f>IFERROR(INDEX('Detalles movimientos'!H$5:H$1021, MATCH(94, 'Detalles movimientos'!$W$5:$W$1021, 0)), "")</f>
        <v/>
      </c>
      <c r="H103" s="121">
        <f>IFERROR(INDEX('Detalles movimientos'!I$5:I$1021, MATCH(94, 'Detalles movimientos'!$W$5:$W$1021, 0)), "")</f>
        <v/>
      </c>
      <c r="I103" s="120">
        <f>IFERROR(INDEX('Detalles movimientos'!M$5:M$1021, MATCH(94, 'Detalles movimientos'!$W$5:$W$1021, 0)), "")</f>
        <v/>
      </c>
      <c r="J103" s="19">
        <f>IFERROR(INDEX('Detalles movimientos'!N$5:N$1021, MATCH(94, 'Detalles movimientos'!$W$5:$W$1021, 0)), "")</f>
        <v/>
      </c>
      <c r="K103" s="120">
        <f>IFERROR(INDEX('Detalles movimientos'!O$5:O$1021, MATCH(94, 'Detalles movimientos'!$W$5:$W$1021, 0)), "")</f>
        <v/>
      </c>
      <c r="L103" s="18">
        <f>IFERROR(INDEX('Detalles movimientos'!P$5:P$1021, MATCH(94, 'Detalles movimientos'!$W$5:$W$1021, 0)), "")</f>
        <v/>
      </c>
      <c r="M103" s="18">
        <f>IFERROR(INDEX('Detalles movimientos'!S$5:S$1021, MATCH(94, 'Detalles movimientos'!$W$5:$W$1021, 0)), "")</f>
        <v/>
      </c>
    </row>
    <row r="104">
      <c r="B104" s="119">
        <f>IFERROR(INDEX('Detalles movimientos'!C$5:C$1021, MATCH(95, 'Detalles movimientos'!$W$5:$W$1021, 0)), "")</f>
        <v/>
      </c>
      <c r="C104" s="18">
        <f>IFERROR(INDEX('Detalles movimientos'!D$5:D$1021, MATCH(95, 'Detalles movimientos'!$W$5:$W$1021, 0)), "")</f>
        <v/>
      </c>
      <c r="D104" s="19">
        <f>IFERROR(INDEX('Detalles movimientos'!E$5:E$1021, MATCH(95, 'Detalles movimientos'!$W$5:$W$1021, 0)), "")</f>
        <v/>
      </c>
      <c r="E104" s="19">
        <f>IFERROR(INDEX('Detalles movimientos'!F$5:F$1021, MATCH(95, 'Detalles movimientos'!$W$5:$W$1021, 0)), "")</f>
        <v/>
      </c>
      <c r="F104" s="18">
        <f>IFERROR(INDEX('Detalles movimientos'!G$5:G$1021, MATCH(95, 'Detalles movimientos'!$W$5:$W$1021, 0)), "")</f>
        <v/>
      </c>
      <c r="G104" s="120">
        <f>IFERROR(INDEX('Detalles movimientos'!H$5:H$1021, MATCH(95, 'Detalles movimientos'!$W$5:$W$1021, 0)), "")</f>
        <v/>
      </c>
      <c r="H104" s="121">
        <f>IFERROR(INDEX('Detalles movimientos'!I$5:I$1021, MATCH(95, 'Detalles movimientos'!$W$5:$W$1021, 0)), "")</f>
        <v/>
      </c>
      <c r="I104" s="120">
        <f>IFERROR(INDEX('Detalles movimientos'!M$5:M$1021, MATCH(95, 'Detalles movimientos'!$W$5:$W$1021, 0)), "")</f>
        <v/>
      </c>
      <c r="J104" s="19">
        <f>IFERROR(INDEX('Detalles movimientos'!N$5:N$1021, MATCH(95, 'Detalles movimientos'!$W$5:$W$1021, 0)), "")</f>
        <v/>
      </c>
      <c r="K104" s="120">
        <f>IFERROR(INDEX('Detalles movimientos'!O$5:O$1021, MATCH(95, 'Detalles movimientos'!$W$5:$W$1021, 0)), "")</f>
        <v/>
      </c>
      <c r="L104" s="18">
        <f>IFERROR(INDEX('Detalles movimientos'!P$5:P$1021, MATCH(95, 'Detalles movimientos'!$W$5:$W$1021, 0)), "")</f>
        <v/>
      </c>
      <c r="M104" s="18">
        <f>IFERROR(INDEX('Detalles movimientos'!S$5:S$1021, MATCH(95, 'Detalles movimientos'!$W$5:$W$1021, 0)), "")</f>
        <v/>
      </c>
    </row>
    <row r="105">
      <c r="B105" s="119">
        <f>IFERROR(INDEX('Detalles movimientos'!C$5:C$1021, MATCH(96, 'Detalles movimientos'!$W$5:$W$1021, 0)), "")</f>
        <v/>
      </c>
      <c r="C105" s="18">
        <f>IFERROR(INDEX('Detalles movimientos'!D$5:D$1021, MATCH(96, 'Detalles movimientos'!$W$5:$W$1021, 0)), "")</f>
        <v/>
      </c>
      <c r="D105" s="19">
        <f>IFERROR(INDEX('Detalles movimientos'!E$5:E$1021, MATCH(96, 'Detalles movimientos'!$W$5:$W$1021, 0)), "")</f>
        <v/>
      </c>
      <c r="E105" s="19">
        <f>IFERROR(INDEX('Detalles movimientos'!F$5:F$1021, MATCH(96, 'Detalles movimientos'!$W$5:$W$1021, 0)), "")</f>
        <v/>
      </c>
      <c r="F105" s="18">
        <f>IFERROR(INDEX('Detalles movimientos'!G$5:G$1021, MATCH(96, 'Detalles movimientos'!$W$5:$W$1021, 0)), "")</f>
        <v/>
      </c>
      <c r="G105" s="120">
        <f>IFERROR(INDEX('Detalles movimientos'!H$5:H$1021, MATCH(96, 'Detalles movimientos'!$W$5:$W$1021, 0)), "")</f>
        <v/>
      </c>
      <c r="H105" s="121">
        <f>IFERROR(INDEX('Detalles movimientos'!I$5:I$1021, MATCH(96, 'Detalles movimientos'!$W$5:$W$1021, 0)), "")</f>
        <v/>
      </c>
      <c r="I105" s="120">
        <f>IFERROR(INDEX('Detalles movimientos'!M$5:M$1021, MATCH(96, 'Detalles movimientos'!$W$5:$W$1021, 0)), "")</f>
        <v/>
      </c>
      <c r="J105" s="19">
        <f>IFERROR(INDEX('Detalles movimientos'!N$5:N$1021, MATCH(96, 'Detalles movimientos'!$W$5:$W$1021, 0)), "")</f>
        <v/>
      </c>
      <c r="K105" s="120">
        <f>IFERROR(INDEX('Detalles movimientos'!O$5:O$1021, MATCH(96, 'Detalles movimientos'!$W$5:$W$1021, 0)), "")</f>
        <v/>
      </c>
      <c r="L105" s="18">
        <f>IFERROR(INDEX('Detalles movimientos'!P$5:P$1021, MATCH(96, 'Detalles movimientos'!$W$5:$W$1021, 0)), "")</f>
        <v/>
      </c>
      <c r="M105" s="18">
        <f>IFERROR(INDEX('Detalles movimientos'!S$5:S$1021, MATCH(96, 'Detalles movimientos'!$W$5:$W$1021, 0)), "")</f>
        <v/>
      </c>
    </row>
    <row r="106">
      <c r="B106" s="119">
        <f>IFERROR(INDEX('Detalles movimientos'!C$5:C$1021, MATCH(97, 'Detalles movimientos'!$W$5:$W$1021, 0)), "")</f>
        <v/>
      </c>
      <c r="C106" s="18">
        <f>IFERROR(INDEX('Detalles movimientos'!D$5:D$1021, MATCH(97, 'Detalles movimientos'!$W$5:$W$1021, 0)), "")</f>
        <v/>
      </c>
      <c r="D106" s="19">
        <f>IFERROR(INDEX('Detalles movimientos'!E$5:E$1021, MATCH(97, 'Detalles movimientos'!$W$5:$W$1021, 0)), "")</f>
        <v/>
      </c>
      <c r="E106" s="19">
        <f>IFERROR(INDEX('Detalles movimientos'!F$5:F$1021, MATCH(97, 'Detalles movimientos'!$W$5:$W$1021, 0)), "")</f>
        <v/>
      </c>
      <c r="F106" s="18">
        <f>IFERROR(INDEX('Detalles movimientos'!G$5:G$1021, MATCH(97, 'Detalles movimientos'!$W$5:$W$1021, 0)), "")</f>
        <v/>
      </c>
      <c r="G106" s="120">
        <f>IFERROR(INDEX('Detalles movimientos'!H$5:H$1021, MATCH(97, 'Detalles movimientos'!$W$5:$W$1021, 0)), "")</f>
        <v/>
      </c>
      <c r="H106" s="121">
        <f>IFERROR(INDEX('Detalles movimientos'!I$5:I$1021, MATCH(97, 'Detalles movimientos'!$W$5:$W$1021, 0)), "")</f>
        <v/>
      </c>
      <c r="I106" s="120">
        <f>IFERROR(INDEX('Detalles movimientos'!M$5:M$1021, MATCH(97, 'Detalles movimientos'!$W$5:$W$1021, 0)), "")</f>
        <v/>
      </c>
      <c r="J106" s="19">
        <f>IFERROR(INDEX('Detalles movimientos'!N$5:N$1021, MATCH(97, 'Detalles movimientos'!$W$5:$W$1021, 0)), "")</f>
        <v/>
      </c>
      <c r="K106" s="120">
        <f>IFERROR(INDEX('Detalles movimientos'!O$5:O$1021, MATCH(97, 'Detalles movimientos'!$W$5:$W$1021, 0)), "")</f>
        <v/>
      </c>
      <c r="L106" s="18">
        <f>IFERROR(INDEX('Detalles movimientos'!P$5:P$1021, MATCH(97, 'Detalles movimientos'!$W$5:$W$1021, 0)), "")</f>
        <v/>
      </c>
      <c r="M106" s="18">
        <f>IFERROR(INDEX('Detalles movimientos'!S$5:S$1021, MATCH(97, 'Detalles movimientos'!$W$5:$W$1021, 0)), "")</f>
        <v/>
      </c>
    </row>
    <row r="107">
      <c r="B107" s="119">
        <f>IFERROR(INDEX('Detalles movimientos'!C$5:C$1021, MATCH(98, 'Detalles movimientos'!$W$5:$W$1021, 0)), "")</f>
        <v/>
      </c>
      <c r="C107" s="18">
        <f>IFERROR(INDEX('Detalles movimientos'!D$5:D$1021, MATCH(98, 'Detalles movimientos'!$W$5:$W$1021, 0)), "")</f>
        <v/>
      </c>
      <c r="D107" s="19">
        <f>IFERROR(INDEX('Detalles movimientos'!E$5:E$1021, MATCH(98, 'Detalles movimientos'!$W$5:$W$1021, 0)), "")</f>
        <v/>
      </c>
      <c r="E107" s="19">
        <f>IFERROR(INDEX('Detalles movimientos'!F$5:F$1021, MATCH(98, 'Detalles movimientos'!$W$5:$W$1021, 0)), "")</f>
        <v/>
      </c>
      <c r="F107" s="18">
        <f>IFERROR(INDEX('Detalles movimientos'!G$5:G$1021, MATCH(98, 'Detalles movimientos'!$W$5:$W$1021, 0)), "")</f>
        <v/>
      </c>
      <c r="G107" s="120">
        <f>IFERROR(INDEX('Detalles movimientos'!H$5:H$1021, MATCH(98, 'Detalles movimientos'!$W$5:$W$1021, 0)), "")</f>
        <v/>
      </c>
      <c r="H107" s="121">
        <f>IFERROR(INDEX('Detalles movimientos'!I$5:I$1021, MATCH(98, 'Detalles movimientos'!$W$5:$W$1021, 0)), "")</f>
        <v/>
      </c>
      <c r="I107" s="120">
        <f>IFERROR(INDEX('Detalles movimientos'!M$5:M$1021, MATCH(98, 'Detalles movimientos'!$W$5:$W$1021, 0)), "")</f>
        <v/>
      </c>
      <c r="J107" s="19">
        <f>IFERROR(INDEX('Detalles movimientos'!N$5:N$1021, MATCH(98, 'Detalles movimientos'!$W$5:$W$1021, 0)), "")</f>
        <v/>
      </c>
      <c r="K107" s="120">
        <f>IFERROR(INDEX('Detalles movimientos'!O$5:O$1021, MATCH(98, 'Detalles movimientos'!$W$5:$W$1021, 0)), "")</f>
        <v/>
      </c>
      <c r="L107" s="18">
        <f>IFERROR(INDEX('Detalles movimientos'!P$5:P$1021, MATCH(98, 'Detalles movimientos'!$W$5:$W$1021, 0)), "")</f>
        <v/>
      </c>
      <c r="M107" s="18">
        <f>IFERROR(INDEX('Detalles movimientos'!S$5:S$1021, MATCH(98, 'Detalles movimientos'!$W$5:$W$1021, 0)), "")</f>
        <v/>
      </c>
    </row>
    <row r="108">
      <c r="B108" s="119">
        <f>IFERROR(INDEX('Detalles movimientos'!C$5:C$1021, MATCH(99, 'Detalles movimientos'!$W$5:$W$1021, 0)), "")</f>
        <v/>
      </c>
      <c r="C108" s="18">
        <f>IFERROR(INDEX('Detalles movimientos'!D$5:D$1021, MATCH(99, 'Detalles movimientos'!$W$5:$W$1021, 0)), "")</f>
        <v/>
      </c>
      <c r="D108" s="19">
        <f>IFERROR(INDEX('Detalles movimientos'!E$5:E$1021, MATCH(99, 'Detalles movimientos'!$W$5:$W$1021, 0)), "")</f>
        <v/>
      </c>
      <c r="E108" s="19">
        <f>IFERROR(INDEX('Detalles movimientos'!F$5:F$1021, MATCH(99, 'Detalles movimientos'!$W$5:$W$1021, 0)), "")</f>
        <v/>
      </c>
      <c r="F108" s="18">
        <f>IFERROR(INDEX('Detalles movimientos'!G$5:G$1021, MATCH(99, 'Detalles movimientos'!$W$5:$W$1021, 0)), "")</f>
        <v/>
      </c>
      <c r="G108" s="120">
        <f>IFERROR(INDEX('Detalles movimientos'!H$5:H$1021, MATCH(99, 'Detalles movimientos'!$W$5:$W$1021, 0)), "")</f>
        <v/>
      </c>
      <c r="H108" s="121">
        <f>IFERROR(INDEX('Detalles movimientos'!I$5:I$1021, MATCH(99, 'Detalles movimientos'!$W$5:$W$1021, 0)), "")</f>
        <v/>
      </c>
      <c r="I108" s="120">
        <f>IFERROR(INDEX('Detalles movimientos'!M$5:M$1021, MATCH(99, 'Detalles movimientos'!$W$5:$W$1021, 0)), "")</f>
        <v/>
      </c>
      <c r="J108" s="19">
        <f>IFERROR(INDEX('Detalles movimientos'!N$5:N$1021, MATCH(99, 'Detalles movimientos'!$W$5:$W$1021, 0)), "")</f>
        <v/>
      </c>
      <c r="K108" s="120">
        <f>IFERROR(INDEX('Detalles movimientos'!O$5:O$1021, MATCH(99, 'Detalles movimientos'!$W$5:$W$1021, 0)), "")</f>
        <v/>
      </c>
      <c r="L108" s="18">
        <f>IFERROR(INDEX('Detalles movimientos'!P$5:P$1021, MATCH(99, 'Detalles movimientos'!$W$5:$W$1021, 0)), "")</f>
        <v/>
      </c>
      <c r="M108" s="18">
        <f>IFERROR(INDEX('Detalles movimientos'!S$5:S$1021, MATCH(99, 'Detalles movimientos'!$W$5:$W$1021, 0)), "")</f>
        <v/>
      </c>
    </row>
    <row r="109">
      <c r="B109" s="119">
        <f>IFERROR(INDEX('Detalles movimientos'!C$5:C$1021, MATCH(100, 'Detalles movimientos'!$W$5:$W$1021, 0)), "")</f>
        <v/>
      </c>
      <c r="C109" s="18">
        <f>IFERROR(INDEX('Detalles movimientos'!D$5:D$1021, MATCH(100, 'Detalles movimientos'!$W$5:$W$1021, 0)), "")</f>
        <v/>
      </c>
      <c r="D109" s="19">
        <f>IFERROR(INDEX('Detalles movimientos'!E$5:E$1021, MATCH(100, 'Detalles movimientos'!$W$5:$W$1021, 0)), "")</f>
        <v/>
      </c>
      <c r="E109" s="19">
        <f>IFERROR(INDEX('Detalles movimientos'!F$5:F$1021, MATCH(100, 'Detalles movimientos'!$W$5:$W$1021, 0)), "")</f>
        <v/>
      </c>
      <c r="F109" s="18">
        <f>IFERROR(INDEX('Detalles movimientos'!G$5:G$1021, MATCH(100, 'Detalles movimientos'!$W$5:$W$1021, 0)), "")</f>
        <v/>
      </c>
      <c r="G109" s="120">
        <f>IFERROR(INDEX('Detalles movimientos'!H$5:H$1021, MATCH(100, 'Detalles movimientos'!$W$5:$W$1021, 0)), "")</f>
        <v/>
      </c>
      <c r="H109" s="121">
        <f>IFERROR(INDEX('Detalles movimientos'!I$5:I$1021, MATCH(100, 'Detalles movimientos'!$W$5:$W$1021, 0)), "")</f>
        <v/>
      </c>
      <c r="I109" s="120">
        <f>IFERROR(INDEX('Detalles movimientos'!M$5:M$1021, MATCH(100, 'Detalles movimientos'!$W$5:$W$1021, 0)), "")</f>
        <v/>
      </c>
      <c r="J109" s="19">
        <f>IFERROR(INDEX('Detalles movimientos'!N$5:N$1021, MATCH(100, 'Detalles movimientos'!$W$5:$W$1021, 0)), "")</f>
        <v/>
      </c>
      <c r="K109" s="120">
        <f>IFERROR(INDEX('Detalles movimientos'!O$5:O$1021, MATCH(100, 'Detalles movimientos'!$W$5:$W$1021, 0)), "")</f>
        <v/>
      </c>
      <c r="L109" s="18">
        <f>IFERROR(INDEX('Detalles movimientos'!P$5:P$1021, MATCH(100, 'Detalles movimientos'!$W$5:$W$1021, 0)), "")</f>
        <v/>
      </c>
      <c r="M109" s="18">
        <f>IFERROR(INDEX('Detalles movimientos'!S$5:S$1021, MATCH(100, 'Detalles movimientos'!$W$5:$W$1021, 0)), "")</f>
        <v/>
      </c>
    </row>
    <row r="110">
      <c r="B110" s="119">
        <f>IFERROR(INDEX('Detalles movimientos'!C$5:C$1021, MATCH(101, 'Detalles movimientos'!$W$5:$W$1021, 0)), "")</f>
        <v/>
      </c>
      <c r="C110" s="18">
        <f>IFERROR(INDEX('Detalles movimientos'!D$5:D$1021, MATCH(101, 'Detalles movimientos'!$W$5:$W$1021, 0)), "")</f>
        <v/>
      </c>
      <c r="D110" s="19">
        <f>IFERROR(INDEX('Detalles movimientos'!E$5:E$1021, MATCH(101, 'Detalles movimientos'!$W$5:$W$1021, 0)), "")</f>
        <v/>
      </c>
      <c r="E110" s="19">
        <f>IFERROR(INDEX('Detalles movimientos'!F$5:F$1021, MATCH(101, 'Detalles movimientos'!$W$5:$W$1021, 0)), "")</f>
        <v/>
      </c>
      <c r="F110" s="18">
        <f>IFERROR(INDEX('Detalles movimientos'!G$5:G$1021, MATCH(101, 'Detalles movimientos'!$W$5:$W$1021, 0)), "")</f>
        <v/>
      </c>
      <c r="G110" s="120">
        <f>IFERROR(INDEX('Detalles movimientos'!H$5:H$1021, MATCH(101, 'Detalles movimientos'!$W$5:$W$1021, 0)), "")</f>
        <v/>
      </c>
      <c r="H110" s="121">
        <f>IFERROR(INDEX('Detalles movimientos'!I$5:I$1021, MATCH(101, 'Detalles movimientos'!$W$5:$W$1021, 0)), "")</f>
        <v/>
      </c>
      <c r="I110" s="120">
        <f>IFERROR(INDEX('Detalles movimientos'!M$5:M$1021, MATCH(101, 'Detalles movimientos'!$W$5:$W$1021, 0)), "")</f>
        <v/>
      </c>
      <c r="J110" s="19">
        <f>IFERROR(INDEX('Detalles movimientos'!N$5:N$1021, MATCH(101, 'Detalles movimientos'!$W$5:$W$1021, 0)), "")</f>
        <v/>
      </c>
      <c r="K110" s="120">
        <f>IFERROR(INDEX('Detalles movimientos'!O$5:O$1021, MATCH(101, 'Detalles movimientos'!$W$5:$W$1021, 0)), "")</f>
        <v/>
      </c>
      <c r="L110" s="18">
        <f>IFERROR(INDEX('Detalles movimientos'!P$5:P$1021, MATCH(101, 'Detalles movimientos'!$W$5:$W$1021, 0)), "")</f>
        <v/>
      </c>
      <c r="M110" s="18">
        <f>IFERROR(INDEX('Detalles movimientos'!S$5:S$1021, MATCH(101, 'Detalles movimientos'!$W$5:$W$1021, 0)), "")</f>
        <v/>
      </c>
    </row>
    <row r="111">
      <c r="B111" s="119">
        <f>IFERROR(INDEX('Detalles movimientos'!C$5:C$1021, MATCH(102, 'Detalles movimientos'!$W$5:$W$1021, 0)), "")</f>
        <v/>
      </c>
      <c r="C111" s="18">
        <f>IFERROR(INDEX('Detalles movimientos'!D$5:D$1021, MATCH(102, 'Detalles movimientos'!$W$5:$W$1021, 0)), "")</f>
        <v/>
      </c>
      <c r="D111" s="19">
        <f>IFERROR(INDEX('Detalles movimientos'!E$5:E$1021, MATCH(102, 'Detalles movimientos'!$W$5:$W$1021, 0)), "")</f>
        <v/>
      </c>
      <c r="E111" s="19">
        <f>IFERROR(INDEX('Detalles movimientos'!F$5:F$1021, MATCH(102, 'Detalles movimientos'!$W$5:$W$1021, 0)), "")</f>
        <v/>
      </c>
      <c r="F111" s="18">
        <f>IFERROR(INDEX('Detalles movimientos'!G$5:G$1021, MATCH(102, 'Detalles movimientos'!$W$5:$W$1021, 0)), "")</f>
        <v/>
      </c>
      <c r="G111" s="120">
        <f>IFERROR(INDEX('Detalles movimientos'!H$5:H$1021, MATCH(102, 'Detalles movimientos'!$W$5:$W$1021, 0)), "")</f>
        <v/>
      </c>
      <c r="H111" s="121">
        <f>IFERROR(INDEX('Detalles movimientos'!I$5:I$1021, MATCH(102, 'Detalles movimientos'!$W$5:$W$1021, 0)), "")</f>
        <v/>
      </c>
      <c r="I111" s="120">
        <f>IFERROR(INDEX('Detalles movimientos'!M$5:M$1021, MATCH(102, 'Detalles movimientos'!$W$5:$W$1021, 0)), "")</f>
        <v/>
      </c>
      <c r="J111" s="19">
        <f>IFERROR(INDEX('Detalles movimientos'!N$5:N$1021, MATCH(102, 'Detalles movimientos'!$W$5:$W$1021, 0)), "")</f>
        <v/>
      </c>
      <c r="K111" s="120">
        <f>IFERROR(INDEX('Detalles movimientos'!O$5:O$1021, MATCH(102, 'Detalles movimientos'!$W$5:$W$1021, 0)), "")</f>
        <v/>
      </c>
      <c r="L111" s="18">
        <f>IFERROR(INDEX('Detalles movimientos'!P$5:P$1021, MATCH(102, 'Detalles movimientos'!$W$5:$W$1021, 0)), "")</f>
        <v/>
      </c>
      <c r="M111" s="18">
        <f>IFERROR(INDEX('Detalles movimientos'!S$5:S$1021, MATCH(102, 'Detalles movimientos'!$W$5:$W$1021, 0)), "")</f>
        <v/>
      </c>
    </row>
    <row r="112">
      <c r="B112" s="119">
        <f>IFERROR(INDEX('Detalles movimientos'!C$5:C$1021, MATCH(103, 'Detalles movimientos'!$W$5:$W$1021, 0)), "")</f>
        <v/>
      </c>
      <c r="C112" s="18">
        <f>IFERROR(INDEX('Detalles movimientos'!D$5:D$1021, MATCH(103, 'Detalles movimientos'!$W$5:$W$1021, 0)), "")</f>
        <v/>
      </c>
      <c r="D112" s="19">
        <f>IFERROR(INDEX('Detalles movimientos'!E$5:E$1021, MATCH(103, 'Detalles movimientos'!$W$5:$W$1021, 0)), "")</f>
        <v/>
      </c>
      <c r="E112" s="19">
        <f>IFERROR(INDEX('Detalles movimientos'!F$5:F$1021, MATCH(103, 'Detalles movimientos'!$W$5:$W$1021, 0)), "")</f>
        <v/>
      </c>
      <c r="F112" s="18">
        <f>IFERROR(INDEX('Detalles movimientos'!G$5:G$1021, MATCH(103, 'Detalles movimientos'!$W$5:$W$1021, 0)), "")</f>
        <v/>
      </c>
      <c r="G112" s="120">
        <f>IFERROR(INDEX('Detalles movimientos'!H$5:H$1021, MATCH(103, 'Detalles movimientos'!$W$5:$W$1021, 0)), "")</f>
        <v/>
      </c>
      <c r="H112" s="121">
        <f>IFERROR(INDEX('Detalles movimientos'!I$5:I$1021, MATCH(103, 'Detalles movimientos'!$W$5:$W$1021, 0)), "")</f>
        <v/>
      </c>
      <c r="I112" s="120">
        <f>IFERROR(INDEX('Detalles movimientos'!M$5:M$1021, MATCH(103, 'Detalles movimientos'!$W$5:$W$1021, 0)), "")</f>
        <v/>
      </c>
      <c r="J112" s="19">
        <f>IFERROR(INDEX('Detalles movimientos'!N$5:N$1021, MATCH(103, 'Detalles movimientos'!$W$5:$W$1021, 0)), "")</f>
        <v/>
      </c>
      <c r="K112" s="120">
        <f>IFERROR(INDEX('Detalles movimientos'!O$5:O$1021, MATCH(103, 'Detalles movimientos'!$W$5:$W$1021, 0)), "")</f>
        <v/>
      </c>
      <c r="L112" s="18">
        <f>IFERROR(INDEX('Detalles movimientos'!P$5:P$1021, MATCH(103, 'Detalles movimientos'!$W$5:$W$1021, 0)), "")</f>
        <v/>
      </c>
      <c r="M112" s="18">
        <f>IFERROR(INDEX('Detalles movimientos'!S$5:S$1021, MATCH(103, 'Detalles movimientos'!$W$5:$W$1021, 0)), "")</f>
        <v/>
      </c>
    </row>
    <row r="113">
      <c r="B113" s="119">
        <f>IFERROR(INDEX('Detalles movimientos'!C$5:C$1021, MATCH(104, 'Detalles movimientos'!$W$5:$W$1021, 0)), "")</f>
        <v/>
      </c>
      <c r="C113" s="18">
        <f>IFERROR(INDEX('Detalles movimientos'!D$5:D$1021, MATCH(104, 'Detalles movimientos'!$W$5:$W$1021, 0)), "")</f>
        <v/>
      </c>
      <c r="D113" s="19">
        <f>IFERROR(INDEX('Detalles movimientos'!E$5:E$1021, MATCH(104, 'Detalles movimientos'!$W$5:$W$1021, 0)), "")</f>
        <v/>
      </c>
      <c r="E113" s="19">
        <f>IFERROR(INDEX('Detalles movimientos'!F$5:F$1021, MATCH(104, 'Detalles movimientos'!$W$5:$W$1021, 0)), "")</f>
        <v/>
      </c>
      <c r="F113" s="18">
        <f>IFERROR(INDEX('Detalles movimientos'!G$5:G$1021, MATCH(104, 'Detalles movimientos'!$W$5:$W$1021, 0)), "")</f>
        <v/>
      </c>
      <c r="G113" s="120">
        <f>IFERROR(INDEX('Detalles movimientos'!H$5:H$1021, MATCH(104, 'Detalles movimientos'!$W$5:$W$1021, 0)), "")</f>
        <v/>
      </c>
      <c r="H113" s="121">
        <f>IFERROR(INDEX('Detalles movimientos'!I$5:I$1021, MATCH(104, 'Detalles movimientos'!$W$5:$W$1021, 0)), "")</f>
        <v/>
      </c>
      <c r="I113" s="120">
        <f>IFERROR(INDEX('Detalles movimientos'!M$5:M$1021, MATCH(104, 'Detalles movimientos'!$W$5:$W$1021, 0)), "")</f>
        <v/>
      </c>
      <c r="J113" s="19">
        <f>IFERROR(INDEX('Detalles movimientos'!N$5:N$1021, MATCH(104, 'Detalles movimientos'!$W$5:$W$1021, 0)), "")</f>
        <v/>
      </c>
      <c r="K113" s="120">
        <f>IFERROR(INDEX('Detalles movimientos'!O$5:O$1021, MATCH(104, 'Detalles movimientos'!$W$5:$W$1021, 0)), "")</f>
        <v/>
      </c>
      <c r="L113" s="18">
        <f>IFERROR(INDEX('Detalles movimientos'!P$5:P$1021, MATCH(104, 'Detalles movimientos'!$W$5:$W$1021, 0)), "")</f>
        <v/>
      </c>
      <c r="M113" s="18">
        <f>IFERROR(INDEX('Detalles movimientos'!S$5:S$1021, MATCH(104, 'Detalles movimientos'!$W$5:$W$1021, 0)), "")</f>
        <v/>
      </c>
    </row>
    <row r="114">
      <c r="B114" s="119">
        <f>IFERROR(INDEX('Detalles movimientos'!C$5:C$1021, MATCH(105, 'Detalles movimientos'!$W$5:$W$1021, 0)), "")</f>
        <v/>
      </c>
      <c r="C114" s="18">
        <f>IFERROR(INDEX('Detalles movimientos'!D$5:D$1021, MATCH(105, 'Detalles movimientos'!$W$5:$W$1021, 0)), "")</f>
        <v/>
      </c>
      <c r="D114" s="19">
        <f>IFERROR(INDEX('Detalles movimientos'!E$5:E$1021, MATCH(105, 'Detalles movimientos'!$W$5:$W$1021, 0)), "")</f>
        <v/>
      </c>
      <c r="E114" s="19">
        <f>IFERROR(INDEX('Detalles movimientos'!F$5:F$1021, MATCH(105, 'Detalles movimientos'!$W$5:$W$1021, 0)), "")</f>
        <v/>
      </c>
      <c r="F114" s="18">
        <f>IFERROR(INDEX('Detalles movimientos'!G$5:G$1021, MATCH(105, 'Detalles movimientos'!$W$5:$W$1021, 0)), "")</f>
        <v/>
      </c>
      <c r="G114" s="120">
        <f>IFERROR(INDEX('Detalles movimientos'!H$5:H$1021, MATCH(105, 'Detalles movimientos'!$W$5:$W$1021, 0)), "")</f>
        <v/>
      </c>
      <c r="H114" s="121">
        <f>IFERROR(INDEX('Detalles movimientos'!I$5:I$1021, MATCH(105, 'Detalles movimientos'!$W$5:$W$1021, 0)), "")</f>
        <v/>
      </c>
      <c r="I114" s="120">
        <f>IFERROR(INDEX('Detalles movimientos'!M$5:M$1021, MATCH(105, 'Detalles movimientos'!$W$5:$W$1021, 0)), "")</f>
        <v/>
      </c>
      <c r="J114" s="19">
        <f>IFERROR(INDEX('Detalles movimientos'!N$5:N$1021, MATCH(105, 'Detalles movimientos'!$W$5:$W$1021, 0)), "")</f>
        <v/>
      </c>
      <c r="K114" s="120">
        <f>IFERROR(INDEX('Detalles movimientos'!O$5:O$1021, MATCH(105, 'Detalles movimientos'!$W$5:$W$1021, 0)), "")</f>
        <v/>
      </c>
      <c r="L114" s="18">
        <f>IFERROR(INDEX('Detalles movimientos'!P$5:P$1021, MATCH(105, 'Detalles movimientos'!$W$5:$W$1021, 0)), "")</f>
        <v/>
      </c>
      <c r="M114" s="18">
        <f>IFERROR(INDEX('Detalles movimientos'!S$5:S$1021, MATCH(105, 'Detalles movimientos'!$W$5:$W$1021, 0)), "")</f>
        <v/>
      </c>
    </row>
    <row r="115">
      <c r="B115" s="119">
        <f>IFERROR(INDEX('Detalles movimientos'!C$5:C$1021, MATCH(106, 'Detalles movimientos'!$W$5:$W$1021, 0)), "")</f>
        <v/>
      </c>
      <c r="C115" s="18">
        <f>IFERROR(INDEX('Detalles movimientos'!D$5:D$1021, MATCH(106, 'Detalles movimientos'!$W$5:$W$1021, 0)), "")</f>
        <v/>
      </c>
      <c r="D115" s="19">
        <f>IFERROR(INDEX('Detalles movimientos'!E$5:E$1021, MATCH(106, 'Detalles movimientos'!$W$5:$W$1021, 0)), "")</f>
        <v/>
      </c>
      <c r="E115" s="19">
        <f>IFERROR(INDEX('Detalles movimientos'!F$5:F$1021, MATCH(106, 'Detalles movimientos'!$W$5:$W$1021, 0)), "")</f>
        <v/>
      </c>
      <c r="F115" s="18">
        <f>IFERROR(INDEX('Detalles movimientos'!G$5:G$1021, MATCH(106, 'Detalles movimientos'!$W$5:$W$1021, 0)), "")</f>
        <v/>
      </c>
      <c r="G115" s="120">
        <f>IFERROR(INDEX('Detalles movimientos'!H$5:H$1021, MATCH(106, 'Detalles movimientos'!$W$5:$W$1021, 0)), "")</f>
        <v/>
      </c>
      <c r="H115" s="121">
        <f>IFERROR(INDEX('Detalles movimientos'!I$5:I$1021, MATCH(106, 'Detalles movimientos'!$W$5:$W$1021, 0)), "")</f>
        <v/>
      </c>
      <c r="I115" s="120">
        <f>IFERROR(INDEX('Detalles movimientos'!M$5:M$1021, MATCH(106, 'Detalles movimientos'!$W$5:$W$1021, 0)), "")</f>
        <v/>
      </c>
      <c r="J115" s="19">
        <f>IFERROR(INDEX('Detalles movimientos'!N$5:N$1021, MATCH(106, 'Detalles movimientos'!$W$5:$W$1021, 0)), "")</f>
        <v/>
      </c>
      <c r="K115" s="120">
        <f>IFERROR(INDEX('Detalles movimientos'!O$5:O$1021, MATCH(106, 'Detalles movimientos'!$W$5:$W$1021, 0)), "")</f>
        <v/>
      </c>
      <c r="L115" s="18">
        <f>IFERROR(INDEX('Detalles movimientos'!P$5:P$1021, MATCH(106, 'Detalles movimientos'!$W$5:$W$1021, 0)), "")</f>
        <v/>
      </c>
      <c r="M115" s="18">
        <f>IFERROR(INDEX('Detalles movimientos'!S$5:S$1021, MATCH(106, 'Detalles movimientos'!$W$5:$W$1021, 0)), "")</f>
        <v/>
      </c>
    </row>
    <row r="116">
      <c r="B116" s="119">
        <f>IFERROR(INDEX('Detalles movimientos'!C$5:C$1021, MATCH(107, 'Detalles movimientos'!$W$5:$W$1021, 0)), "")</f>
        <v/>
      </c>
      <c r="C116" s="18">
        <f>IFERROR(INDEX('Detalles movimientos'!D$5:D$1021, MATCH(107, 'Detalles movimientos'!$W$5:$W$1021, 0)), "")</f>
        <v/>
      </c>
      <c r="D116" s="19">
        <f>IFERROR(INDEX('Detalles movimientos'!E$5:E$1021, MATCH(107, 'Detalles movimientos'!$W$5:$W$1021, 0)), "")</f>
        <v/>
      </c>
      <c r="E116" s="19">
        <f>IFERROR(INDEX('Detalles movimientos'!F$5:F$1021, MATCH(107, 'Detalles movimientos'!$W$5:$W$1021, 0)), "")</f>
        <v/>
      </c>
      <c r="F116" s="18">
        <f>IFERROR(INDEX('Detalles movimientos'!G$5:G$1021, MATCH(107, 'Detalles movimientos'!$W$5:$W$1021, 0)), "")</f>
        <v/>
      </c>
      <c r="G116" s="120">
        <f>IFERROR(INDEX('Detalles movimientos'!H$5:H$1021, MATCH(107, 'Detalles movimientos'!$W$5:$W$1021, 0)), "")</f>
        <v/>
      </c>
      <c r="H116" s="121">
        <f>IFERROR(INDEX('Detalles movimientos'!I$5:I$1021, MATCH(107, 'Detalles movimientos'!$W$5:$W$1021, 0)), "")</f>
        <v/>
      </c>
      <c r="I116" s="120">
        <f>IFERROR(INDEX('Detalles movimientos'!M$5:M$1021, MATCH(107, 'Detalles movimientos'!$W$5:$W$1021, 0)), "")</f>
        <v/>
      </c>
      <c r="J116" s="19">
        <f>IFERROR(INDEX('Detalles movimientos'!N$5:N$1021, MATCH(107, 'Detalles movimientos'!$W$5:$W$1021, 0)), "")</f>
        <v/>
      </c>
      <c r="K116" s="120">
        <f>IFERROR(INDEX('Detalles movimientos'!O$5:O$1021, MATCH(107, 'Detalles movimientos'!$W$5:$W$1021, 0)), "")</f>
        <v/>
      </c>
      <c r="L116" s="18">
        <f>IFERROR(INDEX('Detalles movimientos'!P$5:P$1021, MATCH(107, 'Detalles movimientos'!$W$5:$W$1021, 0)), "")</f>
        <v/>
      </c>
      <c r="M116" s="18">
        <f>IFERROR(INDEX('Detalles movimientos'!S$5:S$1021, MATCH(107, 'Detalles movimientos'!$W$5:$W$1021, 0)), "")</f>
        <v/>
      </c>
    </row>
    <row r="117">
      <c r="B117" s="119">
        <f>IFERROR(INDEX('Detalles movimientos'!C$5:C$1021, MATCH(108, 'Detalles movimientos'!$W$5:$W$1021, 0)), "")</f>
        <v/>
      </c>
      <c r="C117" s="18">
        <f>IFERROR(INDEX('Detalles movimientos'!D$5:D$1021, MATCH(108, 'Detalles movimientos'!$W$5:$W$1021, 0)), "")</f>
        <v/>
      </c>
      <c r="D117" s="19">
        <f>IFERROR(INDEX('Detalles movimientos'!E$5:E$1021, MATCH(108, 'Detalles movimientos'!$W$5:$W$1021, 0)), "")</f>
        <v/>
      </c>
      <c r="E117" s="19">
        <f>IFERROR(INDEX('Detalles movimientos'!F$5:F$1021, MATCH(108, 'Detalles movimientos'!$W$5:$W$1021, 0)), "")</f>
        <v/>
      </c>
      <c r="F117" s="18">
        <f>IFERROR(INDEX('Detalles movimientos'!G$5:G$1021, MATCH(108, 'Detalles movimientos'!$W$5:$W$1021, 0)), "")</f>
        <v/>
      </c>
      <c r="G117" s="120">
        <f>IFERROR(INDEX('Detalles movimientos'!H$5:H$1021, MATCH(108, 'Detalles movimientos'!$W$5:$W$1021, 0)), "")</f>
        <v/>
      </c>
      <c r="H117" s="121">
        <f>IFERROR(INDEX('Detalles movimientos'!I$5:I$1021, MATCH(108, 'Detalles movimientos'!$W$5:$W$1021, 0)), "")</f>
        <v/>
      </c>
      <c r="I117" s="120">
        <f>IFERROR(INDEX('Detalles movimientos'!M$5:M$1021, MATCH(108, 'Detalles movimientos'!$W$5:$W$1021, 0)), "")</f>
        <v/>
      </c>
      <c r="J117" s="19">
        <f>IFERROR(INDEX('Detalles movimientos'!N$5:N$1021, MATCH(108, 'Detalles movimientos'!$W$5:$W$1021, 0)), "")</f>
        <v/>
      </c>
      <c r="K117" s="120">
        <f>IFERROR(INDEX('Detalles movimientos'!O$5:O$1021, MATCH(108, 'Detalles movimientos'!$W$5:$W$1021, 0)), "")</f>
        <v/>
      </c>
      <c r="L117" s="18">
        <f>IFERROR(INDEX('Detalles movimientos'!P$5:P$1021, MATCH(108, 'Detalles movimientos'!$W$5:$W$1021, 0)), "")</f>
        <v/>
      </c>
      <c r="M117" s="18">
        <f>IFERROR(INDEX('Detalles movimientos'!S$5:S$1021, MATCH(108, 'Detalles movimientos'!$W$5:$W$1021, 0)), "")</f>
        <v/>
      </c>
    </row>
    <row r="118">
      <c r="B118" s="119">
        <f>IFERROR(INDEX('Detalles movimientos'!C$5:C$1021, MATCH(109, 'Detalles movimientos'!$W$5:$W$1021, 0)), "")</f>
        <v/>
      </c>
      <c r="C118" s="18">
        <f>IFERROR(INDEX('Detalles movimientos'!D$5:D$1021, MATCH(109, 'Detalles movimientos'!$W$5:$W$1021, 0)), "")</f>
        <v/>
      </c>
      <c r="D118" s="19">
        <f>IFERROR(INDEX('Detalles movimientos'!E$5:E$1021, MATCH(109, 'Detalles movimientos'!$W$5:$W$1021, 0)), "")</f>
        <v/>
      </c>
      <c r="E118" s="19">
        <f>IFERROR(INDEX('Detalles movimientos'!F$5:F$1021, MATCH(109, 'Detalles movimientos'!$W$5:$W$1021, 0)), "")</f>
        <v/>
      </c>
      <c r="F118" s="18">
        <f>IFERROR(INDEX('Detalles movimientos'!G$5:G$1021, MATCH(109, 'Detalles movimientos'!$W$5:$W$1021, 0)), "")</f>
        <v/>
      </c>
      <c r="G118" s="120">
        <f>IFERROR(INDEX('Detalles movimientos'!H$5:H$1021, MATCH(109, 'Detalles movimientos'!$W$5:$W$1021, 0)), "")</f>
        <v/>
      </c>
      <c r="H118" s="121">
        <f>IFERROR(INDEX('Detalles movimientos'!I$5:I$1021, MATCH(109, 'Detalles movimientos'!$W$5:$W$1021, 0)), "")</f>
        <v/>
      </c>
      <c r="I118" s="120">
        <f>IFERROR(INDEX('Detalles movimientos'!M$5:M$1021, MATCH(109, 'Detalles movimientos'!$W$5:$W$1021, 0)), "")</f>
        <v/>
      </c>
      <c r="J118" s="19">
        <f>IFERROR(INDEX('Detalles movimientos'!N$5:N$1021, MATCH(109, 'Detalles movimientos'!$W$5:$W$1021, 0)), "")</f>
        <v/>
      </c>
      <c r="K118" s="120">
        <f>IFERROR(INDEX('Detalles movimientos'!O$5:O$1021, MATCH(109, 'Detalles movimientos'!$W$5:$W$1021, 0)), "")</f>
        <v/>
      </c>
      <c r="L118" s="18">
        <f>IFERROR(INDEX('Detalles movimientos'!P$5:P$1021, MATCH(109, 'Detalles movimientos'!$W$5:$W$1021, 0)), "")</f>
        <v/>
      </c>
      <c r="M118" s="18">
        <f>IFERROR(INDEX('Detalles movimientos'!S$5:S$1021, MATCH(109, 'Detalles movimientos'!$W$5:$W$1021, 0)), "")</f>
        <v/>
      </c>
    </row>
    <row r="119">
      <c r="B119" s="119">
        <f>IFERROR(INDEX('Detalles movimientos'!C$5:C$1021, MATCH(110, 'Detalles movimientos'!$W$5:$W$1021, 0)), "")</f>
        <v/>
      </c>
      <c r="C119" s="18">
        <f>IFERROR(INDEX('Detalles movimientos'!D$5:D$1021, MATCH(110, 'Detalles movimientos'!$W$5:$W$1021, 0)), "")</f>
        <v/>
      </c>
      <c r="D119" s="19">
        <f>IFERROR(INDEX('Detalles movimientos'!E$5:E$1021, MATCH(110, 'Detalles movimientos'!$W$5:$W$1021, 0)), "")</f>
        <v/>
      </c>
      <c r="E119" s="19">
        <f>IFERROR(INDEX('Detalles movimientos'!F$5:F$1021, MATCH(110, 'Detalles movimientos'!$W$5:$W$1021, 0)), "")</f>
        <v/>
      </c>
      <c r="F119" s="18">
        <f>IFERROR(INDEX('Detalles movimientos'!G$5:G$1021, MATCH(110, 'Detalles movimientos'!$W$5:$W$1021, 0)), "")</f>
        <v/>
      </c>
      <c r="G119" s="120">
        <f>IFERROR(INDEX('Detalles movimientos'!H$5:H$1021, MATCH(110, 'Detalles movimientos'!$W$5:$W$1021, 0)), "")</f>
        <v/>
      </c>
      <c r="H119" s="121">
        <f>IFERROR(INDEX('Detalles movimientos'!I$5:I$1021, MATCH(110, 'Detalles movimientos'!$W$5:$W$1021, 0)), "")</f>
        <v/>
      </c>
      <c r="I119" s="120">
        <f>IFERROR(INDEX('Detalles movimientos'!M$5:M$1021, MATCH(110, 'Detalles movimientos'!$W$5:$W$1021, 0)), "")</f>
        <v/>
      </c>
      <c r="J119" s="19">
        <f>IFERROR(INDEX('Detalles movimientos'!N$5:N$1021, MATCH(110, 'Detalles movimientos'!$W$5:$W$1021, 0)), "")</f>
        <v/>
      </c>
      <c r="K119" s="120">
        <f>IFERROR(INDEX('Detalles movimientos'!O$5:O$1021, MATCH(110, 'Detalles movimientos'!$W$5:$W$1021, 0)), "")</f>
        <v/>
      </c>
      <c r="L119" s="18">
        <f>IFERROR(INDEX('Detalles movimientos'!P$5:P$1021, MATCH(110, 'Detalles movimientos'!$W$5:$W$1021, 0)), "")</f>
        <v/>
      </c>
      <c r="M119" s="18">
        <f>IFERROR(INDEX('Detalles movimientos'!S$5:S$1021, MATCH(110, 'Detalles movimientos'!$W$5:$W$1021, 0)), "")</f>
        <v/>
      </c>
    </row>
    <row r="120">
      <c r="B120" s="119">
        <f>IFERROR(INDEX('Detalles movimientos'!C$5:C$1021, MATCH(111, 'Detalles movimientos'!$W$5:$W$1021, 0)), "")</f>
        <v/>
      </c>
      <c r="C120" s="18">
        <f>IFERROR(INDEX('Detalles movimientos'!D$5:D$1021, MATCH(111, 'Detalles movimientos'!$W$5:$W$1021, 0)), "")</f>
        <v/>
      </c>
      <c r="D120" s="19">
        <f>IFERROR(INDEX('Detalles movimientos'!E$5:E$1021, MATCH(111, 'Detalles movimientos'!$W$5:$W$1021, 0)), "")</f>
        <v/>
      </c>
      <c r="E120" s="19">
        <f>IFERROR(INDEX('Detalles movimientos'!F$5:F$1021, MATCH(111, 'Detalles movimientos'!$W$5:$W$1021, 0)), "")</f>
        <v/>
      </c>
      <c r="F120" s="18">
        <f>IFERROR(INDEX('Detalles movimientos'!G$5:G$1021, MATCH(111, 'Detalles movimientos'!$W$5:$W$1021, 0)), "")</f>
        <v/>
      </c>
      <c r="G120" s="120">
        <f>IFERROR(INDEX('Detalles movimientos'!H$5:H$1021, MATCH(111, 'Detalles movimientos'!$W$5:$W$1021, 0)), "")</f>
        <v/>
      </c>
      <c r="H120" s="121">
        <f>IFERROR(INDEX('Detalles movimientos'!I$5:I$1021, MATCH(111, 'Detalles movimientos'!$W$5:$W$1021, 0)), "")</f>
        <v/>
      </c>
      <c r="I120" s="120">
        <f>IFERROR(INDEX('Detalles movimientos'!M$5:M$1021, MATCH(111, 'Detalles movimientos'!$W$5:$W$1021, 0)), "")</f>
        <v/>
      </c>
      <c r="J120" s="19">
        <f>IFERROR(INDEX('Detalles movimientos'!N$5:N$1021, MATCH(111, 'Detalles movimientos'!$W$5:$W$1021, 0)), "")</f>
        <v/>
      </c>
      <c r="K120" s="120">
        <f>IFERROR(INDEX('Detalles movimientos'!O$5:O$1021, MATCH(111, 'Detalles movimientos'!$W$5:$W$1021, 0)), "")</f>
        <v/>
      </c>
      <c r="L120" s="18">
        <f>IFERROR(INDEX('Detalles movimientos'!P$5:P$1021, MATCH(111, 'Detalles movimientos'!$W$5:$W$1021, 0)), "")</f>
        <v/>
      </c>
      <c r="M120" s="18">
        <f>IFERROR(INDEX('Detalles movimientos'!S$5:S$1021, MATCH(111, 'Detalles movimientos'!$W$5:$W$1021, 0)), "")</f>
        <v/>
      </c>
    </row>
    <row r="121">
      <c r="B121" s="119">
        <f>IFERROR(INDEX('Detalles movimientos'!C$5:C$1021, MATCH(112, 'Detalles movimientos'!$W$5:$W$1021, 0)), "")</f>
        <v/>
      </c>
      <c r="C121" s="18">
        <f>IFERROR(INDEX('Detalles movimientos'!D$5:D$1021, MATCH(112, 'Detalles movimientos'!$W$5:$W$1021, 0)), "")</f>
        <v/>
      </c>
      <c r="D121" s="19">
        <f>IFERROR(INDEX('Detalles movimientos'!E$5:E$1021, MATCH(112, 'Detalles movimientos'!$W$5:$W$1021, 0)), "")</f>
        <v/>
      </c>
      <c r="E121" s="19">
        <f>IFERROR(INDEX('Detalles movimientos'!F$5:F$1021, MATCH(112, 'Detalles movimientos'!$W$5:$W$1021, 0)), "")</f>
        <v/>
      </c>
      <c r="F121" s="18">
        <f>IFERROR(INDEX('Detalles movimientos'!G$5:G$1021, MATCH(112, 'Detalles movimientos'!$W$5:$W$1021, 0)), "")</f>
        <v/>
      </c>
      <c r="G121" s="120">
        <f>IFERROR(INDEX('Detalles movimientos'!H$5:H$1021, MATCH(112, 'Detalles movimientos'!$W$5:$W$1021, 0)), "")</f>
        <v/>
      </c>
      <c r="H121" s="121">
        <f>IFERROR(INDEX('Detalles movimientos'!I$5:I$1021, MATCH(112, 'Detalles movimientos'!$W$5:$W$1021, 0)), "")</f>
        <v/>
      </c>
      <c r="I121" s="120">
        <f>IFERROR(INDEX('Detalles movimientos'!M$5:M$1021, MATCH(112, 'Detalles movimientos'!$W$5:$W$1021, 0)), "")</f>
        <v/>
      </c>
      <c r="J121" s="19">
        <f>IFERROR(INDEX('Detalles movimientos'!N$5:N$1021, MATCH(112, 'Detalles movimientos'!$W$5:$W$1021, 0)), "")</f>
        <v/>
      </c>
      <c r="K121" s="120">
        <f>IFERROR(INDEX('Detalles movimientos'!O$5:O$1021, MATCH(112, 'Detalles movimientos'!$W$5:$W$1021, 0)), "")</f>
        <v/>
      </c>
      <c r="L121" s="18">
        <f>IFERROR(INDEX('Detalles movimientos'!P$5:P$1021, MATCH(112, 'Detalles movimientos'!$W$5:$W$1021, 0)), "")</f>
        <v/>
      </c>
      <c r="M121" s="18">
        <f>IFERROR(INDEX('Detalles movimientos'!S$5:S$1021, MATCH(112, 'Detalles movimientos'!$W$5:$W$1021, 0)), "")</f>
        <v/>
      </c>
    </row>
    <row r="122">
      <c r="B122" s="119">
        <f>IFERROR(INDEX('Detalles movimientos'!C$5:C$1021, MATCH(113, 'Detalles movimientos'!$W$5:$W$1021, 0)), "")</f>
        <v/>
      </c>
      <c r="C122" s="18">
        <f>IFERROR(INDEX('Detalles movimientos'!D$5:D$1021, MATCH(113, 'Detalles movimientos'!$W$5:$W$1021, 0)), "")</f>
        <v/>
      </c>
      <c r="D122" s="19">
        <f>IFERROR(INDEX('Detalles movimientos'!E$5:E$1021, MATCH(113, 'Detalles movimientos'!$W$5:$W$1021, 0)), "")</f>
        <v/>
      </c>
      <c r="E122" s="19">
        <f>IFERROR(INDEX('Detalles movimientos'!F$5:F$1021, MATCH(113, 'Detalles movimientos'!$W$5:$W$1021, 0)), "")</f>
        <v/>
      </c>
      <c r="F122" s="18">
        <f>IFERROR(INDEX('Detalles movimientos'!G$5:G$1021, MATCH(113, 'Detalles movimientos'!$W$5:$W$1021, 0)), "")</f>
        <v/>
      </c>
      <c r="G122" s="120">
        <f>IFERROR(INDEX('Detalles movimientos'!H$5:H$1021, MATCH(113, 'Detalles movimientos'!$W$5:$W$1021, 0)), "")</f>
        <v/>
      </c>
      <c r="H122" s="121">
        <f>IFERROR(INDEX('Detalles movimientos'!I$5:I$1021, MATCH(113, 'Detalles movimientos'!$W$5:$W$1021, 0)), "")</f>
        <v/>
      </c>
      <c r="I122" s="120">
        <f>IFERROR(INDEX('Detalles movimientos'!M$5:M$1021, MATCH(113, 'Detalles movimientos'!$W$5:$W$1021, 0)), "")</f>
        <v/>
      </c>
      <c r="J122" s="19">
        <f>IFERROR(INDEX('Detalles movimientos'!N$5:N$1021, MATCH(113, 'Detalles movimientos'!$W$5:$W$1021, 0)), "")</f>
        <v/>
      </c>
      <c r="K122" s="120">
        <f>IFERROR(INDEX('Detalles movimientos'!O$5:O$1021, MATCH(113, 'Detalles movimientos'!$W$5:$W$1021, 0)), "")</f>
        <v/>
      </c>
      <c r="L122" s="18">
        <f>IFERROR(INDEX('Detalles movimientos'!P$5:P$1021, MATCH(113, 'Detalles movimientos'!$W$5:$W$1021, 0)), "")</f>
        <v/>
      </c>
      <c r="M122" s="18">
        <f>IFERROR(INDEX('Detalles movimientos'!S$5:S$1021, MATCH(113, 'Detalles movimientos'!$W$5:$W$1021, 0)), "")</f>
        <v/>
      </c>
    </row>
    <row r="123">
      <c r="B123" s="119">
        <f>IFERROR(INDEX('Detalles movimientos'!C$5:C$1021, MATCH(114, 'Detalles movimientos'!$W$5:$W$1021, 0)), "")</f>
        <v/>
      </c>
      <c r="C123" s="18">
        <f>IFERROR(INDEX('Detalles movimientos'!D$5:D$1021, MATCH(114, 'Detalles movimientos'!$W$5:$W$1021, 0)), "")</f>
        <v/>
      </c>
      <c r="D123" s="19">
        <f>IFERROR(INDEX('Detalles movimientos'!E$5:E$1021, MATCH(114, 'Detalles movimientos'!$W$5:$W$1021, 0)), "")</f>
        <v/>
      </c>
      <c r="E123" s="19">
        <f>IFERROR(INDEX('Detalles movimientos'!F$5:F$1021, MATCH(114, 'Detalles movimientos'!$W$5:$W$1021, 0)), "")</f>
        <v/>
      </c>
      <c r="F123" s="18">
        <f>IFERROR(INDEX('Detalles movimientos'!G$5:G$1021, MATCH(114, 'Detalles movimientos'!$W$5:$W$1021, 0)), "")</f>
        <v/>
      </c>
      <c r="G123" s="120">
        <f>IFERROR(INDEX('Detalles movimientos'!H$5:H$1021, MATCH(114, 'Detalles movimientos'!$W$5:$W$1021, 0)), "")</f>
        <v/>
      </c>
      <c r="H123" s="121">
        <f>IFERROR(INDEX('Detalles movimientos'!I$5:I$1021, MATCH(114, 'Detalles movimientos'!$W$5:$W$1021, 0)), "")</f>
        <v/>
      </c>
      <c r="I123" s="120">
        <f>IFERROR(INDEX('Detalles movimientos'!M$5:M$1021, MATCH(114, 'Detalles movimientos'!$W$5:$W$1021, 0)), "")</f>
        <v/>
      </c>
      <c r="J123" s="19">
        <f>IFERROR(INDEX('Detalles movimientos'!N$5:N$1021, MATCH(114, 'Detalles movimientos'!$W$5:$W$1021, 0)), "")</f>
        <v/>
      </c>
      <c r="K123" s="120">
        <f>IFERROR(INDEX('Detalles movimientos'!O$5:O$1021, MATCH(114, 'Detalles movimientos'!$W$5:$W$1021, 0)), "")</f>
        <v/>
      </c>
      <c r="L123" s="18">
        <f>IFERROR(INDEX('Detalles movimientos'!P$5:P$1021, MATCH(114, 'Detalles movimientos'!$W$5:$W$1021, 0)), "")</f>
        <v/>
      </c>
      <c r="M123" s="18">
        <f>IFERROR(INDEX('Detalles movimientos'!S$5:S$1021, MATCH(114, 'Detalles movimientos'!$W$5:$W$1021, 0)), "")</f>
        <v/>
      </c>
    </row>
    <row r="124">
      <c r="B124" s="119">
        <f>IFERROR(INDEX('Detalles movimientos'!C$5:C$1021, MATCH(115, 'Detalles movimientos'!$W$5:$W$1021, 0)), "")</f>
        <v/>
      </c>
      <c r="C124" s="18">
        <f>IFERROR(INDEX('Detalles movimientos'!D$5:D$1021, MATCH(115, 'Detalles movimientos'!$W$5:$W$1021, 0)), "")</f>
        <v/>
      </c>
      <c r="D124" s="19">
        <f>IFERROR(INDEX('Detalles movimientos'!E$5:E$1021, MATCH(115, 'Detalles movimientos'!$W$5:$W$1021, 0)), "")</f>
        <v/>
      </c>
      <c r="E124" s="19">
        <f>IFERROR(INDEX('Detalles movimientos'!F$5:F$1021, MATCH(115, 'Detalles movimientos'!$W$5:$W$1021, 0)), "")</f>
        <v/>
      </c>
      <c r="F124" s="18">
        <f>IFERROR(INDEX('Detalles movimientos'!G$5:G$1021, MATCH(115, 'Detalles movimientos'!$W$5:$W$1021, 0)), "")</f>
        <v/>
      </c>
      <c r="G124" s="120">
        <f>IFERROR(INDEX('Detalles movimientos'!H$5:H$1021, MATCH(115, 'Detalles movimientos'!$W$5:$W$1021, 0)), "")</f>
        <v/>
      </c>
      <c r="H124" s="121">
        <f>IFERROR(INDEX('Detalles movimientos'!I$5:I$1021, MATCH(115, 'Detalles movimientos'!$W$5:$W$1021, 0)), "")</f>
        <v/>
      </c>
      <c r="I124" s="120">
        <f>IFERROR(INDEX('Detalles movimientos'!M$5:M$1021, MATCH(115, 'Detalles movimientos'!$W$5:$W$1021, 0)), "")</f>
        <v/>
      </c>
      <c r="J124" s="19">
        <f>IFERROR(INDEX('Detalles movimientos'!N$5:N$1021, MATCH(115, 'Detalles movimientos'!$W$5:$W$1021, 0)), "")</f>
        <v/>
      </c>
      <c r="K124" s="120">
        <f>IFERROR(INDEX('Detalles movimientos'!O$5:O$1021, MATCH(115, 'Detalles movimientos'!$W$5:$W$1021, 0)), "")</f>
        <v/>
      </c>
      <c r="L124" s="18">
        <f>IFERROR(INDEX('Detalles movimientos'!P$5:P$1021, MATCH(115, 'Detalles movimientos'!$W$5:$W$1021, 0)), "")</f>
        <v/>
      </c>
      <c r="M124" s="18">
        <f>IFERROR(INDEX('Detalles movimientos'!S$5:S$1021, MATCH(115, 'Detalles movimientos'!$W$5:$W$1021, 0)), "")</f>
        <v/>
      </c>
    </row>
    <row r="125">
      <c r="B125" s="119">
        <f>IFERROR(INDEX('Detalles movimientos'!C$5:C$1021, MATCH(116, 'Detalles movimientos'!$W$5:$W$1021, 0)), "")</f>
        <v/>
      </c>
      <c r="C125" s="18">
        <f>IFERROR(INDEX('Detalles movimientos'!D$5:D$1021, MATCH(116, 'Detalles movimientos'!$W$5:$W$1021, 0)), "")</f>
        <v/>
      </c>
      <c r="D125" s="19">
        <f>IFERROR(INDEX('Detalles movimientos'!E$5:E$1021, MATCH(116, 'Detalles movimientos'!$W$5:$W$1021, 0)), "")</f>
        <v/>
      </c>
      <c r="E125" s="19">
        <f>IFERROR(INDEX('Detalles movimientos'!F$5:F$1021, MATCH(116, 'Detalles movimientos'!$W$5:$W$1021, 0)), "")</f>
        <v/>
      </c>
      <c r="F125" s="18">
        <f>IFERROR(INDEX('Detalles movimientos'!G$5:G$1021, MATCH(116, 'Detalles movimientos'!$W$5:$W$1021, 0)), "")</f>
        <v/>
      </c>
      <c r="G125" s="120">
        <f>IFERROR(INDEX('Detalles movimientos'!H$5:H$1021, MATCH(116, 'Detalles movimientos'!$W$5:$W$1021, 0)), "")</f>
        <v/>
      </c>
      <c r="H125" s="121">
        <f>IFERROR(INDEX('Detalles movimientos'!I$5:I$1021, MATCH(116, 'Detalles movimientos'!$W$5:$W$1021, 0)), "")</f>
        <v/>
      </c>
      <c r="I125" s="120">
        <f>IFERROR(INDEX('Detalles movimientos'!M$5:M$1021, MATCH(116, 'Detalles movimientos'!$W$5:$W$1021, 0)), "")</f>
        <v/>
      </c>
      <c r="J125" s="19">
        <f>IFERROR(INDEX('Detalles movimientos'!N$5:N$1021, MATCH(116, 'Detalles movimientos'!$W$5:$W$1021, 0)), "")</f>
        <v/>
      </c>
      <c r="K125" s="120">
        <f>IFERROR(INDEX('Detalles movimientos'!O$5:O$1021, MATCH(116, 'Detalles movimientos'!$W$5:$W$1021, 0)), "")</f>
        <v/>
      </c>
      <c r="L125" s="18">
        <f>IFERROR(INDEX('Detalles movimientos'!P$5:P$1021, MATCH(116, 'Detalles movimientos'!$W$5:$W$1021, 0)), "")</f>
        <v/>
      </c>
      <c r="M125" s="18">
        <f>IFERROR(INDEX('Detalles movimientos'!S$5:S$1021, MATCH(116, 'Detalles movimientos'!$W$5:$W$1021, 0)), "")</f>
        <v/>
      </c>
    </row>
    <row r="126">
      <c r="B126" s="119">
        <f>IFERROR(INDEX('Detalles movimientos'!C$5:C$1021, MATCH(117, 'Detalles movimientos'!$W$5:$W$1021, 0)), "")</f>
        <v/>
      </c>
      <c r="C126" s="18">
        <f>IFERROR(INDEX('Detalles movimientos'!D$5:D$1021, MATCH(117, 'Detalles movimientos'!$W$5:$W$1021, 0)), "")</f>
        <v/>
      </c>
      <c r="D126" s="19">
        <f>IFERROR(INDEX('Detalles movimientos'!E$5:E$1021, MATCH(117, 'Detalles movimientos'!$W$5:$W$1021, 0)), "")</f>
        <v/>
      </c>
      <c r="E126" s="19">
        <f>IFERROR(INDEX('Detalles movimientos'!F$5:F$1021, MATCH(117, 'Detalles movimientos'!$W$5:$W$1021, 0)), "")</f>
        <v/>
      </c>
      <c r="F126" s="18">
        <f>IFERROR(INDEX('Detalles movimientos'!G$5:G$1021, MATCH(117, 'Detalles movimientos'!$W$5:$W$1021, 0)), "")</f>
        <v/>
      </c>
      <c r="G126" s="120">
        <f>IFERROR(INDEX('Detalles movimientos'!H$5:H$1021, MATCH(117, 'Detalles movimientos'!$W$5:$W$1021, 0)), "")</f>
        <v/>
      </c>
      <c r="H126" s="121">
        <f>IFERROR(INDEX('Detalles movimientos'!I$5:I$1021, MATCH(117, 'Detalles movimientos'!$W$5:$W$1021, 0)), "")</f>
        <v/>
      </c>
      <c r="I126" s="120">
        <f>IFERROR(INDEX('Detalles movimientos'!M$5:M$1021, MATCH(117, 'Detalles movimientos'!$W$5:$W$1021, 0)), "")</f>
        <v/>
      </c>
      <c r="J126" s="19">
        <f>IFERROR(INDEX('Detalles movimientos'!N$5:N$1021, MATCH(117, 'Detalles movimientos'!$W$5:$W$1021, 0)), "")</f>
        <v/>
      </c>
      <c r="K126" s="120">
        <f>IFERROR(INDEX('Detalles movimientos'!O$5:O$1021, MATCH(117, 'Detalles movimientos'!$W$5:$W$1021, 0)), "")</f>
        <v/>
      </c>
      <c r="L126" s="18">
        <f>IFERROR(INDEX('Detalles movimientos'!P$5:P$1021, MATCH(117, 'Detalles movimientos'!$W$5:$W$1021, 0)), "")</f>
        <v/>
      </c>
      <c r="M126" s="18">
        <f>IFERROR(INDEX('Detalles movimientos'!S$5:S$1021, MATCH(117, 'Detalles movimientos'!$W$5:$W$1021, 0)), "")</f>
        <v/>
      </c>
    </row>
    <row r="127">
      <c r="B127" s="119">
        <f>IFERROR(INDEX('Detalles movimientos'!C$5:C$1021, MATCH(118, 'Detalles movimientos'!$W$5:$W$1021, 0)), "")</f>
        <v/>
      </c>
      <c r="C127" s="18">
        <f>IFERROR(INDEX('Detalles movimientos'!D$5:D$1021, MATCH(118, 'Detalles movimientos'!$W$5:$W$1021, 0)), "")</f>
        <v/>
      </c>
      <c r="D127" s="19">
        <f>IFERROR(INDEX('Detalles movimientos'!E$5:E$1021, MATCH(118, 'Detalles movimientos'!$W$5:$W$1021, 0)), "")</f>
        <v/>
      </c>
      <c r="E127" s="19">
        <f>IFERROR(INDEX('Detalles movimientos'!F$5:F$1021, MATCH(118, 'Detalles movimientos'!$W$5:$W$1021, 0)), "")</f>
        <v/>
      </c>
      <c r="F127" s="18">
        <f>IFERROR(INDEX('Detalles movimientos'!G$5:G$1021, MATCH(118, 'Detalles movimientos'!$W$5:$W$1021, 0)), "")</f>
        <v/>
      </c>
      <c r="G127" s="120">
        <f>IFERROR(INDEX('Detalles movimientos'!H$5:H$1021, MATCH(118, 'Detalles movimientos'!$W$5:$W$1021, 0)), "")</f>
        <v/>
      </c>
      <c r="H127" s="121">
        <f>IFERROR(INDEX('Detalles movimientos'!I$5:I$1021, MATCH(118, 'Detalles movimientos'!$W$5:$W$1021, 0)), "")</f>
        <v/>
      </c>
      <c r="I127" s="120">
        <f>IFERROR(INDEX('Detalles movimientos'!M$5:M$1021, MATCH(118, 'Detalles movimientos'!$W$5:$W$1021, 0)), "")</f>
        <v/>
      </c>
      <c r="J127" s="19">
        <f>IFERROR(INDEX('Detalles movimientos'!N$5:N$1021, MATCH(118, 'Detalles movimientos'!$W$5:$W$1021, 0)), "")</f>
        <v/>
      </c>
      <c r="K127" s="120">
        <f>IFERROR(INDEX('Detalles movimientos'!O$5:O$1021, MATCH(118, 'Detalles movimientos'!$W$5:$W$1021, 0)), "")</f>
        <v/>
      </c>
      <c r="L127" s="18">
        <f>IFERROR(INDEX('Detalles movimientos'!P$5:P$1021, MATCH(118, 'Detalles movimientos'!$W$5:$W$1021, 0)), "")</f>
        <v/>
      </c>
      <c r="M127" s="18">
        <f>IFERROR(INDEX('Detalles movimientos'!S$5:S$1021, MATCH(118, 'Detalles movimientos'!$W$5:$W$1021, 0)), "")</f>
        <v/>
      </c>
    </row>
    <row r="128">
      <c r="B128" s="119">
        <f>IFERROR(INDEX('Detalles movimientos'!C$5:C$1021, MATCH(119, 'Detalles movimientos'!$W$5:$W$1021, 0)), "")</f>
        <v/>
      </c>
      <c r="C128" s="18">
        <f>IFERROR(INDEX('Detalles movimientos'!D$5:D$1021, MATCH(119, 'Detalles movimientos'!$W$5:$W$1021, 0)), "")</f>
        <v/>
      </c>
      <c r="D128" s="19">
        <f>IFERROR(INDEX('Detalles movimientos'!E$5:E$1021, MATCH(119, 'Detalles movimientos'!$W$5:$W$1021, 0)), "")</f>
        <v/>
      </c>
      <c r="E128" s="19">
        <f>IFERROR(INDEX('Detalles movimientos'!F$5:F$1021, MATCH(119, 'Detalles movimientos'!$W$5:$W$1021, 0)), "")</f>
        <v/>
      </c>
      <c r="F128" s="18">
        <f>IFERROR(INDEX('Detalles movimientos'!G$5:G$1021, MATCH(119, 'Detalles movimientos'!$W$5:$W$1021, 0)), "")</f>
        <v/>
      </c>
      <c r="G128" s="120">
        <f>IFERROR(INDEX('Detalles movimientos'!H$5:H$1021, MATCH(119, 'Detalles movimientos'!$W$5:$W$1021, 0)), "")</f>
        <v/>
      </c>
      <c r="H128" s="121">
        <f>IFERROR(INDEX('Detalles movimientos'!I$5:I$1021, MATCH(119, 'Detalles movimientos'!$W$5:$W$1021, 0)), "")</f>
        <v/>
      </c>
      <c r="I128" s="120">
        <f>IFERROR(INDEX('Detalles movimientos'!M$5:M$1021, MATCH(119, 'Detalles movimientos'!$W$5:$W$1021, 0)), "")</f>
        <v/>
      </c>
      <c r="J128" s="19">
        <f>IFERROR(INDEX('Detalles movimientos'!N$5:N$1021, MATCH(119, 'Detalles movimientos'!$W$5:$W$1021, 0)), "")</f>
        <v/>
      </c>
      <c r="K128" s="120">
        <f>IFERROR(INDEX('Detalles movimientos'!O$5:O$1021, MATCH(119, 'Detalles movimientos'!$W$5:$W$1021, 0)), "")</f>
        <v/>
      </c>
      <c r="L128" s="18">
        <f>IFERROR(INDEX('Detalles movimientos'!P$5:P$1021, MATCH(119, 'Detalles movimientos'!$W$5:$W$1021, 0)), "")</f>
        <v/>
      </c>
      <c r="M128" s="18">
        <f>IFERROR(INDEX('Detalles movimientos'!S$5:S$1021, MATCH(119, 'Detalles movimientos'!$W$5:$W$1021, 0)), "")</f>
        <v/>
      </c>
    </row>
    <row r="129">
      <c r="B129" s="119">
        <f>IFERROR(INDEX('Detalles movimientos'!C$5:C$1021, MATCH(120, 'Detalles movimientos'!$W$5:$W$1021, 0)), "")</f>
        <v/>
      </c>
      <c r="C129" s="18">
        <f>IFERROR(INDEX('Detalles movimientos'!D$5:D$1021, MATCH(120, 'Detalles movimientos'!$W$5:$W$1021, 0)), "")</f>
        <v/>
      </c>
      <c r="D129" s="19">
        <f>IFERROR(INDEX('Detalles movimientos'!E$5:E$1021, MATCH(120, 'Detalles movimientos'!$W$5:$W$1021, 0)), "")</f>
        <v/>
      </c>
      <c r="E129" s="19">
        <f>IFERROR(INDEX('Detalles movimientos'!F$5:F$1021, MATCH(120, 'Detalles movimientos'!$W$5:$W$1021, 0)), "")</f>
        <v/>
      </c>
      <c r="F129" s="18">
        <f>IFERROR(INDEX('Detalles movimientos'!G$5:G$1021, MATCH(120, 'Detalles movimientos'!$W$5:$W$1021, 0)), "")</f>
        <v/>
      </c>
      <c r="G129" s="120">
        <f>IFERROR(INDEX('Detalles movimientos'!H$5:H$1021, MATCH(120, 'Detalles movimientos'!$W$5:$W$1021, 0)), "")</f>
        <v/>
      </c>
      <c r="H129" s="121">
        <f>IFERROR(INDEX('Detalles movimientos'!I$5:I$1021, MATCH(120, 'Detalles movimientos'!$W$5:$W$1021, 0)), "")</f>
        <v/>
      </c>
      <c r="I129" s="120">
        <f>IFERROR(INDEX('Detalles movimientos'!M$5:M$1021, MATCH(120, 'Detalles movimientos'!$W$5:$W$1021, 0)), "")</f>
        <v/>
      </c>
      <c r="J129" s="19">
        <f>IFERROR(INDEX('Detalles movimientos'!N$5:N$1021, MATCH(120, 'Detalles movimientos'!$W$5:$W$1021, 0)), "")</f>
        <v/>
      </c>
      <c r="K129" s="120">
        <f>IFERROR(INDEX('Detalles movimientos'!O$5:O$1021, MATCH(120, 'Detalles movimientos'!$W$5:$W$1021, 0)), "")</f>
        <v/>
      </c>
      <c r="L129" s="18">
        <f>IFERROR(INDEX('Detalles movimientos'!P$5:P$1021, MATCH(120, 'Detalles movimientos'!$W$5:$W$1021, 0)), "")</f>
        <v/>
      </c>
      <c r="M129" s="18">
        <f>IFERROR(INDEX('Detalles movimientos'!S$5:S$1021, MATCH(120, 'Detalles movimientos'!$W$5:$W$1021, 0)), "")</f>
        <v/>
      </c>
    </row>
    <row r="130">
      <c r="B130" s="119">
        <f>IFERROR(INDEX('Detalles movimientos'!C$5:C$1021, MATCH(121, 'Detalles movimientos'!$W$5:$W$1021, 0)), "")</f>
        <v/>
      </c>
      <c r="C130" s="18">
        <f>IFERROR(INDEX('Detalles movimientos'!D$5:D$1021, MATCH(121, 'Detalles movimientos'!$W$5:$W$1021, 0)), "")</f>
        <v/>
      </c>
      <c r="D130" s="19">
        <f>IFERROR(INDEX('Detalles movimientos'!E$5:E$1021, MATCH(121, 'Detalles movimientos'!$W$5:$W$1021, 0)), "")</f>
        <v/>
      </c>
      <c r="E130" s="19">
        <f>IFERROR(INDEX('Detalles movimientos'!F$5:F$1021, MATCH(121, 'Detalles movimientos'!$W$5:$W$1021, 0)), "")</f>
        <v/>
      </c>
      <c r="F130" s="18">
        <f>IFERROR(INDEX('Detalles movimientos'!G$5:G$1021, MATCH(121, 'Detalles movimientos'!$W$5:$W$1021, 0)), "")</f>
        <v/>
      </c>
      <c r="G130" s="120">
        <f>IFERROR(INDEX('Detalles movimientos'!H$5:H$1021, MATCH(121, 'Detalles movimientos'!$W$5:$W$1021, 0)), "")</f>
        <v/>
      </c>
      <c r="H130" s="121">
        <f>IFERROR(INDEX('Detalles movimientos'!I$5:I$1021, MATCH(121, 'Detalles movimientos'!$W$5:$W$1021, 0)), "")</f>
        <v/>
      </c>
      <c r="I130" s="120">
        <f>IFERROR(INDEX('Detalles movimientos'!M$5:M$1021, MATCH(121, 'Detalles movimientos'!$W$5:$W$1021, 0)), "")</f>
        <v/>
      </c>
      <c r="J130" s="19">
        <f>IFERROR(INDEX('Detalles movimientos'!N$5:N$1021, MATCH(121, 'Detalles movimientos'!$W$5:$W$1021, 0)), "")</f>
        <v/>
      </c>
      <c r="K130" s="120">
        <f>IFERROR(INDEX('Detalles movimientos'!O$5:O$1021, MATCH(121, 'Detalles movimientos'!$W$5:$W$1021, 0)), "")</f>
        <v/>
      </c>
      <c r="L130" s="18">
        <f>IFERROR(INDEX('Detalles movimientos'!P$5:P$1021, MATCH(121, 'Detalles movimientos'!$W$5:$W$1021, 0)), "")</f>
        <v/>
      </c>
      <c r="M130" s="18">
        <f>IFERROR(INDEX('Detalles movimientos'!S$5:S$1021, MATCH(121, 'Detalles movimientos'!$W$5:$W$1021, 0)), "")</f>
        <v/>
      </c>
    </row>
    <row r="131">
      <c r="B131" s="119">
        <f>IFERROR(INDEX('Detalles movimientos'!C$5:C$1021, MATCH(122, 'Detalles movimientos'!$W$5:$W$1021, 0)), "")</f>
        <v/>
      </c>
      <c r="C131" s="18">
        <f>IFERROR(INDEX('Detalles movimientos'!D$5:D$1021, MATCH(122, 'Detalles movimientos'!$W$5:$W$1021, 0)), "")</f>
        <v/>
      </c>
      <c r="D131" s="19">
        <f>IFERROR(INDEX('Detalles movimientos'!E$5:E$1021, MATCH(122, 'Detalles movimientos'!$W$5:$W$1021, 0)), "")</f>
        <v/>
      </c>
      <c r="E131" s="19">
        <f>IFERROR(INDEX('Detalles movimientos'!F$5:F$1021, MATCH(122, 'Detalles movimientos'!$W$5:$W$1021, 0)), "")</f>
        <v/>
      </c>
      <c r="F131" s="18">
        <f>IFERROR(INDEX('Detalles movimientos'!G$5:G$1021, MATCH(122, 'Detalles movimientos'!$W$5:$W$1021, 0)), "")</f>
        <v/>
      </c>
      <c r="G131" s="120">
        <f>IFERROR(INDEX('Detalles movimientos'!H$5:H$1021, MATCH(122, 'Detalles movimientos'!$W$5:$W$1021, 0)), "")</f>
        <v/>
      </c>
      <c r="H131" s="121">
        <f>IFERROR(INDEX('Detalles movimientos'!I$5:I$1021, MATCH(122, 'Detalles movimientos'!$W$5:$W$1021, 0)), "")</f>
        <v/>
      </c>
      <c r="I131" s="120">
        <f>IFERROR(INDEX('Detalles movimientos'!M$5:M$1021, MATCH(122, 'Detalles movimientos'!$W$5:$W$1021, 0)), "")</f>
        <v/>
      </c>
      <c r="J131" s="19">
        <f>IFERROR(INDEX('Detalles movimientos'!N$5:N$1021, MATCH(122, 'Detalles movimientos'!$W$5:$W$1021, 0)), "")</f>
        <v/>
      </c>
      <c r="K131" s="120">
        <f>IFERROR(INDEX('Detalles movimientos'!O$5:O$1021, MATCH(122, 'Detalles movimientos'!$W$5:$W$1021, 0)), "")</f>
        <v/>
      </c>
      <c r="L131" s="18">
        <f>IFERROR(INDEX('Detalles movimientos'!P$5:P$1021, MATCH(122, 'Detalles movimientos'!$W$5:$W$1021, 0)), "")</f>
        <v/>
      </c>
      <c r="M131" s="18">
        <f>IFERROR(INDEX('Detalles movimientos'!S$5:S$1021, MATCH(122, 'Detalles movimientos'!$W$5:$W$1021, 0)), "")</f>
        <v/>
      </c>
    </row>
    <row r="132">
      <c r="B132" s="119">
        <f>IFERROR(INDEX('Detalles movimientos'!C$5:C$1021, MATCH(123, 'Detalles movimientos'!$W$5:$W$1021, 0)), "")</f>
        <v/>
      </c>
      <c r="C132" s="18">
        <f>IFERROR(INDEX('Detalles movimientos'!D$5:D$1021, MATCH(123, 'Detalles movimientos'!$W$5:$W$1021, 0)), "")</f>
        <v/>
      </c>
      <c r="D132" s="19">
        <f>IFERROR(INDEX('Detalles movimientos'!E$5:E$1021, MATCH(123, 'Detalles movimientos'!$W$5:$W$1021, 0)), "")</f>
        <v/>
      </c>
      <c r="E132" s="19">
        <f>IFERROR(INDEX('Detalles movimientos'!F$5:F$1021, MATCH(123, 'Detalles movimientos'!$W$5:$W$1021, 0)), "")</f>
        <v/>
      </c>
      <c r="F132" s="18">
        <f>IFERROR(INDEX('Detalles movimientos'!G$5:G$1021, MATCH(123, 'Detalles movimientos'!$W$5:$W$1021, 0)), "")</f>
        <v/>
      </c>
      <c r="G132" s="120">
        <f>IFERROR(INDEX('Detalles movimientos'!H$5:H$1021, MATCH(123, 'Detalles movimientos'!$W$5:$W$1021, 0)), "")</f>
        <v/>
      </c>
      <c r="H132" s="121">
        <f>IFERROR(INDEX('Detalles movimientos'!I$5:I$1021, MATCH(123, 'Detalles movimientos'!$W$5:$W$1021, 0)), "")</f>
        <v/>
      </c>
      <c r="I132" s="120">
        <f>IFERROR(INDEX('Detalles movimientos'!M$5:M$1021, MATCH(123, 'Detalles movimientos'!$W$5:$W$1021, 0)), "")</f>
        <v/>
      </c>
      <c r="J132" s="19">
        <f>IFERROR(INDEX('Detalles movimientos'!N$5:N$1021, MATCH(123, 'Detalles movimientos'!$W$5:$W$1021, 0)), "")</f>
        <v/>
      </c>
      <c r="K132" s="120">
        <f>IFERROR(INDEX('Detalles movimientos'!O$5:O$1021, MATCH(123, 'Detalles movimientos'!$W$5:$W$1021, 0)), "")</f>
        <v/>
      </c>
      <c r="L132" s="18">
        <f>IFERROR(INDEX('Detalles movimientos'!P$5:P$1021, MATCH(123, 'Detalles movimientos'!$W$5:$W$1021, 0)), "")</f>
        <v/>
      </c>
      <c r="M132" s="18">
        <f>IFERROR(INDEX('Detalles movimientos'!S$5:S$1021, MATCH(123, 'Detalles movimientos'!$W$5:$W$1021, 0)), "")</f>
        <v/>
      </c>
    </row>
    <row r="133">
      <c r="B133" s="119">
        <f>IFERROR(INDEX('Detalles movimientos'!C$5:C$1021, MATCH(124, 'Detalles movimientos'!$W$5:$W$1021, 0)), "")</f>
        <v/>
      </c>
      <c r="C133" s="18">
        <f>IFERROR(INDEX('Detalles movimientos'!D$5:D$1021, MATCH(124, 'Detalles movimientos'!$W$5:$W$1021, 0)), "")</f>
        <v/>
      </c>
      <c r="D133" s="19">
        <f>IFERROR(INDEX('Detalles movimientos'!E$5:E$1021, MATCH(124, 'Detalles movimientos'!$W$5:$W$1021, 0)), "")</f>
        <v/>
      </c>
      <c r="E133" s="19">
        <f>IFERROR(INDEX('Detalles movimientos'!F$5:F$1021, MATCH(124, 'Detalles movimientos'!$W$5:$W$1021, 0)), "")</f>
        <v/>
      </c>
      <c r="F133" s="18">
        <f>IFERROR(INDEX('Detalles movimientos'!G$5:G$1021, MATCH(124, 'Detalles movimientos'!$W$5:$W$1021, 0)), "")</f>
        <v/>
      </c>
      <c r="G133" s="120">
        <f>IFERROR(INDEX('Detalles movimientos'!H$5:H$1021, MATCH(124, 'Detalles movimientos'!$W$5:$W$1021, 0)), "")</f>
        <v/>
      </c>
      <c r="H133" s="121">
        <f>IFERROR(INDEX('Detalles movimientos'!I$5:I$1021, MATCH(124, 'Detalles movimientos'!$W$5:$W$1021, 0)), "")</f>
        <v/>
      </c>
      <c r="I133" s="120">
        <f>IFERROR(INDEX('Detalles movimientos'!M$5:M$1021, MATCH(124, 'Detalles movimientos'!$W$5:$W$1021, 0)), "")</f>
        <v/>
      </c>
      <c r="J133" s="19">
        <f>IFERROR(INDEX('Detalles movimientos'!N$5:N$1021, MATCH(124, 'Detalles movimientos'!$W$5:$W$1021, 0)), "")</f>
        <v/>
      </c>
      <c r="K133" s="120">
        <f>IFERROR(INDEX('Detalles movimientos'!O$5:O$1021, MATCH(124, 'Detalles movimientos'!$W$5:$W$1021, 0)), "")</f>
        <v/>
      </c>
      <c r="L133" s="18">
        <f>IFERROR(INDEX('Detalles movimientos'!P$5:P$1021, MATCH(124, 'Detalles movimientos'!$W$5:$W$1021, 0)), "")</f>
        <v/>
      </c>
      <c r="M133" s="18">
        <f>IFERROR(INDEX('Detalles movimientos'!S$5:S$1021, MATCH(124, 'Detalles movimientos'!$W$5:$W$1021, 0)), "")</f>
        <v/>
      </c>
    </row>
    <row r="134">
      <c r="B134" s="119">
        <f>IFERROR(INDEX('Detalles movimientos'!C$5:C$1021, MATCH(125, 'Detalles movimientos'!$W$5:$W$1021, 0)), "")</f>
        <v/>
      </c>
      <c r="C134" s="18">
        <f>IFERROR(INDEX('Detalles movimientos'!D$5:D$1021, MATCH(125, 'Detalles movimientos'!$W$5:$W$1021, 0)), "")</f>
        <v/>
      </c>
      <c r="D134" s="19">
        <f>IFERROR(INDEX('Detalles movimientos'!E$5:E$1021, MATCH(125, 'Detalles movimientos'!$W$5:$W$1021, 0)), "")</f>
        <v/>
      </c>
      <c r="E134" s="19">
        <f>IFERROR(INDEX('Detalles movimientos'!F$5:F$1021, MATCH(125, 'Detalles movimientos'!$W$5:$W$1021, 0)), "")</f>
        <v/>
      </c>
      <c r="F134" s="18">
        <f>IFERROR(INDEX('Detalles movimientos'!G$5:G$1021, MATCH(125, 'Detalles movimientos'!$W$5:$W$1021, 0)), "")</f>
        <v/>
      </c>
      <c r="G134" s="120">
        <f>IFERROR(INDEX('Detalles movimientos'!H$5:H$1021, MATCH(125, 'Detalles movimientos'!$W$5:$W$1021, 0)), "")</f>
        <v/>
      </c>
      <c r="H134" s="121">
        <f>IFERROR(INDEX('Detalles movimientos'!I$5:I$1021, MATCH(125, 'Detalles movimientos'!$W$5:$W$1021, 0)), "")</f>
        <v/>
      </c>
      <c r="I134" s="120">
        <f>IFERROR(INDEX('Detalles movimientos'!M$5:M$1021, MATCH(125, 'Detalles movimientos'!$W$5:$W$1021, 0)), "")</f>
        <v/>
      </c>
      <c r="J134" s="19">
        <f>IFERROR(INDEX('Detalles movimientos'!N$5:N$1021, MATCH(125, 'Detalles movimientos'!$W$5:$W$1021, 0)), "")</f>
        <v/>
      </c>
      <c r="K134" s="120">
        <f>IFERROR(INDEX('Detalles movimientos'!O$5:O$1021, MATCH(125, 'Detalles movimientos'!$W$5:$W$1021, 0)), "")</f>
        <v/>
      </c>
      <c r="L134" s="18">
        <f>IFERROR(INDEX('Detalles movimientos'!P$5:P$1021, MATCH(125, 'Detalles movimientos'!$W$5:$W$1021, 0)), "")</f>
        <v/>
      </c>
      <c r="M134" s="18">
        <f>IFERROR(INDEX('Detalles movimientos'!S$5:S$1021, MATCH(125, 'Detalles movimientos'!$W$5:$W$1021, 0)), "")</f>
        <v/>
      </c>
    </row>
    <row r="135">
      <c r="B135" s="119">
        <f>IFERROR(INDEX('Detalles movimientos'!C$5:C$1021, MATCH(126, 'Detalles movimientos'!$W$5:$W$1021, 0)), "")</f>
        <v/>
      </c>
      <c r="C135" s="18">
        <f>IFERROR(INDEX('Detalles movimientos'!D$5:D$1021, MATCH(126, 'Detalles movimientos'!$W$5:$W$1021, 0)), "")</f>
        <v/>
      </c>
      <c r="D135" s="19">
        <f>IFERROR(INDEX('Detalles movimientos'!E$5:E$1021, MATCH(126, 'Detalles movimientos'!$W$5:$W$1021, 0)), "")</f>
        <v/>
      </c>
      <c r="E135" s="19">
        <f>IFERROR(INDEX('Detalles movimientos'!F$5:F$1021, MATCH(126, 'Detalles movimientos'!$W$5:$W$1021, 0)), "")</f>
        <v/>
      </c>
      <c r="F135" s="18">
        <f>IFERROR(INDEX('Detalles movimientos'!G$5:G$1021, MATCH(126, 'Detalles movimientos'!$W$5:$W$1021, 0)), "")</f>
        <v/>
      </c>
      <c r="G135" s="120">
        <f>IFERROR(INDEX('Detalles movimientos'!H$5:H$1021, MATCH(126, 'Detalles movimientos'!$W$5:$W$1021, 0)), "")</f>
        <v/>
      </c>
      <c r="H135" s="121">
        <f>IFERROR(INDEX('Detalles movimientos'!I$5:I$1021, MATCH(126, 'Detalles movimientos'!$W$5:$W$1021, 0)), "")</f>
        <v/>
      </c>
      <c r="I135" s="120">
        <f>IFERROR(INDEX('Detalles movimientos'!M$5:M$1021, MATCH(126, 'Detalles movimientos'!$W$5:$W$1021, 0)), "")</f>
        <v/>
      </c>
      <c r="J135" s="19">
        <f>IFERROR(INDEX('Detalles movimientos'!N$5:N$1021, MATCH(126, 'Detalles movimientos'!$W$5:$W$1021, 0)), "")</f>
        <v/>
      </c>
      <c r="K135" s="120">
        <f>IFERROR(INDEX('Detalles movimientos'!O$5:O$1021, MATCH(126, 'Detalles movimientos'!$W$5:$W$1021, 0)), "")</f>
        <v/>
      </c>
      <c r="L135" s="18">
        <f>IFERROR(INDEX('Detalles movimientos'!P$5:P$1021, MATCH(126, 'Detalles movimientos'!$W$5:$W$1021, 0)), "")</f>
        <v/>
      </c>
      <c r="M135" s="18">
        <f>IFERROR(INDEX('Detalles movimientos'!S$5:S$1021, MATCH(126, 'Detalles movimientos'!$W$5:$W$1021, 0)), "")</f>
        <v/>
      </c>
    </row>
    <row r="136">
      <c r="B136" s="119">
        <f>IFERROR(INDEX('Detalles movimientos'!C$5:C$1021, MATCH(127, 'Detalles movimientos'!$W$5:$W$1021, 0)), "")</f>
        <v/>
      </c>
      <c r="C136" s="18">
        <f>IFERROR(INDEX('Detalles movimientos'!D$5:D$1021, MATCH(127, 'Detalles movimientos'!$W$5:$W$1021, 0)), "")</f>
        <v/>
      </c>
      <c r="D136" s="19">
        <f>IFERROR(INDEX('Detalles movimientos'!E$5:E$1021, MATCH(127, 'Detalles movimientos'!$W$5:$W$1021, 0)), "")</f>
        <v/>
      </c>
      <c r="E136" s="19">
        <f>IFERROR(INDEX('Detalles movimientos'!F$5:F$1021, MATCH(127, 'Detalles movimientos'!$W$5:$W$1021, 0)), "")</f>
        <v/>
      </c>
      <c r="F136" s="18">
        <f>IFERROR(INDEX('Detalles movimientos'!G$5:G$1021, MATCH(127, 'Detalles movimientos'!$W$5:$W$1021, 0)), "")</f>
        <v/>
      </c>
      <c r="G136" s="120">
        <f>IFERROR(INDEX('Detalles movimientos'!H$5:H$1021, MATCH(127, 'Detalles movimientos'!$W$5:$W$1021, 0)), "")</f>
        <v/>
      </c>
      <c r="H136" s="121">
        <f>IFERROR(INDEX('Detalles movimientos'!I$5:I$1021, MATCH(127, 'Detalles movimientos'!$W$5:$W$1021, 0)), "")</f>
        <v/>
      </c>
      <c r="I136" s="120">
        <f>IFERROR(INDEX('Detalles movimientos'!M$5:M$1021, MATCH(127, 'Detalles movimientos'!$W$5:$W$1021, 0)), "")</f>
        <v/>
      </c>
      <c r="J136" s="19">
        <f>IFERROR(INDEX('Detalles movimientos'!N$5:N$1021, MATCH(127, 'Detalles movimientos'!$W$5:$W$1021, 0)), "")</f>
        <v/>
      </c>
      <c r="K136" s="120">
        <f>IFERROR(INDEX('Detalles movimientos'!O$5:O$1021, MATCH(127, 'Detalles movimientos'!$W$5:$W$1021, 0)), "")</f>
        <v/>
      </c>
      <c r="L136" s="18">
        <f>IFERROR(INDEX('Detalles movimientos'!P$5:P$1021, MATCH(127, 'Detalles movimientos'!$W$5:$W$1021, 0)), "")</f>
        <v/>
      </c>
      <c r="M136" s="18">
        <f>IFERROR(INDEX('Detalles movimientos'!S$5:S$1021, MATCH(127, 'Detalles movimientos'!$W$5:$W$1021, 0)), "")</f>
        <v/>
      </c>
    </row>
    <row r="137">
      <c r="B137" s="119">
        <f>IFERROR(INDEX('Detalles movimientos'!C$5:C$1021, MATCH(128, 'Detalles movimientos'!$W$5:$W$1021, 0)), "")</f>
        <v/>
      </c>
      <c r="C137" s="18">
        <f>IFERROR(INDEX('Detalles movimientos'!D$5:D$1021, MATCH(128, 'Detalles movimientos'!$W$5:$W$1021, 0)), "")</f>
        <v/>
      </c>
      <c r="D137" s="19">
        <f>IFERROR(INDEX('Detalles movimientos'!E$5:E$1021, MATCH(128, 'Detalles movimientos'!$W$5:$W$1021, 0)), "")</f>
        <v/>
      </c>
      <c r="E137" s="19">
        <f>IFERROR(INDEX('Detalles movimientos'!F$5:F$1021, MATCH(128, 'Detalles movimientos'!$W$5:$W$1021, 0)), "")</f>
        <v/>
      </c>
      <c r="F137" s="18">
        <f>IFERROR(INDEX('Detalles movimientos'!G$5:G$1021, MATCH(128, 'Detalles movimientos'!$W$5:$W$1021, 0)), "")</f>
        <v/>
      </c>
      <c r="G137" s="120">
        <f>IFERROR(INDEX('Detalles movimientos'!H$5:H$1021, MATCH(128, 'Detalles movimientos'!$W$5:$W$1021, 0)), "")</f>
        <v/>
      </c>
      <c r="H137" s="121">
        <f>IFERROR(INDEX('Detalles movimientos'!I$5:I$1021, MATCH(128, 'Detalles movimientos'!$W$5:$W$1021, 0)), "")</f>
        <v/>
      </c>
      <c r="I137" s="120">
        <f>IFERROR(INDEX('Detalles movimientos'!M$5:M$1021, MATCH(128, 'Detalles movimientos'!$W$5:$W$1021, 0)), "")</f>
        <v/>
      </c>
      <c r="J137" s="19">
        <f>IFERROR(INDEX('Detalles movimientos'!N$5:N$1021, MATCH(128, 'Detalles movimientos'!$W$5:$W$1021, 0)), "")</f>
        <v/>
      </c>
      <c r="K137" s="120">
        <f>IFERROR(INDEX('Detalles movimientos'!O$5:O$1021, MATCH(128, 'Detalles movimientos'!$W$5:$W$1021, 0)), "")</f>
        <v/>
      </c>
      <c r="L137" s="18">
        <f>IFERROR(INDEX('Detalles movimientos'!P$5:P$1021, MATCH(128, 'Detalles movimientos'!$W$5:$W$1021, 0)), "")</f>
        <v/>
      </c>
      <c r="M137" s="18">
        <f>IFERROR(INDEX('Detalles movimientos'!S$5:S$1021, MATCH(128, 'Detalles movimientos'!$W$5:$W$1021, 0)), "")</f>
        <v/>
      </c>
    </row>
    <row r="138">
      <c r="B138" s="119">
        <f>IFERROR(INDEX('Detalles movimientos'!C$5:C$1021, MATCH(129, 'Detalles movimientos'!$W$5:$W$1021, 0)), "")</f>
        <v/>
      </c>
      <c r="C138" s="18">
        <f>IFERROR(INDEX('Detalles movimientos'!D$5:D$1021, MATCH(129, 'Detalles movimientos'!$W$5:$W$1021, 0)), "")</f>
        <v/>
      </c>
      <c r="D138" s="19">
        <f>IFERROR(INDEX('Detalles movimientos'!E$5:E$1021, MATCH(129, 'Detalles movimientos'!$W$5:$W$1021, 0)), "")</f>
        <v/>
      </c>
      <c r="E138" s="19">
        <f>IFERROR(INDEX('Detalles movimientos'!F$5:F$1021, MATCH(129, 'Detalles movimientos'!$W$5:$W$1021, 0)), "")</f>
        <v/>
      </c>
      <c r="F138" s="18">
        <f>IFERROR(INDEX('Detalles movimientos'!G$5:G$1021, MATCH(129, 'Detalles movimientos'!$W$5:$W$1021, 0)), "")</f>
        <v/>
      </c>
      <c r="G138" s="120">
        <f>IFERROR(INDEX('Detalles movimientos'!H$5:H$1021, MATCH(129, 'Detalles movimientos'!$W$5:$W$1021, 0)), "")</f>
        <v/>
      </c>
      <c r="H138" s="121">
        <f>IFERROR(INDEX('Detalles movimientos'!I$5:I$1021, MATCH(129, 'Detalles movimientos'!$W$5:$W$1021, 0)), "")</f>
        <v/>
      </c>
      <c r="I138" s="120">
        <f>IFERROR(INDEX('Detalles movimientos'!M$5:M$1021, MATCH(129, 'Detalles movimientos'!$W$5:$W$1021, 0)), "")</f>
        <v/>
      </c>
      <c r="J138" s="19">
        <f>IFERROR(INDEX('Detalles movimientos'!N$5:N$1021, MATCH(129, 'Detalles movimientos'!$W$5:$W$1021, 0)), "")</f>
        <v/>
      </c>
      <c r="K138" s="120">
        <f>IFERROR(INDEX('Detalles movimientos'!O$5:O$1021, MATCH(129, 'Detalles movimientos'!$W$5:$W$1021, 0)), "")</f>
        <v/>
      </c>
      <c r="L138" s="18">
        <f>IFERROR(INDEX('Detalles movimientos'!P$5:P$1021, MATCH(129, 'Detalles movimientos'!$W$5:$W$1021, 0)), "")</f>
        <v/>
      </c>
      <c r="M138" s="18">
        <f>IFERROR(INDEX('Detalles movimientos'!S$5:S$1021, MATCH(129, 'Detalles movimientos'!$W$5:$W$1021, 0)), "")</f>
        <v/>
      </c>
    </row>
    <row r="139">
      <c r="B139" s="119">
        <f>IFERROR(INDEX('Detalles movimientos'!C$5:C$1021, MATCH(130, 'Detalles movimientos'!$W$5:$W$1021, 0)), "")</f>
        <v/>
      </c>
      <c r="C139" s="18">
        <f>IFERROR(INDEX('Detalles movimientos'!D$5:D$1021, MATCH(130, 'Detalles movimientos'!$W$5:$W$1021, 0)), "")</f>
        <v/>
      </c>
      <c r="D139" s="19">
        <f>IFERROR(INDEX('Detalles movimientos'!E$5:E$1021, MATCH(130, 'Detalles movimientos'!$W$5:$W$1021, 0)), "")</f>
        <v/>
      </c>
      <c r="E139" s="19">
        <f>IFERROR(INDEX('Detalles movimientos'!F$5:F$1021, MATCH(130, 'Detalles movimientos'!$W$5:$W$1021, 0)), "")</f>
        <v/>
      </c>
      <c r="F139" s="18">
        <f>IFERROR(INDEX('Detalles movimientos'!G$5:G$1021, MATCH(130, 'Detalles movimientos'!$W$5:$W$1021, 0)), "")</f>
        <v/>
      </c>
      <c r="G139" s="120">
        <f>IFERROR(INDEX('Detalles movimientos'!H$5:H$1021, MATCH(130, 'Detalles movimientos'!$W$5:$W$1021, 0)), "")</f>
        <v/>
      </c>
      <c r="H139" s="121">
        <f>IFERROR(INDEX('Detalles movimientos'!I$5:I$1021, MATCH(130, 'Detalles movimientos'!$W$5:$W$1021, 0)), "")</f>
        <v/>
      </c>
      <c r="I139" s="120">
        <f>IFERROR(INDEX('Detalles movimientos'!M$5:M$1021, MATCH(130, 'Detalles movimientos'!$W$5:$W$1021, 0)), "")</f>
        <v/>
      </c>
      <c r="J139" s="19">
        <f>IFERROR(INDEX('Detalles movimientos'!N$5:N$1021, MATCH(130, 'Detalles movimientos'!$W$5:$W$1021, 0)), "")</f>
        <v/>
      </c>
      <c r="K139" s="120">
        <f>IFERROR(INDEX('Detalles movimientos'!O$5:O$1021, MATCH(130, 'Detalles movimientos'!$W$5:$W$1021, 0)), "")</f>
        <v/>
      </c>
      <c r="L139" s="18">
        <f>IFERROR(INDEX('Detalles movimientos'!P$5:P$1021, MATCH(130, 'Detalles movimientos'!$W$5:$W$1021, 0)), "")</f>
        <v/>
      </c>
      <c r="M139" s="18">
        <f>IFERROR(INDEX('Detalles movimientos'!S$5:S$1021, MATCH(130, 'Detalles movimientos'!$W$5:$W$1021, 0)), "")</f>
        <v/>
      </c>
    </row>
    <row r="140">
      <c r="B140" s="119">
        <f>IFERROR(INDEX('Detalles movimientos'!C$5:C$1021, MATCH(131, 'Detalles movimientos'!$W$5:$W$1021, 0)), "")</f>
        <v/>
      </c>
      <c r="C140" s="18">
        <f>IFERROR(INDEX('Detalles movimientos'!D$5:D$1021, MATCH(131, 'Detalles movimientos'!$W$5:$W$1021, 0)), "")</f>
        <v/>
      </c>
      <c r="D140" s="19">
        <f>IFERROR(INDEX('Detalles movimientos'!E$5:E$1021, MATCH(131, 'Detalles movimientos'!$W$5:$W$1021, 0)), "")</f>
        <v/>
      </c>
      <c r="E140" s="19">
        <f>IFERROR(INDEX('Detalles movimientos'!F$5:F$1021, MATCH(131, 'Detalles movimientos'!$W$5:$W$1021, 0)), "")</f>
        <v/>
      </c>
      <c r="F140" s="18">
        <f>IFERROR(INDEX('Detalles movimientos'!G$5:G$1021, MATCH(131, 'Detalles movimientos'!$W$5:$W$1021, 0)), "")</f>
        <v/>
      </c>
      <c r="G140" s="120">
        <f>IFERROR(INDEX('Detalles movimientos'!H$5:H$1021, MATCH(131, 'Detalles movimientos'!$W$5:$W$1021, 0)), "")</f>
        <v/>
      </c>
      <c r="H140" s="121">
        <f>IFERROR(INDEX('Detalles movimientos'!I$5:I$1021, MATCH(131, 'Detalles movimientos'!$W$5:$W$1021, 0)), "")</f>
        <v/>
      </c>
      <c r="I140" s="120">
        <f>IFERROR(INDEX('Detalles movimientos'!M$5:M$1021, MATCH(131, 'Detalles movimientos'!$W$5:$W$1021, 0)), "")</f>
        <v/>
      </c>
      <c r="J140" s="19">
        <f>IFERROR(INDEX('Detalles movimientos'!N$5:N$1021, MATCH(131, 'Detalles movimientos'!$W$5:$W$1021, 0)), "")</f>
        <v/>
      </c>
      <c r="K140" s="120">
        <f>IFERROR(INDEX('Detalles movimientos'!O$5:O$1021, MATCH(131, 'Detalles movimientos'!$W$5:$W$1021, 0)), "")</f>
        <v/>
      </c>
      <c r="L140" s="18">
        <f>IFERROR(INDEX('Detalles movimientos'!P$5:P$1021, MATCH(131, 'Detalles movimientos'!$W$5:$W$1021, 0)), "")</f>
        <v/>
      </c>
      <c r="M140" s="18">
        <f>IFERROR(INDEX('Detalles movimientos'!S$5:S$1021, MATCH(131, 'Detalles movimientos'!$W$5:$W$1021, 0)), "")</f>
        <v/>
      </c>
    </row>
    <row r="141">
      <c r="B141" s="119">
        <f>IFERROR(INDEX('Detalles movimientos'!C$5:C$1021, MATCH(132, 'Detalles movimientos'!$W$5:$W$1021, 0)), "")</f>
        <v/>
      </c>
      <c r="C141" s="18">
        <f>IFERROR(INDEX('Detalles movimientos'!D$5:D$1021, MATCH(132, 'Detalles movimientos'!$W$5:$W$1021, 0)), "")</f>
        <v/>
      </c>
      <c r="D141" s="19">
        <f>IFERROR(INDEX('Detalles movimientos'!E$5:E$1021, MATCH(132, 'Detalles movimientos'!$W$5:$W$1021, 0)), "")</f>
        <v/>
      </c>
      <c r="E141" s="19">
        <f>IFERROR(INDEX('Detalles movimientos'!F$5:F$1021, MATCH(132, 'Detalles movimientos'!$W$5:$W$1021, 0)), "")</f>
        <v/>
      </c>
      <c r="F141" s="18">
        <f>IFERROR(INDEX('Detalles movimientos'!G$5:G$1021, MATCH(132, 'Detalles movimientos'!$W$5:$W$1021, 0)), "")</f>
        <v/>
      </c>
      <c r="G141" s="120">
        <f>IFERROR(INDEX('Detalles movimientos'!H$5:H$1021, MATCH(132, 'Detalles movimientos'!$W$5:$W$1021, 0)), "")</f>
        <v/>
      </c>
      <c r="H141" s="121">
        <f>IFERROR(INDEX('Detalles movimientos'!I$5:I$1021, MATCH(132, 'Detalles movimientos'!$W$5:$W$1021, 0)), "")</f>
        <v/>
      </c>
      <c r="I141" s="120">
        <f>IFERROR(INDEX('Detalles movimientos'!M$5:M$1021, MATCH(132, 'Detalles movimientos'!$W$5:$W$1021, 0)), "")</f>
        <v/>
      </c>
      <c r="J141" s="19">
        <f>IFERROR(INDEX('Detalles movimientos'!N$5:N$1021, MATCH(132, 'Detalles movimientos'!$W$5:$W$1021, 0)), "")</f>
        <v/>
      </c>
      <c r="K141" s="120">
        <f>IFERROR(INDEX('Detalles movimientos'!O$5:O$1021, MATCH(132, 'Detalles movimientos'!$W$5:$W$1021, 0)), "")</f>
        <v/>
      </c>
      <c r="L141" s="18">
        <f>IFERROR(INDEX('Detalles movimientos'!P$5:P$1021, MATCH(132, 'Detalles movimientos'!$W$5:$W$1021, 0)), "")</f>
        <v/>
      </c>
      <c r="M141" s="18">
        <f>IFERROR(INDEX('Detalles movimientos'!S$5:S$1021, MATCH(132, 'Detalles movimientos'!$W$5:$W$1021, 0)), "")</f>
        <v/>
      </c>
    </row>
    <row r="142">
      <c r="B142" s="119">
        <f>IFERROR(INDEX('Detalles movimientos'!C$5:C$1021, MATCH(133, 'Detalles movimientos'!$W$5:$W$1021, 0)), "")</f>
        <v/>
      </c>
      <c r="C142" s="18">
        <f>IFERROR(INDEX('Detalles movimientos'!D$5:D$1021, MATCH(133, 'Detalles movimientos'!$W$5:$W$1021, 0)), "")</f>
        <v/>
      </c>
      <c r="D142" s="19">
        <f>IFERROR(INDEX('Detalles movimientos'!E$5:E$1021, MATCH(133, 'Detalles movimientos'!$W$5:$W$1021, 0)), "")</f>
        <v/>
      </c>
      <c r="E142" s="19">
        <f>IFERROR(INDEX('Detalles movimientos'!F$5:F$1021, MATCH(133, 'Detalles movimientos'!$W$5:$W$1021, 0)), "")</f>
        <v/>
      </c>
      <c r="F142" s="18">
        <f>IFERROR(INDEX('Detalles movimientos'!G$5:G$1021, MATCH(133, 'Detalles movimientos'!$W$5:$W$1021, 0)), "")</f>
        <v/>
      </c>
      <c r="G142" s="120">
        <f>IFERROR(INDEX('Detalles movimientos'!H$5:H$1021, MATCH(133, 'Detalles movimientos'!$W$5:$W$1021, 0)), "")</f>
        <v/>
      </c>
      <c r="H142" s="121">
        <f>IFERROR(INDEX('Detalles movimientos'!I$5:I$1021, MATCH(133, 'Detalles movimientos'!$W$5:$W$1021, 0)), "")</f>
        <v/>
      </c>
      <c r="I142" s="120">
        <f>IFERROR(INDEX('Detalles movimientos'!M$5:M$1021, MATCH(133, 'Detalles movimientos'!$W$5:$W$1021, 0)), "")</f>
        <v/>
      </c>
      <c r="J142" s="19">
        <f>IFERROR(INDEX('Detalles movimientos'!N$5:N$1021, MATCH(133, 'Detalles movimientos'!$W$5:$W$1021, 0)), "")</f>
        <v/>
      </c>
      <c r="K142" s="120">
        <f>IFERROR(INDEX('Detalles movimientos'!O$5:O$1021, MATCH(133, 'Detalles movimientos'!$W$5:$W$1021, 0)), "")</f>
        <v/>
      </c>
      <c r="L142" s="18">
        <f>IFERROR(INDEX('Detalles movimientos'!P$5:P$1021, MATCH(133, 'Detalles movimientos'!$W$5:$W$1021, 0)), "")</f>
        <v/>
      </c>
      <c r="M142" s="18">
        <f>IFERROR(INDEX('Detalles movimientos'!S$5:S$1021, MATCH(133, 'Detalles movimientos'!$W$5:$W$1021, 0)), "")</f>
        <v/>
      </c>
    </row>
    <row r="143">
      <c r="B143" s="119">
        <f>IFERROR(INDEX('Detalles movimientos'!C$5:C$1021, MATCH(134, 'Detalles movimientos'!$W$5:$W$1021, 0)), "")</f>
        <v/>
      </c>
      <c r="C143" s="18">
        <f>IFERROR(INDEX('Detalles movimientos'!D$5:D$1021, MATCH(134, 'Detalles movimientos'!$W$5:$W$1021, 0)), "")</f>
        <v/>
      </c>
      <c r="D143" s="19">
        <f>IFERROR(INDEX('Detalles movimientos'!E$5:E$1021, MATCH(134, 'Detalles movimientos'!$W$5:$W$1021, 0)), "")</f>
        <v/>
      </c>
      <c r="E143" s="19">
        <f>IFERROR(INDEX('Detalles movimientos'!F$5:F$1021, MATCH(134, 'Detalles movimientos'!$W$5:$W$1021, 0)), "")</f>
        <v/>
      </c>
      <c r="F143" s="18">
        <f>IFERROR(INDEX('Detalles movimientos'!G$5:G$1021, MATCH(134, 'Detalles movimientos'!$W$5:$W$1021, 0)), "")</f>
        <v/>
      </c>
      <c r="G143" s="120">
        <f>IFERROR(INDEX('Detalles movimientos'!H$5:H$1021, MATCH(134, 'Detalles movimientos'!$W$5:$W$1021, 0)), "")</f>
        <v/>
      </c>
      <c r="H143" s="121">
        <f>IFERROR(INDEX('Detalles movimientos'!I$5:I$1021, MATCH(134, 'Detalles movimientos'!$W$5:$W$1021, 0)), "")</f>
        <v/>
      </c>
      <c r="I143" s="120">
        <f>IFERROR(INDEX('Detalles movimientos'!M$5:M$1021, MATCH(134, 'Detalles movimientos'!$W$5:$W$1021, 0)), "")</f>
        <v/>
      </c>
      <c r="J143" s="19">
        <f>IFERROR(INDEX('Detalles movimientos'!N$5:N$1021, MATCH(134, 'Detalles movimientos'!$W$5:$W$1021, 0)), "")</f>
        <v/>
      </c>
      <c r="K143" s="120">
        <f>IFERROR(INDEX('Detalles movimientos'!O$5:O$1021, MATCH(134, 'Detalles movimientos'!$W$5:$W$1021, 0)), "")</f>
        <v/>
      </c>
      <c r="L143" s="18">
        <f>IFERROR(INDEX('Detalles movimientos'!P$5:P$1021, MATCH(134, 'Detalles movimientos'!$W$5:$W$1021, 0)), "")</f>
        <v/>
      </c>
      <c r="M143" s="18">
        <f>IFERROR(INDEX('Detalles movimientos'!S$5:S$1021, MATCH(134, 'Detalles movimientos'!$W$5:$W$1021, 0)), "")</f>
        <v/>
      </c>
    </row>
    <row r="144">
      <c r="B144" s="119">
        <f>IFERROR(INDEX('Detalles movimientos'!C$5:C$1021, MATCH(135, 'Detalles movimientos'!$W$5:$W$1021, 0)), "")</f>
        <v/>
      </c>
      <c r="C144" s="18">
        <f>IFERROR(INDEX('Detalles movimientos'!D$5:D$1021, MATCH(135, 'Detalles movimientos'!$W$5:$W$1021, 0)), "")</f>
        <v/>
      </c>
      <c r="D144" s="19">
        <f>IFERROR(INDEX('Detalles movimientos'!E$5:E$1021, MATCH(135, 'Detalles movimientos'!$W$5:$W$1021, 0)), "")</f>
        <v/>
      </c>
      <c r="E144" s="19">
        <f>IFERROR(INDEX('Detalles movimientos'!F$5:F$1021, MATCH(135, 'Detalles movimientos'!$W$5:$W$1021, 0)), "")</f>
        <v/>
      </c>
      <c r="F144" s="18">
        <f>IFERROR(INDEX('Detalles movimientos'!G$5:G$1021, MATCH(135, 'Detalles movimientos'!$W$5:$W$1021, 0)), "")</f>
        <v/>
      </c>
      <c r="G144" s="120">
        <f>IFERROR(INDEX('Detalles movimientos'!H$5:H$1021, MATCH(135, 'Detalles movimientos'!$W$5:$W$1021, 0)), "")</f>
        <v/>
      </c>
      <c r="H144" s="121">
        <f>IFERROR(INDEX('Detalles movimientos'!I$5:I$1021, MATCH(135, 'Detalles movimientos'!$W$5:$W$1021, 0)), "")</f>
        <v/>
      </c>
      <c r="I144" s="120">
        <f>IFERROR(INDEX('Detalles movimientos'!M$5:M$1021, MATCH(135, 'Detalles movimientos'!$W$5:$W$1021, 0)), "")</f>
        <v/>
      </c>
      <c r="J144" s="19">
        <f>IFERROR(INDEX('Detalles movimientos'!N$5:N$1021, MATCH(135, 'Detalles movimientos'!$W$5:$W$1021, 0)), "")</f>
        <v/>
      </c>
      <c r="K144" s="120">
        <f>IFERROR(INDEX('Detalles movimientos'!O$5:O$1021, MATCH(135, 'Detalles movimientos'!$W$5:$W$1021, 0)), "")</f>
        <v/>
      </c>
      <c r="L144" s="18">
        <f>IFERROR(INDEX('Detalles movimientos'!P$5:P$1021, MATCH(135, 'Detalles movimientos'!$W$5:$W$1021, 0)), "")</f>
        <v/>
      </c>
      <c r="M144" s="18">
        <f>IFERROR(INDEX('Detalles movimientos'!S$5:S$1021, MATCH(135, 'Detalles movimientos'!$W$5:$W$1021, 0)), "")</f>
        <v/>
      </c>
    </row>
    <row r="145">
      <c r="B145" s="119">
        <f>IFERROR(INDEX('Detalles movimientos'!C$5:C$1021, MATCH(136, 'Detalles movimientos'!$W$5:$W$1021, 0)), "")</f>
        <v/>
      </c>
      <c r="C145" s="18">
        <f>IFERROR(INDEX('Detalles movimientos'!D$5:D$1021, MATCH(136, 'Detalles movimientos'!$W$5:$W$1021, 0)), "")</f>
        <v/>
      </c>
      <c r="D145" s="19">
        <f>IFERROR(INDEX('Detalles movimientos'!E$5:E$1021, MATCH(136, 'Detalles movimientos'!$W$5:$W$1021, 0)), "")</f>
        <v/>
      </c>
      <c r="E145" s="19">
        <f>IFERROR(INDEX('Detalles movimientos'!F$5:F$1021, MATCH(136, 'Detalles movimientos'!$W$5:$W$1021, 0)), "")</f>
        <v/>
      </c>
      <c r="F145" s="18">
        <f>IFERROR(INDEX('Detalles movimientos'!G$5:G$1021, MATCH(136, 'Detalles movimientos'!$W$5:$W$1021, 0)), "")</f>
        <v/>
      </c>
      <c r="G145" s="120">
        <f>IFERROR(INDEX('Detalles movimientos'!H$5:H$1021, MATCH(136, 'Detalles movimientos'!$W$5:$W$1021, 0)), "")</f>
        <v/>
      </c>
      <c r="H145" s="121">
        <f>IFERROR(INDEX('Detalles movimientos'!I$5:I$1021, MATCH(136, 'Detalles movimientos'!$W$5:$W$1021, 0)), "")</f>
        <v/>
      </c>
      <c r="I145" s="120">
        <f>IFERROR(INDEX('Detalles movimientos'!M$5:M$1021, MATCH(136, 'Detalles movimientos'!$W$5:$W$1021, 0)), "")</f>
        <v/>
      </c>
      <c r="J145" s="19">
        <f>IFERROR(INDEX('Detalles movimientos'!N$5:N$1021, MATCH(136, 'Detalles movimientos'!$W$5:$W$1021, 0)), "")</f>
        <v/>
      </c>
      <c r="K145" s="120">
        <f>IFERROR(INDEX('Detalles movimientos'!O$5:O$1021, MATCH(136, 'Detalles movimientos'!$W$5:$W$1021, 0)), "")</f>
        <v/>
      </c>
      <c r="L145" s="18">
        <f>IFERROR(INDEX('Detalles movimientos'!P$5:P$1021, MATCH(136, 'Detalles movimientos'!$W$5:$W$1021, 0)), "")</f>
        <v/>
      </c>
      <c r="M145" s="18">
        <f>IFERROR(INDEX('Detalles movimientos'!S$5:S$1021, MATCH(136, 'Detalles movimientos'!$W$5:$W$1021, 0)), "")</f>
        <v/>
      </c>
    </row>
    <row r="146">
      <c r="B146" s="119">
        <f>IFERROR(INDEX('Detalles movimientos'!C$5:C$1021, MATCH(137, 'Detalles movimientos'!$W$5:$W$1021, 0)), "")</f>
        <v/>
      </c>
      <c r="C146" s="18">
        <f>IFERROR(INDEX('Detalles movimientos'!D$5:D$1021, MATCH(137, 'Detalles movimientos'!$W$5:$W$1021, 0)), "")</f>
        <v/>
      </c>
      <c r="D146" s="19">
        <f>IFERROR(INDEX('Detalles movimientos'!E$5:E$1021, MATCH(137, 'Detalles movimientos'!$W$5:$W$1021, 0)), "")</f>
        <v/>
      </c>
      <c r="E146" s="19">
        <f>IFERROR(INDEX('Detalles movimientos'!F$5:F$1021, MATCH(137, 'Detalles movimientos'!$W$5:$W$1021, 0)), "")</f>
        <v/>
      </c>
      <c r="F146" s="18">
        <f>IFERROR(INDEX('Detalles movimientos'!G$5:G$1021, MATCH(137, 'Detalles movimientos'!$W$5:$W$1021, 0)), "")</f>
        <v/>
      </c>
      <c r="G146" s="120">
        <f>IFERROR(INDEX('Detalles movimientos'!H$5:H$1021, MATCH(137, 'Detalles movimientos'!$W$5:$W$1021, 0)), "")</f>
        <v/>
      </c>
      <c r="H146" s="121">
        <f>IFERROR(INDEX('Detalles movimientos'!I$5:I$1021, MATCH(137, 'Detalles movimientos'!$W$5:$W$1021, 0)), "")</f>
        <v/>
      </c>
      <c r="I146" s="120">
        <f>IFERROR(INDEX('Detalles movimientos'!M$5:M$1021, MATCH(137, 'Detalles movimientos'!$W$5:$W$1021, 0)), "")</f>
        <v/>
      </c>
      <c r="J146" s="19">
        <f>IFERROR(INDEX('Detalles movimientos'!N$5:N$1021, MATCH(137, 'Detalles movimientos'!$W$5:$W$1021, 0)), "")</f>
        <v/>
      </c>
      <c r="K146" s="120">
        <f>IFERROR(INDEX('Detalles movimientos'!O$5:O$1021, MATCH(137, 'Detalles movimientos'!$W$5:$W$1021, 0)), "")</f>
        <v/>
      </c>
      <c r="L146" s="18">
        <f>IFERROR(INDEX('Detalles movimientos'!P$5:P$1021, MATCH(137, 'Detalles movimientos'!$W$5:$W$1021, 0)), "")</f>
        <v/>
      </c>
      <c r="M146" s="18">
        <f>IFERROR(INDEX('Detalles movimientos'!S$5:S$1021, MATCH(137, 'Detalles movimientos'!$W$5:$W$1021, 0)), "")</f>
        <v/>
      </c>
    </row>
    <row r="147">
      <c r="B147" s="119">
        <f>IFERROR(INDEX('Detalles movimientos'!C$5:C$1021, MATCH(138, 'Detalles movimientos'!$W$5:$W$1021, 0)), "")</f>
        <v/>
      </c>
      <c r="C147" s="18">
        <f>IFERROR(INDEX('Detalles movimientos'!D$5:D$1021, MATCH(138, 'Detalles movimientos'!$W$5:$W$1021, 0)), "")</f>
        <v/>
      </c>
      <c r="D147" s="19">
        <f>IFERROR(INDEX('Detalles movimientos'!E$5:E$1021, MATCH(138, 'Detalles movimientos'!$W$5:$W$1021, 0)), "")</f>
        <v/>
      </c>
      <c r="E147" s="19">
        <f>IFERROR(INDEX('Detalles movimientos'!F$5:F$1021, MATCH(138, 'Detalles movimientos'!$W$5:$W$1021, 0)), "")</f>
        <v/>
      </c>
      <c r="F147" s="18">
        <f>IFERROR(INDEX('Detalles movimientos'!G$5:G$1021, MATCH(138, 'Detalles movimientos'!$W$5:$W$1021, 0)), "")</f>
        <v/>
      </c>
      <c r="G147" s="120">
        <f>IFERROR(INDEX('Detalles movimientos'!H$5:H$1021, MATCH(138, 'Detalles movimientos'!$W$5:$W$1021, 0)), "")</f>
        <v/>
      </c>
      <c r="H147" s="121">
        <f>IFERROR(INDEX('Detalles movimientos'!I$5:I$1021, MATCH(138, 'Detalles movimientos'!$W$5:$W$1021, 0)), "")</f>
        <v/>
      </c>
      <c r="I147" s="120">
        <f>IFERROR(INDEX('Detalles movimientos'!M$5:M$1021, MATCH(138, 'Detalles movimientos'!$W$5:$W$1021, 0)), "")</f>
        <v/>
      </c>
      <c r="J147" s="19">
        <f>IFERROR(INDEX('Detalles movimientos'!N$5:N$1021, MATCH(138, 'Detalles movimientos'!$W$5:$W$1021, 0)), "")</f>
        <v/>
      </c>
      <c r="K147" s="120">
        <f>IFERROR(INDEX('Detalles movimientos'!O$5:O$1021, MATCH(138, 'Detalles movimientos'!$W$5:$W$1021, 0)), "")</f>
        <v/>
      </c>
      <c r="L147" s="18">
        <f>IFERROR(INDEX('Detalles movimientos'!P$5:P$1021, MATCH(138, 'Detalles movimientos'!$W$5:$W$1021, 0)), "")</f>
        <v/>
      </c>
      <c r="M147" s="18">
        <f>IFERROR(INDEX('Detalles movimientos'!S$5:S$1021, MATCH(138, 'Detalles movimientos'!$W$5:$W$1021, 0)), "")</f>
        <v/>
      </c>
    </row>
    <row r="148">
      <c r="B148" s="119">
        <f>IFERROR(INDEX('Detalles movimientos'!C$5:C$1021, MATCH(139, 'Detalles movimientos'!$W$5:$W$1021, 0)), "")</f>
        <v/>
      </c>
      <c r="C148" s="18">
        <f>IFERROR(INDEX('Detalles movimientos'!D$5:D$1021, MATCH(139, 'Detalles movimientos'!$W$5:$W$1021, 0)), "")</f>
        <v/>
      </c>
      <c r="D148" s="19">
        <f>IFERROR(INDEX('Detalles movimientos'!E$5:E$1021, MATCH(139, 'Detalles movimientos'!$W$5:$W$1021, 0)), "")</f>
        <v/>
      </c>
      <c r="E148" s="19">
        <f>IFERROR(INDEX('Detalles movimientos'!F$5:F$1021, MATCH(139, 'Detalles movimientos'!$W$5:$W$1021, 0)), "")</f>
        <v/>
      </c>
      <c r="F148" s="18">
        <f>IFERROR(INDEX('Detalles movimientos'!G$5:G$1021, MATCH(139, 'Detalles movimientos'!$W$5:$W$1021, 0)), "")</f>
        <v/>
      </c>
      <c r="G148" s="120">
        <f>IFERROR(INDEX('Detalles movimientos'!H$5:H$1021, MATCH(139, 'Detalles movimientos'!$W$5:$W$1021, 0)), "")</f>
        <v/>
      </c>
      <c r="H148" s="121">
        <f>IFERROR(INDEX('Detalles movimientos'!I$5:I$1021, MATCH(139, 'Detalles movimientos'!$W$5:$W$1021, 0)), "")</f>
        <v/>
      </c>
      <c r="I148" s="120">
        <f>IFERROR(INDEX('Detalles movimientos'!M$5:M$1021, MATCH(139, 'Detalles movimientos'!$W$5:$W$1021, 0)), "")</f>
        <v/>
      </c>
      <c r="J148" s="19">
        <f>IFERROR(INDEX('Detalles movimientos'!N$5:N$1021, MATCH(139, 'Detalles movimientos'!$W$5:$W$1021, 0)), "")</f>
        <v/>
      </c>
      <c r="K148" s="120">
        <f>IFERROR(INDEX('Detalles movimientos'!O$5:O$1021, MATCH(139, 'Detalles movimientos'!$W$5:$W$1021, 0)), "")</f>
        <v/>
      </c>
      <c r="L148" s="18">
        <f>IFERROR(INDEX('Detalles movimientos'!P$5:P$1021, MATCH(139, 'Detalles movimientos'!$W$5:$W$1021, 0)), "")</f>
        <v/>
      </c>
      <c r="M148" s="18">
        <f>IFERROR(INDEX('Detalles movimientos'!S$5:S$1021, MATCH(139, 'Detalles movimientos'!$W$5:$W$1021, 0)), "")</f>
        <v/>
      </c>
    </row>
    <row r="149">
      <c r="B149" s="119">
        <f>IFERROR(INDEX('Detalles movimientos'!C$5:C$1021, MATCH(140, 'Detalles movimientos'!$W$5:$W$1021, 0)), "")</f>
        <v/>
      </c>
      <c r="C149" s="18">
        <f>IFERROR(INDEX('Detalles movimientos'!D$5:D$1021, MATCH(140, 'Detalles movimientos'!$W$5:$W$1021, 0)), "")</f>
        <v/>
      </c>
      <c r="D149" s="19">
        <f>IFERROR(INDEX('Detalles movimientos'!E$5:E$1021, MATCH(140, 'Detalles movimientos'!$W$5:$W$1021, 0)), "")</f>
        <v/>
      </c>
      <c r="E149" s="19">
        <f>IFERROR(INDEX('Detalles movimientos'!F$5:F$1021, MATCH(140, 'Detalles movimientos'!$W$5:$W$1021, 0)), "")</f>
        <v/>
      </c>
      <c r="F149" s="18">
        <f>IFERROR(INDEX('Detalles movimientos'!G$5:G$1021, MATCH(140, 'Detalles movimientos'!$W$5:$W$1021, 0)), "")</f>
        <v/>
      </c>
      <c r="G149" s="120">
        <f>IFERROR(INDEX('Detalles movimientos'!H$5:H$1021, MATCH(140, 'Detalles movimientos'!$W$5:$W$1021, 0)), "")</f>
        <v/>
      </c>
      <c r="H149" s="121">
        <f>IFERROR(INDEX('Detalles movimientos'!I$5:I$1021, MATCH(140, 'Detalles movimientos'!$W$5:$W$1021, 0)), "")</f>
        <v/>
      </c>
      <c r="I149" s="120">
        <f>IFERROR(INDEX('Detalles movimientos'!M$5:M$1021, MATCH(140, 'Detalles movimientos'!$W$5:$W$1021, 0)), "")</f>
        <v/>
      </c>
      <c r="J149" s="19">
        <f>IFERROR(INDEX('Detalles movimientos'!N$5:N$1021, MATCH(140, 'Detalles movimientos'!$W$5:$W$1021, 0)), "")</f>
        <v/>
      </c>
      <c r="K149" s="120">
        <f>IFERROR(INDEX('Detalles movimientos'!O$5:O$1021, MATCH(140, 'Detalles movimientos'!$W$5:$W$1021, 0)), "")</f>
        <v/>
      </c>
      <c r="L149" s="18">
        <f>IFERROR(INDEX('Detalles movimientos'!P$5:P$1021, MATCH(140, 'Detalles movimientos'!$W$5:$W$1021, 0)), "")</f>
        <v/>
      </c>
      <c r="M149" s="18">
        <f>IFERROR(INDEX('Detalles movimientos'!S$5:S$1021, MATCH(140, 'Detalles movimientos'!$W$5:$W$1021, 0)), "")</f>
        <v/>
      </c>
    </row>
    <row r="150">
      <c r="B150" s="119">
        <f>IFERROR(INDEX('Detalles movimientos'!C$5:C$1021, MATCH(141, 'Detalles movimientos'!$W$5:$W$1021, 0)), "")</f>
        <v/>
      </c>
      <c r="C150" s="18">
        <f>IFERROR(INDEX('Detalles movimientos'!D$5:D$1021, MATCH(141, 'Detalles movimientos'!$W$5:$W$1021, 0)), "")</f>
        <v/>
      </c>
      <c r="D150" s="19">
        <f>IFERROR(INDEX('Detalles movimientos'!E$5:E$1021, MATCH(141, 'Detalles movimientos'!$W$5:$W$1021, 0)), "")</f>
        <v/>
      </c>
      <c r="E150" s="19">
        <f>IFERROR(INDEX('Detalles movimientos'!F$5:F$1021, MATCH(141, 'Detalles movimientos'!$W$5:$W$1021, 0)), "")</f>
        <v/>
      </c>
      <c r="F150" s="18">
        <f>IFERROR(INDEX('Detalles movimientos'!G$5:G$1021, MATCH(141, 'Detalles movimientos'!$W$5:$W$1021, 0)), "")</f>
        <v/>
      </c>
      <c r="G150" s="120">
        <f>IFERROR(INDEX('Detalles movimientos'!H$5:H$1021, MATCH(141, 'Detalles movimientos'!$W$5:$W$1021, 0)), "")</f>
        <v/>
      </c>
      <c r="H150" s="121">
        <f>IFERROR(INDEX('Detalles movimientos'!I$5:I$1021, MATCH(141, 'Detalles movimientos'!$W$5:$W$1021, 0)), "")</f>
        <v/>
      </c>
      <c r="I150" s="120">
        <f>IFERROR(INDEX('Detalles movimientos'!M$5:M$1021, MATCH(141, 'Detalles movimientos'!$W$5:$W$1021, 0)), "")</f>
        <v/>
      </c>
      <c r="J150" s="19">
        <f>IFERROR(INDEX('Detalles movimientos'!N$5:N$1021, MATCH(141, 'Detalles movimientos'!$W$5:$W$1021, 0)), "")</f>
        <v/>
      </c>
      <c r="K150" s="120">
        <f>IFERROR(INDEX('Detalles movimientos'!O$5:O$1021, MATCH(141, 'Detalles movimientos'!$W$5:$W$1021, 0)), "")</f>
        <v/>
      </c>
      <c r="L150" s="18">
        <f>IFERROR(INDEX('Detalles movimientos'!P$5:P$1021, MATCH(141, 'Detalles movimientos'!$W$5:$W$1021, 0)), "")</f>
        <v/>
      </c>
      <c r="M150" s="18">
        <f>IFERROR(INDEX('Detalles movimientos'!S$5:S$1021, MATCH(141, 'Detalles movimientos'!$W$5:$W$1021, 0)), "")</f>
        <v/>
      </c>
    </row>
    <row r="151">
      <c r="B151" s="119">
        <f>IFERROR(INDEX('Detalles movimientos'!C$5:C$1021, MATCH(142, 'Detalles movimientos'!$W$5:$W$1021, 0)), "")</f>
        <v/>
      </c>
      <c r="C151" s="18">
        <f>IFERROR(INDEX('Detalles movimientos'!D$5:D$1021, MATCH(142, 'Detalles movimientos'!$W$5:$W$1021, 0)), "")</f>
        <v/>
      </c>
      <c r="D151" s="19">
        <f>IFERROR(INDEX('Detalles movimientos'!E$5:E$1021, MATCH(142, 'Detalles movimientos'!$W$5:$W$1021, 0)), "")</f>
        <v/>
      </c>
      <c r="E151" s="19">
        <f>IFERROR(INDEX('Detalles movimientos'!F$5:F$1021, MATCH(142, 'Detalles movimientos'!$W$5:$W$1021, 0)), "")</f>
        <v/>
      </c>
      <c r="F151" s="18">
        <f>IFERROR(INDEX('Detalles movimientos'!G$5:G$1021, MATCH(142, 'Detalles movimientos'!$W$5:$W$1021, 0)), "")</f>
        <v/>
      </c>
      <c r="G151" s="120">
        <f>IFERROR(INDEX('Detalles movimientos'!H$5:H$1021, MATCH(142, 'Detalles movimientos'!$W$5:$W$1021, 0)), "")</f>
        <v/>
      </c>
      <c r="H151" s="121">
        <f>IFERROR(INDEX('Detalles movimientos'!I$5:I$1021, MATCH(142, 'Detalles movimientos'!$W$5:$W$1021, 0)), "")</f>
        <v/>
      </c>
      <c r="I151" s="120">
        <f>IFERROR(INDEX('Detalles movimientos'!M$5:M$1021, MATCH(142, 'Detalles movimientos'!$W$5:$W$1021, 0)), "")</f>
        <v/>
      </c>
      <c r="J151" s="19">
        <f>IFERROR(INDEX('Detalles movimientos'!N$5:N$1021, MATCH(142, 'Detalles movimientos'!$W$5:$W$1021, 0)), "")</f>
        <v/>
      </c>
      <c r="K151" s="120">
        <f>IFERROR(INDEX('Detalles movimientos'!O$5:O$1021, MATCH(142, 'Detalles movimientos'!$W$5:$W$1021, 0)), "")</f>
        <v/>
      </c>
      <c r="L151" s="18">
        <f>IFERROR(INDEX('Detalles movimientos'!P$5:P$1021, MATCH(142, 'Detalles movimientos'!$W$5:$W$1021, 0)), "")</f>
        <v/>
      </c>
      <c r="M151" s="18">
        <f>IFERROR(INDEX('Detalles movimientos'!S$5:S$1021, MATCH(142, 'Detalles movimientos'!$W$5:$W$1021, 0)), "")</f>
        <v/>
      </c>
    </row>
    <row r="152">
      <c r="B152" s="119">
        <f>IFERROR(INDEX('Detalles movimientos'!C$5:C$1021, MATCH(143, 'Detalles movimientos'!$W$5:$W$1021, 0)), "")</f>
        <v/>
      </c>
      <c r="C152" s="18">
        <f>IFERROR(INDEX('Detalles movimientos'!D$5:D$1021, MATCH(143, 'Detalles movimientos'!$W$5:$W$1021, 0)), "")</f>
        <v/>
      </c>
      <c r="D152" s="19">
        <f>IFERROR(INDEX('Detalles movimientos'!E$5:E$1021, MATCH(143, 'Detalles movimientos'!$W$5:$W$1021, 0)), "")</f>
        <v/>
      </c>
      <c r="E152" s="19">
        <f>IFERROR(INDEX('Detalles movimientos'!F$5:F$1021, MATCH(143, 'Detalles movimientos'!$W$5:$W$1021, 0)), "")</f>
        <v/>
      </c>
      <c r="F152" s="18">
        <f>IFERROR(INDEX('Detalles movimientos'!G$5:G$1021, MATCH(143, 'Detalles movimientos'!$W$5:$W$1021, 0)), "")</f>
        <v/>
      </c>
      <c r="G152" s="120">
        <f>IFERROR(INDEX('Detalles movimientos'!H$5:H$1021, MATCH(143, 'Detalles movimientos'!$W$5:$W$1021, 0)), "")</f>
        <v/>
      </c>
      <c r="H152" s="121">
        <f>IFERROR(INDEX('Detalles movimientos'!I$5:I$1021, MATCH(143, 'Detalles movimientos'!$W$5:$W$1021, 0)), "")</f>
        <v/>
      </c>
      <c r="I152" s="120">
        <f>IFERROR(INDEX('Detalles movimientos'!M$5:M$1021, MATCH(143, 'Detalles movimientos'!$W$5:$W$1021, 0)), "")</f>
        <v/>
      </c>
      <c r="J152" s="19">
        <f>IFERROR(INDEX('Detalles movimientos'!N$5:N$1021, MATCH(143, 'Detalles movimientos'!$W$5:$W$1021, 0)), "")</f>
        <v/>
      </c>
      <c r="K152" s="120">
        <f>IFERROR(INDEX('Detalles movimientos'!O$5:O$1021, MATCH(143, 'Detalles movimientos'!$W$5:$W$1021, 0)), "")</f>
        <v/>
      </c>
      <c r="L152" s="18">
        <f>IFERROR(INDEX('Detalles movimientos'!P$5:P$1021, MATCH(143, 'Detalles movimientos'!$W$5:$W$1021, 0)), "")</f>
        <v/>
      </c>
      <c r="M152" s="18">
        <f>IFERROR(INDEX('Detalles movimientos'!S$5:S$1021, MATCH(143, 'Detalles movimientos'!$W$5:$W$1021, 0)), "")</f>
        <v/>
      </c>
    </row>
    <row r="153">
      <c r="B153" s="119">
        <f>IFERROR(INDEX('Detalles movimientos'!C$5:C$1021, MATCH(144, 'Detalles movimientos'!$W$5:$W$1021, 0)), "")</f>
        <v/>
      </c>
      <c r="C153" s="18">
        <f>IFERROR(INDEX('Detalles movimientos'!D$5:D$1021, MATCH(144, 'Detalles movimientos'!$W$5:$W$1021, 0)), "")</f>
        <v/>
      </c>
      <c r="D153" s="19">
        <f>IFERROR(INDEX('Detalles movimientos'!E$5:E$1021, MATCH(144, 'Detalles movimientos'!$W$5:$W$1021, 0)), "")</f>
        <v/>
      </c>
      <c r="E153" s="19">
        <f>IFERROR(INDEX('Detalles movimientos'!F$5:F$1021, MATCH(144, 'Detalles movimientos'!$W$5:$W$1021, 0)), "")</f>
        <v/>
      </c>
      <c r="F153" s="18">
        <f>IFERROR(INDEX('Detalles movimientos'!G$5:G$1021, MATCH(144, 'Detalles movimientos'!$W$5:$W$1021, 0)), "")</f>
        <v/>
      </c>
      <c r="G153" s="120">
        <f>IFERROR(INDEX('Detalles movimientos'!H$5:H$1021, MATCH(144, 'Detalles movimientos'!$W$5:$W$1021, 0)), "")</f>
        <v/>
      </c>
      <c r="H153" s="121">
        <f>IFERROR(INDEX('Detalles movimientos'!I$5:I$1021, MATCH(144, 'Detalles movimientos'!$W$5:$W$1021, 0)), "")</f>
        <v/>
      </c>
      <c r="I153" s="120">
        <f>IFERROR(INDEX('Detalles movimientos'!M$5:M$1021, MATCH(144, 'Detalles movimientos'!$W$5:$W$1021, 0)), "")</f>
        <v/>
      </c>
      <c r="J153" s="19">
        <f>IFERROR(INDEX('Detalles movimientos'!N$5:N$1021, MATCH(144, 'Detalles movimientos'!$W$5:$W$1021, 0)), "")</f>
        <v/>
      </c>
      <c r="K153" s="120">
        <f>IFERROR(INDEX('Detalles movimientos'!O$5:O$1021, MATCH(144, 'Detalles movimientos'!$W$5:$W$1021, 0)), "")</f>
        <v/>
      </c>
      <c r="L153" s="18">
        <f>IFERROR(INDEX('Detalles movimientos'!P$5:P$1021, MATCH(144, 'Detalles movimientos'!$W$5:$W$1021, 0)), "")</f>
        <v/>
      </c>
      <c r="M153" s="18">
        <f>IFERROR(INDEX('Detalles movimientos'!S$5:S$1021, MATCH(144, 'Detalles movimientos'!$W$5:$W$1021, 0)), "")</f>
        <v/>
      </c>
    </row>
    <row r="154">
      <c r="B154" s="119">
        <f>IFERROR(INDEX('Detalles movimientos'!C$5:C$1021, MATCH(145, 'Detalles movimientos'!$W$5:$W$1021, 0)), "")</f>
        <v/>
      </c>
      <c r="C154" s="18">
        <f>IFERROR(INDEX('Detalles movimientos'!D$5:D$1021, MATCH(145, 'Detalles movimientos'!$W$5:$W$1021, 0)), "")</f>
        <v/>
      </c>
      <c r="D154" s="19">
        <f>IFERROR(INDEX('Detalles movimientos'!E$5:E$1021, MATCH(145, 'Detalles movimientos'!$W$5:$W$1021, 0)), "")</f>
        <v/>
      </c>
      <c r="E154" s="19">
        <f>IFERROR(INDEX('Detalles movimientos'!F$5:F$1021, MATCH(145, 'Detalles movimientos'!$W$5:$W$1021, 0)), "")</f>
        <v/>
      </c>
      <c r="F154" s="18">
        <f>IFERROR(INDEX('Detalles movimientos'!G$5:G$1021, MATCH(145, 'Detalles movimientos'!$W$5:$W$1021, 0)), "")</f>
        <v/>
      </c>
      <c r="G154" s="120">
        <f>IFERROR(INDEX('Detalles movimientos'!H$5:H$1021, MATCH(145, 'Detalles movimientos'!$W$5:$W$1021, 0)), "")</f>
        <v/>
      </c>
      <c r="H154" s="121">
        <f>IFERROR(INDEX('Detalles movimientos'!I$5:I$1021, MATCH(145, 'Detalles movimientos'!$W$5:$W$1021, 0)), "")</f>
        <v/>
      </c>
      <c r="I154" s="120">
        <f>IFERROR(INDEX('Detalles movimientos'!M$5:M$1021, MATCH(145, 'Detalles movimientos'!$W$5:$W$1021, 0)), "")</f>
        <v/>
      </c>
      <c r="J154" s="19">
        <f>IFERROR(INDEX('Detalles movimientos'!N$5:N$1021, MATCH(145, 'Detalles movimientos'!$W$5:$W$1021, 0)), "")</f>
        <v/>
      </c>
      <c r="K154" s="120">
        <f>IFERROR(INDEX('Detalles movimientos'!O$5:O$1021, MATCH(145, 'Detalles movimientos'!$W$5:$W$1021, 0)), "")</f>
        <v/>
      </c>
      <c r="L154" s="18">
        <f>IFERROR(INDEX('Detalles movimientos'!P$5:P$1021, MATCH(145, 'Detalles movimientos'!$W$5:$W$1021, 0)), "")</f>
        <v/>
      </c>
      <c r="M154" s="18">
        <f>IFERROR(INDEX('Detalles movimientos'!S$5:S$1021, MATCH(145, 'Detalles movimientos'!$W$5:$W$1021, 0)), "")</f>
        <v/>
      </c>
    </row>
    <row r="155">
      <c r="B155" s="119">
        <f>IFERROR(INDEX('Detalles movimientos'!C$5:C$1021, MATCH(146, 'Detalles movimientos'!$W$5:$W$1021, 0)), "")</f>
        <v/>
      </c>
      <c r="C155" s="18">
        <f>IFERROR(INDEX('Detalles movimientos'!D$5:D$1021, MATCH(146, 'Detalles movimientos'!$W$5:$W$1021, 0)), "")</f>
        <v/>
      </c>
      <c r="D155" s="19">
        <f>IFERROR(INDEX('Detalles movimientos'!E$5:E$1021, MATCH(146, 'Detalles movimientos'!$W$5:$W$1021, 0)), "")</f>
        <v/>
      </c>
      <c r="E155" s="19">
        <f>IFERROR(INDEX('Detalles movimientos'!F$5:F$1021, MATCH(146, 'Detalles movimientos'!$W$5:$W$1021, 0)), "")</f>
        <v/>
      </c>
      <c r="F155" s="18">
        <f>IFERROR(INDEX('Detalles movimientos'!G$5:G$1021, MATCH(146, 'Detalles movimientos'!$W$5:$W$1021, 0)), "")</f>
        <v/>
      </c>
      <c r="G155" s="120">
        <f>IFERROR(INDEX('Detalles movimientos'!H$5:H$1021, MATCH(146, 'Detalles movimientos'!$W$5:$W$1021, 0)), "")</f>
        <v/>
      </c>
      <c r="H155" s="121">
        <f>IFERROR(INDEX('Detalles movimientos'!I$5:I$1021, MATCH(146, 'Detalles movimientos'!$W$5:$W$1021, 0)), "")</f>
        <v/>
      </c>
      <c r="I155" s="120">
        <f>IFERROR(INDEX('Detalles movimientos'!M$5:M$1021, MATCH(146, 'Detalles movimientos'!$W$5:$W$1021, 0)), "")</f>
        <v/>
      </c>
      <c r="J155" s="19">
        <f>IFERROR(INDEX('Detalles movimientos'!N$5:N$1021, MATCH(146, 'Detalles movimientos'!$W$5:$W$1021, 0)), "")</f>
        <v/>
      </c>
      <c r="K155" s="120">
        <f>IFERROR(INDEX('Detalles movimientos'!O$5:O$1021, MATCH(146, 'Detalles movimientos'!$W$5:$W$1021, 0)), "")</f>
        <v/>
      </c>
      <c r="L155" s="18">
        <f>IFERROR(INDEX('Detalles movimientos'!P$5:P$1021, MATCH(146, 'Detalles movimientos'!$W$5:$W$1021, 0)), "")</f>
        <v/>
      </c>
      <c r="M155" s="18">
        <f>IFERROR(INDEX('Detalles movimientos'!S$5:S$1021, MATCH(146, 'Detalles movimientos'!$W$5:$W$1021, 0)), "")</f>
        <v/>
      </c>
    </row>
    <row r="156">
      <c r="B156" s="119">
        <f>IFERROR(INDEX('Detalles movimientos'!C$5:C$1021, MATCH(147, 'Detalles movimientos'!$W$5:$W$1021, 0)), "")</f>
        <v/>
      </c>
      <c r="C156" s="18">
        <f>IFERROR(INDEX('Detalles movimientos'!D$5:D$1021, MATCH(147, 'Detalles movimientos'!$W$5:$W$1021, 0)), "")</f>
        <v/>
      </c>
      <c r="D156" s="19">
        <f>IFERROR(INDEX('Detalles movimientos'!E$5:E$1021, MATCH(147, 'Detalles movimientos'!$W$5:$W$1021, 0)), "")</f>
        <v/>
      </c>
      <c r="E156" s="19">
        <f>IFERROR(INDEX('Detalles movimientos'!F$5:F$1021, MATCH(147, 'Detalles movimientos'!$W$5:$W$1021, 0)), "")</f>
        <v/>
      </c>
      <c r="F156" s="18">
        <f>IFERROR(INDEX('Detalles movimientos'!G$5:G$1021, MATCH(147, 'Detalles movimientos'!$W$5:$W$1021, 0)), "")</f>
        <v/>
      </c>
      <c r="G156" s="120">
        <f>IFERROR(INDEX('Detalles movimientos'!H$5:H$1021, MATCH(147, 'Detalles movimientos'!$W$5:$W$1021, 0)), "")</f>
        <v/>
      </c>
      <c r="H156" s="121">
        <f>IFERROR(INDEX('Detalles movimientos'!I$5:I$1021, MATCH(147, 'Detalles movimientos'!$W$5:$W$1021, 0)), "")</f>
        <v/>
      </c>
      <c r="I156" s="120">
        <f>IFERROR(INDEX('Detalles movimientos'!M$5:M$1021, MATCH(147, 'Detalles movimientos'!$W$5:$W$1021, 0)), "")</f>
        <v/>
      </c>
      <c r="J156" s="19">
        <f>IFERROR(INDEX('Detalles movimientos'!N$5:N$1021, MATCH(147, 'Detalles movimientos'!$W$5:$W$1021, 0)), "")</f>
        <v/>
      </c>
      <c r="K156" s="120">
        <f>IFERROR(INDEX('Detalles movimientos'!O$5:O$1021, MATCH(147, 'Detalles movimientos'!$W$5:$W$1021, 0)), "")</f>
        <v/>
      </c>
      <c r="L156" s="18">
        <f>IFERROR(INDEX('Detalles movimientos'!P$5:P$1021, MATCH(147, 'Detalles movimientos'!$W$5:$W$1021, 0)), "")</f>
        <v/>
      </c>
      <c r="M156" s="18">
        <f>IFERROR(INDEX('Detalles movimientos'!S$5:S$1021, MATCH(147, 'Detalles movimientos'!$W$5:$W$1021, 0)), "")</f>
        <v/>
      </c>
    </row>
    <row r="157">
      <c r="B157" s="119">
        <f>IFERROR(INDEX('Detalles movimientos'!C$5:C$1021, MATCH(148, 'Detalles movimientos'!$W$5:$W$1021, 0)), "")</f>
        <v/>
      </c>
      <c r="C157" s="18">
        <f>IFERROR(INDEX('Detalles movimientos'!D$5:D$1021, MATCH(148, 'Detalles movimientos'!$W$5:$W$1021, 0)), "")</f>
        <v/>
      </c>
      <c r="D157" s="19">
        <f>IFERROR(INDEX('Detalles movimientos'!E$5:E$1021, MATCH(148, 'Detalles movimientos'!$W$5:$W$1021, 0)), "")</f>
        <v/>
      </c>
      <c r="E157" s="19">
        <f>IFERROR(INDEX('Detalles movimientos'!F$5:F$1021, MATCH(148, 'Detalles movimientos'!$W$5:$W$1021, 0)), "")</f>
        <v/>
      </c>
      <c r="F157" s="18">
        <f>IFERROR(INDEX('Detalles movimientos'!G$5:G$1021, MATCH(148, 'Detalles movimientos'!$W$5:$W$1021, 0)), "")</f>
        <v/>
      </c>
      <c r="G157" s="120">
        <f>IFERROR(INDEX('Detalles movimientos'!H$5:H$1021, MATCH(148, 'Detalles movimientos'!$W$5:$W$1021, 0)), "")</f>
        <v/>
      </c>
      <c r="H157" s="121">
        <f>IFERROR(INDEX('Detalles movimientos'!I$5:I$1021, MATCH(148, 'Detalles movimientos'!$W$5:$W$1021, 0)), "")</f>
        <v/>
      </c>
      <c r="I157" s="120">
        <f>IFERROR(INDEX('Detalles movimientos'!M$5:M$1021, MATCH(148, 'Detalles movimientos'!$W$5:$W$1021, 0)), "")</f>
        <v/>
      </c>
      <c r="J157" s="19">
        <f>IFERROR(INDEX('Detalles movimientos'!N$5:N$1021, MATCH(148, 'Detalles movimientos'!$W$5:$W$1021, 0)), "")</f>
        <v/>
      </c>
      <c r="K157" s="120">
        <f>IFERROR(INDEX('Detalles movimientos'!O$5:O$1021, MATCH(148, 'Detalles movimientos'!$W$5:$W$1021, 0)), "")</f>
        <v/>
      </c>
      <c r="L157" s="18">
        <f>IFERROR(INDEX('Detalles movimientos'!P$5:P$1021, MATCH(148, 'Detalles movimientos'!$W$5:$W$1021, 0)), "")</f>
        <v/>
      </c>
      <c r="M157" s="18">
        <f>IFERROR(INDEX('Detalles movimientos'!S$5:S$1021, MATCH(148, 'Detalles movimientos'!$W$5:$W$1021, 0)), "")</f>
        <v/>
      </c>
    </row>
    <row r="158">
      <c r="B158" s="119">
        <f>IFERROR(INDEX('Detalles movimientos'!C$5:C$1021, MATCH(149, 'Detalles movimientos'!$W$5:$W$1021, 0)), "")</f>
        <v/>
      </c>
      <c r="C158" s="18">
        <f>IFERROR(INDEX('Detalles movimientos'!D$5:D$1021, MATCH(149, 'Detalles movimientos'!$W$5:$W$1021, 0)), "")</f>
        <v/>
      </c>
      <c r="D158" s="19">
        <f>IFERROR(INDEX('Detalles movimientos'!E$5:E$1021, MATCH(149, 'Detalles movimientos'!$W$5:$W$1021, 0)), "")</f>
        <v/>
      </c>
      <c r="E158" s="19">
        <f>IFERROR(INDEX('Detalles movimientos'!F$5:F$1021, MATCH(149, 'Detalles movimientos'!$W$5:$W$1021, 0)), "")</f>
        <v/>
      </c>
      <c r="F158" s="18">
        <f>IFERROR(INDEX('Detalles movimientos'!G$5:G$1021, MATCH(149, 'Detalles movimientos'!$W$5:$W$1021, 0)), "")</f>
        <v/>
      </c>
      <c r="G158" s="120">
        <f>IFERROR(INDEX('Detalles movimientos'!H$5:H$1021, MATCH(149, 'Detalles movimientos'!$W$5:$W$1021, 0)), "")</f>
        <v/>
      </c>
      <c r="H158" s="121">
        <f>IFERROR(INDEX('Detalles movimientos'!I$5:I$1021, MATCH(149, 'Detalles movimientos'!$W$5:$W$1021, 0)), "")</f>
        <v/>
      </c>
      <c r="I158" s="120">
        <f>IFERROR(INDEX('Detalles movimientos'!M$5:M$1021, MATCH(149, 'Detalles movimientos'!$W$5:$W$1021, 0)), "")</f>
        <v/>
      </c>
      <c r="J158" s="19">
        <f>IFERROR(INDEX('Detalles movimientos'!N$5:N$1021, MATCH(149, 'Detalles movimientos'!$W$5:$W$1021, 0)), "")</f>
        <v/>
      </c>
      <c r="K158" s="120">
        <f>IFERROR(INDEX('Detalles movimientos'!O$5:O$1021, MATCH(149, 'Detalles movimientos'!$W$5:$W$1021, 0)), "")</f>
        <v/>
      </c>
      <c r="L158" s="18">
        <f>IFERROR(INDEX('Detalles movimientos'!P$5:P$1021, MATCH(149, 'Detalles movimientos'!$W$5:$W$1021, 0)), "")</f>
        <v/>
      </c>
      <c r="M158" s="18">
        <f>IFERROR(INDEX('Detalles movimientos'!S$5:S$1021, MATCH(149, 'Detalles movimientos'!$W$5:$W$1021, 0)), "")</f>
        <v/>
      </c>
    </row>
  </sheetData>
  <mergeCells count="2">
    <mergeCell ref="H6:I7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G15" sqref="G15"/>
    </sheetView>
  </sheetViews>
  <sheetFormatPr baseColWidth="10" defaultColWidth="8.83203125" defaultRowHeight="16"/>
  <cols>
    <col width="40" customWidth="1" style="81" min="1" max="1"/>
    <col width="25" customWidth="1" style="81" min="2" max="2"/>
  </cols>
  <sheetData>
    <row r="1" ht="19" customHeight="1" s="81">
      <c r="A1" s="92" t="inlineStr">
        <is>
          <t>Dashboard de Análisis de Negocio</t>
        </is>
      </c>
    </row>
    <row r="3">
      <c r="A3" s="91" t="inlineStr">
        <is>
          <t>Métricas de Inventario (Litros)</t>
        </is>
      </c>
    </row>
    <row r="4">
      <c r="A4" t="inlineStr">
        <is>
          <t>Total Litros Comprados (ENAP)</t>
        </is>
      </c>
      <c r="B4" s="122">
        <f>SUM('Detalles movimientos'!R:R)</f>
        <v/>
      </c>
    </row>
    <row r="5">
      <c r="A5" t="inlineStr">
        <is>
          <t>Total Litros Vendidos</t>
        </is>
      </c>
      <c r="B5" s="122">
        <f>SUM('Detalles movimientos'!I:I)</f>
        <v/>
      </c>
    </row>
    <row r="6">
      <c r="A6" t="inlineStr">
        <is>
          <t>Saldo Actual (Stock)</t>
        </is>
      </c>
      <c r="B6" s="122">
        <f>B4-B5</f>
        <v/>
      </c>
    </row>
    <row r="7">
      <c r="A7" s="91" t="n"/>
    </row>
    <row r="8">
      <c r="A8" s="91" t="inlineStr">
        <is>
          <t>Métricas Financieras ($)</t>
        </is>
      </c>
    </row>
    <row r="9">
      <c r="A9" t="inlineStr">
        <is>
          <t>Monto Total de Compras (ENAP)</t>
        </is>
      </c>
      <c r="B9" s="123">
        <f>SUM('Detalles movimientos'!Q:Q)</f>
        <v/>
      </c>
    </row>
    <row r="10">
      <c r="A10" t="inlineStr">
        <is>
          <t>Total Recaudado (Ventas)</t>
        </is>
      </c>
      <c r="B10" s="123">
        <f>SUM('Detalles movimientos'!M:M)</f>
        <v/>
      </c>
    </row>
    <row r="11">
      <c r="A11" t="inlineStr">
        <is>
          <t>Total Comisiones Pagadas</t>
        </is>
      </c>
      <c r="B11" s="123">
        <f>SUM('Detalles movimientos'!O:O)</f>
        <v/>
      </c>
    </row>
    <row r="12">
      <c r="A12" t="inlineStr">
        <is>
          <t>Beneficio Bruto</t>
        </is>
      </c>
      <c r="B12" s="123">
        <f>B10-B9</f>
        <v/>
      </c>
    </row>
    <row r="13">
      <c r="A13" t="inlineStr">
        <is>
          <t>Beneficio Neto</t>
        </is>
      </c>
      <c r="B13" s="123">
        <f>B11-B10</f>
        <v/>
      </c>
    </row>
    <row r="14">
      <c r="A14" s="91" t="n"/>
    </row>
    <row r="15">
      <c r="A15" s="91" t="inlineStr">
        <is>
          <t>Indicadores Clave de Rendimiento (KPIs)</t>
        </is>
      </c>
    </row>
    <row r="16">
      <c r="A16" t="inlineStr">
        <is>
          <t>Costo Promedio por Litro</t>
        </is>
      </c>
      <c r="B16" s="123">
        <f>IF(B4&gt;0, B9/B4, 0)</f>
        <v/>
      </c>
    </row>
    <row r="17">
      <c r="A17" t="inlineStr">
        <is>
          <t>Precio Promedio de Venta por Litro</t>
        </is>
      </c>
      <c r="B17" s="123">
        <f>IF(B5&gt;0, B10/B5, 0)</f>
        <v/>
      </c>
    </row>
    <row r="18">
      <c r="A18" t="inlineStr">
        <is>
          <t>Margen de Ganancia Neto</t>
        </is>
      </c>
      <c r="B18" s="32">
        <f>IF(B10&gt;0, B13/B10, 0)</f>
        <v/>
      </c>
    </row>
  </sheetData>
  <mergeCells count="6">
    <mergeCell ref="A15:B15"/>
    <mergeCell ref="A7:B7"/>
    <mergeCell ref="A14:B14"/>
    <mergeCell ref="A1:B1"/>
    <mergeCell ref="A8:B8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4" tint="0.7999816888943144"/>
    <outlinePr summaryBelow="1" summaryRight="1"/>
    <pageSetUpPr/>
  </sheetPr>
  <dimension ref="B2:M161"/>
  <sheetViews>
    <sheetView showGridLines="0" workbookViewId="0">
      <selection activeCell="G27" sqref="G27"/>
    </sheetView>
  </sheetViews>
  <sheetFormatPr baseColWidth="10" defaultColWidth="8.83203125" defaultRowHeight="16"/>
  <cols>
    <col width="4" customWidth="1" style="81" min="1" max="1"/>
    <col width="14" customWidth="1" style="81" min="2" max="2"/>
    <col width="26" customWidth="1" style="81" min="3" max="3"/>
    <col width="12" customWidth="1" style="81" min="4" max="4"/>
    <col width="14" customWidth="1" style="81" min="5" max="5"/>
    <col width="32" customWidth="1" style="81" min="6" max="6"/>
    <col width="14" customWidth="1" style="81" min="7" max="8"/>
    <col width="16" customWidth="1" style="81" min="9" max="9"/>
    <col width="18" customWidth="1" style="81" min="10" max="10"/>
    <col width="16" customWidth="1" style="81" min="11" max="11"/>
    <col width="24" customWidth="1" style="81" min="12" max="12"/>
    <col width="45" customWidth="1" style="81" min="13" max="13"/>
  </cols>
  <sheetData>
    <row r="2" ht="22" customHeight="1" s="81">
      <c r="B2" s="14" t="inlineStr">
        <is>
          <t>RESUMEN Y MOVIMIENTOS INDIVIDUALES: CJ (COMISIONISTA JC)</t>
        </is>
      </c>
    </row>
    <row r="3">
      <c r="B3" s="15" t="inlineStr">
        <is>
          <t>Sincronización en tiempo real - Control de Comisiones y Ventas</t>
        </is>
      </c>
    </row>
    <row r="5">
      <c r="B5" s="96" t="inlineStr">
        <is>
          <t>TOTAL LITROS</t>
        </is>
      </c>
      <c r="C5" s="90" t="n"/>
      <c r="E5" s="96" t="inlineStr">
        <is>
          <t>TOTAL VENTAS ($)</t>
        </is>
      </c>
      <c r="F5" s="90" t="n"/>
      <c r="H5" s="96" t="inlineStr">
        <is>
          <t>COMISIONES PAGADAS ($)</t>
        </is>
      </c>
      <c r="I5" s="90" t="n"/>
      <c r="K5" s="96" t="inlineStr">
        <is>
          <t>COMISIONES PENDIENTES ($)</t>
        </is>
      </c>
      <c r="L5" s="90" t="n"/>
    </row>
    <row r="6">
      <c r="B6" s="124">
        <f>SUMIFS('Detalles movimientos'!I$5:I$1021, 'Detalles movimientos'!F$5:F$1021, "CJ")</f>
        <v/>
      </c>
      <c r="C6" s="86" t="n"/>
      <c r="E6" s="125">
        <f>SUMIFS('Detalles movimientos'!M$5:M$1021, 'Detalles movimientos'!F$5:F$1021, "CJ")</f>
        <v/>
      </c>
      <c r="F6" s="86" t="n"/>
      <c r="H6" s="125">
        <f>SUMIFS('Detalles movimientos'!O$5:O$1021, 'Detalles movimientos'!F$5:F$1021, "CJ", 'Detalles movimientos'!P$5:P$1021, "*Comision Pagada*")</f>
        <v/>
      </c>
      <c r="I6" s="86" t="n"/>
      <c r="K6" s="125">
        <f>SUMIFS('Detalles movimientos'!O$5:O$1021, 'Detalles movimientos'!F$5:F$1021, "CJ", 'Detalles movimientos'!P$5:P$1021, "&lt;&gt;*Comision Pagada*")</f>
        <v/>
      </c>
      <c r="L6" s="86" t="n"/>
    </row>
    <row r="7">
      <c r="B7" s="87" t="n"/>
      <c r="C7" s="88" t="n"/>
      <c r="E7" s="87" t="n"/>
      <c r="F7" s="88" t="n"/>
      <c r="H7" s="87" t="n"/>
      <c r="I7" s="88" t="n"/>
      <c r="K7" s="87" t="n"/>
      <c r="L7" s="88" t="n"/>
    </row>
    <row r="9">
      <c r="B9" s="97" t="inlineStr">
        <is>
          <t>PERÍODO COMISIONES PAGADAS:</t>
        </is>
      </c>
      <c r="C9" s="90" t="n"/>
      <c r="D9" s="93">
        <f>"Del " &amp; TEXT(_xlfn.MINIFS('Detalles movimientos'!C$5:C$1021, 'Detalles movimientos'!F$5:F$1021, "CJ", 'Detalles movimientos'!P$5:P$1021, "*Comision Pagada*"), "dd/mm/yyyy") &amp; " al " &amp; TEXT(_xlfn.MAXIFS('Detalles movimientos'!C$5:C$1021, 'Detalles movimientos'!F$5:F$1021, "CJ", 'Detalles movimientos'!P$5:P$1021, "*Comision Pagada*"), "dd/mm/yyyy")</f>
        <v/>
      </c>
      <c r="E9" s="94" t="n"/>
      <c r="F9" s="90" t="n"/>
      <c r="H9" s="97" t="inlineStr">
        <is>
          <t>PERÍODO COMISIONES PENDIENTES:</t>
        </is>
      </c>
      <c r="I9" s="90" t="n"/>
      <c r="J9" s="93">
        <f>"Del " &amp; TEXT(_xlfn.MINIFS('Detalles movimientos'!C$5:C$1021, 'Detalles movimientos'!F$5:F$1021, "CJ", 'Detalles movimientos'!P$5:P$1021, "&lt;&gt;*Comision Pagada*", 'Detalles movimientos'!C$5:C$1021, "&gt;0"), "dd/mm/yyyy") &amp; " al " &amp; TEXT(_xlfn.MAXIFS('Detalles movimientos'!C$5:C$1021, 'Detalles movimientos'!F$5:F$1021, "CJ", 'Detalles movimientos'!P$5:P$1021, "&lt;&gt;*Comision Pagada*"), "dd/mm/yyyy")</f>
        <v/>
      </c>
      <c r="K9" s="94" t="n"/>
      <c r="L9" s="90" t="n"/>
    </row>
    <row r="12" ht="25" customHeight="1" s="81">
      <c r="B12" s="16" t="inlineStr">
        <is>
          <t>Fecha</t>
        </is>
      </c>
      <c r="C12" s="16" t="inlineStr">
        <is>
          <t>Nombre Cliente</t>
        </is>
      </c>
      <c r="D12" s="16" t="inlineStr">
        <is>
          <t>Camión</t>
        </is>
      </c>
      <c r="E12" s="16" t="inlineStr">
        <is>
          <t>Vende</t>
        </is>
      </c>
      <c r="F12" s="16" t="inlineStr">
        <is>
          <t>Dirección</t>
        </is>
      </c>
      <c r="G12" s="16" t="inlineStr">
        <is>
          <t>Precio</t>
        </is>
      </c>
      <c r="H12" s="16" t="inlineStr">
        <is>
          <t>Litros</t>
        </is>
      </c>
      <c r="I12" s="16" t="inlineStr">
        <is>
          <t>Total</t>
        </is>
      </c>
      <c r="J12" s="16" t="inlineStr">
        <is>
          <t>Medio de pago</t>
        </is>
      </c>
      <c r="K12" s="16" t="inlineStr">
        <is>
          <t>Comisiones</t>
        </is>
      </c>
      <c r="L12" s="16" t="inlineStr">
        <is>
          <t>Observación</t>
        </is>
      </c>
      <c r="M12" s="16" t="inlineStr">
        <is>
          <t>Facturación / Detalles</t>
        </is>
      </c>
    </row>
    <row r="13">
      <c r="B13" s="119">
        <f>IFERROR(INDEX('Detalles movimientos'!C$5:C$1021, MATCH(1, 'Detalles movimientos'!$T$5:$T$1021, 0)), "")</f>
        <v/>
      </c>
      <c r="C13" s="18">
        <f>IFERROR(INDEX('Detalles movimientos'!D$5:D$1021, MATCH(1, 'Detalles movimientos'!$T$5:$T$1021, 0)), "")</f>
        <v/>
      </c>
      <c r="D13" s="19">
        <f>IFERROR(INDEX('Detalles movimientos'!E$5:E$1021, MATCH(1, 'Detalles movimientos'!$T$5:$T$1021, 0)), "")</f>
        <v/>
      </c>
      <c r="E13" s="19">
        <f>IFERROR(INDEX('Detalles movimientos'!F$5:F$1021, MATCH(1, 'Detalles movimientos'!$T$5:$T$1021, 0)), "")</f>
        <v/>
      </c>
      <c r="F13" s="18">
        <f>IFERROR(INDEX('Detalles movimientos'!G$5:G$1021, MATCH(1, 'Detalles movimientos'!$T$5:$T$1021, 0)), "")</f>
        <v/>
      </c>
      <c r="G13" s="120">
        <f>IFERROR(INDEX('Detalles movimientos'!H$5:H$1021, MATCH(1, 'Detalles movimientos'!$T$5:$T$1021, 0)), "")</f>
        <v/>
      </c>
      <c r="H13" s="121">
        <f>IFERROR(INDEX('Detalles movimientos'!I$5:I$1021, MATCH(1, 'Detalles movimientos'!$T$5:$T$1021, 0)), "")</f>
        <v/>
      </c>
      <c r="I13" s="120">
        <f>IFERROR(INDEX('Detalles movimientos'!M$5:M$1021, MATCH(1, 'Detalles movimientos'!$T$5:$T$1021, 0)), "")</f>
        <v/>
      </c>
      <c r="J13" s="19">
        <f>IFERROR(INDEX('Detalles movimientos'!N$5:N$1021, MATCH(1, 'Detalles movimientos'!$T$5:$T$1021, 0)), "")</f>
        <v/>
      </c>
      <c r="K13" s="120">
        <f>IFERROR(INDEX('Detalles movimientos'!O$5:O$1021, MATCH(1, 'Detalles movimientos'!$T$5:$T$1021, 0)), "")</f>
        <v/>
      </c>
      <c r="L13" s="18">
        <f>IFERROR(INDEX('Detalles movimientos'!P$5:P$1021, MATCH(1, 'Detalles movimientos'!$T$5:$T$1021, 0)), "")</f>
        <v/>
      </c>
      <c r="M13" s="18">
        <f>IFERROR(INDEX('Detalles movimientos'!S$5:S$1021, MATCH(1, 'Detalles movimientos'!$T$5:$T$1021, 0)), "")</f>
        <v/>
      </c>
    </row>
    <row r="14">
      <c r="B14" s="119">
        <f>IFERROR(INDEX('Detalles movimientos'!C$5:C$1021, MATCH(2, 'Detalles movimientos'!$T$5:$T$1021, 0)), "")</f>
        <v/>
      </c>
      <c r="C14" s="18">
        <f>IFERROR(INDEX('Detalles movimientos'!D$5:D$1021, MATCH(2, 'Detalles movimientos'!$T$5:$T$1021, 0)), "")</f>
        <v/>
      </c>
      <c r="D14" s="19">
        <f>IFERROR(INDEX('Detalles movimientos'!E$5:E$1021, MATCH(2, 'Detalles movimientos'!$T$5:$T$1021, 0)), "")</f>
        <v/>
      </c>
      <c r="E14" s="19">
        <f>IFERROR(INDEX('Detalles movimientos'!F$5:F$1021, MATCH(2, 'Detalles movimientos'!$T$5:$T$1021, 0)), "")</f>
        <v/>
      </c>
      <c r="F14" s="18">
        <f>IFERROR(INDEX('Detalles movimientos'!G$5:G$1021, MATCH(2, 'Detalles movimientos'!$T$5:$T$1021, 0)), "")</f>
        <v/>
      </c>
      <c r="G14" s="120">
        <f>IFERROR(INDEX('Detalles movimientos'!H$5:H$1021, MATCH(2, 'Detalles movimientos'!$T$5:$T$1021, 0)), "")</f>
        <v/>
      </c>
      <c r="H14" s="121">
        <f>IFERROR(INDEX('Detalles movimientos'!I$5:I$1021, MATCH(2, 'Detalles movimientos'!$T$5:$T$1021, 0)), "")</f>
        <v/>
      </c>
      <c r="I14" s="120">
        <f>IFERROR(INDEX('Detalles movimientos'!M$5:M$1021, MATCH(2, 'Detalles movimientos'!$T$5:$T$1021, 0)), "")</f>
        <v/>
      </c>
      <c r="J14" s="19">
        <f>IFERROR(INDEX('Detalles movimientos'!N$5:N$1021, MATCH(2, 'Detalles movimientos'!$T$5:$T$1021, 0)), "")</f>
        <v/>
      </c>
      <c r="K14" s="120">
        <f>IFERROR(INDEX('Detalles movimientos'!O$5:O$1021, MATCH(2, 'Detalles movimientos'!$T$5:$T$1021, 0)), "")</f>
        <v/>
      </c>
      <c r="L14" s="18">
        <f>IFERROR(INDEX('Detalles movimientos'!P$5:P$1021, MATCH(2, 'Detalles movimientos'!$T$5:$T$1021, 0)), "")</f>
        <v/>
      </c>
      <c r="M14" s="18">
        <f>IFERROR(INDEX('Detalles movimientos'!S$5:S$1021, MATCH(2, 'Detalles movimientos'!$T$5:$T$1021, 0)), "")</f>
        <v/>
      </c>
    </row>
    <row r="15">
      <c r="B15" s="119">
        <f>IFERROR(INDEX('Detalles movimientos'!C$5:C$1021, MATCH(3, 'Detalles movimientos'!$T$5:$T$1021, 0)), "")</f>
        <v/>
      </c>
      <c r="C15" s="18">
        <f>IFERROR(INDEX('Detalles movimientos'!D$5:D$1021, MATCH(3, 'Detalles movimientos'!$T$5:$T$1021, 0)), "")</f>
        <v/>
      </c>
      <c r="D15" s="19">
        <f>IFERROR(INDEX('Detalles movimientos'!E$5:E$1021, MATCH(3, 'Detalles movimientos'!$T$5:$T$1021, 0)), "")</f>
        <v/>
      </c>
      <c r="E15" s="19">
        <f>IFERROR(INDEX('Detalles movimientos'!F$5:F$1021, MATCH(3, 'Detalles movimientos'!$T$5:$T$1021, 0)), "")</f>
        <v/>
      </c>
      <c r="F15" s="18">
        <f>IFERROR(INDEX('Detalles movimientos'!G$5:G$1021, MATCH(3, 'Detalles movimientos'!$T$5:$T$1021, 0)), "")</f>
        <v/>
      </c>
      <c r="G15" s="120">
        <f>IFERROR(INDEX('Detalles movimientos'!H$5:H$1021, MATCH(3, 'Detalles movimientos'!$T$5:$T$1021, 0)), "")</f>
        <v/>
      </c>
      <c r="H15" s="121">
        <f>IFERROR(INDEX('Detalles movimientos'!I$5:I$1021, MATCH(3, 'Detalles movimientos'!$T$5:$T$1021, 0)), "")</f>
        <v/>
      </c>
      <c r="I15" s="120">
        <f>IFERROR(INDEX('Detalles movimientos'!M$5:M$1021, MATCH(3, 'Detalles movimientos'!$T$5:$T$1021, 0)), "")</f>
        <v/>
      </c>
      <c r="J15" s="19">
        <f>IFERROR(INDEX('Detalles movimientos'!N$5:N$1021, MATCH(3, 'Detalles movimientos'!$T$5:$T$1021, 0)), "")</f>
        <v/>
      </c>
      <c r="K15" s="120">
        <f>IFERROR(INDEX('Detalles movimientos'!O$5:O$1021, MATCH(3, 'Detalles movimientos'!$T$5:$T$1021, 0)), "")</f>
        <v/>
      </c>
      <c r="L15" s="18">
        <f>IFERROR(INDEX('Detalles movimientos'!P$5:P$1021, MATCH(3, 'Detalles movimientos'!$T$5:$T$1021, 0)), "")</f>
        <v/>
      </c>
      <c r="M15" s="18">
        <f>IFERROR(INDEX('Detalles movimientos'!S$5:S$1021, MATCH(3, 'Detalles movimientos'!$T$5:$T$1021, 0)), "")</f>
        <v/>
      </c>
    </row>
    <row r="16">
      <c r="B16" s="119">
        <f>IFERROR(INDEX('Detalles movimientos'!C$5:C$1021, MATCH(4, 'Detalles movimientos'!$T$5:$T$1021, 0)), "")</f>
        <v/>
      </c>
      <c r="C16" s="18">
        <f>IFERROR(INDEX('Detalles movimientos'!D$5:D$1021, MATCH(4, 'Detalles movimientos'!$T$5:$T$1021, 0)), "")</f>
        <v/>
      </c>
      <c r="D16" s="19">
        <f>IFERROR(INDEX('Detalles movimientos'!E$5:E$1021, MATCH(4, 'Detalles movimientos'!$T$5:$T$1021, 0)), "")</f>
        <v/>
      </c>
      <c r="E16" s="19">
        <f>IFERROR(INDEX('Detalles movimientos'!F$5:F$1021, MATCH(4, 'Detalles movimientos'!$T$5:$T$1021, 0)), "")</f>
        <v/>
      </c>
      <c r="F16" s="18">
        <f>IFERROR(INDEX('Detalles movimientos'!G$5:G$1021, MATCH(4, 'Detalles movimientos'!$T$5:$T$1021, 0)), "")</f>
        <v/>
      </c>
      <c r="G16" s="120">
        <f>IFERROR(INDEX('Detalles movimientos'!H$5:H$1021, MATCH(4, 'Detalles movimientos'!$T$5:$T$1021, 0)), "")</f>
        <v/>
      </c>
      <c r="H16" s="121">
        <f>IFERROR(INDEX('Detalles movimientos'!I$5:I$1021, MATCH(4, 'Detalles movimientos'!$T$5:$T$1021, 0)), "")</f>
        <v/>
      </c>
      <c r="I16" s="120">
        <f>IFERROR(INDEX('Detalles movimientos'!M$5:M$1021, MATCH(4, 'Detalles movimientos'!$T$5:$T$1021, 0)), "")</f>
        <v/>
      </c>
      <c r="J16" s="19">
        <f>IFERROR(INDEX('Detalles movimientos'!N$5:N$1021, MATCH(4, 'Detalles movimientos'!$T$5:$T$1021, 0)), "")</f>
        <v/>
      </c>
      <c r="K16" s="120">
        <f>IFERROR(INDEX('Detalles movimientos'!O$5:O$1021, MATCH(4, 'Detalles movimientos'!$T$5:$T$1021, 0)), "")</f>
        <v/>
      </c>
      <c r="L16" s="18">
        <f>IFERROR(INDEX('Detalles movimientos'!P$5:P$1021, MATCH(4, 'Detalles movimientos'!$T$5:$T$1021, 0)), "")</f>
        <v/>
      </c>
      <c r="M16" s="18">
        <f>IFERROR(INDEX('Detalles movimientos'!S$5:S$1021, MATCH(4, 'Detalles movimientos'!$T$5:$T$1021, 0)), "")</f>
        <v/>
      </c>
    </row>
    <row r="17">
      <c r="B17" s="119">
        <f>IFERROR(INDEX('Detalles movimientos'!C$5:C$1021, MATCH(5, 'Detalles movimientos'!$T$5:$T$1021, 0)), "")</f>
        <v/>
      </c>
      <c r="C17" s="18">
        <f>IFERROR(INDEX('Detalles movimientos'!D$5:D$1021, MATCH(5, 'Detalles movimientos'!$T$5:$T$1021, 0)), "")</f>
        <v/>
      </c>
      <c r="D17" s="19">
        <f>IFERROR(INDEX('Detalles movimientos'!E$5:E$1021, MATCH(5, 'Detalles movimientos'!$T$5:$T$1021, 0)), "")</f>
        <v/>
      </c>
      <c r="E17" s="19">
        <f>IFERROR(INDEX('Detalles movimientos'!F$5:F$1021, MATCH(5, 'Detalles movimientos'!$T$5:$T$1021, 0)), "")</f>
        <v/>
      </c>
      <c r="F17" s="18">
        <f>IFERROR(INDEX('Detalles movimientos'!G$5:G$1021, MATCH(5, 'Detalles movimientos'!$T$5:$T$1021, 0)), "")</f>
        <v/>
      </c>
      <c r="G17" s="120">
        <f>IFERROR(INDEX('Detalles movimientos'!H$5:H$1021, MATCH(5, 'Detalles movimientos'!$T$5:$T$1021, 0)), "")</f>
        <v/>
      </c>
      <c r="H17" s="121">
        <f>IFERROR(INDEX('Detalles movimientos'!I$5:I$1021, MATCH(5, 'Detalles movimientos'!$T$5:$T$1021, 0)), "")</f>
        <v/>
      </c>
      <c r="I17" s="120">
        <f>IFERROR(INDEX('Detalles movimientos'!M$5:M$1021, MATCH(5, 'Detalles movimientos'!$T$5:$T$1021, 0)), "")</f>
        <v/>
      </c>
      <c r="J17" s="19">
        <f>IFERROR(INDEX('Detalles movimientos'!N$5:N$1021, MATCH(5, 'Detalles movimientos'!$T$5:$T$1021, 0)), "")</f>
        <v/>
      </c>
      <c r="K17" s="120">
        <f>IFERROR(INDEX('Detalles movimientos'!O$5:O$1021, MATCH(5, 'Detalles movimientos'!$T$5:$T$1021, 0)), "")</f>
        <v/>
      </c>
      <c r="L17" s="18">
        <f>IFERROR(INDEX('Detalles movimientos'!P$5:P$1021, MATCH(5, 'Detalles movimientos'!$T$5:$T$1021, 0)), "")</f>
        <v/>
      </c>
      <c r="M17" s="18">
        <f>IFERROR(INDEX('Detalles movimientos'!S$5:S$1021, MATCH(5, 'Detalles movimientos'!$T$5:$T$1021, 0)), "")</f>
        <v/>
      </c>
    </row>
    <row r="18">
      <c r="B18" s="119">
        <f>IFERROR(INDEX('Detalles movimientos'!C$5:C$1021, MATCH(6, 'Detalles movimientos'!$T$5:$T$1021, 0)), "")</f>
        <v/>
      </c>
      <c r="C18" s="18">
        <f>IFERROR(INDEX('Detalles movimientos'!D$5:D$1021, MATCH(6, 'Detalles movimientos'!$T$5:$T$1021, 0)), "")</f>
        <v/>
      </c>
      <c r="D18" s="19">
        <f>IFERROR(INDEX('Detalles movimientos'!E$5:E$1021, MATCH(6, 'Detalles movimientos'!$T$5:$T$1021, 0)), "")</f>
        <v/>
      </c>
      <c r="E18" s="19">
        <f>IFERROR(INDEX('Detalles movimientos'!F$5:F$1021, MATCH(6, 'Detalles movimientos'!$T$5:$T$1021, 0)), "")</f>
        <v/>
      </c>
      <c r="F18" s="18">
        <f>IFERROR(INDEX('Detalles movimientos'!G$5:G$1021, MATCH(6, 'Detalles movimientos'!$T$5:$T$1021, 0)), "")</f>
        <v/>
      </c>
      <c r="G18" s="120">
        <f>IFERROR(INDEX('Detalles movimientos'!H$5:H$1021, MATCH(6, 'Detalles movimientos'!$T$5:$T$1021, 0)), "")</f>
        <v/>
      </c>
      <c r="H18" s="121">
        <f>IFERROR(INDEX('Detalles movimientos'!I$5:I$1021, MATCH(6, 'Detalles movimientos'!$T$5:$T$1021, 0)), "")</f>
        <v/>
      </c>
      <c r="I18" s="120">
        <f>IFERROR(INDEX('Detalles movimientos'!M$5:M$1021, MATCH(6, 'Detalles movimientos'!$T$5:$T$1021, 0)), "")</f>
        <v/>
      </c>
      <c r="J18" s="19">
        <f>IFERROR(INDEX('Detalles movimientos'!N$5:N$1021, MATCH(6, 'Detalles movimientos'!$T$5:$T$1021, 0)), "")</f>
        <v/>
      </c>
      <c r="K18" s="120">
        <f>IFERROR(INDEX('Detalles movimientos'!O$5:O$1021, MATCH(6, 'Detalles movimientos'!$T$5:$T$1021, 0)), "")</f>
        <v/>
      </c>
      <c r="L18" s="18">
        <f>IFERROR(INDEX('Detalles movimientos'!P$5:P$1021, MATCH(6, 'Detalles movimientos'!$T$5:$T$1021, 0)), "")</f>
        <v/>
      </c>
      <c r="M18" s="18">
        <f>IFERROR(INDEX('Detalles movimientos'!S$5:S$1021, MATCH(6, 'Detalles movimientos'!$T$5:$T$1021, 0)), "")</f>
        <v/>
      </c>
    </row>
    <row r="19">
      <c r="B19" s="119">
        <f>IFERROR(INDEX('Detalles movimientos'!C$5:C$1021, MATCH(7, 'Detalles movimientos'!$T$5:$T$1021, 0)), "")</f>
        <v/>
      </c>
      <c r="C19" s="18">
        <f>IFERROR(INDEX('Detalles movimientos'!D$5:D$1021, MATCH(7, 'Detalles movimientos'!$T$5:$T$1021, 0)), "")</f>
        <v/>
      </c>
      <c r="D19" s="19">
        <f>IFERROR(INDEX('Detalles movimientos'!E$5:E$1021, MATCH(7, 'Detalles movimientos'!$T$5:$T$1021, 0)), "")</f>
        <v/>
      </c>
      <c r="E19" s="19">
        <f>IFERROR(INDEX('Detalles movimientos'!F$5:F$1021, MATCH(7, 'Detalles movimientos'!$T$5:$T$1021, 0)), "")</f>
        <v/>
      </c>
      <c r="F19" s="18">
        <f>IFERROR(INDEX('Detalles movimientos'!G$5:G$1021, MATCH(7, 'Detalles movimientos'!$T$5:$T$1021, 0)), "")</f>
        <v/>
      </c>
      <c r="G19" s="120">
        <f>IFERROR(INDEX('Detalles movimientos'!H$5:H$1021, MATCH(7, 'Detalles movimientos'!$T$5:$T$1021, 0)), "")</f>
        <v/>
      </c>
      <c r="H19" s="121">
        <f>IFERROR(INDEX('Detalles movimientos'!I$5:I$1021, MATCH(7, 'Detalles movimientos'!$T$5:$T$1021, 0)), "")</f>
        <v/>
      </c>
      <c r="I19" s="120">
        <f>IFERROR(INDEX('Detalles movimientos'!M$5:M$1021, MATCH(7, 'Detalles movimientos'!$T$5:$T$1021, 0)), "")</f>
        <v/>
      </c>
      <c r="J19" s="19">
        <f>IFERROR(INDEX('Detalles movimientos'!N$5:N$1021, MATCH(7, 'Detalles movimientos'!$T$5:$T$1021, 0)), "")</f>
        <v/>
      </c>
      <c r="K19" s="120">
        <f>IFERROR(INDEX('Detalles movimientos'!O$5:O$1021, MATCH(7, 'Detalles movimientos'!$T$5:$T$1021, 0)), "")</f>
        <v/>
      </c>
      <c r="L19" s="18">
        <f>IFERROR(INDEX('Detalles movimientos'!P$5:P$1021, MATCH(7, 'Detalles movimientos'!$T$5:$T$1021, 0)), "")</f>
        <v/>
      </c>
      <c r="M19" s="18">
        <f>IFERROR(INDEX('Detalles movimientos'!S$5:S$1021, MATCH(7, 'Detalles movimientos'!$T$5:$T$1021, 0)), "")</f>
        <v/>
      </c>
    </row>
    <row r="20">
      <c r="B20" s="119">
        <f>IFERROR(INDEX('Detalles movimientos'!C$5:C$1021, MATCH(8, 'Detalles movimientos'!$T$5:$T$1021, 0)), "")</f>
        <v/>
      </c>
      <c r="C20" s="18">
        <f>IFERROR(INDEX('Detalles movimientos'!D$5:D$1021, MATCH(8, 'Detalles movimientos'!$T$5:$T$1021, 0)), "")</f>
        <v/>
      </c>
      <c r="D20" s="19">
        <f>IFERROR(INDEX('Detalles movimientos'!E$5:E$1021, MATCH(8, 'Detalles movimientos'!$T$5:$T$1021, 0)), "")</f>
        <v/>
      </c>
      <c r="E20" s="19">
        <f>IFERROR(INDEX('Detalles movimientos'!F$5:F$1021, MATCH(8, 'Detalles movimientos'!$T$5:$T$1021, 0)), "")</f>
        <v/>
      </c>
      <c r="F20" s="18">
        <f>IFERROR(INDEX('Detalles movimientos'!G$5:G$1021, MATCH(8, 'Detalles movimientos'!$T$5:$T$1021, 0)), "")</f>
        <v/>
      </c>
      <c r="G20" s="120">
        <f>IFERROR(INDEX('Detalles movimientos'!H$5:H$1021, MATCH(8, 'Detalles movimientos'!$T$5:$T$1021, 0)), "")</f>
        <v/>
      </c>
      <c r="H20" s="121">
        <f>IFERROR(INDEX('Detalles movimientos'!I$5:I$1021, MATCH(8, 'Detalles movimientos'!$T$5:$T$1021, 0)), "")</f>
        <v/>
      </c>
      <c r="I20" s="120">
        <f>IFERROR(INDEX('Detalles movimientos'!M$5:M$1021, MATCH(8, 'Detalles movimientos'!$T$5:$T$1021, 0)), "")</f>
        <v/>
      </c>
      <c r="J20" s="19">
        <f>IFERROR(INDEX('Detalles movimientos'!N$5:N$1021, MATCH(8, 'Detalles movimientos'!$T$5:$T$1021, 0)), "")</f>
        <v/>
      </c>
      <c r="K20" s="120">
        <f>IFERROR(INDEX('Detalles movimientos'!O$5:O$1021, MATCH(8, 'Detalles movimientos'!$T$5:$T$1021, 0)), "")</f>
        <v/>
      </c>
      <c r="L20" s="18">
        <f>IFERROR(INDEX('Detalles movimientos'!P$5:P$1021, MATCH(8, 'Detalles movimientos'!$T$5:$T$1021, 0)), "")</f>
        <v/>
      </c>
      <c r="M20" s="18">
        <f>IFERROR(INDEX('Detalles movimientos'!S$5:S$1021, MATCH(8, 'Detalles movimientos'!$T$5:$T$1021, 0)), "")</f>
        <v/>
      </c>
    </row>
    <row r="21">
      <c r="B21" s="119">
        <f>IFERROR(INDEX('Detalles movimientos'!C$5:C$1021, MATCH(9, 'Detalles movimientos'!$T$5:$T$1021, 0)), "")</f>
        <v/>
      </c>
      <c r="C21" s="18">
        <f>IFERROR(INDEX('Detalles movimientos'!D$5:D$1021, MATCH(9, 'Detalles movimientos'!$T$5:$T$1021, 0)), "")</f>
        <v/>
      </c>
      <c r="D21" s="19">
        <f>IFERROR(INDEX('Detalles movimientos'!E$5:E$1021, MATCH(9, 'Detalles movimientos'!$T$5:$T$1021, 0)), "")</f>
        <v/>
      </c>
      <c r="E21" s="19">
        <f>IFERROR(INDEX('Detalles movimientos'!F$5:F$1021, MATCH(9, 'Detalles movimientos'!$T$5:$T$1021, 0)), "")</f>
        <v/>
      </c>
      <c r="F21" s="18">
        <f>IFERROR(INDEX('Detalles movimientos'!G$5:G$1021, MATCH(9, 'Detalles movimientos'!$T$5:$T$1021, 0)), "")</f>
        <v/>
      </c>
      <c r="G21" s="120">
        <f>IFERROR(INDEX('Detalles movimientos'!H$5:H$1021, MATCH(9, 'Detalles movimientos'!$T$5:$T$1021, 0)), "")</f>
        <v/>
      </c>
      <c r="H21" s="121">
        <f>IFERROR(INDEX('Detalles movimientos'!I$5:I$1021, MATCH(9, 'Detalles movimientos'!$T$5:$T$1021, 0)), "")</f>
        <v/>
      </c>
      <c r="I21" s="120">
        <f>IFERROR(INDEX('Detalles movimientos'!M$5:M$1021, MATCH(9, 'Detalles movimientos'!$T$5:$T$1021, 0)), "")</f>
        <v/>
      </c>
      <c r="J21" s="19">
        <f>IFERROR(INDEX('Detalles movimientos'!N$5:N$1021, MATCH(9, 'Detalles movimientos'!$T$5:$T$1021, 0)), "")</f>
        <v/>
      </c>
      <c r="K21" s="120">
        <f>IFERROR(INDEX('Detalles movimientos'!O$5:O$1021, MATCH(9, 'Detalles movimientos'!$T$5:$T$1021, 0)), "")</f>
        <v/>
      </c>
      <c r="L21" s="18">
        <f>IFERROR(INDEX('Detalles movimientos'!P$5:P$1021, MATCH(9, 'Detalles movimientos'!$T$5:$T$1021, 0)), "")</f>
        <v/>
      </c>
      <c r="M21" s="18">
        <f>IFERROR(INDEX('Detalles movimientos'!S$5:S$1021, MATCH(9, 'Detalles movimientos'!$T$5:$T$1021, 0)), "")</f>
        <v/>
      </c>
    </row>
    <row r="22">
      <c r="B22" s="119">
        <f>IFERROR(INDEX('Detalles movimientos'!C$5:C$1021, MATCH(10, 'Detalles movimientos'!$T$5:$T$1021, 0)), "")</f>
        <v/>
      </c>
      <c r="C22" s="18">
        <f>IFERROR(INDEX('Detalles movimientos'!D$5:D$1021, MATCH(10, 'Detalles movimientos'!$T$5:$T$1021, 0)), "")</f>
        <v/>
      </c>
      <c r="D22" s="19">
        <f>IFERROR(INDEX('Detalles movimientos'!E$5:E$1021, MATCH(10, 'Detalles movimientos'!$T$5:$T$1021, 0)), "")</f>
        <v/>
      </c>
      <c r="E22" s="19">
        <f>IFERROR(INDEX('Detalles movimientos'!F$5:F$1021, MATCH(10, 'Detalles movimientos'!$T$5:$T$1021, 0)), "")</f>
        <v/>
      </c>
      <c r="F22" s="18">
        <f>IFERROR(INDEX('Detalles movimientos'!G$5:G$1021, MATCH(10, 'Detalles movimientos'!$T$5:$T$1021, 0)), "")</f>
        <v/>
      </c>
      <c r="G22" s="120">
        <f>IFERROR(INDEX('Detalles movimientos'!H$5:H$1021, MATCH(10, 'Detalles movimientos'!$T$5:$T$1021, 0)), "")</f>
        <v/>
      </c>
      <c r="H22" s="121">
        <f>IFERROR(INDEX('Detalles movimientos'!I$5:I$1021, MATCH(10, 'Detalles movimientos'!$T$5:$T$1021, 0)), "")</f>
        <v/>
      </c>
      <c r="I22" s="120">
        <f>IFERROR(INDEX('Detalles movimientos'!M$5:M$1021, MATCH(10, 'Detalles movimientos'!$T$5:$T$1021, 0)), "")</f>
        <v/>
      </c>
      <c r="J22" s="19">
        <f>IFERROR(INDEX('Detalles movimientos'!N$5:N$1021, MATCH(10, 'Detalles movimientos'!$T$5:$T$1021, 0)), "")</f>
        <v/>
      </c>
      <c r="K22" s="120">
        <f>IFERROR(INDEX('Detalles movimientos'!O$5:O$1021, MATCH(10, 'Detalles movimientos'!$T$5:$T$1021, 0)), "")</f>
        <v/>
      </c>
      <c r="L22" s="18">
        <f>IFERROR(INDEX('Detalles movimientos'!P$5:P$1021, MATCH(10, 'Detalles movimientos'!$T$5:$T$1021, 0)), "")</f>
        <v/>
      </c>
      <c r="M22" s="18">
        <f>IFERROR(INDEX('Detalles movimientos'!S$5:S$1021, MATCH(10, 'Detalles movimientos'!$T$5:$T$1021, 0)), "")</f>
        <v/>
      </c>
    </row>
    <row r="23">
      <c r="B23" s="119">
        <f>IFERROR(INDEX('Detalles movimientos'!C$5:C$1021, MATCH(11, 'Detalles movimientos'!$T$5:$T$1021, 0)), "")</f>
        <v/>
      </c>
      <c r="C23" s="18">
        <f>IFERROR(INDEX('Detalles movimientos'!D$5:D$1021, MATCH(11, 'Detalles movimientos'!$T$5:$T$1021, 0)), "")</f>
        <v/>
      </c>
      <c r="D23" s="19">
        <f>IFERROR(INDEX('Detalles movimientos'!E$5:E$1021, MATCH(11, 'Detalles movimientos'!$T$5:$T$1021, 0)), "")</f>
        <v/>
      </c>
      <c r="E23" s="19">
        <f>IFERROR(INDEX('Detalles movimientos'!F$5:F$1021, MATCH(11, 'Detalles movimientos'!$T$5:$T$1021, 0)), "")</f>
        <v/>
      </c>
      <c r="F23" s="18">
        <f>IFERROR(INDEX('Detalles movimientos'!G$5:G$1021, MATCH(11, 'Detalles movimientos'!$T$5:$T$1021, 0)), "")</f>
        <v/>
      </c>
      <c r="G23" s="120">
        <f>IFERROR(INDEX('Detalles movimientos'!H$5:H$1021, MATCH(11, 'Detalles movimientos'!$T$5:$T$1021, 0)), "")</f>
        <v/>
      </c>
      <c r="H23" s="121">
        <f>IFERROR(INDEX('Detalles movimientos'!I$5:I$1021, MATCH(11, 'Detalles movimientos'!$T$5:$T$1021, 0)), "")</f>
        <v/>
      </c>
      <c r="I23" s="120">
        <f>IFERROR(INDEX('Detalles movimientos'!M$5:M$1021, MATCH(11, 'Detalles movimientos'!$T$5:$T$1021, 0)), "")</f>
        <v/>
      </c>
      <c r="J23" s="19">
        <f>IFERROR(INDEX('Detalles movimientos'!N$5:N$1021, MATCH(11, 'Detalles movimientos'!$T$5:$T$1021, 0)), "")</f>
        <v/>
      </c>
      <c r="K23" s="120">
        <f>IFERROR(INDEX('Detalles movimientos'!O$5:O$1021, MATCH(11, 'Detalles movimientos'!$T$5:$T$1021, 0)), "")</f>
        <v/>
      </c>
      <c r="L23" s="18">
        <f>IFERROR(INDEX('Detalles movimientos'!P$5:P$1021, MATCH(11, 'Detalles movimientos'!$T$5:$T$1021, 0)), "")</f>
        <v/>
      </c>
      <c r="M23" s="18">
        <f>IFERROR(INDEX('Detalles movimientos'!S$5:S$1021, MATCH(11, 'Detalles movimientos'!$T$5:$T$1021, 0)), "")</f>
        <v/>
      </c>
    </row>
    <row r="24">
      <c r="B24" s="119">
        <f>IFERROR(INDEX('Detalles movimientos'!C$5:C$1021, MATCH(12, 'Detalles movimientos'!$T$5:$T$1021, 0)), "")</f>
        <v/>
      </c>
      <c r="C24" s="18">
        <f>IFERROR(INDEX('Detalles movimientos'!D$5:D$1021, MATCH(12, 'Detalles movimientos'!$T$5:$T$1021, 0)), "")</f>
        <v/>
      </c>
      <c r="D24" s="19">
        <f>IFERROR(INDEX('Detalles movimientos'!E$5:E$1021, MATCH(12, 'Detalles movimientos'!$T$5:$T$1021, 0)), "")</f>
        <v/>
      </c>
      <c r="E24" s="19">
        <f>IFERROR(INDEX('Detalles movimientos'!F$5:F$1021, MATCH(12, 'Detalles movimientos'!$T$5:$T$1021, 0)), "")</f>
        <v/>
      </c>
      <c r="F24" s="18">
        <f>IFERROR(INDEX('Detalles movimientos'!G$5:G$1021, MATCH(12, 'Detalles movimientos'!$T$5:$T$1021, 0)), "")</f>
        <v/>
      </c>
      <c r="G24" s="120">
        <f>IFERROR(INDEX('Detalles movimientos'!H$5:H$1021, MATCH(12, 'Detalles movimientos'!$T$5:$T$1021, 0)), "")</f>
        <v/>
      </c>
      <c r="H24" s="121">
        <f>IFERROR(INDEX('Detalles movimientos'!I$5:I$1021, MATCH(12, 'Detalles movimientos'!$T$5:$T$1021, 0)), "")</f>
        <v/>
      </c>
      <c r="I24" s="120">
        <f>IFERROR(INDEX('Detalles movimientos'!M$5:M$1021, MATCH(12, 'Detalles movimientos'!$T$5:$T$1021, 0)), "")</f>
        <v/>
      </c>
      <c r="J24" s="19">
        <f>IFERROR(INDEX('Detalles movimientos'!N$5:N$1021, MATCH(12, 'Detalles movimientos'!$T$5:$T$1021, 0)), "")</f>
        <v/>
      </c>
      <c r="K24" s="120">
        <f>IFERROR(INDEX('Detalles movimientos'!O$5:O$1021, MATCH(12, 'Detalles movimientos'!$T$5:$T$1021, 0)), "")</f>
        <v/>
      </c>
      <c r="L24" s="18">
        <f>IFERROR(INDEX('Detalles movimientos'!P$5:P$1021, MATCH(12, 'Detalles movimientos'!$T$5:$T$1021, 0)), "")</f>
        <v/>
      </c>
      <c r="M24" s="18">
        <f>IFERROR(INDEX('Detalles movimientos'!S$5:S$1021, MATCH(12, 'Detalles movimientos'!$T$5:$T$1021, 0)), "")</f>
        <v/>
      </c>
    </row>
    <row r="25">
      <c r="B25" s="119">
        <f>IFERROR(INDEX('Detalles movimientos'!C$5:C$1021, MATCH(13, 'Detalles movimientos'!$T$5:$T$1021, 0)), "")</f>
        <v/>
      </c>
      <c r="C25" s="18">
        <f>IFERROR(INDEX('Detalles movimientos'!D$5:D$1021, MATCH(13, 'Detalles movimientos'!$T$5:$T$1021, 0)), "")</f>
        <v/>
      </c>
      <c r="D25" s="19">
        <f>IFERROR(INDEX('Detalles movimientos'!E$5:E$1021, MATCH(13, 'Detalles movimientos'!$T$5:$T$1021, 0)), "")</f>
        <v/>
      </c>
      <c r="E25" s="19">
        <f>IFERROR(INDEX('Detalles movimientos'!F$5:F$1021, MATCH(13, 'Detalles movimientos'!$T$5:$T$1021, 0)), "")</f>
        <v/>
      </c>
      <c r="F25" s="18">
        <f>IFERROR(INDEX('Detalles movimientos'!G$5:G$1021, MATCH(13, 'Detalles movimientos'!$T$5:$T$1021, 0)), "")</f>
        <v/>
      </c>
      <c r="G25" s="120">
        <f>IFERROR(INDEX('Detalles movimientos'!H$5:H$1021, MATCH(13, 'Detalles movimientos'!$T$5:$T$1021, 0)), "")</f>
        <v/>
      </c>
      <c r="H25" s="121">
        <f>IFERROR(INDEX('Detalles movimientos'!I$5:I$1021, MATCH(13, 'Detalles movimientos'!$T$5:$T$1021, 0)), "")</f>
        <v/>
      </c>
      <c r="I25" s="120">
        <f>IFERROR(INDEX('Detalles movimientos'!M$5:M$1021, MATCH(13, 'Detalles movimientos'!$T$5:$T$1021, 0)), "")</f>
        <v/>
      </c>
      <c r="J25" s="19">
        <f>IFERROR(INDEX('Detalles movimientos'!N$5:N$1021, MATCH(13, 'Detalles movimientos'!$T$5:$T$1021, 0)), "")</f>
        <v/>
      </c>
      <c r="K25" s="120">
        <f>IFERROR(INDEX('Detalles movimientos'!O$5:O$1021, MATCH(13, 'Detalles movimientos'!$T$5:$T$1021, 0)), "")</f>
        <v/>
      </c>
      <c r="L25" s="18">
        <f>IFERROR(INDEX('Detalles movimientos'!P$5:P$1021, MATCH(13, 'Detalles movimientos'!$T$5:$T$1021, 0)), "")</f>
        <v/>
      </c>
      <c r="M25" s="18">
        <f>IFERROR(INDEX('Detalles movimientos'!S$5:S$1021, MATCH(13, 'Detalles movimientos'!$T$5:$T$1021, 0)), "")</f>
        <v/>
      </c>
    </row>
    <row r="26">
      <c r="B26" s="119">
        <f>IFERROR(INDEX('Detalles movimientos'!C$5:C$1021, MATCH(14, 'Detalles movimientos'!$T$5:$T$1021, 0)), "")</f>
        <v/>
      </c>
      <c r="C26" s="18">
        <f>IFERROR(INDEX('Detalles movimientos'!D$5:D$1021, MATCH(14, 'Detalles movimientos'!$T$5:$T$1021, 0)), "")</f>
        <v/>
      </c>
      <c r="D26" s="19">
        <f>IFERROR(INDEX('Detalles movimientos'!E$5:E$1021, MATCH(14, 'Detalles movimientos'!$T$5:$T$1021, 0)), "")</f>
        <v/>
      </c>
      <c r="E26" s="19">
        <f>IFERROR(INDEX('Detalles movimientos'!F$5:F$1021, MATCH(14, 'Detalles movimientos'!$T$5:$T$1021, 0)), "")</f>
        <v/>
      </c>
      <c r="F26" s="18">
        <f>IFERROR(INDEX('Detalles movimientos'!G$5:G$1021, MATCH(14, 'Detalles movimientos'!$T$5:$T$1021, 0)), "")</f>
        <v/>
      </c>
      <c r="G26" s="120">
        <f>IFERROR(INDEX('Detalles movimientos'!H$5:H$1021, MATCH(14, 'Detalles movimientos'!$T$5:$T$1021, 0)), "")</f>
        <v/>
      </c>
      <c r="H26" s="121">
        <f>IFERROR(INDEX('Detalles movimientos'!I$5:I$1021, MATCH(14, 'Detalles movimientos'!$T$5:$T$1021, 0)), "")</f>
        <v/>
      </c>
      <c r="I26" s="120">
        <f>IFERROR(INDEX('Detalles movimientos'!M$5:M$1021, MATCH(14, 'Detalles movimientos'!$T$5:$T$1021, 0)), "")</f>
        <v/>
      </c>
      <c r="J26" s="19">
        <f>IFERROR(INDEX('Detalles movimientos'!N$5:N$1021, MATCH(14, 'Detalles movimientos'!$T$5:$T$1021, 0)), "")</f>
        <v/>
      </c>
      <c r="K26" s="120">
        <f>IFERROR(INDEX('Detalles movimientos'!O$5:O$1021, MATCH(14, 'Detalles movimientos'!$T$5:$T$1021, 0)), "")</f>
        <v/>
      </c>
      <c r="L26" s="18">
        <f>IFERROR(INDEX('Detalles movimientos'!P$5:P$1021, MATCH(14, 'Detalles movimientos'!$T$5:$T$1021, 0)), "")</f>
        <v/>
      </c>
      <c r="M26" s="18">
        <f>IFERROR(INDEX('Detalles movimientos'!S$5:S$1021, MATCH(14, 'Detalles movimientos'!$T$5:$T$1021, 0)), "")</f>
        <v/>
      </c>
    </row>
    <row r="27">
      <c r="B27" s="119">
        <f>IFERROR(INDEX('Detalles movimientos'!C$5:C$1021, MATCH(15, 'Detalles movimientos'!$T$5:$T$1021, 0)), "")</f>
        <v/>
      </c>
      <c r="C27" s="18">
        <f>IFERROR(INDEX('Detalles movimientos'!D$5:D$1021, MATCH(15, 'Detalles movimientos'!$T$5:$T$1021, 0)), "")</f>
        <v/>
      </c>
      <c r="D27" s="19">
        <f>IFERROR(INDEX('Detalles movimientos'!E$5:E$1021, MATCH(15, 'Detalles movimientos'!$T$5:$T$1021, 0)), "")</f>
        <v/>
      </c>
      <c r="E27" s="19">
        <f>IFERROR(INDEX('Detalles movimientos'!F$5:F$1021, MATCH(15, 'Detalles movimientos'!$T$5:$T$1021, 0)), "")</f>
        <v/>
      </c>
      <c r="F27" s="18">
        <f>IFERROR(INDEX('Detalles movimientos'!G$5:G$1021, MATCH(15, 'Detalles movimientos'!$T$5:$T$1021, 0)), "")</f>
        <v/>
      </c>
      <c r="G27" s="120">
        <f>IFERROR(INDEX('Detalles movimientos'!H$5:H$1021, MATCH(15, 'Detalles movimientos'!$T$5:$T$1021, 0)), "")</f>
        <v/>
      </c>
      <c r="H27" s="121">
        <f>IFERROR(INDEX('Detalles movimientos'!I$5:I$1021, MATCH(15, 'Detalles movimientos'!$T$5:$T$1021, 0)), "")</f>
        <v/>
      </c>
      <c r="I27" s="120">
        <f>IFERROR(INDEX('Detalles movimientos'!M$5:M$1021, MATCH(15, 'Detalles movimientos'!$T$5:$T$1021, 0)), "")</f>
        <v/>
      </c>
      <c r="J27" s="19">
        <f>IFERROR(INDEX('Detalles movimientos'!N$5:N$1021, MATCH(15, 'Detalles movimientos'!$T$5:$T$1021, 0)), "")</f>
        <v/>
      </c>
      <c r="K27" s="120">
        <f>IFERROR(INDEX('Detalles movimientos'!O$5:O$1021, MATCH(15, 'Detalles movimientos'!$T$5:$T$1021, 0)), "")</f>
        <v/>
      </c>
      <c r="L27" s="18">
        <f>IFERROR(INDEX('Detalles movimientos'!P$5:P$1021, MATCH(15, 'Detalles movimientos'!$T$5:$T$1021, 0)), "")</f>
        <v/>
      </c>
      <c r="M27" s="18">
        <f>IFERROR(INDEX('Detalles movimientos'!S$5:S$1021, MATCH(15, 'Detalles movimientos'!$T$5:$T$1021, 0)), "")</f>
        <v/>
      </c>
    </row>
    <row r="28">
      <c r="B28" s="119">
        <f>IFERROR(INDEX('Detalles movimientos'!C$5:C$1021, MATCH(16, 'Detalles movimientos'!$T$5:$T$1021, 0)), "")</f>
        <v/>
      </c>
      <c r="C28" s="18">
        <f>IFERROR(INDEX('Detalles movimientos'!D$5:D$1021, MATCH(16, 'Detalles movimientos'!$T$5:$T$1021, 0)), "")</f>
        <v/>
      </c>
      <c r="D28" s="19">
        <f>IFERROR(INDEX('Detalles movimientos'!E$5:E$1021, MATCH(16, 'Detalles movimientos'!$T$5:$T$1021, 0)), "")</f>
        <v/>
      </c>
      <c r="E28" s="19">
        <f>IFERROR(INDEX('Detalles movimientos'!F$5:F$1021, MATCH(16, 'Detalles movimientos'!$T$5:$T$1021, 0)), "")</f>
        <v/>
      </c>
      <c r="F28" s="18">
        <f>IFERROR(INDEX('Detalles movimientos'!G$5:G$1021, MATCH(16, 'Detalles movimientos'!$T$5:$T$1021, 0)), "")</f>
        <v/>
      </c>
      <c r="G28" s="120">
        <f>IFERROR(INDEX('Detalles movimientos'!H$5:H$1021, MATCH(16, 'Detalles movimientos'!$T$5:$T$1021, 0)), "")</f>
        <v/>
      </c>
      <c r="H28" s="121">
        <f>IFERROR(INDEX('Detalles movimientos'!I$5:I$1021, MATCH(16, 'Detalles movimientos'!$T$5:$T$1021, 0)), "")</f>
        <v/>
      </c>
      <c r="I28" s="120">
        <f>IFERROR(INDEX('Detalles movimientos'!M$5:M$1021, MATCH(16, 'Detalles movimientos'!$T$5:$T$1021, 0)), "")</f>
        <v/>
      </c>
      <c r="J28" s="19">
        <f>IFERROR(INDEX('Detalles movimientos'!N$5:N$1021, MATCH(16, 'Detalles movimientos'!$T$5:$T$1021, 0)), "")</f>
        <v/>
      </c>
      <c r="K28" s="120">
        <f>IFERROR(INDEX('Detalles movimientos'!O$5:O$1021, MATCH(16, 'Detalles movimientos'!$T$5:$T$1021, 0)), "")</f>
        <v/>
      </c>
      <c r="L28" s="18">
        <f>IFERROR(INDEX('Detalles movimientos'!P$5:P$1021, MATCH(16, 'Detalles movimientos'!$T$5:$T$1021, 0)), "")</f>
        <v/>
      </c>
      <c r="M28" s="18">
        <f>IFERROR(INDEX('Detalles movimientos'!S$5:S$1021, MATCH(16, 'Detalles movimientos'!$T$5:$T$1021, 0)), "")</f>
        <v/>
      </c>
    </row>
    <row r="29">
      <c r="B29" s="119">
        <f>IFERROR(INDEX('Detalles movimientos'!C$5:C$1021, MATCH(17, 'Detalles movimientos'!$T$5:$T$1021, 0)), "")</f>
        <v/>
      </c>
      <c r="C29" s="18">
        <f>IFERROR(INDEX('Detalles movimientos'!D$5:D$1021, MATCH(17, 'Detalles movimientos'!$T$5:$T$1021, 0)), "")</f>
        <v/>
      </c>
      <c r="D29" s="19">
        <f>IFERROR(INDEX('Detalles movimientos'!E$5:E$1021, MATCH(17, 'Detalles movimientos'!$T$5:$T$1021, 0)), "")</f>
        <v/>
      </c>
      <c r="E29" s="19">
        <f>IFERROR(INDEX('Detalles movimientos'!F$5:F$1021, MATCH(17, 'Detalles movimientos'!$T$5:$T$1021, 0)), "")</f>
        <v/>
      </c>
      <c r="F29" s="18">
        <f>IFERROR(INDEX('Detalles movimientos'!G$5:G$1021, MATCH(17, 'Detalles movimientos'!$T$5:$T$1021, 0)), "")</f>
        <v/>
      </c>
      <c r="G29" s="120">
        <f>IFERROR(INDEX('Detalles movimientos'!H$5:H$1021, MATCH(17, 'Detalles movimientos'!$T$5:$T$1021, 0)), "")</f>
        <v/>
      </c>
      <c r="H29" s="121">
        <f>IFERROR(INDEX('Detalles movimientos'!I$5:I$1021, MATCH(17, 'Detalles movimientos'!$T$5:$T$1021, 0)), "")</f>
        <v/>
      </c>
      <c r="I29" s="120">
        <f>IFERROR(INDEX('Detalles movimientos'!M$5:M$1021, MATCH(17, 'Detalles movimientos'!$T$5:$T$1021, 0)), "")</f>
        <v/>
      </c>
      <c r="J29" s="19">
        <f>IFERROR(INDEX('Detalles movimientos'!N$5:N$1021, MATCH(17, 'Detalles movimientos'!$T$5:$T$1021, 0)), "")</f>
        <v/>
      </c>
      <c r="K29" s="120">
        <f>IFERROR(INDEX('Detalles movimientos'!O$5:O$1021, MATCH(17, 'Detalles movimientos'!$T$5:$T$1021, 0)), "")</f>
        <v/>
      </c>
      <c r="L29" s="18">
        <f>IFERROR(INDEX('Detalles movimientos'!P$5:P$1021, MATCH(17, 'Detalles movimientos'!$T$5:$T$1021, 0)), "")</f>
        <v/>
      </c>
      <c r="M29" s="18">
        <f>IFERROR(INDEX('Detalles movimientos'!S$5:S$1021, MATCH(17, 'Detalles movimientos'!$T$5:$T$1021, 0)), "")</f>
        <v/>
      </c>
    </row>
    <row r="30">
      <c r="B30" s="119">
        <f>IFERROR(INDEX('Detalles movimientos'!C$5:C$1021, MATCH(18, 'Detalles movimientos'!$T$5:$T$1021, 0)), "")</f>
        <v/>
      </c>
      <c r="C30" s="18">
        <f>IFERROR(INDEX('Detalles movimientos'!D$5:D$1021, MATCH(18, 'Detalles movimientos'!$T$5:$T$1021, 0)), "")</f>
        <v/>
      </c>
      <c r="D30" s="19">
        <f>IFERROR(INDEX('Detalles movimientos'!E$5:E$1021, MATCH(18, 'Detalles movimientos'!$T$5:$T$1021, 0)), "")</f>
        <v/>
      </c>
      <c r="E30" s="19">
        <f>IFERROR(INDEX('Detalles movimientos'!F$5:F$1021, MATCH(18, 'Detalles movimientos'!$T$5:$T$1021, 0)), "")</f>
        <v/>
      </c>
      <c r="F30" s="18">
        <f>IFERROR(INDEX('Detalles movimientos'!G$5:G$1021, MATCH(18, 'Detalles movimientos'!$T$5:$T$1021, 0)), "")</f>
        <v/>
      </c>
      <c r="G30" s="120">
        <f>IFERROR(INDEX('Detalles movimientos'!H$5:H$1021, MATCH(18, 'Detalles movimientos'!$T$5:$T$1021, 0)), "")</f>
        <v/>
      </c>
      <c r="H30" s="121">
        <f>IFERROR(INDEX('Detalles movimientos'!I$5:I$1021, MATCH(18, 'Detalles movimientos'!$T$5:$T$1021, 0)), "")</f>
        <v/>
      </c>
      <c r="I30" s="120">
        <f>IFERROR(INDEX('Detalles movimientos'!M$5:M$1021, MATCH(18, 'Detalles movimientos'!$T$5:$T$1021, 0)), "")</f>
        <v/>
      </c>
      <c r="J30" s="19">
        <f>IFERROR(INDEX('Detalles movimientos'!N$5:N$1021, MATCH(18, 'Detalles movimientos'!$T$5:$T$1021, 0)), "")</f>
        <v/>
      </c>
      <c r="K30" s="120">
        <f>IFERROR(INDEX('Detalles movimientos'!O$5:O$1021, MATCH(18, 'Detalles movimientos'!$T$5:$T$1021, 0)), "")</f>
        <v/>
      </c>
      <c r="L30" s="18">
        <f>IFERROR(INDEX('Detalles movimientos'!P$5:P$1021, MATCH(18, 'Detalles movimientos'!$T$5:$T$1021, 0)), "")</f>
        <v/>
      </c>
      <c r="M30" s="18">
        <f>IFERROR(INDEX('Detalles movimientos'!S$5:S$1021, MATCH(18, 'Detalles movimientos'!$T$5:$T$1021, 0)), "")</f>
        <v/>
      </c>
    </row>
    <row r="31">
      <c r="B31" s="119">
        <f>IFERROR(INDEX('Detalles movimientos'!C$5:C$1021, MATCH(19, 'Detalles movimientos'!$T$5:$T$1021, 0)), "")</f>
        <v/>
      </c>
      <c r="C31" s="18">
        <f>IFERROR(INDEX('Detalles movimientos'!D$5:D$1021, MATCH(19, 'Detalles movimientos'!$T$5:$T$1021, 0)), "")</f>
        <v/>
      </c>
      <c r="D31" s="19">
        <f>IFERROR(INDEX('Detalles movimientos'!E$5:E$1021, MATCH(19, 'Detalles movimientos'!$T$5:$T$1021, 0)), "")</f>
        <v/>
      </c>
      <c r="E31" s="19">
        <f>IFERROR(INDEX('Detalles movimientos'!F$5:F$1021, MATCH(19, 'Detalles movimientos'!$T$5:$T$1021, 0)), "")</f>
        <v/>
      </c>
      <c r="F31" s="18">
        <f>IFERROR(INDEX('Detalles movimientos'!G$5:G$1021, MATCH(19, 'Detalles movimientos'!$T$5:$T$1021, 0)), "")</f>
        <v/>
      </c>
      <c r="G31" s="120">
        <f>IFERROR(INDEX('Detalles movimientos'!H$5:H$1021, MATCH(19, 'Detalles movimientos'!$T$5:$T$1021, 0)), "")</f>
        <v/>
      </c>
      <c r="H31" s="121">
        <f>IFERROR(INDEX('Detalles movimientos'!I$5:I$1021, MATCH(19, 'Detalles movimientos'!$T$5:$T$1021, 0)), "")</f>
        <v/>
      </c>
      <c r="I31" s="120">
        <f>IFERROR(INDEX('Detalles movimientos'!M$5:M$1021, MATCH(19, 'Detalles movimientos'!$T$5:$T$1021, 0)), "")</f>
        <v/>
      </c>
      <c r="J31" s="19">
        <f>IFERROR(INDEX('Detalles movimientos'!N$5:N$1021, MATCH(19, 'Detalles movimientos'!$T$5:$T$1021, 0)), "")</f>
        <v/>
      </c>
      <c r="K31" s="120">
        <f>IFERROR(INDEX('Detalles movimientos'!O$5:O$1021, MATCH(19, 'Detalles movimientos'!$T$5:$T$1021, 0)), "")</f>
        <v/>
      </c>
      <c r="L31" s="18">
        <f>IFERROR(INDEX('Detalles movimientos'!P$5:P$1021, MATCH(19, 'Detalles movimientos'!$T$5:$T$1021, 0)), "")</f>
        <v/>
      </c>
      <c r="M31" s="18">
        <f>IFERROR(INDEX('Detalles movimientos'!S$5:S$1021, MATCH(19, 'Detalles movimientos'!$T$5:$T$1021, 0)), "")</f>
        <v/>
      </c>
    </row>
    <row r="32">
      <c r="B32" s="119">
        <f>IFERROR(INDEX('Detalles movimientos'!C$5:C$1021, MATCH(20, 'Detalles movimientos'!$T$5:$T$1021, 0)), "")</f>
        <v/>
      </c>
      <c r="C32" s="18">
        <f>IFERROR(INDEX('Detalles movimientos'!D$5:D$1021, MATCH(20, 'Detalles movimientos'!$T$5:$T$1021, 0)), "")</f>
        <v/>
      </c>
      <c r="D32" s="19">
        <f>IFERROR(INDEX('Detalles movimientos'!E$5:E$1021, MATCH(20, 'Detalles movimientos'!$T$5:$T$1021, 0)), "")</f>
        <v/>
      </c>
      <c r="E32" s="19">
        <f>IFERROR(INDEX('Detalles movimientos'!F$5:F$1021, MATCH(20, 'Detalles movimientos'!$T$5:$T$1021, 0)), "")</f>
        <v/>
      </c>
      <c r="F32" s="18">
        <f>IFERROR(INDEX('Detalles movimientos'!G$5:G$1021, MATCH(20, 'Detalles movimientos'!$T$5:$T$1021, 0)), "")</f>
        <v/>
      </c>
      <c r="G32" s="120">
        <f>IFERROR(INDEX('Detalles movimientos'!H$5:H$1021, MATCH(20, 'Detalles movimientos'!$T$5:$T$1021, 0)), "")</f>
        <v/>
      </c>
      <c r="H32" s="121">
        <f>IFERROR(INDEX('Detalles movimientos'!I$5:I$1021, MATCH(20, 'Detalles movimientos'!$T$5:$T$1021, 0)), "")</f>
        <v/>
      </c>
      <c r="I32" s="120">
        <f>IFERROR(INDEX('Detalles movimientos'!M$5:M$1021, MATCH(20, 'Detalles movimientos'!$T$5:$T$1021, 0)), "")</f>
        <v/>
      </c>
      <c r="J32" s="19">
        <f>IFERROR(INDEX('Detalles movimientos'!N$5:N$1021, MATCH(20, 'Detalles movimientos'!$T$5:$T$1021, 0)), "")</f>
        <v/>
      </c>
      <c r="K32" s="120">
        <f>IFERROR(INDEX('Detalles movimientos'!O$5:O$1021, MATCH(20, 'Detalles movimientos'!$T$5:$T$1021, 0)), "")</f>
        <v/>
      </c>
      <c r="L32" s="18">
        <f>IFERROR(INDEX('Detalles movimientos'!P$5:P$1021, MATCH(20, 'Detalles movimientos'!$T$5:$T$1021, 0)), "")</f>
        <v/>
      </c>
      <c r="M32" s="18">
        <f>IFERROR(INDEX('Detalles movimientos'!S$5:S$1021, MATCH(20, 'Detalles movimientos'!$T$5:$T$1021, 0)), "")</f>
        <v/>
      </c>
    </row>
    <row r="33">
      <c r="B33" s="119">
        <f>IFERROR(INDEX('Detalles movimientos'!C$5:C$1021, MATCH(21, 'Detalles movimientos'!$T$5:$T$1021, 0)), "")</f>
        <v/>
      </c>
      <c r="C33" s="18">
        <f>IFERROR(INDEX('Detalles movimientos'!D$5:D$1021, MATCH(21, 'Detalles movimientos'!$T$5:$T$1021, 0)), "")</f>
        <v/>
      </c>
      <c r="D33" s="19">
        <f>IFERROR(INDEX('Detalles movimientos'!E$5:E$1021, MATCH(21, 'Detalles movimientos'!$T$5:$T$1021, 0)), "")</f>
        <v/>
      </c>
      <c r="E33" s="19">
        <f>IFERROR(INDEX('Detalles movimientos'!F$5:F$1021, MATCH(21, 'Detalles movimientos'!$T$5:$T$1021, 0)), "")</f>
        <v/>
      </c>
      <c r="F33" s="18">
        <f>IFERROR(INDEX('Detalles movimientos'!G$5:G$1021, MATCH(21, 'Detalles movimientos'!$T$5:$T$1021, 0)), "")</f>
        <v/>
      </c>
      <c r="G33" s="120">
        <f>IFERROR(INDEX('Detalles movimientos'!H$5:H$1021, MATCH(21, 'Detalles movimientos'!$T$5:$T$1021, 0)), "")</f>
        <v/>
      </c>
      <c r="H33" s="121">
        <f>IFERROR(INDEX('Detalles movimientos'!I$5:I$1021, MATCH(21, 'Detalles movimientos'!$T$5:$T$1021, 0)), "")</f>
        <v/>
      </c>
      <c r="I33" s="120">
        <f>IFERROR(INDEX('Detalles movimientos'!M$5:M$1021, MATCH(21, 'Detalles movimientos'!$T$5:$T$1021, 0)), "")</f>
        <v/>
      </c>
      <c r="J33" s="19">
        <f>IFERROR(INDEX('Detalles movimientos'!N$5:N$1021, MATCH(21, 'Detalles movimientos'!$T$5:$T$1021, 0)), "")</f>
        <v/>
      </c>
      <c r="K33" s="120">
        <f>IFERROR(INDEX('Detalles movimientos'!O$5:O$1021, MATCH(21, 'Detalles movimientos'!$T$5:$T$1021, 0)), "")</f>
        <v/>
      </c>
      <c r="L33" s="18">
        <f>IFERROR(INDEX('Detalles movimientos'!P$5:P$1021, MATCH(21, 'Detalles movimientos'!$T$5:$T$1021, 0)), "")</f>
        <v/>
      </c>
      <c r="M33" s="18">
        <f>IFERROR(INDEX('Detalles movimientos'!S$5:S$1021, MATCH(21, 'Detalles movimientos'!$T$5:$T$1021, 0)), "")</f>
        <v/>
      </c>
    </row>
    <row r="34">
      <c r="B34" s="119">
        <f>IFERROR(INDEX('Detalles movimientos'!C$5:C$1021, MATCH(22, 'Detalles movimientos'!$T$5:$T$1021, 0)), "")</f>
        <v/>
      </c>
      <c r="C34" s="18">
        <f>IFERROR(INDEX('Detalles movimientos'!D$5:D$1021, MATCH(22, 'Detalles movimientos'!$T$5:$T$1021, 0)), "")</f>
        <v/>
      </c>
      <c r="D34" s="19">
        <f>IFERROR(INDEX('Detalles movimientos'!E$5:E$1021, MATCH(22, 'Detalles movimientos'!$T$5:$T$1021, 0)), "")</f>
        <v/>
      </c>
      <c r="E34" s="19">
        <f>IFERROR(INDEX('Detalles movimientos'!F$5:F$1021, MATCH(22, 'Detalles movimientos'!$T$5:$T$1021, 0)), "")</f>
        <v/>
      </c>
      <c r="F34" s="18">
        <f>IFERROR(INDEX('Detalles movimientos'!G$5:G$1021, MATCH(22, 'Detalles movimientos'!$T$5:$T$1021, 0)), "")</f>
        <v/>
      </c>
      <c r="G34" s="120">
        <f>IFERROR(INDEX('Detalles movimientos'!H$5:H$1021, MATCH(22, 'Detalles movimientos'!$T$5:$T$1021, 0)), "")</f>
        <v/>
      </c>
      <c r="H34" s="121">
        <f>IFERROR(INDEX('Detalles movimientos'!I$5:I$1021, MATCH(22, 'Detalles movimientos'!$T$5:$T$1021, 0)), "")</f>
        <v/>
      </c>
      <c r="I34" s="120">
        <f>IFERROR(INDEX('Detalles movimientos'!M$5:M$1021, MATCH(22, 'Detalles movimientos'!$T$5:$T$1021, 0)), "")</f>
        <v/>
      </c>
      <c r="J34" s="19">
        <f>IFERROR(INDEX('Detalles movimientos'!N$5:N$1021, MATCH(22, 'Detalles movimientos'!$T$5:$T$1021, 0)), "")</f>
        <v/>
      </c>
      <c r="K34" s="120">
        <f>IFERROR(INDEX('Detalles movimientos'!O$5:O$1021, MATCH(22, 'Detalles movimientos'!$T$5:$T$1021, 0)), "")</f>
        <v/>
      </c>
      <c r="L34" s="18">
        <f>IFERROR(INDEX('Detalles movimientos'!P$5:P$1021, MATCH(22, 'Detalles movimientos'!$T$5:$T$1021, 0)), "")</f>
        <v/>
      </c>
      <c r="M34" s="18">
        <f>IFERROR(INDEX('Detalles movimientos'!S$5:S$1021, MATCH(22, 'Detalles movimientos'!$T$5:$T$1021, 0)), "")</f>
        <v/>
      </c>
    </row>
    <row r="35">
      <c r="B35" s="119">
        <f>IFERROR(INDEX('Detalles movimientos'!C$5:C$1021, MATCH(23, 'Detalles movimientos'!$T$5:$T$1021, 0)), "")</f>
        <v/>
      </c>
      <c r="C35" s="18">
        <f>IFERROR(INDEX('Detalles movimientos'!D$5:D$1021, MATCH(23, 'Detalles movimientos'!$T$5:$T$1021, 0)), "")</f>
        <v/>
      </c>
      <c r="D35" s="19">
        <f>IFERROR(INDEX('Detalles movimientos'!E$5:E$1021, MATCH(23, 'Detalles movimientos'!$T$5:$T$1021, 0)), "")</f>
        <v/>
      </c>
      <c r="E35" s="19">
        <f>IFERROR(INDEX('Detalles movimientos'!F$5:F$1021, MATCH(23, 'Detalles movimientos'!$T$5:$T$1021, 0)), "")</f>
        <v/>
      </c>
      <c r="F35" s="18">
        <f>IFERROR(INDEX('Detalles movimientos'!G$5:G$1021, MATCH(23, 'Detalles movimientos'!$T$5:$T$1021, 0)), "")</f>
        <v/>
      </c>
      <c r="G35" s="120">
        <f>IFERROR(INDEX('Detalles movimientos'!H$5:H$1021, MATCH(23, 'Detalles movimientos'!$T$5:$T$1021, 0)), "")</f>
        <v/>
      </c>
      <c r="H35" s="121">
        <f>IFERROR(INDEX('Detalles movimientos'!I$5:I$1021, MATCH(23, 'Detalles movimientos'!$T$5:$T$1021, 0)), "")</f>
        <v/>
      </c>
      <c r="I35" s="120">
        <f>IFERROR(INDEX('Detalles movimientos'!M$5:M$1021, MATCH(23, 'Detalles movimientos'!$T$5:$T$1021, 0)), "")</f>
        <v/>
      </c>
      <c r="J35" s="19">
        <f>IFERROR(INDEX('Detalles movimientos'!N$5:N$1021, MATCH(23, 'Detalles movimientos'!$T$5:$T$1021, 0)), "")</f>
        <v/>
      </c>
      <c r="K35" s="120">
        <f>IFERROR(INDEX('Detalles movimientos'!O$5:O$1021, MATCH(23, 'Detalles movimientos'!$T$5:$T$1021, 0)), "")</f>
        <v/>
      </c>
      <c r="L35" s="18">
        <f>IFERROR(INDEX('Detalles movimientos'!P$5:P$1021, MATCH(23, 'Detalles movimientos'!$T$5:$T$1021, 0)), "")</f>
        <v/>
      </c>
      <c r="M35" s="18">
        <f>IFERROR(INDEX('Detalles movimientos'!S$5:S$1021, MATCH(23, 'Detalles movimientos'!$T$5:$T$1021, 0)), "")</f>
        <v/>
      </c>
    </row>
    <row r="36">
      <c r="B36" s="119">
        <f>IFERROR(INDEX('Detalles movimientos'!C$5:C$1021, MATCH(24, 'Detalles movimientos'!$T$5:$T$1021, 0)), "")</f>
        <v/>
      </c>
      <c r="C36" s="18">
        <f>IFERROR(INDEX('Detalles movimientos'!D$5:D$1021, MATCH(24, 'Detalles movimientos'!$T$5:$T$1021, 0)), "")</f>
        <v/>
      </c>
      <c r="D36" s="19">
        <f>IFERROR(INDEX('Detalles movimientos'!E$5:E$1021, MATCH(24, 'Detalles movimientos'!$T$5:$T$1021, 0)), "")</f>
        <v/>
      </c>
      <c r="E36" s="19">
        <f>IFERROR(INDEX('Detalles movimientos'!F$5:F$1021, MATCH(24, 'Detalles movimientos'!$T$5:$T$1021, 0)), "")</f>
        <v/>
      </c>
      <c r="F36" s="18">
        <f>IFERROR(INDEX('Detalles movimientos'!G$5:G$1021, MATCH(24, 'Detalles movimientos'!$T$5:$T$1021, 0)), "")</f>
        <v/>
      </c>
      <c r="G36" s="120">
        <f>IFERROR(INDEX('Detalles movimientos'!H$5:H$1021, MATCH(24, 'Detalles movimientos'!$T$5:$T$1021, 0)), "")</f>
        <v/>
      </c>
      <c r="H36" s="121">
        <f>IFERROR(INDEX('Detalles movimientos'!I$5:I$1021, MATCH(24, 'Detalles movimientos'!$T$5:$T$1021, 0)), "")</f>
        <v/>
      </c>
      <c r="I36" s="120">
        <f>IFERROR(INDEX('Detalles movimientos'!M$5:M$1021, MATCH(24, 'Detalles movimientos'!$T$5:$T$1021, 0)), "")</f>
        <v/>
      </c>
      <c r="J36" s="19">
        <f>IFERROR(INDEX('Detalles movimientos'!N$5:N$1021, MATCH(24, 'Detalles movimientos'!$T$5:$T$1021, 0)), "")</f>
        <v/>
      </c>
      <c r="K36" s="120">
        <f>IFERROR(INDEX('Detalles movimientos'!O$5:O$1021, MATCH(24, 'Detalles movimientos'!$T$5:$T$1021, 0)), "")</f>
        <v/>
      </c>
      <c r="L36" s="18">
        <f>IFERROR(INDEX('Detalles movimientos'!P$5:P$1021, MATCH(24, 'Detalles movimientos'!$T$5:$T$1021, 0)), "")</f>
        <v/>
      </c>
      <c r="M36" s="18">
        <f>IFERROR(INDEX('Detalles movimientos'!S$5:S$1021, MATCH(24, 'Detalles movimientos'!$T$5:$T$1021, 0)), "")</f>
        <v/>
      </c>
    </row>
    <row r="37">
      <c r="B37" s="119">
        <f>IFERROR(INDEX('Detalles movimientos'!C$5:C$1021, MATCH(25, 'Detalles movimientos'!$T$5:$T$1021, 0)), "")</f>
        <v/>
      </c>
      <c r="C37" s="18">
        <f>IFERROR(INDEX('Detalles movimientos'!D$5:D$1021, MATCH(25, 'Detalles movimientos'!$T$5:$T$1021, 0)), "")</f>
        <v/>
      </c>
      <c r="D37" s="19">
        <f>IFERROR(INDEX('Detalles movimientos'!E$5:E$1021, MATCH(25, 'Detalles movimientos'!$T$5:$T$1021, 0)), "")</f>
        <v/>
      </c>
      <c r="E37" s="19">
        <f>IFERROR(INDEX('Detalles movimientos'!F$5:F$1021, MATCH(25, 'Detalles movimientos'!$T$5:$T$1021, 0)), "")</f>
        <v/>
      </c>
      <c r="F37" s="18">
        <f>IFERROR(INDEX('Detalles movimientos'!G$5:G$1021, MATCH(25, 'Detalles movimientos'!$T$5:$T$1021, 0)), "")</f>
        <v/>
      </c>
      <c r="G37" s="120">
        <f>IFERROR(INDEX('Detalles movimientos'!H$5:H$1021, MATCH(25, 'Detalles movimientos'!$T$5:$T$1021, 0)), "")</f>
        <v/>
      </c>
      <c r="H37" s="121">
        <f>IFERROR(INDEX('Detalles movimientos'!I$5:I$1021, MATCH(25, 'Detalles movimientos'!$T$5:$T$1021, 0)), "")</f>
        <v/>
      </c>
      <c r="I37" s="120">
        <f>IFERROR(INDEX('Detalles movimientos'!M$5:M$1021, MATCH(25, 'Detalles movimientos'!$T$5:$T$1021, 0)), "")</f>
        <v/>
      </c>
      <c r="J37" s="19">
        <f>IFERROR(INDEX('Detalles movimientos'!N$5:N$1021, MATCH(25, 'Detalles movimientos'!$T$5:$T$1021, 0)), "")</f>
        <v/>
      </c>
      <c r="K37" s="120">
        <f>IFERROR(INDEX('Detalles movimientos'!O$5:O$1021, MATCH(25, 'Detalles movimientos'!$T$5:$T$1021, 0)), "")</f>
        <v/>
      </c>
      <c r="L37" s="18">
        <f>IFERROR(INDEX('Detalles movimientos'!P$5:P$1021, MATCH(25, 'Detalles movimientos'!$T$5:$T$1021, 0)), "")</f>
        <v/>
      </c>
      <c r="M37" s="18">
        <f>IFERROR(INDEX('Detalles movimientos'!S$5:S$1021, MATCH(25, 'Detalles movimientos'!$T$5:$T$1021, 0)), "")</f>
        <v/>
      </c>
    </row>
    <row r="38">
      <c r="B38" s="119">
        <f>IFERROR(INDEX('Detalles movimientos'!C$5:C$1021, MATCH(26, 'Detalles movimientos'!$T$5:$T$1021, 0)), "")</f>
        <v/>
      </c>
      <c r="C38" s="18">
        <f>IFERROR(INDEX('Detalles movimientos'!D$5:D$1021, MATCH(26, 'Detalles movimientos'!$T$5:$T$1021, 0)), "")</f>
        <v/>
      </c>
      <c r="D38" s="19">
        <f>IFERROR(INDEX('Detalles movimientos'!E$5:E$1021, MATCH(26, 'Detalles movimientos'!$T$5:$T$1021, 0)), "")</f>
        <v/>
      </c>
      <c r="E38" s="19">
        <f>IFERROR(INDEX('Detalles movimientos'!F$5:F$1021, MATCH(26, 'Detalles movimientos'!$T$5:$T$1021, 0)), "")</f>
        <v/>
      </c>
      <c r="F38" s="18">
        <f>IFERROR(INDEX('Detalles movimientos'!G$5:G$1021, MATCH(26, 'Detalles movimientos'!$T$5:$T$1021, 0)), "")</f>
        <v/>
      </c>
      <c r="G38" s="120">
        <f>IFERROR(INDEX('Detalles movimientos'!H$5:H$1021, MATCH(26, 'Detalles movimientos'!$T$5:$T$1021, 0)), "")</f>
        <v/>
      </c>
      <c r="H38" s="121">
        <f>IFERROR(INDEX('Detalles movimientos'!I$5:I$1021, MATCH(26, 'Detalles movimientos'!$T$5:$T$1021, 0)), "")</f>
        <v/>
      </c>
      <c r="I38" s="120">
        <f>IFERROR(INDEX('Detalles movimientos'!M$5:M$1021, MATCH(26, 'Detalles movimientos'!$T$5:$T$1021, 0)), "")</f>
        <v/>
      </c>
      <c r="J38" s="19">
        <f>IFERROR(INDEX('Detalles movimientos'!N$5:N$1021, MATCH(26, 'Detalles movimientos'!$T$5:$T$1021, 0)), "")</f>
        <v/>
      </c>
      <c r="K38" s="120">
        <f>IFERROR(INDEX('Detalles movimientos'!O$5:O$1021, MATCH(26, 'Detalles movimientos'!$T$5:$T$1021, 0)), "")</f>
        <v/>
      </c>
      <c r="L38" s="18">
        <f>IFERROR(INDEX('Detalles movimientos'!P$5:P$1021, MATCH(26, 'Detalles movimientos'!$T$5:$T$1021, 0)), "")</f>
        <v/>
      </c>
      <c r="M38" s="18">
        <f>IFERROR(INDEX('Detalles movimientos'!S$5:S$1021, MATCH(26, 'Detalles movimientos'!$T$5:$T$1021, 0)), "")</f>
        <v/>
      </c>
    </row>
    <row r="39">
      <c r="B39" s="119">
        <f>IFERROR(INDEX('Detalles movimientos'!C$5:C$1021, MATCH(27, 'Detalles movimientos'!$T$5:$T$1021, 0)), "")</f>
        <v/>
      </c>
      <c r="C39" s="18">
        <f>IFERROR(INDEX('Detalles movimientos'!D$5:D$1021, MATCH(27, 'Detalles movimientos'!$T$5:$T$1021, 0)), "")</f>
        <v/>
      </c>
      <c r="D39" s="19">
        <f>IFERROR(INDEX('Detalles movimientos'!E$5:E$1021, MATCH(27, 'Detalles movimientos'!$T$5:$T$1021, 0)), "")</f>
        <v/>
      </c>
      <c r="E39" s="19">
        <f>IFERROR(INDEX('Detalles movimientos'!F$5:F$1021, MATCH(27, 'Detalles movimientos'!$T$5:$T$1021, 0)), "")</f>
        <v/>
      </c>
      <c r="F39" s="18">
        <f>IFERROR(INDEX('Detalles movimientos'!G$5:G$1021, MATCH(27, 'Detalles movimientos'!$T$5:$T$1021, 0)), "")</f>
        <v/>
      </c>
      <c r="G39" s="120">
        <f>IFERROR(INDEX('Detalles movimientos'!H$5:H$1021, MATCH(27, 'Detalles movimientos'!$T$5:$T$1021, 0)), "")</f>
        <v/>
      </c>
      <c r="H39" s="121">
        <f>IFERROR(INDEX('Detalles movimientos'!I$5:I$1021, MATCH(27, 'Detalles movimientos'!$T$5:$T$1021, 0)), "")</f>
        <v/>
      </c>
      <c r="I39" s="120">
        <f>IFERROR(INDEX('Detalles movimientos'!M$5:M$1021, MATCH(27, 'Detalles movimientos'!$T$5:$T$1021, 0)), "")</f>
        <v/>
      </c>
      <c r="J39" s="19">
        <f>IFERROR(INDEX('Detalles movimientos'!N$5:N$1021, MATCH(27, 'Detalles movimientos'!$T$5:$T$1021, 0)), "")</f>
        <v/>
      </c>
      <c r="K39" s="120">
        <f>IFERROR(INDEX('Detalles movimientos'!O$5:O$1021, MATCH(27, 'Detalles movimientos'!$T$5:$T$1021, 0)), "")</f>
        <v/>
      </c>
      <c r="L39" s="18">
        <f>IFERROR(INDEX('Detalles movimientos'!P$5:P$1021, MATCH(27, 'Detalles movimientos'!$T$5:$T$1021, 0)), "")</f>
        <v/>
      </c>
      <c r="M39" s="18">
        <f>IFERROR(INDEX('Detalles movimientos'!S$5:S$1021, MATCH(27, 'Detalles movimientos'!$T$5:$T$1021, 0)), "")</f>
        <v/>
      </c>
    </row>
    <row r="40">
      <c r="B40" s="119">
        <f>IFERROR(INDEX('Detalles movimientos'!C$5:C$1021, MATCH(28, 'Detalles movimientos'!$T$5:$T$1021, 0)), "")</f>
        <v/>
      </c>
      <c r="C40" s="18">
        <f>IFERROR(INDEX('Detalles movimientos'!D$5:D$1021, MATCH(28, 'Detalles movimientos'!$T$5:$T$1021, 0)), "")</f>
        <v/>
      </c>
      <c r="D40" s="19">
        <f>IFERROR(INDEX('Detalles movimientos'!E$5:E$1021, MATCH(28, 'Detalles movimientos'!$T$5:$T$1021, 0)), "")</f>
        <v/>
      </c>
      <c r="E40" s="19">
        <f>IFERROR(INDEX('Detalles movimientos'!F$5:F$1021, MATCH(28, 'Detalles movimientos'!$T$5:$T$1021, 0)), "")</f>
        <v/>
      </c>
      <c r="F40" s="18">
        <f>IFERROR(INDEX('Detalles movimientos'!G$5:G$1021, MATCH(28, 'Detalles movimientos'!$T$5:$T$1021, 0)), "")</f>
        <v/>
      </c>
      <c r="G40" s="120">
        <f>IFERROR(INDEX('Detalles movimientos'!H$5:H$1021, MATCH(28, 'Detalles movimientos'!$T$5:$T$1021, 0)), "")</f>
        <v/>
      </c>
      <c r="H40" s="121">
        <f>IFERROR(INDEX('Detalles movimientos'!I$5:I$1021, MATCH(28, 'Detalles movimientos'!$T$5:$T$1021, 0)), "")</f>
        <v/>
      </c>
      <c r="I40" s="120">
        <f>IFERROR(INDEX('Detalles movimientos'!M$5:M$1021, MATCH(28, 'Detalles movimientos'!$T$5:$T$1021, 0)), "")</f>
        <v/>
      </c>
      <c r="J40" s="19">
        <f>IFERROR(INDEX('Detalles movimientos'!N$5:N$1021, MATCH(28, 'Detalles movimientos'!$T$5:$T$1021, 0)), "")</f>
        <v/>
      </c>
      <c r="K40" s="120">
        <f>IFERROR(INDEX('Detalles movimientos'!O$5:O$1021, MATCH(28, 'Detalles movimientos'!$T$5:$T$1021, 0)), "")</f>
        <v/>
      </c>
      <c r="L40" s="18">
        <f>IFERROR(INDEX('Detalles movimientos'!P$5:P$1021, MATCH(28, 'Detalles movimientos'!$T$5:$T$1021, 0)), "")</f>
        <v/>
      </c>
      <c r="M40" s="18">
        <f>IFERROR(INDEX('Detalles movimientos'!S$5:S$1021, MATCH(28, 'Detalles movimientos'!$T$5:$T$1021, 0)), "")</f>
        <v/>
      </c>
    </row>
    <row r="41">
      <c r="B41" s="119">
        <f>IFERROR(INDEX('Detalles movimientos'!C$5:C$1021, MATCH(29, 'Detalles movimientos'!$T$5:$T$1021, 0)), "")</f>
        <v/>
      </c>
      <c r="C41" s="18">
        <f>IFERROR(INDEX('Detalles movimientos'!D$5:D$1021, MATCH(29, 'Detalles movimientos'!$T$5:$T$1021, 0)), "")</f>
        <v/>
      </c>
      <c r="D41" s="19">
        <f>IFERROR(INDEX('Detalles movimientos'!E$5:E$1021, MATCH(29, 'Detalles movimientos'!$T$5:$T$1021, 0)), "")</f>
        <v/>
      </c>
      <c r="E41" s="19">
        <f>IFERROR(INDEX('Detalles movimientos'!F$5:F$1021, MATCH(29, 'Detalles movimientos'!$T$5:$T$1021, 0)), "")</f>
        <v/>
      </c>
      <c r="F41" s="18">
        <f>IFERROR(INDEX('Detalles movimientos'!G$5:G$1021, MATCH(29, 'Detalles movimientos'!$T$5:$T$1021, 0)), "")</f>
        <v/>
      </c>
      <c r="G41" s="120">
        <f>IFERROR(INDEX('Detalles movimientos'!H$5:H$1021, MATCH(29, 'Detalles movimientos'!$T$5:$T$1021, 0)), "")</f>
        <v/>
      </c>
      <c r="H41" s="121">
        <f>IFERROR(INDEX('Detalles movimientos'!I$5:I$1021, MATCH(29, 'Detalles movimientos'!$T$5:$T$1021, 0)), "")</f>
        <v/>
      </c>
      <c r="I41" s="120">
        <f>IFERROR(INDEX('Detalles movimientos'!M$5:M$1021, MATCH(29, 'Detalles movimientos'!$T$5:$T$1021, 0)), "")</f>
        <v/>
      </c>
      <c r="J41" s="19">
        <f>IFERROR(INDEX('Detalles movimientos'!N$5:N$1021, MATCH(29, 'Detalles movimientos'!$T$5:$T$1021, 0)), "")</f>
        <v/>
      </c>
      <c r="K41" s="120">
        <f>IFERROR(INDEX('Detalles movimientos'!O$5:O$1021, MATCH(29, 'Detalles movimientos'!$T$5:$T$1021, 0)), "")</f>
        <v/>
      </c>
      <c r="L41" s="18">
        <f>IFERROR(INDEX('Detalles movimientos'!P$5:P$1021, MATCH(29, 'Detalles movimientos'!$T$5:$T$1021, 0)), "")</f>
        <v/>
      </c>
      <c r="M41" s="18">
        <f>IFERROR(INDEX('Detalles movimientos'!S$5:S$1021, MATCH(29, 'Detalles movimientos'!$T$5:$T$1021, 0)), "")</f>
        <v/>
      </c>
    </row>
    <row r="42">
      <c r="B42" s="119">
        <f>IFERROR(INDEX('Detalles movimientos'!C$5:C$1021, MATCH(30, 'Detalles movimientos'!$T$5:$T$1021, 0)), "")</f>
        <v/>
      </c>
      <c r="C42" s="18">
        <f>IFERROR(INDEX('Detalles movimientos'!D$5:D$1021, MATCH(30, 'Detalles movimientos'!$T$5:$T$1021, 0)), "")</f>
        <v/>
      </c>
      <c r="D42" s="19">
        <f>IFERROR(INDEX('Detalles movimientos'!E$5:E$1021, MATCH(30, 'Detalles movimientos'!$T$5:$T$1021, 0)), "")</f>
        <v/>
      </c>
      <c r="E42" s="19">
        <f>IFERROR(INDEX('Detalles movimientos'!F$5:F$1021, MATCH(30, 'Detalles movimientos'!$T$5:$T$1021, 0)), "")</f>
        <v/>
      </c>
      <c r="F42" s="18">
        <f>IFERROR(INDEX('Detalles movimientos'!G$5:G$1021, MATCH(30, 'Detalles movimientos'!$T$5:$T$1021, 0)), "")</f>
        <v/>
      </c>
      <c r="G42" s="120">
        <f>IFERROR(INDEX('Detalles movimientos'!H$5:H$1021, MATCH(30, 'Detalles movimientos'!$T$5:$T$1021, 0)), "")</f>
        <v/>
      </c>
      <c r="H42" s="121">
        <f>IFERROR(INDEX('Detalles movimientos'!I$5:I$1021, MATCH(30, 'Detalles movimientos'!$T$5:$T$1021, 0)), "")</f>
        <v/>
      </c>
      <c r="I42" s="120">
        <f>IFERROR(INDEX('Detalles movimientos'!M$5:M$1021, MATCH(30, 'Detalles movimientos'!$T$5:$T$1021, 0)), "")</f>
        <v/>
      </c>
      <c r="J42" s="19">
        <f>IFERROR(INDEX('Detalles movimientos'!N$5:N$1021, MATCH(30, 'Detalles movimientos'!$T$5:$T$1021, 0)), "")</f>
        <v/>
      </c>
      <c r="K42" s="120">
        <f>IFERROR(INDEX('Detalles movimientos'!O$5:O$1021, MATCH(30, 'Detalles movimientos'!$T$5:$T$1021, 0)), "")</f>
        <v/>
      </c>
      <c r="L42" s="18">
        <f>IFERROR(INDEX('Detalles movimientos'!P$5:P$1021, MATCH(30, 'Detalles movimientos'!$T$5:$T$1021, 0)), "")</f>
        <v/>
      </c>
      <c r="M42" s="18">
        <f>IFERROR(INDEX('Detalles movimientos'!S$5:S$1021, MATCH(30, 'Detalles movimientos'!$T$5:$T$1021, 0)), "")</f>
        <v/>
      </c>
    </row>
    <row r="43">
      <c r="B43" s="119">
        <f>IFERROR(INDEX('Detalles movimientos'!C$5:C$1021, MATCH(31, 'Detalles movimientos'!$T$5:$T$1021, 0)), "")</f>
        <v/>
      </c>
      <c r="C43" s="18">
        <f>IFERROR(INDEX('Detalles movimientos'!D$5:D$1021, MATCH(31, 'Detalles movimientos'!$T$5:$T$1021, 0)), "")</f>
        <v/>
      </c>
      <c r="D43" s="19">
        <f>IFERROR(INDEX('Detalles movimientos'!E$5:E$1021, MATCH(31, 'Detalles movimientos'!$T$5:$T$1021, 0)), "")</f>
        <v/>
      </c>
      <c r="E43" s="19">
        <f>IFERROR(INDEX('Detalles movimientos'!F$5:F$1021, MATCH(31, 'Detalles movimientos'!$T$5:$T$1021, 0)), "")</f>
        <v/>
      </c>
      <c r="F43" s="18">
        <f>IFERROR(INDEX('Detalles movimientos'!G$5:G$1021, MATCH(31, 'Detalles movimientos'!$T$5:$T$1021, 0)), "")</f>
        <v/>
      </c>
      <c r="G43" s="120">
        <f>IFERROR(INDEX('Detalles movimientos'!H$5:H$1021, MATCH(31, 'Detalles movimientos'!$T$5:$T$1021, 0)), "")</f>
        <v/>
      </c>
      <c r="H43" s="121">
        <f>IFERROR(INDEX('Detalles movimientos'!I$5:I$1021, MATCH(31, 'Detalles movimientos'!$T$5:$T$1021, 0)), "")</f>
        <v/>
      </c>
      <c r="I43" s="120">
        <f>IFERROR(INDEX('Detalles movimientos'!M$5:M$1021, MATCH(31, 'Detalles movimientos'!$T$5:$T$1021, 0)), "")</f>
        <v/>
      </c>
      <c r="J43" s="19">
        <f>IFERROR(INDEX('Detalles movimientos'!N$5:N$1021, MATCH(31, 'Detalles movimientos'!$T$5:$T$1021, 0)), "")</f>
        <v/>
      </c>
      <c r="K43" s="120">
        <f>IFERROR(INDEX('Detalles movimientos'!O$5:O$1021, MATCH(31, 'Detalles movimientos'!$T$5:$T$1021, 0)), "")</f>
        <v/>
      </c>
      <c r="L43" s="18">
        <f>IFERROR(INDEX('Detalles movimientos'!P$5:P$1021, MATCH(31, 'Detalles movimientos'!$T$5:$T$1021, 0)), "")</f>
        <v/>
      </c>
      <c r="M43" s="18">
        <f>IFERROR(INDEX('Detalles movimientos'!S$5:S$1021, MATCH(31, 'Detalles movimientos'!$T$5:$T$1021, 0)), "")</f>
        <v/>
      </c>
    </row>
    <row r="44">
      <c r="B44" s="119">
        <f>IFERROR(INDEX('Detalles movimientos'!C$5:C$1021, MATCH(32, 'Detalles movimientos'!$T$5:$T$1021, 0)), "")</f>
        <v/>
      </c>
      <c r="C44" s="18">
        <f>IFERROR(INDEX('Detalles movimientos'!D$5:D$1021, MATCH(32, 'Detalles movimientos'!$T$5:$T$1021, 0)), "")</f>
        <v/>
      </c>
      <c r="D44" s="19">
        <f>IFERROR(INDEX('Detalles movimientos'!E$5:E$1021, MATCH(32, 'Detalles movimientos'!$T$5:$T$1021, 0)), "")</f>
        <v/>
      </c>
      <c r="E44" s="19">
        <f>IFERROR(INDEX('Detalles movimientos'!F$5:F$1021, MATCH(32, 'Detalles movimientos'!$T$5:$T$1021, 0)), "")</f>
        <v/>
      </c>
      <c r="F44" s="18">
        <f>IFERROR(INDEX('Detalles movimientos'!G$5:G$1021, MATCH(32, 'Detalles movimientos'!$T$5:$T$1021, 0)), "")</f>
        <v/>
      </c>
      <c r="G44" s="120">
        <f>IFERROR(INDEX('Detalles movimientos'!H$5:H$1021, MATCH(32, 'Detalles movimientos'!$T$5:$T$1021, 0)), "")</f>
        <v/>
      </c>
      <c r="H44" s="121">
        <f>IFERROR(INDEX('Detalles movimientos'!I$5:I$1021, MATCH(32, 'Detalles movimientos'!$T$5:$T$1021, 0)), "")</f>
        <v/>
      </c>
      <c r="I44" s="120">
        <f>IFERROR(INDEX('Detalles movimientos'!M$5:M$1021, MATCH(32, 'Detalles movimientos'!$T$5:$T$1021, 0)), "")</f>
        <v/>
      </c>
      <c r="J44" s="19">
        <f>IFERROR(INDEX('Detalles movimientos'!N$5:N$1021, MATCH(32, 'Detalles movimientos'!$T$5:$T$1021, 0)), "")</f>
        <v/>
      </c>
      <c r="K44" s="120">
        <f>IFERROR(INDEX('Detalles movimientos'!O$5:O$1021, MATCH(32, 'Detalles movimientos'!$T$5:$T$1021, 0)), "")</f>
        <v/>
      </c>
      <c r="L44" s="18">
        <f>IFERROR(INDEX('Detalles movimientos'!P$5:P$1021, MATCH(32, 'Detalles movimientos'!$T$5:$T$1021, 0)), "")</f>
        <v/>
      </c>
      <c r="M44" s="18">
        <f>IFERROR(INDEX('Detalles movimientos'!S$5:S$1021, MATCH(32, 'Detalles movimientos'!$T$5:$T$1021, 0)), "")</f>
        <v/>
      </c>
    </row>
    <row r="45">
      <c r="B45" s="119">
        <f>IFERROR(INDEX('Detalles movimientos'!C$5:C$1021, MATCH(33, 'Detalles movimientos'!$T$5:$T$1021, 0)), "")</f>
        <v/>
      </c>
      <c r="C45" s="18">
        <f>IFERROR(INDEX('Detalles movimientos'!D$5:D$1021, MATCH(33, 'Detalles movimientos'!$T$5:$T$1021, 0)), "")</f>
        <v/>
      </c>
      <c r="D45" s="19">
        <f>IFERROR(INDEX('Detalles movimientos'!E$5:E$1021, MATCH(33, 'Detalles movimientos'!$T$5:$T$1021, 0)), "")</f>
        <v/>
      </c>
      <c r="E45" s="19">
        <f>IFERROR(INDEX('Detalles movimientos'!F$5:F$1021, MATCH(33, 'Detalles movimientos'!$T$5:$T$1021, 0)), "")</f>
        <v/>
      </c>
      <c r="F45" s="18">
        <f>IFERROR(INDEX('Detalles movimientos'!G$5:G$1021, MATCH(33, 'Detalles movimientos'!$T$5:$T$1021, 0)), "")</f>
        <v/>
      </c>
      <c r="G45" s="120">
        <f>IFERROR(INDEX('Detalles movimientos'!H$5:H$1021, MATCH(33, 'Detalles movimientos'!$T$5:$T$1021, 0)), "")</f>
        <v/>
      </c>
      <c r="H45" s="121">
        <f>IFERROR(INDEX('Detalles movimientos'!I$5:I$1021, MATCH(33, 'Detalles movimientos'!$T$5:$T$1021, 0)), "")</f>
        <v/>
      </c>
      <c r="I45" s="120">
        <f>IFERROR(INDEX('Detalles movimientos'!M$5:M$1021, MATCH(33, 'Detalles movimientos'!$T$5:$T$1021, 0)), "")</f>
        <v/>
      </c>
      <c r="J45" s="19">
        <f>IFERROR(INDEX('Detalles movimientos'!N$5:N$1021, MATCH(33, 'Detalles movimientos'!$T$5:$T$1021, 0)), "")</f>
        <v/>
      </c>
      <c r="K45" s="120">
        <f>IFERROR(INDEX('Detalles movimientos'!O$5:O$1021, MATCH(33, 'Detalles movimientos'!$T$5:$T$1021, 0)), "")</f>
        <v/>
      </c>
      <c r="L45" s="18">
        <f>IFERROR(INDEX('Detalles movimientos'!P$5:P$1021, MATCH(33, 'Detalles movimientos'!$T$5:$T$1021, 0)), "")</f>
        <v/>
      </c>
      <c r="M45" s="18">
        <f>IFERROR(INDEX('Detalles movimientos'!S$5:S$1021, MATCH(33, 'Detalles movimientos'!$T$5:$T$1021, 0)), "")</f>
        <v/>
      </c>
    </row>
    <row r="46">
      <c r="B46" s="119">
        <f>IFERROR(INDEX('Detalles movimientos'!C$5:C$1021, MATCH(34, 'Detalles movimientos'!$T$5:$T$1021, 0)), "")</f>
        <v/>
      </c>
      <c r="C46" s="18">
        <f>IFERROR(INDEX('Detalles movimientos'!D$5:D$1021, MATCH(34, 'Detalles movimientos'!$T$5:$T$1021, 0)), "")</f>
        <v/>
      </c>
      <c r="D46" s="19">
        <f>IFERROR(INDEX('Detalles movimientos'!E$5:E$1021, MATCH(34, 'Detalles movimientos'!$T$5:$T$1021, 0)), "")</f>
        <v/>
      </c>
      <c r="E46" s="19">
        <f>IFERROR(INDEX('Detalles movimientos'!F$5:F$1021, MATCH(34, 'Detalles movimientos'!$T$5:$T$1021, 0)), "")</f>
        <v/>
      </c>
      <c r="F46" s="18">
        <f>IFERROR(INDEX('Detalles movimientos'!G$5:G$1021, MATCH(34, 'Detalles movimientos'!$T$5:$T$1021, 0)), "")</f>
        <v/>
      </c>
      <c r="G46" s="120">
        <f>IFERROR(INDEX('Detalles movimientos'!H$5:H$1021, MATCH(34, 'Detalles movimientos'!$T$5:$T$1021, 0)), "")</f>
        <v/>
      </c>
      <c r="H46" s="121">
        <f>IFERROR(INDEX('Detalles movimientos'!I$5:I$1021, MATCH(34, 'Detalles movimientos'!$T$5:$T$1021, 0)), "")</f>
        <v/>
      </c>
      <c r="I46" s="120">
        <f>IFERROR(INDEX('Detalles movimientos'!M$5:M$1021, MATCH(34, 'Detalles movimientos'!$T$5:$T$1021, 0)), "")</f>
        <v/>
      </c>
      <c r="J46" s="19">
        <f>IFERROR(INDEX('Detalles movimientos'!N$5:N$1021, MATCH(34, 'Detalles movimientos'!$T$5:$T$1021, 0)), "")</f>
        <v/>
      </c>
      <c r="K46" s="120">
        <f>IFERROR(INDEX('Detalles movimientos'!O$5:O$1021, MATCH(34, 'Detalles movimientos'!$T$5:$T$1021, 0)), "")</f>
        <v/>
      </c>
      <c r="L46" s="18">
        <f>IFERROR(INDEX('Detalles movimientos'!P$5:P$1021, MATCH(34, 'Detalles movimientos'!$T$5:$T$1021, 0)), "")</f>
        <v/>
      </c>
      <c r="M46" s="18">
        <f>IFERROR(INDEX('Detalles movimientos'!S$5:S$1021, MATCH(34, 'Detalles movimientos'!$T$5:$T$1021, 0)), "")</f>
        <v/>
      </c>
    </row>
    <row r="47">
      <c r="B47" s="119">
        <f>IFERROR(INDEX('Detalles movimientos'!C$5:C$1021, MATCH(35, 'Detalles movimientos'!$T$5:$T$1021, 0)), "")</f>
        <v/>
      </c>
      <c r="C47" s="18">
        <f>IFERROR(INDEX('Detalles movimientos'!D$5:D$1021, MATCH(35, 'Detalles movimientos'!$T$5:$T$1021, 0)), "")</f>
        <v/>
      </c>
      <c r="D47" s="19">
        <f>IFERROR(INDEX('Detalles movimientos'!E$5:E$1021, MATCH(35, 'Detalles movimientos'!$T$5:$T$1021, 0)), "")</f>
        <v/>
      </c>
      <c r="E47" s="19">
        <f>IFERROR(INDEX('Detalles movimientos'!F$5:F$1021, MATCH(35, 'Detalles movimientos'!$T$5:$T$1021, 0)), "")</f>
        <v/>
      </c>
      <c r="F47" s="18">
        <f>IFERROR(INDEX('Detalles movimientos'!G$5:G$1021, MATCH(35, 'Detalles movimientos'!$T$5:$T$1021, 0)), "")</f>
        <v/>
      </c>
      <c r="G47" s="120">
        <f>IFERROR(INDEX('Detalles movimientos'!H$5:H$1021, MATCH(35, 'Detalles movimientos'!$T$5:$T$1021, 0)), "")</f>
        <v/>
      </c>
      <c r="H47" s="121">
        <f>IFERROR(INDEX('Detalles movimientos'!I$5:I$1021, MATCH(35, 'Detalles movimientos'!$T$5:$T$1021, 0)), "")</f>
        <v/>
      </c>
      <c r="I47" s="120">
        <f>IFERROR(INDEX('Detalles movimientos'!M$5:M$1021, MATCH(35, 'Detalles movimientos'!$T$5:$T$1021, 0)), "")</f>
        <v/>
      </c>
      <c r="J47" s="19">
        <f>IFERROR(INDEX('Detalles movimientos'!N$5:N$1021, MATCH(35, 'Detalles movimientos'!$T$5:$T$1021, 0)), "")</f>
        <v/>
      </c>
      <c r="K47" s="120">
        <f>IFERROR(INDEX('Detalles movimientos'!O$5:O$1021, MATCH(35, 'Detalles movimientos'!$T$5:$T$1021, 0)), "")</f>
        <v/>
      </c>
      <c r="L47" s="18">
        <f>IFERROR(INDEX('Detalles movimientos'!P$5:P$1021, MATCH(35, 'Detalles movimientos'!$T$5:$T$1021, 0)), "")</f>
        <v/>
      </c>
      <c r="M47" s="18">
        <f>IFERROR(INDEX('Detalles movimientos'!S$5:S$1021, MATCH(35, 'Detalles movimientos'!$T$5:$T$1021, 0)), "")</f>
        <v/>
      </c>
    </row>
    <row r="48">
      <c r="B48" s="119">
        <f>IFERROR(INDEX('Detalles movimientos'!C$5:C$1021, MATCH(36, 'Detalles movimientos'!$T$5:$T$1021, 0)), "")</f>
        <v/>
      </c>
      <c r="C48" s="18">
        <f>IFERROR(INDEX('Detalles movimientos'!D$5:D$1021, MATCH(36, 'Detalles movimientos'!$T$5:$T$1021, 0)), "")</f>
        <v/>
      </c>
      <c r="D48" s="19">
        <f>IFERROR(INDEX('Detalles movimientos'!E$5:E$1021, MATCH(36, 'Detalles movimientos'!$T$5:$T$1021, 0)), "")</f>
        <v/>
      </c>
      <c r="E48" s="19">
        <f>IFERROR(INDEX('Detalles movimientos'!F$5:F$1021, MATCH(36, 'Detalles movimientos'!$T$5:$T$1021, 0)), "")</f>
        <v/>
      </c>
      <c r="F48" s="18">
        <f>IFERROR(INDEX('Detalles movimientos'!G$5:G$1021, MATCH(36, 'Detalles movimientos'!$T$5:$T$1021, 0)), "")</f>
        <v/>
      </c>
      <c r="G48" s="120">
        <f>IFERROR(INDEX('Detalles movimientos'!H$5:H$1021, MATCH(36, 'Detalles movimientos'!$T$5:$T$1021, 0)), "")</f>
        <v/>
      </c>
      <c r="H48" s="121">
        <f>IFERROR(INDEX('Detalles movimientos'!I$5:I$1021, MATCH(36, 'Detalles movimientos'!$T$5:$T$1021, 0)), "")</f>
        <v/>
      </c>
      <c r="I48" s="120">
        <f>IFERROR(INDEX('Detalles movimientos'!M$5:M$1021, MATCH(36, 'Detalles movimientos'!$T$5:$T$1021, 0)), "")</f>
        <v/>
      </c>
      <c r="J48" s="19">
        <f>IFERROR(INDEX('Detalles movimientos'!N$5:N$1021, MATCH(36, 'Detalles movimientos'!$T$5:$T$1021, 0)), "")</f>
        <v/>
      </c>
      <c r="K48" s="120">
        <f>IFERROR(INDEX('Detalles movimientos'!O$5:O$1021, MATCH(36, 'Detalles movimientos'!$T$5:$T$1021, 0)), "")</f>
        <v/>
      </c>
      <c r="L48" s="18">
        <f>IFERROR(INDEX('Detalles movimientos'!P$5:P$1021, MATCH(36, 'Detalles movimientos'!$T$5:$T$1021, 0)), "")</f>
        <v/>
      </c>
      <c r="M48" s="18">
        <f>IFERROR(INDEX('Detalles movimientos'!S$5:S$1021, MATCH(36, 'Detalles movimientos'!$T$5:$T$1021, 0)), "")</f>
        <v/>
      </c>
    </row>
    <row r="49">
      <c r="B49" s="119">
        <f>IFERROR(INDEX('Detalles movimientos'!C$5:C$1021, MATCH(37, 'Detalles movimientos'!$T$5:$T$1021, 0)), "")</f>
        <v/>
      </c>
      <c r="C49" s="18">
        <f>IFERROR(INDEX('Detalles movimientos'!D$5:D$1021, MATCH(37, 'Detalles movimientos'!$T$5:$T$1021, 0)), "")</f>
        <v/>
      </c>
      <c r="D49" s="19">
        <f>IFERROR(INDEX('Detalles movimientos'!E$5:E$1021, MATCH(37, 'Detalles movimientos'!$T$5:$T$1021, 0)), "")</f>
        <v/>
      </c>
      <c r="E49" s="19">
        <f>IFERROR(INDEX('Detalles movimientos'!F$5:F$1021, MATCH(37, 'Detalles movimientos'!$T$5:$T$1021, 0)), "")</f>
        <v/>
      </c>
      <c r="F49" s="18">
        <f>IFERROR(INDEX('Detalles movimientos'!G$5:G$1021, MATCH(37, 'Detalles movimientos'!$T$5:$T$1021, 0)), "")</f>
        <v/>
      </c>
      <c r="G49" s="120">
        <f>IFERROR(INDEX('Detalles movimientos'!H$5:H$1021, MATCH(37, 'Detalles movimientos'!$T$5:$T$1021, 0)), "")</f>
        <v/>
      </c>
      <c r="H49" s="121">
        <f>IFERROR(INDEX('Detalles movimientos'!I$5:I$1021, MATCH(37, 'Detalles movimientos'!$T$5:$T$1021, 0)), "")</f>
        <v/>
      </c>
      <c r="I49" s="120">
        <f>IFERROR(INDEX('Detalles movimientos'!M$5:M$1021, MATCH(37, 'Detalles movimientos'!$T$5:$T$1021, 0)), "")</f>
        <v/>
      </c>
      <c r="J49" s="19">
        <f>IFERROR(INDEX('Detalles movimientos'!N$5:N$1021, MATCH(37, 'Detalles movimientos'!$T$5:$T$1021, 0)), "")</f>
        <v/>
      </c>
      <c r="K49" s="120">
        <f>IFERROR(INDEX('Detalles movimientos'!O$5:O$1021, MATCH(37, 'Detalles movimientos'!$T$5:$T$1021, 0)), "")</f>
        <v/>
      </c>
      <c r="L49" s="18">
        <f>IFERROR(INDEX('Detalles movimientos'!P$5:P$1021, MATCH(37, 'Detalles movimientos'!$T$5:$T$1021, 0)), "")</f>
        <v/>
      </c>
      <c r="M49" s="18">
        <f>IFERROR(INDEX('Detalles movimientos'!S$5:S$1021, MATCH(37, 'Detalles movimientos'!$T$5:$T$1021, 0)), "")</f>
        <v/>
      </c>
    </row>
    <row r="50">
      <c r="B50" s="119">
        <f>IFERROR(INDEX('Detalles movimientos'!C$5:C$1021, MATCH(38, 'Detalles movimientos'!$T$5:$T$1021, 0)), "")</f>
        <v/>
      </c>
      <c r="C50" s="18">
        <f>IFERROR(INDEX('Detalles movimientos'!D$5:D$1021, MATCH(38, 'Detalles movimientos'!$T$5:$T$1021, 0)), "")</f>
        <v/>
      </c>
      <c r="D50" s="19">
        <f>IFERROR(INDEX('Detalles movimientos'!E$5:E$1021, MATCH(38, 'Detalles movimientos'!$T$5:$T$1021, 0)), "")</f>
        <v/>
      </c>
      <c r="E50" s="19">
        <f>IFERROR(INDEX('Detalles movimientos'!F$5:F$1021, MATCH(38, 'Detalles movimientos'!$T$5:$T$1021, 0)), "")</f>
        <v/>
      </c>
      <c r="F50" s="18">
        <f>IFERROR(INDEX('Detalles movimientos'!G$5:G$1021, MATCH(38, 'Detalles movimientos'!$T$5:$T$1021, 0)), "")</f>
        <v/>
      </c>
      <c r="G50" s="120">
        <f>IFERROR(INDEX('Detalles movimientos'!H$5:H$1021, MATCH(38, 'Detalles movimientos'!$T$5:$T$1021, 0)), "")</f>
        <v/>
      </c>
      <c r="H50" s="121">
        <f>IFERROR(INDEX('Detalles movimientos'!I$5:I$1021, MATCH(38, 'Detalles movimientos'!$T$5:$T$1021, 0)), "")</f>
        <v/>
      </c>
      <c r="I50" s="120">
        <f>IFERROR(INDEX('Detalles movimientos'!M$5:M$1021, MATCH(38, 'Detalles movimientos'!$T$5:$T$1021, 0)), "")</f>
        <v/>
      </c>
      <c r="J50" s="19">
        <f>IFERROR(INDEX('Detalles movimientos'!N$5:N$1021, MATCH(38, 'Detalles movimientos'!$T$5:$T$1021, 0)), "")</f>
        <v/>
      </c>
      <c r="K50" s="120">
        <f>IFERROR(INDEX('Detalles movimientos'!O$5:O$1021, MATCH(38, 'Detalles movimientos'!$T$5:$T$1021, 0)), "")</f>
        <v/>
      </c>
      <c r="L50" s="18">
        <f>IFERROR(INDEX('Detalles movimientos'!P$5:P$1021, MATCH(38, 'Detalles movimientos'!$T$5:$T$1021, 0)), "")</f>
        <v/>
      </c>
      <c r="M50" s="18">
        <f>IFERROR(INDEX('Detalles movimientos'!S$5:S$1021, MATCH(38, 'Detalles movimientos'!$T$5:$T$1021, 0)), "")</f>
        <v/>
      </c>
    </row>
    <row r="51">
      <c r="B51" s="119">
        <f>IFERROR(INDEX('Detalles movimientos'!C$5:C$1021, MATCH(39, 'Detalles movimientos'!$T$5:$T$1021, 0)), "")</f>
        <v/>
      </c>
      <c r="C51" s="18">
        <f>IFERROR(INDEX('Detalles movimientos'!D$5:D$1021, MATCH(39, 'Detalles movimientos'!$T$5:$T$1021, 0)), "")</f>
        <v/>
      </c>
      <c r="D51" s="19">
        <f>IFERROR(INDEX('Detalles movimientos'!E$5:E$1021, MATCH(39, 'Detalles movimientos'!$T$5:$T$1021, 0)), "")</f>
        <v/>
      </c>
      <c r="E51" s="19">
        <f>IFERROR(INDEX('Detalles movimientos'!F$5:F$1021, MATCH(39, 'Detalles movimientos'!$T$5:$T$1021, 0)), "")</f>
        <v/>
      </c>
      <c r="F51" s="18">
        <f>IFERROR(INDEX('Detalles movimientos'!G$5:G$1021, MATCH(39, 'Detalles movimientos'!$T$5:$T$1021, 0)), "")</f>
        <v/>
      </c>
      <c r="G51" s="120">
        <f>IFERROR(INDEX('Detalles movimientos'!H$5:H$1021, MATCH(39, 'Detalles movimientos'!$T$5:$T$1021, 0)), "")</f>
        <v/>
      </c>
      <c r="H51" s="121">
        <f>IFERROR(INDEX('Detalles movimientos'!I$5:I$1021, MATCH(39, 'Detalles movimientos'!$T$5:$T$1021, 0)), "")</f>
        <v/>
      </c>
      <c r="I51" s="120">
        <f>IFERROR(INDEX('Detalles movimientos'!M$5:M$1021, MATCH(39, 'Detalles movimientos'!$T$5:$T$1021, 0)), "")</f>
        <v/>
      </c>
      <c r="J51" s="19">
        <f>IFERROR(INDEX('Detalles movimientos'!N$5:N$1021, MATCH(39, 'Detalles movimientos'!$T$5:$T$1021, 0)), "")</f>
        <v/>
      </c>
      <c r="K51" s="120">
        <f>IFERROR(INDEX('Detalles movimientos'!O$5:O$1021, MATCH(39, 'Detalles movimientos'!$T$5:$T$1021, 0)), "")</f>
        <v/>
      </c>
      <c r="L51" s="18">
        <f>IFERROR(INDEX('Detalles movimientos'!P$5:P$1021, MATCH(39, 'Detalles movimientos'!$T$5:$T$1021, 0)), "")</f>
        <v/>
      </c>
      <c r="M51" s="18">
        <f>IFERROR(INDEX('Detalles movimientos'!S$5:S$1021, MATCH(39, 'Detalles movimientos'!$T$5:$T$1021, 0)), "")</f>
        <v/>
      </c>
    </row>
    <row r="52">
      <c r="B52" s="119">
        <f>IFERROR(INDEX('Detalles movimientos'!C$5:C$1021, MATCH(40, 'Detalles movimientos'!$T$5:$T$1021, 0)), "")</f>
        <v/>
      </c>
      <c r="C52" s="18">
        <f>IFERROR(INDEX('Detalles movimientos'!D$5:D$1021, MATCH(40, 'Detalles movimientos'!$T$5:$T$1021, 0)), "")</f>
        <v/>
      </c>
      <c r="D52" s="19">
        <f>IFERROR(INDEX('Detalles movimientos'!E$5:E$1021, MATCH(40, 'Detalles movimientos'!$T$5:$T$1021, 0)), "")</f>
        <v/>
      </c>
      <c r="E52" s="19">
        <f>IFERROR(INDEX('Detalles movimientos'!F$5:F$1021, MATCH(40, 'Detalles movimientos'!$T$5:$T$1021, 0)), "")</f>
        <v/>
      </c>
      <c r="F52" s="18">
        <f>IFERROR(INDEX('Detalles movimientos'!G$5:G$1021, MATCH(40, 'Detalles movimientos'!$T$5:$T$1021, 0)), "")</f>
        <v/>
      </c>
      <c r="G52" s="120">
        <f>IFERROR(INDEX('Detalles movimientos'!H$5:H$1021, MATCH(40, 'Detalles movimientos'!$T$5:$T$1021, 0)), "")</f>
        <v/>
      </c>
      <c r="H52" s="121">
        <f>IFERROR(INDEX('Detalles movimientos'!I$5:I$1021, MATCH(40, 'Detalles movimientos'!$T$5:$T$1021, 0)), "")</f>
        <v/>
      </c>
      <c r="I52" s="120">
        <f>IFERROR(INDEX('Detalles movimientos'!M$5:M$1021, MATCH(40, 'Detalles movimientos'!$T$5:$T$1021, 0)), "")</f>
        <v/>
      </c>
      <c r="J52" s="19">
        <f>IFERROR(INDEX('Detalles movimientos'!N$5:N$1021, MATCH(40, 'Detalles movimientos'!$T$5:$T$1021, 0)), "")</f>
        <v/>
      </c>
      <c r="K52" s="120">
        <f>IFERROR(INDEX('Detalles movimientos'!O$5:O$1021, MATCH(40, 'Detalles movimientos'!$T$5:$T$1021, 0)), "")</f>
        <v/>
      </c>
      <c r="L52" s="18">
        <f>IFERROR(INDEX('Detalles movimientos'!P$5:P$1021, MATCH(40, 'Detalles movimientos'!$T$5:$T$1021, 0)), "")</f>
        <v/>
      </c>
      <c r="M52" s="18">
        <f>IFERROR(INDEX('Detalles movimientos'!S$5:S$1021, MATCH(40, 'Detalles movimientos'!$T$5:$T$1021, 0)), "")</f>
        <v/>
      </c>
    </row>
    <row r="53">
      <c r="B53" s="119">
        <f>IFERROR(INDEX('Detalles movimientos'!C$5:C$1021, MATCH(41, 'Detalles movimientos'!$T$5:$T$1021, 0)), "")</f>
        <v/>
      </c>
      <c r="C53" s="18">
        <f>IFERROR(INDEX('Detalles movimientos'!D$5:D$1021, MATCH(41, 'Detalles movimientos'!$T$5:$T$1021, 0)), "")</f>
        <v/>
      </c>
      <c r="D53" s="19">
        <f>IFERROR(INDEX('Detalles movimientos'!E$5:E$1021, MATCH(41, 'Detalles movimientos'!$T$5:$T$1021, 0)), "")</f>
        <v/>
      </c>
      <c r="E53" s="19">
        <f>IFERROR(INDEX('Detalles movimientos'!F$5:F$1021, MATCH(41, 'Detalles movimientos'!$T$5:$T$1021, 0)), "")</f>
        <v/>
      </c>
      <c r="F53" s="18">
        <f>IFERROR(INDEX('Detalles movimientos'!G$5:G$1021, MATCH(41, 'Detalles movimientos'!$T$5:$T$1021, 0)), "")</f>
        <v/>
      </c>
      <c r="G53" s="120">
        <f>IFERROR(INDEX('Detalles movimientos'!H$5:H$1021, MATCH(41, 'Detalles movimientos'!$T$5:$T$1021, 0)), "")</f>
        <v/>
      </c>
      <c r="H53" s="121">
        <f>IFERROR(INDEX('Detalles movimientos'!I$5:I$1021, MATCH(41, 'Detalles movimientos'!$T$5:$T$1021, 0)), "")</f>
        <v/>
      </c>
      <c r="I53" s="120">
        <f>IFERROR(INDEX('Detalles movimientos'!M$5:M$1021, MATCH(41, 'Detalles movimientos'!$T$5:$T$1021, 0)), "")</f>
        <v/>
      </c>
      <c r="J53" s="19">
        <f>IFERROR(INDEX('Detalles movimientos'!N$5:N$1021, MATCH(41, 'Detalles movimientos'!$T$5:$T$1021, 0)), "")</f>
        <v/>
      </c>
      <c r="K53" s="120">
        <f>IFERROR(INDEX('Detalles movimientos'!O$5:O$1021, MATCH(41, 'Detalles movimientos'!$T$5:$T$1021, 0)), "")</f>
        <v/>
      </c>
      <c r="L53" s="18">
        <f>IFERROR(INDEX('Detalles movimientos'!P$5:P$1021, MATCH(41, 'Detalles movimientos'!$T$5:$T$1021, 0)), "")</f>
        <v/>
      </c>
      <c r="M53" s="18">
        <f>IFERROR(INDEX('Detalles movimientos'!S$5:S$1021, MATCH(41, 'Detalles movimientos'!$T$5:$T$1021, 0)), "")</f>
        <v/>
      </c>
    </row>
    <row r="54">
      <c r="B54" s="119">
        <f>IFERROR(INDEX('Detalles movimientos'!C$5:C$1021, MATCH(42, 'Detalles movimientos'!$T$5:$T$1021, 0)), "")</f>
        <v/>
      </c>
      <c r="C54" s="18">
        <f>IFERROR(INDEX('Detalles movimientos'!D$5:D$1021, MATCH(42, 'Detalles movimientos'!$T$5:$T$1021, 0)), "")</f>
        <v/>
      </c>
      <c r="D54" s="19">
        <f>IFERROR(INDEX('Detalles movimientos'!E$5:E$1021, MATCH(42, 'Detalles movimientos'!$T$5:$T$1021, 0)), "")</f>
        <v/>
      </c>
      <c r="E54" s="19">
        <f>IFERROR(INDEX('Detalles movimientos'!F$5:F$1021, MATCH(42, 'Detalles movimientos'!$T$5:$T$1021, 0)), "")</f>
        <v/>
      </c>
      <c r="F54" s="18">
        <f>IFERROR(INDEX('Detalles movimientos'!G$5:G$1021, MATCH(42, 'Detalles movimientos'!$T$5:$T$1021, 0)), "")</f>
        <v/>
      </c>
      <c r="G54" s="120">
        <f>IFERROR(INDEX('Detalles movimientos'!H$5:H$1021, MATCH(42, 'Detalles movimientos'!$T$5:$T$1021, 0)), "")</f>
        <v/>
      </c>
      <c r="H54" s="121">
        <f>IFERROR(INDEX('Detalles movimientos'!I$5:I$1021, MATCH(42, 'Detalles movimientos'!$T$5:$T$1021, 0)), "")</f>
        <v/>
      </c>
      <c r="I54" s="120">
        <f>IFERROR(INDEX('Detalles movimientos'!M$5:M$1021, MATCH(42, 'Detalles movimientos'!$T$5:$T$1021, 0)), "")</f>
        <v/>
      </c>
      <c r="J54" s="19">
        <f>IFERROR(INDEX('Detalles movimientos'!N$5:N$1021, MATCH(42, 'Detalles movimientos'!$T$5:$T$1021, 0)), "")</f>
        <v/>
      </c>
      <c r="K54" s="120">
        <f>IFERROR(INDEX('Detalles movimientos'!O$5:O$1021, MATCH(42, 'Detalles movimientos'!$T$5:$T$1021, 0)), "")</f>
        <v/>
      </c>
      <c r="L54" s="18">
        <f>IFERROR(INDEX('Detalles movimientos'!P$5:P$1021, MATCH(42, 'Detalles movimientos'!$T$5:$T$1021, 0)), "")</f>
        <v/>
      </c>
      <c r="M54" s="18">
        <f>IFERROR(INDEX('Detalles movimientos'!S$5:S$1021, MATCH(42, 'Detalles movimientos'!$T$5:$T$1021, 0)), "")</f>
        <v/>
      </c>
    </row>
    <row r="55">
      <c r="B55" s="119">
        <f>IFERROR(INDEX('Detalles movimientos'!C$5:C$1021, MATCH(43, 'Detalles movimientos'!$T$5:$T$1021, 0)), "")</f>
        <v/>
      </c>
      <c r="C55" s="18">
        <f>IFERROR(INDEX('Detalles movimientos'!D$5:D$1021, MATCH(43, 'Detalles movimientos'!$T$5:$T$1021, 0)), "")</f>
        <v/>
      </c>
      <c r="D55" s="19">
        <f>IFERROR(INDEX('Detalles movimientos'!E$5:E$1021, MATCH(43, 'Detalles movimientos'!$T$5:$T$1021, 0)), "")</f>
        <v/>
      </c>
      <c r="E55" s="19">
        <f>IFERROR(INDEX('Detalles movimientos'!F$5:F$1021, MATCH(43, 'Detalles movimientos'!$T$5:$T$1021, 0)), "")</f>
        <v/>
      </c>
      <c r="F55" s="18">
        <f>IFERROR(INDEX('Detalles movimientos'!G$5:G$1021, MATCH(43, 'Detalles movimientos'!$T$5:$T$1021, 0)), "")</f>
        <v/>
      </c>
      <c r="G55" s="120">
        <f>IFERROR(INDEX('Detalles movimientos'!H$5:H$1021, MATCH(43, 'Detalles movimientos'!$T$5:$T$1021, 0)), "")</f>
        <v/>
      </c>
      <c r="H55" s="121">
        <f>IFERROR(INDEX('Detalles movimientos'!I$5:I$1021, MATCH(43, 'Detalles movimientos'!$T$5:$T$1021, 0)), "")</f>
        <v/>
      </c>
      <c r="I55" s="120">
        <f>IFERROR(INDEX('Detalles movimientos'!M$5:M$1021, MATCH(43, 'Detalles movimientos'!$T$5:$T$1021, 0)), "")</f>
        <v/>
      </c>
      <c r="J55" s="19">
        <f>IFERROR(INDEX('Detalles movimientos'!N$5:N$1021, MATCH(43, 'Detalles movimientos'!$T$5:$T$1021, 0)), "")</f>
        <v/>
      </c>
      <c r="K55" s="120">
        <f>IFERROR(INDEX('Detalles movimientos'!O$5:O$1021, MATCH(43, 'Detalles movimientos'!$T$5:$T$1021, 0)), "")</f>
        <v/>
      </c>
      <c r="L55" s="18">
        <f>IFERROR(INDEX('Detalles movimientos'!P$5:P$1021, MATCH(43, 'Detalles movimientos'!$T$5:$T$1021, 0)), "")</f>
        <v/>
      </c>
      <c r="M55" s="18">
        <f>IFERROR(INDEX('Detalles movimientos'!S$5:S$1021, MATCH(43, 'Detalles movimientos'!$T$5:$T$1021, 0)), "")</f>
        <v/>
      </c>
    </row>
    <row r="56">
      <c r="B56" s="119">
        <f>IFERROR(INDEX('Detalles movimientos'!C$5:C$1021, MATCH(44, 'Detalles movimientos'!$T$5:$T$1021, 0)), "")</f>
        <v/>
      </c>
      <c r="C56" s="18">
        <f>IFERROR(INDEX('Detalles movimientos'!D$5:D$1021, MATCH(44, 'Detalles movimientos'!$T$5:$T$1021, 0)), "")</f>
        <v/>
      </c>
      <c r="D56" s="19">
        <f>IFERROR(INDEX('Detalles movimientos'!E$5:E$1021, MATCH(44, 'Detalles movimientos'!$T$5:$T$1021, 0)), "")</f>
        <v/>
      </c>
      <c r="E56" s="19">
        <f>IFERROR(INDEX('Detalles movimientos'!F$5:F$1021, MATCH(44, 'Detalles movimientos'!$T$5:$T$1021, 0)), "")</f>
        <v/>
      </c>
      <c r="F56" s="18">
        <f>IFERROR(INDEX('Detalles movimientos'!G$5:G$1021, MATCH(44, 'Detalles movimientos'!$T$5:$T$1021, 0)), "")</f>
        <v/>
      </c>
      <c r="G56" s="120">
        <f>IFERROR(INDEX('Detalles movimientos'!H$5:H$1021, MATCH(44, 'Detalles movimientos'!$T$5:$T$1021, 0)), "")</f>
        <v/>
      </c>
      <c r="H56" s="121">
        <f>IFERROR(INDEX('Detalles movimientos'!I$5:I$1021, MATCH(44, 'Detalles movimientos'!$T$5:$T$1021, 0)), "")</f>
        <v/>
      </c>
      <c r="I56" s="120">
        <f>IFERROR(INDEX('Detalles movimientos'!M$5:M$1021, MATCH(44, 'Detalles movimientos'!$T$5:$T$1021, 0)), "")</f>
        <v/>
      </c>
      <c r="J56" s="19">
        <f>IFERROR(INDEX('Detalles movimientos'!N$5:N$1021, MATCH(44, 'Detalles movimientos'!$T$5:$T$1021, 0)), "")</f>
        <v/>
      </c>
      <c r="K56" s="120">
        <f>IFERROR(INDEX('Detalles movimientos'!O$5:O$1021, MATCH(44, 'Detalles movimientos'!$T$5:$T$1021, 0)), "")</f>
        <v/>
      </c>
      <c r="L56" s="18">
        <f>IFERROR(INDEX('Detalles movimientos'!P$5:P$1021, MATCH(44, 'Detalles movimientos'!$T$5:$T$1021, 0)), "")</f>
        <v/>
      </c>
      <c r="M56" s="18">
        <f>IFERROR(INDEX('Detalles movimientos'!S$5:S$1021, MATCH(44, 'Detalles movimientos'!$T$5:$T$1021, 0)), "")</f>
        <v/>
      </c>
    </row>
    <row r="57">
      <c r="B57" s="119">
        <f>IFERROR(INDEX('Detalles movimientos'!C$5:C$1021, MATCH(45, 'Detalles movimientos'!$T$5:$T$1021, 0)), "")</f>
        <v/>
      </c>
      <c r="C57" s="18">
        <f>IFERROR(INDEX('Detalles movimientos'!D$5:D$1021, MATCH(45, 'Detalles movimientos'!$T$5:$T$1021, 0)), "")</f>
        <v/>
      </c>
      <c r="D57" s="19">
        <f>IFERROR(INDEX('Detalles movimientos'!E$5:E$1021, MATCH(45, 'Detalles movimientos'!$T$5:$T$1021, 0)), "")</f>
        <v/>
      </c>
      <c r="E57" s="19">
        <f>IFERROR(INDEX('Detalles movimientos'!F$5:F$1021, MATCH(45, 'Detalles movimientos'!$T$5:$T$1021, 0)), "")</f>
        <v/>
      </c>
      <c r="F57" s="18">
        <f>IFERROR(INDEX('Detalles movimientos'!G$5:G$1021, MATCH(45, 'Detalles movimientos'!$T$5:$T$1021, 0)), "")</f>
        <v/>
      </c>
      <c r="G57" s="120">
        <f>IFERROR(INDEX('Detalles movimientos'!H$5:H$1021, MATCH(45, 'Detalles movimientos'!$T$5:$T$1021, 0)), "")</f>
        <v/>
      </c>
      <c r="H57" s="121">
        <f>IFERROR(INDEX('Detalles movimientos'!I$5:I$1021, MATCH(45, 'Detalles movimientos'!$T$5:$T$1021, 0)), "")</f>
        <v/>
      </c>
      <c r="I57" s="120">
        <f>IFERROR(INDEX('Detalles movimientos'!M$5:M$1021, MATCH(45, 'Detalles movimientos'!$T$5:$T$1021, 0)), "")</f>
        <v/>
      </c>
      <c r="J57" s="19">
        <f>IFERROR(INDEX('Detalles movimientos'!N$5:N$1021, MATCH(45, 'Detalles movimientos'!$T$5:$T$1021, 0)), "")</f>
        <v/>
      </c>
      <c r="K57" s="120">
        <f>IFERROR(INDEX('Detalles movimientos'!O$5:O$1021, MATCH(45, 'Detalles movimientos'!$T$5:$T$1021, 0)), "")</f>
        <v/>
      </c>
      <c r="L57" s="18">
        <f>IFERROR(INDEX('Detalles movimientos'!P$5:P$1021, MATCH(45, 'Detalles movimientos'!$T$5:$T$1021, 0)), "")</f>
        <v/>
      </c>
      <c r="M57" s="18">
        <f>IFERROR(INDEX('Detalles movimientos'!S$5:S$1021, MATCH(45, 'Detalles movimientos'!$T$5:$T$1021, 0)), "")</f>
        <v/>
      </c>
    </row>
    <row r="58">
      <c r="B58" s="119">
        <f>IFERROR(INDEX('Detalles movimientos'!C$5:C$1021, MATCH(46, 'Detalles movimientos'!$T$5:$T$1021, 0)), "")</f>
        <v/>
      </c>
      <c r="C58" s="18">
        <f>IFERROR(INDEX('Detalles movimientos'!D$5:D$1021, MATCH(46, 'Detalles movimientos'!$T$5:$T$1021, 0)), "")</f>
        <v/>
      </c>
      <c r="D58" s="19">
        <f>IFERROR(INDEX('Detalles movimientos'!E$5:E$1021, MATCH(46, 'Detalles movimientos'!$T$5:$T$1021, 0)), "")</f>
        <v/>
      </c>
      <c r="E58" s="19">
        <f>IFERROR(INDEX('Detalles movimientos'!F$5:F$1021, MATCH(46, 'Detalles movimientos'!$T$5:$T$1021, 0)), "")</f>
        <v/>
      </c>
      <c r="F58" s="18">
        <f>IFERROR(INDEX('Detalles movimientos'!G$5:G$1021, MATCH(46, 'Detalles movimientos'!$T$5:$T$1021, 0)), "")</f>
        <v/>
      </c>
      <c r="G58" s="120">
        <f>IFERROR(INDEX('Detalles movimientos'!H$5:H$1021, MATCH(46, 'Detalles movimientos'!$T$5:$T$1021, 0)), "")</f>
        <v/>
      </c>
      <c r="H58" s="121">
        <f>IFERROR(INDEX('Detalles movimientos'!I$5:I$1021, MATCH(46, 'Detalles movimientos'!$T$5:$T$1021, 0)), "")</f>
        <v/>
      </c>
      <c r="I58" s="120">
        <f>IFERROR(INDEX('Detalles movimientos'!M$5:M$1021, MATCH(46, 'Detalles movimientos'!$T$5:$T$1021, 0)), "")</f>
        <v/>
      </c>
      <c r="J58" s="19">
        <f>IFERROR(INDEX('Detalles movimientos'!N$5:N$1021, MATCH(46, 'Detalles movimientos'!$T$5:$T$1021, 0)), "")</f>
        <v/>
      </c>
      <c r="K58" s="120">
        <f>IFERROR(INDEX('Detalles movimientos'!O$5:O$1021, MATCH(46, 'Detalles movimientos'!$T$5:$T$1021, 0)), "")</f>
        <v/>
      </c>
      <c r="L58" s="18">
        <f>IFERROR(INDEX('Detalles movimientos'!P$5:P$1021, MATCH(46, 'Detalles movimientos'!$T$5:$T$1021, 0)), "")</f>
        <v/>
      </c>
      <c r="M58" s="18">
        <f>IFERROR(INDEX('Detalles movimientos'!S$5:S$1021, MATCH(46, 'Detalles movimientos'!$T$5:$T$1021, 0)), "")</f>
        <v/>
      </c>
    </row>
    <row r="59">
      <c r="B59" s="119">
        <f>IFERROR(INDEX('Detalles movimientos'!C$5:C$1021, MATCH(47, 'Detalles movimientos'!$T$5:$T$1021, 0)), "")</f>
        <v/>
      </c>
      <c r="C59" s="18">
        <f>IFERROR(INDEX('Detalles movimientos'!D$5:D$1021, MATCH(47, 'Detalles movimientos'!$T$5:$T$1021, 0)), "")</f>
        <v/>
      </c>
      <c r="D59" s="19">
        <f>IFERROR(INDEX('Detalles movimientos'!E$5:E$1021, MATCH(47, 'Detalles movimientos'!$T$5:$T$1021, 0)), "")</f>
        <v/>
      </c>
      <c r="E59" s="19">
        <f>IFERROR(INDEX('Detalles movimientos'!F$5:F$1021, MATCH(47, 'Detalles movimientos'!$T$5:$T$1021, 0)), "")</f>
        <v/>
      </c>
      <c r="F59" s="18">
        <f>IFERROR(INDEX('Detalles movimientos'!G$5:G$1021, MATCH(47, 'Detalles movimientos'!$T$5:$T$1021, 0)), "")</f>
        <v/>
      </c>
      <c r="G59" s="120">
        <f>IFERROR(INDEX('Detalles movimientos'!H$5:H$1021, MATCH(47, 'Detalles movimientos'!$T$5:$T$1021, 0)), "")</f>
        <v/>
      </c>
      <c r="H59" s="121">
        <f>IFERROR(INDEX('Detalles movimientos'!I$5:I$1021, MATCH(47, 'Detalles movimientos'!$T$5:$T$1021, 0)), "")</f>
        <v/>
      </c>
      <c r="I59" s="120">
        <f>IFERROR(INDEX('Detalles movimientos'!M$5:M$1021, MATCH(47, 'Detalles movimientos'!$T$5:$T$1021, 0)), "")</f>
        <v/>
      </c>
      <c r="J59" s="19">
        <f>IFERROR(INDEX('Detalles movimientos'!N$5:N$1021, MATCH(47, 'Detalles movimientos'!$T$5:$T$1021, 0)), "")</f>
        <v/>
      </c>
      <c r="K59" s="120">
        <f>IFERROR(INDEX('Detalles movimientos'!O$5:O$1021, MATCH(47, 'Detalles movimientos'!$T$5:$T$1021, 0)), "")</f>
        <v/>
      </c>
      <c r="L59" s="18">
        <f>IFERROR(INDEX('Detalles movimientos'!P$5:P$1021, MATCH(47, 'Detalles movimientos'!$T$5:$T$1021, 0)), "")</f>
        <v/>
      </c>
      <c r="M59" s="18">
        <f>IFERROR(INDEX('Detalles movimientos'!S$5:S$1021, MATCH(47, 'Detalles movimientos'!$T$5:$T$1021, 0)), "")</f>
        <v/>
      </c>
    </row>
    <row r="60">
      <c r="B60" s="119">
        <f>IFERROR(INDEX('Detalles movimientos'!C$5:C$1021, MATCH(48, 'Detalles movimientos'!$T$5:$T$1021, 0)), "")</f>
        <v/>
      </c>
      <c r="C60" s="18">
        <f>IFERROR(INDEX('Detalles movimientos'!D$5:D$1021, MATCH(48, 'Detalles movimientos'!$T$5:$T$1021, 0)), "")</f>
        <v/>
      </c>
      <c r="D60" s="19">
        <f>IFERROR(INDEX('Detalles movimientos'!E$5:E$1021, MATCH(48, 'Detalles movimientos'!$T$5:$T$1021, 0)), "")</f>
        <v/>
      </c>
      <c r="E60" s="19">
        <f>IFERROR(INDEX('Detalles movimientos'!F$5:F$1021, MATCH(48, 'Detalles movimientos'!$T$5:$T$1021, 0)), "")</f>
        <v/>
      </c>
      <c r="F60" s="18">
        <f>IFERROR(INDEX('Detalles movimientos'!G$5:G$1021, MATCH(48, 'Detalles movimientos'!$T$5:$T$1021, 0)), "")</f>
        <v/>
      </c>
      <c r="G60" s="120">
        <f>IFERROR(INDEX('Detalles movimientos'!H$5:H$1021, MATCH(48, 'Detalles movimientos'!$T$5:$T$1021, 0)), "")</f>
        <v/>
      </c>
      <c r="H60" s="121">
        <f>IFERROR(INDEX('Detalles movimientos'!I$5:I$1021, MATCH(48, 'Detalles movimientos'!$T$5:$T$1021, 0)), "")</f>
        <v/>
      </c>
      <c r="I60" s="120">
        <f>IFERROR(INDEX('Detalles movimientos'!M$5:M$1021, MATCH(48, 'Detalles movimientos'!$T$5:$T$1021, 0)), "")</f>
        <v/>
      </c>
      <c r="J60" s="19">
        <f>IFERROR(INDEX('Detalles movimientos'!N$5:N$1021, MATCH(48, 'Detalles movimientos'!$T$5:$T$1021, 0)), "")</f>
        <v/>
      </c>
      <c r="K60" s="120">
        <f>IFERROR(INDEX('Detalles movimientos'!O$5:O$1021, MATCH(48, 'Detalles movimientos'!$T$5:$T$1021, 0)), "")</f>
        <v/>
      </c>
      <c r="L60" s="18">
        <f>IFERROR(INDEX('Detalles movimientos'!P$5:P$1021, MATCH(48, 'Detalles movimientos'!$T$5:$T$1021, 0)), "")</f>
        <v/>
      </c>
      <c r="M60" s="18">
        <f>IFERROR(INDEX('Detalles movimientos'!S$5:S$1021, MATCH(48, 'Detalles movimientos'!$T$5:$T$1021, 0)), "")</f>
        <v/>
      </c>
    </row>
    <row r="61">
      <c r="B61" s="119">
        <f>IFERROR(INDEX('Detalles movimientos'!C$5:C$1021, MATCH(49, 'Detalles movimientos'!$T$5:$T$1021, 0)), "")</f>
        <v/>
      </c>
      <c r="C61" s="18">
        <f>IFERROR(INDEX('Detalles movimientos'!D$5:D$1021, MATCH(49, 'Detalles movimientos'!$T$5:$T$1021, 0)), "")</f>
        <v/>
      </c>
      <c r="D61" s="19">
        <f>IFERROR(INDEX('Detalles movimientos'!E$5:E$1021, MATCH(49, 'Detalles movimientos'!$T$5:$T$1021, 0)), "")</f>
        <v/>
      </c>
      <c r="E61" s="19">
        <f>IFERROR(INDEX('Detalles movimientos'!F$5:F$1021, MATCH(49, 'Detalles movimientos'!$T$5:$T$1021, 0)), "")</f>
        <v/>
      </c>
      <c r="F61" s="18">
        <f>IFERROR(INDEX('Detalles movimientos'!G$5:G$1021, MATCH(49, 'Detalles movimientos'!$T$5:$T$1021, 0)), "")</f>
        <v/>
      </c>
      <c r="G61" s="120">
        <f>IFERROR(INDEX('Detalles movimientos'!H$5:H$1021, MATCH(49, 'Detalles movimientos'!$T$5:$T$1021, 0)), "")</f>
        <v/>
      </c>
      <c r="H61" s="121">
        <f>IFERROR(INDEX('Detalles movimientos'!I$5:I$1021, MATCH(49, 'Detalles movimientos'!$T$5:$T$1021, 0)), "")</f>
        <v/>
      </c>
      <c r="I61" s="120">
        <f>IFERROR(INDEX('Detalles movimientos'!M$5:M$1021, MATCH(49, 'Detalles movimientos'!$T$5:$T$1021, 0)), "")</f>
        <v/>
      </c>
      <c r="J61" s="19">
        <f>IFERROR(INDEX('Detalles movimientos'!N$5:N$1021, MATCH(49, 'Detalles movimientos'!$T$5:$T$1021, 0)), "")</f>
        <v/>
      </c>
      <c r="K61" s="120">
        <f>IFERROR(INDEX('Detalles movimientos'!O$5:O$1021, MATCH(49, 'Detalles movimientos'!$T$5:$T$1021, 0)), "")</f>
        <v/>
      </c>
      <c r="L61" s="18">
        <f>IFERROR(INDEX('Detalles movimientos'!P$5:P$1021, MATCH(49, 'Detalles movimientos'!$T$5:$T$1021, 0)), "")</f>
        <v/>
      </c>
      <c r="M61" s="18">
        <f>IFERROR(INDEX('Detalles movimientos'!S$5:S$1021, MATCH(49, 'Detalles movimientos'!$T$5:$T$1021, 0)), "")</f>
        <v/>
      </c>
    </row>
    <row r="62">
      <c r="B62" s="119">
        <f>IFERROR(INDEX('Detalles movimientos'!C$5:C$1021, MATCH(50, 'Detalles movimientos'!$T$5:$T$1021, 0)), "")</f>
        <v/>
      </c>
      <c r="C62" s="18">
        <f>IFERROR(INDEX('Detalles movimientos'!D$5:D$1021, MATCH(50, 'Detalles movimientos'!$T$5:$T$1021, 0)), "")</f>
        <v/>
      </c>
      <c r="D62" s="19">
        <f>IFERROR(INDEX('Detalles movimientos'!E$5:E$1021, MATCH(50, 'Detalles movimientos'!$T$5:$T$1021, 0)), "")</f>
        <v/>
      </c>
      <c r="E62" s="19">
        <f>IFERROR(INDEX('Detalles movimientos'!F$5:F$1021, MATCH(50, 'Detalles movimientos'!$T$5:$T$1021, 0)), "")</f>
        <v/>
      </c>
      <c r="F62" s="18">
        <f>IFERROR(INDEX('Detalles movimientos'!G$5:G$1021, MATCH(50, 'Detalles movimientos'!$T$5:$T$1021, 0)), "")</f>
        <v/>
      </c>
      <c r="G62" s="120">
        <f>IFERROR(INDEX('Detalles movimientos'!H$5:H$1021, MATCH(50, 'Detalles movimientos'!$T$5:$T$1021, 0)), "")</f>
        <v/>
      </c>
      <c r="H62" s="121">
        <f>IFERROR(INDEX('Detalles movimientos'!I$5:I$1021, MATCH(50, 'Detalles movimientos'!$T$5:$T$1021, 0)), "")</f>
        <v/>
      </c>
      <c r="I62" s="120">
        <f>IFERROR(INDEX('Detalles movimientos'!M$5:M$1021, MATCH(50, 'Detalles movimientos'!$T$5:$T$1021, 0)), "")</f>
        <v/>
      </c>
      <c r="J62" s="19">
        <f>IFERROR(INDEX('Detalles movimientos'!N$5:N$1021, MATCH(50, 'Detalles movimientos'!$T$5:$T$1021, 0)), "")</f>
        <v/>
      </c>
      <c r="K62" s="120">
        <f>IFERROR(INDEX('Detalles movimientos'!O$5:O$1021, MATCH(50, 'Detalles movimientos'!$T$5:$T$1021, 0)), "")</f>
        <v/>
      </c>
      <c r="L62" s="18">
        <f>IFERROR(INDEX('Detalles movimientos'!P$5:P$1021, MATCH(50, 'Detalles movimientos'!$T$5:$T$1021, 0)), "")</f>
        <v/>
      </c>
      <c r="M62" s="18">
        <f>IFERROR(INDEX('Detalles movimientos'!S$5:S$1021, MATCH(50, 'Detalles movimientos'!$T$5:$T$1021, 0)), "")</f>
        <v/>
      </c>
    </row>
    <row r="63">
      <c r="B63" s="119">
        <f>IFERROR(INDEX('Detalles movimientos'!C$5:C$1021, MATCH(51, 'Detalles movimientos'!$T$5:$T$1021, 0)), "")</f>
        <v/>
      </c>
      <c r="C63" s="18">
        <f>IFERROR(INDEX('Detalles movimientos'!D$5:D$1021, MATCH(51, 'Detalles movimientos'!$T$5:$T$1021, 0)), "")</f>
        <v/>
      </c>
      <c r="D63" s="19">
        <f>IFERROR(INDEX('Detalles movimientos'!E$5:E$1021, MATCH(51, 'Detalles movimientos'!$T$5:$T$1021, 0)), "")</f>
        <v/>
      </c>
      <c r="E63" s="19">
        <f>IFERROR(INDEX('Detalles movimientos'!F$5:F$1021, MATCH(51, 'Detalles movimientos'!$T$5:$T$1021, 0)), "")</f>
        <v/>
      </c>
      <c r="F63" s="18">
        <f>IFERROR(INDEX('Detalles movimientos'!G$5:G$1021, MATCH(51, 'Detalles movimientos'!$T$5:$T$1021, 0)), "")</f>
        <v/>
      </c>
      <c r="G63" s="120">
        <f>IFERROR(INDEX('Detalles movimientos'!H$5:H$1021, MATCH(51, 'Detalles movimientos'!$T$5:$T$1021, 0)), "")</f>
        <v/>
      </c>
      <c r="H63" s="121">
        <f>IFERROR(INDEX('Detalles movimientos'!I$5:I$1021, MATCH(51, 'Detalles movimientos'!$T$5:$T$1021, 0)), "")</f>
        <v/>
      </c>
      <c r="I63" s="120">
        <f>IFERROR(INDEX('Detalles movimientos'!M$5:M$1021, MATCH(51, 'Detalles movimientos'!$T$5:$T$1021, 0)), "")</f>
        <v/>
      </c>
      <c r="J63" s="19">
        <f>IFERROR(INDEX('Detalles movimientos'!N$5:N$1021, MATCH(51, 'Detalles movimientos'!$T$5:$T$1021, 0)), "")</f>
        <v/>
      </c>
      <c r="K63" s="120">
        <f>IFERROR(INDEX('Detalles movimientos'!O$5:O$1021, MATCH(51, 'Detalles movimientos'!$T$5:$T$1021, 0)), "")</f>
        <v/>
      </c>
      <c r="L63" s="18">
        <f>IFERROR(INDEX('Detalles movimientos'!P$5:P$1021, MATCH(51, 'Detalles movimientos'!$T$5:$T$1021, 0)), "")</f>
        <v/>
      </c>
      <c r="M63" s="18">
        <f>IFERROR(INDEX('Detalles movimientos'!S$5:S$1021, MATCH(51, 'Detalles movimientos'!$T$5:$T$1021, 0)), "")</f>
        <v/>
      </c>
    </row>
    <row r="64">
      <c r="B64" s="119">
        <f>IFERROR(INDEX('Detalles movimientos'!C$5:C$1021, MATCH(52, 'Detalles movimientos'!$T$5:$T$1021, 0)), "")</f>
        <v/>
      </c>
      <c r="C64" s="18">
        <f>IFERROR(INDEX('Detalles movimientos'!D$5:D$1021, MATCH(52, 'Detalles movimientos'!$T$5:$T$1021, 0)), "")</f>
        <v/>
      </c>
      <c r="D64" s="19">
        <f>IFERROR(INDEX('Detalles movimientos'!E$5:E$1021, MATCH(52, 'Detalles movimientos'!$T$5:$T$1021, 0)), "")</f>
        <v/>
      </c>
      <c r="E64" s="19">
        <f>IFERROR(INDEX('Detalles movimientos'!F$5:F$1021, MATCH(52, 'Detalles movimientos'!$T$5:$T$1021, 0)), "")</f>
        <v/>
      </c>
      <c r="F64" s="18">
        <f>IFERROR(INDEX('Detalles movimientos'!G$5:G$1021, MATCH(52, 'Detalles movimientos'!$T$5:$T$1021, 0)), "")</f>
        <v/>
      </c>
      <c r="G64" s="120">
        <f>IFERROR(INDEX('Detalles movimientos'!H$5:H$1021, MATCH(52, 'Detalles movimientos'!$T$5:$T$1021, 0)), "")</f>
        <v/>
      </c>
      <c r="H64" s="121">
        <f>IFERROR(INDEX('Detalles movimientos'!I$5:I$1021, MATCH(52, 'Detalles movimientos'!$T$5:$T$1021, 0)), "")</f>
        <v/>
      </c>
      <c r="I64" s="120">
        <f>IFERROR(INDEX('Detalles movimientos'!M$5:M$1021, MATCH(52, 'Detalles movimientos'!$T$5:$T$1021, 0)), "")</f>
        <v/>
      </c>
      <c r="J64" s="19">
        <f>IFERROR(INDEX('Detalles movimientos'!N$5:N$1021, MATCH(52, 'Detalles movimientos'!$T$5:$T$1021, 0)), "")</f>
        <v/>
      </c>
      <c r="K64" s="120">
        <f>IFERROR(INDEX('Detalles movimientos'!O$5:O$1021, MATCH(52, 'Detalles movimientos'!$T$5:$T$1021, 0)), "")</f>
        <v/>
      </c>
      <c r="L64" s="18">
        <f>IFERROR(INDEX('Detalles movimientos'!P$5:P$1021, MATCH(52, 'Detalles movimientos'!$T$5:$T$1021, 0)), "")</f>
        <v/>
      </c>
      <c r="M64" s="18">
        <f>IFERROR(INDEX('Detalles movimientos'!S$5:S$1021, MATCH(52, 'Detalles movimientos'!$T$5:$T$1021, 0)), "")</f>
        <v/>
      </c>
    </row>
    <row r="65">
      <c r="B65" s="119">
        <f>IFERROR(INDEX('Detalles movimientos'!C$5:C$1021, MATCH(53, 'Detalles movimientos'!$T$5:$T$1021, 0)), "")</f>
        <v/>
      </c>
      <c r="C65" s="18">
        <f>IFERROR(INDEX('Detalles movimientos'!D$5:D$1021, MATCH(53, 'Detalles movimientos'!$T$5:$T$1021, 0)), "")</f>
        <v/>
      </c>
      <c r="D65" s="19">
        <f>IFERROR(INDEX('Detalles movimientos'!E$5:E$1021, MATCH(53, 'Detalles movimientos'!$T$5:$T$1021, 0)), "")</f>
        <v/>
      </c>
      <c r="E65" s="19">
        <f>IFERROR(INDEX('Detalles movimientos'!F$5:F$1021, MATCH(53, 'Detalles movimientos'!$T$5:$T$1021, 0)), "")</f>
        <v/>
      </c>
      <c r="F65" s="18">
        <f>IFERROR(INDEX('Detalles movimientos'!G$5:G$1021, MATCH(53, 'Detalles movimientos'!$T$5:$T$1021, 0)), "")</f>
        <v/>
      </c>
      <c r="G65" s="120">
        <f>IFERROR(INDEX('Detalles movimientos'!H$5:H$1021, MATCH(53, 'Detalles movimientos'!$T$5:$T$1021, 0)), "")</f>
        <v/>
      </c>
      <c r="H65" s="121">
        <f>IFERROR(INDEX('Detalles movimientos'!I$5:I$1021, MATCH(53, 'Detalles movimientos'!$T$5:$T$1021, 0)), "")</f>
        <v/>
      </c>
      <c r="I65" s="120">
        <f>IFERROR(INDEX('Detalles movimientos'!M$5:M$1021, MATCH(53, 'Detalles movimientos'!$T$5:$T$1021, 0)), "")</f>
        <v/>
      </c>
      <c r="J65" s="19">
        <f>IFERROR(INDEX('Detalles movimientos'!N$5:N$1021, MATCH(53, 'Detalles movimientos'!$T$5:$T$1021, 0)), "")</f>
        <v/>
      </c>
      <c r="K65" s="120">
        <f>IFERROR(INDEX('Detalles movimientos'!O$5:O$1021, MATCH(53, 'Detalles movimientos'!$T$5:$T$1021, 0)), "")</f>
        <v/>
      </c>
      <c r="L65" s="18">
        <f>IFERROR(INDEX('Detalles movimientos'!P$5:P$1021, MATCH(53, 'Detalles movimientos'!$T$5:$T$1021, 0)), "")</f>
        <v/>
      </c>
      <c r="M65" s="18">
        <f>IFERROR(INDEX('Detalles movimientos'!S$5:S$1021, MATCH(53, 'Detalles movimientos'!$T$5:$T$1021, 0)), "")</f>
        <v/>
      </c>
    </row>
    <row r="66">
      <c r="B66" s="119">
        <f>IFERROR(INDEX('Detalles movimientos'!C$5:C$1021, MATCH(54, 'Detalles movimientos'!$T$5:$T$1021, 0)), "")</f>
        <v/>
      </c>
      <c r="C66" s="18">
        <f>IFERROR(INDEX('Detalles movimientos'!D$5:D$1021, MATCH(54, 'Detalles movimientos'!$T$5:$T$1021, 0)), "")</f>
        <v/>
      </c>
      <c r="D66" s="19">
        <f>IFERROR(INDEX('Detalles movimientos'!E$5:E$1021, MATCH(54, 'Detalles movimientos'!$T$5:$T$1021, 0)), "")</f>
        <v/>
      </c>
      <c r="E66" s="19">
        <f>IFERROR(INDEX('Detalles movimientos'!F$5:F$1021, MATCH(54, 'Detalles movimientos'!$T$5:$T$1021, 0)), "")</f>
        <v/>
      </c>
      <c r="F66" s="18">
        <f>IFERROR(INDEX('Detalles movimientos'!G$5:G$1021, MATCH(54, 'Detalles movimientos'!$T$5:$T$1021, 0)), "")</f>
        <v/>
      </c>
      <c r="G66" s="120">
        <f>IFERROR(INDEX('Detalles movimientos'!H$5:H$1021, MATCH(54, 'Detalles movimientos'!$T$5:$T$1021, 0)), "")</f>
        <v/>
      </c>
      <c r="H66" s="121">
        <f>IFERROR(INDEX('Detalles movimientos'!I$5:I$1021, MATCH(54, 'Detalles movimientos'!$T$5:$T$1021, 0)), "")</f>
        <v/>
      </c>
      <c r="I66" s="120">
        <f>IFERROR(INDEX('Detalles movimientos'!M$5:M$1021, MATCH(54, 'Detalles movimientos'!$T$5:$T$1021, 0)), "")</f>
        <v/>
      </c>
      <c r="J66" s="19">
        <f>IFERROR(INDEX('Detalles movimientos'!N$5:N$1021, MATCH(54, 'Detalles movimientos'!$T$5:$T$1021, 0)), "")</f>
        <v/>
      </c>
      <c r="K66" s="120">
        <f>IFERROR(INDEX('Detalles movimientos'!O$5:O$1021, MATCH(54, 'Detalles movimientos'!$T$5:$T$1021, 0)), "")</f>
        <v/>
      </c>
      <c r="L66" s="18">
        <f>IFERROR(INDEX('Detalles movimientos'!P$5:P$1021, MATCH(54, 'Detalles movimientos'!$T$5:$T$1021, 0)), "")</f>
        <v/>
      </c>
      <c r="M66" s="18">
        <f>IFERROR(INDEX('Detalles movimientos'!S$5:S$1021, MATCH(54, 'Detalles movimientos'!$T$5:$T$1021, 0)), "")</f>
        <v/>
      </c>
    </row>
    <row r="67">
      <c r="B67" s="119">
        <f>IFERROR(INDEX('Detalles movimientos'!C$5:C$1021, MATCH(55, 'Detalles movimientos'!$T$5:$T$1021, 0)), "")</f>
        <v/>
      </c>
      <c r="C67" s="18">
        <f>IFERROR(INDEX('Detalles movimientos'!D$5:D$1021, MATCH(55, 'Detalles movimientos'!$T$5:$T$1021, 0)), "")</f>
        <v/>
      </c>
      <c r="D67" s="19">
        <f>IFERROR(INDEX('Detalles movimientos'!E$5:E$1021, MATCH(55, 'Detalles movimientos'!$T$5:$T$1021, 0)), "")</f>
        <v/>
      </c>
      <c r="E67" s="19">
        <f>IFERROR(INDEX('Detalles movimientos'!F$5:F$1021, MATCH(55, 'Detalles movimientos'!$T$5:$T$1021, 0)), "")</f>
        <v/>
      </c>
      <c r="F67" s="18">
        <f>IFERROR(INDEX('Detalles movimientos'!G$5:G$1021, MATCH(55, 'Detalles movimientos'!$T$5:$T$1021, 0)), "")</f>
        <v/>
      </c>
      <c r="G67" s="120">
        <f>IFERROR(INDEX('Detalles movimientos'!H$5:H$1021, MATCH(55, 'Detalles movimientos'!$T$5:$T$1021, 0)), "")</f>
        <v/>
      </c>
      <c r="H67" s="121">
        <f>IFERROR(INDEX('Detalles movimientos'!I$5:I$1021, MATCH(55, 'Detalles movimientos'!$T$5:$T$1021, 0)), "")</f>
        <v/>
      </c>
      <c r="I67" s="120">
        <f>IFERROR(INDEX('Detalles movimientos'!M$5:M$1021, MATCH(55, 'Detalles movimientos'!$T$5:$T$1021, 0)), "")</f>
        <v/>
      </c>
      <c r="J67" s="19">
        <f>IFERROR(INDEX('Detalles movimientos'!N$5:N$1021, MATCH(55, 'Detalles movimientos'!$T$5:$T$1021, 0)), "")</f>
        <v/>
      </c>
      <c r="K67" s="120">
        <f>IFERROR(INDEX('Detalles movimientos'!O$5:O$1021, MATCH(55, 'Detalles movimientos'!$T$5:$T$1021, 0)), "")</f>
        <v/>
      </c>
      <c r="L67" s="18">
        <f>IFERROR(INDEX('Detalles movimientos'!P$5:P$1021, MATCH(55, 'Detalles movimientos'!$T$5:$T$1021, 0)), "")</f>
        <v/>
      </c>
      <c r="M67" s="18">
        <f>IFERROR(INDEX('Detalles movimientos'!S$5:S$1021, MATCH(55, 'Detalles movimientos'!$T$5:$T$1021, 0)), "")</f>
        <v/>
      </c>
    </row>
    <row r="68">
      <c r="B68" s="119">
        <f>IFERROR(INDEX('Detalles movimientos'!C$5:C$1021, MATCH(56, 'Detalles movimientos'!$T$5:$T$1021, 0)), "")</f>
        <v/>
      </c>
      <c r="C68" s="18">
        <f>IFERROR(INDEX('Detalles movimientos'!D$5:D$1021, MATCH(56, 'Detalles movimientos'!$T$5:$T$1021, 0)), "")</f>
        <v/>
      </c>
      <c r="D68" s="19">
        <f>IFERROR(INDEX('Detalles movimientos'!E$5:E$1021, MATCH(56, 'Detalles movimientos'!$T$5:$T$1021, 0)), "")</f>
        <v/>
      </c>
      <c r="E68" s="19">
        <f>IFERROR(INDEX('Detalles movimientos'!F$5:F$1021, MATCH(56, 'Detalles movimientos'!$T$5:$T$1021, 0)), "")</f>
        <v/>
      </c>
      <c r="F68" s="18">
        <f>IFERROR(INDEX('Detalles movimientos'!G$5:G$1021, MATCH(56, 'Detalles movimientos'!$T$5:$T$1021, 0)), "")</f>
        <v/>
      </c>
      <c r="G68" s="120">
        <f>IFERROR(INDEX('Detalles movimientos'!H$5:H$1021, MATCH(56, 'Detalles movimientos'!$T$5:$T$1021, 0)), "")</f>
        <v/>
      </c>
      <c r="H68" s="121">
        <f>IFERROR(INDEX('Detalles movimientos'!I$5:I$1021, MATCH(56, 'Detalles movimientos'!$T$5:$T$1021, 0)), "")</f>
        <v/>
      </c>
      <c r="I68" s="120">
        <f>IFERROR(INDEX('Detalles movimientos'!M$5:M$1021, MATCH(56, 'Detalles movimientos'!$T$5:$T$1021, 0)), "")</f>
        <v/>
      </c>
      <c r="J68" s="19">
        <f>IFERROR(INDEX('Detalles movimientos'!N$5:N$1021, MATCH(56, 'Detalles movimientos'!$T$5:$T$1021, 0)), "")</f>
        <v/>
      </c>
      <c r="K68" s="120">
        <f>IFERROR(INDEX('Detalles movimientos'!O$5:O$1021, MATCH(56, 'Detalles movimientos'!$T$5:$T$1021, 0)), "")</f>
        <v/>
      </c>
      <c r="L68" s="18">
        <f>IFERROR(INDEX('Detalles movimientos'!P$5:P$1021, MATCH(56, 'Detalles movimientos'!$T$5:$T$1021, 0)), "")</f>
        <v/>
      </c>
      <c r="M68" s="18">
        <f>IFERROR(INDEX('Detalles movimientos'!S$5:S$1021, MATCH(56, 'Detalles movimientos'!$T$5:$T$1021, 0)), "")</f>
        <v/>
      </c>
    </row>
    <row r="69">
      <c r="B69" s="119">
        <f>IFERROR(INDEX('Detalles movimientos'!C$5:C$1021, MATCH(57, 'Detalles movimientos'!$T$5:$T$1021, 0)), "")</f>
        <v/>
      </c>
      <c r="C69" s="18">
        <f>IFERROR(INDEX('Detalles movimientos'!D$5:D$1021, MATCH(57, 'Detalles movimientos'!$T$5:$T$1021, 0)), "")</f>
        <v/>
      </c>
      <c r="D69" s="19">
        <f>IFERROR(INDEX('Detalles movimientos'!E$5:E$1021, MATCH(57, 'Detalles movimientos'!$T$5:$T$1021, 0)), "")</f>
        <v/>
      </c>
      <c r="E69" s="19">
        <f>IFERROR(INDEX('Detalles movimientos'!F$5:F$1021, MATCH(57, 'Detalles movimientos'!$T$5:$T$1021, 0)), "")</f>
        <v/>
      </c>
      <c r="F69" s="18">
        <f>IFERROR(INDEX('Detalles movimientos'!G$5:G$1021, MATCH(57, 'Detalles movimientos'!$T$5:$T$1021, 0)), "")</f>
        <v/>
      </c>
      <c r="G69" s="120">
        <f>IFERROR(INDEX('Detalles movimientos'!H$5:H$1021, MATCH(57, 'Detalles movimientos'!$T$5:$T$1021, 0)), "")</f>
        <v/>
      </c>
      <c r="H69" s="121">
        <f>IFERROR(INDEX('Detalles movimientos'!I$5:I$1021, MATCH(57, 'Detalles movimientos'!$T$5:$T$1021, 0)), "")</f>
        <v/>
      </c>
      <c r="I69" s="120">
        <f>IFERROR(INDEX('Detalles movimientos'!M$5:M$1021, MATCH(57, 'Detalles movimientos'!$T$5:$T$1021, 0)), "")</f>
        <v/>
      </c>
      <c r="J69" s="19">
        <f>IFERROR(INDEX('Detalles movimientos'!N$5:N$1021, MATCH(57, 'Detalles movimientos'!$T$5:$T$1021, 0)), "")</f>
        <v/>
      </c>
      <c r="K69" s="120">
        <f>IFERROR(INDEX('Detalles movimientos'!O$5:O$1021, MATCH(57, 'Detalles movimientos'!$T$5:$T$1021, 0)), "")</f>
        <v/>
      </c>
      <c r="L69" s="18">
        <f>IFERROR(INDEX('Detalles movimientos'!P$5:P$1021, MATCH(57, 'Detalles movimientos'!$T$5:$T$1021, 0)), "")</f>
        <v/>
      </c>
      <c r="M69" s="18">
        <f>IFERROR(INDEX('Detalles movimientos'!S$5:S$1021, MATCH(57, 'Detalles movimientos'!$T$5:$T$1021, 0)), "")</f>
        <v/>
      </c>
    </row>
    <row r="70">
      <c r="B70" s="119">
        <f>IFERROR(INDEX('Detalles movimientos'!C$5:C$1021, MATCH(58, 'Detalles movimientos'!$T$5:$T$1021, 0)), "")</f>
        <v/>
      </c>
      <c r="C70" s="18">
        <f>IFERROR(INDEX('Detalles movimientos'!D$5:D$1021, MATCH(58, 'Detalles movimientos'!$T$5:$T$1021, 0)), "")</f>
        <v/>
      </c>
      <c r="D70" s="19">
        <f>IFERROR(INDEX('Detalles movimientos'!E$5:E$1021, MATCH(58, 'Detalles movimientos'!$T$5:$T$1021, 0)), "")</f>
        <v/>
      </c>
      <c r="E70" s="19">
        <f>IFERROR(INDEX('Detalles movimientos'!F$5:F$1021, MATCH(58, 'Detalles movimientos'!$T$5:$T$1021, 0)), "")</f>
        <v/>
      </c>
      <c r="F70" s="18">
        <f>IFERROR(INDEX('Detalles movimientos'!G$5:G$1021, MATCH(58, 'Detalles movimientos'!$T$5:$T$1021, 0)), "")</f>
        <v/>
      </c>
      <c r="G70" s="120">
        <f>IFERROR(INDEX('Detalles movimientos'!H$5:H$1021, MATCH(58, 'Detalles movimientos'!$T$5:$T$1021, 0)), "")</f>
        <v/>
      </c>
      <c r="H70" s="121">
        <f>IFERROR(INDEX('Detalles movimientos'!I$5:I$1021, MATCH(58, 'Detalles movimientos'!$T$5:$T$1021, 0)), "")</f>
        <v/>
      </c>
      <c r="I70" s="120">
        <f>IFERROR(INDEX('Detalles movimientos'!M$5:M$1021, MATCH(58, 'Detalles movimientos'!$T$5:$T$1021, 0)), "")</f>
        <v/>
      </c>
      <c r="J70" s="19">
        <f>IFERROR(INDEX('Detalles movimientos'!N$5:N$1021, MATCH(58, 'Detalles movimientos'!$T$5:$T$1021, 0)), "")</f>
        <v/>
      </c>
      <c r="K70" s="120">
        <f>IFERROR(INDEX('Detalles movimientos'!O$5:O$1021, MATCH(58, 'Detalles movimientos'!$T$5:$T$1021, 0)), "")</f>
        <v/>
      </c>
      <c r="L70" s="18">
        <f>IFERROR(INDEX('Detalles movimientos'!P$5:P$1021, MATCH(58, 'Detalles movimientos'!$T$5:$T$1021, 0)), "")</f>
        <v/>
      </c>
      <c r="M70" s="18">
        <f>IFERROR(INDEX('Detalles movimientos'!S$5:S$1021, MATCH(58, 'Detalles movimientos'!$T$5:$T$1021, 0)), "")</f>
        <v/>
      </c>
    </row>
    <row r="71">
      <c r="B71" s="119">
        <f>IFERROR(INDEX('Detalles movimientos'!C$5:C$1021, MATCH(59, 'Detalles movimientos'!$T$5:$T$1021, 0)), "")</f>
        <v/>
      </c>
      <c r="C71" s="18">
        <f>IFERROR(INDEX('Detalles movimientos'!D$5:D$1021, MATCH(59, 'Detalles movimientos'!$T$5:$T$1021, 0)), "")</f>
        <v/>
      </c>
      <c r="D71" s="19">
        <f>IFERROR(INDEX('Detalles movimientos'!E$5:E$1021, MATCH(59, 'Detalles movimientos'!$T$5:$T$1021, 0)), "")</f>
        <v/>
      </c>
      <c r="E71" s="19">
        <f>IFERROR(INDEX('Detalles movimientos'!F$5:F$1021, MATCH(59, 'Detalles movimientos'!$T$5:$T$1021, 0)), "")</f>
        <v/>
      </c>
      <c r="F71" s="18">
        <f>IFERROR(INDEX('Detalles movimientos'!G$5:G$1021, MATCH(59, 'Detalles movimientos'!$T$5:$T$1021, 0)), "")</f>
        <v/>
      </c>
      <c r="G71" s="120">
        <f>IFERROR(INDEX('Detalles movimientos'!H$5:H$1021, MATCH(59, 'Detalles movimientos'!$T$5:$T$1021, 0)), "")</f>
        <v/>
      </c>
      <c r="H71" s="121">
        <f>IFERROR(INDEX('Detalles movimientos'!I$5:I$1021, MATCH(59, 'Detalles movimientos'!$T$5:$T$1021, 0)), "")</f>
        <v/>
      </c>
      <c r="I71" s="120">
        <f>IFERROR(INDEX('Detalles movimientos'!M$5:M$1021, MATCH(59, 'Detalles movimientos'!$T$5:$T$1021, 0)), "")</f>
        <v/>
      </c>
      <c r="J71" s="19">
        <f>IFERROR(INDEX('Detalles movimientos'!N$5:N$1021, MATCH(59, 'Detalles movimientos'!$T$5:$T$1021, 0)), "")</f>
        <v/>
      </c>
      <c r="K71" s="120">
        <f>IFERROR(INDEX('Detalles movimientos'!O$5:O$1021, MATCH(59, 'Detalles movimientos'!$T$5:$T$1021, 0)), "")</f>
        <v/>
      </c>
      <c r="L71" s="18">
        <f>IFERROR(INDEX('Detalles movimientos'!P$5:P$1021, MATCH(59, 'Detalles movimientos'!$T$5:$T$1021, 0)), "")</f>
        <v/>
      </c>
      <c r="M71" s="18">
        <f>IFERROR(INDEX('Detalles movimientos'!S$5:S$1021, MATCH(59, 'Detalles movimientos'!$T$5:$T$1021, 0)), "")</f>
        <v/>
      </c>
    </row>
    <row r="72">
      <c r="B72" s="119">
        <f>IFERROR(INDEX('Detalles movimientos'!C$5:C$1021, MATCH(60, 'Detalles movimientos'!$T$5:$T$1021, 0)), "")</f>
        <v/>
      </c>
      <c r="C72" s="18">
        <f>IFERROR(INDEX('Detalles movimientos'!D$5:D$1021, MATCH(60, 'Detalles movimientos'!$T$5:$T$1021, 0)), "")</f>
        <v/>
      </c>
      <c r="D72" s="19">
        <f>IFERROR(INDEX('Detalles movimientos'!E$5:E$1021, MATCH(60, 'Detalles movimientos'!$T$5:$T$1021, 0)), "")</f>
        <v/>
      </c>
      <c r="E72" s="19">
        <f>IFERROR(INDEX('Detalles movimientos'!F$5:F$1021, MATCH(60, 'Detalles movimientos'!$T$5:$T$1021, 0)), "")</f>
        <v/>
      </c>
      <c r="F72" s="18">
        <f>IFERROR(INDEX('Detalles movimientos'!G$5:G$1021, MATCH(60, 'Detalles movimientos'!$T$5:$T$1021, 0)), "")</f>
        <v/>
      </c>
      <c r="G72" s="120">
        <f>IFERROR(INDEX('Detalles movimientos'!H$5:H$1021, MATCH(60, 'Detalles movimientos'!$T$5:$T$1021, 0)), "")</f>
        <v/>
      </c>
      <c r="H72" s="121">
        <f>IFERROR(INDEX('Detalles movimientos'!I$5:I$1021, MATCH(60, 'Detalles movimientos'!$T$5:$T$1021, 0)), "")</f>
        <v/>
      </c>
      <c r="I72" s="120">
        <f>IFERROR(INDEX('Detalles movimientos'!M$5:M$1021, MATCH(60, 'Detalles movimientos'!$T$5:$T$1021, 0)), "")</f>
        <v/>
      </c>
      <c r="J72" s="19">
        <f>IFERROR(INDEX('Detalles movimientos'!N$5:N$1021, MATCH(60, 'Detalles movimientos'!$T$5:$T$1021, 0)), "")</f>
        <v/>
      </c>
      <c r="K72" s="120">
        <f>IFERROR(INDEX('Detalles movimientos'!O$5:O$1021, MATCH(60, 'Detalles movimientos'!$T$5:$T$1021, 0)), "")</f>
        <v/>
      </c>
      <c r="L72" s="18">
        <f>IFERROR(INDEX('Detalles movimientos'!P$5:P$1021, MATCH(60, 'Detalles movimientos'!$T$5:$T$1021, 0)), "")</f>
        <v/>
      </c>
      <c r="M72" s="18">
        <f>IFERROR(INDEX('Detalles movimientos'!S$5:S$1021, MATCH(60, 'Detalles movimientos'!$T$5:$T$1021, 0)), "")</f>
        <v/>
      </c>
    </row>
    <row r="73">
      <c r="B73" s="119">
        <f>IFERROR(INDEX('Detalles movimientos'!C$5:C$1021, MATCH(61, 'Detalles movimientos'!$T$5:$T$1021, 0)), "")</f>
        <v/>
      </c>
      <c r="C73" s="18">
        <f>IFERROR(INDEX('Detalles movimientos'!D$5:D$1021, MATCH(61, 'Detalles movimientos'!$T$5:$T$1021, 0)), "")</f>
        <v/>
      </c>
      <c r="D73" s="19">
        <f>IFERROR(INDEX('Detalles movimientos'!E$5:E$1021, MATCH(61, 'Detalles movimientos'!$T$5:$T$1021, 0)), "")</f>
        <v/>
      </c>
      <c r="E73" s="19">
        <f>IFERROR(INDEX('Detalles movimientos'!F$5:F$1021, MATCH(61, 'Detalles movimientos'!$T$5:$T$1021, 0)), "")</f>
        <v/>
      </c>
      <c r="F73" s="18">
        <f>IFERROR(INDEX('Detalles movimientos'!G$5:G$1021, MATCH(61, 'Detalles movimientos'!$T$5:$T$1021, 0)), "")</f>
        <v/>
      </c>
      <c r="G73" s="120">
        <f>IFERROR(INDEX('Detalles movimientos'!H$5:H$1021, MATCH(61, 'Detalles movimientos'!$T$5:$T$1021, 0)), "")</f>
        <v/>
      </c>
      <c r="H73" s="121">
        <f>IFERROR(INDEX('Detalles movimientos'!I$5:I$1021, MATCH(61, 'Detalles movimientos'!$T$5:$T$1021, 0)), "")</f>
        <v/>
      </c>
      <c r="I73" s="120">
        <f>IFERROR(INDEX('Detalles movimientos'!M$5:M$1021, MATCH(61, 'Detalles movimientos'!$T$5:$T$1021, 0)), "")</f>
        <v/>
      </c>
      <c r="J73" s="19">
        <f>IFERROR(INDEX('Detalles movimientos'!N$5:N$1021, MATCH(61, 'Detalles movimientos'!$T$5:$T$1021, 0)), "")</f>
        <v/>
      </c>
      <c r="K73" s="120">
        <f>IFERROR(INDEX('Detalles movimientos'!O$5:O$1021, MATCH(61, 'Detalles movimientos'!$T$5:$T$1021, 0)), "")</f>
        <v/>
      </c>
      <c r="L73" s="18">
        <f>IFERROR(INDEX('Detalles movimientos'!P$5:P$1021, MATCH(61, 'Detalles movimientos'!$T$5:$T$1021, 0)), "")</f>
        <v/>
      </c>
      <c r="M73" s="18">
        <f>IFERROR(INDEX('Detalles movimientos'!S$5:S$1021, MATCH(61, 'Detalles movimientos'!$T$5:$T$1021, 0)), "")</f>
        <v/>
      </c>
    </row>
    <row r="74">
      <c r="B74" s="119">
        <f>IFERROR(INDEX('Detalles movimientos'!C$5:C$1021, MATCH(62, 'Detalles movimientos'!$T$5:$T$1021, 0)), "")</f>
        <v/>
      </c>
      <c r="C74" s="18">
        <f>IFERROR(INDEX('Detalles movimientos'!D$5:D$1021, MATCH(62, 'Detalles movimientos'!$T$5:$T$1021, 0)), "")</f>
        <v/>
      </c>
      <c r="D74" s="19">
        <f>IFERROR(INDEX('Detalles movimientos'!E$5:E$1021, MATCH(62, 'Detalles movimientos'!$T$5:$T$1021, 0)), "")</f>
        <v/>
      </c>
      <c r="E74" s="19">
        <f>IFERROR(INDEX('Detalles movimientos'!F$5:F$1021, MATCH(62, 'Detalles movimientos'!$T$5:$T$1021, 0)), "")</f>
        <v/>
      </c>
      <c r="F74" s="18">
        <f>IFERROR(INDEX('Detalles movimientos'!G$5:G$1021, MATCH(62, 'Detalles movimientos'!$T$5:$T$1021, 0)), "")</f>
        <v/>
      </c>
      <c r="G74" s="120">
        <f>IFERROR(INDEX('Detalles movimientos'!H$5:H$1021, MATCH(62, 'Detalles movimientos'!$T$5:$T$1021, 0)), "")</f>
        <v/>
      </c>
      <c r="H74" s="121">
        <f>IFERROR(INDEX('Detalles movimientos'!I$5:I$1021, MATCH(62, 'Detalles movimientos'!$T$5:$T$1021, 0)), "")</f>
        <v/>
      </c>
      <c r="I74" s="120">
        <f>IFERROR(INDEX('Detalles movimientos'!M$5:M$1021, MATCH(62, 'Detalles movimientos'!$T$5:$T$1021, 0)), "")</f>
        <v/>
      </c>
      <c r="J74" s="19">
        <f>IFERROR(INDEX('Detalles movimientos'!N$5:N$1021, MATCH(62, 'Detalles movimientos'!$T$5:$T$1021, 0)), "")</f>
        <v/>
      </c>
      <c r="K74" s="120">
        <f>IFERROR(INDEX('Detalles movimientos'!O$5:O$1021, MATCH(62, 'Detalles movimientos'!$T$5:$T$1021, 0)), "")</f>
        <v/>
      </c>
      <c r="L74" s="18">
        <f>IFERROR(INDEX('Detalles movimientos'!P$5:P$1021, MATCH(62, 'Detalles movimientos'!$T$5:$T$1021, 0)), "")</f>
        <v/>
      </c>
      <c r="M74" s="18">
        <f>IFERROR(INDEX('Detalles movimientos'!S$5:S$1021, MATCH(62, 'Detalles movimientos'!$T$5:$T$1021, 0)), "")</f>
        <v/>
      </c>
    </row>
    <row r="75">
      <c r="B75" s="119">
        <f>IFERROR(INDEX('Detalles movimientos'!C$5:C$1021, MATCH(63, 'Detalles movimientos'!$T$5:$T$1021, 0)), "")</f>
        <v/>
      </c>
      <c r="C75" s="18">
        <f>IFERROR(INDEX('Detalles movimientos'!D$5:D$1021, MATCH(63, 'Detalles movimientos'!$T$5:$T$1021, 0)), "")</f>
        <v/>
      </c>
      <c r="D75" s="19">
        <f>IFERROR(INDEX('Detalles movimientos'!E$5:E$1021, MATCH(63, 'Detalles movimientos'!$T$5:$T$1021, 0)), "")</f>
        <v/>
      </c>
      <c r="E75" s="19">
        <f>IFERROR(INDEX('Detalles movimientos'!F$5:F$1021, MATCH(63, 'Detalles movimientos'!$T$5:$T$1021, 0)), "")</f>
        <v/>
      </c>
      <c r="F75" s="18">
        <f>IFERROR(INDEX('Detalles movimientos'!G$5:G$1021, MATCH(63, 'Detalles movimientos'!$T$5:$T$1021, 0)), "")</f>
        <v/>
      </c>
      <c r="G75" s="120">
        <f>IFERROR(INDEX('Detalles movimientos'!H$5:H$1021, MATCH(63, 'Detalles movimientos'!$T$5:$T$1021, 0)), "")</f>
        <v/>
      </c>
      <c r="H75" s="121">
        <f>IFERROR(INDEX('Detalles movimientos'!I$5:I$1021, MATCH(63, 'Detalles movimientos'!$T$5:$T$1021, 0)), "")</f>
        <v/>
      </c>
      <c r="I75" s="120">
        <f>IFERROR(INDEX('Detalles movimientos'!M$5:M$1021, MATCH(63, 'Detalles movimientos'!$T$5:$T$1021, 0)), "")</f>
        <v/>
      </c>
      <c r="J75" s="19">
        <f>IFERROR(INDEX('Detalles movimientos'!N$5:N$1021, MATCH(63, 'Detalles movimientos'!$T$5:$T$1021, 0)), "")</f>
        <v/>
      </c>
      <c r="K75" s="120">
        <f>IFERROR(INDEX('Detalles movimientos'!O$5:O$1021, MATCH(63, 'Detalles movimientos'!$T$5:$T$1021, 0)), "")</f>
        <v/>
      </c>
      <c r="L75" s="18">
        <f>IFERROR(INDEX('Detalles movimientos'!P$5:P$1021, MATCH(63, 'Detalles movimientos'!$T$5:$T$1021, 0)), "")</f>
        <v/>
      </c>
      <c r="M75" s="18">
        <f>IFERROR(INDEX('Detalles movimientos'!S$5:S$1021, MATCH(63, 'Detalles movimientos'!$T$5:$T$1021, 0)), "")</f>
        <v/>
      </c>
    </row>
    <row r="76">
      <c r="B76" s="119">
        <f>IFERROR(INDEX('Detalles movimientos'!C$5:C$1021, MATCH(64, 'Detalles movimientos'!$T$5:$T$1021, 0)), "")</f>
        <v/>
      </c>
      <c r="C76" s="18">
        <f>IFERROR(INDEX('Detalles movimientos'!D$5:D$1021, MATCH(64, 'Detalles movimientos'!$T$5:$T$1021, 0)), "")</f>
        <v/>
      </c>
      <c r="D76" s="19">
        <f>IFERROR(INDEX('Detalles movimientos'!E$5:E$1021, MATCH(64, 'Detalles movimientos'!$T$5:$T$1021, 0)), "")</f>
        <v/>
      </c>
      <c r="E76" s="19">
        <f>IFERROR(INDEX('Detalles movimientos'!F$5:F$1021, MATCH(64, 'Detalles movimientos'!$T$5:$T$1021, 0)), "")</f>
        <v/>
      </c>
      <c r="F76" s="18">
        <f>IFERROR(INDEX('Detalles movimientos'!G$5:G$1021, MATCH(64, 'Detalles movimientos'!$T$5:$T$1021, 0)), "")</f>
        <v/>
      </c>
      <c r="G76" s="120">
        <f>IFERROR(INDEX('Detalles movimientos'!H$5:H$1021, MATCH(64, 'Detalles movimientos'!$T$5:$T$1021, 0)), "")</f>
        <v/>
      </c>
      <c r="H76" s="121">
        <f>IFERROR(INDEX('Detalles movimientos'!I$5:I$1021, MATCH(64, 'Detalles movimientos'!$T$5:$T$1021, 0)), "")</f>
        <v/>
      </c>
      <c r="I76" s="120">
        <f>IFERROR(INDEX('Detalles movimientos'!M$5:M$1021, MATCH(64, 'Detalles movimientos'!$T$5:$T$1021, 0)), "")</f>
        <v/>
      </c>
      <c r="J76" s="19">
        <f>IFERROR(INDEX('Detalles movimientos'!N$5:N$1021, MATCH(64, 'Detalles movimientos'!$T$5:$T$1021, 0)), "")</f>
        <v/>
      </c>
      <c r="K76" s="120">
        <f>IFERROR(INDEX('Detalles movimientos'!O$5:O$1021, MATCH(64, 'Detalles movimientos'!$T$5:$T$1021, 0)), "")</f>
        <v/>
      </c>
      <c r="L76" s="18">
        <f>IFERROR(INDEX('Detalles movimientos'!P$5:P$1021, MATCH(64, 'Detalles movimientos'!$T$5:$T$1021, 0)), "")</f>
        <v/>
      </c>
      <c r="M76" s="18">
        <f>IFERROR(INDEX('Detalles movimientos'!S$5:S$1021, MATCH(64, 'Detalles movimientos'!$T$5:$T$1021, 0)), "")</f>
        <v/>
      </c>
    </row>
    <row r="77">
      <c r="B77" s="119">
        <f>IFERROR(INDEX('Detalles movimientos'!C$5:C$1021, MATCH(65, 'Detalles movimientos'!$T$5:$T$1021, 0)), "")</f>
        <v/>
      </c>
      <c r="C77" s="18">
        <f>IFERROR(INDEX('Detalles movimientos'!D$5:D$1021, MATCH(65, 'Detalles movimientos'!$T$5:$T$1021, 0)), "")</f>
        <v/>
      </c>
      <c r="D77" s="19">
        <f>IFERROR(INDEX('Detalles movimientos'!E$5:E$1021, MATCH(65, 'Detalles movimientos'!$T$5:$T$1021, 0)), "")</f>
        <v/>
      </c>
      <c r="E77" s="19">
        <f>IFERROR(INDEX('Detalles movimientos'!F$5:F$1021, MATCH(65, 'Detalles movimientos'!$T$5:$T$1021, 0)), "")</f>
        <v/>
      </c>
      <c r="F77" s="18">
        <f>IFERROR(INDEX('Detalles movimientos'!G$5:G$1021, MATCH(65, 'Detalles movimientos'!$T$5:$T$1021, 0)), "")</f>
        <v/>
      </c>
      <c r="G77" s="120">
        <f>IFERROR(INDEX('Detalles movimientos'!H$5:H$1021, MATCH(65, 'Detalles movimientos'!$T$5:$T$1021, 0)), "")</f>
        <v/>
      </c>
      <c r="H77" s="121">
        <f>IFERROR(INDEX('Detalles movimientos'!I$5:I$1021, MATCH(65, 'Detalles movimientos'!$T$5:$T$1021, 0)), "")</f>
        <v/>
      </c>
      <c r="I77" s="120">
        <f>IFERROR(INDEX('Detalles movimientos'!M$5:M$1021, MATCH(65, 'Detalles movimientos'!$T$5:$T$1021, 0)), "")</f>
        <v/>
      </c>
      <c r="J77" s="19">
        <f>IFERROR(INDEX('Detalles movimientos'!N$5:N$1021, MATCH(65, 'Detalles movimientos'!$T$5:$T$1021, 0)), "")</f>
        <v/>
      </c>
      <c r="K77" s="120">
        <f>IFERROR(INDEX('Detalles movimientos'!O$5:O$1021, MATCH(65, 'Detalles movimientos'!$T$5:$T$1021, 0)), "")</f>
        <v/>
      </c>
      <c r="L77" s="18">
        <f>IFERROR(INDEX('Detalles movimientos'!P$5:P$1021, MATCH(65, 'Detalles movimientos'!$T$5:$T$1021, 0)), "")</f>
        <v/>
      </c>
      <c r="M77" s="18">
        <f>IFERROR(INDEX('Detalles movimientos'!S$5:S$1021, MATCH(65, 'Detalles movimientos'!$T$5:$T$1021, 0)), "")</f>
        <v/>
      </c>
    </row>
    <row r="78">
      <c r="B78" s="119">
        <f>IFERROR(INDEX('Detalles movimientos'!C$5:C$1021, MATCH(66, 'Detalles movimientos'!$T$5:$T$1021, 0)), "")</f>
        <v/>
      </c>
      <c r="C78" s="18">
        <f>IFERROR(INDEX('Detalles movimientos'!D$5:D$1021, MATCH(66, 'Detalles movimientos'!$T$5:$T$1021, 0)), "")</f>
        <v/>
      </c>
      <c r="D78" s="19">
        <f>IFERROR(INDEX('Detalles movimientos'!E$5:E$1021, MATCH(66, 'Detalles movimientos'!$T$5:$T$1021, 0)), "")</f>
        <v/>
      </c>
      <c r="E78" s="19">
        <f>IFERROR(INDEX('Detalles movimientos'!F$5:F$1021, MATCH(66, 'Detalles movimientos'!$T$5:$T$1021, 0)), "")</f>
        <v/>
      </c>
      <c r="F78" s="18">
        <f>IFERROR(INDEX('Detalles movimientos'!G$5:G$1021, MATCH(66, 'Detalles movimientos'!$T$5:$T$1021, 0)), "")</f>
        <v/>
      </c>
      <c r="G78" s="120">
        <f>IFERROR(INDEX('Detalles movimientos'!H$5:H$1021, MATCH(66, 'Detalles movimientos'!$T$5:$T$1021, 0)), "")</f>
        <v/>
      </c>
      <c r="H78" s="121">
        <f>IFERROR(INDEX('Detalles movimientos'!I$5:I$1021, MATCH(66, 'Detalles movimientos'!$T$5:$T$1021, 0)), "")</f>
        <v/>
      </c>
      <c r="I78" s="120">
        <f>IFERROR(INDEX('Detalles movimientos'!M$5:M$1021, MATCH(66, 'Detalles movimientos'!$T$5:$T$1021, 0)), "")</f>
        <v/>
      </c>
      <c r="J78" s="19">
        <f>IFERROR(INDEX('Detalles movimientos'!N$5:N$1021, MATCH(66, 'Detalles movimientos'!$T$5:$T$1021, 0)), "")</f>
        <v/>
      </c>
      <c r="K78" s="120">
        <f>IFERROR(INDEX('Detalles movimientos'!O$5:O$1021, MATCH(66, 'Detalles movimientos'!$T$5:$T$1021, 0)), "")</f>
        <v/>
      </c>
      <c r="L78" s="18">
        <f>IFERROR(INDEX('Detalles movimientos'!P$5:P$1021, MATCH(66, 'Detalles movimientos'!$T$5:$T$1021, 0)), "")</f>
        <v/>
      </c>
      <c r="M78" s="18">
        <f>IFERROR(INDEX('Detalles movimientos'!S$5:S$1021, MATCH(66, 'Detalles movimientos'!$T$5:$T$1021, 0)), "")</f>
        <v/>
      </c>
    </row>
    <row r="79">
      <c r="B79" s="119">
        <f>IFERROR(INDEX('Detalles movimientos'!C$5:C$1021, MATCH(67, 'Detalles movimientos'!$T$5:$T$1021, 0)), "")</f>
        <v/>
      </c>
      <c r="C79" s="18">
        <f>IFERROR(INDEX('Detalles movimientos'!D$5:D$1021, MATCH(67, 'Detalles movimientos'!$T$5:$T$1021, 0)), "")</f>
        <v/>
      </c>
      <c r="D79" s="19">
        <f>IFERROR(INDEX('Detalles movimientos'!E$5:E$1021, MATCH(67, 'Detalles movimientos'!$T$5:$T$1021, 0)), "")</f>
        <v/>
      </c>
      <c r="E79" s="19">
        <f>IFERROR(INDEX('Detalles movimientos'!F$5:F$1021, MATCH(67, 'Detalles movimientos'!$T$5:$T$1021, 0)), "")</f>
        <v/>
      </c>
      <c r="F79" s="18">
        <f>IFERROR(INDEX('Detalles movimientos'!G$5:G$1021, MATCH(67, 'Detalles movimientos'!$T$5:$T$1021, 0)), "")</f>
        <v/>
      </c>
      <c r="G79" s="120">
        <f>IFERROR(INDEX('Detalles movimientos'!H$5:H$1021, MATCH(67, 'Detalles movimientos'!$T$5:$T$1021, 0)), "")</f>
        <v/>
      </c>
      <c r="H79" s="121">
        <f>IFERROR(INDEX('Detalles movimientos'!I$5:I$1021, MATCH(67, 'Detalles movimientos'!$T$5:$T$1021, 0)), "")</f>
        <v/>
      </c>
      <c r="I79" s="120">
        <f>IFERROR(INDEX('Detalles movimientos'!M$5:M$1021, MATCH(67, 'Detalles movimientos'!$T$5:$T$1021, 0)), "")</f>
        <v/>
      </c>
      <c r="J79" s="19">
        <f>IFERROR(INDEX('Detalles movimientos'!N$5:N$1021, MATCH(67, 'Detalles movimientos'!$T$5:$T$1021, 0)), "")</f>
        <v/>
      </c>
      <c r="K79" s="120">
        <f>IFERROR(INDEX('Detalles movimientos'!O$5:O$1021, MATCH(67, 'Detalles movimientos'!$T$5:$T$1021, 0)), "")</f>
        <v/>
      </c>
      <c r="L79" s="18">
        <f>IFERROR(INDEX('Detalles movimientos'!P$5:P$1021, MATCH(67, 'Detalles movimientos'!$T$5:$T$1021, 0)), "")</f>
        <v/>
      </c>
      <c r="M79" s="18">
        <f>IFERROR(INDEX('Detalles movimientos'!S$5:S$1021, MATCH(67, 'Detalles movimientos'!$T$5:$T$1021, 0)), "")</f>
        <v/>
      </c>
    </row>
    <row r="80">
      <c r="B80" s="119">
        <f>IFERROR(INDEX('Detalles movimientos'!C$5:C$1021, MATCH(68, 'Detalles movimientos'!$T$5:$T$1021, 0)), "")</f>
        <v/>
      </c>
      <c r="C80" s="18">
        <f>IFERROR(INDEX('Detalles movimientos'!D$5:D$1021, MATCH(68, 'Detalles movimientos'!$T$5:$T$1021, 0)), "")</f>
        <v/>
      </c>
      <c r="D80" s="19">
        <f>IFERROR(INDEX('Detalles movimientos'!E$5:E$1021, MATCH(68, 'Detalles movimientos'!$T$5:$T$1021, 0)), "")</f>
        <v/>
      </c>
      <c r="E80" s="19">
        <f>IFERROR(INDEX('Detalles movimientos'!F$5:F$1021, MATCH(68, 'Detalles movimientos'!$T$5:$T$1021, 0)), "")</f>
        <v/>
      </c>
      <c r="F80" s="18">
        <f>IFERROR(INDEX('Detalles movimientos'!G$5:G$1021, MATCH(68, 'Detalles movimientos'!$T$5:$T$1021, 0)), "")</f>
        <v/>
      </c>
      <c r="G80" s="120">
        <f>IFERROR(INDEX('Detalles movimientos'!H$5:H$1021, MATCH(68, 'Detalles movimientos'!$T$5:$T$1021, 0)), "")</f>
        <v/>
      </c>
      <c r="H80" s="121">
        <f>IFERROR(INDEX('Detalles movimientos'!I$5:I$1021, MATCH(68, 'Detalles movimientos'!$T$5:$T$1021, 0)), "")</f>
        <v/>
      </c>
      <c r="I80" s="120">
        <f>IFERROR(INDEX('Detalles movimientos'!M$5:M$1021, MATCH(68, 'Detalles movimientos'!$T$5:$T$1021, 0)), "")</f>
        <v/>
      </c>
      <c r="J80" s="19">
        <f>IFERROR(INDEX('Detalles movimientos'!N$5:N$1021, MATCH(68, 'Detalles movimientos'!$T$5:$T$1021, 0)), "")</f>
        <v/>
      </c>
      <c r="K80" s="120">
        <f>IFERROR(INDEX('Detalles movimientos'!O$5:O$1021, MATCH(68, 'Detalles movimientos'!$T$5:$T$1021, 0)), "")</f>
        <v/>
      </c>
      <c r="L80" s="18">
        <f>IFERROR(INDEX('Detalles movimientos'!P$5:P$1021, MATCH(68, 'Detalles movimientos'!$T$5:$T$1021, 0)), "")</f>
        <v/>
      </c>
      <c r="M80" s="18">
        <f>IFERROR(INDEX('Detalles movimientos'!S$5:S$1021, MATCH(68, 'Detalles movimientos'!$T$5:$T$1021, 0)), "")</f>
        <v/>
      </c>
    </row>
    <row r="81">
      <c r="B81" s="119">
        <f>IFERROR(INDEX('Detalles movimientos'!C$5:C$1021, MATCH(69, 'Detalles movimientos'!$T$5:$T$1021, 0)), "")</f>
        <v/>
      </c>
      <c r="C81" s="18">
        <f>IFERROR(INDEX('Detalles movimientos'!D$5:D$1021, MATCH(69, 'Detalles movimientos'!$T$5:$T$1021, 0)), "")</f>
        <v/>
      </c>
      <c r="D81" s="19">
        <f>IFERROR(INDEX('Detalles movimientos'!E$5:E$1021, MATCH(69, 'Detalles movimientos'!$T$5:$T$1021, 0)), "")</f>
        <v/>
      </c>
      <c r="E81" s="19">
        <f>IFERROR(INDEX('Detalles movimientos'!F$5:F$1021, MATCH(69, 'Detalles movimientos'!$T$5:$T$1021, 0)), "")</f>
        <v/>
      </c>
      <c r="F81" s="18">
        <f>IFERROR(INDEX('Detalles movimientos'!G$5:G$1021, MATCH(69, 'Detalles movimientos'!$T$5:$T$1021, 0)), "")</f>
        <v/>
      </c>
      <c r="G81" s="120">
        <f>IFERROR(INDEX('Detalles movimientos'!H$5:H$1021, MATCH(69, 'Detalles movimientos'!$T$5:$T$1021, 0)), "")</f>
        <v/>
      </c>
      <c r="H81" s="121">
        <f>IFERROR(INDEX('Detalles movimientos'!I$5:I$1021, MATCH(69, 'Detalles movimientos'!$T$5:$T$1021, 0)), "")</f>
        <v/>
      </c>
      <c r="I81" s="120">
        <f>IFERROR(INDEX('Detalles movimientos'!M$5:M$1021, MATCH(69, 'Detalles movimientos'!$T$5:$T$1021, 0)), "")</f>
        <v/>
      </c>
      <c r="J81" s="19">
        <f>IFERROR(INDEX('Detalles movimientos'!N$5:N$1021, MATCH(69, 'Detalles movimientos'!$T$5:$T$1021, 0)), "")</f>
        <v/>
      </c>
      <c r="K81" s="120">
        <f>IFERROR(INDEX('Detalles movimientos'!O$5:O$1021, MATCH(69, 'Detalles movimientos'!$T$5:$T$1021, 0)), "")</f>
        <v/>
      </c>
      <c r="L81" s="18">
        <f>IFERROR(INDEX('Detalles movimientos'!P$5:P$1021, MATCH(69, 'Detalles movimientos'!$T$5:$T$1021, 0)), "")</f>
        <v/>
      </c>
      <c r="M81" s="18">
        <f>IFERROR(INDEX('Detalles movimientos'!S$5:S$1021, MATCH(69, 'Detalles movimientos'!$T$5:$T$1021, 0)), "")</f>
        <v/>
      </c>
    </row>
    <row r="82">
      <c r="B82" s="119">
        <f>IFERROR(INDEX('Detalles movimientos'!C$5:C$1021, MATCH(70, 'Detalles movimientos'!$T$5:$T$1021, 0)), "")</f>
        <v/>
      </c>
      <c r="C82" s="18">
        <f>IFERROR(INDEX('Detalles movimientos'!D$5:D$1021, MATCH(70, 'Detalles movimientos'!$T$5:$T$1021, 0)), "")</f>
        <v/>
      </c>
      <c r="D82" s="19">
        <f>IFERROR(INDEX('Detalles movimientos'!E$5:E$1021, MATCH(70, 'Detalles movimientos'!$T$5:$T$1021, 0)), "")</f>
        <v/>
      </c>
      <c r="E82" s="19">
        <f>IFERROR(INDEX('Detalles movimientos'!F$5:F$1021, MATCH(70, 'Detalles movimientos'!$T$5:$T$1021, 0)), "")</f>
        <v/>
      </c>
      <c r="F82" s="18">
        <f>IFERROR(INDEX('Detalles movimientos'!G$5:G$1021, MATCH(70, 'Detalles movimientos'!$T$5:$T$1021, 0)), "")</f>
        <v/>
      </c>
      <c r="G82" s="120">
        <f>IFERROR(INDEX('Detalles movimientos'!H$5:H$1021, MATCH(70, 'Detalles movimientos'!$T$5:$T$1021, 0)), "")</f>
        <v/>
      </c>
      <c r="H82" s="121">
        <f>IFERROR(INDEX('Detalles movimientos'!I$5:I$1021, MATCH(70, 'Detalles movimientos'!$T$5:$T$1021, 0)), "")</f>
        <v/>
      </c>
      <c r="I82" s="120">
        <f>IFERROR(INDEX('Detalles movimientos'!M$5:M$1021, MATCH(70, 'Detalles movimientos'!$T$5:$T$1021, 0)), "")</f>
        <v/>
      </c>
      <c r="J82" s="19">
        <f>IFERROR(INDEX('Detalles movimientos'!N$5:N$1021, MATCH(70, 'Detalles movimientos'!$T$5:$T$1021, 0)), "")</f>
        <v/>
      </c>
      <c r="K82" s="120">
        <f>IFERROR(INDEX('Detalles movimientos'!O$5:O$1021, MATCH(70, 'Detalles movimientos'!$T$5:$T$1021, 0)), "")</f>
        <v/>
      </c>
      <c r="L82" s="18">
        <f>IFERROR(INDEX('Detalles movimientos'!P$5:P$1021, MATCH(70, 'Detalles movimientos'!$T$5:$T$1021, 0)), "")</f>
        <v/>
      </c>
      <c r="M82" s="18">
        <f>IFERROR(INDEX('Detalles movimientos'!S$5:S$1021, MATCH(70, 'Detalles movimientos'!$T$5:$T$1021, 0)), "")</f>
        <v/>
      </c>
    </row>
    <row r="83">
      <c r="B83" s="119">
        <f>IFERROR(INDEX('Detalles movimientos'!C$5:C$1021, MATCH(71, 'Detalles movimientos'!$T$5:$T$1021, 0)), "")</f>
        <v/>
      </c>
      <c r="C83" s="18">
        <f>IFERROR(INDEX('Detalles movimientos'!D$5:D$1021, MATCH(71, 'Detalles movimientos'!$T$5:$T$1021, 0)), "")</f>
        <v/>
      </c>
      <c r="D83" s="19">
        <f>IFERROR(INDEX('Detalles movimientos'!E$5:E$1021, MATCH(71, 'Detalles movimientos'!$T$5:$T$1021, 0)), "")</f>
        <v/>
      </c>
      <c r="E83" s="19">
        <f>IFERROR(INDEX('Detalles movimientos'!F$5:F$1021, MATCH(71, 'Detalles movimientos'!$T$5:$T$1021, 0)), "")</f>
        <v/>
      </c>
      <c r="F83" s="18">
        <f>IFERROR(INDEX('Detalles movimientos'!G$5:G$1021, MATCH(71, 'Detalles movimientos'!$T$5:$T$1021, 0)), "")</f>
        <v/>
      </c>
      <c r="G83" s="120">
        <f>IFERROR(INDEX('Detalles movimientos'!H$5:H$1021, MATCH(71, 'Detalles movimientos'!$T$5:$T$1021, 0)), "")</f>
        <v/>
      </c>
      <c r="H83" s="121">
        <f>IFERROR(INDEX('Detalles movimientos'!I$5:I$1021, MATCH(71, 'Detalles movimientos'!$T$5:$T$1021, 0)), "")</f>
        <v/>
      </c>
      <c r="I83" s="120">
        <f>IFERROR(INDEX('Detalles movimientos'!M$5:M$1021, MATCH(71, 'Detalles movimientos'!$T$5:$T$1021, 0)), "")</f>
        <v/>
      </c>
      <c r="J83" s="19">
        <f>IFERROR(INDEX('Detalles movimientos'!N$5:N$1021, MATCH(71, 'Detalles movimientos'!$T$5:$T$1021, 0)), "")</f>
        <v/>
      </c>
      <c r="K83" s="120">
        <f>IFERROR(INDEX('Detalles movimientos'!O$5:O$1021, MATCH(71, 'Detalles movimientos'!$T$5:$T$1021, 0)), "")</f>
        <v/>
      </c>
      <c r="L83" s="18">
        <f>IFERROR(INDEX('Detalles movimientos'!P$5:P$1021, MATCH(71, 'Detalles movimientos'!$T$5:$T$1021, 0)), "")</f>
        <v/>
      </c>
      <c r="M83" s="18">
        <f>IFERROR(INDEX('Detalles movimientos'!S$5:S$1021, MATCH(71, 'Detalles movimientos'!$T$5:$T$1021, 0)), "")</f>
        <v/>
      </c>
    </row>
    <row r="84">
      <c r="B84" s="119">
        <f>IFERROR(INDEX('Detalles movimientos'!C$5:C$1021, MATCH(72, 'Detalles movimientos'!$T$5:$T$1021, 0)), "")</f>
        <v/>
      </c>
      <c r="C84" s="18">
        <f>IFERROR(INDEX('Detalles movimientos'!D$5:D$1021, MATCH(72, 'Detalles movimientos'!$T$5:$T$1021, 0)), "")</f>
        <v/>
      </c>
      <c r="D84" s="19">
        <f>IFERROR(INDEX('Detalles movimientos'!E$5:E$1021, MATCH(72, 'Detalles movimientos'!$T$5:$T$1021, 0)), "")</f>
        <v/>
      </c>
      <c r="E84" s="19">
        <f>IFERROR(INDEX('Detalles movimientos'!F$5:F$1021, MATCH(72, 'Detalles movimientos'!$T$5:$T$1021, 0)), "")</f>
        <v/>
      </c>
      <c r="F84" s="18">
        <f>IFERROR(INDEX('Detalles movimientos'!G$5:G$1021, MATCH(72, 'Detalles movimientos'!$T$5:$T$1021, 0)), "")</f>
        <v/>
      </c>
      <c r="G84" s="120">
        <f>IFERROR(INDEX('Detalles movimientos'!H$5:H$1021, MATCH(72, 'Detalles movimientos'!$T$5:$T$1021, 0)), "")</f>
        <v/>
      </c>
      <c r="H84" s="121">
        <f>IFERROR(INDEX('Detalles movimientos'!I$5:I$1021, MATCH(72, 'Detalles movimientos'!$T$5:$T$1021, 0)), "")</f>
        <v/>
      </c>
      <c r="I84" s="120">
        <f>IFERROR(INDEX('Detalles movimientos'!M$5:M$1021, MATCH(72, 'Detalles movimientos'!$T$5:$T$1021, 0)), "")</f>
        <v/>
      </c>
      <c r="J84" s="19">
        <f>IFERROR(INDEX('Detalles movimientos'!N$5:N$1021, MATCH(72, 'Detalles movimientos'!$T$5:$T$1021, 0)), "")</f>
        <v/>
      </c>
      <c r="K84" s="120">
        <f>IFERROR(INDEX('Detalles movimientos'!O$5:O$1021, MATCH(72, 'Detalles movimientos'!$T$5:$T$1021, 0)), "")</f>
        <v/>
      </c>
      <c r="L84" s="18">
        <f>IFERROR(INDEX('Detalles movimientos'!P$5:P$1021, MATCH(72, 'Detalles movimientos'!$T$5:$T$1021, 0)), "")</f>
        <v/>
      </c>
      <c r="M84" s="18">
        <f>IFERROR(INDEX('Detalles movimientos'!S$5:S$1021, MATCH(72, 'Detalles movimientos'!$T$5:$T$1021, 0)), "")</f>
        <v/>
      </c>
    </row>
    <row r="85">
      <c r="B85" s="119">
        <f>IFERROR(INDEX('Detalles movimientos'!C$5:C$1021, MATCH(73, 'Detalles movimientos'!$T$5:$T$1021, 0)), "")</f>
        <v/>
      </c>
      <c r="C85" s="18">
        <f>IFERROR(INDEX('Detalles movimientos'!D$5:D$1021, MATCH(73, 'Detalles movimientos'!$T$5:$T$1021, 0)), "")</f>
        <v/>
      </c>
      <c r="D85" s="19">
        <f>IFERROR(INDEX('Detalles movimientos'!E$5:E$1021, MATCH(73, 'Detalles movimientos'!$T$5:$T$1021, 0)), "")</f>
        <v/>
      </c>
      <c r="E85" s="19">
        <f>IFERROR(INDEX('Detalles movimientos'!F$5:F$1021, MATCH(73, 'Detalles movimientos'!$T$5:$T$1021, 0)), "")</f>
        <v/>
      </c>
      <c r="F85" s="18">
        <f>IFERROR(INDEX('Detalles movimientos'!G$5:G$1021, MATCH(73, 'Detalles movimientos'!$T$5:$T$1021, 0)), "")</f>
        <v/>
      </c>
      <c r="G85" s="120">
        <f>IFERROR(INDEX('Detalles movimientos'!H$5:H$1021, MATCH(73, 'Detalles movimientos'!$T$5:$T$1021, 0)), "")</f>
        <v/>
      </c>
      <c r="H85" s="121">
        <f>IFERROR(INDEX('Detalles movimientos'!I$5:I$1021, MATCH(73, 'Detalles movimientos'!$T$5:$T$1021, 0)), "")</f>
        <v/>
      </c>
      <c r="I85" s="120">
        <f>IFERROR(INDEX('Detalles movimientos'!M$5:M$1021, MATCH(73, 'Detalles movimientos'!$T$5:$T$1021, 0)), "")</f>
        <v/>
      </c>
      <c r="J85" s="19">
        <f>IFERROR(INDEX('Detalles movimientos'!N$5:N$1021, MATCH(73, 'Detalles movimientos'!$T$5:$T$1021, 0)), "")</f>
        <v/>
      </c>
      <c r="K85" s="120">
        <f>IFERROR(INDEX('Detalles movimientos'!O$5:O$1021, MATCH(73, 'Detalles movimientos'!$T$5:$T$1021, 0)), "")</f>
        <v/>
      </c>
      <c r="L85" s="18">
        <f>IFERROR(INDEX('Detalles movimientos'!P$5:P$1021, MATCH(73, 'Detalles movimientos'!$T$5:$T$1021, 0)), "")</f>
        <v/>
      </c>
      <c r="M85" s="18">
        <f>IFERROR(INDEX('Detalles movimientos'!S$5:S$1021, MATCH(73, 'Detalles movimientos'!$T$5:$T$1021, 0)), "")</f>
        <v/>
      </c>
    </row>
    <row r="86">
      <c r="B86" s="119">
        <f>IFERROR(INDEX('Detalles movimientos'!C$5:C$1021, MATCH(74, 'Detalles movimientos'!$T$5:$T$1021, 0)), "")</f>
        <v/>
      </c>
      <c r="C86" s="18">
        <f>IFERROR(INDEX('Detalles movimientos'!D$5:D$1021, MATCH(74, 'Detalles movimientos'!$T$5:$T$1021, 0)), "")</f>
        <v/>
      </c>
      <c r="D86" s="19">
        <f>IFERROR(INDEX('Detalles movimientos'!E$5:E$1021, MATCH(74, 'Detalles movimientos'!$T$5:$T$1021, 0)), "")</f>
        <v/>
      </c>
      <c r="E86" s="19">
        <f>IFERROR(INDEX('Detalles movimientos'!F$5:F$1021, MATCH(74, 'Detalles movimientos'!$T$5:$T$1021, 0)), "")</f>
        <v/>
      </c>
      <c r="F86" s="18">
        <f>IFERROR(INDEX('Detalles movimientos'!G$5:G$1021, MATCH(74, 'Detalles movimientos'!$T$5:$T$1021, 0)), "")</f>
        <v/>
      </c>
      <c r="G86" s="120">
        <f>IFERROR(INDEX('Detalles movimientos'!H$5:H$1021, MATCH(74, 'Detalles movimientos'!$T$5:$T$1021, 0)), "")</f>
        <v/>
      </c>
      <c r="H86" s="121">
        <f>IFERROR(INDEX('Detalles movimientos'!I$5:I$1021, MATCH(74, 'Detalles movimientos'!$T$5:$T$1021, 0)), "")</f>
        <v/>
      </c>
      <c r="I86" s="120">
        <f>IFERROR(INDEX('Detalles movimientos'!M$5:M$1021, MATCH(74, 'Detalles movimientos'!$T$5:$T$1021, 0)), "")</f>
        <v/>
      </c>
      <c r="J86" s="19">
        <f>IFERROR(INDEX('Detalles movimientos'!N$5:N$1021, MATCH(74, 'Detalles movimientos'!$T$5:$T$1021, 0)), "")</f>
        <v/>
      </c>
      <c r="K86" s="120">
        <f>IFERROR(INDEX('Detalles movimientos'!O$5:O$1021, MATCH(74, 'Detalles movimientos'!$T$5:$T$1021, 0)), "")</f>
        <v/>
      </c>
      <c r="L86" s="18">
        <f>IFERROR(INDEX('Detalles movimientos'!P$5:P$1021, MATCH(74, 'Detalles movimientos'!$T$5:$T$1021, 0)), "")</f>
        <v/>
      </c>
      <c r="M86" s="18">
        <f>IFERROR(INDEX('Detalles movimientos'!S$5:S$1021, MATCH(74, 'Detalles movimientos'!$T$5:$T$1021, 0)), "")</f>
        <v/>
      </c>
    </row>
    <row r="87">
      <c r="B87" s="119">
        <f>IFERROR(INDEX('Detalles movimientos'!C$5:C$1021, MATCH(75, 'Detalles movimientos'!$T$5:$T$1021, 0)), "")</f>
        <v/>
      </c>
      <c r="C87" s="18">
        <f>IFERROR(INDEX('Detalles movimientos'!D$5:D$1021, MATCH(75, 'Detalles movimientos'!$T$5:$T$1021, 0)), "")</f>
        <v/>
      </c>
      <c r="D87" s="19">
        <f>IFERROR(INDEX('Detalles movimientos'!E$5:E$1021, MATCH(75, 'Detalles movimientos'!$T$5:$T$1021, 0)), "")</f>
        <v/>
      </c>
      <c r="E87" s="19">
        <f>IFERROR(INDEX('Detalles movimientos'!F$5:F$1021, MATCH(75, 'Detalles movimientos'!$T$5:$T$1021, 0)), "")</f>
        <v/>
      </c>
      <c r="F87" s="18">
        <f>IFERROR(INDEX('Detalles movimientos'!G$5:G$1021, MATCH(75, 'Detalles movimientos'!$T$5:$T$1021, 0)), "")</f>
        <v/>
      </c>
      <c r="G87" s="120">
        <f>IFERROR(INDEX('Detalles movimientos'!H$5:H$1021, MATCH(75, 'Detalles movimientos'!$T$5:$T$1021, 0)), "")</f>
        <v/>
      </c>
      <c r="H87" s="121">
        <f>IFERROR(INDEX('Detalles movimientos'!I$5:I$1021, MATCH(75, 'Detalles movimientos'!$T$5:$T$1021, 0)), "")</f>
        <v/>
      </c>
      <c r="I87" s="120">
        <f>IFERROR(INDEX('Detalles movimientos'!M$5:M$1021, MATCH(75, 'Detalles movimientos'!$T$5:$T$1021, 0)), "")</f>
        <v/>
      </c>
      <c r="J87" s="19">
        <f>IFERROR(INDEX('Detalles movimientos'!N$5:N$1021, MATCH(75, 'Detalles movimientos'!$T$5:$T$1021, 0)), "")</f>
        <v/>
      </c>
      <c r="K87" s="120">
        <f>IFERROR(INDEX('Detalles movimientos'!O$5:O$1021, MATCH(75, 'Detalles movimientos'!$T$5:$T$1021, 0)), "")</f>
        <v/>
      </c>
      <c r="L87" s="18">
        <f>IFERROR(INDEX('Detalles movimientos'!P$5:P$1021, MATCH(75, 'Detalles movimientos'!$T$5:$T$1021, 0)), "")</f>
        <v/>
      </c>
      <c r="M87" s="18">
        <f>IFERROR(INDEX('Detalles movimientos'!S$5:S$1021, MATCH(75, 'Detalles movimientos'!$T$5:$T$1021, 0)), "")</f>
        <v/>
      </c>
    </row>
    <row r="88">
      <c r="B88" s="119">
        <f>IFERROR(INDEX('Detalles movimientos'!C$5:C$1021, MATCH(76, 'Detalles movimientos'!$T$5:$T$1021, 0)), "")</f>
        <v/>
      </c>
      <c r="C88" s="18">
        <f>IFERROR(INDEX('Detalles movimientos'!D$5:D$1021, MATCH(76, 'Detalles movimientos'!$T$5:$T$1021, 0)), "")</f>
        <v/>
      </c>
      <c r="D88" s="19">
        <f>IFERROR(INDEX('Detalles movimientos'!E$5:E$1021, MATCH(76, 'Detalles movimientos'!$T$5:$T$1021, 0)), "")</f>
        <v/>
      </c>
      <c r="E88" s="19">
        <f>IFERROR(INDEX('Detalles movimientos'!F$5:F$1021, MATCH(76, 'Detalles movimientos'!$T$5:$T$1021, 0)), "")</f>
        <v/>
      </c>
      <c r="F88" s="18">
        <f>IFERROR(INDEX('Detalles movimientos'!G$5:G$1021, MATCH(76, 'Detalles movimientos'!$T$5:$T$1021, 0)), "")</f>
        <v/>
      </c>
      <c r="G88" s="120">
        <f>IFERROR(INDEX('Detalles movimientos'!H$5:H$1021, MATCH(76, 'Detalles movimientos'!$T$5:$T$1021, 0)), "")</f>
        <v/>
      </c>
      <c r="H88" s="121">
        <f>IFERROR(INDEX('Detalles movimientos'!I$5:I$1021, MATCH(76, 'Detalles movimientos'!$T$5:$T$1021, 0)), "")</f>
        <v/>
      </c>
      <c r="I88" s="120">
        <f>IFERROR(INDEX('Detalles movimientos'!M$5:M$1021, MATCH(76, 'Detalles movimientos'!$T$5:$T$1021, 0)), "")</f>
        <v/>
      </c>
      <c r="J88" s="19">
        <f>IFERROR(INDEX('Detalles movimientos'!N$5:N$1021, MATCH(76, 'Detalles movimientos'!$T$5:$T$1021, 0)), "")</f>
        <v/>
      </c>
      <c r="K88" s="120">
        <f>IFERROR(INDEX('Detalles movimientos'!O$5:O$1021, MATCH(76, 'Detalles movimientos'!$T$5:$T$1021, 0)), "")</f>
        <v/>
      </c>
      <c r="L88" s="18">
        <f>IFERROR(INDEX('Detalles movimientos'!P$5:P$1021, MATCH(76, 'Detalles movimientos'!$T$5:$T$1021, 0)), "")</f>
        <v/>
      </c>
      <c r="M88" s="18">
        <f>IFERROR(INDEX('Detalles movimientos'!S$5:S$1021, MATCH(76, 'Detalles movimientos'!$T$5:$T$1021, 0)), "")</f>
        <v/>
      </c>
    </row>
    <row r="89">
      <c r="B89" s="119">
        <f>IFERROR(INDEX('Detalles movimientos'!C$5:C$1021, MATCH(77, 'Detalles movimientos'!$T$5:$T$1021, 0)), "")</f>
        <v/>
      </c>
      <c r="C89" s="18">
        <f>IFERROR(INDEX('Detalles movimientos'!D$5:D$1021, MATCH(77, 'Detalles movimientos'!$T$5:$T$1021, 0)), "")</f>
        <v/>
      </c>
      <c r="D89" s="19">
        <f>IFERROR(INDEX('Detalles movimientos'!E$5:E$1021, MATCH(77, 'Detalles movimientos'!$T$5:$T$1021, 0)), "")</f>
        <v/>
      </c>
      <c r="E89" s="19">
        <f>IFERROR(INDEX('Detalles movimientos'!F$5:F$1021, MATCH(77, 'Detalles movimientos'!$T$5:$T$1021, 0)), "")</f>
        <v/>
      </c>
      <c r="F89" s="18">
        <f>IFERROR(INDEX('Detalles movimientos'!G$5:G$1021, MATCH(77, 'Detalles movimientos'!$T$5:$T$1021, 0)), "")</f>
        <v/>
      </c>
      <c r="G89" s="120">
        <f>IFERROR(INDEX('Detalles movimientos'!H$5:H$1021, MATCH(77, 'Detalles movimientos'!$T$5:$T$1021, 0)), "")</f>
        <v/>
      </c>
      <c r="H89" s="121">
        <f>IFERROR(INDEX('Detalles movimientos'!I$5:I$1021, MATCH(77, 'Detalles movimientos'!$T$5:$T$1021, 0)), "")</f>
        <v/>
      </c>
      <c r="I89" s="120">
        <f>IFERROR(INDEX('Detalles movimientos'!M$5:M$1021, MATCH(77, 'Detalles movimientos'!$T$5:$T$1021, 0)), "")</f>
        <v/>
      </c>
      <c r="J89" s="19">
        <f>IFERROR(INDEX('Detalles movimientos'!N$5:N$1021, MATCH(77, 'Detalles movimientos'!$T$5:$T$1021, 0)), "")</f>
        <v/>
      </c>
      <c r="K89" s="120">
        <f>IFERROR(INDEX('Detalles movimientos'!O$5:O$1021, MATCH(77, 'Detalles movimientos'!$T$5:$T$1021, 0)), "")</f>
        <v/>
      </c>
      <c r="L89" s="18">
        <f>IFERROR(INDEX('Detalles movimientos'!P$5:P$1021, MATCH(77, 'Detalles movimientos'!$T$5:$T$1021, 0)), "")</f>
        <v/>
      </c>
      <c r="M89" s="18">
        <f>IFERROR(INDEX('Detalles movimientos'!S$5:S$1021, MATCH(77, 'Detalles movimientos'!$T$5:$T$1021, 0)), "")</f>
        <v/>
      </c>
    </row>
    <row r="90">
      <c r="B90" s="119">
        <f>IFERROR(INDEX('Detalles movimientos'!C$5:C$1021, MATCH(78, 'Detalles movimientos'!$T$5:$T$1021, 0)), "")</f>
        <v/>
      </c>
      <c r="C90" s="18">
        <f>IFERROR(INDEX('Detalles movimientos'!D$5:D$1021, MATCH(78, 'Detalles movimientos'!$T$5:$T$1021, 0)), "")</f>
        <v/>
      </c>
      <c r="D90" s="19">
        <f>IFERROR(INDEX('Detalles movimientos'!E$5:E$1021, MATCH(78, 'Detalles movimientos'!$T$5:$T$1021, 0)), "")</f>
        <v/>
      </c>
      <c r="E90" s="19">
        <f>IFERROR(INDEX('Detalles movimientos'!F$5:F$1021, MATCH(78, 'Detalles movimientos'!$T$5:$T$1021, 0)), "")</f>
        <v/>
      </c>
      <c r="F90" s="18">
        <f>IFERROR(INDEX('Detalles movimientos'!G$5:G$1021, MATCH(78, 'Detalles movimientos'!$T$5:$T$1021, 0)), "")</f>
        <v/>
      </c>
      <c r="G90" s="120">
        <f>IFERROR(INDEX('Detalles movimientos'!H$5:H$1021, MATCH(78, 'Detalles movimientos'!$T$5:$T$1021, 0)), "")</f>
        <v/>
      </c>
      <c r="H90" s="121">
        <f>IFERROR(INDEX('Detalles movimientos'!I$5:I$1021, MATCH(78, 'Detalles movimientos'!$T$5:$T$1021, 0)), "")</f>
        <v/>
      </c>
      <c r="I90" s="120">
        <f>IFERROR(INDEX('Detalles movimientos'!M$5:M$1021, MATCH(78, 'Detalles movimientos'!$T$5:$T$1021, 0)), "")</f>
        <v/>
      </c>
      <c r="J90" s="19">
        <f>IFERROR(INDEX('Detalles movimientos'!N$5:N$1021, MATCH(78, 'Detalles movimientos'!$T$5:$T$1021, 0)), "")</f>
        <v/>
      </c>
      <c r="K90" s="120">
        <f>IFERROR(INDEX('Detalles movimientos'!O$5:O$1021, MATCH(78, 'Detalles movimientos'!$T$5:$T$1021, 0)), "")</f>
        <v/>
      </c>
      <c r="L90" s="18">
        <f>IFERROR(INDEX('Detalles movimientos'!P$5:P$1021, MATCH(78, 'Detalles movimientos'!$T$5:$T$1021, 0)), "")</f>
        <v/>
      </c>
      <c r="M90" s="18">
        <f>IFERROR(INDEX('Detalles movimientos'!S$5:S$1021, MATCH(78, 'Detalles movimientos'!$T$5:$T$1021, 0)), "")</f>
        <v/>
      </c>
    </row>
    <row r="91">
      <c r="B91" s="119">
        <f>IFERROR(INDEX('Detalles movimientos'!C$5:C$1021, MATCH(79, 'Detalles movimientos'!$T$5:$T$1021, 0)), "")</f>
        <v/>
      </c>
      <c r="C91" s="18">
        <f>IFERROR(INDEX('Detalles movimientos'!D$5:D$1021, MATCH(79, 'Detalles movimientos'!$T$5:$T$1021, 0)), "")</f>
        <v/>
      </c>
      <c r="D91" s="19">
        <f>IFERROR(INDEX('Detalles movimientos'!E$5:E$1021, MATCH(79, 'Detalles movimientos'!$T$5:$T$1021, 0)), "")</f>
        <v/>
      </c>
      <c r="E91" s="19">
        <f>IFERROR(INDEX('Detalles movimientos'!F$5:F$1021, MATCH(79, 'Detalles movimientos'!$T$5:$T$1021, 0)), "")</f>
        <v/>
      </c>
      <c r="F91" s="18">
        <f>IFERROR(INDEX('Detalles movimientos'!G$5:G$1021, MATCH(79, 'Detalles movimientos'!$T$5:$T$1021, 0)), "")</f>
        <v/>
      </c>
      <c r="G91" s="120">
        <f>IFERROR(INDEX('Detalles movimientos'!H$5:H$1021, MATCH(79, 'Detalles movimientos'!$T$5:$T$1021, 0)), "")</f>
        <v/>
      </c>
      <c r="H91" s="121">
        <f>IFERROR(INDEX('Detalles movimientos'!I$5:I$1021, MATCH(79, 'Detalles movimientos'!$T$5:$T$1021, 0)), "")</f>
        <v/>
      </c>
      <c r="I91" s="120">
        <f>IFERROR(INDEX('Detalles movimientos'!M$5:M$1021, MATCH(79, 'Detalles movimientos'!$T$5:$T$1021, 0)), "")</f>
        <v/>
      </c>
      <c r="J91" s="19">
        <f>IFERROR(INDEX('Detalles movimientos'!N$5:N$1021, MATCH(79, 'Detalles movimientos'!$T$5:$T$1021, 0)), "")</f>
        <v/>
      </c>
      <c r="K91" s="120">
        <f>IFERROR(INDEX('Detalles movimientos'!O$5:O$1021, MATCH(79, 'Detalles movimientos'!$T$5:$T$1021, 0)), "")</f>
        <v/>
      </c>
      <c r="L91" s="18">
        <f>IFERROR(INDEX('Detalles movimientos'!P$5:P$1021, MATCH(79, 'Detalles movimientos'!$T$5:$T$1021, 0)), "")</f>
        <v/>
      </c>
      <c r="M91" s="18">
        <f>IFERROR(INDEX('Detalles movimientos'!S$5:S$1021, MATCH(79, 'Detalles movimientos'!$T$5:$T$1021, 0)), "")</f>
        <v/>
      </c>
    </row>
    <row r="92">
      <c r="B92" s="119">
        <f>IFERROR(INDEX('Detalles movimientos'!C$5:C$1021, MATCH(80, 'Detalles movimientos'!$T$5:$T$1021, 0)), "")</f>
        <v/>
      </c>
      <c r="C92" s="18">
        <f>IFERROR(INDEX('Detalles movimientos'!D$5:D$1021, MATCH(80, 'Detalles movimientos'!$T$5:$T$1021, 0)), "")</f>
        <v/>
      </c>
      <c r="D92" s="19">
        <f>IFERROR(INDEX('Detalles movimientos'!E$5:E$1021, MATCH(80, 'Detalles movimientos'!$T$5:$T$1021, 0)), "")</f>
        <v/>
      </c>
      <c r="E92" s="19">
        <f>IFERROR(INDEX('Detalles movimientos'!F$5:F$1021, MATCH(80, 'Detalles movimientos'!$T$5:$T$1021, 0)), "")</f>
        <v/>
      </c>
      <c r="F92" s="18">
        <f>IFERROR(INDEX('Detalles movimientos'!G$5:G$1021, MATCH(80, 'Detalles movimientos'!$T$5:$T$1021, 0)), "")</f>
        <v/>
      </c>
      <c r="G92" s="120">
        <f>IFERROR(INDEX('Detalles movimientos'!H$5:H$1021, MATCH(80, 'Detalles movimientos'!$T$5:$T$1021, 0)), "")</f>
        <v/>
      </c>
      <c r="H92" s="121">
        <f>IFERROR(INDEX('Detalles movimientos'!I$5:I$1021, MATCH(80, 'Detalles movimientos'!$T$5:$T$1021, 0)), "")</f>
        <v/>
      </c>
      <c r="I92" s="120">
        <f>IFERROR(INDEX('Detalles movimientos'!M$5:M$1021, MATCH(80, 'Detalles movimientos'!$T$5:$T$1021, 0)), "")</f>
        <v/>
      </c>
      <c r="J92" s="19">
        <f>IFERROR(INDEX('Detalles movimientos'!N$5:N$1021, MATCH(80, 'Detalles movimientos'!$T$5:$T$1021, 0)), "")</f>
        <v/>
      </c>
      <c r="K92" s="120">
        <f>IFERROR(INDEX('Detalles movimientos'!O$5:O$1021, MATCH(80, 'Detalles movimientos'!$T$5:$T$1021, 0)), "")</f>
        <v/>
      </c>
      <c r="L92" s="18">
        <f>IFERROR(INDEX('Detalles movimientos'!P$5:P$1021, MATCH(80, 'Detalles movimientos'!$T$5:$T$1021, 0)), "")</f>
        <v/>
      </c>
      <c r="M92" s="18">
        <f>IFERROR(INDEX('Detalles movimientos'!S$5:S$1021, MATCH(80, 'Detalles movimientos'!$T$5:$T$1021, 0)), "")</f>
        <v/>
      </c>
    </row>
    <row r="93">
      <c r="B93" s="119">
        <f>IFERROR(INDEX('Detalles movimientos'!C$5:C$1021, MATCH(81, 'Detalles movimientos'!$T$5:$T$1021, 0)), "")</f>
        <v/>
      </c>
      <c r="C93" s="18">
        <f>IFERROR(INDEX('Detalles movimientos'!D$5:D$1021, MATCH(81, 'Detalles movimientos'!$T$5:$T$1021, 0)), "")</f>
        <v/>
      </c>
      <c r="D93" s="19">
        <f>IFERROR(INDEX('Detalles movimientos'!E$5:E$1021, MATCH(81, 'Detalles movimientos'!$T$5:$T$1021, 0)), "")</f>
        <v/>
      </c>
      <c r="E93" s="19">
        <f>IFERROR(INDEX('Detalles movimientos'!F$5:F$1021, MATCH(81, 'Detalles movimientos'!$T$5:$T$1021, 0)), "")</f>
        <v/>
      </c>
      <c r="F93" s="18">
        <f>IFERROR(INDEX('Detalles movimientos'!G$5:G$1021, MATCH(81, 'Detalles movimientos'!$T$5:$T$1021, 0)), "")</f>
        <v/>
      </c>
      <c r="G93" s="120">
        <f>IFERROR(INDEX('Detalles movimientos'!H$5:H$1021, MATCH(81, 'Detalles movimientos'!$T$5:$T$1021, 0)), "")</f>
        <v/>
      </c>
      <c r="H93" s="121">
        <f>IFERROR(INDEX('Detalles movimientos'!I$5:I$1021, MATCH(81, 'Detalles movimientos'!$T$5:$T$1021, 0)), "")</f>
        <v/>
      </c>
      <c r="I93" s="120">
        <f>IFERROR(INDEX('Detalles movimientos'!M$5:M$1021, MATCH(81, 'Detalles movimientos'!$T$5:$T$1021, 0)), "")</f>
        <v/>
      </c>
      <c r="J93" s="19">
        <f>IFERROR(INDEX('Detalles movimientos'!N$5:N$1021, MATCH(81, 'Detalles movimientos'!$T$5:$T$1021, 0)), "")</f>
        <v/>
      </c>
      <c r="K93" s="120">
        <f>IFERROR(INDEX('Detalles movimientos'!O$5:O$1021, MATCH(81, 'Detalles movimientos'!$T$5:$T$1021, 0)), "")</f>
        <v/>
      </c>
      <c r="L93" s="18">
        <f>IFERROR(INDEX('Detalles movimientos'!P$5:P$1021, MATCH(81, 'Detalles movimientos'!$T$5:$T$1021, 0)), "")</f>
        <v/>
      </c>
      <c r="M93" s="18">
        <f>IFERROR(INDEX('Detalles movimientos'!S$5:S$1021, MATCH(81, 'Detalles movimientos'!$T$5:$T$1021, 0)), "")</f>
        <v/>
      </c>
    </row>
    <row r="94">
      <c r="B94" s="119">
        <f>IFERROR(INDEX('Detalles movimientos'!C$5:C$1021, MATCH(82, 'Detalles movimientos'!$T$5:$T$1021, 0)), "")</f>
        <v/>
      </c>
      <c r="C94" s="18">
        <f>IFERROR(INDEX('Detalles movimientos'!D$5:D$1021, MATCH(82, 'Detalles movimientos'!$T$5:$T$1021, 0)), "")</f>
        <v/>
      </c>
      <c r="D94" s="19">
        <f>IFERROR(INDEX('Detalles movimientos'!E$5:E$1021, MATCH(82, 'Detalles movimientos'!$T$5:$T$1021, 0)), "")</f>
        <v/>
      </c>
      <c r="E94" s="19">
        <f>IFERROR(INDEX('Detalles movimientos'!F$5:F$1021, MATCH(82, 'Detalles movimientos'!$T$5:$T$1021, 0)), "")</f>
        <v/>
      </c>
      <c r="F94" s="18">
        <f>IFERROR(INDEX('Detalles movimientos'!G$5:G$1021, MATCH(82, 'Detalles movimientos'!$T$5:$T$1021, 0)), "")</f>
        <v/>
      </c>
      <c r="G94" s="120">
        <f>IFERROR(INDEX('Detalles movimientos'!H$5:H$1021, MATCH(82, 'Detalles movimientos'!$T$5:$T$1021, 0)), "")</f>
        <v/>
      </c>
      <c r="H94" s="121">
        <f>IFERROR(INDEX('Detalles movimientos'!I$5:I$1021, MATCH(82, 'Detalles movimientos'!$T$5:$T$1021, 0)), "")</f>
        <v/>
      </c>
      <c r="I94" s="120">
        <f>IFERROR(INDEX('Detalles movimientos'!M$5:M$1021, MATCH(82, 'Detalles movimientos'!$T$5:$T$1021, 0)), "")</f>
        <v/>
      </c>
      <c r="J94" s="19">
        <f>IFERROR(INDEX('Detalles movimientos'!N$5:N$1021, MATCH(82, 'Detalles movimientos'!$T$5:$T$1021, 0)), "")</f>
        <v/>
      </c>
      <c r="K94" s="120">
        <f>IFERROR(INDEX('Detalles movimientos'!O$5:O$1021, MATCH(82, 'Detalles movimientos'!$T$5:$T$1021, 0)), "")</f>
        <v/>
      </c>
      <c r="L94" s="18">
        <f>IFERROR(INDEX('Detalles movimientos'!P$5:P$1021, MATCH(82, 'Detalles movimientos'!$T$5:$T$1021, 0)), "")</f>
        <v/>
      </c>
      <c r="M94" s="18">
        <f>IFERROR(INDEX('Detalles movimientos'!S$5:S$1021, MATCH(82, 'Detalles movimientos'!$T$5:$T$1021, 0)), "")</f>
        <v/>
      </c>
    </row>
    <row r="95">
      <c r="B95" s="119">
        <f>IFERROR(INDEX('Detalles movimientos'!C$5:C$1021, MATCH(83, 'Detalles movimientos'!$T$5:$T$1021, 0)), "")</f>
        <v/>
      </c>
      <c r="C95" s="18">
        <f>IFERROR(INDEX('Detalles movimientos'!D$5:D$1021, MATCH(83, 'Detalles movimientos'!$T$5:$T$1021, 0)), "")</f>
        <v/>
      </c>
      <c r="D95" s="19">
        <f>IFERROR(INDEX('Detalles movimientos'!E$5:E$1021, MATCH(83, 'Detalles movimientos'!$T$5:$T$1021, 0)), "")</f>
        <v/>
      </c>
      <c r="E95" s="19">
        <f>IFERROR(INDEX('Detalles movimientos'!F$5:F$1021, MATCH(83, 'Detalles movimientos'!$T$5:$T$1021, 0)), "")</f>
        <v/>
      </c>
      <c r="F95" s="18">
        <f>IFERROR(INDEX('Detalles movimientos'!G$5:G$1021, MATCH(83, 'Detalles movimientos'!$T$5:$T$1021, 0)), "")</f>
        <v/>
      </c>
      <c r="G95" s="120">
        <f>IFERROR(INDEX('Detalles movimientos'!H$5:H$1021, MATCH(83, 'Detalles movimientos'!$T$5:$T$1021, 0)), "")</f>
        <v/>
      </c>
      <c r="H95" s="121">
        <f>IFERROR(INDEX('Detalles movimientos'!I$5:I$1021, MATCH(83, 'Detalles movimientos'!$T$5:$T$1021, 0)), "")</f>
        <v/>
      </c>
      <c r="I95" s="120">
        <f>IFERROR(INDEX('Detalles movimientos'!M$5:M$1021, MATCH(83, 'Detalles movimientos'!$T$5:$T$1021, 0)), "")</f>
        <v/>
      </c>
      <c r="J95" s="19">
        <f>IFERROR(INDEX('Detalles movimientos'!N$5:N$1021, MATCH(83, 'Detalles movimientos'!$T$5:$T$1021, 0)), "")</f>
        <v/>
      </c>
      <c r="K95" s="120">
        <f>IFERROR(INDEX('Detalles movimientos'!O$5:O$1021, MATCH(83, 'Detalles movimientos'!$T$5:$T$1021, 0)), "")</f>
        <v/>
      </c>
      <c r="L95" s="18">
        <f>IFERROR(INDEX('Detalles movimientos'!P$5:P$1021, MATCH(83, 'Detalles movimientos'!$T$5:$T$1021, 0)), "")</f>
        <v/>
      </c>
      <c r="M95" s="18">
        <f>IFERROR(INDEX('Detalles movimientos'!S$5:S$1021, MATCH(83, 'Detalles movimientos'!$T$5:$T$1021, 0)), "")</f>
        <v/>
      </c>
    </row>
    <row r="96">
      <c r="B96" s="119">
        <f>IFERROR(INDEX('Detalles movimientos'!C$5:C$1021, MATCH(84, 'Detalles movimientos'!$T$5:$T$1021, 0)), "")</f>
        <v/>
      </c>
      <c r="C96" s="18">
        <f>IFERROR(INDEX('Detalles movimientos'!D$5:D$1021, MATCH(84, 'Detalles movimientos'!$T$5:$T$1021, 0)), "")</f>
        <v/>
      </c>
      <c r="D96" s="19">
        <f>IFERROR(INDEX('Detalles movimientos'!E$5:E$1021, MATCH(84, 'Detalles movimientos'!$T$5:$T$1021, 0)), "")</f>
        <v/>
      </c>
      <c r="E96" s="19">
        <f>IFERROR(INDEX('Detalles movimientos'!F$5:F$1021, MATCH(84, 'Detalles movimientos'!$T$5:$T$1021, 0)), "")</f>
        <v/>
      </c>
      <c r="F96" s="18">
        <f>IFERROR(INDEX('Detalles movimientos'!G$5:G$1021, MATCH(84, 'Detalles movimientos'!$T$5:$T$1021, 0)), "")</f>
        <v/>
      </c>
      <c r="G96" s="120">
        <f>IFERROR(INDEX('Detalles movimientos'!H$5:H$1021, MATCH(84, 'Detalles movimientos'!$T$5:$T$1021, 0)), "")</f>
        <v/>
      </c>
      <c r="H96" s="121">
        <f>IFERROR(INDEX('Detalles movimientos'!I$5:I$1021, MATCH(84, 'Detalles movimientos'!$T$5:$T$1021, 0)), "")</f>
        <v/>
      </c>
      <c r="I96" s="120">
        <f>IFERROR(INDEX('Detalles movimientos'!M$5:M$1021, MATCH(84, 'Detalles movimientos'!$T$5:$T$1021, 0)), "")</f>
        <v/>
      </c>
      <c r="J96" s="19">
        <f>IFERROR(INDEX('Detalles movimientos'!N$5:N$1021, MATCH(84, 'Detalles movimientos'!$T$5:$T$1021, 0)), "")</f>
        <v/>
      </c>
      <c r="K96" s="120">
        <f>IFERROR(INDEX('Detalles movimientos'!O$5:O$1021, MATCH(84, 'Detalles movimientos'!$T$5:$T$1021, 0)), "")</f>
        <v/>
      </c>
      <c r="L96" s="18">
        <f>IFERROR(INDEX('Detalles movimientos'!P$5:P$1021, MATCH(84, 'Detalles movimientos'!$T$5:$T$1021, 0)), "")</f>
        <v/>
      </c>
      <c r="M96" s="18">
        <f>IFERROR(INDEX('Detalles movimientos'!S$5:S$1021, MATCH(84, 'Detalles movimientos'!$T$5:$T$1021, 0)), "")</f>
        <v/>
      </c>
    </row>
    <row r="97">
      <c r="B97" s="119">
        <f>IFERROR(INDEX('Detalles movimientos'!C$5:C$1021, MATCH(85, 'Detalles movimientos'!$T$5:$T$1021, 0)), "")</f>
        <v/>
      </c>
      <c r="C97" s="18">
        <f>IFERROR(INDEX('Detalles movimientos'!D$5:D$1021, MATCH(85, 'Detalles movimientos'!$T$5:$T$1021, 0)), "")</f>
        <v/>
      </c>
      <c r="D97" s="19">
        <f>IFERROR(INDEX('Detalles movimientos'!E$5:E$1021, MATCH(85, 'Detalles movimientos'!$T$5:$T$1021, 0)), "")</f>
        <v/>
      </c>
      <c r="E97" s="19">
        <f>IFERROR(INDEX('Detalles movimientos'!F$5:F$1021, MATCH(85, 'Detalles movimientos'!$T$5:$T$1021, 0)), "")</f>
        <v/>
      </c>
      <c r="F97" s="18">
        <f>IFERROR(INDEX('Detalles movimientos'!G$5:G$1021, MATCH(85, 'Detalles movimientos'!$T$5:$T$1021, 0)), "")</f>
        <v/>
      </c>
      <c r="G97" s="120">
        <f>IFERROR(INDEX('Detalles movimientos'!H$5:H$1021, MATCH(85, 'Detalles movimientos'!$T$5:$T$1021, 0)), "")</f>
        <v/>
      </c>
      <c r="H97" s="121">
        <f>IFERROR(INDEX('Detalles movimientos'!I$5:I$1021, MATCH(85, 'Detalles movimientos'!$T$5:$T$1021, 0)), "")</f>
        <v/>
      </c>
      <c r="I97" s="120">
        <f>IFERROR(INDEX('Detalles movimientos'!M$5:M$1021, MATCH(85, 'Detalles movimientos'!$T$5:$T$1021, 0)), "")</f>
        <v/>
      </c>
      <c r="J97" s="19">
        <f>IFERROR(INDEX('Detalles movimientos'!N$5:N$1021, MATCH(85, 'Detalles movimientos'!$T$5:$T$1021, 0)), "")</f>
        <v/>
      </c>
      <c r="K97" s="120">
        <f>IFERROR(INDEX('Detalles movimientos'!O$5:O$1021, MATCH(85, 'Detalles movimientos'!$T$5:$T$1021, 0)), "")</f>
        <v/>
      </c>
      <c r="L97" s="18">
        <f>IFERROR(INDEX('Detalles movimientos'!P$5:P$1021, MATCH(85, 'Detalles movimientos'!$T$5:$T$1021, 0)), "")</f>
        <v/>
      </c>
      <c r="M97" s="18">
        <f>IFERROR(INDEX('Detalles movimientos'!S$5:S$1021, MATCH(85, 'Detalles movimientos'!$T$5:$T$1021, 0)), "")</f>
        <v/>
      </c>
    </row>
    <row r="98">
      <c r="B98" s="119">
        <f>IFERROR(INDEX('Detalles movimientos'!C$5:C$1021, MATCH(86, 'Detalles movimientos'!$T$5:$T$1021, 0)), "")</f>
        <v/>
      </c>
      <c r="C98" s="18">
        <f>IFERROR(INDEX('Detalles movimientos'!D$5:D$1021, MATCH(86, 'Detalles movimientos'!$T$5:$T$1021, 0)), "")</f>
        <v/>
      </c>
      <c r="D98" s="19">
        <f>IFERROR(INDEX('Detalles movimientos'!E$5:E$1021, MATCH(86, 'Detalles movimientos'!$T$5:$T$1021, 0)), "")</f>
        <v/>
      </c>
      <c r="E98" s="19">
        <f>IFERROR(INDEX('Detalles movimientos'!F$5:F$1021, MATCH(86, 'Detalles movimientos'!$T$5:$T$1021, 0)), "")</f>
        <v/>
      </c>
      <c r="F98" s="18">
        <f>IFERROR(INDEX('Detalles movimientos'!G$5:G$1021, MATCH(86, 'Detalles movimientos'!$T$5:$T$1021, 0)), "")</f>
        <v/>
      </c>
      <c r="G98" s="120">
        <f>IFERROR(INDEX('Detalles movimientos'!H$5:H$1021, MATCH(86, 'Detalles movimientos'!$T$5:$T$1021, 0)), "")</f>
        <v/>
      </c>
      <c r="H98" s="121">
        <f>IFERROR(INDEX('Detalles movimientos'!I$5:I$1021, MATCH(86, 'Detalles movimientos'!$T$5:$T$1021, 0)), "")</f>
        <v/>
      </c>
      <c r="I98" s="120">
        <f>IFERROR(INDEX('Detalles movimientos'!M$5:M$1021, MATCH(86, 'Detalles movimientos'!$T$5:$T$1021, 0)), "")</f>
        <v/>
      </c>
      <c r="J98" s="19">
        <f>IFERROR(INDEX('Detalles movimientos'!N$5:N$1021, MATCH(86, 'Detalles movimientos'!$T$5:$T$1021, 0)), "")</f>
        <v/>
      </c>
      <c r="K98" s="120">
        <f>IFERROR(INDEX('Detalles movimientos'!O$5:O$1021, MATCH(86, 'Detalles movimientos'!$T$5:$T$1021, 0)), "")</f>
        <v/>
      </c>
      <c r="L98" s="18">
        <f>IFERROR(INDEX('Detalles movimientos'!P$5:P$1021, MATCH(86, 'Detalles movimientos'!$T$5:$T$1021, 0)), "")</f>
        <v/>
      </c>
      <c r="M98" s="18">
        <f>IFERROR(INDEX('Detalles movimientos'!S$5:S$1021, MATCH(86, 'Detalles movimientos'!$T$5:$T$1021, 0)), "")</f>
        <v/>
      </c>
    </row>
    <row r="99">
      <c r="B99" s="119">
        <f>IFERROR(INDEX('Detalles movimientos'!C$5:C$1021, MATCH(87, 'Detalles movimientos'!$T$5:$T$1021, 0)), "")</f>
        <v/>
      </c>
      <c r="C99" s="18">
        <f>IFERROR(INDEX('Detalles movimientos'!D$5:D$1021, MATCH(87, 'Detalles movimientos'!$T$5:$T$1021, 0)), "")</f>
        <v/>
      </c>
      <c r="D99" s="19">
        <f>IFERROR(INDEX('Detalles movimientos'!E$5:E$1021, MATCH(87, 'Detalles movimientos'!$T$5:$T$1021, 0)), "")</f>
        <v/>
      </c>
      <c r="E99" s="19">
        <f>IFERROR(INDEX('Detalles movimientos'!F$5:F$1021, MATCH(87, 'Detalles movimientos'!$T$5:$T$1021, 0)), "")</f>
        <v/>
      </c>
      <c r="F99" s="18">
        <f>IFERROR(INDEX('Detalles movimientos'!G$5:G$1021, MATCH(87, 'Detalles movimientos'!$T$5:$T$1021, 0)), "")</f>
        <v/>
      </c>
      <c r="G99" s="120">
        <f>IFERROR(INDEX('Detalles movimientos'!H$5:H$1021, MATCH(87, 'Detalles movimientos'!$T$5:$T$1021, 0)), "")</f>
        <v/>
      </c>
      <c r="H99" s="121">
        <f>IFERROR(INDEX('Detalles movimientos'!I$5:I$1021, MATCH(87, 'Detalles movimientos'!$T$5:$T$1021, 0)), "")</f>
        <v/>
      </c>
      <c r="I99" s="120">
        <f>IFERROR(INDEX('Detalles movimientos'!M$5:M$1021, MATCH(87, 'Detalles movimientos'!$T$5:$T$1021, 0)), "")</f>
        <v/>
      </c>
      <c r="J99" s="19">
        <f>IFERROR(INDEX('Detalles movimientos'!N$5:N$1021, MATCH(87, 'Detalles movimientos'!$T$5:$T$1021, 0)), "")</f>
        <v/>
      </c>
      <c r="K99" s="120">
        <f>IFERROR(INDEX('Detalles movimientos'!O$5:O$1021, MATCH(87, 'Detalles movimientos'!$T$5:$T$1021, 0)), "")</f>
        <v/>
      </c>
      <c r="L99" s="18">
        <f>IFERROR(INDEX('Detalles movimientos'!P$5:P$1021, MATCH(87, 'Detalles movimientos'!$T$5:$T$1021, 0)), "")</f>
        <v/>
      </c>
      <c r="M99" s="18">
        <f>IFERROR(INDEX('Detalles movimientos'!S$5:S$1021, MATCH(87, 'Detalles movimientos'!$T$5:$T$1021, 0)), "")</f>
        <v/>
      </c>
    </row>
    <row r="100">
      <c r="B100" s="119">
        <f>IFERROR(INDEX('Detalles movimientos'!C$5:C$1021, MATCH(88, 'Detalles movimientos'!$T$5:$T$1021, 0)), "")</f>
        <v/>
      </c>
      <c r="C100" s="18">
        <f>IFERROR(INDEX('Detalles movimientos'!D$5:D$1021, MATCH(88, 'Detalles movimientos'!$T$5:$T$1021, 0)), "")</f>
        <v/>
      </c>
      <c r="D100" s="19">
        <f>IFERROR(INDEX('Detalles movimientos'!E$5:E$1021, MATCH(88, 'Detalles movimientos'!$T$5:$T$1021, 0)), "")</f>
        <v/>
      </c>
      <c r="E100" s="19">
        <f>IFERROR(INDEX('Detalles movimientos'!F$5:F$1021, MATCH(88, 'Detalles movimientos'!$T$5:$T$1021, 0)), "")</f>
        <v/>
      </c>
      <c r="F100" s="18">
        <f>IFERROR(INDEX('Detalles movimientos'!G$5:G$1021, MATCH(88, 'Detalles movimientos'!$T$5:$T$1021, 0)), "")</f>
        <v/>
      </c>
      <c r="G100" s="120">
        <f>IFERROR(INDEX('Detalles movimientos'!H$5:H$1021, MATCH(88, 'Detalles movimientos'!$T$5:$T$1021, 0)), "")</f>
        <v/>
      </c>
      <c r="H100" s="121">
        <f>IFERROR(INDEX('Detalles movimientos'!I$5:I$1021, MATCH(88, 'Detalles movimientos'!$T$5:$T$1021, 0)), "")</f>
        <v/>
      </c>
      <c r="I100" s="120">
        <f>IFERROR(INDEX('Detalles movimientos'!M$5:M$1021, MATCH(88, 'Detalles movimientos'!$T$5:$T$1021, 0)), "")</f>
        <v/>
      </c>
      <c r="J100" s="19">
        <f>IFERROR(INDEX('Detalles movimientos'!N$5:N$1021, MATCH(88, 'Detalles movimientos'!$T$5:$T$1021, 0)), "")</f>
        <v/>
      </c>
      <c r="K100" s="120">
        <f>IFERROR(INDEX('Detalles movimientos'!O$5:O$1021, MATCH(88, 'Detalles movimientos'!$T$5:$T$1021, 0)), "")</f>
        <v/>
      </c>
      <c r="L100" s="18">
        <f>IFERROR(INDEX('Detalles movimientos'!P$5:P$1021, MATCH(88, 'Detalles movimientos'!$T$5:$T$1021, 0)), "")</f>
        <v/>
      </c>
      <c r="M100" s="18">
        <f>IFERROR(INDEX('Detalles movimientos'!S$5:S$1021, MATCH(88, 'Detalles movimientos'!$T$5:$T$1021, 0)), "")</f>
        <v/>
      </c>
    </row>
    <row r="101">
      <c r="B101" s="119">
        <f>IFERROR(INDEX('Detalles movimientos'!C$5:C$1021, MATCH(89, 'Detalles movimientos'!$T$5:$T$1021, 0)), "")</f>
        <v/>
      </c>
      <c r="C101" s="18">
        <f>IFERROR(INDEX('Detalles movimientos'!D$5:D$1021, MATCH(89, 'Detalles movimientos'!$T$5:$T$1021, 0)), "")</f>
        <v/>
      </c>
      <c r="D101" s="19">
        <f>IFERROR(INDEX('Detalles movimientos'!E$5:E$1021, MATCH(89, 'Detalles movimientos'!$T$5:$T$1021, 0)), "")</f>
        <v/>
      </c>
      <c r="E101" s="19">
        <f>IFERROR(INDEX('Detalles movimientos'!F$5:F$1021, MATCH(89, 'Detalles movimientos'!$T$5:$T$1021, 0)), "")</f>
        <v/>
      </c>
      <c r="F101" s="18">
        <f>IFERROR(INDEX('Detalles movimientos'!G$5:G$1021, MATCH(89, 'Detalles movimientos'!$T$5:$T$1021, 0)), "")</f>
        <v/>
      </c>
      <c r="G101" s="120">
        <f>IFERROR(INDEX('Detalles movimientos'!H$5:H$1021, MATCH(89, 'Detalles movimientos'!$T$5:$T$1021, 0)), "")</f>
        <v/>
      </c>
      <c r="H101" s="121">
        <f>IFERROR(INDEX('Detalles movimientos'!I$5:I$1021, MATCH(89, 'Detalles movimientos'!$T$5:$T$1021, 0)), "")</f>
        <v/>
      </c>
      <c r="I101" s="120">
        <f>IFERROR(INDEX('Detalles movimientos'!M$5:M$1021, MATCH(89, 'Detalles movimientos'!$T$5:$T$1021, 0)), "")</f>
        <v/>
      </c>
      <c r="J101" s="19">
        <f>IFERROR(INDEX('Detalles movimientos'!N$5:N$1021, MATCH(89, 'Detalles movimientos'!$T$5:$T$1021, 0)), "")</f>
        <v/>
      </c>
      <c r="K101" s="120">
        <f>IFERROR(INDEX('Detalles movimientos'!O$5:O$1021, MATCH(89, 'Detalles movimientos'!$T$5:$T$1021, 0)), "")</f>
        <v/>
      </c>
      <c r="L101" s="18">
        <f>IFERROR(INDEX('Detalles movimientos'!P$5:P$1021, MATCH(89, 'Detalles movimientos'!$T$5:$T$1021, 0)), "")</f>
        <v/>
      </c>
      <c r="M101" s="18">
        <f>IFERROR(INDEX('Detalles movimientos'!S$5:S$1021, MATCH(89, 'Detalles movimientos'!$T$5:$T$1021, 0)), "")</f>
        <v/>
      </c>
    </row>
    <row r="102">
      <c r="B102" s="119">
        <f>IFERROR(INDEX('Detalles movimientos'!C$5:C$1021, MATCH(90, 'Detalles movimientos'!$T$5:$T$1021, 0)), "")</f>
        <v/>
      </c>
      <c r="C102" s="18">
        <f>IFERROR(INDEX('Detalles movimientos'!D$5:D$1021, MATCH(90, 'Detalles movimientos'!$T$5:$T$1021, 0)), "")</f>
        <v/>
      </c>
      <c r="D102" s="19">
        <f>IFERROR(INDEX('Detalles movimientos'!E$5:E$1021, MATCH(90, 'Detalles movimientos'!$T$5:$T$1021, 0)), "")</f>
        <v/>
      </c>
      <c r="E102" s="19">
        <f>IFERROR(INDEX('Detalles movimientos'!F$5:F$1021, MATCH(90, 'Detalles movimientos'!$T$5:$T$1021, 0)), "")</f>
        <v/>
      </c>
      <c r="F102" s="18">
        <f>IFERROR(INDEX('Detalles movimientos'!G$5:G$1021, MATCH(90, 'Detalles movimientos'!$T$5:$T$1021, 0)), "")</f>
        <v/>
      </c>
      <c r="G102" s="120">
        <f>IFERROR(INDEX('Detalles movimientos'!H$5:H$1021, MATCH(90, 'Detalles movimientos'!$T$5:$T$1021, 0)), "")</f>
        <v/>
      </c>
      <c r="H102" s="121">
        <f>IFERROR(INDEX('Detalles movimientos'!I$5:I$1021, MATCH(90, 'Detalles movimientos'!$T$5:$T$1021, 0)), "")</f>
        <v/>
      </c>
      <c r="I102" s="120">
        <f>IFERROR(INDEX('Detalles movimientos'!M$5:M$1021, MATCH(90, 'Detalles movimientos'!$T$5:$T$1021, 0)), "")</f>
        <v/>
      </c>
      <c r="J102" s="19">
        <f>IFERROR(INDEX('Detalles movimientos'!N$5:N$1021, MATCH(90, 'Detalles movimientos'!$T$5:$T$1021, 0)), "")</f>
        <v/>
      </c>
      <c r="K102" s="120">
        <f>IFERROR(INDEX('Detalles movimientos'!O$5:O$1021, MATCH(90, 'Detalles movimientos'!$T$5:$T$1021, 0)), "")</f>
        <v/>
      </c>
      <c r="L102" s="18">
        <f>IFERROR(INDEX('Detalles movimientos'!P$5:P$1021, MATCH(90, 'Detalles movimientos'!$T$5:$T$1021, 0)), "")</f>
        <v/>
      </c>
      <c r="M102" s="18">
        <f>IFERROR(INDEX('Detalles movimientos'!S$5:S$1021, MATCH(90, 'Detalles movimientos'!$T$5:$T$1021, 0)), "")</f>
        <v/>
      </c>
    </row>
    <row r="103">
      <c r="B103" s="119">
        <f>IFERROR(INDEX('Detalles movimientos'!C$5:C$1021, MATCH(91, 'Detalles movimientos'!$T$5:$T$1021, 0)), "")</f>
        <v/>
      </c>
      <c r="C103" s="18">
        <f>IFERROR(INDEX('Detalles movimientos'!D$5:D$1021, MATCH(91, 'Detalles movimientos'!$T$5:$T$1021, 0)), "")</f>
        <v/>
      </c>
      <c r="D103" s="19">
        <f>IFERROR(INDEX('Detalles movimientos'!E$5:E$1021, MATCH(91, 'Detalles movimientos'!$T$5:$T$1021, 0)), "")</f>
        <v/>
      </c>
      <c r="E103" s="19">
        <f>IFERROR(INDEX('Detalles movimientos'!F$5:F$1021, MATCH(91, 'Detalles movimientos'!$T$5:$T$1021, 0)), "")</f>
        <v/>
      </c>
      <c r="F103" s="18">
        <f>IFERROR(INDEX('Detalles movimientos'!G$5:G$1021, MATCH(91, 'Detalles movimientos'!$T$5:$T$1021, 0)), "")</f>
        <v/>
      </c>
      <c r="G103" s="120">
        <f>IFERROR(INDEX('Detalles movimientos'!H$5:H$1021, MATCH(91, 'Detalles movimientos'!$T$5:$T$1021, 0)), "")</f>
        <v/>
      </c>
      <c r="H103" s="121">
        <f>IFERROR(INDEX('Detalles movimientos'!I$5:I$1021, MATCH(91, 'Detalles movimientos'!$T$5:$T$1021, 0)), "")</f>
        <v/>
      </c>
      <c r="I103" s="120">
        <f>IFERROR(INDEX('Detalles movimientos'!M$5:M$1021, MATCH(91, 'Detalles movimientos'!$T$5:$T$1021, 0)), "")</f>
        <v/>
      </c>
      <c r="J103" s="19">
        <f>IFERROR(INDEX('Detalles movimientos'!N$5:N$1021, MATCH(91, 'Detalles movimientos'!$T$5:$T$1021, 0)), "")</f>
        <v/>
      </c>
      <c r="K103" s="120">
        <f>IFERROR(INDEX('Detalles movimientos'!O$5:O$1021, MATCH(91, 'Detalles movimientos'!$T$5:$T$1021, 0)), "")</f>
        <v/>
      </c>
      <c r="L103" s="18">
        <f>IFERROR(INDEX('Detalles movimientos'!P$5:P$1021, MATCH(91, 'Detalles movimientos'!$T$5:$T$1021, 0)), "")</f>
        <v/>
      </c>
      <c r="M103" s="18">
        <f>IFERROR(INDEX('Detalles movimientos'!S$5:S$1021, MATCH(91, 'Detalles movimientos'!$T$5:$T$1021, 0)), "")</f>
        <v/>
      </c>
    </row>
    <row r="104">
      <c r="B104" s="119">
        <f>IFERROR(INDEX('Detalles movimientos'!C$5:C$1021, MATCH(92, 'Detalles movimientos'!$T$5:$T$1021, 0)), "")</f>
        <v/>
      </c>
      <c r="C104" s="18">
        <f>IFERROR(INDEX('Detalles movimientos'!D$5:D$1021, MATCH(92, 'Detalles movimientos'!$T$5:$T$1021, 0)), "")</f>
        <v/>
      </c>
      <c r="D104" s="19">
        <f>IFERROR(INDEX('Detalles movimientos'!E$5:E$1021, MATCH(92, 'Detalles movimientos'!$T$5:$T$1021, 0)), "")</f>
        <v/>
      </c>
      <c r="E104" s="19">
        <f>IFERROR(INDEX('Detalles movimientos'!F$5:F$1021, MATCH(92, 'Detalles movimientos'!$T$5:$T$1021, 0)), "")</f>
        <v/>
      </c>
      <c r="F104" s="18">
        <f>IFERROR(INDEX('Detalles movimientos'!G$5:G$1021, MATCH(92, 'Detalles movimientos'!$T$5:$T$1021, 0)), "")</f>
        <v/>
      </c>
      <c r="G104" s="120">
        <f>IFERROR(INDEX('Detalles movimientos'!H$5:H$1021, MATCH(92, 'Detalles movimientos'!$T$5:$T$1021, 0)), "")</f>
        <v/>
      </c>
      <c r="H104" s="121">
        <f>IFERROR(INDEX('Detalles movimientos'!I$5:I$1021, MATCH(92, 'Detalles movimientos'!$T$5:$T$1021, 0)), "")</f>
        <v/>
      </c>
      <c r="I104" s="120">
        <f>IFERROR(INDEX('Detalles movimientos'!M$5:M$1021, MATCH(92, 'Detalles movimientos'!$T$5:$T$1021, 0)), "")</f>
        <v/>
      </c>
      <c r="J104" s="19">
        <f>IFERROR(INDEX('Detalles movimientos'!N$5:N$1021, MATCH(92, 'Detalles movimientos'!$T$5:$T$1021, 0)), "")</f>
        <v/>
      </c>
      <c r="K104" s="120">
        <f>IFERROR(INDEX('Detalles movimientos'!O$5:O$1021, MATCH(92, 'Detalles movimientos'!$T$5:$T$1021, 0)), "")</f>
        <v/>
      </c>
      <c r="L104" s="18">
        <f>IFERROR(INDEX('Detalles movimientos'!P$5:P$1021, MATCH(92, 'Detalles movimientos'!$T$5:$T$1021, 0)), "")</f>
        <v/>
      </c>
      <c r="M104" s="18">
        <f>IFERROR(INDEX('Detalles movimientos'!S$5:S$1021, MATCH(92, 'Detalles movimientos'!$T$5:$T$1021, 0)), "")</f>
        <v/>
      </c>
    </row>
    <row r="105">
      <c r="B105" s="119">
        <f>IFERROR(INDEX('Detalles movimientos'!C$5:C$1021, MATCH(93, 'Detalles movimientos'!$T$5:$T$1021, 0)), "")</f>
        <v/>
      </c>
      <c r="C105" s="18">
        <f>IFERROR(INDEX('Detalles movimientos'!D$5:D$1021, MATCH(93, 'Detalles movimientos'!$T$5:$T$1021, 0)), "")</f>
        <v/>
      </c>
      <c r="D105" s="19">
        <f>IFERROR(INDEX('Detalles movimientos'!E$5:E$1021, MATCH(93, 'Detalles movimientos'!$T$5:$T$1021, 0)), "")</f>
        <v/>
      </c>
      <c r="E105" s="19">
        <f>IFERROR(INDEX('Detalles movimientos'!F$5:F$1021, MATCH(93, 'Detalles movimientos'!$T$5:$T$1021, 0)), "")</f>
        <v/>
      </c>
      <c r="F105" s="18">
        <f>IFERROR(INDEX('Detalles movimientos'!G$5:G$1021, MATCH(93, 'Detalles movimientos'!$T$5:$T$1021, 0)), "")</f>
        <v/>
      </c>
      <c r="G105" s="120">
        <f>IFERROR(INDEX('Detalles movimientos'!H$5:H$1021, MATCH(93, 'Detalles movimientos'!$T$5:$T$1021, 0)), "")</f>
        <v/>
      </c>
      <c r="H105" s="121">
        <f>IFERROR(INDEX('Detalles movimientos'!I$5:I$1021, MATCH(93, 'Detalles movimientos'!$T$5:$T$1021, 0)), "")</f>
        <v/>
      </c>
      <c r="I105" s="120">
        <f>IFERROR(INDEX('Detalles movimientos'!M$5:M$1021, MATCH(93, 'Detalles movimientos'!$T$5:$T$1021, 0)), "")</f>
        <v/>
      </c>
      <c r="J105" s="19">
        <f>IFERROR(INDEX('Detalles movimientos'!N$5:N$1021, MATCH(93, 'Detalles movimientos'!$T$5:$T$1021, 0)), "")</f>
        <v/>
      </c>
      <c r="K105" s="120">
        <f>IFERROR(INDEX('Detalles movimientos'!O$5:O$1021, MATCH(93, 'Detalles movimientos'!$T$5:$T$1021, 0)), "")</f>
        <v/>
      </c>
      <c r="L105" s="18">
        <f>IFERROR(INDEX('Detalles movimientos'!P$5:P$1021, MATCH(93, 'Detalles movimientos'!$T$5:$T$1021, 0)), "")</f>
        <v/>
      </c>
      <c r="M105" s="18">
        <f>IFERROR(INDEX('Detalles movimientos'!S$5:S$1021, MATCH(93, 'Detalles movimientos'!$T$5:$T$1021, 0)), "")</f>
        <v/>
      </c>
    </row>
    <row r="106">
      <c r="B106" s="119">
        <f>IFERROR(INDEX('Detalles movimientos'!C$5:C$1021, MATCH(94, 'Detalles movimientos'!$T$5:$T$1021, 0)), "")</f>
        <v/>
      </c>
      <c r="C106" s="18">
        <f>IFERROR(INDEX('Detalles movimientos'!D$5:D$1021, MATCH(94, 'Detalles movimientos'!$T$5:$T$1021, 0)), "")</f>
        <v/>
      </c>
      <c r="D106" s="19">
        <f>IFERROR(INDEX('Detalles movimientos'!E$5:E$1021, MATCH(94, 'Detalles movimientos'!$T$5:$T$1021, 0)), "")</f>
        <v/>
      </c>
      <c r="E106" s="19">
        <f>IFERROR(INDEX('Detalles movimientos'!F$5:F$1021, MATCH(94, 'Detalles movimientos'!$T$5:$T$1021, 0)), "")</f>
        <v/>
      </c>
      <c r="F106" s="18">
        <f>IFERROR(INDEX('Detalles movimientos'!G$5:G$1021, MATCH(94, 'Detalles movimientos'!$T$5:$T$1021, 0)), "")</f>
        <v/>
      </c>
      <c r="G106" s="120">
        <f>IFERROR(INDEX('Detalles movimientos'!H$5:H$1021, MATCH(94, 'Detalles movimientos'!$T$5:$T$1021, 0)), "")</f>
        <v/>
      </c>
      <c r="H106" s="121">
        <f>IFERROR(INDEX('Detalles movimientos'!I$5:I$1021, MATCH(94, 'Detalles movimientos'!$T$5:$T$1021, 0)), "")</f>
        <v/>
      </c>
      <c r="I106" s="120">
        <f>IFERROR(INDEX('Detalles movimientos'!M$5:M$1021, MATCH(94, 'Detalles movimientos'!$T$5:$T$1021, 0)), "")</f>
        <v/>
      </c>
      <c r="J106" s="19">
        <f>IFERROR(INDEX('Detalles movimientos'!N$5:N$1021, MATCH(94, 'Detalles movimientos'!$T$5:$T$1021, 0)), "")</f>
        <v/>
      </c>
      <c r="K106" s="120">
        <f>IFERROR(INDEX('Detalles movimientos'!O$5:O$1021, MATCH(94, 'Detalles movimientos'!$T$5:$T$1021, 0)), "")</f>
        <v/>
      </c>
      <c r="L106" s="18">
        <f>IFERROR(INDEX('Detalles movimientos'!P$5:P$1021, MATCH(94, 'Detalles movimientos'!$T$5:$T$1021, 0)), "")</f>
        <v/>
      </c>
      <c r="M106" s="18">
        <f>IFERROR(INDEX('Detalles movimientos'!S$5:S$1021, MATCH(94, 'Detalles movimientos'!$T$5:$T$1021, 0)), "")</f>
        <v/>
      </c>
    </row>
    <row r="107">
      <c r="B107" s="119">
        <f>IFERROR(INDEX('Detalles movimientos'!C$5:C$1021, MATCH(95, 'Detalles movimientos'!$T$5:$T$1021, 0)), "")</f>
        <v/>
      </c>
      <c r="C107" s="18">
        <f>IFERROR(INDEX('Detalles movimientos'!D$5:D$1021, MATCH(95, 'Detalles movimientos'!$T$5:$T$1021, 0)), "")</f>
        <v/>
      </c>
      <c r="D107" s="19">
        <f>IFERROR(INDEX('Detalles movimientos'!E$5:E$1021, MATCH(95, 'Detalles movimientos'!$T$5:$T$1021, 0)), "")</f>
        <v/>
      </c>
      <c r="E107" s="19">
        <f>IFERROR(INDEX('Detalles movimientos'!F$5:F$1021, MATCH(95, 'Detalles movimientos'!$T$5:$T$1021, 0)), "")</f>
        <v/>
      </c>
      <c r="F107" s="18">
        <f>IFERROR(INDEX('Detalles movimientos'!G$5:G$1021, MATCH(95, 'Detalles movimientos'!$T$5:$T$1021, 0)), "")</f>
        <v/>
      </c>
      <c r="G107" s="120">
        <f>IFERROR(INDEX('Detalles movimientos'!H$5:H$1021, MATCH(95, 'Detalles movimientos'!$T$5:$T$1021, 0)), "")</f>
        <v/>
      </c>
      <c r="H107" s="121">
        <f>IFERROR(INDEX('Detalles movimientos'!I$5:I$1021, MATCH(95, 'Detalles movimientos'!$T$5:$T$1021, 0)), "")</f>
        <v/>
      </c>
      <c r="I107" s="120">
        <f>IFERROR(INDEX('Detalles movimientos'!M$5:M$1021, MATCH(95, 'Detalles movimientos'!$T$5:$T$1021, 0)), "")</f>
        <v/>
      </c>
      <c r="J107" s="19">
        <f>IFERROR(INDEX('Detalles movimientos'!N$5:N$1021, MATCH(95, 'Detalles movimientos'!$T$5:$T$1021, 0)), "")</f>
        <v/>
      </c>
      <c r="K107" s="120">
        <f>IFERROR(INDEX('Detalles movimientos'!O$5:O$1021, MATCH(95, 'Detalles movimientos'!$T$5:$T$1021, 0)), "")</f>
        <v/>
      </c>
      <c r="L107" s="18">
        <f>IFERROR(INDEX('Detalles movimientos'!P$5:P$1021, MATCH(95, 'Detalles movimientos'!$T$5:$T$1021, 0)), "")</f>
        <v/>
      </c>
      <c r="M107" s="18">
        <f>IFERROR(INDEX('Detalles movimientos'!S$5:S$1021, MATCH(95, 'Detalles movimientos'!$T$5:$T$1021, 0)), "")</f>
        <v/>
      </c>
    </row>
    <row r="108">
      <c r="B108" s="119">
        <f>IFERROR(INDEX('Detalles movimientos'!C$5:C$1021, MATCH(96, 'Detalles movimientos'!$T$5:$T$1021, 0)), "")</f>
        <v/>
      </c>
      <c r="C108" s="18">
        <f>IFERROR(INDEX('Detalles movimientos'!D$5:D$1021, MATCH(96, 'Detalles movimientos'!$T$5:$T$1021, 0)), "")</f>
        <v/>
      </c>
      <c r="D108" s="19">
        <f>IFERROR(INDEX('Detalles movimientos'!E$5:E$1021, MATCH(96, 'Detalles movimientos'!$T$5:$T$1021, 0)), "")</f>
        <v/>
      </c>
      <c r="E108" s="19">
        <f>IFERROR(INDEX('Detalles movimientos'!F$5:F$1021, MATCH(96, 'Detalles movimientos'!$T$5:$T$1021, 0)), "")</f>
        <v/>
      </c>
      <c r="F108" s="18">
        <f>IFERROR(INDEX('Detalles movimientos'!G$5:G$1021, MATCH(96, 'Detalles movimientos'!$T$5:$T$1021, 0)), "")</f>
        <v/>
      </c>
      <c r="G108" s="120">
        <f>IFERROR(INDEX('Detalles movimientos'!H$5:H$1021, MATCH(96, 'Detalles movimientos'!$T$5:$T$1021, 0)), "")</f>
        <v/>
      </c>
      <c r="H108" s="121">
        <f>IFERROR(INDEX('Detalles movimientos'!I$5:I$1021, MATCH(96, 'Detalles movimientos'!$T$5:$T$1021, 0)), "")</f>
        <v/>
      </c>
      <c r="I108" s="120">
        <f>IFERROR(INDEX('Detalles movimientos'!M$5:M$1021, MATCH(96, 'Detalles movimientos'!$T$5:$T$1021, 0)), "")</f>
        <v/>
      </c>
      <c r="J108" s="19">
        <f>IFERROR(INDEX('Detalles movimientos'!N$5:N$1021, MATCH(96, 'Detalles movimientos'!$T$5:$T$1021, 0)), "")</f>
        <v/>
      </c>
      <c r="K108" s="120">
        <f>IFERROR(INDEX('Detalles movimientos'!O$5:O$1021, MATCH(96, 'Detalles movimientos'!$T$5:$T$1021, 0)), "")</f>
        <v/>
      </c>
      <c r="L108" s="18">
        <f>IFERROR(INDEX('Detalles movimientos'!P$5:P$1021, MATCH(96, 'Detalles movimientos'!$T$5:$T$1021, 0)), "")</f>
        <v/>
      </c>
      <c r="M108" s="18">
        <f>IFERROR(INDEX('Detalles movimientos'!S$5:S$1021, MATCH(96, 'Detalles movimientos'!$T$5:$T$1021, 0)), "")</f>
        <v/>
      </c>
    </row>
    <row r="109">
      <c r="B109" s="119">
        <f>IFERROR(INDEX('Detalles movimientos'!C$5:C$1021, MATCH(97, 'Detalles movimientos'!$T$5:$T$1021, 0)), "")</f>
        <v/>
      </c>
      <c r="C109" s="18">
        <f>IFERROR(INDEX('Detalles movimientos'!D$5:D$1021, MATCH(97, 'Detalles movimientos'!$T$5:$T$1021, 0)), "")</f>
        <v/>
      </c>
      <c r="D109" s="19">
        <f>IFERROR(INDEX('Detalles movimientos'!E$5:E$1021, MATCH(97, 'Detalles movimientos'!$T$5:$T$1021, 0)), "")</f>
        <v/>
      </c>
      <c r="E109" s="19">
        <f>IFERROR(INDEX('Detalles movimientos'!F$5:F$1021, MATCH(97, 'Detalles movimientos'!$T$5:$T$1021, 0)), "")</f>
        <v/>
      </c>
      <c r="F109" s="18">
        <f>IFERROR(INDEX('Detalles movimientos'!G$5:G$1021, MATCH(97, 'Detalles movimientos'!$T$5:$T$1021, 0)), "")</f>
        <v/>
      </c>
      <c r="G109" s="120">
        <f>IFERROR(INDEX('Detalles movimientos'!H$5:H$1021, MATCH(97, 'Detalles movimientos'!$T$5:$T$1021, 0)), "")</f>
        <v/>
      </c>
      <c r="H109" s="121">
        <f>IFERROR(INDEX('Detalles movimientos'!I$5:I$1021, MATCH(97, 'Detalles movimientos'!$T$5:$T$1021, 0)), "")</f>
        <v/>
      </c>
      <c r="I109" s="120">
        <f>IFERROR(INDEX('Detalles movimientos'!M$5:M$1021, MATCH(97, 'Detalles movimientos'!$T$5:$T$1021, 0)), "")</f>
        <v/>
      </c>
      <c r="J109" s="19">
        <f>IFERROR(INDEX('Detalles movimientos'!N$5:N$1021, MATCH(97, 'Detalles movimientos'!$T$5:$T$1021, 0)), "")</f>
        <v/>
      </c>
      <c r="K109" s="120">
        <f>IFERROR(INDEX('Detalles movimientos'!O$5:O$1021, MATCH(97, 'Detalles movimientos'!$T$5:$T$1021, 0)), "")</f>
        <v/>
      </c>
      <c r="L109" s="18">
        <f>IFERROR(INDEX('Detalles movimientos'!P$5:P$1021, MATCH(97, 'Detalles movimientos'!$T$5:$T$1021, 0)), "")</f>
        <v/>
      </c>
      <c r="M109" s="18">
        <f>IFERROR(INDEX('Detalles movimientos'!S$5:S$1021, MATCH(97, 'Detalles movimientos'!$T$5:$T$1021, 0)), "")</f>
        <v/>
      </c>
    </row>
    <row r="110">
      <c r="B110" s="119">
        <f>IFERROR(INDEX('Detalles movimientos'!C$5:C$1021, MATCH(98, 'Detalles movimientos'!$T$5:$T$1021, 0)), "")</f>
        <v/>
      </c>
      <c r="C110" s="18">
        <f>IFERROR(INDEX('Detalles movimientos'!D$5:D$1021, MATCH(98, 'Detalles movimientos'!$T$5:$T$1021, 0)), "")</f>
        <v/>
      </c>
      <c r="D110" s="19">
        <f>IFERROR(INDEX('Detalles movimientos'!E$5:E$1021, MATCH(98, 'Detalles movimientos'!$T$5:$T$1021, 0)), "")</f>
        <v/>
      </c>
      <c r="E110" s="19">
        <f>IFERROR(INDEX('Detalles movimientos'!F$5:F$1021, MATCH(98, 'Detalles movimientos'!$T$5:$T$1021, 0)), "")</f>
        <v/>
      </c>
      <c r="F110" s="18">
        <f>IFERROR(INDEX('Detalles movimientos'!G$5:G$1021, MATCH(98, 'Detalles movimientos'!$T$5:$T$1021, 0)), "")</f>
        <v/>
      </c>
      <c r="G110" s="120">
        <f>IFERROR(INDEX('Detalles movimientos'!H$5:H$1021, MATCH(98, 'Detalles movimientos'!$T$5:$T$1021, 0)), "")</f>
        <v/>
      </c>
      <c r="H110" s="121">
        <f>IFERROR(INDEX('Detalles movimientos'!I$5:I$1021, MATCH(98, 'Detalles movimientos'!$T$5:$T$1021, 0)), "")</f>
        <v/>
      </c>
      <c r="I110" s="120">
        <f>IFERROR(INDEX('Detalles movimientos'!M$5:M$1021, MATCH(98, 'Detalles movimientos'!$T$5:$T$1021, 0)), "")</f>
        <v/>
      </c>
      <c r="J110" s="19">
        <f>IFERROR(INDEX('Detalles movimientos'!N$5:N$1021, MATCH(98, 'Detalles movimientos'!$T$5:$T$1021, 0)), "")</f>
        <v/>
      </c>
      <c r="K110" s="120">
        <f>IFERROR(INDEX('Detalles movimientos'!O$5:O$1021, MATCH(98, 'Detalles movimientos'!$T$5:$T$1021, 0)), "")</f>
        <v/>
      </c>
      <c r="L110" s="18">
        <f>IFERROR(INDEX('Detalles movimientos'!P$5:P$1021, MATCH(98, 'Detalles movimientos'!$T$5:$T$1021, 0)), "")</f>
        <v/>
      </c>
      <c r="M110" s="18">
        <f>IFERROR(INDEX('Detalles movimientos'!S$5:S$1021, MATCH(98, 'Detalles movimientos'!$T$5:$T$1021, 0)), "")</f>
        <v/>
      </c>
    </row>
    <row r="111">
      <c r="B111" s="119">
        <f>IFERROR(INDEX('Detalles movimientos'!C$5:C$1021, MATCH(99, 'Detalles movimientos'!$T$5:$T$1021, 0)), "")</f>
        <v/>
      </c>
      <c r="C111" s="18">
        <f>IFERROR(INDEX('Detalles movimientos'!D$5:D$1021, MATCH(99, 'Detalles movimientos'!$T$5:$T$1021, 0)), "")</f>
        <v/>
      </c>
      <c r="D111" s="19">
        <f>IFERROR(INDEX('Detalles movimientos'!E$5:E$1021, MATCH(99, 'Detalles movimientos'!$T$5:$T$1021, 0)), "")</f>
        <v/>
      </c>
      <c r="E111" s="19">
        <f>IFERROR(INDEX('Detalles movimientos'!F$5:F$1021, MATCH(99, 'Detalles movimientos'!$T$5:$T$1021, 0)), "")</f>
        <v/>
      </c>
      <c r="F111" s="18">
        <f>IFERROR(INDEX('Detalles movimientos'!G$5:G$1021, MATCH(99, 'Detalles movimientos'!$T$5:$T$1021, 0)), "")</f>
        <v/>
      </c>
      <c r="G111" s="120">
        <f>IFERROR(INDEX('Detalles movimientos'!H$5:H$1021, MATCH(99, 'Detalles movimientos'!$T$5:$T$1021, 0)), "")</f>
        <v/>
      </c>
      <c r="H111" s="121">
        <f>IFERROR(INDEX('Detalles movimientos'!I$5:I$1021, MATCH(99, 'Detalles movimientos'!$T$5:$T$1021, 0)), "")</f>
        <v/>
      </c>
      <c r="I111" s="120">
        <f>IFERROR(INDEX('Detalles movimientos'!M$5:M$1021, MATCH(99, 'Detalles movimientos'!$T$5:$T$1021, 0)), "")</f>
        <v/>
      </c>
      <c r="J111" s="19">
        <f>IFERROR(INDEX('Detalles movimientos'!N$5:N$1021, MATCH(99, 'Detalles movimientos'!$T$5:$T$1021, 0)), "")</f>
        <v/>
      </c>
      <c r="K111" s="120">
        <f>IFERROR(INDEX('Detalles movimientos'!O$5:O$1021, MATCH(99, 'Detalles movimientos'!$T$5:$T$1021, 0)), "")</f>
        <v/>
      </c>
      <c r="L111" s="18">
        <f>IFERROR(INDEX('Detalles movimientos'!P$5:P$1021, MATCH(99, 'Detalles movimientos'!$T$5:$T$1021, 0)), "")</f>
        <v/>
      </c>
      <c r="M111" s="18">
        <f>IFERROR(INDEX('Detalles movimientos'!S$5:S$1021, MATCH(99, 'Detalles movimientos'!$T$5:$T$1021, 0)), "")</f>
        <v/>
      </c>
    </row>
    <row r="112">
      <c r="B112" s="119">
        <f>IFERROR(INDEX('Detalles movimientos'!C$5:C$1021, MATCH(100, 'Detalles movimientos'!$T$5:$T$1021, 0)), "")</f>
        <v/>
      </c>
      <c r="C112" s="18">
        <f>IFERROR(INDEX('Detalles movimientos'!D$5:D$1021, MATCH(100, 'Detalles movimientos'!$T$5:$T$1021, 0)), "")</f>
        <v/>
      </c>
      <c r="D112" s="19">
        <f>IFERROR(INDEX('Detalles movimientos'!E$5:E$1021, MATCH(100, 'Detalles movimientos'!$T$5:$T$1021, 0)), "")</f>
        <v/>
      </c>
      <c r="E112" s="19">
        <f>IFERROR(INDEX('Detalles movimientos'!F$5:F$1021, MATCH(100, 'Detalles movimientos'!$T$5:$T$1021, 0)), "")</f>
        <v/>
      </c>
      <c r="F112" s="18">
        <f>IFERROR(INDEX('Detalles movimientos'!G$5:G$1021, MATCH(100, 'Detalles movimientos'!$T$5:$T$1021, 0)), "")</f>
        <v/>
      </c>
      <c r="G112" s="120">
        <f>IFERROR(INDEX('Detalles movimientos'!H$5:H$1021, MATCH(100, 'Detalles movimientos'!$T$5:$T$1021, 0)), "")</f>
        <v/>
      </c>
      <c r="H112" s="121">
        <f>IFERROR(INDEX('Detalles movimientos'!I$5:I$1021, MATCH(100, 'Detalles movimientos'!$T$5:$T$1021, 0)), "")</f>
        <v/>
      </c>
      <c r="I112" s="120">
        <f>IFERROR(INDEX('Detalles movimientos'!M$5:M$1021, MATCH(100, 'Detalles movimientos'!$T$5:$T$1021, 0)), "")</f>
        <v/>
      </c>
      <c r="J112" s="19">
        <f>IFERROR(INDEX('Detalles movimientos'!N$5:N$1021, MATCH(100, 'Detalles movimientos'!$T$5:$T$1021, 0)), "")</f>
        <v/>
      </c>
      <c r="K112" s="120">
        <f>IFERROR(INDEX('Detalles movimientos'!O$5:O$1021, MATCH(100, 'Detalles movimientos'!$T$5:$T$1021, 0)), "")</f>
        <v/>
      </c>
      <c r="L112" s="18">
        <f>IFERROR(INDEX('Detalles movimientos'!P$5:P$1021, MATCH(100, 'Detalles movimientos'!$T$5:$T$1021, 0)), "")</f>
        <v/>
      </c>
      <c r="M112" s="18">
        <f>IFERROR(INDEX('Detalles movimientos'!S$5:S$1021, MATCH(100, 'Detalles movimientos'!$T$5:$T$1021, 0)), "")</f>
        <v/>
      </c>
    </row>
    <row r="113">
      <c r="B113" s="119">
        <f>IFERROR(INDEX('Detalles movimientos'!C$5:C$1021, MATCH(101, 'Detalles movimientos'!$T$5:$T$1021, 0)), "")</f>
        <v/>
      </c>
      <c r="C113" s="18">
        <f>IFERROR(INDEX('Detalles movimientos'!D$5:D$1021, MATCH(101, 'Detalles movimientos'!$T$5:$T$1021, 0)), "")</f>
        <v/>
      </c>
      <c r="D113" s="19">
        <f>IFERROR(INDEX('Detalles movimientos'!E$5:E$1021, MATCH(101, 'Detalles movimientos'!$T$5:$T$1021, 0)), "")</f>
        <v/>
      </c>
      <c r="E113" s="19">
        <f>IFERROR(INDEX('Detalles movimientos'!F$5:F$1021, MATCH(101, 'Detalles movimientos'!$T$5:$T$1021, 0)), "")</f>
        <v/>
      </c>
      <c r="F113" s="18">
        <f>IFERROR(INDEX('Detalles movimientos'!G$5:G$1021, MATCH(101, 'Detalles movimientos'!$T$5:$T$1021, 0)), "")</f>
        <v/>
      </c>
      <c r="G113" s="120">
        <f>IFERROR(INDEX('Detalles movimientos'!H$5:H$1021, MATCH(101, 'Detalles movimientos'!$T$5:$T$1021, 0)), "")</f>
        <v/>
      </c>
      <c r="H113" s="121">
        <f>IFERROR(INDEX('Detalles movimientos'!I$5:I$1021, MATCH(101, 'Detalles movimientos'!$T$5:$T$1021, 0)), "")</f>
        <v/>
      </c>
      <c r="I113" s="120">
        <f>IFERROR(INDEX('Detalles movimientos'!M$5:M$1021, MATCH(101, 'Detalles movimientos'!$T$5:$T$1021, 0)), "")</f>
        <v/>
      </c>
      <c r="J113" s="19">
        <f>IFERROR(INDEX('Detalles movimientos'!N$5:N$1021, MATCH(101, 'Detalles movimientos'!$T$5:$T$1021, 0)), "")</f>
        <v/>
      </c>
      <c r="K113" s="120">
        <f>IFERROR(INDEX('Detalles movimientos'!O$5:O$1021, MATCH(101, 'Detalles movimientos'!$T$5:$T$1021, 0)), "")</f>
        <v/>
      </c>
      <c r="L113" s="18">
        <f>IFERROR(INDEX('Detalles movimientos'!P$5:P$1021, MATCH(101, 'Detalles movimientos'!$T$5:$T$1021, 0)), "")</f>
        <v/>
      </c>
      <c r="M113" s="18">
        <f>IFERROR(INDEX('Detalles movimientos'!S$5:S$1021, MATCH(101, 'Detalles movimientos'!$T$5:$T$1021, 0)), "")</f>
        <v/>
      </c>
    </row>
    <row r="114">
      <c r="B114" s="119">
        <f>IFERROR(INDEX('Detalles movimientos'!C$5:C$1021, MATCH(102, 'Detalles movimientos'!$T$5:$T$1021, 0)), "")</f>
        <v/>
      </c>
      <c r="C114" s="18">
        <f>IFERROR(INDEX('Detalles movimientos'!D$5:D$1021, MATCH(102, 'Detalles movimientos'!$T$5:$T$1021, 0)), "")</f>
        <v/>
      </c>
      <c r="D114" s="19">
        <f>IFERROR(INDEX('Detalles movimientos'!E$5:E$1021, MATCH(102, 'Detalles movimientos'!$T$5:$T$1021, 0)), "")</f>
        <v/>
      </c>
      <c r="E114" s="19">
        <f>IFERROR(INDEX('Detalles movimientos'!F$5:F$1021, MATCH(102, 'Detalles movimientos'!$T$5:$T$1021, 0)), "")</f>
        <v/>
      </c>
      <c r="F114" s="18">
        <f>IFERROR(INDEX('Detalles movimientos'!G$5:G$1021, MATCH(102, 'Detalles movimientos'!$T$5:$T$1021, 0)), "")</f>
        <v/>
      </c>
      <c r="G114" s="120">
        <f>IFERROR(INDEX('Detalles movimientos'!H$5:H$1021, MATCH(102, 'Detalles movimientos'!$T$5:$T$1021, 0)), "")</f>
        <v/>
      </c>
      <c r="H114" s="121">
        <f>IFERROR(INDEX('Detalles movimientos'!I$5:I$1021, MATCH(102, 'Detalles movimientos'!$T$5:$T$1021, 0)), "")</f>
        <v/>
      </c>
      <c r="I114" s="120">
        <f>IFERROR(INDEX('Detalles movimientos'!M$5:M$1021, MATCH(102, 'Detalles movimientos'!$T$5:$T$1021, 0)), "")</f>
        <v/>
      </c>
      <c r="J114" s="19">
        <f>IFERROR(INDEX('Detalles movimientos'!N$5:N$1021, MATCH(102, 'Detalles movimientos'!$T$5:$T$1021, 0)), "")</f>
        <v/>
      </c>
      <c r="K114" s="120">
        <f>IFERROR(INDEX('Detalles movimientos'!O$5:O$1021, MATCH(102, 'Detalles movimientos'!$T$5:$T$1021, 0)), "")</f>
        <v/>
      </c>
      <c r="L114" s="18">
        <f>IFERROR(INDEX('Detalles movimientos'!P$5:P$1021, MATCH(102, 'Detalles movimientos'!$T$5:$T$1021, 0)), "")</f>
        <v/>
      </c>
      <c r="M114" s="18">
        <f>IFERROR(INDEX('Detalles movimientos'!S$5:S$1021, MATCH(102, 'Detalles movimientos'!$T$5:$T$1021, 0)), "")</f>
        <v/>
      </c>
    </row>
    <row r="115">
      <c r="B115" s="119">
        <f>IFERROR(INDEX('Detalles movimientos'!C$5:C$1021, MATCH(103, 'Detalles movimientos'!$T$5:$T$1021, 0)), "")</f>
        <v/>
      </c>
      <c r="C115" s="18">
        <f>IFERROR(INDEX('Detalles movimientos'!D$5:D$1021, MATCH(103, 'Detalles movimientos'!$T$5:$T$1021, 0)), "")</f>
        <v/>
      </c>
      <c r="D115" s="19">
        <f>IFERROR(INDEX('Detalles movimientos'!E$5:E$1021, MATCH(103, 'Detalles movimientos'!$T$5:$T$1021, 0)), "")</f>
        <v/>
      </c>
      <c r="E115" s="19">
        <f>IFERROR(INDEX('Detalles movimientos'!F$5:F$1021, MATCH(103, 'Detalles movimientos'!$T$5:$T$1021, 0)), "")</f>
        <v/>
      </c>
      <c r="F115" s="18">
        <f>IFERROR(INDEX('Detalles movimientos'!G$5:G$1021, MATCH(103, 'Detalles movimientos'!$T$5:$T$1021, 0)), "")</f>
        <v/>
      </c>
      <c r="G115" s="120">
        <f>IFERROR(INDEX('Detalles movimientos'!H$5:H$1021, MATCH(103, 'Detalles movimientos'!$T$5:$T$1021, 0)), "")</f>
        <v/>
      </c>
      <c r="H115" s="121">
        <f>IFERROR(INDEX('Detalles movimientos'!I$5:I$1021, MATCH(103, 'Detalles movimientos'!$T$5:$T$1021, 0)), "")</f>
        <v/>
      </c>
      <c r="I115" s="120">
        <f>IFERROR(INDEX('Detalles movimientos'!M$5:M$1021, MATCH(103, 'Detalles movimientos'!$T$5:$T$1021, 0)), "")</f>
        <v/>
      </c>
      <c r="J115" s="19">
        <f>IFERROR(INDEX('Detalles movimientos'!N$5:N$1021, MATCH(103, 'Detalles movimientos'!$T$5:$T$1021, 0)), "")</f>
        <v/>
      </c>
      <c r="K115" s="120">
        <f>IFERROR(INDEX('Detalles movimientos'!O$5:O$1021, MATCH(103, 'Detalles movimientos'!$T$5:$T$1021, 0)), "")</f>
        <v/>
      </c>
      <c r="L115" s="18">
        <f>IFERROR(INDEX('Detalles movimientos'!P$5:P$1021, MATCH(103, 'Detalles movimientos'!$T$5:$T$1021, 0)), "")</f>
        <v/>
      </c>
      <c r="M115" s="18">
        <f>IFERROR(INDEX('Detalles movimientos'!S$5:S$1021, MATCH(103, 'Detalles movimientos'!$T$5:$T$1021, 0)), "")</f>
        <v/>
      </c>
    </row>
    <row r="116">
      <c r="B116" s="119">
        <f>IFERROR(INDEX('Detalles movimientos'!C$5:C$1021, MATCH(104, 'Detalles movimientos'!$T$5:$T$1021, 0)), "")</f>
        <v/>
      </c>
      <c r="C116" s="18">
        <f>IFERROR(INDEX('Detalles movimientos'!D$5:D$1021, MATCH(104, 'Detalles movimientos'!$T$5:$T$1021, 0)), "")</f>
        <v/>
      </c>
      <c r="D116" s="19">
        <f>IFERROR(INDEX('Detalles movimientos'!E$5:E$1021, MATCH(104, 'Detalles movimientos'!$T$5:$T$1021, 0)), "")</f>
        <v/>
      </c>
      <c r="E116" s="19">
        <f>IFERROR(INDEX('Detalles movimientos'!F$5:F$1021, MATCH(104, 'Detalles movimientos'!$T$5:$T$1021, 0)), "")</f>
        <v/>
      </c>
      <c r="F116" s="18">
        <f>IFERROR(INDEX('Detalles movimientos'!G$5:G$1021, MATCH(104, 'Detalles movimientos'!$T$5:$T$1021, 0)), "")</f>
        <v/>
      </c>
      <c r="G116" s="120">
        <f>IFERROR(INDEX('Detalles movimientos'!H$5:H$1021, MATCH(104, 'Detalles movimientos'!$T$5:$T$1021, 0)), "")</f>
        <v/>
      </c>
      <c r="H116" s="121">
        <f>IFERROR(INDEX('Detalles movimientos'!I$5:I$1021, MATCH(104, 'Detalles movimientos'!$T$5:$T$1021, 0)), "")</f>
        <v/>
      </c>
      <c r="I116" s="120">
        <f>IFERROR(INDEX('Detalles movimientos'!M$5:M$1021, MATCH(104, 'Detalles movimientos'!$T$5:$T$1021, 0)), "")</f>
        <v/>
      </c>
      <c r="J116" s="19">
        <f>IFERROR(INDEX('Detalles movimientos'!N$5:N$1021, MATCH(104, 'Detalles movimientos'!$T$5:$T$1021, 0)), "")</f>
        <v/>
      </c>
      <c r="K116" s="120">
        <f>IFERROR(INDEX('Detalles movimientos'!O$5:O$1021, MATCH(104, 'Detalles movimientos'!$T$5:$T$1021, 0)), "")</f>
        <v/>
      </c>
      <c r="L116" s="18">
        <f>IFERROR(INDEX('Detalles movimientos'!P$5:P$1021, MATCH(104, 'Detalles movimientos'!$T$5:$T$1021, 0)), "")</f>
        <v/>
      </c>
      <c r="M116" s="18">
        <f>IFERROR(INDEX('Detalles movimientos'!S$5:S$1021, MATCH(104, 'Detalles movimientos'!$T$5:$T$1021, 0)), "")</f>
        <v/>
      </c>
    </row>
    <row r="117">
      <c r="B117" s="119">
        <f>IFERROR(INDEX('Detalles movimientos'!C$5:C$1021, MATCH(105, 'Detalles movimientos'!$T$5:$T$1021, 0)), "")</f>
        <v/>
      </c>
      <c r="C117" s="18">
        <f>IFERROR(INDEX('Detalles movimientos'!D$5:D$1021, MATCH(105, 'Detalles movimientos'!$T$5:$T$1021, 0)), "")</f>
        <v/>
      </c>
      <c r="D117" s="19">
        <f>IFERROR(INDEX('Detalles movimientos'!E$5:E$1021, MATCH(105, 'Detalles movimientos'!$T$5:$T$1021, 0)), "")</f>
        <v/>
      </c>
      <c r="E117" s="19">
        <f>IFERROR(INDEX('Detalles movimientos'!F$5:F$1021, MATCH(105, 'Detalles movimientos'!$T$5:$T$1021, 0)), "")</f>
        <v/>
      </c>
      <c r="F117" s="18">
        <f>IFERROR(INDEX('Detalles movimientos'!G$5:G$1021, MATCH(105, 'Detalles movimientos'!$T$5:$T$1021, 0)), "")</f>
        <v/>
      </c>
      <c r="G117" s="120">
        <f>IFERROR(INDEX('Detalles movimientos'!H$5:H$1021, MATCH(105, 'Detalles movimientos'!$T$5:$T$1021, 0)), "")</f>
        <v/>
      </c>
      <c r="H117" s="121">
        <f>IFERROR(INDEX('Detalles movimientos'!I$5:I$1021, MATCH(105, 'Detalles movimientos'!$T$5:$T$1021, 0)), "")</f>
        <v/>
      </c>
      <c r="I117" s="120">
        <f>IFERROR(INDEX('Detalles movimientos'!M$5:M$1021, MATCH(105, 'Detalles movimientos'!$T$5:$T$1021, 0)), "")</f>
        <v/>
      </c>
      <c r="J117" s="19">
        <f>IFERROR(INDEX('Detalles movimientos'!N$5:N$1021, MATCH(105, 'Detalles movimientos'!$T$5:$T$1021, 0)), "")</f>
        <v/>
      </c>
      <c r="K117" s="120">
        <f>IFERROR(INDEX('Detalles movimientos'!O$5:O$1021, MATCH(105, 'Detalles movimientos'!$T$5:$T$1021, 0)), "")</f>
        <v/>
      </c>
      <c r="L117" s="18">
        <f>IFERROR(INDEX('Detalles movimientos'!P$5:P$1021, MATCH(105, 'Detalles movimientos'!$T$5:$T$1021, 0)), "")</f>
        <v/>
      </c>
      <c r="M117" s="18">
        <f>IFERROR(INDEX('Detalles movimientos'!S$5:S$1021, MATCH(105, 'Detalles movimientos'!$T$5:$T$1021, 0)), "")</f>
        <v/>
      </c>
    </row>
    <row r="118">
      <c r="B118" s="119">
        <f>IFERROR(INDEX('Detalles movimientos'!C$5:C$1021, MATCH(106, 'Detalles movimientos'!$T$5:$T$1021, 0)), "")</f>
        <v/>
      </c>
      <c r="C118" s="18">
        <f>IFERROR(INDEX('Detalles movimientos'!D$5:D$1021, MATCH(106, 'Detalles movimientos'!$T$5:$T$1021, 0)), "")</f>
        <v/>
      </c>
      <c r="D118" s="19">
        <f>IFERROR(INDEX('Detalles movimientos'!E$5:E$1021, MATCH(106, 'Detalles movimientos'!$T$5:$T$1021, 0)), "")</f>
        <v/>
      </c>
      <c r="E118" s="19">
        <f>IFERROR(INDEX('Detalles movimientos'!F$5:F$1021, MATCH(106, 'Detalles movimientos'!$T$5:$T$1021, 0)), "")</f>
        <v/>
      </c>
      <c r="F118" s="18">
        <f>IFERROR(INDEX('Detalles movimientos'!G$5:G$1021, MATCH(106, 'Detalles movimientos'!$T$5:$T$1021, 0)), "")</f>
        <v/>
      </c>
      <c r="G118" s="120">
        <f>IFERROR(INDEX('Detalles movimientos'!H$5:H$1021, MATCH(106, 'Detalles movimientos'!$T$5:$T$1021, 0)), "")</f>
        <v/>
      </c>
      <c r="H118" s="121">
        <f>IFERROR(INDEX('Detalles movimientos'!I$5:I$1021, MATCH(106, 'Detalles movimientos'!$T$5:$T$1021, 0)), "")</f>
        <v/>
      </c>
      <c r="I118" s="120">
        <f>IFERROR(INDEX('Detalles movimientos'!M$5:M$1021, MATCH(106, 'Detalles movimientos'!$T$5:$T$1021, 0)), "")</f>
        <v/>
      </c>
      <c r="J118" s="19">
        <f>IFERROR(INDEX('Detalles movimientos'!N$5:N$1021, MATCH(106, 'Detalles movimientos'!$T$5:$T$1021, 0)), "")</f>
        <v/>
      </c>
      <c r="K118" s="120">
        <f>IFERROR(INDEX('Detalles movimientos'!O$5:O$1021, MATCH(106, 'Detalles movimientos'!$T$5:$T$1021, 0)), "")</f>
        <v/>
      </c>
      <c r="L118" s="18">
        <f>IFERROR(INDEX('Detalles movimientos'!P$5:P$1021, MATCH(106, 'Detalles movimientos'!$T$5:$T$1021, 0)), "")</f>
        <v/>
      </c>
      <c r="M118" s="18">
        <f>IFERROR(INDEX('Detalles movimientos'!S$5:S$1021, MATCH(106, 'Detalles movimientos'!$T$5:$T$1021, 0)), "")</f>
        <v/>
      </c>
    </row>
    <row r="119">
      <c r="B119" s="119">
        <f>IFERROR(INDEX('Detalles movimientos'!C$5:C$1021, MATCH(107, 'Detalles movimientos'!$T$5:$T$1021, 0)), "")</f>
        <v/>
      </c>
      <c r="C119" s="18">
        <f>IFERROR(INDEX('Detalles movimientos'!D$5:D$1021, MATCH(107, 'Detalles movimientos'!$T$5:$T$1021, 0)), "")</f>
        <v/>
      </c>
      <c r="D119" s="19">
        <f>IFERROR(INDEX('Detalles movimientos'!E$5:E$1021, MATCH(107, 'Detalles movimientos'!$T$5:$T$1021, 0)), "")</f>
        <v/>
      </c>
      <c r="E119" s="19">
        <f>IFERROR(INDEX('Detalles movimientos'!F$5:F$1021, MATCH(107, 'Detalles movimientos'!$T$5:$T$1021, 0)), "")</f>
        <v/>
      </c>
      <c r="F119" s="18">
        <f>IFERROR(INDEX('Detalles movimientos'!G$5:G$1021, MATCH(107, 'Detalles movimientos'!$T$5:$T$1021, 0)), "")</f>
        <v/>
      </c>
      <c r="G119" s="120">
        <f>IFERROR(INDEX('Detalles movimientos'!H$5:H$1021, MATCH(107, 'Detalles movimientos'!$T$5:$T$1021, 0)), "")</f>
        <v/>
      </c>
      <c r="H119" s="121">
        <f>IFERROR(INDEX('Detalles movimientos'!I$5:I$1021, MATCH(107, 'Detalles movimientos'!$T$5:$T$1021, 0)), "")</f>
        <v/>
      </c>
      <c r="I119" s="120">
        <f>IFERROR(INDEX('Detalles movimientos'!M$5:M$1021, MATCH(107, 'Detalles movimientos'!$T$5:$T$1021, 0)), "")</f>
        <v/>
      </c>
      <c r="J119" s="19">
        <f>IFERROR(INDEX('Detalles movimientos'!N$5:N$1021, MATCH(107, 'Detalles movimientos'!$T$5:$T$1021, 0)), "")</f>
        <v/>
      </c>
      <c r="K119" s="120">
        <f>IFERROR(INDEX('Detalles movimientos'!O$5:O$1021, MATCH(107, 'Detalles movimientos'!$T$5:$T$1021, 0)), "")</f>
        <v/>
      </c>
      <c r="L119" s="18">
        <f>IFERROR(INDEX('Detalles movimientos'!P$5:P$1021, MATCH(107, 'Detalles movimientos'!$T$5:$T$1021, 0)), "")</f>
        <v/>
      </c>
      <c r="M119" s="18">
        <f>IFERROR(INDEX('Detalles movimientos'!S$5:S$1021, MATCH(107, 'Detalles movimientos'!$T$5:$T$1021, 0)), "")</f>
        <v/>
      </c>
    </row>
    <row r="120">
      <c r="B120" s="119">
        <f>IFERROR(INDEX('Detalles movimientos'!C$5:C$1021, MATCH(108, 'Detalles movimientos'!$T$5:$T$1021, 0)), "")</f>
        <v/>
      </c>
      <c r="C120" s="18">
        <f>IFERROR(INDEX('Detalles movimientos'!D$5:D$1021, MATCH(108, 'Detalles movimientos'!$T$5:$T$1021, 0)), "")</f>
        <v/>
      </c>
      <c r="D120" s="19">
        <f>IFERROR(INDEX('Detalles movimientos'!E$5:E$1021, MATCH(108, 'Detalles movimientos'!$T$5:$T$1021, 0)), "")</f>
        <v/>
      </c>
      <c r="E120" s="19">
        <f>IFERROR(INDEX('Detalles movimientos'!F$5:F$1021, MATCH(108, 'Detalles movimientos'!$T$5:$T$1021, 0)), "")</f>
        <v/>
      </c>
      <c r="F120" s="18">
        <f>IFERROR(INDEX('Detalles movimientos'!G$5:G$1021, MATCH(108, 'Detalles movimientos'!$T$5:$T$1021, 0)), "")</f>
        <v/>
      </c>
      <c r="G120" s="120">
        <f>IFERROR(INDEX('Detalles movimientos'!H$5:H$1021, MATCH(108, 'Detalles movimientos'!$T$5:$T$1021, 0)), "")</f>
        <v/>
      </c>
      <c r="H120" s="121">
        <f>IFERROR(INDEX('Detalles movimientos'!I$5:I$1021, MATCH(108, 'Detalles movimientos'!$T$5:$T$1021, 0)), "")</f>
        <v/>
      </c>
      <c r="I120" s="120">
        <f>IFERROR(INDEX('Detalles movimientos'!M$5:M$1021, MATCH(108, 'Detalles movimientos'!$T$5:$T$1021, 0)), "")</f>
        <v/>
      </c>
      <c r="J120" s="19">
        <f>IFERROR(INDEX('Detalles movimientos'!N$5:N$1021, MATCH(108, 'Detalles movimientos'!$T$5:$T$1021, 0)), "")</f>
        <v/>
      </c>
      <c r="K120" s="120">
        <f>IFERROR(INDEX('Detalles movimientos'!O$5:O$1021, MATCH(108, 'Detalles movimientos'!$T$5:$T$1021, 0)), "")</f>
        <v/>
      </c>
      <c r="L120" s="18">
        <f>IFERROR(INDEX('Detalles movimientos'!P$5:P$1021, MATCH(108, 'Detalles movimientos'!$T$5:$T$1021, 0)), "")</f>
        <v/>
      </c>
      <c r="M120" s="18">
        <f>IFERROR(INDEX('Detalles movimientos'!S$5:S$1021, MATCH(108, 'Detalles movimientos'!$T$5:$T$1021, 0)), "")</f>
        <v/>
      </c>
    </row>
    <row r="121">
      <c r="B121" s="119">
        <f>IFERROR(INDEX('Detalles movimientos'!C$5:C$1021, MATCH(109, 'Detalles movimientos'!$T$5:$T$1021, 0)), "")</f>
        <v/>
      </c>
      <c r="C121" s="18">
        <f>IFERROR(INDEX('Detalles movimientos'!D$5:D$1021, MATCH(109, 'Detalles movimientos'!$T$5:$T$1021, 0)), "")</f>
        <v/>
      </c>
      <c r="D121" s="19">
        <f>IFERROR(INDEX('Detalles movimientos'!E$5:E$1021, MATCH(109, 'Detalles movimientos'!$T$5:$T$1021, 0)), "")</f>
        <v/>
      </c>
      <c r="E121" s="19">
        <f>IFERROR(INDEX('Detalles movimientos'!F$5:F$1021, MATCH(109, 'Detalles movimientos'!$T$5:$T$1021, 0)), "")</f>
        <v/>
      </c>
      <c r="F121" s="18">
        <f>IFERROR(INDEX('Detalles movimientos'!G$5:G$1021, MATCH(109, 'Detalles movimientos'!$T$5:$T$1021, 0)), "")</f>
        <v/>
      </c>
      <c r="G121" s="120">
        <f>IFERROR(INDEX('Detalles movimientos'!H$5:H$1021, MATCH(109, 'Detalles movimientos'!$T$5:$T$1021, 0)), "")</f>
        <v/>
      </c>
      <c r="H121" s="121">
        <f>IFERROR(INDEX('Detalles movimientos'!I$5:I$1021, MATCH(109, 'Detalles movimientos'!$T$5:$T$1021, 0)), "")</f>
        <v/>
      </c>
      <c r="I121" s="120">
        <f>IFERROR(INDEX('Detalles movimientos'!M$5:M$1021, MATCH(109, 'Detalles movimientos'!$T$5:$T$1021, 0)), "")</f>
        <v/>
      </c>
      <c r="J121" s="19">
        <f>IFERROR(INDEX('Detalles movimientos'!N$5:N$1021, MATCH(109, 'Detalles movimientos'!$T$5:$T$1021, 0)), "")</f>
        <v/>
      </c>
      <c r="K121" s="120">
        <f>IFERROR(INDEX('Detalles movimientos'!O$5:O$1021, MATCH(109, 'Detalles movimientos'!$T$5:$T$1021, 0)), "")</f>
        <v/>
      </c>
      <c r="L121" s="18">
        <f>IFERROR(INDEX('Detalles movimientos'!P$5:P$1021, MATCH(109, 'Detalles movimientos'!$T$5:$T$1021, 0)), "")</f>
        <v/>
      </c>
      <c r="M121" s="18">
        <f>IFERROR(INDEX('Detalles movimientos'!S$5:S$1021, MATCH(109, 'Detalles movimientos'!$T$5:$T$1021, 0)), "")</f>
        <v/>
      </c>
    </row>
    <row r="122">
      <c r="B122" s="119">
        <f>IFERROR(INDEX('Detalles movimientos'!C$5:C$1021, MATCH(110, 'Detalles movimientos'!$T$5:$T$1021, 0)), "")</f>
        <v/>
      </c>
      <c r="C122" s="18">
        <f>IFERROR(INDEX('Detalles movimientos'!D$5:D$1021, MATCH(110, 'Detalles movimientos'!$T$5:$T$1021, 0)), "")</f>
        <v/>
      </c>
      <c r="D122" s="19">
        <f>IFERROR(INDEX('Detalles movimientos'!E$5:E$1021, MATCH(110, 'Detalles movimientos'!$T$5:$T$1021, 0)), "")</f>
        <v/>
      </c>
      <c r="E122" s="19">
        <f>IFERROR(INDEX('Detalles movimientos'!F$5:F$1021, MATCH(110, 'Detalles movimientos'!$T$5:$T$1021, 0)), "")</f>
        <v/>
      </c>
      <c r="F122" s="18">
        <f>IFERROR(INDEX('Detalles movimientos'!G$5:G$1021, MATCH(110, 'Detalles movimientos'!$T$5:$T$1021, 0)), "")</f>
        <v/>
      </c>
      <c r="G122" s="120">
        <f>IFERROR(INDEX('Detalles movimientos'!H$5:H$1021, MATCH(110, 'Detalles movimientos'!$T$5:$T$1021, 0)), "")</f>
        <v/>
      </c>
      <c r="H122" s="121">
        <f>IFERROR(INDEX('Detalles movimientos'!I$5:I$1021, MATCH(110, 'Detalles movimientos'!$T$5:$T$1021, 0)), "")</f>
        <v/>
      </c>
      <c r="I122" s="120">
        <f>IFERROR(INDEX('Detalles movimientos'!M$5:M$1021, MATCH(110, 'Detalles movimientos'!$T$5:$T$1021, 0)), "")</f>
        <v/>
      </c>
      <c r="J122" s="19">
        <f>IFERROR(INDEX('Detalles movimientos'!N$5:N$1021, MATCH(110, 'Detalles movimientos'!$T$5:$T$1021, 0)), "")</f>
        <v/>
      </c>
      <c r="K122" s="120">
        <f>IFERROR(INDEX('Detalles movimientos'!O$5:O$1021, MATCH(110, 'Detalles movimientos'!$T$5:$T$1021, 0)), "")</f>
        <v/>
      </c>
      <c r="L122" s="18">
        <f>IFERROR(INDEX('Detalles movimientos'!P$5:P$1021, MATCH(110, 'Detalles movimientos'!$T$5:$T$1021, 0)), "")</f>
        <v/>
      </c>
      <c r="M122" s="18">
        <f>IFERROR(INDEX('Detalles movimientos'!S$5:S$1021, MATCH(110, 'Detalles movimientos'!$T$5:$T$1021, 0)), "")</f>
        <v/>
      </c>
    </row>
    <row r="123">
      <c r="B123" s="119">
        <f>IFERROR(INDEX('Detalles movimientos'!C$5:C$1021, MATCH(111, 'Detalles movimientos'!$T$5:$T$1021, 0)), "")</f>
        <v/>
      </c>
      <c r="C123" s="18">
        <f>IFERROR(INDEX('Detalles movimientos'!D$5:D$1021, MATCH(111, 'Detalles movimientos'!$T$5:$T$1021, 0)), "")</f>
        <v/>
      </c>
      <c r="D123" s="19">
        <f>IFERROR(INDEX('Detalles movimientos'!E$5:E$1021, MATCH(111, 'Detalles movimientos'!$T$5:$T$1021, 0)), "")</f>
        <v/>
      </c>
      <c r="E123" s="19">
        <f>IFERROR(INDEX('Detalles movimientos'!F$5:F$1021, MATCH(111, 'Detalles movimientos'!$T$5:$T$1021, 0)), "")</f>
        <v/>
      </c>
      <c r="F123" s="18">
        <f>IFERROR(INDEX('Detalles movimientos'!G$5:G$1021, MATCH(111, 'Detalles movimientos'!$T$5:$T$1021, 0)), "")</f>
        <v/>
      </c>
      <c r="G123" s="120">
        <f>IFERROR(INDEX('Detalles movimientos'!H$5:H$1021, MATCH(111, 'Detalles movimientos'!$T$5:$T$1021, 0)), "")</f>
        <v/>
      </c>
      <c r="H123" s="121">
        <f>IFERROR(INDEX('Detalles movimientos'!I$5:I$1021, MATCH(111, 'Detalles movimientos'!$T$5:$T$1021, 0)), "")</f>
        <v/>
      </c>
      <c r="I123" s="120">
        <f>IFERROR(INDEX('Detalles movimientos'!M$5:M$1021, MATCH(111, 'Detalles movimientos'!$T$5:$T$1021, 0)), "")</f>
        <v/>
      </c>
      <c r="J123" s="19">
        <f>IFERROR(INDEX('Detalles movimientos'!N$5:N$1021, MATCH(111, 'Detalles movimientos'!$T$5:$T$1021, 0)), "")</f>
        <v/>
      </c>
      <c r="K123" s="120">
        <f>IFERROR(INDEX('Detalles movimientos'!O$5:O$1021, MATCH(111, 'Detalles movimientos'!$T$5:$T$1021, 0)), "")</f>
        <v/>
      </c>
      <c r="L123" s="18">
        <f>IFERROR(INDEX('Detalles movimientos'!P$5:P$1021, MATCH(111, 'Detalles movimientos'!$T$5:$T$1021, 0)), "")</f>
        <v/>
      </c>
      <c r="M123" s="18">
        <f>IFERROR(INDEX('Detalles movimientos'!S$5:S$1021, MATCH(111, 'Detalles movimientos'!$T$5:$T$1021, 0)), "")</f>
        <v/>
      </c>
    </row>
    <row r="124">
      <c r="B124" s="119">
        <f>IFERROR(INDEX('Detalles movimientos'!C$5:C$1021, MATCH(112, 'Detalles movimientos'!$T$5:$T$1021, 0)), "")</f>
        <v/>
      </c>
      <c r="C124" s="18">
        <f>IFERROR(INDEX('Detalles movimientos'!D$5:D$1021, MATCH(112, 'Detalles movimientos'!$T$5:$T$1021, 0)), "")</f>
        <v/>
      </c>
      <c r="D124" s="19">
        <f>IFERROR(INDEX('Detalles movimientos'!E$5:E$1021, MATCH(112, 'Detalles movimientos'!$T$5:$T$1021, 0)), "")</f>
        <v/>
      </c>
      <c r="E124" s="19">
        <f>IFERROR(INDEX('Detalles movimientos'!F$5:F$1021, MATCH(112, 'Detalles movimientos'!$T$5:$T$1021, 0)), "")</f>
        <v/>
      </c>
      <c r="F124" s="18">
        <f>IFERROR(INDEX('Detalles movimientos'!G$5:G$1021, MATCH(112, 'Detalles movimientos'!$T$5:$T$1021, 0)), "")</f>
        <v/>
      </c>
      <c r="G124" s="120">
        <f>IFERROR(INDEX('Detalles movimientos'!H$5:H$1021, MATCH(112, 'Detalles movimientos'!$T$5:$T$1021, 0)), "")</f>
        <v/>
      </c>
      <c r="H124" s="121">
        <f>IFERROR(INDEX('Detalles movimientos'!I$5:I$1021, MATCH(112, 'Detalles movimientos'!$T$5:$T$1021, 0)), "")</f>
        <v/>
      </c>
      <c r="I124" s="120">
        <f>IFERROR(INDEX('Detalles movimientos'!M$5:M$1021, MATCH(112, 'Detalles movimientos'!$T$5:$T$1021, 0)), "")</f>
        <v/>
      </c>
      <c r="J124" s="19">
        <f>IFERROR(INDEX('Detalles movimientos'!N$5:N$1021, MATCH(112, 'Detalles movimientos'!$T$5:$T$1021, 0)), "")</f>
        <v/>
      </c>
      <c r="K124" s="120">
        <f>IFERROR(INDEX('Detalles movimientos'!O$5:O$1021, MATCH(112, 'Detalles movimientos'!$T$5:$T$1021, 0)), "")</f>
        <v/>
      </c>
      <c r="L124" s="18">
        <f>IFERROR(INDEX('Detalles movimientos'!P$5:P$1021, MATCH(112, 'Detalles movimientos'!$T$5:$T$1021, 0)), "")</f>
        <v/>
      </c>
      <c r="M124" s="18">
        <f>IFERROR(INDEX('Detalles movimientos'!S$5:S$1021, MATCH(112, 'Detalles movimientos'!$T$5:$T$1021, 0)), "")</f>
        <v/>
      </c>
    </row>
    <row r="125">
      <c r="B125" s="119">
        <f>IFERROR(INDEX('Detalles movimientos'!C$5:C$1021, MATCH(113, 'Detalles movimientos'!$T$5:$T$1021, 0)), "")</f>
        <v/>
      </c>
      <c r="C125" s="18">
        <f>IFERROR(INDEX('Detalles movimientos'!D$5:D$1021, MATCH(113, 'Detalles movimientos'!$T$5:$T$1021, 0)), "")</f>
        <v/>
      </c>
      <c r="D125" s="19">
        <f>IFERROR(INDEX('Detalles movimientos'!E$5:E$1021, MATCH(113, 'Detalles movimientos'!$T$5:$T$1021, 0)), "")</f>
        <v/>
      </c>
      <c r="E125" s="19">
        <f>IFERROR(INDEX('Detalles movimientos'!F$5:F$1021, MATCH(113, 'Detalles movimientos'!$T$5:$T$1021, 0)), "")</f>
        <v/>
      </c>
      <c r="F125" s="18">
        <f>IFERROR(INDEX('Detalles movimientos'!G$5:G$1021, MATCH(113, 'Detalles movimientos'!$T$5:$T$1021, 0)), "")</f>
        <v/>
      </c>
      <c r="G125" s="120">
        <f>IFERROR(INDEX('Detalles movimientos'!H$5:H$1021, MATCH(113, 'Detalles movimientos'!$T$5:$T$1021, 0)), "")</f>
        <v/>
      </c>
      <c r="H125" s="121">
        <f>IFERROR(INDEX('Detalles movimientos'!I$5:I$1021, MATCH(113, 'Detalles movimientos'!$T$5:$T$1021, 0)), "")</f>
        <v/>
      </c>
      <c r="I125" s="120">
        <f>IFERROR(INDEX('Detalles movimientos'!M$5:M$1021, MATCH(113, 'Detalles movimientos'!$T$5:$T$1021, 0)), "")</f>
        <v/>
      </c>
      <c r="J125" s="19">
        <f>IFERROR(INDEX('Detalles movimientos'!N$5:N$1021, MATCH(113, 'Detalles movimientos'!$T$5:$T$1021, 0)), "")</f>
        <v/>
      </c>
      <c r="K125" s="120">
        <f>IFERROR(INDEX('Detalles movimientos'!O$5:O$1021, MATCH(113, 'Detalles movimientos'!$T$5:$T$1021, 0)), "")</f>
        <v/>
      </c>
      <c r="L125" s="18">
        <f>IFERROR(INDEX('Detalles movimientos'!P$5:P$1021, MATCH(113, 'Detalles movimientos'!$T$5:$T$1021, 0)), "")</f>
        <v/>
      </c>
      <c r="M125" s="18">
        <f>IFERROR(INDEX('Detalles movimientos'!S$5:S$1021, MATCH(113, 'Detalles movimientos'!$T$5:$T$1021, 0)), "")</f>
        <v/>
      </c>
    </row>
    <row r="126">
      <c r="B126" s="119">
        <f>IFERROR(INDEX('Detalles movimientos'!C$5:C$1021, MATCH(114, 'Detalles movimientos'!$T$5:$T$1021, 0)), "")</f>
        <v/>
      </c>
      <c r="C126" s="18">
        <f>IFERROR(INDEX('Detalles movimientos'!D$5:D$1021, MATCH(114, 'Detalles movimientos'!$T$5:$T$1021, 0)), "")</f>
        <v/>
      </c>
      <c r="D126" s="19">
        <f>IFERROR(INDEX('Detalles movimientos'!E$5:E$1021, MATCH(114, 'Detalles movimientos'!$T$5:$T$1021, 0)), "")</f>
        <v/>
      </c>
      <c r="E126" s="19">
        <f>IFERROR(INDEX('Detalles movimientos'!F$5:F$1021, MATCH(114, 'Detalles movimientos'!$T$5:$T$1021, 0)), "")</f>
        <v/>
      </c>
      <c r="F126" s="18">
        <f>IFERROR(INDEX('Detalles movimientos'!G$5:G$1021, MATCH(114, 'Detalles movimientos'!$T$5:$T$1021, 0)), "")</f>
        <v/>
      </c>
      <c r="G126" s="120">
        <f>IFERROR(INDEX('Detalles movimientos'!H$5:H$1021, MATCH(114, 'Detalles movimientos'!$T$5:$T$1021, 0)), "")</f>
        <v/>
      </c>
      <c r="H126" s="121">
        <f>IFERROR(INDEX('Detalles movimientos'!I$5:I$1021, MATCH(114, 'Detalles movimientos'!$T$5:$T$1021, 0)), "")</f>
        <v/>
      </c>
      <c r="I126" s="120">
        <f>IFERROR(INDEX('Detalles movimientos'!M$5:M$1021, MATCH(114, 'Detalles movimientos'!$T$5:$T$1021, 0)), "")</f>
        <v/>
      </c>
      <c r="J126" s="19">
        <f>IFERROR(INDEX('Detalles movimientos'!N$5:N$1021, MATCH(114, 'Detalles movimientos'!$T$5:$T$1021, 0)), "")</f>
        <v/>
      </c>
      <c r="K126" s="120">
        <f>IFERROR(INDEX('Detalles movimientos'!O$5:O$1021, MATCH(114, 'Detalles movimientos'!$T$5:$T$1021, 0)), "")</f>
        <v/>
      </c>
      <c r="L126" s="18">
        <f>IFERROR(INDEX('Detalles movimientos'!P$5:P$1021, MATCH(114, 'Detalles movimientos'!$T$5:$T$1021, 0)), "")</f>
        <v/>
      </c>
      <c r="M126" s="18">
        <f>IFERROR(INDEX('Detalles movimientos'!S$5:S$1021, MATCH(114, 'Detalles movimientos'!$T$5:$T$1021, 0)), "")</f>
        <v/>
      </c>
    </row>
    <row r="127">
      <c r="B127" s="119">
        <f>IFERROR(INDEX('Detalles movimientos'!C$5:C$1021, MATCH(115, 'Detalles movimientos'!$T$5:$T$1021, 0)), "")</f>
        <v/>
      </c>
      <c r="C127" s="18">
        <f>IFERROR(INDEX('Detalles movimientos'!D$5:D$1021, MATCH(115, 'Detalles movimientos'!$T$5:$T$1021, 0)), "")</f>
        <v/>
      </c>
      <c r="D127" s="19">
        <f>IFERROR(INDEX('Detalles movimientos'!E$5:E$1021, MATCH(115, 'Detalles movimientos'!$T$5:$T$1021, 0)), "")</f>
        <v/>
      </c>
      <c r="E127" s="19">
        <f>IFERROR(INDEX('Detalles movimientos'!F$5:F$1021, MATCH(115, 'Detalles movimientos'!$T$5:$T$1021, 0)), "")</f>
        <v/>
      </c>
      <c r="F127" s="18">
        <f>IFERROR(INDEX('Detalles movimientos'!G$5:G$1021, MATCH(115, 'Detalles movimientos'!$T$5:$T$1021, 0)), "")</f>
        <v/>
      </c>
      <c r="G127" s="120">
        <f>IFERROR(INDEX('Detalles movimientos'!H$5:H$1021, MATCH(115, 'Detalles movimientos'!$T$5:$T$1021, 0)), "")</f>
        <v/>
      </c>
      <c r="H127" s="121">
        <f>IFERROR(INDEX('Detalles movimientos'!I$5:I$1021, MATCH(115, 'Detalles movimientos'!$T$5:$T$1021, 0)), "")</f>
        <v/>
      </c>
      <c r="I127" s="120">
        <f>IFERROR(INDEX('Detalles movimientos'!M$5:M$1021, MATCH(115, 'Detalles movimientos'!$T$5:$T$1021, 0)), "")</f>
        <v/>
      </c>
      <c r="J127" s="19">
        <f>IFERROR(INDEX('Detalles movimientos'!N$5:N$1021, MATCH(115, 'Detalles movimientos'!$T$5:$T$1021, 0)), "")</f>
        <v/>
      </c>
      <c r="K127" s="120">
        <f>IFERROR(INDEX('Detalles movimientos'!O$5:O$1021, MATCH(115, 'Detalles movimientos'!$T$5:$T$1021, 0)), "")</f>
        <v/>
      </c>
      <c r="L127" s="18">
        <f>IFERROR(INDEX('Detalles movimientos'!P$5:P$1021, MATCH(115, 'Detalles movimientos'!$T$5:$T$1021, 0)), "")</f>
        <v/>
      </c>
      <c r="M127" s="18">
        <f>IFERROR(INDEX('Detalles movimientos'!S$5:S$1021, MATCH(115, 'Detalles movimientos'!$T$5:$T$1021, 0)), "")</f>
        <v/>
      </c>
    </row>
    <row r="128">
      <c r="B128" s="119">
        <f>IFERROR(INDEX('Detalles movimientos'!C$5:C$1021, MATCH(116, 'Detalles movimientos'!$T$5:$T$1021, 0)), "")</f>
        <v/>
      </c>
      <c r="C128" s="18">
        <f>IFERROR(INDEX('Detalles movimientos'!D$5:D$1021, MATCH(116, 'Detalles movimientos'!$T$5:$T$1021, 0)), "")</f>
        <v/>
      </c>
      <c r="D128" s="19">
        <f>IFERROR(INDEX('Detalles movimientos'!E$5:E$1021, MATCH(116, 'Detalles movimientos'!$T$5:$T$1021, 0)), "")</f>
        <v/>
      </c>
      <c r="E128" s="19">
        <f>IFERROR(INDEX('Detalles movimientos'!F$5:F$1021, MATCH(116, 'Detalles movimientos'!$T$5:$T$1021, 0)), "")</f>
        <v/>
      </c>
      <c r="F128" s="18">
        <f>IFERROR(INDEX('Detalles movimientos'!G$5:G$1021, MATCH(116, 'Detalles movimientos'!$T$5:$T$1021, 0)), "")</f>
        <v/>
      </c>
      <c r="G128" s="120">
        <f>IFERROR(INDEX('Detalles movimientos'!H$5:H$1021, MATCH(116, 'Detalles movimientos'!$T$5:$T$1021, 0)), "")</f>
        <v/>
      </c>
      <c r="H128" s="121">
        <f>IFERROR(INDEX('Detalles movimientos'!I$5:I$1021, MATCH(116, 'Detalles movimientos'!$T$5:$T$1021, 0)), "")</f>
        <v/>
      </c>
      <c r="I128" s="120">
        <f>IFERROR(INDEX('Detalles movimientos'!M$5:M$1021, MATCH(116, 'Detalles movimientos'!$T$5:$T$1021, 0)), "")</f>
        <v/>
      </c>
      <c r="J128" s="19">
        <f>IFERROR(INDEX('Detalles movimientos'!N$5:N$1021, MATCH(116, 'Detalles movimientos'!$T$5:$T$1021, 0)), "")</f>
        <v/>
      </c>
      <c r="K128" s="120">
        <f>IFERROR(INDEX('Detalles movimientos'!O$5:O$1021, MATCH(116, 'Detalles movimientos'!$T$5:$T$1021, 0)), "")</f>
        <v/>
      </c>
      <c r="L128" s="18">
        <f>IFERROR(INDEX('Detalles movimientos'!P$5:P$1021, MATCH(116, 'Detalles movimientos'!$T$5:$T$1021, 0)), "")</f>
        <v/>
      </c>
      <c r="M128" s="18">
        <f>IFERROR(INDEX('Detalles movimientos'!S$5:S$1021, MATCH(116, 'Detalles movimientos'!$T$5:$T$1021, 0)), "")</f>
        <v/>
      </c>
    </row>
    <row r="129">
      <c r="B129" s="119">
        <f>IFERROR(INDEX('Detalles movimientos'!C$5:C$1021, MATCH(117, 'Detalles movimientos'!$T$5:$T$1021, 0)), "")</f>
        <v/>
      </c>
      <c r="C129" s="18">
        <f>IFERROR(INDEX('Detalles movimientos'!D$5:D$1021, MATCH(117, 'Detalles movimientos'!$T$5:$T$1021, 0)), "")</f>
        <v/>
      </c>
      <c r="D129" s="19">
        <f>IFERROR(INDEX('Detalles movimientos'!E$5:E$1021, MATCH(117, 'Detalles movimientos'!$T$5:$T$1021, 0)), "")</f>
        <v/>
      </c>
      <c r="E129" s="19">
        <f>IFERROR(INDEX('Detalles movimientos'!F$5:F$1021, MATCH(117, 'Detalles movimientos'!$T$5:$T$1021, 0)), "")</f>
        <v/>
      </c>
      <c r="F129" s="18">
        <f>IFERROR(INDEX('Detalles movimientos'!G$5:G$1021, MATCH(117, 'Detalles movimientos'!$T$5:$T$1021, 0)), "")</f>
        <v/>
      </c>
      <c r="G129" s="120">
        <f>IFERROR(INDEX('Detalles movimientos'!H$5:H$1021, MATCH(117, 'Detalles movimientos'!$T$5:$T$1021, 0)), "")</f>
        <v/>
      </c>
      <c r="H129" s="121">
        <f>IFERROR(INDEX('Detalles movimientos'!I$5:I$1021, MATCH(117, 'Detalles movimientos'!$T$5:$T$1021, 0)), "")</f>
        <v/>
      </c>
      <c r="I129" s="120">
        <f>IFERROR(INDEX('Detalles movimientos'!M$5:M$1021, MATCH(117, 'Detalles movimientos'!$T$5:$T$1021, 0)), "")</f>
        <v/>
      </c>
      <c r="J129" s="19">
        <f>IFERROR(INDEX('Detalles movimientos'!N$5:N$1021, MATCH(117, 'Detalles movimientos'!$T$5:$T$1021, 0)), "")</f>
        <v/>
      </c>
      <c r="K129" s="120">
        <f>IFERROR(INDEX('Detalles movimientos'!O$5:O$1021, MATCH(117, 'Detalles movimientos'!$T$5:$T$1021, 0)), "")</f>
        <v/>
      </c>
      <c r="L129" s="18">
        <f>IFERROR(INDEX('Detalles movimientos'!P$5:P$1021, MATCH(117, 'Detalles movimientos'!$T$5:$T$1021, 0)), "")</f>
        <v/>
      </c>
      <c r="M129" s="18">
        <f>IFERROR(INDEX('Detalles movimientos'!S$5:S$1021, MATCH(117, 'Detalles movimientos'!$T$5:$T$1021, 0)), "")</f>
        <v/>
      </c>
    </row>
    <row r="130">
      <c r="B130" s="119">
        <f>IFERROR(INDEX('Detalles movimientos'!C$5:C$1021, MATCH(118, 'Detalles movimientos'!$T$5:$T$1021, 0)), "")</f>
        <v/>
      </c>
      <c r="C130" s="18">
        <f>IFERROR(INDEX('Detalles movimientos'!D$5:D$1021, MATCH(118, 'Detalles movimientos'!$T$5:$T$1021, 0)), "")</f>
        <v/>
      </c>
      <c r="D130" s="19">
        <f>IFERROR(INDEX('Detalles movimientos'!E$5:E$1021, MATCH(118, 'Detalles movimientos'!$T$5:$T$1021, 0)), "")</f>
        <v/>
      </c>
      <c r="E130" s="19">
        <f>IFERROR(INDEX('Detalles movimientos'!F$5:F$1021, MATCH(118, 'Detalles movimientos'!$T$5:$T$1021, 0)), "")</f>
        <v/>
      </c>
      <c r="F130" s="18">
        <f>IFERROR(INDEX('Detalles movimientos'!G$5:G$1021, MATCH(118, 'Detalles movimientos'!$T$5:$T$1021, 0)), "")</f>
        <v/>
      </c>
      <c r="G130" s="120">
        <f>IFERROR(INDEX('Detalles movimientos'!H$5:H$1021, MATCH(118, 'Detalles movimientos'!$T$5:$T$1021, 0)), "")</f>
        <v/>
      </c>
      <c r="H130" s="121">
        <f>IFERROR(INDEX('Detalles movimientos'!I$5:I$1021, MATCH(118, 'Detalles movimientos'!$T$5:$T$1021, 0)), "")</f>
        <v/>
      </c>
      <c r="I130" s="120">
        <f>IFERROR(INDEX('Detalles movimientos'!M$5:M$1021, MATCH(118, 'Detalles movimientos'!$T$5:$T$1021, 0)), "")</f>
        <v/>
      </c>
      <c r="J130" s="19">
        <f>IFERROR(INDEX('Detalles movimientos'!N$5:N$1021, MATCH(118, 'Detalles movimientos'!$T$5:$T$1021, 0)), "")</f>
        <v/>
      </c>
      <c r="K130" s="120">
        <f>IFERROR(INDEX('Detalles movimientos'!O$5:O$1021, MATCH(118, 'Detalles movimientos'!$T$5:$T$1021, 0)), "")</f>
        <v/>
      </c>
      <c r="L130" s="18">
        <f>IFERROR(INDEX('Detalles movimientos'!P$5:P$1021, MATCH(118, 'Detalles movimientos'!$T$5:$T$1021, 0)), "")</f>
        <v/>
      </c>
      <c r="M130" s="18">
        <f>IFERROR(INDEX('Detalles movimientos'!S$5:S$1021, MATCH(118, 'Detalles movimientos'!$T$5:$T$1021, 0)), "")</f>
        <v/>
      </c>
    </row>
    <row r="131">
      <c r="B131" s="119">
        <f>IFERROR(INDEX('Detalles movimientos'!C$5:C$1021, MATCH(119, 'Detalles movimientos'!$T$5:$T$1021, 0)), "")</f>
        <v/>
      </c>
      <c r="C131" s="18">
        <f>IFERROR(INDEX('Detalles movimientos'!D$5:D$1021, MATCH(119, 'Detalles movimientos'!$T$5:$T$1021, 0)), "")</f>
        <v/>
      </c>
      <c r="D131" s="19">
        <f>IFERROR(INDEX('Detalles movimientos'!E$5:E$1021, MATCH(119, 'Detalles movimientos'!$T$5:$T$1021, 0)), "")</f>
        <v/>
      </c>
      <c r="E131" s="19">
        <f>IFERROR(INDEX('Detalles movimientos'!F$5:F$1021, MATCH(119, 'Detalles movimientos'!$T$5:$T$1021, 0)), "")</f>
        <v/>
      </c>
      <c r="F131" s="18">
        <f>IFERROR(INDEX('Detalles movimientos'!G$5:G$1021, MATCH(119, 'Detalles movimientos'!$T$5:$T$1021, 0)), "")</f>
        <v/>
      </c>
      <c r="G131" s="120">
        <f>IFERROR(INDEX('Detalles movimientos'!H$5:H$1021, MATCH(119, 'Detalles movimientos'!$T$5:$T$1021, 0)), "")</f>
        <v/>
      </c>
      <c r="H131" s="121">
        <f>IFERROR(INDEX('Detalles movimientos'!I$5:I$1021, MATCH(119, 'Detalles movimientos'!$T$5:$T$1021, 0)), "")</f>
        <v/>
      </c>
      <c r="I131" s="120">
        <f>IFERROR(INDEX('Detalles movimientos'!M$5:M$1021, MATCH(119, 'Detalles movimientos'!$T$5:$T$1021, 0)), "")</f>
        <v/>
      </c>
      <c r="J131" s="19">
        <f>IFERROR(INDEX('Detalles movimientos'!N$5:N$1021, MATCH(119, 'Detalles movimientos'!$T$5:$T$1021, 0)), "")</f>
        <v/>
      </c>
      <c r="K131" s="120">
        <f>IFERROR(INDEX('Detalles movimientos'!O$5:O$1021, MATCH(119, 'Detalles movimientos'!$T$5:$T$1021, 0)), "")</f>
        <v/>
      </c>
      <c r="L131" s="18">
        <f>IFERROR(INDEX('Detalles movimientos'!P$5:P$1021, MATCH(119, 'Detalles movimientos'!$T$5:$T$1021, 0)), "")</f>
        <v/>
      </c>
      <c r="M131" s="18">
        <f>IFERROR(INDEX('Detalles movimientos'!S$5:S$1021, MATCH(119, 'Detalles movimientos'!$T$5:$T$1021, 0)), "")</f>
        <v/>
      </c>
    </row>
    <row r="132">
      <c r="B132" s="119">
        <f>IFERROR(INDEX('Detalles movimientos'!C$5:C$1021, MATCH(120, 'Detalles movimientos'!$T$5:$T$1021, 0)), "")</f>
        <v/>
      </c>
      <c r="C132" s="18">
        <f>IFERROR(INDEX('Detalles movimientos'!D$5:D$1021, MATCH(120, 'Detalles movimientos'!$T$5:$T$1021, 0)), "")</f>
        <v/>
      </c>
      <c r="D132" s="19">
        <f>IFERROR(INDEX('Detalles movimientos'!E$5:E$1021, MATCH(120, 'Detalles movimientos'!$T$5:$T$1021, 0)), "")</f>
        <v/>
      </c>
      <c r="E132" s="19">
        <f>IFERROR(INDEX('Detalles movimientos'!F$5:F$1021, MATCH(120, 'Detalles movimientos'!$T$5:$T$1021, 0)), "")</f>
        <v/>
      </c>
      <c r="F132" s="18">
        <f>IFERROR(INDEX('Detalles movimientos'!G$5:G$1021, MATCH(120, 'Detalles movimientos'!$T$5:$T$1021, 0)), "")</f>
        <v/>
      </c>
      <c r="G132" s="120">
        <f>IFERROR(INDEX('Detalles movimientos'!H$5:H$1021, MATCH(120, 'Detalles movimientos'!$T$5:$T$1021, 0)), "")</f>
        <v/>
      </c>
      <c r="H132" s="121">
        <f>IFERROR(INDEX('Detalles movimientos'!I$5:I$1021, MATCH(120, 'Detalles movimientos'!$T$5:$T$1021, 0)), "")</f>
        <v/>
      </c>
      <c r="I132" s="120">
        <f>IFERROR(INDEX('Detalles movimientos'!M$5:M$1021, MATCH(120, 'Detalles movimientos'!$T$5:$T$1021, 0)), "")</f>
        <v/>
      </c>
      <c r="J132" s="19">
        <f>IFERROR(INDEX('Detalles movimientos'!N$5:N$1021, MATCH(120, 'Detalles movimientos'!$T$5:$T$1021, 0)), "")</f>
        <v/>
      </c>
      <c r="K132" s="120">
        <f>IFERROR(INDEX('Detalles movimientos'!O$5:O$1021, MATCH(120, 'Detalles movimientos'!$T$5:$T$1021, 0)), "")</f>
        <v/>
      </c>
      <c r="L132" s="18">
        <f>IFERROR(INDEX('Detalles movimientos'!P$5:P$1021, MATCH(120, 'Detalles movimientos'!$T$5:$T$1021, 0)), "")</f>
        <v/>
      </c>
      <c r="M132" s="18">
        <f>IFERROR(INDEX('Detalles movimientos'!S$5:S$1021, MATCH(120, 'Detalles movimientos'!$T$5:$T$1021, 0)), "")</f>
        <v/>
      </c>
    </row>
    <row r="133">
      <c r="B133" s="119">
        <f>IFERROR(INDEX('Detalles movimientos'!C$5:C$1021, MATCH(121, 'Detalles movimientos'!$T$5:$T$1021, 0)), "")</f>
        <v/>
      </c>
      <c r="C133" s="18">
        <f>IFERROR(INDEX('Detalles movimientos'!D$5:D$1021, MATCH(121, 'Detalles movimientos'!$T$5:$T$1021, 0)), "")</f>
        <v/>
      </c>
      <c r="D133" s="19">
        <f>IFERROR(INDEX('Detalles movimientos'!E$5:E$1021, MATCH(121, 'Detalles movimientos'!$T$5:$T$1021, 0)), "")</f>
        <v/>
      </c>
      <c r="E133" s="19">
        <f>IFERROR(INDEX('Detalles movimientos'!F$5:F$1021, MATCH(121, 'Detalles movimientos'!$T$5:$T$1021, 0)), "")</f>
        <v/>
      </c>
      <c r="F133" s="18">
        <f>IFERROR(INDEX('Detalles movimientos'!G$5:G$1021, MATCH(121, 'Detalles movimientos'!$T$5:$T$1021, 0)), "")</f>
        <v/>
      </c>
      <c r="G133" s="120">
        <f>IFERROR(INDEX('Detalles movimientos'!H$5:H$1021, MATCH(121, 'Detalles movimientos'!$T$5:$T$1021, 0)), "")</f>
        <v/>
      </c>
      <c r="H133" s="121">
        <f>IFERROR(INDEX('Detalles movimientos'!I$5:I$1021, MATCH(121, 'Detalles movimientos'!$T$5:$T$1021, 0)), "")</f>
        <v/>
      </c>
      <c r="I133" s="120">
        <f>IFERROR(INDEX('Detalles movimientos'!M$5:M$1021, MATCH(121, 'Detalles movimientos'!$T$5:$T$1021, 0)), "")</f>
        <v/>
      </c>
      <c r="J133" s="19">
        <f>IFERROR(INDEX('Detalles movimientos'!N$5:N$1021, MATCH(121, 'Detalles movimientos'!$T$5:$T$1021, 0)), "")</f>
        <v/>
      </c>
      <c r="K133" s="120">
        <f>IFERROR(INDEX('Detalles movimientos'!O$5:O$1021, MATCH(121, 'Detalles movimientos'!$T$5:$T$1021, 0)), "")</f>
        <v/>
      </c>
      <c r="L133" s="18">
        <f>IFERROR(INDEX('Detalles movimientos'!P$5:P$1021, MATCH(121, 'Detalles movimientos'!$T$5:$T$1021, 0)), "")</f>
        <v/>
      </c>
      <c r="M133" s="18">
        <f>IFERROR(INDEX('Detalles movimientos'!S$5:S$1021, MATCH(121, 'Detalles movimientos'!$T$5:$T$1021, 0)), "")</f>
        <v/>
      </c>
    </row>
    <row r="134">
      <c r="B134" s="119">
        <f>IFERROR(INDEX('Detalles movimientos'!C$5:C$1021, MATCH(122, 'Detalles movimientos'!$T$5:$T$1021, 0)), "")</f>
        <v/>
      </c>
      <c r="C134" s="18">
        <f>IFERROR(INDEX('Detalles movimientos'!D$5:D$1021, MATCH(122, 'Detalles movimientos'!$T$5:$T$1021, 0)), "")</f>
        <v/>
      </c>
      <c r="D134" s="19">
        <f>IFERROR(INDEX('Detalles movimientos'!E$5:E$1021, MATCH(122, 'Detalles movimientos'!$T$5:$T$1021, 0)), "")</f>
        <v/>
      </c>
      <c r="E134" s="19">
        <f>IFERROR(INDEX('Detalles movimientos'!F$5:F$1021, MATCH(122, 'Detalles movimientos'!$T$5:$T$1021, 0)), "")</f>
        <v/>
      </c>
      <c r="F134" s="18">
        <f>IFERROR(INDEX('Detalles movimientos'!G$5:G$1021, MATCH(122, 'Detalles movimientos'!$T$5:$T$1021, 0)), "")</f>
        <v/>
      </c>
      <c r="G134" s="120">
        <f>IFERROR(INDEX('Detalles movimientos'!H$5:H$1021, MATCH(122, 'Detalles movimientos'!$T$5:$T$1021, 0)), "")</f>
        <v/>
      </c>
      <c r="H134" s="121">
        <f>IFERROR(INDEX('Detalles movimientos'!I$5:I$1021, MATCH(122, 'Detalles movimientos'!$T$5:$T$1021, 0)), "")</f>
        <v/>
      </c>
      <c r="I134" s="120">
        <f>IFERROR(INDEX('Detalles movimientos'!M$5:M$1021, MATCH(122, 'Detalles movimientos'!$T$5:$T$1021, 0)), "")</f>
        <v/>
      </c>
      <c r="J134" s="19">
        <f>IFERROR(INDEX('Detalles movimientos'!N$5:N$1021, MATCH(122, 'Detalles movimientos'!$T$5:$T$1021, 0)), "")</f>
        <v/>
      </c>
      <c r="K134" s="120">
        <f>IFERROR(INDEX('Detalles movimientos'!O$5:O$1021, MATCH(122, 'Detalles movimientos'!$T$5:$T$1021, 0)), "")</f>
        <v/>
      </c>
      <c r="L134" s="18">
        <f>IFERROR(INDEX('Detalles movimientos'!P$5:P$1021, MATCH(122, 'Detalles movimientos'!$T$5:$T$1021, 0)), "")</f>
        <v/>
      </c>
      <c r="M134" s="18">
        <f>IFERROR(INDEX('Detalles movimientos'!S$5:S$1021, MATCH(122, 'Detalles movimientos'!$T$5:$T$1021, 0)), "")</f>
        <v/>
      </c>
    </row>
    <row r="135">
      <c r="B135" s="119">
        <f>IFERROR(INDEX('Detalles movimientos'!C$5:C$1021, MATCH(123, 'Detalles movimientos'!$T$5:$T$1021, 0)), "")</f>
        <v/>
      </c>
      <c r="C135" s="18">
        <f>IFERROR(INDEX('Detalles movimientos'!D$5:D$1021, MATCH(123, 'Detalles movimientos'!$T$5:$T$1021, 0)), "")</f>
        <v/>
      </c>
      <c r="D135" s="19">
        <f>IFERROR(INDEX('Detalles movimientos'!E$5:E$1021, MATCH(123, 'Detalles movimientos'!$T$5:$T$1021, 0)), "")</f>
        <v/>
      </c>
      <c r="E135" s="19">
        <f>IFERROR(INDEX('Detalles movimientos'!F$5:F$1021, MATCH(123, 'Detalles movimientos'!$T$5:$T$1021, 0)), "")</f>
        <v/>
      </c>
      <c r="F135" s="18">
        <f>IFERROR(INDEX('Detalles movimientos'!G$5:G$1021, MATCH(123, 'Detalles movimientos'!$T$5:$T$1021, 0)), "")</f>
        <v/>
      </c>
      <c r="G135" s="120">
        <f>IFERROR(INDEX('Detalles movimientos'!H$5:H$1021, MATCH(123, 'Detalles movimientos'!$T$5:$T$1021, 0)), "")</f>
        <v/>
      </c>
      <c r="H135" s="121">
        <f>IFERROR(INDEX('Detalles movimientos'!I$5:I$1021, MATCH(123, 'Detalles movimientos'!$T$5:$T$1021, 0)), "")</f>
        <v/>
      </c>
      <c r="I135" s="120">
        <f>IFERROR(INDEX('Detalles movimientos'!M$5:M$1021, MATCH(123, 'Detalles movimientos'!$T$5:$T$1021, 0)), "")</f>
        <v/>
      </c>
      <c r="J135" s="19">
        <f>IFERROR(INDEX('Detalles movimientos'!N$5:N$1021, MATCH(123, 'Detalles movimientos'!$T$5:$T$1021, 0)), "")</f>
        <v/>
      </c>
      <c r="K135" s="120">
        <f>IFERROR(INDEX('Detalles movimientos'!O$5:O$1021, MATCH(123, 'Detalles movimientos'!$T$5:$T$1021, 0)), "")</f>
        <v/>
      </c>
      <c r="L135" s="18">
        <f>IFERROR(INDEX('Detalles movimientos'!P$5:P$1021, MATCH(123, 'Detalles movimientos'!$T$5:$T$1021, 0)), "")</f>
        <v/>
      </c>
      <c r="M135" s="18">
        <f>IFERROR(INDEX('Detalles movimientos'!S$5:S$1021, MATCH(123, 'Detalles movimientos'!$T$5:$T$1021, 0)), "")</f>
        <v/>
      </c>
    </row>
    <row r="136">
      <c r="B136" s="119">
        <f>IFERROR(INDEX('Detalles movimientos'!C$5:C$1021, MATCH(124, 'Detalles movimientos'!$T$5:$T$1021, 0)), "")</f>
        <v/>
      </c>
      <c r="C136" s="18">
        <f>IFERROR(INDEX('Detalles movimientos'!D$5:D$1021, MATCH(124, 'Detalles movimientos'!$T$5:$T$1021, 0)), "")</f>
        <v/>
      </c>
      <c r="D136" s="19">
        <f>IFERROR(INDEX('Detalles movimientos'!E$5:E$1021, MATCH(124, 'Detalles movimientos'!$T$5:$T$1021, 0)), "")</f>
        <v/>
      </c>
      <c r="E136" s="19">
        <f>IFERROR(INDEX('Detalles movimientos'!F$5:F$1021, MATCH(124, 'Detalles movimientos'!$T$5:$T$1021, 0)), "")</f>
        <v/>
      </c>
      <c r="F136" s="18">
        <f>IFERROR(INDEX('Detalles movimientos'!G$5:G$1021, MATCH(124, 'Detalles movimientos'!$T$5:$T$1021, 0)), "")</f>
        <v/>
      </c>
      <c r="G136" s="120">
        <f>IFERROR(INDEX('Detalles movimientos'!H$5:H$1021, MATCH(124, 'Detalles movimientos'!$T$5:$T$1021, 0)), "")</f>
        <v/>
      </c>
      <c r="H136" s="121">
        <f>IFERROR(INDEX('Detalles movimientos'!I$5:I$1021, MATCH(124, 'Detalles movimientos'!$T$5:$T$1021, 0)), "")</f>
        <v/>
      </c>
      <c r="I136" s="120">
        <f>IFERROR(INDEX('Detalles movimientos'!M$5:M$1021, MATCH(124, 'Detalles movimientos'!$T$5:$T$1021, 0)), "")</f>
        <v/>
      </c>
      <c r="J136" s="19">
        <f>IFERROR(INDEX('Detalles movimientos'!N$5:N$1021, MATCH(124, 'Detalles movimientos'!$T$5:$T$1021, 0)), "")</f>
        <v/>
      </c>
      <c r="K136" s="120">
        <f>IFERROR(INDEX('Detalles movimientos'!O$5:O$1021, MATCH(124, 'Detalles movimientos'!$T$5:$T$1021, 0)), "")</f>
        <v/>
      </c>
      <c r="L136" s="18">
        <f>IFERROR(INDEX('Detalles movimientos'!P$5:P$1021, MATCH(124, 'Detalles movimientos'!$T$5:$T$1021, 0)), "")</f>
        <v/>
      </c>
      <c r="M136" s="18">
        <f>IFERROR(INDEX('Detalles movimientos'!S$5:S$1021, MATCH(124, 'Detalles movimientos'!$T$5:$T$1021, 0)), "")</f>
        <v/>
      </c>
    </row>
    <row r="137">
      <c r="B137" s="119">
        <f>IFERROR(INDEX('Detalles movimientos'!C$5:C$1021, MATCH(125, 'Detalles movimientos'!$T$5:$T$1021, 0)), "")</f>
        <v/>
      </c>
      <c r="C137" s="18">
        <f>IFERROR(INDEX('Detalles movimientos'!D$5:D$1021, MATCH(125, 'Detalles movimientos'!$T$5:$T$1021, 0)), "")</f>
        <v/>
      </c>
      <c r="D137" s="19">
        <f>IFERROR(INDEX('Detalles movimientos'!E$5:E$1021, MATCH(125, 'Detalles movimientos'!$T$5:$T$1021, 0)), "")</f>
        <v/>
      </c>
      <c r="E137" s="19">
        <f>IFERROR(INDEX('Detalles movimientos'!F$5:F$1021, MATCH(125, 'Detalles movimientos'!$T$5:$T$1021, 0)), "")</f>
        <v/>
      </c>
      <c r="F137" s="18">
        <f>IFERROR(INDEX('Detalles movimientos'!G$5:G$1021, MATCH(125, 'Detalles movimientos'!$T$5:$T$1021, 0)), "")</f>
        <v/>
      </c>
      <c r="G137" s="120">
        <f>IFERROR(INDEX('Detalles movimientos'!H$5:H$1021, MATCH(125, 'Detalles movimientos'!$T$5:$T$1021, 0)), "")</f>
        <v/>
      </c>
      <c r="H137" s="121">
        <f>IFERROR(INDEX('Detalles movimientos'!I$5:I$1021, MATCH(125, 'Detalles movimientos'!$T$5:$T$1021, 0)), "")</f>
        <v/>
      </c>
      <c r="I137" s="120">
        <f>IFERROR(INDEX('Detalles movimientos'!M$5:M$1021, MATCH(125, 'Detalles movimientos'!$T$5:$T$1021, 0)), "")</f>
        <v/>
      </c>
      <c r="J137" s="19">
        <f>IFERROR(INDEX('Detalles movimientos'!N$5:N$1021, MATCH(125, 'Detalles movimientos'!$T$5:$T$1021, 0)), "")</f>
        <v/>
      </c>
      <c r="K137" s="120">
        <f>IFERROR(INDEX('Detalles movimientos'!O$5:O$1021, MATCH(125, 'Detalles movimientos'!$T$5:$T$1021, 0)), "")</f>
        <v/>
      </c>
      <c r="L137" s="18">
        <f>IFERROR(INDEX('Detalles movimientos'!P$5:P$1021, MATCH(125, 'Detalles movimientos'!$T$5:$T$1021, 0)), "")</f>
        <v/>
      </c>
      <c r="M137" s="18">
        <f>IFERROR(INDEX('Detalles movimientos'!S$5:S$1021, MATCH(125, 'Detalles movimientos'!$T$5:$T$1021, 0)), "")</f>
        <v/>
      </c>
    </row>
    <row r="138">
      <c r="B138" s="119">
        <f>IFERROR(INDEX('Detalles movimientos'!C$5:C$1021, MATCH(126, 'Detalles movimientos'!$T$5:$T$1021, 0)), "")</f>
        <v/>
      </c>
      <c r="C138" s="18">
        <f>IFERROR(INDEX('Detalles movimientos'!D$5:D$1021, MATCH(126, 'Detalles movimientos'!$T$5:$T$1021, 0)), "")</f>
        <v/>
      </c>
      <c r="D138" s="19">
        <f>IFERROR(INDEX('Detalles movimientos'!E$5:E$1021, MATCH(126, 'Detalles movimientos'!$T$5:$T$1021, 0)), "")</f>
        <v/>
      </c>
      <c r="E138" s="19">
        <f>IFERROR(INDEX('Detalles movimientos'!F$5:F$1021, MATCH(126, 'Detalles movimientos'!$T$5:$T$1021, 0)), "")</f>
        <v/>
      </c>
      <c r="F138" s="18">
        <f>IFERROR(INDEX('Detalles movimientos'!G$5:G$1021, MATCH(126, 'Detalles movimientos'!$T$5:$T$1021, 0)), "")</f>
        <v/>
      </c>
      <c r="G138" s="120">
        <f>IFERROR(INDEX('Detalles movimientos'!H$5:H$1021, MATCH(126, 'Detalles movimientos'!$T$5:$T$1021, 0)), "")</f>
        <v/>
      </c>
      <c r="H138" s="121">
        <f>IFERROR(INDEX('Detalles movimientos'!I$5:I$1021, MATCH(126, 'Detalles movimientos'!$T$5:$T$1021, 0)), "")</f>
        <v/>
      </c>
      <c r="I138" s="120">
        <f>IFERROR(INDEX('Detalles movimientos'!M$5:M$1021, MATCH(126, 'Detalles movimientos'!$T$5:$T$1021, 0)), "")</f>
        <v/>
      </c>
      <c r="J138" s="19">
        <f>IFERROR(INDEX('Detalles movimientos'!N$5:N$1021, MATCH(126, 'Detalles movimientos'!$T$5:$T$1021, 0)), "")</f>
        <v/>
      </c>
      <c r="K138" s="120">
        <f>IFERROR(INDEX('Detalles movimientos'!O$5:O$1021, MATCH(126, 'Detalles movimientos'!$T$5:$T$1021, 0)), "")</f>
        <v/>
      </c>
      <c r="L138" s="18">
        <f>IFERROR(INDEX('Detalles movimientos'!P$5:P$1021, MATCH(126, 'Detalles movimientos'!$T$5:$T$1021, 0)), "")</f>
        <v/>
      </c>
      <c r="M138" s="18">
        <f>IFERROR(INDEX('Detalles movimientos'!S$5:S$1021, MATCH(126, 'Detalles movimientos'!$T$5:$T$1021, 0)), "")</f>
        <v/>
      </c>
    </row>
    <row r="139">
      <c r="B139" s="119">
        <f>IFERROR(INDEX('Detalles movimientos'!C$5:C$1021, MATCH(127, 'Detalles movimientos'!$T$5:$T$1021, 0)), "")</f>
        <v/>
      </c>
      <c r="C139" s="18">
        <f>IFERROR(INDEX('Detalles movimientos'!D$5:D$1021, MATCH(127, 'Detalles movimientos'!$T$5:$T$1021, 0)), "")</f>
        <v/>
      </c>
      <c r="D139" s="19">
        <f>IFERROR(INDEX('Detalles movimientos'!E$5:E$1021, MATCH(127, 'Detalles movimientos'!$T$5:$T$1021, 0)), "")</f>
        <v/>
      </c>
      <c r="E139" s="19">
        <f>IFERROR(INDEX('Detalles movimientos'!F$5:F$1021, MATCH(127, 'Detalles movimientos'!$T$5:$T$1021, 0)), "")</f>
        <v/>
      </c>
      <c r="F139" s="18">
        <f>IFERROR(INDEX('Detalles movimientos'!G$5:G$1021, MATCH(127, 'Detalles movimientos'!$T$5:$T$1021, 0)), "")</f>
        <v/>
      </c>
      <c r="G139" s="120">
        <f>IFERROR(INDEX('Detalles movimientos'!H$5:H$1021, MATCH(127, 'Detalles movimientos'!$T$5:$T$1021, 0)), "")</f>
        <v/>
      </c>
      <c r="H139" s="121">
        <f>IFERROR(INDEX('Detalles movimientos'!I$5:I$1021, MATCH(127, 'Detalles movimientos'!$T$5:$T$1021, 0)), "")</f>
        <v/>
      </c>
      <c r="I139" s="120">
        <f>IFERROR(INDEX('Detalles movimientos'!M$5:M$1021, MATCH(127, 'Detalles movimientos'!$T$5:$T$1021, 0)), "")</f>
        <v/>
      </c>
      <c r="J139" s="19">
        <f>IFERROR(INDEX('Detalles movimientos'!N$5:N$1021, MATCH(127, 'Detalles movimientos'!$T$5:$T$1021, 0)), "")</f>
        <v/>
      </c>
      <c r="K139" s="120">
        <f>IFERROR(INDEX('Detalles movimientos'!O$5:O$1021, MATCH(127, 'Detalles movimientos'!$T$5:$T$1021, 0)), "")</f>
        <v/>
      </c>
      <c r="L139" s="18">
        <f>IFERROR(INDEX('Detalles movimientos'!P$5:P$1021, MATCH(127, 'Detalles movimientos'!$T$5:$T$1021, 0)), "")</f>
        <v/>
      </c>
      <c r="M139" s="18">
        <f>IFERROR(INDEX('Detalles movimientos'!S$5:S$1021, MATCH(127, 'Detalles movimientos'!$T$5:$T$1021, 0)), "")</f>
        <v/>
      </c>
    </row>
    <row r="140">
      <c r="B140" s="119">
        <f>IFERROR(INDEX('Detalles movimientos'!C$5:C$1021, MATCH(128, 'Detalles movimientos'!$T$5:$T$1021, 0)), "")</f>
        <v/>
      </c>
      <c r="C140" s="18">
        <f>IFERROR(INDEX('Detalles movimientos'!D$5:D$1021, MATCH(128, 'Detalles movimientos'!$T$5:$T$1021, 0)), "")</f>
        <v/>
      </c>
      <c r="D140" s="19">
        <f>IFERROR(INDEX('Detalles movimientos'!E$5:E$1021, MATCH(128, 'Detalles movimientos'!$T$5:$T$1021, 0)), "")</f>
        <v/>
      </c>
      <c r="E140" s="19">
        <f>IFERROR(INDEX('Detalles movimientos'!F$5:F$1021, MATCH(128, 'Detalles movimientos'!$T$5:$T$1021, 0)), "")</f>
        <v/>
      </c>
      <c r="F140" s="18">
        <f>IFERROR(INDEX('Detalles movimientos'!G$5:G$1021, MATCH(128, 'Detalles movimientos'!$T$5:$T$1021, 0)), "")</f>
        <v/>
      </c>
      <c r="G140" s="120">
        <f>IFERROR(INDEX('Detalles movimientos'!H$5:H$1021, MATCH(128, 'Detalles movimientos'!$T$5:$T$1021, 0)), "")</f>
        <v/>
      </c>
      <c r="H140" s="121">
        <f>IFERROR(INDEX('Detalles movimientos'!I$5:I$1021, MATCH(128, 'Detalles movimientos'!$T$5:$T$1021, 0)), "")</f>
        <v/>
      </c>
      <c r="I140" s="120">
        <f>IFERROR(INDEX('Detalles movimientos'!M$5:M$1021, MATCH(128, 'Detalles movimientos'!$T$5:$T$1021, 0)), "")</f>
        <v/>
      </c>
      <c r="J140" s="19">
        <f>IFERROR(INDEX('Detalles movimientos'!N$5:N$1021, MATCH(128, 'Detalles movimientos'!$T$5:$T$1021, 0)), "")</f>
        <v/>
      </c>
      <c r="K140" s="120">
        <f>IFERROR(INDEX('Detalles movimientos'!O$5:O$1021, MATCH(128, 'Detalles movimientos'!$T$5:$T$1021, 0)), "")</f>
        <v/>
      </c>
      <c r="L140" s="18">
        <f>IFERROR(INDEX('Detalles movimientos'!P$5:P$1021, MATCH(128, 'Detalles movimientos'!$T$5:$T$1021, 0)), "")</f>
        <v/>
      </c>
      <c r="M140" s="18">
        <f>IFERROR(INDEX('Detalles movimientos'!S$5:S$1021, MATCH(128, 'Detalles movimientos'!$T$5:$T$1021, 0)), "")</f>
        <v/>
      </c>
    </row>
    <row r="141">
      <c r="B141" s="119">
        <f>IFERROR(INDEX('Detalles movimientos'!C$5:C$1021, MATCH(129, 'Detalles movimientos'!$T$5:$T$1021, 0)), "")</f>
        <v/>
      </c>
      <c r="C141" s="18">
        <f>IFERROR(INDEX('Detalles movimientos'!D$5:D$1021, MATCH(129, 'Detalles movimientos'!$T$5:$T$1021, 0)), "")</f>
        <v/>
      </c>
      <c r="D141" s="19">
        <f>IFERROR(INDEX('Detalles movimientos'!E$5:E$1021, MATCH(129, 'Detalles movimientos'!$T$5:$T$1021, 0)), "")</f>
        <v/>
      </c>
      <c r="E141" s="19">
        <f>IFERROR(INDEX('Detalles movimientos'!F$5:F$1021, MATCH(129, 'Detalles movimientos'!$T$5:$T$1021, 0)), "")</f>
        <v/>
      </c>
      <c r="F141" s="18">
        <f>IFERROR(INDEX('Detalles movimientos'!G$5:G$1021, MATCH(129, 'Detalles movimientos'!$T$5:$T$1021, 0)), "")</f>
        <v/>
      </c>
      <c r="G141" s="120">
        <f>IFERROR(INDEX('Detalles movimientos'!H$5:H$1021, MATCH(129, 'Detalles movimientos'!$T$5:$T$1021, 0)), "")</f>
        <v/>
      </c>
      <c r="H141" s="121">
        <f>IFERROR(INDEX('Detalles movimientos'!I$5:I$1021, MATCH(129, 'Detalles movimientos'!$T$5:$T$1021, 0)), "")</f>
        <v/>
      </c>
      <c r="I141" s="120">
        <f>IFERROR(INDEX('Detalles movimientos'!M$5:M$1021, MATCH(129, 'Detalles movimientos'!$T$5:$T$1021, 0)), "")</f>
        <v/>
      </c>
      <c r="J141" s="19">
        <f>IFERROR(INDEX('Detalles movimientos'!N$5:N$1021, MATCH(129, 'Detalles movimientos'!$T$5:$T$1021, 0)), "")</f>
        <v/>
      </c>
      <c r="K141" s="120">
        <f>IFERROR(INDEX('Detalles movimientos'!O$5:O$1021, MATCH(129, 'Detalles movimientos'!$T$5:$T$1021, 0)), "")</f>
        <v/>
      </c>
      <c r="L141" s="18">
        <f>IFERROR(INDEX('Detalles movimientos'!P$5:P$1021, MATCH(129, 'Detalles movimientos'!$T$5:$T$1021, 0)), "")</f>
        <v/>
      </c>
      <c r="M141" s="18">
        <f>IFERROR(INDEX('Detalles movimientos'!S$5:S$1021, MATCH(129, 'Detalles movimientos'!$T$5:$T$1021, 0)), "")</f>
        <v/>
      </c>
    </row>
    <row r="142">
      <c r="B142" s="119">
        <f>IFERROR(INDEX('Detalles movimientos'!C$5:C$1021, MATCH(130, 'Detalles movimientos'!$T$5:$T$1021, 0)), "")</f>
        <v/>
      </c>
      <c r="C142" s="18">
        <f>IFERROR(INDEX('Detalles movimientos'!D$5:D$1021, MATCH(130, 'Detalles movimientos'!$T$5:$T$1021, 0)), "")</f>
        <v/>
      </c>
      <c r="D142" s="19">
        <f>IFERROR(INDEX('Detalles movimientos'!E$5:E$1021, MATCH(130, 'Detalles movimientos'!$T$5:$T$1021, 0)), "")</f>
        <v/>
      </c>
      <c r="E142" s="19">
        <f>IFERROR(INDEX('Detalles movimientos'!F$5:F$1021, MATCH(130, 'Detalles movimientos'!$T$5:$T$1021, 0)), "")</f>
        <v/>
      </c>
      <c r="F142" s="18">
        <f>IFERROR(INDEX('Detalles movimientos'!G$5:G$1021, MATCH(130, 'Detalles movimientos'!$T$5:$T$1021, 0)), "")</f>
        <v/>
      </c>
      <c r="G142" s="120">
        <f>IFERROR(INDEX('Detalles movimientos'!H$5:H$1021, MATCH(130, 'Detalles movimientos'!$T$5:$T$1021, 0)), "")</f>
        <v/>
      </c>
      <c r="H142" s="121">
        <f>IFERROR(INDEX('Detalles movimientos'!I$5:I$1021, MATCH(130, 'Detalles movimientos'!$T$5:$T$1021, 0)), "")</f>
        <v/>
      </c>
      <c r="I142" s="120">
        <f>IFERROR(INDEX('Detalles movimientos'!M$5:M$1021, MATCH(130, 'Detalles movimientos'!$T$5:$T$1021, 0)), "")</f>
        <v/>
      </c>
      <c r="J142" s="19">
        <f>IFERROR(INDEX('Detalles movimientos'!N$5:N$1021, MATCH(130, 'Detalles movimientos'!$T$5:$T$1021, 0)), "")</f>
        <v/>
      </c>
      <c r="K142" s="120">
        <f>IFERROR(INDEX('Detalles movimientos'!O$5:O$1021, MATCH(130, 'Detalles movimientos'!$T$5:$T$1021, 0)), "")</f>
        <v/>
      </c>
      <c r="L142" s="18">
        <f>IFERROR(INDEX('Detalles movimientos'!P$5:P$1021, MATCH(130, 'Detalles movimientos'!$T$5:$T$1021, 0)), "")</f>
        <v/>
      </c>
      <c r="M142" s="18">
        <f>IFERROR(INDEX('Detalles movimientos'!S$5:S$1021, MATCH(130, 'Detalles movimientos'!$T$5:$T$1021, 0)), "")</f>
        <v/>
      </c>
    </row>
    <row r="143">
      <c r="B143" s="119">
        <f>IFERROR(INDEX('Detalles movimientos'!C$5:C$1021, MATCH(131, 'Detalles movimientos'!$T$5:$T$1021, 0)), "")</f>
        <v/>
      </c>
      <c r="C143" s="18">
        <f>IFERROR(INDEX('Detalles movimientos'!D$5:D$1021, MATCH(131, 'Detalles movimientos'!$T$5:$T$1021, 0)), "")</f>
        <v/>
      </c>
      <c r="D143" s="19">
        <f>IFERROR(INDEX('Detalles movimientos'!E$5:E$1021, MATCH(131, 'Detalles movimientos'!$T$5:$T$1021, 0)), "")</f>
        <v/>
      </c>
      <c r="E143" s="19">
        <f>IFERROR(INDEX('Detalles movimientos'!F$5:F$1021, MATCH(131, 'Detalles movimientos'!$T$5:$T$1021, 0)), "")</f>
        <v/>
      </c>
      <c r="F143" s="18">
        <f>IFERROR(INDEX('Detalles movimientos'!G$5:G$1021, MATCH(131, 'Detalles movimientos'!$T$5:$T$1021, 0)), "")</f>
        <v/>
      </c>
      <c r="G143" s="120">
        <f>IFERROR(INDEX('Detalles movimientos'!H$5:H$1021, MATCH(131, 'Detalles movimientos'!$T$5:$T$1021, 0)), "")</f>
        <v/>
      </c>
      <c r="H143" s="121">
        <f>IFERROR(INDEX('Detalles movimientos'!I$5:I$1021, MATCH(131, 'Detalles movimientos'!$T$5:$T$1021, 0)), "")</f>
        <v/>
      </c>
      <c r="I143" s="120">
        <f>IFERROR(INDEX('Detalles movimientos'!M$5:M$1021, MATCH(131, 'Detalles movimientos'!$T$5:$T$1021, 0)), "")</f>
        <v/>
      </c>
      <c r="J143" s="19">
        <f>IFERROR(INDEX('Detalles movimientos'!N$5:N$1021, MATCH(131, 'Detalles movimientos'!$T$5:$T$1021, 0)), "")</f>
        <v/>
      </c>
      <c r="K143" s="120">
        <f>IFERROR(INDEX('Detalles movimientos'!O$5:O$1021, MATCH(131, 'Detalles movimientos'!$T$5:$T$1021, 0)), "")</f>
        <v/>
      </c>
      <c r="L143" s="18">
        <f>IFERROR(INDEX('Detalles movimientos'!P$5:P$1021, MATCH(131, 'Detalles movimientos'!$T$5:$T$1021, 0)), "")</f>
        <v/>
      </c>
      <c r="M143" s="18">
        <f>IFERROR(INDEX('Detalles movimientos'!S$5:S$1021, MATCH(131, 'Detalles movimientos'!$T$5:$T$1021, 0)), "")</f>
        <v/>
      </c>
    </row>
    <row r="144">
      <c r="B144" s="119">
        <f>IFERROR(INDEX('Detalles movimientos'!C$5:C$1021, MATCH(132, 'Detalles movimientos'!$T$5:$T$1021, 0)), "")</f>
        <v/>
      </c>
      <c r="C144" s="18">
        <f>IFERROR(INDEX('Detalles movimientos'!D$5:D$1021, MATCH(132, 'Detalles movimientos'!$T$5:$T$1021, 0)), "")</f>
        <v/>
      </c>
      <c r="D144" s="19">
        <f>IFERROR(INDEX('Detalles movimientos'!E$5:E$1021, MATCH(132, 'Detalles movimientos'!$T$5:$T$1021, 0)), "")</f>
        <v/>
      </c>
      <c r="E144" s="19">
        <f>IFERROR(INDEX('Detalles movimientos'!F$5:F$1021, MATCH(132, 'Detalles movimientos'!$T$5:$T$1021, 0)), "")</f>
        <v/>
      </c>
      <c r="F144" s="18">
        <f>IFERROR(INDEX('Detalles movimientos'!G$5:G$1021, MATCH(132, 'Detalles movimientos'!$T$5:$T$1021, 0)), "")</f>
        <v/>
      </c>
      <c r="G144" s="120">
        <f>IFERROR(INDEX('Detalles movimientos'!H$5:H$1021, MATCH(132, 'Detalles movimientos'!$T$5:$T$1021, 0)), "")</f>
        <v/>
      </c>
      <c r="H144" s="121">
        <f>IFERROR(INDEX('Detalles movimientos'!I$5:I$1021, MATCH(132, 'Detalles movimientos'!$T$5:$T$1021, 0)), "")</f>
        <v/>
      </c>
      <c r="I144" s="120">
        <f>IFERROR(INDEX('Detalles movimientos'!M$5:M$1021, MATCH(132, 'Detalles movimientos'!$T$5:$T$1021, 0)), "")</f>
        <v/>
      </c>
      <c r="J144" s="19">
        <f>IFERROR(INDEX('Detalles movimientos'!N$5:N$1021, MATCH(132, 'Detalles movimientos'!$T$5:$T$1021, 0)), "")</f>
        <v/>
      </c>
      <c r="K144" s="120">
        <f>IFERROR(INDEX('Detalles movimientos'!O$5:O$1021, MATCH(132, 'Detalles movimientos'!$T$5:$T$1021, 0)), "")</f>
        <v/>
      </c>
      <c r="L144" s="18">
        <f>IFERROR(INDEX('Detalles movimientos'!P$5:P$1021, MATCH(132, 'Detalles movimientos'!$T$5:$T$1021, 0)), "")</f>
        <v/>
      </c>
      <c r="M144" s="18">
        <f>IFERROR(INDEX('Detalles movimientos'!S$5:S$1021, MATCH(132, 'Detalles movimientos'!$T$5:$T$1021, 0)), "")</f>
        <v/>
      </c>
    </row>
    <row r="145">
      <c r="B145" s="119">
        <f>IFERROR(INDEX('Detalles movimientos'!C$5:C$1021, MATCH(133, 'Detalles movimientos'!$T$5:$T$1021, 0)), "")</f>
        <v/>
      </c>
      <c r="C145" s="18">
        <f>IFERROR(INDEX('Detalles movimientos'!D$5:D$1021, MATCH(133, 'Detalles movimientos'!$T$5:$T$1021, 0)), "")</f>
        <v/>
      </c>
      <c r="D145" s="19">
        <f>IFERROR(INDEX('Detalles movimientos'!E$5:E$1021, MATCH(133, 'Detalles movimientos'!$T$5:$T$1021, 0)), "")</f>
        <v/>
      </c>
      <c r="E145" s="19">
        <f>IFERROR(INDEX('Detalles movimientos'!F$5:F$1021, MATCH(133, 'Detalles movimientos'!$T$5:$T$1021, 0)), "")</f>
        <v/>
      </c>
      <c r="F145" s="18">
        <f>IFERROR(INDEX('Detalles movimientos'!G$5:G$1021, MATCH(133, 'Detalles movimientos'!$T$5:$T$1021, 0)), "")</f>
        <v/>
      </c>
      <c r="G145" s="120">
        <f>IFERROR(INDEX('Detalles movimientos'!H$5:H$1021, MATCH(133, 'Detalles movimientos'!$T$5:$T$1021, 0)), "")</f>
        <v/>
      </c>
      <c r="H145" s="121">
        <f>IFERROR(INDEX('Detalles movimientos'!I$5:I$1021, MATCH(133, 'Detalles movimientos'!$T$5:$T$1021, 0)), "")</f>
        <v/>
      </c>
      <c r="I145" s="120">
        <f>IFERROR(INDEX('Detalles movimientos'!M$5:M$1021, MATCH(133, 'Detalles movimientos'!$T$5:$T$1021, 0)), "")</f>
        <v/>
      </c>
      <c r="J145" s="19">
        <f>IFERROR(INDEX('Detalles movimientos'!N$5:N$1021, MATCH(133, 'Detalles movimientos'!$T$5:$T$1021, 0)), "")</f>
        <v/>
      </c>
      <c r="K145" s="120">
        <f>IFERROR(INDEX('Detalles movimientos'!O$5:O$1021, MATCH(133, 'Detalles movimientos'!$T$5:$T$1021, 0)), "")</f>
        <v/>
      </c>
      <c r="L145" s="18">
        <f>IFERROR(INDEX('Detalles movimientos'!P$5:P$1021, MATCH(133, 'Detalles movimientos'!$T$5:$T$1021, 0)), "")</f>
        <v/>
      </c>
      <c r="M145" s="18">
        <f>IFERROR(INDEX('Detalles movimientos'!S$5:S$1021, MATCH(133, 'Detalles movimientos'!$T$5:$T$1021, 0)), "")</f>
        <v/>
      </c>
    </row>
    <row r="146">
      <c r="B146" s="119">
        <f>IFERROR(INDEX('Detalles movimientos'!C$5:C$1021, MATCH(134, 'Detalles movimientos'!$T$5:$T$1021, 0)), "")</f>
        <v/>
      </c>
      <c r="C146" s="18">
        <f>IFERROR(INDEX('Detalles movimientos'!D$5:D$1021, MATCH(134, 'Detalles movimientos'!$T$5:$T$1021, 0)), "")</f>
        <v/>
      </c>
      <c r="D146" s="19">
        <f>IFERROR(INDEX('Detalles movimientos'!E$5:E$1021, MATCH(134, 'Detalles movimientos'!$T$5:$T$1021, 0)), "")</f>
        <v/>
      </c>
      <c r="E146" s="19">
        <f>IFERROR(INDEX('Detalles movimientos'!F$5:F$1021, MATCH(134, 'Detalles movimientos'!$T$5:$T$1021, 0)), "")</f>
        <v/>
      </c>
      <c r="F146" s="18">
        <f>IFERROR(INDEX('Detalles movimientos'!G$5:G$1021, MATCH(134, 'Detalles movimientos'!$T$5:$T$1021, 0)), "")</f>
        <v/>
      </c>
      <c r="G146" s="120">
        <f>IFERROR(INDEX('Detalles movimientos'!H$5:H$1021, MATCH(134, 'Detalles movimientos'!$T$5:$T$1021, 0)), "")</f>
        <v/>
      </c>
      <c r="H146" s="121">
        <f>IFERROR(INDEX('Detalles movimientos'!I$5:I$1021, MATCH(134, 'Detalles movimientos'!$T$5:$T$1021, 0)), "")</f>
        <v/>
      </c>
      <c r="I146" s="120">
        <f>IFERROR(INDEX('Detalles movimientos'!M$5:M$1021, MATCH(134, 'Detalles movimientos'!$T$5:$T$1021, 0)), "")</f>
        <v/>
      </c>
      <c r="J146" s="19">
        <f>IFERROR(INDEX('Detalles movimientos'!N$5:N$1021, MATCH(134, 'Detalles movimientos'!$T$5:$T$1021, 0)), "")</f>
        <v/>
      </c>
      <c r="K146" s="120">
        <f>IFERROR(INDEX('Detalles movimientos'!O$5:O$1021, MATCH(134, 'Detalles movimientos'!$T$5:$T$1021, 0)), "")</f>
        <v/>
      </c>
      <c r="L146" s="18">
        <f>IFERROR(INDEX('Detalles movimientos'!P$5:P$1021, MATCH(134, 'Detalles movimientos'!$T$5:$T$1021, 0)), "")</f>
        <v/>
      </c>
      <c r="M146" s="18">
        <f>IFERROR(INDEX('Detalles movimientos'!S$5:S$1021, MATCH(134, 'Detalles movimientos'!$T$5:$T$1021, 0)), "")</f>
        <v/>
      </c>
    </row>
    <row r="147">
      <c r="B147" s="119">
        <f>IFERROR(INDEX('Detalles movimientos'!C$5:C$1021, MATCH(135, 'Detalles movimientos'!$T$5:$T$1021, 0)), "")</f>
        <v/>
      </c>
      <c r="C147" s="18">
        <f>IFERROR(INDEX('Detalles movimientos'!D$5:D$1021, MATCH(135, 'Detalles movimientos'!$T$5:$T$1021, 0)), "")</f>
        <v/>
      </c>
      <c r="D147" s="19">
        <f>IFERROR(INDEX('Detalles movimientos'!E$5:E$1021, MATCH(135, 'Detalles movimientos'!$T$5:$T$1021, 0)), "")</f>
        <v/>
      </c>
      <c r="E147" s="19">
        <f>IFERROR(INDEX('Detalles movimientos'!F$5:F$1021, MATCH(135, 'Detalles movimientos'!$T$5:$T$1021, 0)), "")</f>
        <v/>
      </c>
      <c r="F147" s="18">
        <f>IFERROR(INDEX('Detalles movimientos'!G$5:G$1021, MATCH(135, 'Detalles movimientos'!$T$5:$T$1021, 0)), "")</f>
        <v/>
      </c>
      <c r="G147" s="120">
        <f>IFERROR(INDEX('Detalles movimientos'!H$5:H$1021, MATCH(135, 'Detalles movimientos'!$T$5:$T$1021, 0)), "")</f>
        <v/>
      </c>
      <c r="H147" s="121">
        <f>IFERROR(INDEX('Detalles movimientos'!I$5:I$1021, MATCH(135, 'Detalles movimientos'!$T$5:$T$1021, 0)), "")</f>
        <v/>
      </c>
      <c r="I147" s="120">
        <f>IFERROR(INDEX('Detalles movimientos'!M$5:M$1021, MATCH(135, 'Detalles movimientos'!$T$5:$T$1021, 0)), "")</f>
        <v/>
      </c>
      <c r="J147" s="19">
        <f>IFERROR(INDEX('Detalles movimientos'!N$5:N$1021, MATCH(135, 'Detalles movimientos'!$T$5:$T$1021, 0)), "")</f>
        <v/>
      </c>
      <c r="K147" s="120">
        <f>IFERROR(INDEX('Detalles movimientos'!O$5:O$1021, MATCH(135, 'Detalles movimientos'!$T$5:$T$1021, 0)), "")</f>
        <v/>
      </c>
      <c r="L147" s="18">
        <f>IFERROR(INDEX('Detalles movimientos'!P$5:P$1021, MATCH(135, 'Detalles movimientos'!$T$5:$T$1021, 0)), "")</f>
        <v/>
      </c>
      <c r="M147" s="18">
        <f>IFERROR(INDEX('Detalles movimientos'!S$5:S$1021, MATCH(135, 'Detalles movimientos'!$T$5:$T$1021, 0)), "")</f>
        <v/>
      </c>
    </row>
    <row r="148">
      <c r="B148" s="119">
        <f>IFERROR(INDEX('Detalles movimientos'!C$5:C$1021, MATCH(136, 'Detalles movimientos'!$T$5:$T$1021, 0)), "")</f>
        <v/>
      </c>
      <c r="C148" s="18">
        <f>IFERROR(INDEX('Detalles movimientos'!D$5:D$1021, MATCH(136, 'Detalles movimientos'!$T$5:$T$1021, 0)), "")</f>
        <v/>
      </c>
      <c r="D148" s="19">
        <f>IFERROR(INDEX('Detalles movimientos'!E$5:E$1021, MATCH(136, 'Detalles movimientos'!$T$5:$T$1021, 0)), "")</f>
        <v/>
      </c>
      <c r="E148" s="19">
        <f>IFERROR(INDEX('Detalles movimientos'!F$5:F$1021, MATCH(136, 'Detalles movimientos'!$T$5:$T$1021, 0)), "")</f>
        <v/>
      </c>
      <c r="F148" s="18">
        <f>IFERROR(INDEX('Detalles movimientos'!G$5:G$1021, MATCH(136, 'Detalles movimientos'!$T$5:$T$1021, 0)), "")</f>
        <v/>
      </c>
      <c r="G148" s="120">
        <f>IFERROR(INDEX('Detalles movimientos'!H$5:H$1021, MATCH(136, 'Detalles movimientos'!$T$5:$T$1021, 0)), "")</f>
        <v/>
      </c>
      <c r="H148" s="121">
        <f>IFERROR(INDEX('Detalles movimientos'!I$5:I$1021, MATCH(136, 'Detalles movimientos'!$T$5:$T$1021, 0)), "")</f>
        <v/>
      </c>
      <c r="I148" s="120">
        <f>IFERROR(INDEX('Detalles movimientos'!M$5:M$1021, MATCH(136, 'Detalles movimientos'!$T$5:$T$1021, 0)), "")</f>
        <v/>
      </c>
      <c r="J148" s="19">
        <f>IFERROR(INDEX('Detalles movimientos'!N$5:N$1021, MATCH(136, 'Detalles movimientos'!$T$5:$T$1021, 0)), "")</f>
        <v/>
      </c>
      <c r="K148" s="120">
        <f>IFERROR(INDEX('Detalles movimientos'!O$5:O$1021, MATCH(136, 'Detalles movimientos'!$T$5:$T$1021, 0)), "")</f>
        <v/>
      </c>
      <c r="L148" s="18">
        <f>IFERROR(INDEX('Detalles movimientos'!P$5:P$1021, MATCH(136, 'Detalles movimientos'!$T$5:$T$1021, 0)), "")</f>
        <v/>
      </c>
      <c r="M148" s="18">
        <f>IFERROR(INDEX('Detalles movimientos'!S$5:S$1021, MATCH(136, 'Detalles movimientos'!$T$5:$T$1021, 0)), "")</f>
        <v/>
      </c>
    </row>
    <row r="149">
      <c r="B149" s="119">
        <f>IFERROR(INDEX('Detalles movimientos'!C$5:C$1021, MATCH(137, 'Detalles movimientos'!$T$5:$T$1021, 0)), "")</f>
        <v/>
      </c>
      <c r="C149" s="18">
        <f>IFERROR(INDEX('Detalles movimientos'!D$5:D$1021, MATCH(137, 'Detalles movimientos'!$T$5:$T$1021, 0)), "")</f>
        <v/>
      </c>
      <c r="D149" s="19">
        <f>IFERROR(INDEX('Detalles movimientos'!E$5:E$1021, MATCH(137, 'Detalles movimientos'!$T$5:$T$1021, 0)), "")</f>
        <v/>
      </c>
      <c r="E149" s="19">
        <f>IFERROR(INDEX('Detalles movimientos'!F$5:F$1021, MATCH(137, 'Detalles movimientos'!$T$5:$T$1021, 0)), "")</f>
        <v/>
      </c>
      <c r="F149" s="18">
        <f>IFERROR(INDEX('Detalles movimientos'!G$5:G$1021, MATCH(137, 'Detalles movimientos'!$T$5:$T$1021, 0)), "")</f>
        <v/>
      </c>
      <c r="G149" s="120">
        <f>IFERROR(INDEX('Detalles movimientos'!H$5:H$1021, MATCH(137, 'Detalles movimientos'!$T$5:$T$1021, 0)), "")</f>
        <v/>
      </c>
      <c r="H149" s="121">
        <f>IFERROR(INDEX('Detalles movimientos'!I$5:I$1021, MATCH(137, 'Detalles movimientos'!$T$5:$T$1021, 0)), "")</f>
        <v/>
      </c>
      <c r="I149" s="120">
        <f>IFERROR(INDEX('Detalles movimientos'!M$5:M$1021, MATCH(137, 'Detalles movimientos'!$T$5:$T$1021, 0)), "")</f>
        <v/>
      </c>
      <c r="J149" s="19">
        <f>IFERROR(INDEX('Detalles movimientos'!N$5:N$1021, MATCH(137, 'Detalles movimientos'!$T$5:$T$1021, 0)), "")</f>
        <v/>
      </c>
      <c r="K149" s="120">
        <f>IFERROR(INDEX('Detalles movimientos'!O$5:O$1021, MATCH(137, 'Detalles movimientos'!$T$5:$T$1021, 0)), "")</f>
        <v/>
      </c>
      <c r="L149" s="18">
        <f>IFERROR(INDEX('Detalles movimientos'!P$5:P$1021, MATCH(137, 'Detalles movimientos'!$T$5:$T$1021, 0)), "")</f>
        <v/>
      </c>
      <c r="M149" s="18">
        <f>IFERROR(INDEX('Detalles movimientos'!S$5:S$1021, MATCH(137, 'Detalles movimientos'!$T$5:$T$1021, 0)), "")</f>
        <v/>
      </c>
    </row>
    <row r="150">
      <c r="B150" s="119">
        <f>IFERROR(INDEX('Detalles movimientos'!C$5:C$1021, MATCH(138, 'Detalles movimientos'!$T$5:$T$1021, 0)), "")</f>
        <v/>
      </c>
      <c r="C150" s="18">
        <f>IFERROR(INDEX('Detalles movimientos'!D$5:D$1021, MATCH(138, 'Detalles movimientos'!$T$5:$T$1021, 0)), "")</f>
        <v/>
      </c>
      <c r="D150" s="19">
        <f>IFERROR(INDEX('Detalles movimientos'!E$5:E$1021, MATCH(138, 'Detalles movimientos'!$T$5:$T$1021, 0)), "")</f>
        <v/>
      </c>
      <c r="E150" s="19">
        <f>IFERROR(INDEX('Detalles movimientos'!F$5:F$1021, MATCH(138, 'Detalles movimientos'!$T$5:$T$1021, 0)), "")</f>
        <v/>
      </c>
      <c r="F150" s="18">
        <f>IFERROR(INDEX('Detalles movimientos'!G$5:G$1021, MATCH(138, 'Detalles movimientos'!$T$5:$T$1021, 0)), "")</f>
        <v/>
      </c>
      <c r="G150" s="120">
        <f>IFERROR(INDEX('Detalles movimientos'!H$5:H$1021, MATCH(138, 'Detalles movimientos'!$T$5:$T$1021, 0)), "")</f>
        <v/>
      </c>
      <c r="H150" s="121">
        <f>IFERROR(INDEX('Detalles movimientos'!I$5:I$1021, MATCH(138, 'Detalles movimientos'!$T$5:$T$1021, 0)), "")</f>
        <v/>
      </c>
      <c r="I150" s="120">
        <f>IFERROR(INDEX('Detalles movimientos'!M$5:M$1021, MATCH(138, 'Detalles movimientos'!$T$5:$T$1021, 0)), "")</f>
        <v/>
      </c>
      <c r="J150" s="19">
        <f>IFERROR(INDEX('Detalles movimientos'!N$5:N$1021, MATCH(138, 'Detalles movimientos'!$T$5:$T$1021, 0)), "")</f>
        <v/>
      </c>
      <c r="K150" s="120">
        <f>IFERROR(INDEX('Detalles movimientos'!O$5:O$1021, MATCH(138, 'Detalles movimientos'!$T$5:$T$1021, 0)), "")</f>
        <v/>
      </c>
      <c r="L150" s="18">
        <f>IFERROR(INDEX('Detalles movimientos'!P$5:P$1021, MATCH(138, 'Detalles movimientos'!$T$5:$T$1021, 0)), "")</f>
        <v/>
      </c>
      <c r="M150" s="18">
        <f>IFERROR(INDEX('Detalles movimientos'!S$5:S$1021, MATCH(138, 'Detalles movimientos'!$T$5:$T$1021, 0)), "")</f>
        <v/>
      </c>
    </row>
    <row r="151">
      <c r="B151" s="119">
        <f>IFERROR(INDEX('Detalles movimientos'!C$5:C$1021, MATCH(139, 'Detalles movimientos'!$T$5:$T$1021, 0)), "")</f>
        <v/>
      </c>
      <c r="C151" s="18">
        <f>IFERROR(INDEX('Detalles movimientos'!D$5:D$1021, MATCH(139, 'Detalles movimientos'!$T$5:$T$1021, 0)), "")</f>
        <v/>
      </c>
      <c r="D151" s="19">
        <f>IFERROR(INDEX('Detalles movimientos'!E$5:E$1021, MATCH(139, 'Detalles movimientos'!$T$5:$T$1021, 0)), "")</f>
        <v/>
      </c>
      <c r="E151" s="19">
        <f>IFERROR(INDEX('Detalles movimientos'!F$5:F$1021, MATCH(139, 'Detalles movimientos'!$T$5:$T$1021, 0)), "")</f>
        <v/>
      </c>
      <c r="F151" s="18">
        <f>IFERROR(INDEX('Detalles movimientos'!G$5:G$1021, MATCH(139, 'Detalles movimientos'!$T$5:$T$1021, 0)), "")</f>
        <v/>
      </c>
      <c r="G151" s="120">
        <f>IFERROR(INDEX('Detalles movimientos'!H$5:H$1021, MATCH(139, 'Detalles movimientos'!$T$5:$T$1021, 0)), "")</f>
        <v/>
      </c>
      <c r="H151" s="121">
        <f>IFERROR(INDEX('Detalles movimientos'!I$5:I$1021, MATCH(139, 'Detalles movimientos'!$T$5:$T$1021, 0)), "")</f>
        <v/>
      </c>
      <c r="I151" s="120">
        <f>IFERROR(INDEX('Detalles movimientos'!M$5:M$1021, MATCH(139, 'Detalles movimientos'!$T$5:$T$1021, 0)), "")</f>
        <v/>
      </c>
      <c r="J151" s="19">
        <f>IFERROR(INDEX('Detalles movimientos'!N$5:N$1021, MATCH(139, 'Detalles movimientos'!$T$5:$T$1021, 0)), "")</f>
        <v/>
      </c>
      <c r="K151" s="120">
        <f>IFERROR(INDEX('Detalles movimientos'!O$5:O$1021, MATCH(139, 'Detalles movimientos'!$T$5:$T$1021, 0)), "")</f>
        <v/>
      </c>
      <c r="L151" s="18">
        <f>IFERROR(INDEX('Detalles movimientos'!P$5:P$1021, MATCH(139, 'Detalles movimientos'!$T$5:$T$1021, 0)), "")</f>
        <v/>
      </c>
      <c r="M151" s="18">
        <f>IFERROR(INDEX('Detalles movimientos'!S$5:S$1021, MATCH(139, 'Detalles movimientos'!$T$5:$T$1021, 0)), "")</f>
        <v/>
      </c>
    </row>
    <row r="152">
      <c r="B152" s="119">
        <f>IFERROR(INDEX('Detalles movimientos'!C$5:C$1021, MATCH(140, 'Detalles movimientos'!$T$5:$T$1021, 0)), "")</f>
        <v/>
      </c>
      <c r="C152" s="18">
        <f>IFERROR(INDEX('Detalles movimientos'!D$5:D$1021, MATCH(140, 'Detalles movimientos'!$T$5:$T$1021, 0)), "")</f>
        <v/>
      </c>
      <c r="D152" s="19">
        <f>IFERROR(INDEX('Detalles movimientos'!E$5:E$1021, MATCH(140, 'Detalles movimientos'!$T$5:$T$1021, 0)), "")</f>
        <v/>
      </c>
      <c r="E152" s="19">
        <f>IFERROR(INDEX('Detalles movimientos'!F$5:F$1021, MATCH(140, 'Detalles movimientos'!$T$5:$T$1021, 0)), "")</f>
        <v/>
      </c>
      <c r="F152" s="18">
        <f>IFERROR(INDEX('Detalles movimientos'!G$5:G$1021, MATCH(140, 'Detalles movimientos'!$T$5:$T$1021, 0)), "")</f>
        <v/>
      </c>
      <c r="G152" s="120">
        <f>IFERROR(INDEX('Detalles movimientos'!H$5:H$1021, MATCH(140, 'Detalles movimientos'!$T$5:$T$1021, 0)), "")</f>
        <v/>
      </c>
      <c r="H152" s="121">
        <f>IFERROR(INDEX('Detalles movimientos'!I$5:I$1021, MATCH(140, 'Detalles movimientos'!$T$5:$T$1021, 0)), "")</f>
        <v/>
      </c>
      <c r="I152" s="120">
        <f>IFERROR(INDEX('Detalles movimientos'!M$5:M$1021, MATCH(140, 'Detalles movimientos'!$T$5:$T$1021, 0)), "")</f>
        <v/>
      </c>
      <c r="J152" s="19">
        <f>IFERROR(INDEX('Detalles movimientos'!N$5:N$1021, MATCH(140, 'Detalles movimientos'!$T$5:$T$1021, 0)), "")</f>
        <v/>
      </c>
      <c r="K152" s="120">
        <f>IFERROR(INDEX('Detalles movimientos'!O$5:O$1021, MATCH(140, 'Detalles movimientos'!$T$5:$T$1021, 0)), "")</f>
        <v/>
      </c>
      <c r="L152" s="18">
        <f>IFERROR(INDEX('Detalles movimientos'!P$5:P$1021, MATCH(140, 'Detalles movimientos'!$T$5:$T$1021, 0)), "")</f>
        <v/>
      </c>
      <c r="M152" s="18">
        <f>IFERROR(INDEX('Detalles movimientos'!S$5:S$1021, MATCH(140, 'Detalles movimientos'!$T$5:$T$1021, 0)), "")</f>
        <v/>
      </c>
    </row>
    <row r="153">
      <c r="B153" s="119">
        <f>IFERROR(INDEX('Detalles movimientos'!C$5:C$1021, MATCH(141, 'Detalles movimientos'!$T$5:$T$1021, 0)), "")</f>
        <v/>
      </c>
      <c r="C153" s="18">
        <f>IFERROR(INDEX('Detalles movimientos'!D$5:D$1021, MATCH(141, 'Detalles movimientos'!$T$5:$T$1021, 0)), "")</f>
        <v/>
      </c>
      <c r="D153" s="19">
        <f>IFERROR(INDEX('Detalles movimientos'!E$5:E$1021, MATCH(141, 'Detalles movimientos'!$T$5:$T$1021, 0)), "")</f>
        <v/>
      </c>
      <c r="E153" s="19">
        <f>IFERROR(INDEX('Detalles movimientos'!F$5:F$1021, MATCH(141, 'Detalles movimientos'!$T$5:$T$1021, 0)), "")</f>
        <v/>
      </c>
      <c r="F153" s="18">
        <f>IFERROR(INDEX('Detalles movimientos'!G$5:G$1021, MATCH(141, 'Detalles movimientos'!$T$5:$T$1021, 0)), "")</f>
        <v/>
      </c>
      <c r="G153" s="120">
        <f>IFERROR(INDEX('Detalles movimientos'!H$5:H$1021, MATCH(141, 'Detalles movimientos'!$T$5:$T$1021, 0)), "")</f>
        <v/>
      </c>
      <c r="H153" s="121">
        <f>IFERROR(INDEX('Detalles movimientos'!I$5:I$1021, MATCH(141, 'Detalles movimientos'!$T$5:$T$1021, 0)), "")</f>
        <v/>
      </c>
      <c r="I153" s="120">
        <f>IFERROR(INDEX('Detalles movimientos'!M$5:M$1021, MATCH(141, 'Detalles movimientos'!$T$5:$T$1021, 0)), "")</f>
        <v/>
      </c>
      <c r="J153" s="19">
        <f>IFERROR(INDEX('Detalles movimientos'!N$5:N$1021, MATCH(141, 'Detalles movimientos'!$T$5:$T$1021, 0)), "")</f>
        <v/>
      </c>
      <c r="K153" s="120">
        <f>IFERROR(INDEX('Detalles movimientos'!O$5:O$1021, MATCH(141, 'Detalles movimientos'!$T$5:$T$1021, 0)), "")</f>
        <v/>
      </c>
      <c r="L153" s="18">
        <f>IFERROR(INDEX('Detalles movimientos'!P$5:P$1021, MATCH(141, 'Detalles movimientos'!$T$5:$T$1021, 0)), "")</f>
        <v/>
      </c>
      <c r="M153" s="18">
        <f>IFERROR(INDEX('Detalles movimientos'!S$5:S$1021, MATCH(141, 'Detalles movimientos'!$T$5:$T$1021, 0)), "")</f>
        <v/>
      </c>
    </row>
    <row r="154">
      <c r="B154" s="119">
        <f>IFERROR(INDEX('Detalles movimientos'!C$5:C$1021, MATCH(142, 'Detalles movimientos'!$T$5:$T$1021, 0)), "")</f>
        <v/>
      </c>
      <c r="C154" s="18">
        <f>IFERROR(INDEX('Detalles movimientos'!D$5:D$1021, MATCH(142, 'Detalles movimientos'!$T$5:$T$1021, 0)), "")</f>
        <v/>
      </c>
      <c r="D154" s="19">
        <f>IFERROR(INDEX('Detalles movimientos'!E$5:E$1021, MATCH(142, 'Detalles movimientos'!$T$5:$T$1021, 0)), "")</f>
        <v/>
      </c>
      <c r="E154" s="19">
        <f>IFERROR(INDEX('Detalles movimientos'!F$5:F$1021, MATCH(142, 'Detalles movimientos'!$T$5:$T$1021, 0)), "")</f>
        <v/>
      </c>
      <c r="F154" s="18">
        <f>IFERROR(INDEX('Detalles movimientos'!G$5:G$1021, MATCH(142, 'Detalles movimientos'!$T$5:$T$1021, 0)), "")</f>
        <v/>
      </c>
      <c r="G154" s="120">
        <f>IFERROR(INDEX('Detalles movimientos'!H$5:H$1021, MATCH(142, 'Detalles movimientos'!$T$5:$T$1021, 0)), "")</f>
        <v/>
      </c>
      <c r="H154" s="121">
        <f>IFERROR(INDEX('Detalles movimientos'!I$5:I$1021, MATCH(142, 'Detalles movimientos'!$T$5:$T$1021, 0)), "")</f>
        <v/>
      </c>
      <c r="I154" s="120">
        <f>IFERROR(INDEX('Detalles movimientos'!M$5:M$1021, MATCH(142, 'Detalles movimientos'!$T$5:$T$1021, 0)), "")</f>
        <v/>
      </c>
      <c r="J154" s="19">
        <f>IFERROR(INDEX('Detalles movimientos'!N$5:N$1021, MATCH(142, 'Detalles movimientos'!$T$5:$T$1021, 0)), "")</f>
        <v/>
      </c>
      <c r="K154" s="120">
        <f>IFERROR(INDEX('Detalles movimientos'!O$5:O$1021, MATCH(142, 'Detalles movimientos'!$T$5:$T$1021, 0)), "")</f>
        <v/>
      </c>
      <c r="L154" s="18">
        <f>IFERROR(INDEX('Detalles movimientos'!P$5:P$1021, MATCH(142, 'Detalles movimientos'!$T$5:$T$1021, 0)), "")</f>
        <v/>
      </c>
      <c r="M154" s="18">
        <f>IFERROR(INDEX('Detalles movimientos'!S$5:S$1021, MATCH(142, 'Detalles movimientos'!$T$5:$T$1021, 0)), "")</f>
        <v/>
      </c>
    </row>
    <row r="155">
      <c r="B155" s="119">
        <f>IFERROR(INDEX('Detalles movimientos'!C$5:C$1021, MATCH(143, 'Detalles movimientos'!$T$5:$T$1021, 0)), "")</f>
        <v/>
      </c>
      <c r="C155" s="18">
        <f>IFERROR(INDEX('Detalles movimientos'!D$5:D$1021, MATCH(143, 'Detalles movimientos'!$T$5:$T$1021, 0)), "")</f>
        <v/>
      </c>
      <c r="D155" s="19">
        <f>IFERROR(INDEX('Detalles movimientos'!E$5:E$1021, MATCH(143, 'Detalles movimientos'!$T$5:$T$1021, 0)), "")</f>
        <v/>
      </c>
      <c r="E155" s="19">
        <f>IFERROR(INDEX('Detalles movimientos'!F$5:F$1021, MATCH(143, 'Detalles movimientos'!$T$5:$T$1021, 0)), "")</f>
        <v/>
      </c>
      <c r="F155" s="18">
        <f>IFERROR(INDEX('Detalles movimientos'!G$5:G$1021, MATCH(143, 'Detalles movimientos'!$T$5:$T$1021, 0)), "")</f>
        <v/>
      </c>
      <c r="G155" s="120">
        <f>IFERROR(INDEX('Detalles movimientos'!H$5:H$1021, MATCH(143, 'Detalles movimientos'!$T$5:$T$1021, 0)), "")</f>
        <v/>
      </c>
      <c r="H155" s="121">
        <f>IFERROR(INDEX('Detalles movimientos'!I$5:I$1021, MATCH(143, 'Detalles movimientos'!$T$5:$T$1021, 0)), "")</f>
        <v/>
      </c>
      <c r="I155" s="120">
        <f>IFERROR(INDEX('Detalles movimientos'!M$5:M$1021, MATCH(143, 'Detalles movimientos'!$T$5:$T$1021, 0)), "")</f>
        <v/>
      </c>
      <c r="J155" s="19">
        <f>IFERROR(INDEX('Detalles movimientos'!N$5:N$1021, MATCH(143, 'Detalles movimientos'!$T$5:$T$1021, 0)), "")</f>
        <v/>
      </c>
      <c r="K155" s="120">
        <f>IFERROR(INDEX('Detalles movimientos'!O$5:O$1021, MATCH(143, 'Detalles movimientos'!$T$5:$T$1021, 0)), "")</f>
        <v/>
      </c>
      <c r="L155" s="18">
        <f>IFERROR(INDEX('Detalles movimientos'!P$5:P$1021, MATCH(143, 'Detalles movimientos'!$T$5:$T$1021, 0)), "")</f>
        <v/>
      </c>
      <c r="M155" s="18">
        <f>IFERROR(INDEX('Detalles movimientos'!S$5:S$1021, MATCH(143, 'Detalles movimientos'!$T$5:$T$1021, 0)), "")</f>
        <v/>
      </c>
    </row>
    <row r="156">
      <c r="B156" s="119">
        <f>IFERROR(INDEX('Detalles movimientos'!C$5:C$1021, MATCH(144, 'Detalles movimientos'!$T$5:$T$1021, 0)), "")</f>
        <v/>
      </c>
      <c r="C156" s="18">
        <f>IFERROR(INDEX('Detalles movimientos'!D$5:D$1021, MATCH(144, 'Detalles movimientos'!$T$5:$T$1021, 0)), "")</f>
        <v/>
      </c>
      <c r="D156" s="19">
        <f>IFERROR(INDEX('Detalles movimientos'!E$5:E$1021, MATCH(144, 'Detalles movimientos'!$T$5:$T$1021, 0)), "")</f>
        <v/>
      </c>
      <c r="E156" s="19">
        <f>IFERROR(INDEX('Detalles movimientos'!F$5:F$1021, MATCH(144, 'Detalles movimientos'!$T$5:$T$1021, 0)), "")</f>
        <v/>
      </c>
      <c r="F156" s="18">
        <f>IFERROR(INDEX('Detalles movimientos'!G$5:G$1021, MATCH(144, 'Detalles movimientos'!$T$5:$T$1021, 0)), "")</f>
        <v/>
      </c>
      <c r="G156" s="120">
        <f>IFERROR(INDEX('Detalles movimientos'!H$5:H$1021, MATCH(144, 'Detalles movimientos'!$T$5:$T$1021, 0)), "")</f>
        <v/>
      </c>
      <c r="H156" s="121">
        <f>IFERROR(INDEX('Detalles movimientos'!I$5:I$1021, MATCH(144, 'Detalles movimientos'!$T$5:$T$1021, 0)), "")</f>
        <v/>
      </c>
      <c r="I156" s="120">
        <f>IFERROR(INDEX('Detalles movimientos'!M$5:M$1021, MATCH(144, 'Detalles movimientos'!$T$5:$T$1021, 0)), "")</f>
        <v/>
      </c>
      <c r="J156" s="19">
        <f>IFERROR(INDEX('Detalles movimientos'!N$5:N$1021, MATCH(144, 'Detalles movimientos'!$T$5:$T$1021, 0)), "")</f>
        <v/>
      </c>
      <c r="K156" s="120">
        <f>IFERROR(INDEX('Detalles movimientos'!O$5:O$1021, MATCH(144, 'Detalles movimientos'!$T$5:$T$1021, 0)), "")</f>
        <v/>
      </c>
      <c r="L156" s="18">
        <f>IFERROR(INDEX('Detalles movimientos'!P$5:P$1021, MATCH(144, 'Detalles movimientos'!$T$5:$T$1021, 0)), "")</f>
        <v/>
      </c>
      <c r="M156" s="18">
        <f>IFERROR(INDEX('Detalles movimientos'!S$5:S$1021, MATCH(144, 'Detalles movimientos'!$T$5:$T$1021, 0)), "")</f>
        <v/>
      </c>
    </row>
    <row r="157">
      <c r="B157" s="119">
        <f>IFERROR(INDEX('Detalles movimientos'!C$5:C$1021, MATCH(145, 'Detalles movimientos'!$T$5:$T$1021, 0)), "")</f>
        <v/>
      </c>
      <c r="C157" s="18">
        <f>IFERROR(INDEX('Detalles movimientos'!D$5:D$1021, MATCH(145, 'Detalles movimientos'!$T$5:$T$1021, 0)), "")</f>
        <v/>
      </c>
      <c r="D157" s="19">
        <f>IFERROR(INDEX('Detalles movimientos'!E$5:E$1021, MATCH(145, 'Detalles movimientos'!$T$5:$T$1021, 0)), "")</f>
        <v/>
      </c>
      <c r="E157" s="19">
        <f>IFERROR(INDEX('Detalles movimientos'!F$5:F$1021, MATCH(145, 'Detalles movimientos'!$T$5:$T$1021, 0)), "")</f>
        <v/>
      </c>
      <c r="F157" s="18">
        <f>IFERROR(INDEX('Detalles movimientos'!G$5:G$1021, MATCH(145, 'Detalles movimientos'!$T$5:$T$1021, 0)), "")</f>
        <v/>
      </c>
      <c r="G157" s="120">
        <f>IFERROR(INDEX('Detalles movimientos'!H$5:H$1021, MATCH(145, 'Detalles movimientos'!$T$5:$T$1021, 0)), "")</f>
        <v/>
      </c>
      <c r="H157" s="121">
        <f>IFERROR(INDEX('Detalles movimientos'!I$5:I$1021, MATCH(145, 'Detalles movimientos'!$T$5:$T$1021, 0)), "")</f>
        <v/>
      </c>
      <c r="I157" s="120">
        <f>IFERROR(INDEX('Detalles movimientos'!M$5:M$1021, MATCH(145, 'Detalles movimientos'!$T$5:$T$1021, 0)), "")</f>
        <v/>
      </c>
      <c r="J157" s="19">
        <f>IFERROR(INDEX('Detalles movimientos'!N$5:N$1021, MATCH(145, 'Detalles movimientos'!$T$5:$T$1021, 0)), "")</f>
        <v/>
      </c>
      <c r="K157" s="120">
        <f>IFERROR(INDEX('Detalles movimientos'!O$5:O$1021, MATCH(145, 'Detalles movimientos'!$T$5:$T$1021, 0)), "")</f>
        <v/>
      </c>
      <c r="L157" s="18">
        <f>IFERROR(INDEX('Detalles movimientos'!P$5:P$1021, MATCH(145, 'Detalles movimientos'!$T$5:$T$1021, 0)), "")</f>
        <v/>
      </c>
      <c r="M157" s="18">
        <f>IFERROR(INDEX('Detalles movimientos'!S$5:S$1021, MATCH(145, 'Detalles movimientos'!$T$5:$T$1021, 0)), "")</f>
        <v/>
      </c>
    </row>
    <row r="158">
      <c r="B158" s="119">
        <f>IFERROR(INDEX('Detalles movimientos'!C$5:C$1021, MATCH(146, 'Detalles movimientos'!$T$5:$T$1021, 0)), "")</f>
        <v/>
      </c>
      <c r="C158" s="18">
        <f>IFERROR(INDEX('Detalles movimientos'!D$5:D$1021, MATCH(146, 'Detalles movimientos'!$T$5:$T$1021, 0)), "")</f>
        <v/>
      </c>
      <c r="D158" s="19">
        <f>IFERROR(INDEX('Detalles movimientos'!E$5:E$1021, MATCH(146, 'Detalles movimientos'!$T$5:$T$1021, 0)), "")</f>
        <v/>
      </c>
      <c r="E158" s="19">
        <f>IFERROR(INDEX('Detalles movimientos'!F$5:F$1021, MATCH(146, 'Detalles movimientos'!$T$5:$T$1021, 0)), "")</f>
        <v/>
      </c>
      <c r="F158" s="18">
        <f>IFERROR(INDEX('Detalles movimientos'!G$5:G$1021, MATCH(146, 'Detalles movimientos'!$T$5:$T$1021, 0)), "")</f>
        <v/>
      </c>
      <c r="G158" s="120">
        <f>IFERROR(INDEX('Detalles movimientos'!H$5:H$1021, MATCH(146, 'Detalles movimientos'!$T$5:$T$1021, 0)), "")</f>
        <v/>
      </c>
      <c r="H158" s="121">
        <f>IFERROR(INDEX('Detalles movimientos'!I$5:I$1021, MATCH(146, 'Detalles movimientos'!$T$5:$T$1021, 0)), "")</f>
        <v/>
      </c>
      <c r="I158" s="120">
        <f>IFERROR(INDEX('Detalles movimientos'!M$5:M$1021, MATCH(146, 'Detalles movimientos'!$T$5:$T$1021, 0)), "")</f>
        <v/>
      </c>
      <c r="J158" s="19">
        <f>IFERROR(INDEX('Detalles movimientos'!N$5:N$1021, MATCH(146, 'Detalles movimientos'!$T$5:$T$1021, 0)), "")</f>
        <v/>
      </c>
      <c r="K158" s="120">
        <f>IFERROR(INDEX('Detalles movimientos'!O$5:O$1021, MATCH(146, 'Detalles movimientos'!$T$5:$T$1021, 0)), "")</f>
        <v/>
      </c>
      <c r="L158" s="18">
        <f>IFERROR(INDEX('Detalles movimientos'!P$5:P$1021, MATCH(146, 'Detalles movimientos'!$T$5:$T$1021, 0)), "")</f>
        <v/>
      </c>
      <c r="M158" s="18">
        <f>IFERROR(INDEX('Detalles movimientos'!S$5:S$1021, MATCH(146, 'Detalles movimientos'!$T$5:$T$1021, 0)), "")</f>
        <v/>
      </c>
    </row>
    <row r="159">
      <c r="B159" s="119">
        <f>IFERROR(INDEX('Detalles movimientos'!C$5:C$1021, MATCH(147, 'Detalles movimientos'!$T$5:$T$1021, 0)), "")</f>
        <v/>
      </c>
      <c r="C159" s="18">
        <f>IFERROR(INDEX('Detalles movimientos'!D$5:D$1021, MATCH(147, 'Detalles movimientos'!$T$5:$T$1021, 0)), "")</f>
        <v/>
      </c>
      <c r="D159" s="19">
        <f>IFERROR(INDEX('Detalles movimientos'!E$5:E$1021, MATCH(147, 'Detalles movimientos'!$T$5:$T$1021, 0)), "")</f>
        <v/>
      </c>
      <c r="E159" s="19">
        <f>IFERROR(INDEX('Detalles movimientos'!F$5:F$1021, MATCH(147, 'Detalles movimientos'!$T$5:$T$1021, 0)), "")</f>
        <v/>
      </c>
      <c r="F159" s="18">
        <f>IFERROR(INDEX('Detalles movimientos'!G$5:G$1021, MATCH(147, 'Detalles movimientos'!$T$5:$T$1021, 0)), "")</f>
        <v/>
      </c>
      <c r="G159" s="120">
        <f>IFERROR(INDEX('Detalles movimientos'!H$5:H$1021, MATCH(147, 'Detalles movimientos'!$T$5:$T$1021, 0)), "")</f>
        <v/>
      </c>
      <c r="H159" s="121">
        <f>IFERROR(INDEX('Detalles movimientos'!I$5:I$1021, MATCH(147, 'Detalles movimientos'!$T$5:$T$1021, 0)), "")</f>
        <v/>
      </c>
      <c r="I159" s="120">
        <f>IFERROR(INDEX('Detalles movimientos'!M$5:M$1021, MATCH(147, 'Detalles movimientos'!$T$5:$T$1021, 0)), "")</f>
        <v/>
      </c>
      <c r="J159" s="19">
        <f>IFERROR(INDEX('Detalles movimientos'!N$5:N$1021, MATCH(147, 'Detalles movimientos'!$T$5:$T$1021, 0)), "")</f>
        <v/>
      </c>
      <c r="K159" s="120">
        <f>IFERROR(INDEX('Detalles movimientos'!O$5:O$1021, MATCH(147, 'Detalles movimientos'!$T$5:$T$1021, 0)), "")</f>
        <v/>
      </c>
      <c r="L159" s="18">
        <f>IFERROR(INDEX('Detalles movimientos'!P$5:P$1021, MATCH(147, 'Detalles movimientos'!$T$5:$T$1021, 0)), "")</f>
        <v/>
      </c>
      <c r="M159" s="18">
        <f>IFERROR(INDEX('Detalles movimientos'!S$5:S$1021, MATCH(147, 'Detalles movimientos'!$T$5:$T$1021, 0)), "")</f>
        <v/>
      </c>
    </row>
    <row r="160">
      <c r="B160" s="119">
        <f>IFERROR(INDEX('Detalles movimientos'!C$5:C$1021, MATCH(148, 'Detalles movimientos'!$T$5:$T$1021, 0)), "")</f>
        <v/>
      </c>
      <c r="C160" s="18">
        <f>IFERROR(INDEX('Detalles movimientos'!D$5:D$1021, MATCH(148, 'Detalles movimientos'!$T$5:$T$1021, 0)), "")</f>
        <v/>
      </c>
      <c r="D160" s="19">
        <f>IFERROR(INDEX('Detalles movimientos'!E$5:E$1021, MATCH(148, 'Detalles movimientos'!$T$5:$T$1021, 0)), "")</f>
        <v/>
      </c>
      <c r="E160" s="19">
        <f>IFERROR(INDEX('Detalles movimientos'!F$5:F$1021, MATCH(148, 'Detalles movimientos'!$T$5:$T$1021, 0)), "")</f>
        <v/>
      </c>
      <c r="F160" s="18">
        <f>IFERROR(INDEX('Detalles movimientos'!G$5:G$1021, MATCH(148, 'Detalles movimientos'!$T$5:$T$1021, 0)), "")</f>
        <v/>
      </c>
      <c r="G160" s="120">
        <f>IFERROR(INDEX('Detalles movimientos'!H$5:H$1021, MATCH(148, 'Detalles movimientos'!$T$5:$T$1021, 0)), "")</f>
        <v/>
      </c>
      <c r="H160" s="121">
        <f>IFERROR(INDEX('Detalles movimientos'!I$5:I$1021, MATCH(148, 'Detalles movimientos'!$T$5:$T$1021, 0)), "")</f>
        <v/>
      </c>
      <c r="I160" s="120">
        <f>IFERROR(INDEX('Detalles movimientos'!M$5:M$1021, MATCH(148, 'Detalles movimientos'!$T$5:$T$1021, 0)), "")</f>
        <v/>
      </c>
      <c r="J160" s="19">
        <f>IFERROR(INDEX('Detalles movimientos'!N$5:N$1021, MATCH(148, 'Detalles movimientos'!$T$5:$T$1021, 0)), "")</f>
        <v/>
      </c>
      <c r="K160" s="120">
        <f>IFERROR(INDEX('Detalles movimientos'!O$5:O$1021, MATCH(148, 'Detalles movimientos'!$T$5:$T$1021, 0)), "")</f>
        <v/>
      </c>
      <c r="L160" s="18">
        <f>IFERROR(INDEX('Detalles movimientos'!P$5:P$1021, MATCH(148, 'Detalles movimientos'!$T$5:$T$1021, 0)), "")</f>
        <v/>
      </c>
      <c r="M160" s="18">
        <f>IFERROR(INDEX('Detalles movimientos'!S$5:S$1021, MATCH(148, 'Detalles movimientos'!$T$5:$T$1021, 0)), "")</f>
        <v/>
      </c>
    </row>
    <row r="161">
      <c r="B161" s="119">
        <f>IFERROR(INDEX('Detalles movimientos'!C$5:C$1021, MATCH(149, 'Detalles movimientos'!$T$5:$T$1021, 0)), "")</f>
        <v/>
      </c>
      <c r="C161" s="18">
        <f>IFERROR(INDEX('Detalles movimientos'!D$5:D$1021, MATCH(149, 'Detalles movimientos'!$T$5:$T$1021, 0)), "")</f>
        <v/>
      </c>
      <c r="D161" s="19">
        <f>IFERROR(INDEX('Detalles movimientos'!E$5:E$1021, MATCH(149, 'Detalles movimientos'!$T$5:$T$1021, 0)), "")</f>
        <v/>
      </c>
      <c r="E161" s="19">
        <f>IFERROR(INDEX('Detalles movimientos'!F$5:F$1021, MATCH(149, 'Detalles movimientos'!$T$5:$T$1021, 0)), "")</f>
        <v/>
      </c>
      <c r="F161" s="18">
        <f>IFERROR(INDEX('Detalles movimientos'!G$5:G$1021, MATCH(149, 'Detalles movimientos'!$T$5:$T$1021, 0)), "")</f>
        <v/>
      </c>
      <c r="G161" s="120">
        <f>IFERROR(INDEX('Detalles movimientos'!H$5:H$1021, MATCH(149, 'Detalles movimientos'!$T$5:$T$1021, 0)), "")</f>
        <v/>
      </c>
      <c r="H161" s="121">
        <f>IFERROR(INDEX('Detalles movimientos'!I$5:I$1021, MATCH(149, 'Detalles movimientos'!$T$5:$T$1021, 0)), "")</f>
        <v/>
      </c>
      <c r="I161" s="120">
        <f>IFERROR(INDEX('Detalles movimientos'!M$5:M$1021, MATCH(149, 'Detalles movimientos'!$T$5:$T$1021, 0)), "")</f>
        <v/>
      </c>
      <c r="J161" s="19">
        <f>IFERROR(INDEX('Detalles movimientos'!N$5:N$1021, MATCH(149, 'Detalles movimientos'!$T$5:$T$1021, 0)), "")</f>
        <v/>
      </c>
      <c r="K161" s="120">
        <f>IFERROR(INDEX('Detalles movimientos'!O$5:O$1021, MATCH(149, 'Detalles movimientos'!$T$5:$T$1021, 0)), "")</f>
        <v/>
      </c>
      <c r="L161" s="18">
        <f>IFERROR(INDEX('Detalles movimientos'!P$5:P$1021, MATCH(149, 'Detalles movimientos'!$T$5:$T$1021, 0)), "")</f>
        <v/>
      </c>
      <c r="M161" s="18">
        <f>IFERROR(INDEX('Detalles movimientos'!S$5:S$1021, MATCH(149, 'Detalles movimientos'!$T$5:$T$1021, 0)), "")</f>
        <v/>
      </c>
    </row>
  </sheetData>
  <mergeCells count="12">
    <mergeCell ref="E6:F7"/>
    <mergeCell ref="H6:I7"/>
    <mergeCell ref="B5:C5"/>
    <mergeCell ref="K6:L7"/>
    <mergeCell ref="E5:F5"/>
    <mergeCell ref="K5:L5"/>
    <mergeCell ref="D9:F9"/>
    <mergeCell ref="B6:C7"/>
    <mergeCell ref="H5:I5"/>
    <mergeCell ref="J9:L9"/>
    <mergeCell ref="B9:C9"/>
    <mergeCell ref="H9:I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2:M158"/>
  <sheetViews>
    <sheetView showGridLines="0" workbookViewId="0">
      <selection activeCell="C6" sqref="C6"/>
    </sheetView>
  </sheetViews>
  <sheetFormatPr baseColWidth="10" defaultColWidth="8.83203125" defaultRowHeight="16"/>
  <cols>
    <col width="4" customWidth="1" style="81" min="1" max="1"/>
    <col width="18" customWidth="1" style="81" min="2" max="5"/>
    <col width="32" customWidth="1" style="81" min="6" max="6"/>
    <col width="14" customWidth="1" style="81" min="7" max="8"/>
    <col width="16" customWidth="1" style="81" min="9" max="9"/>
    <col width="18" customWidth="1" style="81" min="10" max="10"/>
    <col width="16" customWidth="1" style="81" min="11" max="11"/>
    <col width="24" customWidth="1" style="81" min="12" max="12"/>
    <col width="45" customWidth="1" style="81" min="13" max="13"/>
  </cols>
  <sheetData>
    <row r="2" ht="22" customHeight="1" s="81">
      <c r="B2" s="14" t="inlineStr">
        <is>
          <t>RESUMEN Y MOVIMIENTOS INDIVIDUALES: IGNACIO</t>
        </is>
      </c>
    </row>
    <row r="3">
      <c r="B3" s="15" t="inlineStr">
        <is>
          <t>Sincronización en tiempo real con la pestaña 'Detalles movimientos'</t>
        </is>
      </c>
    </row>
    <row r="5">
      <c r="B5" s="40" t="inlineStr">
        <is>
          <t>LITROS VENDIDOS</t>
        </is>
      </c>
      <c r="C5" s="40" t="inlineStr">
        <is>
          <t>EXTRACCIÓN (L)</t>
        </is>
      </c>
      <c r="D5" s="40" t="inlineStr">
        <is>
          <t>TOTAL VENTAS ($)</t>
        </is>
      </c>
      <c r="E5" s="40" t="inlineStr">
        <is>
          <t>N° OPERACIONES</t>
        </is>
      </c>
      <c r="F5" s="41" t="n"/>
      <c r="G5" s="41" t="n"/>
      <c r="H5" s="89" t="n"/>
      <c r="I5" s="90" t="n"/>
    </row>
    <row r="6" ht="24" customHeight="1" s="81">
      <c r="B6" s="43">
        <f>SUMIFS('Detalles movimientos'!I$5:I$1021, 'Detalles movimientos'!F$5:F$1021, "Ignacio")</f>
        <v/>
      </c>
      <c r="C6" s="118">
        <f>SUMIFS('Detalles movimientos'!L$5:L$1021, 'Detalles movimientos'!F$5:F$1021, "Ignacio")</f>
        <v/>
      </c>
      <c r="D6" s="43">
        <f>SUMIFS('Detalles movimientos'!M$5:M$1021, 'Detalles movimientos'!F$5:F$1021, "Ignacio")</f>
        <v/>
      </c>
      <c r="E6" s="43">
        <f>COUNTIFS('Detalles movimientos'!F$5:F$1021, "Ignacio")</f>
        <v/>
      </c>
      <c r="F6" s="41" t="n"/>
      <c r="G6" s="41" t="n"/>
      <c r="H6" s="85" t="n"/>
      <c r="I6" s="86" t="n"/>
    </row>
    <row r="7">
      <c r="H7" s="87" t="n"/>
      <c r="I7" s="88" t="n"/>
    </row>
    <row r="9" ht="25" customHeight="1" s="81">
      <c r="B9" s="16" t="inlineStr">
        <is>
          <t>Fecha</t>
        </is>
      </c>
      <c r="C9" s="16" t="inlineStr">
        <is>
          <t>Nombre Cliente</t>
        </is>
      </c>
      <c r="D9" s="16" t="inlineStr">
        <is>
          <t>Camión</t>
        </is>
      </c>
      <c r="E9" s="16" t="inlineStr">
        <is>
          <t>Vende</t>
        </is>
      </c>
      <c r="F9" s="16" t="inlineStr">
        <is>
          <t>Dirección</t>
        </is>
      </c>
      <c r="G9" s="16" t="inlineStr">
        <is>
          <t>Precio</t>
        </is>
      </c>
      <c r="H9" s="16" t="inlineStr">
        <is>
          <t>Litros</t>
        </is>
      </c>
      <c r="I9" s="16" t="inlineStr">
        <is>
          <t>Total</t>
        </is>
      </c>
      <c r="J9" s="16" t="inlineStr">
        <is>
          <t>Medio de pago</t>
        </is>
      </c>
      <c r="K9" s="16" t="inlineStr">
        <is>
          <t>Comisiones</t>
        </is>
      </c>
      <c r="L9" s="16" t="inlineStr">
        <is>
          <t>Observación</t>
        </is>
      </c>
      <c r="M9" s="16" t="inlineStr">
        <is>
          <t>Facturación / Detalles</t>
        </is>
      </c>
    </row>
    <row r="10">
      <c r="B10" s="119">
        <f>IFERROR(INDEX('Detalles movimientos'!C$5:C$1021, MATCH(1, 'Detalles movimientos'!$U$5:$U$1021, 0)), "")</f>
        <v/>
      </c>
      <c r="C10" s="18">
        <f>IFERROR(INDEX('Detalles movimientos'!D$5:D$1021, MATCH(1, 'Detalles movimientos'!$U$5:$U$1021, 0)), "")</f>
        <v/>
      </c>
      <c r="D10" s="19">
        <f>IFERROR(INDEX('Detalles movimientos'!E$5:E$1021, MATCH(1, 'Detalles movimientos'!$U$5:$U$1021, 0)), "")</f>
        <v/>
      </c>
      <c r="E10" s="19">
        <f>IFERROR(INDEX('Detalles movimientos'!F$5:F$1021, MATCH(1, 'Detalles movimientos'!$U$5:$U$1021, 0)), "")</f>
        <v/>
      </c>
      <c r="F10" s="18">
        <f>IFERROR(INDEX('Detalles movimientos'!G$5:G$1021, MATCH(1, 'Detalles movimientos'!$U$5:$U$1021, 0)), "")</f>
        <v/>
      </c>
      <c r="G10" s="120">
        <f>IFERROR(INDEX('Detalles movimientos'!H$5:H$1021, MATCH(1, 'Detalles movimientos'!$U$5:$U$1021, 0)), "")</f>
        <v/>
      </c>
      <c r="H10" s="121">
        <f>IFERROR(INDEX('Detalles movimientos'!I$5:I$1021, MATCH(1, 'Detalles movimientos'!$U$5:$U$1021, 0)), "")</f>
        <v/>
      </c>
      <c r="I10" s="120">
        <f>IFERROR(INDEX('Detalles movimientos'!M$5:M$1021, MATCH(1, 'Detalles movimientos'!$U$5:$U$1021, 0)), "")</f>
        <v/>
      </c>
      <c r="J10" s="19">
        <f>IFERROR(INDEX('Detalles movimientos'!N$5:N$1021, MATCH(1, 'Detalles movimientos'!$U$5:$U$1021, 0)), "")</f>
        <v/>
      </c>
      <c r="K10" s="120">
        <f>IFERROR(INDEX('Detalles movimientos'!O$5:O$1021, MATCH(1, 'Detalles movimientos'!$U$5:$U$1021, 0)), "")</f>
        <v/>
      </c>
      <c r="L10" s="18">
        <f>IFERROR(INDEX('Detalles movimientos'!P$5:P$1021, MATCH(1, 'Detalles movimientos'!$U$5:$U$1021, 0)), "")</f>
        <v/>
      </c>
      <c r="M10" s="18">
        <f>IFERROR(INDEX('Detalles movimientos'!S$5:S$1021, MATCH(1, 'Detalles movimientos'!$U$5:$U$1021, 0)), "")</f>
        <v/>
      </c>
    </row>
    <row r="11">
      <c r="B11" s="119">
        <f>IFERROR(INDEX('Detalles movimientos'!C$5:C$1021, MATCH(2, 'Detalles movimientos'!$U$5:$U$1021, 0)), "")</f>
        <v/>
      </c>
      <c r="C11" s="18">
        <f>IFERROR(INDEX('Detalles movimientos'!D$5:D$1021, MATCH(2, 'Detalles movimientos'!$U$5:$U$1021, 0)), "")</f>
        <v/>
      </c>
      <c r="D11" s="19">
        <f>IFERROR(INDEX('Detalles movimientos'!E$5:E$1021, MATCH(2, 'Detalles movimientos'!$U$5:$U$1021, 0)), "")</f>
        <v/>
      </c>
      <c r="E11" s="19">
        <f>IFERROR(INDEX('Detalles movimientos'!F$5:F$1021, MATCH(2, 'Detalles movimientos'!$U$5:$U$1021, 0)), "")</f>
        <v/>
      </c>
      <c r="F11" s="18">
        <f>IFERROR(INDEX('Detalles movimientos'!G$5:G$1021, MATCH(2, 'Detalles movimientos'!$U$5:$U$1021, 0)), "")</f>
        <v/>
      </c>
      <c r="G11" s="120">
        <f>IFERROR(INDEX('Detalles movimientos'!H$5:H$1021, MATCH(2, 'Detalles movimientos'!$U$5:$U$1021, 0)), "")</f>
        <v/>
      </c>
      <c r="H11" s="121">
        <f>IFERROR(INDEX('Detalles movimientos'!I$5:I$1021, MATCH(2, 'Detalles movimientos'!$U$5:$U$1021, 0)), "")</f>
        <v/>
      </c>
      <c r="I11" s="120">
        <f>IFERROR(INDEX('Detalles movimientos'!M$5:M$1021, MATCH(2, 'Detalles movimientos'!$U$5:$U$1021, 0)), "")</f>
        <v/>
      </c>
      <c r="J11" s="19">
        <f>IFERROR(INDEX('Detalles movimientos'!N$5:N$1021, MATCH(2, 'Detalles movimientos'!$U$5:$U$1021, 0)), "")</f>
        <v/>
      </c>
      <c r="K11" s="120">
        <f>IFERROR(INDEX('Detalles movimientos'!O$5:O$1021, MATCH(2, 'Detalles movimientos'!$U$5:$U$1021, 0)), "")</f>
        <v/>
      </c>
      <c r="L11" s="18">
        <f>IFERROR(INDEX('Detalles movimientos'!P$5:P$1021, MATCH(2, 'Detalles movimientos'!$U$5:$U$1021, 0)), "")</f>
        <v/>
      </c>
      <c r="M11" s="18">
        <f>IFERROR(INDEX('Detalles movimientos'!S$5:S$1021, MATCH(2, 'Detalles movimientos'!$U$5:$U$1021, 0)), "")</f>
        <v/>
      </c>
    </row>
    <row r="12">
      <c r="B12" s="119">
        <f>IFERROR(INDEX('Detalles movimientos'!C$5:C$1021, MATCH(3, 'Detalles movimientos'!$U$5:$U$1021, 0)), "")</f>
        <v/>
      </c>
      <c r="C12" s="18">
        <f>IFERROR(INDEX('Detalles movimientos'!D$5:D$1021, MATCH(3, 'Detalles movimientos'!$U$5:$U$1021, 0)), "")</f>
        <v/>
      </c>
      <c r="D12" s="19">
        <f>IFERROR(INDEX('Detalles movimientos'!E$5:E$1021, MATCH(3, 'Detalles movimientos'!$U$5:$U$1021, 0)), "")</f>
        <v/>
      </c>
      <c r="E12" s="19">
        <f>IFERROR(INDEX('Detalles movimientos'!F$5:F$1021, MATCH(3, 'Detalles movimientos'!$U$5:$U$1021, 0)), "")</f>
        <v/>
      </c>
      <c r="F12" s="18">
        <f>IFERROR(INDEX('Detalles movimientos'!G$5:G$1021, MATCH(3, 'Detalles movimientos'!$U$5:$U$1021, 0)), "")</f>
        <v/>
      </c>
      <c r="G12" s="120">
        <f>IFERROR(INDEX('Detalles movimientos'!H$5:H$1021, MATCH(3, 'Detalles movimientos'!$U$5:$U$1021, 0)), "")</f>
        <v/>
      </c>
      <c r="H12" s="121">
        <f>IFERROR(INDEX('Detalles movimientos'!I$5:I$1021, MATCH(3, 'Detalles movimientos'!$U$5:$U$1021, 0)), "")</f>
        <v/>
      </c>
      <c r="I12" s="120">
        <f>IFERROR(INDEX('Detalles movimientos'!M$5:M$1021, MATCH(3, 'Detalles movimientos'!$U$5:$U$1021, 0)), "")</f>
        <v/>
      </c>
      <c r="J12" s="19">
        <f>IFERROR(INDEX('Detalles movimientos'!N$5:N$1021, MATCH(3, 'Detalles movimientos'!$U$5:$U$1021, 0)), "")</f>
        <v/>
      </c>
      <c r="K12" s="120">
        <f>IFERROR(INDEX('Detalles movimientos'!O$5:O$1021, MATCH(3, 'Detalles movimientos'!$U$5:$U$1021, 0)), "")</f>
        <v/>
      </c>
      <c r="L12" s="18">
        <f>IFERROR(INDEX('Detalles movimientos'!P$5:P$1021, MATCH(3, 'Detalles movimientos'!$U$5:$U$1021, 0)), "")</f>
        <v/>
      </c>
      <c r="M12" s="18">
        <f>IFERROR(INDEX('Detalles movimientos'!S$5:S$1021, MATCH(3, 'Detalles movimientos'!$U$5:$U$1021, 0)), "")</f>
        <v/>
      </c>
    </row>
    <row r="13">
      <c r="B13" s="119">
        <f>IFERROR(INDEX('Detalles movimientos'!C$5:C$1021, MATCH(4, 'Detalles movimientos'!$U$5:$U$1021, 0)), "")</f>
        <v/>
      </c>
      <c r="C13" s="18">
        <f>IFERROR(INDEX('Detalles movimientos'!D$5:D$1021, MATCH(4, 'Detalles movimientos'!$U$5:$U$1021, 0)), "")</f>
        <v/>
      </c>
      <c r="D13" s="19">
        <f>IFERROR(INDEX('Detalles movimientos'!E$5:E$1021, MATCH(4, 'Detalles movimientos'!$U$5:$U$1021, 0)), "")</f>
        <v/>
      </c>
      <c r="E13" s="19">
        <f>IFERROR(INDEX('Detalles movimientos'!F$5:F$1021, MATCH(4, 'Detalles movimientos'!$U$5:$U$1021, 0)), "")</f>
        <v/>
      </c>
      <c r="F13" s="18">
        <f>IFERROR(INDEX('Detalles movimientos'!G$5:G$1021, MATCH(4, 'Detalles movimientos'!$U$5:$U$1021, 0)), "")</f>
        <v/>
      </c>
      <c r="G13" s="120">
        <f>IFERROR(INDEX('Detalles movimientos'!H$5:H$1021, MATCH(4, 'Detalles movimientos'!$U$5:$U$1021, 0)), "")</f>
        <v/>
      </c>
      <c r="H13" s="121">
        <f>IFERROR(INDEX('Detalles movimientos'!I$5:I$1021, MATCH(4, 'Detalles movimientos'!$U$5:$U$1021, 0)), "")</f>
        <v/>
      </c>
      <c r="I13" s="120">
        <f>IFERROR(INDEX('Detalles movimientos'!M$5:M$1021, MATCH(4, 'Detalles movimientos'!$U$5:$U$1021, 0)), "")</f>
        <v/>
      </c>
      <c r="J13" s="19">
        <f>IFERROR(INDEX('Detalles movimientos'!N$5:N$1021, MATCH(4, 'Detalles movimientos'!$U$5:$U$1021, 0)), "")</f>
        <v/>
      </c>
      <c r="K13" s="120">
        <f>IFERROR(INDEX('Detalles movimientos'!O$5:O$1021, MATCH(4, 'Detalles movimientos'!$U$5:$U$1021, 0)), "")</f>
        <v/>
      </c>
      <c r="L13" s="18">
        <f>IFERROR(INDEX('Detalles movimientos'!P$5:P$1021, MATCH(4, 'Detalles movimientos'!$U$5:$U$1021, 0)), "")</f>
        <v/>
      </c>
      <c r="M13" s="18">
        <f>IFERROR(INDEX('Detalles movimientos'!S$5:S$1021, MATCH(4, 'Detalles movimientos'!$U$5:$U$1021, 0)), "")</f>
        <v/>
      </c>
    </row>
    <row r="14">
      <c r="B14" s="119">
        <f>IFERROR(INDEX('Detalles movimientos'!C$5:C$1021, MATCH(5, 'Detalles movimientos'!$U$5:$U$1021, 0)), "")</f>
        <v/>
      </c>
      <c r="C14" s="18">
        <f>IFERROR(INDEX('Detalles movimientos'!D$5:D$1021, MATCH(5, 'Detalles movimientos'!$U$5:$U$1021, 0)), "")</f>
        <v/>
      </c>
      <c r="D14" s="19">
        <f>IFERROR(INDEX('Detalles movimientos'!E$5:E$1021, MATCH(5, 'Detalles movimientos'!$U$5:$U$1021, 0)), "")</f>
        <v/>
      </c>
      <c r="E14" s="19">
        <f>IFERROR(INDEX('Detalles movimientos'!F$5:F$1021, MATCH(5, 'Detalles movimientos'!$U$5:$U$1021, 0)), "")</f>
        <v/>
      </c>
      <c r="F14" s="18">
        <f>IFERROR(INDEX('Detalles movimientos'!G$5:G$1021, MATCH(5, 'Detalles movimientos'!$U$5:$U$1021, 0)), "")</f>
        <v/>
      </c>
      <c r="G14" s="120">
        <f>IFERROR(INDEX('Detalles movimientos'!H$5:H$1021, MATCH(5, 'Detalles movimientos'!$U$5:$U$1021, 0)), "")</f>
        <v/>
      </c>
      <c r="H14" s="121">
        <f>IFERROR(INDEX('Detalles movimientos'!I$5:I$1021, MATCH(5, 'Detalles movimientos'!$U$5:$U$1021, 0)), "")</f>
        <v/>
      </c>
      <c r="I14" s="120">
        <f>IFERROR(INDEX('Detalles movimientos'!M$5:M$1021, MATCH(5, 'Detalles movimientos'!$U$5:$U$1021, 0)), "")</f>
        <v/>
      </c>
      <c r="J14" s="19">
        <f>IFERROR(INDEX('Detalles movimientos'!N$5:N$1021, MATCH(5, 'Detalles movimientos'!$U$5:$U$1021, 0)), "")</f>
        <v/>
      </c>
      <c r="K14" s="120">
        <f>IFERROR(INDEX('Detalles movimientos'!O$5:O$1021, MATCH(5, 'Detalles movimientos'!$U$5:$U$1021, 0)), "")</f>
        <v/>
      </c>
      <c r="L14" s="18">
        <f>IFERROR(INDEX('Detalles movimientos'!P$5:P$1021, MATCH(5, 'Detalles movimientos'!$U$5:$U$1021, 0)), "")</f>
        <v/>
      </c>
      <c r="M14" s="18">
        <f>IFERROR(INDEX('Detalles movimientos'!S$5:S$1021, MATCH(5, 'Detalles movimientos'!$U$5:$U$1021, 0)), "")</f>
        <v/>
      </c>
    </row>
    <row r="15">
      <c r="B15" s="119">
        <f>IFERROR(INDEX('Detalles movimientos'!C$5:C$1021, MATCH(6, 'Detalles movimientos'!$U$5:$U$1021, 0)), "")</f>
        <v/>
      </c>
      <c r="C15" s="18">
        <f>IFERROR(INDEX('Detalles movimientos'!D$5:D$1021, MATCH(6, 'Detalles movimientos'!$U$5:$U$1021, 0)), "")</f>
        <v/>
      </c>
      <c r="D15" s="19">
        <f>IFERROR(INDEX('Detalles movimientos'!E$5:E$1021, MATCH(6, 'Detalles movimientos'!$U$5:$U$1021, 0)), "")</f>
        <v/>
      </c>
      <c r="E15" s="19">
        <f>IFERROR(INDEX('Detalles movimientos'!F$5:F$1021, MATCH(6, 'Detalles movimientos'!$U$5:$U$1021, 0)), "")</f>
        <v/>
      </c>
      <c r="F15" s="18">
        <f>IFERROR(INDEX('Detalles movimientos'!G$5:G$1021, MATCH(6, 'Detalles movimientos'!$U$5:$U$1021, 0)), "")</f>
        <v/>
      </c>
      <c r="G15" s="120">
        <f>IFERROR(INDEX('Detalles movimientos'!H$5:H$1021, MATCH(6, 'Detalles movimientos'!$U$5:$U$1021, 0)), "")</f>
        <v/>
      </c>
      <c r="H15" s="121">
        <f>IFERROR(INDEX('Detalles movimientos'!I$5:I$1021, MATCH(6, 'Detalles movimientos'!$U$5:$U$1021, 0)), "")</f>
        <v/>
      </c>
      <c r="I15" s="120">
        <f>IFERROR(INDEX('Detalles movimientos'!M$5:M$1021, MATCH(6, 'Detalles movimientos'!$U$5:$U$1021, 0)), "")</f>
        <v/>
      </c>
      <c r="J15" s="19">
        <f>IFERROR(INDEX('Detalles movimientos'!N$5:N$1021, MATCH(6, 'Detalles movimientos'!$U$5:$U$1021, 0)), "")</f>
        <v/>
      </c>
      <c r="K15" s="120">
        <f>IFERROR(INDEX('Detalles movimientos'!O$5:O$1021, MATCH(6, 'Detalles movimientos'!$U$5:$U$1021, 0)), "")</f>
        <v/>
      </c>
      <c r="L15" s="18">
        <f>IFERROR(INDEX('Detalles movimientos'!P$5:P$1021, MATCH(6, 'Detalles movimientos'!$U$5:$U$1021, 0)), "")</f>
        <v/>
      </c>
      <c r="M15" s="18">
        <f>IFERROR(INDEX('Detalles movimientos'!S$5:S$1021, MATCH(6, 'Detalles movimientos'!$U$5:$U$1021, 0)), "")</f>
        <v/>
      </c>
    </row>
    <row r="16">
      <c r="B16" s="119">
        <f>IFERROR(INDEX('Detalles movimientos'!C$5:C$1021, MATCH(7, 'Detalles movimientos'!$U$5:$U$1021, 0)), "")</f>
        <v/>
      </c>
      <c r="C16" s="18">
        <f>IFERROR(INDEX('Detalles movimientos'!D$5:D$1021, MATCH(7, 'Detalles movimientos'!$U$5:$U$1021, 0)), "")</f>
        <v/>
      </c>
      <c r="D16" s="19">
        <f>IFERROR(INDEX('Detalles movimientos'!E$5:E$1021, MATCH(7, 'Detalles movimientos'!$U$5:$U$1021, 0)), "")</f>
        <v/>
      </c>
      <c r="E16" s="19">
        <f>IFERROR(INDEX('Detalles movimientos'!F$5:F$1021, MATCH(7, 'Detalles movimientos'!$U$5:$U$1021, 0)), "")</f>
        <v/>
      </c>
      <c r="F16" s="18">
        <f>IFERROR(INDEX('Detalles movimientos'!G$5:G$1021, MATCH(7, 'Detalles movimientos'!$U$5:$U$1021, 0)), "")</f>
        <v/>
      </c>
      <c r="G16" s="120">
        <f>IFERROR(INDEX('Detalles movimientos'!H$5:H$1021, MATCH(7, 'Detalles movimientos'!$U$5:$U$1021, 0)), "")</f>
        <v/>
      </c>
      <c r="H16" s="121">
        <f>IFERROR(INDEX('Detalles movimientos'!I$5:I$1021, MATCH(7, 'Detalles movimientos'!$U$5:$U$1021, 0)), "")</f>
        <v/>
      </c>
      <c r="I16" s="120">
        <f>IFERROR(INDEX('Detalles movimientos'!M$5:M$1021, MATCH(7, 'Detalles movimientos'!$U$5:$U$1021, 0)), "")</f>
        <v/>
      </c>
      <c r="J16" s="19">
        <f>IFERROR(INDEX('Detalles movimientos'!N$5:N$1021, MATCH(7, 'Detalles movimientos'!$U$5:$U$1021, 0)), "")</f>
        <v/>
      </c>
      <c r="K16" s="120">
        <f>IFERROR(INDEX('Detalles movimientos'!O$5:O$1021, MATCH(7, 'Detalles movimientos'!$U$5:$U$1021, 0)), "")</f>
        <v/>
      </c>
      <c r="L16" s="18">
        <f>IFERROR(INDEX('Detalles movimientos'!P$5:P$1021, MATCH(7, 'Detalles movimientos'!$U$5:$U$1021, 0)), "")</f>
        <v/>
      </c>
      <c r="M16" s="18">
        <f>IFERROR(INDEX('Detalles movimientos'!S$5:S$1021, MATCH(7, 'Detalles movimientos'!$U$5:$U$1021, 0)), "")</f>
        <v/>
      </c>
    </row>
    <row r="17">
      <c r="B17" s="119">
        <f>IFERROR(INDEX('Detalles movimientos'!C$5:C$1021, MATCH(8, 'Detalles movimientos'!$U$5:$U$1021, 0)), "")</f>
        <v/>
      </c>
      <c r="C17" s="18">
        <f>IFERROR(INDEX('Detalles movimientos'!D$5:D$1021, MATCH(8, 'Detalles movimientos'!$U$5:$U$1021, 0)), "")</f>
        <v/>
      </c>
      <c r="D17" s="19">
        <f>IFERROR(INDEX('Detalles movimientos'!E$5:E$1021, MATCH(8, 'Detalles movimientos'!$U$5:$U$1021, 0)), "")</f>
        <v/>
      </c>
      <c r="E17" s="19">
        <f>IFERROR(INDEX('Detalles movimientos'!F$5:F$1021, MATCH(8, 'Detalles movimientos'!$U$5:$U$1021, 0)), "")</f>
        <v/>
      </c>
      <c r="F17" s="18">
        <f>IFERROR(INDEX('Detalles movimientos'!G$5:G$1021, MATCH(8, 'Detalles movimientos'!$U$5:$U$1021, 0)), "")</f>
        <v/>
      </c>
      <c r="G17" s="120">
        <f>IFERROR(INDEX('Detalles movimientos'!H$5:H$1021, MATCH(8, 'Detalles movimientos'!$U$5:$U$1021, 0)), "")</f>
        <v/>
      </c>
      <c r="H17" s="121">
        <f>IFERROR(INDEX('Detalles movimientos'!I$5:I$1021, MATCH(8, 'Detalles movimientos'!$U$5:$U$1021, 0)), "")</f>
        <v/>
      </c>
      <c r="I17" s="120">
        <f>IFERROR(INDEX('Detalles movimientos'!M$5:M$1021, MATCH(8, 'Detalles movimientos'!$U$5:$U$1021, 0)), "")</f>
        <v/>
      </c>
      <c r="J17" s="19">
        <f>IFERROR(INDEX('Detalles movimientos'!N$5:N$1021, MATCH(8, 'Detalles movimientos'!$U$5:$U$1021, 0)), "")</f>
        <v/>
      </c>
      <c r="K17" s="120">
        <f>IFERROR(INDEX('Detalles movimientos'!O$5:O$1021, MATCH(8, 'Detalles movimientos'!$U$5:$U$1021, 0)), "")</f>
        <v/>
      </c>
      <c r="L17" s="18">
        <f>IFERROR(INDEX('Detalles movimientos'!P$5:P$1021, MATCH(8, 'Detalles movimientos'!$U$5:$U$1021, 0)), "")</f>
        <v/>
      </c>
      <c r="M17" s="18">
        <f>IFERROR(INDEX('Detalles movimientos'!S$5:S$1021, MATCH(8, 'Detalles movimientos'!$U$5:$U$1021, 0)), "")</f>
        <v/>
      </c>
    </row>
    <row r="18">
      <c r="B18" s="119">
        <f>IFERROR(INDEX('Detalles movimientos'!C$5:C$1021, MATCH(9, 'Detalles movimientos'!$U$5:$U$1021, 0)), "")</f>
        <v/>
      </c>
      <c r="C18" s="18">
        <f>IFERROR(INDEX('Detalles movimientos'!D$5:D$1021, MATCH(9, 'Detalles movimientos'!$U$5:$U$1021, 0)), "")</f>
        <v/>
      </c>
      <c r="D18" s="19">
        <f>IFERROR(INDEX('Detalles movimientos'!E$5:E$1021, MATCH(9, 'Detalles movimientos'!$U$5:$U$1021, 0)), "")</f>
        <v/>
      </c>
      <c r="E18" s="19">
        <f>IFERROR(INDEX('Detalles movimientos'!F$5:F$1021, MATCH(9, 'Detalles movimientos'!$U$5:$U$1021, 0)), "")</f>
        <v/>
      </c>
      <c r="F18" s="18">
        <f>IFERROR(INDEX('Detalles movimientos'!G$5:G$1021, MATCH(9, 'Detalles movimientos'!$U$5:$U$1021, 0)), "")</f>
        <v/>
      </c>
      <c r="G18" s="120">
        <f>IFERROR(INDEX('Detalles movimientos'!H$5:H$1021, MATCH(9, 'Detalles movimientos'!$U$5:$U$1021, 0)), "")</f>
        <v/>
      </c>
      <c r="H18" s="121">
        <f>IFERROR(INDEX('Detalles movimientos'!I$5:I$1021, MATCH(9, 'Detalles movimientos'!$U$5:$U$1021, 0)), "")</f>
        <v/>
      </c>
      <c r="I18" s="120">
        <f>IFERROR(INDEX('Detalles movimientos'!M$5:M$1021, MATCH(9, 'Detalles movimientos'!$U$5:$U$1021, 0)), "")</f>
        <v/>
      </c>
      <c r="J18" s="19">
        <f>IFERROR(INDEX('Detalles movimientos'!N$5:N$1021, MATCH(9, 'Detalles movimientos'!$U$5:$U$1021, 0)), "")</f>
        <v/>
      </c>
      <c r="K18" s="120">
        <f>IFERROR(INDEX('Detalles movimientos'!O$5:O$1021, MATCH(9, 'Detalles movimientos'!$U$5:$U$1021, 0)), "")</f>
        <v/>
      </c>
      <c r="L18" s="18">
        <f>IFERROR(INDEX('Detalles movimientos'!P$5:P$1021, MATCH(9, 'Detalles movimientos'!$U$5:$U$1021, 0)), "")</f>
        <v/>
      </c>
      <c r="M18" s="18">
        <f>IFERROR(INDEX('Detalles movimientos'!S$5:S$1021, MATCH(9, 'Detalles movimientos'!$U$5:$U$1021, 0)), "")</f>
        <v/>
      </c>
    </row>
    <row r="19">
      <c r="B19" s="119">
        <f>IFERROR(INDEX('Detalles movimientos'!C$5:C$1021, MATCH(10, 'Detalles movimientos'!$U$5:$U$1021, 0)), "")</f>
        <v/>
      </c>
      <c r="C19" s="18">
        <f>IFERROR(INDEX('Detalles movimientos'!D$5:D$1021, MATCH(10, 'Detalles movimientos'!$U$5:$U$1021, 0)), "")</f>
        <v/>
      </c>
      <c r="D19" s="19">
        <f>IFERROR(INDEX('Detalles movimientos'!E$5:E$1021, MATCH(10, 'Detalles movimientos'!$U$5:$U$1021, 0)), "")</f>
        <v/>
      </c>
      <c r="E19" s="19">
        <f>IFERROR(INDEX('Detalles movimientos'!F$5:F$1021, MATCH(10, 'Detalles movimientos'!$U$5:$U$1021, 0)), "")</f>
        <v/>
      </c>
      <c r="F19" s="18">
        <f>IFERROR(INDEX('Detalles movimientos'!G$5:G$1021, MATCH(10, 'Detalles movimientos'!$U$5:$U$1021, 0)), "")</f>
        <v/>
      </c>
      <c r="G19" s="120">
        <f>IFERROR(INDEX('Detalles movimientos'!H$5:H$1021, MATCH(10, 'Detalles movimientos'!$U$5:$U$1021, 0)), "")</f>
        <v/>
      </c>
      <c r="H19" s="121">
        <f>IFERROR(INDEX('Detalles movimientos'!I$5:I$1021, MATCH(10, 'Detalles movimientos'!$U$5:$U$1021, 0)), "")</f>
        <v/>
      </c>
      <c r="I19" s="120">
        <f>IFERROR(INDEX('Detalles movimientos'!M$5:M$1021, MATCH(10, 'Detalles movimientos'!$U$5:$U$1021, 0)), "")</f>
        <v/>
      </c>
      <c r="J19" s="19">
        <f>IFERROR(INDEX('Detalles movimientos'!N$5:N$1021, MATCH(10, 'Detalles movimientos'!$U$5:$U$1021, 0)), "")</f>
        <v/>
      </c>
      <c r="K19" s="120">
        <f>IFERROR(INDEX('Detalles movimientos'!O$5:O$1021, MATCH(10, 'Detalles movimientos'!$U$5:$U$1021, 0)), "")</f>
        <v/>
      </c>
      <c r="L19" s="18">
        <f>IFERROR(INDEX('Detalles movimientos'!P$5:P$1021, MATCH(10, 'Detalles movimientos'!$U$5:$U$1021, 0)), "")</f>
        <v/>
      </c>
      <c r="M19" s="18">
        <f>IFERROR(INDEX('Detalles movimientos'!S$5:S$1021, MATCH(10, 'Detalles movimientos'!$U$5:$U$1021, 0)), "")</f>
        <v/>
      </c>
    </row>
    <row r="20">
      <c r="B20" s="119">
        <f>IFERROR(INDEX('Detalles movimientos'!C$5:C$1021, MATCH(11, 'Detalles movimientos'!$U$5:$U$1021, 0)), "")</f>
        <v/>
      </c>
      <c r="C20" s="18">
        <f>IFERROR(INDEX('Detalles movimientos'!D$5:D$1021, MATCH(11, 'Detalles movimientos'!$U$5:$U$1021, 0)), "")</f>
        <v/>
      </c>
      <c r="D20" s="19">
        <f>IFERROR(INDEX('Detalles movimientos'!E$5:E$1021, MATCH(11, 'Detalles movimientos'!$U$5:$U$1021, 0)), "")</f>
        <v/>
      </c>
      <c r="E20" s="19">
        <f>IFERROR(INDEX('Detalles movimientos'!F$5:F$1021, MATCH(11, 'Detalles movimientos'!$U$5:$U$1021, 0)), "")</f>
        <v/>
      </c>
      <c r="F20" s="18">
        <f>IFERROR(INDEX('Detalles movimientos'!G$5:G$1021, MATCH(11, 'Detalles movimientos'!$U$5:$U$1021, 0)), "")</f>
        <v/>
      </c>
      <c r="G20" s="120">
        <f>IFERROR(INDEX('Detalles movimientos'!H$5:H$1021, MATCH(11, 'Detalles movimientos'!$U$5:$U$1021, 0)), "")</f>
        <v/>
      </c>
      <c r="H20" s="121">
        <f>IFERROR(INDEX('Detalles movimientos'!I$5:I$1021, MATCH(11, 'Detalles movimientos'!$U$5:$U$1021, 0)), "")</f>
        <v/>
      </c>
      <c r="I20" s="120">
        <f>IFERROR(INDEX('Detalles movimientos'!M$5:M$1021, MATCH(11, 'Detalles movimientos'!$U$5:$U$1021, 0)), "")</f>
        <v/>
      </c>
      <c r="J20" s="19">
        <f>IFERROR(INDEX('Detalles movimientos'!N$5:N$1021, MATCH(11, 'Detalles movimientos'!$U$5:$U$1021, 0)), "")</f>
        <v/>
      </c>
      <c r="K20" s="120">
        <f>IFERROR(INDEX('Detalles movimientos'!O$5:O$1021, MATCH(11, 'Detalles movimientos'!$U$5:$U$1021, 0)), "")</f>
        <v/>
      </c>
      <c r="L20" s="18">
        <f>IFERROR(INDEX('Detalles movimientos'!P$5:P$1021, MATCH(11, 'Detalles movimientos'!$U$5:$U$1021, 0)), "")</f>
        <v/>
      </c>
      <c r="M20" s="18">
        <f>IFERROR(INDEX('Detalles movimientos'!S$5:S$1021, MATCH(11, 'Detalles movimientos'!$U$5:$U$1021, 0)), "")</f>
        <v/>
      </c>
    </row>
    <row r="21">
      <c r="B21" s="119">
        <f>IFERROR(INDEX('Detalles movimientos'!C$5:C$1021, MATCH(12, 'Detalles movimientos'!$U$5:$U$1021, 0)), "")</f>
        <v/>
      </c>
      <c r="C21" s="18">
        <f>IFERROR(INDEX('Detalles movimientos'!D$5:D$1021, MATCH(12, 'Detalles movimientos'!$U$5:$U$1021, 0)), "")</f>
        <v/>
      </c>
      <c r="D21" s="19">
        <f>IFERROR(INDEX('Detalles movimientos'!E$5:E$1021, MATCH(12, 'Detalles movimientos'!$U$5:$U$1021, 0)), "")</f>
        <v/>
      </c>
      <c r="E21" s="19">
        <f>IFERROR(INDEX('Detalles movimientos'!F$5:F$1021, MATCH(12, 'Detalles movimientos'!$U$5:$U$1021, 0)), "")</f>
        <v/>
      </c>
      <c r="F21" s="18">
        <f>IFERROR(INDEX('Detalles movimientos'!G$5:G$1021, MATCH(12, 'Detalles movimientos'!$U$5:$U$1021, 0)), "")</f>
        <v/>
      </c>
      <c r="G21" s="120">
        <f>IFERROR(INDEX('Detalles movimientos'!H$5:H$1021, MATCH(12, 'Detalles movimientos'!$U$5:$U$1021, 0)), "")</f>
        <v/>
      </c>
      <c r="H21" s="121">
        <f>IFERROR(INDEX('Detalles movimientos'!I$5:I$1021, MATCH(12, 'Detalles movimientos'!$U$5:$U$1021, 0)), "")</f>
        <v/>
      </c>
      <c r="I21" s="120">
        <f>IFERROR(INDEX('Detalles movimientos'!M$5:M$1021, MATCH(12, 'Detalles movimientos'!$U$5:$U$1021, 0)), "")</f>
        <v/>
      </c>
      <c r="J21" s="19">
        <f>IFERROR(INDEX('Detalles movimientos'!N$5:N$1021, MATCH(12, 'Detalles movimientos'!$U$5:$U$1021, 0)), "")</f>
        <v/>
      </c>
      <c r="K21" s="120">
        <f>IFERROR(INDEX('Detalles movimientos'!O$5:O$1021, MATCH(12, 'Detalles movimientos'!$U$5:$U$1021, 0)), "")</f>
        <v/>
      </c>
      <c r="L21" s="18">
        <f>IFERROR(INDEX('Detalles movimientos'!P$5:P$1021, MATCH(12, 'Detalles movimientos'!$U$5:$U$1021, 0)), "")</f>
        <v/>
      </c>
      <c r="M21" s="18">
        <f>IFERROR(INDEX('Detalles movimientos'!S$5:S$1021, MATCH(12, 'Detalles movimientos'!$U$5:$U$1021, 0)), "")</f>
        <v/>
      </c>
    </row>
    <row r="22">
      <c r="B22" s="119">
        <f>IFERROR(INDEX('Detalles movimientos'!C$5:C$1021, MATCH(13, 'Detalles movimientos'!$U$5:$U$1021, 0)), "")</f>
        <v/>
      </c>
      <c r="C22" s="18">
        <f>IFERROR(INDEX('Detalles movimientos'!D$5:D$1021, MATCH(13, 'Detalles movimientos'!$U$5:$U$1021, 0)), "")</f>
        <v/>
      </c>
      <c r="D22" s="19">
        <f>IFERROR(INDEX('Detalles movimientos'!E$5:E$1021, MATCH(13, 'Detalles movimientos'!$U$5:$U$1021, 0)), "")</f>
        <v/>
      </c>
      <c r="E22" s="19">
        <f>IFERROR(INDEX('Detalles movimientos'!F$5:F$1021, MATCH(13, 'Detalles movimientos'!$U$5:$U$1021, 0)), "")</f>
        <v/>
      </c>
      <c r="F22" s="18">
        <f>IFERROR(INDEX('Detalles movimientos'!G$5:G$1021, MATCH(13, 'Detalles movimientos'!$U$5:$U$1021, 0)), "")</f>
        <v/>
      </c>
      <c r="G22" s="120">
        <f>IFERROR(INDEX('Detalles movimientos'!H$5:H$1021, MATCH(13, 'Detalles movimientos'!$U$5:$U$1021, 0)), "")</f>
        <v/>
      </c>
      <c r="H22" s="121">
        <f>IFERROR(INDEX('Detalles movimientos'!I$5:I$1021, MATCH(13, 'Detalles movimientos'!$U$5:$U$1021, 0)), "")</f>
        <v/>
      </c>
      <c r="I22" s="120">
        <f>IFERROR(INDEX('Detalles movimientos'!M$5:M$1021, MATCH(13, 'Detalles movimientos'!$U$5:$U$1021, 0)), "")</f>
        <v/>
      </c>
      <c r="J22" s="19">
        <f>IFERROR(INDEX('Detalles movimientos'!N$5:N$1021, MATCH(13, 'Detalles movimientos'!$U$5:$U$1021, 0)), "")</f>
        <v/>
      </c>
      <c r="K22" s="120">
        <f>IFERROR(INDEX('Detalles movimientos'!O$5:O$1021, MATCH(13, 'Detalles movimientos'!$U$5:$U$1021, 0)), "")</f>
        <v/>
      </c>
      <c r="L22" s="18">
        <f>IFERROR(INDEX('Detalles movimientos'!P$5:P$1021, MATCH(13, 'Detalles movimientos'!$U$5:$U$1021, 0)), "")</f>
        <v/>
      </c>
      <c r="M22" s="18">
        <f>IFERROR(INDEX('Detalles movimientos'!S$5:S$1021, MATCH(13, 'Detalles movimientos'!$U$5:$U$1021, 0)), "")</f>
        <v/>
      </c>
    </row>
    <row r="23">
      <c r="B23" s="119">
        <f>IFERROR(INDEX('Detalles movimientos'!C$5:C$1021, MATCH(14, 'Detalles movimientos'!$U$5:$U$1021, 0)), "")</f>
        <v/>
      </c>
      <c r="C23" s="18">
        <f>IFERROR(INDEX('Detalles movimientos'!D$5:D$1021, MATCH(14, 'Detalles movimientos'!$U$5:$U$1021, 0)), "")</f>
        <v/>
      </c>
      <c r="D23" s="19">
        <f>IFERROR(INDEX('Detalles movimientos'!E$5:E$1021, MATCH(14, 'Detalles movimientos'!$U$5:$U$1021, 0)), "")</f>
        <v/>
      </c>
      <c r="E23" s="19">
        <f>IFERROR(INDEX('Detalles movimientos'!F$5:F$1021, MATCH(14, 'Detalles movimientos'!$U$5:$U$1021, 0)), "")</f>
        <v/>
      </c>
      <c r="F23" s="18">
        <f>IFERROR(INDEX('Detalles movimientos'!G$5:G$1021, MATCH(14, 'Detalles movimientos'!$U$5:$U$1021, 0)), "")</f>
        <v/>
      </c>
      <c r="G23" s="120">
        <f>IFERROR(INDEX('Detalles movimientos'!H$5:H$1021, MATCH(14, 'Detalles movimientos'!$U$5:$U$1021, 0)), "")</f>
        <v/>
      </c>
      <c r="H23" s="121">
        <f>IFERROR(INDEX('Detalles movimientos'!I$5:I$1021, MATCH(14, 'Detalles movimientos'!$U$5:$U$1021, 0)), "")</f>
        <v/>
      </c>
      <c r="I23" s="120">
        <f>IFERROR(INDEX('Detalles movimientos'!M$5:M$1021, MATCH(14, 'Detalles movimientos'!$U$5:$U$1021, 0)), "")</f>
        <v/>
      </c>
      <c r="J23" s="19">
        <f>IFERROR(INDEX('Detalles movimientos'!N$5:N$1021, MATCH(14, 'Detalles movimientos'!$U$5:$U$1021, 0)), "")</f>
        <v/>
      </c>
      <c r="K23" s="120">
        <f>IFERROR(INDEX('Detalles movimientos'!O$5:O$1021, MATCH(14, 'Detalles movimientos'!$U$5:$U$1021, 0)), "")</f>
        <v/>
      </c>
      <c r="L23" s="18">
        <f>IFERROR(INDEX('Detalles movimientos'!P$5:P$1021, MATCH(14, 'Detalles movimientos'!$U$5:$U$1021, 0)), "")</f>
        <v/>
      </c>
      <c r="M23" s="18">
        <f>IFERROR(INDEX('Detalles movimientos'!S$5:S$1021, MATCH(14, 'Detalles movimientos'!$U$5:$U$1021, 0)), "")</f>
        <v/>
      </c>
    </row>
    <row r="24">
      <c r="B24" s="119">
        <f>IFERROR(INDEX('Detalles movimientos'!C$5:C$1021, MATCH(15, 'Detalles movimientos'!$U$5:$U$1021, 0)), "")</f>
        <v/>
      </c>
      <c r="C24" s="18">
        <f>IFERROR(INDEX('Detalles movimientos'!D$5:D$1021, MATCH(15, 'Detalles movimientos'!$U$5:$U$1021, 0)), "")</f>
        <v/>
      </c>
      <c r="D24" s="19">
        <f>IFERROR(INDEX('Detalles movimientos'!E$5:E$1021, MATCH(15, 'Detalles movimientos'!$U$5:$U$1021, 0)), "")</f>
        <v/>
      </c>
      <c r="E24" s="19">
        <f>IFERROR(INDEX('Detalles movimientos'!F$5:F$1021, MATCH(15, 'Detalles movimientos'!$U$5:$U$1021, 0)), "")</f>
        <v/>
      </c>
      <c r="F24" s="18">
        <f>IFERROR(INDEX('Detalles movimientos'!G$5:G$1021, MATCH(15, 'Detalles movimientos'!$U$5:$U$1021, 0)), "")</f>
        <v/>
      </c>
      <c r="G24" s="120">
        <f>IFERROR(INDEX('Detalles movimientos'!H$5:H$1021, MATCH(15, 'Detalles movimientos'!$U$5:$U$1021, 0)), "")</f>
        <v/>
      </c>
      <c r="H24" s="121">
        <f>IFERROR(INDEX('Detalles movimientos'!I$5:I$1021, MATCH(15, 'Detalles movimientos'!$U$5:$U$1021, 0)), "")</f>
        <v/>
      </c>
      <c r="I24" s="120">
        <f>IFERROR(INDEX('Detalles movimientos'!M$5:M$1021, MATCH(15, 'Detalles movimientos'!$U$5:$U$1021, 0)), "")</f>
        <v/>
      </c>
      <c r="J24" s="19">
        <f>IFERROR(INDEX('Detalles movimientos'!N$5:N$1021, MATCH(15, 'Detalles movimientos'!$U$5:$U$1021, 0)), "")</f>
        <v/>
      </c>
      <c r="K24" s="120">
        <f>IFERROR(INDEX('Detalles movimientos'!O$5:O$1021, MATCH(15, 'Detalles movimientos'!$U$5:$U$1021, 0)), "")</f>
        <v/>
      </c>
      <c r="L24" s="18">
        <f>IFERROR(INDEX('Detalles movimientos'!P$5:P$1021, MATCH(15, 'Detalles movimientos'!$U$5:$U$1021, 0)), "")</f>
        <v/>
      </c>
      <c r="M24" s="18">
        <f>IFERROR(INDEX('Detalles movimientos'!S$5:S$1021, MATCH(15, 'Detalles movimientos'!$U$5:$U$1021, 0)), "")</f>
        <v/>
      </c>
    </row>
    <row r="25">
      <c r="B25" s="119">
        <f>IFERROR(INDEX('Detalles movimientos'!C$5:C$1021, MATCH(16, 'Detalles movimientos'!$U$5:$U$1021, 0)), "")</f>
        <v/>
      </c>
      <c r="C25" s="18">
        <f>IFERROR(INDEX('Detalles movimientos'!D$5:D$1021, MATCH(16, 'Detalles movimientos'!$U$5:$U$1021, 0)), "")</f>
        <v/>
      </c>
      <c r="D25" s="19">
        <f>IFERROR(INDEX('Detalles movimientos'!E$5:E$1021, MATCH(16, 'Detalles movimientos'!$U$5:$U$1021, 0)), "")</f>
        <v/>
      </c>
      <c r="E25" s="19">
        <f>IFERROR(INDEX('Detalles movimientos'!F$5:F$1021, MATCH(16, 'Detalles movimientos'!$U$5:$U$1021, 0)), "")</f>
        <v/>
      </c>
      <c r="F25" s="18">
        <f>IFERROR(INDEX('Detalles movimientos'!G$5:G$1021, MATCH(16, 'Detalles movimientos'!$U$5:$U$1021, 0)), "")</f>
        <v/>
      </c>
      <c r="G25" s="120">
        <f>IFERROR(INDEX('Detalles movimientos'!H$5:H$1021, MATCH(16, 'Detalles movimientos'!$U$5:$U$1021, 0)), "")</f>
        <v/>
      </c>
      <c r="H25" s="121">
        <f>IFERROR(INDEX('Detalles movimientos'!I$5:I$1021, MATCH(16, 'Detalles movimientos'!$U$5:$U$1021, 0)), "")</f>
        <v/>
      </c>
      <c r="I25" s="120">
        <f>IFERROR(INDEX('Detalles movimientos'!M$5:M$1021, MATCH(16, 'Detalles movimientos'!$U$5:$U$1021, 0)), "")</f>
        <v/>
      </c>
      <c r="J25" s="19">
        <f>IFERROR(INDEX('Detalles movimientos'!N$5:N$1021, MATCH(16, 'Detalles movimientos'!$U$5:$U$1021, 0)), "")</f>
        <v/>
      </c>
      <c r="K25" s="120">
        <f>IFERROR(INDEX('Detalles movimientos'!O$5:O$1021, MATCH(16, 'Detalles movimientos'!$U$5:$U$1021, 0)), "")</f>
        <v/>
      </c>
      <c r="L25" s="18">
        <f>IFERROR(INDEX('Detalles movimientos'!P$5:P$1021, MATCH(16, 'Detalles movimientos'!$U$5:$U$1021, 0)), "")</f>
        <v/>
      </c>
      <c r="M25" s="18">
        <f>IFERROR(INDEX('Detalles movimientos'!S$5:S$1021, MATCH(16, 'Detalles movimientos'!$U$5:$U$1021, 0)), "")</f>
        <v/>
      </c>
    </row>
    <row r="26">
      <c r="B26" s="119">
        <f>IFERROR(INDEX('Detalles movimientos'!C$5:C$1021, MATCH(17, 'Detalles movimientos'!$U$5:$U$1021, 0)), "")</f>
        <v/>
      </c>
      <c r="C26" s="18">
        <f>IFERROR(INDEX('Detalles movimientos'!D$5:D$1021, MATCH(17, 'Detalles movimientos'!$U$5:$U$1021, 0)), "")</f>
        <v/>
      </c>
      <c r="D26" s="19">
        <f>IFERROR(INDEX('Detalles movimientos'!E$5:E$1021, MATCH(17, 'Detalles movimientos'!$U$5:$U$1021, 0)), "")</f>
        <v/>
      </c>
      <c r="E26" s="19">
        <f>IFERROR(INDEX('Detalles movimientos'!F$5:F$1021, MATCH(17, 'Detalles movimientos'!$U$5:$U$1021, 0)), "")</f>
        <v/>
      </c>
      <c r="F26" s="18">
        <f>IFERROR(INDEX('Detalles movimientos'!G$5:G$1021, MATCH(17, 'Detalles movimientos'!$U$5:$U$1021, 0)), "")</f>
        <v/>
      </c>
      <c r="G26" s="120">
        <f>IFERROR(INDEX('Detalles movimientos'!H$5:H$1021, MATCH(17, 'Detalles movimientos'!$U$5:$U$1021, 0)), "")</f>
        <v/>
      </c>
      <c r="H26" s="121">
        <f>IFERROR(INDEX('Detalles movimientos'!I$5:I$1021, MATCH(17, 'Detalles movimientos'!$U$5:$U$1021, 0)), "")</f>
        <v/>
      </c>
      <c r="I26" s="120">
        <f>IFERROR(INDEX('Detalles movimientos'!M$5:M$1021, MATCH(17, 'Detalles movimientos'!$U$5:$U$1021, 0)), "")</f>
        <v/>
      </c>
      <c r="J26" s="19">
        <f>IFERROR(INDEX('Detalles movimientos'!N$5:N$1021, MATCH(17, 'Detalles movimientos'!$U$5:$U$1021, 0)), "")</f>
        <v/>
      </c>
      <c r="K26" s="120">
        <f>IFERROR(INDEX('Detalles movimientos'!O$5:O$1021, MATCH(17, 'Detalles movimientos'!$U$5:$U$1021, 0)), "")</f>
        <v/>
      </c>
      <c r="L26" s="18">
        <f>IFERROR(INDEX('Detalles movimientos'!P$5:P$1021, MATCH(17, 'Detalles movimientos'!$U$5:$U$1021, 0)), "")</f>
        <v/>
      </c>
      <c r="M26" s="18">
        <f>IFERROR(INDEX('Detalles movimientos'!S$5:S$1021, MATCH(17, 'Detalles movimientos'!$U$5:$U$1021, 0)), "")</f>
        <v/>
      </c>
    </row>
    <row r="27">
      <c r="B27" s="119">
        <f>IFERROR(INDEX('Detalles movimientos'!C$5:C$1021, MATCH(18, 'Detalles movimientos'!$U$5:$U$1021, 0)), "")</f>
        <v/>
      </c>
      <c r="C27" s="18">
        <f>IFERROR(INDEX('Detalles movimientos'!D$5:D$1021, MATCH(18, 'Detalles movimientos'!$U$5:$U$1021, 0)), "")</f>
        <v/>
      </c>
      <c r="D27" s="19">
        <f>IFERROR(INDEX('Detalles movimientos'!E$5:E$1021, MATCH(18, 'Detalles movimientos'!$U$5:$U$1021, 0)), "")</f>
        <v/>
      </c>
      <c r="E27" s="19">
        <f>IFERROR(INDEX('Detalles movimientos'!F$5:F$1021, MATCH(18, 'Detalles movimientos'!$U$5:$U$1021, 0)), "")</f>
        <v/>
      </c>
      <c r="F27" s="18">
        <f>IFERROR(INDEX('Detalles movimientos'!G$5:G$1021, MATCH(18, 'Detalles movimientos'!$U$5:$U$1021, 0)), "")</f>
        <v/>
      </c>
      <c r="G27" s="120">
        <f>IFERROR(INDEX('Detalles movimientos'!H$5:H$1021, MATCH(18, 'Detalles movimientos'!$U$5:$U$1021, 0)), "")</f>
        <v/>
      </c>
      <c r="H27" s="121">
        <f>IFERROR(INDEX('Detalles movimientos'!I$5:I$1021, MATCH(18, 'Detalles movimientos'!$U$5:$U$1021, 0)), "")</f>
        <v/>
      </c>
      <c r="I27" s="120">
        <f>IFERROR(INDEX('Detalles movimientos'!M$5:M$1021, MATCH(18, 'Detalles movimientos'!$U$5:$U$1021, 0)), "")</f>
        <v/>
      </c>
      <c r="J27" s="19">
        <f>IFERROR(INDEX('Detalles movimientos'!N$5:N$1021, MATCH(18, 'Detalles movimientos'!$U$5:$U$1021, 0)), "")</f>
        <v/>
      </c>
      <c r="K27" s="120">
        <f>IFERROR(INDEX('Detalles movimientos'!O$5:O$1021, MATCH(18, 'Detalles movimientos'!$U$5:$U$1021, 0)), "")</f>
        <v/>
      </c>
      <c r="L27" s="18">
        <f>IFERROR(INDEX('Detalles movimientos'!P$5:P$1021, MATCH(18, 'Detalles movimientos'!$U$5:$U$1021, 0)), "")</f>
        <v/>
      </c>
      <c r="M27" s="18">
        <f>IFERROR(INDEX('Detalles movimientos'!S$5:S$1021, MATCH(18, 'Detalles movimientos'!$U$5:$U$1021, 0)), "")</f>
        <v/>
      </c>
    </row>
    <row r="28">
      <c r="B28" s="119">
        <f>IFERROR(INDEX('Detalles movimientos'!C$5:C$1021, MATCH(19, 'Detalles movimientos'!$U$5:$U$1021, 0)), "")</f>
        <v/>
      </c>
      <c r="C28" s="18">
        <f>IFERROR(INDEX('Detalles movimientos'!D$5:D$1021, MATCH(19, 'Detalles movimientos'!$U$5:$U$1021, 0)), "")</f>
        <v/>
      </c>
      <c r="D28" s="19">
        <f>IFERROR(INDEX('Detalles movimientos'!E$5:E$1021, MATCH(19, 'Detalles movimientos'!$U$5:$U$1021, 0)), "")</f>
        <v/>
      </c>
      <c r="E28" s="19">
        <f>IFERROR(INDEX('Detalles movimientos'!F$5:F$1021, MATCH(19, 'Detalles movimientos'!$U$5:$U$1021, 0)), "")</f>
        <v/>
      </c>
      <c r="F28" s="18">
        <f>IFERROR(INDEX('Detalles movimientos'!G$5:G$1021, MATCH(19, 'Detalles movimientos'!$U$5:$U$1021, 0)), "")</f>
        <v/>
      </c>
      <c r="G28" s="120">
        <f>IFERROR(INDEX('Detalles movimientos'!H$5:H$1021, MATCH(19, 'Detalles movimientos'!$U$5:$U$1021, 0)), "")</f>
        <v/>
      </c>
      <c r="H28" s="121">
        <f>IFERROR(INDEX('Detalles movimientos'!I$5:I$1021, MATCH(19, 'Detalles movimientos'!$U$5:$U$1021, 0)), "")</f>
        <v/>
      </c>
      <c r="I28" s="120">
        <f>IFERROR(INDEX('Detalles movimientos'!M$5:M$1021, MATCH(19, 'Detalles movimientos'!$U$5:$U$1021, 0)), "")</f>
        <v/>
      </c>
      <c r="J28" s="19">
        <f>IFERROR(INDEX('Detalles movimientos'!N$5:N$1021, MATCH(19, 'Detalles movimientos'!$U$5:$U$1021, 0)), "")</f>
        <v/>
      </c>
      <c r="K28" s="120">
        <f>IFERROR(INDEX('Detalles movimientos'!O$5:O$1021, MATCH(19, 'Detalles movimientos'!$U$5:$U$1021, 0)), "")</f>
        <v/>
      </c>
      <c r="L28" s="18">
        <f>IFERROR(INDEX('Detalles movimientos'!P$5:P$1021, MATCH(19, 'Detalles movimientos'!$U$5:$U$1021, 0)), "")</f>
        <v/>
      </c>
      <c r="M28" s="18">
        <f>IFERROR(INDEX('Detalles movimientos'!S$5:S$1021, MATCH(19, 'Detalles movimientos'!$U$5:$U$1021, 0)), "")</f>
        <v/>
      </c>
    </row>
    <row r="29">
      <c r="B29" s="119">
        <f>IFERROR(INDEX('Detalles movimientos'!C$5:C$1021, MATCH(20, 'Detalles movimientos'!$U$5:$U$1021, 0)), "")</f>
        <v/>
      </c>
      <c r="C29" s="18">
        <f>IFERROR(INDEX('Detalles movimientos'!D$5:D$1021, MATCH(20, 'Detalles movimientos'!$U$5:$U$1021, 0)), "")</f>
        <v/>
      </c>
      <c r="D29" s="19">
        <f>IFERROR(INDEX('Detalles movimientos'!E$5:E$1021, MATCH(20, 'Detalles movimientos'!$U$5:$U$1021, 0)), "")</f>
        <v/>
      </c>
      <c r="E29" s="19">
        <f>IFERROR(INDEX('Detalles movimientos'!F$5:F$1021, MATCH(20, 'Detalles movimientos'!$U$5:$U$1021, 0)), "")</f>
        <v/>
      </c>
      <c r="F29" s="18">
        <f>IFERROR(INDEX('Detalles movimientos'!G$5:G$1021, MATCH(20, 'Detalles movimientos'!$U$5:$U$1021, 0)), "")</f>
        <v/>
      </c>
      <c r="G29" s="120">
        <f>IFERROR(INDEX('Detalles movimientos'!H$5:H$1021, MATCH(20, 'Detalles movimientos'!$U$5:$U$1021, 0)), "")</f>
        <v/>
      </c>
      <c r="H29" s="121">
        <f>IFERROR(INDEX('Detalles movimientos'!I$5:I$1021, MATCH(20, 'Detalles movimientos'!$U$5:$U$1021, 0)), "")</f>
        <v/>
      </c>
      <c r="I29" s="120">
        <f>IFERROR(INDEX('Detalles movimientos'!M$5:M$1021, MATCH(20, 'Detalles movimientos'!$U$5:$U$1021, 0)), "")</f>
        <v/>
      </c>
      <c r="J29" s="19">
        <f>IFERROR(INDEX('Detalles movimientos'!N$5:N$1021, MATCH(20, 'Detalles movimientos'!$U$5:$U$1021, 0)), "")</f>
        <v/>
      </c>
      <c r="K29" s="120">
        <f>IFERROR(INDEX('Detalles movimientos'!O$5:O$1021, MATCH(20, 'Detalles movimientos'!$U$5:$U$1021, 0)), "")</f>
        <v/>
      </c>
      <c r="L29" s="18">
        <f>IFERROR(INDEX('Detalles movimientos'!P$5:P$1021, MATCH(20, 'Detalles movimientos'!$U$5:$U$1021, 0)), "")</f>
        <v/>
      </c>
      <c r="M29" s="18">
        <f>IFERROR(INDEX('Detalles movimientos'!S$5:S$1021, MATCH(20, 'Detalles movimientos'!$U$5:$U$1021, 0)), "")</f>
        <v/>
      </c>
    </row>
    <row r="30">
      <c r="B30" s="119">
        <f>IFERROR(INDEX('Detalles movimientos'!C$5:C$1021, MATCH(21, 'Detalles movimientos'!$U$5:$U$1021, 0)), "")</f>
        <v/>
      </c>
      <c r="C30" s="18">
        <f>IFERROR(INDEX('Detalles movimientos'!D$5:D$1021, MATCH(21, 'Detalles movimientos'!$U$5:$U$1021, 0)), "")</f>
        <v/>
      </c>
      <c r="D30" s="19">
        <f>IFERROR(INDEX('Detalles movimientos'!E$5:E$1021, MATCH(21, 'Detalles movimientos'!$U$5:$U$1021, 0)), "")</f>
        <v/>
      </c>
      <c r="E30" s="19">
        <f>IFERROR(INDEX('Detalles movimientos'!F$5:F$1021, MATCH(21, 'Detalles movimientos'!$U$5:$U$1021, 0)), "")</f>
        <v/>
      </c>
      <c r="F30" s="18">
        <f>IFERROR(INDEX('Detalles movimientos'!G$5:G$1021, MATCH(21, 'Detalles movimientos'!$U$5:$U$1021, 0)), "")</f>
        <v/>
      </c>
      <c r="G30" s="120">
        <f>IFERROR(INDEX('Detalles movimientos'!H$5:H$1021, MATCH(21, 'Detalles movimientos'!$U$5:$U$1021, 0)), "")</f>
        <v/>
      </c>
      <c r="H30" s="121">
        <f>IFERROR(INDEX('Detalles movimientos'!I$5:I$1021, MATCH(21, 'Detalles movimientos'!$U$5:$U$1021, 0)), "")</f>
        <v/>
      </c>
      <c r="I30" s="120">
        <f>IFERROR(INDEX('Detalles movimientos'!M$5:M$1021, MATCH(21, 'Detalles movimientos'!$U$5:$U$1021, 0)), "")</f>
        <v/>
      </c>
      <c r="J30" s="19">
        <f>IFERROR(INDEX('Detalles movimientos'!N$5:N$1021, MATCH(21, 'Detalles movimientos'!$U$5:$U$1021, 0)), "")</f>
        <v/>
      </c>
      <c r="K30" s="120">
        <f>IFERROR(INDEX('Detalles movimientos'!O$5:O$1021, MATCH(21, 'Detalles movimientos'!$U$5:$U$1021, 0)), "")</f>
        <v/>
      </c>
      <c r="L30" s="18">
        <f>IFERROR(INDEX('Detalles movimientos'!P$5:P$1021, MATCH(21, 'Detalles movimientos'!$U$5:$U$1021, 0)), "")</f>
        <v/>
      </c>
      <c r="M30" s="18">
        <f>IFERROR(INDEX('Detalles movimientos'!S$5:S$1021, MATCH(21, 'Detalles movimientos'!$U$5:$U$1021, 0)), "")</f>
        <v/>
      </c>
    </row>
    <row r="31">
      <c r="B31" s="119">
        <f>IFERROR(INDEX('Detalles movimientos'!C$5:C$1021, MATCH(22, 'Detalles movimientos'!$U$5:$U$1021, 0)), "")</f>
        <v/>
      </c>
      <c r="C31" s="18">
        <f>IFERROR(INDEX('Detalles movimientos'!D$5:D$1021, MATCH(22, 'Detalles movimientos'!$U$5:$U$1021, 0)), "")</f>
        <v/>
      </c>
      <c r="D31" s="19">
        <f>IFERROR(INDEX('Detalles movimientos'!E$5:E$1021, MATCH(22, 'Detalles movimientos'!$U$5:$U$1021, 0)), "")</f>
        <v/>
      </c>
      <c r="E31" s="19">
        <f>IFERROR(INDEX('Detalles movimientos'!F$5:F$1021, MATCH(22, 'Detalles movimientos'!$U$5:$U$1021, 0)), "")</f>
        <v/>
      </c>
      <c r="F31" s="18">
        <f>IFERROR(INDEX('Detalles movimientos'!G$5:G$1021, MATCH(22, 'Detalles movimientos'!$U$5:$U$1021, 0)), "")</f>
        <v/>
      </c>
      <c r="G31" s="120">
        <f>IFERROR(INDEX('Detalles movimientos'!H$5:H$1021, MATCH(22, 'Detalles movimientos'!$U$5:$U$1021, 0)), "")</f>
        <v/>
      </c>
      <c r="H31" s="121">
        <f>IFERROR(INDEX('Detalles movimientos'!I$5:I$1021, MATCH(22, 'Detalles movimientos'!$U$5:$U$1021, 0)), "")</f>
        <v/>
      </c>
      <c r="I31" s="120">
        <f>IFERROR(INDEX('Detalles movimientos'!M$5:M$1021, MATCH(22, 'Detalles movimientos'!$U$5:$U$1021, 0)), "")</f>
        <v/>
      </c>
      <c r="J31" s="19">
        <f>IFERROR(INDEX('Detalles movimientos'!N$5:N$1021, MATCH(22, 'Detalles movimientos'!$U$5:$U$1021, 0)), "")</f>
        <v/>
      </c>
      <c r="K31" s="120">
        <f>IFERROR(INDEX('Detalles movimientos'!O$5:O$1021, MATCH(22, 'Detalles movimientos'!$U$5:$U$1021, 0)), "")</f>
        <v/>
      </c>
      <c r="L31" s="18">
        <f>IFERROR(INDEX('Detalles movimientos'!P$5:P$1021, MATCH(22, 'Detalles movimientos'!$U$5:$U$1021, 0)), "")</f>
        <v/>
      </c>
      <c r="M31" s="18">
        <f>IFERROR(INDEX('Detalles movimientos'!S$5:S$1021, MATCH(22, 'Detalles movimientos'!$U$5:$U$1021, 0)), "")</f>
        <v/>
      </c>
    </row>
    <row r="32">
      <c r="B32" s="119">
        <f>IFERROR(INDEX('Detalles movimientos'!C$5:C$1021, MATCH(23, 'Detalles movimientos'!$U$5:$U$1021, 0)), "")</f>
        <v/>
      </c>
      <c r="C32" s="18">
        <f>IFERROR(INDEX('Detalles movimientos'!D$5:D$1021, MATCH(23, 'Detalles movimientos'!$U$5:$U$1021, 0)), "")</f>
        <v/>
      </c>
      <c r="D32" s="19">
        <f>IFERROR(INDEX('Detalles movimientos'!E$5:E$1021, MATCH(23, 'Detalles movimientos'!$U$5:$U$1021, 0)), "")</f>
        <v/>
      </c>
      <c r="E32" s="19">
        <f>IFERROR(INDEX('Detalles movimientos'!F$5:F$1021, MATCH(23, 'Detalles movimientos'!$U$5:$U$1021, 0)), "")</f>
        <v/>
      </c>
      <c r="F32" s="18">
        <f>IFERROR(INDEX('Detalles movimientos'!G$5:G$1021, MATCH(23, 'Detalles movimientos'!$U$5:$U$1021, 0)), "")</f>
        <v/>
      </c>
      <c r="G32" s="120">
        <f>IFERROR(INDEX('Detalles movimientos'!H$5:H$1021, MATCH(23, 'Detalles movimientos'!$U$5:$U$1021, 0)), "")</f>
        <v/>
      </c>
      <c r="H32" s="121">
        <f>IFERROR(INDEX('Detalles movimientos'!I$5:I$1021, MATCH(23, 'Detalles movimientos'!$U$5:$U$1021, 0)), "")</f>
        <v/>
      </c>
      <c r="I32" s="120">
        <f>IFERROR(INDEX('Detalles movimientos'!M$5:M$1021, MATCH(23, 'Detalles movimientos'!$U$5:$U$1021, 0)), "")</f>
        <v/>
      </c>
      <c r="J32" s="19">
        <f>IFERROR(INDEX('Detalles movimientos'!N$5:N$1021, MATCH(23, 'Detalles movimientos'!$U$5:$U$1021, 0)), "")</f>
        <v/>
      </c>
      <c r="K32" s="120">
        <f>IFERROR(INDEX('Detalles movimientos'!O$5:O$1021, MATCH(23, 'Detalles movimientos'!$U$5:$U$1021, 0)), "")</f>
        <v/>
      </c>
      <c r="L32" s="18">
        <f>IFERROR(INDEX('Detalles movimientos'!P$5:P$1021, MATCH(23, 'Detalles movimientos'!$U$5:$U$1021, 0)), "")</f>
        <v/>
      </c>
      <c r="M32" s="18">
        <f>IFERROR(INDEX('Detalles movimientos'!S$5:S$1021, MATCH(23, 'Detalles movimientos'!$U$5:$U$1021, 0)), "")</f>
        <v/>
      </c>
    </row>
    <row r="33">
      <c r="B33" s="119">
        <f>IFERROR(INDEX('Detalles movimientos'!C$5:C$1021, MATCH(24, 'Detalles movimientos'!$U$5:$U$1021, 0)), "")</f>
        <v/>
      </c>
      <c r="C33" s="18">
        <f>IFERROR(INDEX('Detalles movimientos'!D$5:D$1021, MATCH(24, 'Detalles movimientos'!$U$5:$U$1021, 0)), "")</f>
        <v/>
      </c>
      <c r="D33" s="19">
        <f>IFERROR(INDEX('Detalles movimientos'!E$5:E$1021, MATCH(24, 'Detalles movimientos'!$U$5:$U$1021, 0)), "")</f>
        <v/>
      </c>
      <c r="E33" s="19">
        <f>IFERROR(INDEX('Detalles movimientos'!F$5:F$1021, MATCH(24, 'Detalles movimientos'!$U$5:$U$1021, 0)), "")</f>
        <v/>
      </c>
      <c r="F33" s="18">
        <f>IFERROR(INDEX('Detalles movimientos'!G$5:G$1021, MATCH(24, 'Detalles movimientos'!$U$5:$U$1021, 0)), "")</f>
        <v/>
      </c>
      <c r="G33" s="120">
        <f>IFERROR(INDEX('Detalles movimientos'!H$5:H$1021, MATCH(24, 'Detalles movimientos'!$U$5:$U$1021, 0)), "")</f>
        <v/>
      </c>
      <c r="H33" s="121">
        <f>IFERROR(INDEX('Detalles movimientos'!I$5:I$1021, MATCH(24, 'Detalles movimientos'!$U$5:$U$1021, 0)), "")</f>
        <v/>
      </c>
      <c r="I33" s="120">
        <f>IFERROR(INDEX('Detalles movimientos'!M$5:M$1021, MATCH(24, 'Detalles movimientos'!$U$5:$U$1021, 0)), "")</f>
        <v/>
      </c>
      <c r="J33" s="19">
        <f>IFERROR(INDEX('Detalles movimientos'!N$5:N$1021, MATCH(24, 'Detalles movimientos'!$U$5:$U$1021, 0)), "")</f>
        <v/>
      </c>
      <c r="K33" s="120">
        <f>IFERROR(INDEX('Detalles movimientos'!O$5:O$1021, MATCH(24, 'Detalles movimientos'!$U$5:$U$1021, 0)), "")</f>
        <v/>
      </c>
      <c r="L33" s="18">
        <f>IFERROR(INDEX('Detalles movimientos'!P$5:P$1021, MATCH(24, 'Detalles movimientos'!$U$5:$U$1021, 0)), "")</f>
        <v/>
      </c>
      <c r="M33" s="18">
        <f>IFERROR(INDEX('Detalles movimientos'!S$5:S$1021, MATCH(24, 'Detalles movimientos'!$U$5:$U$1021, 0)), "")</f>
        <v/>
      </c>
    </row>
    <row r="34">
      <c r="B34" s="119">
        <f>IFERROR(INDEX('Detalles movimientos'!C$5:C$1021, MATCH(25, 'Detalles movimientos'!$U$5:$U$1021, 0)), "")</f>
        <v/>
      </c>
      <c r="C34" s="18">
        <f>IFERROR(INDEX('Detalles movimientos'!D$5:D$1021, MATCH(25, 'Detalles movimientos'!$U$5:$U$1021, 0)), "")</f>
        <v/>
      </c>
      <c r="D34" s="19">
        <f>IFERROR(INDEX('Detalles movimientos'!E$5:E$1021, MATCH(25, 'Detalles movimientos'!$U$5:$U$1021, 0)), "")</f>
        <v/>
      </c>
      <c r="E34" s="19">
        <f>IFERROR(INDEX('Detalles movimientos'!F$5:F$1021, MATCH(25, 'Detalles movimientos'!$U$5:$U$1021, 0)), "")</f>
        <v/>
      </c>
      <c r="F34" s="18">
        <f>IFERROR(INDEX('Detalles movimientos'!G$5:G$1021, MATCH(25, 'Detalles movimientos'!$U$5:$U$1021, 0)), "")</f>
        <v/>
      </c>
      <c r="G34" s="120">
        <f>IFERROR(INDEX('Detalles movimientos'!H$5:H$1021, MATCH(25, 'Detalles movimientos'!$U$5:$U$1021, 0)), "")</f>
        <v/>
      </c>
      <c r="H34" s="121">
        <f>IFERROR(INDEX('Detalles movimientos'!I$5:I$1021, MATCH(25, 'Detalles movimientos'!$U$5:$U$1021, 0)), "")</f>
        <v/>
      </c>
      <c r="I34" s="120">
        <f>IFERROR(INDEX('Detalles movimientos'!M$5:M$1021, MATCH(25, 'Detalles movimientos'!$U$5:$U$1021, 0)), "")</f>
        <v/>
      </c>
      <c r="J34" s="19">
        <f>IFERROR(INDEX('Detalles movimientos'!N$5:N$1021, MATCH(25, 'Detalles movimientos'!$U$5:$U$1021, 0)), "")</f>
        <v/>
      </c>
      <c r="K34" s="120">
        <f>IFERROR(INDEX('Detalles movimientos'!O$5:O$1021, MATCH(25, 'Detalles movimientos'!$U$5:$U$1021, 0)), "")</f>
        <v/>
      </c>
      <c r="L34" s="18">
        <f>IFERROR(INDEX('Detalles movimientos'!P$5:P$1021, MATCH(25, 'Detalles movimientos'!$U$5:$U$1021, 0)), "")</f>
        <v/>
      </c>
      <c r="M34" s="18">
        <f>IFERROR(INDEX('Detalles movimientos'!S$5:S$1021, MATCH(25, 'Detalles movimientos'!$U$5:$U$1021, 0)), "")</f>
        <v/>
      </c>
    </row>
    <row r="35">
      <c r="B35" s="119">
        <f>IFERROR(INDEX('Detalles movimientos'!C$5:C$1021, MATCH(26, 'Detalles movimientos'!$U$5:$U$1021, 0)), "")</f>
        <v/>
      </c>
      <c r="C35" s="18">
        <f>IFERROR(INDEX('Detalles movimientos'!D$5:D$1021, MATCH(26, 'Detalles movimientos'!$U$5:$U$1021, 0)), "")</f>
        <v/>
      </c>
      <c r="D35" s="19">
        <f>IFERROR(INDEX('Detalles movimientos'!E$5:E$1021, MATCH(26, 'Detalles movimientos'!$U$5:$U$1021, 0)), "")</f>
        <v/>
      </c>
      <c r="E35" s="19">
        <f>IFERROR(INDEX('Detalles movimientos'!F$5:F$1021, MATCH(26, 'Detalles movimientos'!$U$5:$U$1021, 0)), "")</f>
        <v/>
      </c>
      <c r="F35" s="18">
        <f>IFERROR(INDEX('Detalles movimientos'!G$5:G$1021, MATCH(26, 'Detalles movimientos'!$U$5:$U$1021, 0)), "")</f>
        <v/>
      </c>
      <c r="G35" s="120">
        <f>IFERROR(INDEX('Detalles movimientos'!H$5:H$1021, MATCH(26, 'Detalles movimientos'!$U$5:$U$1021, 0)), "")</f>
        <v/>
      </c>
      <c r="H35" s="121">
        <f>IFERROR(INDEX('Detalles movimientos'!I$5:I$1021, MATCH(26, 'Detalles movimientos'!$U$5:$U$1021, 0)), "")</f>
        <v/>
      </c>
      <c r="I35" s="120">
        <f>IFERROR(INDEX('Detalles movimientos'!M$5:M$1021, MATCH(26, 'Detalles movimientos'!$U$5:$U$1021, 0)), "")</f>
        <v/>
      </c>
      <c r="J35" s="19">
        <f>IFERROR(INDEX('Detalles movimientos'!N$5:N$1021, MATCH(26, 'Detalles movimientos'!$U$5:$U$1021, 0)), "")</f>
        <v/>
      </c>
      <c r="K35" s="120">
        <f>IFERROR(INDEX('Detalles movimientos'!O$5:O$1021, MATCH(26, 'Detalles movimientos'!$U$5:$U$1021, 0)), "")</f>
        <v/>
      </c>
      <c r="L35" s="18">
        <f>IFERROR(INDEX('Detalles movimientos'!P$5:P$1021, MATCH(26, 'Detalles movimientos'!$U$5:$U$1021, 0)), "")</f>
        <v/>
      </c>
      <c r="M35" s="18">
        <f>IFERROR(INDEX('Detalles movimientos'!S$5:S$1021, MATCH(26, 'Detalles movimientos'!$U$5:$U$1021, 0)), "")</f>
        <v/>
      </c>
    </row>
    <row r="36">
      <c r="B36" s="119">
        <f>IFERROR(INDEX('Detalles movimientos'!C$5:C$1021, MATCH(27, 'Detalles movimientos'!$U$5:$U$1021, 0)), "")</f>
        <v/>
      </c>
      <c r="C36" s="18">
        <f>IFERROR(INDEX('Detalles movimientos'!D$5:D$1021, MATCH(27, 'Detalles movimientos'!$U$5:$U$1021, 0)), "")</f>
        <v/>
      </c>
      <c r="D36" s="19">
        <f>IFERROR(INDEX('Detalles movimientos'!E$5:E$1021, MATCH(27, 'Detalles movimientos'!$U$5:$U$1021, 0)), "")</f>
        <v/>
      </c>
      <c r="E36" s="19">
        <f>IFERROR(INDEX('Detalles movimientos'!F$5:F$1021, MATCH(27, 'Detalles movimientos'!$U$5:$U$1021, 0)), "")</f>
        <v/>
      </c>
      <c r="F36" s="18">
        <f>IFERROR(INDEX('Detalles movimientos'!G$5:G$1021, MATCH(27, 'Detalles movimientos'!$U$5:$U$1021, 0)), "")</f>
        <v/>
      </c>
      <c r="G36" s="120">
        <f>IFERROR(INDEX('Detalles movimientos'!H$5:H$1021, MATCH(27, 'Detalles movimientos'!$U$5:$U$1021, 0)), "")</f>
        <v/>
      </c>
      <c r="H36" s="121">
        <f>IFERROR(INDEX('Detalles movimientos'!I$5:I$1021, MATCH(27, 'Detalles movimientos'!$U$5:$U$1021, 0)), "")</f>
        <v/>
      </c>
      <c r="I36" s="120">
        <f>IFERROR(INDEX('Detalles movimientos'!M$5:M$1021, MATCH(27, 'Detalles movimientos'!$U$5:$U$1021, 0)), "")</f>
        <v/>
      </c>
      <c r="J36" s="19">
        <f>IFERROR(INDEX('Detalles movimientos'!N$5:N$1021, MATCH(27, 'Detalles movimientos'!$U$5:$U$1021, 0)), "")</f>
        <v/>
      </c>
      <c r="K36" s="120">
        <f>IFERROR(INDEX('Detalles movimientos'!O$5:O$1021, MATCH(27, 'Detalles movimientos'!$U$5:$U$1021, 0)), "")</f>
        <v/>
      </c>
      <c r="L36" s="18">
        <f>IFERROR(INDEX('Detalles movimientos'!P$5:P$1021, MATCH(27, 'Detalles movimientos'!$U$5:$U$1021, 0)), "")</f>
        <v/>
      </c>
      <c r="M36" s="18">
        <f>IFERROR(INDEX('Detalles movimientos'!S$5:S$1021, MATCH(27, 'Detalles movimientos'!$U$5:$U$1021, 0)), "")</f>
        <v/>
      </c>
    </row>
    <row r="37">
      <c r="B37" s="119">
        <f>IFERROR(INDEX('Detalles movimientos'!C$5:C$1021, MATCH(28, 'Detalles movimientos'!$U$5:$U$1021, 0)), "")</f>
        <v/>
      </c>
      <c r="C37" s="18">
        <f>IFERROR(INDEX('Detalles movimientos'!D$5:D$1021, MATCH(28, 'Detalles movimientos'!$U$5:$U$1021, 0)), "")</f>
        <v/>
      </c>
      <c r="D37" s="19">
        <f>IFERROR(INDEX('Detalles movimientos'!E$5:E$1021, MATCH(28, 'Detalles movimientos'!$U$5:$U$1021, 0)), "")</f>
        <v/>
      </c>
      <c r="E37" s="19">
        <f>IFERROR(INDEX('Detalles movimientos'!F$5:F$1021, MATCH(28, 'Detalles movimientos'!$U$5:$U$1021, 0)), "")</f>
        <v/>
      </c>
      <c r="F37" s="18">
        <f>IFERROR(INDEX('Detalles movimientos'!G$5:G$1021, MATCH(28, 'Detalles movimientos'!$U$5:$U$1021, 0)), "")</f>
        <v/>
      </c>
      <c r="G37" s="120">
        <f>IFERROR(INDEX('Detalles movimientos'!H$5:H$1021, MATCH(28, 'Detalles movimientos'!$U$5:$U$1021, 0)), "")</f>
        <v/>
      </c>
      <c r="H37" s="121">
        <f>IFERROR(INDEX('Detalles movimientos'!I$5:I$1021, MATCH(28, 'Detalles movimientos'!$U$5:$U$1021, 0)), "")</f>
        <v/>
      </c>
      <c r="I37" s="120">
        <f>IFERROR(INDEX('Detalles movimientos'!M$5:M$1021, MATCH(28, 'Detalles movimientos'!$U$5:$U$1021, 0)), "")</f>
        <v/>
      </c>
      <c r="J37" s="19">
        <f>IFERROR(INDEX('Detalles movimientos'!N$5:N$1021, MATCH(28, 'Detalles movimientos'!$U$5:$U$1021, 0)), "")</f>
        <v/>
      </c>
      <c r="K37" s="120">
        <f>IFERROR(INDEX('Detalles movimientos'!O$5:O$1021, MATCH(28, 'Detalles movimientos'!$U$5:$U$1021, 0)), "")</f>
        <v/>
      </c>
      <c r="L37" s="18">
        <f>IFERROR(INDEX('Detalles movimientos'!P$5:P$1021, MATCH(28, 'Detalles movimientos'!$U$5:$U$1021, 0)), "")</f>
        <v/>
      </c>
      <c r="M37" s="18">
        <f>IFERROR(INDEX('Detalles movimientos'!S$5:S$1021, MATCH(28, 'Detalles movimientos'!$U$5:$U$1021, 0)), "")</f>
        <v/>
      </c>
    </row>
    <row r="38">
      <c r="B38" s="119">
        <f>IFERROR(INDEX('Detalles movimientos'!C$5:C$1021, MATCH(29, 'Detalles movimientos'!$U$5:$U$1021, 0)), "")</f>
        <v/>
      </c>
      <c r="C38" s="18">
        <f>IFERROR(INDEX('Detalles movimientos'!D$5:D$1021, MATCH(29, 'Detalles movimientos'!$U$5:$U$1021, 0)), "")</f>
        <v/>
      </c>
      <c r="D38" s="19">
        <f>IFERROR(INDEX('Detalles movimientos'!E$5:E$1021, MATCH(29, 'Detalles movimientos'!$U$5:$U$1021, 0)), "")</f>
        <v/>
      </c>
      <c r="E38" s="19">
        <f>IFERROR(INDEX('Detalles movimientos'!F$5:F$1021, MATCH(29, 'Detalles movimientos'!$U$5:$U$1021, 0)), "")</f>
        <v/>
      </c>
      <c r="F38" s="18">
        <f>IFERROR(INDEX('Detalles movimientos'!G$5:G$1021, MATCH(29, 'Detalles movimientos'!$U$5:$U$1021, 0)), "")</f>
        <v/>
      </c>
      <c r="G38" s="120">
        <f>IFERROR(INDEX('Detalles movimientos'!H$5:H$1021, MATCH(29, 'Detalles movimientos'!$U$5:$U$1021, 0)), "")</f>
        <v/>
      </c>
      <c r="H38" s="121">
        <f>IFERROR(INDEX('Detalles movimientos'!I$5:I$1021, MATCH(29, 'Detalles movimientos'!$U$5:$U$1021, 0)), "")</f>
        <v/>
      </c>
      <c r="I38" s="120">
        <f>IFERROR(INDEX('Detalles movimientos'!M$5:M$1021, MATCH(29, 'Detalles movimientos'!$U$5:$U$1021, 0)), "")</f>
        <v/>
      </c>
      <c r="J38" s="19">
        <f>IFERROR(INDEX('Detalles movimientos'!N$5:N$1021, MATCH(29, 'Detalles movimientos'!$U$5:$U$1021, 0)), "")</f>
        <v/>
      </c>
      <c r="K38" s="120">
        <f>IFERROR(INDEX('Detalles movimientos'!O$5:O$1021, MATCH(29, 'Detalles movimientos'!$U$5:$U$1021, 0)), "")</f>
        <v/>
      </c>
      <c r="L38" s="18">
        <f>IFERROR(INDEX('Detalles movimientos'!P$5:P$1021, MATCH(29, 'Detalles movimientos'!$U$5:$U$1021, 0)), "")</f>
        <v/>
      </c>
      <c r="M38" s="18">
        <f>IFERROR(INDEX('Detalles movimientos'!S$5:S$1021, MATCH(29, 'Detalles movimientos'!$U$5:$U$1021, 0)), "")</f>
        <v/>
      </c>
    </row>
    <row r="39">
      <c r="B39" s="119">
        <f>IFERROR(INDEX('Detalles movimientos'!C$5:C$1021, MATCH(30, 'Detalles movimientos'!$U$5:$U$1021, 0)), "")</f>
        <v/>
      </c>
      <c r="C39" s="18">
        <f>IFERROR(INDEX('Detalles movimientos'!D$5:D$1021, MATCH(30, 'Detalles movimientos'!$U$5:$U$1021, 0)), "")</f>
        <v/>
      </c>
      <c r="D39" s="19">
        <f>IFERROR(INDEX('Detalles movimientos'!E$5:E$1021, MATCH(30, 'Detalles movimientos'!$U$5:$U$1021, 0)), "")</f>
        <v/>
      </c>
      <c r="E39" s="19">
        <f>IFERROR(INDEX('Detalles movimientos'!F$5:F$1021, MATCH(30, 'Detalles movimientos'!$U$5:$U$1021, 0)), "")</f>
        <v/>
      </c>
      <c r="F39" s="18">
        <f>IFERROR(INDEX('Detalles movimientos'!G$5:G$1021, MATCH(30, 'Detalles movimientos'!$U$5:$U$1021, 0)), "")</f>
        <v/>
      </c>
      <c r="G39" s="120">
        <f>IFERROR(INDEX('Detalles movimientos'!H$5:H$1021, MATCH(30, 'Detalles movimientos'!$U$5:$U$1021, 0)), "")</f>
        <v/>
      </c>
      <c r="H39" s="121">
        <f>IFERROR(INDEX('Detalles movimientos'!I$5:I$1021, MATCH(30, 'Detalles movimientos'!$U$5:$U$1021, 0)), "")</f>
        <v/>
      </c>
      <c r="I39" s="120">
        <f>IFERROR(INDEX('Detalles movimientos'!M$5:M$1021, MATCH(30, 'Detalles movimientos'!$U$5:$U$1021, 0)), "")</f>
        <v/>
      </c>
      <c r="J39" s="19">
        <f>IFERROR(INDEX('Detalles movimientos'!N$5:N$1021, MATCH(30, 'Detalles movimientos'!$U$5:$U$1021, 0)), "")</f>
        <v/>
      </c>
      <c r="K39" s="120">
        <f>IFERROR(INDEX('Detalles movimientos'!O$5:O$1021, MATCH(30, 'Detalles movimientos'!$U$5:$U$1021, 0)), "")</f>
        <v/>
      </c>
      <c r="L39" s="18">
        <f>IFERROR(INDEX('Detalles movimientos'!P$5:P$1021, MATCH(30, 'Detalles movimientos'!$U$5:$U$1021, 0)), "")</f>
        <v/>
      </c>
      <c r="M39" s="18">
        <f>IFERROR(INDEX('Detalles movimientos'!S$5:S$1021, MATCH(30, 'Detalles movimientos'!$U$5:$U$1021, 0)), "")</f>
        <v/>
      </c>
    </row>
    <row r="40">
      <c r="B40" s="119">
        <f>IFERROR(INDEX('Detalles movimientos'!C$5:C$1021, MATCH(31, 'Detalles movimientos'!$U$5:$U$1021, 0)), "")</f>
        <v/>
      </c>
      <c r="C40" s="18">
        <f>IFERROR(INDEX('Detalles movimientos'!D$5:D$1021, MATCH(31, 'Detalles movimientos'!$U$5:$U$1021, 0)), "")</f>
        <v/>
      </c>
      <c r="D40" s="19">
        <f>IFERROR(INDEX('Detalles movimientos'!E$5:E$1021, MATCH(31, 'Detalles movimientos'!$U$5:$U$1021, 0)), "")</f>
        <v/>
      </c>
      <c r="E40" s="19">
        <f>IFERROR(INDEX('Detalles movimientos'!F$5:F$1021, MATCH(31, 'Detalles movimientos'!$U$5:$U$1021, 0)), "")</f>
        <v/>
      </c>
      <c r="F40" s="18">
        <f>IFERROR(INDEX('Detalles movimientos'!G$5:G$1021, MATCH(31, 'Detalles movimientos'!$U$5:$U$1021, 0)), "")</f>
        <v/>
      </c>
      <c r="G40" s="120">
        <f>IFERROR(INDEX('Detalles movimientos'!H$5:H$1021, MATCH(31, 'Detalles movimientos'!$U$5:$U$1021, 0)), "")</f>
        <v/>
      </c>
      <c r="H40" s="121">
        <f>IFERROR(INDEX('Detalles movimientos'!I$5:I$1021, MATCH(31, 'Detalles movimientos'!$U$5:$U$1021, 0)), "")</f>
        <v/>
      </c>
      <c r="I40" s="120">
        <f>IFERROR(INDEX('Detalles movimientos'!M$5:M$1021, MATCH(31, 'Detalles movimientos'!$U$5:$U$1021, 0)), "")</f>
        <v/>
      </c>
      <c r="J40" s="19">
        <f>IFERROR(INDEX('Detalles movimientos'!N$5:N$1021, MATCH(31, 'Detalles movimientos'!$U$5:$U$1021, 0)), "")</f>
        <v/>
      </c>
      <c r="K40" s="120">
        <f>IFERROR(INDEX('Detalles movimientos'!O$5:O$1021, MATCH(31, 'Detalles movimientos'!$U$5:$U$1021, 0)), "")</f>
        <v/>
      </c>
      <c r="L40" s="18">
        <f>IFERROR(INDEX('Detalles movimientos'!P$5:P$1021, MATCH(31, 'Detalles movimientos'!$U$5:$U$1021, 0)), "")</f>
        <v/>
      </c>
      <c r="M40" s="18">
        <f>IFERROR(INDEX('Detalles movimientos'!S$5:S$1021, MATCH(31, 'Detalles movimientos'!$U$5:$U$1021, 0)), "")</f>
        <v/>
      </c>
    </row>
    <row r="41">
      <c r="B41" s="119">
        <f>IFERROR(INDEX('Detalles movimientos'!C$5:C$1021, MATCH(32, 'Detalles movimientos'!$U$5:$U$1021, 0)), "")</f>
        <v/>
      </c>
      <c r="C41" s="18">
        <f>IFERROR(INDEX('Detalles movimientos'!D$5:D$1021, MATCH(32, 'Detalles movimientos'!$U$5:$U$1021, 0)), "")</f>
        <v/>
      </c>
      <c r="D41" s="19">
        <f>IFERROR(INDEX('Detalles movimientos'!E$5:E$1021, MATCH(32, 'Detalles movimientos'!$U$5:$U$1021, 0)), "")</f>
        <v/>
      </c>
      <c r="E41" s="19">
        <f>IFERROR(INDEX('Detalles movimientos'!F$5:F$1021, MATCH(32, 'Detalles movimientos'!$U$5:$U$1021, 0)), "")</f>
        <v/>
      </c>
      <c r="F41" s="18">
        <f>IFERROR(INDEX('Detalles movimientos'!G$5:G$1021, MATCH(32, 'Detalles movimientos'!$U$5:$U$1021, 0)), "")</f>
        <v/>
      </c>
      <c r="G41" s="120">
        <f>IFERROR(INDEX('Detalles movimientos'!H$5:H$1021, MATCH(32, 'Detalles movimientos'!$U$5:$U$1021, 0)), "")</f>
        <v/>
      </c>
      <c r="H41" s="121">
        <f>IFERROR(INDEX('Detalles movimientos'!I$5:I$1021, MATCH(32, 'Detalles movimientos'!$U$5:$U$1021, 0)), "")</f>
        <v/>
      </c>
      <c r="I41" s="120">
        <f>IFERROR(INDEX('Detalles movimientos'!M$5:M$1021, MATCH(32, 'Detalles movimientos'!$U$5:$U$1021, 0)), "")</f>
        <v/>
      </c>
      <c r="J41" s="19">
        <f>IFERROR(INDEX('Detalles movimientos'!N$5:N$1021, MATCH(32, 'Detalles movimientos'!$U$5:$U$1021, 0)), "")</f>
        <v/>
      </c>
      <c r="K41" s="120">
        <f>IFERROR(INDEX('Detalles movimientos'!O$5:O$1021, MATCH(32, 'Detalles movimientos'!$U$5:$U$1021, 0)), "")</f>
        <v/>
      </c>
      <c r="L41" s="18">
        <f>IFERROR(INDEX('Detalles movimientos'!P$5:P$1021, MATCH(32, 'Detalles movimientos'!$U$5:$U$1021, 0)), "")</f>
        <v/>
      </c>
      <c r="M41" s="18">
        <f>IFERROR(INDEX('Detalles movimientos'!S$5:S$1021, MATCH(32, 'Detalles movimientos'!$U$5:$U$1021, 0)), "")</f>
        <v/>
      </c>
    </row>
    <row r="42">
      <c r="B42" s="119">
        <f>IFERROR(INDEX('Detalles movimientos'!C$5:C$1021, MATCH(33, 'Detalles movimientos'!$U$5:$U$1021, 0)), "")</f>
        <v/>
      </c>
      <c r="C42" s="18">
        <f>IFERROR(INDEX('Detalles movimientos'!D$5:D$1021, MATCH(33, 'Detalles movimientos'!$U$5:$U$1021, 0)), "")</f>
        <v/>
      </c>
      <c r="D42" s="19">
        <f>IFERROR(INDEX('Detalles movimientos'!E$5:E$1021, MATCH(33, 'Detalles movimientos'!$U$5:$U$1021, 0)), "")</f>
        <v/>
      </c>
      <c r="E42" s="19">
        <f>IFERROR(INDEX('Detalles movimientos'!F$5:F$1021, MATCH(33, 'Detalles movimientos'!$U$5:$U$1021, 0)), "")</f>
        <v/>
      </c>
      <c r="F42" s="18">
        <f>IFERROR(INDEX('Detalles movimientos'!G$5:G$1021, MATCH(33, 'Detalles movimientos'!$U$5:$U$1021, 0)), "")</f>
        <v/>
      </c>
      <c r="G42" s="120">
        <f>IFERROR(INDEX('Detalles movimientos'!H$5:H$1021, MATCH(33, 'Detalles movimientos'!$U$5:$U$1021, 0)), "")</f>
        <v/>
      </c>
      <c r="H42" s="121">
        <f>IFERROR(INDEX('Detalles movimientos'!I$5:I$1021, MATCH(33, 'Detalles movimientos'!$U$5:$U$1021, 0)), "")</f>
        <v/>
      </c>
      <c r="I42" s="120">
        <f>IFERROR(INDEX('Detalles movimientos'!M$5:M$1021, MATCH(33, 'Detalles movimientos'!$U$5:$U$1021, 0)), "")</f>
        <v/>
      </c>
      <c r="J42" s="19">
        <f>IFERROR(INDEX('Detalles movimientos'!N$5:N$1021, MATCH(33, 'Detalles movimientos'!$U$5:$U$1021, 0)), "")</f>
        <v/>
      </c>
      <c r="K42" s="120">
        <f>IFERROR(INDEX('Detalles movimientos'!O$5:O$1021, MATCH(33, 'Detalles movimientos'!$U$5:$U$1021, 0)), "")</f>
        <v/>
      </c>
      <c r="L42" s="18">
        <f>IFERROR(INDEX('Detalles movimientos'!P$5:P$1021, MATCH(33, 'Detalles movimientos'!$U$5:$U$1021, 0)), "")</f>
        <v/>
      </c>
      <c r="M42" s="18">
        <f>IFERROR(INDEX('Detalles movimientos'!S$5:S$1021, MATCH(33, 'Detalles movimientos'!$U$5:$U$1021, 0)), "")</f>
        <v/>
      </c>
    </row>
    <row r="43">
      <c r="B43" s="119">
        <f>IFERROR(INDEX('Detalles movimientos'!C$5:C$1021, MATCH(34, 'Detalles movimientos'!$U$5:$U$1021, 0)), "")</f>
        <v/>
      </c>
      <c r="C43" s="18">
        <f>IFERROR(INDEX('Detalles movimientos'!D$5:D$1021, MATCH(34, 'Detalles movimientos'!$U$5:$U$1021, 0)), "")</f>
        <v/>
      </c>
      <c r="D43" s="19">
        <f>IFERROR(INDEX('Detalles movimientos'!E$5:E$1021, MATCH(34, 'Detalles movimientos'!$U$5:$U$1021, 0)), "")</f>
        <v/>
      </c>
      <c r="E43" s="19">
        <f>IFERROR(INDEX('Detalles movimientos'!F$5:F$1021, MATCH(34, 'Detalles movimientos'!$U$5:$U$1021, 0)), "")</f>
        <v/>
      </c>
      <c r="F43" s="18">
        <f>IFERROR(INDEX('Detalles movimientos'!G$5:G$1021, MATCH(34, 'Detalles movimientos'!$U$5:$U$1021, 0)), "")</f>
        <v/>
      </c>
      <c r="G43" s="120">
        <f>IFERROR(INDEX('Detalles movimientos'!H$5:H$1021, MATCH(34, 'Detalles movimientos'!$U$5:$U$1021, 0)), "")</f>
        <v/>
      </c>
      <c r="H43" s="121">
        <f>IFERROR(INDEX('Detalles movimientos'!I$5:I$1021, MATCH(34, 'Detalles movimientos'!$U$5:$U$1021, 0)), "")</f>
        <v/>
      </c>
      <c r="I43" s="120">
        <f>IFERROR(INDEX('Detalles movimientos'!M$5:M$1021, MATCH(34, 'Detalles movimientos'!$U$5:$U$1021, 0)), "")</f>
        <v/>
      </c>
      <c r="J43" s="19">
        <f>IFERROR(INDEX('Detalles movimientos'!N$5:N$1021, MATCH(34, 'Detalles movimientos'!$U$5:$U$1021, 0)), "")</f>
        <v/>
      </c>
      <c r="K43" s="120">
        <f>IFERROR(INDEX('Detalles movimientos'!O$5:O$1021, MATCH(34, 'Detalles movimientos'!$U$5:$U$1021, 0)), "")</f>
        <v/>
      </c>
      <c r="L43" s="18">
        <f>IFERROR(INDEX('Detalles movimientos'!P$5:P$1021, MATCH(34, 'Detalles movimientos'!$U$5:$U$1021, 0)), "")</f>
        <v/>
      </c>
      <c r="M43" s="18">
        <f>IFERROR(INDEX('Detalles movimientos'!S$5:S$1021, MATCH(34, 'Detalles movimientos'!$U$5:$U$1021, 0)), "")</f>
        <v/>
      </c>
    </row>
    <row r="44">
      <c r="B44" s="119">
        <f>IFERROR(INDEX('Detalles movimientos'!C$5:C$1021, MATCH(35, 'Detalles movimientos'!$U$5:$U$1021, 0)), "")</f>
        <v/>
      </c>
      <c r="C44" s="18">
        <f>IFERROR(INDEX('Detalles movimientos'!D$5:D$1021, MATCH(35, 'Detalles movimientos'!$U$5:$U$1021, 0)), "")</f>
        <v/>
      </c>
      <c r="D44" s="19">
        <f>IFERROR(INDEX('Detalles movimientos'!E$5:E$1021, MATCH(35, 'Detalles movimientos'!$U$5:$U$1021, 0)), "")</f>
        <v/>
      </c>
      <c r="E44" s="19">
        <f>IFERROR(INDEX('Detalles movimientos'!F$5:F$1021, MATCH(35, 'Detalles movimientos'!$U$5:$U$1021, 0)), "")</f>
        <v/>
      </c>
      <c r="F44" s="18">
        <f>IFERROR(INDEX('Detalles movimientos'!G$5:G$1021, MATCH(35, 'Detalles movimientos'!$U$5:$U$1021, 0)), "")</f>
        <v/>
      </c>
      <c r="G44" s="120">
        <f>IFERROR(INDEX('Detalles movimientos'!H$5:H$1021, MATCH(35, 'Detalles movimientos'!$U$5:$U$1021, 0)), "")</f>
        <v/>
      </c>
      <c r="H44" s="121">
        <f>IFERROR(INDEX('Detalles movimientos'!I$5:I$1021, MATCH(35, 'Detalles movimientos'!$U$5:$U$1021, 0)), "")</f>
        <v/>
      </c>
      <c r="I44" s="120">
        <f>IFERROR(INDEX('Detalles movimientos'!M$5:M$1021, MATCH(35, 'Detalles movimientos'!$U$5:$U$1021, 0)), "")</f>
        <v/>
      </c>
      <c r="J44" s="19">
        <f>IFERROR(INDEX('Detalles movimientos'!N$5:N$1021, MATCH(35, 'Detalles movimientos'!$U$5:$U$1021, 0)), "")</f>
        <v/>
      </c>
      <c r="K44" s="120">
        <f>IFERROR(INDEX('Detalles movimientos'!O$5:O$1021, MATCH(35, 'Detalles movimientos'!$U$5:$U$1021, 0)), "")</f>
        <v/>
      </c>
      <c r="L44" s="18">
        <f>IFERROR(INDEX('Detalles movimientos'!P$5:P$1021, MATCH(35, 'Detalles movimientos'!$U$5:$U$1021, 0)), "")</f>
        <v/>
      </c>
      <c r="M44" s="18">
        <f>IFERROR(INDEX('Detalles movimientos'!S$5:S$1021, MATCH(35, 'Detalles movimientos'!$U$5:$U$1021, 0)), "")</f>
        <v/>
      </c>
    </row>
    <row r="45">
      <c r="B45" s="119">
        <f>IFERROR(INDEX('Detalles movimientos'!C$5:C$1021, MATCH(36, 'Detalles movimientos'!$U$5:$U$1021, 0)), "")</f>
        <v/>
      </c>
      <c r="C45" s="18">
        <f>IFERROR(INDEX('Detalles movimientos'!D$5:D$1021, MATCH(36, 'Detalles movimientos'!$U$5:$U$1021, 0)), "")</f>
        <v/>
      </c>
      <c r="D45" s="19">
        <f>IFERROR(INDEX('Detalles movimientos'!E$5:E$1021, MATCH(36, 'Detalles movimientos'!$U$5:$U$1021, 0)), "")</f>
        <v/>
      </c>
      <c r="E45" s="19">
        <f>IFERROR(INDEX('Detalles movimientos'!F$5:F$1021, MATCH(36, 'Detalles movimientos'!$U$5:$U$1021, 0)), "")</f>
        <v/>
      </c>
      <c r="F45" s="18">
        <f>IFERROR(INDEX('Detalles movimientos'!G$5:G$1021, MATCH(36, 'Detalles movimientos'!$U$5:$U$1021, 0)), "")</f>
        <v/>
      </c>
      <c r="G45" s="120">
        <f>IFERROR(INDEX('Detalles movimientos'!H$5:H$1021, MATCH(36, 'Detalles movimientos'!$U$5:$U$1021, 0)), "")</f>
        <v/>
      </c>
      <c r="H45" s="121">
        <f>IFERROR(INDEX('Detalles movimientos'!I$5:I$1021, MATCH(36, 'Detalles movimientos'!$U$5:$U$1021, 0)), "")</f>
        <v/>
      </c>
      <c r="I45" s="120">
        <f>IFERROR(INDEX('Detalles movimientos'!M$5:M$1021, MATCH(36, 'Detalles movimientos'!$U$5:$U$1021, 0)), "")</f>
        <v/>
      </c>
      <c r="J45" s="19">
        <f>IFERROR(INDEX('Detalles movimientos'!N$5:N$1021, MATCH(36, 'Detalles movimientos'!$U$5:$U$1021, 0)), "")</f>
        <v/>
      </c>
      <c r="K45" s="120">
        <f>IFERROR(INDEX('Detalles movimientos'!O$5:O$1021, MATCH(36, 'Detalles movimientos'!$U$5:$U$1021, 0)), "")</f>
        <v/>
      </c>
      <c r="L45" s="18">
        <f>IFERROR(INDEX('Detalles movimientos'!P$5:P$1021, MATCH(36, 'Detalles movimientos'!$U$5:$U$1021, 0)), "")</f>
        <v/>
      </c>
      <c r="M45" s="18">
        <f>IFERROR(INDEX('Detalles movimientos'!S$5:S$1021, MATCH(36, 'Detalles movimientos'!$U$5:$U$1021, 0)), "")</f>
        <v/>
      </c>
    </row>
    <row r="46">
      <c r="B46" s="119">
        <f>IFERROR(INDEX('Detalles movimientos'!C$5:C$1021, MATCH(37, 'Detalles movimientos'!$U$5:$U$1021, 0)), "")</f>
        <v/>
      </c>
      <c r="C46" s="18">
        <f>IFERROR(INDEX('Detalles movimientos'!D$5:D$1021, MATCH(37, 'Detalles movimientos'!$U$5:$U$1021, 0)), "")</f>
        <v/>
      </c>
      <c r="D46" s="19">
        <f>IFERROR(INDEX('Detalles movimientos'!E$5:E$1021, MATCH(37, 'Detalles movimientos'!$U$5:$U$1021, 0)), "")</f>
        <v/>
      </c>
      <c r="E46" s="19">
        <f>IFERROR(INDEX('Detalles movimientos'!F$5:F$1021, MATCH(37, 'Detalles movimientos'!$U$5:$U$1021, 0)), "")</f>
        <v/>
      </c>
      <c r="F46" s="18">
        <f>IFERROR(INDEX('Detalles movimientos'!G$5:G$1021, MATCH(37, 'Detalles movimientos'!$U$5:$U$1021, 0)), "")</f>
        <v/>
      </c>
      <c r="G46" s="120">
        <f>IFERROR(INDEX('Detalles movimientos'!H$5:H$1021, MATCH(37, 'Detalles movimientos'!$U$5:$U$1021, 0)), "")</f>
        <v/>
      </c>
      <c r="H46" s="121">
        <f>IFERROR(INDEX('Detalles movimientos'!I$5:I$1021, MATCH(37, 'Detalles movimientos'!$U$5:$U$1021, 0)), "")</f>
        <v/>
      </c>
      <c r="I46" s="120">
        <f>IFERROR(INDEX('Detalles movimientos'!M$5:M$1021, MATCH(37, 'Detalles movimientos'!$U$5:$U$1021, 0)), "")</f>
        <v/>
      </c>
      <c r="J46" s="19">
        <f>IFERROR(INDEX('Detalles movimientos'!N$5:N$1021, MATCH(37, 'Detalles movimientos'!$U$5:$U$1021, 0)), "")</f>
        <v/>
      </c>
      <c r="K46" s="120">
        <f>IFERROR(INDEX('Detalles movimientos'!O$5:O$1021, MATCH(37, 'Detalles movimientos'!$U$5:$U$1021, 0)), "")</f>
        <v/>
      </c>
      <c r="L46" s="18">
        <f>IFERROR(INDEX('Detalles movimientos'!P$5:P$1021, MATCH(37, 'Detalles movimientos'!$U$5:$U$1021, 0)), "")</f>
        <v/>
      </c>
      <c r="M46" s="18">
        <f>IFERROR(INDEX('Detalles movimientos'!S$5:S$1021, MATCH(37, 'Detalles movimientos'!$U$5:$U$1021, 0)), "")</f>
        <v/>
      </c>
    </row>
    <row r="47">
      <c r="B47" s="119">
        <f>IFERROR(INDEX('Detalles movimientos'!C$5:C$1021, MATCH(38, 'Detalles movimientos'!$U$5:$U$1021, 0)), "")</f>
        <v/>
      </c>
      <c r="C47" s="18">
        <f>IFERROR(INDEX('Detalles movimientos'!D$5:D$1021, MATCH(38, 'Detalles movimientos'!$U$5:$U$1021, 0)), "")</f>
        <v/>
      </c>
      <c r="D47" s="19">
        <f>IFERROR(INDEX('Detalles movimientos'!E$5:E$1021, MATCH(38, 'Detalles movimientos'!$U$5:$U$1021, 0)), "")</f>
        <v/>
      </c>
      <c r="E47" s="19">
        <f>IFERROR(INDEX('Detalles movimientos'!F$5:F$1021, MATCH(38, 'Detalles movimientos'!$U$5:$U$1021, 0)), "")</f>
        <v/>
      </c>
      <c r="F47" s="18">
        <f>IFERROR(INDEX('Detalles movimientos'!G$5:G$1021, MATCH(38, 'Detalles movimientos'!$U$5:$U$1021, 0)), "")</f>
        <v/>
      </c>
      <c r="G47" s="120">
        <f>IFERROR(INDEX('Detalles movimientos'!H$5:H$1021, MATCH(38, 'Detalles movimientos'!$U$5:$U$1021, 0)), "")</f>
        <v/>
      </c>
      <c r="H47" s="121">
        <f>IFERROR(INDEX('Detalles movimientos'!I$5:I$1021, MATCH(38, 'Detalles movimientos'!$U$5:$U$1021, 0)), "")</f>
        <v/>
      </c>
      <c r="I47" s="120">
        <f>IFERROR(INDEX('Detalles movimientos'!M$5:M$1021, MATCH(38, 'Detalles movimientos'!$U$5:$U$1021, 0)), "")</f>
        <v/>
      </c>
      <c r="J47" s="19">
        <f>IFERROR(INDEX('Detalles movimientos'!N$5:N$1021, MATCH(38, 'Detalles movimientos'!$U$5:$U$1021, 0)), "")</f>
        <v/>
      </c>
      <c r="K47" s="120">
        <f>IFERROR(INDEX('Detalles movimientos'!O$5:O$1021, MATCH(38, 'Detalles movimientos'!$U$5:$U$1021, 0)), "")</f>
        <v/>
      </c>
      <c r="L47" s="18">
        <f>IFERROR(INDEX('Detalles movimientos'!P$5:P$1021, MATCH(38, 'Detalles movimientos'!$U$5:$U$1021, 0)), "")</f>
        <v/>
      </c>
      <c r="M47" s="18">
        <f>IFERROR(INDEX('Detalles movimientos'!S$5:S$1021, MATCH(38, 'Detalles movimientos'!$U$5:$U$1021, 0)), "")</f>
        <v/>
      </c>
    </row>
    <row r="48">
      <c r="B48" s="119">
        <f>IFERROR(INDEX('Detalles movimientos'!C$5:C$1021, MATCH(39, 'Detalles movimientos'!$U$5:$U$1021, 0)), "")</f>
        <v/>
      </c>
      <c r="C48" s="18">
        <f>IFERROR(INDEX('Detalles movimientos'!D$5:D$1021, MATCH(39, 'Detalles movimientos'!$U$5:$U$1021, 0)), "")</f>
        <v/>
      </c>
      <c r="D48" s="19">
        <f>IFERROR(INDEX('Detalles movimientos'!E$5:E$1021, MATCH(39, 'Detalles movimientos'!$U$5:$U$1021, 0)), "")</f>
        <v/>
      </c>
      <c r="E48" s="19">
        <f>IFERROR(INDEX('Detalles movimientos'!F$5:F$1021, MATCH(39, 'Detalles movimientos'!$U$5:$U$1021, 0)), "")</f>
        <v/>
      </c>
      <c r="F48" s="18">
        <f>IFERROR(INDEX('Detalles movimientos'!G$5:G$1021, MATCH(39, 'Detalles movimientos'!$U$5:$U$1021, 0)), "")</f>
        <v/>
      </c>
      <c r="G48" s="120">
        <f>IFERROR(INDEX('Detalles movimientos'!H$5:H$1021, MATCH(39, 'Detalles movimientos'!$U$5:$U$1021, 0)), "")</f>
        <v/>
      </c>
      <c r="H48" s="121">
        <f>IFERROR(INDEX('Detalles movimientos'!I$5:I$1021, MATCH(39, 'Detalles movimientos'!$U$5:$U$1021, 0)), "")</f>
        <v/>
      </c>
      <c r="I48" s="120">
        <f>IFERROR(INDEX('Detalles movimientos'!M$5:M$1021, MATCH(39, 'Detalles movimientos'!$U$5:$U$1021, 0)), "")</f>
        <v/>
      </c>
      <c r="J48" s="19">
        <f>IFERROR(INDEX('Detalles movimientos'!N$5:N$1021, MATCH(39, 'Detalles movimientos'!$U$5:$U$1021, 0)), "")</f>
        <v/>
      </c>
      <c r="K48" s="120">
        <f>IFERROR(INDEX('Detalles movimientos'!O$5:O$1021, MATCH(39, 'Detalles movimientos'!$U$5:$U$1021, 0)), "")</f>
        <v/>
      </c>
      <c r="L48" s="18">
        <f>IFERROR(INDEX('Detalles movimientos'!P$5:P$1021, MATCH(39, 'Detalles movimientos'!$U$5:$U$1021, 0)), "")</f>
        <v/>
      </c>
      <c r="M48" s="18">
        <f>IFERROR(INDEX('Detalles movimientos'!S$5:S$1021, MATCH(39, 'Detalles movimientos'!$U$5:$U$1021, 0)), "")</f>
        <v/>
      </c>
    </row>
    <row r="49">
      <c r="B49" s="119">
        <f>IFERROR(INDEX('Detalles movimientos'!C$5:C$1021, MATCH(40, 'Detalles movimientos'!$U$5:$U$1021, 0)), "")</f>
        <v/>
      </c>
      <c r="C49" s="18">
        <f>IFERROR(INDEX('Detalles movimientos'!D$5:D$1021, MATCH(40, 'Detalles movimientos'!$U$5:$U$1021, 0)), "")</f>
        <v/>
      </c>
      <c r="D49" s="19">
        <f>IFERROR(INDEX('Detalles movimientos'!E$5:E$1021, MATCH(40, 'Detalles movimientos'!$U$5:$U$1021, 0)), "")</f>
        <v/>
      </c>
      <c r="E49" s="19">
        <f>IFERROR(INDEX('Detalles movimientos'!F$5:F$1021, MATCH(40, 'Detalles movimientos'!$U$5:$U$1021, 0)), "")</f>
        <v/>
      </c>
      <c r="F49" s="18">
        <f>IFERROR(INDEX('Detalles movimientos'!G$5:G$1021, MATCH(40, 'Detalles movimientos'!$U$5:$U$1021, 0)), "")</f>
        <v/>
      </c>
      <c r="G49" s="120">
        <f>IFERROR(INDEX('Detalles movimientos'!H$5:H$1021, MATCH(40, 'Detalles movimientos'!$U$5:$U$1021, 0)), "")</f>
        <v/>
      </c>
      <c r="H49" s="121">
        <f>IFERROR(INDEX('Detalles movimientos'!I$5:I$1021, MATCH(40, 'Detalles movimientos'!$U$5:$U$1021, 0)), "")</f>
        <v/>
      </c>
      <c r="I49" s="120">
        <f>IFERROR(INDEX('Detalles movimientos'!M$5:M$1021, MATCH(40, 'Detalles movimientos'!$U$5:$U$1021, 0)), "")</f>
        <v/>
      </c>
      <c r="J49" s="19">
        <f>IFERROR(INDEX('Detalles movimientos'!N$5:N$1021, MATCH(40, 'Detalles movimientos'!$U$5:$U$1021, 0)), "")</f>
        <v/>
      </c>
      <c r="K49" s="120">
        <f>IFERROR(INDEX('Detalles movimientos'!O$5:O$1021, MATCH(40, 'Detalles movimientos'!$U$5:$U$1021, 0)), "")</f>
        <v/>
      </c>
      <c r="L49" s="18">
        <f>IFERROR(INDEX('Detalles movimientos'!P$5:P$1021, MATCH(40, 'Detalles movimientos'!$U$5:$U$1021, 0)), "")</f>
        <v/>
      </c>
      <c r="M49" s="18">
        <f>IFERROR(INDEX('Detalles movimientos'!S$5:S$1021, MATCH(40, 'Detalles movimientos'!$U$5:$U$1021, 0)), "")</f>
        <v/>
      </c>
    </row>
    <row r="50">
      <c r="B50" s="119">
        <f>IFERROR(INDEX('Detalles movimientos'!C$5:C$1021, MATCH(41, 'Detalles movimientos'!$U$5:$U$1021, 0)), "")</f>
        <v/>
      </c>
      <c r="C50" s="18">
        <f>IFERROR(INDEX('Detalles movimientos'!D$5:D$1021, MATCH(41, 'Detalles movimientos'!$U$5:$U$1021, 0)), "")</f>
        <v/>
      </c>
      <c r="D50" s="19">
        <f>IFERROR(INDEX('Detalles movimientos'!E$5:E$1021, MATCH(41, 'Detalles movimientos'!$U$5:$U$1021, 0)), "")</f>
        <v/>
      </c>
      <c r="E50" s="19">
        <f>IFERROR(INDEX('Detalles movimientos'!F$5:F$1021, MATCH(41, 'Detalles movimientos'!$U$5:$U$1021, 0)), "")</f>
        <v/>
      </c>
      <c r="F50" s="18">
        <f>IFERROR(INDEX('Detalles movimientos'!G$5:G$1021, MATCH(41, 'Detalles movimientos'!$U$5:$U$1021, 0)), "")</f>
        <v/>
      </c>
      <c r="G50" s="120">
        <f>IFERROR(INDEX('Detalles movimientos'!H$5:H$1021, MATCH(41, 'Detalles movimientos'!$U$5:$U$1021, 0)), "")</f>
        <v/>
      </c>
      <c r="H50" s="121">
        <f>IFERROR(INDEX('Detalles movimientos'!I$5:I$1021, MATCH(41, 'Detalles movimientos'!$U$5:$U$1021, 0)), "")</f>
        <v/>
      </c>
      <c r="I50" s="120">
        <f>IFERROR(INDEX('Detalles movimientos'!M$5:M$1021, MATCH(41, 'Detalles movimientos'!$U$5:$U$1021, 0)), "")</f>
        <v/>
      </c>
      <c r="J50" s="19">
        <f>IFERROR(INDEX('Detalles movimientos'!N$5:N$1021, MATCH(41, 'Detalles movimientos'!$U$5:$U$1021, 0)), "")</f>
        <v/>
      </c>
      <c r="K50" s="120">
        <f>IFERROR(INDEX('Detalles movimientos'!O$5:O$1021, MATCH(41, 'Detalles movimientos'!$U$5:$U$1021, 0)), "")</f>
        <v/>
      </c>
      <c r="L50" s="18">
        <f>IFERROR(INDEX('Detalles movimientos'!P$5:P$1021, MATCH(41, 'Detalles movimientos'!$U$5:$U$1021, 0)), "")</f>
        <v/>
      </c>
      <c r="M50" s="18">
        <f>IFERROR(INDEX('Detalles movimientos'!S$5:S$1021, MATCH(41, 'Detalles movimientos'!$U$5:$U$1021, 0)), "")</f>
        <v/>
      </c>
    </row>
    <row r="51">
      <c r="B51" s="119">
        <f>IFERROR(INDEX('Detalles movimientos'!C$5:C$1021, MATCH(42, 'Detalles movimientos'!$U$5:$U$1021, 0)), "")</f>
        <v/>
      </c>
      <c r="C51" s="18">
        <f>IFERROR(INDEX('Detalles movimientos'!D$5:D$1021, MATCH(42, 'Detalles movimientos'!$U$5:$U$1021, 0)), "")</f>
        <v/>
      </c>
      <c r="D51" s="19">
        <f>IFERROR(INDEX('Detalles movimientos'!E$5:E$1021, MATCH(42, 'Detalles movimientos'!$U$5:$U$1021, 0)), "")</f>
        <v/>
      </c>
      <c r="E51" s="19">
        <f>IFERROR(INDEX('Detalles movimientos'!F$5:F$1021, MATCH(42, 'Detalles movimientos'!$U$5:$U$1021, 0)), "")</f>
        <v/>
      </c>
      <c r="F51" s="18">
        <f>IFERROR(INDEX('Detalles movimientos'!G$5:G$1021, MATCH(42, 'Detalles movimientos'!$U$5:$U$1021, 0)), "")</f>
        <v/>
      </c>
      <c r="G51" s="120">
        <f>IFERROR(INDEX('Detalles movimientos'!H$5:H$1021, MATCH(42, 'Detalles movimientos'!$U$5:$U$1021, 0)), "")</f>
        <v/>
      </c>
      <c r="H51" s="121">
        <f>IFERROR(INDEX('Detalles movimientos'!I$5:I$1021, MATCH(42, 'Detalles movimientos'!$U$5:$U$1021, 0)), "")</f>
        <v/>
      </c>
      <c r="I51" s="120">
        <f>IFERROR(INDEX('Detalles movimientos'!M$5:M$1021, MATCH(42, 'Detalles movimientos'!$U$5:$U$1021, 0)), "")</f>
        <v/>
      </c>
      <c r="J51" s="19">
        <f>IFERROR(INDEX('Detalles movimientos'!N$5:N$1021, MATCH(42, 'Detalles movimientos'!$U$5:$U$1021, 0)), "")</f>
        <v/>
      </c>
      <c r="K51" s="120">
        <f>IFERROR(INDEX('Detalles movimientos'!O$5:O$1021, MATCH(42, 'Detalles movimientos'!$U$5:$U$1021, 0)), "")</f>
        <v/>
      </c>
      <c r="L51" s="18">
        <f>IFERROR(INDEX('Detalles movimientos'!P$5:P$1021, MATCH(42, 'Detalles movimientos'!$U$5:$U$1021, 0)), "")</f>
        <v/>
      </c>
      <c r="M51" s="18">
        <f>IFERROR(INDEX('Detalles movimientos'!S$5:S$1021, MATCH(42, 'Detalles movimientos'!$U$5:$U$1021, 0)), "")</f>
        <v/>
      </c>
    </row>
    <row r="52">
      <c r="B52" s="119">
        <f>IFERROR(INDEX('Detalles movimientos'!C$5:C$1021, MATCH(43, 'Detalles movimientos'!$U$5:$U$1021, 0)), "")</f>
        <v/>
      </c>
      <c r="C52" s="18">
        <f>IFERROR(INDEX('Detalles movimientos'!D$5:D$1021, MATCH(43, 'Detalles movimientos'!$U$5:$U$1021, 0)), "")</f>
        <v/>
      </c>
      <c r="D52" s="19">
        <f>IFERROR(INDEX('Detalles movimientos'!E$5:E$1021, MATCH(43, 'Detalles movimientos'!$U$5:$U$1021, 0)), "")</f>
        <v/>
      </c>
      <c r="E52" s="19">
        <f>IFERROR(INDEX('Detalles movimientos'!F$5:F$1021, MATCH(43, 'Detalles movimientos'!$U$5:$U$1021, 0)), "")</f>
        <v/>
      </c>
      <c r="F52" s="18">
        <f>IFERROR(INDEX('Detalles movimientos'!G$5:G$1021, MATCH(43, 'Detalles movimientos'!$U$5:$U$1021, 0)), "")</f>
        <v/>
      </c>
      <c r="G52" s="120">
        <f>IFERROR(INDEX('Detalles movimientos'!H$5:H$1021, MATCH(43, 'Detalles movimientos'!$U$5:$U$1021, 0)), "")</f>
        <v/>
      </c>
      <c r="H52" s="121">
        <f>IFERROR(INDEX('Detalles movimientos'!I$5:I$1021, MATCH(43, 'Detalles movimientos'!$U$5:$U$1021, 0)), "")</f>
        <v/>
      </c>
      <c r="I52" s="120">
        <f>IFERROR(INDEX('Detalles movimientos'!M$5:M$1021, MATCH(43, 'Detalles movimientos'!$U$5:$U$1021, 0)), "")</f>
        <v/>
      </c>
      <c r="J52" s="19">
        <f>IFERROR(INDEX('Detalles movimientos'!N$5:N$1021, MATCH(43, 'Detalles movimientos'!$U$5:$U$1021, 0)), "")</f>
        <v/>
      </c>
      <c r="K52" s="120">
        <f>IFERROR(INDEX('Detalles movimientos'!O$5:O$1021, MATCH(43, 'Detalles movimientos'!$U$5:$U$1021, 0)), "")</f>
        <v/>
      </c>
      <c r="L52" s="18">
        <f>IFERROR(INDEX('Detalles movimientos'!P$5:P$1021, MATCH(43, 'Detalles movimientos'!$U$5:$U$1021, 0)), "")</f>
        <v/>
      </c>
      <c r="M52" s="18">
        <f>IFERROR(INDEX('Detalles movimientos'!S$5:S$1021, MATCH(43, 'Detalles movimientos'!$U$5:$U$1021, 0)), "")</f>
        <v/>
      </c>
    </row>
    <row r="53">
      <c r="B53" s="119">
        <f>IFERROR(INDEX('Detalles movimientos'!C$5:C$1021, MATCH(44, 'Detalles movimientos'!$U$5:$U$1021, 0)), "")</f>
        <v/>
      </c>
      <c r="C53" s="18">
        <f>IFERROR(INDEX('Detalles movimientos'!D$5:D$1021, MATCH(44, 'Detalles movimientos'!$U$5:$U$1021, 0)), "")</f>
        <v/>
      </c>
      <c r="D53" s="19">
        <f>IFERROR(INDEX('Detalles movimientos'!E$5:E$1021, MATCH(44, 'Detalles movimientos'!$U$5:$U$1021, 0)), "")</f>
        <v/>
      </c>
      <c r="E53" s="19">
        <f>IFERROR(INDEX('Detalles movimientos'!F$5:F$1021, MATCH(44, 'Detalles movimientos'!$U$5:$U$1021, 0)), "")</f>
        <v/>
      </c>
      <c r="F53" s="18">
        <f>IFERROR(INDEX('Detalles movimientos'!G$5:G$1021, MATCH(44, 'Detalles movimientos'!$U$5:$U$1021, 0)), "")</f>
        <v/>
      </c>
      <c r="G53" s="120">
        <f>IFERROR(INDEX('Detalles movimientos'!H$5:H$1021, MATCH(44, 'Detalles movimientos'!$U$5:$U$1021, 0)), "")</f>
        <v/>
      </c>
      <c r="H53" s="121">
        <f>IFERROR(INDEX('Detalles movimientos'!I$5:I$1021, MATCH(44, 'Detalles movimientos'!$U$5:$U$1021, 0)), "")</f>
        <v/>
      </c>
      <c r="I53" s="120">
        <f>IFERROR(INDEX('Detalles movimientos'!M$5:M$1021, MATCH(44, 'Detalles movimientos'!$U$5:$U$1021, 0)), "")</f>
        <v/>
      </c>
      <c r="J53" s="19">
        <f>IFERROR(INDEX('Detalles movimientos'!N$5:N$1021, MATCH(44, 'Detalles movimientos'!$U$5:$U$1021, 0)), "")</f>
        <v/>
      </c>
      <c r="K53" s="120">
        <f>IFERROR(INDEX('Detalles movimientos'!O$5:O$1021, MATCH(44, 'Detalles movimientos'!$U$5:$U$1021, 0)), "")</f>
        <v/>
      </c>
      <c r="L53" s="18">
        <f>IFERROR(INDEX('Detalles movimientos'!P$5:P$1021, MATCH(44, 'Detalles movimientos'!$U$5:$U$1021, 0)), "")</f>
        <v/>
      </c>
      <c r="M53" s="18">
        <f>IFERROR(INDEX('Detalles movimientos'!S$5:S$1021, MATCH(44, 'Detalles movimientos'!$U$5:$U$1021, 0)), "")</f>
        <v/>
      </c>
    </row>
    <row r="54">
      <c r="B54" s="119">
        <f>IFERROR(INDEX('Detalles movimientos'!C$5:C$1021, MATCH(45, 'Detalles movimientos'!$U$5:$U$1021, 0)), "")</f>
        <v/>
      </c>
      <c r="C54" s="18">
        <f>IFERROR(INDEX('Detalles movimientos'!D$5:D$1021, MATCH(45, 'Detalles movimientos'!$U$5:$U$1021, 0)), "")</f>
        <v/>
      </c>
      <c r="D54" s="19">
        <f>IFERROR(INDEX('Detalles movimientos'!E$5:E$1021, MATCH(45, 'Detalles movimientos'!$U$5:$U$1021, 0)), "")</f>
        <v/>
      </c>
      <c r="E54" s="19">
        <f>IFERROR(INDEX('Detalles movimientos'!F$5:F$1021, MATCH(45, 'Detalles movimientos'!$U$5:$U$1021, 0)), "")</f>
        <v/>
      </c>
      <c r="F54" s="18">
        <f>IFERROR(INDEX('Detalles movimientos'!G$5:G$1021, MATCH(45, 'Detalles movimientos'!$U$5:$U$1021, 0)), "")</f>
        <v/>
      </c>
      <c r="G54" s="120">
        <f>IFERROR(INDEX('Detalles movimientos'!H$5:H$1021, MATCH(45, 'Detalles movimientos'!$U$5:$U$1021, 0)), "")</f>
        <v/>
      </c>
      <c r="H54" s="121">
        <f>IFERROR(INDEX('Detalles movimientos'!I$5:I$1021, MATCH(45, 'Detalles movimientos'!$U$5:$U$1021, 0)), "")</f>
        <v/>
      </c>
      <c r="I54" s="120">
        <f>IFERROR(INDEX('Detalles movimientos'!M$5:M$1021, MATCH(45, 'Detalles movimientos'!$U$5:$U$1021, 0)), "")</f>
        <v/>
      </c>
      <c r="J54" s="19">
        <f>IFERROR(INDEX('Detalles movimientos'!N$5:N$1021, MATCH(45, 'Detalles movimientos'!$U$5:$U$1021, 0)), "")</f>
        <v/>
      </c>
      <c r="K54" s="120">
        <f>IFERROR(INDEX('Detalles movimientos'!O$5:O$1021, MATCH(45, 'Detalles movimientos'!$U$5:$U$1021, 0)), "")</f>
        <v/>
      </c>
      <c r="L54" s="18">
        <f>IFERROR(INDEX('Detalles movimientos'!P$5:P$1021, MATCH(45, 'Detalles movimientos'!$U$5:$U$1021, 0)), "")</f>
        <v/>
      </c>
      <c r="M54" s="18">
        <f>IFERROR(INDEX('Detalles movimientos'!S$5:S$1021, MATCH(45, 'Detalles movimientos'!$U$5:$U$1021, 0)), "")</f>
        <v/>
      </c>
    </row>
    <row r="55">
      <c r="B55" s="119">
        <f>IFERROR(INDEX('Detalles movimientos'!C$5:C$1021, MATCH(46, 'Detalles movimientos'!$U$5:$U$1021, 0)), "")</f>
        <v/>
      </c>
      <c r="C55" s="18">
        <f>IFERROR(INDEX('Detalles movimientos'!D$5:D$1021, MATCH(46, 'Detalles movimientos'!$U$5:$U$1021, 0)), "")</f>
        <v/>
      </c>
      <c r="D55" s="19">
        <f>IFERROR(INDEX('Detalles movimientos'!E$5:E$1021, MATCH(46, 'Detalles movimientos'!$U$5:$U$1021, 0)), "")</f>
        <v/>
      </c>
      <c r="E55" s="19">
        <f>IFERROR(INDEX('Detalles movimientos'!F$5:F$1021, MATCH(46, 'Detalles movimientos'!$U$5:$U$1021, 0)), "")</f>
        <v/>
      </c>
      <c r="F55" s="18">
        <f>IFERROR(INDEX('Detalles movimientos'!G$5:G$1021, MATCH(46, 'Detalles movimientos'!$U$5:$U$1021, 0)), "")</f>
        <v/>
      </c>
      <c r="G55" s="120">
        <f>IFERROR(INDEX('Detalles movimientos'!H$5:H$1021, MATCH(46, 'Detalles movimientos'!$U$5:$U$1021, 0)), "")</f>
        <v/>
      </c>
      <c r="H55" s="121">
        <f>IFERROR(INDEX('Detalles movimientos'!I$5:I$1021, MATCH(46, 'Detalles movimientos'!$U$5:$U$1021, 0)), "")</f>
        <v/>
      </c>
      <c r="I55" s="120">
        <f>IFERROR(INDEX('Detalles movimientos'!M$5:M$1021, MATCH(46, 'Detalles movimientos'!$U$5:$U$1021, 0)), "")</f>
        <v/>
      </c>
      <c r="J55" s="19">
        <f>IFERROR(INDEX('Detalles movimientos'!N$5:N$1021, MATCH(46, 'Detalles movimientos'!$U$5:$U$1021, 0)), "")</f>
        <v/>
      </c>
      <c r="K55" s="120">
        <f>IFERROR(INDEX('Detalles movimientos'!O$5:O$1021, MATCH(46, 'Detalles movimientos'!$U$5:$U$1021, 0)), "")</f>
        <v/>
      </c>
      <c r="L55" s="18">
        <f>IFERROR(INDEX('Detalles movimientos'!P$5:P$1021, MATCH(46, 'Detalles movimientos'!$U$5:$U$1021, 0)), "")</f>
        <v/>
      </c>
      <c r="M55" s="18">
        <f>IFERROR(INDEX('Detalles movimientos'!S$5:S$1021, MATCH(46, 'Detalles movimientos'!$U$5:$U$1021, 0)), "")</f>
        <v/>
      </c>
    </row>
    <row r="56">
      <c r="B56" s="119">
        <f>IFERROR(INDEX('Detalles movimientos'!C$5:C$1021, MATCH(47, 'Detalles movimientos'!$U$5:$U$1021, 0)), "")</f>
        <v/>
      </c>
      <c r="C56" s="18">
        <f>IFERROR(INDEX('Detalles movimientos'!D$5:D$1021, MATCH(47, 'Detalles movimientos'!$U$5:$U$1021, 0)), "")</f>
        <v/>
      </c>
      <c r="D56" s="19">
        <f>IFERROR(INDEX('Detalles movimientos'!E$5:E$1021, MATCH(47, 'Detalles movimientos'!$U$5:$U$1021, 0)), "")</f>
        <v/>
      </c>
      <c r="E56" s="19">
        <f>IFERROR(INDEX('Detalles movimientos'!F$5:F$1021, MATCH(47, 'Detalles movimientos'!$U$5:$U$1021, 0)), "")</f>
        <v/>
      </c>
      <c r="F56" s="18">
        <f>IFERROR(INDEX('Detalles movimientos'!G$5:G$1021, MATCH(47, 'Detalles movimientos'!$U$5:$U$1021, 0)), "")</f>
        <v/>
      </c>
      <c r="G56" s="120">
        <f>IFERROR(INDEX('Detalles movimientos'!H$5:H$1021, MATCH(47, 'Detalles movimientos'!$U$5:$U$1021, 0)), "")</f>
        <v/>
      </c>
      <c r="H56" s="121">
        <f>IFERROR(INDEX('Detalles movimientos'!I$5:I$1021, MATCH(47, 'Detalles movimientos'!$U$5:$U$1021, 0)), "")</f>
        <v/>
      </c>
      <c r="I56" s="120">
        <f>IFERROR(INDEX('Detalles movimientos'!M$5:M$1021, MATCH(47, 'Detalles movimientos'!$U$5:$U$1021, 0)), "")</f>
        <v/>
      </c>
      <c r="J56" s="19">
        <f>IFERROR(INDEX('Detalles movimientos'!N$5:N$1021, MATCH(47, 'Detalles movimientos'!$U$5:$U$1021, 0)), "")</f>
        <v/>
      </c>
      <c r="K56" s="120">
        <f>IFERROR(INDEX('Detalles movimientos'!O$5:O$1021, MATCH(47, 'Detalles movimientos'!$U$5:$U$1021, 0)), "")</f>
        <v/>
      </c>
      <c r="L56" s="18">
        <f>IFERROR(INDEX('Detalles movimientos'!P$5:P$1021, MATCH(47, 'Detalles movimientos'!$U$5:$U$1021, 0)), "")</f>
        <v/>
      </c>
      <c r="M56" s="18">
        <f>IFERROR(INDEX('Detalles movimientos'!S$5:S$1021, MATCH(47, 'Detalles movimientos'!$U$5:$U$1021, 0)), "")</f>
        <v/>
      </c>
    </row>
    <row r="57">
      <c r="B57" s="119">
        <f>IFERROR(INDEX('Detalles movimientos'!C$5:C$1021, MATCH(48, 'Detalles movimientos'!$U$5:$U$1021, 0)), "")</f>
        <v/>
      </c>
      <c r="C57" s="18">
        <f>IFERROR(INDEX('Detalles movimientos'!D$5:D$1021, MATCH(48, 'Detalles movimientos'!$U$5:$U$1021, 0)), "")</f>
        <v/>
      </c>
      <c r="D57" s="19">
        <f>IFERROR(INDEX('Detalles movimientos'!E$5:E$1021, MATCH(48, 'Detalles movimientos'!$U$5:$U$1021, 0)), "")</f>
        <v/>
      </c>
      <c r="E57" s="19">
        <f>IFERROR(INDEX('Detalles movimientos'!F$5:F$1021, MATCH(48, 'Detalles movimientos'!$U$5:$U$1021, 0)), "")</f>
        <v/>
      </c>
      <c r="F57" s="18">
        <f>IFERROR(INDEX('Detalles movimientos'!G$5:G$1021, MATCH(48, 'Detalles movimientos'!$U$5:$U$1021, 0)), "")</f>
        <v/>
      </c>
      <c r="G57" s="120">
        <f>IFERROR(INDEX('Detalles movimientos'!H$5:H$1021, MATCH(48, 'Detalles movimientos'!$U$5:$U$1021, 0)), "")</f>
        <v/>
      </c>
      <c r="H57" s="121">
        <f>IFERROR(INDEX('Detalles movimientos'!I$5:I$1021, MATCH(48, 'Detalles movimientos'!$U$5:$U$1021, 0)), "")</f>
        <v/>
      </c>
      <c r="I57" s="120">
        <f>IFERROR(INDEX('Detalles movimientos'!M$5:M$1021, MATCH(48, 'Detalles movimientos'!$U$5:$U$1021, 0)), "")</f>
        <v/>
      </c>
      <c r="J57" s="19">
        <f>IFERROR(INDEX('Detalles movimientos'!N$5:N$1021, MATCH(48, 'Detalles movimientos'!$U$5:$U$1021, 0)), "")</f>
        <v/>
      </c>
      <c r="K57" s="120">
        <f>IFERROR(INDEX('Detalles movimientos'!O$5:O$1021, MATCH(48, 'Detalles movimientos'!$U$5:$U$1021, 0)), "")</f>
        <v/>
      </c>
      <c r="L57" s="18">
        <f>IFERROR(INDEX('Detalles movimientos'!P$5:P$1021, MATCH(48, 'Detalles movimientos'!$U$5:$U$1021, 0)), "")</f>
        <v/>
      </c>
      <c r="M57" s="18">
        <f>IFERROR(INDEX('Detalles movimientos'!S$5:S$1021, MATCH(48, 'Detalles movimientos'!$U$5:$U$1021, 0)), "")</f>
        <v/>
      </c>
    </row>
    <row r="58">
      <c r="B58" s="119">
        <f>IFERROR(INDEX('Detalles movimientos'!C$5:C$1021, MATCH(49, 'Detalles movimientos'!$U$5:$U$1021, 0)), "")</f>
        <v/>
      </c>
      <c r="C58" s="18">
        <f>IFERROR(INDEX('Detalles movimientos'!D$5:D$1021, MATCH(49, 'Detalles movimientos'!$U$5:$U$1021, 0)), "")</f>
        <v/>
      </c>
      <c r="D58" s="19">
        <f>IFERROR(INDEX('Detalles movimientos'!E$5:E$1021, MATCH(49, 'Detalles movimientos'!$U$5:$U$1021, 0)), "")</f>
        <v/>
      </c>
      <c r="E58" s="19">
        <f>IFERROR(INDEX('Detalles movimientos'!F$5:F$1021, MATCH(49, 'Detalles movimientos'!$U$5:$U$1021, 0)), "")</f>
        <v/>
      </c>
      <c r="F58" s="18">
        <f>IFERROR(INDEX('Detalles movimientos'!G$5:G$1021, MATCH(49, 'Detalles movimientos'!$U$5:$U$1021, 0)), "")</f>
        <v/>
      </c>
      <c r="G58" s="120">
        <f>IFERROR(INDEX('Detalles movimientos'!H$5:H$1021, MATCH(49, 'Detalles movimientos'!$U$5:$U$1021, 0)), "")</f>
        <v/>
      </c>
      <c r="H58" s="121">
        <f>IFERROR(INDEX('Detalles movimientos'!I$5:I$1021, MATCH(49, 'Detalles movimientos'!$U$5:$U$1021, 0)), "")</f>
        <v/>
      </c>
      <c r="I58" s="120">
        <f>IFERROR(INDEX('Detalles movimientos'!M$5:M$1021, MATCH(49, 'Detalles movimientos'!$U$5:$U$1021, 0)), "")</f>
        <v/>
      </c>
      <c r="J58" s="19">
        <f>IFERROR(INDEX('Detalles movimientos'!N$5:N$1021, MATCH(49, 'Detalles movimientos'!$U$5:$U$1021, 0)), "")</f>
        <v/>
      </c>
      <c r="K58" s="120">
        <f>IFERROR(INDEX('Detalles movimientos'!O$5:O$1021, MATCH(49, 'Detalles movimientos'!$U$5:$U$1021, 0)), "")</f>
        <v/>
      </c>
      <c r="L58" s="18">
        <f>IFERROR(INDEX('Detalles movimientos'!P$5:P$1021, MATCH(49, 'Detalles movimientos'!$U$5:$U$1021, 0)), "")</f>
        <v/>
      </c>
      <c r="M58" s="18">
        <f>IFERROR(INDEX('Detalles movimientos'!S$5:S$1021, MATCH(49, 'Detalles movimientos'!$U$5:$U$1021, 0)), "")</f>
        <v/>
      </c>
    </row>
    <row r="59">
      <c r="B59" s="119">
        <f>IFERROR(INDEX('Detalles movimientos'!C$5:C$1021, MATCH(50, 'Detalles movimientos'!$U$5:$U$1021, 0)), "")</f>
        <v/>
      </c>
      <c r="C59" s="18">
        <f>IFERROR(INDEX('Detalles movimientos'!D$5:D$1021, MATCH(50, 'Detalles movimientos'!$U$5:$U$1021, 0)), "")</f>
        <v/>
      </c>
      <c r="D59" s="19">
        <f>IFERROR(INDEX('Detalles movimientos'!E$5:E$1021, MATCH(50, 'Detalles movimientos'!$U$5:$U$1021, 0)), "")</f>
        <v/>
      </c>
      <c r="E59" s="19">
        <f>IFERROR(INDEX('Detalles movimientos'!F$5:F$1021, MATCH(50, 'Detalles movimientos'!$U$5:$U$1021, 0)), "")</f>
        <v/>
      </c>
      <c r="F59" s="18">
        <f>IFERROR(INDEX('Detalles movimientos'!G$5:G$1021, MATCH(50, 'Detalles movimientos'!$U$5:$U$1021, 0)), "")</f>
        <v/>
      </c>
      <c r="G59" s="120">
        <f>IFERROR(INDEX('Detalles movimientos'!H$5:H$1021, MATCH(50, 'Detalles movimientos'!$U$5:$U$1021, 0)), "")</f>
        <v/>
      </c>
      <c r="H59" s="121">
        <f>IFERROR(INDEX('Detalles movimientos'!I$5:I$1021, MATCH(50, 'Detalles movimientos'!$U$5:$U$1021, 0)), "")</f>
        <v/>
      </c>
      <c r="I59" s="120">
        <f>IFERROR(INDEX('Detalles movimientos'!M$5:M$1021, MATCH(50, 'Detalles movimientos'!$U$5:$U$1021, 0)), "")</f>
        <v/>
      </c>
      <c r="J59" s="19">
        <f>IFERROR(INDEX('Detalles movimientos'!N$5:N$1021, MATCH(50, 'Detalles movimientos'!$U$5:$U$1021, 0)), "")</f>
        <v/>
      </c>
      <c r="K59" s="120">
        <f>IFERROR(INDEX('Detalles movimientos'!O$5:O$1021, MATCH(50, 'Detalles movimientos'!$U$5:$U$1021, 0)), "")</f>
        <v/>
      </c>
      <c r="L59" s="18">
        <f>IFERROR(INDEX('Detalles movimientos'!P$5:P$1021, MATCH(50, 'Detalles movimientos'!$U$5:$U$1021, 0)), "")</f>
        <v/>
      </c>
      <c r="M59" s="18">
        <f>IFERROR(INDEX('Detalles movimientos'!S$5:S$1021, MATCH(50, 'Detalles movimientos'!$U$5:$U$1021, 0)), "")</f>
        <v/>
      </c>
    </row>
    <row r="60">
      <c r="B60" s="119">
        <f>IFERROR(INDEX('Detalles movimientos'!C$5:C$1021, MATCH(51, 'Detalles movimientos'!$U$5:$U$1021, 0)), "")</f>
        <v/>
      </c>
      <c r="C60" s="18">
        <f>IFERROR(INDEX('Detalles movimientos'!D$5:D$1021, MATCH(51, 'Detalles movimientos'!$U$5:$U$1021, 0)), "")</f>
        <v/>
      </c>
      <c r="D60" s="19">
        <f>IFERROR(INDEX('Detalles movimientos'!E$5:E$1021, MATCH(51, 'Detalles movimientos'!$U$5:$U$1021, 0)), "")</f>
        <v/>
      </c>
      <c r="E60" s="19">
        <f>IFERROR(INDEX('Detalles movimientos'!F$5:F$1021, MATCH(51, 'Detalles movimientos'!$U$5:$U$1021, 0)), "")</f>
        <v/>
      </c>
      <c r="F60" s="18">
        <f>IFERROR(INDEX('Detalles movimientos'!G$5:G$1021, MATCH(51, 'Detalles movimientos'!$U$5:$U$1021, 0)), "")</f>
        <v/>
      </c>
      <c r="G60" s="120">
        <f>IFERROR(INDEX('Detalles movimientos'!H$5:H$1021, MATCH(51, 'Detalles movimientos'!$U$5:$U$1021, 0)), "")</f>
        <v/>
      </c>
      <c r="H60" s="121">
        <f>IFERROR(INDEX('Detalles movimientos'!I$5:I$1021, MATCH(51, 'Detalles movimientos'!$U$5:$U$1021, 0)), "")</f>
        <v/>
      </c>
      <c r="I60" s="120">
        <f>IFERROR(INDEX('Detalles movimientos'!M$5:M$1021, MATCH(51, 'Detalles movimientos'!$U$5:$U$1021, 0)), "")</f>
        <v/>
      </c>
      <c r="J60" s="19">
        <f>IFERROR(INDEX('Detalles movimientos'!N$5:N$1021, MATCH(51, 'Detalles movimientos'!$U$5:$U$1021, 0)), "")</f>
        <v/>
      </c>
      <c r="K60" s="120">
        <f>IFERROR(INDEX('Detalles movimientos'!O$5:O$1021, MATCH(51, 'Detalles movimientos'!$U$5:$U$1021, 0)), "")</f>
        <v/>
      </c>
      <c r="L60" s="18">
        <f>IFERROR(INDEX('Detalles movimientos'!P$5:P$1021, MATCH(51, 'Detalles movimientos'!$U$5:$U$1021, 0)), "")</f>
        <v/>
      </c>
      <c r="M60" s="18">
        <f>IFERROR(INDEX('Detalles movimientos'!S$5:S$1021, MATCH(51, 'Detalles movimientos'!$U$5:$U$1021, 0)), "")</f>
        <v/>
      </c>
    </row>
    <row r="61">
      <c r="B61" s="119">
        <f>IFERROR(INDEX('Detalles movimientos'!C$5:C$1021, MATCH(52, 'Detalles movimientos'!$U$5:$U$1021, 0)), "")</f>
        <v/>
      </c>
      <c r="C61" s="18">
        <f>IFERROR(INDEX('Detalles movimientos'!D$5:D$1021, MATCH(52, 'Detalles movimientos'!$U$5:$U$1021, 0)), "")</f>
        <v/>
      </c>
      <c r="D61" s="19">
        <f>IFERROR(INDEX('Detalles movimientos'!E$5:E$1021, MATCH(52, 'Detalles movimientos'!$U$5:$U$1021, 0)), "")</f>
        <v/>
      </c>
      <c r="E61" s="19">
        <f>IFERROR(INDEX('Detalles movimientos'!F$5:F$1021, MATCH(52, 'Detalles movimientos'!$U$5:$U$1021, 0)), "")</f>
        <v/>
      </c>
      <c r="F61" s="18">
        <f>IFERROR(INDEX('Detalles movimientos'!G$5:G$1021, MATCH(52, 'Detalles movimientos'!$U$5:$U$1021, 0)), "")</f>
        <v/>
      </c>
      <c r="G61" s="120">
        <f>IFERROR(INDEX('Detalles movimientos'!H$5:H$1021, MATCH(52, 'Detalles movimientos'!$U$5:$U$1021, 0)), "")</f>
        <v/>
      </c>
      <c r="H61" s="121">
        <f>IFERROR(INDEX('Detalles movimientos'!I$5:I$1021, MATCH(52, 'Detalles movimientos'!$U$5:$U$1021, 0)), "")</f>
        <v/>
      </c>
      <c r="I61" s="120">
        <f>IFERROR(INDEX('Detalles movimientos'!M$5:M$1021, MATCH(52, 'Detalles movimientos'!$U$5:$U$1021, 0)), "")</f>
        <v/>
      </c>
      <c r="J61" s="19">
        <f>IFERROR(INDEX('Detalles movimientos'!N$5:N$1021, MATCH(52, 'Detalles movimientos'!$U$5:$U$1021, 0)), "")</f>
        <v/>
      </c>
      <c r="K61" s="120">
        <f>IFERROR(INDEX('Detalles movimientos'!O$5:O$1021, MATCH(52, 'Detalles movimientos'!$U$5:$U$1021, 0)), "")</f>
        <v/>
      </c>
      <c r="L61" s="18">
        <f>IFERROR(INDEX('Detalles movimientos'!P$5:P$1021, MATCH(52, 'Detalles movimientos'!$U$5:$U$1021, 0)), "")</f>
        <v/>
      </c>
      <c r="M61" s="18">
        <f>IFERROR(INDEX('Detalles movimientos'!S$5:S$1021, MATCH(52, 'Detalles movimientos'!$U$5:$U$1021, 0)), "")</f>
        <v/>
      </c>
    </row>
    <row r="62">
      <c r="B62" s="119">
        <f>IFERROR(INDEX('Detalles movimientos'!C$5:C$1021, MATCH(53, 'Detalles movimientos'!$U$5:$U$1021, 0)), "")</f>
        <v/>
      </c>
      <c r="C62" s="18">
        <f>IFERROR(INDEX('Detalles movimientos'!D$5:D$1021, MATCH(53, 'Detalles movimientos'!$U$5:$U$1021, 0)), "")</f>
        <v/>
      </c>
      <c r="D62" s="19">
        <f>IFERROR(INDEX('Detalles movimientos'!E$5:E$1021, MATCH(53, 'Detalles movimientos'!$U$5:$U$1021, 0)), "")</f>
        <v/>
      </c>
      <c r="E62" s="19">
        <f>IFERROR(INDEX('Detalles movimientos'!F$5:F$1021, MATCH(53, 'Detalles movimientos'!$U$5:$U$1021, 0)), "")</f>
        <v/>
      </c>
      <c r="F62" s="18">
        <f>IFERROR(INDEX('Detalles movimientos'!G$5:G$1021, MATCH(53, 'Detalles movimientos'!$U$5:$U$1021, 0)), "")</f>
        <v/>
      </c>
      <c r="G62" s="120">
        <f>IFERROR(INDEX('Detalles movimientos'!H$5:H$1021, MATCH(53, 'Detalles movimientos'!$U$5:$U$1021, 0)), "")</f>
        <v/>
      </c>
      <c r="H62" s="121">
        <f>IFERROR(INDEX('Detalles movimientos'!I$5:I$1021, MATCH(53, 'Detalles movimientos'!$U$5:$U$1021, 0)), "")</f>
        <v/>
      </c>
      <c r="I62" s="120">
        <f>IFERROR(INDEX('Detalles movimientos'!M$5:M$1021, MATCH(53, 'Detalles movimientos'!$U$5:$U$1021, 0)), "")</f>
        <v/>
      </c>
      <c r="J62" s="19">
        <f>IFERROR(INDEX('Detalles movimientos'!N$5:N$1021, MATCH(53, 'Detalles movimientos'!$U$5:$U$1021, 0)), "")</f>
        <v/>
      </c>
      <c r="K62" s="120">
        <f>IFERROR(INDEX('Detalles movimientos'!O$5:O$1021, MATCH(53, 'Detalles movimientos'!$U$5:$U$1021, 0)), "")</f>
        <v/>
      </c>
      <c r="L62" s="18">
        <f>IFERROR(INDEX('Detalles movimientos'!P$5:P$1021, MATCH(53, 'Detalles movimientos'!$U$5:$U$1021, 0)), "")</f>
        <v/>
      </c>
      <c r="M62" s="18">
        <f>IFERROR(INDEX('Detalles movimientos'!S$5:S$1021, MATCH(53, 'Detalles movimientos'!$U$5:$U$1021, 0)), "")</f>
        <v/>
      </c>
    </row>
    <row r="63">
      <c r="B63" s="119">
        <f>IFERROR(INDEX('Detalles movimientos'!C$5:C$1021, MATCH(54, 'Detalles movimientos'!$U$5:$U$1021, 0)), "")</f>
        <v/>
      </c>
      <c r="C63" s="18">
        <f>IFERROR(INDEX('Detalles movimientos'!D$5:D$1021, MATCH(54, 'Detalles movimientos'!$U$5:$U$1021, 0)), "")</f>
        <v/>
      </c>
      <c r="D63" s="19">
        <f>IFERROR(INDEX('Detalles movimientos'!E$5:E$1021, MATCH(54, 'Detalles movimientos'!$U$5:$U$1021, 0)), "")</f>
        <v/>
      </c>
      <c r="E63" s="19">
        <f>IFERROR(INDEX('Detalles movimientos'!F$5:F$1021, MATCH(54, 'Detalles movimientos'!$U$5:$U$1021, 0)), "")</f>
        <v/>
      </c>
      <c r="F63" s="18">
        <f>IFERROR(INDEX('Detalles movimientos'!G$5:G$1021, MATCH(54, 'Detalles movimientos'!$U$5:$U$1021, 0)), "")</f>
        <v/>
      </c>
      <c r="G63" s="120">
        <f>IFERROR(INDEX('Detalles movimientos'!H$5:H$1021, MATCH(54, 'Detalles movimientos'!$U$5:$U$1021, 0)), "")</f>
        <v/>
      </c>
      <c r="H63" s="121">
        <f>IFERROR(INDEX('Detalles movimientos'!I$5:I$1021, MATCH(54, 'Detalles movimientos'!$U$5:$U$1021, 0)), "")</f>
        <v/>
      </c>
      <c r="I63" s="120">
        <f>IFERROR(INDEX('Detalles movimientos'!M$5:M$1021, MATCH(54, 'Detalles movimientos'!$U$5:$U$1021, 0)), "")</f>
        <v/>
      </c>
      <c r="J63" s="19">
        <f>IFERROR(INDEX('Detalles movimientos'!N$5:N$1021, MATCH(54, 'Detalles movimientos'!$U$5:$U$1021, 0)), "")</f>
        <v/>
      </c>
      <c r="K63" s="120">
        <f>IFERROR(INDEX('Detalles movimientos'!O$5:O$1021, MATCH(54, 'Detalles movimientos'!$U$5:$U$1021, 0)), "")</f>
        <v/>
      </c>
      <c r="L63" s="18">
        <f>IFERROR(INDEX('Detalles movimientos'!P$5:P$1021, MATCH(54, 'Detalles movimientos'!$U$5:$U$1021, 0)), "")</f>
        <v/>
      </c>
      <c r="M63" s="18">
        <f>IFERROR(INDEX('Detalles movimientos'!S$5:S$1021, MATCH(54, 'Detalles movimientos'!$U$5:$U$1021, 0)), "")</f>
        <v/>
      </c>
    </row>
    <row r="64">
      <c r="B64" s="119">
        <f>IFERROR(INDEX('Detalles movimientos'!C$5:C$1021, MATCH(55, 'Detalles movimientos'!$U$5:$U$1021, 0)), "")</f>
        <v/>
      </c>
      <c r="C64" s="18">
        <f>IFERROR(INDEX('Detalles movimientos'!D$5:D$1021, MATCH(55, 'Detalles movimientos'!$U$5:$U$1021, 0)), "")</f>
        <v/>
      </c>
      <c r="D64" s="19">
        <f>IFERROR(INDEX('Detalles movimientos'!E$5:E$1021, MATCH(55, 'Detalles movimientos'!$U$5:$U$1021, 0)), "")</f>
        <v/>
      </c>
      <c r="E64" s="19">
        <f>IFERROR(INDEX('Detalles movimientos'!F$5:F$1021, MATCH(55, 'Detalles movimientos'!$U$5:$U$1021, 0)), "")</f>
        <v/>
      </c>
      <c r="F64" s="18">
        <f>IFERROR(INDEX('Detalles movimientos'!G$5:G$1021, MATCH(55, 'Detalles movimientos'!$U$5:$U$1021, 0)), "")</f>
        <v/>
      </c>
      <c r="G64" s="120">
        <f>IFERROR(INDEX('Detalles movimientos'!H$5:H$1021, MATCH(55, 'Detalles movimientos'!$U$5:$U$1021, 0)), "")</f>
        <v/>
      </c>
      <c r="H64" s="121">
        <f>IFERROR(INDEX('Detalles movimientos'!I$5:I$1021, MATCH(55, 'Detalles movimientos'!$U$5:$U$1021, 0)), "")</f>
        <v/>
      </c>
      <c r="I64" s="120">
        <f>IFERROR(INDEX('Detalles movimientos'!M$5:M$1021, MATCH(55, 'Detalles movimientos'!$U$5:$U$1021, 0)), "")</f>
        <v/>
      </c>
      <c r="J64" s="19">
        <f>IFERROR(INDEX('Detalles movimientos'!N$5:N$1021, MATCH(55, 'Detalles movimientos'!$U$5:$U$1021, 0)), "")</f>
        <v/>
      </c>
      <c r="K64" s="120">
        <f>IFERROR(INDEX('Detalles movimientos'!O$5:O$1021, MATCH(55, 'Detalles movimientos'!$U$5:$U$1021, 0)), "")</f>
        <v/>
      </c>
      <c r="L64" s="18">
        <f>IFERROR(INDEX('Detalles movimientos'!P$5:P$1021, MATCH(55, 'Detalles movimientos'!$U$5:$U$1021, 0)), "")</f>
        <v/>
      </c>
      <c r="M64" s="18">
        <f>IFERROR(INDEX('Detalles movimientos'!S$5:S$1021, MATCH(55, 'Detalles movimientos'!$U$5:$U$1021, 0)), "")</f>
        <v/>
      </c>
    </row>
    <row r="65">
      <c r="B65" s="119">
        <f>IFERROR(INDEX('Detalles movimientos'!C$5:C$1021, MATCH(56, 'Detalles movimientos'!$U$5:$U$1021, 0)), "")</f>
        <v/>
      </c>
      <c r="C65" s="18">
        <f>IFERROR(INDEX('Detalles movimientos'!D$5:D$1021, MATCH(56, 'Detalles movimientos'!$U$5:$U$1021, 0)), "")</f>
        <v/>
      </c>
      <c r="D65" s="19">
        <f>IFERROR(INDEX('Detalles movimientos'!E$5:E$1021, MATCH(56, 'Detalles movimientos'!$U$5:$U$1021, 0)), "")</f>
        <v/>
      </c>
      <c r="E65" s="19">
        <f>IFERROR(INDEX('Detalles movimientos'!F$5:F$1021, MATCH(56, 'Detalles movimientos'!$U$5:$U$1021, 0)), "")</f>
        <v/>
      </c>
      <c r="F65" s="18">
        <f>IFERROR(INDEX('Detalles movimientos'!G$5:G$1021, MATCH(56, 'Detalles movimientos'!$U$5:$U$1021, 0)), "")</f>
        <v/>
      </c>
      <c r="G65" s="120">
        <f>IFERROR(INDEX('Detalles movimientos'!H$5:H$1021, MATCH(56, 'Detalles movimientos'!$U$5:$U$1021, 0)), "")</f>
        <v/>
      </c>
      <c r="H65" s="121">
        <f>IFERROR(INDEX('Detalles movimientos'!I$5:I$1021, MATCH(56, 'Detalles movimientos'!$U$5:$U$1021, 0)), "")</f>
        <v/>
      </c>
      <c r="I65" s="120">
        <f>IFERROR(INDEX('Detalles movimientos'!M$5:M$1021, MATCH(56, 'Detalles movimientos'!$U$5:$U$1021, 0)), "")</f>
        <v/>
      </c>
      <c r="J65" s="19">
        <f>IFERROR(INDEX('Detalles movimientos'!N$5:N$1021, MATCH(56, 'Detalles movimientos'!$U$5:$U$1021, 0)), "")</f>
        <v/>
      </c>
      <c r="K65" s="120">
        <f>IFERROR(INDEX('Detalles movimientos'!O$5:O$1021, MATCH(56, 'Detalles movimientos'!$U$5:$U$1021, 0)), "")</f>
        <v/>
      </c>
      <c r="L65" s="18">
        <f>IFERROR(INDEX('Detalles movimientos'!P$5:P$1021, MATCH(56, 'Detalles movimientos'!$U$5:$U$1021, 0)), "")</f>
        <v/>
      </c>
      <c r="M65" s="18">
        <f>IFERROR(INDEX('Detalles movimientos'!S$5:S$1021, MATCH(56, 'Detalles movimientos'!$U$5:$U$1021, 0)), "")</f>
        <v/>
      </c>
    </row>
    <row r="66">
      <c r="B66" s="119">
        <f>IFERROR(INDEX('Detalles movimientos'!C$5:C$1021, MATCH(57, 'Detalles movimientos'!$U$5:$U$1021, 0)), "")</f>
        <v/>
      </c>
      <c r="C66" s="18">
        <f>IFERROR(INDEX('Detalles movimientos'!D$5:D$1021, MATCH(57, 'Detalles movimientos'!$U$5:$U$1021, 0)), "")</f>
        <v/>
      </c>
      <c r="D66" s="19">
        <f>IFERROR(INDEX('Detalles movimientos'!E$5:E$1021, MATCH(57, 'Detalles movimientos'!$U$5:$U$1021, 0)), "")</f>
        <v/>
      </c>
      <c r="E66" s="19">
        <f>IFERROR(INDEX('Detalles movimientos'!F$5:F$1021, MATCH(57, 'Detalles movimientos'!$U$5:$U$1021, 0)), "")</f>
        <v/>
      </c>
      <c r="F66" s="18">
        <f>IFERROR(INDEX('Detalles movimientos'!G$5:G$1021, MATCH(57, 'Detalles movimientos'!$U$5:$U$1021, 0)), "")</f>
        <v/>
      </c>
      <c r="G66" s="120">
        <f>IFERROR(INDEX('Detalles movimientos'!H$5:H$1021, MATCH(57, 'Detalles movimientos'!$U$5:$U$1021, 0)), "")</f>
        <v/>
      </c>
      <c r="H66" s="121">
        <f>IFERROR(INDEX('Detalles movimientos'!I$5:I$1021, MATCH(57, 'Detalles movimientos'!$U$5:$U$1021, 0)), "")</f>
        <v/>
      </c>
      <c r="I66" s="120">
        <f>IFERROR(INDEX('Detalles movimientos'!M$5:M$1021, MATCH(57, 'Detalles movimientos'!$U$5:$U$1021, 0)), "")</f>
        <v/>
      </c>
      <c r="J66" s="19">
        <f>IFERROR(INDEX('Detalles movimientos'!N$5:N$1021, MATCH(57, 'Detalles movimientos'!$U$5:$U$1021, 0)), "")</f>
        <v/>
      </c>
      <c r="K66" s="120">
        <f>IFERROR(INDEX('Detalles movimientos'!O$5:O$1021, MATCH(57, 'Detalles movimientos'!$U$5:$U$1021, 0)), "")</f>
        <v/>
      </c>
      <c r="L66" s="18">
        <f>IFERROR(INDEX('Detalles movimientos'!P$5:P$1021, MATCH(57, 'Detalles movimientos'!$U$5:$U$1021, 0)), "")</f>
        <v/>
      </c>
      <c r="M66" s="18">
        <f>IFERROR(INDEX('Detalles movimientos'!S$5:S$1021, MATCH(57, 'Detalles movimientos'!$U$5:$U$1021, 0)), "")</f>
        <v/>
      </c>
    </row>
    <row r="67">
      <c r="B67" s="119">
        <f>IFERROR(INDEX('Detalles movimientos'!C$5:C$1021, MATCH(58, 'Detalles movimientos'!$U$5:$U$1021, 0)), "")</f>
        <v/>
      </c>
      <c r="C67" s="18">
        <f>IFERROR(INDEX('Detalles movimientos'!D$5:D$1021, MATCH(58, 'Detalles movimientos'!$U$5:$U$1021, 0)), "")</f>
        <v/>
      </c>
      <c r="D67" s="19">
        <f>IFERROR(INDEX('Detalles movimientos'!E$5:E$1021, MATCH(58, 'Detalles movimientos'!$U$5:$U$1021, 0)), "")</f>
        <v/>
      </c>
      <c r="E67" s="19">
        <f>IFERROR(INDEX('Detalles movimientos'!F$5:F$1021, MATCH(58, 'Detalles movimientos'!$U$5:$U$1021, 0)), "")</f>
        <v/>
      </c>
      <c r="F67" s="18">
        <f>IFERROR(INDEX('Detalles movimientos'!G$5:G$1021, MATCH(58, 'Detalles movimientos'!$U$5:$U$1021, 0)), "")</f>
        <v/>
      </c>
      <c r="G67" s="120">
        <f>IFERROR(INDEX('Detalles movimientos'!H$5:H$1021, MATCH(58, 'Detalles movimientos'!$U$5:$U$1021, 0)), "")</f>
        <v/>
      </c>
      <c r="H67" s="121">
        <f>IFERROR(INDEX('Detalles movimientos'!I$5:I$1021, MATCH(58, 'Detalles movimientos'!$U$5:$U$1021, 0)), "")</f>
        <v/>
      </c>
      <c r="I67" s="120">
        <f>IFERROR(INDEX('Detalles movimientos'!M$5:M$1021, MATCH(58, 'Detalles movimientos'!$U$5:$U$1021, 0)), "")</f>
        <v/>
      </c>
      <c r="J67" s="19">
        <f>IFERROR(INDEX('Detalles movimientos'!N$5:N$1021, MATCH(58, 'Detalles movimientos'!$U$5:$U$1021, 0)), "")</f>
        <v/>
      </c>
      <c r="K67" s="120">
        <f>IFERROR(INDEX('Detalles movimientos'!O$5:O$1021, MATCH(58, 'Detalles movimientos'!$U$5:$U$1021, 0)), "")</f>
        <v/>
      </c>
      <c r="L67" s="18">
        <f>IFERROR(INDEX('Detalles movimientos'!P$5:P$1021, MATCH(58, 'Detalles movimientos'!$U$5:$U$1021, 0)), "")</f>
        <v/>
      </c>
      <c r="M67" s="18">
        <f>IFERROR(INDEX('Detalles movimientos'!S$5:S$1021, MATCH(58, 'Detalles movimientos'!$U$5:$U$1021, 0)), "")</f>
        <v/>
      </c>
    </row>
    <row r="68">
      <c r="B68" s="119">
        <f>IFERROR(INDEX('Detalles movimientos'!C$5:C$1021, MATCH(59, 'Detalles movimientos'!$U$5:$U$1021, 0)), "")</f>
        <v/>
      </c>
      <c r="C68" s="18">
        <f>IFERROR(INDEX('Detalles movimientos'!D$5:D$1021, MATCH(59, 'Detalles movimientos'!$U$5:$U$1021, 0)), "")</f>
        <v/>
      </c>
      <c r="D68" s="19">
        <f>IFERROR(INDEX('Detalles movimientos'!E$5:E$1021, MATCH(59, 'Detalles movimientos'!$U$5:$U$1021, 0)), "")</f>
        <v/>
      </c>
      <c r="E68" s="19">
        <f>IFERROR(INDEX('Detalles movimientos'!F$5:F$1021, MATCH(59, 'Detalles movimientos'!$U$5:$U$1021, 0)), "")</f>
        <v/>
      </c>
      <c r="F68" s="18">
        <f>IFERROR(INDEX('Detalles movimientos'!G$5:G$1021, MATCH(59, 'Detalles movimientos'!$U$5:$U$1021, 0)), "")</f>
        <v/>
      </c>
      <c r="G68" s="120">
        <f>IFERROR(INDEX('Detalles movimientos'!H$5:H$1021, MATCH(59, 'Detalles movimientos'!$U$5:$U$1021, 0)), "")</f>
        <v/>
      </c>
      <c r="H68" s="121">
        <f>IFERROR(INDEX('Detalles movimientos'!I$5:I$1021, MATCH(59, 'Detalles movimientos'!$U$5:$U$1021, 0)), "")</f>
        <v/>
      </c>
      <c r="I68" s="120">
        <f>IFERROR(INDEX('Detalles movimientos'!M$5:M$1021, MATCH(59, 'Detalles movimientos'!$U$5:$U$1021, 0)), "")</f>
        <v/>
      </c>
      <c r="J68" s="19">
        <f>IFERROR(INDEX('Detalles movimientos'!N$5:N$1021, MATCH(59, 'Detalles movimientos'!$U$5:$U$1021, 0)), "")</f>
        <v/>
      </c>
      <c r="K68" s="120">
        <f>IFERROR(INDEX('Detalles movimientos'!O$5:O$1021, MATCH(59, 'Detalles movimientos'!$U$5:$U$1021, 0)), "")</f>
        <v/>
      </c>
      <c r="L68" s="18">
        <f>IFERROR(INDEX('Detalles movimientos'!P$5:P$1021, MATCH(59, 'Detalles movimientos'!$U$5:$U$1021, 0)), "")</f>
        <v/>
      </c>
      <c r="M68" s="18">
        <f>IFERROR(INDEX('Detalles movimientos'!S$5:S$1021, MATCH(59, 'Detalles movimientos'!$U$5:$U$1021, 0)), "")</f>
        <v/>
      </c>
    </row>
    <row r="69">
      <c r="B69" s="119">
        <f>IFERROR(INDEX('Detalles movimientos'!C$5:C$1021, MATCH(60, 'Detalles movimientos'!$U$5:$U$1021, 0)), "")</f>
        <v/>
      </c>
      <c r="C69" s="18">
        <f>IFERROR(INDEX('Detalles movimientos'!D$5:D$1021, MATCH(60, 'Detalles movimientos'!$U$5:$U$1021, 0)), "")</f>
        <v/>
      </c>
      <c r="D69" s="19">
        <f>IFERROR(INDEX('Detalles movimientos'!E$5:E$1021, MATCH(60, 'Detalles movimientos'!$U$5:$U$1021, 0)), "")</f>
        <v/>
      </c>
      <c r="E69" s="19">
        <f>IFERROR(INDEX('Detalles movimientos'!F$5:F$1021, MATCH(60, 'Detalles movimientos'!$U$5:$U$1021, 0)), "")</f>
        <v/>
      </c>
      <c r="F69" s="18">
        <f>IFERROR(INDEX('Detalles movimientos'!G$5:G$1021, MATCH(60, 'Detalles movimientos'!$U$5:$U$1021, 0)), "")</f>
        <v/>
      </c>
      <c r="G69" s="120">
        <f>IFERROR(INDEX('Detalles movimientos'!H$5:H$1021, MATCH(60, 'Detalles movimientos'!$U$5:$U$1021, 0)), "")</f>
        <v/>
      </c>
      <c r="H69" s="121">
        <f>IFERROR(INDEX('Detalles movimientos'!I$5:I$1021, MATCH(60, 'Detalles movimientos'!$U$5:$U$1021, 0)), "")</f>
        <v/>
      </c>
      <c r="I69" s="120">
        <f>IFERROR(INDEX('Detalles movimientos'!M$5:M$1021, MATCH(60, 'Detalles movimientos'!$U$5:$U$1021, 0)), "")</f>
        <v/>
      </c>
      <c r="J69" s="19">
        <f>IFERROR(INDEX('Detalles movimientos'!N$5:N$1021, MATCH(60, 'Detalles movimientos'!$U$5:$U$1021, 0)), "")</f>
        <v/>
      </c>
      <c r="K69" s="120">
        <f>IFERROR(INDEX('Detalles movimientos'!O$5:O$1021, MATCH(60, 'Detalles movimientos'!$U$5:$U$1021, 0)), "")</f>
        <v/>
      </c>
      <c r="L69" s="18">
        <f>IFERROR(INDEX('Detalles movimientos'!P$5:P$1021, MATCH(60, 'Detalles movimientos'!$U$5:$U$1021, 0)), "")</f>
        <v/>
      </c>
      <c r="M69" s="18">
        <f>IFERROR(INDEX('Detalles movimientos'!S$5:S$1021, MATCH(60, 'Detalles movimientos'!$U$5:$U$1021, 0)), "")</f>
        <v/>
      </c>
    </row>
    <row r="70">
      <c r="B70" s="119">
        <f>IFERROR(INDEX('Detalles movimientos'!C$5:C$1021, MATCH(61, 'Detalles movimientos'!$U$5:$U$1021, 0)), "")</f>
        <v/>
      </c>
      <c r="C70" s="18">
        <f>IFERROR(INDEX('Detalles movimientos'!D$5:D$1021, MATCH(61, 'Detalles movimientos'!$U$5:$U$1021, 0)), "")</f>
        <v/>
      </c>
      <c r="D70" s="19">
        <f>IFERROR(INDEX('Detalles movimientos'!E$5:E$1021, MATCH(61, 'Detalles movimientos'!$U$5:$U$1021, 0)), "")</f>
        <v/>
      </c>
      <c r="E70" s="19">
        <f>IFERROR(INDEX('Detalles movimientos'!F$5:F$1021, MATCH(61, 'Detalles movimientos'!$U$5:$U$1021, 0)), "")</f>
        <v/>
      </c>
      <c r="F70" s="18">
        <f>IFERROR(INDEX('Detalles movimientos'!G$5:G$1021, MATCH(61, 'Detalles movimientos'!$U$5:$U$1021, 0)), "")</f>
        <v/>
      </c>
      <c r="G70" s="120">
        <f>IFERROR(INDEX('Detalles movimientos'!H$5:H$1021, MATCH(61, 'Detalles movimientos'!$U$5:$U$1021, 0)), "")</f>
        <v/>
      </c>
      <c r="H70" s="121">
        <f>IFERROR(INDEX('Detalles movimientos'!I$5:I$1021, MATCH(61, 'Detalles movimientos'!$U$5:$U$1021, 0)), "")</f>
        <v/>
      </c>
      <c r="I70" s="120">
        <f>IFERROR(INDEX('Detalles movimientos'!M$5:M$1021, MATCH(61, 'Detalles movimientos'!$U$5:$U$1021, 0)), "")</f>
        <v/>
      </c>
      <c r="J70" s="19">
        <f>IFERROR(INDEX('Detalles movimientos'!N$5:N$1021, MATCH(61, 'Detalles movimientos'!$U$5:$U$1021, 0)), "")</f>
        <v/>
      </c>
      <c r="K70" s="120">
        <f>IFERROR(INDEX('Detalles movimientos'!O$5:O$1021, MATCH(61, 'Detalles movimientos'!$U$5:$U$1021, 0)), "")</f>
        <v/>
      </c>
      <c r="L70" s="18">
        <f>IFERROR(INDEX('Detalles movimientos'!P$5:P$1021, MATCH(61, 'Detalles movimientos'!$U$5:$U$1021, 0)), "")</f>
        <v/>
      </c>
      <c r="M70" s="18">
        <f>IFERROR(INDEX('Detalles movimientos'!S$5:S$1021, MATCH(61, 'Detalles movimientos'!$U$5:$U$1021, 0)), "")</f>
        <v/>
      </c>
    </row>
    <row r="71">
      <c r="B71" s="119">
        <f>IFERROR(INDEX('Detalles movimientos'!C$5:C$1021, MATCH(62, 'Detalles movimientos'!$U$5:$U$1021, 0)), "")</f>
        <v/>
      </c>
      <c r="C71" s="18">
        <f>IFERROR(INDEX('Detalles movimientos'!D$5:D$1021, MATCH(62, 'Detalles movimientos'!$U$5:$U$1021, 0)), "")</f>
        <v/>
      </c>
      <c r="D71" s="19">
        <f>IFERROR(INDEX('Detalles movimientos'!E$5:E$1021, MATCH(62, 'Detalles movimientos'!$U$5:$U$1021, 0)), "")</f>
        <v/>
      </c>
      <c r="E71" s="19">
        <f>IFERROR(INDEX('Detalles movimientos'!F$5:F$1021, MATCH(62, 'Detalles movimientos'!$U$5:$U$1021, 0)), "")</f>
        <v/>
      </c>
      <c r="F71" s="18">
        <f>IFERROR(INDEX('Detalles movimientos'!G$5:G$1021, MATCH(62, 'Detalles movimientos'!$U$5:$U$1021, 0)), "")</f>
        <v/>
      </c>
      <c r="G71" s="120">
        <f>IFERROR(INDEX('Detalles movimientos'!H$5:H$1021, MATCH(62, 'Detalles movimientos'!$U$5:$U$1021, 0)), "")</f>
        <v/>
      </c>
      <c r="H71" s="121">
        <f>IFERROR(INDEX('Detalles movimientos'!I$5:I$1021, MATCH(62, 'Detalles movimientos'!$U$5:$U$1021, 0)), "")</f>
        <v/>
      </c>
      <c r="I71" s="120">
        <f>IFERROR(INDEX('Detalles movimientos'!M$5:M$1021, MATCH(62, 'Detalles movimientos'!$U$5:$U$1021, 0)), "")</f>
        <v/>
      </c>
      <c r="J71" s="19">
        <f>IFERROR(INDEX('Detalles movimientos'!N$5:N$1021, MATCH(62, 'Detalles movimientos'!$U$5:$U$1021, 0)), "")</f>
        <v/>
      </c>
      <c r="K71" s="120">
        <f>IFERROR(INDEX('Detalles movimientos'!O$5:O$1021, MATCH(62, 'Detalles movimientos'!$U$5:$U$1021, 0)), "")</f>
        <v/>
      </c>
      <c r="L71" s="18">
        <f>IFERROR(INDEX('Detalles movimientos'!P$5:P$1021, MATCH(62, 'Detalles movimientos'!$U$5:$U$1021, 0)), "")</f>
        <v/>
      </c>
      <c r="M71" s="18">
        <f>IFERROR(INDEX('Detalles movimientos'!S$5:S$1021, MATCH(62, 'Detalles movimientos'!$U$5:$U$1021, 0)), "")</f>
        <v/>
      </c>
    </row>
    <row r="72">
      <c r="B72" s="119">
        <f>IFERROR(INDEX('Detalles movimientos'!C$5:C$1021, MATCH(63, 'Detalles movimientos'!$U$5:$U$1021, 0)), "")</f>
        <v/>
      </c>
      <c r="C72" s="18">
        <f>IFERROR(INDEX('Detalles movimientos'!D$5:D$1021, MATCH(63, 'Detalles movimientos'!$U$5:$U$1021, 0)), "")</f>
        <v/>
      </c>
      <c r="D72" s="19">
        <f>IFERROR(INDEX('Detalles movimientos'!E$5:E$1021, MATCH(63, 'Detalles movimientos'!$U$5:$U$1021, 0)), "")</f>
        <v/>
      </c>
      <c r="E72" s="19">
        <f>IFERROR(INDEX('Detalles movimientos'!F$5:F$1021, MATCH(63, 'Detalles movimientos'!$U$5:$U$1021, 0)), "")</f>
        <v/>
      </c>
      <c r="F72" s="18">
        <f>IFERROR(INDEX('Detalles movimientos'!G$5:G$1021, MATCH(63, 'Detalles movimientos'!$U$5:$U$1021, 0)), "")</f>
        <v/>
      </c>
      <c r="G72" s="120">
        <f>IFERROR(INDEX('Detalles movimientos'!H$5:H$1021, MATCH(63, 'Detalles movimientos'!$U$5:$U$1021, 0)), "")</f>
        <v/>
      </c>
      <c r="H72" s="121">
        <f>IFERROR(INDEX('Detalles movimientos'!I$5:I$1021, MATCH(63, 'Detalles movimientos'!$U$5:$U$1021, 0)), "")</f>
        <v/>
      </c>
      <c r="I72" s="120">
        <f>IFERROR(INDEX('Detalles movimientos'!M$5:M$1021, MATCH(63, 'Detalles movimientos'!$U$5:$U$1021, 0)), "")</f>
        <v/>
      </c>
      <c r="J72" s="19">
        <f>IFERROR(INDEX('Detalles movimientos'!N$5:N$1021, MATCH(63, 'Detalles movimientos'!$U$5:$U$1021, 0)), "")</f>
        <v/>
      </c>
      <c r="K72" s="120">
        <f>IFERROR(INDEX('Detalles movimientos'!O$5:O$1021, MATCH(63, 'Detalles movimientos'!$U$5:$U$1021, 0)), "")</f>
        <v/>
      </c>
      <c r="L72" s="18">
        <f>IFERROR(INDEX('Detalles movimientos'!P$5:P$1021, MATCH(63, 'Detalles movimientos'!$U$5:$U$1021, 0)), "")</f>
        <v/>
      </c>
      <c r="M72" s="18">
        <f>IFERROR(INDEX('Detalles movimientos'!S$5:S$1021, MATCH(63, 'Detalles movimientos'!$U$5:$U$1021, 0)), "")</f>
        <v/>
      </c>
    </row>
    <row r="73">
      <c r="B73" s="119">
        <f>IFERROR(INDEX('Detalles movimientos'!C$5:C$1021, MATCH(64, 'Detalles movimientos'!$U$5:$U$1021, 0)), "")</f>
        <v/>
      </c>
      <c r="C73" s="18">
        <f>IFERROR(INDEX('Detalles movimientos'!D$5:D$1021, MATCH(64, 'Detalles movimientos'!$U$5:$U$1021, 0)), "")</f>
        <v/>
      </c>
      <c r="D73" s="19">
        <f>IFERROR(INDEX('Detalles movimientos'!E$5:E$1021, MATCH(64, 'Detalles movimientos'!$U$5:$U$1021, 0)), "")</f>
        <v/>
      </c>
      <c r="E73" s="19">
        <f>IFERROR(INDEX('Detalles movimientos'!F$5:F$1021, MATCH(64, 'Detalles movimientos'!$U$5:$U$1021, 0)), "")</f>
        <v/>
      </c>
      <c r="F73" s="18">
        <f>IFERROR(INDEX('Detalles movimientos'!G$5:G$1021, MATCH(64, 'Detalles movimientos'!$U$5:$U$1021, 0)), "")</f>
        <v/>
      </c>
      <c r="G73" s="120">
        <f>IFERROR(INDEX('Detalles movimientos'!H$5:H$1021, MATCH(64, 'Detalles movimientos'!$U$5:$U$1021, 0)), "")</f>
        <v/>
      </c>
      <c r="H73" s="121">
        <f>IFERROR(INDEX('Detalles movimientos'!I$5:I$1021, MATCH(64, 'Detalles movimientos'!$U$5:$U$1021, 0)), "")</f>
        <v/>
      </c>
      <c r="I73" s="120">
        <f>IFERROR(INDEX('Detalles movimientos'!M$5:M$1021, MATCH(64, 'Detalles movimientos'!$U$5:$U$1021, 0)), "")</f>
        <v/>
      </c>
      <c r="J73" s="19">
        <f>IFERROR(INDEX('Detalles movimientos'!N$5:N$1021, MATCH(64, 'Detalles movimientos'!$U$5:$U$1021, 0)), "")</f>
        <v/>
      </c>
      <c r="K73" s="120">
        <f>IFERROR(INDEX('Detalles movimientos'!O$5:O$1021, MATCH(64, 'Detalles movimientos'!$U$5:$U$1021, 0)), "")</f>
        <v/>
      </c>
      <c r="L73" s="18">
        <f>IFERROR(INDEX('Detalles movimientos'!P$5:P$1021, MATCH(64, 'Detalles movimientos'!$U$5:$U$1021, 0)), "")</f>
        <v/>
      </c>
      <c r="M73" s="18">
        <f>IFERROR(INDEX('Detalles movimientos'!S$5:S$1021, MATCH(64, 'Detalles movimientos'!$U$5:$U$1021, 0)), "")</f>
        <v/>
      </c>
    </row>
    <row r="74">
      <c r="B74" s="119">
        <f>IFERROR(INDEX('Detalles movimientos'!C$5:C$1021, MATCH(65, 'Detalles movimientos'!$U$5:$U$1021, 0)), "")</f>
        <v/>
      </c>
      <c r="C74" s="18">
        <f>IFERROR(INDEX('Detalles movimientos'!D$5:D$1021, MATCH(65, 'Detalles movimientos'!$U$5:$U$1021, 0)), "")</f>
        <v/>
      </c>
      <c r="D74" s="19">
        <f>IFERROR(INDEX('Detalles movimientos'!E$5:E$1021, MATCH(65, 'Detalles movimientos'!$U$5:$U$1021, 0)), "")</f>
        <v/>
      </c>
      <c r="E74" s="19">
        <f>IFERROR(INDEX('Detalles movimientos'!F$5:F$1021, MATCH(65, 'Detalles movimientos'!$U$5:$U$1021, 0)), "")</f>
        <v/>
      </c>
      <c r="F74" s="18">
        <f>IFERROR(INDEX('Detalles movimientos'!G$5:G$1021, MATCH(65, 'Detalles movimientos'!$U$5:$U$1021, 0)), "")</f>
        <v/>
      </c>
      <c r="G74" s="120">
        <f>IFERROR(INDEX('Detalles movimientos'!H$5:H$1021, MATCH(65, 'Detalles movimientos'!$U$5:$U$1021, 0)), "")</f>
        <v/>
      </c>
      <c r="H74" s="121">
        <f>IFERROR(INDEX('Detalles movimientos'!I$5:I$1021, MATCH(65, 'Detalles movimientos'!$U$5:$U$1021, 0)), "")</f>
        <v/>
      </c>
      <c r="I74" s="120">
        <f>IFERROR(INDEX('Detalles movimientos'!M$5:M$1021, MATCH(65, 'Detalles movimientos'!$U$5:$U$1021, 0)), "")</f>
        <v/>
      </c>
      <c r="J74" s="19">
        <f>IFERROR(INDEX('Detalles movimientos'!N$5:N$1021, MATCH(65, 'Detalles movimientos'!$U$5:$U$1021, 0)), "")</f>
        <v/>
      </c>
      <c r="K74" s="120">
        <f>IFERROR(INDEX('Detalles movimientos'!O$5:O$1021, MATCH(65, 'Detalles movimientos'!$U$5:$U$1021, 0)), "")</f>
        <v/>
      </c>
      <c r="L74" s="18">
        <f>IFERROR(INDEX('Detalles movimientos'!P$5:P$1021, MATCH(65, 'Detalles movimientos'!$U$5:$U$1021, 0)), "")</f>
        <v/>
      </c>
      <c r="M74" s="18">
        <f>IFERROR(INDEX('Detalles movimientos'!S$5:S$1021, MATCH(65, 'Detalles movimientos'!$U$5:$U$1021, 0)), "")</f>
        <v/>
      </c>
    </row>
    <row r="75">
      <c r="B75" s="119">
        <f>IFERROR(INDEX('Detalles movimientos'!C$5:C$1021, MATCH(66, 'Detalles movimientos'!$U$5:$U$1021, 0)), "")</f>
        <v/>
      </c>
      <c r="C75" s="18">
        <f>IFERROR(INDEX('Detalles movimientos'!D$5:D$1021, MATCH(66, 'Detalles movimientos'!$U$5:$U$1021, 0)), "")</f>
        <v/>
      </c>
      <c r="D75" s="19">
        <f>IFERROR(INDEX('Detalles movimientos'!E$5:E$1021, MATCH(66, 'Detalles movimientos'!$U$5:$U$1021, 0)), "")</f>
        <v/>
      </c>
      <c r="E75" s="19">
        <f>IFERROR(INDEX('Detalles movimientos'!F$5:F$1021, MATCH(66, 'Detalles movimientos'!$U$5:$U$1021, 0)), "")</f>
        <v/>
      </c>
      <c r="F75" s="18">
        <f>IFERROR(INDEX('Detalles movimientos'!G$5:G$1021, MATCH(66, 'Detalles movimientos'!$U$5:$U$1021, 0)), "")</f>
        <v/>
      </c>
      <c r="G75" s="120">
        <f>IFERROR(INDEX('Detalles movimientos'!H$5:H$1021, MATCH(66, 'Detalles movimientos'!$U$5:$U$1021, 0)), "")</f>
        <v/>
      </c>
      <c r="H75" s="121">
        <f>IFERROR(INDEX('Detalles movimientos'!I$5:I$1021, MATCH(66, 'Detalles movimientos'!$U$5:$U$1021, 0)), "")</f>
        <v/>
      </c>
      <c r="I75" s="120">
        <f>IFERROR(INDEX('Detalles movimientos'!M$5:M$1021, MATCH(66, 'Detalles movimientos'!$U$5:$U$1021, 0)), "")</f>
        <v/>
      </c>
      <c r="J75" s="19">
        <f>IFERROR(INDEX('Detalles movimientos'!N$5:N$1021, MATCH(66, 'Detalles movimientos'!$U$5:$U$1021, 0)), "")</f>
        <v/>
      </c>
      <c r="K75" s="120">
        <f>IFERROR(INDEX('Detalles movimientos'!O$5:O$1021, MATCH(66, 'Detalles movimientos'!$U$5:$U$1021, 0)), "")</f>
        <v/>
      </c>
      <c r="L75" s="18">
        <f>IFERROR(INDEX('Detalles movimientos'!P$5:P$1021, MATCH(66, 'Detalles movimientos'!$U$5:$U$1021, 0)), "")</f>
        <v/>
      </c>
      <c r="M75" s="18">
        <f>IFERROR(INDEX('Detalles movimientos'!S$5:S$1021, MATCH(66, 'Detalles movimientos'!$U$5:$U$1021, 0)), "")</f>
        <v/>
      </c>
    </row>
    <row r="76">
      <c r="B76" s="119">
        <f>IFERROR(INDEX('Detalles movimientos'!C$5:C$1021, MATCH(67, 'Detalles movimientos'!$U$5:$U$1021, 0)), "")</f>
        <v/>
      </c>
      <c r="C76" s="18">
        <f>IFERROR(INDEX('Detalles movimientos'!D$5:D$1021, MATCH(67, 'Detalles movimientos'!$U$5:$U$1021, 0)), "")</f>
        <v/>
      </c>
      <c r="D76" s="19">
        <f>IFERROR(INDEX('Detalles movimientos'!E$5:E$1021, MATCH(67, 'Detalles movimientos'!$U$5:$U$1021, 0)), "")</f>
        <v/>
      </c>
      <c r="E76" s="19">
        <f>IFERROR(INDEX('Detalles movimientos'!F$5:F$1021, MATCH(67, 'Detalles movimientos'!$U$5:$U$1021, 0)), "")</f>
        <v/>
      </c>
      <c r="F76" s="18">
        <f>IFERROR(INDEX('Detalles movimientos'!G$5:G$1021, MATCH(67, 'Detalles movimientos'!$U$5:$U$1021, 0)), "")</f>
        <v/>
      </c>
      <c r="G76" s="120">
        <f>IFERROR(INDEX('Detalles movimientos'!H$5:H$1021, MATCH(67, 'Detalles movimientos'!$U$5:$U$1021, 0)), "")</f>
        <v/>
      </c>
      <c r="H76" s="121">
        <f>IFERROR(INDEX('Detalles movimientos'!I$5:I$1021, MATCH(67, 'Detalles movimientos'!$U$5:$U$1021, 0)), "")</f>
        <v/>
      </c>
      <c r="I76" s="120">
        <f>IFERROR(INDEX('Detalles movimientos'!M$5:M$1021, MATCH(67, 'Detalles movimientos'!$U$5:$U$1021, 0)), "")</f>
        <v/>
      </c>
      <c r="J76" s="19">
        <f>IFERROR(INDEX('Detalles movimientos'!N$5:N$1021, MATCH(67, 'Detalles movimientos'!$U$5:$U$1021, 0)), "")</f>
        <v/>
      </c>
      <c r="K76" s="120">
        <f>IFERROR(INDEX('Detalles movimientos'!O$5:O$1021, MATCH(67, 'Detalles movimientos'!$U$5:$U$1021, 0)), "")</f>
        <v/>
      </c>
      <c r="L76" s="18">
        <f>IFERROR(INDEX('Detalles movimientos'!P$5:P$1021, MATCH(67, 'Detalles movimientos'!$U$5:$U$1021, 0)), "")</f>
        <v/>
      </c>
      <c r="M76" s="18">
        <f>IFERROR(INDEX('Detalles movimientos'!S$5:S$1021, MATCH(67, 'Detalles movimientos'!$U$5:$U$1021, 0)), "")</f>
        <v/>
      </c>
    </row>
    <row r="77">
      <c r="B77" s="119">
        <f>IFERROR(INDEX('Detalles movimientos'!C$5:C$1021, MATCH(68, 'Detalles movimientos'!$U$5:$U$1021, 0)), "")</f>
        <v/>
      </c>
      <c r="C77" s="18">
        <f>IFERROR(INDEX('Detalles movimientos'!D$5:D$1021, MATCH(68, 'Detalles movimientos'!$U$5:$U$1021, 0)), "")</f>
        <v/>
      </c>
      <c r="D77" s="19">
        <f>IFERROR(INDEX('Detalles movimientos'!E$5:E$1021, MATCH(68, 'Detalles movimientos'!$U$5:$U$1021, 0)), "")</f>
        <v/>
      </c>
      <c r="E77" s="19">
        <f>IFERROR(INDEX('Detalles movimientos'!F$5:F$1021, MATCH(68, 'Detalles movimientos'!$U$5:$U$1021, 0)), "")</f>
        <v/>
      </c>
      <c r="F77" s="18">
        <f>IFERROR(INDEX('Detalles movimientos'!G$5:G$1021, MATCH(68, 'Detalles movimientos'!$U$5:$U$1021, 0)), "")</f>
        <v/>
      </c>
      <c r="G77" s="120">
        <f>IFERROR(INDEX('Detalles movimientos'!H$5:H$1021, MATCH(68, 'Detalles movimientos'!$U$5:$U$1021, 0)), "")</f>
        <v/>
      </c>
      <c r="H77" s="121">
        <f>IFERROR(INDEX('Detalles movimientos'!I$5:I$1021, MATCH(68, 'Detalles movimientos'!$U$5:$U$1021, 0)), "")</f>
        <v/>
      </c>
      <c r="I77" s="120">
        <f>IFERROR(INDEX('Detalles movimientos'!M$5:M$1021, MATCH(68, 'Detalles movimientos'!$U$5:$U$1021, 0)), "")</f>
        <v/>
      </c>
      <c r="J77" s="19">
        <f>IFERROR(INDEX('Detalles movimientos'!N$5:N$1021, MATCH(68, 'Detalles movimientos'!$U$5:$U$1021, 0)), "")</f>
        <v/>
      </c>
      <c r="K77" s="120">
        <f>IFERROR(INDEX('Detalles movimientos'!O$5:O$1021, MATCH(68, 'Detalles movimientos'!$U$5:$U$1021, 0)), "")</f>
        <v/>
      </c>
      <c r="L77" s="18">
        <f>IFERROR(INDEX('Detalles movimientos'!P$5:P$1021, MATCH(68, 'Detalles movimientos'!$U$5:$U$1021, 0)), "")</f>
        <v/>
      </c>
      <c r="M77" s="18">
        <f>IFERROR(INDEX('Detalles movimientos'!S$5:S$1021, MATCH(68, 'Detalles movimientos'!$U$5:$U$1021, 0)), "")</f>
        <v/>
      </c>
    </row>
    <row r="78">
      <c r="B78" s="119">
        <f>IFERROR(INDEX('Detalles movimientos'!C$5:C$1021, MATCH(69, 'Detalles movimientos'!$U$5:$U$1021, 0)), "")</f>
        <v/>
      </c>
      <c r="C78" s="18">
        <f>IFERROR(INDEX('Detalles movimientos'!D$5:D$1021, MATCH(69, 'Detalles movimientos'!$U$5:$U$1021, 0)), "")</f>
        <v/>
      </c>
      <c r="D78" s="19">
        <f>IFERROR(INDEX('Detalles movimientos'!E$5:E$1021, MATCH(69, 'Detalles movimientos'!$U$5:$U$1021, 0)), "")</f>
        <v/>
      </c>
      <c r="E78" s="19">
        <f>IFERROR(INDEX('Detalles movimientos'!F$5:F$1021, MATCH(69, 'Detalles movimientos'!$U$5:$U$1021, 0)), "")</f>
        <v/>
      </c>
      <c r="F78" s="18">
        <f>IFERROR(INDEX('Detalles movimientos'!G$5:G$1021, MATCH(69, 'Detalles movimientos'!$U$5:$U$1021, 0)), "")</f>
        <v/>
      </c>
      <c r="G78" s="120">
        <f>IFERROR(INDEX('Detalles movimientos'!H$5:H$1021, MATCH(69, 'Detalles movimientos'!$U$5:$U$1021, 0)), "")</f>
        <v/>
      </c>
      <c r="H78" s="121">
        <f>IFERROR(INDEX('Detalles movimientos'!I$5:I$1021, MATCH(69, 'Detalles movimientos'!$U$5:$U$1021, 0)), "")</f>
        <v/>
      </c>
      <c r="I78" s="120">
        <f>IFERROR(INDEX('Detalles movimientos'!M$5:M$1021, MATCH(69, 'Detalles movimientos'!$U$5:$U$1021, 0)), "")</f>
        <v/>
      </c>
      <c r="J78" s="19">
        <f>IFERROR(INDEX('Detalles movimientos'!N$5:N$1021, MATCH(69, 'Detalles movimientos'!$U$5:$U$1021, 0)), "")</f>
        <v/>
      </c>
      <c r="K78" s="120">
        <f>IFERROR(INDEX('Detalles movimientos'!O$5:O$1021, MATCH(69, 'Detalles movimientos'!$U$5:$U$1021, 0)), "")</f>
        <v/>
      </c>
      <c r="L78" s="18">
        <f>IFERROR(INDEX('Detalles movimientos'!P$5:P$1021, MATCH(69, 'Detalles movimientos'!$U$5:$U$1021, 0)), "")</f>
        <v/>
      </c>
      <c r="M78" s="18">
        <f>IFERROR(INDEX('Detalles movimientos'!S$5:S$1021, MATCH(69, 'Detalles movimientos'!$U$5:$U$1021, 0)), "")</f>
        <v/>
      </c>
    </row>
    <row r="79">
      <c r="B79" s="119">
        <f>IFERROR(INDEX('Detalles movimientos'!C$5:C$1021, MATCH(70, 'Detalles movimientos'!$U$5:$U$1021, 0)), "")</f>
        <v/>
      </c>
      <c r="C79" s="18">
        <f>IFERROR(INDEX('Detalles movimientos'!D$5:D$1021, MATCH(70, 'Detalles movimientos'!$U$5:$U$1021, 0)), "")</f>
        <v/>
      </c>
      <c r="D79" s="19">
        <f>IFERROR(INDEX('Detalles movimientos'!E$5:E$1021, MATCH(70, 'Detalles movimientos'!$U$5:$U$1021, 0)), "")</f>
        <v/>
      </c>
      <c r="E79" s="19">
        <f>IFERROR(INDEX('Detalles movimientos'!F$5:F$1021, MATCH(70, 'Detalles movimientos'!$U$5:$U$1021, 0)), "")</f>
        <v/>
      </c>
      <c r="F79" s="18">
        <f>IFERROR(INDEX('Detalles movimientos'!G$5:G$1021, MATCH(70, 'Detalles movimientos'!$U$5:$U$1021, 0)), "")</f>
        <v/>
      </c>
      <c r="G79" s="120">
        <f>IFERROR(INDEX('Detalles movimientos'!H$5:H$1021, MATCH(70, 'Detalles movimientos'!$U$5:$U$1021, 0)), "")</f>
        <v/>
      </c>
      <c r="H79" s="121">
        <f>IFERROR(INDEX('Detalles movimientos'!I$5:I$1021, MATCH(70, 'Detalles movimientos'!$U$5:$U$1021, 0)), "")</f>
        <v/>
      </c>
      <c r="I79" s="120">
        <f>IFERROR(INDEX('Detalles movimientos'!M$5:M$1021, MATCH(70, 'Detalles movimientos'!$U$5:$U$1021, 0)), "")</f>
        <v/>
      </c>
      <c r="J79" s="19">
        <f>IFERROR(INDEX('Detalles movimientos'!N$5:N$1021, MATCH(70, 'Detalles movimientos'!$U$5:$U$1021, 0)), "")</f>
        <v/>
      </c>
      <c r="K79" s="120">
        <f>IFERROR(INDEX('Detalles movimientos'!O$5:O$1021, MATCH(70, 'Detalles movimientos'!$U$5:$U$1021, 0)), "")</f>
        <v/>
      </c>
      <c r="L79" s="18">
        <f>IFERROR(INDEX('Detalles movimientos'!P$5:P$1021, MATCH(70, 'Detalles movimientos'!$U$5:$U$1021, 0)), "")</f>
        <v/>
      </c>
      <c r="M79" s="18">
        <f>IFERROR(INDEX('Detalles movimientos'!S$5:S$1021, MATCH(70, 'Detalles movimientos'!$U$5:$U$1021, 0)), "")</f>
        <v/>
      </c>
    </row>
    <row r="80">
      <c r="B80" s="119">
        <f>IFERROR(INDEX('Detalles movimientos'!C$5:C$1021, MATCH(71, 'Detalles movimientos'!$U$5:$U$1021, 0)), "")</f>
        <v/>
      </c>
      <c r="C80" s="18">
        <f>IFERROR(INDEX('Detalles movimientos'!D$5:D$1021, MATCH(71, 'Detalles movimientos'!$U$5:$U$1021, 0)), "")</f>
        <v/>
      </c>
      <c r="D80" s="19">
        <f>IFERROR(INDEX('Detalles movimientos'!E$5:E$1021, MATCH(71, 'Detalles movimientos'!$U$5:$U$1021, 0)), "")</f>
        <v/>
      </c>
      <c r="E80" s="19">
        <f>IFERROR(INDEX('Detalles movimientos'!F$5:F$1021, MATCH(71, 'Detalles movimientos'!$U$5:$U$1021, 0)), "")</f>
        <v/>
      </c>
      <c r="F80" s="18">
        <f>IFERROR(INDEX('Detalles movimientos'!G$5:G$1021, MATCH(71, 'Detalles movimientos'!$U$5:$U$1021, 0)), "")</f>
        <v/>
      </c>
      <c r="G80" s="120">
        <f>IFERROR(INDEX('Detalles movimientos'!H$5:H$1021, MATCH(71, 'Detalles movimientos'!$U$5:$U$1021, 0)), "")</f>
        <v/>
      </c>
      <c r="H80" s="121">
        <f>IFERROR(INDEX('Detalles movimientos'!I$5:I$1021, MATCH(71, 'Detalles movimientos'!$U$5:$U$1021, 0)), "")</f>
        <v/>
      </c>
      <c r="I80" s="120">
        <f>IFERROR(INDEX('Detalles movimientos'!M$5:M$1021, MATCH(71, 'Detalles movimientos'!$U$5:$U$1021, 0)), "")</f>
        <v/>
      </c>
      <c r="J80" s="19">
        <f>IFERROR(INDEX('Detalles movimientos'!N$5:N$1021, MATCH(71, 'Detalles movimientos'!$U$5:$U$1021, 0)), "")</f>
        <v/>
      </c>
      <c r="K80" s="120">
        <f>IFERROR(INDEX('Detalles movimientos'!O$5:O$1021, MATCH(71, 'Detalles movimientos'!$U$5:$U$1021, 0)), "")</f>
        <v/>
      </c>
      <c r="L80" s="18">
        <f>IFERROR(INDEX('Detalles movimientos'!P$5:P$1021, MATCH(71, 'Detalles movimientos'!$U$5:$U$1021, 0)), "")</f>
        <v/>
      </c>
      <c r="M80" s="18">
        <f>IFERROR(INDEX('Detalles movimientos'!S$5:S$1021, MATCH(71, 'Detalles movimientos'!$U$5:$U$1021, 0)), "")</f>
        <v/>
      </c>
    </row>
    <row r="81">
      <c r="B81" s="119">
        <f>IFERROR(INDEX('Detalles movimientos'!C$5:C$1021, MATCH(72, 'Detalles movimientos'!$U$5:$U$1021, 0)), "")</f>
        <v/>
      </c>
      <c r="C81" s="18">
        <f>IFERROR(INDEX('Detalles movimientos'!D$5:D$1021, MATCH(72, 'Detalles movimientos'!$U$5:$U$1021, 0)), "")</f>
        <v/>
      </c>
      <c r="D81" s="19">
        <f>IFERROR(INDEX('Detalles movimientos'!E$5:E$1021, MATCH(72, 'Detalles movimientos'!$U$5:$U$1021, 0)), "")</f>
        <v/>
      </c>
      <c r="E81" s="19">
        <f>IFERROR(INDEX('Detalles movimientos'!F$5:F$1021, MATCH(72, 'Detalles movimientos'!$U$5:$U$1021, 0)), "")</f>
        <v/>
      </c>
      <c r="F81" s="18">
        <f>IFERROR(INDEX('Detalles movimientos'!G$5:G$1021, MATCH(72, 'Detalles movimientos'!$U$5:$U$1021, 0)), "")</f>
        <v/>
      </c>
      <c r="G81" s="120">
        <f>IFERROR(INDEX('Detalles movimientos'!H$5:H$1021, MATCH(72, 'Detalles movimientos'!$U$5:$U$1021, 0)), "")</f>
        <v/>
      </c>
      <c r="H81" s="121">
        <f>IFERROR(INDEX('Detalles movimientos'!I$5:I$1021, MATCH(72, 'Detalles movimientos'!$U$5:$U$1021, 0)), "")</f>
        <v/>
      </c>
      <c r="I81" s="120">
        <f>IFERROR(INDEX('Detalles movimientos'!M$5:M$1021, MATCH(72, 'Detalles movimientos'!$U$5:$U$1021, 0)), "")</f>
        <v/>
      </c>
      <c r="J81" s="19">
        <f>IFERROR(INDEX('Detalles movimientos'!N$5:N$1021, MATCH(72, 'Detalles movimientos'!$U$5:$U$1021, 0)), "")</f>
        <v/>
      </c>
      <c r="K81" s="120">
        <f>IFERROR(INDEX('Detalles movimientos'!O$5:O$1021, MATCH(72, 'Detalles movimientos'!$U$5:$U$1021, 0)), "")</f>
        <v/>
      </c>
      <c r="L81" s="18">
        <f>IFERROR(INDEX('Detalles movimientos'!P$5:P$1021, MATCH(72, 'Detalles movimientos'!$U$5:$U$1021, 0)), "")</f>
        <v/>
      </c>
      <c r="M81" s="18">
        <f>IFERROR(INDEX('Detalles movimientos'!S$5:S$1021, MATCH(72, 'Detalles movimientos'!$U$5:$U$1021, 0)), "")</f>
        <v/>
      </c>
    </row>
    <row r="82">
      <c r="B82" s="119">
        <f>IFERROR(INDEX('Detalles movimientos'!C$5:C$1021, MATCH(73, 'Detalles movimientos'!$U$5:$U$1021, 0)), "")</f>
        <v/>
      </c>
      <c r="C82" s="18">
        <f>IFERROR(INDEX('Detalles movimientos'!D$5:D$1021, MATCH(73, 'Detalles movimientos'!$U$5:$U$1021, 0)), "")</f>
        <v/>
      </c>
      <c r="D82" s="19">
        <f>IFERROR(INDEX('Detalles movimientos'!E$5:E$1021, MATCH(73, 'Detalles movimientos'!$U$5:$U$1021, 0)), "")</f>
        <v/>
      </c>
      <c r="E82" s="19">
        <f>IFERROR(INDEX('Detalles movimientos'!F$5:F$1021, MATCH(73, 'Detalles movimientos'!$U$5:$U$1021, 0)), "")</f>
        <v/>
      </c>
      <c r="F82" s="18">
        <f>IFERROR(INDEX('Detalles movimientos'!G$5:G$1021, MATCH(73, 'Detalles movimientos'!$U$5:$U$1021, 0)), "")</f>
        <v/>
      </c>
      <c r="G82" s="120">
        <f>IFERROR(INDEX('Detalles movimientos'!H$5:H$1021, MATCH(73, 'Detalles movimientos'!$U$5:$U$1021, 0)), "")</f>
        <v/>
      </c>
      <c r="H82" s="121">
        <f>IFERROR(INDEX('Detalles movimientos'!I$5:I$1021, MATCH(73, 'Detalles movimientos'!$U$5:$U$1021, 0)), "")</f>
        <v/>
      </c>
      <c r="I82" s="120">
        <f>IFERROR(INDEX('Detalles movimientos'!M$5:M$1021, MATCH(73, 'Detalles movimientos'!$U$5:$U$1021, 0)), "")</f>
        <v/>
      </c>
      <c r="J82" s="19">
        <f>IFERROR(INDEX('Detalles movimientos'!N$5:N$1021, MATCH(73, 'Detalles movimientos'!$U$5:$U$1021, 0)), "")</f>
        <v/>
      </c>
      <c r="K82" s="120">
        <f>IFERROR(INDEX('Detalles movimientos'!O$5:O$1021, MATCH(73, 'Detalles movimientos'!$U$5:$U$1021, 0)), "")</f>
        <v/>
      </c>
      <c r="L82" s="18">
        <f>IFERROR(INDEX('Detalles movimientos'!P$5:P$1021, MATCH(73, 'Detalles movimientos'!$U$5:$U$1021, 0)), "")</f>
        <v/>
      </c>
      <c r="M82" s="18">
        <f>IFERROR(INDEX('Detalles movimientos'!S$5:S$1021, MATCH(73, 'Detalles movimientos'!$U$5:$U$1021, 0)), "")</f>
        <v/>
      </c>
    </row>
    <row r="83">
      <c r="B83" s="119">
        <f>IFERROR(INDEX('Detalles movimientos'!C$5:C$1021, MATCH(74, 'Detalles movimientos'!$U$5:$U$1021, 0)), "")</f>
        <v/>
      </c>
      <c r="C83" s="18">
        <f>IFERROR(INDEX('Detalles movimientos'!D$5:D$1021, MATCH(74, 'Detalles movimientos'!$U$5:$U$1021, 0)), "")</f>
        <v/>
      </c>
      <c r="D83" s="19">
        <f>IFERROR(INDEX('Detalles movimientos'!E$5:E$1021, MATCH(74, 'Detalles movimientos'!$U$5:$U$1021, 0)), "")</f>
        <v/>
      </c>
      <c r="E83" s="19">
        <f>IFERROR(INDEX('Detalles movimientos'!F$5:F$1021, MATCH(74, 'Detalles movimientos'!$U$5:$U$1021, 0)), "")</f>
        <v/>
      </c>
      <c r="F83" s="18">
        <f>IFERROR(INDEX('Detalles movimientos'!G$5:G$1021, MATCH(74, 'Detalles movimientos'!$U$5:$U$1021, 0)), "")</f>
        <v/>
      </c>
      <c r="G83" s="120">
        <f>IFERROR(INDEX('Detalles movimientos'!H$5:H$1021, MATCH(74, 'Detalles movimientos'!$U$5:$U$1021, 0)), "")</f>
        <v/>
      </c>
      <c r="H83" s="121">
        <f>IFERROR(INDEX('Detalles movimientos'!I$5:I$1021, MATCH(74, 'Detalles movimientos'!$U$5:$U$1021, 0)), "")</f>
        <v/>
      </c>
      <c r="I83" s="120">
        <f>IFERROR(INDEX('Detalles movimientos'!M$5:M$1021, MATCH(74, 'Detalles movimientos'!$U$5:$U$1021, 0)), "")</f>
        <v/>
      </c>
      <c r="J83" s="19">
        <f>IFERROR(INDEX('Detalles movimientos'!N$5:N$1021, MATCH(74, 'Detalles movimientos'!$U$5:$U$1021, 0)), "")</f>
        <v/>
      </c>
      <c r="K83" s="120">
        <f>IFERROR(INDEX('Detalles movimientos'!O$5:O$1021, MATCH(74, 'Detalles movimientos'!$U$5:$U$1021, 0)), "")</f>
        <v/>
      </c>
      <c r="L83" s="18">
        <f>IFERROR(INDEX('Detalles movimientos'!P$5:P$1021, MATCH(74, 'Detalles movimientos'!$U$5:$U$1021, 0)), "")</f>
        <v/>
      </c>
      <c r="M83" s="18">
        <f>IFERROR(INDEX('Detalles movimientos'!S$5:S$1021, MATCH(74, 'Detalles movimientos'!$U$5:$U$1021, 0)), "")</f>
        <v/>
      </c>
    </row>
    <row r="84">
      <c r="B84" s="119">
        <f>IFERROR(INDEX('Detalles movimientos'!C$5:C$1021, MATCH(75, 'Detalles movimientos'!$U$5:$U$1021, 0)), "")</f>
        <v/>
      </c>
      <c r="C84" s="18">
        <f>IFERROR(INDEX('Detalles movimientos'!D$5:D$1021, MATCH(75, 'Detalles movimientos'!$U$5:$U$1021, 0)), "")</f>
        <v/>
      </c>
      <c r="D84" s="19">
        <f>IFERROR(INDEX('Detalles movimientos'!E$5:E$1021, MATCH(75, 'Detalles movimientos'!$U$5:$U$1021, 0)), "")</f>
        <v/>
      </c>
      <c r="E84" s="19">
        <f>IFERROR(INDEX('Detalles movimientos'!F$5:F$1021, MATCH(75, 'Detalles movimientos'!$U$5:$U$1021, 0)), "")</f>
        <v/>
      </c>
      <c r="F84" s="18">
        <f>IFERROR(INDEX('Detalles movimientos'!G$5:G$1021, MATCH(75, 'Detalles movimientos'!$U$5:$U$1021, 0)), "")</f>
        <v/>
      </c>
      <c r="G84" s="120">
        <f>IFERROR(INDEX('Detalles movimientos'!H$5:H$1021, MATCH(75, 'Detalles movimientos'!$U$5:$U$1021, 0)), "")</f>
        <v/>
      </c>
      <c r="H84" s="121">
        <f>IFERROR(INDEX('Detalles movimientos'!I$5:I$1021, MATCH(75, 'Detalles movimientos'!$U$5:$U$1021, 0)), "")</f>
        <v/>
      </c>
      <c r="I84" s="120">
        <f>IFERROR(INDEX('Detalles movimientos'!M$5:M$1021, MATCH(75, 'Detalles movimientos'!$U$5:$U$1021, 0)), "")</f>
        <v/>
      </c>
      <c r="J84" s="19">
        <f>IFERROR(INDEX('Detalles movimientos'!N$5:N$1021, MATCH(75, 'Detalles movimientos'!$U$5:$U$1021, 0)), "")</f>
        <v/>
      </c>
      <c r="K84" s="120">
        <f>IFERROR(INDEX('Detalles movimientos'!O$5:O$1021, MATCH(75, 'Detalles movimientos'!$U$5:$U$1021, 0)), "")</f>
        <v/>
      </c>
      <c r="L84" s="18">
        <f>IFERROR(INDEX('Detalles movimientos'!P$5:P$1021, MATCH(75, 'Detalles movimientos'!$U$5:$U$1021, 0)), "")</f>
        <v/>
      </c>
      <c r="M84" s="18">
        <f>IFERROR(INDEX('Detalles movimientos'!S$5:S$1021, MATCH(75, 'Detalles movimientos'!$U$5:$U$1021, 0)), "")</f>
        <v/>
      </c>
    </row>
    <row r="85">
      <c r="B85" s="119">
        <f>IFERROR(INDEX('Detalles movimientos'!C$5:C$1021, MATCH(76, 'Detalles movimientos'!$U$5:$U$1021, 0)), "")</f>
        <v/>
      </c>
      <c r="C85" s="18">
        <f>IFERROR(INDEX('Detalles movimientos'!D$5:D$1021, MATCH(76, 'Detalles movimientos'!$U$5:$U$1021, 0)), "")</f>
        <v/>
      </c>
      <c r="D85" s="19">
        <f>IFERROR(INDEX('Detalles movimientos'!E$5:E$1021, MATCH(76, 'Detalles movimientos'!$U$5:$U$1021, 0)), "")</f>
        <v/>
      </c>
      <c r="E85" s="19">
        <f>IFERROR(INDEX('Detalles movimientos'!F$5:F$1021, MATCH(76, 'Detalles movimientos'!$U$5:$U$1021, 0)), "")</f>
        <v/>
      </c>
      <c r="F85" s="18">
        <f>IFERROR(INDEX('Detalles movimientos'!G$5:G$1021, MATCH(76, 'Detalles movimientos'!$U$5:$U$1021, 0)), "")</f>
        <v/>
      </c>
      <c r="G85" s="120">
        <f>IFERROR(INDEX('Detalles movimientos'!H$5:H$1021, MATCH(76, 'Detalles movimientos'!$U$5:$U$1021, 0)), "")</f>
        <v/>
      </c>
      <c r="H85" s="121">
        <f>IFERROR(INDEX('Detalles movimientos'!I$5:I$1021, MATCH(76, 'Detalles movimientos'!$U$5:$U$1021, 0)), "")</f>
        <v/>
      </c>
      <c r="I85" s="120">
        <f>IFERROR(INDEX('Detalles movimientos'!M$5:M$1021, MATCH(76, 'Detalles movimientos'!$U$5:$U$1021, 0)), "")</f>
        <v/>
      </c>
      <c r="J85" s="19">
        <f>IFERROR(INDEX('Detalles movimientos'!N$5:N$1021, MATCH(76, 'Detalles movimientos'!$U$5:$U$1021, 0)), "")</f>
        <v/>
      </c>
      <c r="K85" s="120">
        <f>IFERROR(INDEX('Detalles movimientos'!O$5:O$1021, MATCH(76, 'Detalles movimientos'!$U$5:$U$1021, 0)), "")</f>
        <v/>
      </c>
      <c r="L85" s="18">
        <f>IFERROR(INDEX('Detalles movimientos'!P$5:P$1021, MATCH(76, 'Detalles movimientos'!$U$5:$U$1021, 0)), "")</f>
        <v/>
      </c>
      <c r="M85" s="18">
        <f>IFERROR(INDEX('Detalles movimientos'!S$5:S$1021, MATCH(76, 'Detalles movimientos'!$U$5:$U$1021, 0)), "")</f>
        <v/>
      </c>
    </row>
    <row r="86">
      <c r="B86" s="119">
        <f>IFERROR(INDEX('Detalles movimientos'!C$5:C$1021, MATCH(77, 'Detalles movimientos'!$U$5:$U$1021, 0)), "")</f>
        <v/>
      </c>
      <c r="C86" s="18">
        <f>IFERROR(INDEX('Detalles movimientos'!D$5:D$1021, MATCH(77, 'Detalles movimientos'!$U$5:$U$1021, 0)), "")</f>
        <v/>
      </c>
      <c r="D86" s="19">
        <f>IFERROR(INDEX('Detalles movimientos'!E$5:E$1021, MATCH(77, 'Detalles movimientos'!$U$5:$U$1021, 0)), "")</f>
        <v/>
      </c>
      <c r="E86" s="19">
        <f>IFERROR(INDEX('Detalles movimientos'!F$5:F$1021, MATCH(77, 'Detalles movimientos'!$U$5:$U$1021, 0)), "")</f>
        <v/>
      </c>
      <c r="F86" s="18">
        <f>IFERROR(INDEX('Detalles movimientos'!G$5:G$1021, MATCH(77, 'Detalles movimientos'!$U$5:$U$1021, 0)), "")</f>
        <v/>
      </c>
      <c r="G86" s="120">
        <f>IFERROR(INDEX('Detalles movimientos'!H$5:H$1021, MATCH(77, 'Detalles movimientos'!$U$5:$U$1021, 0)), "")</f>
        <v/>
      </c>
      <c r="H86" s="121">
        <f>IFERROR(INDEX('Detalles movimientos'!I$5:I$1021, MATCH(77, 'Detalles movimientos'!$U$5:$U$1021, 0)), "")</f>
        <v/>
      </c>
      <c r="I86" s="120">
        <f>IFERROR(INDEX('Detalles movimientos'!M$5:M$1021, MATCH(77, 'Detalles movimientos'!$U$5:$U$1021, 0)), "")</f>
        <v/>
      </c>
      <c r="J86" s="19">
        <f>IFERROR(INDEX('Detalles movimientos'!N$5:N$1021, MATCH(77, 'Detalles movimientos'!$U$5:$U$1021, 0)), "")</f>
        <v/>
      </c>
      <c r="K86" s="120">
        <f>IFERROR(INDEX('Detalles movimientos'!O$5:O$1021, MATCH(77, 'Detalles movimientos'!$U$5:$U$1021, 0)), "")</f>
        <v/>
      </c>
      <c r="L86" s="18">
        <f>IFERROR(INDEX('Detalles movimientos'!P$5:P$1021, MATCH(77, 'Detalles movimientos'!$U$5:$U$1021, 0)), "")</f>
        <v/>
      </c>
      <c r="M86" s="18">
        <f>IFERROR(INDEX('Detalles movimientos'!S$5:S$1021, MATCH(77, 'Detalles movimientos'!$U$5:$U$1021, 0)), "")</f>
        <v/>
      </c>
    </row>
    <row r="87">
      <c r="B87" s="119">
        <f>IFERROR(INDEX('Detalles movimientos'!C$5:C$1021, MATCH(78, 'Detalles movimientos'!$U$5:$U$1021, 0)), "")</f>
        <v/>
      </c>
      <c r="C87" s="18">
        <f>IFERROR(INDEX('Detalles movimientos'!D$5:D$1021, MATCH(78, 'Detalles movimientos'!$U$5:$U$1021, 0)), "")</f>
        <v/>
      </c>
      <c r="D87" s="19">
        <f>IFERROR(INDEX('Detalles movimientos'!E$5:E$1021, MATCH(78, 'Detalles movimientos'!$U$5:$U$1021, 0)), "")</f>
        <v/>
      </c>
      <c r="E87" s="19">
        <f>IFERROR(INDEX('Detalles movimientos'!F$5:F$1021, MATCH(78, 'Detalles movimientos'!$U$5:$U$1021, 0)), "")</f>
        <v/>
      </c>
      <c r="F87" s="18">
        <f>IFERROR(INDEX('Detalles movimientos'!G$5:G$1021, MATCH(78, 'Detalles movimientos'!$U$5:$U$1021, 0)), "")</f>
        <v/>
      </c>
      <c r="G87" s="120">
        <f>IFERROR(INDEX('Detalles movimientos'!H$5:H$1021, MATCH(78, 'Detalles movimientos'!$U$5:$U$1021, 0)), "")</f>
        <v/>
      </c>
      <c r="H87" s="121">
        <f>IFERROR(INDEX('Detalles movimientos'!I$5:I$1021, MATCH(78, 'Detalles movimientos'!$U$5:$U$1021, 0)), "")</f>
        <v/>
      </c>
      <c r="I87" s="120">
        <f>IFERROR(INDEX('Detalles movimientos'!M$5:M$1021, MATCH(78, 'Detalles movimientos'!$U$5:$U$1021, 0)), "")</f>
        <v/>
      </c>
      <c r="J87" s="19">
        <f>IFERROR(INDEX('Detalles movimientos'!N$5:N$1021, MATCH(78, 'Detalles movimientos'!$U$5:$U$1021, 0)), "")</f>
        <v/>
      </c>
      <c r="K87" s="120">
        <f>IFERROR(INDEX('Detalles movimientos'!O$5:O$1021, MATCH(78, 'Detalles movimientos'!$U$5:$U$1021, 0)), "")</f>
        <v/>
      </c>
      <c r="L87" s="18">
        <f>IFERROR(INDEX('Detalles movimientos'!P$5:P$1021, MATCH(78, 'Detalles movimientos'!$U$5:$U$1021, 0)), "")</f>
        <v/>
      </c>
      <c r="M87" s="18">
        <f>IFERROR(INDEX('Detalles movimientos'!S$5:S$1021, MATCH(78, 'Detalles movimientos'!$U$5:$U$1021, 0)), "")</f>
        <v/>
      </c>
    </row>
    <row r="88">
      <c r="B88" s="119">
        <f>IFERROR(INDEX('Detalles movimientos'!C$5:C$1021, MATCH(79, 'Detalles movimientos'!$U$5:$U$1021, 0)), "")</f>
        <v/>
      </c>
      <c r="C88" s="18">
        <f>IFERROR(INDEX('Detalles movimientos'!D$5:D$1021, MATCH(79, 'Detalles movimientos'!$U$5:$U$1021, 0)), "")</f>
        <v/>
      </c>
      <c r="D88" s="19">
        <f>IFERROR(INDEX('Detalles movimientos'!E$5:E$1021, MATCH(79, 'Detalles movimientos'!$U$5:$U$1021, 0)), "")</f>
        <v/>
      </c>
      <c r="E88" s="19">
        <f>IFERROR(INDEX('Detalles movimientos'!F$5:F$1021, MATCH(79, 'Detalles movimientos'!$U$5:$U$1021, 0)), "")</f>
        <v/>
      </c>
      <c r="F88" s="18">
        <f>IFERROR(INDEX('Detalles movimientos'!G$5:G$1021, MATCH(79, 'Detalles movimientos'!$U$5:$U$1021, 0)), "")</f>
        <v/>
      </c>
      <c r="G88" s="120">
        <f>IFERROR(INDEX('Detalles movimientos'!H$5:H$1021, MATCH(79, 'Detalles movimientos'!$U$5:$U$1021, 0)), "")</f>
        <v/>
      </c>
      <c r="H88" s="121">
        <f>IFERROR(INDEX('Detalles movimientos'!I$5:I$1021, MATCH(79, 'Detalles movimientos'!$U$5:$U$1021, 0)), "")</f>
        <v/>
      </c>
      <c r="I88" s="120">
        <f>IFERROR(INDEX('Detalles movimientos'!M$5:M$1021, MATCH(79, 'Detalles movimientos'!$U$5:$U$1021, 0)), "")</f>
        <v/>
      </c>
      <c r="J88" s="19">
        <f>IFERROR(INDEX('Detalles movimientos'!N$5:N$1021, MATCH(79, 'Detalles movimientos'!$U$5:$U$1021, 0)), "")</f>
        <v/>
      </c>
      <c r="K88" s="120">
        <f>IFERROR(INDEX('Detalles movimientos'!O$5:O$1021, MATCH(79, 'Detalles movimientos'!$U$5:$U$1021, 0)), "")</f>
        <v/>
      </c>
      <c r="L88" s="18">
        <f>IFERROR(INDEX('Detalles movimientos'!P$5:P$1021, MATCH(79, 'Detalles movimientos'!$U$5:$U$1021, 0)), "")</f>
        <v/>
      </c>
      <c r="M88" s="18">
        <f>IFERROR(INDEX('Detalles movimientos'!S$5:S$1021, MATCH(79, 'Detalles movimientos'!$U$5:$U$1021, 0)), "")</f>
        <v/>
      </c>
    </row>
    <row r="89">
      <c r="B89" s="119">
        <f>IFERROR(INDEX('Detalles movimientos'!C$5:C$1021, MATCH(80, 'Detalles movimientos'!$U$5:$U$1021, 0)), "")</f>
        <v/>
      </c>
      <c r="C89" s="18">
        <f>IFERROR(INDEX('Detalles movimientos'!D$5:D$1021, MATCH(80, 'Detalles movimientos'!$U$5:$U$1021, 0)), "")</f>
        <v/>
      </c>
      <c r="D89" s="19">
        <f>IFERROR(INDEX('Detalles movimientos'!E$5:E$1021, MATCH(80, 'Detalles movimientos'!$U$5:$U$1021, 0)), "")</f>
        <v/>
      </c>
      <c r="E89" s="19">
        <f>IFERROR(INDEX('Detalles movimientos'!F$5:F$1021, MATCH(80, 'Detalles movimientos'!$U$5:$U$1021, 0)), "")</f>
        <v/>
      </c>
      <c r="F89" s="18">
        <f>IFERROR(INDEX('Detalles movimientos'!G$5:G$1021, MATCH(80, 'Detalles movimientos'!$U$5:$U$1021, 0)), "")</f>
        <v/>
      </c>
      <c r="G89" s="120">
        <f>IFERROR(INDEX('Detalles movimientos'!H$5:H$1021, MATCH(80, 'Detalles movimientos'!$U$5:$U$1021, 0)), "")</f>
        <v/>
      </c>
      <c r="H89" s="121">
        <f>IFERROR(INDEX('Detalles movimientos'!I$5:I$1021, MATCH(80, 'Detalles movimientos'!$U$5:$U$1021, 0)), "")</f>
        <v/>
      </c>
      <c r="I89" s="120">
        <f>IFERROR(INDEX('Detalles movimientos'!M$5:M$1021, MATCH(80, 'Detalles movimientos'!$U$5:$U$1021, 0)), "")</f>
        <v/>
      </c>
      <c r="J89" s="19">
        <f>IFERROR(INDEX('Detalles movimientos'!N$5:N$1021, MATCH(80, 'Detalles movimientos'!$U$5:$U$1021, 0)), "")</f>
        <v/>
      </c>
      <c r="K89" s="120">
        <f>IFERROR(INDEX('Detalles movimientos'!O$5:O$1021, MATCH(80, 'Detalles movimientos'!$U$5:$U$1021, 0)), "")</f>
        <v/>
      </c>
      <c r="L89" s="18">
        <f>IFERROR(INDEX('Detalles movimientos'!P$5:P$1021, MATCH(80, 'Detalles movimientos'!$U$5:$U$1021, 0)), "")</f>
        <v/>
      </c>
      <c r="M89" s="18">
        <f>IFERROR(INDEX('Detalles movimientos'!S$5:S$1021, MATCH(80, 'Detalles movimientos'!$U$5:$U$1021, 0)), "")</f>
        <v/>
      </c>
    </row>
    <row r="90">
      <c r="B90" s="119">
        <f>IFERROR(INDEX('Detalles movimientos'!C$5:C$1021, MATCH(81, 'Detalles movimientos'!$U$5:$U$1021, 0)), "")</f>
        <v/>
      </c>
      <c r="C90" s="18">
        <f>IFERROR(INDEX('Detalles movimientos'!D$5:D$1021, MATCH(81, 'Detalles movimientos'!$U$5:$U$1021, 0)), "")</f>
        <v/>
      </c>
      <c r="D90" s="19">
        <f>IFERROR(INDEX('Detalles movimientos'!E$5:E$1021, MATCH(81, 'Detalles movimientos'!$U$5:$U$1021, 0)), "")</f>
        <v/>
      </c>
      <c r="E90" s="19">
        <f>IFERROR(INDEX('Detalles movimientos'!F$5:F$1021, MATCH(81, 'Detalles movimientos'!$U$5:$U$1021, 0)), "")</f>
        <v/>
      </c>
      <c r="F90" s="18">
        <f>IFERROR(INDEX('Detalles movimientos'!G$5:G$1021, MATCH(81, 'Detalles movimientos'!$U$5:$U$1021, 0)), "")</f>
        <v/>
      </c>
      <c r="G90" s="120">
        <f>IFERROR(INDEX('Detalles movimientos'!H$5:H$1021, MATCH(81, 'Detalles movimientos'!$U$5:$U$1021, 0)), "")</f>
        <v/>
      </c>
      <c r="H90" s="121">
        <f>IFERROR(INDEX('Detalles movimientos'!I$5:I$1021, MATCH(81, 'Detalles movimientos'!$U$5:$U$1021, 0)), "")</f>
        <v/>
      </c>
      <c r="I90" s="120">
        <f>IFERROR(INDEX('Detalles movimientos'!M$5:M$1021, MATCH(81, 'Detalles movimientos'!$U$5:$U$1021, 0)), "")</f>
        <v/>
      </c>
      <c r="J90" s="19">
        <f>IFERROR(INDEX('Detalles movimientos'!N$5:N$1021, MATCH(81, 'Detalles movimientos'!$U$5:$U$1021, 0)), "")</f>
        <v/>
      </c>
      <c r="K90" s="120">
        <f>IFERROR(INDEX('Detalles movimientos'!O$5:O$1021, MATCH(81, 'Detalles movimientos'!$U$5:$U$1021, 0)), "")</f>
        <v/>
      </c>
      <c r="L90" s="18">
        <f>IFERROR(INDEX('Detalles movimientos'!P$5:P$1021, MATCH(81, 'Detalles movimientos'!$U$5:$U$1021, 0)), "")</f>
        <v/>
      </c>
      <c r="M90" s="18">
        <f>IFERROR(INDEX('Detalles movimientos'!S$5:S$1021, MATCH(81, 'Detalles movimientos'!$U$5:$U$1021, 0)), "")</f>
        <v/>
      </c>
    </row>
    <row r="91">
      <c r="B91" s="119">
        <f>IFERROR(INDEX('Detalles movimientos'!C$5:C$1021, MATCH(82, 'Detalles movimientos'!$U$5:$U$1021, 0)), "")</f>
        <v/>
      </c>
      <c r="C91" s="18">
        <f>IFERROR(INDEX('Detalles movimientos'!D$5:D$1021, MATCH(82, 'Detalles movimientos'!$U$5:$U$1021, 0)), "")</f>
        <v/>
      </c>
      <c r="D91" s="19">
        <f>IFERROR(INDEX('Detalles movimientos'!E$5:E$1021, MATCH(82, 'Detalles movimientos'!$U$5:$U$1021, 0)), "")</f>
        <v/>
      </c>
      <c r="E91" s="19">
        <f>IFERROR(INDEX('Detalles movimientos'!F$5:F$1021, MATCH(82, 'Detalles movimientos'!$U$5:$U$1021, 0)), "")</f>
        <v/>
      </c>
      <c r="F91" s="18">
        <f>IFERROR(INDEX('Detalles movimientos'!G$5:G$1021, MATCH(82, 'Detalles movimientos'!$U$5:$U$1021, 0)), "")</f>
        <v/>
      </c>
      <c r="G91" s="120">
        <f>IFERROR(INDEX('Detalles movimientos'!H$5:H$1021, MATCH(82, 'Detalles movimientos'!$U$5:$U$1021, 0)), "")</f>
        <v/>
      </c>
      <c r="H91" s="121">
        <f>IFERROR(INDEX('Detalles movimientos'!I$5:I$1021, MATCH(82, 'Detalles movimientos'!$U$5:$U$1021, 0)), "")</f>
        <v/>
      </c>
      <c r="I91" s="120">
        <f>IFERROR(INDEX('Detalles movimientos'!M$5:M$1021, MATCH(82, 'Detalles movimientos'!$U$5:$U$1021, 0)), "")</f>
        <v/>
      </c>
      <c r="J91" s="19">
        <f>IFERROR(INDEX('Detalles movimientos'!N$5:N$1021, MATCH(82, 'Detalles movimientos'!$U$5:$U$1021, 0)), "")</f>
        <v/>
      </c>
      <c r="K91" s="120">
        <f>IFERROR(INDEX('Detalles movimientos'!O$5:O$1021, MATCH(82, 'Detalles movimientos'!$U$5:$U$1021, 0)), "")</f>
        <v/>
      </c>
      <c r="L91" s="18">
        <f>IFERROR(INDEX('Detalles movimientos'!P$5:P$1021, MATCH(82, 'Detalles movimientos'!$U$5:$U$1021, 0)), "")</f>
        <v/>
      </c>
      <c r="M91" s="18">
        <f>IFERROR(INDEX('Detalles movimientos'!S$5:S$1021, MATCH(82, 'Detalles movimientos'!$U$5:$U$1021, 0)), "")</f>
        <v/>
      </c>
    </row>
    <row r="92">
      <c r="B92" s="119">
        <f>IFERROR(INDEX('Detalles movimientos'!C$5:C$1021, MATCH(83, 'Detalles movimientos'!$U$5:$U$1021, 0)), "")</f>
        <v/>
      </c>
      <c r="C92" s="18">
        <f>IFERROR(INDEX('Detalles movimientos'!D$5:D$1021, MATCH(83, 'Detalles movimientos'!$U$5:$U$1021, 0)), "")</f>
        <v/>
      </c>
      <c r="D92" s="19">
        <f>IFERROR(INDEX('Detalles movimientos'!E$5:E$1021, MATCH(83, 'Detalles movimientos'!$U$5:$U$1021, 0)), "")</f>
        <v/>
      </c>
      <c r="E92" s="19">
        <f>IFERROR(INDEX('Detalles movimientos'!F$5:F$1021, MATCH(83, 'Detalles movimientos'!$U$5:$U$1021, 0)), "")</f>
        <v/>
      </c>
      <c r="F92" s="18">
        <f>IFERROR(INDEX('Detalles movimientos'!G$5:G$1021, MATCH(83, 'Detalles movimientos'!$U$5:$U$1021, 0)), "")</f>
        <v/>
      </c>
      <c r="G92" s="120">
        <f>IFERROR(INDEX('Detalles movimientos'!H$5:H$1021, MATCH(83, 'Detalles movimientos'!$U$5:$U$1021, 0)), "")</f>
        <v/>
      </c>
      <c r="H92" s="121">
        <f>IFERROR(INDEX('Detalles movimientos'!I$5:I$1021, MATCH(83, 'Detalles movimientos'!$U$5:$U$1021, 0)), "")</f>
        <v/>
      </c>
      <c r="I92" s="120">
        <f>IFERROR(INDEX('Detalles movimientos'!M$5:M$1021, MATCH(83, 'Detalles movimientos'!$U$5:$U$1021, 0)), "")</f>
        <v/>
      </c>
      <c r="J92" s="19">
        <f>IFERROR(INDEX('Detalles movimientos'!N$5:N$1021, MATCH(83, 'Detalles movimientos'!$U$5:$U$1021, 0)), "")</f>
        <v/>
      </c>
      <c r="K92" s="120">
        <f>IFERROR(INDEX('Detalles movimientos'!O$5:O$1021, MATCH(83, 'Detalles movimientos'!$U$5:$U$1021, 0)), "")</f>
        <v/>
      </c>
      <c r="L92" s="18">
        <f>IFERROR(INDEX('Detalles movimientos'!P$5:P$1021, MATCH(83, 'Detalles movimientos'!$U$5:$U$1021, 0)), "")</f>
        <v/>
      </c>
      <c r="M92" s="18">
        <f>IFERROR(INDEX('Detalles movimientos'!S$5:S$1021, MATCH(83, 'Detalles movimientos'!$U$5:$U$1021, 0)), "")</f>
        <v/>
      </c>
    </row>
    <row r="93">
      <c r="B93" s="119">
        <f>IFERROR(INDEX('Detalles movimientos'!C$5:C$1021, MATCH(84, 'Detalles movimientos'!$U$5:$U$1021, 0)), "")</f>
        <v/>
      </c>
      <c r="C93" s="18">
        <f>IFERROR(INDEX('Detalles movimientos'!D$5:D$1021, MATCH(84, 'Detalles movimientos'!$U$5:$U$1021, 0)), "")</f>
        <v/>
      </c>
      <c r="D93" s="19">
        <f>IFERROR(INDEX('Detalles movimientos'!E$5:E$1021, MATCH(84, 'Detalles movimientos'!$U$5:$U$1021, 0)), "")</f>
        <v/>
      </c>
      <c r="E93" s="19">
        <f>IFERROR(INDEX('Detalles movimientos'!F$5:F$1021, MATCH(84, 'Detalles movimientos'!$U$5:$U$1021, 0)), "")</f>
        <v/>
      </c>
      <c r="F93" s="18">
        <f>IFERROR(INDEX('Detalles movimientos'!G$5:G$1021, MATCH(84, 'Detalles movimientos'!$U$5:$U$1021, 0)), "")</f>
        <v/>
      </c>
      <c r="G93" s="120">
        <f>IFERROR(INDEX('Detalles movimientos'!H$5:H$1021, MATCH(84, 'Detalles movimientos'!$U$5:$U$1021, 0)), "")</f>
        <v/>
      </c>
      <c r="H93" s="121">
        <f>IFERROR(INDEX('Detalles movimientos'!I$5:I$1021, MATCH(84, 'Detalles movimientos'!$U$5:$U$1021, 0)), "")</f>
        <v/>
      </c>
      <c r="I93" s="120">
        <f>IFERROR(INDEX('Detalles movimientos'!M$5:M$1021, MATCH(84, 'Detalles movimientos'!$U$5:$U$1021, 0)), "")</f>
        <v/>
      </c>
      <c r="J93" s="19">
        <f>IFERROR(INDEX('Detalles movimientos'!N$5:N$1021, MATCH(84, 'Detalles movimientos'!$U$5:$U$1021, 0)), "")</f>
        <v/>
      </c>
      <c r="K93" s="120">
        <f>IFERROR(INDEX('Detalles movimientos'!O$5:O$1021, MATCH(84, 'Detalles movimientos'!$U$5:$U$1021, 0)), "")</f>
        <v/>
      </c>
      <c r="L93" s="18">
        <f>IFERROR(INDEX('Detalles movimientos'!P$5:P$1021, MATCH(84, 'Detalles movimientos'!$U$5:$U$1021, 0)), "")</f>
        <v/>
      </c>
      <c r="M93" s="18">
        <f>IFERROR(INDEX('Detalles movimientos'!S$5:S$1021, MATCH(84, 'Detalles movimientos'!$U$5:$U$1021, 0)), "")</f>
        <v/>
      </c>
    </row>
    <row r="94">
      <c r="B94" s="119">
        <f>IFERROR(INDEX('Detalles movimientos'!C$5:C$1021, MATCH(85, 'Detalles movimientos'!$U$5:$U$1021, 0)), "")</f>
        <v/>
      </c>
      <c r="C94" s="18">
        <f>IFERROR(INDEX('Detalles movimientos'!D$5:D$1021, MATCH(85, 'Detalles movimientos'!$U$5:$U$1021, 0)), "")</f>
        <v/>
      </c>
      <c r="D94" s="19">
        <f>IFERROR(INDEX('Detalles movimientos'!E$5:E$1021, MATCH(85, 'Detalles movimientos'!$U$5:$U$1021, 0)), "")</f>
        <v/>
      </c>
      <c r="E94" s="19">
        <f>IFERROR(INDEX('Detalles movimientos'!F$5:F$1021, MATCH(85, 'Detalles movimientos'!$U$5:$U$1021, 0)), "")</f>
        <v/>
      </c>
      <c r="F94" s="18">
        <f>IFERROR(INDEX('Detalles movimientos'!G$5:G$1021, MATCH(85, 'Detalles movimientos'!$U$5:$U$1021, 0)), "")</f>
        <v/>
      </c>
      <c r="G94" s="120">
        <f>IFERROR(INDEX('Detalles movimientos'!H$5:H$1021, MATCH(85, 'Detalles movimientos'!$U$5:$U$1021, 0)), "")</f>
        <v/>
      </c>
      <c r="H94" s="121">
        <f>IFERROR(INDEX('Detalles movimientos'!I$5:I$1021, MATCH(85, 'Detalles movimientos'!$U$5:$U$1021, 0)), "")</f>
        <v/>
      </c>
      <c r="I94" s="120">
        <f>IFERROR(INDEX('Detalles movimientos'!M$5:M$1021, MATCH(85, 'Detalles movimientos'!$U$5:$U$1021, 0)), "")</f>
        <v/>
      </c>
      <c r="J94" s="19">
        <f>IFERROR(INDEX('Detalles movimientos'!N$5:N$1021, MATCH(85, 'Detalles movimientos'!$U$5:$U$1021, 0)), "")</f>
        <v/>
      </c>
      <c r="K94" s="120">
        <f>IFERROR(INDEX('Detalles movimientos'!O$5:O$1021, MATCH(85, 'Detalles movimientos'!$U$5:$U$1021, 0)), "")</f>
        <v/>
      </c>
      <c r="L94" s="18">
        <f>IFERROR(INDEX('Detalles movimientos'!P$5:P$1021, MATCH(85, 'Detalles movimientos'!$U$5:$U$1021, 0)), "")</f>
        <v/>
      </c>
      <c r="M94" s="18">
        <f>IFERROR(INDEX('Detalles movimientos'!S$5:S$1021, MATCH(85, 'Detalles movimientos'!$U$5:$U$1021, 0)), "")</f>
        <v/>
      </c>
    </row>
    <row r="95">
      <c r="B95" s="119">
        <f>IFERROR(INDEX('Detalles movimientos'!C$5:C$1021, MATCH(86, 'Detalles movimientos'!$U$5:$U$1021, 0)), "")</f>
        <v/>
      </c>
      <c r="C95" s="18">
        <f>IFERROR(INDEX('Detalles movimientos'!D$5:D$1021, MATCH(86, 'Detalles movimientos'!$U$5:$U$1021, 0)), "")</f>
        <v/>
      </c>
      <c r="D95" s="19">
        <f>IFERROR(INDEX('Detalles movimientos'!E$5:E$1021, MATCH(86, 'Detalles movimientos'!$U$5:$U$1021, 0)), "")</f>
        <v/>
      </c>
      <c r="E95" s="19">
        <f>IFERROR(INDEX('Detalles movimientos'!F$5:F$1021, MATCH(86, 'Detalles movimientos'!$U$5:$U$1021, 0)), "")</f>
        <v/>
      </c>
      <c r="F95" s="18">
        <f>IFERROR(INDEX('Detalles movimientos'!G$5:G$1021, MATCH(86, 'Detalles movimientos'!$U$5:$U$1021, 0)), "")</f>
        <v/>
      </c>
      <c r="G95" s="120">
        <f>IFERROR(INDEX('Detalles movimientos'!H$5:H$1021, MATCH(86, 'Detalles movimientos'!$U$5:$U$1021, 0)), "")</f>
        <v/>
      </c>
      <c r="H95" s="121">
        <f>IFERROR(INDEX('Detalles movimientos'!I$5:I$1021, MATCH(86, 'Detalles movimientos'!$U$5:$U$1021, 0)), "")</f>
        <v/>
      </c>
      <c r="I95" s="120">
        <f>IFERROR(INDEX('Detalles movimientos'!M$5:M$1021, MATCH(86, 'Detalles movimientos'!$U$5:$U$1021, 0)), "")</f>
        <v/>
      </c>
      <c r="J95" s="19">
        <f>IFERROR(INDEX('Detalles movimientos'!N$5:N$1021, MATCH(86, 'Detalles movimientos'!$U$5:$U$1021, 0)), "")</f>
        <v/>
      </c>
      <c r="K95" s="120">
        <f>IFERROR(INDEX('Detalles movimientos'!O$5:O$1021, MATCH(86, 'Detalles movimientos'!$U$5:$U$1021, 0)), "")</f>
        <v/>
      </c>
      <c r="L95" s="18">
        <f>IFERROR(INDEX('Detalles movimientos'!P$5:P$1021, MATCH(86, 'Detalles movimientos'!$U$5:$U$1021, 0)), "")</f>
        <v/>
      </c>
      <c r="M95" s="18">
        <f>IFERROR(INDEX('Detalles movimientos'!S$5:S$1021, MATCH(86, 'Detalles movimientos'!$U$5:$U$1021, 0)), "")</f>
        <v/>
      </c>
    </row>
    <row r="96">
      <c r="B96" s="119">
        <f>IFERROR(INDEX('Detalles movimientos'!C$5:C$1021, MATCH(87, 'Detalles movimientos'!$U$5:$U$1021, 0)), "")</f>
        <v/>
      </c>
      <c r="C96" s="18">
        <f>IFERROR(INDEX('Detalles movimientos'!D$5:D$1021, MATCH(87, 'Detalles movimientos'!$U$5:$U$1021, 0)), "")</f>
        <v/>
      </c>
      <c r="D96" s="19">
        <f>IFERROR(INDEX('Detalles movimientos'!E$5:E$1021, MATCH(87, 'Detalles movimientos'!$U$5:$U$1021, 0)), "")</f>
        <v/>
      </c>
      <c r="E96" s="19">
        <f>IFERROR(INDEX('Detalles movimientos'!F$5:F$1021, MATCH(87, 'Detalles movimientos'!$U$5:$U$1021, 0)), "")</f>
        <v/>
      </c>
      <c r="F96" s="18">
        <f>IFERROR(INDEX('Detalles movimientos'!G$5:G$1021, MATCH(87, 'Detalles movimientos'!$U$5:$U$1021, 0)), "")</f>
        <v/>
      </c>
      <c r="G96" s="120">
        <f>IFERROR(INDEX('Detalles movimientos'!H$5:H$1021, MATCH(87, 'Detalles movimientos'!$U$5:$U$1021, 0)), "")</f>
        <v/>
      </c>
      <c r="H96" s="121">
        <f>IFERROR(INDEX('Detalles movimientos'!I$5:I$1021, MATCH(87, 'Detalles movimientos'!$U$5:$U$1021, 0)), "")</f>
        <v/>
      </c>
      <c r="I96" s="120">
        <f>IFERROR(INDEX('Detalles movimientos'!M$5:M$1021, MATCH(87, 'Detalles movimientos'!$U$5:$U$1021, 0)), "")</f>
        <v/>
      </c>
      <c r="J96" s="19">
        <f>IFERROR(INDEX('Detalles movimientos'!N$5:N$1021, MATCH(87, 'Detalles movimientos'!$U$5:$U$1021, 0)), "")</f>
        <v/>
      </c>
      <c r="K96" s="120">
        <f>IFERROR(INDEX('Detalles movimientos'!O$5:O$1021, MATCH(87, 'Detalles movimientos'!$U$5:$U$1021, 0)), "")</f>
        <v/>
      </c>
      <c r="L96" s="18">
        <f>IFERROR(INDEX('Detalles movimientos'!P$5:P$1021, MATCH(87, 'Detalles movimientos'!$U$5:$U$1021, 0)), "")</f>
        <v/>
      </c>
      <c r="M96" s="18">
        <f>IFERROR(INDEX('Detalles movimientos'!S$5:S$1021, MATCH(87, 'Detalles movimientos'!$U$5:$U$1021, 0)), "")</f>
        <v/>
      </c>
    </row>
    <row r="97">
      <c r="B97" s="119">
        <f>IFERROR(INDEX('Detalles movimientos'!C$5:C$1021, MATCH(88, 'Detalles movimientos'!$U$5:$U$1021, 0)), "")</f>
        <v/>
      </c>
      <c r="C97" s="18">
        <f>IFERROR(INDEX('Detalles movimientos'!D$5:D$1021, MATCH(88, 'Detalles movimientos'!$U$5:$U$1021, 0)), "")</f>
        <v/>
      </c>
      <c r="D97" s="19">
        <f>IFERROR(INDEX('Detalles movimientos'!E$5:E$1021, MATCH(88, 'Detalles movimientos'!$U$5:$U$1021, 0)), "")</f>
        <v/>
      </c>
      <c r="E97" s="19">
        <f>IFERROR(INDEX('Detalles movimientos'!F$5:F$1021, MATCH(88, 'Detalles movimientos'!$U$5:$U$1021, 0)), "")</f>
        <v/>
      </c>
      <c r="F97" s="18">
        <f>IFERROR(INDEX('Detalles movimientos'!G$5:G$1021, MATCH(88, 'Detalles movimientos'!$U$5:$U$1021, 0)), "")</f>
        <v/>
      </c>
      <c r="G97" s="120">
        <f>IFERROR(INDEX('Detalles movimientos'!H$5:H$1021, MATCH(88, 'Detalles movimientos'!$U$5:$U$1021, 0)), "")</f>
        <v/>
      </c>
      <c r="H97" s="121">
        <f>IFERROR(INDEX('Detalles movimientos'!I$5:I$1021, MATCH(88, 'Detalles movimientos'!$U$5:$U$1021, 0)), "")</f>
        <v/>
      </c>
      <c r="I97" s="120">
        <f>IFERROR(INDEX('Detalles movimientos'!M$5:M$1021, MATCH(88, 'Detalles movimientos'!$U$5:$U$1021, 0)), "")</f>
        <v/>
      </c>
      <c r="J97" s="19">
        <f>IFERROR(INDEX('Detalles movimientos'!N$5:N$1021, MATCH(88, 'Detalles movimientos'!$U$5:$U$1021, 0)), "")</f>
        <v/>
      </c>
      <c r="K97" s="120">
        <f>IFERROR(INDEX('Detalles movimientos'!O$5:O$1021, MATCH(88, 'Detalles movimientos'!$U$5:$U$1021, 0)), "")</f>
        <v/>
      </c>
      <c r="L97" s="18">
        <f>IFERROR(INDEX('Detalles movimientos'!P$5:P$1021, MATCH(88, 'Detalles movimientos'!$U$5:$U$1021, 0)), "")</f>
        <v/>
      </c>
      <c r="M97" s="18">
        <f>IFERROR(INDEX('Detalles movimientos'!S$5:S$1021, MATCH(88, 'Detalles movimientos'!$U$5:$U$1021, 0)), "")</f>
        <v/>
      </c>
    </row>
    <row r="98">
      <c r="B98" s="119">
        <f>IFERROR(INDEX('Detalles movimientos'!C$5:C$1021, MATCH(89, 'Detalles movimientos'!$U$5:$U$1021, 0)), "")</f>
        <v/>
      </c>
      <c r="C98" s="18">
        <f>IFERROR(INDEX('Detalles movimientos'!D$5:D$1021, MATCH(89, 'Detalles movimientos'!$U$5:$U$1021, 0)), "")</f>
        <v/>
      </c>
      <c r="D98" s="19">
        <f>IFERROR(INDEX('Detalles movimientos'!E$5:E$1021, MATCH(89, 'Detalles movimientos'!$U$5:$U$1021, 0)), "")</f>
        <v/>
      </c>
      <c r="E98" s="19">
        <f>IFERROR(INDEX('Detalles movimientos'!F$5:F$1021, MATCH(89, 'Detalles movimientos'!$U$5:$U$1021, 0)), "")</f>
        <v/>
      </c>
      <c r="F98" s="18">
        <f>IFERROR(INDEX('Detalles movimientos'!G$5:G$1021, MATCH(89, 'Detalles movimientos'!$U$5:$U$1021, 0)), "")</f>
        <v/>
      </c>
      <c r="G98" s="120">
        <f>IFERROR(INDEX('Detalles movimientos'!H$5:H$1021, MATCH(89, 'Detalles movimientos'!$U$5:$U$1021, 0)), "")</f>
        <v/>
      </c>
      <c r="H98" s="121">
        <f>IFERROR(INDEX('Detalles movimientos'!I$5:I$1021, MATCH(89, 'Detalles movimientos'!$U$5:$U$1021, 0)), "")</f>
        <v/>
      </c>
      <c r="I98" s="120">
        <f>IFERROR(INDEX('Detalles movimientos'!M$5:M$1021, MATCH(89, 'Detalles movimientos'!$U$5:$U$1021, 0)), "")</f>
        <v/>
      </c>
      <c r="J98" s="19">
        <f>IFERROR(INDEX('Detalles movimientos'!N$5:N$1021, MATCH(89, 'Detalles movimientos'!$U$5:$U$1021, 0)), "")</f>
        <v/>
      </c>
      <c r="K98" s="120">
        <f>IFERROR(INDEX('Detalles movimientos'!O$5:O$1021, MATCH(89, 'Detalles movimientos'!$U$5:$U$1021, 0)), "")</f>
        <v/>
      </c>
      <c r="L98" s="18">
        <f>IFERROR(INDEX('Detalles movimientos'!P$5:P$1021, MATCH(89, 'Detalles movimientos'!$U$5:$U$1021, 0)), "")</f>
        <v/>
      </c>
      <c r="M98" s="18">
        <f>IFERROR(INDEX('Detalles movimientos'!S$5:S$1021, MATCH(89, 'Detalles movimientos'!$U$5:$U$1021, 0)), "")</f>
        <v/>
      </c>
    </row>
    <row r="99">
      <c r="B99" s="119">
        <f>IFERROR(INDEX('Detalles movimientos'!C$5:C$1021, MATCH(90, 'Detalles movimientos'!$U$5:$U$1021, 0)), "")</f>
        <v/>
      </c>
      <c r="C99" s="18">
        <f>IFERROR(INDEX('Detalles movimientos'!D$5:D$1021, MATCH(90, 'Detalles movimientos'!$U$5:$U$1021, 0)), "")</f>
        <v/>
      </c>
      <c r="D99" s="19">
        <f>IFERROR(INDEX('Detalles movimientos'!E$5:E$1021, MATCH(90, 'Detalles movimientos'!$U$5:$U$1021, 0)), "")</f>
        <v/>
      </c>
      <c r="E99" s="19">
        <f>IFERROR(INDEX('Detalles movimientos'!F$5:F$1021, MATCH(90, 'Detalles movimientos'!$U$5:$U$1021, 0)), "")</f>
        <v/>
      </c>
      <c r="F99" s="18">
        <f>IFERROR(INDEX('Detalles movimientos'!G$5:G$1021, MATCH(90, 'Detalles movimientos'!$U$5:$U$1021, 0)), "")</f>
        <v/>
      </c>
      <c r="G99" s="120">
        <f>IFERROR(INDEX('Detalles movimientos'!H$5:H$1021, MATCH(90, 'Detalles movimientos'!$U$5:$U$1021, 0)), "")</f>
        <v/>
      </c>
      <c r="H99" s="121">
        <f>IFERROR(INDEX('Detalles movimientos'!I$5:I$1021, MATCH(90, 'Detalles movimientos'!$U$5:$U$1021, 0)), "")</f>
        <v/>
      </c>
      <c r="I99" s="120">
        <f>IFERROR(INDEX('Detalles movimientos'!M$5:M$1021, MATCH(90, 'Detalles movimientos'!$U$5:$U$1021, 0)), "")</f>
        <v/>
      </c>
      <c r="J99" s="19">
        <f>IFERROR(INDEX('Detalles movimientos'!N$5:N$1021, MATCH(90, 'Detalles movimientos'!$U$5:$U$1021, 0)), "")</f>
        <v/>
      </c>
      <c r="K99" s="120">
        <f>IFERROR(INDEX('Detalles movimientos'!O$5:O$1021, MATCH(90, 'Detalles movimientos'!$U$5:$U$1021, 0)), "")</f>
        <v/>
      </c>
      <c r="L99" s="18">
        <f>IFERROR(INDEX('Detalles movimientos'!P$5:P$1021, MATCH(90, 'Detalles movimientos'!$U$5:$U$1021, 0)), "")</f>
        <v/>
      </c>
      <c r="M99" s="18">
        <f>IFERROR(INDEX('Detalles movimientos'!S$5:S$1021, MATCH(90, 'Detalles movimientos'!$U$5:$U$1021, 0)), "")</f>
        <v/>
      </c>
    </row>
    <row r="100">
      <c r="B100" s="119">
        <f>IFERROR(INDEX('Detalles movimientos'!C$5:C$1021, MATCH(91, 'Detalles movimientos'!$U$5:$U$1021, 0)), "")</f>
        <v/>
      </c>
      <c r="C100" s="18">
        <f>IFERROR(INDEX('Detalles movimientos'!D$5:D$1021, MATCH(91, 'Detalles movimientos'!$U$5:$U$1021, 0)), "")</f>
        <v/>
      </c>
      <c r="D100" s="19">
        <f>IFERROR(INDEX('Detalles movimientos'!E$5:E$1021, MATCH(91, 'Detalles movimientos'!$U$5:$U$1021, 0)), "")</f>
        <v/>
      </c>
      <c r="E100" s="19">
        <f>IFERROR(INDEX('Detalles movimientos'!F$5:F$1021, MATCH(91, 'Detalles movimientos'!$U$5:$U$1021, 0)), "")</f>
        <v/>
      </c>
      <c r="F100" s="18">
        <f>IFERROR(INDEX('Detalles movimientos'!G$5:G$1021, MATCH(91, 'Detalles movimientos'!$U$5:$U$1021, 0)), "")</f>
        <v/>
      </c>
      <c r="G100" s="120">
        <f>IFERROR(INDEX('Detalles movimientos'!H$5:H$1021, MATCH(91, 'Detalles movimientos'!$U$5:$U$1021, 0)), "")</f>
        <v/>
      </c>
      <c r="H100" s="121">
        <f>IFERROR(INDEX('Detalles movimientos'!I$5:I$1021, MATCH(91, 'Detalles movimientos'!$U$5:$U$1021, 0)), "")</f>
        <v/>
      </c>
      <c r="I100" s="120">
        <f>IFERROR(INDEX('Detalles movimientos'!M$5:M$1021, MATCH(91, 'Detalles movimientos'!$U$5:$U$1021, 0)), "")</f>
        <v/>
      </c>
      <c r="J100" s="19">
        <f>IFERROR(INDEX('Detalles movimientos'!N$5:N$1021, MATCH(91, 'Detalles movimientos'!$U$5:$U$1021, 0)), "")</f>
        <v/>
      </c>
      <c r="K100" s="120">
        <f>IFERROR(INDEX('Detalles movimientos'!O$5:O$1021, MATCH(91, 'Detalles movimientos'!$U$5:$U$1021, 0)), "")</f>
        <v/>
      </c>
      <c r="L100" s="18">
        <f>IFERROR(INDEX('Detalles movimientos'!P$5:P$1021, MATCH(91, 'Detalles movimientos'!$U$5:$U$1021, 0)), "")</f>
        <v/>
      </c>
      <c r="M100" s="18">
        <f>IFERROR(INDEX('Detalles movimientos'!S$5:S$1021, MATCH(91, 'Detalles movimientos'!$U$5:$U$1021, 0)), "")</f>
        <v/>
      </c>
    </row>
    <row r="101">
      <c r="B101" s="119">
        <f>IFERROR(INDEX('Detalles movimientos'!C$5:C$1021, MATCH(92, 'Detalles movimientos'!$U$5:$U$1021, 0)), "")</f>
        <v/>
      </c>
      <c r="C101" s="18">
        <f>IFERROR(INDEX('Detalles movimientos'!D$5:D$1021, MATCH(92, 'Detalles movimientos'!$U$5:$U$1021, 0)), "")</f>
        <v/>
      </c>
      <c r="D101" s="19">
        <f>IFERROR(INDEX('Detalles movimientos'!E$5:E$1021, MATCH(92, 'Detalles movimientos'!$U$5:$U$1021, 0)), "")</f>
        <v/>
      </c>
      <c r="E101" s="19">
        <f>IFERROR(INDEX('Detalles movimientos'!F$5:F$1021, MATCH(92, 'Detalles movimientos'!$U$5:$U$1021, 0)), "")</f>
        <v/>
      </c>
      <c r="F101" s="18">
        <f>IFERROR(INDEX('Detalles movimientos'!G$5:G$1021, MATCH(92, 'Detalles movimientos'!$U$5:$U$1021, 0)), "")</f>
        <v/>
      </c>
      <c r="G101" s="120">
        <f>IFERROR(INDEX('Detalles movimientos'!H$5:H$1021, MATCH(92, 'Detalles movimientos'!$U$5:$U$1021, 0)), "")</f>
        <v/>
      </c>
      <c r="H101" s="121">
        <f>IFERROR(INDEX('Detalles movimientos'!I$5:I$1021, MATCH(92, 'Detalles movimientos'!$U$5:$U$1021, 0)), "")</f>
        <v/>
      </c>
      <c r="I101" s="120">
        <f>IFERROR(INDEX('Detalles movimientos'!M$5:M$1021, MATCH(92, 'Detalles movimientos'!$U$5:$U$1021, 0)), "")</f>
        <v/>
      </c>
      <c r="J101" s="19">
        <f>IFERROR(INDEX('Detalles movimientos'!N$5:N$1021, MATCH(92, 'Detalles movimientos'!$U$5:$U$1021, 0)), "")</f>
        <v/>
      </c>
      <c r="K101" s="120">
        <f>IFERROR(INDEX('Detalles movimientos'!O$5:O$1021, MATCH(92, 'Detalles movimientos'!$U$5:$U$1021, 0)), "")</f>
        <v/>
      </c>
      <c r="L101" s="18">
        <f>IFERROR(INDEX('Detalles movimientos'!P$5:P$1021, MATCH(92, 'Detalles movimientos'!$U$5:$U$1021, 0)), "")</f>
        <v/>
      </c>
      <c r="M101" s="18">
        <f>IFERROR(INDEX('Detalles movimientos'!S$5:S$1021, MATCH(92, 'Detalles movimientos'!$U$5:$U$1021, 0)), "")</f>
        <v/>
      </c>
    </row>
    <row r="102">
      <c r="B102" s="119">
        <f>IFERROR(INDEX('Detalles movimientos'!C$5:C$1021, MATCH(93, 'Detalles movimientos'!$U$5:$U$1021, 0)), "")</f>
        <v/>
      </c>
      <c r="C102" s="18">
        <f>IFERROR(INDEX('Detalles movimientos'!D$5:D$1021, MATCH(93, 'Detalles movimientos'!$U$5:$U$1021, 0)), "")</f>
        <v/>
      </c>
      <c r="D102" s="19">
        <f>IFERROR(INDEX('Detalles movimientos'!E$5:E$1021, MATCH(93, 'Detalles movimientos'!$U$5:$U$1021, 0)), "")</f>
        <v/>
      </c>
      <c r="E102" s="19">
        <f>IFERROR(INDEX('Detalles movimientos'!F$5:F$1021, MATCH(93, 'Detalles movimientos'!$U$5:$U$1021, 0)), "")</f>
        <v/>
      </c>
      <c r="F102" s="18">
        <f>IFERROR(INDEX('Detalles movimientos'!G$5:G$1021, MATCH(93, 'Detalles movimientos'!$U$5:$U$1021, 0)), "")</f>
        <v/>
      </c>
      <c r="G102" s="120">
        <f>IFERROR(INDEX('Detalles movimientos'!H$5:H$1021, MATCH(93, 'Detalles movimientos'!$U$5:$U$1021, 0)), "")</f>
        <v/>
      </c>
      <c r="H102" s="121">
        <f>IFERROR(INDEX('Detalles movimientos'!I$5:I$1021, MATCH(93, 'Detalles movimientos'!$U$5:$U$1021, 0)), "")</f>
        <v/>
      </c>
      <c r="I102" s="120">
        <f>IFERROR(INDEX('Detalles movimientos'!M$5:M$1021, MATCH(93, 'Detalles movimientos'!$U$5:$U$1021, 0)), "")</f>
        <v/>
      </c>
      <c r="J102" s="19">
        <f>IFERROR(INDEX('Detalles movimientos'!N$5:N$1021, MATCH(93, 'Detalles movimientos'!$U$5:$U$1021, 0)), "")</f>
        <v/>
      </c>
      <c r="K102" s="120">
        <f>IFERROR(INDEX('Detalles movimientos'!O$5:O$1021, MATCH(93, 'Detalles movimientos'!$U$5:$U$1021, 0)), "")</f>
        <v/>
      </c>
      <c r="L102" s="18">
        <f>IFERROR(INDEX('Detalles movimientos'!P$5:P$1021, MATCH(93, 'Detalles movimientos'!$U$5:$U$1021, 0)), "")</f>
        <v/>
      </c>
      <c r="M102" s="18">
        <f>IFERROR(INDEX('Detalles movimientos'!S$5:S$1021, MATCH(93, 'Detalles movimientos'!$U$5:$U$1021, 0)), "")</f>
        <v/>
      </c>
    </row>
    <row r="103">
      <c r="B103" s="119">
        <f>IFERROR(INDEX('Detalles movimientos'!C$5:C$1021, MATCH(94, 'Detalles movimientos'!$U$5:$U$1021, 0)), "")</f>
        <v/>
      </c>
      <c r="C103" s="18">
        <f>IFERROR(INDEX('Detalles movimientos'!D$5:D$1021, MATCH(94, 'Detalles movimientos'!$U$5:$U$1021, 0)), "")</f>
        <v/>
      </c>
      <c r="D103" s="19">
        <f>IFERROR(INDEX('Detalles movimientos'!E$5:E$1021, MATCH(94, 'Detalles movimientos'!$U$5:$U$1021, 0)), "")</f>
        <v/>
      </c>
      <c r="E103" s="19">
        <f>IFERROR(INDEX('Detalles movimientos'!F$5:F$1021, MATCH(94, 'Detalles movimientos'!$U$5:$U$1021, 0)), "")</f>
        <v/>
      </c>
      <c r="F103" s="18">
        <f>IFERROR(INDEX('Detalles movimientos'!G$5:G$1021, MATCH(94, 'Detalles movimientos'!$U$5:$U$1021, 0)), "")</f>
        <v/>
      </c>
      <c r="G103" s="120">
        <f>IFERROR(INDEX('Detalles movimientos'!H$5:H$1021, MATCH(94, 'Detalles movimientos'!$U$5:$U$1021, 0)), "")</f>
        <v/>
      </c>
      <c r="H103" s="121">
        <f>IFERROR(INDEX('Detalles movimientos'!I$5:I$1021, MATCH(94, 'Detalles movimientos'!$U$5:$U$1021, 0)), "")</f>
        <v/>
      </c>
      <c r="I103" s="120">
        <f>IFERROR(INDEX('Detalles movimientos'!M$5:M$1021, MATCH(94, 'Detalles movimientos'!$U$5:$U$1021, 0)), "")</f>
        <v/>
      </c>
      <c r="J103" s="19">
        <f>IFERROR(INDEX('Detalles movimientos'!N$5:N$1021, MATCH(94, 'Detalles movimientos'!$U$5:$U$1021, 0)), "")</f>
        <v/>
      </c>
      <c r="K103" s="120">
        <f>IFERROR(INDEX('Detalles movimientos'!O$5:O$1021, MATCH(94, 'Detalles movimientos'!$U$5:$U$1021, 0)), "")</f>
        <v/>
      </c>
      <c r="L103" s="18">
        <f>IFERROR(INDEX('Detalles movimientos'!P$5:P$1021, MATCH(94, 'Detalles movimientos'!$U$5:$U$1021, 0)), "")</f>
        <v/>
      </c>
      <c r="M103" s="18">
        <f>IFERROR(INDEX('Detalles movimientos'!S$5:S$1021, MATCH(94, 'Detalles movimientos'!$U$5:$U$1021, 0)), "")</f>
        <v/>
      </c>
    </row>
    <row r="104">
      <c r="B104" s="119">
        <f>IFERROR(INDEX('Detalles movimientos'!C$5:C$1021, MATCH(95, 'Detalles movimientos'!$U$5:$U$1021, 0)), "")</f>
        <v/>
      </c>
      <c r="C104" s="18">
        <f>IFERROR(INDEX('Detalles movimientos'!D$5:D$1021, MATCH(95, 'Detalles movimientos'!$U$5:$U$1021, 0)), "")</f>
        <v/>
      </c>
      <c r="D104" s="19">
        <f>IFERROR(INDEX('Detalles movimientos'!E$5:E$1021, MATCH(95, 'Detalles movimientos'!$U$5:$U$1021, 0)), "")</f>
        <v/>
      </c>
      <c r="E104" s="19">
        <f>IFERROR(INDEX('Detalles movimientos'!F$5:F$1021, MATCH(95, 'Detalles movimientos'!$U$5:$U$1021, 0)), "")</f>
        <v/>
      </c>
      <c r="F104" s="18">
        <f>IFERROR(INDEX('Detalles movimientos'!G$5:G$1021, MATCH(95, 'Detalles movimientos'!$U$5:$U$1021, 0)), "")</f>
        <v/>
      </c>
      <c r="G104" s="120">
        <f>IFERROR(INDEX('Detalles movimientos'!H$5:H$1021, MATCH(95, 'Detalles movimientos'!$U$5:$U$1021, 0)), "")</f>
        <v/>
      </c>
      <c r="H104" s="121">
        <f>IFERROR(INDEX('Detalles movimientos'!I$5:I$1021, MATCH(95, 'Detalles movimientos'!$U$5:$U$1021, 0)), "")</f>
        <v/>
      </c>
      <c r="I104" s="120">
        <f>IFERROR(INDEX('Detalles movimientos'!M$5:M$1021, MATCH(95, 'Detalles movimientos'!$U$5:$U$1021, 0)), "")</f>
        <v/>
      </c>
      <c r="J104" s="19">
        <f>IFERROR(INDEX('Detalles movimientos'!N$5:N$1021, MATCH(95, 'Detalles movimientos'!$U$5:$U$1021, 0)), "")</f>
        <v/>
      </c>
      <c r="K104" s="120">
        <f>IFERROR(INDEX('Detalles movimientos'!O$5:O$1021, MATCH(95, 'Detalles movimientos'!$U$5:$U$1021, 0)), "")</f>
        <v/>
      </c>
      <c r="L104" s="18">
        <f>IFERROR(INDEX('Detalles movimientos'!P$5:P$1021, MATCH(95, 'Detalles movimientos'!$U$5:$U$1021, 0)), "")</f>
        <v/>
      </c>
      <c r="M104" s="18">
        <f>IFERROR(INDEX('Detalles movimientos'!S$5:S$1021, MATCH(95, 'Detalles movimientos'!$U$5:$U$1021, 0)), "")</f>
        <v/>
      </c>
    </row>
    <row r="105">
      <c r="B105" s="119">
        <f>IFERROR(INDEX('Detalles movimientos'!C$5:C$1021, MATCH(96, 'Detalles movimientos'!$U$5:$U$1021, 0)), "")</f>
        <v/>
      </c>
      <c r="C105" s="18">
        <f>IFERROR(INDEX('Detalles movimientos'!D$5:D$1021, MATCH(96, 'Detalles movimientos'!$U$5:$U$1021, 0)), "")</f>
        <v/>
      </c>
      <c r="D105" s="19">
        <f>IFERROR(INDEX('Detalles movimientos'!E$5:E$1021, MATCH(96, 'Detalles movimientos'!$U$5:$U$1021, 0)), "")</f>
        <v/>
      </c>
      <c r="E105" s="19">
        <f>IFERROR(INDEX('Detalles movimientos'!F$5:F$1021, MATCH(96, 'Detalles movimientos'!$U$5:$U$1021, 0)), "")</f>
        <v/>
      </c>
      <c r="F105" s="18">
        <f>IFERROR(INDEX('Detalles movimientos'!G$5:G$1021, MATCH(96, 'Detalles movimientos'!$U$5:$U$1021, 0)), "")</f>
        <v/>
      </c>
      <c r="G105" s="120">
        <f>IFERROR(INDEX('Detalles movimientos'!H$5:H$1021, MATCH(96, 'Detalles movimientos'!$U$5:$U$1021, 0)), "")</f>
        <v/>
      </c>
      <c r="H105" s="121">
        <f>IFERROR(INDEX('Detalles movimientos'!I$5:I$1021, MATCH(96, 'Detalles movimientos'!$U$5:$U$1021, 0)), "")</f>
        <v/>
      </c>
      <c r="I105" s="120">
        <f>IFERROR(INDEX('Detalles movimientos'!M$5:M$1021, MATCH(96, 'Detalles movimientos'!$U$5:$U$1021, 0)), "")</f>
        <v/>
      </c>
      <c r="J105" s="19">
        <f>IFERROR(INDEX('Detalles movimientos'!N$5:N$1021, MATCH(96, 'Detalles movimientos'!$U$5:$U$1021, 0)), "")</f>
        <v/>
      </c>
      <c r="K105" s="120">
        <f>IFERROR(INDEX('Detalles movimientos'!O$5:O$1021, MATCH(96, 'Detalles movimientos'!$U$5:$U$1021, 0)), "")</f>
        <v/>
      </c>
      <c r="L105" s="18">
        <f>IFERROR(INDEX('Detalles movimientos'!P$5:P$1021, MATCH(96, 'Detalles movimientos'!$U$5:$U$1021, 0)), "")</f>
        <v/>
      </c>
      <c r="M105" s="18">
        <f>IFERROR(INDEX('Detalles movimientos'!S$5:S$1021, MATCH(96, 'Detalles movimientos'!$U$5:$U$1021, 0)), "")</f>
        <v/>
      </c>
    </row>
    <row r="106">
      <c r="B106" s="119">
        <f>IFERROR(INDEX('Detalles movimientos'!C$5:C$1021, MATCH(97, 'Detalles movimientos'!$U$5:$U$1021, 0)), "")</f>
        <v/>
      </c>
      <c r="C106" s="18">
        <f>IFERROR(INDEX('Detalles movimientos'!D$5:D$1021, MATCH(97, 'Detalles movimientos'!$U$5:$U$1021, 0)), "")</f>
        <v/>
      </c>
      <c r="D106" s="19">
        <f>IFERROR(INDEX('Detalles movimientos'!E$5:E$1021, MATCH(97, 'Detalles movimientos'!$U$5:$U$1021, 0)), "")</f>
        <v/>
      </c>
      <c r="E106" s="19">
        <f>IFERROR(INDEX('Detalles movimientos'!F$5:F$1021, MATCH(97, 'Detalles movimientos'!$U$5:$U$1021, 0)), "")</f>
        <v/>
      </c>
      <c r="F106" s="18">
        <f>IFERROR(INDEX('Detalles movimientos'!G$5:G$1021, MATCH(97, 'Detalles movimientos'!$U$5:$U$1021, 0)), "")</f>
        <v/>
      </c>
      <c r="G106" s="120">
        <f>IFERROR(INDEX('Detalles movimientos'!H$5:H$1021, MATCH(97, 'Detalles movimientos'!$U$5:$U$1021, 0)), "")</f>
        <v/>
      </c>
      <c r="H106" s="121">
        <f>IFERROR(INDEX('Detalles movimientos'!I$5:I$1021, MATCH(97, 'Detalles movimientos'!$U$5:$U$1021, 0)), "")</f>
        <v/>
      </c>
      <c r="I106" s="120">
        <f>IFERROR(INDEX('Detalles movimientos'!M$5:M$1021, MATCH(97, 'Detalles movimientos'!$U$5:$U$1021, 0)), "")</f>
        <v/>
      </c>
      <c r="J106" s="19">
        <f>IFERROR(INDEX('Detalles movimientos'!N$5:N$1021, MATCH(97, 'Detalles movimientos'!$U$5:$U$1021, 0)), "")</f>
        <v/>
      </c>
      <c r="K106" s="120">
        <f>IFERROR(INDEX('Detalles movimientos'!O$5:O$1021, MATCH(97, 'Detalles movimientos'!$U$5:$U$1021, 0)), "")</f>
        <v/>
      </c>
      <c r="L106" s="18">
        <f>IFERROR(INDEX('Detalles movimientos'!P$5:P$1021, MATCH(97, 'Detalles movimientos'!$U$5:$U$1021, 0)), "")</f>
        <v/>
      </c>
      <c r="M106" s="18">
        <f>IFERROR(INDEX('Detalles movimientos'!S$5:S$1021, MATCH(97, 'Detalles movimientos'!$U$5:$U$1021, 0)), "")</f>
        <v/>
      </c>
    </row>
    <row r="107">
      <c r="B107" s="119">
        <f>IFERROR(INDEX('Detalles movimientos'!C$5:C$1021, MATCH(98, 'Detalles movimientos'!$U$5:$U$1021, 0)), "")</f>
        <v/>
      </c>
      <c r="C107" s="18">
        <f>IFERROR(INDEX('Detalles movimientos'!D$5:D$1021, MATCH(98, 'Detalles movimientos'!$U$5:$U$1021, 0)), "")</f>
        <v/>
      </c>
      <c r="D107" s="19">
        <f>IFERROR(INDEX('Detalles movimientos'!E$5:E$1021, MATCH(98, 'Detalles movimientos'!$U$5:$U$1021, 0)), "")</f>
        <v/>
      </c>
      <c r="E107" s="19">
        <f>IFERROR(INDEX('Detalles movimientos'!F$5:F$1021, MATCH(98, 'Detalles movimientos'!$U$5:$U$1021, 0)), "")</f>
        <v/>
      </c>
      <c r="F107" s="18">
        <f>IFERROR(INDEX('Detalles movimientos'!G$5:G$1021, MATCH(98, 'Detalles movimientos'!$U$5:$U$1021, 0)), "")</f>
        <v/>
      </c>
      <c r="G107" s="120">
        <f>IFERROR(INDEX('Detalles movimientos'!H$5:H$1021, MATCH(98, 'Detalles movimientos'!$U$5:$U$1021, 0)), "")</f>
        <v/>
      </c>
      <c r="H107" s="121">
        <f>IFERROR(INDEX('Detalles movimientos'!I$5:I$1021, MATCH(98, 'Detalles movimientos'!$U$5:$U$1021, 0)), "")</f>
        <v/>
      </c>
      <c r="I107" s="120">
        <f>IFERROR(INDEX('Detalles movimientos'!M$5:M$1021, MATCH(98, 'Detalles movimientos'!$U$5:$U$1021, 0)), "")</f>
        <v/>
      </c>
      <c r="J107" s="19">
        <f>IFERROR(INDEX('Detalles movimientos'!N$5:N$1021, MATCH(98, 'Detalles movimientos'!$U$5:$U$1021, 0)), "")</f>
        <v/>
      </c>
      <c r="K107" s="120">
        <f>IFERROR(INDEX('Detalles movimientos'!O$5:O$1021, MATCH(98, 'Detalles movimientos'!$U$5:$U$1021, 0)), "")</f>
        <v/>
      </c>
      <c r="L107" s="18">
        <f>IFERROR(INDEX('Detalles movimientos'!P$5:P$1021, MATCH(98, 'Detalles movimientos'!$U$5:$U$1021, 0)), "")</f>
        <v/>
      </c>
      <c r="M107" s="18">
        <f>IFERROR(INDEX('Detalles movimientos'!S$5:S$1021, MATCH(98, 'Detalles movimientos'!$U$5:$U$1021, 0)), "")</f>
        <v/>
      </c>
    </row>
    <row r="108">
      <c r="B108" s="119">
        <f>IFERROR(INDEX('Detalles movimientos'!C$5:C$1021, MATCH(99, 'Detalles movimientos'!$U$5:$U$1021, 0)), "")</f>
        <v/>
      </c>
      <c r="C108" s="18">
        <f>IFERROR(INDEX('Detalles movimientos'!D$5:D$1021, MATCH(99, 'Detalles movimientos'!$U$5:$U$1021, 0)), "")</f>
        <v/>
      </c>
      <c r="D108" s="19">
        <f>IFERROR(INDEX('Detalles movimientos'!E$5:E$1021, MATCH(99, 'Detalles movimientos'!$U$5:$U$1021, 0)), "")</f>
        <v/>
      </c>
      <c r="E108" s="19">
        <f>IFERROR(INDEX('Detalles movimientos'!F$5:F$1021, MATCH(99, 'Detalles movimientos'!$U$5:$U$1021, 0)), "")</f>
        <v/>
      </c>
      <c r="F108" s="18">
        <f>IFERROR(INDEX('Detalles movimientos'!G$5:G$1021, MATCH(99, 'Detalles movimientos'!$U$5:$U$1021, 0)), "")</f>
        <v/>
      </c>
      <c r="G108" s="120">
        <f>IFERROR(INDEX('Detalles movimientos'!H$5:H$1021, MATCH(99, 'Detalles movimientos'!$U$5:$U$1021, 0)), "")</f>
        <v/>
      </c>
      <c r="H108" s="121">
        <f>IFERROR(INDEX('Detalles movimientos'!I$5:I$1021, MATCH(99, 'Detalles movimientos'!$U$5:$U$1021, 0)), "")</f>
        <v/>
      </c>
      <c r="I108" s="120">
        <f>IFERROR(INDEX('Detalles movimientos'!M$5:M$1021, MATCH(99, 'Detalles movimientos'!$U$5:$U$1021, 0)), "")</f>
        <v/>
      </c>
      <c r="J108" s="19">
        <f>IFERROR(INDEX('Detalles movimientos'!N$5:N$1021, MATCH(99, 'Detalles movimientos'!$U$5:$U$1021, 0)), "")</f>
        <v/>
      </c>
      <c r="K108" s="120">
        <f>IFERROR(INDEX('Detalles movimientos'!O$5:O$1021, MATCH(99, 'Detalles movimientos'!$U$5:$U$1021, 0)), "")</f>
        <v/>
      </c>
      <c r="L108" s="18">
        <f>IFERROR(INDEX('Detalles movimientos'!P$5:P$1021, MATCH(99, 'Detalles movimientos'!$U$5:$U$1021, 0)), "")</f>
        <v/>
      </c>
      <c r="M108" s="18">
        <f>IFERROR(INDEX('Detalles movimientos'!S$5:S$1021, MATCH(99, 'Detalles movimientos'!$U$5:$U$1021, 0)), "")</f>
        <v/>
      </c>
    </row>
    <row r="109">
      <c r="B109" s="119">
        <f>IFERROR(INDEX('Detalles movimientos'!C$5:C$1021, MATCH(100, 'Detalles movimientos'!$U$5:$U$1021, 0)), "")</f>
        <v/>
      </c>
      <c r="C109" s="18">
        <f>IFERROR(INDEX('Detalles movimientos'!D$5:D$1021, MATCH(100, 'Detalles movimientos'!$U$5:$U$1021, 0)), "")</f>
        <v/>
      </c>
      <c r="D109" s="19">
        <f>IFERROR(INDEX('Detalles movimientos'!E$5:E$1021, MATCH(100, 'Detalles movimientos'!$U$5:$U$1021, 0)), "")</f>
        <v/>
      </c>
      <c r="E109" s="19">
        <f>IFERROR(INDEX('Detalles movimientos'!F$5:F$1021, MATCH(100, 'Detalles movimientos'!$U$5:$U$1021, 0)), "")</f>
        <v/>
      </c>
      <c r="F109" s="18">
        <f>IFERROR(INDEX('Detalles movimientos'!G$5:G$1021, MATCH(100, 'Detalles movimientos'!$U$5:$U$1021, 0)), "")</f>
        <v/>
      </c>
      <c r="G109" s="120">
        <f>IFERROR(INDEX('Detalles movimientos'!H$5:H$1021, MATCH(100, 'Detalles movimientos'!$U$5:$U$1021, 0)), "")</f>
        <v/>
      </c>
      <c r="H109" s="121">
        <f>IFERROR(INDEX('Detalles movimientos'!I$5:I$1021, MATCH(100, 'Detalles movimientos'!$U$5:$U$1021, 0)), "")</f>
        <v/>
      </c>
      <c r="I109" s="120">
        <f>IFERROR(INDEX('Detalles movimientos'!M$5:M$1021, MATCH(100, 'Detalles movimientos'!$U$5:$U$1021, 0)), "")</f>
        <v/>
      </c>
      <c r="J109" s="19">
        <f>IFERROR(INDEX('Detalles movimientos'!N$5:N$1021, MATCH(100, 'Detalles movimientos'!$U$5:$U$1021, 0)), "")</f>
        <v/>
      </c>
      <c r="K109" s="120">
        <f>IFERROR(INDEX('Detalles movimientos'!O$5:O$1021, MATCH(100, 'Detalles movimientos'!$U$5:$U$1021, 0)), "")</f>
        <v/>
      </c>
      <c r="L109" s="18">
        <f>IFERROR(INDEX('Detalles movimientos'!P$5:P$1021, MATCH(100, 'Detalles movimientos'!$U$5:$U$1021, 0)), "")</f>
        <v/>
      </c>
      <c r="M109" s="18">
        <f>IFERROR(INDEX('Detalles movimientos'!S$5:S$1021, MATCH(100, 'Detalles movimientos'!$U$5:$U$1021, 0)), "")</f>
        <v/>
      </c>
    </row>
    <row r="110">
      <c r="B110" s="119">
        <f>IFERROR(INDEX('Detalles movimientos'!C$5:C$1021, MATCH(101, 'Detalles movimientos'!$U$5:$U$1021, 0)), "")</f>
        <v/>
      </c>
      <c r="C110" s="18">
        <f>IFERROR(INDEX('Detalles movimientos'!D$5:D$1021, MATCH(101, 'Detalles movimientos'!$U$5:$U$1021, 0)), "")</f>
        <v/>
      </c>
      <c r="D110" s="19">
        <f>IFERROR(INDEX('Detalles movimientos'!E$5:E$1021, MATCH(101, 'Detalles movimientos'!$U$5:$U$1021, 0)), "")</f>
        <v/>
      </c>
      <c r="E110" s="19">
        <f>IFERROR(INDEX('Detalles movimientos'!F$5:F$1021, MATCH(101, 'Detalles movimientos'!$U$5:$U$1021, 0)), "")</f>
        <v/>
      </c>
      <c r="F110" s="18">
        <f>IFERROR(INDEX('Detalles movimientos'!G$5:G$1021, MATCH(101, 'Detalles movimientos'!$U$5:$U$1021, 0)), "")</f>
        <v/>
      </c>
      <c r="G110" s="120">
        <f>IFERROR(INDEX('Detalles movimientos'!H$5:H$1021, MATCH(101, 'Detalles movimientos'!$U$5:$U$1021, 0)), "")</f>
        <v/>
      </c>
      <c r="H110" s="121">
        <f>IFERROR(INDEX('Detalles movimientos'!I$5:I$1021, MATCH(101, 'Detalles movimientos'!$U$5:$U$1021, 0)), "")</f>
        <v/>
      </c>
      <c r="I110" s="120">
        <f>IFERROR(INDEX('Detalles movimientos'!M$5:M$1021, MATCH(101, 'Detalles movimientos'!$U$5:$U$1021, 0)), "")</f>
        <v/>
      </c>
      <c r="J110" s="19">
        <f>IFERROR(INDEX('Detalles movimientos'!N$5:N$1021, MATCH(101, 'Detalles movimientos'!$U$5:$U$1021, 0)), "")</f>
        <v/>
      </c>
      <c r="K110" s="120">
        <f>IFERROR(INDEX('Detalles movimientos'!O$5:O$1021, MATCH(101, 'Detalles movimientos'!$U$5:$U$1021, 0)), "")</f>
        <v/>
      </c>
      <c r="L110" s="18">
        <f>IFERROR(INDEX('Detalles movimientos'!P$5:P$1021, MATCH(101, 'Detalles movimientos'!$U$5:$U$1021, 0)), "")</f>
        <v/>
      </c>
      <c r="M110" s="18">
        <f>IFERROR(INDEX('Detalles movimientos'!S$5:S$1021, MATCH(101, 'Detalles movimientos'!$U$5:$U$1021, 0)), "")</f>
        <v/>
      </c>
    </row>
    <row r="111">
      <c r="B111" s="119">
        <f>IFERROR(INDEX('Detalles movimientos'!C$5:C$1021, MATCH(102, 'Detalles movimientos'!$U$5:$U$1021, 0)), "")</f>
        <v/>
      </c>
      <c r="C111" s="18">
        <f>IFERROR(INDEX('Detalles movimientos'!D$5:D$1021, MATCH(102, 'Detalles movimientos'!$U$5:$U$1021, 0)), "")</f>
        <v/>
      </c>
      <c r="D111" s="19">
        <f>IFERROR(INDEX('Detalles movimientos'!E$5:E$1021, MATCH(102, 'Detalles movimientos'!$U$5:$U$1021, 0)), "")</f>
        <v/>
      </c>
      <c r="E111" s="19">
        <f>IFERROR(INDEX('Detalles movimientos'!F$5:F$1021, MATCH(102, 'Detalles movimientos'!$U$5:$U$1021, 0)), "")</f>
        <v/>
      </c>
      <c r="F111" s="18">
        <f>IFERROR(INDEX('Detalles movimientos'!G$5:G$1021, MATCH(102, 'Detalles movimientos'!$U$5:$U$1021, 0)), "")</f>
        <v/>
      </c>
      <c r="G111" s="120">
        <f>IFERROR(INDEX('Detalles movimientos'!H$5:H$1021, MATCH(102, 'Detalles movimientos'!$U$5:$U$1021, 0)), "")</f>
        <v/>
      </c>
      <c r="H111" s="121">
        <f>IFERROR(INDEX('Detalles movimientos'!I$5:I$1021, MATCH(102, 'Detalles movimientos'!$U$5:$U$1021, 0)), "")</f>
        <v/>
      </c>
      <c r="I111" s="120">
        <f>IFERROR(INDEX('Detalles movimientos'!M$5:M$1021, MATCH(102, 'Detalles movimientos'!$U$5:$U$1021, 0)), "")</f>
        <v/>
      </c>
      <c r="J111" s="19">
        <f>IFERROR(INDEX('Detalles movimientos'!N$5:N$1021, MATCH(102, 'Detalles movimientos'!$U$5:$U$1021, 0)), "")</f>
        <v/>
      </c>
      <c r="K111" s="120">
        <f>IFERROR(INDEX('Detalles movimientos'!O$5:O$1021, MATCH(102, 'Detalles movimientos'!$U$5:$U$1021, 0)), "")</f>
        <v/>
      </c>
      <c r="L111" s="18">
        <f>IFERROR(INDEX('Detalles movimientos'!P$5:P$1021, MATCH(102, 'Detalles movimientos'!$U$5:$U$1021, 0)), "")</f>
        <v/>
      </c>
      <c r="M111" s="18">
        <f>IFERROR(INDEX('Detalles movimientos'!S$5:S$1021, MATCH(102, 'Detalles movimientos'!$U$5:$U$1021, 0)), "")</f>
        <v/>
      </c>
    </row>
    <row r="112">
      <c r="B112" s="119">
        <f>IFERROR(INDEX('Detalles movimientos'!C$5:C$1021, MATCH(103, 'Detalles movimientos'!$U$5:$U$1021, 0)), "")</f>
        <v/>
      </c>
      <c r="C112" s="18">
        <f>IFERROR(INDEX('Detalles movimientos'!D$5:D$1021, MATCH(103, 'Detalles movimientos'!$U$5:$U$1021, 0)), "")</f>
        <v/>
      </c>
      <c r="D112" s="19">
        <f>IFERROR(INDEX('Detalles movimientos'!E$5:E$1021, MATCH(103, 'Detalles movimientos'!$U$5:$U$1021, 0)), "")</f>
        <v/>
      </c>
      <c r="E112" s="19">
        <f>IFERROR(INDEX('Detalles movimientos'!F$5:F$1021, MATCH(103, 'Detalles movimientos'!$U$5:$U$1021, 0)), "")</f>
        <v/>
      </c>
      <c r="F112" s="18">
        <f>IFERROR(INDEX('Detalles movimientos'!G$5:G$1021, MATCH(103, 'Detalles movimientos'!$U$5:$U$1021, 0)), "")</f>
        <v/>
      </c>
      <c r="G112" s="120">
        <f>IFERROR(INDEX('Detalles movimientos'!H$5:H$1021, MATCH(103, 'Detalles movimientos'!$U$5:$U$1021, 0)), "")</f>
        <v/>
      </c>
      <c r="H112" s="121">
        <f>IFERROR(INDEX('Detalles movimientos'!I$5:I$1021, MATCH(103, 'Detalles movimientos'!$U$5:$U$1021, 0)), "")</f>
        <v/>
      </c>
      <c r="I112" s="120">
        <f>IFERROR(INDEX('Detalles movimientos'!M$5:M$1021, MATCH(103, 'Detalles movimientos'!$U$5:$U$1021, 0)), "")</f>
        <v/>
      </c>
      <c r="J112" s="19">
        <f>IFERROR(INDEX('Detalles movimientos'!N$5:N$1021, MATCH(103, 'Detalles movimientos'!$U$5:$U$1021, 0)), "")</f>
        <v/>
      </c>
      <c r="K112" s="120">
        <f>IFERROR(INDEX('Detalles movimientos'!O$5:O$1021, MATCH(103, 'Detalles movimientos'!$U$5:$U$1021, 0)), "")</f>
        <v/>
      </c>
      <c r="L112" s="18">
        <f>IFERROR(INDEX('Detalles movimientos'!P$5:P$1021, MATCH(103, 'Detalles movimientos'!$U$5:$U$1021, 0)), "")</f>
        <v/>
      </c>
      <c r="M112" s="18">
        <f>IFERROR(INDEX('Detalles movimientos'!S$5:S$1021, MATCH(103, 'Detalles movimientos'!$U$5:$U$1021, 0)), "")</f>
        <v/>
      </c>
    </row>
    <row r="113">
      <c r="B113" s="119">
        <f>IFERROR(INDEX('Detalles movimientos'!C$5:C$1021, MATCH(104, 'Detalles movimientos'!$U$5:$U$1021, 0)), "")</f>
        <v/>
      </c>
      <c r="C113" s="18">
        <f>IFERROR(INDEX('Detalles movimientos'!D$5:D$1021, MATCH(104, 'Detalles movimientos'!$U$5:$U$1021, 0)), "")</f>
        <v/>
      </c>
      <c r="D113" s="19">
        <f>IFERROR(INDEX('Detalles movimientos'!E$5:E$1021, MATCH(104, 'Detalles movimientos'!$U$5:$U$1021, 0)), "")</f>
        <v/>
      </c>
      <c r="E113" s="19">
        <f>IFERROR(INDEX('Detalles movimientos'!F$5:F$1021, MATCH(104, 'Detalles movimientos'!$U$5:$U$1021, 0)), "")</f>
        <v/>
      </c>
      <c r="F113" s="18">
        <f>IFERROR(INDEX('Detalles movimientos'!G$5:G$1021, MATCH(104, 'Detalles movimientos'!$U$5:$U$1021, 0)), "")</f>
        <v/>
      </c>
      <c r="G113" s="120">
        <f>IFERROR(INDEX('Detalles movimientos'!H$5:H$1021, MATCH(104, 'Detalles movimientos'!$U$5:$U$1021, 0)), "")</f>
        <v/>
      </c>
      <c r="H113" s="121">
        <f>IFERROR(INDEX('Detalles movimientos'!I$5:I$1021, MATCH(104, 'Detalles movimientos'!$U$5:$U$1021, 0)), "")</f>
        <v/>
      </c>
      <c r="I113" s="120">
        <f>IFERROR(INDEX('Detalles movimientos'!M$5:M$1021, MATCH(104, 'Detalles movimientos'!$U$5:$U$1021, 0)), "")</f>
        <v/>
      </c>
      <c r="J113" s="19">
        <f>IFERROR(INDEX('Detalles movimientos'!N$5:N$1021, MATCH(104, 'Detalles movimientos'!$U$5:$U$1021, 0)), "")</f>
        <v/>
      </c>
      <c r="K113" s="120">
        <f>IFERROR(INDEX('Detalles movimientos'!O$5:O$1021, MATCH(104, 'Detalles movimientos'!$U$5:$U$1021, 0)), "")</f>
        <v/>
      </c>
      <c r="L113" s="18">
        <f>IFERROR(INDEX('Detalles movimientos'!P$5:P$1021, MATCH(104, 'Detalles movimientos'!$U$5:$U$1021, 0)), "")</f>
        <v/>
      </c>
      <c r="M113" s="18">
        <f>IFERROR(INDEX('Detalles movimientos'!S$5:S$1021, MATCH(104, 'Detalles movimientos'!$U$5:$U$1021, 0)), "")</f>
        <v/>
      </c>
    </row>
    <row r="114">
      <c r="B114" s="119">
        <f>IFERROR(INDEX('Detalles movimientos'!C$5:C$1021, MATCH(105, 'Detalles movimientos'!$U$5:$U$1021, 0)), "")</f>
        <v/>
      </c>
      <c r="C114" s="18">
        <f>IFERROR(INDEX('Detalles movimientos'!D$5:D$1021, MATCH(105, 'Detalles movimientos'!$U$5:$U$1021, 0)), "")</f>
        <v/>
      </c>
      <c r="D114" s="19">
        <f>IFERROR(INDEX('Detalles movimientos'!E$5:E$1021, MATCH(105, 'Detalles movimientos'!$U$5:$U$1021, 0)), "")</f>
        <v/>
      </c>
      <c r="E114" s="19">
        <f>IFERROR(INDEX('Detalles movimientos'!F$5:F$1021, MATCH(105, 'Detalles movimientos'!$U$5:$U$1021, 0)), "")</f>
        <v/>
      </c>
      <c r="F114" s="18">
        <f>IFERROR(INDEX('Detalles movimientos'!G$5:G$1021, MATCH(105, 'Detalles movimientos'!$U$5:$U$1021, 0)), "")</f>
        <v/>
      </c>
      <c r="G114" s="120">
        <f>IFERROR(INDEX('Detalles movimientos'!H$5:H$1021, MATCH(105, 'Detalles movimientos'!$U$5:$U$1021, 0)), "")</f>
        <v/>
      </c>
      <c r="H114" s="121">
        <f>IFERROR(INDEX('Detalles movimientos'!I$5:I$1021, MATCH(105, 'Detalles movimientos'!$U$5:$U$1021, 0)), "")</f>
        <v/>
      </c>
      <c r="I114" s="120">
        <f>IFERROR(INDEX('Detalles movimientos'!M$5:M$1021, MATCH(105, 'Detalles movimientos'!$U$5:$U$1021, 0)), "")</f>
        <v/>
      </c>
      <c r="J114" s="19">
        <f>IFERROR(INDEX('Detalles movimientos'!N$5:N$1021, MATCH(105, 'Detalles movimientos'!$U$5:$U$1021, 0)), "")</f>
        <v/>
      </c>
      <c r="K114" s="120">
        <f>IFERROR(INDEX('Detalles movimientos'!O$5:O$1021, MATCH(105, 'Detalles movimientos'!$U$5:$U$1021, 0)), "")</f>
        <v/>
      </c>
      <c r="L114" s="18">
        <f>IFERROR(INDEX('Detalles movimientos'!P$5:P$1021, MATCH(105, 'Detalles movimientos'!$U$5:$U$1021, 0)), "")</f>
        <v/>
      </c>
      <c r="M114" s="18">
        <f>IFERROR(INDEX('Detalles movimientos'!S$5:S$1021, MATCH(105, 'Detalles movimientos'!$U$5:$U$1021, 0)), "")</f>
        <v/>
      </c>
    </row>
    <row r="115">
      <c r="B115" s="119">
        <f>IFERROR(INDEX('Detalles movimientos'!C$5:C$1021, MATCH(106, 'Detalles movimientos'!$U$5:$U$1021, 0)), "")</f>
        <v/>
      </c>
      <c r="C115" s="18">
        <f>IFERROR(INDEX('Detalles movimientos'!D$5:D$1021, MATCH(106, 'Detalles movimientos'!$U$5:$U$1021, 0)), "")</f>
        <v/>
      </c>
      <c r="D115" s="19">
        <f>IFERROR(INDEX('Detalles movimientos'!E$5:E$1021, MATCH(106, 'Detalles movimientos'!$U$5:$U$1021, 0)), "")</f>
        <v/>
      </c>
      <c r="E115" s="19">
        <f>IFERROR(INDEX('Detalles movimientos'!F$5:F$1021, MATCH(106, 'Detalles movimientos'!$U$5:$U$1021, 0)), "")</f>
        <v/>
      </c>
      <c r="F115" s="18">
        <f>IFERROR(INDEX('Detalles movimientos'!G$5:G$1021, MATCH(106, 'Detalles movimientos'!$U$5:$U$1021, 0)), "")</f>
        <v/>
      </c>
      <c r="G115" s="120">
        <f>IFERROR(INDEX('Detalles movimientos'!H$5:H$1021, MATCH(106, 'Detalles movimientos'!$U$5:$U$1021, 0)), "")</f>
        <v/>
      </c>
      <c r="H115" s="121">
        <f>IFERROR(INDEX('Detalles movimientos'!I$5:I$1021, MATCH(106, 'Detalles movimientos'!$U$5:$U$1021, 0)), "")</f>
        <v/>
      </c>
      <c r="I115" s="120">
        <f>IFERROR(INDEX('Detalles movimientos'!M$5:M$1021, MATCH(106, 'Detalles movimientos'!$U$5:$U$1021, 0)), "")</f>
        <v/>
      </c>
      <c r="J115" s="19">
        <f>IFERROR(INDEX('Detalles movimientos'!N$5:N$1021, MATCH(106, 'Detalles movimientos'!$U$5:$U$1021, 0)), "")</f>
        <v/>
      </c>
      <c r="K115" s="120">
        <f>IFERROR(INDEX('Detalles movimientos'!O$5:O$1021, MATCH(106, 'Detalles movimientos'!$U$5:$U$1021, 0)), "")</f>
        <v/>
      </c>
      <c r="L115" s="18">
        <f>IFERROR(INDEX('Detalles movimientos'!P$5:P$1021, MATCH(106, 'Detalles movimientos'!$U$5:$U$1021, 0)), "")</f>
        <v/>
      </c>
      <c r="M115" s="18">
        <f>IFERROR(INDEX('Detalles movimientos'!S$5:S$1021, MATCH(106, 'Detalles movimientos'!$U$5:$U$1021, 0)), "")</f>
        <v/>
      </c>
    </row>
    <row r="116">
      <c r="B116" s="119">
        <f>IFERROR(INDEX('Detalles movimientos'!C$5:C$1021, MATCH(107, 'Detalles movimientos'!$U$5:$U$1021, 0)), "")</f>
        <v/>
      </c>
      <c r="C116" s="18">
        <f>IFERROR(INDEX('Detalles movimientos'!D$5:D$1021, MATCH(107, 'Detalles movimientos'!$U$5:$U$1021, 0)), "")</f>
        <v/>
      </c>
      <c r="D116" s="19">
        <f>IFERROR(INDEX('Detalles movimientos'!E$5:E$1021, MATCH(107, 'Detalles movimientos'!$U$5:$U$1021, 0)), "")</f>
        <v/>
      </c>
      <c r="E116" s="19">
        <f>IFERROR(INDEX('Detalles movimientos'!F$5:F$1021, MATCH(107, 'Detalles movimientos'!$U$5:$U$1021, 0)), "")</f>
        <v/>
      </c>
      <c r="F116" s="18">
        <f>IFERROR(INDEX('Detalles movimientos'!G$5:G$1021, MATCH(107, 'Detalles movimientos'!$U$5:$U$1021, 0)), "")</f>
        <v/>
      </c>
      <c r="G116" s="120">
        <f>IFERROR(INDEX('Detalles movimientos'!H$5:H$1021, MATCH(107, 'Detalles movimientos'!$U$5:$U$1021, 0)), "")</f>
        <v/>
      </c>
      <c r="H116" s="121">
        <f>IFERROR(INDEX('Detalles movimientos'!I$5:I$1021, MATCH(107, 'Detalles movimientos'!$U$5:$U$1021, 0)), "")</f>
        <v/>
      </c>
      <c r="I116" s="120">
        <f>IFERROR(INDEX('Detalles movimientos'!M$5:M$1021, MATCH(107, 'Detalles movimientos'!$U$5:$U$1021, 0)), "")</f>
        <v/>
      </c>
      <c r="J116" s="19">
        <f>IFERROR(INDEX('Detalles movimientos'!N$5:N$1021, MATCH(107, 'Detalles movimientos'!$U$5:$U$1021, 0)), "")</f>
        <v/>
      </c>
      <c r="K116" s="120">
        <f>IFERROR(INDEX('Detalles movimientos'!O$5:O$1021, MATCH(107, 'Detalles movimientos'!$U$5:$U$1021, 0)), "")</f>
        <v/>
      </c>
      <c r="L116" s="18">
        <f>IFERROR(INDEX('Detalles movimientos'!P$5:P$1021, MATCH(107, 'Detalles movimientos'!$U$5:$U$1021, 0)), "")</f>
        <v/>
      </c>
      <c r="M116" s="18">
        <f>IFERROR(INDEX('Detalles movimientos'!S$5:S$1021, MATCH(107, 'Detalles movimientos'!$U$5:$U$1021, 0)), "")</f>
        <v/>
      </c>
    </row>
    <row r="117">
      <c r="B117" s="119">
        <f>IFERROR(INDEX('Detalles movimientos'!C$5:C$1021, MATCH(108, 'Detalles movimientos'!$U$5:$U$1021, 0)), "")</f>
        <v/>
      </c>
      <c r="C117" s="18">
        <f>IFERROR(INDEX('Detalles movimientos'!D$5:D$1021, MATCH(108, 'Detalles movimientos'!$U$5:$U$1021, 0)), "")</f>
        <v/>
      </c>
      <c r="D117" s="19">
        <f>IFERROR(INDEX('Detalles movimientos'!E$5:E$1021, MATCH(108, 'Detalles movimientos'!$U$5:$U$1021, 0)), "")</f>
        <v/>
      </c>
      <c r="E117" s="19">
        <f>IFERROR(INDEX('Detalles movimientos'!F$5:F$1021, MATCH(108, 'Detalles movimientos'!$U$5:$U$1021, 0)), "")</f>
        <v/>
      </c>
      <c r="F117" s="18">
        <f>IFERROR(INDEX('Detalles movimientos'!G$5:G$1021, MATCH(108, 'Detalles movimientos'!$U$5:$U$1021, 0)), "")</f>
        <v/>
      </c>
      <c r="G117" s="120">
        <f>IFERROR(INDEX('Detalles movimientos'!H$5:H$1021, MATCH(108, 'Detalles movimientos'!$U$5:$U$1021, 0)), "")</f>
        <v/>
      </c>
      <c r="H117" s="121">
        <f>IFERROR(INDEX('Detalles movimientos'!I$5:I$1021, MATCH(108, 'Detalles movimientos'!$U$5:$U$1021, 0)), "")</f>
        <v/>
      </c>
      <c r="I117" s="120">
        <f>IFERROR(INDEX('Detalles movimientos'!M$5:M$1021, MATCH(108, 'Detalles movimientos'!$U$5:$U$1021, 0)), "")</f>
        <v/>
      </c>
      <c r="J117" s="19">
        <f>IFERROR(INDEX('Detalles movimientos'!N$5:N$1021, MATCH(108, 'Detalles movimientos'!$U$5:$U$1021, 0)), "")</f>
        <v/>
      </c>
      <c r="K117" s="120">
        <f>IFERROR(INDEX('Detalles movimientos'!O$5:O$1021, MATCH(108, 'Detalles movimientos'!$U$5:$U$1021, 0)), "")</f>
        <v/>
      </c>
      <c r="L117" s="18">
        <f>IFERROR(INDEX('Detalles movimientos'!P$5:P$1021, MATCH(108, 'Detalles movimientos'!$U$5:$U$1021, 0)), "")</f>
        <v/>
      </c>
      <c r="M117" s="18">
        <f>IFERROR(INDEX('Detalles movimientos'!S$5:S$1021, MATCH(108, 'Detalles movimientos'!$U$5:$U$1021, 0)), "")</f>
        <v/>
      </c>
    </row>
    <row r="118">
      <c r="B118" s="119">
        <f>IFERROR(INDEX('Detalles movimientos'!C$5:C$1021, MATCH(109, 'Detalles movimientos'!$U$5:$U$1021, 0)), "")</f>
        <v/>
      </c>
      <c r="C118" s="18">
        <f>IFERROR(INDEX('Detalles movimientos'!D$5:D$1021, MATCH(109, 'Detalles movimientos'!$U$5:$U$1021, 0)), "")</f>
        <v/>
      </c>
      <c r="D118" s="19">
        <f>IFERROR(INDEX('Detalles movimientos'!E$5:E$1021, MATCH(109, 'Detalles movimientos'!$U$5:$U$1021, 0)), "")</f>
        <v/>
      </c>
      <c r="E118" s="19">
        <f>IFERROR(INDEX('Detalles movimientos'!F$5:F$1021, MATCH(109, 'Detalles movimientos'!$U$5:$U$1021, 0)), "")</f>
        <v/>
      </c>
      <c r="F118" s="18">
        <f>IFERROR(INDEX('Detalles movimientos'!G$5:G$1021, MATCH(109, 'Detalles movimientos'!$U$5:$U$1021, 0)), "")</f>
        <v/>
      </c>
      <c r="G118" s="120">
        <f>IFERROR(INDEX('Detalles movimientos'!H$5:H$1021, MATCH(109, 'Detalles movimientos'!$U$5:$U$1021, 0)), "")</f>
        <v/>
      </c>
      <c r="H118" s="121">
        <f>IFERROR(INDEX('Detalles movimientos'!I$5:I$1021, MATCH(109, 'Detalles movimientos'!$U$5:$U$1021, 0)), "")</f>
        <v/>
      </c>
      <c r="I118" s="120">
        <f>IFERROR(INDEX('Detalles movimientos'!M$5:M$1021, MATCH(109, 'Detalles movimientos'!$U$5:$U$1021, 0)), "")</f>
        <v/>
      </c>
      <c r="J118" s="19">
        <f>IFERROR(INDEX('Detalles movimientos'!N$5:N$1021, MATCH(109, 'Detalles movimientos'!$U$5:$U$1021, 0)), "")</f>
        <v/>
      </c>
      <c r="K118" s="120">
        <f>IFERROR(INDEX('Detalles movimientos'!O$5:O$1021, MATCH(109, 'Detalles movimientos'!$U$5:$U$1021, 0)), "")</f>
        <v/>
      </c>
      <c r="L118" s="18">
        <f>IFERROR(INDEX('Detalles movimientos'!P$5:P$1021, MATCH(109, 'Detalles movimientos'!$U$5:$U$1021, 0)), "")</f>
        <v/>
      </c>
      <c r="M118" s="18">
        <f>IFERROR(INDEX('Detalles movimientos'!S$5:S$1021, MATCH(109, 'Detalles movimientos'!$U$5:$U$1021, 0)), "")</f>
        <v/>
      </c>
    </row>
    <row r="119">
      <c r="B119" s="119">
        <f>IFERROR(INDEX('Detalles movimientos'!C$5:C$1021, MATCH(110, 'Detalles movimientos'!$U$5:$U$1021, 0)), "")</f>
        <v/>
      </c>
      <c r="C119" s="18">
        <f>IFERROR(INDEX('Detalles movimientos'!D$5:D$1021, MATCH(110, 'Detalles movimientos'!$U$5:$U$1021, 0)), "")</f>
        <v/>
      </c>
      <c r="D119" s="19">
        <f>IFERROR(INDEX('Detalles movimientos'!E$5:E$1021, MATCH(110, 'Detalles movimientos'!$U$5:$U$1021, 0)), "")</f>
        <v/>
      </c>
      <c r="E119" s="19">
        <f>IFERROR(INDEX('Detalles movimientos'!F$5:F$1021, MATCH(110, 'Detalles movimientos'!$U$5:$U$1021, 0)), "")</f>
        <v/>
      </c>
      <c r="F119" s="18">
        <f>IFERROR(INDEX('Detalles movimientos'!G$5:G$1021, MATCH(110, 'Detalles movimientos'!$U$5:$U$1021, 0)), "")</f>
        <v/>
      </c>
      <c r="G119" s="120">
        <f>IFERROR(INDEX('Detalles movimientos'!H$5:H$1021, MATCH(110, 'Detalles movimientos'!$U$5:$U$1021, 0)), "")</f>
        <v/>
      </c>
      <c r="H119" s="121">
        <f>IFERROR(INDEX('Detalles movimientos'!I$5:I$1021, MATCH(110, 'Detalles movimientos'!$U$5:$U$1021, 0)), "")</f>
        <v/>
      </c>
      <c r="I119" s="120">
        <f>IFERROR(INDEX('Detalles movimientos'!M$5:M$1021, MATCH(110, 'Detalles movimientos'!$U$5:$U$1021, 0)), "")</f>
        <v/>
      </c>
      <c r="J119" s="19">
        <f>IFERROR(INDEX('Detalles movimientos'!N$5:N$1021, MATCH(110, 'Detalles movimientos'!$U$5:$U$1021, 0)), "")</f>
        <v/>
      </c>
      <c r="K119" s="120">
        <f>IFERROR(INDEX('Detalles movimientos'!O$5:O$1021, MATCH(110, 'Detalles movimientos'!$U$5:$U$1021, 0)), "")</f>
        <v/>
      </c>
      <c r="L119" s="18">
        <f>IFERROR(INDEX('Detalles movimientos'!P$5:P$1021, MATCH(110, 'Detalles movimientos'!$U$5:$U$1021, 0)), "")</f>
        <v/>
      </c>
      <c r="M119" s="18">
        <f>IFERROR(INDEX('Detalles movimientos'!S$5:S$1021, MATCH(110, 'Detalles movimientos'!$U$5:$U$1021, 0)), "")</f>
        <v/>
      </c>
    </row>
    <row r="120">
      <c r="B120" s="119">
        <f>IFERROR(INDEX('Detalles movimientos'!C$5:C$1021, MATCH(111, 'Detalles movimientos'!$U$5:$U$1021, 0)), "")</f>
        <v/>
      </c>
      <c r="C120" s="18">
        <f>IFERROR(INDEX('Detalles movimientos'!D$5:D$1021, MATCH(111, 'Detalles movimientos'!$U$5:$U$1021, 0)), "")</f>
        <v/>
      </c>
      <c r="D120" s="19">
        <f>IFERROR(INDEX('Detalles movimientos'!E$5:E$1021, MATCH(111, 'Detalles movimientos'!$U$5:$U$1021, 0)), "")</f>
        <v/>
      </c>
      <c r="E120" s="19">
        <f>IFERROR(INDEX('Detalles movimientos'!F$5:F$1021, MATCH(111, 'Detalles movimientos'!$U$5:$U$1021, 0)), "")</f>
        <v/>
      </c>
      <c r="F120" s="18">
        <f>IFERROR(INDEX('Detalles movimientos'!G$5:G$1021, MATCH(111, 'Detalles movimientos'!$U$5:$U$1021, 0)), "")</f>
        <v/>
      </c>
      <c r="G120" s="120">
        <f>IFERROR(INDEX('Detalles movimientos'!H$5:H$1021, MATCH(111, 'Detalles movimientos'!$U$5:$U$1021, 0)), "")</f>
        <v/>
      </c>
      <c r="H120" s="121">
        <f>IFERROR(INDEX('Detalles movimientos'!I$5:I$1021, MATCH(111, 'Detalles movimientos'!$U$5:$U$1021, 0)), "")</f>
        <v/>
      </c>
      <c r="I120" s="120">
        <f>IFERROR(INDEX('Detalles movimientos'!M$5:M$1021, MATCH(111, 'Detalles movimientos'!$U$5:$U$1021, 0)), "")</f>
        <v/>
      </c>
      <c r="J120" s="19">
        <f>IFERROR(INDEX('Detalles movimientos'!N$5:N$1021, MATCH(111, 'Detalles movimientos'!$U$5:$U$1021, 0)), "")</f>
        <v/>
      </c>
      <c r="K120" s="120">
        <f>IFERROR(INDEX('Detalles movimientos'!O$5:O$1021, MATCH(111, 'Detalles movimientos'!$U$5:$U$1021, 0)), "")</f>
        <v/>
      </c>
      <c r="L120" s="18">
        <f>IFERROR(INDEX('Detalles movimientos'!P$5:P$1021, MATCH(111, 'Detalles movimientos'!$U$5:$U$1021, 0)), "")</f>
        <v/>
      </c>
      <c r="M120" s="18">
        <f>IFERROR(INDEX('Detalles movimientos'!S$5:S$1021, MATCH(111, 'Detalles movimientos'!$U$5:$U$1021, 0)), "")</f>
        <v/>
      </c>
    </row>
    <row r="121">
      <c r="B121" s="119">
        <f>IFERROR(INDEX('Detalles movimientos'!C$5:C$1021, MATCH(112, 'Detalles movimientos'!$U$5:$U$1021, 0)), "")</f>
        <v/>
      </c>
      <c r="C121" s="18">
        <f>IFERROR(INDEX('Detalles movimientos'!D$5:D$1021, MATCH(112, 'Detalles movimientos'!$U$5:$U$1021, 0)), "")</f>
        <v/>
      </c>
      <c r="D121" s="19">
        <f>IFERROR(INDEX('Detalles movimientos'!E$5:E$1021, MATCH(112, 'Detalles movimientos'!$U$5:$U$1021, 0)), "")</f>
        <v/>
      </c>
      <c r="E121" s="19">
        <f>IFERROR(INDEX('Detalles movimientos'!F$5:F$1021, MATCH(112, 'Detalles movimientos'!$U$5:$U$1021, 0)), "")</f>
        <v/>
      </c>
      <c r="F121" s="18">
        <f>IFERROR(INDEX('Detalles movimientos'!G$5:G$1021, MATCH(112, 'Detalles movimientos'!$U$5:$U$1021, 0)), "")</f>
        <v/>
      </c>
      <c r="G121" s="120">
        <f>IFERROR(INDEX('Detalles movimientos'!H$5:H$1021, MATCH(112, 'Detalles movimientos'!$U$5:$U$1021, 0)), "")</f>
        <v/>
      </c>
      <c r="H121" s="121">
        <f>IFERROR(INDEX('Detalles movimientos'!I$5:I$1021, MATCH(112, 'Detalles movimientos'!$U$5:$U$1021, 0)), "")</f>
        <v/>
      </c>
      <c r="I121" s="120">
        <f>IFERROR(INDEX('Detalles movimientos'!M$5:M$1021, MATCH(112, 'Detalles movimientos'!$U$5:$U$1021, 0)), "")</f>
        <v/>
      </c>
      <c r="J121" s="19">
        <f>IFERROR(INDEX('Detalles movimientos'!N$5:N$1021, MATCH(112, 'Detalles movimientos'!$U$5:$U$1021, 0)), "")</f>
        <v/>
      </c>
      <c r="K121" s="120">
        <f>IFERROR(INDEX('Detalles movimientos'!O$5:O$1021, MATCH(112, 'Detalles movimientos'!$U$5:$U$1021, 0)), "")</f>
        <v/>
      </c>
      <c r="L121" s="18">
        <f>IFERROR(INDEX('Detalles movimientos'!P$5:P$1021, MATCH(112, 'Detalles movimientos'!$U$5:$U$1021, 0)), "")</f>
        <v/>
      </c>
      <c r="M121" s="18">
        <f>IFERROR(INDEX('Detalles movimientos'!S$5:S$1021, MATCH(112, 'Detalles movimientos'!$U$5:$U$1021, 0)), "")</f>
        <v/>
      </c>
    </row>
    <row r="122">
      <c r="B122" s="119">
        <f>IFERROR(INDEX('Detalles movimientos'!C$5:C$1021, MATCH(113, 'Detalles movimientos'!$U$5:$U$1021, 0)), "")</f>
        <v/>
      </c>
      <c r="C122" s="18">
        <f>IFERROR(INDEX('Detalles movimientos'!D$5:D$1021, MATCH(113, 'Detalles movimientos'!$U$5:$U$1021, 0)), "")</f>
        <v/>
      </c>
      <c r="D122" s="19">
        <f>IFERROR(INDEX('Detalles movimientos'!E$5:E$1021, MATCH(113, 'Detalles movimientos'!$U$5:$U$1021, 0)), "")</f>
        <v/>
      </c>
      <c r="E122" s="19">
        <f>IFERROR(INDEX('Detalles movimientos'!F$5:F$1021, MATCH(113, 'Detalles movimientos'!$U$5:$U$1021, 0)), "")</f>
        <v/>
      </c>
      <c r="F122" s="18">
        <f>IFERROR(INDEX('Detalles movimientos'!G$5:G$1021, MATCH(113, 'Detalles movimientos'!$U$5:$U$1021, 0)), "")</f>
        <v/>
      </c>
      <c r="G122" s="120">
        <f>IFERROR(INDEX('Detalles movimientos'!H$5:H$1021, MATCH(113, 'Detalles movimientos'!$U$5:$U$1021, 0)), "")</f>
        <v/>
      </c>
      <c r="H122" s="121">
        <f>IFERROR(INDEX('Detalles movimientos'!I$5:I$1021, MATCH(113, 'Detalles movimientos'!$U$5:$U$1021, 0)), "")</f>
        <v/>
      </c>
      <c r="I122" s="120">
        <f>IFERROR(INDEX('Detalles movimientos'!M$5:M$1021, MATCH(113, 'Detalles movimientos'!$U$5:$U$1021, 0)), "")</f>
        <v/>
      </c>
      <c r="J122" s="19">
        <f>IFERROR(INDEX('Detalles movimientos'!N$5:N$1021, MATCH(113, 'Detalles movimientos'!$U$5:$U$1021, 0)), "")</f>
        <v/>
      </c>
      <c r="K122" s="120">
        <f>IFERROR(INDEX('Detalles movimientos'!O$5:O$1021, MATCH(113, 'Detalles movimientos'!$U$5:$U$1021, 0)), "")</f>
        <v/>
      </c>
      <c r="L122" s="18">
        <f>IFERROR(INDEX('Detalles movimientos'!P$5:P$1021, MATCH(113, 'Detalles movimientos'!$U$5:$U$1021, 0)), "")</f>
        <v/>
      </c>
      <c r="M122" s="18">
        <f>IFERROR(INDEX('Detalles movimientos'!S$5:S$1021, MATCH(113, 'Detalles movimientos'!$U$5:$U$1021, 0)), "")</f>
        <v/>
      </c>
    </row>
    <row r="123">
      <c r="B123" s="119">
        <f>IFERROR(INDEX('Detalles movimientos'!C$5:C$1021, MATCH(114, 'Detalles movimientos'!$U$5:$U$1021, 0)), "")</f>
        <v/>
      </c>
      <c r="C123" s="18">
        <f>IFERROR(INDEX('Detalles movimientos'!D$5:D$1021, MATCH(114, 'Detalles movimientos'!$U$5:$U$1021, 0)), "")</f>
        <v/>
      </c>
      <c r="D123" s="19">
        <f>IFERROR(INDEX('Detalles movimientos'!E$5:E$1021, MATCH(114, 'Detalles movimientos'!$U$5:$U$1021, 0)), "")</f>
        <v/>
      </c>
      <c r="E123" s="19">
        <f>IFERROR(INDEX('Detalles movimientos'!F$5:F$1021, MATCH(114, 'Detalles movimientos'!$U$5:$U$1021, 0)), "")</f>
        <v/>
      </c>
      <c r="F123" s="18">
        <f>IFERROR(INDEX('Detalles movimientos'!G$5:G$1021, MATCH(114, 'Detalles movimientos'!$U$5:$U$1021, 0)), "")</f>
        <v/>
      </c>
      <c r="G123" s="120">
        <f>IFERROR(INDEX('Detalles movimientos'!H$5:H$1021, MATCH(114, 'Detalles movimientos'!$U$5:$U$1021, 0)), "")</f>
        <v/>
      </c>
      <c r="H123" s="121">
        <f>IFERROR(INDEX('Detalles movimientos'!I$5:I$1021, MATCH(114, 'Detalles movimientos'!$U$5:$U$1021, 0)), "")</f>
        <v/>
      </c>
      <c r="I123" s="120">
        <f>IFERROR(INDEX('Detalles movimientos'!M$5:M$1021, MATCH(114, 'Detalles movimientos'!$U$5:$U$1021, 0)), "")</f>
        <v/>
      </c>
      <c r="J123" s="19">
        <f>IFERROR(INDEX('Detalles movimientos'!N$5:N$1021, MATCH(114, 'Detalles movimientos'!$U$5:$U$1021, 0)), "")</f>
        <v/>
      </c>
      <c r="K123" s="120">
        <f>IFERROR(INDEX('Detalles movimientos'!O$5:O$1021, MATCH(114, 'Detalles movimientos'!$U$5:$U$1021, 0)), "")</f>
        <v/>
      </c>
      <c r="L123" s="18">
        <f>IFERROR(INDEX('Detalles movimientos'!P$5:P$1021, MATCH(114, 'Detalles movimientos'!$U$5:$U$1021, 0)), "")</f>
        <v/>
      </c>
      <c r="M123" s="18">
        <f>IFERROR(INDEX('Detalles movimientos'!S$5:S$1021, MATCH(114, 'Detalles movimientos'!$U$5:$U$1021, 0)), "")</f>
        <v/>
      </c>
    </row>
    <row r="124">
      <c r="B124" s="119">
        <f>IFERROR(INDEX('Detalles movimientos'!C$5:C$1021, MATCH(115, 'Detalles movimientos'!$U$5:$U$1021, 0)), "")</f>
        <v/>
      </c>
      <c r="C124" s="18">
        <f>IFERROR(INDEX('Detalles movimientos'!D$5:D$1021, MATCH(115, 'Detalles movimientos'!$U$5:$U$1021, 0)), "")</f>
        <v/>
      </c>
      <c r="D124" s="19">
        <f>IFERROR(INDEX('Detalles movimientos'!E$5:E$1021, MATCH(115, 'Detalles movimientos'!$U$5:$U$1021, 0)), "")</f>
        <v/>
      </c>
      <c r="E124" s="19">
        <f>IFERROR(INDEX('Detalles movimientos'!F$5:F$1021, MATCH(115, 'Detalles movimientos'!$U$5:$U$1021, 0)), "")</f>
        <v/>
      </c>
      <c r="F124" s="18">
        <f>IFERROR(INDEX('Detalles movimientos'!G$5:G$1021, MATCH(115, 'Detalles movimientos'!$U$5:$U$1021, 0)), "")</f>
        <v/>
      </c>
      <c r="G124" s="120">
        <f>IFERROR(INDEX('Detalles movimientos'!H$5:H$1021, MATCH(115, 'Detalles movimientos'!$U$5:$U$1021, 0)), "")</f>
        <v/>
      </c>
      <c r="H124" s="121">
        <f>IFERROR(INDEX('Detalles movimientos'!I$5:I$1021, MATCH(115, 'Detalles movimientos'!$U$5:$U$1021, 0)), "")</f>
        <v/>
      </c>
      <c r="I124" s="120">
        <f>IFERROR(INDEX('Detalles movimientos'!M$5:M$1021, MATCH(115, 'Detalles movimientos'!$U$5:$U$1021, 0)), "")</f>
        <v/>
      </c>
      <c r="J124" s="19">
        <f>IFERROR(INDEX('Detalles movimientos'!N$5:N$1021, MATCH(115, 'Detalles movimientos'!$U$5:$U$1021, 0)), "")</f>
        <v/>
      </c>
      <c r="K124" s="120">
        <f>IFERROR(INDEX('Detalles movimientos'!O$5:O$1021, MATCH(115, 'Detalles movimientos'!$U$5:$U$1021, 0)), "")</f>
        <v/>
      </c>
      <c r="L124" s="18">
        <f>IFERROR(INDEX('Detalles movimientos'!P$5:P$1021, MATCH(115, 'Detalles movimientos'!$U$5:$U$1021, 0)), "")</f>
        <v/>
      </c>
      <c r="M124" s="18">
        <f>IFERROR(INDEX('Detalles movimientos'!S$5:S$1021, MATCH(115, 'Detalles movimientos'!$U$5:$U$1021, 0)), "")</f>
        <v/>
      </c>
    </row>
    <row r="125">
      <c r="B125" s="119">
        <f>IFERROR(INDEX('Detalles movimientos'!C$5:C$1021, MATCH(116, 'Detalles movimientos'!$U$5:$U$1021, 0)), "")</f>
        <v/>
      </c>
      <c r="C125" s="18">
        <f>IFERROR(INDEX('Detalles movimientos'!D$5:D$1021, MATCH(116, 'Detalles movimientos'!$U$5:$U$1021, 0)), "")</f>
        <v/>
      </c>
      <c r="D125" s="19">
        <f>IFERROR(INDEX('Detalles movimientos'!E$5:E$1021, MATCH(116, 'Detalles movimientos'!$U$5:$U$1021, 0)), "")</f>
        <v/>
      </c>
      <c r="E125" s="19">
        <f>IFERROR(INDEX('Detalles movimientos'!F$5:F$1021, MATCH(116, 'Detalles movimientos'!$U$5:$U$1021, 0)), "")</f>
        <v/>
      </c>
      <c r="F125" s="18">
        <f>IFERROR(INDEX('Detalles movimientos'!G$5:G$1021, MATCH(116, 'Detalles movimientos'!$U$5:$U$1021, 0)), "")</f>
        <v/>
      </c>
      <c r="G125" s="120">
        <f>IFERROR(INDEX('Detalles movimientos'!H$5:H$1021, MATCH(116, 'Detalles movimientos'!$U$5:$U$1021, 0)), "")</f>
        <v/>
      </c>
      <c r="H125" s="121">
        <f>IFERROR(INDEX('Detalles movimientos'!I$5:I$1021, MATCH(116, 'Detalles movimientos'!$U$5:$U$1021, 0)), "")</f>
        <v/>
      </c>
      <c r="I125" s="120">
        <f>IFERROR(INDEX('Detalles movimientos'!M$5:M$1021, MATCH(116, 'Detalles movimientos'!$U$5:$U$1021, 0)), "")</f>
        <v/>
      </c>
      <c r="J125" s="19">
        <f>IFERROR(INDEX('Detalles movimientos'!N$5:N$1021, MATCH(116, 'Detalles movimientos'!$U$5:$U$1021, 0)), "")</f>
        <v/>
      </c>
      <c r="K125" s="120">
        <f>IFERROR(INDEX('Detalles movimientos'!O$5:O$1021, MATCH(116, 'Detalles movimientos'!$U$5:$U$1021, 0)), "")</f>
        <v/>
      </c>
      <c r="L125" s="18">
        <f>IFERROR(INDEX('Detalles movimientos'!P$5:P$1021, MATCH(116, 'Detalles movimientos'!$U$5:$U$1021, 0)), "")</f>
        <v/>
      </c>
      <c r="M125" s="18">
        <f>IFERROR(INDEX('Detalles movimientos'!S$5:S$1021, MATCH(116, 'Detalles movimientos'!$U$5:$U$1021, 0)), "")</f>
        <v/>
      </c>
    </row>
    <row r="126">
      <c r="B126" s="119">
        <f>IFERROR(INDEX('Detalles movimientos'!C$5:C$1021, MATCH(117, 'Detalles movimientos'!$U$5:$U$1021, 0)), "")</f>
        <v/>
      </c>
      <c r="C126" s="18">
        <f>IFERROR(INDEX('Detalles movimientos'!D$5:D$1021, MATCH(117, 'Detalles movimientos'!$U$5:$U$1021, 0)), "")</f>
        <v/>
      </c>
      <c r="D126" s="19">
        <f>IFERROR(INDEX('Detalles movimientos'!E$5:E$1021, MATCH(117, 'Detalles movimientos'!$U$5:$U$1021, 0)), "")</f>
        <v/>
      </c>
      <c r="E126" s="19">
        <f>IFERROR(INDEX('Detalles movimientos'!F$5:F$1021, MATCH(117, 'Detalles movimientos'!$U$5:$U$1021, 0)), "")</f>
        <v/>
      </c>
      <c r="F126" s="18">
        <f>IFERROR(INDEX('Detalles movimientos'!G$5:G$1021, MATCH(117, 'Detalles movimientos'!$U$5:$U$1021, 0)), "")</f>
        <v/>
      </c>
      <c r="G126" s="120">
        <f>IFERROR(INDEX('Detalles movimientos'!H$5:H$1021, MATCH(117, 'Detalles movimientos'!$U$5:$U$1021, 0)), "")</f>
        <v/>
      </c>
      <c r="H126" s="121">
        <f>IFERROR(INDEX('Detalles movimientos'!I$5:I$1021, MATCH(117, 'Detalles movimientos'!$U$5:$U$1021, 0)), "")</f>
        <v/>
      </c>
      <c r="I126" s="120">
        <f>IFERROR(INDEX('Detalles movimientos'!M$5:M$1021, MATCH(117, 'Detalles movimientos'!$U$5:$U$1021, 0)), "")</f>
        <v/>
      </c>
      <c r="J126" s="19">
        <f>IFERROR(INDEX('Detalles movimientos'!N$5:N$1021, MATCH(117, 'Detalles movimientos'!$U$5:$U$1021, 0)), "")</f>
        <v/>
      </c>
      <c r="K126" s="120">
        <f>IFERROR(INDEX('Detalles movimientos'!O$5:O$1021, MATCH(117, 'Detalles movimientos'!$U$5:$U$1021, 0)), "")</f>
        <v/>
      </c>
      <c r="L126" s="18">
        <f>IFERROR(INDEX('Detalles movimientos'!P$5:P$1021, MATCH(117, 'Detalles movimientos'!$U$5:$U$1021, 0)), "")</f>
        <v/>
      </c>
      <c r="M126" s="18">
        <f>IFERROR(INDEX('Detalles movimientos'!S$5:S$1021, MATCH(117, 'Detalles movimientos'!$U$5:$U$1021, 0)), "")</f>
        <v/>
      </c>
    </row>
    <row r="127">
      <c r="B127" s="119">
        <f>IFERROR(INDEX('Detalles movimientos'!C$5:C$1021, MATCH(118, 'Detalles movimientos'!$U$5:$U$1021, 0)), "")</f>
        <v/>
      </c>
      <c r="C127" s="18">
        <f>IFERROR(INDEX('Detalles movimientos'!D$5:D$1021, MATCH(118, 'Detalles movimientos'!$U$5:$U$1021, 0)), "")</f>
        <v/>
      </c>
      <c r="D127" s="19">
        <f>IFERROR(INDEX('Detalles movimientos'!E$5:E$1021, MATCH(118, 'Detalles movimientos'!$U$5:$U$1021, 0)), "")</f>
        <v/>
      </c>
      <c r="E127" s="19">
        <f>IFERROR(INDEX('Detalles movimientos'!F$5:F$1021, MATCH(118, 'Detalles movimientos'!$U$5:$U$1021, 0)), "")</f>
        <v/>
      </c>
      <c r="F127" s="18">
        <f>IFERROR(INDEX('Detalles movimientos'!G$5:G$1021, MATCH(118, 'Detalles movimientos'!$U$5:$U$1021, 0)), "")</f>
        <v/>
      </c>
      <c r="G127" s="120">
        <f>IFERROR(INDEX('Detalles movimientos'!H$5:H$1021, MATCH(118, 'Detalles movimientos'!$U$5:$U$1021, 0)), "")</f>
        <v/>
      </c>
      <c r="H127" s="121">
        <f>IFERROR(INDEX('Detalles movimientos'!I$5:I$1021, MATCH(118, 'Detalles movimientos'!$U$5:$U$1021, 0)), "")</f>
        <v/>
      </c>
      <c r="I127" s="120">
        <f>IFERROR(INDEX('Detalles movimientos'!M$5:M$1021, MATCH(118, 'Detalles movimientos'!$U$5:$U$1021, 0)), "")</f>
        <v/>
      </c>
      <c r="J127" s="19">
        <f>IFERROR(INDEX('Detalles movimientos'!N$5:N$1021, MATCH(118, 'Detalles movimientos'!$U$5:$U$1021, 0)), "")</f>
        <v/>
      </c>
      <c r="K127" s="120">
        <f>IFERROR(INDEX('Detalles movimientos'!O$5:O$1021, MATCH(118, 'Detalles movimientos'!$U$5:$U$1021, 0)), "")</f>
        <v/>
      </c>
      <c r="L127" s="18">
        <f>IFERROR(INDEX('Detalles movimientos'!P$5:P$1021, MATCH(118, 'Detalles movimientos'!$U$5:$U$1021, 0)), "")</f>
        <v/>
      </c>
      <c r="M127" s="18">
        <f>IFERROR(INDEX('Detalles movimientos'!S$5:S$1021, MATCH(118, 'Detalles movimientos'!$U$5:$U$1021, 0)), "")</f>
        <v/>
      </c>
    </row>
    <row r="128">
      <c r="B128" s="119">
        <f>IFERROR(INDEX('Detalles movimientos'!C$5:C$1021, MATCH(119, 'Detalles movimientos'!$U$5:$U$1021, 0)), "")</f>
        <v/>
      </c>
      <c r="C128" s="18">
        <f>IFERROR(INDEX('Detalles movimientos'!D$5:D$1021, MATCH(119, 'Detalles movimientos'!$U$5:$U$1021, 0)), "")</f>
        <v/>
      </c>
      <c r="D128" s="19">
        <f>IFERROR(INDEX('Detalles movimientos'!E$5:E$1021, MATCH(119, 'Detalles movimientos'!$U$5:$U$1021, 0)), "")</f>
        <v/>
      </c>
      <c r="E128" s="19">
        <f>IFERROR(INDEX('Detalles movimientos'!F$5:F$1021, MATCH(119, 'Detalles movimientos'!$U$5:$U$1021, 0)), "")</f>
        <v/>
      </c>
      <c r="F128" s="18">
        <f>IFERROR(INDEX('Detalles movimientos'!G$5:G$1021, MATCH(119, 'Detalles movimientos'!$U$5:$U$1021, 0)), "")</f>
        <v/>
      </c>
      <c r="G128" s="120">
        <f>IFERROR(INDEX('Detalles movimientos'!H$5:H$1021, MATCH(119, 'Detalles movimientos'!$U$5:$U$1021, 0)), "")</f>
        <v/>
      </c>
      <c r="H128" s="121">
        <f>IFERROR(INDEX('Detalles movimientos'!I$5:I$1021, MATCH(119, 'Detalles movimientos'!$U$5:$U$1021, 0)), "")</f>
        <v/>
      </c>
      <c r="I128" s="120">
        <f>IFERROR(INDEX('Detalles movimientos'!M$5:M$1021, MATCH(119, 'Detalles movimientos'!$U$5:$U$1021, 0)), "")</f>
        <v/>
      </c>
      <c r="J128" s="19">
        <f>IFERROR(INDEX('Detalles movimientos'!N$5:N$1021, MATCH(119, 'Detalles movimientos'!$U$5:$U$1021, 0)), "")</f>
        <v/>
      </c>
      <c r="K128" s="120">
        <f>IFERROR(INDEX('Detalles movimientos'!O$5:O$1021, MATCH(119, 'Detalles movimientos'!$U$5:$U$1021, 0)), "")</f>
        <v/>
      </c>
      <c r="L128" s="18">
        <f>IFERROR(INDEX('Detalles movimientos'!P$5:P$1021, MATCH(119, 'Detalles movimientos'!$U$5:$U$1021, 0)), "")</f>
        <v/>
      </c>
      <c r="M128" s="18">
        <f>IFERROR(INDEX('Detalles movimientos'!S$5:S$1021, MATCH(119, 'Detalles movimientos'!$U$5:$U$1021, 0)), "")</f>
        <v/>
      </c>
    </row>
    <row r="129">
      <c r="B129" s="119">
        <f>IFERROR(INDEX('Detalles movimientos'!C$5:C$1021, MATCH(120, 'Detalles movimientos'!$U$5:$U$1021, 0)), "")</f>
        <v/>
      </c>
      <c r="C129" s="18">
        <f>IFERROR(INDEX('Detalles movimientos'!D$5:D$1021, MATCH(120, 'Detalles movimientos'!$U$5:$U$1021, 0)), "")</f>
        <v/>
      </c>
      <c r="D129" s="19">
        <f>IFERROR(INDEX('Detalles movimientos'!E$5:E$1021, MATCH(120, 'Detalles movimientos'!$U$5:$U$1021, 0)), "")</f>
        <v/>
      </c>
      <c r="E129" s="19">
        <f>IFERROR(INDEX('Detalles movimientos'!F$5:F$1021, MATCH(120, 'Detalles movimientos'!$U$5:$U$1021, 0)), "")</f>
        <v/>
      </c>
      <c r="F129" s="18">
        <f>IFERROR(INDEX('Detalles movimientos'!G$5:G$1021, MATCH(120, 'Detalles movimientos'!$U$5:$U$1021, 0)), "")</f>
        <v/>
      </c>
      <c r="G129" s="120">
        <f>IFERROR(INDEX('Detalles movimientos'!H$5:H$1021, MATCH(120, 'Detalles movimientos'!$U$5:$U$1021, 0)), "")</f>
        <v/>
      </c>
      <c r="H129" s="121">
        <f>IFERROR(INDEX('Detalles movimientos'!I$5:I$1021, MATCH(120, 'Detalles movimientos'!$U$5:$U$1021, 0)), "")</f>
        <v/>
      </c>
      <c r="I129" s="120">
        <f>IFERROR(INDEX('Detalles movimientos'!M$5:M$1021, MATCH(120, 'Detalles movimientos'!$U$5:$U$1021, 0)), "")</f>
        <v/>
      </c>
      <c r="J129" s="19">
        <f>IFERROR(INDEX('Detalles movimientos'!N$5:N$1021, MATCH(120, 'Detalles movimientos'!$U$5:$U$1021, 0)), "")</f>
        <v/>
      </c>
      <c r="K129" s="120">
        <f>IFERROR(INDEX('Detalles movimientos'!O$5:O$1021, MATCH(120, 'Detalles movimientos'!$U$5:$U$1021, 0)), "")</f>
        <v/>
      </c>
      <c r="L129" s="18">
        <f>IFERROR(INDEX('Detalles movimientos'!P$5:P$1021, MATCH(120, 'Detalles movimientos'!$U$5:$U$1021, 0)), "")</f>
        <v/>
      </c>
      <c r="M129" s="18">
        <f>IFERROR(INDEX('Detalles movimientos'!S$5:S$1021, MATCH(120, 'Detalles movimientos'!$U$5:$U$1021, 0)), "")</f>
        <v/>
      </c>
    </row>
    <row r="130">
      <c r="B130" s="119">
        <f>IFERROR(INDEX('Detalles movimientos'!C$5:C$1021, MATCH(121, 'Detalles movimientos'!$U$5:$U$1021, 0)), "")</f>
        <v/>
      </c>
      <c r="C130" s="18">
        <f>IFERROR(INDEX('Detalles movimientos'!D$5:D$1021, MATCH(121, 'Detalles movimientos'!$U$5:$U$1021, 0)), "")</f>
        <v/>
      </c>
      <c r="D130" s="19">
        <f>IFERROR(INDEX('Detalles movimientos'!E$5:E$1021, MATCH(121, 'Detalles movimientos'!$U$5:$U$1021, 0)), "")</f>
        <v/>
      </c>
      <c r="E130" s="19">
        <f>IFERROR(INDEX('Detalles movimientos'!F$5:F$1021, MATCH(121, 'Detalles movimientos'!$U$5:$U$1021, 0)), "")</f>
        <v/>
      </c>
      <c r="F130" s="18">
        <f>IFERROR(INDEX('Detalles movimientos'!G$5:G$1021, MATCH(121, 'Detalles movimientos'!$U$5:$U$1021, 0)), "")</f>
        <v/>
      </c>
      <c r="G130" s="120">
        <f>IFERROR(INDEX('Detalles movimientos'!H$5:H$1021, MATCH(121, 'Detalles movimientos'!$U$5:$U$1021, 0)), "")</f>
        <v/>
      </c>
      <c r="H130" s="121">
        <f>IFERROR(INDEX('Detalles movimientos'!I$5:I$1021, MATCH(121, 'Detalles movimientos'!$U$5:$U$1021, 0)), "")</f>
        <v/>
      </c>
      <c r="I130" s="120">
        <f>IFERROR(INDEX('Detalles movimientos'!M$5:M$1021, MATCH(121, 'Detalles movimientos'!$U$5:$U$1021, 0)), "")</f>
        <v/>
      </c>
      <c r="J130" s="19">
        <f>IFERROR(INDEX('Detalles movimientos'!N$5:N$1021, MATCH(121, 'Detalles movimientos'!$U$5:$U$1021, 0)), "")</f>
        <v/>
      </c>
      <c r="K130" s="120">
        <f>IFERROR(INDEX('Detalles movimientos'!O$5:O$1021, MATCH(121, 'Detalles movimientos'!$U$5:$U$1021, 0)), "")</f>
        <v/>
      </c>
      <c r="L130" s="18">
        <f>IFERROR(INDEX('Detalles movimientos'!P$5:P$1021, MATCH(121, 'Detalles movimientos'!$U$5:$U$1021, 0)), "")</f>
        <v/>
      </c>
      <c r="M130" s="18">
        <f>IFERROR(INDEX('Detalles movimientos'!S$5:S$1021, MATCH(121, 'Detalles movimientos'!$U$5:$U$1021, 0)), "")</f>
        <v/>
      </c>
    </row>
    <row r="131">
      <c r="B131" s="119">
        <f>IFERROR(INDEX('Detalles movimientos'!C$5:C$1021, MATCH(122, 'Detalles movimientos'!$U$5:$U$1021, 0)), "")</f>
        <v/>
      </c>
      <c r="C131" s="18">
        <f>IFERROR(INDEX('Detalles movimientos'!D$5:D$1021, MATCH(122, 'Detalles movimientos'!$U$5:$U$1021, 0)), "")</f>
        <v/>
      </c>
      <c r="D131" s="19">
        <f>IFERROR(INDEX('Detalles movimientos'!E$5:E$1021, MATCH(122, 'Detalles movimientos'!$U$5:$U$1021, 0)), "")</f>
        <v/>
      </c>
      <c r="E131" s="19">
        <f>IFERROR(INDEX('Detalles movimientos'!F$5:F$1021, MATCH(122, 'Detalles movimientos'!$U$5:$U$1021, 0)), "")</f>
        <v/>
      </c>
      <c r="F131" s="18">
        <f>IFERROR(INDEX('Detalles movimientos'!G$5:G$1021, MATCH(122, 'Detalles movimientos'!$U$5:$U$1021, 0)), "")</f>
        <v/>
      </c>
      <c r="G131" s="120">
        <f>IFERROR(INDEX('Detalles movimientos'!H$5:H$1021, MATCH(122, 'Detalles movimientos'!$U$5:$U$1021, 0)), "")</f>
        <v/>
      </c>
      <c r="H131" s="121">
        <f>IFERROR(INDEX('Detalles movimientos'!I$5:I$1021, MATCH(122, 'Detalles movimientos'!$U$5:$U$1021, 0)), "")</f>
        <v/>
      </c>
      <c r="I131" s="120">
        <f>IFERROR(INDEX('Detalles movimientos'!M$5:M$1021, MATCH(122, 'Detalles movimientos'!$U$5:$U$1021, 0)), "")</f>
        <v/>
      </c>
      <c r="J131" s="19">
        <f>IFERROR(INDEX('Detalles movimientos'!N$5:N$1021, MATCH(122, 'Detalles movimientos'!$U$5:$U$1021, 0)), "")</f>
        <v/>
      </c>
      <c r="K131" s="120">
        <f>IFERROR(INDEX('Detalles movimientos'!O$5:O$1021, MATCH(122, 'Detalles movimientos'!$U$5:$U$1021, 0)), "")</f>
        <v/>
      </c>
      <c r="L131" s="18">
        <f>IFERROR(INDEX('Detalles movimientos'!P$5:P$1021, MATCH(122, 'Detalles movimientos'!$U$5:$U$1021, 0)), "")</f>
        <v/>
      </c>
      <c r="M131" s="18">
        <f>IFERROR(INDEX('Detalles movimientos'!S$5:S$1021, MATCH(122, 'Detalles movimientos'!$U$5:$U$1021, 0)), "")</f>
        <v/>
      </c>
    </row>
    <row r="132">
      <c r="B132" s="119">
        <f>IFERROR(INDEX('Detalles movimientos'!C$5:C$1021, MATCH(123, 'Detalles movimientos'!$U$5:$U$1021, 0)), "")</f>
        <v/>
      </c>
      <c r="C132" s="18">
        <f>IFERROR(INDEX('Detalles movimientos'!D$5:D$1021, MATCH(123, 'Detalles movimientos'!$U$5:$U$1021, 0)), "")</f>
        <v/>
      </c>
      <c r="D132" s="19">
        <f>IFERROR(INDEX('Detalles movimientos'!E$5:E$1021, MATCH(123, 'Detalles movimientos'!$U$5:$U$1021, 0)), "")</f>
        <v/>
      </c>
      <c r="E132" s="19">
        <f>IFERROR(INDEX('Detalles movimientos'!F$5:F$1021, MATCH(123, 'Detalles movimientos'!$U$5:$U$1021, 0)), "")</f>
        <v/>
      </c>
      <c r="F132" s="18">
        <f>IFERROR(INDEX('Detalles movimientos'!G$5:G$1021, MATCH(123, 'Detalles movimientos'!$U$5:$U$1021, 0)), "")</f>
        <v/>
      </c>
      <c r="G132" s="120">
        <f>IFERROR(INDEX('Detalles movimientos'!H$5:H$1021, MATCH(123, 'Detalles movimientos'!$U$5:$U$1021, 0)), "")</f>
        <v/>
      </c>
      <c r="H132" s="121">
        <f>IFERROR(INDEX('Detalles movimientos'!I$5:I$1021, MATCH(123, 'Detalles movimientos'!$U$5:$U$1021, 0)), "")</f>
        <v/>
      </c>
      <c r="I132" s="120">
        <f>IFERROR(INDEX('Detalles movimientos'!M$5:M$1021, MATCH(123, 'Detalles movimientos'!$U$5:$U$1021, 0)), "")</f>
        <v/>
      </c>
      <c r="J132" s="19">
        <f>IFERROR(INDEX('Detalles movimientos'!N$5:N$1021, MATCH(123, 'Detalles movimientos'!$U$5:$U$1021, 0)), "")</f>
        <v/>
      </c>
      <c r="K132" s="120">
        <f>IFERROR(INDEX('Detalles movimientos'!O$5:O$1021, MATCH(123, 'Detalles movimientos'!$U$5:$U$1021, 0)), "")</f>
        <v/>
      </c>
      <c r="L132" s="18">
        <f>IFERROR(INDEX('Detalles movimientos'!P$5:P$1021, MATCH(123, 'Detalles movimientos'!$U$5:$U$1021, 0)), "")</f>
        <v/>
      </c>
      <c r="M132" s="18">
        <f>IFERROR(INDEX('Detalles movimientos'!S$5:S$1021, MATCH(123, 'Detalles movimientos'!$U$5:$U$1021, 0)), "")</f>
        <v/>
      </c>
    </row>
    <row r="133">
      <c r="B133" s="119">
        <f>IFERROR(INDEX('Detalles movimientos'!C$5:C$1021, MATCH(124, 'Detalles movimientos'!$U$5:$U$1021, 0)), "")</f>
        <v/>
      </c>
      <c r="C133" s="18">
        <f>IFERROR(INDEX('Detalles movimientos'!D$5:D$1021, MATCH(124, 'Detalles movimientos'!$U$5:$U$1021, 0)), "")</f>
        <v/>
      </c>
      <c r="D133" s="19">
        <f>IFERROR(INDEX('Detalles movimientos'!E$5:E$1021, MATCH(124, 'Detalles movimientos'!$U$5:$U$1021, 0)), "")</f>
        <v/>
      </c>
      <c r="E133" s="19">
        <f>IFERROR(INDEX('Detalles movimientos'!F$5:F$1021, MATCH(124, 'Detalles movimientos'!$U$5:$U$1021, 0)), "")</f>
        <v/>
      </c>
      <c r="F133" s="18">
        <f>IFERROR(INDEX('Detalles movimientos'!G$5:G$1021, MATCH(124, 'Detalles movimientos'!$U$5:$U$1021, 0)), "")</f>
        <v/>
      </c>
      <c r="G133" s="120">
        <f>IFERROR(INDEX('Detalles movimientos'!H$5:H$1021, MATCH(124, 'Detalles movimientos'!$U$5:$U$1021, 0)), "")</f>
        <v/>
      </c>
      <c r="H133" s="121">
        <f>IFERROR(INDEX('Detalles movimientos'!I$5:I$1021, MATCH(124, 'Detalles movimientos'!$U$5:$U$1021, 0)), "")</f>
        <v/>
      </c>
      <c r="I133" s="120">
        <f>IFERROR(INDEX('Detalles movimientos'!M$5:M$1021, MATCH(124, 'Detalles movimientos'!$U$5:$U$1021, 0)), "")</f>
        <v/>
      </c>
      <c r="J133" s="19">
        <f>IFERROR(INDEX('Detalles movimientos'!N$5:N$1021, MATCH(124, 'Detalles movimientos'!$U$5:$U$1021, 0)), "")</f>
        <v/>
      </c>
      <c r="K133" s="120">
        <f>IFERROR(INDEX('Detalles movimientos'!O$5:O$1021, MATCH(124, 'Detalles movimientos'!$U$5:$U$1021, 0)), "")</f>
        <v/>
      </c>
      <c r="L133" s="18">
        <f>IFERROR(INDEX('Detalles movimientos'!P$5:P$1021, MATCH(124, 'Detalles movimientos'!$U$5:$U$1021, 0)), "")</f>
        <v/>
      </c>
      <c r="M133" s="18">
        <f>IFERROR(INDEX('Detalles movimientos'!S$5:S$1021, MATCH(124, 'Detalles movimientos'!$U$5:$U$1021, 0)), "")</f>
        <v/>
      </c>
    </row>
    <row r="134">
      <c r="B134" s="119">
        <f>IFERROR(INDEX('Detalles movimientos'!C$5:C$1021, MATCH(125, 'Detalles movimientos'!$U$5:$U$1021, 0)), "")</f>
        <v/>
      </c>
      <c r="C134" s="18">
        <f>IFERROR(INDEX('Detalles movimientos'!D$5:D$1021, MATCH(125, 'Detalles movimientos'!$U$5:$U$1021, 0)), "")</f>
        <v/>
      </c>
      <c r="D134" s="19">
        <f>IFERROR(INDEX('Detalles movimientos'!E$5:E$1021, MATCH(125, 'Detalles movimientos'!$U$5:$U$1021, 0)), "")</f>
        <v/>
      </c>
      <c r="E134" s="19">
        <f>IFERROR(INDEX('Detalles movimientos'!F$5:F$1021, MATCH(125, 'Detalles movimientos'!$U$5:$U$1021, 0)), "")</f>
        <v/>
      </c>
      <c r="F134" s="18">
        <f>IFERROR(INDEX('Detalles movimientos'!G$5:G$1021, MATCH(125, 'Detalles movimientos'!$U$5:$U$1021, 0)), "")</f>
        <v/>
      </c>
      <c r="G134" s="120">
        <f>IFERROR(INDEX('Detalles movimientos'!H$5:H$1021, MATCH(125, 'Detalles movimientos'!$U$5:$U$1021, 0)), "")</f>
        <v/>
      </c>
      <c r="H134" s="121">
        <f>IFERROR(INDEX('Detalles movimientos'!I$5:I$1021, MATCH(125, 'Detalles movimientos'!$U$5:$U$1021, 0)), "")</f>
        <v/>
      </c>
      <c r="I134" s="120">
        <f>IFERROR(INDEX('Detalles movimientos'!M$5:M$1021, MATCH(125, 'Detalles movimientos'!$U$5:$U$1021, 0)), "")</f>
        <v/>
      </c>
      <c r="J134" s="19">
        <f>IFERROR(INDEX('Detalles movimientos'!N$5:N$1021, MATCH(125, 'Detalles movimientos'!$U$5:$U$1021, 0)), "")</f>
        <v/>
      </c>
      <c r="K134" s="120">
        <f>IFERROR(INDEX('Detalles movimientos'!O$5:O$1021, MATCH(125, 'Detalles movimientos'!$U$5:$U$1021, 0)), "")</f>
        <v/>
      </c>
      <c r="L134" s="18">
        <f>IFERROR(INDEX('Detalles movimientos'!P$5:P$1021, MATCH(125, 'Detalles movimientos'!$U$5:$U$1021, 0)), "")</f>
        <v/>
      </c>
      <c r="M134" s="18">
        <f>IFERROR(INDEX('Detalles movimientos'!S$5:S$1021, MATCH(125, 'Detalles movimientos'!$U$5:$U$1021, 0)), "")</f>
        <v/>
      </c>
    </row>
    <row r="135">
      <c r="B135" s="119">
        <f>IFERROR(INDEX('Detalles movimientos'!C$5:C$1021, MATCH(126, 'Detalles movimientos'!$U$5:$U$1021, 0)), "")</f>
        <v/>
      </c>
      <c r="C135" s="18">
        <f>IFERROR(INDEX('Detalles movimientos'!D$5:D$1021, MATCH(126, 'Detalles movimientos'!$U$5:$U$1021, 0)), "")</f>
        <v/>
      </c>
      <c r="D135" s="19">
        <f>IFERROR(INDEX('Detalles movimientos'!E$5:E$1021, MATCH(126, 'Detalles movimientos'!$U$5:$U$1021, 0)), "")</f>
        <v/>
      </c>
      <c r="E135" s="19">
        <f>IFERROR(INDEX('Detalles movimientos'!F$5:F$1021, MATCH(126, 'Detalles movimientos'!$U$5:$U$1021, 0)), "")</f>
        <v/>
      </c>
      <c r="F135" s="18">
        <f>IFERROR(INDEX('Detalles movimientos'!G$5:G$1021, MATCH(126, 'Detalles movimientos'!$U$5:$U$1021, 0)), "")</f>
        <v/>
      </c>
      <c r="G135" s="120">
        <f>IFERROR(INDEX('Detalles movimientos'!H$5:H$1021, MATCH(126, 'Detalles movimientos'!$U$5:$U$1021, 0)), "")</f>
        <v/>
      </c>
      <c r="H135" s="121">
        <f>IFERROR(INDEX('Detalles movimientos'!I$5:I$1021, MATCH(126, 'Detalles movimientos'!$U$5:$U$1021, 0)), "")</f>
        <v/>
      </c>
      <c r="I135" s="120">
        <f>IFERROR(INDEX('Detalles movimientos'!M$5:M$1021, MATCH(126, 'Detalles movimientos'!$U$5:$U$1021, 0)), "")</f>
        <v/>
      </c>
      <c r="J135" s="19">
        <f>IFERROR(INDEX('Detalles movimientos'!N$5:N$1021, MATCH(126, 'Detalles movimientos'!$U$5:$U$1021, 0)), "")</f>
        <v/>
      </c>
      <c r="K135" s="120">
        <f>IFERROR(INDEX('Detalles movimientos'!O$5:O$1021, MATCH(126, 'Detalles movimientos'!$U$5:$U$1021, 0)), "")</f>
        <v/>
      </c>
      <c r="L135" s="18">
        <f>IFERROR(INDEX('Detalles movimientos'!P$5:P$1021, MATCH(126, 'Detalles movimientos'!$U$5:$U$1021, 0)), "")</f>
        <v/>
      </c>
      <c r="M135" s="18">
        <f>IFERROR(INDEX('Detalles movimientos'!S$5:S$1021, MATCH(126, 'Detalles movimientos'!$U$5:$U$1021, 0)), "")</f>
        <v/>
      </c>
    </row>
    <row r="136">
      <c r="B136" s="119">
        <f>IFERROR(INDEX('Detalles movimientos'!C$5:C$1021, MATCH(127, 'Detalles movimientos'!$U$5:$U$1021, 0)), "")</f>
        <v/>
      </c>
      <c r="C136" s="18">
        <f>IFERROR(INDEX('Detalles movimientos'!D$5:D$1021, MATCH(127, 'Detalles movimientos'!$U$5:$U$1021, 0)), "")</f>
        <v/>
      </c>
      <c r="D136" s="19">
        <f>IFERROR(INDEX('Detalles movimientos'!E$5:E$1021, MATCH(127, 'Detalles movimientos'!$U$5:$U$1021, 0)), "")</f>
        <v/>
      </c>
      <c r="E136" s="19">
        <f>IFERROR(INDEX('Detalles movimientos'!F$5:F$1021, MATCH(127, 'Detalles movimientos'!$U$5:$U$1021, 0)), "")</f>
        <v/>
      </c>
      <c r="F136" s="18">
        <f>IFERROR(INDEX('Detalles movimientos'!G$5:G$1021, MATCH(127, 'Detalles movimientos'!$U$5:$U$1021, 0)), "")</f>
        <v/>
      </c>
      <c r="G136" s="120">
        <f>IFERROR(INDEX('Detalles movimientos'!H$5:H$1021, MATCH(127, 'Detalles movimientos'!$U$5:$U$1021, 0)), "")</f>
        <v/>
      </c>
      <c r="H136" s="121">
        <f>IFERROR(INDEX('Detalles movimientos'!I$5:I$1021, MATCH(127, 'Detalles movimientos'!$U$5:$U$1021, 0)), "")</f>
        <v/>
      </c>
      <c r="I136" s="120">
        <f>IFERROR(INDEX('Detalles movimientos'!M$5:M$1021, MATCH(127, 'Detalles movimientos'!$U$5:$U$1021, 0)), "")</f>
        <v/>
      </c>
      <c r="J136" s="19">
        <f>IFERROR(INDEX('Detalles movimientos'!N$5:N$1021, MATCH(127, 'Detalles movimientos'!$U$5:$U$1021, 0)), "")</f>
        <v/>
      </c>
      <c r="K136" s="120">
        <f>IFERROR(INDEX('Detalles movimientos'!O$5:O$1021, MATCH(127, 'Detalles movimientos'!$U$5:$U$1021, 0)), "")</f>
        <v/>
      </c>
      <c r="L136" s="18">
        <f>IFERROR(INDEX('Detalles movimientos'!P$5:P$1021, MATCH(127, 'Detalles movimientos'!$U$5:$U$1021, 0)), "")</f>
        <v/>
      </c>
      <c r="M136" s="18">
        <f>IFERROR(INDEX('Detalles movimientos'!S$5:S$1021, MATCH(127, 'Detalles movimientos'!$U$5:$U$1021, 0)), "")</f>
        <v/>
      </c>
    </row>
    <row r="137">
      <c r="B137" s="119">
        <f>IFERROR(INDEX('Detalles movimientos'!C$5:C$1021, MATCH(128, 'Detalles movimientos'!$U$5:$U$1021, 0)), "")</f>
        <v/>
      </c>
      <c r="C137" s="18">
        <f>IFERROR(INDEX('Detalles movimientos'!D$5:D$1021, MATCH(128, 'Detalles movimientos'!$U$5:$U$1021, 0)), "")</f>
        <v/>
      </c>
      <c r="D137" s="19">
        <f>IFERROR(INDEX('Detalles movimientos'!E$5:E$1021, MATCH(128, 'Detalles movimientos'!$U$5:$U$1021, 0)), "")</f>
        <v/>
      </c>
      <c r="E137" s="19">
        <f>IFERROR(INDEX('Detalles movimientos'!F$5:F$1021, MATCH(128, 'Detalles movimientos'!$U$5:$U$1021, 0)), "")</f>
        <v/>
      </c>
      <c r="F137" s="18">
        <f>IFERROR(INDEX('Detalles movimientos'!G$5:G$1021, MATCH(128, 'Detalles movimientos'!$U$5:$U$1021, 0)), "")</f>
        <v/>
      </c>
      <c r="G137" s="120">
        <f>IFERROR(INDEX('Detalles movimientos'!H$5:H$1021, MATCH(128, 'Detalles movimientos'!$U$5:$U$1021, 0)), "")</f>
        <v/>
      </c>
      <c r="H137" s="121">
        <f>IFERROR(INDEX('Detalles movimientos'!I$5:I$1021, MATCH(128, 'Detalles movimientos'!$U$5:$U$1021, 0)), "")</f>
        <v/>
      </c>
      <c r="I137" s="120">
        <f>IFERROR(INDEX('Detalles movimientos'!M$5:M$1021, MATCH(128, 'Detalles movimientos'!$U$5:$U$1021, 0)), "")</f>
        <v/>
      </c>
      <c r="J137" s="19">
        <f>IFERROR(INDEX('Detalles movimientos'!N$5:N$1021, MATCH(128, 'Detalles movimientos'!$U$5:$U$1021, 0)), "")</f>
        <v/>
      </c>
      <c r="K137" s="120">
        <f>IFERROR(INDEX('Detalles movimientos'!O$5:O$1021, MATCH(128, 'Detalles movimientos'!$U$5:$U$1021, 0)), "")</f>
        <v/>
      </c>
      <c r="L137" s="18">
        <f>IFERROR(INDEX('Detalles movimientos'!P$5:P$1021, MATCH(128, 'Detalles movimientos'!$U$5:$U$1021, 0)), "")</f>
        <v/>
      </c>
      <c r="M137" s="18">
        <f>IFERROR(INDEX('Detalles movimientos'!S$5:S$1021, MATCH(128, 'Detalles movimientos'!$U$5:$U$1021, 0)), "")</f>
        <v/>
      </c>
    </row>
    <row r="138">
      <c r="B138" s="119">
        <f>IFERROR(INDEX('Detalles movimientos'!C$5:C$1021, MATCH(129, 'Detalles movimientos'!$U$5:$U$1021, 0)), "")</f>
        <v/>
      </c>
      <c r="C138" s="18">
        <f>IFERROR(INDEX('Detalles movimientos'!D$5:D$1021, MATCH(129, 'Detalles movimientos'!$U$5:$U$1021, 0)), "")</f>
        <v/>
      </c>
      <c r="D138" s="19">
        <f>IFERROR(INDEX('Detalles movimientos'!E$5:E$1021, MATCH(129, 'Detalles movimientos'!$U$5:$U$1021, 0)), "")</f>
        <v/>
      </c>
      <c r="E138" s="19">
        <f>IFERROR(INDEX('Detalles movimientos'!F$5:F$1021, MATCH(129, 'Detalles movimientos'!$U$5:$U$1021, 0)), "")</f>
        <v/>
      </c>
      <c r="F138" s="18">
        <f>IFERROR(INDEX('Detalles movimientos'!G$5:G$1021, MATCH(129, 'Detalles movimientos'!$U$5:$U$1021, 0)), "")</f>
        <v/>
      </c>
      <c r="G138" s="120">
        <f>IFERROR(INDEX('Detalles movimientos'!H$5:H$1021, MATCH(129, 'Detalles movimientos'!$U$5:$U$1021, 0)), "")</f>
        <v/>
      </c>
      <c r="H138" s="121">
        <f>IFERROR(INDEX('Detalles movimientos'!I$5:I$1021, MATCH(129, 'Detalles movimientos'!$U$5:$U$1021, 0)), "")</f>
        <v/>
      </c>
      <c r="I138" s="120">
        <f>IFERROR(INDEX('Detalles movimientos'!M$5:M$1021, MATCH(129, 'Detalles movimientos'!$U$5:$U$1021, 0)), "")</f>
        <v/>
      </c>
      <c r="J138" s="19">
        <f>IFERROR(INDEX('Detalles movimientos'!N$5:N$1021, MATCH(129, 'Detalles movimientos'!$U$5:$U$1021, 0)), "")</f>
        <v/>
      </c>
      <c r="K138" s="120">
        <f>IFERROR(INDEX('Detalles movimientos'!O$5:O$1021, MATCH(129, 'Detalles movimientos'!$U$5:$U$1021, 0)), "")</f>
        <v/>
      </c>
      <c r="L138" s="18">
        <f>IFERROR(INDEX('Detalles movimientos'!P$5:P$1021, MATCH(129, 'Detalles movimientos'!$U$5:$U$1021, 0)), "")</f>
        <v/>
      </c>
      <c r="M138" s="18">
        <f>IFERROR(INDEX('Detalles movimientos'!S$5:S$1021, MATCH(129, 'Detalles movimientos'!$U$5:$U$1021, 0)), "")</f>
        <v/>
      </c>
    </row>
    <row r="139">
      <c r="B139" s="119">
        <f>IFERROR(INDEX('Detalles movimientos'!C$5:C$1021, MATCH(130, 'Detalles movimientos'!$U$5:$U$1021, 0)), "")</f>
        <v/>
      </c>
      <c r="C139" s="18">
        <f>IFERROR(INDEX('Detalles movimientos'!D$5:D$1021, MATCH(130, 'Detalles movimientos'!$U$5:$U$1021, 0)), "")</f>
        <v/>
      </c>
      <c r="D139" s="19">
        <f>IFERROR(INDEX('Detalles movimientos'!E$5:E$1021, MATCH(130, 'Detalles movimientos'!$U$5:$U$1021, 0)), "")</f>
        <v/>
      </c>
      <c r="E139" s="19">
        <f>IFERROR(INDEX('Detalles movimientos'!F$5:F$1021, MATCH(130, 'Detalles movimientos'!$U$5:$U$1021, 0)), "")</f>
        <v/>
      </c>
      <c r="F139" s="18">
        <f>IFERROR(INDEX('Detalles movimientos'!G$5:G$1021, MATCH(130, 'Detalles movimientos'!$U$5:$U$1021, 0)), "")</f>
        <v/>
      </c>
      <c r="G139" s="120">
        <f>IFERROR(INDEX('Detalles movimientos'!H$5:H$1021, MATCH(130, 'Detalles movimientos'!$U$5:$U$1021, 0)), "")</f>
        <v/>
      </c>
      <c r="H139" s="121">
        <f>IFERROR(INDEX('Detalles movimientos'!I$5:I$1021, MATCH(130, 'Detalles movimientos'!$U$5:$U$1021, 0)), "")</f>
        <v/>
      </c>
      <c r="I139" s="120">
        <f>IFERROR(INDEX('Detalles movimientos'!M$5:M$1021, MATCH(130, 'Detalles movimientos'!$U$5:$U$1021, 0)), "")</f>
        <v/>
      </c>
      <c r="J139" s="19">
        <f>IFERROR(INDEX('Detalles movimientos'!N$5:N$1021, MATCH(130, 'Detalles movimientos'!$U$5:$U$1021, 0)), "")</f>
        <v/>
      </c>
      <c r="K139" s="120">
        <f>IFERROR(INDEX('Detalles movimientos'!O$5:O$1021, MATCH(130, 'Detalles movimientos'!$U$5:$U$1021, 0)), "")</f>
        <v/>
      </c>
      <c r="L139" s="18">
        <f>IFERROR(INDEX('Detalles movimientos'!P$5:P$1021, MATCH(130, 'Detalles movimientos'!$U$5:$U$1021, 0)), "")</f>
        <v/>
      </c>
      <c r="M139" s="18">
        <f>IFERROR(INDEX('Detalles movimientos'!S$5:S$1021, MATCH(130, 'Detalles movimientos'!$U$5:$U$1021, 0)), "")</f>
        <v/>
      </c>
    </row>
    <row r="140">
      <c r="B140" s="119">
        <f>IFERROR(INDEX('Detalles movimientos'!C$5:C$1021, MATCH(131, 'Detalles movimientos'!$U$5:$U$1021, 0)), "")</f>
        <v/>
      </c>
      <c r="C140" s="18">
        <f>IFERROR(INDEX('Detalles movimientos'!D$5:D$1021, MATCH(131, 'Detalles movimientos'!$U$5:$U$1021, 0)), "")</f>
        <v/>
      </c>
      <c r="D140" s="19">
        <f>IFERROR(INDEX('Detalles movimientos'!E$5:E$1021, MATCH(131, 'Detalles movimientos'!$U$5:$U$1021, 0)), "")</f>
        <v/>
      </c>
      <c r="E140" s="19">
        <f>IFERROR(INDEX('Detalles movimientos'!F$5:F$1021, MATCH(131, 'Detalles movimientos'!$U$5:$U$1021, 0)), "")</f>
        <v/>
      </c>
      <c r="F140" s="18">
        <f>IFERROR(INDEX('Detalles movimientos'!G$5:G$1021, MATCH(131, 'Detalles movimientos'!$U$5:$U$1021, 0)), "")</f>
        <v/>
      </c>
      <c r="G140" s="120">
        <f>IFERROR(INDEX('Detalles movimientos'!H$5:H$1021, MATCH(131, 'Detalles movimientos'!$U$5:$U$1021, 0)), "")</f>
        <v/>
      </c>
      <c r="H140" s="121">
        <f>IFERROR(INDEX('Detalles movimientos'!I$5:I$1021, MATCH(131, 'Detalles movimientos'!$U$5:$U$1021, 0)), "")</f>
        <v/>
      </c>
      <c r="I140" s="120">
        <f>IFERROR(INDEX('Detalles movimientos'!M$5:M$1021, MATCH(131, 'Detalles movimientos'!$U$5:$U$1021, 0)), "")</f>
        <v/>
      </c>
      <c r="J140" s="19">
        <f>IFERROR(INDEX('Detalles movimientos'!N$5:N$1021, MATCH(131, 'Detalles movimientos'!$U$5:$U$1021, 0)), "")</f>
        <v/>
      </c>
      <c r="K140" s="120">
        <f>IFERROR(INDEX('Detalles movimientos'!O$5:O$1021, MATCH(131, 'Detalles movimientos'!$U$5:$U$1021, 0)), "")</f>
        <v/>
      </c>
      <c r="L140" s="18">
        <f>IFERROR(INDEX('Detalles movimientos'!P$5:P$1021, MATCH(131, 'Detalles movimientos'!$U$5:$U$1021, 0)), "")</f>
        <v/>
      </c>
      <c r="M140" s="18">
        <f>IFERROR(INDEX('Detalles movimientos'!S$5:S$1021, MATCH(131, 'Detalles movimientos'!$U$5:$U$1021, 0)), "")</f>
        <v/>
      </c>
    </row>
    <row r="141">
      <c r="B141" s="119">
        <f>IFERROR(INDEX('Detalles movimientos'!C$5:C$1021, MATCH(132, 'Detalles movimientos'!$U$5:$U$1021, 0)), "")</f>
        <v/>
      </c>
      <c r="C141" s="18">
        <f>IFERROR(INDEX('Detalles movimientos'!D$5:D$1021, MATCH(132, 'Detalles movimientos'!$U$5:$U$1021, 0)), "")</f>
        <v/>
      </c>
      <c r="D141" s="19">
        <f>IFERROR(INDEX('Detalles movimientos'!E$5:E$1021, MATCH(132, 'Detalles movimientos'!$U$5:$U$1021, 0)), "")</f>
        <v/>
      </c>
      <c r="E141" s="19">
        <f>IFERROR(INDEX('Detalles movimientos'!F$5:F$1021, MATCH(132, 'Detalles movimientos'!$U$5:$U$1021, 0)), "")</f>
        <v/>
      </c>
      <c r="F141" s="18">
        <f>IFERROR(INDEX('Detalles movimientos'!G$5:G$1021, MATCH(132, 'Detalles movimientos'!$U$5:$U$1021, 0)), "")</f>
        <v/>
      </c>
      <c r="G141" s="120">
        <f>IFERROR(INDEX('Detalles movimientos'!H$5:H$1021, MATCH(132, 'Detalles movimientos'!$U$5:$U$1021, 0)), "")</f>
        <v/>
      </c>
      <c r="H141" s="121">
        <f>IFERROR(INDEX('Detalles movimientos'!I$5:I$1021, MATCH(132, 'Detalles movimientos'!$U$5:$U$1021, 0)), "")</f>
        <v/>
      </c>
      <c r="I141" s="120">
        <f>IFERROR(INDEX('Detalles movimientos'!M$5:M$1021, MATCH(132, 'Detalles movimientos'!$U$5:$U$1021, 0)), "")</f>
        <v/>
      </c>
      <c r="J141" s="19">
        <f>IFERROR(INDEX('Detalles movimientos'!N$5:N$1021, MATCH(132, 'Detalles movimientos'!$U$5:$U$1021, 0)), "")</f>
        <v/>
      </c>
      <c r="K141" s="120">
        <f>IFERROR(INDEX('Detalles movimientos'!O$5:O$1021, MATCH(132, 'Detalles movimientos'!$U$5:$U$1021, 0)), "")</f>
        <v/>
      </c>
      <c r="L141" s="18">
        <f>IFERROR(INDEX('Detalles movimientos'!P$5:P$1021, MATCH(132, 'Detalles movimientos'!$U$5:$U$1021, 0)), "")</f>
        <v/>
      </c>
      <c r="M141" s="18">
        <f>IFERROR(INDEX('Detalles movimientos'!S$5:S$1021, MATCH(132, 'Detalles movimientos'!$U$5:$U$1021, 0)), "")</f>
        <v/>
      </c>
    </row>
    <row r="142">
      <c r="B142" s="119">
        <f>IFERROR(INDEX('Detalles movimientos'!C$5:C$1021, MATCH(133, 'Detalles movimientos'!$U$5:$U$1021, 0)), "")</f>
        <v/>
      </c>
      <c r="C142" s="18">
        <f>IFERROR(INDEX('Detalles movimientos'!D$5:D$1021, MATCH(133, 'Detalles movimientos'!$U$5:$U$1021, 0)), "")</f>
        <v/>
      </c>
      <c r="D142" s="19">
        <f>IFERROR(INDEX('Detalles movimientos'!E$5:E$1021, MATCH(133, 'Detalles movimientos'!$U$5:$U$1021, 0)), "")</f>
        <v/>
      </c>
      <c r="E142" s="19">
        <f>IFERROR(INDEX('Detalles movimientos'!F$5:F$1021, MATCH(133, 'Detalles movimientos'!$U$5:$U$1021, 0)), "")</f>
        <v/>
      </c>
      <c r="F142" s="18">
        <f>IFERROR(INDEX('Detalles movimientos'!G$5:G$1021, MATCH(133, 'Detalles movimientos'!$U$5:$U$1021, 0)), "")</f>
        <v/>
      </c>
      <c r="G142" s="120">
        <f>IFERROR(INDEX('Detalles movimientos'!H$5:H$1021, MATCH(133, 'Detalles movimientos'!$U$5:$U$1021, 0)), "")</f>
        <v/>
      </c>
      <c r="H142" s="121">
        <f>IFERROR(INDEX('Detalles movimientos'!I$5:I$1021, MATCH(133, 'Detalles movimientos'!$U$5:$U$1021, 0)), "")</f>
        <v/>
      </c>
      <c r="I142" s="120">
        <f>IFERROR(INDEX('Detalles movimientos'!M$5:M$1021, MATCH(133, 'Detalles movimientos'!$U$5:$U$1021, 0)), "")</f>
        <v/>
      </c>
      <c r="J142" s="19">
        <f>IFERROR(INDEX('Detalles movimientos'!N$5:N$1021, MATCH(133, 'Detalles movimientos'!$U$5:$U$1021, 0)), "")</f>
        <v/>
      </c>
      <c r="K142" s="120">
        <f>IFERROR(INDEX('Detalles movimientos'!O$5:O$1021, MATCH(133, 'Detalles movimientos'!$U$5:$U$1021, 0)), "")</f>
        <v/>
      </c>
      <c r="L142" s="18">
        <f>IFERROR(INDEX('Detalles movimientos'!P$5:P$1021, MATCH(133, 'Detalles movimientos'!$U$5:$U$1021, 0)), "")</f>
        <v/>
      </c>
      <c r="M142" s="18">
        <f>IFERROR(INDEX('Detalles movimientos'!S$5:S$1021, MATCH(133, 'Detalles movimientos'!$U$5:$U$1021, 0)), "")</f>
        <v/>
      </c>
    </row>
    <row r="143">
      <c r="B143" s="119">
        <f>IFERROR(INDEX('Detalles movimientos'!C$5:C$1021, MATCH(134, 'Detalles movimientos'!$U$5:$U$1021, 0)), "")</f>
        <v/>
      </c>
      <c r="C143" s="18">
        <f>IFERROR(INDEX('Detalles movimientos'!D$5:D$1021, MATCH(134, 'Detalles movimientos'!$U$5:$U$1021, 0)), "")</f>
        <v/>
      </c>
      <c r="D143" s="19">
        <f>IFERROR(INDEX('Detalles movimientos'!E$5:E$1021, MATCH(134, 'Detalles movimientos'!$U$5:$U$1021, 0)), "")</f>
        <v/>
      </c>
      <c r="E143" s="19">
        <f>IFERROR(INDEX('Detalles movimientos'!F$5:F$1021, MATCH(134, 'Detalles movimientos'!$U$5:$U$1021, 0)), "")</f>
        <v/>
      </c>
      <c r="F143" s="18">
        <f>IFERROR(INDEX('Detalles movimientos'!G$5:G$1021, MATCH(134, 'Detalles movimientos'!$U$5:$U$1021, 0)), "")</f>
        <v/>
      </c>
      <c r="G143" s="120">
        <f>IFERROR(INDEX('Detalles movimientos'!H$5:H$1021, MATCH(134, 'Detalles movimientos'!$U$5:$U$1021, 0)), "")</f>
        <v/>
      </c>
      <c r="H143" s="121">
        <f>IFERROR(INDEX('Detalles movimientos'!I$5:I$1021, MATCH(134, 'Detalles movimientos'!$U$5:$U$1021, 0)), "")</f>
        <v/>
      </c>
      <c r="I143" s="120">
        <f>IFERROR(INDEX('Detalles movimientos'!M$5:M$1021, MATCH(134, 'Detalles movimientos'!$U$5:$U$1021, 0)), "")</f>
        <v/>
      </c>
      <c r="J143" s="19">
        <f>IFERROR(INDEX('Detalles movimientos'!N$5:N$1021, MATCH(134, 'Detalles movimientos'!$U$5:$U$1021, 0)), "")</f>
        <v/>
      </c>
      <c r="K143" s="120">
        <f>IFERROR(INDEX('Detalles movimientos'!O$5:O$1021, MATCH(134, 'Detalles movimientos'!$U$5:$U$1021, 0)), "")</f>
        <v/>
      </c>
      <c r="L143" s="18">
        <f>IFERROR(INDEX('Detalles movimientos'!P$5:P$1021, MATCH(134, 'Detalles movimientos'!$U$5:$U$1021, 0)), "")</f>
        <v/>
      </c>
      <c r="M143" s="18">
        <f>IFERROR(INDEX('Detalles movimientos'!S$5:S$1021, MATCH(134, 'Detalles movimientos'!$U$5:$U$1021, 0)), "")</f>
        <v/>
      </c>
    </row>
    <row r="144">
      <c r="B144" s="119">
        <f>IFERROR(INDEX('Detalles movimientos'!C$5:C$1021, MATCH(135, 'Detalles movimientos'!$U$5:$U$1021, 0)), "")</f>
        <v/>
      </c>
      <c r="C144" s="18">
        <f>IFERROR(INDEX('Detalles movimientos'!D$5:D$1021, MATCH(135, 'Detalles movimientos'!$U$5:$U$1021, 0)), "")</f>
        <v/>
      </c>
      <c r="D144" s="19">
        <f>IFERROR(INDEX('Detalles movimientos'!E$5:E$1021, MATCH(135, 'Detalles movimientos'!$U$5:$U$1021, 0)), "")</f>
        <v/>
      </c>
      <c r="E144" s="19">
        <f>IFERROR(INDEX('Detalles movimientos'!F$5:F$1021, MATCH(135, 'Detalles movimientos'!$U$5:$U$1021, 0)), "")</f>
        <v/>
      </c>
      <c r="F144" s="18">
        <f>IFERROR(INDEX('Detalles movimientos'!G$5:G$1021, MATCH(135, 'Detalles movimientos'!$U$5:$U$1021, 0)), "")</f>
        <v/>
      </c>
      <c r="G144" s="120">
        <f>IFERROR(INDEX('Detalles movimientos'!H$5:H$1021, MATCH(135, 'Detalles movimientos'!$U$5:$U$1021, 0)), "")</f>
        <v/>
      </c>
      <c r="H144" s="121">
        <f>IFERROR(INDEX('Detalles movimientos'!I$5:I$1021, MATCH(135, 'Detalles movimientos'!$U$5:$U$1021, 0)), "")</f>
        <v/>
      </c>
      <c r="I144" s="120">
        <f>IFERROR(INDEX('Detalles movimientos'!M$5:M$1021, MATCH(135, 'Detalles movimientos'!$U$5:$U$1021, 0)), "")</f>
        <v/>
      </c>
      <c r="J144" s="19">
        <f>IFERROR(INDEX('Detalles movimientos'!N$5:N$1021, MATCH(135, 'Detalles movimientos'!$U$5:$U$1021, 0)), "")</f>
        <v/>
      </c>
      <c r="K144" s="120">
        <f>IFERROR(INDEX('Detalles movimientos'!O$5:O$1021, MATCH(135, 'Detalles movimientos'!$U$5:$U$1021, 0)), "")</f>
        <v/>
      </c>
      <c r="L144" s="18">
        <f>IFERROR(INDEX('Detalles movimientos'!P$5:P$1021, MATCH(135, 'Detalles movimientos'!$U$5:$U$1021, 0)), "")</f>
        <v/>
      </c>
      <c r="M144" s="18">
        <f>IFERROR(INDEX('Detalles movimientos'!S$5:S$1021, MATCH(135, 'Detalles movimientos'!$U$5:$U$1021, 0)), "")</f>
        <v/>
      </c>
    </row>
    <row r="145">
      <c r="B145" s="119">
        <f>IFERROR(INDEX('Detalles movimientos'!C$5:C$1021, MATCH(136, 'Detalles movimientos'!$U$5:$U$1021, 0)), "")</f>
        <v/>
      </c>
      <c r="C145" s="18">
        <f>IFERROR(INDEX('Detalles movimientos'!D$5:D$1021, MATCH(136, 'Detalles movimientos'!$U$5:$U$1021, 0)), "")</f>
        <v/>
      </c>
      <c r="D145" s="19">
        <f>IFERROR(INDEX('Detalles movimientos'!E$5:E$1021, MATCH(136, 'Detalles movimientos'!$U$5:$U$1021, 0)), "")</f>
        <v/>
      </c>
      <c r="E145" s="19">
        <f>IFERROR(INDEX('Detalles movimientos'!F$5:F$1021, MATCH(136, 'Detalles movimientos'!$U$5:$U$1021, 0)), "")</f>
        <v/>
      </c>
      <c r="F145" s="18">
        <f>IFERROR(INDEX('Detalles movimientos'!G$5:G$1021, MATCH(136, 'Detalles movimientos'!$U$5:$U$1021, 0)), "")</f>
        <v/>
      </c>
      <c r="G145" s="120">
        <f>IFERROR(INDEX('Detalles movimientos'!H$5:H$1021, MATCH(136, 'Detalles movimientos'!$U$5:$U$1021, 0)), "")</f>
        <v/>
      </c>
      <c r="H145" s="121">
        <f>IFERROR(INDEX('Detalles movimientos'!I$5:I$1021, MATCH(136, 'Detalles movimientos'!$U$5:$U$1021, 0)), "")</f>
        <v/>
      </c>
      <c r="I145" s="120">
        <f>IFERROR(INDEX('Detalles movimientos'!M$5:M$1021, MATCH(136, 'Detalles movimientos'!$U$5:$U$1021, 0)), "")</f>
        <v/>
      </c>
      <c r="J145" s="19">
        <f>IFERROR(INDEX('Detalles movimientos'!N$5:N$1021, MATCH(136, 'Detalles movimientos'!$U$5:$U$1021, 0)), "")</f>
        <v/>
      </c>
      <c r="K145" s="120">
        <f>IFERROR(INDEX('Detalles movimientos'!O$5:O$1021, MATCH(136, 'Detalles movimientos'!$U$5:$U$1021, 0)), "")</f>
        <v/>
      </c>
      <c r="L145" s="18">
        <f>IFERROR(INDEX('Detalles movimientos'!P$5:P$1021, MATCH(136, 'Detalles movimientos'!$U$5:$U$1021, 0)), "")</f>
        <v/>
      </c>
      <c r="M145" s="18">
        <f>IFERROR(INDEX('Detalles movimientos'!S$5:S$1021, MATCH(136, 'Detalles movimientos'!$U$5:$U$1021, 0)), "")</f>
        <v/>
      </c>
    </row>
    <row r="146">
      <c r="B146" s="119">
        <f>IFERROR(INDEX('Detalles movimientos'!C$5:C$1021, MATCH(137, 'Detalles movimientos'!$U$5:$U$1021, 0)), "")</f>
        <v/>
      </c>
      <c r="C146" s="18">
        <f>IFERROR(INDEX('Detalles movimientos'!D$5:D$1021, MATCH(137, 'Detalles movimientos'!$U$5:$U$1021, 0)), "")</f>
        <v/>
      </c>
      <c r="D146" s="19">
        <f>IFERROR(INDEX('Detalles movimientos'!E$5:E$1021, MATCH(137, 'Detalles movimientos'!$U$5:$U$1021, 0)), "")</f>
        <v/>
      </c>
      <c r="E146" s="19">
        <f>IFERROR(INDEX('Detalles movimientos'!F$5:F$1021, MATCH(137, 'Detalles movimientos'!$U$5:$U$1021, 0)), "")</f>
        <v/>
      </c>
      <c r="F146" s="18">
        <f>IFERROR(INDEX('Detalles movimientos'!G$5:G$1021, MATCH(137, 'Detalles movimientos'!$U$5:$U$1021, 0)), "")</f>
        <v/>
      </c>
      <c r="G146" s="120">
        <f>IFERROR(INDEX('Detalles movimientos'!H$5:H$1021, MATCH(137, 'Detalles movimientos'!$U$5:$U$1021, 0)), "")</f>
        <v/>
      </c>
      <c r="H146" s="121">
        <f>IFERROR(INDEX('Detalles movimientos'!I$5:I$1021, MATCH(137, 'Detalles movimientos'!$U$5:$U$1021, 0)), "")</f>
        <v/>
      </c>
      <c r="I146" s="120">
        <f>IFERROR(INDEX('Detalles movimientos'!M$5:M$1021, MATCH(137, 'Detalles movimientos'!$U$5:$U$1021, 0)), "")</f>
        <v/>
      </c>
      <c r="J146" s="19">
        <f>IFERROR(INDEX('Detalles movimientos'!N$5:N$1021, MATCH(137, 'Detalles movimientos'!$U$5:$U$1021, 0)), "")</f>
        <v/>
      </c>
      <c r="K146" s="120">
        <f>IFERROR(INDEX('Detalles movimientos'!O$5:O$1021, MATCH(137, 'Detalles movimientos'!$U$5:$U$1021, 0)), "")</f>
        <v/>
      </c>
      <c r="L146" s="18">
        <f>IFERROR(INDEX('Detalles movimientos'!P$5:P$1021, MATCH(137, 'Detalles movimientos'!$U$5:$U$1021, 0)), "")</f>
        <v/>
      </c>
      <c r="M146" s="18">
        <f>IFERROR(INDEX('Detalles movimientos'!S$5:S$1021, MATCH(137, 'Detalles movimientos'!$U$5:$U$1021, 0)), "")</f>
        <v/>
      </c>
    </row>
    <row r="147">
      <c r="B147" s="119">
        <f>IFERROR(INDEX('Detalles movimientos'!C$5:C$1021, MATCH(138, 'Detalles movimientos'!$U$5:$U$1021, 0)), "")</f>
        <v/>
      </c>
      <c r="C147" s="18">
        <f>IFERROR(INDEX('Detalles movimientos'!D$5:D$1021, MATCH(138, 'Detalles movimientos'!$U$5:$U$1021, 0)), "")</f>
        <v/>
      </c>
      <c r="D147" s="19">
        <f>IFERROR(INDEX('Detalles movimientos'!E$5:E$1021, MATCH(138, 'Detalles movimientos'!$U$5:$U$1021, 0)), "")</f>
        <v/>
      </c>
      <c r="E147" s="19">
        <f>IFERROR(INDEX('Detalles movimientos'!F$5:F$1021, MATCH(138, 'Detalles movimientos'!$U$5:$U$1021, 0)), "")</f>
        <v/>
      </c>
      <c r="F147" s="18">
        <f>IFERROR(INDEX('Detalles movimientos'!G$5:G$1021, MATCH(138, 'Detalles movimientos'!$U$5:$U$1021, 0)), "")</f>
        <v/>
      </c>
      <c r="G147" s="120">
        <f>IFERROR(INDEX('Detalles movimientos'!H$5:H$1021, MATCH(138, 'Detalles movimientos'!$U$5:$U$1021, 0)), "")</f>
        <v/>
      </c>
      <c r="H147" s="121">
        <f>IFERROR(INDEX('Detalles movimientos'!I$5:I$1021, MATCH(138, 'Detalles movimientos'!$U$5:$U$1021, 0)), "")</f>
        <v/>
      </c>
      <c r="I147" s="120">
        <f>IFERROR(INDEX('Detalles movimientos'!M$5:M$1021, MATCH(138, 'Detalles movimientos'!$U$5:$U$1021, 0)), "")</f>
        <v/>
      </c>
      <c r="J147" s="19">
        <f>IFERROR(INDEX('Detalles movimientos'!N$5:N$1021, MATCH(138, 'Detalles movimientos'!$U$5:$U$1021, 0)), "")</f>
        <v/>
      </c>
      <c r="K147" s="120">
        <f>IFERROR(INDEX('Detalles movimientos'!O$5:O$1021, MATCH(138, 'Detalles movimientos'!$U$5:$U$1021, 0)), "")</f>
        <v/>
      </c>
      <c r="L147" s="18">
        <f>IFERROR(INDEX('Detalles movimientos'!P$5:P$1021, MATCH(138, 'Detalles movimientos'!$U$5:$U$1021, 0)), "")</f>
        <v/>
      </c>
      <c r="M147" s="18">
        <f>IFERROR(INDEX('Detalles movimientos'!S$5:S$1021, MATCH(138, 'Detalles movimientos'!$U$5:$U$1021, 0)), "")</f>
        <v/>
      </c>
    </row>
    <row r="148">
      <c r="B148" s="119">
        <f>IFERROR(INDEX('Detalles movimientos'!C$5:C$1021, MATCH(139, 'Detalles movimientos'!$U$5:$U$1021, 0)), "")</f>
        <v/>
      </c>
      <c r="C148" s="18">
        <f>IFERROR(INDEX('Detalles movimientos'!D$5:D$1021, MATCH(139, 'Detalles movimientos'!$U$5:$U$1021, 0)), "")</f>
        <v/>
      </c>
      <c r="D148" s="19">
        <f>IFERROR(INDEX('Detalles movimientos'!E$5:E$1021, MATCH(139, 'Detalles movimientos'!$U$5:$U$1021, 0)), "")</f>
        <v/>
      </c>
      <c r="E148" s="19">
        <f>IFERROR(INDEX('Detalles movimientos'!F$5:F$1021, MATCH(139, 'Detalles movimientos'!$U$5:$U$1021, 0)), "")</f>
        <v/>
      </c>
      <c r="F148" s="18">
        <f>IFERROR(INDEX('Detalles movimientos'!G$5:G$1021, MATCH(139, 'Detalles movimientos'!$U$5:$U$1021, 0)), "")</f>
        <v/>
      </c>
      <c r="G148" s="120">
        <f>IFERROR(INDEX('Detalles movimientos'!H$5:H$1021, MATCH(139, 'Detalles movimientos'!$U$5:$U$1021, 0)), "")</f>
        <v/>
      </c>
      <c r="H148" s="121">
        <f>IFERROR(INDEX('Detalles movimientos'!I$5:I$1021, MATCH(139, 'Detalles movimientos'!$U$5:$U$1021, 0)), "")</f>
        <v/>
      </c>
      <c r="I148" s="120">
        <f>IFERROR(INDEX('Detalles movimientos'!M$5:M$1021, MATCH(139, 'Detalles movimientos'!$U$5:$U$1021, 0)), "")</f>
        <v/>
      </c>
      <c r="J148" s="19">
        <f>IFERROR(INDEX('Detalles movimientos'!N$5:N$1021, MATCH(139, 'Detalles movimientos'!$U$5:$U$1021, 0)), "")</f>
        <v/>
      </c>
      <c r="K148" s="120">
        <f>IFERROR(INDEX('Detalles movimientos'!O$5:O$1021, MATCH(139, 'Detalles movimientos'!$U$5:$U$1021, 0)), "")</f>
        <v/>
      </c>
      <c r="L148" s="18">
        <f>IFERROR(INDEX('Detalles movimientos'!P$5:P$1021, MATCH(139, 'Detalles movimientos'!$U$5:$U$1021, 0)), "")</f>
        <v/>
      </c>
      <c r="M148" s="18">
        <f>IFERROR(INDEX('Detalles movimientos'!S$5:S$1021, MATCH(139, 'Detalles movimientos'!$U$5:$U$1021, 0)), "")</f>
        <v/>
      </c>
    </row>
    <row r="149">
      <c r="B149" s="119">
        <f>IFERROR(INDEX('Detalles movimientos'!C$5:C$1021, MATCH(140, 'Detalles movimientos'!$U$5:$U$1021, 0)), "")</f>
        <v/>
      </c>
      <c r="C149" s="18">
        <f>IFERROR(INDEX('Detalles movimientos'!D$5:D$1021, MATCH(140, 'Detalles movimientos'!$U$5:$U$1021, 0)), "")</f>
        <v/>
      </c>
      <c r="D149" s="19">
        <f>IFERROR(INDEX('Detalles movimientos'!E$5:E$1021, MATCH(140, 'Detalles movimientos'!$U$5:$U$1021, 0)), "")</f>
        <v/>
      </c>
      <c r="E149" s="19">
        <f>IFERROR(INDEX('Detalles movimientos'!F$5:F$1021, MATCH(140, 'Detalles movimientos'!$U$5:$U$1021, 0)), "")</f>
        <v/>
      </c>
      <c r="F149" s="18">
        <f>IFERROR(INDEX('Detalles movimientos'!G$5:G$1021, MATCH(140, 'Detalles movimientos'!$U$5:$U$1021, 0)), "")</f>
        <v/>
      </c>
      <c r="G149" s="120">
        <f>IFERROR(INDEX('Detalles movimientos'!H$5:H$1021, MATCH(140, 'Detalles movimientos'!$U$5:$U$1021, 0)), "")</f>
        <v/>
      </c>
      <c r="H149" s="121">
        <f>IFERROR(INDEX('Detalles movimientos'!I$5:I$1021, MATCH(140, 'Detalles movimientos'!$U$5:$U$1021, 0)), "")</f>
        <v/>
      </c>
      <c r="I149" s="120">
        <f>IFERROR(INDEX('Detalles movimientos'!M$5:M$1021, MATCH(140, 'Detalles movimientos'!$U$5:$U$1021, 0)), "")</f>
        <v/>
      </c>
      <c r="J149" s="19">
        <f>IFERROR(INDEX('Detalles movimientos'!N$5:N$1021, MATCH(140, 'Detalles movimientos'!$U$5:$U$1021, 0)), "")</f>
        <v/>
      </c>
      <c r="K149" s="120">
        <f>IFERROR(INDEX('Detalles movimientos'!O$5:O$1021, MATCH(140, 'Detalles movimientos'!$U$5:$U$1021, 0)), "")</f>
        <v/>
      </c>
      <c r="L149" s="18">
        <f>IFERROR(INDEX('Detalles movimientos'!P$5:P$1021, MATCH(140, 'Detalles movimientos'!$U$5:$U$1021, 0)), "")</f>
        <v/>
      </c>
      <c r="M149" s="18">
        <f>IFERROR(INDEX('Detalles movimientos'!S$5:S$1021, MATCH(140, 'Detalles movimientos'!$U$5:$U$1021, 0)), "")</f>
        <v/>
      </c>
    </row>
    <row r="150">
      <c r="B150" s="119">
        <f>IFERROR(INDEX('Detalles movimientos'!C$5:C$1021, MATCH(141, 'Detalles movimientos'!$U$5:$U$1021, 0)), "")</f>
        <v/>
      </c>
      <c r="C150" s="18">
        <f>IFERROR(INDEX('Detalles movimientos'!D$5:D$1021, MATCH(141, 'Detalles movimientos'!$U$5:$U$1021, 0)), "")</f>
        <v/>
      </c>
      <c r="D150" s="19">
        <f>IFERROR(INDEX('Detalles movimientos'!E$5:E$1021, MATCH(141, 'Detalles movimientos'!$U$5:$U$1021, 0)), "")</f>
        <v/>
      </c>
      <c r="E150" s="19">
        <f>IFERROR(INDEX('Detalles movimientos'!F$5:F$1021, MATCH(141, 'Detalles movimientos'!$U$5:$U$1021, 0)), "")</f>
        <v/>
      </c>
      <c r="F150" s="18">
        <f>IFERROR(INDEX('Detalles movimientos'!G$5:G$1021, MATCH(141, 'Detalles movimientos'!$U$5:$U$1021, 0)), "")</f>
        <v/>
      </c>
      <c r="G150" s="120">
        <f>IFERROR(INDEX('Detalles movimientos'!H$5:H$1021, MATCH(141, 'Detalles movimientos'!$U$5:$U$1021, 0)), "")</f>
        <v/>
      </c>
      <c r="H150" s="121">
        <f>IFERROR(INDEX('Detalles movimientos'!I$5:I$1021, MATCH(141, 'Detalles movimientos'!$U$5:$U$1021, 0)), "")</f>
        <v/>
      </c>
      <c r="I150" s="120">
        <f>IFERROR(INDEX('Detalles movimientos'!M$5:M$1021, MATCH(141, 'Detalles movimientos'!$U$5:$U$1021, 0)), "")</f>
        <v/>
      </c>
      <c r="J150" s="19">
        <f>IFERROR(INDEX('Detalles movimientos'!N$5:N$1021, MATCH(141, 'Detalles movimientos'!$U$5:$U$1021, 0)), "")</f>
        <v/>
      </c>
      <c r="K150" s="120">
        <f>IFERROR(INDEX('Detalles movimientos'!O$5:O$1021, MATCH(141, 'Detalles movimientos'!$U$5:$U$1021, 0)), "")</f>
        <v/>
      </c>
      <c r="L150" s="18">
        <f>IFERROR(INDEX('Detalles movimientos'!P$5:P$1021, MATCH(141, 'Detalles movimientos'!$U$5:$U$1021, 0)), "")</f>
        <v/>
      </c>
      <c r="M150" s="18">
        <f>IFERROR(INDEX('Detalles movimientos'!S$5:S$1021, MATCH(141, 'Detalles movimientos'!$U$5:$U$1021, 0)), "")</f>
        <v/>
      </c>
    </row>
    <row r="151">
      <c r="B151" s="119">
        <f>IFERROR(INDEX('Detalles movimientos'!C$5:C$1021, MATCH(142, 'Detalles movimientos'!$U$5:$U$1021, 0)), "")</f>
        <v/>
      </c>
      <c r="C151" s="18">
        <f>IFERROR(INDEX('Detalles movimientos'!D$5:D$1021, MATCH(142, 'Detalles movimientos'!$U$5:$U$1021, 0)), "")</f>
        <v/>
      </c>
      <c r="D151" s="19">
        <f>IFERROR(INDEX('Detalles movimientos'!E$5:E$1021, MATCH(142, 'Detalles movimientos'!$U$5:$U$1021, 0)), "")</f>
        <v/>
      </c>
      <c r="E151" s="19">
        <f>IFERROR(INDEX('Detalles movimientos'!F$5:F$1021, MATCH(142, 'Detalles movimientos'!$U$5:$U$1021, 0)), "")</f>
        <v/>
      </c>
      <c r="F151" s="18">
        <f>IFERROR(INDEX('Detalles movimientos'!G$5:G$1021, MATCH(142, 'Detalles movimientos'!$U$5:$U$1021, 0)), "")</f>
        <v/>
      </c>
      <c r="G151" s="120">
        <f>IFERROR(INDEX('Detalles movimientos'!H$5:H$1021, MATCH(142, 'Detalles movimientos'!$U$5:$U$1021, 0)), "")</f>
        <v/>
      </c>
      <c r="H151" s="121">
        <f>IFERROR(INDEX('Detalles movimientos'!I$5:I$1021, MATCH(142, 'Detalles movimientos'!$U$5:$U$1021, 0)), "")</f>
        <v/>
      </c>
      <c r="I151" s="120">
        <f>IFERROR(INDEX('Detalles movimientos'!M$5:M$1021, MATCH(142, 'Detalles movimientos'!$U$5:$U$1021, 0)), "")</f>
        <v/>
      </c>
      <c r="J151" s="19">
        <f>IFERROR(INDEX('Detalles movimientos'!N$5:N$1021, MATCH(142, 'Detalles movimientos'!$U$5:$U$1021, 0)), "")</f>
        <v/>
      </c>
      <c r="K151" s="120">
        <f>IFERROR(INDEX('Detalles movimientos'!O$5:O$1021, MATCH(142, 'Detalles movimientos'!$U$5:$U$1021, 0)), "")</f>
        <v/>
      </c>
      <c r="L151" s="18">
        <f>IFERROR(INDEX('Detalles movimientos'!P$5:P$1021, MATCH(142, 'Detalles movimientos'!$U$5:$U$1021, 0)), "")</f>
        <v/>
      </c>
      <c r="M151" s="18">
        <f>IFERROR(INDEX('Detalles movimientos'!S$5:S$1021, MATCH(142, 'Detalles movimientos'!$U$5:$U$1021, 0)), "")</f>
        <v/>
      </c>
    </row>
    <row r="152">
      <c r="B152" s="119">
        <f>IFERROR(INDEX('Detalles movimientos'!C$5:C$1021, MATCH(143, 'Detalles movimientos'!$U$5:$U$1021, 0)), "")</f>
        <v/>
      </c>
      <c r="C152" s="18">
        <f>IFERROR(INDEX('Detalles movimientos'!D$5:D$1021, MATCH(143, 'Detalles movimientos'!$U$5:$U$1021, 0)), "")</f>
        <v/>
      </c>
      <c r="D152" s="19">
        <f>IFERROR(INDEX('Detalles movimientos'!E$5:E$1021, MATCH(143, 'Detalles movimientos'!$U$5:$U$1021, 0)), "")</f>
        <v/>
      </c>
      <c r="E152" s="19">
        <f>IFERROR(INDEX('Detalles movimientos'!F$5:F$1021, MATCH(143, 'Detalles movimientos'!$U$5:$U$1021, 0)), "")</f>
        <v/>
      </c>
      <c r="F152" s="18">
        <f>IFERROR(INDEX('Detalles movimientos'!G$5:G$1021, MATCH(143, 'Detalles movimientos'!$U$5:$U$1021, 0)), "")</f>
        <v/>
      </c>
      <c r="G152" s="120">
        <f>IFERROR(INDEX('Detalles movimientos'!H$5:H$1021, MATCH(143, 'Detalles movimientos'!$U$5:$U$1021, 0)), "")</f>
        <v/>
      </c>
      <c r="H152" s="121">
        <f>IFERROR(INDEX('Detalles movimientos'!I$5:I$1021, MATCH(143, 'Detalles movimientos'!$U$5:$U$1021, 0)), "")</f>
        <v/>
      </c>
      <c r="I152" s="120">
        <f>IFERROR(INDEX('Detalles movimientos'!M$5:M$1021, MATCH(143, 'Detalles movimientos'!$U$5:$U$1021, 0)), "")</f>
        <v/>
      </c>
      <c r="J152" s="19">
        <f>IFERROR(INDEX('Detalles movimientos'!N$5:N$1021, MATCH(143, 'Detalles movimientos'!$U$5:$U$1021, 0)), "")</f>
        <v/>
      </c>
      <c r="K152" s="120">
        <f>IFERROR(INDEX('Detalles movimientos'!O$5:O$1021, MATCH(143, 'Detalles movimientos'!$U$5:$U$1021, 0)), "")</f>
        <v/>
      </c>
      <c r="L152" s="18">
        <f>IFERROR(INDEX('Detalles movimientos'!P$5:P$1021, MATCH(143, 'Detalles movimientos'!$U$5:$U$1021, 0)), "")</f>
        <v/>
      </c>
      <c r="M152" s="18">
        <f>IFERROR(INDEX('Detalles movimientos'!S$5:S$1021, MATCH(143, 'Detalles movimientos'!$U$5:$U$1021, 0)), "")</f>
        <v/>
      </c>
    </row>
    <row r="153">
      <c r="B153" s="119">
        <f>IFERROR(INDEX('Detalles movimientos'!C$5:C$1021, MATCH(144, 'Detalles movimientos'!$U$5:$U$1021, 0)), "")</f>
        <v/>
      </c>
      <c r="C153" s="18">
        <f>IFERROR(INDEX('Detalles movimientos'!D$5:D$1021, MATCH(144, 'Detalles movimientos'!$U$5:$U$1021, 0)), "")</f>
        <v/>
      </c>
      <c r="D153" s="19">
        <f>IFERROR(INDEX('Detalles movimientos'!E$5:E$1021, MATCH(144, 'Detalles movimientos'!$U$5:$U$1021, 0)), "")</f>
        <v/>
      </c>
      <c r="E153" s="19">
        <f>IFERROR(INDEX('Detalles movimientos'!F$5:F$1021, MATCH(144, 'Detalles movimientos'!$U$5:$U$1021, 0)), "")</f>
        <v/>
      </c>
      <c r="F153" s="18">
        <f>IFERROR(INDEX('Detalles movimientos'!G$5:G$1021, MATCH(144, 'Detalles movimientos'!$U$5:$U$1021, 0)), "")</f>
        <v/>
      </c>
      <c r="G153" s="120">
        <f>IFERROR(INDEX('Detalles movimientos'!H$5:H$1021, MATCH(144, 'Detalles movimientos'!$U$5:$U$1021, 0)), "")</f>
        <v/>
      </c>
      <c r="H153" s="121">
        <f>IFERROR(INDEX('Detalles movimientos'!I$5:I$1021, MATCH(144, 'Detalles movimientos'!$U$5:$U$1021, 0)), "")</f>
        <v/>
      </c>
      <c r="I153" s="120">
        <f>IFERROR(INDEX('Detalles movimientos'!M$5:M$1021, MATCH(144, 'Detalles movimientos'!$U$5:$U$1021, 0)), "")</f>
        <v/>
      </c>
      <c r="J153" s="19">
        <f>IFERROR(INDEX('Detalles movimientos'!N$5:N$1021, MATCH(144, 'Detalles movimientos'!$U$5:$U$1021, 0)), "")</f>
        <v/>
      </c>
      <c r="K153" s="120">
        <f>IFERROR(INDEX('Detalles movimientos'!O$5:O$1021, MATCH(144, 'Detalles movimientos'!$U$5:$U$1021, 0)), "")</f>
        <v/>
      </c>
      <c r="L153" s="18">
        <f>IFERROR(INDEX('Detalles movimientos'!P$5:P$1021, MATCH(144, 'Detalles movimientos'!$U$5:$U$1021, 0)), "")</f>
        <v/>
      </c>
      <c r="M153" s="18">
        <f>IFERROR(INDEX('Detalles movimientos'!S$5:S$1021, MATCH(144, 'Detalles movimientos'!$U$5:$U$1021, 0)), "")</f>
        <v/>
      </c>
    </row>
    <row r="154">
      <c r="B154" s="119">
        <f>IFERROR(INDEX('Detalles movimientos'!C$5:C$1021, MATCH(145, 'Detalles movimientos'!$U$5:$U$1021, 0)), "")</f>
        <v/>
      </c>
      <c r="C154" s="18">
        <f>IFERROR(INDEX('Detalles movimientos'!D$5:D$1021, MATCH(145, 'Detalles movimientos'!$U$5:$U$1021, 0)), "")</f>
        <v/>
      </c>
      <c r="D154" s="19">
        <f>IFERROR(INDEX('Detalles movimientos'!E$5:E$1021, MATCH(145, 'Detalles movimientos'!$U$5:$U$1021, 0)), "")</f>
        <v/>
      </c>
      <c r="E154" s="19">
        <f>IFERROR(INDEX('Detalles movimientos'!F$5:F$1021, MATCH(145, 'Detalles movimientos'!$U$5:$U$1021, 0)), "")</f>
        <v/>
      </c>
      <c r="F154" s="18">
        <f>IFERROR(INDEX('Detalles movimientos'!G$5:G$1021, MATCH(145, 'Detalles movimientos'!$U$5:$U$1021, 0)), "")</f>
        <v/>
      </c>
      <c r="G154" s="120">
        <f>IFERROR(INDEX('Detalles movimientos'!H$5:H$1021, MATCH(145, 'Detalles movimientos'!$U$5:$U$1021, 0)), "")</f>
        <v/>
      </c>
      <c r="H154" s="121">
        <f>IFERROR(INDEX('Detalles movimientos'!I$5:I$1021, MATCH(145, 'Detalles movimientos'!$U$5:$U$1021, 0)), "")</f>
        <v/>
      </c>
      <c r="I154" s="120">
        <f>IFERROR(INDEX('Detalles movimientos'!M$5:M$1021, MATCH(145, 'Detalles movimientos'!$U$5:$U$1021, 0)), "")</f>
        <v/>
      </c>
      <c r="J154" s="19">
        <f>IFERROR(INDEX('Detalles movimientos'!N$5:N$1021, MATCH(145, 'Detalles movimientos'!$U$5:$U$1021, 0)), "")</f>
        <v/>
      </c>
      <c r="K154" s="120">
        <f>IFERROR(INDEX('Detalles movimientos'!O$5:O$1021, MATCH(145, 'Detalles movimientos'!$U$5:$U$1021, 0)), "")</f>
        <v/>
      </c>
      <c r="L154" s="18">
        <f>IFERROR(INDEX('Detalles movimientos'!P$5:P$1021, MATCH(145, 'Detalles movimientos'!$U$5:$U$1021, 0)), "")</f>
        <v/>
      </c>
      <c r="M154" s="18">
        <f>IFERROR(INDEX('Detalles movimientos'!S$5:S$1021, MATCH(145, 'Detalles movimientos'!$U$5:$U$1021, 0)), "")</f>
        <v/>
      </c>
    </row>
    <row r="155">
      <c r="B155" s="119">
        <f>IFERROR(INDEX('Detalles movimientos'!C$5:C$1021, MATCH(146, 'Detalles movimientos'!$U$5:$U$1021, 0)), "")</f>
        <v/>
      </c>
      <c r="C155" s="18">
        <f>IFERROR(INDEX('Detalles movimientos'!D$5:D$1021, MATCH(146, 'Detalles movimientos'!$U$5:$U$1021, 0)), "")</f>
        <v/>
      </c>
      <c r="D155" s="19">
        <f>IFERROR(INDEX('Detalles movimientos'!E$5:E$1021, MATCH(146, 'Detalles movimientos'!$U$5:$U$1021, 0)), "")</f>
        <v/>
      </c>
      <c r="E155" s="19">
        <f>IFERROR(INDEX('Detalles movimientos'!F$5:F$1021, MATCH(146, 'Detalles movimientos'!$U$5:$U$1021, 0)), "")</f>
        <v/>
      </c>
      <c r="F155" s="18">
        <f>IFERROR(INDEX('Detalles movimientos'!G$5:G$1021, MATCH(146, 'Detalles movimientos'!$U$5:$U$1021, 0)), "")</f>
        <v/>
      </c>
      <c r="G155" s="120">
        <f>IFERROR(INDEX('Detalles movimientos'!H$5:H$1021, MATCH(146, 'Detalles movimientos'!$U$5:$U$1021, 0)), "")</f>
        <v/>
      </c>
      <c r="H155" s="121">
        <f>IFERROR(INDEX('Detalles movimientos'!I$5:I$1021, MATCH(146, 'Detalles movimientos'!$U$5:$U$1021, 0)), "")</f>
        <v/>
      </c>
      <c r="I155" s="120">
        <f>IFERROR(INDEX('Detalles movimientos'!M$5:M$1021, MATCH(146, 'Detalles movimientos'!$U$5:$U$1021, 0)), "")</f>
        <v/>
      </c>
      <c r="J155" s="19">
        <f>IFERROR(INDEX('Detalles movimientos'!N$5:N$1021, MATCH(146, 'Detalles movimientos'!$U$5:$U$1021, 0)), "")</f>
        <v/>
      </c>
      <c r="K155" s="120">
        <f>IFERROR(INDEX('Detalles movimientos'!O$5:O$1021, MATCH(146, 'Detalles movimientos'!$U$5:$U$1021, 0)), "")</f>
        <v/>
      </c>
      <c r="L155" s="18">
        <f>IFERROR(INDEX('Detalles movimientos'!P$5:P$1021, MATCH(146, 'Detalles movimientos'!$U$5:$U$1021, 0)), "")</f>
        <v/>
      </c>
      <c r="M155" s="18">
        <f>IFERROR(INDEX('Detalles movimientos'!S$5:S$1021, MATCH(146, 'Detalles movimientos'!$U$5:$U$1021, 0)), "")</f>
        <v/>
      </c>
    </row>
    <row r="156">
      <c r="B156" s="119">
        <f>IFERROR(INDEX('Detalles movimientos'!C$5:C$1021, MATCH(147, 'Detalles movimientos'!$U$5:$U$1021, 0)), "")</f>
        <v/>
      </c>
      <c r="C156" s="18">
        <f>IFERROR(INDEX('Detalles movimientos'!D$5:D$1021, MATCH(147, 'Detalles movimientos'!$U$5:$U$1021, 0)), "")</f>
        <v/>
      </c>
      <c r="D156" s="19">
        <f>IFERROR(INDEX('Detalles movimientos'!E$5:E$1021, MATCH(147, 'Detalles movimientos'!$U$5:$U$1021, 0)), "")</f>
        <v/>
      </c>
      <c r="E156" s="19">
        <f>IFERROR(INDEX('Detalles movimientos'!F$5:F$1021, MATCH(147, 'Detalles movimientos'!$U$5:$U$1021, 0)), "")</f>
        <v/>
      </c>
      <c r="F156" s="18">
        <f>IFERROR(INDEX('Detalles movimientos'!G$5:G$1021, MATCH(147, 'Detalles movimientos'!$U$5:$U$1021, 0)), "")</f>
        <v/>
      </c>
      <c r="G156" s="120">
        <f>IFERROR(INDEX('Detalles movimientos'!H$5:H$1021, MATCH(147, 'Detalles movimientos'!$U$5:$U$1021, 0)), "")</f>
        <v/>
      </c>
      <c r="H156" s="121">
        <f>IFERROR(INDEX('Detalles movimientos'!I$5:I$1021, MATCH(147, 'Detalles movimientos'!$U$5:$U$1021, 0)), "")</f>
        <v/>
      </c>
      <c r="I156" s="120">
        <f>IFERROR(INDEX('Detalles movimientos'!M$5:M$1021, MATCH(147, 'Detalles movimientos'!$U$5:$U$1021, 0)), "")</f>
        <v/>
      </c>
      <c r="J156" s="19">
        <f>IFERROR(INDEX('Detalles movimientos'!N$5:N$1021, MATCH(147, 'Detalles movimientos'!$U$5:$U$1021, 0)), "")</f>
        <v/>
      </c>
      <c r="K156" s="120">
        <f>IFERROR(INDEX('Detalles movimientos'!O$5:O$1021, MATCH(147, 'Detalles movimientos'!$U$5:$U$1021, 0)), "")</f>
        <v/>
      </c>
      <c r="L156" s="18">
        <f>IFERROR(INDEX('Detalles movimientos'!P$5:P$1021, MATCH(147, 'Detalles movimientos'!$U$5:$U$1021, 0)), "")</f>
        <v/>
      </c>
      <c r="M156" s="18">
        <f>IFERROR(INDEX('Detalles movimientos'!S$5:S$1021, MATCH(147, 'Detalles movimientos'!$U$5:$U$1021, 0)), "")</f>
        <v/>
      </c>
    </row>
    <row r="157">
      <c r="B157" s="119">
        <f>IFERROR(INDEX('Detalles movimientos'!C$5:C$1021, MATCH(148, 'Detalles movimientos'!$U$5:$U$1021, 0)), "")</f>
        <v/>
      </c>
      <c r="C157" s="18">
        <f>IFERROR(INDEX('Detalles movimientos'!D$5:D$1021, MATCH(148, 'Detalles movimientos'!$U$5:$U$1021, 0)), "")</f>
        <v/>
      </c>
      <c r="D157" s="19">
        <f>IFERROR(INDEX('Detalles movimientos'!E$5:E$1021, MATCH(148, 'Detalles movimientos'!$U$5:$U$1021, 0)), "")</f>
        <v/>
      </c>
      <c r="E157" s="19">
        <f>IFERROR(INDEX('Detalles movimientos'!F$5:F$1021, MATCH(148, 'Detalles movimientos'!$U$5:$U$1021, 0)), "")</f>
        <v/>
      </c>
      <c r="F157" s="18">
        <f>IFERROR(INDEX('Detalles movimientos'!G$5:G$1021, MATCH(148, 'Detalles movimientos'!$U$5:$U$1021, 0)), "")</f>
        <v/>
      </c>
      <c r="G157" s="120">
        <f>IFERROR(INDEX('Detalles movimientos'!H$5:H$1021, MATCH(148, 'Detalles movimientos'!$U$5:$U$1021, 0)), "")</f>
        <v/>
      </c>
      <c r="H157" s="121">
        <f>IFERROR(INDEX('Detalles movimientos'!I$5:I$1021, MATCH(148, 'Detalles movimientos'!$U$5:$U$1021, 0)), "")</f>
        <v/>
      </c>
      <c r="I157" s="120">
        <f>IFERROR(INDEX('Detalles movimientos'!M$5:M$1021, MATCH(148, 'Detalles movimientos'!$U$5:$U$1021, 0)), "")</f>
        <v/>
      </c>
      <c r="J157" s="19">
        <f>IFERROR(INDEX('Detalles movimientos'!N$5:N$1021, MATCH(148, 'Detalles movimientos'!$U$5:$U$1021, 0)), "")</f>
        <v/>
      </c>
      <c r="K157" s="120">
        <f>IFERROR(INDEX('Detalles movimientos'!O$5:O$1021, MATCH(148, 'Detalles movimientos'!$U$5:$U$1021, 0)), "")</f>
        <v/>
      </c>
      <c r="L157" s="18">
        <f>IFERROR(INDEX('Detalles movimientos'!P$5:P$1021, MATCH(148, 'Detalles movimientos'!$U$5:$U$1021, 0)), "")</f>
        <v/>
      </c>
      <c r="M157" s="18">
        <f>IFERROR(INDEX('Detalles movimientos'!S$5:S$1021, MATCH(148, 'Detalles movimientos'!$U$5:$U$1021, 0)), "")</f>
        <v/>
      </c>
    </row>
    <row r="158">
      <c r="B158" s="119">
        <f>IFERROR(INDEX('Detalles movimientos'!C$5:C$1021, MATCH(149, 'Detalles movimientos'!$U$5:$U$1021, 0)), "")</f>
        <v/>
      </c>
      <c r="C158" s="18">
        <f>IFERROR(INDEX('Detalles movimientos'!D$5:D$1021, MATCH(149, 'Detalles movimientos'!$U$5:$U$1021, 0)), "")</f>
        <v/>
      </c>
      <c r="D158" s="19">
        <f>IFERROR(INDEX('Detalles movimientos'!E$5:E$1021, MATCH(149, 'Detalles movimientos'!$U$5:$U$1021, 0)), "")</f>
        <v/>
      </c>
      <c r="E158" s="19">
        <f>IFERROR(INDEX('Detalles movimientos'!F$5:F$1021, MATCH(149, 'Detalles movimientos'!$U$5:$U$1021, 0)), "")</f>
        <v/>
      </c>
      <c r="F158" s="18">
        <f>IFERROR(INDEX('Detalles movimientos'!G$5:G$1021, MATCH(149, 'Detalles movimientos'!$U$5:$U$1021, 0)), "")</f>
        <v/>
      </c>
      <c r="G158" s="120">
        <f>IFERROR(INDEX('Detalles movimientos'!H$5:H$1021, MATCH(149, 'Detalles movimientos'!$U$5:$U$1021, 0)), "")</f>
        <v/>
      </c>
      <c r="H158" s="121">
        <f>IFERROR(INDEX('Detalles movimientos'!I$5:I$1021, MATCH(149, 'Detalles movimientos'!$U$5:$U$1021, 0)), "")</f>
        <v/>
      </c>
      <c r="I158" s="120">
        <f>IFERROR(INDEX('Detalles movimientos'!M$5:M$1021, MATCH(149, 'Detalles movimientos'!$U$5:$U$1021, 0)), "")</f>
        <v/>
      </c>
      <c r="J158" s="19">
        <f>IFERROR(INDEX('Detalles movimientos'!N$5:N$1021, MATCH(149, 'Detalles movimientos'!$U$5:$U$1021, 0)), "")</f>
        <v/>
      </c>
      <c r="K158" s="120">
        <f>IFERROR(INDEX('Detalles movimientos'!O$5:O$1021, MATCH(149, 'Detalles movimientos'!$U$5:$U$1021, 0)), "")</f>
        <v/>
      </c>
      <c r="L158" s="18">
        <f>IFERROR(INDEX('Detalles movimientos'!P$5:P$1021, MATCH(149, 'Detalles movimientos'!$U$5:$U$1021, 0)), "")</f>
        <v/>
      </c>
      <c r="M158" s="18">
        <f>IFERROR(INDEX('Detalles movimientos'!S$5:S$1021, MATCH(149, 'Detalles movimientos'!$U$5:$U$1021, 0)), "")</f>
        <v/>
      </c>
    </row>
  </sheetData>
  <mergeCells count="2">
    <mergeCell ref="H6:I7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B2:M158"/>
  <sheetViews>
    <sheetView showGridLines="0" workbookViewId="0">
      <selection activeCell="B6" sqref="B6:C7"/>
    </sheetView>
  </sheetViews>
  <sheetFormatPr baseColWidth="10" defaultColWidth="8.83203125" defaultRowHeight="16"/>
  <cols>
    <col width="4" customWidth="1" style="81" min="1" max="1"/>
    <col width="14" customWidth="1" style="81" min="2" max="2"/>
    <col width="26" customWidth="1" style="81" min="3" max="3"/>
    <col width="12" customWidth="1" style="81" min="4" max="4"/>
    <col width="14" customWidth="1" style="81" min="5" max="5"/>
    <col width="32" customWidth="1" style="81" min="6" max="6"/>
    <col width="14" customWidth="1" style="81" min="7" max="8"/>
    <col width="16" customWidth="1" style="81" min="9" max="9"/>
    <col width="18" customWidth="1" style="81" min="10" max="10"/>
    <col width="16" customWidth="1" style="81" min="11" max="11"/>
    <col width="24" customWidth="1" style="81" min="12" max="12"/>
    <col width="45" customWidth="1" style="81" min="13" max="13"/>
  </cols>
  <sheetData>
    <row r="2" ht="22" customHeight="1" s="81">
      <c r="B2" s="14" t="inlineStr">
        <is>
          <t>RESUMEN Y MOVIMIENTOS INDIVIDUALES: TRIPULACION</t>
        </is>
      </c>
    </row>
    <row r="3">
      <c r="B3" s="15" t="inlineStr">
        <is>
          <t>Sincronización en tiempo real con la pestaña 'Detalles movimientos'</t>
        </is>
      </c>
    </row>
    <row r="5">
      <c r="B5" s="96" t="inlineStr">
        <is>
          <t>TOTAL LITROS</t>
        </is>
      </c>
      <c r="C5" s="90" t="n"/>
      <c r="E5" s="96" t="inlineStr">
        <is>
          <t>TOTAL VENTAS ($)</t>
        </is>
      </c>
      <c r="F5" s="90" t="n"/>
      <c r="H5" s="96" t="inlineStr">
        <is>
          <t>N° OPERACIONES</t>
        </is>
      </c>
      <c r="I5" s="90" t="n"/>
    </row>
    <row r="6">
      <c r="B6" s="124">
        <f>SUMIFS('Detalles movimientos'!I$5:I$1021, 'Detalles movimientos'!F$5:F$1021, "Tripulacion")</f>
        <v/>
      </c>
      <c r="C6" s="86" t="n"/>
      <c r="E6" s="125">
        <f>SUMIFS('Detalles movimientos'!M$5:M$1021, 'Detalles movimientos'!F$5:F$1021, "Tripulacion")</f>
        <v/>
      </c>
      <c r="F6" s="86" t="n"/>
      <c r="H6" s="99">
        <f>COUNTIFS('Detalles movimientos'!F$5:F$1021, "Tripulacion")</f>
        <v/>
      </c>
      <c r="I6" s="86" t="n"/>
    </row>
    <row r="7">
      <c r="B7" s="87" t="n"/>
      <c r="C7" s="88" t="n"/>
      <c r="E7" s="87" t="n"/>
      <c r="F7" s="88" t="n"/>
      <c r="H7" s="87" t="n"/>
      <c r="I7" s="88" t="n"/>
    </row>
    <row r="9" ht="25" customHeight="1" s="81">
      <c r="B9" s="16" t="inlineStr">
        <is>
          <t>Fecha</t>
        </is>
      </c>
      <c r="C9" s="16" t="inlineStr">
        <is>
          <t>Nombre Cliente</t>
        </is>
      </c>
      <c r="D9" s="16" t="inlineStr">
        <is>
          <t>Camión</t>
        </is>
      </c>
      <c r="E9" s="16" t="inlineStr">
        <is>
          <t>Vende</t>
        </is>
      </c>
      <c r="F9" s="16" t="inlineStr">
        <is>
          <t>Dirección</t>
        </is>
      </c>
      <c r="G9" s="16" t="inlineStr">
        <is>
          <t>Precio</t>
        </is>
      </c>
      <c r="H9" s="16" t="inlineStr">
        <is>
          <t>Litros</t>
        </is>
      </c>
      <c r="I9" s="16" t="inlineStr">
        <is>
          <t>Total</t>
        </is>
      </c>
      <c r="J9" s="16" t="inlineStr">
        <is>
          <t>Medio de pago</t>
        </is>
      </c>
      <c r="K9" s="16" t="inlineStr">
        <is>
          <t>Comisiones</t>
        </is>
      </c>
      <c r="L9" s="16" t="inlineStr">
        <is>
          <t>Observación</t>
        </is>
      </c>
      <c r="M9" s="16" t="inlineStr">
        <is>
          <t>Facturación / Detalles</t>
        </is>
      </c>
    </row>
    <row r="10">
      <c r="B10" s="119">
        <f>IFERROR(INDEX('Detalles movimientos'!C$5:C$1021, MATCH(1, 'Detalles movimientos'!$V$5:$V$1021, 0)), "")</f>
        <v/>
      </c>
      <c r="C10" s="18">
        <f>IFERROR(INDEX('Detalles movimientos'!D$5:D$1021, MATCH(1, 'Detalles movimientos'!$V$5:$V$1021, 0)), "")</f>
        <v/>
      </c>
      <c r="D10" s="19">
        <f>IFERROR(INDEX('Detalles movimientos'!E$5:E$1021, MATCH(1, 'Detalles movimientos'!$V$5:$V$1021, 0)), "")</f>
        <v/>
      </c>
      <c r="E10" s="19">
        <f>IFERROR(INDEX('Detalles movimientos'!F$5:F$1021, MATCH(1, 'Detalles movimientos'!$V$5:$V$1021, 0)), "")</f>
        <v/>
      </c>
      <c r="F10" s="18">
        <f>IFERROR(INDEX('Detalles movimientos'!G$5:G$1021, MATCH(1, 'Detalles movimientos'!$V$5:$V$1021, 0)), "")</f>
        <v/>
      </c>
      <c r="G10" s="120">
        <f>IFERROR(INDEX('Detalles movimientos'!H$5:H$1021, MATCH(1, 'Detalles movimientos'!$V$5:$V$1021, 0)), "")</f>
        <v/>
      </c>
      <c r="H10" s="121">
        <f>IFERROR(INDEX('Detalles movimientos'!I$5:I$1021, MATCH(1, 'Detalles movimientos'!$V$5:$V$1021, 0)), "")</f>
        <v/>
      </c>
      <c r="I10" s="120">
        <f>IFERROR(INDEX('Detalles movimientos'!M$5:M$1021, MATCH(1, 'Detalles movimientos'!$V$5:$V$1021, 0)), "")</f>
        <v/>
      </c>
      <c r="J10" s="19">
        <f>IFERROR(INDEX('Detalles movimientos'!N$5:N$1021, MATCH(1, 'Detalles movimientos'!$V$5:$V$1021, 0)), "")</f>
        <v/>
      </c>
      <c r="K10" s="120">
        <f>IFERROR(INDEX('Detalles movimientos'!O$5:O$1021, MATCH(1, 'Detalles movimientos'!$V$5:$V$1021, 0)), "")</f>
        <v/>
      </c>
      <c r="L10" s="18">
        <f>IFERROR(INDEX('Detalles movimientos'!P$5:P$1021, MATCH(1, 'Detalles movimientos'!$V$5:$V$1021, 0)), "")</f>
        <v/>
      </c>
      <c r="M10" s="18">
        <f>IFERROR(INDEX('Detalles movimientos'!S$5:S$1021, MATCH(1, 'Detalles movimientos'!$V$5:$V$1021, 0)), "")</f>
        <v/>
      </c>
    </row>
    <row r="11">
      <c r="B11" s="119">
        <f>IFERROR(INDEX('Detalles movimientos'!C$5:C$1021, MATCH(2, 'Detalles movimientos'!$V$5:$V$1021, 0)), "")</f>
        <v/>
      </c>
      <c r="C11" s="18">
        <f>IFERROR(INDEX('Detalles movimientos'!D$5:D$1021, MATCH(2, 'Detalles movimientos'!$V$5:$V$1021, 0)), "")</f>
        <v/>
      </c>
      <c r="D11" s="19">
        <f>IFERROR(INDEX('Detalles movimientos'!E$5:E$1021, MATCH(2, 'Detalles movimientos'!$V$5:$V$1021, 0)), "")</f>
        <v/>
      </c>
      <c r="E11" s="19">
        <f>IFERROR(INDEX('Detalles movimientos'!F$5:F$1021, MATCH(2, 'Detalles movimientos'!$V$5:$V$1021, 0)), "")</f>
        <v/>
      </c>
      <c r="F11" s="18">
        <f>IFERROR(INDEX('Detalles movimientos'!G$5:G$1021, MATCH(2, 'Detalles movimientos'!$V$5:$V$1021, 0)), "")</f>
        <v/>
      </c>
      <c r="G11" s="120">
        <f>IFERROR(INDEX('Detalles movimientos'!H$5:H$1021, MATCH(2, 'Detalles movimientos'!$V$5:$V$1021, 0)), "")</f>
        <v/>
      </c>
      <c r="H11" s="121">
        <f>IFERROR(INDEX('Detalles movimientos'!I$5:I$1021, MATCH(2, 'Detalles movimientos'!$V$5:$V$1021, 0)), "")</f>
        <v/>
      </c>
      <c r="I11" s="120">
        <f>IFERROR(INDEX('Detalles movimientos'!M$5:M$1021, MATCH(2, 'Detalles movimientos'!$V$5:$V$1021, 0)), "")</f>
        <v/>
      </c>
      <c r="J11" s="19">
        <f>IFERROR(INDEX('Detalles movimientos'!N$5:N$1021, MATCH(2, 'Detalles movimientos'!$V$5:$V$1021, 0)), "")</f>
        <v/>
      </c>
      <c r="K11" s="120">
        <f>IFERROR(INDEX('Detalles movimientos'!O$5:O$1021, MATCH(2, 'Detalles movimientos'!$V$5:$V$1021, 0)), "")</f>
        <v/>
      </c>
      <c r="L11" s="18">
        <f>IFERROR(INDEX('Detalles movimientos'!P$5:P$1021, MATCH(2, 'Detalles movimientos'!$V$5:$V$1021, 0)), "")</f>
        <v/>
      </c>
      <c r="M11" s="18">
        <f>IFERROR(INDEX('Detalles movimientos'!S$5:S$1021, MATCH(2, 'Detalles movimientos'!$V$5:$V$1021, 0)), "")</f>
        <v/>
      </c>
    </row>
    <row r="12">
      <c r="B12" s="119">
        <f>IFERROR(INDEX('Detalles movimientos'!C$5:C$1021, MATCH(3, 'Detalles movimientos'!$V$5:$V$1021, 0)), "")</f>
        <v/>
      </c>
      <c r="C12" s="18">
        <f>IFERROR(INDEX('Detalles movimientos'!D$5:D$1021, MATCH(3, 'Detalles movimientos'!$V$5:$V$1021, 0)), "")</f>
        <v/>
      </c>
      <c r="D12" s="19">
        <f>IFERROR(INDEX('Detalles movimientos'!E$5:E$1021, MATCH(3, 'Detalles movimientos'!$V$5:$V$1021, 0)), "")</f>
        <v/>
      </c>
      <c r="E12" s="19">
        <f>IFERROR(INDEX('Detalles movimientos'!F$5:F$1021, MATCH(3, 'Detalles movimientos'!$V$5:$V$1021, 0)), "")</f>
        <v/>
      </c>
      <c r="F12" s="18">
        <f>IFERROR(INDEX('Detalles movimientos'!G$5:G$1021, MATCH(3, 'Detalles movimientos'!$V$5:$V$1021, 0)), "")</f>
        <v/>
      </c>
      <c r="G12" s="120">
        <f>IFERROR(INDEX('Detalles movimientos'!H$5:H$1021, MATCH(3, 'Detalles movimientos'!$V$5:$V$1021, 0)), "")</f>
        <v/>
      </c>
      <c r="H12" s="121">
        <f>IFERROR(INDEX('Detalles movimientos'!I$5:I$1021, MATCH(3, 'Detalles movimientos'!$V$5:$V$1021, 0)), "")</f>
        <v/>
      </c>
      <c r="I12" s="120">
        <f>IFERROR(INDEX('Detalles movimientos'!M$5:M$1021, MATCH(3, 'Detalles movimientos'!$V$5:$V$1021, 0)), "")</f>
        <v/>
      </c>
      <c r="J12" s="19">
        <f>IFERROR(INDEX('Detalles movimientos'!N$5:N$1021, MATCH(3, 'Detalles movimientos'!$V$5:$V$1021, 0)), "")</f>
        <v/>
      </c>
      <c r="K12" s="120">
        <f>IFERROR(INDEX('Detalles movimientos'!O$5:O$1021, MATCH(3, 'Detalles movimientos'!$V$5:$V$1021, 0)), "")</f>
        <v/>
      </c>
      <c r="L12" s="18">
        <f>IFERROR(INDEX('Detalles movimientos'!P$5:P$1021, MATCH(3, 'Detalles movimientos'!$V$5:$V$1021, 0)), "")</f>
        <v/>
      </c>
      <c r="M12" s="18">
        <f>IFERROR(INDEX('Detalles movimientos'!S$5:S$1021, MATCH(3, 'Detalles movimientos'!$V$5:$V$1021, 0)), "")</f>
        <v/>
      </c>
    </row>
    <row r="13">
      <c r="B13" s="119">
        <f>IFERROR(INDEX('Detalles movimientos'!C$5:C$1021, MATCH(4, 'Detalles movimientos'!$V$5:$V$1021, 0)), "")</f>
        <v/>
      </c>
      <c r="C13" s="18">
        <f>IFERROR(INDEX('Detalles movimientos'!D$5:D$1021, MATCH(4, 'Detalles movimientos'!$V$5:$V$1021, 0)), "")</f>
        <v/>
      </c>
      <c r="D13" s="19">
        <f>IFERROR(INDEX('Detalles movimientos'!E$5:E$1021, MATCH(4, 'Detalles movimientos'!$V$5:$V$1021, 0)), "")</f>
        <v/>
      </c>
      <c r="E13" s="19">
        <f>IFERROR(INDEX('Detalles movimientos'!F$5:F$1021, MATCH(4, 'Detalles movimientos'!$V$5:$V$1021, 0)), "")</f>
        <v/>
      </c>
      <c r="F13" s="18">
        <f>IFERROR(INDEX('Detalles movimientos'!G$5:G$1021, MATCH(4, 'Detalles movimientos'!$V$5:$V$1021, 0)), "")</f>
        <v/>
      </c>
      <c r="G13" s="120">
        <f>IFERROR(INDEX('Detalles movimientos'!H$5:H$1021, MATCH(4, 'Detalles movimientos'!$V$5:$V$1021, 0)), "")</f>
        <v/>
      </c>
      <c r="H13" s="121">
        <f>IFERROR(INDEX('Detalles movimientos'!I$5:I$1021, MATCH(4, 'Detalles movimientos'!$V$5:$V$1021, 0)), "")</f>
        <v/>
      </c>
      <c r="I13" s="120">
        <f>IFERROR(INDEX('Detalles movimientos'!M$5:M$1021, MATCH(4, 'Detalles movimientos'!$V$5:$V$1021, 0)), "")</f>
        <v/>
      </c>
      <c r="J13" s="19">
        <f>IFERROR(INDEX('Detalles movimientos'!N$5:N$1021, MATCH(4, 'Detalles movimientos'!$V$5:$V$1021, 0)), "")</f>
        <v/>
      </c>
      <c r="K13" s="120">
        <f>IFERROR(INDEX('Detalles movimientos'!O$5:O$1021, MATCH(4, 'Detalles movimientos'!$V$5:$V$1021, 0)), "")</f>
        <v/>
      </c>
      <c r="L13" s="18">
        <f>IFERROR(INDEX('Detalles movimientos'!P$5:P$1021, MATCH(4, 'Detalles movimientos'!$V$5:$V$1021, 0)), "")</f>
        <v/>
      </c>
      <c r="M13" s="18">
        <f>IFERROR(INDEX('Detalles movimientos'!S$5:S$1021, MATCH(4, 'Detalles movimientos'!$V$5:$V$1021, 0)), "")</f>
        <v/>
      </c>
    </row>
    <row r="14">
      <c r="B14" s="119">
        <f>IFERROR(INDEX('Detalles movimientos'!C$5:C$1021, MATCH(5, 'Detalles movimientos'!$V$5:$V$1021, 0)), "")</f>
        <v/>
      </c>
      <c r="C14" s="18">
        <f>IFERROR(INDEX('Detalles movimientos'!D$5:D$1021, MATCH(5, 'Detalles movimientos'!$V$5:$V$1021, 0)), "")</f>
        <v/>
      </c>
      <c r="D14" s="19">
        <f>IFERROR(INDEX('Detalles movimientos'!E$5:E$1021, MATCH(5, 'Detalles movimientos'!$V$5:$V$1021, 0)), "")</f>
        <v/>
      </c>
      <c r="E14" s="19">
        <f>IFERROR(INDEX('Detalles movimientos'!F$5:F$1021, MATCH(5, 'Detalles movimientos'!$V$5:$V$1021, 0)), "")</f>
        <v/>
      </c>
      <c r="F14" s="18">
        <f>IFERROR(INDEX('Detalles movimientos'!G$5:G$1021, MATCH(5, 'Detalles movimientos'!$V$5:$V$1021, 0)), "")</f>
        <v/>
      </c>
      <c r="G14" s="120">
        <f>IFERROR(INDEX('Detalles movimientos'!H$5:H$1021, MATCH(5, 'Detalles movimientos'!$V$5:$V$1021, 0)), "")</f>
        <v/>
      </c>
      <c r="H14" s="121">
        <f>IFERROR(INDEX('Detalles movimientos'!I$5:I$1021, MATCH(5, 'Detalles movimientos'!$V$5:$V$1021, 0)), "")</f>
        <v/>
      </c>
      <c r="I14" s="120">
        <f>IFERROR(INDEX('Detalles movimientos'!M$5:M$1021, MATCH(5, 'Detalles movimientos'!$V$5:$V$1021, 0)), "")</f>
        <v/>
      </c>
      <c r="J14" s="19">
        <f>IFERROR(INDEX('Detalles movimientos'!N$5:N$1021, MATCH(5, 'Detalles movimientos'!$V$5:$V$1021, 0)), "")</f>
        <v/>
      </c>
      <c r="K14" s="120">
        <f>IFERROR(INDEX('Detalles movimientos'!O$5:O$1021, MATCH(5, 'Detalles movimientos'!$V$5:$V$1021, 0)), "")</f>
        <v/>
      </c>
      <c r="L14" s="18">
        <f>IFERROR(INDEX('Detalles movimientos'!P$5:P$1021, MATCH(5, 'Detalles movimientos'!$V$5:$V$1021, 0)), "")</f>
        <v/>
      </c>
      <c r="M14" s="18">
        <f>IFERROR(INDEX('Detalles movimientos'!S$5:S$1021, MATCH(5, 'Detalles movimientos'!$V$5:$V$1021, 0)), "")</f>
        <v/>
      </c>
    </row>
    <row r="15">
      <c r="B15" s="119">
        <f>IFERROR(INDEX('Detalles movimientos'!C$5:C$1021, MATCH(6, 'Detalles movimientos'!$V$5:$V$1021, 0)), "")</f>
        <v/>
      </c>
      <c r="C15" s="18">
        <f>IFERROR(INDEX('Detalles movimientos'!D$5:D$1021, MATCH(6, 'Detalles movimientos'!$V$5:$V$1021, 0)), "")</f>
        <v/>
      </c>
      <c r="D15" s="19">
        <f>IFERROR(INDEX('Detalles movimientos'!E$5:E$1021, MATCH(6, 'Detalles movimientos'!$V$5:$V$1021, 0)), "")</f>
        <v/>
      </c>
      <c r="E15" s="19">
        <f>IFERROR(INDEX('Detalles movimientos'!F$5:F$1021, MATCH(6, 'Detalles movimientos'!$V$5:$V$1021, 0)), "")</f>
        <v/>
      </c>
      <c r="F15" s="18">
        <f>IFERROR(INDEX('Detalles movimientos'!G$5:G$1021, MATCH(6, 'Detalles movimientos'!$V$5:$V$1021, 0)), "")</f>
        <v/>
      </c>
      <c r="G15" s="120">
        <f>IFERROR(INDEX('Detalles movimientos'!H$5:H$1021, MATCH(6, 'Detalles movimientos'!$V$5:$V$1021, 0)), "")</f>
        <v/>
      </c>
      <c r="H15" s="121">
        <f>IFERROR(INDEX('Detalles movimientos'!I$5:I$1021, MATCH(6, 'Detalles movimientos'!$V$5:$V$1021, 0)), "")</f>
        <v/>
      </c>
      <c r="I15" s="120">
        <f>IFERROR(INDEX('Detalles movimientos'!M$5:M$1021, MATCH(6, 'Detalles movimientos'!$V$5:$V$1021, 0)), "")</f>
        <v/>
      </c>
      <c r="J15" s="19">
        <f>IFERROR(INDEX('Detalles movimientos'!N$5:N$1021, MATCH(6, 'Detalles movimientos'!$V$5:$V$1021, 0)), "")</f>
        <v/>
      </c>
      <c r="K15" s="120">
        <f>IFERROR(INDEX('Detalles movimientos'!O$5:O$1021, MATCH(6, 'Detalles movimientos'!$V$5:$V$1021, 0)), "")</f>
        <v/>
      </c>
      <c r="L15" s="18">
        <f>IFERROR(INDEX('Detalles movimientos'!P$5:P$1021, MATCH(6, 'Detalles movimientos'!$V$5:$V$1021, 0)), "")</f>
        <v/>
      </c>
      <c r="M15" s="18">
        <f>IFERROR(INDEX('Detalles movimientos'!S$5:S$1021, MATCH(6, 'Detalles movimientos'!$V$5:$V$1021, 0)), "")</f>
        <v/>
      </c>
    </row>
    <row r="16">
      <c r="B16" s="119">
        <f>IFERROR(INDEX('Detalles movimientos'!C$5:C$1021, MATCH(7, 'Detalles movimientos'!$V$5:$V$1021, 0)), "")</f>
        <v/>
      </c>
      <c r="C16" s="18">
        <f>IFERROR(INDEX('Detalles movimientos'!D$5:D$1021, MATCH(7, 'Detalles movimientos'!$V$5:$V$1021, 0)), "")</f>
        <v/>
      </c>
      <c r="D16" s="19">
        <f>IFERROR(INDEX('Detalles movimientos'!E$5:E$1021, MATCH(7, 'Detalles movimientos'!$V$5:$V$1021, 0)), "")</f>
        <v/>
      </c>
      <c r="E16" s="19">
        <f>IFERROR(INDEX('Detalles movimientos'!F$5:F$1021, MATCH(7, 'Detalles movimientos'!$V$5:$V$1021, 0)), "")</f>
        <v/>
      </c>
      <c r="F16" s="18">
        <f>IFERROR(INDEX('Detalles movimientos'!G$5:G$1021, MATCH(7, 'Detalles movimientos'!$V$5:$V$1021, 0)), "")</f>
        <v/>
      </c>
      <c r="G16" s="120">
        <f>IFERROR(INDEX('Detalles movimientos'!H$5:H$1021, MATCH(7, 'Detalles movimientos'!$V$5:$V$1021, 0)), "")</f>
        <v/>
      </c>
      <c r="H16" s="121">
        <f>IFERROR(INDEX('Detalles movimientos'!I$5:I$1021, MATCH(7, 'Detalles movimientos'!$V$5:$V$1021, 0)), "")</f>
        <v/>
      </c>
      <c r="I16" s="120">
        <f>IFERROR(INDEX('Detalles movimientos'!M$5:M$1021, MATCH(7, 'Detalles movimientos'!$V$5:$V$1021, 0)), "")</f>
        <v/>
      </c>
      <c r="J16" s="19">
        <f>IFERROR(INDEX('Detalles movimientos'!N$5:N$1021, MATCH(7, 'Detalles movimientos'!$V$5:$V$1021, 0)), "")</f>
        <v/>
      </c>
      <c r="K16" s="120">
        <f>IFERROR(INDEX('Detalles movimientos'!O$5:O$1021, MATCH(7, 'Detalles movimientos'!$V$5:$V$1021, 0)), "")</f>
        <v/>
      </c>
      <c r="L16" s="18">
        <f>IFERROR(INDEX('Detalles movimientos'!P$5:P$1021, MATCH(7, 'Detalles movimientos'!$V$5:$V$1021, 0)), "")</f>
        <v/>
      </c>
      <c r="M16" s="18">
        <f>IFERROR(INDEX('Detalles movimientos'!S$5:S$1021, MATCH(7, 'Detalles movimientos'!$V$5:$V$1021, 0)), "")</f>
        <v/>
      </c>
    </row>
    <row r="17">
      <c r="B17" s="119">
        <f>IFERROR(INDEX('Detalles movimientos'!C$5:C$1021, MATCH(8, 'Detalles movimientos'!$V$5:$V$1021, 0)), "")</f>
        <v/>
      </c>
      <c r="C17" s="18">
        <f>IFERROR(INDEX('Detalles movimientos'!D$5:D$1021, MATCH(8, 'Detalles movimientos'!$V$5:$V$1021, 0)), "")</f>
        <v/>
      </c>
      <c r="D17" s="19">
        <f>IFERROR(INDEX('Detalles movimientos'!E$5:E$1021, MATCH(8, 'Detalles movimientos'!$V$5:$V$1021, 0)), "")</f>
        <v/>
      </c>
      <c r="E17" s="19">
        <f>IFERROR(INDEX('Detalles movimientos'!F$5:F$1021, MATCH(8, 'Detalles movimientos'!$V$5:$V$1021, 0)), "")</f>
        <v/>
      </c>
      <c r="F17" s="18">
        <f>IFERROR(INDEX('Detalles movimientos'!G$5:G$1021, MATCH(8, 'Detalles movimientos'!$V$5:$V$1021, 0)), "")</f>
        <v/>
      </c>
      <c r="G17" s="120">
        <f>IFERROR(INDEX('Detalles movimientos'!H$5:H$1021, MATCH(8, 'Detalles movimientos'!$V$5:$V$1021, 0)), "")</f>
        <v/>
      </c>
      <c r="H17" s="121">
        <f>IFERROR(INDEX('Detalles movimientos'!I$5:I$1021, MATCH(8, 'Detalles movimientos'!$V$5:$V$1021, 0)), "")</f>
        <v/>
      </c>
      <c r="I17" s="120">
        <f>IFERROR(INDEX('Detalles movimientos'!M$5:M$1021, MATCH(8, 'Detalles movimientos'!$V$5:$V$1021, 0)), "")</f>
        <v/>
      </c>
      <c r="J17" s="19">
        <f>IFERROR(INDEX('Detalles movimientos'!N$5:N$1021, MATCH(8, 'Detalles movimientos'!$V$5:$V$1021, 0)), "")</f>
        <v/>
      </c>
      <c r="K17" s="120">
        <f>IFERROR(INDEX('Detalles movimientos'!O$5:O$1021, MATCH(8, 'Detalles movimientos'!$V$5:$V$1021, 0)), "")</f>
        <v/>
      </c>
      <c r="L17" s="18">
        <f>IFERROR(INDEX('Detalles movimientos'!P$5:P$1021, MATCH(8, 'Detalles movimientos'!$V$5:$V$1021, 0)), "")</f>
        <v/>
      </c>
      <c r="M17" s="18">
        <f>IFERROR(INDEX('Detalles movimientos'!S$5:S$1021, MATCH(8, 'Detalles movimientos'!$V$5:$V$1021, 0)), "")</f>
        <v/>
      </c>
    </row>
    <row r="18">
      <c r="B18" s="119">
        <f>IFERROR(INDEX('Detalles movimientos'!C$5:C$1021, MATCH(9, 'Detalles movimientos'!$V$5:$V$1021, 0)), "")</f>
        <v/>
      </c>
      <c r="C18" s="18">
        <f>IFERROR(INDEX('Detalles movimientos'!D$5:D$1021, MATCH(9, 'Detalles movimientos'!$V$5:$V$1021, 0)), "")</f>
        <v/>
      </c>
      <c r="D18" s="19">
        <f>IFERROR(INDEX('Detalles movimientos'!E$5:E$1021, MATCH(9, 'Detalles movimientos'!$V$5:$V$1021, 0)), "")</f>
        <v/>
      </c>
      <c r="E18" s="19">
        <f>IFERROR(INDEX('Detalles movimientos'!F$5:F$1021, MATCH(9, 'Detalles movimientos'!$V$5:$V$1021, 0)), "")</f>
        <v/>
      </c>
      <c r="F18" s="18">
        <f>IFERROR(INDEX('Detalles movimientos'!G$5:G$1021, MATCH(9, 'Detalles movimientos'!$V$5:$V$1021, 0)), "")</f>
        <v/>
      </c>
      <c r="G18" s="120">
        <f>IFERROR(INDEX('Detalles movimientos'!H$5:H$1021, MATCH(9, 'Detalles movimientos'!$V$5:$V$1021, 0)), "")</f>
        <v/>
      </c>
      <c r="H18" s="121">
        <f>IFERROR(INDEX('Detalles movimientos'!I$5:I$1021, MATCH(9, 'Detalles movimientos'!$V$5:$V$1021, 0)), "")</f>
        <v/>
      </c>
      <c r="I18" s="120">
        <f>IFERROR(INDEX('Detalles movimientos'!M$5:M$1021, MATCH(9, 'Detalles movimientos'!$V$5:$V$1021, 0)), "")</f>
        <v/>
      </c>
      <c r="J18" s="19">
        <f>IFERROR(INDEX('Detalles movimientos'!N$5:N$1021, MATCH(9, 'Detalles movimientos'!$V$5:$V$1021, 0)), "")</f>
        <v/>
      </c>
      <c r="K18" s="120">
        <f>IFERROR(INDEX('Detalles movimientos'!O$5:O$1021, MATCH(9, 'Detalles movimientos'!$V$5:$V$1021, 0)), "")</f>
        <v/>
      </c>
      <c r="L18" s="18">
        <f>IFERROR(INDEX('Detalles movimientos'!P$5:P$1021, MATCH(9, 'Detalles movimientos'!$V$5:$V$1021, 0)), "")</f>
        <v/>
      </c>
      <c r="M18" s="18">
        <f>IFERROR(INDEX('Detalles movimientos'!S$5:S$1021, MATCH(9, 'Detalles movimientos'!$V$5:$V$1021, 0)), "")</f>
        <v/>
      </c>
    </row>
    <row r="19">
      <c r="B19" s="119">
        <f>IFERROR(INDEX('Detalles movimientos'!C$5:C$1021, MATCH(10, 'Detalles movimientos'!$V$5:$V$1021, 0)), "")</f>
        <v/>
      </c>
      <c r="C19" s="18">
        <f>IFERROR(INDEX('Detalles movimientos'!D$5:D$1021, MATCH(10, 'Detalles movimientos'!$V$5:$V$1021, 0)), "")</f>
        <v/>
      </c>
      <c r="D19" s="19">
        <f>IFERROR(INDEX('Detalles movimientos'!E$5:E$1021, MATCH(10, 'Detalles movimientos'!$V$5:$V$1021, 0)), "")</f>
        <v/>
      </c>
      <c r="E19" s="19">
        <f>IFERROR(INDEX('Detalles movimientos'!F$5:F$1021, MATCH(10, 'Detalles movimientos'!$V$5:$V$1021, 0)), "")</f>
        <v/>
      </c>
      <c r="F19" s="18">
        <f>IFERROR(INDEX('Detalles movimientos'!G$5:G$1021, MATCH(10, 'Detalles movimientos'!$V$5:$V$1021, 0)), "")</f>
        <v/>
      </c>
      <c r="G19" s="120">
        <f>IFERROR(INDEX('Detalles movimientos'!H$5:H$1021, MATCH(10, 'Detalles movimientos'!$V$5:$V$1021, 0)), "")</f>
        <v/>
      </c>
      <c r="H19" s="121">
        <f>IFERROR(INDEX('Detalles movimientos'!I$5:I$1021, MATCH(10, 'Detalles movimientos'!$V$5:$V$1021, 0)), "")</f>
        <v/>
      </c>
      <c r="I19" s="120">
        <f>IFERROR(INDEX('Detalles movimientos'!M$5:M$1021, MATCH(10, 'Detalles movimientos'!$V$5:$V$1021, 0)), "")</f>
        <v/>
      </c>
      <c r="J19" s="19">
        <f>IFERROR(INDEX('Detalles movimientos'!N$5:N$1021, MATCH(10, 'Detalles movimientos'!$V$5:$V$1021, 0)), "")</f>
        <v/>
      </c>
      <c r="K19" s="120">
        <f>IFERROR(INDEX('Detalles movimientos'!O$5:O$1021, MATCH(10, 'Detalles movimientos'!$V$5:$V$1021, 0)), "")</f>
        <v/>
      </c>
      <c r="L19" s="18">
        <f>IFERROR(INDEX('Detalles movimientos'!P$5:P$1021, MATCH(10, 'Detalles movimientos'!$V$5:$V$1021, 0)), "")</f>
        <v/>
      </c>
      <c r="M19" s="18">
        <f>IFERROR(INDEX('Detalles movimientos'!S$5:S$1021, MATCH(10, 'Detalles movimientos'!$V$5:$V$1021, 0)), "")</f>
        <v/>
      </c>
    </row>
    <row r="20">
      <c r="B20" s="119">
        <f>IFERROR(INDEX('Detalles movimientos'!C$5:C$1021, MATCH(11, 'Detalles movimientos'!$V$5:$V$1021, 0)), "")</f>
        <v/>
      </c>
      <c r="C20" s="18">
        <f>IFERROR(INDEX('Detalles movimientos'!D$5:D$1021, MATCH(11, 'Detalles movimientos'!$V$5:$V$1021, 0)), "")</f>
        <v/>
      </c>
      <c r="D20" s="19">
        <f>IFERROR(INDEX('Detalles movimientos'!E$5:E$1021, MATCH(11, 'Detalles movimientos'!$V$5:$V$1021, 0)), "")</f>
        <v/>
      </c>
      <c r="E20" s="19">
        <f>IFERROR(INDEX('Detalles movimientos'!F$5:F$1021, MATCH(11, 'Detalles movimientos'!$V$5:$V$1021, 0)), "")</f>
        <v/>
      </c>
      <c r="F20" s="18">
        <f>IFERROR(INDEX('Detalles movimientos'!G$5:G$1021, MATCH(11, 'Detalles movimientos'!$V$5:$V$1021, 0)), "")</f>
        <v/>
      </c>
      <c r="G20" s="120">
        <f>IFERROR(INDEX('Detalles movimientos'!H$5:H$1021, MATCH(11, 'Detalles movimientos'!$V$5:$V$1021, 0)), "")</f>
        <v/>
      </c>
      <c r="H20" s="121">
        <f>IFERROR(INDEX('Detalles movimientos'!I$5:I$1021, MATCH(11, 'Detalles movimientos'!$V$5:$V$1021, 0)), "")</f>
        <v/>
      </c>
      <c r="I20" s="120">
        <f>IFERROR(INDEX('Detalles movimientos'!M$5:M$1021, MATCH(11, 'Detalles movimientos'!$V$5:$V$1021, 0)), "")</f>
        <v/>
      </c>
      <c r="J20" s="19">
        <f>IFERROR(INDEX('Detalles movimientos'!N$5:N$1021, MATCH(11, 'Detalles movimientos'!$V$5:$V$1021, 0)), "")</f>
        <v/>
      </c>
      <c r="K20" s="120">
        <f>IFERROR(INDEX('Detalles movimientos'!O$5:O$1021, MATCH(11, 'Detalles movimientos'!$V$5:$V$1021, 0)), "")</f>
        <v/>
      </c>
      <c r="L20" s="18">
        <f>IFERROR(INDEX('Detalles movimientos'!P$5:P$1021, MATCH(11, 'Detalles movimientos'!$V$5:$V$1021, 0)), "")</f>
        <v/>
      </c>
      <c r="M20" s="18">
        <f>IFERROR(INDEX('Detalles movimientos'!S$5:S$1021, MATCH(11, 'Detalles movimientos'!$V$5:$V$1021, 0)), "")</f>
        <v/>
      </c>
    </row>
    <row r="21">
      <c r="B21" s="119">
        <f>IFERROR(INDEX('Detalles movimientos'!C$5:C$1021, MATCH(12, 'Detalles movimientos'!$V$5:$V$1021, 0)), "")</f>
        <v/>
      </c>
      <c r="C21" s="18">
        <f>IFERROR(INDEX('Detalles movimientos'!D$5:D$1021, MATCH(12, 'Detalles movimientos'!$V$5:$V$1021, 0)), "")</f>
        <v/>
      </c>
      <c r="D21" s="19">
        <f>IFERROR(INDEX('Detalles movimientos'!E$5:E$1021, MATCH(12, 'Detalles movimientos'!$V$5:$V$1021, 0)), "")</f>
        <v/>
      </c>
      <c r="E21" s="19">
        <f>IFERROR(INDEX('Detalles movimientos'!F$5:F$1021, MATCH(12, 'Detalles movimientos'!$V$5:$V$1021, 0)), "")</f>
        <v/>
      </c>
      <c r="F21" s="18">
        <f>IFERROR(INDEX('Detalles movimientos'!G$5:G$1021, MATCH(12, 'Detalles movimientos'!$V$5:$V$1021, 0)), "")</f>
        <v/>
      </c>
      <c r="G21" s="120">
        <f>IFERROR(INDEX('Detalles movimientos'!H$5:H$1021, MATCH(12, 'Detalles movimientos'!$V$5:$V$1021, 0)), "")</f>
        <v/>
      </c>
      <c r="H21" s="121">
        <f>IFERROR(INDEX('Detalles movimientos'!I$5:I$1021, MATCH(12, 'Detalles movimientos'!$V$5:$V$1021, 0)), "")</f>
        <v/>
      </c>
      <c r="I21" s="120">
        <f>IFERROR(INDEX('Detalles movimientos'!M$5:M$1021, MATCH(12, 'Detalles movimientos'!$V$5:$V$1021, 0)), "")</f>
        <v/>
      </c>
      <c r="J21" s="19">
        <f>IFERROR(INDEX('Detalles movimientos'!N$5:N$1021, MATCH(12, 'Detalles movimientos'!$V$5:$V$1021, 0)), "")</f>
        <v/>
      </c>
      <c r="K21" s="120">
        <f>IFERROR(INDEX('Detalles movimientos'!O$5:O$1021, MATCH(12, 'Detalles movimientos'!$V$5:$V$1021, 0)), "")</f>
        <v/>
      </c>
      <c r="L21" s="18">
        <f>IFERROR(INDEX('Detalles movimientos'!P$5:P$1021, MATCH(12, 'Detalles movimientos'!$V$5:$V$1021, 0)), "")</f>
        <v/>
      </c>
      <c r="M21" s="18">
        <f>IFERROR(INDEX('Detalles movimientos'!S$5:S$1021, MATCH(12, 'Detalles movimientos'!$V$5:$V$1021, 0)), "")</f>
        <v/>
      </c>
    </row>
    <row r="22">
      <c r="B22" s="119">
        <f>IFERROR(INDEX('Detalles movimientos'!C$5:C$1021, MATCH(13, 'Detalles movimientos'!$V$5:$V$1021, 0)), "")</f>
        <v/>
      </c>
      <c r="C22" s="18">
        <f>IFERROR(INDEX('Detalles movimientos'!D$5:D$1021, MATCH(13, 'Detalles movimientos'!$V$5:$V$1021, 0)), "")</f>
        <v/>
      </c>
      <c r="D22" s="19">
        <f>IFERROR(INDEX('Detalles movimientos'!E$5:E$1021, MATCH(13, 'Detalles movimientos'!$V$5:$V$1021, 0)), "")</f>
        <v/>
      </c>
      <c r="E22" s="19">
        <f>IFERROR(INDEX('Detalles movimientos'!F$5:F$1021, MATCH(13, 'Detalles movimientos'!$V$5:$V$1021, 0)), "")</f>
        <v/>
      </c>
      <c r="F22" s="18">
        <f>IFERROR(INDEX('Detalles movimientos'!G$5:G$1021, MATCH(13, 'Detalles movimientos'!$V$5:$V$1021, 0)), "")</f>
        <v/>
      </c>
      <c r="G22" s="120">
        <f>IFERROR(INDEX('Detalles movimientos'!H$5:H$1021, MATCH(13, 'Detalles movimientos'!$V$5:$V$1021, 0)), "")</f>
        <v/>
      </c>
      <c r="H22" s="121">
        <f>IFERROR(INDEX('Detalles movimientos'!I$5:I$1021, MATCH(13, 'Detalles movimientos'!$V$5:$V$1021, 0)), "")</f>
        <v/>
      </c>
      <c r="I22" s="120">
        <f>IFERROR(INDEX('Detalles movimientos'!M$5:M$1021, MATCH(13, 'Detalles movimientos'!$V$5:$V$1021, 0)), "")</f>
        <v/>
      </c>
      <c r="J22" s="19">
        <f>IFERROR(INDEX('Detalles movimientos'!N$5:N$1021, MATCH(13, 'Detalles movimientos'!$V$5:$V$1021, 0)), "")</f>
        <v/>
      </c>
      <c r="K22" s="120">
        <f>IFERROR(INDEX('Detalles movimientos'!O$5:O$1021, MATCH(13, 'Detalles movimientos'!$V$5:$V$1021, 0)), "")</f>
        <v/>
      </c>
      <c r="L22" s="18">
        <f>IFERROR(INDEX('Detalles movimientos'!P$5:P$1021, MATCH(13, 'Detalles movimientos'!$V$5:$V$1021, 0)), "")</f>
        <v/>
      </c>
      <c r="M22" s="18">
        <f>IFERROR(INDEX('Detalles movimientos'!S$5:S$1021, MATCH(13, 'Detalles movimientos'!$V$5:$V$1021, 0)), "")</f>
        <v/>
      </c>
    </row>
    <row r="23">
      <c r="B23" s="119">
        <f>IFERROR(INDEX('Detalles movimientos'!C$5:C$1021, MATCH(14, 'Detalles movimientos'!$V$5:$V$1021, 0)), "")</f>
        <v/>
      </c>
      <c r="C23" s="18">
        <f>IFERROR(INDEX('Detalles movimientos'!D$5:D$1021, MATCH(14, 'Detalles movimientos'!$V$5:$V$1021, 0)), "")</f>
        <v/>
      </c>
      <c r="D23" s="19">
        <f>IFERROR(INDEX('Detalles movimientos'!E$5:E$1021, MATCH(14, 'Detalles movimientos'!$V$5:$V$1021, 0)), "")</f>
        <v/>
      </c>
      <c r="E23" s="19">
        <f>IFERROR(INDEX('Detalles movimientos'!F$5:F$1021, MATCH(14, 'Detalles movimientos'!$V$5:$V$1021, 0)), "")</f>
        <v/>
      </c>
      <c r="F23" s="18">
        <f>IFERROR(INDEX('Detalles movimientos'!G$5:G$1021, MATCH(14, 'Detalles movimientos'!$V$5:$V$1021, 0)), "")</f>
        <v/>
      </c>
      <c r="G23" s="120">
        <f>IFERROR(INDEX('Detalles movimientos'!H$5:H$1021, MATCH(14, 'Detalles movimientos'!$V$5:$V$1021, 0)), "")</f>
        <v/>
      </c>
      <c r="H23" s="121">
        <f>IFERROR(INDEX('Detalles movimientos'!I$5:I$1021, MATCH(14, 'Detalles movimientos'!$V$5:$V$1021, 0)), "")</f>
        <v/>
      </c>
      <c r="I23" s="120">
        <f>IFERROR(INDEX('Detalles movimientos'!M$5:M$1021, MATCH(14, 'Detalles movimientos'!$V$5:$V$1021, 0)), "")</f>
        <v/>
      </c>
      <c r="J23" s="19">
        <f>IFERROR(INDEX('Detalles movimientos'!N$5:N$1021, MATCH(14, 'Detalles movimientos'!$V$5:$V$1021, 0)), "")</f>
        <v/>
      </c>
      <c r="K23" s="120">
        <f>IFERROR(INDEX('Detalles movimientos'!O$5:O$1021, MATCH(14, 'Detalles movimientos'!$V$5:$V$1021, 0)), "")</f>
        <v/>
      </c>
      <c r="L23" s="18">
        <f>IFERROR(INDEX('Detalles movimientos'!P$5:P$1021, MATCH(14, 'Detalles movimientos'!$V$5:$V$1021, 0)), "")</f>
        <v/>
      </c>
      <c r="M23" s="18">
        <f>IFERROR(INDEX('Detalles movimientos'!S$5:S$1021, MATCH(14, 'Detalles movimientos'!$V$5:$V$1021, 0)), "")</f>
        <v/>
      </c>
    </row>
    <row r="24">
      <c r="B24" s="119">
        <f>IFERROR(INDEX('Detalles movimientos'!C$5:C$1021, MATCH(15, 'Detalles movimientos'!$V$5:$V$1021, 0)), "")</f>
        <v/>
      </c>
      <c r="C24" s="18">
        <f>IFERROR(INDEX('Detalles movimientos'!D$5:D$1021, MATCH(15, 'Detalles movimientos'!$V$5:$V$1021, 0)), "")</f>
        <v/>
      </c>
      <c r="D24" s="19">
        <f>IFERROR(INDEX('Detalles movimientos'!E$5:E$1021, MATCH(15, 'Detalles movimientos'!$V$5:$V$1021, 0)), "")</f>
        <v/>
      </c>
      <c r="E24" s="19">
        <f>IFERROR(INDEX('Detalles movimientos'!F$5:F$1021, MATCH(15, 'Detalles movimientos'!$V$5:$V$1021, 0)), "")</f>
        <v/>
      </c>
      <c r="F24" s="18">
        <f>IFERROR(INDEX('Detalles movimientos'!G$5:G$1021, MATCH(15, 'Detalles movimientos'!$V$5:$V$1021, 0)), "")</f>
        <v/>
      </c>
      <c r="G24" s="120">
        <f>IFERROR(INDEX('Detalles movimientos'!H$5:H$1021, MATCH(15, 'Detalles movimientos'!$V$5:$V$1021, 0)), "")</f>
        <v/>
      </c>
      <c r="H24" s="121">
        <f>IFERROR(INDEX('Detalles movimientos'!I$5:I$1021, MATCH(15, 'Detalles movimientos'!$V$5:$V$1021, 0)), "")</f>
        <v/>
      </c>
      <c r="I24" s="120">
        <f>IFERROR(INDEX('Detalles movimientos'!M$5:M$1021, MATCH(15, 'Detalles movimientos'!$V$5:$V$1021, 0)), "")</f>
        <v/>
      </c>
      <c r="J24" s="19">
        <f>IFERROR(INDEX('Detalles movimientos'!N$5:N$1021, MATCH(15, 'Detalles movimientos'!$V$5:$V$1021, 0)), "")</f>
        <v/>
      </c>
      <c r="K24" s="120">
        <f>IFERROR(INDEX('Detalles movimientos'!O$5:O$1021, MATCH(15, 'Detalles movimientos'!$V$5:$V$1021, 0)), "")</f>
        <v/>
      </c>
      <c r="L24" s="18">
        <f>IFERROR(INDEX('Detalles movimientos'!P$5:P$1021, MATCH(15, 'Detalles movimientos'!$V$5:$V$1021, 0)), "")</f>
        <v/>
      </c>
      <c r="M24" s="18">
        <f>IFERROR(INDEX('Detalles movimientos'!S$5:S$1021, MATCH(15, 'Detalles movimientos'!$V$5:$V$1021, 0)), "")</f>
        <v/>
      </c>
    </row>
    <row r="25">
      <c r="B25" s="119">
        <f>IFERROR(INDEX('Detalles movimientos'!C$5:C$1021, MATCH(16, 'Detalles movimientos'!$V$5:$V$1021, 0)), "")</f>
        <v/>
      </c>
      <c r="C25" s="18">
        <f>IFERROR(INDEX('Detalles movimientos'!D$5:D$1021, MATCH(16, 'Detalles movimientos'!$V$5:$V$1021, 0)), "")</f>
        <v/>
      </c>
      <c r="D25" s="19">
        <f>IFERROR(INDEX('Detalles movimientos'!E$5:E$1021, MATCH(16, 'Detalles movimientos'!$V$5:$V$1021, 0)), "")</f>
        <v/>
      </c>
      <c r="E25" s="19">
        <f>IFERROR(INDEX('Detalles movimientos'!F$5:F$1021, MATCH(16, 'Detalles movimientos'!$V$5:$V$1021, 0)), "")</f>
        <v/>
      </c>
      <c r="F25" s="18">
        <f>IFERROR(INDEX('Detalles movimientos'!G$5:G$1021, MATCH(16, 'Detalles movimientos'!$V$5:$V$1021, 0)), "")</f>
        <v/>
      </c>
      <c r="G25" s="120">
        <f>IFERROR(INDEX('Detalles movimientos'!H$5:H$1021, MATCH(16, 'Detalles movimientos'!$V$5:$V$1021, 0)), "")</f>
        <v/>
      </c>
      <c r="H25" s="121">
        <f>IFERROR(INDEX('Detalles movimientos'!I$5:I$1021, MATCH(16, 'Detalles movimientos'!$V$5:$V$1021, 0)), "")</f>
        <v/>
      </c>
      <c r="I25" s="120">
        <f>IFERROR(INDEX('Detalles movimientos'!M$5:M$1021, MATCH(16, 'Detalles movimientos'!$V$5:$V$1021, 0)), "")</f>
        <v/>
      </c>
      <c r="J25" s="19">
        <f>IFERROR(INDEX('Detalles movimientos'!N$5:N$1021, MATCH(16, 'Detalles movimientos'!$V$5:$V$1021, 0)), "")</f>
        <v/>
      </c>
      <c r="K25" s="120">
        <f>IFERROR(INDEX('Detalles movimientos'!O$5:O$1021, MATCH(16, 'Detalles movimientos'!$V$5:$V$1021, 0)), "")</f>
        <v/>
      </c>
      <c r="L25" s="18">
        <f>IFERROR(INDEX('Detalles movimientos'!P$5:P$1021, MATCH(16, 'Detalles movimientos'!$V$5:$V$1021, 0)), "")</f>
        <v/>
      </c>
      <c r="M25" s="18">
        <f>IFERROR(INDEX('Detalles movimientos'!S$5:S$1021, MATCH(16, 'Detalles movimientos'!$V$5:$V$1021, 0)), "")</f>
        <v/>
      </c>
    </row>
    <row r="26">
      <c r="B26" s="119">
        <f>IFERROR(INDEX('Detalles movimientos'!C$5:C$1021, MATCH(17, 'Detalles movimientos'!$V$5:$V$1021, 0)), "")</f>
        <v/>
      </c>
      <c r="C26" s="18">
        <f>IFERROR(INDEX('Detalles movimientos'!D$5:D$1021, MATCH(17, 'Detalles movimientos'!$V$5:$V$1021, 0)), "")</f>
        <v/>
      </c>
      <c r="D26" s="19">
        <f>IFERROR(INDEX('Detalles movimientos'!E$5:E$1021, MATCH(17, 'Detalles movimientos'!$V$5:$V$1021, 0)), "")</f>
        <v/>
      </c>
      <c r="E26" s="19">
        <f>IFERROR(INDEX('Detalles movimientos'!F$5:F$1021, MATCH(17, 'Detalles movimientos'!$V$5:$V$1021, 0)), "")</f>
        <v/>
      </c>
      <c r="F26" s="18">
        <f>IFERROR(INDEX('Detalles movimientos'!G$5:G$1021, MATCH(17, 'Detalles movimientos'!$V$5:$V$1021, 0)), "")</f>
        <v/>
      </c>
      <c r="G26" s="120">
        <f>IFERROR(INDEX('Detalles movimientos'!H$5:H$1021, MATCH(17, 'Detalles movimientos'!$V$5:$V$1021, 0)), "")</f>
        <v/>
      </c>
      <c r="H26" s="121">
        <f>IFERROR(INDEX('Detalles movimientos'!I$5:I$1021, MATCH(17, 'Detalles movimientos'!$V$5:$V$1021, 0)), "")</f>
        <v/>
      </c>
      <c r="I26" s="120">
        <f>IFERROR(INDEX('Detalles movimientos'!M$5:M$1021, MATCH(17, 'Detalles movimientos'!$V$5:$V$1021, 0)), "")</f>
        <v/>
      </c>
      <c r="J26" s="19">
        <f>IFERROR(INDEX('Detalles movimientos'!N$5:N$1021, MATCH(17, 'Detalles movimientos'!$V$5:$V$1021, 0)), "")</f>
        <v/>
      </c>
      <c r="K26" s="120">
        <f>IFERROR(INDEX('Detalles movimientos'!O$5:O$1021, MATCH(17, 'Detalles movimientos'!$V$5:$V$1021, 0)), "")</f>
        <v/>
      </c>
      <c r="L26" s="18">
        <f>IFERROR(INDEX('Detalles movimientos'!P$5:P$1021, MATCH(17, 'Detalles movimientos'!$V$5:$V$1021, 0)), "")</f>
        <v/>
      </c>
      <c r="M26" s="18">
        <f>IFERROR(INDEX('Detalles movimientos'!S$5:S$1021, MATCH(17, 'Detalles movimientos'!$V$5:$V$1021, 0)), "")</f>
        <v/>
      </c>
    </row>
    <row r="27">
      <c r="B27" s="119">
        <f>IFERROR(INDEX('Detalles movimientos'!C$5:C$1021, MATCH(18, 'Detalles movimientos'!$V$5:$V$1021, 0)), "")</f>
        <v/>
      </c>
      <c r="C27" s="18">
        <f>IFERROR(INDEX('Detalles movimientos'!D$5:D$1021, MATCH(18, 'Detalles movimientos'!$V$5:$V$1021, 0)), "")</f>
        <v/>
      </c>
      <c r="D27" s="19">
        <f>IFERROR(INDEX('Detalles movimientos'!E$5:E$1021, MATCH(18, 'Detalles movimientos'!$V$5:$V$1021, 0)), "")</f>
        <v/>
      </c>
      <c r="E27" s="19">
        <f>IFERROR(INDEX('Detalles movimientos'!F$5:F$1021, MATCH(18, 'Detalles movimientos'!$V$5:$V$1021, 0)), "")</f>
        <v/>
      </c>
      <c r="F27" s="18">
        <f>IFERROR(INDEX('Detalles movimientos'!G$5:G$1021, MATCH(18, 'Detalles movimientos'!$V$5:$V$1021, 0)), "")</f>
        <v/>
      </c>
      <c r="G27" s="120">
        <f>IFERROR(INDEX('Detalles movimientos'!H$5:H$1021, MATCH(18, 'Detalles movimientos'!$V$5:$V$1021, 0)), "")</f>
        <v/>
      </c>
      <c r="H27" s="121">
        <f>IFERROR(INDEX('Detalles movimientos'!I$5:I$1021, MATCH(18, 'Detalles movimientos'!$V$5:$V$1021, 0)), "")</f>
        <v/>
      </c>
      <c r="I27" s="120">
        <f>IFERROR(INDEX('Detalles movimientos'!M$5:M$1021, MATCH(18, 'Detalles movimientos'!$V$5:$V$1021, 0)), "")</f>
        <v/>
      </c>
      <c r="J27" s="19">
        <f>IFERROR(INDEX('Detalles movimientos'!N$5:N$1021, MATCH(18, 'Detalles movimientos'!$V$5:$V$1021, 0)), "")</f>
        <v/>
      </c>
      <c r="K27" s="120">
        <f>IFERROR(INDEX('Detalles movimientos'!O$5:O$1021, MATCH(18, 'Detalles movimientos'!$V$5:$V$1021, 0)), "")</f>
        <v/>
      </c>
      <c r="L27" s="18">
        <f>IFERROR(INDEX('Detalles movimientos'!P$5:P$1021, MATCH(18, 'Detalles movimientos'!$V$5:$V$1021, 0)), "")</f>
        <v/>
      </c>
      <c r="M27" s="18">
        <f>IFERROR(INDEX('Detalles movimientos'!S$5:S$1021, MATCH(18, 'Detalles movimientos'!$V$5:$V$1021, 0)), "")</f>
        <v/>
      </c>
    </row>
    <row r="28">
      <c r="B28" s="119">
        <f>IFERROR(INDEX('Detalles movimientos'!C$5:C$1021, MATCH(19, 'Detalles movimientos'!$V$5:$V$1021, 0)), "")</f>
        <v/>
      </c>
      <c r="C28" s="18">
        <f>IFERROR(INDEX('Detalles movimientos'!D$5:D$1021, MATCH(19, 'Detalles movimientos'!$V$5:$V$1021, 0)), "")</f>
        <v/>
      </c>
      <c r="D28" s="19">
        <f>IFERROR(INDEX('Detalles movimientos'!E$5:E$1021, MATCH(19, 'Detalles movimientos'!$V$5:$V$1021, 0)), "")</f>
        <v/>
      </c>
      <c r="E28" s="19">
        <f>IFERROR(INDEX('Detalles movimientos'!F$5:F$1021, MATCH(19, 'Detalles movimientos'!$V$5:$V$1021, 0)), "")</f>
        <v/>
      </c>
      <c r="F28" s="18">
        <f>IFERROR(INDEX('Detalles movimientos'!G$5:G$1021, MATCH(19, 'Detalles movimientos'!$V$5:$V$1021, 0)), "")</f>
        <v/>
      </c>
      <c r="G28" s="120">
        <f>IFERROR(INDEX('Detalles movimientos'!H$5:H$1021, MATCH(19, 'Detalles movimientos'!$V$5:$V$1021, 0)), "")</f>
        <v/>
      </c>
      <c r="H28" s="121">
        <f>IFERROR(INDEX('Detalles movimientos'!I$5:I$1021, MATCH(19, 'Detalles movimientos'!$V$5:$V$1021, 0)), "")</f>
        <v/>
      </c>
      <c r="I28" s="120">
        <f>IFERROR(INDEX('Detalles movimientos'!M$5:M$1021, MATCH(19, 'Detalles movimientos'!$V$5:$V$1021, 0)), "")</f>
        <v/>
      </c>
      <c r="J28" s="19">
        <f>IFERROR(INDEX('Detalles movimientos'!N$5:N$1021, MATCH(19, 'Detalles movimientos'!$V$5:$V$1021, 0)), "")</f>
        <v/>
      </c>
      <c r="K28" s="120">
        <f>IFERROR(INDEX('Detalles movimientos'!O$5:O$1021, MATCH(19, 'Detalles movimientos'!$V$5:$V$1021, 0)), "")</f>
        <v/>
      </c>
      <c r="L28" s="18">
        <f>IFERROR(INDEX('Detalles movimientos'!P$5:P$1021, MATCH(19, 'Detalles movimientos'!$V$5:$V$1021, 0)), "")</f>
        <v/>
      </c>
      <c r="M28" s="18">
        <f>IFERROR(INDEX('Detalles movimientos'!S$5:S$1021, MATCH(19, 'Detalles movimientos'!$V$5:$V$1021, 0)), "")</f>
        <v/>
      </c>
    </row>
    <row r="29">
      <c r="B29" s="119">
        <f>IFERROR(INDEX('Detalles movimientos'!C$5:C$1021, MATCH(20, 'Detalles movimientos'!$V$5:$V$1021, 0)), "")</f>
        <v/>
      </c>
      <c r="C29" s="18">
        <f>IFERROR(INDEX('Detalles movimientos'!D$5:D$1021, MATCH(20, 'Detalles movimientos'!$V$5:$V$1021, 0)), "")</f>
        <v/>
      </c>
      <c r="D29" s="19">
        <f>IFERROR(INDEX('Detalles movimientos'!E$5:E$1021, MATCH(20, 'Detalles movimientos'!$V$5:$V$1021, 0)), "")</f>
        <v/>
      </c>
      <c r="E29" s="19">
        <f>IFERROR(INDEX('Detalles movimientos'!F$5:F$1021, MATCH(20, 'Detalles movimientos'!$V$5:$V$1021, 0)), "")</f>
        <v/>
      </c>
      <c r="F29" s="18">
        <f>IFERROR(INDEX('Detalles movimientos'!G$5:G$1021, MATCH(20, 'Detalles movimientos'!$V$5:$V$1021, 0)), "")</f>
        <v/>
      </c>
      <c r="G29" s="120">
        <f>IFERROR(INDEX('Detalles movimientos'!H$5:H$1021, MATCH(20, 'Detalles movimientos'!$V$5:$V$1021, 0)), "")</f>
        <v/>
      </c>
      <c r="H29" s="121">
        <f>IFERROR(INDEX('Detalles movimientos'!I$5:I$1021, MATCH(20, 'Detalles movimientos'!$V$5:$V$1021, 0)), "")</f>
        <v/>
      </c>
      <c r="I29" s="120">
        <f>IFERROR(INDEX('Detalles movimientos'!M$5:M$1021, MATCH(20, 'Detalles movimientos'!$V$5:$V$1021, 0)), "")</f>
        <v/>
      </c>
      <c r="J29" s="19">
        <f>IFERROR(INDEX('Detalles movimientos'!N$5:N$1021, MATCH(20, 'Detalles movimientos'!$V$5:$V$1021, 0)), "")</f>
        <v/>
      </c>
      <c r="K29" s="120">
        <f>IFERROR(INDEX('Detalles movimientos'!O$5:O$1021, MATCH(20, 'Detalles movimientos'!$V$5:$V$1021, 0)), "")</f>
        <v/>
      </c>
      <c r="L29" s="18">
        <f>IFERROR(INDEX('Detalles movimientos'!P$5:P$1021, MATCH(20, 'Detalles movimientos'!$V$5:$V$1021, 0)), "")</f>
        <v/>
      </c>
      <c r="M29" s="18">
        <f>IFERROR(INDEX('Detalles movimientos'!S$5:S$1021, MATCH(20, 'Detalles movimientos'!$V$5:$V$1021, 0)), "")</f>
        <v/>
      </c>
    </row>
    <row r="30">
      <c r="B30" s="119">
        <f>IFERROR(INDEX('Detalles movimientos'!C$5:C$1021, MATCH(21, 'Detalles movimientos'!$V$5:$V$1021, 0)), "")</f>
        <v/>
      </c>
      <c r="C30" s="18">
        <f>IFERROR(INDEX('Detalles movimientos'!D$5:D$1021, MATCH(21, 'Detalles movimientos'!$V$5:$V$1021, 0)), "")</f>
        <v/>
      </c>
      <c r="D30" s="19">
        <f>IFERROR(INDEX('Detalles movimientos'!E$5:E$1021, MATCH(21, 'Detalles movimientos'!$V$5:$V$1021, 0)), "")</f>
        <v/>
      </c>
      <c r="E30" s="19">
        <f>IFERROR(INDEX('Detalles movimientos'!F$5:F$1021, MATCH(21, 'Detalles movimientos'!$V$5:$V$1021, 0)), "")</f>
        <v/>
      </c>
      <c r="F30" s="18">
        <f>IFERROR(INDEX('Detalles movimientos'!G$5:G$1021, MATCH(21, 'Detalles movimientos'!$V$5:$V$1021, 0)), "")</f>
        <v/>
      </c>
      <c r="G30" s="120">
        <f>IFERROR(INDEX('Detalles movimientos'!H$5:H$1021, MATCH(21, 'Detalles movimientos'!$V$5:$V$1021, 0)), "")</f>
        <v/>
      </c>
      <c r="H30" s="121">
        <f>IFERROR(INDEX('Detalles movimientos'!I$5:I$1021, MATCH(21, 'Detalles movimientos'!$V$5:$V$1021, 0)), "")</f>
        <v/>
      </c>
      <c r="I30" s="120">
        <f>IFERROR(INDEX('Detalles movimientos'!M$5:M$1021, MATCH(21, 'Detalles movimientos'!$V$5:$V$1021, 0)), "")</f>
        <v/>
      </c>
      <c r="J30" s="19">
        <f>IFERROR(INDEX('Detalles movimientos'!N$5:N$1021, MATCH(21, 'Detalles movimientos'!$V$5:$V$1021, 0)), "")</f>
        <v/>
      </c>
      <c r="K30" s="120">
        <f>IFERROR(INDEX('Detalles movimientos'!O$5:O$1021, MATCH(21, 'Detalles movimientos'!$V$5:$V$1021, 0)), "")</f>
        <v/>
      </c>
      <c r="L30" s="18">
        <f>IFERROR(INDEX('Detalles movimientos'!P$5:P$1021, MATCH(21, 'Detalles movimientos'!$V$5:$V$1021, 0)), "")</f>
        <v/>
      </c>
      <c r="M30" s="18">
        <f>IFERROR(INDEX('Detalles movimientos'!S$5:S$1021, MATCH(21, 'Detalles movimientos'!$V$5:$V$1021, 0)), "")</f>
        <v/>
      </c>
    </row>
    <row r="31">
      <c r="B31" s="119">
        <f>IFERROR(INDEX('Detalles movimientos'!C$5:C$1021, MATCH(22, 'Detalles movimientos'!$V$5:$V$1021, 0)), "")</f>
        <v/>
      </c>
      <c r="C31" s="18">
        <f>IFERROR(INDEX('Detalles movimientos'!D$5:D$1021, MATCH(22, 'Detalles movimientos'!$V$5:$V$1021, 0)), "")</f>
        <v/>
      </c>
      <c r="D31" s="19">
        <f>IFERROR(INDEX('Detalles movimientos'!E$5:E$1021, MATCH(22, 'Detalles movimientos'!$V$5:$V$1021, 0)), "")</f>
        <v/>
      </c>
      <c r="E31" s="19">
        <f>IFERROR(INDEX('Detalles movimientos'!F$5:F$1021, MATCH(22, 'Detalles movimientos'!$V$5:$V$1021, 0)), "")</f>
        <v/>
      </c>
      <c r="F31" s="18">
        <f>IFERROR(INDEX('Detalles movimientos'!G$5:G$1021, MATCH(22, 'Detalles movimientos'!$V$5:$V$1021, 0)), "")</f>
        <v/>
      </c>
      <c r="G31" s="120">
        <f>IFERROR(INDEX('Detalles movimientos'!H$5:H$1021, MATCH(22, 'Detalles movimientos'!$V$5:$V$1021, 0)), "")</f>
        <v/>
      </c>
      <c r="H31" s="121">
        <f>IFERROR(INDEX('Detalles movimientos'!I$5:I$1021, MATCH(22, 'Detalles movimientos'!$V$5:$V$1021, 0)), "")</f>
        <v/>
      </c>
      <c r="I31" s="120">
        <f>IFERROR(INDEX('Detalles movimientos'!M$5:M$1021, MATCH(22, 'Detalles movimientos'!$V$5:$V$1021, 0)), "")</f>
        <v/>
      </c>
      <c r="J31" s="19">
        <f>IFERROR(INDEX('Detalles movimientos'!N$5:N$1021, MATCH(22, 'Detalles movimientos'!$V$5:$V$1021, 0)), "")</f>
        <v/>
      </c>
      <c r="K31" s="120">
        <f>IFERROR(INDEX('Detalles movimientos'!O$5:O$1021, MATCH(22, 'Detalles movimientos'!$V$5:$V$1021, 0)), "")</f>
        <v/>
      </c>
      <c r="L31" s="18">
        <f>IFERROR(INDEX('Detalles movimientos'!P$5:P$1021, MATCH(22, 'Detalles movimientos'!$V$5:$V$1021, 0)), "")</f>
        <v/>
      </c>
      <c r="M31" s="18">
        <f>IFERROR(INDEX('Detalles movimientos'!S$5:S$1021, MATCH(22, 'Detalles movimientos'!$V$5:$V$1021, 0)), "")</f>
        <v/>
      </c>
    </row>
    <row r="32">
      <c r="B32" s="119">
        <f>IFERROR(INDEX('Detalles movimientos'!C$5:C$1021, MATCH(23, 'Detalles movimientos'!$V$5:$V$1021, 0)), "")</f>
        <v/>
      </c>
      <c r="C32" s="18">
        <f>IFERROR(INDEX('Detalles movimientos'!D$5:D$1021, MATCH(23, 'Detalles movimientos'!$V$5:$V$1021, 0)), "")</f>
        <v/>
      </c>
      <c r="D32" s="19">
        <f>IFERROR(INDEX('Detalles movimientos'!E$5:E$1021, MATCH(23, 'Detalles movimientos'!$V$5:$V$1021, 0)), "")</f>
        <v/>
      </c>
      <c r="E32" s="19">
        <f>IFERROR(INDEX('Detalles movimientos'!F$5:F$1021, MATCH(23, 'Detalles movimientos'!$V$5:$V$1021, 0)), "")</f>
        <v/>
      </c>
      <c r="F32" s="18">
        <f>IFERROR(INDEX('Detalles movimientos'!G$5:G$1021, MATCH(23, 'Detalles movimientos'!$V$5:$V$1021, 0)), "")</f>
        <v/>
      </c>
      <c r="G32" s="120">
        <f>IFERROR(INDEX('Detalles movimientos'!H$5:H$1021, MATCH(23, 'Detalles movimientos'!$V$5:$V$1021, 0)), "")</f>
        <v/>
      </c>
      <c r="H32" s="121">
        <f>IFERROR(INDEX('Detalles movimientos'!I$5:I$1021, MATCH(23, 'Detalles movimientos'!$V$5:$V$1021, 0)), "")</f>
        <v/>
      </c>
      <c r="I32" s="120">
        <f>IFERROR(INDEX('Detalles movimientos'!M$5:M$1021, MATCH(23, 'Detalles movimientos'!$V$5:$V$1021, 0)), "")</f>
        <v/>
      </c>
      <c r="J32" s="19">
        <f>IFERROR(INDEX('Detalles movimientos'!N$5:N$1021, MATCH(23, 'Detalles movimientos'!$V$5:$V$1021, 0)), "")</f>
        <v/>
      </c>
      <c r="K32" s="120">
        <f>IFERROR(INDEX('Detalles movimientos'!O$5:O$1021, MATCH(23, 'Detalles movimientos'!$V$5:$V$1021, 0)), "")</f>
        <v/>
      </c>
      <c r="L32" s="18">
        <f>IFERROR(INDEX('Detalles movimientos'!P$5:P$1021, MATCH(23, 'Detalles movimientos'!$V$5:$V$1021, 0)), "")</f>
        <v/>
      </c>
      <c r="M32" s="18">
        <f>IFERROR(INDEX('Detalles movimientos'!S$5:S$1021, MATCH(23, 'Detalles movimientos'!$V$5:$V$1021, 0)), "")</f>
        <v/>
      </c>
    </row>
    <row r="33">
      <c r="B33" s="119">
        <f>IFERROR(INDEX('Detalles movimientos'!C$5:C$1021, MATCH(24, 'Detalles movimientos'!$V$5:$V$1021, 0)), "")</f>
        <v/>
      </c>
      <c r="C33" s="18">
        <f>IFERROR(INDEX('Detalles movimientos'!D$5:D$1021, MATCH(24, 'Detalles movimientos'!$V$5:$V$1021, 0)), "")</f>
        <v/>
      </c>
      <c r="D33" s="19">
        <f>IFERROR(INDEX('Detalles movimientos'!E$5:E$1021, MATCH(24, 'Detalles movimientos'!$V$5:$V$1021, 0)), "")</f>
        <v/>
      </c>
      <c r="E33" s="19">
        <f>IFERROR(INDEX('Detalles movimientos'!F$5:F$1021, MATCH(24, 'Detalles movimientos'!$V$5:$V$1021, 0)), "")</f>
        <v/>
      </c>
      <c r="F33" s="18">
        <f>IFERROR(INDEX('Detalles movimientos'!G$5:G$1021, MATCH(24, 'Detalles movimientos'!$V$5:$V$1021, 0)), "")</f>
        <v/>
      </c>
      <c r="G33" s="120">
        <f>IFERROR(INDEX('Detalles movimientos'!H$5:H$1021, MATCH(24, 'Detalles movimientos'!$V$5:$V$1021, 0)), "")</f>
        <v/>
      </c>
      <c r="H33" s="121">
        <f>IFERROR(INDEX('Detalles movimientos'!I$5:I$1021, MATCH(24, 'Detalles movimientos'!$V$5:$V$1021, 0)), "")</f>
        <v/>
      </c>
      <c r="I33" s="120">
        <f>IFERROR(INDEX('Detalles movimientos'!M$5:M$1021, MATCH(24, 'Detalles movimientos'!$V$5:$V$1021, 0)), "")</f>
        <v/>
      </c>
      <c r="J33" s="19">
        <f>IFERROR(INDEX('Detalles movimientos'!N$5:N$1021, MATCH(24, 'Detalles movimientos'!$V$5:$V$1021, 0)), "")</f>
        <v/>
      </c>
      <c r="K33" s="120">
        <f>IFERROR(INDEX('Detalles movimientos'!O$5:O$1021, MATCH(24, 'Detalles movimientos'!$V$5:$V$1021, 0)), "")</f>
        <v/>
      </c>
      <c r="L33" s="18">
        <f>IFERROR(INDEX('Detalles movimientos'!P$5:P$1021, MATCH(24, 'Detalles movimientos'!$V$5:$V$1021, 0)), "")</f>
        <v/>
      </c>
      <c r="M33" s="18">
        <f>IFERROR(INDEX('Detalles movimientos'!S$5:S$1021, MATCH(24, 'Detalles movimientos'!$V$5:$V$1021, 0)), "")</f>
        <v/>
      </c>
    </row>
    <row r="34">
      <c r="B34" s="119">
        <f>IFERROR(INDEX('Detalles movimientos'!C$5:C$1021, MATCH(25, 'Detalles movimientos'!$V$5:$V$1021, 0)), "")</f>
        <v/>
      </c>
      <c r="C34" s="18">
        <f>IFERROR(INDEX('Detalles movimientos'!D$5:D$1021, MATCH(25, 'Detalles movimientos'!$V$5:$V$1021, 0)), "")</f>
        <v/>
      </c>
      <c r="D34" s="19">
        <f>IFERROR(INDEX('Detalles movimientos'!E$5:E$1021, MATCH(25, 'Detalles movimientos'!$V$5:$V$1021, 0)), "")</f>
        <v/>
      </c>
      <c r="E34" s="19">
        <f>IFERROR(INDEX('Detalles movimientos'!F$5:F$1021, MATCH(25, 'Detalles movimientos'!$V$5:$V$1021, 0)), "")</f>
        <v/>
      </c>
      <c r="F34" s="18">
        <f>IFERROR(INDEX('Detalles movimientos'!G$5:G$1021, MATCH(25, 'Detalles movimientos'!$V$5:$V$1021, 0)), "")</f>
        <v/>
      </c>
      <c r="G34" s="120">
        <f>IFERROR(INDEX('Detalles movimientos'!H$5:H$1021, MATCH(25, 'Detalles movimientos'!$V$5:$V$1021, 0)), "")</f>
        <v/>
      </c>
      <c r="H34" s="121">
        <f>IFERROR(INDEX('Detalles movimientos'!I$5:I$1021, MATCH(25, 'Detalles movimientos'!$V$5:$V$1021, 0)), "")</f>
        <v/>
      </c>
      <c r="I34" s="120">
        <f>IFERROR(INDEX('Detalles movimientos'!M$5:M$1021, MATCH(25, 'Detalles movimientos'!$V$5:$V$1021, 0)), "")</f>
        <v/>
      </c>
      <c r="J34" s="19">
        <f>IFERROR(INDEX('Detalles movimientos'!N$5:N$1021, MATCH(25, 'Detalles movimientos'!$V$5:$V$1021, 0)), "")</f>
        <v/>
      </c>
      <c r="K34" s="120">
        <f>IFERROR(INDEX('Detalles movimientos'!O$5:O$1021, MATCH(25, 'Detalles movimientos'!$V$5:$V$1021, 0)), "")</f>
        <v/>
      </c>
      <c r="L34" s="18">
        <f>IFERROR(INDEX('Detalles movimientos'!P$5:P$1021, MATCH(25, 'Detalles movimientos'!$V$5:$V$1021, 0)), "")</f>
        <v/>
      </c>
      <c r="M34" s="18">
        <f>IFERROR(INDEX('Detalles movimientos'!S$5:S$1021, MATCH(25, 'Detalles movimientos'!$V$5:$V$1021, 0)), "")</f>
        <v/>
      </c>
    </row>
    <row r="35">
      <c r="B35" s="119">
        <f>IFERROR(INDEX('Detalles movimientos'!C$5:C$1021, MATCH(26, 'Detalles movimientos'!$V$5:$V$1021, 0)), "")</f>
        <v/>
      </c>
      <c r="C35" s="18">
        <f>IFERROR(INDEX('Detalles movimientos'!D$5:D$1021, MATCH(26, 'Detalles movimientos'!$V$5:$V$1021, 0)), "")</f>
        <v/>
      </c>
      <c r="D35" s="19">
        <f>IFERROR(INDEX('Detalles movimientos'!E$5:E$1021, MATCH(26, 'Detalles movimientos'!$V$5:$V$1021, 0)), "")</f>
        <v/>
      </c>
      <c r="E35" s="19">
        <f>IFERROR(INDEX('Detalles movimientos'!F$5:F$1021, MATCH(26, 'Detalles movimientos'!$V$5:$V$1021, 0)), "")</f>
        <v/>
      </c>
      <c r="F35" s="18">
        <f>IFERROR(INDEX('Detalles movimientos'!G$5:G$1021, MATCH(26, 'Detalles movimientos'!$V$5:$V$1021, 0)), "")</f>
        <v/>
      </c>
      <c r="G35" s="120">
        <f>IFERROR(INDEX('Detalles movimientos'!H$5:H$1021, MATCH(26, 'Detalles movimientos'!$V$5:$V$1021, 0)), "")</f>
        <v/>
      </c>
      <c r="H35" s="121">
        <f>IFERROR(INDEX('Detalles movimientos'!I$5:I$1021, MATCH(26, 'Detalles movimientos'!$V$5:$V$1021, 0)), "")</f>
        <v/>
      </c>
      <c r="I35" s="120">
        <f>IFERROR(INDEX('Detalles movimientos'!M$5:M$1021, MATCH(26, 'Detalles movimientos'!$V$5:$V$1021, 0)), "")</f>
        <v/>
      </c>
      <c r="J35" s="19">
        <f>IFERROR(INDEX('Detalles movimientos'!N$5:N$1021, MATCH(26, 'Detalles movimientos'!$V$5:$V$1021, 0)), "")</f>
        <v/>
      </c>
      <c r="K35" s="120">
        <f>IFERROR(INDEX('Detalles movimientos'!O$5:O$1021, MATCH(26, 'Detalles movimientos'!$V$5:$V$1021, 0)), "")</f>
        <v/>
      </c>
      <c r="L35" s="18">
        <f>IFERROR(INDEX('Detalles movimientos'!P$5:P$1021, MATCH(26, 'Detalles movimientos'!$V$5:$V$1021, 0)), "")</f>
        <v/>
      </c>
      <c r="M35" s="18">
        <f>IFERROR(INDEX('Detalles movimientos'!S$5:S$1021, MATCH(26, 'Detalles movimientos'!$V$5:$V$1021, 0)), "")</f>
        <v/>
      </c>
    </row>
    <row r="36">
      <c r="B36" s="119">
        <f>IFERROR(INDEX('Detalles movimientos'!C$5:C$1021, MATCH(27, 'Detalles movimientos'!$V$5:$V$1021, 0)), "")</f>
        <v/>
      </c>
      <c r="C36" s="18">
        <f>IFERROR(INDEX('Detalles movimientos'!D$5:D$1021, MATCH(27, 'Detalles movimientos'!$V$5:$V$1021, 0)), "")</f>
        <v/>
      </c>
      <c r="D36" s="19">
        <f>IFERROR(INDEX('Detalles movimientos'!E$5:E$1021, MATCH(27, 'Detalles movimientos'!$V$5:$V$1021, 0)), "")</f>
        <v/>
      </c>
      <c r="E36" s="19">
        <f>IFERROR(INDEX('Detalles movimientos'!F$5:F$1021, MATCH(27, 'Detalles movimientos'!$V$5:$V$1021, 0)), "")</f>
        <v/>
      </c>
      <c r="F36" s="18">
        <f>IFERROR(INDEX('Detalles movimientos'!G$5:G$1021, MATCH(27, 'Detalles movimientos'!$V$5:$V$1021, 0)), "")</f>
        <v/>
      </c>
      <c r="G36" s="120">
        <f>IFERROR(INDEX('Detalles movimientos'!H$5:H$1021, MATCH(27, 'Detalles movimientos'!$V$5:$V$1021, 0)), "")</f>
        <v/>
      </c>
      <c r="H36" s="121">
        <f>IFERROR(INDEX('Detalles movimientos'!I$5:I$1021, MATCH(27, 'Detalles movimientos'!$V$5:$V$1021, 0)), "")</f>
        <v/>
      </c>
      <c r="I36" s="120">
        <f>IFERROR(INDEX('Detalles movimientos'!M$5:M$1021, MATCH(27, 'Detalles movimientos'!$V$5:$V$1021, 0)), "")</f>
        <v/>
      </c>
      <c r="J36" s="19">
        <f>IFERROR(INDEX('Detalles movimientos'!N$5:N$1021, MATCH(27, 'Detalles movimientos'!$V$5:$V$1021, 0)), "")</f>
        <v/>
      </c>
      <c r="K36" s="120">
        <f>IFERROR(INDEX('Detalles movimientos'!O$5:O$1021, MATCH(27, 'Detalles movimientos'!$V$5:$V$1021, 0)), "")</f>
        <v/>
      </c>
      <c r="L36" s="18">
        <f>IFERROR(INDEX('Detalles movimientos'!P$5:P$1021, MATCH(27, 'Detalles movimientos'!$V$5:$V$1021, 0)), "")</f>
        <v/>
      </c>
      <c r="M36" s="18">
        <f>IFERROR(INDEX('Detalles movimientos'!S$5:S$1021, MATCH(27, 'Detalles movimientos'!$V$5:$V$1021, 0)), "")</f>
        <v/>
      </c>
    </row>
    <row r="37">
      <c r="B37" s="119">
        <f>IFERROR(INDEX('Detalles movimientos'!C$5:C$1021, MATCH(28, 'Detalles movimientos'!$V$5:$V$1021, 0)), "")</f>
        <v/>
      </c>
      <c r="C37" s="18">
        <f>IFERROR(INDEX('Detalles movimientos'!D$5:D$1021, MATCH(28, 'Detalles movimientos'!$V$5:$V$1021, 0)), "")</f>
        <v/>
      </c>
      <c r="D37" s="19">
        <f>IFERROR(INDEX('Detalles movimientos'!E$5:E$1021, MATCH(28, 'Detalles movimientos'!$V$5:$V$1021, 0)), "")</f>
        <v/>
      </c>
      <c r="E37" s="19">
        <f>IFERROR(INDEX('Detalles movimientos'!F$5:F$1021, MATCH(28, 'Detalles movimientos'!$V$5:$V$1021, 0)), "")</f>
        <v/>
      </c>
      <c r="F37" s="18">
        <f>IFERROR(INDEX('Detalles movimientos'!G$5:G$1021, MATCH(28, 'Detalles movimientos'!$V$5:$V$1021, 0)), "")</f>
        <v/>
      </c>
      <c r="G37" s="120">
        <f>IFERROR(INDEX('Detalles movimientos'!H$5:H$1021, MATCH(28, 'Detalles movimientos'!$V$5:$V$1021, 0)), "")</f>
        <v/>
      </c>
      <c r="H37" s="121">
        <f>IFERROR(INDEX('Detalles movimientos'!I$5:I$1021, MATCH(28, 'Detalles movimientos'!$V$5:$V$1021, 0)), "")</f>
        <v/>
      </c>
      <c r="I37" s="120">
        <f>IFERROR(INDEX('Detalles movimientos'!M$5:M$1021, MATCH(28, 'Detalles movimientos'!$V$5:$V$1021, 0)), "")</f>
        <v/>
      </c>
      <c r="J37" s="19">
        <f>IFERROR(INDEX('Detalles movimientos'!N$5:N$1021, MATCH(28, 'Detalles movimientos'!$V$5:$V$1021, 0)), "")</f>
        <v/>
      </c>
      <c r="K37" s="120">
        <f>IFERROR(INDEX('Detalles movimientos'!O$5:O$1021, MATCH(28, 'Detalles movimientos'!$V$5:$V$1021, 0)), "")</f>
        <v/>
      </c>
      <c r="L37" s="18">
        <f>IFERROR(INDEX('Detalles movimientos'!P$5:P$1021, MATCH(28, 'Detalles movimientos'!$V$5:$V$1021, 0)), "")</f>
        <v/>
      </c>
      <c r="M37" s="18">
        <f>IFERROR(INDEX('Detalles movimientos'!S$5:S$1021, MATCH(28, 'Detalles movimientos'!$V$5:$V$1021, 0)), "")</f>
        <v/>
      </c>
    </row>
    <row r="38">
      <c r="B38" s="119">
        <f>IFERROR(INDEX('Detalles movimientos'!C$5:C$1021, MATCH(29, 'Detalles movimientos'!$V$5:$V$1021, 0)), "")</f>
        <v/>
      </c>
      <c r="C38" s="18">
        <f>IFERROR(INDEX('Detalles movimientos'!D$5:D$1021, MATCH(29, 'Detalles movimientos'!$V$5:$V$1021, 0)), "")</f>
        <v/>
      </c>
      <c r="D38" s="19">
        <f>IFERROR(INDEX('Detalles movimientos'!E$5:E$1021, MATCH(29, 'Detalles movimientos'!$V$5:$V$1021, 0)), "")</f>
        <v/>
      </c>
      <c r="E38" s="19">
        <f>IFERROR(INDEX('Detalles movimientos'!F$5:F$1021, MATCH(29, 'Detalles movimientos'!$V$5:$V$1021, 0)), "")</f>
        <v/>
      </c>
      <c r="F38" s="18">
        <f>IFERROR(INDEX('Detalles movimientos'!G$5:G$1021, MATCH(29, 'Detalles movimientos'!$V$5:$V$1021, 0)), "")</f>
        <v/>
      </c>
      <c r="G38" s="120">
        <f>IFERROR(INDEX('Detalles movimientos'!H$5:H$1021, MATCH(29, 'Detalles movimientos'!$V$5:$V$1021, 0)), "")</f>
        <v/>
      </c>
      <c r="H38" s="121">
        <f>IFERROR(INDEX('Detalles movimientos'!I$5:I$1021, MATCH(29, 'Detalles movimientos'!$V$5:$V$1021, 0)), "")</f>
        <v/>
      </c>
      <c r="I38" s="120">
        <f>IFERROR(INDEX('Detalles movimientos'!M$5:M$1021, MATCH(29, 'Detalles movimientos'!$V$5:$V$1021, 0)), "")</f>
        <v/>
      </c>
      <c r="J38" s="19">
        <f>IFERROR(INDEX('Detalles movimientos'!N$5:N$1021, MATCH(29, 'Detalles movimientos'!$V$5:$V$1021, 0)), "")</f>
        <v/>
      </c>
      <c r="K38" s="120">
        <f>IFERROR(INDEX('Detalles movimientos'!O$5:O$1021, MATCH(29, 'Detalles movimientos'!$V$5:$V$1021, 0)), "")</f>
        <v/>
      </c>
      <c r="L38" s="18">
        <f>IFERROR(INDEX('Detalles movimientos'!P$5:P$1021, MATCH(29, 'Detalles movimientos'!$V$5:$V$1021, 0)), "")</f>
        <v/>
      </c>
      <c r="M38" s="18">
        <f>IFERROR(INDEX('Detalles movimientos'!S$5:S$1021, MATCH(29, 'Detalles movimientos'!$V$5:$V$1021, 0)), "")</f>
        <v/>
      </c>
    </row>
    <row r="39">
      <c r="B39" s="119">
        <f>IFERROR(INDEX('Detalles movimientos'!C$5:C$1021, MATCH(30, 'Detalles movimientos'!$V$5:$V$1021, 0)), "")</f>
        <v/>
      </c>
      <c r="C39" s="18">
        <f>IFERROR(INDEX('Detalles movimientos'!D$5:D$1021, MATCH(30, 'Detalles movimientos'!$V$5:$V$1021, 0)), "")</f>
        <v/>
      </c>
      <c r="D39" s="19">
        <f>IFERROR(INDEX('Detalles movimientos'!E$5:E$1021, MATCH(30, 'Detalles movimientos'!$V$5:$V$1021, 0)), "")</f>
        <v/>
      </c>
      <c r="E39" s="19">
        <f>IFERROR(INDEX('Detalles movimientos'!F$5:F$1021, MATCH(30, 'Detalles movimientos'!$V$5:$V$1021, 0)), "")</f>
        <v/>
      </c>
      <c r="F39" s="18">
        <f>IFERROR(INDEX('Detalles movimientos'!G$5:G$1021, MATCH(30, 'Detalles movimientos'!$V$5:$V$1021, 0)), "")</f>
        <v/>
      </c>
      <c r="G39" s="120">
        <f>IFERROR(INDEX('Detalles movimientos'!H$5:H$1021, MATCH(30, 'Detalles movimientos'!$V$5:$V$1021, 0)), "")</f>
        <v/>
      </c>
      <c r="H39" s="121">
        <f>IFERROR(INDEX('Detalles movimientos'!I$5:I$1021, MATCH(30, 'Detalles movimientos'!$V$5:$V$1021, 0)), "")</f>
        <v/>
      </c>
      <c r="I39" s="120">
        <f>IFERROR(INDEX('Detalles movimientos'!M$5:M$1021, MATCH(30, 'Detalles movimientos'!$V$5:$V$1021, 0)), "")</f>
        <v/>
      </c>
      <c r="J39" s="19">
        <f>IFERROR(INDEX('Detalles movimientos'!N$5:N$1021, MATCH(30, 'Detalles movimientos'!$V$5:$V$1021, 0)), "")</f>
        <v/>
      </c>
      <c r="K39" s="120">
        <f>IFERROR(INDEX('Detalles movimientos'!O$5:O$1021, MATCH(30, 'Detalles movimientos'!$V$5:$V$1021, 0)), "")</f>
        <v/>
      </c>
      <c r="L39" s="18">
        <f>IFERROR(INDEX('Detalles movimientos'!P$5:P$1021, MATCH(30, 'Detalles movimientos'!$V$5:$V$1021, 0)), "")</f>
        <v/>
      </c>
      <c r="M39" s="18">
        <f>IFERROR(INDEX('Detalles movimientos'!S$5:S$1021, MATCH(30, 'Detalles movimientos'!$V$5:$V$1021, 0)), "")</f>
        <v/>
      </c>
    </row>
    <row r="40">
      <c r="B40" s="119">
        <f>IFERROR(INDEX('Detalles movimientos'!C$5:C$1021, MATCH(31, 'Detalles movimientos'!$V$5:$V$1021, 0)), "")</f>
        <v/>
      </c>
      <c r="C40" s="18">
        <f>IFERROR(INDEX('Detalles movimientos'!D$5:D$1021, MATCH(31, 'Detalles movimientos'!$V$5:$V$1021, 0)), "")</f>
        <v/>
      </c>
      <c r="D40" s="19">
        <f>IFERROR(INDEX('Detalles movimientos'!E$5:E$1021, MATCH(31, 'Detalles movimientos'!$V$5:$V$1021, 0)), "")</f>
        <v/>
      </c>
      <c r="E40" s="19">
        <f>IFERROR(INDEX('Detalles movimientos'!F$5:F$1021, MATCH(31, 'Detalles movimientos'!$V$5:$V$1021, 0)), "")</f>
        <v/>
      </c>
      <c r="F40" s="18">
        <f>IFERROR(INDEX('Detalles movimientos'!G$5:G$1021, MATCH(31, 'Detalles movimientos'!$V$5:$V$1021, 0)), "")</f>
        <v/>
      </c>
      <c r="G40" s="120">
        <f>IFERROR(INDEX('Detalles movimientos'!H$5:H$1021, MATCH(31, 'Detalles movimientos'!$V$5:$V$1021, 0)), "")</f>
        <v/>
      </c>
      <c r="H40" s="121">
        <f>IFERROR(INDEX('Detalles movimientos'!I$5:I$1021, MATCH(31, 'Detalles movimientos'!$V$5:$V$1021, 0)), "")</f>
        <v/>
      </c>
      <c r="I40" s="120">
        <f>IFERROR(INDEX('Detalles movimientos'!M$5:M$1021, MATCH(31, 'Detalles movimientos'!$V$5:$V$1021, 0)), "")</f>
        <v/>
      </c>
      <c r="J40" s="19">
        <f>IFERROR(INDEX('Detalles movimientos'!N$5:N$1021, MATCH(31, 'Detalles movimientos'!$V$5:$V$1021, 0)), "")</f>
        <v/>
      </c>
      <c r="K40" s="120">
        <f>IFERROR(INDEX('Detalles movimientos'!O$5:O$1021, MATCH(31, 'Detalles movimientos'!$V$5:$V$1021, 0)), "")</f>
        <v/>
      </c>
      <c r="L40" s="18">
        <f>IFERROR(INDEX('Detalles movimientos'!P$5:P$1021, MATCH(31, 'Detalles movimientos'!$V$5:$V$1021, 0)), "")</f>
        <v/>
      </c>
      <c r="M40" s="18">
        <f>IFERROR(INDEX('Detalles movimientos'!S$5:S$1021, MATCH(31, 'Detalles movimientos'!$V$5:$V$1021, 0)), "")</f>
        <v/>
      </c>
    </row>
    <row r="41">
      <c r="B41" s="119">
        <f>IFERROR(INDEX('Detalles movimientos'!C$5:C$1021, MATCH(32, 'Detalles movimientos'!$V$5:$V$1021, 0)), "")</f>
        <v/>
      </c>
      <c r="C41" s="18">
        <f>IFERROR(INDEX('Detalles movimientos'!D$5:D$1021, MATCH(32, 'Detalles movimientos'!$V$5:$V$1021, 0)), "")</f>
        <v/>
      </c>
      <c r="D41" s="19">
        <f>IFERROR(INDEX('Detalles movimientos'!E$5:E$1021, MATCH(32, 'Detalles movimientos'!$V$5:$V$1021, 0)), "")</f>
        <v/>
      </c>
      <c r="E41" s="19">
        <f>IFERROR(INDEX('Detalles movimientos'!F$5:F$1021, MATCH(32, 'Detalles movimientos'!$V$5:$V$1021, 0)), "")</f>
        <v/>
      </c>
      <c r="F41" s="18">
        <f>IFERROR(INDEX('Detalles movimientos'!G$5:G$1021, MATCH(32, 'Detalles movimientos'!$V$5:$V$1021, 0)), "")</f>
        <v/>
      </c>
      <c r="G41" s="120">
        <f>IFERROR(INDEX('Detalles movimientos'!H$5:H$1021, MATCH(32, 'Detalles movimientos'!$V$5:$V$1021, 0)), "")</f>
        <v/>
      </c>
      <c r="H41" s="121">
        <f>IFERROR(INDEX('Detalles movimientos'!I$5:I$1021, MATCH(32, 'Detalles movimientos'!$V$5:$V$1021, 0)), "")</f>
        <v/>
      </c>
      <c r="I41" s="120">
        <f>IFERROR(INDEX('Detalles movimientos'!M$5:M$1021, MATCH(32, 'Detalles movimientos'!$V$5:$V$1021, 0)), "")</f>
        <v/>
      </c>
      <c r="J41" s="19">
        <f>IFERROR(INDEX('Detalles movimientos'!N$5:N$1021, MATCH(32, 'Detalles movimientos'!$V$5:$V$1021, 0)), "")</f>
        <v/>
      </c>
      <c r="K41" s="120">
        <f>IFERROR(INDEX('Detalles movimientos'!O$5:O$1021, MATCH(32, 'Detalles movimientos'!$V$5:$V$1021, 0)), "")</f>
        <v/>
      </c>
      <c r="L41" s="18">
        <f>IFERROR(INDEX('Detalles movimientos'!P$5:P$1021, MATCH(32, 'Detalles movimientos'!$V$5:$V$1021, 0)), "")</f>
        <v/>
      </c>
      <c r="M41" s="18">
        <f>IFERROR(INDEX('Detalles movimientos'!S$5:S$1021, MATCH(32, 'Detalles movimientos'!$V$5:$V$1021, 0)), "")</f>
        <v/>
      </c>
    </row>
    <row r="42">
      <c r="B42" s="119">
        <f>IFERROR(INDEX('Detalles movimientos'!C$5:C$1021, MATCH(33, 'Detalles movimientos'!$V$5:$V$1021, 0)), "")</f>
        <v/>
      </c>
      <c r="C42" s="18">
        <f>IFERROR(INDEX('Detalles movimientos'!D$5:D$1021, MATCH(33, 'Detalles movimientos'!$V$5:$V$1021, 0)), "")</f>
        <v/>
      </c>
      <c r="D42" s="19">
        <f>IFERROR(INDEX('Detalles movimientos'!E$5:E$1021, MATCH(33, 'Detalles movimientos'!$V$5:$V$1021, 0)), "")</f>
        <v/>
      </c>
      <c r="E42" s="19">
        <f>IFERROR(INDEX('Detalles movimientos'!F$5:F$1021, MATCH(33, 'Detalles movimientos'!$V$5:$V$1021, 0)), "")</f>
        <v/>
      </c>
      <c r="F42" s="18">
        <f>IFERROR(INDEX('Detalles movimientos'!G$5:G$1021, MATCH(33, 'Detalles movimientos'!$V$5:$V$1021, 0)), "")</f>
        <v/>
      </c>
      <c r="G42" s="120">
        <f>IFERROR(INDEX('Detalles movimientos'!H$5:H$1021, MATCH(33, 'Detalles movimientos'!$V$5:$V$1021, 0)), "")</f>
        <v/>
      </c>
      <c r="H42" s="121">
        <f>IFERROR(INDEX('Detalles movimientos'!I$5:I$1021, MATCH(33, 'Detalles movimientos'!$V$5:$V$1021, 0)), "")</f>
        <v/>
      </c>
      <c r="I42" s="120">
        <f>IFERROR(INDEX('Detalles movimientos'!M$5:M$1021, MATCH(33, 'Detalles movimientos'!$V$5:$V$1021, 0)), "")</f>
        <v/>
      </c>
      <c r="J42" s="19">
        <f>IFERROR(INDEX('Detalles movimientos'!N$5:N$1021, MATCH(33, 'Detalles movimientos'!$V$5:$V$1021, 0)), "")</f>
        <v/>
      </c>
      <c r="K42" s="120">
        <f>IFERROR(INDEX('Detalles movimientos'!O$5:O$1021, MATCH(33, 'Detalles movimientos'!$V$5:$V$1021, 0)), "")</f>
        <v/>
      </c>
      <c r="L42" s="18">
        <f>IFERROR(INDEX('Detalles movimientos'!P$5:P$1021, MATCH(33, 'Detalles movimientos'!$V$5:$V$1021, 0)), "")</f>
        <v/>
      </c>
      <c r="M42" s="18">
        <f>IFERROR(INDEX('Detalles movimientos'!S$5:S$1021, MATCH(33, 'Detalles movimientos'!$V$5:$V$1021, 0)), "")</f>
        <v/>
      </c>
    </row>
    <row r="43">
      <c r="B43" s="119">
        <f>IFERROR(INDEX('Detalles movimientos'!C$5:C$1021, MATCH(34, 'Detalles movimientos'!$V$5:$V$1021, 0)), "")</f>
        <v/>
      </c>
      <c r="C43" s="18">
        <f>IFERROR(INDEX('Detalles movimientos'!D$5:D$1021, MATCH(34, 'Detalles movimientos'!$V$5:$V$1021, 0)), "")</f>
        <v/>
      </c>
      <c r="D43" s="19">
        <f>IFERROR(INDEX('Detalles movimientos'!E$5:E$1021, MATCH(34, 'Detalles movimientos'!$V$5:$V$1021, 0)), "")</f>
        <v/>
      </c>
      <c r="E43" s="19">
        <f>IFERROR(INDEX('Detalles movimientos'!F$5:F$1021, MATCH(34, 'Detalles movimientos'!$V$5:$V$1021, 0)), "")</f>
        <v/>
      </c>
      <c r="F43" s="18">
        <f>IFERROR(INDEX('Detalles movimientos'!G$5:G$1021, MATCH(34, 'Detalles movimientos'!$V$5:$V$1021, 0)), "")</f>
        <v/>
      </c>
      <c r="G43" s="120">
        <f>IFERROR(INDEX('Detalles movimientos'!H$5:H$1021, MATCH(34, 'Detalles movimientos'!$V$5:$V$1021, 0)), "")</f>
        <v/>
      </c>
      <c r="H43" s="121">
        <f>IFERROR(INDEX('Detalles movimientos'!I$5:I$1021, MATCH(34, 'Detalles movimientos'!$V$5:$V$1021, 0)), "")</f>
        <v/>
      </c>
      <c r="I43" s="120">
        <f>IFERROR(INDEX('Detalles movimientos'!M$5:M$1021, MATCH(34, 'Detalles movimientos'!$V$5:$V$1021, 0)), "")</f>
        <v/>
      </c>
      <c r="J43" s="19">
        <f>IFERROR(INDEX('Detalles movimientos'!N$5:N$1021, MATCH(34, 'Detalles movimientos'!$V$5:$V$1021, 0)), "")</f>
        <v/>
      </c>
      <c r="K43" s="120">
        <f>IFERROR(INDEX('Detalles movimientos'!O$5:O$1021, MATCH(34, 'Detalles movimientos'!$V$5:$V$1021, 0)), "")</f>
        <v/>
      </c>
      <c r="L43" s="18">
        <f>IFERROR(INDEX('Detalles movimientos'!P$5:P$1021, MATCH(34, 'Detalles movimientos'!$V$5:$V$1021, 0)), "")</f>
        <v/>
      </c>
      <c r="M43" s="18">
        <f>IFERROR(INDEX('Detalles movimientos'!S$5:S$1021, MATCH(34, 'Detalles movimientos'!$V$5:$V$1021, 0)), "")</f>
        <v/>
      </c>
    </row>
    <row r="44">
      <c r="B44" s="119">
        <f>IFERROR(INDEX('Detalles movimientos'!C$5:C$1021, MATCH(35, 'Detalles movimientos'!$V$5:$V$1021, 0)), "")</f>
        <v/>
      </c>
      <c r="C44" s="18">
        <f>IFERROR(INDEX('Detalles movimientos'!D$5:D$1021, MATCH(35, 'Detalles movimientos'!$V$5:$V$1021, 0)), "")</f>
        <v/>
      </c>
      <c r="D44" s="19">
        <f>IFERROR(INDEX('Detalles movimientos'!E$5:E$1021, MATCH(35, 'Detalles movimientos'!$V$5:$V$1021, 0)), "")</f>
        <v/>
      </c>
      <c r="E44" s="19">
        <f>IFERROR(INDEX('Detalles movimientos'!F$5:F$1021, MATCH(35, 'Detalles movimientos'!$V$5:$V$1021, 0)), "")</f>
        <v/>
      </c>
      <c r="F44" s="18">
        <f>IFERROR(INDEX('Detalles movimientos'!G$5:G$1021, MATCH(35, 'Detalles movimientos'!$V$5:$V$1021, 0)), "")</f>
        <v/>
      </c>
      <c r="G44" s="120">
        <f>IFERROR(INDEX('Detalles movimientos'!H$5:H$1021, MATCH(35, 'Detalles movimientos'!$V$5:$V$1021, 0)), "")</f>
        <v/>
      </c>
      <c r="H44" s="121">
        <f>IFERROR(INDEX('Detalles movimientos'!I$5:I$1021, MATCH(35, 'Detalles movimientos'!$V$5:$V$1021, 0)), "")</f>
        <v/>
      </c>
      <c r="I44" s="120">
        <f>IFERROR(INDEX('Detalles movimientos'!M$5:M$1021, MATCH(35, 'Detalles movimientos'!$V$5:$V$1021, 0)), "")</f>
        <v/>
      </c>
      <c r="J44" s="19">
        <f>IFERROR(INDEX('Detalles movimientos'!N$5:N$1021, MATCH(35, 'Detalles movimientos'!$V$5:$V$1021, 0)), "")</f>
        <v/>
      </c>
      <c r="K44" s="120">
        <f>IFERROR(INDEX('Detalles movimientos'!O$5:O$1021, MATCH(35, 'Detalles movimientos'!$V$5:$V$1021, 0)), "")</f>
        <v/>
      </c>
      <c r="L44" s="18">
        <f>IFERROR(INDEX('Detalles movimientos'!P$5:P$1021, MATCH(35, 'Detalles movimientos'!$V$5:$V$1021, 0)), "")</f>
        <v/>
      </c>
      <c r="M44" s="18">
        <f>IFERROR(INDEX('Detalles movimientos'!S$5:S$1021, MATCH(35, 'Detalles movimientos'!$V$5:$V$1021, 0)), "")</f>
        <v/>
      </c>
    </row>
    <row r="45">
      <c r="B45" s="119">
        <f>IFERROR(INDEX('Detalles movimientos'!C$5:C$1021, MATCH(36, 'Detalles movimientos'!$V$5:$V$1021, 0)), "")</f>
        <v/>
      </c>
      <c r="C45" s="18">
        <f>IFERROR(INDEX('Detalles movimientos'!D$5:D$1021, MATCH(36, 'Detalles movimientos'!$V$5:$V$1021, 0)), "")</f>
        <v/>
      </c>
      <c r="D45" s="19">
        <f>IFERROR(INDEX('Detalles movimientos'!E$5:E$1021, MATCH(36, 'Detalles movimientos'!$V$5:$V$1021, 0)), "")</f>
        <v/>
      </c>
      <c r="E45" s="19">
        <f>IFERROR(INDEX('Detalles movimientos'!F$5:F$1021, MATCH(36, 'Detalles movimientos'!$V$5:$V$1021, 0)), "")</f>
        <v/>
      </c>
      <c r="F45" s="18">
        <f>IFERROR(INDEX('Detalles movimientos'!G$5:G$1021, MATCH(36, 'Detalles movimientos'!$V$5:$V$1021, 0)), "")</f>
        <v/>
      </c>
      <c r="G45" s="120">
        <f>IFERROR(INDEX('Detalles movimientos'!H$5:H$1021, MATCH(36, 'Detalles movimientos'!$V$5:$V$1021, 0)), "")</f>
        <v/>
      </c>
      <c r="H45" s="121">
        <f>IFERROR(INDEX('Detalles movimientos'!I$5:I$1021, MATCH(36, 'Detalles movimientos'!$V$5:$V$1021, 0)), "")</f>
        <v/>
      </c>
      <c r="I45" s="120">
        <f>IFERROR(INDEX('Detalles movimientos'!M$5:M$1021, MATCH(36, 'Detalles movimientos'!$V$5:$V$1021, 0)), "")</f>
        <v/>
      </c>
      <c r="J45" s="19">
        <f>IFERROR(INDEX('Detalles movimientos'!N$5:N$1021, MATCH(36, 'Detalles movimientos'!$V$5:$V$1021, 0)), "")</f>
        <v/>
      </c>
      <c r="K45" s="120">
        <f>IFERROR(INDEX('Detalles movimientos'!O$5:O$1021, MATCH(36, 'Detalles movimientos'!$V$5:$V$1021, 0)), "")</f>
        <v/>
      </c>
      <c r="L45" s="18">
        <f>IFERROR(INDEX('Detalles movimientos'!P$5:P$1021, MATCH(36, 'Detalles movimientos'!$V$5:$V$1021, 0)), "")</f>
        <v/>
      </c>
      <c r="M45" s="18">
        <f>IFERROR(INDEX('Detalles movimientos'!S$5:S$1021, MATCH(36, 'Detalles movimientos'!$V$5:$V$1021, 0)), "")</f>
        <v/>
      </c>
    </row>
    <row r="46">
      <c r="B46" s="119">
        <f>IFERROR(INDEX('Detalles movimientos'!C$5:C$1021, MATCH(37, 'Detalles movimientos'!$V$5:$V$1021, 0)), "")</f>
        <v/>
      </c>
      <c r="C46" s="18">
        <f>IFERROR(INDEX('Detalles movimientos'!D$5:D$1021, MATCH(37, 'Detalles movimientos'!$V$5:$V$1021, 0)), "")</f>
        <v/>
      </c>
      <c r="D46" s="19">
        <f>IFERROR(INDEX('Detalles movimientos'!E$5:E$1021, MATCH(37, 'Detalles movimientos'!$V$5:$V$1021, 0)), "")</f>
        <v/>
      </c>
      <c r="E46" s="19">
        <f>IFERROR(INDEX('Detalles movimientos'!F$5:F$1021, MATCH(37, 'Detalles movimientos'!$V$5:$V$1021, 0)), "")</f>
        <v/>
      </c>
      <c r="F46" s="18">
        <f>IFERROR(INDEX('Detalles movimientos'!G$5:G$1021, MATCH(37, 'Detalles movimientos'!$V$5:$V$1021, 0)), "")</f>
        <v/>
      </c>
      <c r="G46" s="120">
        <f>IFERROR(INDEX('Detalles movimientos'!H$5:H$1021, MATCH(37, 'Detalles movimientos'!$V$5:$V$1021, 0)), "")</f>
        <v/>
      </c>
      <c r="H46" s="121">
        <f>IFERROR(INDEX('Detalles movimientos'!I$5:I$1021, MATCH(37, 'Detalles movimientos'!$V$5:$V$1021, 0)), "")</f>
        <v/>
      </c>
      <c r="I46" s="120">
        <f>IFERROR(INDEX('Detalles movimientos'!M$5:M$1021, MATCH(37, 'Detalles movimientos'!$V$5:$V$1021, 0)), "")</f>
        <v/>
      </c>
      <c r="J46" s="19">
        <f>IFERROR(INDEX('Detalles movimientos'!N$5:N$1021, MATCH(37, 'Detalles movimientos'!$V$5:$V$1021, 0)), "")</f>
        <v/>
      </c>
      <c r="K46" s="120">
        <f>IFERROR(INDEX('Detalles movimientos'!O$5:O$1021, MATCH(37, 'Detalles movimientos'!$V$5:$V$1021, 0)), "")</f>
        <v/>
      </c>
      <c r="L46" s="18">
        <f>IFERROR(INDEX('Detalles movimientos'!P$5:P$1021, MATCH(37, 'Detalles movimientos'!$V$5:$V$1021, 0)), "")</f>
        <v/>
      </c>
      <c r="M46" s="18">
        <f>IFERROR(INDEX('Detalles movimientos'!S$5:S$1021, MATCH(37, 'Detalles movimientos'!$V$5:$V$1021, 0)), "")</f>
        <v/>
      </c>
    </row>
    <row r="47">
      <c r="B47" s="119">
        <f>IFERROR(INDEX('Detalles movimientos'!C$5:C$1021, MATCH(38, 'Detalles movimientos'!$V$5:$V$1021, 0)), "")</f>
        <v/>
      </c>
      <c r="C47" s="18">
        <f>IFERROR(INDEX('Detalles movimientos'!D$5:D$1021, MATCH(38, 'Detalles movimientos'!$V$5:$V$1021, 0)), "")</f>
        <v/>
      </c>
      <c r="D47" s="19">
        <f>IFERROR(INDEX('Detalles movimientos'!E$5:E$1021, MATCH(38, 'Detalles movimientos'!$V$5:$V$1021, 0)), "")</f>
        <v/>
      </c>
      <c r="E47" s="19">
        <f>IFERROR(INDEX('Detalles movimientos'!F$5:F$1021, MATCH(38, 'Detalles movimientos'!$V$5:$V$1021, 0)), "")</f>
        <v/>
      </c>
      <c r="F47" s="18">
        <f>IFERROR(INDEX('Detalles movimientos'!G$5:G$1021, MATCH(38, 'Detalles movimientos'!$V$5:$V$1021, 0)), "")</f>
        <v/>
      </c>
      <c r="G47" s="120">
        <f>IFERROR(INDEX('Detalles movimientos'!H$5:H$1021, MATCH(38, 'Detalles movimientos'!$V$5:$V$1021, 0)), "")</f>
        <v/>
      </c>
      <c r="H47" s="121">
        <f>IFERROR(INDEX('Detalles movimientos'!I$5:I$1021, MATCH(38, 'Detalles movimientos'!$V$5:$V$1021, 0)), "")</f>
        <v/>
      </c>
      <c r="I47" s="120">
        <f>IFERROR(INDEX('Detalles movimientos'!M$5:M$1021, MATCH(38, 'Detalles movimientos'!$V$5:$V$1021, 0)), "")</f>
        <v/>
      </c>
      <c r="J47" s="19">
        <f>IFERROR(INDEX('Detalles movimientos'!N$5:N$1021, MATCH(38, 'Detalles movimientos'!$V$5:$V$1021, 0)), "")</f>
        <v/>
      </c>
      <c r="K47" s="120">
        <f>IFERROR(INDEX('Detalles movimientos'!O$5:O$1021, MATCH(38, 'Detalles movimientos'!$V$5:$V$1021, 0)), "")</f>
        <v/>
      </c>
      <c r="L47" s="18">
        <f>IFERROR(INDEX('Detalles movimientos'!P$5:P$1021, MATCH(38, 'Detalles movimientos'!$V$5:$V$1021, 0)), "")</f>
        <v/>
      </c>
      <c r="M47" s="18">
        <f>IFERROR(INDEX('Detalles movimientos'!S$5:S$1021, MATCH(38, 'Detalles movimientos'!$V$5:$V$1021, 0)), "")</f>
        <v/>
      </c>
    </row>
    <row r="48">
      <c r="B48" s="119">
        <f>IFERROR(INDEX('Detalles movimientos'!C$5:C$1021, MATCH(39, 'Detalles movimientos'!$V$5:$V$1021, 0)), "")</f>
        <v/>
      </c>
      <c r="C48" s="18">
        <f>IFERROR(INDEX('Detalles movimientos'!D$5:D$1021, MATCH(39, 'Detalles movimientos'!$V$5:$V$1021, 0)), "")</f>
        <v/>
      </c>
      <c r="D48" s="19">
        <f>IFERROR(INDEX('Detalles movimientos'!E$5:E$1021, MATCH(39, 'Detalles movimientos'!$V$5:$V$1021, 0)), "")</f>
        <v/>
      </c>
      <c r="E48" s="19">
        <f>IFERROR(INDEX('Detalles movimientos'!F$5:F$1021, MATCH(39, 'Detalles movimientos'!$V$5:$V$1021, 0)), "")</f>
        <v/>
      </c>
      <c r="F48" s="18">
        <f>IFERROR(INDEX('Detalles movimientos'!G$5:G$1021, MATCH(39, 'Detalles movimientos'!$V$5:$V$1021, 0)), "")</f>
        <v/>
      </c>
      <c r="G48" s="120">
        <f>IFERROR(INDEX('Detalles movimientos'!H$5:H$1021, MATCH(39, 'Detalles movimientos'!$V$5:$V$1021, 0)), "")</f>
        <v/>
      </c>
      <c r="H48" s="121">
        <f>IFERROR(INDEX('Detalles movimientos'!I$5:I$1021, MATCH(39, 'Detalles movimientos'!$V$5:$V$1021, 0)), "")</f>
        <v/>
      </c>
      <c r="I48" s="120">
        <f>IFERROR(INDEX('Detalles movimientos'!M$5:M$1021, MATCH(39, 'Detalles movimientos'!$V$5:$V$1021, 0)), "")</f>
        <v/>
      </c>
      <c r="J48" s="19">
        <f>IFERROR(INDEX('Detalles movimientos'!N$5:N$1021, MATCH(39, 'Detalles movimientos'!$V$5:$V$1021, 0)), "")</f>
        <v/>
      </c>
      <c r="K48" s="120">
        <f>IFERROR(INDEX('Detalles movimientos'!O$5:O$1021, MATCH(39, 'Detalles movimientos'!$V$5:$V$1021, 0)), "")</f>
        <v/>
      </c>
      <c r="L48" s="18">
        <f>IFERROR(INDEX('Detalles movimientos'!P$5:P$1021, MATCH(39, 'Detalles movimientos'!$V$5:$V$1021, 0)), "")</f>
        <v/>
      </c>
      <c r="M48" s="18">
        <f>IFERROR(INDEX('Detalles movimientos'!S$5:S$1021, MATCH(39, 'Detalles movimientos'!$V$5:$V$1021, 0)), "")</f>
        <v/>
      </c>
    </row>
    <row r="49">
      <c r="B49" s="119">
        <f>IFERROR(INDEX('Detalles movimientos'!C$5:C$1021, MATCH(40, 'Detalles movimientos'!$V$5:$V$1021, 0)), "")</f>
        <v/>
      </c>
      <c r="C49" s="18">
        <f>IFERROR(INDEX('Detalles movimientos'!D$5:D$1021, MATCH(40, 'Detalles movimientos'!$V$5:$V$1021, 0)), "")</f>
        <v/>
      </c>
      <c r="D49" s="19">
        <f>IFERROR(INDEX('Detalles movimientos'!E$5:E$1021, MATCH(40, 'Detalles movimientos'!$V$5:$V$1021, 0)), "")</f>
        <v/>
      </c>
      <c r="E49" s="19">
        <f>IFERROR(INDEX('Detalles movimientos'!F$5:F$1021, MATCH(40, 'Detalles movimientos'!$V$5:$V$1021, 0)), "")</f>
        <v/>
      </c>
      <c r="F49" s="18">
        <f>IFERROR(INDEX('Detalles movimientos'!G$5:G$1021, MATCH(40, 'Detalles movimientos'!$V$5:$V$1021, 0)), "")</f>
        <v/>
      </c>
      <c r="G49" s="120">
        <f>IFERROR(INDEX('Detalles movimientos'!H$5:H$1021, MATCH(40, 'Detalles movimientos'!$V$5:$V$1021, 0)), "")</f>
        <v/>
      </c>
      <c r="H49" s="121">
        <f>IFERROR(INDEX('Detalles movimientos'!I$5:I$1021, MATCH(40, 'Detalles movimientos'!$V$5:$V$1021, 0)), "")</f>
        <v/>
      </c>
      <c r="I49" s="120">
        <f>IFERROR(INDEX('Detalles movimientos'!M$5:M$1021, MATCH(40, 'Detalles movimientos'!$V$5:$V$1021, 0)), "")</f>
        <v/>
      </c>
      <c r="J49" s="19">
        <f>IFERROR(INDEX('Detalles movimientos'!N$5:N$1021, MATCH(40, 'Detalles movimientos'!$V$5:$V$1021, 0)), "")</f>
        <v/>
      </c>
      <c r="K49" s="120">
        <f>IFERROR(INDEX('Detalles movimientos'!O$5:O$1021, MATCH(40, 'Detalles movimientos'!$V$5:$V$1021, 0)), "")</f>
        <v/>
      </c>
      <c r="L49" s="18">
        <f>IFERROR(INDEX('Detalles movimientos'!P$5:P$1021, MATCH(40, 'Detalles movimientos'!$V$5:$V$1021, 0)), "")</f>
        <v/>
      </c>
      <c r="M49" s="18">
        <f>IFERROR(INDEX('Detalles movimientos'!S$5:S$1021, MATCH(40, 'Detalles movimientos'!$V$5:$V$1021, 0)), "")</f>
        <v/>
      </c>
    </row>
    <row r="50">
      <c r="B50" s="119">
        <f>IFERROR(INDEX('Detalles movimientos'!C$5:C$1021, MATCH(41, 'Detalles movimientos'!$V$5:$V$1021, 0)), "")</f>
        <v/>
      </c>
      <c r="C50" s="18">
        <f>IFERROR(INDEX('Detalles movimientos'!D$5:D$1021, MATCH(41, 'Detalles movimientos'!$V$5:$V$1021, 0)), "")</f>
        <v/>
      </c>
      <c r="D50" s="19">
        <f>IFERROR(INDEX('Detalles movimientos'!E$5:E$1021, MATCH(41, 'Detalles movimientos'!$V$5:$V$1021, 0)), "")</f>
        <v/>
      </c>
      <c r="E50" s="19">
        <f>IFERROR(INDEX('Detalles movimientos'!F$5:F$1021, MATCH(41, 'Detalles movimientos'!$V$5:$V$1021, 0)), "")</f>
        <v/>
      </c>
      <c r="F50" s="18">
        <f>IFERROR(INDEX('Detalles movimientos'!G$5:G$1021, MATCH(41, 'Detalles movimientos'!$V$5:$V$1021, 0)), "")</f>
        <v/>
      </c>
      <c r="G50" s="120">
        <f>IFERROR(INDEX('Detalles movimientos'!H$5:H$1021, MATCH(41, 'Detalles movimientos'!$V$5:$V$1021, 0)), "")</f>
        <v/>
      </c>
      <c r="H50" s="121">
        <f>IFERROR(INDEX('Detalles movimientos'!I$5:I$1021, MATCH(41, 'Detalles movimientos'!$V$5:$V$1021, 0)), "")</f>
        <v/>
      </c>
      <c r="I50" s="120">
        <f>IFERROR(INDEX('Detalles movimientos'!M$5:M$1021, MATCH(41, 'Detalles movimientos'!$V$5:$V$1021, 0)), "")</f>
        <v/>
      </c>
      <c r="J50" s="19">
        <f>IFERROR(INDEX('Detalles movimientos'!N$5:N$1021, MATCH(41, 'Detalles movimientos'!$V$5:$V$1021, 0)), "")</f>
        <v/>
      </c>
      <c r="K50" s="120">
        <f>IFERROR(INDEX('Detalles movimientos'!O$5:O$1021, MATCH(41, 'Detalles movimientos'!$V$5:$V$1021, 0)), "")</f>
        <v/>
      </c>
      <c r="L50" s="18">
        <f>IFERROR(INDEX('Detalles movimientos'!P$5:P$1021, MATCH(41, 'Detalles movimientos'!$V$5:$V$1021, 0)), "")</f>
        <v/>
      </c>
      <c r="M50" s="18">
        <f>IFERROR(INDEX('Detalles movimientos'!S$5:S$1021, MATCH(41, 'Detalles movimientos'!$V$5:$V$1021, 0)), "")</f>
        <v/>
      </c>
    </row>
    <row r="51">
      <c r="B51" s="119">
        <f>IFERROR(INDEX('Detalles movimientos'!C$5:C$1021, MATCH(42, 'Detalles movimientos'!$V$5:$V$1021, 0)), "")</f>
        <v/>
      </c>
      <c r="C51" s="18">
        <f>IFERROR(INDEX('Detalles movimientos'!D$5:D$1021, MATCH(42, 'Detalles movimientos'!$V$5:$V$1021, 0)), "")</f>
        <v/>
      </c>
      <c r="D51" s="19">
        <f>IFERROR(INDEX('Detalles movimientos'!E$5:E$1021, MATCH(42, 'Detalles movimientos'!$V$5:$V$1021, 0)), "")</f>
        <v/>
      </c>
      <c r="E51" s="19">
        <f>IFERROR(INDEX('Detalles movimientos'!F$5:F$1021, MATCH(42, 'Detalles movimientos'!$V$5:$V$1021, 0)), "")</f>
        <v/>
      </c>
      <c r="F51" s="18">
        <f>IFERROR(INDEX('Detalles movimientos'!G$5:G$1021, MATCH(42, 'Detalles movimientos'!$V$5:$V$1021, 0)), "")</f>
        <v/>
      </c>
      <c r="G51" s="120">
        <f>IFERROR(INDEX('Detalles movimientos'!H$5:H$1021, MATCH(42, 'Detalles movimientos'!$V$5:$V$1021, 0)), "")</f>
        <v/>
      </c>
      <c r="H51" s="121">
        <f>IFERROR(INDEX('Detalles movimientos'!I$5:I$1021, MATCH(42, 'Detalles movimientos'!$V$5:$V$1021, 0)), "")</f>
        <v/>
      </c>
      <c r="I51" s="120">
        <f>IFERROR(INDEX('Detalles movimientos'!M$5:M$1021, MATCH(42, 'Detalles movimientos'!$V$5:$V$1021, 0)), "")</f>
        <v/>
      </c>
      <c r="J51" s="19">
        <f>IFERROR(INDEX('Detalles movimientos'!N$5:N$1021, MATCH(42, 'Detalles movimientos'!$V$5:$V$1021, 0)), "")</f>
        <v/>
      </c>
      <c r="K51" s="120">
        <f>IFERROR(INDEX('Detalles movimientos'!O$5:O$1021, MATCH(42, 'Detalles movimientos'!$V$5:$V$1021, 0)), "")</f>
        <v/>
      </c>
      <c r="L51" s="18">
        <f>IFERROR(INDEX('Detalles movimientos'!P$5:P$1021, MATCH(42, 'Detalles movimientos'!$V$5:$V$1021, 0)), "")</f>
        <v/>
      </c>
      <c r="M51" s="18">
        <f>IFERROR(INDEX('Detalles movimientos'!S$5:S$1021, MATCH(42, 'Detalles movimientos'!$V$5:$V$1021, 0)), "")</f>
        <v/>
      </c>
    </row>
    <row r="52">
      <c r="B52" s="119">
        <f>IFERROR(INDEX('Detalles movimientos'!C$5:C$1021, MATCH(43, 'Detalles movimientos'!$V$5:$V$1021, 0)), "")</f>
        <v/>
      </c>
      <c r="C52" s="18">
        <f>IFERROR(INDEX('Detalles movimientos'!D$5:D$1021, MATCH(43, 'Detalles movimientos'!$V$5:$V$1021, 0)), "")</f>
        <v/>
      </c>
      <c r="D52" s="19">
        <f>IFERROR(INDEX('Detalles movimientos'!E$5:E$1021, MATCH(43, 'Detalles movimientos'!$V$5:$V$1021, 0)), "")</f>
        <v/>
      </c>
      <c r="E52" s="19">
        <f>IFERROR(INDEX('Detalles movimientos'!F$5:F$1021, MATCH(43, 'Detalles movimientos'!$V$5:$V$1021, 0)), "")</f>
        <v/>
      </c>
      <c r="F52" s="18">
        <f>IFERROR(INDEX('Detalles movimientos'!G$5:G$1021, MATCH(43, 'Detalles movimientos'!$V$5:$V$1021, 0)), "")</f>
        <v/>
      </c>
      <c r="G52" s="120">
        <f>IFERROR(INDEX('Detalles movimientos'!H$5:H$1021, MATCH(43, 'Detalles movimientos'!$V$5:$V$1021, 0)), "")</f>
        <v/>
      </c>
      <c r="H52" s="121">
        <f>IFERROR(INDEX('Detalles movimientos'!I$5:I$1021, MATCH(43, 'Detalles movimientos'!$V$5:$V$1021, 0)), "")</f>
        <v/>
      </c>
      <c r="I52" s="120">
        <f>IFERROR(INDEX('Detalles movimientos'!M$5:M$1021, MATCH(43, 'Detalles movimientos'!$V$5:$V$1021, 0)), "")</f>
        <v/>
      </c>
      <c r="J52" s="19">
        <f>IFERROR(INDEX('Detalles movimientos'!N$5:N$1021, MATCH(43, 'Detalles movimientos'!$V$5:$V$1021, 0)), "")</f>
        <v/>
      </c>
      <c r="K52" s="120">
        <f>IFERROR(INDEX('Detalles movimientos'!O$5:O$1021, MATCH(43, 'Detalles movimientos'!$V$5:$V$1021, 0)), "")</f>
        <v/>
      </c>
      <c r="L52" s="18">
        <f>IFERROR(INDEX('Detalles movimientos'!P$5:P$1021, MATCH(43, 'Detalles movimientos'!$V$5:$V$1021, 0)), "")</f>
        <v/>
      </c>
      <c r="M52" s="18">
        <f>IFERROR(INDEX('Detalles movimientos'!S$5:S$1021, MATCH(43, 'Detalles movimientos'!$V$5:$V$1021, 0)), "")</f>
        <v/>
      </c>
    </row>
    <row r="53">
      <c r="B53" s="119">
        <f>IFERROR(INDEX('Detalles movimientos'!C$5:C$1021, MATCH(44, 'Detalles movimientos'!$V$5:$V$1021, 0)), "")</f>
        <v/>
      </c>
      <c r="C53" s="18">
        <f>IFERROR(INDEX('Detalles movimientos'!D$5:D$1021, MATCH(44, 'Detalles movimientos'!$V$5:$V$1021, 0)), "")</f>
        <v/>
      </c>
      <c r="D53" s="19">
        <f>IFERROR(INDEX('Detalles movimientos'!E$5:E$1021, MATCH(44, 'Detalles movimientos'!$V$5:$V$1021, 0)), "")</f>
        <v/>
      </c>
      <c r="E53" s="19">
        <f>IFERROR(INDEX('Detalles movimientos'!F$5:F$1021, MATCH(44, 'Detalles movimientos'!$V$5:$V$1021, 0)), "")</f>
        <v/>
      </c>
      <c r="F53" s="18">
        <f>IFERROR(INDEX('Detalles movimientos'!G$5:G$1021, MATCH(44, 'Detalles movimientos'!$V$5:$V$1021, 0)), "")</f>
        <v/>
      </c>
      <c r="G53" s="120">
        <f>IFERROR(INDEX('Detalles movimientos'!H$5:H$1021, MATCH(44, 'Detalles movimientos'!$V$5:$V$1021, 0)), "")</f>
        <v/>
      </c>
      <c r="H53" s="121">
        <f>IFERROR(INDEX('Detalles movimientos'!I$5:I$1021, MATCH(44, 'Detalles movimientos'!$V$5:$V$1021, 0)), "")</f>
        <v/>
      </c>
      <c r="I53" s="120">
        <f>IFERROR(INDEX('Detalles movimientos'!M$5:M$1021, MATCH(44, 'Detalles movimientos'!$V$5:$V$1021, 0)), "")</f>
        <v/>
      </c>
      <c r="J53" s="19">
        <f>IFERROR(INDEX('Detalles movimientos'!N$5:N$1021, MATCH(44, 'Detalles movimientos'!$V$5:$V$1021, 0)), "")</f>
        <v/>
      </c>
      <c r="K53" s="120">
        <f>IFERROR(INDEX('Detalles movimientos'!O$5:O$1021, MATCH(44, 'Detalles movimientos'!$V$5:$V$1021, 0)), "")</f>
        <v/>
      </c>
      <c r="L53" s="18">
        <f>IFERROR(INDEX('Detalles movimientos'!P$5:P$1021, MATCH(44, 'Detalles movimientos'!$V$5:$V$1021, 0)), "")</f>
        <v/>
      </c>
      <c r="M53" s="18">
        <f>IFERROR(INDEX('Detalles movimientos'!S$5:S$1021, MATCH(44, 'Detalles movimientos'!$V$5:$V$1021, 0)), "")</f>
        <v/>
      </c>
    </row>
    <row r="54">
      <c r="B54" s="119">
        <f>IFERROR(INDEX('Detalles movimientos'!C$5:C$1021, MATCH(45, 'Detalles movimientos'!$V$5:$V$1021, 0)), "")</f>
        <v/>
      </c>
      <c r="C54" s="18">
        <f>IFERROR(INDEX('Detalles movimientos'!D$5:D$1021, MATCH(45, 'Detalles movimientos'!$V$5:$V$1021, 0)), "")</f>
        <v/>
      </c>
      <c r="D54" s="19">
        <f>IFERROR(INDEX('Detalles movimientos'!E$5:E$1021, MATCH(45, 'Detalles movimientos'!$V$5:$V$1021, 0)), "")</f>
        <v/>
      </c>
      <c r="E54" s="19">
        <f>IFERROR(INDEX('Detalles movimientos'!F$5:F$1021, MATCH(45, 'Detalles movimientos'!$V$5:$V$1021, 0)), "")</f>
        <v/>
      </c>
      <c r="F54" s="18">
        <f>IFERROR(INDEX('Detalles movimientos'!G$5:G$1021, MATCH(45, 'Detalles movimientos'!$V$5:$V$1021, 0)), "")</f>
        <v/>
      </c>
      <c r="G54" s="120">
        <f>IFERROR(INDEX('Detalles movimientos'!H$5:H$1021, MATCH(45, 'Detalles movimientos'!$V$5:$V$1021, 0)), "")</f>
        <v/>
      </c>
      <c r="H54" s="121">
        <f>IFERROR(INDEX('Detalles movimientos'!I$5:I$1021, MATCH(45, 'Detalles movimientos'!$V$5:$V$1021, 0)), "")</f>
        <v/>
      </c>
      <c r="I54" s="120">
        <f>IFERROR(INDEX('Detalles movimientos'!M$5:M$1021, MATCH(45, 'Detalles movimientos'!$V$5:$V$1021, 0)), "")</f>
        <v/>
      </c>
      <c r="J54" s="19">
        <f>IFERROR(INDEX('Detalles movimientos'!N$5:N$1021, MATCH(45, 'Detalles movimientos'!$V$5:$V$1021, 0)), "")</f>
        <v/>
      </c>
      <c r="K54" s="120">
        <f>IFERROR(INDEX('Detalles movimientos'!O$5:O$1021, MATCH(45, 'Detalles movimientos'!$V$5:$V$1021, 0)), "")</f>
        <v/>
      </c>
      <c r="L54" s="18">
        <f>IFERROR(INDEX('Detalles movimientos'!P$5:P$1021, MATCH(45, 'Detalles movimientos'!$V$5:$V$1021, 0)), "")</f>
        <v/>
      </c>
      <c r="M54" s="18">
        <f>IFERROR(INDEX('Detalles movimientos'!S$5:S$1021, MATCH(45, 'Detalles movimientos'!$V$5:$V$1021, 0)), "")</f>
        <v/>
      </c>
    </row>
    <row r="55">
      <c r="B55" s="119">
        <f>IFERROR(INDEX('Detalles movimientos'!C$5:C$1021, MATCH(46, 'Detalles movimientos'!$V$5:$V$1021, 0)), "")</f>
        <v/>
      </c>
      <c r="C55" s="18">
        <f>IFERROR(INDEX('Detalles movimientos'!D$5:D$1021, MATCH(46, 'Detalles movimientos'!$V$5:$V$1021, 0)), "")</f>
        <v/>
      </c>
      <c r="D55" s="19">
        <f>IFERROR(INDEX('Detalles movimientos'!E$5:E$1021, MATCH(46, 'Detalles movimientos'!$V$5:$V$1021, 0)), "")</f>
        <v/>
      </c>
      <c r="E55" s="19">
        <f>IFERROR(INDEX('Detalles movimientos'!F$5:F$1021, MATCH(46, 'Detalles movimientos'!$V$5:$V$1021, 0)), "")</f>
        <v/>
      </c>
      <c r="F55" s="18">
        <f>IFERROR(INDEX('Detalles movimientos'!G$5:G$1021, MATCH(46, 'Detalles movimientos'!$V$5:$V$1021, 0)), "")</f>
        <v/>
      </c>
      <c r="G55" s="120">
        <f>IFERROR(INDEX('Detalles movimientos'!H$5:H$1021, MATCH(46, 'Detalles movimientos'!$V$5:$V$1021, 0)), "")</f>
        <v/>
      </c>
      <c r="H55" s="121">
        <f>IFERROR(INDEX('Detalles movimientos'!I$5:I$1021, MATCH(46, 'Detalles movimientos'!$V$5:$V$1021, 0)), "")</f>
        <v/>
      </c>
      <c r="I55" s="120">
        <f>IFERROR(INDEX('Detalles movimientos'!M$5:M$1021, MATCH(46, 'Detalles movimientos'!$V$5:$V$1021, 0)), "")</f>
        <v/>
      </c>
      <c r="J55" s="19">
        <f>IFERROR(INDEX('Detalles movimientos'!N$5:N$1021, MATCH(46, 'Detalles movimientos'!$V$5:$V$1021, 0)), "")</f>
        <v/>
      </c>
      <c r="K55" s="120">
        <f>IFERROR(INDEX('Detalles movimientos'!O$5:O$1021, MATCH(46, 'Detalles movimientos'!$V$5:$V$1021, 0)), "")</f>
        <v/>
      </c>
      <c r="L55" s="18">
        <f>IFERROR(INDEX('Detalles movimientos'!P$5:P$1021, MATCH(46, 'Detalles movimientos'!$V$5:$V$1021, 0)), "")</f>
        <v/>
      </c>
      <c r="M55" s="18">
        <f>IFERROR(INDEX('Detalles movimientos'!S$5:S$1021, MATCH(46, 'Detalles movimientos'!$V$5:$V$1021, 0)), "")</f>
        <v/>
      </c>
    </row>
    <row r="56">
      <c r="B56" s="119">
        <f>IFERROR(INDEX('Detalles movimientos'!C$5:C$1021, MATCH(47, 'Detalles movimientos'!$V$5:$V$1021, 0)), "")</f>
        <v/>
      </c>
      <c r="C56" s="18">
        <f>IFERROR(INDEX('Detalles movimientos'!D$5:D$1021, MATCH(47, 'Detalles movimientos'!$V$5:$V$1021, 0)), "")</f>
        <v/>
      </c>
      <c r="D56" s="19">
        <f>IFERROR(INDEX('Detalles movimientos'!E$5:E$1021, MATCH(47, 'Detalles movimientos'!$V$5:$V$1021, 0)), "")</f>
        <v/>
      </c>
      <c r="E56" s="19">
        <f>IFERROR(INDEX('Detalles movimientos'!F$5:F$1021, MATCH(47, 'Detalles movimientos'!$V$5:$V$1021, 0)), "")</f>
        <v/>
      </c>
      <c r="F56" s="18">
        <f>IFERROR(INDEX('Detalles movimientos'!G$5:G$1021, MATCH(47, 'Detalles movimientos'!$V$5:$V$1021, 0)), "")</f>
        <v/>
      </c>
      <c r="G56" s="120">
        <f>IFERROR(INDEX('Detalles movimientos'!H$5:H$1021, MATCH(47, 'Detalles movimientos'!$V$5:$V$1021, 0)), "")</f>
        <v/>
      </c>
      <c r="H56" s="121">
        <f>IFERROR(INDEX('Detalles movimientos'!I$5:I$1021, MATCH(47, 'Detalles movimientos'!$V$5:$V$1021, 0)), "")</f>
        <v/>
      </c>
      <c r="I56" s="120">
        <f>IFERROR(INDEX('Detalles movimientos'!M$5:M$1021, MATCH(47, 'Detalles movimientos'!$V$5:$V$1021, 0)), "")</f>
        <v/>
      </c>
      <c r="J56" s="19">
        <f>IFERROR(INDEX('Detalles movimientos'!N$5:N$1021, MATCH(47, 'Detalles movimientos'!$V$5:$V$1021, 0)), "")</f>
        <v/>
      </c>
      <c r="K56" s="120">
        <f>IFERROR(INDEX('Detalles movimientos'!O$5:O$1021, MATCH(47, 'Detalles movimientos'!$V$5:$V$1021, 0)), "")</f>
        <v/>
      </c>
      <c r="L56" s="18">
        <f>IFERROR(INDEX('Detalles movimientos'!P$5:P$1021, MATCH(47, 'Detalles movimientos'!$V$5:$V$1021, 0)), "")</f>
        <v/>
      </c>
      <c r="M56" s="18">
        <f>IFERROR(INDEX('Detalles movimientos'!S$5:S$1021, MATCH(47, 'Detalles movimientos'!$V$5:$V$1021, 0)), "")</f>
        <v/>
      </c>
    </row>
    <row r="57">
      <c r="B57" s="119">
        <f>IFERROR(INDEX('Detalles movimientos'!C$5:C$1021, MATCH(48, 'Detalles movimientos'!$V$5:$V$1021, 0)), "")</f>
        <v/>
      </c>
      <c r="C57" s="18">
        <f>IFERROR(INDEX('Detalles movimientos'!D$5:D$1021, MATCH(48, 'Detalles movimientos'!$V$5:$V$1021, 0)), "")</f>
        <v/>
      </c>
      <c r="D57" s="19">
        <f>IFERROR(INDEX('Detalles movimientos'!E$5:E$1021, MATCH(48, 'Detalles movimientos'!$V$5:$V$1021, 0)), "")</f>
        <v/>
      </c>
      <c r="E57" s="19">
        <f>IFERROR(INDEX('Detalles movimientos'!F$5:F$1021, MATCH(48, 'Detalles movimientos'!$V$5:$V$1021, 0)), "")</f>
        <v/>
      </c>
      <c r="F57" s="18">
        <f>IFERROR(INDEX('Detalles movimientos'!G$5:G$1021, MATCH(48, 'Detalles movimientos'!$V$5:$V$1021, 0)), "")</f>
        <v/>
      </c>
      <c r="G57" s="120">
        <f>IFERROR(INDEX('Detalles movimientos'!H$5:H$1021, MATCH(48, 'Detalles movimientos'!$V$5:$V$1021, 0)), "")</f>
        <v/>
      </c>
      <c r="H57" s="121">
        <f>IFERROR(INDEX('Detalles movimientos'!I$5:I$1021, MATCH(48, 'Detalles movimientos'!$V$5:$V$1021, 0)), "")</f>
        <v/>
      </c>
      <c r="I57" s="120">
        <f>IFERROR(INDEX('Detalles movimientos'!M$5:M$1021, MATCH(48, 'Detalles movimientos'!$V$5:$V$1021, 0)), "")</f>
        <v/>
      </c>
      <c r="J57" s="19">
        <f>IFERROR(INDEX('Detalles movimientos'!N$5:N$1021, MATCH(48, 'Detalles movimientos'!$V$5:$V$1021, 0)), "")</f>
        <v/>
      </c>
      <c r="K57" s="120">
        <f>IFERROR(INDEX('Detalles movimientos'!O$5:O$1021, MATCH(48, 'Detalles movimientos'!$V$5:$V$1021, 0)), "")</f>
        <v/>
      </c>
      <c r="L57" s="18">
        <f>IFERROR(INDEX('Detalles movimientos'!P$5:P$1021, MATCH(48, 'Detalles movimientos'!$V$5:$V$1021, 0)), "")</f>
        <v/>
      </c>
      <c r="M57" s="18">
        <f>IFERROR(INDEX('Detalles movimientos'!S$5:S$1021, MATCH(48, 'Detalles movimientos'!$V$5:$V$1021, 0)), "")</f>
        <v/>
      </c>
    </row>
    <row r="58">
      <c r="B58" s="119">
        <f>IFERROR(INDEX('Detalles movimientos'!C$5:C$1021, MATCH(49, 'Detalles movimientos'!$V$5:$V$1021, 0)), "")</f>
        <v/>
      </c>
      <c r="C58" s="18">
        <f>IFERROR(INDEX('Detalles movimientos'!D$5:D$1021, MATCH(49, 'Detalles movimientos'!$V$5:$V$1021, 0)), "")</f>
        <v/>
      </c>
      <c r="D58" s="19">
        <f>IFERROR(INDEX('Detalles movimientos'!E$5:E$1021, MATCH(49, 'Detalles movimientos'!$V$5:$V$1021, 0)), "")</f>
        <v/>
      </c>
      <c r="E58" s="19">
        <f>IFERROR(INDEX('Detalles movimientos'!F$5:F$1021, MATCH(49, 'Detalles movimientos'!$V$5:$V$1021, 0)), "")</f>
        <v/>
      </c>
      <c r="F58" s="18">
        <f>IFERROR(INDEX('Detalles movimientos'!G$5:G$1021, MATCH(49, 'Detalles movimientos'!$V$5:$V$1021, 0)), "")</f>
        <v/>
      </c>
      <c r="G58" s="120">
        <f>IFERROR(INDEX('Detalles movimientos'!H$5:H$1021, MATCH(49, 'Detalles movimientos'!$V$5:$V$1021, 0)), "")</f>
        <v/>
      </c>
      <c r="H58" s="121">
        <f>IFERROR(INDEX('Detalles movimientos'!I$5:I$1021, MATCH(49, 'Detalles movimientos'!$V$5:$V$1021, 0)), "")</f>
        <v/>
      </c>
      <c r="I58" s="120">
        <f>IFERROR(INDEX('Detalles movimientos'!M$5:M$1021, MATCH(49, 'Detalles movimientos'!$V$5:$V$1021, 0)), "")</f>
        <v/>
      </c>
      <c r="J58" s="19">
        <f>IFERROR(INDEX('Detalles movimientos'!N$5:N$1021, MATCH(49, 'Detalles movimientos'!$V$5:$V$1021, 0)), "")</f>
        <v/>
      </c>
      <c r="K58" s="120">
        <f>IFERROR(INDEX('Detalles movimientos'!O$5:O$1021, MATCH(49, 'Detalles movimientos'!$V$5:$V$1021, 0)), "")</f>
        <v/>
      </c>
      <c r="L58" s="18">
        <f>IFERROR(INDEX('Detalles movimientos'!P$5:P$1021, MATCH(49, 'Detalles movimientos'!$V$5:$V$1021, 0)), "")</f>
        <v/>
      </c>
      <c r="M58" s="18">
        <f>IFERROR(INDEX('Detalles movimientos'!S$5:S$1021, MATCH(49, 'Detalles movimientos'!$V$5:$V$1021, 0)), "")</f>
        <v/>
      </c>
    </row>
    <row r="59">
      <c r="B59" s="119">
        <f>IFERROR(INDEX('Detalles movimientos'!C$5:C$1021, MATCH(50, 'Detalles movimientos'!$V$5:$V$1021, 0)), "")</f>
        <v/>
      </c>
      <c r="C59" s="18">
        <f>IFERROR(INDEX('Detalles movimientos'!D$5:D$1021, MATCH(50, 'Detalles movimientos'!$V$5:$V$1021, 0)), "")</f>
        <v/>
      </c>
      <c r="D59" s="19">
        <f>IFERROR(INDEX('Detalles movimientos'!E$5:E$1021, MATCH(50, 'Detalles movimientos'!$V$5:$V$1021, 0)), "")</f>
        <v/>
      </c>
      <c r="E59" s="19">
        <f>IFERROR(INDEX('Detalles movimientos'!F$5:F$1021, MATCH(50, 'Detalles movimientos'!$V$5:$V$1021, 0)), "")</f>
        <v/>
      </c>
      <c r="F59" s="18">
        <f>IFERROR(INDEX('Detalles movimientos'!G$5:G$1021, MATCH(50, 'Detalles movimientos'!$V$5:$V$1021, 0)), "")</f>
        <v/>
      </c>
      <c r="G59" s="120">
        <f>IFERROR(INDEX('Detalles movimientos'!H$5:H$1021, MATCH(50, 'Detalles movimientos'!$V$5:$V$1021, 0)), "")</f>
        <v/>
      </c>
      <c r="H59" s="121">
        <f>IFERROR(INDEX('Detalles movimientos'!I$5:I$1021, MATCH(50, 'Detalles movimientos'!$V$5:$V$1021, 0)), "")</f>
        <v/>
      </c>
      <c r="I59" s="120">
        <f>IFERROR(INDEX('Detalles movimientos'!M$5:M$1021, MATCH(50, 'Detalles movimientos'!$V$5:$V$1021, 0)), "")</f>
        <v/>
      </c>
      <c r="J59" s="19">
        <f>IFERROR(INDEX('Detalles movimientos'!N$5:N$1021, MATCH(50, 'Detalles movimientos'!$V$5:$V$1021, 0)), "")</f>
        <v/>
      </c>
      <c r="K59" s="120">
        <f>IFERROR(INDEX('Detalles movimientos'!O$5:O$1021, MATCH(50, 'Detalles movimientos'!$V$5:$V$1021, 0)), "")</f>
        <v/>
      </c>
      <c r="L59" s="18">
        <f>IFERROR(INDEX('Detalles movimientos'!P$5:P$1021, MATCH(50, 'Detalles movimientos'!$V$5:$V$1021, 0)), "")</f>
        <v/>
      </c>
      <c r="M59" s="18">
        <f>IFERROR(INDEX('Detalles movimientos'!S$5:S$1021, MATCH(50, 'Detalles movimientos'!$V$5:$V$1021, 0)), "")</f>
        <v/>
      </c>
    </row>
    <row r="60">
      <c r="B60" s="119">
        <f>IFERROR(INDEX('Detalles movimientos'!C$5:C$1021, MATCH(51, 'Detalles movimientos'!$V$5:$V$1021, 0)), "")</f>
        <v/>
      </c>
      <c r="C60" s="18">
        <f>IFERROR(INDEX('Detalles movimientos'!D$5:D$1021, MATCH(51, 'Detalles movimientos'!$V$5:$V$1021, 0)), "")</f>
        <v/>
      </c>
      <c r="D60" s="19">
        <f>IFERROR(INDEX('Detalles movimientos'!E$5:E$1021, MATCH(51, 'Detalles movimientos'!$V$5:$V$1021, 0)), "")</f>
        <v/>
      </c>
      <c r="E60" s="19">
        <f>IFERROR(INDEX('Detalles movimientos'!F$5:F$1021, MATCH(51, 'Detalles movimientos'!$V$5:$V$1021, 0)), "")</f>
        <v/>
      </c>
      <c r="F60" s="18">
        <f>IFERROR(INDEX('Detalles movimientos'!G$5:G$1021, MATCH(51, 'Detalles movimientos'!$V$5:$V$1021, 0)), "")</f>
        <v/>
      </c>
      <c r="G60" s="120">
        <f>IFERROR(INDEX('Detalles movimientos'!H$5:H$1021, MATCH(51, 'Detalles movimientos'!$V$5:$V$1021, 0)), "")</f>
        <v/>
      </c>
      <c r="H60" s="121">
        <f>IFERROR(INDEX('Detalles movimientos'!I$5:I$1021, MATCH(51, 'Detalles movimientos'!$V$5:$V$1021, 0)), "")</f>
        <v/>
      </c>
      <c r="I60" s="120">
        <f>IFERROR(INDEX('Detalles movimientos'!M$5:M$1021, MATCH(51, 'Detalles movimientos'!$V$5:$V$1021, 0)), "")</f>
        <v/>
      </c>
      <c r="J60" s="19">
        <f>IFERROR(INDEX('Detalles movimientos'!N$5:N$1021, MATCH(51, 'Detalles movimientos'!$V$5:$V$1021, 0)), "")</f>
        <v/>
      </c>
      <c r="K60" s="120">
        <f>IFERROR(INDEX('Detalles movimientos'!O$5:O$1021, MATCH(51, 'Detalles movimientos'!$V$5:$V$1021, 0)), "")</f>
        <v/>
      </c>
      <c r="L60" s="18">
        <f>IFERROR(INDEX('Detalles movimientos'!P$5:P$1021, MATCH(51, 'Detalles movimientos'!$V$5:$V$1021, 0)), "")</f>
        <v/>
      </c>
      <c r="M60" s="18">
        <f>IFERROR(INDEX('Detalles movimientos'!S$5:S$1021, MATCH(51, 'Detalles movimientos'!$V$5:$V$1021, 0)), "")</f>
        <v/>
      </c>
    </row>
    <row r="61">
      <c r="B61" s="119">
        <f>IFERROR(INDEX('Detalles movimientos'!C$5:C$1021, MATCH(52, 'Detalles movimientos'!$V$5:$V$1021, 0)), "")</f>
        <v/>
      </c>
      <c r="C61" s="18">
        <f>IFERROR(INDEX('Detalles movimientos'!D$5:D$1021, MATCH(52, 'Detalles movimientos'!$V$5:$V$1021, 0)), "")</f>
        <v/>
      </c>
      <c r="D61" s="19">
        <f>IFERROR(INDEX('Detalles movimientos'!E$5:E$1021, MATCH(52, 'Detalles movimientos'!$V$5:$V$1021, 0)), "")</f>
        <v/>
      </c>
      <c r="E61" s="19">
        <f>IFERROR(INDEX('Detalles movimientos'!F$5:F$1021, MATCH(52, 'Detalles movimientos'!$V$5:$V$1021, 0)), "")</f>
        <v/>
      </c>
      <c r="F61" s="18">
        <f>IFERROR(INDEX('Detalles movimientos'!G$5:G$1021, MATCH(52, 'Detalles movimientos'!$V$5:$V$1021, 0)), "")</f>
        <v/>
      </c>
      <c r="G61" s="120">
        <f>IFERROR(INDEX('Detalles movimientos'!H$5:H$1021, MATCH(52, 'Detalles movimientos'!$V$5:$V$1021, 0)), "")</f>
        <v/>
      </c>
      <c r="H61" s="121">
        <f>IFERROR(INDEX('Detalles movimientos'!I$5:I$1021, MATCH(52, 'Detalles movimientos'!$V$5:$V$1021, 0)), "")</f>
        <v/>
      </c>
      <c r="I61" s="120">
        <f>IFERROR(INDEX('Detalles movimientos'!M$5:M$1021, MATCH(52, 'Detalles movimientos'!$V$5:$V$1021, 0)), "")</f>
        <v/>
      </c>
      <c r="J61" s="19">
        <f>IFERROR(INDEX('Detalles movimientos'!N$5:N$1021, MATCH(52, 'Detalles movimientos'!$V$5:$V$1021, 0)), "")</f>
        <v/>
      </c>
      <c r="K61" s="120">
        <f>IFERROR(INDEX('Detalles movimientos'!O$5:O$1021, MATCH(52, 'Detalles movimientos'!$V$5:$V$1021, 0)), "")</f>
        <v/>
      </c>
      <c r="L61" s="18">
        <f>IFERROR(INDEX('Detalles movimientos'!P$5:P$1021, MATCH(52, 'Detalles movimientos'!$V$5:$V$1021, 0)), "")</f>
        <v/>
      </c>
      <c r="M61" s="18">
        <f>IFERROR(INDEX('Detalles movimientos'!S$5:S$1021, MATCH(52, 'Detalles movimientos'!$V$5:$V$1021, 0)), "")</f>
        <v/>
      </c>
    </row>
    <row r="62">
      <c r="B62" s="119">
        <f>IFERROR(INDEX('Detalles movimientos'!C$5:C$1021, MATCH(53, 'Detalles movimientos'!$V$5:$V$1021, 0)), "")</f>
        <v/>
      </c>
      <c r="C62" s="18">
        <f>IFERROR(INDEX('Detalles movimientos'!D$5:D$1021, MATCH(53, 'Detalles movimientos'!$V$5:$V$1021, 0)), "")</f>
        <v/>
      </c>
      <c r="D62" s="19">
        <f>IFERROR(INDEX('Detalles movimientos'!E$5:E$1021, MATCH(53, 'Detalles movimientos'!$V$5:$V$1021, 0)), "")</f>
        <v/>
      </c>
      <c r="E62" s="19">
        <f>IFERROR(INDEX('Detalles movimientos'!F$5:F$1021, MATCH(53, 'Detalles movimientos'!$V$5:$V$1021, 0)), "")</f>
        <v/>
      </c>
      <c r="F62" s="18">
        <f>IFERROR(INDEX('Detalles movimientos'!G$5:G$1021, MATCH(53, 'Detalles movimientos'!$V$5:$V$1021, 0)), "")</f>
        <v/>
      </c>
      <c r="G62" s="120">
        <f>IFERROR(INDEX('Detalles movimientos'!H$5:H$1021, MATCH(53, 'Detalles movimientos'!$V$5:$V$1021, 0)), "")</f>
        <v/>
      </c>
      <c r="H62" s="121">
        <f>IFERROR(INDEX('Detalles movimientos'!I$5:I$1021, MATCH(53, 'Detalles movimientos'!$V$5:$V$1021, 0)), "")</f>
        <v/>
      </c>
      <c r="I62" s="120">
        <f>IFERROR(INDEX('Detalles movimientos'!M$5:M$1021, MATCH(53, 'Detalles movimientos'!$V$5:$V$1021, 0)), "")</f>
        <v/>
      </c>
      <c r="J62" s="19">
        <f>IFERROR(INDEX('Detalles movimientos'!N$5:N$1021, MATCH(53, 'Detalles movimientos'!$V$5:$V$1021, 0)), "")</f>
        <v/>
      </c>
      <c r="K62" s="120">
        <f>IFERROR(INDEX('Detalles movimientos'!O$5:O$1021, MATCH(53, 'Detalles movimientos'!$V$5:$V$1021, 0)), "")</f>
        <v/>
      </c>
      <c r="L62" s="18">
        <f>IFERROR(INDEX('Detalles movimientos'!P$5:P$1021, MATCH(53, 'Detalles movimientos'!$V$5:$V$1021, 0)), "")</f>
        <v/>
      </c>
      <c r="M62" s="18">
        <f>IFERROR(INDEX('Detalles movimientos'!S$5:S$1021, MATCH(53, 'Detalles movimientos'!$V$5:$V$1021, 0)), "")</f>
        <v/>
      </c>
    </row>
    <row r="63">
      <c r="B63" s="119">
        <f>IFERROR(INDEX('Detalles movimientos'!C$5:C$1021, MATCH(54, 'Detalles movimientos'!$V$5:$V$1021, 0)), "")</f>
        <v/>
      </c>
      <c r="C63" s="18">
        <f>IFERROR(INDEX('Detalles movimientos'!D$5:D$1021, MATCH(54, 'Detalles movimientos'!$V$5:$V$1021, 0)), "")</f>
        <v/>
      </c>
      <c r="D63" s="19">
        <f>IFERROR(INDEX('Detalles movimientos'!E$5:E$1021, MATCH(54, 'Detalles movimientos'!$V$5:$V$1021, 0)), "")</f>
        <v/>
      </c>
      <c r="E63" s="19">
        <f>IFERROR(INDEX('Detalles movimientos'!F$5:F$1021, MATCH(54, 'Detalles movimientos'!$V$5:$V$1021, 0)), "")</f>
        <v/>
      </c>
      <c r="F63" s="18">
        <f>IFERROR(INDEX('Detalles movimientos'!G$5:G$1021, MATCH(54, 'Detalles movimientos'!$V$5:$V$1021, 0)), "")</f>
        <v/>
      </c>
      <c r="G63" s="120">
        <f>IFERROR(INDEX('Detalles movimientos'!H$5:H$1021, MATCH(54, 'Detalles movimientos'!$V$5:$V$1021, 0)), "")</f>
        <v/>
      </c>
      <c r="H63" s="121">
        <f>IFERROR(INDEX('Detalles movimientos'!I$5:I$1021, MATCH(54, 'Detalles movimientos'!$V$5:$V$1021, 0)), "")</f>
        <v/>
      </c>
      <c r="I63" s="120">
        <f>IFERROR(INDEX('Detalles movimientos'!M$5:M$1021, MATCH(54, 'Detalles movimientos'!$V$5:$V$1021, 0)), "")</f>
        <v/>
      </c>
      <c r="J63" s="19">
        <f>IFERROR(INDEX('Detalles movimientos'!N$5:N$1021, MATCH(54, 'Detalles movimientos'!$V$5:$V$1021, 0)), "")</f>
        <v/>
      </c>
      <c r="K63" s="120">
        <f>IFERROR(INDEX('Detalles movimientos'!O$5:O$1021, MATCH(54, 'Detalles movimientos'!$V$5:$V$1021, 0)), "")</f>
        <v/>
      </c>
      <c r="L63" s="18">
        <f>IFERROR(INDEX('Detalles movimientos'!P$5:P$1021, MATCH(54, 'Detalles movimientos'!$V$5:$V$1021, 0)), "")</f>
        <v/>
      </c>
      <c r="M63" s="18">
        <f>IFERROR(INDEX('Detalles movimientos'!S$5:S$1021, MATCH(54, 'Detalles movimientos'!$V$5:$V$1021, 0)), "")</f>
        <v/>
      </c>
    </row>
    <row r="64">
      <c r="B64" s="119">
        <f>IFERROR(INDEX('Detalles movimientos'!C$5:C$1021, MATCH(55, 'Detalles movimientos'!$V$5:$V$1021, 0)), "")</f>
        <v/>
      </c>
      <c r="C64" s="18">
        <f>IFERROR(INDEX('Detalles movimientos'!D$5:D$1021, MATCH(55, 'Detalles movimientos'!$V$5:$V$1021, 0)), "")</f>
        <v/>
      </c>
      <c r="D64" s="19">
        <f>IFERROR(INDEX('Detalles movimientos'!E$5:E$1021, MATCH(55, 'Detalles movimientos'!$V$5:$V$1021, 0)), "")</f>
        <v/>
      </c>
      <c r="E64" s="19">
        <f>IFERROR(INDEX('Detalles movimientos'!F$5:F$1021, MATCH(55, 'Detalles movimientos'!$V$5:$V$1021, 0)), "")</f>
        <v/>
      </c>
      <c r="F64" s="18">
        <f>IFERROR(INDEX('Detalles movimientos'!G$5:G$1021, MATCH(55, 'Detalles movimientos'!$V$5:$V$1021, 0)), "")</f>
        <v/>
      </c>
      <c r="G64" s="120">
        <f>IFERROR(INDEX('Detalles movimientos'!H$5:H$1021, MATCH(55, 'Detalles movimientos'!$V$5:$V$1021, 0)), "")</f>
        <v/>
      </c>
      <c r="H64" s="121">
        <f>IFERROR(INDEX('Detalles movimientos'!I$5:I$1021, MATCH(55, 'Detalles movimientos'!$V$5:$V$1021, 0)), "")</f>
        <v/>
      </c>
      <c r="I64" s="120">
        <f>IFERROR(INDEX('Detalles movimientos'!M$5:M$1021, MATCH(55, 'Detalles movimientos'!$V$5:$V$1021, 0)), "")</f>
        <v/>
      </c>
      <c r="J64" s="19">
        <f>IFERROR(INDEX('Detalles movimientos'!N$5:N$1021, MATCH(55, 'Detalles movimientos'!$V$5:$V$1021, 0)), "")</f>
        <v/>
      </c>
      <c r="K64" s="120">
        <f>IFERROR(INDEX('Detalles movimientos'!O$5:O$1021, MATCH(55, 'Detalles movimientos'!$V$5:$V$1021, 0)), "")</f>
        <v/>
      </c>
      <c r="L64" s="18">
        <f>IFERROR(INDEX('Detalles movimientos'!P$5:P$1021, MATCH(55, 'Detalles movimientos'!$V$5:$V$1021, 0)), "")</f>
        <v/>
      </c>
      <c r="M64" s="18">
        <f>IFERROR(INDEX('Detalles movimientos'!S$5:S$1021, MATCH(55, 'Detalles movimientos'!$V$5:$V$1021, 0)), "")</f>
        <v/>
      </c>
    </row>
    <row r="65">
      <c r="B65" s="119">
        <f>IFERROR(INDEX('Detalles movimientos'!C$5:C$1021, MATCH(56, 'Detalles movimientos'!$V$5:$V$1021, 0)), "")</f>
        <v/>
      </c>
      <c r="C65" s="18">
        <f>IFERROR(INDEX('Detalles movimientos'!D$5:D$1021, MATCH(56, 'Detalles movimientos'!$V$5:$V$1021, 0)), "")</f>
        <v/>
      </c>
      <c r="D65" s="19">
        <f>IFERROR(INDEX('Detalles movimientos'!E$5:E$1021, MATCH(56, 'Detalles movimientos'!$V$5:$V$1021, 0)), "")</f>
        <v/>
      </c>
      <c r="E65" s="19">
        <f>IFERROR(INDEX('Detalles movimientos'!F$5:F$1021, MATCH(56, 'Detalles movimientos'!$V$5:$V$1021, 0)), "")</f>
        <v/>
      </c>
      <c r="F65" s="18">
        <f>IFERROR(INDEX('Detalles movimientos'!G$5:G$1021, MATCH(56, 'Detalles movimientos'!$V$5:$V$1021, 0)), "")</f>
        <v/>
      </c>
      <c r="G65" s="120">
        <f>IFERROR(INDEX('Detalles movimientos'!H$5:H$1021, MATCH(56, 'Detalles movimientos'!$V$5:$V$1021, 0)), "")</f>
        <v/>
      </c>
      <c r="H65" s="121">
        <f>IFERROR(INDEX('Detalles movimientos'!I$5:I$1021, MATCH(56, 'Detalles movimientos'!$V$5:$V$1021, 0)), "")</f>
        <v/>
      </c>
      <c r="I65" s="120">
        <f>IFERROR(INDEX('Detalles movimientos'!M$5:M$1021, MATCH(56, 'Detalles movimientos'!$V$5:$V$1021, 0)), "")</f>
        <v/>
      </c>
      <c r="J65" s="19">
        <f>IFERROR(INDEX('Detalles movimientos'!N$5:N$1021, MATCH(56, 'Detalles movimientos'!$V$5:$V$1021, 0)), "")</f>
        <v/>
      </c>
      <c r="K65" s="120">
        <f>IFERROR(INDEX('Detalles movimientos'!O$5:O$1021, MATCH(56, 'Detalles movimientos'!$V$5:$V$1021, 0)), "")</f>
        <v/>
      </c>
      <c r="L65" s="18">
        <f>IFERROR(INDEX('Detalles movimientos'!P$5:P$1021, MATCH(56, 'Detalles movimientos'!$V$5:$V$1021, 0)), "")</f>
        <v/>
      </c>
      <c r="M65" s="18">
        <f>IFERROR(INDEX('Detalles movimientos'!S$5:S$1021, MATCH(56, 'Detalles movimientos'!$V$5:$V$1021, 0)), "")</f>
        <v/>
      </c>
    </row>
    <row r="66">
      <c r="B66" s="119">
        <f>IFERROR(INDEX('Detalles movimientos'!C$5:C$1021, MATCH(57, 'Detalles movimientos'!$V$5:$V$1021, 0)), "")</f>
        <v/>
      </c>
      <c r="C66" s="18">
        <f>IFERROR(INDEX('Detalles movimientos'!D$5:D$1021, MATCH(57, 'Detalles movimientos'!$V$5:$V$1021, 0)), "")</f>
        <v/>
      </c>
      <c r="D66" s="19">
        <f>IFERROR(INDEX('Detalles movimientos'!E$5:E$1021, MATCH(57, 'Detalles movimientos'!$V$5:$V$1021, 0)), "")</f>
        <v/>
      </c>
      <c r="E66" s="19">
        <f>IFERROR(INDEX('Detalles movimientos'!F$5:F$1021, MATCH(57, 'Detalles movimientos'!$V$5:$V$1021, 0)), "")</f>
        <v/>
      </c>
      <c r="F66" s="18">
        <f>IFERROR(INDEX('Detalles movimientos'!G$5:G$1021, MATCH(57, 'Detalles movimientos'!$V$5:$V$1021, 0)), "")</f>
        <v/>
      </c>
      <c r="G66" s="120">
        <f>IFERROR(INDEX('Detalles movimientos'!H$5:H$1021, MATCH(57, 'Detalles movimientos'!$V$5:$V$1021, 0)), "")</f>
        <v/>
      </c>
      <c r="H66" s="121">
        <f>IFERROR(INDEX('Detalles movimientos'!I$5:I$1021, MATCH(57, 'Detalles movimientos'!$V$5:$V$1021, 0)), "")</f>
        <v/>
      </c>
      <c r="I66" s="120">
        <f>IFERROR(INDEX('Detalles movimientos'!M$5:M$1021, MATCH(57, 'Detalles movimientos'!$V$5:$V$1021, 0)), "")</f>
        <v/>
      </c>
      <c r="J66" s="19">
        <f>IFERROR(INDEX('Detalles movimientos'!N$5:N$1021, MATCH(57, 'Detalles movimientos'!$V$5:$V$1021, 0)), "")</f>
        <v/>
      </c>
      <c r="K66" s="120">
        <f>IFERROR(INDEX('Detalles movimientos'!O$5:O$1021, MATCH(57, 'Detalles movimientos'!$V$5:$V$1021, 0)), "")</f>
        <v/>
      </c>
      <c r="L66" s="18">
        <f>IFERROR(INDEX('Detalles movimientos'!P$5:P$1021, MATCH(57, 'Detalles movimientos'!$V$5:$V$1021, 0)), "")</f>
        <v/>
      </c>
      <c r="M66" s="18">
        <f>IFERROR(INDEX('Detalles movimientos'!S$5:S$1021, MATCH(57, 'Detalles movimientos'!$V$5:$V$1021, 0)), "")</f>
        <v/>
      </c>
    </row>
    <row r="67">
      <c r="B67" s="119">
        <f>IFERROR(INDEX('Detalles movimientos'!C$5:C$1021, MATCH(58, 'Detalles movimientos'!$V$5:$V$1021, 0)), "")</f>
        <v/>
      </c>
      <c r="C67" s="18">
        <f>IFERROR(INDEX('Detalles movimientos'!D$5:D$1021, MATCH(58, 'Detalles movimientos'!$V$5:$V$1021, 0)), "")</f>
        <v/>
      </c>
      <c r="D67" s="19">
        <f>IFERROR(INDEX('Detalles movimientos'!E$5:E$1021, MATCH(58, 'Detalles movimientos'!$V$5:$V$1021, 0)), "")</f>
        <v/>
      </c>
      <c r="E67" s="19">
        <f>IFERROR(INDEX('Detalles movimientos'!F$5:F$1021, MATCH(58, 'Detalles movimientos'!$V$5:$V$1021, 0)), "")</f>
        <v/>
      </c>
      <c r="F67" s="18">
        <f>IFERROR(INDEX('Detalles movimientos'!G$5:G$1021, MATCH(58, 'Detalles movimientos'!$V$5:$V$1021, 0)), "")</f>
        <v/>
      </c>
      <c r="G67" s="120">
        <f>IFERROR(INDEX('Detalles movimientos'!H$5:H$1021, MATCH(58, 'Detalles movimientos'!$V$5:$V$1021, 0)), "")</f>
        <v/>
      </c>
      <c r="H67" s="121">
        <f>IFERROR(INDEX('Detalles movimientos'!I$5:I$1021, MATCH(58, 'Detalles movimientos'!$V$5:$V$1021, 0)), "")</f>
        <v/>
      </c>
      <c r="I67" s="120">
        <f>IFERROR(INDEX('Detalles movimientos'!M$5:M$1021, MATCH(58, 'Detalles movimientos'!$V$5:$V$1021, 0)), "")</f>
        <v/>
      </c>
      <c r="J67" s="19">
        <f>IFERROR(INDEX('Detalles movimientos'!N$5:N$1021, MATCH(58, 'Detalles movimientos'!$V$5:$V$1021, 0)), "")</f>
        <v/>
      </c>
      <c r="K67" s="120">
        <f>IFERROR(INDEX('Detalles movimientos'!O$5:O$1021, MATCH(58, 'Detalles movimientos'!$V$5:$V$1021, 0)), "")</f>
        <v/>
      </c>
      <c r="L67" s="18">
        <f>IFERROR(INDEX('Detalles movimientos'!P$5:P$1021, MATCH(58, 'Detalles movimientos'!$V$5:$V$1021, 0)), "")</f>
        <v/>
      </c>
      <c r="M67" s="18">
        <f>IFERROR(INDEX('Detalles movimientos'!S$5:S$1021, MATCH(58, 'Detalles movimientos'!$V$5:$V$1021, 0)), "")</f>
        <v/>
      </c>
    </row>
    <row r="68">
      <c r="B68" s="119">
        <f>IFERROR(INDEX('Detalles movimientos'!C$5:C$1021, MATCH(59, 'Detalles movimientos'!$V$5:$V$1021, 0)), "")</f>
        <v/>
      </c>
      <c r="C68" s="18">
        <f>IFERROR(INDEX('Detalles movimientos'!D$5:D$1021, MATCH(59, 'Detalles movimientos'!$V$5:$V$1021, 0)), "")</f>
        <v/>
      </c>
      <c r="D68" s="19">
        <f>IFERROR(INDEX('Detalles movimientos'!E$5:E$1021, MATCH(59, 'Detalles movimientos'!$V$5:$V$1021, 0)), "")</f>
        <v/>
      </c>
      <c r="E68" s="19">
        <f>IFERROR(INDEX('Detalles movimientos'!F$5:F$1021, MATCH(59, 'Detalles movimientos'!$V$5:$V$1021, 0)), "")</f>
        <v/>
      </c>
      <c r="F68" s="18">
        <f>IFERROR(INDEX('Detalles movimientos'!G$5:G$1021, MATCH(59, 'Detalles movimientos'!$V$5:$V$1021, 0)), "")</f>
        <v/>
      </c>
      <c r="G68" s="120">
        <f>IFERROR(INDEX('Detalles movimientos'!H$5:H$1021, MATCH(59, 'Detalles movimientos'!$V$5:$V$1021, 0)), "")</f>
        <v/>
      </c>
      <c r="H68" s="121">
        <f>IFERROR(INDEX('Detalles movimientos'!I$5:I$1021, MATCH(59, 'Detalles movimientos'!$V$5:$V$1021, 0)), "")</f>
        <v/>
      </c>
      <c r="I68" s="120">
        <f>IFERROR(INDEX('Detalles movimientos'!M$5:M$1021, MATCH(59, 'Detalles movimientos'!$V$5:$V$1021, 0)), "")</f>
        <v/>
      </c>
      <c r="J68" s="19">
        <f>IFERROR(INDEX('Detalles movimientos'!N$5:N$1021, MATCH(59, 'Detalles movimientos'!$V$5:$V$1021, 0)), "")</f>
        <v/>
      </c>
      <c r="K68" s="120">
        <f>IFERROR(INDEX('Detalles movimientos'!O$5:O$1021, MATCH(59, 'Detalles movimientos'!$V$5:$V$1021, 0)), "")</f>
        <v/>
      </c>
      <c r="L68" s="18">
        <f>IFERROR(INDEX('Detalles movimientos'!P$5:P$1021, MATCH(59, 'Detalles movimientos'!$V$5:$V$1021, 0)), "")</f>
        <v/>
      </c>
      <c r="M68" s="18">
        <f>IFERROR(INDEX('Detalles movimientos'!S$5:S$1021, MATCH(59, 'Detalles movimientos'!$V$5:$V$1021, 0)), "")</f>
        <v/>
      </c>
    </row>
    <row r="69">
      <c r="B69" s="119">
        <f>IFERROR(INDEX('Detalles movimientos'!C$5:C$1021, MATCH(60, 'Detalles movimientos'!$V$5:$V$1021, 0)), "")</f>
        <v/>
      </c>
      <c r="C69" s="18">
        <f>IFERROR(INDEX('Detalles movimientos'!D$5:D$1021, MATCH(60, 'Detalles movimientos'!$V$5:$V$1021, 0)), "")</f>
        <v/>
      </c>
      <c r="D69" s="19">
        <f>IFERROR(INDEX('Detalles movimientos'!E$5:E$1021, MATCH(60, 'Detalles movimientos'!$V$5:$V$1021, 0)), "")</f>
        <v/>
      </c>
      <c r="E69" s="19">
        <f>IFERROR(INDEX('Detalles movimientos'!F$5:F$1021, MATCH(60, 'Detalles movimientos'!$V$5:$V$1021, 0)), "")</f>
        <v/>
      </c>
      <c r="F69" s="18">
        <f>IFERROR(INDEX('Detalles movimientos'!G$5:G$1021, MATCH(60, 'Detalles movimientos'!$V$5:$V$1021, 0)), "")</f>
        <v/>
      </c>
      <c r="G69" s="120">
        <f>IFERROR(INDEX('Detalles movimientos'!H$5:H$1021, MATCH(60, 'Detalles movimientos'!$V$5:$V$1021, 0)), "")</f>
        <v/>
      </c>
      <c r="H69" s="121">
        <f>IFERROR(INDEX('Detalles movimientos'!I$5:I$1021, MATCH(60, 'Detalles movimientos'!$V$5:$V$1021, 0)), "")</f>
        <v/>
      </c>
      <c r="I69" s="120">
        <f>IFERROR(INDEX('Detalles movimientos'!M$5:M$1021, MATCH(60, 'Detalles movimientos'!$V$5:$V$1021, 0)), "")</f>
        <v/>
      </c>
      <c r="J69" s="19">
        <f>IFERROR(INDEX('Detalles movimientos'!N$5:N$1021, MATCH(60, 'Detalles movimientos'!$V$5:$V$1021, 0)), "")</f>
        <v/>
      </c>
      <c r="K69" s="120">
        <f>IFERROR(INDEX('Detalles movimientos'!O$5:O$1021, MATCH(60, 'Detalles movimientos'!$V$5:$V$1021, 0)), "")</f>
        <v/>
      </c>
      <c r="L69" s="18">
        <f>IFERROR(INDEX('Detalles movimientos'!P$5:P$1021, MATCH(60, 'Detalles movimientos'!$V$5:$V$1021, 0)), "")</f>
        <v/>
      </c>
      <c r="M69" s="18">
        <f>IFERROR(INDEX('Detalles movimientos'!S$5:S$1021, MATCH(60, 'Detalles movimientos'!$V$5:$V$1021, 0)), "")</f>
        <v/>
      </c>
    </row>
    <row r="70">
      <c r="B70" s="119">
        <f>IFERROR(INDEX('Detalles movimientos'!C$5:C$1021, MATCH(61, 'Detalles movimientos'!$V$5:$V$1021, 0)), "")</f>
        <v/>
      </c>
      <c r="C70" s="18">
        <f>IFERROR(INDEX('Detalles movimientos'!D$5:D$1021, MATCH(61, 'Detalles movimientos'!$V$5:$V$1021, 0)), "")</f>
        <v/>
      </c>
      <c r="D70" s="19">
        <f>IFERROR(INDEX('Detalles movimientos'!E$5:E$1021, MATCH(61, 'Detalles movimientos'!$V$5:$V$1021, 0)), "")</f>
        <v/>
      </c>
      <c r="E70" s="19">
        <f>IFERROR(INDEX('Detalles movimientos'!F$5:F$1021, MATCH(61, 'Detalles movimientos'!$V$5:$V$1021, 0)), "")</f>
        <v/>
      </c>
      <c r="F70" s="18">
        <f>IFERROR(INDEX('Detalles movimientos'!G$5:G$1021, MATCH(61, 'Detalles movimientos'!$V$5:$V$1021, 0)), "")</f>
        <v/>
      </c>
      <c r="G70" s="120">
        <f>IFERROR(INDEX('Detalles movimientos'!H$5:H$1021, MATCH(61, 'Detalles movimientos'!$V$5:$V$1021, 0)), "")</f>
        <v/>
      </c>
      <c r="H70" s="121">
        <f>IFERROR(INDEX('Detalles movimientos'!I$5:I$1021, MATCH(61, 'Detalles movimientos'!$V$5:$V$1021, 0)), "")</f>
        <v/>
      </c>
      <c r="I70" s="120">
        <f>IFERROR(INDEX('Detalles movimientos'!M$5:M$1021, MATCH(61, 'Detalles movimientos'!$V$5:$V$1021, 0)), "")</f>
        <v/>
      </c>
      <c r="J70" s="19">
        <f>IFERROR(INDEX('Detalles movimientos'!N$5:N$1021, MATCH(61, 'Detalles movimientos'!$V$5:$V$1021, 0)), "")</f>
        <v/>
      </c>
      <c r="K70" s="120">
        <f>IFERROR(INDEX('Detalles movimientos'!O$5:O$1021, MATCH(61, 'Detalles movimientos'!$V$5:$V$1021, 0)), "")</f>
        <v/>
      </c>
      <c r="L70" s="18">
        <f>IFERROR(INDEX('Detalles movimientos'!P$5:P$1021, MATCH(61, 'Detalles movimientos'!$V$5:$V$1021, 0)), "")</f>
        <v/>
      </c>
      <c r="M70" s="18">
        <f>IFERROR(INDEX('Detalles movimientos'!S$5:S$1021, MATCH(61, 'Detalles movimientos'!$V$5:$V$1021, 0)), "")</f>
        <v/>
      </c>
    </row>
    <row r="71">
      <c r="B71" s="119">
        <f>IFERROR(INDEX('Detalles movimientos'!C$5:C$1021, MATCH(62, 'Detalles movimientos'!$V$5:$V$1021, 0)), "")</f>
        <v/>
      </c>
      <c r="C71" s="18">
        <f>IFERROR(INDEX('Detalles movimientos'!D$5:D$1021, MATCH(62, 'Detalles movimientos'!$V$5:$V$1021, 0)), "")</f>
        <v/>
      </c>
      <c r="D71" s="19">
        <f>IFERROR(INDEX('Detalles movimientos'!E$5:E$1021, MATCH(62, 'Detalles movimientos'!$V$5:$V$1021, 0)), "")</f>
        <v/>
      </c>
      <c r="E71" s="19">
        <f>IFERROR(INDEX('Detalles movimientos'!F$5:F$1021, MATCH(62, 'Detalles movimientos'!$V$5:$V$1021, 0)), "")</f>
        <v/>
      </c>
      <c r="F71" s="18">
        <f>IFERROR(INDEX('Detalles movimientos'!G$5:G$1021, MATCH(62, 'Detalles movimientos'!$V$5:$V$1021, 0)), "")</f>
        <v/>
      </c>
      <c r="G71" s="120">
        <f>IFERROR(INDEX('Detalles movimientos'!H$5:H$1021, MATCH(62, 'Detalles movimientos'!$V$5:$V$1021, 0)), "")</f>
        <v/>
      </c>
      <c r="H71" s="121">
        <f>IFERROR(INDEX('Detalles movimientos'!I$5:I$1021, MATCH(62, 'Detalles movimientos'!$V$5:$V$1021, 0)), "")</f>
        <v/>
      </c>
      <c r="I71" s="120">
        <f>IFERROR(INDEX('Detalles movimientos'!M$5:M$1021, MATCH(62, 'Detalles movimientos'!$V$5:$V$1021, 0)), "")</f>
        <v/>
      </c>
      <c r="J71" s="19">
        <f>IFERROR(INDEX('Detalles movimientos'!N$5:N$1021, MATCH(62, 'Detalles movimientos'!$V$5:$V$1021, 0)), "")</f>
        <v/>
      </c>
      <c r="K71" s="120">
        <f>IFERROR(INDEX('Detalles movimientos'!O$5:O$1021, MATCH(62, 'Detalles movimientos'!$V$5:$V$1021, 0)), "")</f>
        <v/>
      </c>
      <c r="L71" s="18">
        <f>IFERROR(INDEX('Detalles movimientos'!P$5:P$1021, MATCH(62, 'Detalles movimientos'!$V$5:$V$1021, 0)), "")</f>
        <v/>
      </c>
      <c r="M71" s="18">
        <f>IFERROR(INDEX('Detalles movimientos'!S$5:S$1021, MATCH(62, 'Detalles movimientos'!$V$5:$V$1021, 0)), "")</f>
        <v/>
      </c>
    </row>
    <row r="72">
      <c r="B72" s="119">
        <f>IFERROR(INDEX('Detalles movimientos'!C$5:C$1021, MATCH(63, 'Detalles movimientos'!$V$5:$V$1021, 0)), "")</f>
        <v/>
      </c>
      <c r="C72" s="18">
        <f>IFERROR(INDEX('Detalles movimientos'!D$5:D$1021, MATCH(63, 'Detalles movimientos'!$V$5:$V$1021, 0)), "")</f>
        <v/>
      </c>
      <c r="D72" s="19">
        <f>IFERROR(INDEX('Detalles movimientos'!E$5:E$1021, MATCH(63, 'Detalles movimientos'!$V$5:$V$1021, 0)), "")</f>
        <v/>
      </c>
      <c r="E72" s="19">
        <f>IFERROR(INDEX('Detalles movimientos'!F$5:F$1021, MATCH(63, 'Detalles movimientos'!$V$5:$V$1021, 0)), "")</f>
        <v/>
      </c>
      <c r="F72" s="18">
        <f>IFERROR(INDEX('Detalles movimientos'!G$5:G$1021, MATCH(63, 'Detalles movimientos'!$V$5:$V$1021, 0)), "")</f>
        <v/>
      </c>
      <c r="G72" s="120">
        <f>IFERROR(INDEX('Detalles movimientos'!H$5:H$1021, MATCH(63, 'Detalles movimientos'!$V$5:$V$1021, 0)), "")</f>
        <v/>
      </c>
      <c r="H72" s="121">
        <f>IFERROR(INDEX('Detalles movimientos'!I$5:I$1021, MATCH(63, 'Detalles movimientos'!$V$5:$V$1021, 0)), "")</f>
        <v/>
      </c>
      <c r="I72" s="120">
        <f>IFERROR(INDEX('Detalles movimientos'!M$5:M$1021, MATCH(63, 'Detalles movimientos'!$V$5:$V$1021, 0)), "")</f>
        <v/>
      </c>
      <c r="J72" s="19">
        <f>IFERROR(INDEX('Detalles movimientos'!N$5:N$1021, MATCH(63, 'Detalles movimientos'!$V$5:$V$1021, 0)), "")</f>
        <v/>
      </c>
      <c r="K72" s="120">
        <f>IFERROR(INDEX('Detalles movimientos'!O$5:O$1021, MATCH(63, 'Detalles movimientos'!$V$5:$V$1021, 0)), "")</f>
        <v/>
      </c>
      <c r="L72" s="18">
        <f>IFERROR(INDEX('Detalles movimientos'!P$5:P$1021, MATCH(63, 'Detalles movimientos'!$V$5:$V$1021, 0)), "")</f>
        <v/>
      </c>
      <c r="M72" s="18">
        <f>IFERROR(INDEX('Detalles movimientos'!S$5:S$1021, MATCH(63, 'Detalles movimientos'!$V$5:$V$1021, 0)), "")</f>
        <v/>
      </c>
    </row>
    <row r="73">
      <c r="B73" s="119">
        <f>IFERROR(INDEX('Detalles movimientos'!C$5:C$1021, MATCH(64, 'Detalles movimientos'!$V$5:$V$1021, 0)), "")</f>
        <v/>
      </c>
      <c r="C73" s="18">
        <f>IFERROR(INDEX('Detalles movimientos'!D$5:D$1021, MATCH(64, 'Detalles movimientos'!$V$5:$V$1021, 0)), "")</f>
        <v/>
      </c>
      <c r="D73" s="19">
        <f>IFERROR(INDEX('Detalles movimientos'!E$5:E$1021, MATCH(64, 'Detalles movimientos'!$V$5:$V$1021, 0)), "")</f>
        <v/>
      </c>
      <c r="E73" s="19">
        <f>IFERROR(INDEX('Detalles movimientos'!F$5:F$1021, MATCH(64, 'Detalles movimientos'!$V$5:$V$1021, 0)), "")</f>
        <v/>
      </c>
      <c r="F73" s="18">
        <f>IFERROR(INDEX('Detalles movimientos'!G$5:G$1021, MATCH(64, 'Detalles movimientos'!$V$5:$V$1021, 0)), "")</f>
        <v/>
      </c>
      <c r="G73" s="120">
        <f>IFERROR(INDEX('Detalles movimientos'!H$5:H$1021, MATCH(64, 'Detalles movimientos'!$V$5:$V$1021, 0)), "")</f>
        <v/>
      </c>
      <c r="H73" s="121">
        <f>IFERROR(INDEX('Detalles movimientos'!I$5:I$1021, MATCH(64, 'Detalles movimientos'!$V$5:$V$1021, 0)), "")</f>
        <v/>
      </c>
      <c r="I73" s="120">
        <f>IFERROR(INDEX('Detalles movimientos'!M$5:M$1021, MATCH(64, 'Detalles movimientos'!$V$5:$V$1021, 0)), "")</f>
        <v/>
      </c>
      <c r="J73" s="19">
        <f>IFERROR(INDEX('Detalles movimientos'!N$5:N$1021, MATCH(64, 'Detalles movimientos'!$V$5:$V$1021, 0)), "")</f>
        <v/>
      </c>
      <c r="K73" s="120">
        <f>IFERROR(INDEX('Detalles movimientos'!O$5:O$1021, MATCH(64, 'Detalles movimientos'!$V$5:$V$1021, 0)), "")</f>
        <v/>
      </c>
      <c r="L73" s="18">
        <f>IFERROR(INDEX('Detalles movimientos'!P$5:P$1021, MATCH(64, 'Detalles movimientos'!$V$5:$V$1021, 0)), "")</f>
        <v/>
      </c>
      <c r="M73" s="18">
        <f>IFERROR(INDEX('Detalles movimientos'!S$5:S$1021, MATCH(64, 'Detalles movimientos'!$V$5:$V$1021, 0)), "")</f>
        <v/>
      </c>
    </row>
    <row r="74">
      <c r="B74" s="119">
        <f>IFERROR(INDEX('Detalles movimientos'!C$5:C$1021, MATCH(65, 'Detalles movimientos'!$V$5:$V$1021, 0)), "")</f>
        <v/>
      </c>
      <c r="C74" s="18">
        <f>IFERROR(INDEX('Detalles movimientos'!D$5:D$1021, MATCH(65, 'Detalles movimientos'!$V$5:$V$1021, 0)), "")</f>
        <v/>
      </c>
      <c r="D74" s="19">
        <f>IFERROR(INDEX('Detalles movimientos'!E$5:E$1021, MATCH(65, 'Detalles movimientos'!$V$5:$V$1021, 0)), "")</f>
        <v/>
      </c>
      <c r="E74" s="19">
        <f>IFERROR(INDEX('Detalles movimientos'!F$5:F$1021, MATCH(65, 'Detalles movimientos'!$V$5:$V$1021, 0)), "")</f>
        <v/>
      </c>
      <c r="F74" s="18">
        <f>IFERROR(INDEX('Detalles movimientos'!G$5:G$1021, MATCH(65, 'Detalles movimientos'!$V$5:$V$1021, 0)), "")</f>
        <v/>
      </c>
      <c r="G74" s="120">
        <f>IFERROR(INDEX('Detalles movimientos'!H$5:H$1021, MATCH(65, 'Detalles movimientos'!$V$5:$V$1021, 0)), "")</f>
        <v/>
      </c>
      <c r="H74" s="121">
        <f>IFERROR(INDEX('Detalles movimientos'!I$5:I$1021, MATCH(65, 'Detalles movimientos'!$V$5:$V$1021, 0)), "")</f>
        <v/>
      </c>
      <c r="I74" s="120">
        <f>IFERROR(INDEX('Detalles movimientos'!M$5:M$1021, MATCH(65, 'Detalles movimientos'!$V$5:$V$1021, 0)), "")</f>
        <v/>
      </c>
      <c r="J74" s="19">
        <f>IFERROR(INDEX('Detalles movimientos'!N$5:N$1021, MATCH(65, 'Detalles movimientos'!$V$5:$V$1021, 0)), "")</f>
        <v/>
      </c>
      <c r="K74" s="120">
        <f>IFERROR(INDEX('Detalles movimientos'!O$5:O$1021, MATCH(65, 'Detalles movimientos'!$V$5:$V$1021, 0)), "")</f>
        <v/>
      </c>
      <c r="L74" s="18">
        <f>IFERROR(INDEX('Detalles movimientos'!P$5:P$1021, MATCH(65, 'Detalles movimientos'!$V$5:$V$1021, 0)), "")</f>
        <v/>
      </c>
      <c r="M74" s="18">
        <f>IFERROR(INDEX('Detalles movimientos'!S$5:S$1021, MATCH(65, 'Detalles movimientos'!$V$5:$V$1021, 0)), "")</f>
        <v/>
      </c>
    </row>
    <row r="75">
      <c r="B75" s="119">
        <f>IFERROR(INDEX('Detalles movimientos'!C$5:C$1021, MATCH(66, 'Detalles movimientos'!$V$5:$V$1021, 0)), "")</f>
        <v/>
      </c>
      <c r="C75" s="18">
        <f>IFERROR(INDEX('Detalles movimientos'!D$5:D$1021, MATCH(66, 'Detalles movimientos'!$V$5:$V$1021, 0)), "")</f>
        <v/>
      </c>
      <c r="D75" s="19">
        <f>IFERROR(INDEX('Detalles movimientos'!E$5:E$1021, MATCH(66, 'Detalles movimientos'!$V$5:$V$1021, 0)), "")</f>
        <v/>
      </c>
      <c r="E75" s="19">
        <f>IFERROR(INDEX('Detalles movimientos'!F$5:F$1021, MATCH(66, 'Detalles movimientos'!$V$5:$V$1021, 0)), "")</f>
        <v/>
      </c>
      <c r="F75" s="18">
        <f>IFERROR(INDEX('Detalles movimientos'!G$5:G$1021, MATCH(66, 'Detalles movimientos'!$V$5:$V$1021, 0)), "")</f>
        <v/>
      </c>
      <c r="G75" s="120">
        <f>IFERROR(INDEX('Detalles movimientos'!H$5:H$1021, MATCH(66, 'Detalles movimientos'!$V$5:$V$1021, 0)), "")</f>
        <v/>
      </c>
      <c r="H75" s="121">
        <f>IFERROR(INDEX('Detalles movimientos'!I$5:I$1021, MATCH(66, 'Detalles movimientos'!$V$5:$V$1021, 0)), "")</f>
        <v/>
      </c>
      <c r="I75" s="120">
        <f>IFERROR(INDEX('Detalles movimientos'!M$5:M$1021, MATCH(66, 'Detalles movimientos'!$V$5:$V$1021, 0)), "")</f>
        <v/>
      </c>
      <c r="J75" s="19">
        <f>IFERROR(INDEX('Detalles movimientos'!N$5:N$1021, MATCH(66, 'Detalles movimientos'!$V$5:$V$1021, 0)), "")</f>
        <v/>
      </c>
      <c r="K75" s="120">
        <f>IFERROR(INDEX('Detalles movimientos'!O$5:O$1021, MATCH(66, 'Detalles movimientos'!$V$5:$V$1021, 0)), "")</f>
        <v/>
      </c>
      <c r="L75" s="18">
        <f>IFERROR(INDEX('Detalles movimientos'!P$5:P$1021, MATCH(66, 'Detalles movimientos'!$V$5:$V$1021, 0)), "")</f>
        <v/>
      </c>
      <c r="M75" s="18">
        <f>IFERROR(INDEX('Detalles movimientos'!S$5:S$1021, MATCH(66, 'Detalles movimientos'!$V$5:$V$1021, 0)), "")</f>
        <v/>
      </c>
    </row>
    <row r="76">
      <c r="B76" s="119">
        <f>IFERROR(INDEX('Detalles movimientos'!C$5:C$1021, MATCH(67, 'Detalles movimientos'!$V$5:$V$1021, 0)), "")</f>
        <v/>
      </c>
      <c r="C76" s="18">
        <f>IFERROR(INDEX('Detalles movimientos'!D$5:D$1021, MATCH(67, 'Detalles movimientos'!$V$5:$V$1021, 0)), "")</f>
        <v/>
      </c>
      <c r="D76" s="19">
        <f>IFERROR(INDEX('Detalles movimientos'!E$5:E$1021, MATCH(67, 'Detalles movimientos'!$V$5:$V$1021, 0)), "")</f>
        <v/>
      </c>
      <c r="E76" s="19">
        <f>IFERROR(INDEX('Detalles movimientos'!F$5:F$1021, MATCH(67, 'Detalles movimientos'!$V$5:$V$1021, 0)), "")</f>
        <v/>
      </c>
      <c r="F76" s="18">
        <f>IFERROR(INDEX('Detalles movimientos'!G$5:G$1021, MATCH(67, 'Detalles movimientos'!$V$5:$V$1021, 0)), "")</f>
        <v/>
      </c>
      <c r="G76" s="120">
        <f>IFERROR(INDEX('Detalles movimientos'!H$5:H$1021, MATCH(67, 'Detalles movimientos'!$V$5:$V$1021, 0)), "")</f>
        <v/>
      </c>
      <c r="H76" s="121">
        <f>IFERROR(INDEX('Detalles movimientos'!I$5:I$1021, MATCH(67, 'Detalles movimientos'!$V$5:$V$1021, 0)), "")</f>
        <v/>
      </c>
      <c r="I76" s="120">
        <f>IFERROR(INDEX('Detalles movimientos'!M$5:M$1021, MATCH(67, 'Detalles movimientos'!$V$5:$V$1021, 0)), "")</f>
        <v/>
      </c>
      <c r="J76" s="19">
        <f>IFERROR(INDEX('Detalles movimientos'!N$5:N$1021, MATCH(67, 'Detalles movimientos'!$V$5:$V$1021, 0)), "")</f>
        <v/>
      </c>
      <c r="K76" s="120">
        <f>IFERROR(INDEX('Detalles movimientos'!O$5:O$1021, MATCH(67, 'Detalles movimientos'!$V$5:$V$1021, 0)), "")</f>
        <v/>
      </c>
      <c r="L76" s="18">
        <f>IFERROR(INDEX('Detalles movimientos'!P$5:P$1021, MATCH(67, 'Detalles movimientos'!$V$5:$V$1021, 0)), "")</f>
        <v/>
      </c>
      <c r="M76" s="18">
        <f>IFERROR(INDEX('Detalles movimientos'!S$5:S$1021, MATCH(67, 'Detalles movimientos'!$V$5:$V$1021, 0)), "")</f>
        <v/>
      </c>
    </row>
    <row r="77">
      <c r="B77" s="119">
        <f>IFERROR(INDEX('Detalles movimientos'!C$5:C$1021, MATCH(68, 'Detalles movimientos'!$V$5:$V$1021, 0)), "")</f>
        <v/>
      </c>
      <c r="C77" s="18">
        <f>IFERROR(INDEX('Detalles movimientos'!D$5:D$1021, MATCH(68, 'Detalles movimientos'!$V$5:$V$1021, 0)), "")</f>
        <v/>
      </c>
      <c r="D77" s="19">
        <f>IFERROR(INDEX('Detalles movimientos'!E$5:E$1021, MATCH(68, 'Detalles movimientos'!$V$5:$V$1021, 0)), "")</f>
        <v/>
      </c>
      <c r="E77" s="19">
        <f>IFERROR(INDEX('Detalles movimientos'!F$5:F$1021, MATCH(68, 'Detalles movimientos'!$V$5:$V$1021, 0)), "")</f>
        <v/>
      </c>
      <c r="F77" s="18">
        <f>IFERROR(INDEX('Detalles movimientos'!G$5:G$1021, MATCH(68, 'Detalles movimientos'!$V$5:$V$1021, 0)), "")</f>
        <v/>
      </c>
      <c r="G77" s="120">
        <f>IFERROR(INDEX('Detalles movimientos'!H$5:H$1021, MATCH(68, 'Detalles movimientos'!$V$5:$V$1021, 0)), "")</f>
        <v/>
      </c>
      <c r="H77" s="121">
        <f>IFERROR(INDEX('Detalles movimientos'!I$5:I$1021, MATCH(68, 'Detalles movimientos'!$V$5:$V$1021, 0)), "")</f>
        <v/>
      </c>
      <c r="I77" s="120">
        <f>IFERROR(INDEX('Detalles movimientos'!M$5:M$1021, MATCH(68, 'Detalles movimientos'!$V$5:$V$1021, 0)), "")</f>
        <v/>
      </c>
      <c r="J77" s="19">
        <f>IFERROR(INDEX('Detalles movimientos'!N$5:N$1021, MATCH(68, 'Detalles movimientos'!$V$5:$V$1021, 0)), "")</f>
        <v/>
      </c>
      <c r="K77" s="120">
        <f>IFERROR(INDEX('Detalles movimientos'!O$5:O$1021, MATCH(68, 'Detalles movimientos'!$V$5:$V$1021, 0)), "")</f>
        <v/>
      </c>
      <c r="L77" s="18">
        <f>IFERROR(INDEX('Detalles movimientos'!P$5:P$1021, MATCH(68, 'Detalles movimientos'!$V$5:$V$1021, 0)), "")</f>
        <v/>
      </c>
      <c r="M77" s="18">
        <f>IFERROR(INDEX('Detalles movimientos'!S$5:S$1021, MATCH(68, 'Detalles movimientos'!$V$5:$V$1021, 0)), "")</f>
        <v/>
      </c>
    </row>
    <row r="78">
      <c r="B78" s="119">
        <f>IFERROR(INDEX('Detalles movimientos'!C$5:C$1021, MATCH(69, 'Detalles movimientos'!$V$5:$V$1021, 0)), "")</f>
        <v/>
      </c>
      <c r="C78" s="18">
        <f>IFERROR(INDEX('Detalles movimientos'!D$5:D$1021, MATCH(69, 'Detalles movimientos'!$V$5:$V$1021, 0)), "")</f>
        <v/>
      </c>
      <c r="D78" s="19">
        <f>IFERROR(INDEX('Detalles movimientos'!E$5:E$1021, MATCH(69, 'Detalles movimientos'!$V$5:$V$1021, 0)), "")</f>
        <v/>
      </c>
      <c r="E78" s="19">
        <f>IFERROR(INDEX('Detalles movimientos'!F$5:F$1021, MATCH(69, 'Detalles movimientos'!$V$5:$V$1021, 0)), "")</f>
        <v/>
      </c>
      <c r="F78" s="18">
        <f>IFERROR(INDEX('Detalles movimientos'!G$5:G$1021, MATCH(69, 'Detalles movimientos'!$V$5:$V$1021, 0)), "")</f>
        <v/>
      </c>
      <c r="G78" s="120">
        <f>IFERROR(INDEX('Detalles movimientos'!H$5:H$1021, MATCH(69, 'Detalles movimientos'!$V$5:$V$1021, 0)), "")</f>
        <v/>
      </c>
      <c r="H78" s="121">
        <f>IFERROR(INDEX('Detalles movimientos'!I$5:I$1021, MATCH(69, 'Detalles movimientos'!$V$5:$V$1021, 0)), "")</f>
        <v/>
      </c>
      <c r="I78" s="120">
        <f>IFERROR(INDEX('Detalles movimientos'!M$5:M$1021, MATCH(69, 'Detalles movimientos'!$V$5:$V$1021, 0)), "")</f>
        <v/>
      </c>
      <c r="J78" s="19">
        <f>IFERROR(INDEX('Detalles movimientos'!N$5:N$1021, MATCH(69, 'Detalles movimientos'!$V$5:$V$1021, 0)), "")</f>
        <v/>
      </c>
      <c r="K78" s="120">
        <f>IFERROR(INDEX('Detalles movimientos'!O$5:O$1021, MATCH(69, 'Detalles movimientos'!$V$5:$V$1021, 0)), "")</f>
        <v/>
      </c>
      <c r="L78" s="18">
        <f>IFERROR(INDEX('Detalles movimientos'!P$5:P$1021, MATCH(69, 'Detalles movimientos'!$V$5:$V$1021, 0)), "")</f>
        <v/>
      </c>
      <c r="M78" s="18">
        <f>IFERROR(INDEX('Detalles movimientos'!S$5:S$1021, MATCH(69, 'Detalles movimientos'!$V$5:$V$1021, 0)), "")</f>
        <v/>
      </c>
    </row>
    <row r="79">
      <c r="B79" s="119">
        <f>IFERROR(INDEX('Detalles movimientos'!C$5:C$1021, MATCH(70, 'Detalles movimientos'!$V$5:$V$1021, 0)), "")</f>
        <v/>
      </c>
      <c r="C79" s="18">
        <f>IFERROR(INDEX('Detalles movimientos'!D$5:D$1021, MATCH(70, 'Detalles movimientos'!$V$5:$V$1021, 0)), "")</f>
        <v/>
      </c>
      <c r="D79" s="19">
        <f>IFERROR(INDEX('Detalles movimientos'!E$5:E$1021, MATCH(70, 'Detalles movimientos'!$V$5:$V$1021, 0)), "")</f>
        <v/>
      </c>
      <c r="E79" s="19">
        <f>IFERROR(INDEX('Detalles movimientos'!F$5:F$1021, MATCH(70, 'Detalles movimientos'!$V$5:$V$1021, 0)), "")</f>
        <v/>
      </c>
      <c r="F79" s="18">
        <f>IFERROR(INDEX('Detalles movimientos'!G$5:G$1021, MATCH(70, 'Detalles movimientos'!$V$5:$V$1021, 0)), "")</f>
        <v/>
      </c>
      <c r="G79" s="120">
        <f>IFERROR(INDEX('Detalles movimientos'!H$5:H$1021, MATCH(70, 'Detalles movimientos'!$V$5:$V$1021, 0)), "")</f>
        <v/>
      </c>
      <c r="H79" s="121">
        <f>IFERROR(INDEX('Detalles movimientos'!I$5:I$1021, MATCH(70, 'Detalles movimientos'!$V$5:$V$1021, 0)), "")</f>
        <v/>
      </c>
      <c r="I79" s="120">
        <f>IFERROR(INDEX('Detalles movimientos'!M$5:M$1021, MATCH(70, 'Detalles movimientos'!$V$5:$V$1021, 0)), "")</f>
        <v/>
      </c>
      <c r="J79" s="19">
        <f>IFERROR(INDEX('Detalles movimientos'!N$5:N$1021, MATCH(70, 'Detalles movimientos'!$V$5:$V$1021, 0)), "")</f>
        <v/>
      </c>
      <c r="K79" s="120">
        <f>IFERROR(INDEX('Detalles movimientos'!O$5:O$1021, MATCH(70, 'Detalles movimientos'!$V$5:$V$1021, 0)), "")</f>
        <v/>
      </c>
      <c r="L79" s="18">
        <f>IFERROR(INDEX('Detalles movimientos'!P$5:P$1021, MATCH(70, 'Detalles movimientos'!$V$5:$V$1021, 0)), "")</f>
        <v/>
      </c>
      <c r="M79" s="18">
        <f>IFERROR(INDEX('Detalles movimientos'!S$5:S$1021, MATCH(70, 'Detalles movimientos'!$V$5:$V$1021, 0)), "")</f>
        <v/>
      </c>
    </row>
    <row r="80">
      <c r="B80" s="119">
        <f>IFERROR(INDEX('Detalles movimientos'!C$5:C$1021, MATCH(71, 'Detalles movimientos'!$V$5:$V$1021, 0)), "")</f>
        <v/>
      </c>
      <c r="C80" s="18">
        <f>IFERROR(INDEX('Detalles movimientos'!D$5:D$1021, MATCH(71, 'Detalles movimientos'!$V$5:$V$1021, 0)), "")</f>
        <v/>
      </c>
      <c r="D80" s="19">
        <f>IFERROR(INDEX('Detalles movimientos'!E$5:E$1021, MATCH(71, 'Detalles movimientos'!$V$5:$V$1021, 0)), "")</f>
        <v/>
      </c>
      <c r="E80" s="19">
        <f>IFERROR(INDEX('Detalles movimientos'!F$5:F$1021, MATCH(71, 'Detalles movimientos'!$V$5:$V$1021, 0)), "")</f>
        <v/>
      </c>
      <c r="F80" s="18">
        <f>IFERROR(INDEX('Detalles movimientos'!G$5:G$1021, MATCH(71, 'Detalles movimientos'!$V$5:$V$1021, 0)), "")</f>
        <v/>
      </c>
      <c r="G80" s="120">
        <f>IFERROR(INDEX('Detalles movimientos'!H$5:H$1021, MATCH(71, 'Detalles movimientos'!$V$5:$V$1021, 0)), "")</f>
        <v/>
      </c>
      <c r="H80" s="121">
        <f>IFERROR(INDEX('Detalles movimientos'!I$5:I$1021, MATCH(71, 'Detalles movimientos'!$V$5:$V$1021, 0)), "")</f>
        <v/>
      </c>
      <c r="I80" s="120">
        <f>IFERROR(INDEX('Detalles movimientos'!M$5:M$1021, MATCH(71, 'Detalles movimientos'!$V$5:$V$1021, 0)), "")</f>
        <v/>
      </c>
      <c r="J80" s="19">
        <f>IFERROR(INDEX('Detalles movimientos'!N$5:N$1021, MATCH(71, 'Detalles movimientos'!$V$5:$V$1021, 0)), "")</f>
        <v/>
      </c>
      <c r="K80" s="120">
        <f>IFERROR(INDEX('Detalles movimientos'!O$5:O$1021, MATCH(71, 'Detalles movimientos'!$V$5:$V$1021, 0)), "")</f>
        <v/>
      </c>
      <c r="L80" s="18">
        <f>IFERROR(INDEX('Detalles movimientos'!P$5:P$1021, MATCH(71, 'Detalles movimientos'!$V$5:$V$1021, 0)), "")</f>
        <v/>
      </c>
      <c r="M80" s="18">
        <f>IFERROR(INDEX('Detalles movimientos'!S$5:S$1021, MATCH(71, 'Detalles movimientos'!$V$5:$V$1021, 0)), "")</f>
        <v/>
      </c>
    </row>
    <row r="81">
      <c r="B81" s="119">
        <f>IFERROR(INDEX('Detalles movimientos'!C$5:C$1021, MATCH(72, 'Detalles movimientos'!$V$5:$V$1021, 0)), "")</f>
        <v/>
      </c>
      <c r="C81" s="18">
        <f>IFERROR(INDEX('Detalles movimientos'!D$5:D$1021, MATCH(72, 'Detalles movimientos'!$V$5:$V$1021, 0)), "")</f>
        <v/>
      </c>
      <c r="D81" s="19">
        <f>IFERROR(INDEX('Detalles movimientos'!E$5:E$1021, MATCH(72, 'Detalles movimientos'!$V$5:$V$1021, 0)), "")</f>
        <v/>
      </c>
      <c r="E81" s="19">
        <f>IFERROR(INDEX('Detalles movimientos'!F$5:F$1021, MATCH(72, 'Detalles movimientos'!$V$5:$V$1021, 0)), "")</f>
        <v/>
      </c>
      <c r="F81" s="18">
        <f>IFERROR(INDEX('Detalles movimientos'!G$5:G$1021, MATCH(72, 'Detalles movimientos'!$V$5:$V$1021, 0)), "")</f>
        <v/>
      </c>
      <c r="G81" s="120">
        <f>IFERROR(INDEX('Detalles movimientos'!H$5:H$1021, MATCH(72, 'Detalles movimientos'!$V$5:$V$1021, 0)), "")</f>
        <v/>
      </c>
      <c r="H81" s="121">
        <f>IFERROR(INDEX('Detalles movimientos'!I$5:I$1021, MATCH(72, 'Detalles movimientos'!$V$5:$V$1021, 0)), "")</f>
        <v/>
      </c>
      <c r="I81" s="120">
        <f>IFERROR(INDEX('Detalles movimientos'!M$5:M$1021, MATCH(72, 'Detalles movimientos'!$V$5:$V$1021, 0)), "")</f>
        <v/>
      </c>
      <c r="J81" s="19">
        <f>IFERROR(INDEX('Detalles movimientos'!N$5:N$1021, MATCH(72, 'Detalles movimientos'!$V$5:$V$1021, 0)), "")</f>
        <v/>
      </c>
      <c r="K81" s="120">
        <f>IFERROR(INDEX('Detalles movimientos'!O$5:O$1021, MATCH(72, 'Detalles movimientos'!$V$5:$V$1021, 0)), "")</f>
        <v/>
      </c>
      <c r="L81" s="18">
        <f>IFERROR(INDEX('Detalles movimientos'!P$5:P$1021, MATCH(72, 'Detalles movimientos'!$V$5:$V$1021, 0)), "")</f>
        <v/>
      </c>
      <c r="M81" s="18">
        <f>IFERROR(INDEX('Detalles movimientos'!S$5:S$1021, MATCH(72, 'Detalles movimientos'!$V$5:$V$1021, 0)), "")</f>
        <v/>
      </c>
    </row>
    <row r="82">
      <c r="B82" s="119">
        <f>IFERROR(INDEX('Detalles movimientos'!C$5:C$1021, MATCH(73, 'Detalles movimientos'!$V$5:$V$1021, 0)), "")</f>
        <v/>
      </c>
      <c r="C82" s="18">
        <f>IFERROR(INDEX('Detalles movimientos'!D$5:D$1021, MATCH(73, 'Detalles movimientos'!$V$5:$V$1021, 0)), "")</f>
        <v/>
      </c>
      <c r="D82" s="19">
        <f>IFERROR(INDEX('Detalles movimientos'!E$5:E$1021, MATCH(73, 'Detalles movimientos'!$V$5:$V$1021, 0)), "")</f>
        <v/>
      </c>
      <c r="E82" s="19">
        <f>IFERROR(INDEX('Detalles movimientos'!F$5:F$1021, MATCH(73, 'Detalles movimientos'!$V$5:$V$1021, 0)), "")</f>
        <v/>
      </c>
      <c r="F82" s="18">
        <f>IFERROR(INDEX('Detalles movimientos'!G$5:G$1021, MATCH(73, 'Detalles movimientos'!$V$5:$V$1021, 0)), "")</f>
        <v/>
      </c>
      <c r="G82" s="120">
        <f>IFERROR(INDEX('Detalles movimientos'!H$5:H$1021, MATCH(73, 'Detalles movimientos'!$V$5:$V$1021, 0)), "")</f>
        <v/>
      </c>
      <c r="H82" s="121">
        <f>IFERROR(INDEX('Detalles movimientos'!I$5:I$1021, MATCH(73, 'Detalles movimientos'!$V$5:$V$1021, 0)), "")</f>
        <v/>
      </c>
      <c r="I82" s="120">
        <f>IFERROR(INDEX('Detalles movimientos'!M$5:M$1021, MATCH(73, 'Detalles movimientos'!$V$5:$V$1021, 0)), "")</f>
        <v/>
      </c>
      <c r="J82" s="19">
        <f>IFERROR(INDEX('Detalles movimientos'!N$5:N$1021, MATCH(73, 'Detalles movimientos'!$V$5:$V$1021, 0)), "")</f>
        <v/>
      </c>
      <c r="K82" s="120">
        <f>IFERROR(INDEX('Detalles movimientos'!O$5:O$1021, MATCH(73, 'Detalles movimientos'!$V$5:$V$1021, 0)), "")</f>
        <v/>
      </c>
      <c r="L82" s="18">
        <f>IFERROR(INDEX('Detalles movimientos'!P$5:P$1021, MATCH(73, 'Detalles movimientos'!$V$5:$V$1021, 0)), "")</f>
        <v/>
      </c>
      <c r="M82" s="18">
        <f>IFERROR(INDEX('Detalles movimientos'!S$5:S$1021, MATCH(73, 'Detalles movimientos'!$V$5:$V$1021, 0)), "")</f>
        <v/>
      </c>
    </row>
    <row r="83">
      <c r="B83" s="119">
        <f>IFERROR(INDEX('Detalles movimientos'!C$5:C$1021, MATCH(74, 'Detalles movimientos'!$V$5:$V$1021, 0)), "")</f>
        <v/>
      </c>
      <c r="C83" s="18">
        <f>IFERROR(INDEX('Detalles movimientos'!D$5:D$1021, MATCH(74, 'Detalles movimientos'!$V$5:$V$1021, 0)), "")</f>
        <v/>
      </c>
      <c r="D83" s="19">
        <f>IFERROR(INDEX('Detalles movimientos'!E$5:E$1021, MATCH(74, 'Detalles movimientos'!$V$5:$V$1021, 0)), "")</f>
        <v/>
      </c>
      <c r="E83" s="19">
        <f>IFERROR(INDEX('Detalles movimientos'!F$5:F$1021, MATCH(74, 'Detalles movimientos'!$V$5:$V$1021, 0)), "")</f>
        <v/>
      </c>
      <c r="F83" s="18">
        <f>IFERROR(INDEX('Detalles movimientos'!G$5:G$1021, MATCH(74, 'Detalles movimientos'!$V$5:$V$1021, 0)), "")</f>
        <v/>
      </c>
      <c r="G83" s="120">
        <f>IFERROR(INDEX('Detalles movimientos'!H$5:H$1021, MATCH(74, 'Detalles movimientos'!$V$5:$V$1021, 0)), "")</f>
        <v/>
      </c>
      <c r="H83" s="121">
        <f>IFERROR(INDEX('Detalles movimientos'!I$5:I$1021, MATCH(74, 'Detalles movimientos'!$V$5:$V$1021, 0)), "")</f>
        <v/>
      </c>
      <c r="I83" s="120">
        <f>IFERROR(INDEX('Detalles movimientos'!M$5:M$1021, MATCH(74, 'Detalles movimientos'!$V$5:$V$1021, 0)), "")</f>
        <v/>
      </c>
      <c r="J83" s="19">
        <f>IFERROR(INDEX('Detalles movimientos'!N$5:N$1021, MATCH(74, 'Detalles movimientos'!$V$5:$V$1021, 0)), "")</f>
        <v/>
      </c>
      <c r="K83" s="120">
        <f>IFERROR(INDEX('Detalles movimientos'!O$5:O$1021, MATCH(74, 'Detalles movimientos'!$V$5:$V$1021, 0)), "")</f>
        <v/>
      </c>
      <c r="L83" s="18">
        <f>IFERROR(INDEX('Detalles movimientos'!P$5:P$1021, MATCH(74, 'Detalles movimientos'!$V$5:$V$1021, 0)), "")</f>
        <v/>
      </c>
      <c r="M83" s="18">
        <f>IFERROR(INDEX('Detalles movimientos'!S$5:S$1021, MATCH(74, 'Detalles movimientos'!$V$5:$V$1021, 0)), "")</f>
        <v/>
      </c>
    </row>
    <row r="84">
      <c r="B84" s="119">
        <f>IFERROR(INDEX('Detalles movimientos'!C$5:C$1021, MATCH(75, 'Detalles movimientos'!$V$5:$V$1021, 0)), "")</f>
        <v/>
      </c>
      <c r="C84" s="18">
        <f>IFERROR(INDEX('Detalles movimientos'!D$5:D$1021, MATCH(75, 'Detalles movimientos'!$V$5:$V$1021, 0)), "")</f>
        <v/>
      </c>
      <c r="D84" s="19">
        <f>IFERROR(INDEX('Detalles movimientos'!E$5:E$1021, MATCH(75, 'Detalles movimientos'!$V$5:$V$1021, 0)), "")</f>
        <v/>
      </c>
      <c r="E84" s="19">
        <f>IFERROR(INDEX('Detalles movimientos'!F$5:F$1021, MATCH(75, 'Detalles movimientos'!$V$5:$V$1021, 0)), "")</f>
        <v/>
      </c>
      <c r="F84" s="18">
        <f>IFERROR(INDEX('Detalles movimientos'!G$5:G$1021, MATCH(75, 'Detalles movimientos'!$V$5:$V$1021, 0)), "")</f>
        <v/>
      </c>
      <c r="G84" s="120">
        <f>IFERROR(INDEX('Detalles movimientos'!H$5:H$1021, MATCH(75, 'Detalles movimientos'!$V$5:$V$1021, 0)), "")</f>
        <v/>
      </c>
      <c r="H84" s="121">
        <f>IFERROR(INDEX('Detalles movimientos'!I$5:I$1021, MATCH(75, 'Detalles movimientos'!$V$5:$V$1021, 0)), "")</f>
        <v/>
      </c>
      <c r="I84" s="120">
        <f>IFERROR(INDEX('Detalles movimientos'!M$5:M$1021, MATCH(75, 'Detalles movimientos'!$V$5:$V$1021, 0)), "")</f>
        <v/>
      </c>
      <c r="J84" s="19">
        <f>IFERROR(INDEX('Detalles movimientos'!N$5:N$1021, MATCH(75, 'Detalles movimientos'!$V$5:$V$1021, 0)), "")</f>
        <v/>
      </c>
      <c r="K84" s="120">
        <f>IFERROR(INDEX('Detalles movimientos'!O$5:O$1021, MATCH(75, 'Detalles movimientos'!$V$5:$V$1021, 0)), "")</f>
        <v/>
      </c>
      <c r="L84" s="18">
        <f>IFERROR(INDEX('Detalles movimientos'!P$5:P$1021, MATCH(75, 'Detalles movimientos'!$V$5:$V$1021, 0)), "")</f>
        <v/>
      </c>
      <c r="M84" s="18">
        <f>IFERROR(INDEX('Detalles movimientos'!S$5:S$1021, MATCH(75, 'Detalles movimientos'!$V$5:$V$1021, 0)), "")</f>
        <v/>
      </c>
    </row>
    <row r="85">
      <c r="B85" s="119">
        <f>IFERROR(INDEX('Detalles movimientos'!C$5:C$1021, MATCH(76, 'Detalles movimientos'!$V$5:$V$1021, 0)), "")</f>
        <v/>
      </c>
      <c r="C85" s="18">
        <f>IFERROR(INDEX('Detalles movimientos'!D$5:D$1021, MATCH(76, 'Detalles movimientos'!$V$5:$V$1021, 0)), "")</f>
        <v/>
      </c>
      <c r="D85" s="19">
        <f>IFERROR(INDEX('Detalles movimientos'!E$5:E$1021, MATCH(76, 'Detalles movimientos'!$V$5:$V$1021, 0)), "")</f>
        <v/>
      </c>
      <c r="E85" s="19">
        <f>IFERROR(INDEX('Detalles movimientos'!F$5:F$1021, MATCH(76, 'Detalles movimientos'!$V$5:$V$1021, 0)), "")</f>
        <v/>
      </c>
      <c r="F85" s="18">
        <f>IFERROR(INDEX('Detalles movimientos'!G$5:G$1021, MATCH(76, 'Detalles movimientos'!$V$5:$V$1021, 0)), "")</f>
        <v/>
      </c>
      <c r="G85" s="120">
        <f>IFERROR(INDEX('Detalles movimientos'!H$5:H$1021, MATCH(76, 'Detalles movimientos'!$V$5:$V$1021, 0)), "")</f>
        <v/>
      </c>
      <c r="H85" s="121">
        <f>IFERROR(INDEX('Detalles movimientos'!I$5:I$1021, MATCH(76, 'Detalles movimientos'!$V$5:$V$1021, 0)), "")</f>
        <v/>
      </c>
      <c r="I85" s="120">
        <f>IFERROR(INDEX('Detalles movimientos'!M$5:M$1021, MATCH(76, 'Detalles movimientos'!$V$5:$V$1021, 0)), "")</f>
        <v/>
      </c>
      <c r="J85" s="19">
        <f>IFERROR(INDEX('Detalles movimientos'!N$5:N$1021, MATCH(76, 'Detalles movimientos'!$V$5:$V$1021, 0)), "")</f>
        <v/>
      </c>
      <c r="K85" s="120">
        <f>IFERROR(INDEX('Detalles movimientos'!O$5:O$1021, MATCH(76, 'Detalles movimientos'!$V$5:$V$1021, 0)), "")</f>
        <v/>
      </c>
      <c r="L85" s="18">
        <f>IFERROR(INDEX('Detalles movimientos'!P$5:P$1021, MATCH(76, 'Detalles movimientos'!$V$5:$V$1021, 0)), "")</f>
        <v/>
      </c>
      <c r="M85" s="18">
        <f>IFERROR(INDEX('Detalles movimientos'!S$5:S$1021, MATCH(76, 'Detalles movimientos'!$V$5:$V$1021, 0)), "")</f>
        <v/>
      </c>
    </row>
    <row r="86">
      <c r="B86" s="119">
        <f>IFERROR(INDEX('Detalles movimientos'!C$5:C$1021, MATCH(77, 'Detalles movimientos'!$V$5:$V$1021, 0)), "")</f>
        <v/>
      </c>
      <c r="C86" s="18">
        <f>IFERROR(INDEX('Detalles movimientos'!D$5:D$1021, MATCH(77, 'Detalles movimientos'!$V$5:$V$1021, 0)), "")</f>
        <v/>
      </c>
      <c r="D86" s="19">
        <f>IFERROR(INDEX('Detalles movimientos'!E$5:E$1021, MATCH(77, 'Detalles movimientos'!$V$5:$V$1021, 0)), "")</f>
        <v/>
      </c>
      <c r="E86" s="19">
        <f>IFERROR(INDEX('Detalles movimientos'!F$5:F$1021, MATCH(77, 'Detalles movimientos'!$V$5:$V$1021, 0)), "")</f>
        <v/>
      </c>
      <c r="F86" s="18">
        <f>IFERROR(INDEX('Detalles movimientos'!G$5:G$1021, MATCH(77, 'Detalles movimientos'!$V$5:$V$1021, 0)), "")</f>
        <v/>
      </c>
      <c r="G86" s="120">
        <f>IFERROR(INDEX('Detalles movimientos'!H$5:H$1021, MATCH(77, 'Detalles movimientos'!$V$5:$V$1021, 0)), "")</f>
        <v/>
      </c>
      <c r="H86" s="121">
        <f>IFERROR(INDEX('Detalles movimientos'!I$5:I$1021, MATCH(77, 'Detalles movimientos'!$V$5:$V$1021, 0)), "")</f>
        <v/>
      </c>
      <c r="I86" s="120">
        <f>IFERROR(INDEX('Detalles movimientos'!M$5:M$1021, MATCH(77, 'Detalles movimientos'!$V$5:$V$1021, 0)), "")</f>
        <v/>
      </c>
      <c r="J86" s="19">
        <f>IFERROR(INDEX('Detalles movimientos'!N$5:N$1021, MATCH(77, 'Detalles movimientos'!$V$5:$V$1021, 0)), "")</f>
        <v/>
      </c>
      <c r="K86" s="120">
        <f>IFERROR(INDEX('Detalles movimientos'!O$5:O$1021, MATCH(77, 'Detalles movimientos'!$V$5:$V$1021, 0)), "")</f>
        <v/>
      </c>
      <c r="L86" s="18">
        <f>IFERROR(INDEX('Detalles movimientos'!P$5:P$1021, MATCH(77, 'Detalles movimientos'!$V$5:$V$1021, 0)), "")</f>
        <v/>
      </c>
      <c r="M86" s="18">
        <f>IFERROR(INDEX('Detalles movimientos'!S$5:S$1021, MATCH(77, 'Detalles movimientos'!$V$5:$V$1021, 0)), "")</f>
        <v/>
      </c>
    </row>
    <row r="87">
      <c r="B87" s="119">
        <f>IFERROR(INDEX('Detalles movimientos'!C$5:C$1021, MATCH(78, 'Detalles movimientos'!$V$5:$V$1021, 0)), "")</f>
        <v/>
      </c>
      <c r="C87" s="18">
        <f>IFERROR(INDEX('Detalles movimientos'!D$5:D$1021, MATCH(78, 'Detalles movimientos'!$V$5:$V$1021, 0)), "")</f>
        <v/>
      </c>
      <c r="D87" s="19">
        <f>IFERROR(INDEX('Detalles movimientos'!E$5:E$1021, MATCH(78, 'Detalles movimientos'!$V$5:$V$1021, 0)), "")</f>
        <v/>
      </c>
      <c r="E87" s="19">
        <f>IFERROR(INDEX('Detalles movimientos'!F$5:F$1021, MATCH(78, 'Detalles movimientos'!$V$5:$V$1021, 0)), "")</f>
        <v/>
      </c>
      <c r="F87" s="18">
        <f>IFERROR(INDEX('Detalles movimientos'!G$5:G$1021, MATCH(78, 'Detalles movimientos'!$V$5:$V$1021, 0)), "")</f>
        <v/>
      </c>
      <c r="G87" s="120">
        <f>IFERROR(INDEX('Detalles movimientos'!H$5:H$1021, MATCH(78, 'Detalles movimientos'!$V$5:$V$1021, 0)), "")</f>
        <v/>
      </c>
      <c r="H87" s="121">
        <f>IFERROR(INDEX('Detalles movimientos'!I$5:I$1021, MATCH(78, 'Detalles movimientos'!$V$5:$V$1021, 0)), "")</f>
        <v/>
      </c>
      <c r="I87" s="120">
        <f>IFERROR(INDEX('Detalles movimientos'!M$5:M$1021, MATCH(78, 'Detalles movimientos'!$V$5:$V$1021, 0)), "")</f>
        <v/>
      </c>
      <c r="J87" s="19">
        <f>IFERROR(INDEX('Detalles movimientos'!N$5:N$1021, MATCH(78, 'Detalles movimientos'!$V$5:$V$1021, 0)), "")</f>
        <v/>
      </c>
      <c r="K87" s="120">
        <f>IFERROR(INDEX('Detalles movimientos'!O$5:O$1021, MATCH(78, 'Detalles movimientos'!$V$5:$V$1021, 0)), "")</f>
        <v/>
      </c>
      <c r="L87" s="18">
        <f>IFERROR(INDEX('Detalles movimientos'!P$5:P$1021, MATCH(78, 'Detalles movimientos'!$V$5:$V$1021, 0)), "")</f>
        <v/>
      </c>
      <c r="M87" s="18">
        <f>IFERROR(INDEX('Detalles movimientos'!S$5:S$1021, MATCH(78, 'Detalles movimientos'!$V$5:$V$1021, 0)), "")</f>
        <v/>
      </c>
    </row>
    <row r="88">
      <c r="B88" s="119">
        <f>IFERROR(INDEX('Detalles movimientos'!C$5:C$1021, MATCH(79, 'Detalles movimientos'!$V$5:$V$1021, 0)), "")</f>
        <v/>
      </c>
      <c r="C88" s="18">
        <f>IFERROR(INDEX('Detalles movimientos'!D$5:D$1021, MATCH(79, 'Detalles movimientos'!$V$5:$V$1021, 0)), "")</f>
        <v/>
      </c>
      <c r="D88" s="19">
        <f>IFERROR(INDEX('Detalles movimientos'!E$5:E$1021, MATCH(79, 'Detalles movimientos'!$V$5:$V$1021, 0)), "")</f>
        <v/>
      </c>
      <c r="E88" s="19">
        <f>IFERROR(INDEX('Detalles movimientos'!F$5:F$1021, MATCH(79, 'Detalles movimientos'!$V$5:$V$1021, 0)), "")</f>
        <v/>
      </c>
      <c r="F88" s="18">
        <f>IFERROR(INDEX('Detalles movimientos'!G$5:G$1021, MATCH(79, 'Detalles movimientos'!$V$5:$V$1021, 0)), "")</f>
        <v/>
      </c>
      <c r="G88" s="120">
        <f>IFERROR(INDEX('Detalles movimientos'!H$5:H$1021, MATCH(79, 'Detalles movimientos'!$V$5:$V$1021, 0)), "")</f>
        <v/>
      </c>
      <c r="H88" s="121">
        <f>IFERROR(INDEX('Detalles movimientos'!I$5:I$1021, MATCH(79, 'Detalles movimientos'!$V$5:$V$1021, 0)), "")</f>
        <v/>
      </c>
      <c r="I88" s="120">
        <f>IFERROR(INDEX('Detalles movimientos'!M$5:M$1021, MATCH(79, 'Detalles movimientos'!$V$5:$V$1021, 0)), "")</f>
        <v/>
      </c>
      <c r="J88" s="19">
        <f>IFERROR(INDEX('Detalles movimientos'!N$5:N$1021, MATCH(79, 'Detalles movimientos'!$V$5:$V$1021, 0)), "")</f>
        <v/>
      </c>
      <c r="K88" s="120">
        <f>IFERROR(INDEX('Detalles movimientos'!O$5:O$1021, MATCH(79, 'Detalles movimientos'!$V$5:$V$1021, 0)), "")</f>
        <v/>
      </c>
      <c r="L88" s="18">
        <f>IFERROR(INDEX('Detalles movimientos'!P$5:P$1021, MATCH(79, 'Detalles movimientos'!$V$5:$V$1021, 0)), "")</f>
        <v/>
      </c>
      <c r="M88" s="18">
        <f>IFERROR(INDEX('Detalles movimientos'!S$5:S$1021, MATCH(79, 'Detalles movimientos'!$V$5:$V$1021, 0)), "")</f>
        <v/>
      </c>
    </row>
    <row r="89">
      <c r="B89" s="119">
        <f>IFERROR(INDEX('Detalles movimientos'!C$5:C$1021, MATCH(80, 'Detalles movimientos'!$V$5:$V$1021, 0)), "")</f>
        <v/>
      </c>
      <c r="C89" s="18">
        <f>IFERROR(INDEX('Detalles movimientos'!D$5:D$1021, MATCH(80, 'Detalles movimientos'!$V$5:$V$1021, 0)), "")</f>
        <v/>
      </c>
      <c r="D89" s="19">
        <f>IFERROR(INDEX('Detalles movimientos'!E$5:E$1021, MATCH(80, 'Detalles movimientos'!$V$5:$V$1021, 0)), "")</f>
        <v/>
      </c>
      <c r="E89" s="19">
        <f>IFERROR(INDEX('Detalles movimientos'!F$5:F$1021, MATCH(80, 'Detalles movimientos'!$V$5:$V$1021, 0)), "")</f>
        <v/>
      </c>
      <c r="F89" s="18">
        <f>IFERROR(INDEX('Detalles movimientos'!G$5:G$1021, MATCH(80, 'Detalles movimientos'!$V$5:$V$1021, 0)), "")</f>
        <v/>
      </c>
      <c r="G89" s="120">
        <f>IFERROR(INDEX('Detalles movimientos'!H$5:H$1021, MATCH(80, 'Detalles movimientos'!$V$5:$V$1021, 0)), "")</f>
        <v/>
      </c>
      <c r="H89" s="121">
        <f>IFERROR(INDEX('Detalles movimientos'!I$5:I$1021, MATCH(80, 'Detalles movimientos'!$V$5:$V$1021, 0)), "")</f>
        <v/>
      </c>
      <c r="I89" s="120">
        <f>IFERROR(INDEX('Detalles movimientos'!M$5:M$1021, MATCH(80, 'Detalles movimientos'!$V$5:$V$1021, 0)), "")</f>
        <v/>
      </c>
      <c r="J89" s="19">
        <f>IFERROR(INDEX('Detalles movimientos'!N$5:N$1021, MATCH(80, 'Detalles movimientos'!$V$5:$V$1021, 0)), "")</f>
        <v/>
      </c>
      <c r="K89" s="120">
        <f>IFERROR(INDEX('Detalles movimientos'!O$5:O$1021, MATCH(80, 'Detalles movimientos'!$V$5:$V$1021, 0)), "")</f>
        <v/>
      </c>
      <c r="L89" s="18">
        <f>IFERROR(INDEX('Detalles movimientos'!P$5:P$1021, MATCH(80, 'Detalles movimientos'!$V$5:$V$1021, 0)), "")</f>
        <v/>
      </c>
      <c r="M89" s="18">
        <f>IFERROR(INDEX('Detalles movimientos'!S$5:S$1021, MATCH(80, 'Detalles movimientos'!$V$5:$V$1021, 0)), "")</f>
        <v/>
      </c>
    </row>
    <row r="90">
      <c r="B90" s="119">
        <f>IFERROR(INDEX('Detalles movimientos'!C$5:C$1021, MATCH(81, 'Detalles movimientos'!$V$5:$V$1021, 0)), "")</f>
        <v/>
      </c>
      <c r="C90" s="18">
        <f>IFERROR(INDEX('Detalles movimientos'!D$5:D$1021, MATCH(81, 'Detalles movimientos'!$V$5:$V$1021, 0)), "")</f>
        <v/>
      </c>
      <c r="D90" s="19">
        <f>IFERROR(INDEX('Detalles movimientos'!E$5:E$1021, MATCH(81, 'Detalles movimientos'!$V$5:$V$1021, 0)), "")</f>
        <v/>
      </c>
      <c r="E90" s="19">
        <f>IFERROR(INDEX('Detalles movimientos'!F$5:F$1021, MATCH(81, 'Detalles movimientos'!$V$5:$V$1021, 0)), "")</f>
        <v/>
      </c>
      <c r="F90" s="18">
        <f>IFERROR(INDEX('Detalles movimientos'!G$5:G$1021, MATCH(81, 'Detalles movimientos'!$V$5:$V$1021, 0)), "")</f>
        <v/>
      </c>
      <c r="G90" s="120">
        <f>IFERROR(INDEX('Detalles movimientos'!H$5:H$1021, MATCH(81, 'Detalles movimientos'!$V$5:$V$1021, 0)), "")</f>
        <v/>
      </c>
      <c r="H90" s="121">
        <f>IFERROR(INDEX('Detalles movimientos'!I$5:I$1021, MATCH(81, 'Detalles movimientos'!$V$5:$V$1021, 0)), "")</f>
        <v/>
      </c>
      <c r="I90" s="120">
        <f>IFERROR(INDEX('Detalles movimientos'!M$5:M$1021, MATCH(81, 'Detalles movimientos'!$V$5:$V$1021, 0)), "")</f>
        <v/>
      </c>
      <c r="J90" s="19">
        <f>IFERROR(INDEX('Detalles movimientos'!N$5:N$1021, MATCH(81, 'Detalles movimientos'!$V$5:$V$1021, 0)), "")</f>
        <v/>
      </c>
      <c r="K90" s="120">
        <f>IFERROR(INDEX('Detalles movimientos'!O$5:O$1021, MATCH(81, 'Detalles movimientos'!$V$5:$V$1021, 0)), "")</f>
        <v/>
      </c>
      <c r="L90" s="18">
        <f>IFERROR(INDEX('Detalles movimientos'!P$5:P$1021, MATCH(81, 'Detalles movimientos'!$V$5:$V$1021, 0)), "")</f>
        <v/>
      </c>
      <c r="M90" s="18">
        <f>IFERROR(INDEX('Detalles movimientos'!S$5:S$1021, MATCH(81, 'Detalles movimientos'!$V$5:$V$1021, 0)), "")</f>
        <v/>
      </c>
    </row>
    <row r="91">
      <c r="B91" s="119">
        <f>IFERROR(INDEX('Detalles movimientos'!C$5:C$1021, MATCH(82, 'Detalles movimientos'!$V$5:$V$1021, 0)), "")</f>
        <v/>
      </c>
      <c r="C91" s="18">
        <f>IFERROR(INDEX('Detalles movimientos'!D$5:D$1021, MATCH(82, 'Detalles movimientos'!$V$5:$V$1021, 0)), "")</f>
        <v/>
      </c>
      <c r="D91" s="19">
        <f>IFERROR(INDEX('Detalles movimientos'!E$5:E$1021, MATCH(82, 'Detalles movimientos'!$V$5:$V$1021, 0)), "")</f>
        <v/>
      </c>
      <c r="E91" s="19">
        <f>IFERROR(INDEX('Detalles movimientos'!F$5:F$1021, MATCH(82, 'Detalles movimientos'!$V$5:$V$1021, 0)), "")</f>
        <v/>
      </c>
      <c r="F91" s="18">
        <f>IFERROR(INDEX('Detalles movimientos'!G$5:G$1021, MATCH(82, 'Detalles movimientos'!$V$5:$V$1021, 0)), "")</f>
        <v/>
      </c>
      <c r="G91" s="120">
        <f>IFERROR(INDEX('Detalles movimientos'!H$5:H$1021, MATCH(82, 'Detalles movimientos'!$V$5:$V$1021, 0)), "")</f>
        <v/>
      </c>
      <c r="H91" s="121">
        <f>IFERROR(INDEX('Detalles movimientos'!I$5:I$1021, MATCH(82, 'Detalles movimientos'!$V$5:$V$1021, 0)), "")</f>
        <v/>
      </c>
      <c r="I91" s="120">
        <f>IFERROR(INDEX('Detalles movimientos'!M$5:M$1021, MATCH(82, 'Detalles movimientos'!$V$5:$V$1021, 0)), "")</f>
        <v/>
      </c>
      <c r="J91" s="19">
        <f>IFERROR(INDEX('Detalles movimientos'!N$5:N$1021, MATCH(82, 'Detalles movimientos'!$V$5:$V$1021, 0)), "")</f>
        <v/>
      </c>
      <c r="K91" s="120">
        <f>IFERROR(INDEX('Detalles movimientos'!O$5:O$1021, MATCH(82, 'Detalles movimientos'!$V$5:$V$1021, 0)), "")</f>
        <v/>
      </c>
      <c r="L91" s="18">
        <f>IFERROR(INDEX('Detalles movimientos'!P$5:P$1021, MATCH(82, 'Detalles movimientos'!$V$5:$V$1021, 0)), "")</f>
        <v/>
      </c>
      <c r="M91" s="18">
        <f>IFERROR(INDEX('Detalles movimientos'!S$5:S$1021, MATCH(82, 'Detalles movimientos'!$V$5:$V$1021, 0)), "")</f>
        <v/>
      </c>
    </row>
    <row r="92">
      <c r="B92" s="119">
        <f>IFERROR(INDEX('Detalles movimientos'!C$5:C$1021, MATCH(83, 'Detalles movimientos'!$V$5:$V$1021, 0)), "")</f>
        <v/>
      </c>
      <c r="C92" s="18">
        <f>IFERROR(INDEX('Detalles movimientos'!D$5:D$1021, MATCH(83, 'Detalles movimientos'!$V$5:$V$1021, 0)), "")</f>
        <v/>
      </c>
      <c r="D92" s="19">
        <f>IFERROR(INDEX('Detalles movimientos'!E$5:E$1021, MATCH(83, 'Detalles movimientos'!$V$5:$V$1021, 0)), "")</f>
        <v/>
      </c>
      <c r="E92" s="19">
        <f>IFERROR(INDEX('Detalles movimientos'!F$5:F$1021, MATCH(83, 'Detalles movimientos'!$V$5:$V$1021, 0)), "")</f>
        <v/>
      </c>
      <c r="F92" s="18">
        <f>IFERROR(INDEX('Detalles movimientos'!G$5:G$1021, MATCH(83, 'Detalles movimientos'!$V$5:$V$1021, 0)), "")</f>
        <v/>
      </c>
      <c r="G92" s="120">
        <f>IFERROR(INDEX('Detalles movimientos'!H$5:H$1021, MATCH(83, 'Detalles movimientos'!$V$5:$V$1021, 0)), "")</f>
        <v/>
      </c>
      <c r="H92" s="121">
        <f>IFERROR(INDEX('Detalles movimientos'!I$5:I$1021, MATCH(83, 'Detalles movimientos'!$V$5:$V$1021, 0)), "")</f>
        <v/>
      </c>
      <c r="I92" s="120">
        <f>IFERROR(INDEX('Detalles movimientos'!M$5:M$1021, MATCH(83, 'Detalles movimientos'!$V$5:$V$1021, 0)), "")</f>
        <v/>
      </c>
      <c r="J92" s="19">
        <f>IFERROR(INDEX('Detalles movimientos'!N$5:N$1021, MATCH(83, 'Detalles movimientos'!$V$5:$V$1021, 0)), "")</f>
        <v/>
      </c>
      <c r="K92" s="120">
        <f>IFERROR(INDEX('Detalles movimientos'!O$5:O$1021, MATCH(83, 'Detalles movimientos'!$V$5:$V$1021, 0)), "")</f>
        <v/>
      </c>
      <c r="L92" s="18">
        <f>IFERROR(INDEX('Detalles movimientos'!P$5:P$1021, MATCH(83, 'Detalles movimientos'!$V$5:$V$1021, 0)), "")</f>
        <v/>
      </c>
      <c r="M92" s="18">
        <f>IFERROR(INDEX('Detalles movimientos'!S$5:S$1021, MATCH(83, 'Detalles movimientos'!$V$5:$V$1021, 0)), "")</f>
        <v/>
      </c>
    </row>
    <row r="93">
      <c r="B93" s="119">
        <f>IFERROR(INDEX('Detalles movimientos'!C$5:C$1021, MATCH(84, 'Detalles movimientos'!$V$5:$V$1021, 0)), "")</f>
        <v/>
      </c>
      <c r="C93" s="18">
        <f>IFERROR(INDEX('Detalles movimientos'!D$5:D$1021, MATCH(84, 'Detalles movimientos'!$V$5:$V$1021, 0)), "")</f>
        <v/>
      </c>
      <c r="D93" s="19">
        <f>IFERROR(INDEX('Detalles movimientos'!E$5:E$1021, MATCH(84, 'Detalles movimientos'!$V$5:$V$1021, 0)), "")</f>
        <v/>
      </c>
      <c r="E93" s="19">
        <f>IFERROR(INDEX('Detalles movimientos'!F$5:F$1021, MATCH(84, 'Detalles movimientos'!$V$5:$V$1021, 0)), "")</f>
        <v/>
      </c>
      <c r="F93" s="18">
        <f>IFERROR(INDEX('Detalles movimientos'!G$5:G$1021, MATCH(84, 'Detalles movimientos'!$V$5:$V$1021, 0)), "")</f>
        <v/>
      </c>
      <c r="G93" s="120">
        <f>IFERROR(INDEX('Detalles movimientos'!H$5:H$1021, MATCH(84, 'Detalles movimientos'!$V$5:$V$1021, 0)), "")</f>
        <v/>
      </c>
      <c r="H93" s="121">
        <f>IFERROR(INDEX('Detalles movimientos'!I$5:I$1021, MATCH(84, 'Detalles movimientos'!$V$5:$V$1021, 0)), "")</f>
        <v/>
      </c>
      <c r="I93" s="120">
        <f>IFERROR(INDEX('Detalles movimientos'!M$5:M$1021, MATCH(84, 'Detalles movimientos'!$V$5:$V$1021, 0)), "")</f>
        <v/>
      </c>
      <c r="J93" s="19">
        <f>IFERROR(INDEX('Detalles movimientos'!N$5:N$1021, MATCH(84, 'Detalles movimientos'!$V$5:$V$1021, 0)), "")</f>
        <v/>
      </c>
      <c r="K93" s="120">
        <f>IFERROR(INDEX('Detalles movimientos'!O$5:O$1021, MATCH(84, 'Detalles movimientos'!$V$5:$V$1021, 0)), "")</f>
        <v/>
      </c>
      <c r="L93" s="18">
        <f>IFERROR(INDEX('Detalles movimientos'!P$5:P$1021, MATCH(84, 'Detalles movimientos'!$V$5:$V$1021, 0)), "")</f>
        <v/>
      </c>
      <c r="M93" s="18">
        <f>IFERROR(INDEX('Detalles movimientos'!S$5:S$1021, MATCH(84, 'Detalles movimientos'!$V$5:$V$1021, 0)), "")</f>
        <v/>
      </c>
    </row>
    <row r="94">
      <c r="B94" s="119">
        <f>IFERROR(INDEX('Detalles movimientos'!C$5:C$1021, MATCH(85, 'Detalles movimientos'!$V$5:$V$1021, 0)), "")</f>
        <v/>
      </c>
      <c r="C94" s="18">
        <f>IFERROR(INDEX('Detalles movimientos'!D$5:D$1021, MATCH(85, 'Detalles movimientos'!$V$5:$V$1021, 0)), "")</f>
        <v/>
      </c>
      <c r="D94" s="19">
        <f>IFERROR(INDEX('Detalles movimientos'!E$5:E$1021, MATCH(85, 'Detalles movimientos'!$V$5:$V$1021, 0)), "")</f>
        <v/>
      </c>
      <c r="E94" s="19">
        <f>IFERROR(INDEX('Detalles movimientos'!F$5:F$1021, MATCH(85, 'Detalles movimientos'!$V$5:$V$1021, 0)), "")</f>
        <v/>
      </c>
      <c r="F94" s="18">
        <f>IFERROR(INDEX('Detalles movimientos'!G$5:G$1021, MATCH(85, 'Detalles movimientos'!$V$5:$V$1021, 0)), "")</f>
        <v/>
      </c>
      <c r="G94" s="120">
        <f>IFERROR(INDEX('Detalles movimientos'!H$5:H$1021, MATCH(85, 'Detalles movimientos'!$V$5:$V$1021, 0)), "")</f>
        <v/>
      </c>
      <c r="H94" s="121">
        <f>IFERROR(INDEX('Detalles movimientos'!I$5:I$1021, MATCH(85, 'Detalles movimientos'!$V$5:$V$1021, 0)), "")</f>
        <v/>
      </c>
      <c r="I94" s="120">
        <f>IFERROR(INDEX('Detalles movimientos'!M$5:M$1021, MATCH(85, 'Detalles movimientos'!$V$5:$V$1021, 0)), "")</f>
        <v/>
      </c>
      <c r="J94" s="19">
        <f>IFERROR(INDEX('Detalles movimientos'!N$5:N$1021, MATCH(85, 'Detalles movimientos'!$V$5:$V$1021, 0)), "")</f>
        <v/>
      </c>
      <c r="K94" s="120">
        <f>IFERROR(INDEX('Detalles movimientos'!O$5:O$1021, MATCH(85, 'Detalles movimientos'!$V$5:$V$1021, 0)), "")</f>
        <v/>
      </c>
      <c r="L94" s="18">
        <f>IFERROR(INDEX('Detalles movimientos'!P$5:P$1021, MATCH(85, 'Detalles movimientos'!$V$5:$V$1021, 0)), "")</f>
        <v/>
      </c>
      <c r="M94" s="18">
        <f>IFERROR(INDEX('Detalles movimientos'!S$5:S$1021, MATCH(85, 'Detalles movimientos'!$V$5:$V$1021, 0)), "")</f>
        <v/>
      </c>
    </row>
    <row r="95">
      <c r="B95" s="119">
        <f>IFERROR(INDEX('Detalles movimientos'!C$5:C$1021, MATCH(86, 'Detalles movimientos'!$V$5:$V$1021, 0)), "")</f>
        <v/>
      </c>
      <c r="C95" s="18">
        <f>IFERROR(INDEX('Detalles movimientos'!D$5:D$1021, MATCH(86, 'Detalles movimientos'!$V$5:$V$1021, 0)), "")</f>
        <v/>
      </c>
      <c r="D95" s="19">
        <f>IFERROR(INDEX('Detalles movimientos'!E$5:E$1021, MATCH(86, 'Detalles movimientos'!$V$5:$V$1021, 0)), "")</f>
        <v/>
      </c>
      <c r="E95" s="19">
        <f>IFERROR(INDEX('Detalles movimientos'!F$5:F$1021, MATCH(86, 'Detalles movimientos'!$V$5:$V$1021, 0)), "")</f>
        <v/>
      </c>
      <c r="F95" s="18">
        <f>IFERROR(INDEX('Detalles movimientos'!G$5:G$1021, MATCH(86, 'Detalles movimientos'!$V$5:$V$1021, 0)), "")</f>
        <v/>
      </c>
      <c r="G95" s="120">
        <f>IFERROR(INDEX('Detalles movimientos'!H$5:H$1021, MATCH(86, 'Detalles movimientos'!$V$5:$V$1021, 0)), "")</f>
        <v/>
      </c>
      <c r="H95" s="121">
        <f>IFERROR(INDEX('Detalles movimientos'!I$5:I$1021, MATCH(86, 'Detalles movimientos'!$V$5:$V$1021, 0)), "")</f>
        <v/>
      </c>
      <c r="I95" s="120">
        <f>IFERROR(INDEX('Detalles movimientos'!M$5:M$1021, MATCH(86, 'Detalles movimientos'!$V$5:$V$1021, 0)), "")</f>
        <v/>
      </c>
      <c r="J95" s="19">
        <f>IFERROR(INDEX('Detalles movimientos'!N$5:N$1021, MATCH(86, 'Detalles movimientos'!$V$5:$V$1021, 0)), "")</f>
        <v/>
      </c>
      <c r="K95" s="120">
        <f>IFERROR(INDEX('Detalles movimientos'!O$5:O$1021, MATCH(86, 'Detalles movimientos'!$V$5:$V$1021, 0)), "")</f>
        <v/>
      </c>
      <c r="L95" s="18">
        <f>IFERROR(INDEX('Detalles movimientos'!P$5:P$1021, MATCH(86, 'Detalles movimientos'!$V$5:$V$1021, 0)), "")</f>
        <v/>
      </c>
      <c r="M95" s="18">
        <f>IFERROR(INDEX('Detalles movimientos'!S$5:S$1021, MATCH(86, 'Detalles movimientos'!$V$5:$V$1021, 0)), "")</f>
        <v/>
      </c>
    </row>
    <row r="96">
      <c r="B96" s="119">
        <f>IFERROR(INDEX('Detalles movimientos'!C$5:C$1021, MATCH(87, 'Detalles movimientos'!$V$5:$V$1021, 0)), "")</f>
        <v/>
      </c>
      <c r="C96" s="18">
        <f>IFERROR(INDEX('Detalles movimientos'!D$5:D$1021, MATCH(87, 'Detalles movimientos'!$V$5:$V$1021, 0)), "")</f>
        <v/>
      </c>
      <c r="D96" s="19">
        <f>IFERROR(INDEX('Detalles movimientos'!E$5:E$1021, MATCH(87, 'Detalles movimientos'!$V$5:$V$1021, 0)), "")</f>
        <v/>
      </c>
      <c r="E96" s="19">
        <f>IFERROR(INDEX('Detalles movimientos'!F$5:F$1021, MATCH(87, 'Detalles movimientos'!$V$5:$V$1021, 0)), "")</f>
        <v/>
      </c>
      <c r="F96" s="18">
        <f>IFERROR(INDEX('Detalles movimientos'!G$5:G$1021, MATCH(87, 'Detalles movimientos'!$V$5:$V$1021, 0)), "")</f>
        <v/>
      </c>
      <c r="G96" s="120">
        <f>IFERROR(INDEX('Detalles movimientos'!H$5:H$1021, MATCH(87, 'Detalles movimientos'!$V$5:$V$1021, 0)), "")</f>
        <v/>
      </c>
      <c r="H96" s="121">
        <f>IFERROR(INDEX('Detalles movimientos'!I$5:I$1021, MATCH(87, 'Detalles movimientos'!$V$5:$V$1021, 0)), "")</f>
        <v/>
      </c>
      <c r="I96" s="120">
        <f>IFERROR(INDEX('Detalles movimientos'!M$5:M$1021, MATCH(87, 'Detalles movimientos'!$V$5:$V$1021, 0)), "")</f>
        <v/>
      </c>
      <c r="J96" s="19">
        <f>IFERROR(INDEX('Detalles movimientos'!N$5:N$1021, MATCH(87, 'Detalles movimientos'!$V$5:$V$1021, 0)), "")</f>
        <v/>
      </c>
      <c r="K96" s="120">
        <f>IFERROR(INDEX('Detalles movimientos'!O$5:O$1021, MATCH(87, 'Detalles movimientos'!$V$5:$V$1021, 0)), "")</f>
        <v/>
      </c>
      <c r="L96" s="18">
        <f>IFERROR(INDEX('Detalles movimientos'!P$5:P$1021, MATCH(87, 'Detalles movimientos'!$V$5:$V$1021, 0)), "")</f>
        <v/>
      </c>
      <c r="M96" s="18">
        <f>IFERROR(INDEX('Detalles movimientos'!S$5:S$1021, MATCH(87, 'Detalles movimientos'!$V$5:$V$1021, 0)), "")</f>
        <v/>
      </c>
    </row>
    <row r="97">
      <c r="B97" s="119">
        <f>IFERROR(INDEX('Detalles movimientos'!C$5:C$1021, MATCH(88, 'Detalles movimientos'!$V$5:$V$1021, 0)), "")</f>
        <v/>
      </c>
      <c r="C97" s="18">
        <f>IFERROR(INDEX('Detalles movimientos'!D$5:D$1021, MATCH(88, 'Detalles movimientos'!$V$5:$V$1021, 0)), "")</f>
        <v/>
      </c>
      <c r="D97" s="19">
        <f>IFERROR(INDEX('Detalles movimientos'!E$5:E$1021, MATCH(88, 'Detalles movimientos'!$V$5:$V$1021, 0)), "")</f>
        <v/>
      </c>
      <c r="E97" s="19">
        <f>IFERROR(INDEX('Detalles movimientos'!F$5:F$1021, MATCH(88, 'Detalles movimientos'!$V$5:$V$1021, 0)), "")</f>
        <v/>
      </c>
      <c r="F97" s="18">
        <f>IFERROR(INDEX('Detalles movimientos'!G$5:G$1021, MATCH(88, 'Detalles movimientos'!$V$5:$V$1021, 0)), "")</f>
        <v/>
      </c>
      <c r="G97" s="120">
        <f>IFERROR(INDEX('Detalles movimientos'!H$5:H$1021, MATCH(88, 'Detalles movimientos'!$V$5:$V$1021, 0)), "")</f>
        <v/>
      </c>
      <c r="H97" s="121">
        <f>IFERROR(INDEX('Detalles movimientos'!I$5:I$1021, MATCH(88, 'Detalles movimientos'!$V$5:$V$1021, 0)), "")</f>
        <v/>
      </c>
      <c r="I97" s="120">
        <f>IFERROR(INDEX('Detalles movimientos'!M$5:M$1021, MATCH(88, 'Detalles movimientos'!$V$5:$V$1021, 0)), "")</f>
        <v/>
      </c>
      <c r="J97" s="19">
        <f>IFERROR(INDEX('Detalles movimientos'!N$5:N$1021, MATCH(88, 'Detalles movimientos'!$V$5:$V$1021, 0)), "")</f>
        <v/>
      </c>
      <c r="K97" s="120">
        <f>IFERROR(INDEX('Detalles movimientos'!O$5:O$1021, MATCH(88, 'Detalles movimientos'!$V$5:$V$1021, 0)), "")</f>
        <v/>
      </c>
      <c r="L97" s="18">
        <f>IFERROR(INDEX('Detalles movimientos'!P$5:P$1021, MATCH(88, 'Detalles movimientos'!$V$5:$V$1021, 0)), "")</f>
        <v/>
      </c>
      <c r="M97" s="18">
        <f>IFERROR(INDEX('Detalles movimientos'!S$5:S$1021, MATCH(88, 'Detalles movimientos'!$V$5:$V$1021, 0)), "")</f>
        <v/>
      </c>
    </row>
    <row r="98">
      <c r="B98" s="119">
        <f>IFERROR(INDEX('Detalles movimientos'!C$5:C$1021, MATCH(89, 'Detalles movimientos'!$V$5:$V$1021, 0)), "")</f>
        <v/>
      </c>
      <c r="C98" s="18">
        <f>IFERROR(INDEX('Detalles movimientos'!D$5:D$1021, MATCH(89, 'Detalles movimientos'!$V$5:$V$1021, 0)), "")</f>
        <v/>
      </c>
      <c r="D98" s="19">
        <f>IFERROR(INDEX('Detalles movimientos'!E$5:E$1021, MATCH(89, 'Detalles movimientos'!$V$5:$V$1021, 0)), "")</f>
        <v/>
      </c>
      <c r="E98" s="19">
        <f>IFERROR(INDEX('Detalles movimientos'!F$5:F$1021, MATCH(89, 'Detalles movimientos'!$V$5:$V$1021, 0)), "")</f>
        <v/>
      </c>
      <c r="F98" s="18">
        <f>IFERROR(INDEX('Detalles movimientos'!G$5:G$1021, MATCH(89, 'Detalles movimientos'!$V$5:$V$1021, 0)), "")</f>
        <v/>
      </c>
      <c r="G98" s="120">
        <f>IFERROR(INDEX('Detalles movimientos'!H$5:H$1021, MATCH(89, 'Detalles movimientos'!$V$5:$V$1021, 0)), "")</f>
        <v/>
      </c>
      <c r="H98" s="121">
        <f>IFERROR(INDEX('Detalles movimientos'!I$5:I$1021, MATCH(89, 'Detalles movimientos'!$V$5:$V$1021, 0)), "")</f>
        <v/>
      </c>
      <c r="I98" s="120">
        <f>IFERROR(INDEX('Detalles movimientos'!M$5:M$1021, MATCH(89, 'Detalles movimientos'!$V$5:$V$1021, 0)), "")</f>
        <v/>
      </c>
      <c r="J98" s="19">
        <f>IFERROR(INDEX('Detalles movimientos'!N$5:N$1021, MATCH(89, 'Detalles movimientos'!$V$5:$V$1021, 0)), "")</f>
        <v/>
      </c>
      <c r="K98" s="120">
        <f>IFERROR(INDEX('Detalles movimientos'!O$5:O$1021, MATCH(89, 'Detalles movimientos'!$V$5:$V$1021, 0)), "")</f>
        <v/>
      </c>
      <c r="L98" s="18">
        <f>IFERROR(INDEX('Detalles movimientos'!P$5:P$1021, MATCH(89, 'Detalles movimientos'!$V$5:$V$1021, 0)), "")</f>
        <v/>
      </c>
      <c r="M98" s="18">
        <f>IFERROR(INDEX('Detalles movimientos'!S$5:S$1021, MATCH(89, 'Detalles movimientos'!$V$5:$V$1021, 0)), "")</f>
        <v/>
      </c>
    </row>
    <row r="99">
      <c r="B99" s="119">
        <f>IFERROR(INDEX('Detalles movimientos'!C$5:C$1021, MATCH(90, 'Detalles movimientos'!$V$5:$V$1021, 0)), "")</f>
        <v/>
      </c>
      <c r="C99" s="18">
        <f>IFERROR(INDEX('Detalles movimientos'!D$5:D$1021, MATCH(90, 'Detalles movimientos'!$V$5:$V$1021, 0)), "")</f>
        <v/>
      </c>
      <c r="D99" s="19">
        <f>IFERROR(INDEX('Detalles movimientos'!E$5:E$1021, MATCH(90, 'Detalles movimientos'!$V$5:$V$1021, 0)), "")</f>
        <v/>
      </c>
      <c r="E99" s="19">
        <f>IFERROR(INDEX('Detalles movimientos'!F$5:F$1021, MATCH(90, 'Detalles movimientos'!$V$5:$V$1021, 0)), "")</f>
        <v/>
      </c>
      <c r="F99" s="18">
        <f>IFERROR(INDEX('Detalles movimientos'!G$5:G$1021, MATCH(90, 'Detalles movimientos'!$V$5:$V$1021, 0)), "")</f>
        <v/>
      </c>
      <c r="G99" s="120">
        <f>IFERROR(INDEX('Detalles movimientos'!H$5:H$1021, MATCH(90, 'Detalles movimientos'!$V$5:$V$1021, 0)), "")</f>
        <v/>
      </c>
      <c r="H99" s="121">
        <f>IFERROR(INDEX('Detalles movimientos'!I$5:I$1021, MATCH(90, 'Detalles movimientos'!$V$5:$V$1021, 0)), "")</f>
        <v/>
      </c>
      <c r="I99" s="120">
        <f>IFERROR(INDEX('Detalles movimientos'!M$5:M$1021, MATCH(90, 'Detalles movimientos'!$V$5:$V$1021, 0)), "")</f>
        <v/>
      </c>
      <c r="J99" s="19">
        <f>IFERROR(INDEX('Detalles movimientos'!N$5:N$1021, MATCH(90, 'Detalles movimientos'!$V$5:$V$1021, 0)), "")</f>
        <v/>
      </c>
      <c r="K99" s="120">
        <f>IFERROR(INDEX('Detalles movimientos'!O$5:O$1021, MATCH(90, 'Detalles movimientos'!$V$5:$V$1021, 0)), "")</f>
        <v/>
      </c>
      <c r="L99" s="18">
        <f>IFERROR(INDEX('Detalles movimientos'!P$5:P$1021, MATCH(90, 'Detalles movimientos'!$V$5:$V$1021, 0)), "")</f>
        <v/>
      </c>
      <c r="M99" s="18">
        <f>IFERROR(INDEX('Detalles movimientos'!S$5:S$1021, MATCH(90, 'Detalles movimientos'!$V$5:$V$1021, 0)), "")</f>
        <v/>
      </c>
    </row>
    <row r="100">
      <c r="B100" s="119">
        <f>IFERROR(INDEX('Detalles movimientos'!C$5:C$1021, MATCH(91, 'Detalles movimientos'!$V$5:$V$1021, 0)), "")</f>
        <v/>
      </c>
      <c r="C100" s="18">
        <f>IFERROR(INDEX('Detalles movimientos'!D$5:D$1021, MATCH(91, 'Detalles movimientos'!$V$5:$V$1021, 0)), "")</f>
        <v/>
      </c>
      <c r="D100" s="19">
        <f>IFERROR(INDEX('Detalles movimientos'!E$5:E$1021, MATCH(91, 'Detalles movimientos'!$V$5:$V$1021, 0)), "")</f>
        <v/>
      </c>
      <c r="E100" s="19">
        <f>IFERROR(INDEX('Detalles movimientos'!F$5:F$1021, MATCH(91, 'Detalles movimientos'!$V$5:$V$1021, 0)), "")</f>
        <v/>
      </c>
      <c r="F100" s="18">
        <f>IFERROR(INDEX('Detalles movimientos'!G$5:G$1021, MATCH(91, 'Detalles movimientos'!$V$5:$V$1021, 0)), "")</f>
        <v/>
      </c>
      <c r="G100" s="120">
        <f>IFERROR(INDEX('Detalles movimientos'!H$5:H$1021, MATCH(91, 'Detalles movimientos'!$V$5:$V$1021, 0)), "")</f>
        <v/>
      </c>
      <c r="H100" s="121">
        <f>IFERROR(INDEX('Detalles movimientos'!I$5:I$1021, MATCH(91, 'Detalles movimientos'!$V$5:$V$1021, 0)), "")</f>
        <v/>
      </c>
      <c r="I100" s="120">
        <f>IFERROR(INDEX('Detalles movimientos'!M$5:M$1021, MATCH(91, 'Detalles movimientos'!$V$5:$V$1021, 0)), "")</f>
        <v/>
      </c>
      <c r="J100" s="19">
        <f>IFERROR(INDEX('Detalles movimientos'!N$5:N$1021, MATCH(91, 'Detalles movimientos'!$V$5:$V$1021, 0)), "")</f>
        <v/>
      </c>
      <c r="K100" s="120">
        <f>IFERROR(INDEX('Detalles movimientos'!O$5:O$1021, MATCH(91, 'Detalles movimientos'!$V$5:$V$1021, 0)), "")</f>
        <v/>
      </c>
      <c r="L100" s="18">
        <f>IFERROR(INDEX('Detalles movimientos'!P$5:P$1021, MATCH(91, 'Detalles movimientos'!$V$5:$V$1021, 0)), "")</f>
        <v/>
      </c>
      <c r="M100" s="18">
        <f>IFERROR(INDEX('Detalles movimientos'!S$5:S$1021, MATCH(91, 'Detalles movimientos'!$V$5:$V$1021, 0)), "")</f>
        <v/>
      </c>
    </row>
    <row r="101">
      <c r="B101" s="119">
        <f>IFERROR(INDEX('Detalles movimientos'!C$5:C$1021, MATCH(92, 'Detalles movimientos'!$V$5:$V$1021, 0)), "")</f>
        <v/>
      </c>
      <c r="C101" s="18">
        <f>IFERROR(INDEX('Detalles movimientos'!D$5:D$1021, MATCH(92, 'Detalles movimientos'!$V$5:$V$1021, 0)), "")</f>
        <v/>
      </c>
      <c r="D101" s="19">
        <f>IFERROR(INDEX('Detalles movimientos'!E$5:E$1021, MATCH(92, 'Detalles movimientos'!$V$5:$V$1021, 0)), "")</f>
        <v/>
      </c>
      <c r="E101" s="19">
        <f>IFERROR(INDEX('Detalles movimientos'!F$5:F$1021, MATCH(92, 'Detalles movimientos'!$V$5:$V$1021, 0)), "")</f>
        <v/>
      </c>
      <c r="F101" s="18">
        <f>IFERROR(INDEX('Detalles movimientos'!G$5:G$1021, MATCH(92, 'Detalles movimientos'!$V$5:$V$1021, 0)), "")</f>
        <v/>
      </c>
      <c r="G101" s="120">
        <f>IFERROR(INDEX('Detalles movimientos'!H$5:H$1021, MATCH(92, 'Detalles movimientos'!$V$5:$V$1021, 0)), "")</f>
        <v/>
      </c>
      <c r="H101" s="121">
        <f>IFERROR(INDEX('Detalles movimientos'!I$5:I$1021, MATCH(92, 'Detalles movimientos'!$V$5:$V$1021, 0)), "")</f>
        <v/>
      </c>
      <c r="I101" s="120">
        <f>IFERROR(INDEX('Detalles movimientos'!M$5:M$1021, MATCH(92, 'Detalles movimientos'!$V$5:$V$1021, 0)), "")</f>
        <v/>
      </c>
      <c r="J101" s="19">
        <f>IFERROR(INDEX('Detalles movimientos'!N$5:N$1021, MATCH(92, 'Detalles movimientos'!$V$5:$V$1021, 0)), "")</f>
        <v/>
      </c>
      <c r="K101" s="120">
        <f>IFERROR(INDEX('Detalles movimientos'!O$5:O$1021, MATCH(92, 'Detalles movimientos'!$V$5:$V$1021, 0)), "")</f>
        <v/>
      </c>
      <c r="L101" s="18">
        <f>IFERROR(INDEX('Detalles movimientos'!P$5:P$1021, MATCH(92, 'Detalles movimientos'!$V$5:$V$1021, 0)), "")</f>
        <v/>
      </c>
      <c r="M101" s="18">
        <f>IFERROR(INDEX('Detalles movimientos'!S$5:S$1021, MATCH(92, 'Detalles movimientos'!$V$5:$V$1021, 0)), "")</f>
        <v/>
      </c>
    </row>
    <row r="102">
      <c r="B102" s="119">
        <f>IFERROR(INDEX('Detalles movimientos'!C$5:C$1021, MATCH(93, 'Detalles movimientos'!$V$5:$V$1021, 0)), "")</f>
        <v/>
      </c>
      <c r="C102" s="18">
        <f>IFERROR(INDEX('Detalles movimientos'!D$5:D$1021, MATCH(93, 'Detalles movimientos'!$V$5:$V$1021, 0)), "")</f>
        <v/>
      </c>
      <c r="D102" s="19">
        <f>IFERROR(INDEX('Detalles movimientos'!E$5:E$1021, MATCH(93, 'Detalles movimientos'!$V$5:$V$1021, 0)), "")</f>
        <v/>
      </c>
      <c r="E102" s="19">
        <f>IFERROR(INDEX('Detalles movimientos'!F$5:F$1021, MATCH(93, 'Detalles movimientos'!$V$5:$V$1021, 0)), "")</f>
        <v/>
      </c>
      <c r="F102" s="18">
        <f>IFERROR(INDEX('Detalles movimientos'!G$5:G$1021, MATCH(93, 'Detalles movimientos'!$V$5:$V$1021, 0)), "")</f>
        <v/>
      </c>
      <c r="G102" s="120">
        <f>IFERROR(INDEX('Detalles movimientos'!H$5:H$1021, MATCH(93, 'Detalles movimientos'!$V$5:$V$1021, 0)), "")</f>
        <v/>
      </c>
      <c r="H102" s="121">
        <f>IFERROR(INDEX('Detalles movimientos'!I$5:I$1021, MATCH(93, 'Detalles movimientos'!$V$5:$V$1021, 0)), "")</f>
        <v/>
      </c>
      <c r="I102" s="120">
        <f>IFERROR(INDEX('Detalles movimientos'!M$5:M$1021, MATCH(93, 'Detalles movimientos'!$V$5:$V$1021, 0)), "")</f>
        <v/>
      </c>
      <c r="J102" s="19">
        <f>IFERROR(INDEX('Detalles movimientos'!N$5:N$1021, MATCH(93, 'Detalles movimientos'!$V$5:$V$1021, 0)), "")</f>
        <v/>
      </c>
      <c r="K102" s="120">
        <f>IFERROR(INDEX('Detalles movimientos'!O$5:O$1021, MATCH(93, 'Detalles movimientos'!$V$5:$V$1021, 0)), "")</f>
        <v/>
      </c>
      <c r="L102" s="18">
        <f>IFERROR(INDEX('Detalles movimientos'!P$5:P$1021, MATCH(93, 'Detalles movimientos'!$V$5:$V$1021, 0)), "")</f>
        <v/>
      </c>
      <c r="M102" s="18">
        <f>IFERROR(INDEX('Detalles movimientos'!S$5:S$1021, MATCH(93, 'Detalles movimientos'!$V$5:$V$1021, 0)), "")</f>
        <v/>
      </c>
    </row>
    <row r="103">
      <c r="B103" s="119">
        <f>IFERROR(INDEX('Detalles movimientos'!C$5:C$1021, MATCH(94, 'Detalles movimientos'!$V$5:$V$1021, 0)), "")</f>
        <v/>
      </c>
      <c r="C103" s="18">
        <f>IFERROR(INDEX('Detalles movimientos'!D$5:D$1021, MATCH(94, 'Detalles movimientos'!$V$5:$V$1021, 0)), "")</f>
        <v/>
      </c>
      <c r="D103" s="19">
        <f>IFERROR(INDEX('Detalles movimientos'!E$5:E$1021, MATCH(94, 'Detalles movimientos'!$V$5:$V$1021, 0)), "")</f>
        <v/>
      </c>
      <c r="E103" s="19">
        <f>IFERROR(INDEX('Detalles movimientos'!F$5:F$1021, MATCH(94, 'Detalles movimientos'!$V$5:$V$1021, 0)), "")</f>
        <v/>
      </c>
      <c r="F103" s="18">
        <f>IFERROR(INDEX('Detalles movimientos'!G$5:G$1021, MATCH(94, 'Detalles movimientos'!$V$5:$V$1021, 0)), "")</f>
        <v/>
      </c>
      <c r="G103" s="120">
        <f>IFERROR(INDEX('Detalles movimientos'!H$5:H$1021, MATCH(94, 'Detalles movimientos'!$V$5:$V$1021, 0)), "")</f>
        <v/>
      </c>
      <c r="H103" s="121">
        <f>IFERROR(INDEX('Detalles movimientos'!I$5:I$1021, MATCH(94, 'Detalles movimientos'!$V$5:$V$1021, 0)), "")</f>
        <v/>
      </c>
      <c r="I103" s="120">
        <f>IFERROR(INDEX('Detalles movimientos'!M$5:M$1021, MATCH(94, 'Detalles movimientos'!$V$5:$V$1021, 0)), "")</f>
        <v/>
      </c>
      <c r="J103" s="19">
        <f>IFERROR(INDEX('Detalles movimientos'!N$5:N$1021, MATCH(94, 'Detalles movimientos'!$V$5:$V$1021, 0)), "")</f>
        <v/>
      </c>
      <c r="K103" s="120">
        <f>IFERROR(INDEX('Detalles movimientos'!O$5:O$1021, MATCH(94, 'Detalles movimientos'!$V$5:$V$1021, 0)), "")</f>
        <v/>
      </c>
      <c r="L103" s="18">
        <f>IFERROR(INDEX('Detalles movimientos'!P$5:P$1021, MATCH(94, 'Detalles movimientos'!$V$5:$V$1021, 0)), "")</f>
        <v/>
      </c>
      <c r="M103" s="18">
        <f>IFERROR(INDEX('Detalles movimientos'!S$5:S$1021, MATCH(94, 'Detalles movimientos'!$V$5:$V$1021, 0)), "")</f>
        <v/>
      </c>
    </row>
    <row r="104">
      <c r="B104" s="119">
        <f>IFERROR(INDEX('Detalles movimientos'!C$5:C$1021, MATCH(95, 'Detalles movimientos'!$V$5:$V$1021, 0)), "")</f>
        <v/>
      </c>
      <c r="C104" s="18">
        <f>IFERROR(INDEX('Detalles movimientos'!D$5:D$1021, MATCH(95, 'Detalles movimientos'!$V$5:$V$1021, 0)), "")</f>
        <v/>
      </c>
      <c r="D104" s="19">
        <f>IFERROR(INDEX('Detalles movimientos'!E$5:E$1021, MATCH(95, 'Detalles movimientos'!$V$5:$V$1021, 0)), "")</f>
        <v/>
      </c>
      <c r="E104" s="19">
        <f>IFERROR(INDEX('Detalles movimientos'!F$5:F$1021, MATCH(95, 'Detalles movimientos'!$V$5:$V$1021, 0)), "")</f>
        <v/>
      </c>
      <c r="F104" s="18">
        <f>IFERROR(INDEX('Detalles movimientos'!G$5:G$1021, MATCH(95, 'Detalles movimientos'!$V$5:$V$1021, 0)), "")</f>
        <v/>
      </c>
      <c r="G104" s="120">
        <f>IFERROR(INDEX('Detalles movimientos'!H$5:H$1021, MATCH(95, 'Detalles movimientos'!$V$5:$V$1021, 0)), "")</f>
        <v/>
      </c>
      <c r="H104" s="121">
        <f>IFERROR(INDEX('Detalles movimientos'!I$5:I$1021, MATCH(95, 'Detalles movimientos'!$V$5:$V$1021, 0)), "")</f>
        <v/>
      </c>
      <c r="I104" s="120">
        <f>IFERROR(INDEX('Detalles movimientos'!M$5:M$1021, MATCH(95, 'Detalles movimientos'!$V$5:$V$1021, 0)), "")</f>
        <v/>
      </c>
      <c r="J104" s="19">
        <f>IFERROR(INDEX('Detalles movimientos'!N$5:N$1021, MATCH(95, 'Detalles movimientos'!$V$5:$V$1021, 0)), "")</f>
        <v/>
      </c>
      <c r="K104" s="120">
        <f>IFERROR(INDEX('Detalles movimientos'!O$5:O$1021, MATCH(95, 'Detalles movimientos'!$V$5:$V$1021, 0)), "")</f>
        <v/>
      </c>
      <c r="L104" s="18">
        <f>IFERROR(INDEX('Detalles movimientos'!P$5:P$1021, MATCH(95, 'Detalles movimientos'!$V$5:$V$1021, 0)), "")</f>
        <v/>
      </c>
      <c r="M104" s="18">
        <f>IFERROR(INDEX('Detalles movimientos'!S$5:S$1021, MATCH(95, 'Detalles movimientos'!$V$5:$V$1021, 0)), "")</f>
        <v/>
      </c>
    </row>
    <row r="105">
      <c r="B105" s="119">
        <f>IFERROR(INDEX('Detalles movimientos'!C$5:C$1021, MATCH(96, 'Detalles movimientos'!$V$5:$V$1021, 0)), "")</f>
        <v/>
      </c>
      <c r="C105" s="18">
        <f>IFERROR(INDEX('Detalles movimientos'!D$5:D$1021, MATCH(96, 'Detalles movimientos'!$V$5:$V$1021, 0)), "")</f>
        <v/>
      </c>
      <c r="D105" s="19">
        <f>IFERROR(INDEX('Detalles movimientos'!E$5:E$1021, MATCH(96, 'Detalles movimientos'!$V$5:$V$1021, 0)), "")</f>
        <v/>
      </c>
      <c r="E105" s="19">
        <f>IFERROR(INDEX('Detalles movimientos'!F$5:F$1021, MATCH(96, 'Detalles movimientos'!$V$5:$V$1021, 0)), "")</f>
        <v/>
      </c>
      <c r="F105" s="18">
        <f>IFERROR(INDEX('Detalles movimientos'!G$5:G$1021, MATCH(96, 'Detalles movimientos'!$V$5:$V$1021, 0)), "")</f>
        <v/>
      </c>
      <c r="G105" s="120">
        <f>IFERROR(INDEX('Detalles movimientos'!H$5:H$1021, MATCH(96, 'Detalles movimientos'!$V$5:$V$1021, 0)), "")</f>
        <v/>
      </c>
      <c r="H105" s="121">
        <f>IFERROR(INDEX('Detalles movimientos'!I$5:I$1021, MATCH(96, 'Detalles movimientos'!$V$5:$V$1021, 0)), "")</f>
        <v/>
      </c>
      <c r="I105" s="120">
        <f>IFERROR(INDEX('Detalles movimientos'!M$5:M$1021, MATCH(96, 'Detalles movimientos'!$V$5:$V$1021, 0)), "")</f>
        <v/>
      </c>
      <c r="J105" s="19">
        <f>IFERROR(INDEX('Detalles movimientos'!N$5:N$1021, MATCH(96, 'Detalles movimientos'!$V$5:$V$1021, 0)), "")</f>
        <v/>
      </c>
      <c r="K105" s="120">
        <f>IFERROR(INDEX('Detalles movimientos'!O$5:O$1021, MATCH(96, 'Detalles movimientos'!$V$5:$V$1021, 0)), "")</f>
        <v/>
      </c>
      <c r="L105" s="18">
        <f>IFERROR(INDEX('Detalles movimientos'!P$5:P$1021, MATCH(96, 'Detalles movimientos'!$V$5:$V$1021, 0)), "")</f>
        <v/>
      </c>
      <c r="M105" s="18">
        <f>IFERROR(INDEX('Detalles movimientos'!S$5:S$1021, MATCH(96, 'Detalles movimientos'!$V$5:$V$1021, 0)), "")</f>
        <v/>
      </c>
    </row>
    <row r="106">
      <c r="B106" s="119">
        <f>IFERROR(INDEX('Detalles movimientos'!C$5:C$1021, MATCH(97, 'Detalles movimientos'!$V$5:$V$1021, 0)), "")</f>
        <v/>
      </c>
      <c r="C106" s="18">
        <f>IFERROR(INDEX('Detalles movimientos'!D$5:D$1021, MATCH(97, 'Detalles movimientos'!$V$5:$V$1021, 0)), "")</f>
        <v/>
      </c>
      <c r="D106" s="19">
        <f>IFERROR(INDEX('Detalles movimientos'!E$5:E$1021, MATCH(97, 'Detalles movimientos'!$V$5:$V$1021, 0)), "")</f>
        <v/>
      </c>
      <c r="E106" s="19">
        <f>IFERROR(INDEX('Detalles movimientos'!F$5:F$1021, MATCH(97, 'Detalles movimientos'!$V$5:$V$1021, 0)), "")</f>
        <v/>
      </c>
      <c r="F106" s="18">
        <f>IFERROR(INDEX('Detalles movimientos'!G$5:G$1021, MATCH(97, 'Detalles movimientos'!$V$5:$V$1021, 0)), "")</f>
        <v/>
      </c>
      <c r="G106" s="120">
        <f>IFERROR(INDEX('Detalles movimientos'!H$5:H$1021, MATCH(97, 'Detalles movimientos'!$V$5:$V$1021, 0)), "")</f>
        <v/>
      </c>
      <c r="H106" s="121">
        <f>IFERROR(INDEX('Detalles movimientos'!I$5:I$1021, MATCH(97, 'Detalles movimientos'!$V$5:$V$1021, 0)), "")</f>
        <v/>
      </c>
      <c r="I106" s="120">
        <f>IFERROR(INDEX('Detalles movimientos'!M$5:M$1021, MATCH(97, 'Detalles movimientos'!$V$5:$V$1021, 0)), "")</f>
        <v/>
      </c>
      <c r="J106" s="19">
        <f>IFERROR(INDEX('Detalles movimientos'!N$5:N$1021, MATCH(97, 'Detalles movimientos'!$V$5:$V$1021, 0)), "")</f>
        <v/>
      </c>
      <c r="K106" s="120">
        <f>IFERROR(INDEX('Detalles movimientos'!O$5:O$1021, MATCH(97, 'Detalles movimientos'!$V$5:$V$1021, 0)), "")</f>
        <v/>
      </c>
      <c r="L106" s="18">
        <f>IFERROR(INDEX('Detalles movimientos'!P$5:P$1021, MATCH(97, 'Detalles movimientos'!$V$5:$V$1021, 0)), "")</f>
        <v/>
      </c>
      <c r="M106" s="18">
        <f>IFERROR(INDEX('Detalles movimientos'!S$5:S$1021, MATCH(97, 'Detalles movimientos'!$V$5:$V$1021, 0)), "")</f>
        <v/>
      </c>
    </row>
    <row r="107">
      <c r="B107" s="119">
        <f>IFERROR(INDEX('Detalles movimientos'!C$5:C$1021, MATCH(98, 'Detalles movimientos'!$V$5:$V$1021, 0)), "")</f>
        <v/>
      </c>
      <c r="C107" s="18">
        <f>IFERROR(INDEX('Detalles movimientos'!D$5:D$1021, MATCH(98, 'Detalles movimientos'!$V$5:$V$1021, 0)), "")</f>
        <v/>
      </c>
      <c r="D107" s="19">
        <f>IFERROR(INDEX('Detalles movimientos'!E$5:E$1021, MATCH(98, 'Detalles movimientos'!$V$5:$V$1021, 0)), "")</f>
        <v/>
      </c>
      <c r="E107" s="19">
        <f>IFERROR(INDEX('Detalles movimientos'!F$5:F$1021, MATCH(98, 'Detalles movimientos'!$V$5:$V$1021, 0)), "")</f>
        <v/>
      </c>
      <c r="F107" s="18">
        <f>IFERROR(INDEX('Detalles movimientos'!G$5:G$1021, MATCH(98, 'Detalles movimientos'!$V$5:$V$1021, 0)), "")</f>
        <v/>
      </c>
      <c r="G107" s="120">
        <f>IFERROR(INDEX('Detalles movimientos'!H$5:H$1021, MATCH(98, 'Detalles movimientos'!$V$5:$V$1021, 0)), "")</f>
        <v/>
      </c>
      <c r="H107" s="121">
        <f>IFERROR(INDEX('Detalles movimientos'!I$5:I$1021, MATCH(98, 'Detalles movimientos'!$V$5:$V$1021, 0)), "")</f>
        <v/>
      </c>
      <c r="I107" s="120">
        <f>IFERROR(INDEX('Detalles movimientos'!M$5:M$1021, MATCH(98, 'Detalles movimientos'!$V$5:$V$1021, 0)), "")</f>
        <v/>
      </c>
      <c r="J107" s="19">
        <f>IFERROR(INDEX('Detalles movimientos'!N$5:N$1021, MATCH(98, 'Detalles movimientos'!$V$5:$V$1021, 0)), "")</f>
        <v/>
      </c>
      <c r="K107" s="120">
        <f>IFERROR(INDEX('Detalles movimientos'!O$5:O$1021, MATCH(98, 'Detalles movimientos'!$V$5:$V$1021, 0)), "")</f>
        <v/>
      </c>
      <c r="L107" s="18">
        <f>IFERROR(INDEX('Detalles movimientos'!P$5:P$1021, MATCH(98, 'Detalles movimientos'!$V$5:$V$1021, 0)), "")</f>
        <v/>
      </c>
      <c r="M107" s="18">
        <f>IFERROR(INDEX('Detalles movimientos'!S$5:S$1021, MATCH(98, 'Detalles movimientos'!$V$5:$V$1021, 0)), "")</f>
        <v/>
      </c>
    </row>
    <row r="108">
      <c r="B108" s="119">
        <f>IFERROR(INDEX('Detalles movimientos'!C$5:C$1021, MATCH(99, 'Detalles movimientos'!$V$5:$V$1021, 0)), "")</f>
        <v/>
      </c>
      <c r="C108" s="18">
        <f>IFERROR(INDEX('Detalles movimientos'!D$5:D$1021, MATCH(99, 'Detalles movimientos'!$V$5:$V$1021, 0)), "")</f>
        <v/>
      </c>
      <c r="D108" s="19">
        <f>IFERROR(INDEX('Detalles movimientos'!E$5:E$1021, MATCH(99, 'Detalles movimientos'!$V$5:$V$1021, 0)), "")</f>
        <v/>
      </c>
      <c r="E108" s="19">
        <f>IFERROR(INDEX('Detalles movimientos'!F$5:F$1021, MATCH(99, 'Detalles movimientos'!$V$5:$V$1021, 0)), "")</f>
        <v/>
      </c>
      <c r="F108" s="18">
        <f>IFERROR(INDEX('Detalles movimientos'!G$5:G$1021, MATCH(99, 'Detalles movimientos'!$V$5:$V$1021, 0)), "")</f>
        <v/>
      </c>
      <c r="G108" s="120">
        <f>IFERROR(INDEX('Detalles movimientos'!H$5:H$1021, MATCH(99, 'Detalles movimientos'!$V$5:$V$1021, 0)), "")</f>
        <v/>
      </c>
      <c r="H108" s="121">
        <f>IFERROR(INDEX('Detalles movimientos'!I$5:I$1021, MATCH(99, 'Detalles movimientos'!$V$5:$V$1021, 0)), "")</f>
        <v/>
      </c>
      <c r="I108" s="120">
        <f>IFERROR(INDEX('Detalles movimientos'!M$5:M$1021, MATCH(99, 'Detalles movimientos'!$V$5:$V$1021, 0)), "")</f>
        <v/>
      </c>
      <c r="J108" s="19">
        <f>IFERROR(INDEX('Detalles movimientos'!N$5:N$1021, MATCH(99, 'Detalles movimientos'!$V$5:$V$1021, 0)), "")</f>
        <v/>
      </c>
      <c r="K108" s="120">
        <f>IFERROR(INDEX('Detalles movimientos'!O$5:O$1021, MATCH(99, 'Detalles movimientos'!$V$5:$V$1021, 0)), "")</f>
        <v/>
      </c>
      <c r="L108" s="18">
        <f>IFERROR(INDEX('Detalles movimientos'!P$5:P$1021, MATCH(99, 'Detalles movimientos'!$V$5:$V$1021, 0)), "")</f>
        <v/>
      </c>
      <c r="M108" s="18">
        <f>IFERROR(INDEX('Detalles movimientos'!S$5:S$1021, MATCH(99, 'Detalles movimientos'!$V$5:$V$1021, 0)), "")</f>
        <v/>
      </c>
    </row>
    <row r="109">
      <c r="B109" s="119">
        <f>IFERROR(INDEX('Detalles movimientos'!C$5:C$1021, MATCH(100, 'Detalles movimientos'!$V$5:$V$1021, 0)), "")</f>
        <v/>
      </c>
      <c r="C109" s="18">
        <f>IFERROR(INDEX('Detalles movimientos'!D$5:D$1021, MATCH(100, 'Detalles movimientos'!$V$5:$V$1021, 0)), "")</f>
        <v/>
      </c>
      <c r="D109" s="19">
        <f>IFERROR(INDEX('Detalles movimientos'!E$5:E$1021, MATCH(100, 'Detalles movimientos'!$V$5:$V$1021, 0)), "")</f>
        <v/>
      </c>
      <c r="E109" s="19">
        <f>IFERROR(INDEX('Detalles movimientos'!F$5:F$1021, MATCH(100, 'Detalles movimientos'!$V$5:$V$1021, 0)), "")</f>
        <v/>
      </c>
      <c r="F109" s="18">
        <f>IFERROR(INDEX('Detalles movimientos'!G$5:G$1021, MATCH(100, 'Detalles movimientos'!$V$5:$V$1021, 0)), "")</f>
        <v/>
      </c>
      <c r="G109" s="120">
        <f>IFERROR(INDEX('Detalles movimientos'!H$5:H$1021, MATCH(100, 'Detalles movimientos'!$V$5:$V$1021, 0)), "")</f>
        <v/>
      </c>
      <c r="H109" s="121">
        <f>IFERROR(INDEX('Detalles movimientos'!I$5:I$1021, MATCH(100, 'Detalles movimientos'!$V$5:$V$1021, 0)), "")</f>
        <v/>
      </c>
      <c r="I109" s="120">
        <f>IFERROR(INDEX('Detalles movimientos'!M$5:M$1021, MATCH(100, 'Detalles movimientos'!$V$5:$V$1021, 0)), "")</f>
        <v/>
      </c>
      <c r="J109" s="19">
        <f>IFERROR(INDEX('Detalles movimientos'!N$5:N$1021, MATCH(100, 'Detalles movimientos'!$V$5:$V$1021, 0)), "")</f>
        <v/>
      </c>
      <c r="K109" s="120">
        <f>IFERROR(INDEX('Detalles movimientos'!O$5:O$1021, MATCH(100, 'Detalles movimientos'!$V$5:$V$1021, 0)), "")</f>
        <v/>
      </c>
      <c r="L109" s="18">
        <f>IFERROR(INDEX('Detalles movimientos'!P$5:P$1021, MATCH(100, 'Detalles movimientos'!$V$5:$V$1021, 0)), "")</f>
        <v/>
      </c>
      <c r="M109" s="18">
        <f>IFERROR(INDEX('Detalles movimientos'!S$5:S$1021, MATCH(100, 'Detalles movimientos'!$V$5:$V$1021, 0)), "")</f>
        <v/>
      </c>
    </row>
    <row r="110">
      <c r="B110" s="119">
        <f>IFERROR(INDEX('Detalles movimientos'!C$5:C$1021, MATCH(101, 'Detalles movimientos'!$V$5:$V$1021, 0)), "")</f>
        <v/>
      </c>
      <c r="C110" s="18">
        <f>IFERROR(INDEX('Detalles movimientos'!D$5:D$1021, MATCH(101, 'Detalles movimientos'!$V$5:$V$1021, 0)), "")</f>
        <v/>
      </c>
      <c r="D110" s="19">
        <f>IFERROR(INDEX('Detalles movimientos'!E$5:E$1021, MATCH(101, 'Detalles movimientos'!$V$5:$V$1021, 0)), "")</f>
        <v/>
      </c>
      <c r="E110" s="19">
        <f>IFERROR(INDEX('Detalles movimientos'!F$5:F$1021, MATCH(101, 'Detalles movimientos'!$V$5:$V$1021, 0)), "")</f>
        <v/>
      </c>
      <c r="F110" s="18">
        <f>IFERROR(INDEX('Detalles movimientos'!G$5:G$1021, MATCH(101, 'Detalles movimientos'!$V$5:$V$1021, 0)), "")</f>
        <v/>
      </c>
      <c r="G110" s="120">
        <f>IFERROR(INDEX('Detalles movimientos'!H$5:H$1021, MATCH(101, 'Detalles movimientos'!$V$5:$V$1021, 0)), "")</f>
        <v/>
      </c>
      <c r="H110" s="121">
        <f>IFERROR(INDEX('Detalles movimientos'!I$5:I$1021, MATCH(101, 'Detalles movimientos'!$V$5:$V$1021, 0)), "")</f>
        <v/>
      </c>
      <c r="I110" s="120">
        <f>IFERROR(INDEX('Detalles movimientos'!M$5:M$1021, MATCH(101, 'Detalles movimientos'!$V$5:$V$1021, 0)), "")</f>
        <v/>
      </c>
      <c r="J110" s="19">
        <f>IFERROR(INDEX('Detalles movimientos'!N$5:N$1021, MATCH(101, 'Detalles movimientos'!$V$5:$V$1021, 0)), "")</f>
        <v/>
      </c>
      <c r="K110" s="120">
        <f>IFERROR(INDEX('Detalles movimientos'!O$5:O$1021, MATCH(101, 'Detalles movimientos'!$V$5:$V$1021, 0)), "")</f>
        <v/>
      </c>
      <c r="L110" s="18">
        <f>IFERROR(INDEX('Detalles movimientos'!P$5:P$1021, MATCH(101, 'Detalles movimientos'!$V$5:$V$1021, 0)), "")</f>
        <v/>
      </c>
      <c r="M110" s="18">
        <f>IFERROR(INDEX('Detalles movimientos'!S$5:S$1021, MATCH(101, 'Detalles movimientos'!$V$5:$V$1021, 0)), "")</f>
        <v/>
      </c>
    </row>
    <row r="111">
      <c r="B111" s="119">
        <f>IFERROR(INDEX('Detalles movimientos'!C$5:C$1021, MATCH(102, 'Detalles movimientos'!$V$5:$V$1021, 0)), "")</f>
        <v/>
      </c>
      <c r="C111" s="18">
        <f>IFERROR(INDEX('Detalles movimientos'!D$5:D$1021, MATCH(102, 'Detalles movimientos'!$V$5:$V$1021, 0)), "")</f>
        <v/>
      </c>
      <c r="D111" s="19">
        <f>IFERROR(INDEX('Detalles movimientos'!E$5:E$1021, MATCH(102, 'Detalles movimientos'!$V$5:$V$1021, 0)), "")</f>
        <v/>
      </c>
      <c r="E111" s="19">
        <f>IFERROR(INDEX('Detalles movimientos'!F$5:F$1021, MATCH(102, 'Detalles movimientos'!$V$5:$V$1021, 0)), "")</f>
        <v/>
      </c>
      <c r="F111" s="18">
        <f>IFERROR(INDEX('Detalles movimientos'!G$5:G$1021, MATCH(102, 'Detalles movimientos'!$V$5:$V$1021, 0)), "")</f>
        <v/>
      </c>
      <c r="G111" s="120">
        <f>IFERROR(INDEX('Detalles movimientos'!H$5:H$1021, MATCH(102, 'Detalles movimientos'!$V$5:$V$1021, 0)), "")</f>
        <v/>
      </c>
      <c r="H111" s="121">
        <f>IFERROR(INDEX('Detalles movimientos'!I$5:I$1021, MATCH(102, 'Detalles movimientos'!$V$5:$V$1021, 0)), "")</f>
        <v/>
      </c>
      <c r="I111" s="120">
        <f>IFERROR(INDEX('Detalles movimientos'!M$5:M$1021, MATCH(102, 'Detalles movimientos'!$V$5:$V$1021, 0)), "")</f>
        <v/>
      </c>
      <c r="J111" s="19">
        <f>IFERROR(INDEX('Detalles movimientos'!N$5:N$1021, MATCH(102, 'Detalles movimientos'!$V$5:$V$1021, 0)), "")</f>
        <v/>
      </c>
      <c r="K111" s="120">
        <f>IFERROR(INDEX('Detalles movimientos'!O$5:O$1021, MATCH(102, 'Detalles movimientos'!$V$5:$V$1021, 0)), "")</f>
        <v/>
      </c>
      <c r="L111" s="18">
        <f>IFERROR(INDEX('Detalles movimientos'!P$5:P$1021, MATCH(102, 'Detalles movimientos'!$V$5:$V$1021, 0)), "")</f>
        <v/>
      </c>
      <c r="M111" s="18">
        <f>IFERROR(INDEX('Detalles movimientos'!S$5:S$1021, MATCH(102, 'Detalles movimientos'!$V$5:$V$1021, 0)), "")</f>
        <v/>
      </c>
    </row>
    <row r="112">
      <c r="B112" s="119">
        <f>IFERROR(INDEX('Detalles movimientos'!C$5:C$1021, MATCH(103, 'Detalles movimientos'!$V$5:$V$1021, 0)), "")</f>
        <v/>
      </c>
      <c r="C112" s="18">
        <f>IFERROR(INDEX('Detalles movimientos'!D$5:D$1021, MATCH(103, 'Detalles movimientos'!$V$5:$V$1021, 0)), "")</f>
        <v/>
      </c>
      <c r="D112" s="19">
        <f>IFERROR(INDEX('Detalles movimientos'!E$5:E$1021, MATCH(103, 'Detalles movimientos'!$V$5:$V$1021, 0)), "")</f>
        <v/>
      </c>
      <c r="E112" s="19">
        <f>IFERROR(INDEX('Detalles movimientos'!F$5:F$1021, MATCH(103, 'Detalles movimientos'!$V$5:$V$1021, 0)), "")</f>
        <v/>
      </c>
      <c r="F112" s="18">
        <f>IFERROR(INDEX('Detalles movimientos'!G$5:G$1021, MATCH(103, 'Detalles movimientos'!$V$5:$V$1021, 0)), "")</f>
        <v/>
      </c>
      <c r="G112" s="120">
        <f>IFERROR(INDEX('Detalles movimientos'!H$5:H$1021, MATCH(103, 'Detalles movimientos'!$V$5:$V$1021, 0)), "")</f>
        <v/>
      </c>
      <c r="H112" s="121">
        <f>IFERROR(INDEX('Detalles movimientos'!I$5:I$1021, MATCH(103, 'Detalles movimientos'!$V$5:$V$1021, 0)), "")</f>
        <v/>
      </c>
      <c r="I112" s="120">
        <f>IFERROR(INDEX('Detalles movimientos'!M$5:M$1021, MATCH(103, 'Detalles movimientos'!$V$5:$V$1021, 0)), "")</f>
        <v/>
      </c>
      <c r="J112" s="19">
        <f>IFERROR(INDEX('Detalles movimientos'!N$5:N$1021, MATCH(103, 'Detalles movimientos'!$V$5:$V$1021, 0)), "")</f>
        <v/>
      </c>
      <c r="K112" s="120">
        <f>IFERROR(INDEX('Detalles movimientos'!O$5:O$1021, MATCH(103, 'Detalles movimientos'!$V$5:$V$1021, 0)), "")</f>
        <v/>
      </c>
      <c r="L112" s="18">
        <f>IFERROR(INDEX('Detalles movimientos'!P$5:P$1021, MATCH(103, 'Detalles movimientos'!$V$5:$V$1021, 0)), "")</f>
        <v/>
      </c>
      <c r="M112" s="18">
        <f>IFERROR(INDEX('Detalles movimientos'!S$5:S$1021, MATCH(103, 'Detalles movimientos'!$V$5:$V$1021, 0)), "")</f>
        <v/>
      </c>
    </row>
    <row r="113">
      <c r="B113" s="119">
        <f>IFERROR(INDEX('Detalles movimientos'!C$5:C$1021, MATCH(104, 'Detalles movimientos'!$V$5:$V$1021, 0)), "")</f>
        <v/>
      </c>
      <c r="C113" s="18">
        <f>IFERROR(INDEX('Detalles movimientos'!D$5:D$1021, MATCH(104, 'Detalles movimientos'!$V$5:$V$1021, 0)), "")</f>
        <v/>
      </c>
      <c r="D113" s="19">
        <f>IFERROR(INDEX('Detalles movimientos'!E$5:E$1021, MATCH(104, 'Detalles movimientos'!$V$5:$V$1021, 0)), "")</f>
        <v/>
      </c>
      <c r="E113" s="19">
        <f>IFERROR(INDEX('Detalles movimientos'!F$5:F$1021, MATCH(104, 'Detalles movimientos'!$V$5:$V$1021, 0)), "")</f>
        <v/>
      </c>
      <c r="F113" s="18">
        <f>IFERROR(INDEX('Detalles movimientos'!G$5:G$1021, MATCH(104, 'Detalles movimientos'!$V$5:$V$1021, 0)), "")</f>
        <v/>
      </c>
      <c r="G113" s="120">
        <f>IFERROR(INDEX('Detalles movimientos'!H$5:H$1021, MATCH(104, 'Detalles movimientos'!$V$5:$V$1021, 0)), "")</f>
        <v/>
      </c>
      <c r="H113" s="121">
        <f>IFERROR(INDEX('Detalles movimientos'!I$5:I$1021, MATCH(104, 'Detalles movimientos'!$V$5:$V$1021, 0)), "")</f>
        <v/>
      </c>
      <c r="I113" s="120">
        <f>IFERROR(INDEX('Detalles movimientos'!M$5:M$1021, MATCH(104, 'Detalles movimientos'!$V$5:$V$1021, 0)), "")</f>
        <v/>
      </c>
      <c r="J113" s="19">
        <f>IFERROR(INDEX('Detalles movimientos'!N$5:N$1021, MATCH(104, 'Detalles movimientos'!$V$5:$V$1021, 0)), "")</f>
        <v/>
      </c>
      <c r="K113" s="120">
        <f>IFERROR(INDEX('Detalles movimientos'!O$5:O$1021, MATCH(104, 'Detalles movimientos'!$V$5:$V$1021, 0)), "")</f>
        <v/>
      </c>
      <c r="L113" s="18">
        <f>IFERROR(INDEX('Detalles movimientos'!P$5:P$1021, MATCH(104, 'Detalles movimientos'!$V$5:$V$1021, 0)), "")</f>
        <v/>
      </c>
      <c r="M113" s="18">
        <f>IFERROR(INDEX('Detalles movimientos'!S$5:S$1021, MATCH(104, 'Detalles movimientos'!$V$5:$V$1021, 0)), "")</f>
        <v/>
      </c>
    </row>
    <row r="114">
      <c r="B114" s="119">
        <f>IFERROR(INDEX('Detalles movimientos'!C$5:C$1021, MATCH(105, 'Detalles movimientos'!$V$5:$V$1021, 0)), "")</f>
        <v/>
      </c>
      <c r="C114" s="18">
        <f>IFERROR(INDEX('Detalles movimientos'!D$5:D$1021, MATCH(105, 'Detalles movimientos'!$V$5:$V$1021, 0)), "")</f>
        <v/>
      </c>
      <c r="D114" s="19">
        <f>IFERROR(INDEX('Detalles movimientos'!E$5:E$1021, MATCH(105, 'Detalles movimientos'!$V$5:$V$1021, 0)), "")</f>
        <v/>
      </c>
      <c r="E114" s="19">
        <f>IFERROR(INDEX('Detalles movimientos'!F$5:F$1021, MATCH(105, 'Detalles movimientos'!$V$5:$V$1021, 0)), "")</f>
        <v/>
      </c>
      <c r="F114" s="18">
        <f>IFERROR(INDEX('Detalles movimientos'!G$5:G$1021, MATCH(105, 'Detalles movimientos'!$V$5:$V$1021, 0)), "")</f>
        <v/>
      </c>
      <c r="G114" s="120">
        <f>IFERROR(INDEX('Detalles movimientos'!H$5:H$1021, MATCH(105, 'Detalles movimientos'!$V$5:$V$1021, 0)), "")</f>
        <v/>
      </c>
      <c r="H114" s="121">
        <f>IFERROR(INDEX('Detalles movimientos'!I$5:I$1021, MATCH(105, 'Detalles movimientos'!$V$5:$V$1021, 0)), "")</f>
        <v/>
      </c>
      <c r="I114" s="120">
        <f>IFERROR(INDEX('Detalles movimientos'!M$5:M$1021, MATCH(105, 'Detalles movimientos'!$V$5:$V$1021, 0)), "")</f>
        <v/>
      </c>
      <c r="J114" s="19">
        <f>IFERROR(INDEX('Detalles movimientos'!N$5:N$1021, MATCH(105, 'Detalles movimientos'!$V$5:$V$1021, 0)), "")</f>
        <v/>
      </c>
      <c r="K114" s="120">
        <f>IFERROR(INDEX('Detalles movimientos'!O$5:O$1021, MATCH(105, 'Detalles movimientos'!$V$5:$V$1021, 0)), "")</f>
        <v/>
      </c>
      <c r="L114" s="18">
        <f>IFERROR(INDEX('Detalles movimientos'!P$5:P$1021, MATCH(105, 'Detalles movimientos'!$V$5:$V$1021, 0)), "")</f>
        <v/>
      </c>
      <c r="M114" s="18">
        <f>IFERROR(INDEX('Detalles movimientos'!S$5:S$1021, MATCH(105, 'Detalles movimientos'!$V$5:$V$1021, 0)), "")</f>
        <v/>
      </c>
    </row>
    <row r="115">
      <c r="B115" s="119">
        <f>IFERROR(INDEX('Detalles movimientos'!C$5:C$1021, MATCH(106, 'Detalles movimientos'!$V$5:$V$1021, 0)), "")</f>
        <v/>
      </c>
      <c r="C115" s="18">
        <f>IFERROR(INDEX('Detalles movimientos'!D$5:D$1021, MATCH(106, 'Detalles movimientos'!$V$5:$V$1021, 0)), "")</f>
        <v/>
      </c>
      <c r="D115" s="19">
        <f>IFERROR(INDEX('Detalles movimientos'!E$5:E$1021, MATCH(106, 'Detalles movimientos'!$V$5:$V$1021, 0)), "")</f>
        <v/>
      </c>
      <c r="E115" s="19">
        <f>IFERROR(INDEX('Detalles movimientos'!F$5:F$1021, MATCH(106, 'Detalles movimientos'!$V$5:$V$1021, 0)), "")</f>
        <v/>
      </c>
      <c r="F115" s="18">
        <f>IFERROR(INDEX('Detalles movimientos'!G$5:G$1021, MATCH(106, 'Detalles movimientos'!$V$5:$V$1021, 0)), "")</f>
        <v/>
      </c>
      <c r="G115" s="120">
        <f>IFERROR(INDEX('Detalles movimientos'!H$5:H$1021, MATCH(106, 'Detalles movimientos'!$V$5:$V$1021, 0)), "")</f>
        <v/>
      </c>
      <c r="H115" s="121">
        <f>IFERROR(INDEX('Detalles movimientos'!I$5:I$1021, MATCH(106, 'Detalles movimientos'!$V$5:$V$1021, 0)), "")</f>
        <v/>
      </c>
      <c r="I115" s="120">
        <f>IFERROR(INDEX('Detalles movimientos'!M$5:M$1021, MATCH(106, 'Detalles movimientos'!$V$5:$V$1021, 0)), "")</f>
        <v/>
      </c>
      <c r="J115" s="19">
        <f>IFERROR(INDEX('Detalles movimientos'!N$5:N$1021, MATCH(106, 'Detalles movimientos'!$V$5:$V$1021, 0)), "")</f>
        <v/>
      </c>
      <c r="K115" s="120">
        <f>IFERROR(INDEX('Detalles movimientos'!O$5:O$1021, MATCH(106, 'Detalles movimientos'!$V$5:$V$1021, 0)), "")</f>
        <v/>
      </c>
      <c r="L115" s="18">
        <f>IFERROR(INDEX('Detalles movimientos'!P$5:P$1021, MATCH(106, 'Detalles movimientos'!$V$5:$V$1021, 0)), "")</f>
        <v/>
      </c>
      <c r="M115" s="18">
        <f>IFERROR(INDEX('Detalles movimientos'!S$5:S$1021, MATCH(106, 'Detalles movimientos'!$V$5:$V$1021, 0)), "")</f>
        <v/>
      </c>
    </row>
    <row r="116">
      <c r="B116" s="119">
        <f>IFERROR(INDEX('Detalles movimientos'!C$5:C$1021, MATCH(107, 'Detalles movimientos'!$V$5:$V$1021, 0)), "")</f>
        <v/>
      </c>
      <c r="C116" s="18">
        <f>IFERROR(INDEX('Detalles movimientos'!D$5:D$1021, MATCH(107, 'Detalles movimientos'!$V$5:$V$1021, 0)), "")</f>
        <v/>
      </c>
      <c r="D116" s="19">
        <f>IFERROR(INDEX('Detalles movimientos'!E$5:E$1021, MATCH(107, 'Detalles movimientos'!$V$5:$V$1021, 0)), "")</f>
        <v/>
      </c>
      <c r="E116" s="19">
        <f>IFERROR(INDEX('Detalles movimientos'!F$5:F$1021, MATCH(107, 'Detalles movimientos'!$V$5:$V$1021, 0)), "")</f>
        <v/>
      </c>
      <c r="F116" s="18">
        <f>IFERROR(INDEX('Detalles movimientos'!G$5:G$1021, MATCH(107, 'Detalles movimientos'!$V$5:$V$1021, 0)), "")</f>
        <v/>
      </c>
      <c r="G116" s="120">
        <f>IFERROR(INDEX('Detalles movimientos'!H$5:H$1021, MATCH(107, 'Detalles movimientos'!$V$5:$V$1021, 0)), "")</f>
        <v/>
      </c>
      <c r="H116" s="121">
        <f>IFERROR(INDEX('Detalles movimientos'!I$5:I$1021, MATCH(107, 'Detalles movimientos'!$V$5:$V$1021, 0)), "")</f>
        <v/>
      </c>
      <c r="I116" s="120">
        <f>IFERROR(INDEX('Detalles movimientos'!M$5:M$1021, MATCH(107, 'Detalles movimientos'!$V$5:$V$1021, 0)), "")</f>
        <v/>
      </c>
      <c r="J116" s="19">
        <f>IFERROR(INDEX('Detalles movimientos'!N$5:N$1021, MATCH(107, 'Detalles movimientos'!$V$5:$V$1021, 0)), "")</f>
        <v/>
      </c>
      <c r="K116" s="120">
        <f>IFERROR(INDEX('Detalles movimientos'!O$5:O$1021, MATCH(107, 'Detalles movimientos'!$V$5:$V$1021, 0)), "")</f>
        <v/>
      </c>
      <c r="L116" s="18">
        <f>IFERROR(INDEX('Detalles movimientos'!P$5:P$1021, MATCH(107, 'Detalles movimientos'!$V$5:$V$1021, 0)), "")</f>
        <v/>
      </c>
      <c r="M116" s="18">
        <f>IFERROR(INDEX('Detalles movimientos'!S$5:S$1021, MATCH(107, 'Detalles movimientos'!$V$5:$V$1021, 0)), "")</f>
        <v/>
      </c>
    </row>
    <row r="117">
      <c r="B117" s="119">
        <f>IFERROR(INDEX('Detalles movimientos'!C$5:C$1021, MATCH(108, 'Detalles movimientos'!$V$5:$V$1021, 0)), "")</f>
        <v/>
      </c>
      <c r="C117" s="18">
        <f>IFERROR(INDEX('Detalles movimientos'!D$5:D$1021, MATCH(108, 'Detalles movimientos'!$V$5:$V$1021, 0)), "")</f>
        <v/>
      </c>
      <c r="D117" s="19">
        <f>IFERROR(INDEX('Detalles movimientos'!E$5:E$1021, MATCH(108, 'Detalles movimientos'!$V$5:$V$1021, 0)), "")</f>
        <v/>
      </c>
      <c r="E117" s="19">
        <f>IFERROR(INDEX('Detalles movimientos'!F$5:F$1021, MATCH(108, 'Detalles movimientos'!$V$5:$V$1021, 0)), "")</f>
        <v/>
      </c>
      <c r="F117" s="18">
        <f>IFERROR(INDEX('Detalles movimientos'!G$5:G$1021, MATCH(108, 'Detalles movimientos'!$V$5:$V$1021, 0)), "")</f>
        <v/>
      </c>
      <c r="G117" s="120">
        <f>IFERROR(INDEX('Detalles movimientos'!H$5:H$1021, MATCH(108, 'Detalles movimientos'!$V$5:$V$1021, 0)), "")</f>
        <v/>
      </c>
      <c r="H117" s="121">
        <f>IFERROR(INDEX('Detalles movimientos'!I$5:I$1021, MATCH(108, 'Detalles movimientos'!$V$5:$V$1021, 0)), "")</f>
        <v/>
      </c>
      <c r="I117" s="120">
        <f>IFERROR(INDEX('Detalles movimientos'!M$5:M$1021, MATCH(108, 'Detalles movimientos'!$V$5:$V$1021, 0)), "")</f>
        <v/>
      </c>
      <c r="J117" s="19">
        <f>IFERROR(INDEX('Detalles movimientos'!N$5:N$1021, MATCH(108, 'Detalles movimientos'!$V$5:$V$1021, 0)), "")</f>
        <v/>
      </c>
      <c r="K117" s="120">
        <f>IFERROR(INDEX('Detalles movimientos'!O$5:O$1021, MATCH(108, 'Detalles movimientos'!$V$5:$V$1021, 0)), "")</f>
        <v/>
      </c>
      <c r="L117" s="18">
        <f>IFERROR(INDEX('Detalles movimientos'!P$5:P$1021, MATCH(108, 'Detalles movimientos'!$V$5:$V$1021, 0)), "")</f>
        <v/>
      </c>
      <c r="M117" s="18">
        <f>IFERROR(INDEX('Detalles movimientos'!S$5:S$1021, MATCH(108, 'Detalles movimientos'!$V$5:$V$1021, 0)), "")</f>
        <v/>
      </c>
    </row>
    <row r="118">
      <c r="B118" s="119">
        <f>IFERROR(INDEX('Detalles movimientos'!C$5:C$1021, MATCH(109, 'Detalles movimientos'!$V$5:$V$1021, 0)), "")</f>
        <v/>
      </c>
      <c r="C118" s="18">
        <f>IFERROR(INDEX('Detalles movimientos'!D$5:D$1021, MATCH(109, 'Detalles movimientos'!$V$5:$V$1021, 0)), "")</f>
        <v/>
      </c>
      <c r="D118" s="19">
        <f>IFERROR(INDEX('Detalles movimientos'!E$5:E$1021, MATCH(109, 'Detalles movimientos'!$V$5:$V$1021, 0)), "")</f>
        <v/>
      </c>
      <c r="E118" s="19">
        <f>IFERROR(INDEX('Detalles movimientos'!F$5:F$1021, MATCH(109, 'Detalles movimientos'!$V$5:$V$1021, 0)), "")</f>
        <v/>
      </c>
      <c r="F118" s="18">
        <f>IFERROR(INDEX('Detalles movimientos'!G$5:G$1021, MATCH(109, 'Detalles movimientos'!$V$5:$V$1021, 0)), "")</f>
        <v/>
      </c>
      <c r="G118" s="120">
        <f>IFERROR(INDEX('Detalles movimientos'!H$5:H$1021, MATCH(109, 'Detalles movimientos'!$V$5:$V$1021, 0)), "")</f>
        <v/>
      </c>
      <c r="H118" s="121">
        <f>IFERROR(INDEX('Detalles movimientos'!I$5:I$1021, MATCH(109, 'Detalles movimientos'!$V$5:$V$1021, 0)), "")</f>
        <v/>
      </c>
      <c r="I118" s="120">
        <f>IFERROR(INDEX('Detalles movimientos'!M$5:M$1021, MATCH(109, 'Detalles movimientos'!$V$5:$V$1021, 0)), "")</f>
        <v/>
      </c>
      <c r="J118" s="19">
        <f>IFERROR(INDEX('Detalles movimientos'!N$5:N$1021, MATCH(109, 'Detalles movimientos'!$V$5:$V$1021, 0)), "")</f>
        <v/>
      </c>
      <c r="K118" s="120">
        <f>IFERROR(INDEX('Detalles movimientos'!O$5:O$1021, MATCH(109, 'Detalles movimientos'!$V$5:$V$1021, 0)), "")</f>
        <v/>
      </c>
      <c r="L118" s="18">
        <f>IFERROR(INDEX('Detalles movimientos'!P$5:P$1021, MATCH(109, 'Detalles movimientos'!$V$5:$V$1021, 0)), "")</f>
        <v/>
      </c>
      <c r="M118" s="18">
        <f>IFERROR(INDEX('Detalles movimientos'!S$5:S$1021, MATCH(109, 'Detalles movimientos'!$V$5:$V$1021, 0)), "")</f>
        <v/>
      </c>
    </row>
    <row r="119">
      <c r="B119" s="119">
        <f>IFERROR(INDEX('Detalles movimientos'!C$5:C$1021, MATCH(110, 'Detalles movimientos'!$V$5:$V$1021, 0)), "")</f>
        <v/>
      </c>
      <c r="C119" s="18">
        <f>IFERROR(INDEX('Detalles movimientos'!D$5:D$1021, MATCH(110, 'Detalles movimientos'!$V$5:$V$1021, 0)), "")</f>
        <v/>
      </c>
      <c r="D119" s="19">
        <f>IFERROR(INDEX('Detalles movimientos'!E$5:E$1021, MATCH(110, 'Detalles movimientos'!$V$5:$V$1021, 0)), "")</f>
        <v/>
      </c>
      <c r="E119" s="19">
        <f>IFERROR(INDEX('Detalles movimientos'!F$5:F$1021, MATCH(110, 'Detalles movimientos'!$V$5:$V$1021, 0)), "")</f>
        <v/>
      </c>
      <c r="F119" s="18">
        <f>IFERROR(INDEX('Detalles movimientos'!G$5:G$1021, MATCH(110, 'Detalles movimientos'!$V$5:$V$1021, 0)), "")</f>
        <v/>
      </c>
      <c r="G119" s="120">
        <f>IFERROR(INDEX('Detalles movimientos'!H$5:H$1021, MATCH(110, 'Detalles movimientos'!$V$5:$V$1021, 0)), "")</f>
        <v/>
      </c>
      <c r="H119" s="121">
        <f>IFERROR(INDEX('Detalles movimientos'!I$5:I$1021, MATCH(110, 'Detalles movimientos'!$V$5:$V$1021, 0)), "")</f>
        <v/>
      </c>
      <c r="I119" s="120">
        <f>IFERROR(INDEX('Detalles movimientos'!M$5:M$1021, MATCH(110, 'Detalles movimientos'!$V$5:$V$1021, 0)), "")</f>
        <v/>
      </c>
      <c r="J119" s="19">
        <f>IFERROR(INDEX('Detalles movimientos'!N$5:N$1021, MATCH(110, 'Detalles movimientos'!$V$5:$V$1021, 0)), "")</f>
        <v/>
      </c>
      <c r="K119" s="120">
        <f>IFERROR(INDEX('Detalles movimientos'!O$5:O$1021, MATCH(110, 'Detalles movimientos'!$V$5:$V$1021, 0)), "")</f>
        <v/>
      </c>
      <c r="L119" s="18">
        <f>IFERROR(INDEX('Detalles movimientos'!P$5:P$1021, MATCH(110, 'Detalles movimientos'!$V$5:$V$1021, 0)), "")</f>
        <v/>
      </c>
      <c r="M119" s="18">
        <f>IFERROR(INDEX('Detalles movimientos'!S$5:S$1021, MATCH(110, 'Detalles movimientos'!$V$5:$V$1021, 0)), "")</f>
        <v/>
      </c>
    </row>
    <row r="120">
      <c r="B120" s="119">
        <f>IFERROR(INDEX('Detalles movimientos'!C$5:C$1021, MATCH(111, 'Detalles movimientos'!$V$5:$V$1021, 0)), "")</f>
        <v/>
      </c>
      <c r="C120" s="18">
        <f>IFERROR(INDEX('Detalles movimientos'!D$5:D$1021, MATCH(111, 'Detalles movimientos'!$V$5:$V$1021, 0)), "")</f>
        <v/>
      </c>
      <c r="D120" s="19">
        <f>IFERROR(INDEX('Detalles movimientos'!E$5:E$1021, MATCH(111, 'Detalles movimientos'!$V$5:$V$1021, 0)), "")</f>
        <v/>
      </c>
      <c r="E120" s="19">
        <f>IFERROR(INDEX('Detalles movimientos'!F$5:F$1021, MATCH(111, 'Detalles movimientos'!$V$5:$V$1021, 0)), "")</f>
        <v/>
      </c>
      <c r="F120" s="18">
        <f>IFERROR(INDEX('Detalles movimientos'!G$5:G$1021, MATCH(111, 'Detalles movimientos'!$V$5:$V$1021, 0)), "")</f>
        <v/>
      </c>
      <c r="G120" s="120">
        <f>IFERROR(INDEX('Detalles movimientos'!H$5:H$1021, MATCH(111, 'Detalles movimientos'!$V$5:$V$1021, 0)), "")</f>
        <v/>
      </c>
      <c r="H120" s="121">
        <f>IFERROR(INDEX('Detalles movimientos'!I$5:I$1021, MATCH(111, 'Detalles movimientos'!$V$5:$V$1021, 0)), "")</f>
        <v/>
      </c>
      <c r="I120" s="120">
        <f>IFERROR(INDEX('Detalles movimientos'!M$5:M$1021, MATCH(111, 'Detalles movimientos'!$V$5:$V$1021, 0)), "")</f>
        <v/>
      </c>
      <c r="J120" s="19">
        <f>IFERROR(INDEX('Detalles movimientos'!N$5:N$1021, MATCH(111, 'Detalles movimientos'!$V$5:$V$1021, 0)), "")</f>
        <v/>
      </c>
      <c r="K120" s="120">
        <f>IFERROR(INDEX('Detalles movimientos'!O$5:O$1021, MATCH(111, 'Detalles movimientos'!$V$5:$V$1021, 0)), "")</f>
        <v/>
      </c>
      <c r="L120" s="18">
        <f>IFERROR(INDEX('Detalles movimientos'!P$5:P$1021, MATCH(111, 'Detalles movimientos'!$V$5:$V$1021, 0)), "")</f>
        <v/>
      </c>
      <c r="M120" s="18">
        <f>IFERROR(INDEX('Detalles movimientos'!S$5:S$1021, MATCH(111, 'Detalles movimientos'!$V$5:$V$1021, 0)), "")</f>
        <v/>
      </c>
    </row>
    <row r="121">
      <c r="B121" s="119">
        <f>IFERROR(INDEX('Detalles movimientos'!C$5:C$1021, MATCH(112, 'Detalles movimientos'!$V$5:$V$1021, 0)), "")</f>
        <v/>
      </c>
      <c r="C121" s="18">
        <f>IFERROR(INDEX('Detalles movimientos'!D$5:D$1021, MATCH(112, 'Detalles movimientos'!$V$5:$V$1021, 0)), "")</f>
        <v/>
      </c>
      <c r="D121" s="19">
        <f>IFERROR(INDEX('Detalles movimientos'!E$5:E$1021, MATCH(112, 'Detalles movimientos'!$V$5:$V$1021, 0)), "")</f>
        <v/>
      </c>
      <c r="E121" s="19">
        <f>IFERROR(INDEX('Detalles movimientos'!F$5:F$1021, MATCH(112, 'Detalles movimientos'!$V$5:$V$1021, 0)), "")</f>
        <v/>
      </c>
      <c r="F121" s="18">
        <f>IFERROR(INDEX('Detalles movimientos'!G$5:G$1021, MATCH(112, 'Detalles movimientos'!$V$5:$V$1021, 0)), "")</f>
        <v/>
      </c>
      <c r="G121" s="120">
        <f>IFERROR(INDEX('Detalles movimientos'!H$5:H$1021, MATCH(112, 'Detalles movimientos'!$V$5:$V$1021, 0)), "")</f>
        <v/>
      </c>
      <c r="H121" s="121">
        <f>IFERROR(INDEX('Detalles movimientos'!I$5:I$1021, MATCH(112, 'Detalles movimientos'!$V$5:$V$1021, 0)), "")</f>
        <v/>
      </c>
      <c r="I121" s="120">
        <f>IFERROR(INDEX('Detalles movimientos'!M$5:M$1021, MATCH(112, 'Detalles movimientos'!$V$5:$V$1021, 0)), "")</f>
        <v/>
      </c>
      <c r="J121" s="19">
        <f>IFERROR(INDEX('Detalles movimientos'!N$5:N$1021, MATCH(112, 'Detalles movimientos'!$V$5:$V$1021, 0)), "")</f>
        <v/>
      </c>
      <c r="K121" s="120">
        <f>IFERROR(INDEX('Detalles movimientos'!O$5:O$1021, MATCH(112, 'Detalles movimientos'!$V$5:$V$1021, 0)), "")</f>
        <v/>
      </c>
      <c r="L121" s="18">
        <f>IFERROR(INDEX('Detalles movimientos'!P$5:P$1021, MATCH(112, 'Detalles movimientos'!$V$5:$V$1021, 0)), "")</f>
        <v/>
      </c>
      <c r="M121" s="18">
        <f>IFERROR(INDEX('Detalles movimientos'!S$5:S$1021, MATCH(112, 'Detalles movimientos'!$V$5:$V$1021, 0)), "")</f>
        <v/>
      </c>
    </row>
    <row r="122">
      <c r="B122" s="119">
        <f>IFERROR(INDEX('Detalles movimientos'!C$5:C$1021, MATCH(113, 'Detalles movimientos'!$V$5:$V$1021, 0)), "")</f>
        <v/>
      </c>
      <c r="C122" s="18">
        <f>IFERROR(INDEX('Detalles movimientos'!D$5:D$1021, MATCH(113, 'Detalles movimientos'!$V$5:$V$1021, 0)), "")</f>
        <v/>
      </c>
      <c r="D122" s="19">
        <f>IFERROR(INDEX('Detalles movimientos'!E$5:E$1021, MATCH(113, 'Detalles movimientos'!$V$5:$V$1021, 0)), "")</f>
        <v/>
      </c>
      <c r="E122" s="19">
        <f>IFERROR(INDEX('Detalles movimientos'!F$5:F$1021, MATCH(113, 'Detalles movimientos'!$V$5:$V$1021, 0)), "")</f>
        <v/>
      </c>
      <c r="F122" s="18">
        <f>IFERROR(INDEX('Detalles movimientos'!G$5:G$1021, MATCH(113, 'Detalles movimientos'!$V$5:$V$1021, 0)), "")</f>
        <v/>
      </c>
      <c r="G122" s="120">
        <f>IFERROR(INDEX('Detalles movimientos'!H$5:H$1021, MATCH(113, 'Detalles movimientos'!$V$5:$V$1021, 0)), "")</f>
        <v/>
      </c>
      <c r="H122" s="121">
        <f>IFERROR(INDEX('Detalles movimientos'!I$5:I$1021, MATCH(113, 'Detalles movimientos'!$V$5:$V$1021, 0)), "")</f>
        <v/>
      </c>
      <c r="I122" s="120">
        <f>IFERROR(INDEX('Detalles movimientos'!M$5:M$1021, MATCH(113, 'Detalles movimientos'!$V$5:$V$1021, 0)), "")</f>
        <v/>
      </c>
      <c r="J122" s="19">
        <f>IFERROR(INDEX('Detalles movimientos'!N$5:N$1021, MATCH(113, 'Detalles movimientos'!$V$5:$V$1021, 0)), "")</f>
        <v/>
      </c>
      <c r="K122" s="120">
        <f>IFERROR(INDEX('Detalles movimientos'!O$5:O$1021, MATCH(113, 'Detalles movimientos'!$V$5:$V$1021, 0)), "")</f>
        <v/>
      </c>
      <c r="L122" s="18">
        <f>IFERROR(INDEX('Detalles movimientos'!P$5:P$1021, MATCH(113, 'Detalles movimientos'!$V$5:$V$1021, 0)), "")</f>
        <v/>
      </c>
      <c r="M122" s="18">
        <f>IFERROR(INDEX('Detalles movimientos'!S$5:S$1021, MATCH(113, 'Detalles movimientos'!$V$5:$V$1021, 0)), "")</f>
        <v/>
      </c>
    </row>
    <row r="123">
      <c r="B123" s="119">
        <f>IFERROR(INDEX('Detalles movimientos'!C$5:C$1021, MATCH(114, 'Detalles movimientos'!$V$5:$V$1021, 0)), "")</f>
        <v/>
      </c>
      <c r="C123" s="18">
        <f>IFERROR(INDEX('Detalles movimientos'!D$5:D$1021, MATCH(114, 'Detalles movimientos'!$V$5:$V$1021, 0)), "")</f>
        <v/>
      </c>
      <c r="D123" s="19">
        <f>IFERROR(INDEX('Detalles movimientos'!E$5:E$1021, MATCH(114, 'Detalles movimientos'!$V$5:$V$1021, 0)), "")</f>
        <v/>
      </c>
      <c r="E123" s="19">
        <f>IFERROR(INDEX('Detalles movimientos'!F$5:F$1021, MATCH(114, 'Detalles movimientos'!$V$5:$V$1021, 0)), "")</f>
        <v/>
      </c>
      <c r="F123" s="18">
        <f>IFERROR(INDEX('Detalles movimientos'!G$5:G$1021, MATCH(114, 'Detalles movimientos'!$V$5:$V$1021, 0)), "")</f>
        <v/>
      </c>
      <c r="G123" s="120">
        <f>IFERROR(INDEX('Detalles movimientos'!H$5:H$1021, MATCH(114, 'Detalles movimientos'!$V$5:$V$1021, 0)), "")</f>
        <v/>
      </c>
      <c r="H123" s="121">
        <f>IFERROR(INDEX('Detalles movimientos'!I$5:I$1021, MATCH(114, 'Detalles movimientos'!$V$5:$V$1021, 0)), "")</f>
        <v/>
      </c>
      <c r="I123" s="120">
        <f>IFERROR(INDEX('Detalles movimientos'!M$5:M$1021, MATCH(114, 'Detalles movimientos'!$V$5:$V$1021, 0)), "")</f>
        <v/>
      </c>
      <c r="J123" s="19">
        <f>IFERROR(INDEX('Detalles movimientos'!N$5:N$1021, MATCH(114, 'Detalles movimientos'!$V$5:$V$1021, 0)), "")</f>
        <v/>
      </c>
      <c r="K123" s="120">
        <f>IFERROR(INDEX('Detalles movimientos'!O$5:O$1021, MATCH(114, 'Detalles movimientos'!$V$5:$V$1021, 0)), "")</f>
        <v/>
      </c>
      <c r="L123" s="18">
        <f>IFERROR(INDEX('Detalles movimientos'!P$5:P$1021, MATCH(114, 'Detalles movimientos'!$V$5:$V$1021, 0)), "")</f>
        <v/>
      </c>
      <c r="M123" s="18">
        <f>IFERROR(INDEX('Detalles movimientos'!S$5:S$1021, MATCH(114, 'Detalles movimientos'!$V$5:$V$1021, 0)), "")</f>
        <v/>
      </c>
    </row>
    <row r="124">
      <c r="B124" s="119">
        <f>IFERROR(INDEX('Detalles movimientos'!C$5:C$1021, MATCH(115, 'Detalles movimientos'!$V$5:$V$1021, 0)), "")</f>
        <v/>
      </c>
      <c r="C124" s="18">
        <f>IFERROR(INDEX('Detalles movimientos'!D$5:D$1021, MATCH(115, 'Detalles movimientos'!$V$5:$V$1021, 0)), "")</f>
        <v/>
      </c>
      <c r="D124" s="19">
        <f>IFERROR(INDEX('Detalles movimientos'!E$5:E$1021, MATCH(115, 'Detalles movimientos'!$V$5:$V$1021, 0)), "")</f>
        <v/>
      </c>
      <c r="E124" s="19">
        <f>IFERROR(INDEX('Detalles movimientos'!F$5:F$1021, MATCH(115, 'Detalles movimientos'!$V$5:$V$1021, 0)), "")</f>
        <v/>
      </c>
      <c r="F124" s="18">
        <f>IFERROR(INDEX('Detalles movimientos'!G$5:G$1021, MATCH(115, 'Detalles movimientos'!$V$5:$V$1021, 0)), "")</f>
        <v/>
      </c>
      <c r="G124" s="120">
        <f>IFERROR(INDEX('Detalles movimientos'!H$5:H$1021, MATCH(115, 'Detalles movimientos'!$V$5:$V$1021, 0)), "")</f>
        <v/>
      </c>
      <c r="H124" s="121">
        <f>IFERROR(INDEX('Detalles movimientos'!I$5:I$1021, MATCH(115, 'Detalles movimientos'!$V$5:$V$1021, 0)), "")</f>
        <v/>
      </c>
      <c r="I124" s="120">
        <f>IFERROR(INDEX('Detalles movimientos'!M$5:M$1021, MATCH(115, 'Detalles movimientos'!$V$5:$V$1021, 0)), "")</f>
        <v/>
      </c>
      <c r="J124" s="19">
        <f>IFERROR(INDEX('Detalles movimientos'!N$5:N$1021, MATCH(115, 'Detalles movimientos'!$V$5:$V$1021, 0)), "")</f>
        <v/>
      </c>
      <c r="K124" s="120">
        <f>IFERROR(INDEX('Detalles movimientos'!O$5:O$1021, MATCH(115, 'Detalles movimientos'!$V$5:$V$1021, 0)), "")</f>
        <v/>
      </c>
      <c r="L124" s="18">
        <f>IFERROR(INDEX('Detalles movimientos'!P$5:P$1021, MATCH(115, 'Detalles movimientos'!$V$5:$V$1021, 0)), "")</f>
        <v/>
      </c>
      <c r="M124" s="18">
        <f>IFERROR(INDEX('Detalles movimientos'!S$5:S$1021, MATCH(115, 'Detalles movimientos'!$V$5:$V$1021, 0)), "")</f>
        <v/>
      </c>
    </row>
    <row r="125">
      <c r="B125" s="119">
        <f>IFERROR(INDEX('Detalles movimientos'!C$5:C$1021, MATCH(116, 'Detalles movimientos'!$V$5:$V$1021, 0)), "")</f>
        <v/>
      </c>
      <c r="C125" s="18">
        <f>IFERROR(INDEX('Detalles movimientos'!D$5:D$1021, MATCH(116, 'Detalles movimientos'!$V$5:$V$1021, 0)), "")</f>
        <v/>
      </c>
      <c r="D125" s="19">
        <f>IFERROR(INDEX('Detalles movimientos'!E$5:E$1021, MATCH(116, 'Detalles movimientos'!$V$5:$V$1021, 0)), "")</f>
        <v/>
      </c>
      <c r="E125" s="19">
        <f>IFERROR(INDEX('Detalles movimientos'!F$5:F$1021, MATCH(116, 'Detalles movimientos'!$V$5:$V$1021, 0)), "")</f>
        <v/>
      </c>
      <c r="F125" s="18">
        <f>IFERROR(INDEX('Detalles movimientos'!G$5:G$1021, MATCH(116, 'Detalles movimientos'!$V$5:$V$1021, 0)), "")</f>
        <v/>
      </c>
      <c r="G125" s="120">
        <f>IFERROR(INDEX('Detalles movimientos'!H$5:H$1021, MATCH(116, 'Detalles movimientos'!$V$5:$V$1021, 0)), "")</f>
        <v/>
      </c>
      <c r="H125" s="121">
        <f>IFERROR(INDEX('Detalles movimientos'!I$5:I$1021, MATCH(116, 'Detalles movimientos'!$V$5:$V$1021, 0)), "")</f>
        <v/>
      </c>
      <c r="I125" s="120">
        <f>IFERROR(INDEX('Detalles movimientos'!M$5:M$1021, MATCH(116, 'Detalles movimientos'!$V$5:$V$1021, 0)), "")</f>
        <v/>
      </c>
      <c r="J125" s="19">
        <f>IFERROR(INDEX('Detalles movimientos'!N$5:N$1021, MATCH(116, 'Detalles movimientos'!$V$5:$V$1021, 0)), "")</f>
        <v/>
      </c>
      <c r="K125" s="120">
        <f>IFERROR(INDEX('Detalles movimientos'!O$5:O$1021, MATCH(116, 'Detalles movimientos'!$V$5:$V$1021, 0)), "")</f>
        <v/>
      </c>
      <c r="L125" s="18">
        <f>IFERROR(INDEX('Detalles movimientos'!P$5:P$1021, MATCH(116, 'Detalles movimientos'!$V$5:$V$1021, 0)), "")</f>
        <v/>
      </c>
      <c r="M125" s="18">
        <f>IFERROR(INDEX('Detalles movimientos'!S$5:S$1021, MATCH(116, 'Detalles movimientos'!$V$5:$V$1021, 0)), "")</f>
        <v/>
      </c>
    </row>
    <row r="126">
      <c r="B126" s="119">
        <f>IFERROR(INDEX('Detalles movimientos'!C$5:C$1021, MATCH(117, 'Detalles movimientos'!$V$5:$V$1021, 0)), "")</f>
        <v/>
      </c>
      <c r="C126" s="18">
        <f>IFERROR(INDEX('Detalles movimientos'!D$5:D$1021, MATCH(117, 'Detalles movimientos'!$V$5:$V$1021, 0)), "")</f>
        <v/>
      </c>
      <c r="D126" s="19">
        <f>IFERROR(INDEX('Detalles movimientos'!E$5:E$1021, MATCH(117, 'Detalles movimientos'!$V$5:$V$1021, 0)), "")</f>
        <v/>
      </c>
      <c r="E126" s="19">
        <f>IFERROR(INDEX('Detalles movimientos'!F$5:F$1021, MATCH(117, 'Detalles movimientos'!$V$5:$V$1021, 0)), "")</f>
        <v/>
      </c>
      <c r="F126" s="18">
        <f>IFERROR(INDEX('Detalles movimientos'!G$5:G$1021, MATCH(117, 'Detalles movimientos'!$V$5:$V$1021, 0)), "")</f>
        <v/>
      </c>
      <c r="G126" s="120">
        <f>IFERROR(INDEX('Detalles movimientos'!H$5:H$1021, MATCH(117, 'Detalles movimientos'!$V$5:$V$1021, 0)), "")</f>
        <v/>
      </c>
      <c r="H126" s="121">
        <f>IFERROR(INDEX('Detalles movimientos'!I$5:I$1021, MATCH(117, 'Detalles movimientos'!$V$5:$V$1021, 0)), "")</f>
        <v/>
      </c>
      <c r="I126" s="120">
        <f>IFERROR(INDEX('Detalles movimientos'!M$5:M$1021, MATCH(117, 'Detalles movimientos'!$V$5:$V$1021, 0)), "")</f>
        <v/>
      </c>
      <c r="J126" s="19">
        <f>IFERROR(INDEX('Detalles movimientos'!N$5:N$1021, MATCH(117, 'Detalles movimientos'!$V$5:$V$1021, 0)), "")</f>
        <v/>
      </c>
      <c r="K126" s="120">
        <f>IFERROR(INDEX('Detalles movimientos'!O$5:O$1021, MATCH(117, 'Detalles movimientos'!$V$5:$V$1021, 0)), "")</f>
        <v/>
      </c>
      <c r="L126" s="18">
        <f>IFERROR(INDEX('Detalles movimientos'!P$5:P$1021, MATCH(117, 'Detalles movimientos'!$V$5:$V$1021, 0)), "")</f>
        <v/>
      </c>
      <c r="M126" s="18">
        <f>IFERROR(INDEX('Detalles movimientos'!S$5:S$1021, MATCH(117, 'Detalles movimientos'!$V$5:$V$1021, 0)), "")</f>
        <v/>
      </c>
    </row>
    <row r="127">
      <c r="B127" s="119">
        <f>IFERROR(INDEX('Detalles movimientos'!C$5:C$1021, MATCH(118, 'Detalles movimientos'!$V$5:$V$1021, 0)), "")</f>
        <v/>
      </c>
      <c r="C127" s="18">
        <f>IFERROR(INDEX('Detalles movimientos'!D$5:D$1021, MATCH(118, 'Detalles movimientos'!$V$5:$V$1021, 0)), "")</f>
        <v/>
      </c>
      <c r="D127" s="19">
        <f>IFERROR(INDEX('Detalles movimientos'!E$5:E$1021, MATCH(118, 'Detalles movimientos'!$V$5:$V$1021, 0)), "")</f>
        <v/>
      </c>
      <c r="E127" s="19">
        <f>IFERROR(INDEX('Detalles movimientos'!F$5:F$1021, MATCH(118, 'Detalles movimientos'!$V$5:$V$1021, 0)), "")</f>
        <v/>
      </c>
      <c r="F127" s="18">
        <f>IFERROR(INDEX('Detalles movimientos'!G$5:G$1021, MATCH(118, 'Detalles movimientos'!$V$5:$V$1021, 0)), "")</f>
        <v/>
      </c>
      <c r="G127" s="120">
        <f>IFERROR(INDEX('Detalles movimientos'!H$5:H$1021, MATCH(118, 'Detalles movimientos'!$V$5:$V$1021, 0)), "")</f>
        <v/>
      </c>
      <c r="H127" s="121">
        <f>IFERROR(INDEX('Detalles movimientos'!I$5:I$1021, MATCH(118, 'Detalles movimientos'!$V$5:$V$1021, 0)), "")</f>
        <v/>
      </c>
      <c r="I127" s="120">
        <f>IFERROR(INDEX('Detalles movimientos'!M$5:M$1021, MATCH(118, 'Detalles movimientos'!$V$5:$V$1021, 0)), "")</f>
        <v/>
      </c>
      <c r="J127" s="19">
        <f>IFERROR(INDEX('Detalles movimientos'!N$5:N$1021, MATCH(118, 'Detalles movimientos'!$V$5:$V$1021, 0)), "")</f>
        <v/>
      </c>
      <c r="K127" s="120">
        <f>IFERROR(INDEX('Detalles movimientos'!O$5:O$1021, MATCH(118, 'Detalles movimientos'!$V$5:$V$1021, 0)), "")</f>
        <v/>
      </c>
      <c r="L127" s="18">
        <f>IFERROR(INDEX('Detalles movimientos'!P$5:P$1021, MATCH(118, 'Detalles movimientos'!$V$5:$V$1021, 0)), "")</f>
        <v/>
      </c>
      <c r="M127" s="18">
        <f>IFERROR(INDEX('Detalles movimientos'!S$5:S$1021, MATCH(118, 'Detalles movimientos'!$V$5:$V$1021, 0)), "")</f>
        <v/>
      </c>
    </row>
    <row r="128">
      <c r="B128" s="119">
        <f>IFERROR(INDEX('Detalles movimientos'!C$5:C$1021, MATCH(119, 'Detalles movimientos'!$V$5:$V$1021, 0)), "")</f>
        <v/>
      </c>
      <c r="C128" s="18">
        <f>IFERROR(INDEX('Detalles movimientos'!D$5:D$1021, MATCH(119, 'Detalles movimientos'!$V$5:$V$1021, 0)), "")</f>
        <v/>
      </c>
      <c r="D128" s="19">
        <f>IFERROR(INDEX('Detalles movimientos'!E$5:E$1021, MATCH(119, 'Detalles movimientos'!$V$5:$V$1021, 0)), "")</f>
        <v/>
      </c>
      <c r="E128" s="19">
        <f>IFERROR(INDEX('Detalles movimientos'!F$5:F$1021, MATCH(119, 'Detalles movimientos'!$V$5:$V$1021, 0)), "")</f>
        <v/>
      </c>
      <c r="F128" s="18">
        <f>IFERROR(INDEX('Detalles movimientos'!G$5:G$1021, MATCH(119, 'Detalles movimientos'!$V$5:$V$1021, 0)), "")</f>
        <v/>
      </c>
      <c r="G128" s="120">
        <f>IFERROR(INDEX('Detalles movimientos'!H$5:H$1021, MATCH(119, 'Detalles movimientos'!$V$5:$V$1021, 0)), "")</f>
        <v/>
      </c>
      <c r="H128" s="121">
        <f>IFERROR(INDEX('Detalles movimientos'!I$5:I$1021, MATCH(119, 'Detalles movimientos'!$V$5:$V$1021, 0)), "")</f>
        <v/>
      </c>
      <c r="I128" s="120">
        <f>IFERROR(INDEX('Detalles movimientos'!M$5:M$1021, MATCH(119, 'Detalles movimientos'!$V$5:$V$1021, 0)), "")</f>
        <v/>
      </c>
      <c r="J128" s="19">
        <f>IFERROR(INDEX('Detalles movimientos'!N$5:N$1021, MATCH(119, 'Detalles movimientos'!$V$5:$V$1021, 0)), "")</f>
        <v/>
      </c>
      <c r="K128" s="120">
        <f>IFERROR(INDEX('Detalles movimientos'!O$5:O$1021, MATCH(119, 'Detalles movimientos'!$V$5:$V$1021, 0)), "")</f>
        <v/>
      </c>
      <c r="L128" s="18">
        <f>IFERROR(INDEX('Detalles movimientos'!P$5:P$1021, MATCH(119, 'Detalles movimientos'!$V$5:$V$1021, 0)), "")</f>
        <v/>
      </c>
      <c r="M128" s="18">
        <f>IFERROR(INDEX('Detalles movimientos'!S$5:S$1021, MATCH(119, 'Detalles movimientos'!$V$5:$V$1021, 0)), "")</f>
        <v/>
      </c>
    </row>
    <row r="129">
      <c r="B129" s="119">
        <f>IFERROR(INDEX('Detalles movimientos'!C$5:C$1021, MATCH(120, 'Detalles movimientos'!$V$5:$V$1021, 0)), "")</f>
        <v/>
      </c>
      <c r="C129" s="18">
        <f>IFERROR(INDEX('Detalles movimientos'!D$5:D$1021, MATCH(120, 'Detalles movimientos'!$V$5:$V$1021, 0)), "")</f>
        <v/>
      </c>
      <c r="D129" s="19">
        <f>IFERROR(INDEX('Detalles movimientos'!E$5:E$1021, MATCH(120, 'Detalles movimientos'!$V$5:$V$1021, 0)), "")</f>
        <v/>
      </c>
      <c r="E129" s="19">
        <f>IFERROR(INDEX('Detalles movimientos'!F$5:F$1021, MATCH(120, 'Detalles movimientos'!$V$5:$V$1021, 0)), "")</f>
        <v/>
      </c>
      <c r="F129" s="18">
        <f>IFERROR(INDEX('Detalles movimientos'!G$5:G$1021, MATCH(120, 'Detalles movimientos'!$V$5:$V$1021, 0)), "")</f>
        <v/>
      </c>
      <c r="G129" s="120">
        <f>IFERROR(INDEX('Detalles movimientos'!H$5:H$1021, MATCH(120, 'Detalles movimientos'!$V$5:$V$1021, 0)), "")</f>
        <v/>
      </c>
      <c r="H129" s="121">
        <f>IFERROR(INDEX('Detalles movimientos'!I$5:I$1021, MATCH(120, 'Detalles movimientos'!$V$5:$V$1021, 0)), "")</f>
        <v/>
      </c>
      <c r="I129" s="120">
        <f>IFERROR(INDEX('Detalles movimientos'!M$5:M$1021, MATCH(120, 'Detalles movimientos'!$V$5:$V$1021, 0)), "")</f>
        <v/>
      </c>
      <c r="J129" s="19">
        <f>IFERROR(INDEX('Detalles movimientos'!N$5:N$1021, MATCH(120, 'Detalles movimientos'!$V$5:$V$1021, 0)), "")</f>
        <v/>
      </c>
      <c r="K129" s="120">
        <f>IFERROR(INDEX('Detalles movimientos'!O$5:O$1021, MATCH(120, 'Detalles movimientos'!$V$5:$V$1021, 0)), "")</f>
        <v/>
      </c>
      <c r="L129" s="18">
        <f>IFERROR(INDEX('Detalles movimientos'!P$5:P$1021, MATCH(120, 'Detalles movimientos'!$V$5:$V$1021, 0)), "")</f>
        <v/>
      </c>
      <c r="M129" s="18">
        <f>IFERROR(INDEX('Detalles movimientos'!S$5:S$1021, MATCH(120, 'Detalles movimientos'!$V$5:$V$1021, 0)), "")</f>
        <v/>
      </c>
    </row>
    <row r="130">
      <c r="B130" s="119">
        <f>IFERROR(INDEX('Detalles movimientos'!C$5:C$1021, MATCH(121, 'Detalles movimientos'!$V$5:$V$1021, 0)), "")</f>
        <v/>
      </c>
      <c r="C130" s="18">
        <f>IFERROR(INDEX('Detalles movimientos'!D$5:D$1021, MATCH(121, 'Detalles movimientos'!$V$5:$V$1021, 0)), "")</f>
        <v/>
      </c>
      <c r="D130" s="19">
        <f>IFERROR(INDEX('Detalles movimientos'!E$5:E$1021, MATCH(121, 'Detalles movimientos'!$V$5:$V$1021, 0)), "")</f>
        <v/>
      </c>
      <c r="E130" s="19">
        <f>IFERROR(INDEX('Detalles movimientos'!F$5:F$1021, MATCH(121, 'Detalles movimientos'!$V$5:$V$1021, 0)), "")</f>
        <v/>
      </c>
      <c r="F130" s="18">
        <f>IFERROR(INDEX('Detalles movimientos'!G$5:G$1021, MATCH(121, 'Detalles movimientos'!$V$5:$V$1021, 0)), "")</f>
        <v/>
      </c>
      <c r="G130" s="120">
        <f>IFERROR(INDEX('Detalles movimientos'!H$5:H$1021, MATCH(121, 'Detalles movimientos'!$V$5:$V$1021, 0)), "")</f>
        <v/>
      </c>
      <c r="H130" s="121">
        <f>IFERROR(INDEX('Detalles movimientos'!I$5:I$1021, MATCH(121, 'Detalles movimientos'!$V$5:$V$1021, 0)), "")</f>
        <v/>
      </c>
      <c r="I130" s="120">
        <f>IFERROR(INDEX('Detalles movimientos'!M$5:M$1021, MATCH(121, 'Detalles movimientos'!$V$5:$V$1021, 0)), "")</f>
        <v/>
      </c>
      <c r="J130" s="19">
        <f>IFERROR(INDEX('Detalles movimientos'!N$5:N$1021, MATCH(121, 'Detalles movimientos'!$V$5:$V$1021, 0)), "")</f>
        <v/>
      </c>
      <c r="K130" s="120">
        <f>IFERROR(INDEX('Detalles movimientos'!O$5:O$1021, MATCH(121, 'Detalles movimientos'!$V$5:$V$1021, 0)), "")</f>
        <v/>
      </c>
      <c r="L130" s="18">
        <f>IFERROR(INDEX('Detalles movimientos'!P$5:P$1021, MATCH(121, 'Detalles movimientos'!$V$5:$V$1021, 0)), "")</f>
        <v/>
      </c>
      <c r="M130" s="18">
        <f>IFERROR(INDEX('Detalles movimientos'!S$5:S$1021, MATCH(121, 'Detalles movimientos'!$V$5:$V$1021, 0)), "")</f>
        <v/>
      </c>
    </row>
    <row r="131">
      <c r="B131" s="119">
        <f>IFERROR(INDEX('Detalles movimientos'!C$5:C$1021, MATCH(122, 'Detalles movimientos'!$V$5:$V$1021, 0)), "")</f>
        <v/>
      </c>
      <c r="C131" s="18">
        <f>IFERROR(INDEX('Detalles movimientos'!D$5:D$1021, MATCH(122, 'Detalles movimientos'!$V$5:$V$1021, 0)), "")</f>
        <v/>
      </c>
      <c r="D131" s="19">
        <f>IFERROR(INDEX('Detalles movimientos'!E$5:E$1021, MATCH(122, 'Detalles movimientos'!$V$5:$V$1021, 0)), "")</f>
        <v/>
      </c>
      <c r="E131" s="19">
        <f>IFERROR(INDEX('Detalles movimientos'!F$5:F$1021, MATCH(122, 'Detalles movimientos'!$V$5:$V$1021, 0)), "")</f>
        <v/>
      </c>
      <c r="F131" s="18">
        <f>IFERROR(INDEX('Detalles movimientos'!G$5:G$1021, MATCH(122, 'Detalles movimientos'!$V$5:$V$1021, 0)), "")</f>
        <v/>
      </c>
      <c r="G131" s="120">
        <f>IFERROR(INDEX('Detalles movimientos'!H$5:H$1021, MATCH(122, 'Detalles movimientos'!$V$5:$V$1021, 0)), "")</f>
        <v/>
      </c>
      <c r="H131" s="121">
        <f>IFERROR(INDEX('Detalles movimientos'!I$5:I$1021, MATCH(122, 'Detalles movimientos'!$V$5:$V$1021, 0)), "")</f>
        <v/>
      </c>
      <c r="I131" s="120">
        <f>IFERROR(INDEX('Detalles movimientos'!M$5:M$1021, MATCH(122, 'Detalles movimientos'!$V$5:$V$1021, 0)), "")</f>
        <v/>
      </c>
      <c r="J131" s="19">
        <f>IFERROR(INDEX('Detalles movimientos'!N$5:N$1021, MATCH(122, 'Detalles movimientos'!$V$5:$V$1021, 0)), "")</f>
        <v/>
      </c>
      <c r="K131" s="120">
        <f>IFERROR(INDEX('Detalles movimientos'!O$5:O$1021, MATCH(122, 'Detalles movimientos'!$V$5:$V$1021, 0)), "")</f>
        <v/>
      </c>
      <c r="L131" s="18">
        <f>IFERROR(INDEX('Detalles movimientos'!P$5:P$1021, MATCH(122, 'Detalles movimientos'!$V$5:$V$1021, 0)), "")</f>
        <v/>
      </c>
      <c r="M131" s="18">
        <f>IFERROR(INDEX('Detalles movimientos'!S$5:S$1021, MATCH(122, 'Detalles movimientos'!$V$5:$V$1021, 0)), "")</f>
        <v/>
      </c>
    </row>
    <row r="132">
      <c r="B132" s="119">
        <f>IFERROR(INDEX('Detalles movimientos'!C$5:C$1021, MATCH(123, 'Detalles movimientos'!$V$5:$V$1021, 0)), "")</f>
        <v/>
      </c>
      <c r="C132" s="18">
        <f>IFERROR(INDEX('Detalles movimientos'!D$5:D$1021, MATCH(123, 'Detalles movimientos'!$V$5:$V$1021, 0)), "")</f>
        <v/>
      </c>
      <c r="D132" s="19">
        <f>IFERROR(INDEX('Detalles movimientos'!E$5:E$1021, MATCH(123, 'Detalles movimientos'!$V$5:$V$1021, 0)), "")</f>
        <v/>
      </c>
      <c r="E132" s="19">
        <f>IFERROR(INDEX('Detalles movimientos'!F$5:F$1021, MATCH(123, 'Detalles movimientos'!$V$5:$V$1021, 0)), "")</f>
        <v/>
      </c>
      <c r="F132" s="18">
        <f>IFERROR(INDEX('Detalles movimientos'!G$5:G$1021, MATCH(123, 'Detalles movimientos'!$V$5:$V$1021, 0)), "")</f>
        <v/>
      </c>
      <c r="G132" s="120">
        <f>IFERROR(INDEX('Detalles movimientos'!H$5:H$1021, MATCH(123, 'Detalles movimientos'!$V$5:$V$1021, 0)), "")</f>
        <v/>
      </c>
      <c r="H132" s="121">
        <f>IFERROR(INDEX('Detalles movimientos'!I$5:I$1021, MATCH(123, 'Detalles movimientos'!$V$5:$V$1021, 0)), "")</f>
        <v/>
      </c>
      <c r="I132" s="120">
        <f>IFERROR(INDEX('Detalles movimientos'!M$5:M$1021, MATCH(123, 'Detalles movimientos'!$V$5:$V$1021, 0)), "")</f>
        <v/>
      </c>
      <c r="J132" s="19">
        <f>IFERROR(INDEX('Detalles movimientos'!N$5:N$1021, MATCH(123, 'Detalles movimientos'!$V$5:$V$1021, 0)), "")</f>
        <v/>
      </c>
      <c r="K132" s="120">
        <f>IFERROR(INDEX('Detalles movimientos'!O$5:O$1021, MATCH(123, 'Detalles movimientos'!$V$5:$V$1021, 0)), "")</f>
        <v/>
      </c>
      <c r="L132" s="18">
        <f>IFERROR(INDEX('Detalles movimientos'!P$5:P$1021, MATCH(123, 'Detalles movimientos'!$V$5:$V$1021, 0)), "")</f>
        <v/>
      </c>
      <c r="M132" s="18">
        <f>IFERROR(INDEX('Detalles movimientos'!S$5:S$1021, MATCH(123, 'Detalles movimientos'!$V$5:$V$1021, 0)), "")</f>
        <v/>
      </c>
    </row>
    <row r="133">
      <c r="B133" s="119">
        <f>IFERROR(INDEX('Detalles movimientos'!C$5:C$1021, MATCH(124, 'Detalles movimientos'!$V$5:$V$1021, 0)), "")</f>
        <v/>
      </c>
      <c r="C133" s="18">
        <f>IFERROR(INDEX('Detalles movimientos'!D$5:D$1021, MATCH(124, 'Detalles movimientos'!$V$5:$V$1021, 0)), "")</f>
        <v/>
      </c>
      <c r="D133" s="19">
        <f>IFERROR(INDEX('Detalles movimientos'!E$5:E$1021, MATCH(124, 'Detalles movimientos'!$V$5:$V$1021, 0)), "")</f>
        <v/>
      </c>
      <c r="E133" s="19">
        <f>IFERROR(INDEX('Detalles movimientos'!F$5:F$1021, MATCH(124, 'Detalles movimientos'!$V$5:$V$1021, 0)), "")</f>
        <v/>
      </c>
      <c r="F133" s="18">
        <f>IFERROR(INDEX('Detalles movimientos'!G$5:G$1021, MATCH(124, 'Detalles movimientos'!$V$5:$V$1021, 0)), "")</f>
        <v/>
      </c>
      <c r="G133" s="120">
        <f>IFERROR(INDEX('Detalles movimientos'!H$5:H$1021, MATCH(124, 'Detalles movimientos'!$V$5:$V$1021, 0)), "")</f>
        <v/>
      </c>
      <c r="H133" s="121">
        <f>IFERROR(INDEX('Detalles movimientos'!I$5:I$1021, MATCH(124, 'Detalles movimientos'!$V$5:$V$1021, 0)), "")</f>
        <v/>
      </c>
      <c r="I133" s="120">
        <f>IFERROR(INDEX('Detalles movimientos'!M$5:M$1021, MATCH(124, 'Detalles movimientos'!$V$5:$V$1021, 0)), "")</f>
        <v/>
      </c>
      <c r="J133" s="19">
        <f>IFERROR(INDEX('Detalles movimientos'!N$5:N$1021, MATCH(124, 'Detalles movimientos'!$V$5:$V$1021, 0)), "")</f>
        <v/>
      </c>
      <c r="K133" s="120">
        <f>IFERROR(INDEX('Detalles movimientos'!O$5:O$1021, MATCH(124, 'Detalles movimientos'!$V$5:$V$1021, 0)), "")</f>
        <v/>
      </c>
      <c r="L133" s="18">
        <f>IFERROR(INDEX('Detalles movimientos'!P$5:P$1021, MATCH(124, 'Detalles movimientos'!$V$5:$V$1021, 0)), "")</f>
        <v/>
      </c>
      <c r="M133" s="18">
        <f>IFERROR(INDEX('Detalles movimientos'!S$5:S$1021, MATCH(124, 'Detalles movimientos'!$V$5:$V$1021, 0)), "")</f>
        <v/>
      </c>
    </row>
    <row r="134">
      <c r="B134" s="119">
        <f>IFERROR(INDEX('Detalles movimientos'!C$5:C$1021, MATCH(125, 'Detalles movimientos'!$V$5:$V$1021, 0)), "")</f>
        <v/>
      </c>
      <c r="C134" s="18">
        <f>IFERROR(INDEX('Detalles movimientos'!D$5:D$1021, MATCH(125, 'Detalles movimientos'!$V$5:$V$1021, 0)), "")</f>
        <v/>
      </c>
      <c r="D134" s="19">
        <f>IFERROR(INDEX('Detalles movimientos'!E$5:E$1021, MATCH(125, 'Detalles movimientos'!$V$5:$V$1021, 0)), "")</f>
        <v/>
      </c>
      <c r="E134" s="19">
        <f>IFERROR(INDEX('Detalles movimientos'!F$5:F$1021, MATCH(125, 'Detalles movimientos'!$V$5:$V$1021, 0)), "")</f>
        <v/>
      </c>
      <c r="F134" s="18">
        <f>IFERROR(INDEX('Detalles movimientos'!G$5:G$1021, MATCH(125, 'Detalles movimientos'!$V$5:$V$1021, 0)), "")</f>
        <v/>
      </c>
      <c r="G134" s="120">
        <f>IFERROR(INDEX('Detalles movimientos'!H$5:H$1021, MATCH(125, 'Detalles movimientos'!$V$5:$V$1021, 0)), "")</f>
        <v/>
      </c>
      <c r="H134" s="121">
        <f>IFERROR(INDEX('Detalles movimientos'!I$5:I$1021, MATCH(125, 'Detalles movimientos'!$V$5:$V$1021, 0)), "")</f>
        <v/>
      </c>
      <c r="I134" s="120">
        <f>IFERROR(INDEX('Detalles movimientos'!M$5:M$1021, MATCH(125, 'Detalles movimientos'!$V$5:$V$1021, 0)), "")</f>
        <v/>
      </c>
      <c r="J134" s="19">
        <f>IFERROR(INDEX('Detalles movimientos'!N$5:N$1021, MATCH(125, 'Detalles movimientos'!$V$5:$V$1021, 0)), "")</f>
        <v/>
      </c>
      <c r="K134" s="120">
        <f>IFERROR(INDEX('Detalles movimientos'!O$5:O$1021, MATCH(125, 'Detalles movimientos'!$V$5:$V$1021, 0)), "")</f>
        <v/>
      </c>
      <c r="L134" s="18">
        <f>IFERROR(INDEX('Detalles movimientos'!P$5:P$1021, MATCH(125, 'Detalles movimientos'!$V$5:$V$1021, 0)), "")</f>
        <v/>
      </c>
      <c r="M134" s="18">
        <f>IFERROR(INDEX('Detalles movimientos'!S$5:S$1021, MATCH(125, 'Detalles movimientos'!$V$5:$V$1021, 0)), "")</f>
        <v/>
      </c>
    </row>
    <row r="135">
      <c r="B135" s="119">
        <f>IFERROR(INDEX('Detalles movimientos'!C$5:C$1021, MATCH(126, 'Detalles movimientos'!$V$5:$V$1021, 0)), "")</f>
        <v/>
      </c>
      <c r="C135" s="18">
        <f>IFERROR(INDEX('Detalles movimientos'!D$5:D$1021, MATCH(126, 'Detalles movimientos'!$V$5:$V$1021, 0)), "")</f>
        <v/>
      </c>
      <c r="D135" s="19">
        <f>IFERROR(INDEX('Detalles movimientos'!E$5:E$1021, MATCH(126, 'Detalles movimientos'!$V$5:$V$1021, 0)), "")</f>
        <v/>
      </c>
      <c r="E135" s="19">
        <f>IFERROR(INDEX('Detalles movimientos'!F$5:F$1021, MATCH(126, 'Detalles movimientos'!$V$5:$V$1021, 0)), "")</f>
        <v/>
      </c>
      <c r="F135" s="18">
        <f>IFERROR(INDEX('Detalles movimientos'!G$5:G$1021, MATCH(126, 'Detalles movimientos'!$V$5:$V$1021, 0)), "")</f>
        <v/>
      </c>
      <c r="G135" s="120">
        <f>IFERROR(INDEX('Detalles movimientos'!H$5:H$1021, MATCH(126, 'Detalles movimientos'!$V$5:$V$1021, 0)), "")</f>
        <v/>
      </c>
      <c r="H135" s="121">
        <f>IFERROR(INDEX('Detalles movimientos'!I$5:I$1021, MATCH(126, 'Detalles movimientos'!$V$5:$V$1021, 0)), "")</f>
        <v/>
      </c>
      <c r="I135" s="120">
        <f>IFERROR(INDEX('Detalles movimientos'!M$5:M$1021, MATCH(126, 'Detalles movimientos'!$V$5:$V$1021, 0)), "")</f>
        <v/>
      </c>
      <c r="J135" s="19">
        <f>IFERROR(INDEX('Detalles movimientos'!N$5:N$1021, MATCH(126, 'Detalles movimientos'!$V$5:$V$1021, 0)), "")</f>
        <v/>
      </c>
      <c r="K135" s="120">
        <f>IFERROR(INDEX('Detalles movimientos'!O$5:O$1021, MATCH(126, 'Detalles movimientos'!$V$5:$V$1021, 0)), "")</f>
        <v/>
      </c>
      <c r="L135" s="18">
        <f>IFERROR(INDEX('Detalles movimientos'!P$5:P$1021, MATCH(126, 'Detalles movimientos'!$V$5:$V$1021, 0)), "")</f>
        <v/>
      </c>
      <c r="M135" s="18">
        <f>IFERROR(INDEX('Detalles movimientos'!S$5:S$1021, MATCH(126, 'Detalles movimientos'!$V$5:$V$1021, 0)), "")</f>
        <v/>
      </c>
    </row>
    <row r="136">
      <c r="B136" s="119">
        <f>IFERROR(INDEX('Detalles movimientos'!C$5:C$1021, MATCH(127, 'Detalles movimientos'!$V$5:$V$1021, 0)), "")</f>
        <v/>
      </c>
      <c r="C136" s="18">
        <f>IFERROR(INDEX('Detalles movimientos'!D$5:D$1021, MATCH(127, 'Detalles movimientos'!$V$5:$V$1021, 0)), "")</f>
        <v/>
      </c>
      <c r="D136" s="19">
        <f>IFERROR(INDEX('Detalles movimientos'!E$5:E$1021, MATCH(127, 'Detalles movimientos'!$V$5:$V$1021, 0)), "")</f>
        <v/>
      </c>
      <c r="E136" s="19">
        <f>IFERROR(INDEX('Detalles movimientos'!F$5:F$1021, MATCH(127, 'Detalles movimientos'!$V$5:$V$1021, 0)), "")</f>
        <v/>
      </c>
      <c r="F136" s="18">
        <f>IFERROR(INDEX('Detalles movimientos'!G$5:G$1021, MATCH(127, 'Detalles movimientos'!$V$5:$V$1021, 0)), "")</f>
        <v/>
      </c>
      <c r="G136" s="120">
        <f>IFERROR(INDEX('Detalles movimientos'!H$5:H$1021, MATCH(127, 'Detalles movimientos'!$V$5:$V$1021, 0)), "")</f>
        <v/>
      </c>
      <c r="H136" s="121">
        <f>IFERROR(INDEX('Detalles movimientos'!I$5:I$1021, MATCH(127, 'Detalles movimientos'!$V$5:$V$1021, 0)), "")</f>
        <v/>
      </c>
      <c r="I136" s="120">
        <f>IFERROR(INDEX('Detalles movimientos'!M$5:M$1021, MATCH(127, 'Detalles movimientos'!$V$5:$V$1021, 0)), "")</f>
        <v/>
      </c>
      <c r="J136" s="19">
        <f>IFERROR(INDEX('Detalles movimientos'!N$5:N$1021, MATCH(127, 'Detalles movimientos'!$V$5:$V$1021, 0)), "")</f>
        <v/>
      </c>
      <c r="K136" s="120">
        <f>IFERROR(INDEX('Detalles movimientos'!O$5:O$1021, MATCH(127, 'Detalles movimientos'!$V$5:$V$1021, 0)), "")</f>
        <v/>
      </c>
      <c r="L136" s="18">
        <f>IFERROR(INDEX('Detalles movimientos'!P$5:P$1021, MATCH(127, 'Detalles movimientos'!$V$5:$V$1021, 0)), "")</f>
        <v/>
      </c>
      <c r="M136" s="18">
        <f>IFERROR(INDEX('Detalles movimientos'!S$5:S$1021, MATCH(127, 'Detalles movimientos'!$V$5:$V$1021, 0)), "")</f>
        <v/>
      </c>
    </row>
    <row r="137">
      <c r="B137" s="119">
        <f>IFERROR(INDEX('Detalles movimientos'!C$5:C$1021, MATCH(128, 'Detalles movimientos'!$V$5:$V$1021, 0)), "")</f>
        <v/>
      </c>
      <c r="C137" s="18">
        <f>IFERROR(INDEX('Detalles movimientos'!D$5:D$1021, MATCH(128, 'Detalles movimientos'!$V$5:$V$1021, 0)), "")</f>
        <v/>
      </c>
      <c r="D137" s="19">
        <f>IFERROR(INDEX('Detalles movimientos'!E$5:E$1021, MATCH(128, 'Detalles movimientos'!$V$5:$V$1021, 0)), "")</f>
        <v/>
      </c>
      <c r="E137" s="19">
        <f>IFERROR(INDEX('Detalles movimientos'!F$5:F$1021, MATCH(128, 'Detalles movimientos'!$V$5:$V$1021, 0)), "")</f>
        <v/>
      </c>
      <c r="F137" s="18">
        <f>IFERROR(INDEX('Detalles movimientos'!G$5:G$1021, MATCH(128, 'Detalles movimientos'!$V$5:$V$1021, 0)), "")</f>
        <v/>
      </c>
      <c r="G137" s="120">
        <f>IFERROR(INDEX('Detalles movimientos'!H$5:H$1021, MATCH(128, 'Detalles movimientos'!$V$5:$V$1021, 0)), "")</f>
        <v/>
      </c>
      <c r="H137" s="121">
        <f>IFERROR(INDEX('Detalles movimientos'!I$5:I$1021, MATCH(128, 'Detalles movimientos'!$V$5:$V$1021, 0)), "")</f>
        <v/>
      </c>
      <c r="I137" s="120">
        <f>IFERROR(INDEX('Detalles movimientos'!M$5:M$1021, MATCH(128, 'Detalles movimientos'!$V$5:$V$1021, 0)), "")</f>
        <v/>
      </c>
      <c r="J137" s="19">
        <f>IFERROR(INDEX('Detalles movimientos'!N$5:N$1021, MATCH(128, 'Detalles movimientos'!$V$5:$V$1021, 0)), "")</f>
        <v/>
      </c>
      <c r="K137" s="120">
        <f>IFERROR(INDEX('Detalles movimientos'!O$5:O$1021, MATCH(128, 'Detalles movimientos'!$V$5:$V$1021, 0)), "")</f>
        <v/>
      </c>
      <c r="L137" s="18">
        <f>IFERROR(INDEX('Detalles movimientos'!P$5:P$1021, MATCH(128, 'Detalles movimientos'!$V$5:$V$1021, 0)), "")</f>
        <v/>
      </c>
      <c r="M137" s="18">
        <f>IFERROR(INDEX('Detalles movimientos'!S$5:S$1021, MATCH(128, 'Detalles movimientos'!$V$5:$V$1021, 0)), "")</f>
        <v/>
      </c>
    </row>
    <row r="138">
      <c r="B138" s="119">
        <f>IFERROR(INDEX('Detalles movimientos'!C$5:C$1021, MATCH(129, 'Detalles movimientos'!$V$5:$V$1021, 0)), "")</f>
        <v/>
      </c>
      <c r="C138" s="18">
        <f>IFERROR(INDEX('Detalles movimientos'!D$5:D$1021, MATCH(129, 'Detalles movimientos'!$V$5:$V$1021, 0)), "")</f>
        <v/>
      </c>
      <c r="D138" s="19">
        <f>IFERROR(INDEX('Detalles movimientos'!E$5:E$1021, MATCH(129, 'Detalles movimientos'!$V$5:$V$1021, 0)), "")</f>
        <v/>
      </c>
      <c r="E138" s="19">
        <f>IFERROR(INDEX('Detalles movimientos'!F$5:F$1021, MATCH(129, 'Detalles movimientos'!$V$5:$V$1021, 0)), "")</f>
        <v/>
      </c>
      <c r="F138" s="18">
        <f>IFERROR(INDEX('Detalles movimientos'!G$5:G$1021, MATCH(129, 'Detalles movimientos'!$V$5:$V$1021, 0)), "")</f>
        <v/>
      </c>
      <c r="G138" s="120">
        <f>IFERROR(INDEX('Detalles movimientos'!H$5:H$1021, MATCH(129, 'Detalles movimientos'!$V$5:$V$1021, 0)), "")</f>
        <v/>
      </c>
      <c r="H138" s="121">
        <f>IFERROR(INDEX('Detalles movimientos'!I$5:I$1021, MATCH(129, 'Detalles movimientos'!$V$5:$V$1021, 0)), "")</f>
        <v/>
      </c>
      <c r="I138" s="120">
        <f>IFERROR(INDEX('Detalles movimientos'!M$5:M$1021, MATCH(129, 'Detalles movimientos'!$V$5:$V$1021, 0)), "")</f>
        <v/>
      </c>
      <c r="J138" s="19">
        <f>IFERROR(INDEX('Detalles movimientos'!N$5:N$1021, MATCH(129, 'Detalles movimientos'!$V$5:$V$1021, 0)), "")</f>
        <v/>
      </c>
      <c r="K138" s="120">
        <f>IFERROR(INDEX('Detalles movimientos'!O$5:O$1021, MATCH(129, 'Detalles movimientos'!$V$5:$V$1021, 0)), "")</f>
        <v/>
      </c>
      <c r="L138" s="18">
        <f>IFERROR(INDEX('Detalles movimientos'!P$5:P$1021, MATCH(129, 'Detalles movimientos'!$V$5:$V$1021, 0)), "")</f>
        <v/>
      </c>
      <c r="M138" s="18">
        <f>IFERROR(INDEX('Detalles movimientos'!S$5:S$1021, MATCH(129, 'Detalles movimientos'!$V$5:$V$1021, 0)), "")</f>
        <v/>
      </c>
    </row>
    <row r="139">
      <c r="B139" s="119">
        <f>IFERROR(INDEX('Detalles movimientos'!C$5:C$1021, MATCH(130, 'Detalles movimientos'!$V$5:$V$1021, 0)), "")</f>
        <v/>
      </c>
      <c r="C139" s="18">
        <f>IFERROR(INDEX('Detalles movimientos'!D$5:D$1021, MATCH(130, 'Detalles movimientos'!$V$5:$V$1021, 0)), "")</f>
        <v/>
      </c>
      <c r="D139" s="19">
        <f>IFERROR(INDEX('Detalles movimientos'!E$5:E$1021, MATCH(130, 'Detalles movimientos'!$V$5:$V$1021, 0)), "")</f>
        <v/>
      </c>
      <c r="E139" s="19">
        <f>IFERROR(INDEX('Detalles movimientos'!F$5:F$1021, MATCH(130, 'Detalles movimientos'!$V$5:$V$1021, 0)), "")</f>
        <v/>
      </c>
      <c r="F139" s="18">
        <f>IFERROR(INDEX('Detalles movimientos'!G$5:G$1021, MATCH(130, 'Detalles movimientos'!$V$5:$V$1021, 0)), "")</f>
        <v/>
      </c>
      <c r="G139" s="120">
        <f>IFERROR(INDEX('Detalles movimientos'!H$5:H$1021, MATCH(130, 'Detalles movimientos'!$V$5:$V$1021, 0)), "")</f>
        <v/>
      </c>
      <c r="H139" s="121">
        <f>IFERROR(INDEX('Detalles movimientos'!I$5:I$1021, MATCH(130, 'Detalles movimientos'!$V$5:$V$1021, 0)), "")</f>
        <v/>
      </c>
      <c r="I139" s="120">
        <f>IFERROR(INDEX('Detalles movimientos'!M$5:M$1021, MATCH(130, 'Detalles movimientos'!$V$5:$V$1021, 0)), "")</f>
        <v/>
      </c>
      <c r="J139" s="19">
        <f>IFERROR(INDEX('Detalles movimientos'!N$5:N$1021, MATCH(130, 'Detalles movimientos'!$V$5:$V$1021, 0)), "")</f>
        <v/>
      </c>
      <c r="K139" s="120">
        <f>IFERROR(INDEX('Detalles movimientos'!O$5:O$1021, MATCH(130, 'Detalles movimientos'!$V$5:$V$1021, 0)), "")</f>
        <v/>
      </c>
      <c r="L139" s="18">
        <f>IFERROR(INDEX('Detalles movimientos'!P$5:P$1021, MATCH(130, 'Detalles movimientos'!$V$5:$V$1021, 0)), "")</f>
        <v/>
      </c>
      <c r="M139" s="18">
        <f>IFERROR(INDEX('Detalles movimientos'!S$5:S$1021, MATCH(130, 'Detalles movimientos'!$V$5:$V$1021, 0)), "")</f>
        <v/>
      </c>
    </row>
    <row r="140">
      <c r="B140" s="119">
        <f>IFERROR(INDEX('Detalles movimientos'!C$5:C$1021, MATCH(131, 'Detalles movimientos'!$V$5:$V$1021, 0)), "")</f>
        <v/>
      </c>
      <c r="C140" s="18">
        <f>IFERROR(INDEX('Detalles movimientos'!D$5:D$1021, MATCH(131, 'Detalles movimientos'!$V$5:$V$1021, 0)), "")</f>
        <v/>
      </c>
      <c r="D140" s="19">
        <f>IFERROR(INDEX('Detalles movimientos'!E$5:E$1021, MATCH(131, 'Detalles movimientos'!$V$5:$V$1021, 0)), "")</f>
        <v/>
      </c>
      <c r="E140" s="19">
        <f>IFERROR(INDEX('Detalles movimientos'!F$5:F$1021, MATCH(131, 'Detalles movimientos'!$V$5:$V$1021, 0)), "")</f>
        <v/>
      </c>
      <c r="F140" s="18">
        <f>IFERROR(INDEX('Detalles movimientos'!G$5:G$1021, MATCH(131, 'Detalles movimientos'!$V$5:$V$1021, 0)), "")</f>
        <v/>
      </c>
      <c r="G140" s="120">
        <f>IFERROR(INDEX('Detalles movimientos'!H$5:H$1021, MATCH(131, 'Detalles movimientos'!$V$5:$V$1021, 0)), "")</f>
        <v/>
      </c>
      <c r="H140" s="121">
        <f>IFERROR(INDEX('Detalles movimientos'!I$5:I$1021, MATCH(131, 'Detalles movimientos'!$V$5:$V$1021, 0)), "")</f>
        <v/>
      </c>
      <c r="I140" s="120">
        <f>IFERROR(INDEX('Detalles movimientos'!M$5:M$1021, MATCH(131, 'Detalles movimientos'!$V$5:$V$1021, 0)), "")</f>
        <v/>
      </c>
      <c r="J140" s="19">
        <f>IFERROR(INDEX('Detalles movimientos'!N$5:N$1021, MATCH(131, 'Detalles movimientos'!$V$5:$V$1021, 0)), "")</f>
        <v/>
      </c>
      <c r="K140" s="120">
        <f>IFERROR(INDEX('Detalles movimientos'!O$5:O$1021, MATCH(131, 'Detalles movimientos'!$V$5:$V$1021, 0)), "")</f>
        <v/>
      </c>
      <c r="L140" s="18">
        <f>IFERROR(INDEX('Detalles movimientos'!P$5:P$1021, MATCH(131, 'Detalles movimientos'!$V$5:$V$1021, 0)), "")</f>
        <v/>
      </c>
      <c r="M140" s="18">
        <f>IFERROR(INDEX('Detalles movimientos'!S$5:S$1021, MATCH(131, 'Detalles movimientos'!$V$5:$V$1021, 0)), "")</f>
        <v/>
      </c>
    </row>
    <row r="141">
      <c r="B141" s="119">
        <f>IFERROR(INDEX('Detalles movimientos'!C$5:C$1021, MATCH(132, 'Detalles movimientos'!$V$5:$V$1021, 0)), "")</f>
        <v/>
      </c>
      <c r="C141" s="18">
        <f>IFERROR(INDEX('Detalles movimientos'!D$5:D$1021, MATCH(132, 'Detalles movimientos'!$V$5:$V$1021, 0)), "")</f>
        <v/>
      </c>
      <c r="D141" s="19">
        <f>IFERROR(INDEX('Detalles movimientos'!E$5:E$1021, MATCH(132, 'Detalles movimientos'!$V$5:$V$1021, 0)), "")</f>
        <v/>
      </c>
      <c r="E141" s="19">
        <f>IFERROR(INDEX('Detalles movimientos'!F$5:F$1021, MATCH(132, 'Detalles movimientos'!$V$5:$V$1021, 0)), "")</f>
        <v/>
      </c>
      <c r="F141" s="18">
        <f>IFERROR(INDEX('Detalles movimientos'!G$5:G$1021, MATCH(132, 'Detalles movimientos'!$V$5:$V$1021, 0)), "")</f>
        <v/>
      </c>
      <c r="G141" s="120">
        <f>IFERROR(INDEX('Detalles movimientos'!H$5:H$1021, MATCH(132, 'Detalles movimientos'!$V$5:$V$1021, 0)), "")</f>
        <v/>
      </c>
      <c r="H141" s="121">
        <f>IFERROR(INDEX('Detalles movimientos'!I$5:I$1021, MATCH(132, 'Detalles movimientos'!$V$5:$V$1021, 0)), "")</f>
        <v/>
      </c>
      <c r="I141" s="120">
        <f>IFERROR(INDEX('Detalles movimientos'!M$5:M$1021, MATCH(132, 'Detalles movimientos'!$V$5:$V$1021, 0)), "")</f>
        <v/>
      </c>
      <c r="J141" s="19">
        <f>IFERROR(INDEX('Detalles movimientos'!N$5:N$1021, MATCH(132, 'Detalles movimientos'!$V$5:$V$1021, 0)), "")</f>
        <v/>
      </c>
      <c r="K141" s="120">
        <f>IFERROR(INDEX('Detalles movimientos'!O$5:O$1021, MATCH(132, 'Detalles movimientos'!$V$5:$V$1021, 0)), "")</f>
        <v/>
      </c>
      <c r="L141" s="18">
        <f>IFERROR(INDEX('Detalles movimientos'!P$5:P$1021, MATCH(132, 'Detalles movimientos'!$V$5:$V$1021, 0)), "")</f>
        <v/>
      </c>
      <c r="M141" s="18">
        <f>IFERROR(INDEX('Detalles movimientos'!S$5:S$1021, MATCH(132, 'Detalles movimientos'!$V$5:$V$1021, 0)), "")</f>
        <v/>
      </c>
    </row>
    <row r="142">
      <c r="B142" s="119">
        <f>IFERROR(INDEX('Detalles movimientos'!C$5:C$1021, MATCH(133, 'Detalles movimientos'!$V$5:$V$1021, 0)), "")</f>
        <v/>
      </c>
      <c r="C142" s="18">
        <f>IFERROR(INDEX('Detalles movimientos'!D$5:D$1021, MATCH(133, 'Detalles movimientos'!$V$5:$V$1021, 0)), "")</f>
        <v/>
      </c>
      <c r="D142" s="19">
        <f>IFERROR(INDEX('Detalles movimientos'!E$5:E$1021, MATCH(133, 'Detalles movimientos'!$V$5:$V$1021, 0)), "")</f>
        <v/>
      </c>
      <c r="E142" s="19">
        <f>IFERROR(INDEX('Detalles movimientos'!F$5:F$1021, MATCH(133, 'Detalles movimientos'!$V$5:$V$1021, 0)), "")</f>
        <v/>
      </c>
      <c r="F142" s="18">
        <f>IFERROR(INDEX('Detalles movimientos'!G$5:G$1021, MATCH(133, 'Detalles movimientos'!$V$5:$V$1021, 0)), "")</f>
        <v/>
      </c>
      <c r="G142" s="120">
        <f>IFERROR(INDEX('Detalles movimientos'!H$5:H$1021, MATCH(133, 'Detalles movimientos'!$V$5:$V$1021, 0)), "")</f>
        <v/>
      </c>
      <c r="H142" s="121">
        <f>IFERROR(INDEX('Detalles movimientos'!I$5:I$1021, MATCH(133, 'Detalles movimientos'!$V$5:$V$1021, 0)), "")</f>
        <v/>
      </c>
      <c r="I142" s="120">
        <f>IFERROR(INDEX('Detalles movimientos'!M$5:M$1021, MATCH(133, 'Detalles movimientos'!$V$5:$V$1021, 0)), "")</f>
        <v/>
      </c>
      <c r="J142" s="19">
        <f>IFERROR(INDEX('Detalles movimientos'!N$5:N$1021, MATCH(133, 'Detalles movimientos'!$V$5:$V$1021, 0)), "")</f>
        <v/>
      </c>
      <c r="K142" s="120">
        <f>IFERROR(INDEX('Detalles movimientos'!O$5:O$1021, MATCH(133, 'Detalles movimientos'!$V$5:$V$1021, 0)), "")</f>
        <v/>
      </c>
      <c r="L142" s="18">
        <f>IFERROR(INDEX('Detalles movimientos'!P$5:P$1021, MATCH(133, 'Detalles movimientos'!$V$5:$V$1021, 0)), "")</f>
        <v/>
      </c>
      <c r="M142" s="18">
        <f>IFERROR(INDEX('Detalles movimientos'!S$5:S$1021, MATCH(133, 'Detalles movimientos'!$V$5:$V$1021, 0)), "")</f>
        <v/>
      </c>
    </row>
    <row r="143">
      <c r="B143" s="119">
        <f>IFERROR(INDEX('Detalles movimientos'!C$5:C$1021, MATCH(134, 'Detalles movimientos'!$V$5:$V$1021, 0)), "")</f>
        <v/>
      </c>
      <c r="C143" s="18">
        <f>IFERROR(INDEX('Detalles movimientos'!D$5:D$1021, MATCH(134, 'Detalles movimientos'!$V$5:$V$1021, 0)), "")</f>
        <v/>
      </c>
      <c r="D143" s="19">
        <f>IFERROR(INDEX('Detalles movimientos'!E$5:E$1021, MATCH(134, 'Detalles movimientos'!$V$5:$V$1021, 0)), "")</f>
        <v/>
      </c>
      <c r="E143" s="19">
        <f>IFERROR(INDEX('Detalles movimientos'!F$5:F$1021, MATCH(134, 'Detalles movimientos'!$V$5:$V$1021, 0)), "")</f>
        <v/>
      </c>
      <c r="F143" s="18">
        <f>IFERROR(INDEX('Detalles movimientos'!G$5:G$1021, MATCH(134, 'Detalles movimientos'!$V$5:$V$1021, 0)), "")</f>
        <v/>
      </c>
      <c r="G143" s="120">
        <f>IFERROR(INDEX('Detalles movimientos'!H$5:H$1021, MATCH(134, 'Detalles movimientos'!$V$5:$V$1021, 0)), "")</f>
        <v/>
      </c>
      <c r="H143" s="121">
        <f>IFERROR(INDEX('Detalles movimientos'!I$5:I$1021, MATCH(134, 'Detalles movimientos'!$V$5:$V$1021, 0)), "")</f>
        <v/>
      </c>
      <c r="I143" s="120">
        <f>IFERROR(INDEX('Detalles movimientos'!M$5:M$1021, MATCH(134, 'Detalles movimientos'!$V$5:$V$1021, 0)), "")</f>
        <v/>
      </c>
      <c r="J143" s="19">
        <f>IFERROR(INDEX('Detalles movimientos'!N$5:N$1021, MATCH(134, 'Detalles movimientos'!$V$5:$V$1021, 0)), "")</f>
        <v/>
      </c>
      <c r="K143" s="120">
        <f>IFERROR(INDEX('Detalles movimientos'!O$5:O$1021, MATCH(134, 'Detalles movimientos'!$V$5:$V$1021, 0)), "")</f>
        <v/>
      </c>
      <c r="L143" s="18">
        <f>IFERROR(INDEX('Detalles movimientos'!P$5:P$1021, MATCH(134, 'Detalles movimientos'!$V$5:$V$1021, 0)), "")</f>
        <v/>
      </c>
      <c r="M143" s="18">
        <f>IFERROR(INDEX('Detalles movimientos'!S$5:S$1021, MATCH(134, 'Detalles movimientos'!$V$5:$V$1021, 0)), "")</f>
        <v/>
      </c>
    </row>
    <row r="144">
      <c r="B144" s="119">
        <f>IFERROR(INDEX('Detalles movimientos'!C$5:C$1021, MATCH(135, 'Detalles movimientos'!$V$5:$V$1021, 0)), "")</f>
        <v/>
      </c>
      <c r="C144" s="18">
        <f>IFERROR(INDEX('Detalles movimientos'!D$5:D$1021, MATCH(135, 'Detalles movimientos'!$V$5:$V$1021, 0)), "")</f>
        <v/>
      </c>
      <c r="D144" s="19">
        <f>IFERROR(INDEX('Detalles movimientos'!E$5:E$1021, MATCH(135, 'Detalles movimientos'!$V$5:$V$1021, 0)), "")</f>
        <v/>
      </c>
      <c r="E144" s="19">
        <f>IFERROR(INDEX('Detalles movimientos'!F$5:F$1021, MATCH(135, 'Detalles movimientos'!$V$5:$V$1021, 0)), "")</f>
        <v/>
      </c>
      <c r="F144" s="18">
        <f>IFERROR(INDEX('Detalles movimientos'!G$5:G$1021, MATCH(135, 'Detalles movimientos'!$V$5:$V$1021, 0)), "")</f>
        <v/>
      </c>
      <c r="G144" s="120">
        <f>IFERROR(INDEX('Detalles movimientos'!H$5:H$1021, MATCH(135, 'Detalles movimientos'!$V$5:$V$1021, 0)), "")</f>
        <v/>
      </c>
      <c r="H144" s="121">
        <f>IFERROR(INDEX('Detalles movimientos'!I$5:I$1021, MATCH(135, 'Detalles movimientos'!$V$5:$V$1021, 0)), "")</f>
        <v/>
      </c>
      <c r="I144" s="120">
        <f>IFERROR(INDEX('Detalles movimientos'!M$5:M$1021, MATCH(135, 'Detalles movimientos'!$V$5:$V$1021, 0)), "")</f>
        <v/>
      </c>
      <c r="J144" s="19">
        <f>IFERROR(INDEX('Detalles movimientos'!N$5:N$1021, MATCH(135, 'Detalles movimientos'!$V$5:$V$1021, 0)), "")</f>
        <v/>
      </c>
      <c r="K144" s="120">
        <f>IFERROR(INDEX('Detalles movimientos'!O$5:O$1021, MATCH(135, 'Detalles movimientos'!$V$5:$V$1021, 0)), "")</f>
        <v/>
      </c>
      <c r="L144" s="18">
        <f>IFERROR(INDEX('Detalles movimientos'!P$5:P$1021, MATCH(135, 'Detalles movimientos'!$V$5:$V$1021, 0)), "")</f>
        <v/>
      </c>
      <c r="M144" s="18">
        <f>IFERROR(INDEX('Detalles movimientos'!S$5:S$1021, MATCH(135, 'Detalles movimientos'!$V$5:$V$1021, 0)), "")</f>
        <v/>
      </c>
    </row>
    <row r="145">
      <c r="B145" s="119">
        <f>IFERROR(INDEX('Detalles movimientos'!C$5:C$1021, MATCH(136, 'Detalles movimientos'!$V$5:$V$1021, 0)), "")</f>
        <v/>
      </c>
      <c r="C145" s="18">
        <f>IFERROR(INDEX('Detalles movimientos'!D$5:D$1021, MATCH(136, 'Detalles movimientos'!$V$5:$V$1021, 0)), "")</f>
        <v/>
      </c>
      <c r="D145" s="19">
        <f>IFERROR(INDEX('Detalles movimientos'!E$5:E$1021, MATCH(136, 'Detalles movimientos'!$V$5:$V$1021, 0)), "")</f>
        <v/>
      </c>
      <c r="E145" s="19">
        <f>IFERROR(INDEX('Detalles movimientos'!F$5:F$1021, MATCH(136, 'Detalles movimientos'!$V$5:$V$1021, 0)), "")</f>
        <v/>
      </c>
      <c r="F145" s="18">
        <f>IFERROR(INDEX('Detalles movimientos'!G$5:G$1021, MATCH(136, 'Detalles movimientos'!$V$5:$V$1021, 0)), "")</f>
        <v/>
      </c>
      <c r="G145" s="120">
        <f>IFERROR(INDEX('Detalles movimientos'!H$5:H$1021, MATCH(136, 'Detalles movimientos'!$V$5:$V$1021, 0)), "")</f>
        <v/>
      </c>
      <c r="H145" s="121">
        <f>IFERROR(INDEX('Detalles movimientos'!I$5:I$1021, MATCH(136, 'Detalles movimientos'!$V$5:$V$1021, 0)), "")</f>
        <v/>
      </c>
      <c r="I145" s="120">
        <f>IFERROR(INDEX('Detalles movimientos'!M$5:M$1021, MATCH(136, 'Detalles movimientos'!$V$5:$V$1021, 0)), "")</f>
        <v/>
      </c>
      <c r="J145" s="19">
        <f>IFERROR(INDEX('Detalles movimientos'!N$5:N$1021, MATCH(136, 'Detalles movimientos'!$V$5:$V$1021, 0)), "")</f>
        <v/>
      </c>
      <c r="K145" s="120">
        <f>IFERROR(INDEX('Detalles movimientos'!O$5:O$1021, MATCH(136, 'Detalles movimientos'!$V$5:$V$1021, 0)), "")</f>
        <v/>
      </c>
      <c r="L145" s="18">
        <f>IFERROR(INDEX('Detalles movimientos'!P$5:P$1021, MATCH(136, 'Detalles movimientos'!$V$5:$V$1021, 0)), "")</f>
        <v/>
      </c>
      <c r="M145" s="18">
        <f>IFERROR(INDEX('Detalles movimientos'!S$5:S$1021, MATCH(136, 'Detalles movimientos'!$V$5:$V$1021, 0)), "")</f>
        <v/>
      </c>
    </row>
    <row r="146">
      <c r="B146" s="119">
        <f>IFERROR(INDEX('Detalles movimientos'!C$5:C$1021, MATCH(137, 'Detalles movimientos'!$V$5:$V$1021, 0)), "")</f>
        <v/>
      </c>
      <c r="C146" s="18">
        <f>IFERROR(INDEX('Detalles movimientos'!D$5:D$1021, MATCH(137, 'Detalles movimientos'!$V$5:$V$1021, 0)), "")</f>
        <v/>
      </c>
      <c r="D146" s="19">
        <f>IFERROR(INDEX('Detalles movimientos'!E$5:E$1021, MATCH(137, 'Detalles movimientos'!$V$5:$V$1021, 0)), "")</f>
        <v/>
      </c>
      <c r="E146" s="19">
        <f>IFERROR(INDEX('Detalles movimientos'!F$5:F$1021, MATCH(137, 'Detalles movimientos'!$V$5:$V$1021, 0)), "")</f>
        <v/>
      </c>
      <c r="F146" s="18">
        <f>IFERROR(INDEX('Detalles movimientos'!G$5:G$1021, MATCH(137, 'Detalles movimientos'!$V$5:$V$1021, 0)), "")</f>
        <v/>
      </c>
      <c r="G146" s="120">
        <f>IFERROR(INDEX('Detalles movimientos'!H$5:H$1021, MATCH(137, 'Detalles movimientos'!$V$5:$V$1021, 0)), "")</f>
        <v/>
      </c>
      <c r="H146" s="121">
        <f>IFERROR(INDEX('Detalles movimientos'!I$5:I$1021, MATCH(137, 'Detalles movimientos'!$V$5:$V$1021, 0)), "")</f>
        <v/>
      </c>
      <c r="I146" s="120">
        <f>IFERROR(INDEX('Detalles movimientos'!M$5:M$1021, MATCH(137, 'Detalles movimientos'!$V$5:$V$1021, 0)), "")</f>
        <v/>
      </c>
      <c r="J146" s="19">
        <f>IFERROR(INDEX('Detalles movimientos'!N$5:N$1021, MATCH(137, 'Detalles movimientos'!$V$5:$V$1021, 0)), "")</f>
        <v/>
      </c>
      <c r="K146" s="120">
        <f>IFERROR(INDEX('Detalles movimientos'!O$5:O$1021, MATCH(137, 'Detalles movimientos'!$V$5:$V$1021, 0)), "")</f>
        <v/>
      </c>
      <c r="L146" s="18">
        <f>IFERROR(INDEX('Detalles movimientos'!P$5:P$1021, MATCH(137, 'Detalles movimientos'!$V$5:$V$1021, 0)), "")</f>
        <v/>
      </c>
      <c r="M146" s="18">
        <f>IFERROR(INDEX('Detalles movimientos'!S$5:S$1021, MATCH(137, 'Detalles movimientos'!$V$5:$V$1021, 0)), "")</f>
        <v/>
      </c>
    </row>
    <row r="147">
      <c r="B147" s="119">
        <f>IFERROR(INDEX('Detalles movimientos'!C$5:C$1021, MATCH(138, 'Detalles movimientos'!$V$5:$V$1021, 0)), "")</f>
        <v/>
      </c>
      <c r="C147" s="18">
        <f>IFERROR(INDEX('Detalles movimientos'!D$5:D$1021, MATCH(138, 'Detalles movimientos'!$V$5:$V$1021, 0)), "")</f>
        <v/>
      </c>
      <c r="D147" s="19">
        <f>IFERROR(INDEX('Detalles movimientos'!E$5:E$1021, MATCH(138, 'Detalles movimientos'!$V$5:$V$1021, 0)), "")</f>
        <v/>
      </c>
      <c r="E147" s="19">
        <f>IFERROR(INDEX('Detalles movimientos'!F$5:F$1021, MATCH(138, 'Detalles movimientos'!$V$5:$V$1021, 0)), "")</f>
        <v/>
      </c>
      <c r="F147" s="18">
        <f>IFERROR(INDEX('Detalles movimientos'!G$5:G$1021, MATCH(138, 'Detalles movimientos'!$V$5:$V$1021, 0)), "")</f>
        <v/>
      </c>
      <c r="G147" s="120">
        <f>IFERROR(INDEX('Detalles movimientos'!H$5:H$1021, MATCH(138, 'Detalles movimientos'!$V$5:$V$1021, 0)), "")</f>
        <v/>
      </c>
      <c r="H147" s="121">
        <f>IFERROR(INDEX('Detalles movimientos'!I$5:I$1021, MATCH(138, 'Detalles movimientos'!$V$5:$V$1021, 0)), "")</f>
        <v/>
      </c>
      <c r="I147" s="120">
        <f>IFERROR(INDEX('Detalles movimientos'!M$5:M$1021, MATCH(138, 'Detalles movimientos'!$V$5:$V$1021, 0)), "")</f>
        <v/>
      </c>
      <c r="J147" s="19">
        <f>IFERROR(INDEX('Detalles movimientos'!N$5:N$1021, MATCH(138, 'Detalles movimientos'!$V$5:$V$1021, 0)), "")</f>
        <v/>
      </c>
      <c r="K147" s="120">
        <f>IFERROR(INDEX('Detalles movimientos'!O$5:O$1021, MATCH(138, 'Detalles movimientos'!$V$5:$V$1021, 0)), "")</f>
        <v/>
      </c>
      <c r="L147" s="18">
        <f>IFERROR(INDEX('Detalles movimientos'!P$5:P$1021, MATCH(138, 'Detalles movimientos'!$V$5:$V$1021, 0)), "")</f>
        <v/>
      </c>
      <c r="M147" s="18">
        <f>IFERROR(INDEX('Detalles movimientos'!S$5:S$1021, MATCH(138, 'Detalles movimientos'!$V$5:$V$1021, 0)), "")</f>
        <v/>
      </c>
    </row>
    <row r="148">
      <c r="B148" s="119">
        <f>IFERROR(INDEX('Detalles movimientos'!C$5:C$1021, MATCH(139, 'Detalles movimientos'!$V$5:$V$1021, 0)), "")</f>
        <v/>
      </c>
      <c r="C148" s="18">
        <f>IFERROR(INDEX('Detalles movimientos'!D$5:D$1021, MATCH(139, 'Detalles movimientos'!$V$5:$V$1021, 0)), "")</f>
        <v/>
      </c>
      <c r="D148" s="19">
        <f>IFERROR(INDEX('Detalles movimientos'!E$5:E$1021, MATCH(139, 'Detalles movimientos'!$V$5:$V$1021, 0)), "")</f>
        <v/>
      </c>
      <c r="E148" s="19">
        <f>IFERROR(INDEX('Detalles movimientos'!F$5:F$1021, MATCH(139, 'Detalles movimientos'!$V$5:$V$1021, 0)), "")</f>
        <v/>
      </c>
      <c r="F148" s="18">
        <f>IFERROR(INDEX('Detalles movimientos'!G$5:G$1021, MATCH(139, 'Detalles movimientos'!$V$5:$V$1021, 0)), "")</f>
        <v/>
      </c>
      <c r="G148" s="120">
        <f>IFERROR(INDEX('Detalles movimientos'!H$5:H$1021, MATCH(139, 'Detalles movimientos'!$V$5:$V$1021, 0)), "")</f>
        <v/>
      </c>
      <c r="H148" s="121">
        <f>IFERROR(INDEX('Detalles movimientos'!I$5:I$1021, MATCH(139, 'Detalles movimientos'!$V$5:$V$1021, 0)), "")</f>
        <v/>
      </c>
      <c r="I148" s="120">
        <f>IFERROR(INDEX('Detalles movimientos'!M$5:M$1021, MATCH(139, 'Detalles movimientos'!$V$5:$V$1021, 0)), "")</f>
        <v/>
      </c>
      <c r="J148" s="19">
        <f>IFERROR(INDEX('Detalles movimientos'!N$5:N$1021, MATCH(139, 'Detalles movimientos'!$V$5:$V$1021, 0)), "")</f>
        <v/>
      </c>
      <c r="K148" s="120">
        <f>IFERROR(INDEX('Detalles movimientos'!O$5:O$1021, MATCH(139, 'Detalles movimientos'!$V$5:$V$1021, 0)), "")</f>
        <v/>
      </c>
      <c r="L148" s="18">
        <f>IFERROR(INDEX('Detalles movimientos'!P$5:P$1021, MATCH(139, 'Detalles movimientos'!$V$5:$V$1021, 0)), "")</f>
        <v/>
      </c>
      <c r="M148" s="18">
        <f>IFERROR(INDEX('Detalles movimientos'!S$5:S$1021, MATCH(139, 'Detalles movimientos'!$V$5:$V$1021, 0)), "")</f>
        <v/>
      </c>
    </row>
    <row r="149">
      <c r="B149" s="119">
        <f>IFERROR(INDEX('Detalles movimientos'!C$5:C$1021, MATCH(140, 'Detalles movimientos'!$V$5:$V$1021, 0)), "")</f>
        <v/>
      </c>
      <c r="C149" s="18">
        <f>IFERROR(INDEX('Detalles movimientos'!D$5:D$1021, MATCH(140, 'Detalles movimientos'!$V$5:$V$1021, 0)), "")</f>
        <v/>
      </c>
      <c r="D149" s="19">
        <f>IFERROR(INDEX('Detalles movimientos'!E$5:E$1021, MATCH(140, 'Detalles movimientos'!$V$5:$V$1021, 0)), "")</f>
        <v/>
      </c>
      <c r="E149" s="19">
        <f>IFERROR(INDEX('Detalles movimientos'!F$5:F$1021, MATCH(140, 'Detalles movimientos'!$V$5:$V$1021, 0)), "")</f>
        <v/>
      </c>
      <c r="F149" s="18">
        <f>IFERROR(INDEX('Detalles movimientos'!G$5:G$1021, MATCH(140, 'Detalles movimientos'!$V$5:$V$1021, 0)), "")</f>
        <v/>
      </c>
      <c r="G149" s="120">
        <f>IFERROR(INDEX('Detalles movimientos'!H$5:H$1021, MATCH(140, 'Detalles movimientos'!$V$5:$V$1021, 0)), "")</f>
        <v/>
      </c>
      <c r="H149" s="121">
        <f>IFERROR(INDEX('Detalles movimientos'!I$5:I$1021, MATCH(140, 'Detalles movimientos'!$V$5:$V$1021, 0)), "")</f>
        <v/>
      </c>
      <c r="I149" s="120">
        <f>IFERROR(INDEX('Detalles movimientos'!M$5:M$1021, MATCH(140, 'Detalles movimientos'!$V$5:$V$1021, 0)), "")</f>
        <v/>
      </c>
      <c r="J149" s="19">
        <f>IFERROR(INDEX('Detalles movimientos'!N$5:N$1021, MATCH(140, 'Detalles movimientos'!$V$5:$V$1021, 0)), "")</f>
        <v/>
      </c>
      <c r="K149" s="120">
        <f>IFERROR(INDEX('Detalles movimientos'!O$5:O$1021, MATCH(140, 'Detalles movimientos'!$V$5:$V$1021, 0)), "")</f>
        <v/>
      </c>
      <c r="L149" s="18">
        <f>IFERROR(INDEX('Detalles movimientos'!P$5:P$1021, MATCH(140, 'Detalles movimientos'!$V$5:$V$1021, 0)), "")</f>
        <v/>
      </c>
      <c r="M149" s="18">
        <f>IFERROR(INDEX('Detalles movimientos'!S$5:S$1021, MATCH(140, 'Detalles movimientos'!$V$5:$V$1021, 0)), "")</f>
        <v/>
      </c>
    </row>
    <row r="150">
      <c r="B150" s="119">
        <f>IFERROR(INDEX('Detalles movimientos'!C$5:C$1021, MATCH(141, 'Detalles movimientos'!$V$5:$V$1021, 0)), "")</f>
        <v/>
      </c>
      <c r="C150" s="18">
        <f>IFERROR(INDEX('Detalles movimientos'!D$5:D$1021, MATCH(141, 'Detalles movimientos'!$V$5:$V$1021, 0)), "")</f>
        <v/>
      </c>
      <c r="D150" s="19">
        <f>IFERROR(INDEX('Detalles movimientos'!E$5:E$1021, MATCH(141, 'Detalles movimientos'!$V$5:$V$1021, 0)), "")</f>
        <v/>
      </c>
      <c r="E150" s="19">
        <f>IFERROR(INDEX('Detalles movimientos'!F$5:F$1021, MATCH(141, 'Detalles movimientos'!$V$5:$V$1021, 0)), "")</f>
        <v/>
      </c>
      <c r="F150" s="18">
        <f>IFERROR(INDEX('Detalles movimientos'!G$5:G$1021, MATCH(141, 'Detalles movimientos'!$V$5:$V$1021, 0)), "")</f>
        <v/>
      </c>
      <c r="G150" s="120">
        <f>IFERROR(INDEX('Detalles movimientos'!H$5:H$1021, MATCH(141, 'Detalles movimientos'!$V$5:$V$1021, 0)), "")</f>
        <v/>
      </c>
      <c r="H150" s="121">
        <f>IFERROR(INDEX('Detalles movimientos'!I$5:I$1021, MATCH(141, 'Detalles movimientos'!$V$5:$V$1021, 0)), "")</f>
        <v/>
      </c>
      <c r="I150" s="120">
        <f>IFERROR(INDEX('Detalles movimientos'!M$5:M$1021, MATCH(141, 'Detalles movimientos'!$V$5:$V$1021, 0)), "")</f>
        <v/>
      </c>
      <c r="J150" s="19">
        <f>IFERROR(INDEX('Detalles movimientos'!N$5:N$1021, MATCH(141, 'Detalles movimientos'!$V$5:$V$1021, 0)), "")</f>
        <v/>
      </c>
      <c r="K150" s="120">
        <f>IFERROR(INDEX('Detalles movimientos'!O$5:O$1021, MATCH(141, 'Detalles movimientos'!$V$5:$V$1021, 0)), "")</f>
        <v/>
      </c>
      <c r="L150" s="18">
        <f>IFERROR(INDEX('Detalles movimientos'!P$5:P$1021, MATCH(141, 'Detalles movimientos'!$V$5:$V$1021, 0)), "")</f>
        <v/>
      </c>
      <c r="M150" s="18">
        <f>IFERROR(INDEX('Detalles movimientos'!S$5:S$1021, MATCH(141, 'Detalles movimientos'!$V$5:$V$1021, 0)), "")</f>
        <v/>
      </c>
    </row>
    <row r="151">
      <c r="B151" s="119">
        <f>IFERROR(INDEX('Detalles movimientos'!C$5:C$1021, MATCH(142, 'Detalles movimientos'!$V$5:$V$1021, 0)), "")</f>
        <v/>
      </c>
      <c r="C151" s="18">
        <f>IFERROR(INDEX('Detalles movimientos'!D$5:D$1021, MATCH(142, 'Detalles movimientos'!$V$5:$V$1021, 0)), "")</f>
        <v/>
      </c>
      <c r="D151" s="19">
        <f>IFERROR(INDEX('Detalles movimientos'!E$5:E$1021, MATCH(142, 'Detalles movimientos'!$V$5:$V$1021, 0)), "")</f>
        <v/>
      </c>
      <c r="E151" s="19">
        <f>IFERROR(INDEX('Detalles movimientos'!F$5:F$1021, MATCH(142, 'Detalles movimientos'!$V$5:$V$1021, 0)), "")</f>
        <v/>
      </c>
      <c r="F151" s="18">
        <f>IFERROR(INDEX('Detalles movimientos'!G$5:G$1021, MATCH(142, 'Detalles movimientos'!$V$5:$V$1021, 0)), "")</f>
        <v/>
      </c>
      <c r="G151" s="120">
        <f>IFERROR(INDEX('Detalles movimientos'!H$5:H$1021, MATCH(142, 'Detalles movimientos'!$V$5:$V$1021, 0)), "")</f>
        <v/>
      </c>
      <c r="H151" s="121">
        <f>IFERROR(INDEX('Detalles movimientos'!I$5:I$1021, MATCH(142, 'Detalles movimientos'!$V$5:$V$1021, 0)), "")</f>
        <v/>
      </c>
      <c r="I151" s="120">
        <f>IFERROR(INDEX('Detalles movimientos'!M$5:M$1021, MATCH(142, 'Detalles movimientos'!$V$5:$V$1021, 0)), "")</f>
        <v/>
      </c>
      <c r="J151" s="19">
        <f>IFERROR(INDEX('Detalles movimientos'!N$5:N$1021, MATCH(142, 'Detalles movimientos'!$V$5:$V$1021, 0)), "")</f>
        <v/>
      </c>
      <c r="K151" s="120">
        <f>IFERROR(INDEX('Detalles movimientos'!O$5:O$1021, MATCH(142, 'Detalles movimientos'!$V$5:$V$1021, 0)), "")</f>
        <v/>
      </c>
      <c r="L151" s="18">
        <f>IFERROR(INDEX('Detalles movimientos'!P$5:P$1021, MATCH(142, 'Detalles movimientos'!$V$5:$V$1021, 0)), "")</f>
        <v/>
      </c>
      <c r="M151" s="18">
        <f>IFERROR(INDEX('Detalles movimientos'!S$5:S$1021, MATCH(142, 'Detalles movimientos'!$V$5:$V$1021, 0)), "")</f>
        <v/>
      </c>
    </row>
    <row r="152">
      <c r="B152" s="119">
        <f>IFERROR(INDEX('Detalles movimientos'!C$5:C$1021, MATCH(143, 'Detalles movimientos'!$V$5:$V$1021, 0)), "")</f>
        <v/>
      </c>
      <c r="C152" s="18">
        <f>IFERROR(INDEX('Detalles movimientos'!D$5:D$1021, MATCH(143, 'Detalles movimientos'!$V$5:$V$1021, 0)), "")</f>
        <v/>
      </c>
      <c r="D152" s="19">
        <f>IFERROR(INDEX('Detalles movimientos'!E$5:E$1021, MATCH(143, 'Detalles movimientos'!$V$5:$V$1021, 0)), "")</f>
        <v/>
      </c>
      <c r="E152" s="19">
        <f>IFERROR(INDEX('Detalles movimientos'!F$5:F$1021, MATCH(143, 'Detalles movimientos'!$V$5:$V$1021, 0)), "")</f>
        <v/>
      </c>
      <c r="F152" s="18">
        <f>IFERROR(INDEX('Detalles movimientos'!G$5:G$1021, MATCH(143, 'Detalles movimientos'!$V$5:$V$1021, 0)), "")</f>
        <v/>
      </c>
      <c r="G152" s="120">
        <f>IFERROR(INDEX('Detalles movimientos'!H$5:H$1021, MATCH(143, 'Detalles movimientos'!$V$5:$V$1021, 0)), "")</f>
        <v/>
      </c>
      <c r="H152" s="121">
        <f>IFERROR(INDEX('Detalles movimientos'!I$5:I$1021, MATCH(143, 'Detalles movimientos'!$V$5:$V$1021, 0)), "")</f>
        <v/>
      </c>
      <c r="I152" s="120">
        <f>IFERROR(INDEX('Detalles movimientos'!M$5:M$1021, MATCH(143, 'Detalles movimientos'!$V$5:$V$1021, 0)), "")</f>
        <v/>
      </c>
      <c r="J152" s="19">
        <f>IFERROR(INDEX('Detalles movimientos'!N$5:N$1021, MATCH(143, 'Detalles movimientos'!$V$5:$V$1021, 0)), "")</f>
        <v/>
      </c>
      <c r="K152" s="120">
        <f>IFERROR(INDEX('Detalles movimientos'!O$5:O$1021, MATCH(143, 'Detalles movimientos'!$V$5:$V$1021, 0)), "")</f>
        <v/>
      </c>
      <c r="L152" s="18">
        <f>IFERROR(INDEX('Detalles movimientos'!P$5:P$1021, MATCH(143, 'Detalles movimientos'!$V$5:$V$1021, 0)), "")</f>
        <v/>
      </c>
      <c r="M152" s="18">
        <f>IFERROR(INDEX('Detalles movimientos'!S$5:S$1021, MATCH(143, 'Detalles movimientos'!$V$5:$V$1021, 0)), "")</f>
        <v/>
      </c>
    </row>
    <row r="153">
      <c r="B153" s="119">
        <f>IFERROR(INDEX('Detalles movimientos'!C$5:C$1021, MATCH(144, 'Detalles movimientos'!$V$5:$V$1021, 0)), "")</f>
        <v/>
      </c>
      <c r="C153" s="18">
        <f>IFERROR(INDEX('Detalles movimientos'!D$5:D$1021, MATCH(144, 'Detalles movimientos'!$V$5:$V$1021, 0)), "")</f>
        <v/>
      </c>
      <c r="D153" s="19">
        <f>IFERROR(INDEX('Detalles movimientos'!E$5:E$1021, MATCH(144, 'Detalles movimientos'!$V$5:$V$1021, 0)), "")</f>
        <v/>
      </c>
      <c r="E153" s="19">
        <f>IFERROR(INDEX('Detalles movimientos'!F$5:F$1021, MATCH(144, 'Detalles movimientos'!$V$5:$V$1021, 0)), "")</f>
        <v/>
      </c>
      <c r="F153" s="18">
        <f>IFERROR(INDEX('Detalles movimientos'!G$5:G$1021, MATCH(144, 'Detalles movimientos'!$V$5:$V$1021, 0)), "")</f>
        <v/>
      </c>
      <c r="G153" s="120">
        <f>IFERROR(INDEX('Detalles movimientos'!H$5:H$1021, MATCH(144, 'Detalles movimientos'!$V$5:$V$1021, 0)), "")</f>
        <v/>
      </c>
      <c r="H153" s="121">
        <f>IFERROR(INDEX('Detalles movimientos'!I$5:I$1021, MATCH(144, 'Detalles movimientos'!$V$5:$V$1021, 0)), "")</f>
        <v/>
      </c>
      <c r="I153" s="120">
        <f>IFERROR(INDEX('Detalles movimientos'!M$5:M$1021, MATCH(144, 'Detalles movimientos'!$V$5:$V$1021, 0)), "")</f>
        <v/>
      </c>
      <c r="J153" s="19">
        <f>IFERROR(INDEX('Detalles movimientos'!N$5:N$1021, MATCH(144, 'Detalles movimientos'!$V$5:$V$1021, 0)), "")</f>
        <v/>
      </c>
      <c r="K153" s="120">
        <f>IFERROR(INDEX('Detalles movimientos'!O$5:O$1021, MATCH(144, 'Detalles movimientos'!$V$5:$V$1021, 0)), "")</f>
        <v/>
      </c>
      <c r="L153" s="18">
        <f>IFERROR(INDEX('Detalles movimientos'!P$5:P$1021, MATCH(144, 'Detalles movimientos'!$V$5:$V$1021, 0)), "")</f>
        <v/>
      </c>
      <c r="M153" s="18">
        <f>IFERROR(INDEX('Detalles movimientos'!S$5:S$1021, MATCH(144, 'Detalles movimientos'!$V$5:$V$1021, 0)), "")</f>
        <v/>
      </c>
    </row>
    <row r="154">
      <c r="B154" s="119">
        <f>IFERROR(INDEX('Detalles movimientos'!C$5:C$1021, MATCH(145, 'Detalles movimientos'!$V$5:$V$1021, 0)), "")</f>
        <v/>
      </c>
      <c r="C154" s="18">
        <f>IFERROR(INDEX('Detalles movimientos'!D$5:D$1021, MATCH(145, 'Detalles movimientos'!$V$5:$V$1021, 0)), "")</f>
        <v/>
      </c>
      <c r="D154" s="19">
        <f>IFERROR(INDEX('Detalles movimientos'!E$5:E$1021, MATCH(145, 'Detalles movimientos'!$V$5:$V$1021, 0)), "")</f>
        <v/>
      </c>
      <c r="E154" s="19">
        <f>IFERROR(INDEX('Detalles movimientos'!F$5:F$1021, MATCH(145, 'Detalles movimientos'!$V$5:$V$1021, 0)), "")</f>
        <v/>
      </c>
      <c r="F154" s="18">
        <f>IFERROR(INDEX('Detalles movimientos'!G$5:G$1021, MATCH(145, 'Detalles movimientos'!$V$5:$V$1021, 0)), "")</f>
        <v/>
      </c>
      <c r="G154" s="120">
        <f>IFERROR(INDEX('Detalles movimientos'!H$5:H$1021, MATCH(145, 'Detalles movimientos'!$V$5:$V$1021, 0)), "")</f>
        <v/>
      </c>
      <c r="H154" s="121">
        <f>IFERROR(INDEX('Detalles movimientos'!I$5:I$1021, MATCH(145, 'Detalles movimientos'!$V$5:$V$1021, 0)), "")</f>
        <v/>
      </c>
      <c r="I154" s="120">
        <f>IFERROR(INDEX('Detalles movimientos'!M$5:M$1021, MATCH(145, 'Detalles movimientos'!$V$5:$V$1021, 0)), "")</f>
        <v/>
      </c>
      <c r="J154" s="19">
        <f>IFERROR(INDEX('Detalles movimientos'!N$5:N$1021, MATCH(145, 'Detalles movimientos'!$V$5:$V$1021, 0)), "")</f>
        <v/>
      </c>
      <c r="K154" s="120">
        <f>IFERROR(INDEX('Detalles movimientos'!O$5:O$1021, MATCH(145, 'Detalles movimientos'!$V$5:$V$1021, 0)), "")</f>
        <v/>
      </c>
      <c r="L154" s="18">
        <f>IFERROR(INDEX('Detalles movimientos'!P$5:P$1021, MATCH(145, 'Detalles movimientos'!$V$5:$V$1021, 0)), "")</f>
        <v/>
      </c>
      <c r="M154" s="18">
        <f>IFERROR(INDEX('Detalles movimientos'!S$5:S$1021, MATCH(145, 'Detalles movimientos'!$V$5:$V$1021, 0)), "")</f>
        <v/>
      </c>
    </row>
    <row r="155">
      <c r="B155" s="119">
        <f>IFERROR(INDEX('Detalles movimientos'!C$5:C$1021, MATCH(146, 'Detalles movimientos'!$V$5:$V$1021, 0)), "")</f>
        <v/>
      </c>
      <c r="C155" s="18">
        <f>IFERROR(INDEX('Detalles movimientos'!D$5:D$1021, MATCH(146, 'Detalles movimientos'!$V$5:$V$1021, 0)), "")</f>
        <v/>
      </c>
      <c r="D155" s="19">
        <f>IFERROR(INDEX('Detalles movimientos'!E$5:E$1021, MATCH(146, 'Detalles movimientos'!$V$5:$V$1021, 0)), "")</f>
        <v/>
      </c>
      <c r="E155" s="19">
        <f>IFERROR(INDEX('Detalles movimientos'!F$5:F$1021, MATCH(146, 'Detalles movimientos'!$V$5:$V$1021, 0)), "")</f>
        <v/>
      </c>
      <c r="F155" s="18">
        <f>IFERROR(INDEX('Detalles movimientos'!G$5:G$1021, MATCH(146, 'Detalles movimientos'!$V$5:$V$1021, 0)), "")</f>
        <v/>
      </c>
      <c r="G155" s="120">
        <f>IFERROR(INDEX('Detalles movimientos'!H$5:H$1021, MATCH(146, 'Detalles movimientos'!$V$5:$V$1021, 0)), "")</f>
        <v/>
      </c>
      <c r="H155" s="121">
        <f>IFERROR(INDEX('Detalles movimientos'!I$5:I$1021, MATCH(146, 'Detalles movimientos'!$V$5:$V$1021, 0)), "")</f>
        <v/>
      </c>
      <c r="I155" s="120">
        <f>IFERROR(INDEX('Detalles movimientos'!M$5:M$1021, MATCH(146, 'Detalles movimientos'!$V$5:$V$1021, 0)), "")</f>
        <v/>
      </c>
      <c r="J155" s="19">
        <f>IFERROR(INDEX('Detalles movimientos'!N$5:N$1021, MATCH(146, 'Detalles movimientos'!$V$5:$V$1021, 0)), "")</f>
        <v/>
      </c>
      <c r="K155" s="120">
        <f>IFERROR(INDEX('Detalles movimientos'!O$5:O$1021, MATCH(146, 'Detalles movimientos'!$V$5:$V$1021, 0)), "")</f>
        <v/>
      </c>
      <c r="L155" s="18">
        <f>IFERROR(INDEX('Detalles movimientos'!P$5:P$1021, MATCH(146, 'Detalles movimientos'!$V$5:$V$1021, 0)), "")</f>
        <v/>
      </c>
      <c r="M155" s="18">
        <f>IFERROR(INDEX('Detalles movimientos'!S$5:S$1021, MATCH(146, 'Detalles movimientos'!$V$5:$V$1021, 0)), "")</f>
        <v/>
      </c>
    </row>
    <row r="156">
      <c r="B156" s="119">
        <f>IFERROR(INDEX('Detalles movimientos'!C$5:C$1021, MATCH(147, 'Detalles movimientos'!$V$5:$V$1021, 0)), "")</f>
        <v/>
      </c>
      <c r="C156" s="18">
        <f>IFERROR(INDEX('Detalles movimientos'!D$5:D$1021, MATCH(147, 'Detalles movimientos'!$V$5:$V$1021, 0)), "")</f>
        <v/>
      </c>
      <c r="D156" s="19">
        <f>IFERROR(INDEX('Detalles movimientos'!E$5:E$1021, MATCH(147, 'Detalles movimientos'!$V$5:$V$1021, 0)), "")</f>
        <v/>
      </c>
      <c r="E156" s="19">
        <f>IFERROR(INDEX('Detalles movimientos'!F$5:F$1021, MATCH(147, 'Detalles movimientos'!$V$5:$V$1021, 0)), "")</f>
        <v/>
      </c>
      <c r="F156" s="18">
        <f>IFERROR(INDEX('Detalles movimientos'!G$5:G$1021, MATCH(147, 'Detalles movimientos'!$V$5:$V$1021, 0)), "")</f>
        <v/>
      </c>
      <c r="G156" s="120">
        <f>IFERROR(INDEX('Detalles movimientos'!H$5:H$1021, MATCH(147, 'Detalles movimientos'!$V$5:$V$1021, 0)), "")</f>
        <v/>
      </c>
      <c r="H156" s="121">
        <f>IFERROR(INDEX('Detalles movimientos'!I$5:I$1021, MATCH(147, 'Detalles movimientos'!$V$5:$V$1021, 0)), "")</f>
        <v/>
      </c>
      <c r="I156" s="120">
        <f>IFERROR(INDEX('Detalles movimientos'!M$5:M$1021, MATCH(147, 'Detalles movimientos'!$V$5:$V$1021, 0)), "")</f>
        <v/>
      </c>
      <c r="J156" s="19">
        <f>IFERROR(INDEX('Detalles movimientos'!N$5:N$1021, MATCH(147, 'Detalles movimientos'!$V$5:$V$1021, 0)), "")</f>
        <v/>
      </c>
      <c r="K156" s="120">
        <f>IFERROR(INDEX('Detalles movimientos'!O$5:O$1021, MATCH(147, 'Detalles movimientos'!$V$5:$V$1021, 0)), "")</f>
        <v/>
      </c>
      <c r="L156" s="18">
        <f>IFERROR(INDEX('Detalles movimientos'!P$5:P$1021, MATCH(147, 'Detalles movimientos'!$V$5:$V$1021, 0)), "")</f>
        <v/>
      </c>
      <c r="M156" s="18">
        <f>IFERROR(INDEX('Detalles movimientos'!S$5:S$1021, MATCH(147, 'Detalles movimientos'!$V$5:$V$1021, 0)), "")</f>
        <v/>
      </c>
    </row>
    <row r="157">
      <c r="B157" s="119">
        <f>IFERROR(INDEX('Detalles movimientos'!C$5:C$1021, MATCH(148, 'Detalles movimientos'!$V$5:$V$1021, 0)), "")</f>
        <v/>
      </c>
      <c r="C157" s="18">
        <f>IFERROR(INDEX('Detalles movimientos'!D$5:D$1021, MATCH(148, 'Detalles movimientos'!$V$5:$V$1021, 0)), "")</f>
        <v/>
      </c>
      <c r="D157" s="19">
        <f>IFERROR(INDEX('Detalles movimientos'!E$5:E$1021, MATCH(148, 'Detalles movimientos'!$V$5:$V$1021, 0)), "")</f>
        <v/>
      </c>
      <c r="E157" s="19">
        <f>IFERROR(INDEX('Detalles movimientos'!F$5:F$1021, MATCH(148, 'Detalles movimientos'!$V$5:$V$1021, 0)), "")</f>
        <v/>
      </c>
      <c r="F157" s="18">
        <f>IFERROR(INDEX('Detalles movimientos'!G$5:G$1021, MATCH(148, 'Detalles movimientos'!$V$5:$V$1021, 0)), "")</f>
        <v/>
      </c>
      <c r="G157" s="120">
        <f>IFERROR(INDEX('Detalles movimientos'!H$5:H$1021, MATCH(148, 'Detalles movimientos'!$V$5:$V$1021, 0)), "")</f>
        <v/>
      </c>
      <c r="H157" s="121">
        <f>IFERROR(INDEX('Detalles movimientos'!I$5:I$1021, MATCH(148, 'Detalles movimientos'!$V$5:$V$1021, 0)), "")</f>
        <v/>
      </c>
      <c r="I157" s="120">
        <f>IFERROR(INDEX('Detalles movimientos'!M$5:M$1021, MATCH(148, 'Detalles movimientos'!$V$5:$V$1021, 0)), "")</f>
        <v/>
      </c>
      <c r="J157" s="19">
        <f>IFERROR(INDEX('Detalles movimientos'!N$5:N$1021, MATCH(148, 'Detalles movimientos'!$V$5:$V$1021, 0)), "")</f>
        <v/>
      </c>
      <c r="K157" s="120">
        <f>IFERROR(INDEX('Detalles movimientos'!O$5:O$1021, MATCH(148, 'Detalles movimientos'!$V$5:$V$1021, 0)), "")</f>
        <v/>
      </c>
      <c r="L157" s="18">
        <f>IFERROR(INDEX('Detalles movimientos'!P$5:P$1021, MATCH(148, 'Detalles movimientos'!$V$5:$V$1021, 0)), "")</f>
        <v/>
      </c>
      <c r="M157" s="18">
        <f>IFERROR(INDEX('Detalles movimientos'!S$5:S$1021, MATCH(148, 'Detalles movimientos'!$V$5:$V$1021, 0)), "")</f>
        <v/>
      </c>
    </row>
    <row r="158">
      <c r="B158" s="119">
        <f>IFERROR(INDEX('Detalles movimientos'!C$5:C$1021, MATCH(149, 'Detalles movimientos'!$V$5:$V$1021, 0)), "")</f>
        <v/>
      </c>
      <c r="C158" s="18">
        <f>IFERROR(INDEX('Detalles movimientos'!D$5:D$1021, MATCH(149, 'Detalles movimientos'!$V$5:$V$1021, 0)), "")</f>
        <v/>
      </c>
      <c r="D158" s="19">
        <f>IFERROR(INDEX('Detalles movimientos'!E$5:E$1021, MATCH(149, 'Detalles movimientos'!$V$5:$V$1021, 0)), "")</f>
        <v/>
      </c>
      <c r="E158" s="19">
        <f>IFERROR(INDEX('Detalles movimientos'!F$5:F$1021, MATCH(149, 'Detalles movimientos'!$V$5:$V$1021, 0)), "")</f>
        <v/>
      </c>
      <c r="F158" s="18">
        <f>IFERROR(INDEX('Detalles movimientos'!G$5:G$1021, MATCH(149, 'Detalles movimientos'!$V$5:$V$1021, 0)), "")</f>
        <v/>
      </c>
      <c r="G158" s="120">
        <f>IFERROR(INDEX('Detalles movimientos'!H$5:H$1021, MATCH(149, 'Detalles movimientos'!$V$5:$V$1021, 0)), "")</f>
        <v/>
      </c>
      <c r="H158" s="121">
        <f>IFERROR(INDEX('Detalles movimientos'!I$5:I$1021, MATCH(149, 'Detalles movimientos'!$V$5:$V$1021, 0)), "")</f>
        <v/>
      </c>
      <c r="I158" s="120">
        <f>IFERROR(INDEX('Detalles movimientos'!M$5:M$1021, MATCH(149, 'Detalles movimientos'!$V$5:$V$1021, 0)), "")</f>
        <v/>
      </c>
      <c r="J158" s="19">
        <f>IFERROR(INDEX('Detalles movimientos'!N$5:N$1021, MATCH(149, 'Detalles movimientos'!$V$5:$V$1021, 0)), "")</f>
        <v/>
      </c>
      <c r="K158" s="120">
        <f>IFERROR(INDEX('Detalles movimientos'!O$5:O$1021, MATCH(149, 'Detalles movimientos'!$V$5:$V$1021, 0)), "")</f>
        <v/>
      </c>
      <c r="L158" s="18">
        <f>IFERROR(INDEX('Detalles movimientos'!P$5:P$1021, MATCH(149, 'Detalles movimientos'!$V$5:$V$1021, 0)), "")</f>
        <v/>
      </c>
      <c r="M158" s="18">
        <f>IFERROR(INDEX('Detalles movimientos'!S$5:S$1021, MATCH(149, 'Detalles movimientos'!$V$5:$V$1021, 0)), "")</f>
        <v/>
      </c>
    </row>
  </sheetData>
  <mergeCells count="6">
    <mergeCell ref="E6:F7"/>
    <mergeCell ref="H6:I7"/>
    <mergeCell ref="B5:C5"/>
    <mergeCell ref="E5:F5"/>
    <mergeCell ref="B6:C7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Héctor Román Miranda</dc:creator>
  <dcterms:created xsi:type="dcterms:W3CDTF">2026-08-03T16:54:58Z</dcterms:created>
  <dcterms:modified xsi:type="dcterms:W3CDTF">2026-10-21T03:56:36Z</dcterms:modified>
  <cp:lastModifiedBy>Héctor Román Miranda</cp:lastModifiedBy>
</cp:coreProperties>
</file>