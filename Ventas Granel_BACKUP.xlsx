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ctor/Desktop/GRANEL y ENVASADO/"/>
    </mc:Choice>
  </mc:AlternateContent>
  <xr:revisionPtr revIDLastSave="0" documentId="13_ncr:1_{90554E1F-A283-F040-9B62-944F6863E506}" xr6:coauthVersionLast="47" xr6:coauthVersionMax="47" xr10:uidLastSave="{00000000-0000-0000-0000-000000000000}"/>
  <bookViews>
    <workbookView xWindow="380" yWindow="580" windowWidth="28040" windowHeight="16420" xr2:uid="{8BE058F4-97DF-C447-8D59-CCF1D3E46016}"/>
  </bookViews>
  <sheets>
    <sheet name="Detalles movimien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3" i="2" l="1"/>
  <c r="O13" i="2" s="1"/>
  <c r="J25" i="2"/>
  <c r="J24" i="2"/>
  <c r="J22" i="2"/>
  <c r="J21" i="2"/>
  <c r="J20" i="2"/>
  <c r="J18" i="2"/>
  <c r="J17" i="2"/>
  <c r="J16" i="2"/>
  <c r="J15" i="2"/>
  <c r="J14" i="2"/>
  <c r="J13" i="2"/>
  <c r="J12" i="2"/>
  <c r="J11" i="2"/>
  <c r="J10" i="2"/>
  <c r="J9" i="2"/>
  <c r="J8" i="2"/>
  <c r="J7" i="2"/>
</calcChain>
</file>

<file path=xl/sharedStrings.xml><?xml version="1.0" encoding="utf-8"?>
<sst xmlns="http://schemas.openxmlformats.org/spreadsheetml/2006/main" count="136" uniqueCount="59">
  <si>
    <t>Ricardo Brisas del Raco</t>
  </si>
  <si>
    <t>Precio</t>
  </si>
  <si>
    <t>Nombre Cliente</t>
  </si>
  <si>
    <t>Litros</t>
  </si>
  <si>
    <t>Brisas del Raco</t>
  </si>
  <si>
    <t>Total</t>
  </si>
  <si>
    <t>Ale Turko</t>
  </si>
  <si>
    <t>Tarjeta</t>
  </si>
  <si>
    <t>Pendiente de pago</t>
  </si>
  <si>
    <t xml:space="preserve">Tirua </t>
  </si>
  <si>
    <t xml:space="preserve">Ciao Italia </t>
  </si>
  <si>
    <t xml:space="preserve">Claudio Ulloa </t>
  </si>
  <si>
    <t>Transferencia</t>
  </si>
  <si>
    <t>Francisco Ulloa</t>
  </si>
  <si>
    <t>Alicia Pavez</t>
  </si>
  <si>
    <t>Franco Garcia</t>
  </si>
  <si>
    <t xml:space="preserve">Vanessa </t>
  </si>
  <si>
    <t>Simon</t>
  </si>
  <si>
    <t>Camino el Chalaco 66B</t>
  </si>
  <si>
    <t>Gabriela Rojas</t>
  </si>
  <si>
    <t>Avenida Virginia subercaseaux 4175 (parcela 15)</t>
  </si>
  <si>
    <t>Manuel Vergara Ricci</t>
  </si>
  <si>
    <t>Quedó saldo de $35 mil para mañana</t>
  </si>
  <si>
    <t>Observación</t>
  </si>
  <si>
    <t>Camino de las flores 1262 Pirque</t>
  </si>
  <si>
    <t>Dirección</t>
  </si>
  <si>
    <t>Medio de pago</t>
  </si>
  <si>
    <t>Ganancia JC</t>
  </si>
  <si>
    <t>Transferencia en dos</t>
  </si>
  <si>
    <t>VENTAS GRANEL ECOGAS SPA</t>
  </si>
  <si>
    <t>Brisas del raco parcela 36 Pirque</t>
  </si>
  <si>
    <t>Casa de Reposo Brisas</t>
  </si>
  <si>
    <t>Factura</t>
  </si>
  <si>
    <t>Gastronomca Exquisite</t>
  </si>
  <si>
    <t>JP Alesaandri 114 Nuñoa</t>
  </si>
  <si>
    <t>Camino rinconada san Vicente parcela 38</t>
  </si>
  <si>
    <t>Av los carreras 706B, plaza de los porotos</t>
  </si>
  <si>
    <t>Panaderia Maipu</t>
  </si>
  <si>
    <t>Condominio majadas C parcela 5</t>
  </si>
  <si>
    <t>Javier Quiroz</t>
  </si>
  <si>
    <t>Eli Ciao Italia</t>
  </si>
  <si>
    <t>Ignacio Guerrero</t>
  </si>
  <si>
    <t>Extraccion</t>
  </si>
  <si>
    <t>Camión</t>
  </si>
  <si>
    <t>Vende</t>
  </si>
  <si>
    <t>CJ</t>
  </si>
  <si>
    <t>Tripulacion</t>
  </si>
  <si>
    <t>Ignacio</t>
  </si>
  <si>
    <t>VJYL42</t>
  </si>
  <si>
    <t>VJYL61</t>
  </si>
  <si>
    <t>Residencia Adulto Mayor Amor Eterno SpA - Rut 76.699.397-4 - Los Almendros Parcela2B Pirque</t>
  </si>
  <si>
    <t>Gastronomica Exquisite SpA - Rut: 77.714.318-2 - JP alessandri 114 Nuñoa</t>
  </si>
  <si>
    <t>ENAP carga</t>
  </si>
  <si>
    <t>Guía N° 2356453</t>
  </si>
  <si>
    <t>Guía N° 2356186</t>
  </si>
  <si>
    <t>Miguel Muga (Maestranza)</t>
  </si>
  <si>
    <t>Fecha</t>
  </si>
  <si>
    <t>Ebal spa - RUT: 77.625.623-4 - Av Gabriela 3264 La Pintana - Giro Construccion</t>
  </si>
  <si>
    <t>Comision Pagada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</si>
</sst>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medium">
        <color indexed="64"/>
      </top>
      <bottom/>
      <diagonal/>
    </border>
    <border>
      <left/>
      <right style="slantDashDot">
        <color auto="1"/>
      </right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8">
    <xf numFmtId="0" fontId="0" fillId="0" borderId="0" xfId="0"/>
    <xf numFmtId="42" fontId="0" fillId="0" borderId="0" xfId="1" applyFont="1"/>
    <xf numFmtId="0" fontId="0" fillId="0" borderId="1" xfId="0" applyBorder="1"/>
    <xf numFmtId="42" fontId="0" fillId="0" borderId="1" xfId="1" applyFont="1" applyBorder="1"/>
    <xf numFmtId="0" fontId="0" fillId="0" borderId="2" xfId="0" applyBorder="1"/>
    <xf numFmtId="0" fontId="2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2" fontId="0" fillId="0" borderId="1" xfId="0" applyNumberFormat="1" applyBorder="1"/>
    <xf numFmtId="14" fontId="0" fillId="0" borderId="1" xfId="0" applyNumberFormat="1" applyBorder="1"/>
    <xf numFmtId="0" fontId="0" fillId="0" borderId="1" xfId="0" applyFill="1" applyBorder="1"/>
    <xf numFmtId="42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42" fontId="0" fillId="0" borderId="1" xfId="1" applyFont="1" applyBorder="1" applyAlignment="1">
      <alignment horizontal="left"/>
    </xf>
    <xf numFmtId="42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3AA7-09CE-E547-9BC0-B04379CE6F13}">
  <dimension ref="C2:P43"/>
  <sheetViews>
    <sheetView showGridLines="0" tabSelected="1" zoomScale="110" zoomScaleNormal="110" workbookViewId="0">
      <selection activeCell="C2" sqref="C2:L2"/>
    </sheetView>
  </sheetViews>
  <sheetFormatPr baseColWidth="10" defaultRowHeight="16" x14ac:dyDescent="0.2"/>
  <cols>
    <col min="1" max="2" width="4.5" customWidth="1"/>
    <col min="3" max="3" width="10" customWidth="1"/>
    <col min="4" max="4" width="20.33203125" bestFit="1" customWidth="1"/>
    <col min="5" max="5" width="18.6640625" bestFit="1" customWidth="1"/>
    <col min="6" max="6" width="18.6640625" customWidth="1"/>
    <col min="7" max="7" width="40.6640625" bestFit="1" customWidth="1"/>
    <col min="8" max="8" width="7.5" bestFit="1" customWidth="1"/>
    <col min="9" max="9" width="6.33203125" bestFit="1" customWidth="1"/>
    <col min="10" max="10" width="9.5" bestFit="1" customWidth="1"/>
    <col min="11" max="11" width="17.83203125" bestFit="1" customWidth="1"/>
    <col min="12" max="12" width="31.33203125" bestFit="1" customWidth="1"/>
  </cols>
  <sheetData>
    <row r="2" spans="3:16" ht="23" customHeight="1" x14ac:dyDescent="0.2">
      <c r="C2" s="16" t="s">
        <v>29</v>
      </c>
      <c r="D2" s="16"/>
      <c r="E2" s="16"/>
      <c r="F2" s="16"/>
      <c r="G2" s="16"/>
      <c r="H2" s="16"/>
      <c r="I2" s="16"/>
      <c r="J2" s="16"/>
      <c r="K2" s="16"/>
      <c r="L2" s="17"/>
    </row>
    <row r="3" spans="3:16" ht="17" thickBot="1" x14ac:dyDescent="0.25"/>
    <row r="4" spans="3:16" ht="19" x14ac:dyDescent="0.25">
      <c r="C4" s="5" t="s">
        <v>56</v>
      </c>
      <c r="D4" s="5" t="s">
        <v>2</v>
      </c>
      <c r="E4" s="5" t="s">
        <v>43</v>
      </c>
      <c r="F4" s="5" t="s">
        <v>44</v>
      </c>
      <c r="G4" s="5" t="s">
        <v>25</v>
      </c>
      <c r="H4" s="5" t="s">
        <v>1</v>
      </c>
      <c r="I4" s="5" t="s">
        <v>3</v>
      </c>
      <c r="J4" s="5" t="s">
        <v>5</v>
      </c>
      <c r="K4" s="5" t="s">
        <v>26</v>
      </c>
      <c r="L4" s="5" t="s">
        <v>23</v>
      </c>
    </row>
    <row r="5" spans="3:16" x14ac:dyDescent="0.2">
      <c r="C5" s="8">
        <v>46226</v>
      </c>
      <c r="D5" s="2" t="s">
        <v>55</v>
      </c>
      <c r="E5" s="6" t="s">
        <v>49</v>
      </c>
      <c r="F5" s="11" t="s">
        <v>52</v>
      </c>
      <c r="G5" s="2"/>
      <c r="H5" s="3"/>
      <c r="I5" s="11">
        <v>11481</v>
      </c>
      <c r="J5" s="7"/>
      <c r="K5" s="9" t="s">
        <v>52</v>
      </c>
      <c r="L5" s="2"/>
    </row>
    <row r="6" spans="3:16" x14ac:dyDescent="0.2">
      <c r="C6" s="8">
        <v>46230</v>
      </c>
      <c r="D6" s="2" t="s">
        <v>41</v>
      </c>
      <c r="E6" s="6" t="s">
        <v>49</v>
      </c>
      <c r="F6" s="6" t="s">
        <v>47</v>
      </c>
      <c r="G6" s="2"/>
      <c r="H6" s="3"/>
      <c r="I6" s="6">
        <v>1403</v>
      </c>
      <c r="J6" s="7"/>
      <c r="K6" s="2" t="s">
        <v>42</v>
      </c>
      <c r="L6" s="2" t="s">
        <v>42</v>
      </c>
    </row>
    <row r="7" spans="3:16" x14ac:dyDescent="0.2">
      <c r="C7" s="8">
        <v>46230</v>
      </c>
      <c r="D7" s="2" t="s">
        <v>0</v>
      </c>
      <c r="E7" s="6" t="s">
        <v>49</v>
      </c>
      <c r="F7" s="6" t="s">
        <v>45</v>
      </c>
      <c r="G7" s="2" t="s">
        <v>4</v>
      </c>
      <c r="H7" s="3">
        <v>1000</v>
      </c>
      <c r="I7" s="6">
        <v>179.2</v>
      </c>
      <c r="J7" s="7">
        <f>H7*I7</f>
        <v>179200</v>
      </c>
      <c r="K7" s="2" t="s">
        <v>7</v>
      </c>
      <c r="L7" s="2" t="s">
        <v>58</v>
      </c>
    </row>
    <row r="8" spans="3:16" x14ac:dyDescent="0.2">
      <c r="C8" s="8">
        <v>46230</v>
      </c>
      <c r="D8" s="2" t="s">
        <v>6</v>
      </c>
      <c r="E8" s="6" t="s">
        <v>49</v>
      </c>
      <c r="F8" s="6" t="s">
        <v>45</v>
      </c>
      <c r="G8" s="2"/>
      <c r="H8" s="3">
        <v>1000</v>
      </c>
      <c r="I8" s="6">
        <v>518.1</v>
      </c>
      <c r="J8" s="7">
        <f t="shared" ref="J8:J25" si="0">H8*I8</f>
        <v>518100</v>
      </c>
      <c r="K8" s="2" t="s">
        <v>8</v>
      </c>
      <c r="L8" s="2" t="s">
        <v>58</v>
      </c>
    </row>
    <row r="9" spans="3:16" x14ac:dyDescent="0.2">
      <c r="C9" s="8">
        <v>46230</v>
      </c>
      <c r="D9" s="2" t="s">
        <v>9</v>
      </c>
      <c r="E9" s="6" t="s">
        <v>49</v>
      </c>
      <c r="F9" s="6" t="s">
        <v>45</v>
      </c>
      <c r="G9" s="2"/>
      <c r="H9" s="3">
        <v>1000</v>
      </c>
      <c r="I9" s="6">
        <v>488.2</v>
      </c>
      <c r="J9" s="7">
        <f t="shared" si="0"/>
        <v>488200</v>
      </c>
      <c r="K9" s="2" t="s">
        <v>8</v>
      </c>
      <c r="L9" s="2" t="s">
        <v>58</v>
      </c>
    </row>
    <row r="10" spans="3:16" x14ac:dyDescent="0.2">
      <c r="C10" s="8">
        <v>46230</v>
      </c>
      <c r="D10" s="2" t="s">
        <v>10</v>
      </c>
      <c r="E10" s="6" t="s">
        <v>49</v>
      </c>
      <c r="F10" s="6" t="s">
        <v>45</v>
      </c>
      <c r="G10" s="2"/>
      <c r="H10" s="3">
        <v>1000</v>
      </c>
      <c r="I10" s="6">
        <v>500.3</v>
      </c>
      <c r="J10" s="7">
        <f t="shared" si="0"/>
        <v>500300</v>
      </c>
      <c r="K10" s="2" t="s">
        <v>8</v>
      </c>
      <c r="L10" s="2" t="s">
        <v>58</v>
      </c>
    </row>
    <row r="11" spans="3:16" x14ac:dyDescent="0.2">
      <c r="C11" s="8">
        <v>46230</v>
      </c>
      <c r="D11" s="2" t="s">
        <v>11</v>
      </c>
      <c r="E11" s="6" t="s">
        <v>49</v>
      </c>
      <c r="F11" s="6" t="s">
        <v>45</v>
      </c>
      <c r="G11" s="2"/>
      <c r="H11" s="3">
        <v>1000</v>
      </c>
      <c r="I11" s="6">
        <v>237.9</v>
      </c>
      <c r="J11" s="7">
        <f t="shared" si="0"/>
        <v>237900</v>
      </c>
      <c r="K11" s="2" t="s">
        <v>8</v>
      </c>
      <c r="L11" s="2" t="s">
        <v>58</v>
      </c>
    </row>
    <row r="12" spans="3:16" x14ac:dyDescent="0.2">
      <c r="C12" s="8">
        <v>46230</v>
      </c>
      <c r="D12" s="2" t="s">
        <v>13</v>
      </c>
      <c r="E12" s="6" t="s">
        <v>49</v>
      </c>
      <c r="F12" s="6" t="s">
        <v>45</v>
      </c>
      <c r="G12" s="2"/>
      <c r="H12" s="3">
        <v>1000</v>
      </c>
      <c r="I12" s="6">
        <v>205.1</v>
      </c>
      <c r="J12" s="7">
        <f t="shared" si="0"/>
        <v>205100</v>
      </c>
      <c r="K12" s="2" t="s">
        <v>8</v>
      </c>
      <c r="L12" s="2" t="s">
        <v>58</v>
      </c>
    </row>
    <row r="13" spans="3:16" x14ac:dyDescent="0.2">
      <c r="C13" s="8">
        <v>46230</v>
      </c>
      <c r="D13" s="2" t="s">
        <v>14</v>
      </c>
      <c r="E13" s="6" t="s">
        <v>49</v>
      </c>
      <c r="F13" s="6" t="s">
        <v>45</v>
      </c>
      <c r="G13" s="2"/>
      <c r="H13" s="3">
        <v>1000</v>
      </c>
      <c r="I13" s="6">
        <v>300</v>
      </c>
      <c r="J13" s="7">
        <f t="shared" si="0"/>
        <v>300000</v>
      </c>
      <c r="K13" s="2" t="s">
        <v>12</v>
      </c>
      <c r="L13" s="2" t="s">
        <v>58</v>
      </c>
      <c r="M13" s="4">
        <f>SUM(I7:I13)</f>
        <v>2428.8000000000002</v>
      </c>
      <c r="N13" s="2">
        <v>200</v>
      </c>
      <c r="O13" s="3">
        <f>M13*N13</f>
        <v>485760.00000000006</v>
      </c>
      <c r="P13" s="2" t="s">
        <v>27</v>
      </c>
    </row>
    <row r="14" spans="3:16" x14ac:dyDescent="0.2">
      <c r="C14" s="8">
        <v>46231</v>
      </c>
      <c r="D14" s="2" t="s">
        <v>16</v>
      </c>
      <c r="E14" s="6" t="s">
        <v>49</v>
      </c>
      <c r="F14" s="6" t="s">
        <v>45</v>
      </c>
      <c r="G14" s="2"/>
      <c r="H14" s="3">
        <v>1000</v>
      </c>
      <c r="I14" s="6">
        <v>200</v>
      </c>
      <c r="J14" s="7">
        <f t="shared" si="0"/>
        <v>200000</v>
      </c>
      <c r="K14" s="2" t="s">
        <v>12</v>
      </c>
      <c r="L14" s="2"/>
    </row>
    <row r="15" spans="3:16" x14ac:dyDescent="0.2">
      <c r="C15" s="8">
        <v>46231</v>
      </c>
      <c r="D15" s="2" t="s">
        <v>15</v>
      </c>
      <c r="E15" s="6" t="s">
        <v>49</v>
      </c>
      <c r="F15" s="6" t="s">
        <v>46</v>
      </c>
      <c r="G15" s="2"/>
      <c r="H15" s="3"/>
      <c r="I15" s="6">
        <v>912</v>
      </c>
      <c r="J15" s="7">
        <f t="shared" si="0"/>
        <v>0</v>
      </c>
      <c r="K15" s="2"/>
      <c r="L15" s="2"/>
    </row>
    <row r="16" spans="3:16" s="15" customFormat="1" x14ac:dyDescent="0.2">
      <c r="C16" s="8">
        <v>46233</v>
      </c>
      <c r="D16" s="12" t="s">
        <v>17</v>
      </c>
      <c r="E16" s="6" t="s">
        <v>49</v>
      </c>
      <c r="F16" s="6" t="s">
        <v>45</v>
      </c>
      <c r="G16" s="12" t="s">
        <v>18</v>
      </c>
      <c r="H16" s="13">
        <v>1000</v>
      </c>
      <c r="I16" s="6">
        <v>747</v>
      </c>
      <c r="J16" s="14">
        <f t="shared" si="0"/>
        <v>747000</v>
      </c>
      <c r="K16" s="12" t="s">
        <v>12</v>
      </c>
      <c r="L16" s="12" t="s">
        <v>32</v>
      </c>
      <c r="M16" t="s">
        <v>57</v>
      </c>
    </row>
    <row r="17" spans="3:13" x14ac:dyDescent="0.2">
      <c r="C17" s="8">
        <v>46237</v>
      </c>
      <c r="D17" s="2" t="s">
        <v>21</v>
      </c>
      <c r="E17" s="6" t="s">
        <v>49</v>
      </c>
      <c r="F17" s="6" t="s">
        <v>45</v>
      </c>
      <c r="G17" s="2" t="s">
        <v>20</v>
      </c>
      <c r="H17" s="3">
        <v>1100</v>
      </c>
      <c r="I17" s="6">
        <v>200</v>
      </c>
      <c r="J17" s="7">
        <f t="shared" si="0"/>
        <v>220000</v>
      </c>
      <c r="K17" s="2" t="s">
        <v>12</v>
      </c>
      <c r="L17" s="2"/>
    </row>
    <row r="18" spans="3:13" x14ac:dyDescent="0.2">
      <c r="C18" s="8">
        <v>46237</v>
      </c>
      <c r="D18" s="2" t="s">
        <v>19</v>
      </c>
      <c r="E18" s="6" t="s">
        <v>49</v>
      </c>
      <c r="F18" s="6" t="s">
        <v>45</v>
      </c>
      <c r="G18" s="2" t="s">
        <v>24</v>
      </c>
      <c r="H18" s="3">
        <v>1100</v>
      </c>
      <c r="I18" s="6">
        <v>350</v>
      </c>
      <c r="J18" s="7">
        <f t="shared" si="0"/>
        <v>385000</v>
      </c>
      <c r="K18" s="2" t="s">
        <v>28</v>
      </c>
      <c r="L18" s="2" t="s">
        <v>22</v>
      </c>
    </row>
    <row r="19" spans="3:13" x14ac:dyDescent="0.2">
      <c r="C19" s="8">
        <v>46238</v>
      </c>
      <c r="D19" s="2" t="s">
        <v>41</v>
      </c>
      <c r="E19" s="6" t="s">
        <v>49</v>
      </c>
      <c r="F19" s="6" t="s">
        <v>47</v>
      </c>
      <c r="G19" s="2"/>
      <c r="H19" s="3"/>
      <c r="I19" s="6">
        <v>1403</v>
      </c>
      <c r="J19" s="7"/>
      <c r="K19" s="2" t="s">
        <v>42</v>
      </c>
      <c r="L19" s="2" t="s">
        <v>42</v>
      </c>
    </row>
    <row r="20" spans="3:13" x14ac:dyDescent="0.2">
      <c r="C20" s="8">
        <v>46239</v>
      </c>
      <c r="D20" s="2" t="s">
        <v>31</v>
      </c>
      <c r="E20" s="6" t="s">
        <v>49</v>
      </c>
      <c r="F20" s="6" t="s">
        <v>45</v>
      </c>
      <c r="G20" s="2" t="s">
        <v>30</v>
      </c>
      <c r="H20" s="3">
        <v>1100</v>
      </c>
      <c r="I20" s="11">
        <v>270</v>
      </c>
      <c r="J20" s="7">
        <f t="shared" si="0"/>
        <v>297000</v>
      </c>
      <c r="K20" s="2" t="s">
        <v>12</v>
      </c>
      <c r="L20" s="2" t="s">
        <v>32</v>
      </c>
      <c r="M20" t="s">
        <v>50</v>
      </c>
    </row>
    <row r="21" spans="3:13" x14ac:dyDescent="0.2">
      <c r="C21" s="8">
        <v>46241</v>
      </c>
      <c r="D21" s="9" t="s">
        <v>33</v>
      </c>
      <c r="E21" s="6" t="s">
        <v>49</v>
      </c>
      <c r="F21" s="6" t="s">
        <v>46</v>
      </c>
      <c r="G21" s="9" t="s">
        <v>34</v>
      </c>
      <c r="H21" s="3">
        <v>1000</v>
      </c>
      <c r="I21" s="11">
        <v>350</v>
      </c>
      <c r="J21" s="10">
        <f t="shared" si="0"/>
        <v>350000</v>
      </c>
      <c r="K21" s="2" t="s">
        <v>12</v>
      </c>
      <c r="L21" s="2" t="s">
        <v>32</v>
      </c>
      <c r="M21" t="s">
        <v>51</v>
      </c>
    </row>
    <row r="22" spans="3:13" x14ac:dyDescent="0.2">
      <c r="C22" s="8">
        <v>46241</v>
      </c>
      <c r="D22" s="9" t="s">
        <v>37</v>
      </c>
      <c r="E22" s="6" t="s">
        <v>49</v>
      </c>
      <c r="F22" s="6" t="s">
        <v>46</v>
      </c>
      <c r="G22" s="2" t="s">
        <v>36</v>
      </c>
      <c r="H22" s="3">
        <v>1000</v>
      </c>
      <c r="I22" s="11">
        <v>109</v>
      </c>
      <c r="J22" s="10">
        <f t="shared" si="0"/>
        <v>109000</v>
      </c>
      <c r="K22" s="2" t="s">
        <v>12</v>
      </c>
      <c r="L22" s="2"/>
    </row>
    <row r="23" spans="3:13" x14ac:dyDescent="0.2">
      <c r="C23" s="8">
        <v>46242</v>
      </c>
      <c r="D23" s="2" t="s">
        <v>41</v>
      </c>
      <c r="E23" s="6" t="s">
        <v>49</v>
      </c>
      <c r="F23" s="6" t="s">
        <v>47</v>
      </c>
      <c r="G23" s="2"/>
      <c r="H23" s="3"/>
      <c r="I23" s="11">
        <v>2219</v>
      </c>
      <c r="J23" s="10"/>
      <c r="K23" s="2" t="s">
        <v>42</v>
      </c>
      <c r="L23" s="2" t="s">
        <v>42</v>
      </c>
    </row>
    <row r="24" spans="3:13" x14ac:dyDescent="0.2">
      <c r="C24" s="8">
        <v>46245</v>
      </c>
      <c r="D24" s="9" t="s">
        <v>40</v>
      </c>
      <c r="E24" s="6" t="s">
        <v>49</v>
      </c>
      <c r="F24" s="6" t="s">
        <v>45</v>
      </c>
      <c r="G24" s="2" t="s">
        <v>35</v>
      </c>
      <c r="H24" s="3">
        <v>1100</v>
      </c>
      <c r="I24" s="11">
        <v>404</v>
      </c>
      <c r="J24" s="10">
        <f t="shared" si="0"/>
        <v>444400</v>
      </c>
      <c r="K24" s="2" t="s">
        <v>12</v>
      </c>
      <c r="L24" s="2"/>
    </row>
    <row r="25" spans="3:13" x14ac:dyDescent="0.2">
      <c r="C25" s="8">
        <v>46245</v>
      </c>
      <c r="D25" s="2" t="s">
        <v>39</v>
      </c>
      <c r="E25" s="6" t="s">
        <v>49</v>
      </c>
      <c r="F25" s="6" t="s">
        <v>45</v>
      </c>
      <c r="G25" s="2" t="s">
        <v>38</v>
      </c>
      <c r="H25" s="3">
        <v>1100</v>
      </c>
      <c r="I25" s="11">
        <v>509</v>
      </c>
      <c r="J25" s="10">
        <f t="shared" si="0"/>
        <v>559900</v>
      </c>
      <c r="K25" s="2" t="s">
        <v>12</v>
      </c>
      <c r="L25" s="2"/>
    </row>
    <row r="26" spans="3:13" x14ac:dyDescent="0.2">
      <c r="C26" s="8">
        <v>46246</v>
      </c>
      <c r="D26" s="9" t="s">
        <v>52</v>
      </c>
      <c r="E26" s="6" t="s">
        <v>48</v>
      </c>
      <c r="F26" s="11" t="s">
        <v>52</v>
      </c>
      <c r="G26" s="2"/>
      <c r="H26" s="3"/>
      <c r="I26" s="11">
        <v>11617</v>
      </c>
      <c r="J26" s="10"/>
      <c r="K26" s="9" t="s">
        <v>52</v>
      </c>
      <c r="L26" s="2" t="s">
        <v>54</v>
      </c>
    </row>
    <row r="27" spans="3:13" x14ac:dyDescent="0.2">
      <c r="C27" s="8">
        <v>46247</v>
      </c>
      <c r="D27" s="2" t="s">
        <v>41</v>
      </c>
      <c r="E27" s="6" t="s">
        <v>48</v>
      </c>
      <c r="F27" s="6" t="s">
        <v>47</v>
      </c>
      <c r="G27" s="2"/>
      <c r="H27" s="3"/>
      <c r="I27" s="11">
        <v>11539</v>
      </c>
      <c r="J27" s="2"/>
      <c r="K27" s="2" t="s">
        <v>42</v>
      </c>
      <c r="L27" s="2" t="s">
        <v>42</v>
      </c>
    </row>
    <row r="28" spans="3:13" x14ac:dyDescent="0.2">
      <c r="C28" s="8">
        <v>46247</v>
      </c>
      <c r="D28" s="9" t="s">
        <v>52</v>
      </c>
      <c r="E28" s="6" t="s">
        <v>49</v>
      </c>
      <c r="F28" s="11" t="s">
        <v>52</v>
      </c>
      <c r="G28" s="2"/>
      <c r="H28" s="3"/>
      <c r="I28" s="11">
        <v>11481</v>
      </c>
      <c r="J28" s="2"/>
      <c r="K28" s="9" t="s">
        <v>52</v>
      </c>
      <c r="L28" s="2" t="s">
        <v>53</v>
      </c>
    </row>
    <row r="29" spans="3:13" x14ac:dyDescent="0.2">
      <c r="H29" s="1"/>
    </row>
    <row r="30" spans="3:13" x14ac:dyDescent="0.2">
      <c r="H30" s="1"/>
    </row>
    <row r="31" spans="3:13" x14ac:dyDescent="0.2">
      <c r="H31" s="1"/>
    </row>
    <row r="32" spans="3:13" x14ac:dyDescent="0.2">
      <c r="H32" s="1"/>
    </row>
    <row r="33" spans="8:8" x14ac:dyDescent="0.2">
      <c r="H33" s="1"/>
    </row>
    <row r="34" spans="8:8" x14ac:dyDescent="0.2">
      <c r="H34" s="1"/>
    </row>
    <row r="35" spans="8:8" x14ac:dyDescent="0.2">
      <c r="H35" s="1"/>
    </row>
    <row r="36" spans="8:8" x14ac:dyDescent="0.2">
      <c r="H36" s="1"/>
    </row>
    <row r="37" spans="8:8" x14ac:dyDescent="0.2">
      <c r="H37" s="1"/>
    </row>
    <row r="38" spans="8:8" x14ac:dyDescent="0.2">
      <c r="H38" s="1"/>
    </row>
    <row r="39" spans="8:8" x14ac:dyDescent="0.2">
      <c r="H39" s="1"/>
    </row>
    <row r="40" spans="8:8" x14ac:dyDescent="0.2">
      <c r="H40" s="1"/>
    </row>
    <row r="41" spans="8:8" x14ac:dyDescent="0.2">
      <c r="H41" s="1"/>
    </row>
    <row r="42" spans="8:8" x14ac:dyDescent="0.2">
      <c r="H42" s="1"/>
    </row>
    <row r="43" spans="8:8" x14ac:dyDescent="0.2">
      <c r="H43" s="1"/>
    </row>
  </sheetData>
  <mergeCells count="1">
    <mergeCell ref="C2:L2"/>
  </mergeCells>
  <pageMargins left="0.7" right="0.7" top="0.75" bottom="0.75" header="0.3" footer="0.3"/>
  <pageSetup orientation="portrait" horizontalDpi="0" verticalDpi="0"/>
  <ignoredErrors>
    <ignoredError sqref="M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 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Román Miranda</dc:creator>
  <cp:lastModifiedBy>Héctor Román Miranda</cp:lastModifiedBy>
  <dcterms:created xsi:type="dcterms:W3CDTF">2026-08-03T16:54:58Z</dcterms:created>
  <dcterms:modified xsi:type="dcterms:W3CDTF">2026-08-13T17:15:37Z</dcterms:modified>
</cp:coreProperties>
</file>